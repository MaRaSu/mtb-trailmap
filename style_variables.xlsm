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CC9A43DB-F09D-49C6-96F6-CBC1D53F4F10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73" i="5" l="1"/>
  <c r="V373" i="5"/>
  <c r="Y372" i="5"/>
  <c r="V372" i="5"/>
  <c r="Y360" i="5"/>
  <c r="V360" i="5"/>
  <c r="Y359" i="5"/>
  <c r="V359" i="5"/>
  <c r="Y347" i="5"/>
  <c r="V347" i="5"/>
  <c r="Y346" i="5"/>
  <c r="V346" i="5"/>
  <c r="Y334" i="5"/>
  <c r="V334" i="5"/>
  <c r="Y333" i="5"/>
  <c r="V333" i="5"/>
  <c r="Y321" i="5"/>
  <c r="V321" i="5"/>
  <c r="Y320" i="5"/>
  <c r="V320" i="5"/>
  <c r="Y308" i="5"/>
  <c r="V308" i="5"/>
  <c r="Y307" i="5"/>
  <c r="V307" i="5"/>
  <c r="Y292" i="5"/>
  <c r="V292" i="5"/>
  <c r="Y291" i="5"/>
  <c r="V291" i="5"/>
  <c r="Y282" i="5"/>
  <c r="V282" i="5"/>
  <c r="Y281" i="5"/>
  <c r="V281" i="5"/>
  <c r="Y272" i="5"/>
  <c r="V272" i="5"/>
  <c r="Y271" i="5"/>
  <c r="V271" i="5"/>
  <c r="Y261" i="5"/>
  <c r="V261" i="5"/>
  <c r="Y260" i="5"/>
  <c r="V260" i="5"/>
  <c r="Y180" i="5"/>
  <c r="V180" i="5"/>
  <c r="Y174" i="5"/>
  <c r="V174" i="5"/>
  <c r="Y173" i="5"/>
  <c r="V173" i="5"/>
  <c r="Y172" i="5"/>
  <c r="V172" i="5"/>
  <c r="Y171" i="5"/>
  <c r="V171" i="5"/>
  <c r="Y143" i="5"/>
  <c r="V143" i="5"/>
  <c r="Y142" i="5"/>
  <c r="V142" i="5"/>
  <c r="AH67" i="5"/>
  <c r="AF67" i="5"/>
  <c r="AD67" i="5"/>
  <c r="AB67" i="5"/>
  <c r="AH365" i="5"/>
  <c r="AF365" i="5"/>
  <c r="AD365" i="5"/>
  <c r="AB365" i="5"/>
  <c r="B365" i="5"/>
  <c r="AH364" i="5"/>
  <c r="AF364" i="5"/>
  <c r="AD364" i="5"/>
  <c r="AB364" i="5"/>
  <c r="B364" i="5"/>
  <c r="AH363" i="5"/>
  <c r="AF363" i="5"/>
  <c r="AD363" i="5"/>
  <c r="AB363" i="5"/>
  <c r="B363" i="5" s="1"/>
  <c r="AH362" i="5"/>
  <c r="AF362" i="5"/>
  <c r="AD362" i="5"/>
  <c r="AB362" i="5"/>
  <c r="AH297" i="5"/>
  <c r="AF297" i="5"/>
  <c r="AD297" i="5"/>
  <c r="AB297" i="5"/>
  <c r="B297" i="5"/>
  <c r="AH296" i="5"/>
  <c r="AF296" i="5"/>
  <c r="AD296" i="5"/>
  <c r="AB296" i="5"/>
  <c r="B296" i="5"/>
  <c r="AH295" i="5"/>
  <c r="AF295" i="5"/>
  <c r="AD295" i="5"/>
  <c r="AB295" i="5"/>
  <c r="B295" i="5" s="1"/>
  <c r="AH294" i="5"/>
  <c r="AF294" i="5"/>
  <c r="AD294" i="5"/>
  <c r="AB294" i="5"/>
  <c r="B294" i="5"/>
  <c r="AH301" i="5"/>
  <c r="AF301" i="5"/>
  <c r="AD301" i="5"/>
  <c r="AB301" i="5"/>
  <c r="AH300" i="5"/>
  <c r="AF300" i="5"/>
  <c r="AD300" i="5"/>
  <c r="AB300" i="5"/>
  <c r="B300" i="5" s="1"/>
  <c r="AH313" i="5"/>
  <c r="AF313" i="5"/>
  <c r="AD313" i="5"/>
  <c r="AB313" i="5"/>
  <c r="B313" i="5"/>
  <c r="AH312" i="5"/>
  <c r="AF312" i="5"/>
  <c r="AD312" i="5"/>
  <c r="AB312" i="5"/>
  <c r="B312" i="5" s="1"/>
  <c r="AH311" i="5"/>
  <c r="AF311" i="5"/>
  <c r="AD311" i="5"/>
  <c r="AB311" i="5"/>
  <c r="AH310" i="5"/>
  <c r="AF310" i="5"/>
  <c r="AD310" i="5"/>
  <c r="AB310" i="5"/>
  <c r="AH339" i="5"/>
  <c r="AF339" i="5"/>
  <c r="AD339" i="5"/>
  <c r="AB339" i="5"/>
  <c r="B339" i="5" s="1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B336" i="5"/>
  <c r="AH326" i="5"/>
  <c r="AF326" i="5"/>
  <c r="AD326" i="5"/>
  <c r="AB326" i="5"/>
  <c r="B326" i="5"/>
  <c r="AH325" i="5"/>
  <c r="AF325" i="5"/>
  <c r="AD325" i="5"/>
  <c r="AB325" i="5"/>
  <c r="AH324" i="5"/>
  <c r="AF324" i="5"/>
  <c r="AD324" i="5"/>
  <c r="AB324" i="5"/>
  <c r="B324" i="5" s="1"/>
  <c r="AH323" i="5"/>
  <c r="AF323" i="5"/>
  <c r="AD323" i="5"/>
  <c r="B323" i="5" s="1"/>
  <c r="AB323" i="5"/>
  <c r="AH350" i="5"/>
  <c r="AF350" i="5"/>
  <c r="AD350" i="5"/>
  <c r="AB350" i="5"/>
  <c r="AH349" i="5"/>
  <c r="AF349" i="5"/>
  <c r="AD349" i="5"/>
  <c r="AB349" i="5"/>
  <c r="AH352" i="5"/>
  <c r="AF352" i="5"/>
  <c r="AD352" i="5"/>
  <c r="AB352" i="5"/>
  <c r="B352" i="5"/>
  <c r="AH351" i="5"/>
  <c r="AF351" i="5"/>
  <c r="AD351" i="5"/>
  <c r="AB351" i="5"/>
  <c r="B351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43" i="5"/>
  <c r="AF243" i="5"/>
  <c r="AD243" i="5"/>
  <c r="AB243" i="5"/>
  <c r="B243" i="5"/>
  <c r="AH242" i="5"/>
  <c r="AF242" i="5"/>
  <c r="AD242" i="5"/>
  <c r="AB242" i="5"/>
  <c r="B242" i="5" s="1"/>
  <c r="AH238" i="5"/>
  <c r="AF238" i="5"/>
  <c r="AD238" i="5"/>
  <c r="AB238" i="5"/>
  <c r="B238" i="5"/>
  <c r="AH237" i="5"/>
  <c r="AF237" i="5"/>
  <c r="AD237" i="5"/>
  <c r="AB237" i="5"/>
  <c r="B237" i="5" s="1"/>
  <c r="AH236" i="5"/>
  <c r="AF236" i="5"/>
  <c r="AD236" i="5"/>
  <c r="AB236" i="5"/>
  <c r="B236" i="5" s="1"/>
  <c r="AH235" i="5"/>
  <c r="AF235" i="5"/>
  <c r="AD235" i="5"/>
  <c r="AB235" i="5"/>
  <c r="AH245" i="5"/>
  <c r="AF245" i="5"/>
  <c r="AD245" i="5"/>
  <c r="AB245" i="5"/>
  <c r="AH244" i="5"/>
  <c r="AF244" i="5"/>
  <c r="AD244" i="5"/>
  <c r="AB244" i="5"/>
  <c r="AH241" i="5"/>
  <c r="AF241" i="5"/>
  <c r="AD241" i="5"/>
  <c r="AB241" i="5"/>
  <c r="B241" i="5"/>
  <c r="AH239" i="5"/>
  <c r="AF239" i="5"/>
  <c r="AD239" i="5"/>
  <c r="AB239" i="5"/>
  <c r="AH234" i="5"/>
  <c r="AF234" i="5"/>
  <c r="AD234" i="5"/>
  <c r="AB234" i="5"/>
  <c r="AH233" i="5"/>
  <c r="AF233" i="5"/>
  <c r="AD233" i="5"/>
  <c r="AB233" i="5"/>
  <c r="M373" i="5"/>
  <c r="M372" i="5"/>
  <c r="M360" i="5"/>
  <c r="M359" i="5"/>
  <c r="M347" i="5"/>
  <c r="M346" i="5"/>
  <c r="M334" i="5"/>
  <c r="M333" i="5"/>
  <c r="M321" i="5"/>
  <c r="M320" i="5"/>
  <c r="M308" i="5"/>
  <c r="M307" i="5"/>
  <c r="M292" i="5"/>
  <c r="M291" i="5"/>
  <c r="M282" i="5"/>
  <c r="M281" i="5"/>
  <c r="M272" i="5"/>
  <c r="M271" i="5"/>
  <c r="M261" i="5"/>
  <c r="M260" i="5"/>
  <c r="AH341" i="5"/>
  <c r="AF341" i="5"/>
  <c r="AD341" i="5"/>
  <c r="AB341" i="5"/>
  <c r="AH334" i="5"/>
  <c r="AF334" i="5"/>
  <c r="AD334" i="5"/>
  <c r="AB334" i="5"/>
  <c r="J334" i="5"/>
  <c r="G334" i="5"/>
  <c r="D334" i="5"/>
  <c r="B334" i="5"/>
  <c r="AH333" i="5"/>
  <c r="AF333" i="5"/>
  <c r="AD333" i="5"/>
  <c r="AB333" i="5"/>
  <c r="B333" i="5" s="1"/>
  <c r="J333" i="5"/>
  <c r="G333" i="5"/>
  <c r="D333" i="5"/>
  <c r="AH332" i="5"/>
  <c r="AF332" i="5"/>
  <c r="AD332" i="5"/>
  <c r="AB332" i="5"/>
  <c r="J332" i="5"/>
  <c r="I332" i="5"/>
  <c r="AH331" i="5"/>
  <c r="AF331" i="5"/>
  <c r="AD331" i="5"/>
  <c r="AB331" i="5"/>
  <c r="B331" i="5" s="1"/>
  <c r="J331" i="5"/>
  <c r="I331" i="5"/>
  <c r="AH330" i="5"/>
  <c r="AF330" i="5"/>
  <c r="AD330" i="5"/>
  <c r="AB330" i="5"/>
  <c r="J330" i="5"/>
  <c r="I330" i="5"/>
  <c r="AH329" i="5"/>
  <c r="AF329" i="5"/>
  <c r="AD329" i="5"/>
  <c r="AB329" i="5"/>
  <c r="J329" i="5"/>
  <c r="I329" i="5"/>
  <c r="G347" i="5"/>
  <c r="G346" i="5"/>
  <c r="G360" i="5"/>
  <c r="G359" i="5"/>
  <c r="G321" i="5"/>
  <c r="G320" i="5"/>
  <c r="G308" i="5"/>
  <c r="G307" i="5"/>
  <c r="J321" i="5"/>
  <c r="J320" i="5"/>
  <c r="J374" i="5"/>
  <c r="I374" i="5"/>
  <c r="AH378" i="5"/>
  <c r="AF378" i="5"/>
  <c r="AD378" i="5"/>
  <c r="AB378" i="5"/>
  <c r="AH376" i="5"/>
  <c r="AF376" i="5"/>
  <c r="AD376" i="5"/>
  <c r="AB376" i="5"/>
  <c r="AH374" i="5"/>
  <c r="AF374" i="5"/>
  <c r="AD374" i="5"/>
  <c r="AB374" i="5"/>
  <c r="B374" i="5" s="1"/>
  <c r="J375" i="5"/>
  <c r="I375" i="5"/>
  <c r="J373" i="5"/>
  <c r="G373" i="5"/>
  <c r="D373" i="5"/>
  <c r="J372" i="5"/>
  <c r="G372" i="5"/>
  <c r="D372" i="5"/>
  <c r="J371" i="5"/>
  <c r="I371" i="5"/>
  <c r="AH370" i="5"/>
  <c r="AF370" i="5"/>
  <c r="AD370" i="5"/>
  <c r="AB370" i="5"/>
  <c r="AH379" i="5"/>
  <c r="AF379" i="5"/>
  <c r="AD379" i="5"/>
  <c r="AB379" i="5"/>
  <c r="AH377" i="5"/>
  <c r="AF377" i="5"/>
  <c r="AD377" i="5"/>
  <c r="AB377" i="5"/>
  <c r="AH375" i="5"/>
  <c r="AF375" i="5"/>
  <c r="AD375" i="5"/>
  <c r="AB375" i="5"/>
  <c r="AH305" i="5"/>
  <c r="AF305" i="5"/>
  <c r="AD305" i="5"/>
  <c r="AB305" i="5"/>
  <c r="J305" i="5"/>
  <c r="I305" i="5"/>
  <c r="AH303" i="5"/>
  <c r="AF303" i="5"/>
  <c r="AD303" i="5"/>
  <c r="AB303" i="5"/>
  <c r="J303" i="5"/>
  <c r="I303" i="5"/>
  <c r="AH168" i="5"/>
  <c r="AF168" i="5"/>
  <c r="AD168" i="5"/>
  <c r="AB168" i="5"/>
  <c r="B168" i="5"/>
  <c r="AH167" i="5"/>
  <c r="AF167" i="5"/>
  <c r="AD167" i="5"/>
  <c r="AB167" i="5"/>
  <c r="AH166" i="5"/>
  <c r="AF166" i="5"/>
  <c r="AD166" i="5"/>
  <c r="AB166" i="5"/>
  <c r="AH165" i="5"/>
  <c r="AF165" i="5"/>
  <c r="AD165" i="5"/>
  <c r="AB165" i="5"/>
  <c r="B165" i="5" s="1"/>
  <c r="AH163" i="5"/>
  <c r="AF163" i="5"/>
  <c r="AD163" i="5"/>
  <c r="AB163" i="5"/>
  <c r="AH162" i="5"/>
  <c r="AF162" i="5"/>
  <c r="AD162" i="5"/>
  <c r="AB162" i="5"/>
  <c r="AH161" i="5"/>
  <c r="AF161" i="5"/>
  <c r="AD161" i="5"/>
  <c r="AB161" i="5"/>
  <c r="AH160" i="5"/>
  <c r="AF160" i="5"/>
  <c r="AD160" i="5"/>
  <c r="AB160" i="5"/>
  <c r="AH158" i="5"/>
  <c r="AF158" i="5"/>
  <c r="AD158" i="5"/>
  <c r="AB158" i="5"/>
  <c r="AH157" i="5"/>
  <c r="AF157" i="5"/>
  <c r="AD157" i="5"/>
  <c r="AB157" i="5"/>
  <c r="AH156" i="5"/>
  <c r="AF156" i="5"/>
  <c r="AD156" i="5"/>
  <c r="AB156" i="5"/>
  <c r="B156" i="5"/>
  <c r="AH155" i="5"/>
  <c r="AF155" i="5"/>
  <c r="AD155" i="5"/>
  <c r="AB155" i="5"/>
  <c r="AH129" i="5"/>
  <c r="AF129" i="5"/>
  <c r="AD129" i="5"/>
  <c r="AB129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04" i="5"/>
  <c r="AF104" i="5"/>
  <c r="AD104" i="5"/>
  <c r="AB104" i="5"/>
  <c r="B104" i="5" s="1"/>
  <c r="AH103" i="5"/>
  <c r="AF103" i="5"/>
  <c r="AD103" i="5"/>
  <c r="AB103" i="5"/>
  <c r="AH102" i="5"/>
  <c r="AF102" i="5"/>
  <c r="AD102" i="5"/>
  <c r="AB102" i="5"/>
  <c r="AH101" i="5"/>
  <c r="AF101" i="5"/>
  <c r="AD101" i="5"/>
  <c r="AB101" i="5"/>
  <c r="AH105" i="5"/>
  <c r="AF105" i="5"/>
  <c r="AD105" i="5"/>
  <c r="AB105" i="5"/>
  <c r="AH153" i="5"/>
  <c r="AF153" i="5"/>
  <c r="AD153" i="5"/>
  <c r="AB153" i="5"/>
  <c r="AH152" i="5"/>
  <c r="AF152" i="5"/>
  <c r="AD152" i="5"/>
  <c r="AB152" i="5"/>
  <c r="B152" i="5"/>
  <c r="AH151" i="5"/>
  <c r="AF151" i="5"/>
  <c r="AD151" i="5"/>
  <c r="AB151" i="5"/>
  <c r="AH150" i="5"/>
  <c r="AF150" i="5"/>
  <c r="AD150" i="5"/>
  <c r="AB150" i="5"/>
  <c r="M180" i="5"/>
  <c r="J180" i="5"/>
  <c r="M174" i="5"/>
  <c r="J174" i="5"/>
  <c r="M173" i="5"/>
  <c r="J173" i="5"/>
  <c r="M172" i="5"/>
  <c r="J172" i="5"/>
  <c r="M171" i="5"/>
  <c r="J171" i="5"/>
  <c r="M143" i="5"/>
  <c r="M142" i="5"/>
  <c r="J143" i="5"/>
  <c r="J142" i="5"/>
  <c r="AH148" i="5"/>
  <c r="AF148" i="5"/>
  <c r="AD148" i="5"/>
  <c r="AB148" i="5"/>
  <c r="AH147" i="5"/>
  <c r="AF147" i="5"/>
  <c r="AD147" i="5"/>
  <c r="AB147" i="5"/>
  <c r="AH146" i="5"/>
  <c r="AF146" i="5"/>
  <c r="AD146" i="5"/>
  <c r="AB146" i="5"/>
  <c r="AH87" i="5"/>
  <c r="AF87" i="5"/>
  <c r="AD87" i="5"/>
  <c r="AB87" i="5"/>
  <c r="AH86" i="5"/>
  <c r="AF86" i="5"/>
  <c r="AD86" i="5"/>
  <c r="AB86" i="5"/>
  <c r="AH99" i="5"/>
  <c r="AF99" i="5"/>
  <c r="AD99" i="5"/>
  <c r="AB99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3" i="5"/>
  <c r="AF93" i="5"/>
  <c r="AD93" i="5"/>
  <c r="AB93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B89" i="5" s="1"/>
  <c r="AH95" i="5"/>
  <c r="AF95" i="5"/>
  <c r="AD95" i="5"/>
  <c r="AB95" i="5"/>
  <c r="AH135" i="5"/>
  <c r="AF135" i="5"/>
  <c r="AD135" i="5"/>
  <c r="AB135" i="5"/>
  <c r="AH139" i="5"/>
  <c r="AF139" i="5"/>
  <c r="AD139" i="5"/>
  <c r="AB139" i="5"/>
  <c r="AH138" i="5"/>
  <c r="AF138" i="5"/>
  <c r="AD138" i="5"/>
  <c r="AB138" i="5"/>
  <c r="AH137" i="5"/>
  <c r="AF137" i="5"/>
  <c r="AD137" i="5"/>
  <c r="AB137" i="5"/>
  <c r="B137" i="5" s="1"/>
  <c r="AH136" i="5"/>
  <c r="AF136" i="5"/>
  <c r="AD136" i="5"/>
  <c r="AB136" i="5"/>
  <c r="AH145" i="5"/>
  <c r="AF145" i="5"/>
  <c r="AD145" i="5"/>
  <c r="AB145" i="5"/>
  <c r="AH204" i="5"/>
  <c r="AF204" i="5"/>
  <c r="AD204" i="5"/>
  <c r="AB204" i="5"/>
  <c r="AH203" i="5"/>
  <c r="AF203" i="5"/>
  <c r="AD203" i="5"/>
  <c r="AB203" i="5"/>
  <c r="AH201" i="5"/>
  <c r="AF201" i="5"/>
  <c r="AD201" i="5"/>
  <c r="AB201" i="5"/>
  <c r="AH200" i="5"/>
  <c r="AF200" i="5"/>
  <c r="AD200" i="5"/>
  <c r="AB200" i="5"/>
  <c r="AH199" i="5"/>
  <c r="AF199" i="5"/>
  <c r="AD199" i="5"/>
  <c r="AB199" i="5"/>
  <c r="AH197" i="5"/>
  <c r="AF197" i="5"/>
  <c r="AD197" i="5"/>
  <c r="AB197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2" i="5"/>
  <c r="AH191" i="5"/>
  <c r="AH190" i="5"/>
  <c r="AH189" i="5"/>
  <c r="AH188" i="5"/>
  <c r="AH187" i="5"/>
  <c r="AH186" i="5"/>
  <c r="AH185" i="5"/>
  <c r="AH184" i="5"/>
  <c r="AH183" i="5"/>
  <c r="AF192" i="5"/>
  <c r="AF191" i="5"/>
  <c r="AF190" i="5"/>
  <c r="AF189" i="5"/>
  <c r="AF188" i="5"/>
  <c r="AF187" i="5"/>
  <c r="AF186" i="5"/>
  <c r="AF185" i="5"/>
  <c r="AD192" i="5"/>
  <c r="AD191" i="5"/>
  <c r="AD190" i="5"/>
  <c r="AD189" i="5"/>
  <c r="AB192" i="5"/>
  <c r="AB191" i="5"/>
  <c r="AB190" i="5"/>
  <c r="AB189" i="5"/>
  <c r="AD185" i="5"/>
  <c r="AB185" i="5"/>
  <c r="AD186" i="5"/>
  <c r="AB186" i="5"/>
  <c r="AF184" i="5"/>
  <c r="AD184" i="5"/>
  <c r="AB184" i="5"/>
  <c r="AF183" i="5"/>
  <c r="AD183" i="5"/>
  <c r="AB183" i="5"/>
  <c r="AH182" i="5"/>
  <c r="AF182" i="5"/>
  <c r="AD182" i="5"/>
  <c r="AB182" i="5"/>
  <c r="AH181" i="5"/>
  <c r="AF181" i="5"/>
  <c r="AD181" i="5"/>
  <c r="AB181" i="5"/>
  <c r="G142" i="5"/>
  <c r="G143" i="5"/>
  <c r="G174" i="5"/>
  <c r="G173" i="5"/>
  <c r="G172" i="5"/>
  <c r="G171" i="5"/>
  <c r="G180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292" i="5"/>
  <c r="AH291" i="5"/>
  <c r="AH290" i="5"/>
  <c r="AH289" i="5"/>
  <c r="AH288" i="5"/>
  <c r="AH287" i="5"/>
  <c r="AH286" i="5"/>
  <c r="AH285" i="5"/>
  <c r="AH284" i="5"/>
  <c r="AH282" i="5"/>
  <c r="AH281" i="5"/>
  <c r="AH279" i="5"/>
  <c r="AH278" i="5"/>
  <c r="AH277" i="5"/>
  <c r="AH276" i="5"/>
  <c r="AH275" i="5"/>
  <c r="AH274" i="5"/>
  <c r="AH272" i="5"/>
  <c r="AH271" i="5"/>
  <c r="AH269" i="5"/>
  <c r="AH268" i="5"/>
  <c r="AH267" i="5"/>
  <c r="AH266" i="5"/>
  <c r="AH265" i="5"/>
  <c r="AH264" i="5"/>
  <c r="AH28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AH373" i="5"/>
  <c r="AH372" i="5"/>
  <c r="AH371" i="5"/>
  <c r="AH369" i="5"/>
  <c r="AH368" i="5"/>
  <c r="AH367" i="5"/>
  <c r="AH366" i="5"/>
  <c r="AH360" i="5"/>
  <c r="AH359" i="5"/>
  <c r="AH358" i="5"/>
  <c r="AH357" i="5"/>
  <c r="AH356" i="5"/>
  <c r="AH355" i="5"/>
  <c r="AH354" i="5"/>
  <c r="AH347" i="5"/>
  <c r="AH346" i="5"/>
  <c r="AH345" i="5"/>
  <c r="AH344" i="5"/>
  <c r="AH343" i="5"/>
  <c r="AH342" i="5"/>
  <c r="AH328" i="5"/>
  <c r="AH321" i="5"/>
  <c r="AH320" i="5"/>
  <c r="AH319" i="5"/>
  <c r="AH318" i="5"/>
  <c r="AH317" i="5"/>
  <c r="AH316" i="5"/>
  <c r="AH315" i="5"/>
  <c r="AH308" i="5"/>
  <c r="AH307" i="5"/>
  <c r="AH306" i="5"/>
  <c r="AH304" i="5"/>
  <c r="AH299" i="5"/>
  <c r="AH298" i="5"/>
  <c r="AH283" i="5"/>
  <c r="AH280" i="5"/>
  <c r="AH273" i="5"/>
  <c r="AH270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0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180" i="5"/>
  <c r="AH179" i="5"/>
  <c r="AH178" i="5"/>
  <c r="AH177" i="5"/>
  <c r="AH176" i="5"/>
  <c r="AH175" i="5"/>
  <c r="AH174" i="5"/>
  <c r="AH173" i="5"/>
  <c r="AH172" i="5"/>
  <c r="AH171" i="5"/>
  <c r="AH170" i="5"/>
  <c r="AH144" i="5"/>
  <c r="AH143" i="5"/>
  <c r="AH133" i="5"/>
  <c r="AH142" i="5"/>
  <c r="AH132" i="5"/>
  <c r="AH131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285" i="5"/>
  <c r="AD285" i="5"/>
  <c r="AB285" i="5"/>
  <c r="J285" i="5"/>
  <c r="I285" i="5"/>
  <c r="AF275" i="5"/>
  <c r="AD275" i="5"/>
  <c r="AB275" i="5"/>
  <c r="J275" i="5"/>
  <c r="I275" i="5"/>
  <c r="AF265" i="5"/>
  <c r="AD265" i="5"/>
  <c r="AB265" i="5"/>
  <c r="J265" i="5"/>
  <c r="I265" i="5"/>
  <c r="AF254" i="5"/>
  <c r="AD254" i="5"/>
  <c r="AB254" i="5"/>
  <c r="J254" i="5"/>
  <c r="I254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4" i="5"/>
  <c r="AD84" i="5"/>
  <c r="AB84" i="5"/>
  <c r="AF80" i="5"/>
  <c r="AD80" i="5"/>
  <c r="AB80" i="5"/>
  <c r="AF76" i="5"/>
  <c r="AD76" i="5"/>
  <c r="AB76" i="5"/>
  <c r="AF72" i="5"/>
  <c r="AD72" i="5"/>
  <c r="AB72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71" i="5"/>
  <c r="AD71" i="5"/>
  <c r="AB71" i="5"/>
  <c r="AF70" i="5"/>
  <c r="AD70" i="5"/>
  <c r="AB70" i="5"/>
  <c r="AF69" i="5"/>
  <c r="AD69" i="5"/>
  <c r="AB69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187" i="5"/>
  <c r="AB187" i="5"/>
  <c r="AF230" i="5"/>
  <c r="AD230" i="5"/>
  <c r="AB230" i="5"/>
  <c r="G292" i="5"/>
  <c r="G291" i="5"/>
  <c r="G282" i="5"/>
  <c r="G281" i="5"/>
  <c r="G272" i="5"/>
  <c r="G271" i="5"/>
  <c r="G261" i="5"/>
  <c r="G260" i="5"/>
  <c r="D292" i="5"/>
  <c r="D291" i="5"/>
  <c r="D282" i="5"/>
  <c r="D281" i="5"/>
  <c r="D272" i="5"/>
  <c r="D271" i="5"/>
  <c r="D261" i="5"/>
  <c r="D260" i="5"/>
  <c r="AF253" i="5"/>
  <c r="AD253" i="5"/>
  <c r="AB253" i="5"/>
  <c r="J253" i="5"/>
  <c r="I253" i="5"/>
  <c r="AF133" i="5"/>
  <c r="AD133" i="5"/>
  <c r="AB133" i="5"/>
  <c r="AF132" i="5"/>
  <c r="AD132" i="5"/>
  <c r="AB132" i="5"/>
  <c r="AF232" i="5"/>
  <c r="AD232" i="5"/>
  <c r="AB232" i="5"/>
  <c r="AF179" i="5"/>
  <c r="AD179" i="5"/>
  <c r="AB179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231" i="5"/>
  <c r="AD231" i="5"/>
  <c r="AB231" i="5"/>
  <c r="AF229" i="5"/>
  <c r="AD229" i="5"/>
  <c r="AB229" i="5"/>
  <c r="J259" i="5"/>
  <c r="I259" i="5"/>
  <c r="J270" i="5"/>
  <c r="J280" i="5"/>
  <c r="J290" i="5"/>
  <c r="J284" i="5"/>
  <c r="J274" i="5"/>
  <c r="AF257" i="5"/>
  <c r="AD257" i="5"/>
  <c r="AB257" i="5"/>
  <c r="AF255" i="5"/>
  <c r="AD255" i="5"/>
  <c r="AB255" i="5"/>
  <c r="J264" i="5"/>
  <c r="J250" i="5"/>
  <c r="I250" i="5"/>
  <c r="I249" i="5"/>
  <c r="I248" i="5"/>
  <c r="J261" i="5"/>
  <c r="J260" i="5"/>
  <c r="J272" i="5"/>
  <c r="J271" i="5"/>
  <c r="J281" i="5"/>
  <c r="J282" i="5"/>
  <c r="J291" i="5"/>
  <c r="J292" i="5"/>
  <c r="AF321" i="5"/>
  <c r="AD321" i="5"/>
  <c r="AB321" i="5"/>
  <c r="D321" i="5"/>
  <c r="AF320" i="5"/>
  <c r="AD320" i="5"/>
  <c r="AB320" i="5"/>
  <c r="D320" i="5"/>
  <c r="AF319" i="5"/>
  <c r="AD319" i="5"/>
  <c r="AB319" i="5"/>
  <c r="J319" i="5"/>
  <c r="I319" i="5"/>
  <c r="AF318" i="5"/>
  <c r="AD318" i="5"/>
  <c r="AB318" i="5"/>
  <c r="J318" i="5"/>
  <c r="I318" i="5"/>
  <c r="AF317" i="5"/>
  <c r="AD317" i="5"/>
  <c r="AB317" i="5"/>
  <c r="J317" i="5"/>
  <c r="I317" i="5"/>
  <c r="AF316" i="5"/>
  <c r="AD316" i="5"/>
  <c r="AB316" i="5"/>
  <c r="J316" i="5"/>
  <c r="I316" i="5"/>
  <c r="AF315" i="5"/>
  <c r="AD315" i="5"/>
  <c r="AB315" i="5"/>
  <c r="AF347" i="5"/>
  <c r="AD347" i="5"/>
  <c r="AB347" i="5"/>
  <c r="J347" i="5"/>
  <c r="I347" i="5"/>
  <c r="D347" i="5"/>
  <c r="AF346" i="5"/>
  <c r="AD346" i="5"/>
  <c r="AB346" i="5"/>
  <c r="J346" i="5"/>
  <c r="I346" i="5"/>
  <c r="D346" i="5"/>
  <c r="AF345" i="5"/>
  <c r="AD345" i="5"/>
  <c r="AB345" i="5"/>
  <c r="J345" i="5"/>
  <c r="I345" i="5"/>
  <c r="AF344" i="5"/>
  <c r="AD344" i="5"/>
  <c r="AB344" i="5"/>
  <c r="J344" i="5"/>
  <c r="I344" i="5"/>
  <c r="AF343" i="5"/>
  <c r="AD343" i="5"/>
  <c r="AB343" i="5"/>
  <c r="J343" i="5"/>
  <c r="I343" i="5"/>
  <c r="AF342" i="5"/>
  <c r="AD342" i="5"/>
  <c r="AB342" i="5"/>
  <c r="J342" i="5"/>
  <c r="I342" i="5"/>
  <c r="AF328" i="5"/>
  <c r="AD328" i="5"/>
  <c r="AB328" i="5"/>
  <c r="J358" i="5"/>
  <c r="J357" i="5"/>
  <c r="I358" i="5"/>
  <c r="I357" i="5"/>
  <c r="J356" i="5"/>
  <c r="J355" i="5"/>
  <c r="I356" i="5"/>
  <c r="I355" i="5"/>
  <c r="AF357" i="5"/>
  <c r="AD357" i="5"/>
  <c r="AB357" i="5"/>
  <c r="AF355" i="5"/>
  <c r="AD355" i="5"/>
  <c r="AB355" i="5"/>
  <c r="AF358" i="5"/>
  <c r="AD358" i="5"/>
  <c r="AB358" i="5"/>
  <c r="AF356" i="5"/>
  <c r="AD356" i="5"/>
  <c r="AB356" i="5"/>
  <c r="J306" i="5"/>
  <c r="J304" i="5"/>
  <c r="I304" i="5"/>
  <c r="I306" i="5"/>
  <c r="AF306" i="5"/>
  <c r="AD306" i="5"/>
  <c r="AB306" i="5"/>
  <c r="AF304" i="5"/>
  <c r="AD304" i="5"/>
  <c r="AB304" i="5"/>
  <c r="J360" i="5"/>
  <c r="J359" i="5"/>
  <c r="J308" i="5"/>
  <c r="D360" i="5"/>
  <c r="D359" i="5"/>
  <c r="D308" i="5"/>
  <c r="J307" i="5"/>
  <c r="D307" i="5"/>
  <c r="AF270" i="5"/>
  <c r="AD270" i="5"/>
  <c r="AB270" i="5"/>
  <c r="I270" i="5"/>
  <c r="AF280" i="5"/>
  <c r="AD280" i="5"/>
  <c r="AB280" i="5"/>
  <c r="I280" i="5"/>
  <c r="I290" i="5"/>
  <c r="AF290" i="5"/>
  <c r="AD290" i="5"/>
  <c r="AB290" i="5"/>
  <c r="AF268" i="5"/>
  <c r="AD268" i="5"/>
  <c r="AB268" i="5"/>
  <c r="AF266" i="5"/>
  <c r="AD266" i="5"/>
  <c r="AB266" i="5"/>
  <c r="AF264" i="5"/>
  <c r="AD264" i="5"/>
  <c r="AB264" i="5"/>
  <c r="I264" i="5"/>
  <c r="AF282" i="5"/>
  <c r="AD282" i="5"/>
  <c r="AB282" i="5"/>
  <c r="AF281" i="5"/>
  <c r="AD281" i="5"/>
  <c r="AB281" i="5"/>
  <c r="AF279" i="5"/>
  <c r="AD279" i="5"/>
  <c r="AB279" i="5"/>
  <c r="AF278" i="5"/>
  <c r="AD278" i="5"/>
  <c r="AB278" i="5"/>
  <c r="AF277" i="5"/>
  <c r="AD277" i="5"/>
  <c r="AB277" i="5"/>
  <c r="AF276" i="5"/>
  <c r="AD276" i="5"/>
  <c r="AB276" i="5"/>
  <c r="AF274" i="5"/>
  <c r="AD274" i="5"/>
  <c r="AB274" i="5"/>
  <c r="I274" i="5"/>
  <c r="AF273" i="5"/>
  <c r="AF288" i="5"/>
  <c r="AD288" i="5"/>
  <c r="AB288" i="5"/>
  <c r="AF286" i="5"/>
  <c r="AD286" i="5"/>
  <c r="AB286" i="5"/>
  <c r="I284" i="5"/>
  <c r="AF284" i="5"/>
  <c r="AD284" i="5"/>
  <c r="AB284" i="5"/>
  <c r="AF292" i="5"/>
  <c r="AF291" i="5"/>
  <c r="AF289" i="5"/>
  <c r="AF287" i="5"/>
  <c r="AF283" i="5"/>
  <c r="AD292" i="5"/>
  <c r="AB292" i="5"/>
  <c r="AD291" i="5"/>
  <c r="AB291" i="5"/>
  <c r="AD289" i="5"/>
  <c r="AB289" i="5"/>
  <c r="AD287" i="5"/>
  <c r="AB287" i="5"/>
  <c r="AF66" i="5"/>
  <c r="AD66" i="5"/>
  <c r="AB66" i="5"/>
  <c r="AF65" i="5"/>
  <c r="AD65" i="5"/>
  <c r="AB65" i="5"/>
  <c r="AF64" i="5"/>
  <c r="AD64" i="5"/>
  <c r="AB64" i="5"/>
  <c r="AF373" i="5"/>
  <c r="AF372" i="5"/>
  <c r="AF371" i="5"/>
  <c r="AF369" i="5"/>
  <c r="AF368" i="5"/>
  <c r="AF367" i="5"/>
  <c r="AF366" i="5"/>
  <c r="AF360" i="5"/>
  <c r="AF359" i="5"/>
  <c r="AF354" i="5"/>
  <c r="AF308" i="5"/>
  <c r="AF307" i="5"/>
  <c r="AF299" i="5"/>
  <c r="AF298" i="5"/>
  <c r="AF272" i="5"/>
  <c r="AF271" i="5"/>
  <c r="AD373" i="5"/>
  <c r="AD372" i="5"/>
  <c r="AD371" i="5"/>
  <c r="AD369" i="5"/>
  <c r="AD368" i="5"/>
  <c r="AD367" i="5"/>
  <c r="AD366" i="5"/>
  <c r="AD360" i="5"/>
  <c r="AD359" i="5"/>
  <c r="AD354" i="5"/>
  <c r="AD308" i="5"/>
  <c r="AD307" i="5"/>
  <c r="AD299" i="5"/>
  <c r="AD298" i="5"/>
  <c r="AD272" i="5"/>
  <c r="AD271" i="5"/>
  <c r="AB373" i="5"/>
  <c r="AB372" i="5"/>
  <c r="AB371" i="5"/>
  <c r="AB369" i="5"/>
  <c r="AB368" i="5"/>
  <c r="AB367" i="5"/>
  <c r="AB366" i="5"/>
  <c r="AB360" i="5"/>
  <c r="AB359" i="5"/>
  <c r="AB354" i="5"/>
  <c r="AB308" i="5"/>
  <c r="AB307" i="5"/>
  <c r="AB299" i="5"/>
  <c r="AB298" i="5"/>
  <c r="AB272" i="5"/>
  <c r="I360" i="5"/>
  <c r="I359" i="5"/>
  <c r="I308" i="5"/>
  <c r="I307" i="5"/>
  <c r="AF269" i="5"/>
  <c r="AF267" i="5"/>
  <c r="AD269" i="5"/>
  <c r="AD267" i="5"/>
  <c r="AB271" i="5"/>
  <c r="AB269" i="5"/>
  <c r="AB267" i="5"/>
  <c r="AF263" i="5"/>
  <c r="AF262" i="5"/>
  <c r="AF261" i="5"/>
  <c r="AF260" i="5"/>
  <c r="AF259" i="5"/>
  <c r="AF258" i="5"/>
  <c r="AF256" i="5"/>
  <c r="AF252" i="5"/>
  <c r="AF251" i="5"/>
  <c r="AF250" i="5"/>
  <c r="AF249" i="5"/>
  <c r="AF248" i="5"/>
  <c r="AF247" i="5"/>
  <c r="AF240" i="5"/>
  <c r="AF228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180" i="5"/>
  <c r="AF174" i="5"/>
  <c r="AF173" i="5"/>
  <c r="AF172" i="5"/>
  <c r="AF171" i="5"/>
  <c r="AF170" i="5"/>
  <c r="AF144" i="5"/>
  <c r="AF143" i="5"/>
  <c r="AF142" i="5"/>
  <c r="AF131" i="5"/>
  <c r="AF63" i="5"/>
  <c r="AF61" i="5"/>
  <c r="AF60" i="5"/>
  <c r="AF59" i="5"/>
  <c r="AF58" i="5"/>
  <c r="AF57" i="5"/>
  <c r="AF56" i="5"/>
  <c r="AF55" i="5"/>
  <c r="AF54" i="5"/>
  <c r="AD263" i="5"/>
  <c r="AD262" i="5"/>
  <c r="AD261" i="5"/>
  <c r="AD260" i="5"/>
  <c r="AD259" i="5"/>
  <c r="AD258" i="5"/>
  <c r="AD256" i="5"/>
  <c r="AD252" i="5"/>
  <c r="AD251" i="5"/>
  <c r="AD250" i="5"/>
  <c r="AD249" i="5"/>
  <c r="AD248" i="5"/>
  <c r="AD247" i="5"/>
  <c r="AD240" i="5"/>
  <c r="AD228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188" i="5"/>
  <c r="AD180" i="5"/>
  <c r="AD174" i="5"/>
  <c r="AD173" i="5"/>
  <c r="AD172" i="5"/>
  <c r="AD171" i="5"/>
  <c r="AD170" i="5"/>
  <c r="AD144" i="5"/>
  <c r="AD143" i="5"/>
  <c r="AD142" i="5"/>
  <c r="AD131" i="5"/>
  <c r="AD63" i="5"/>
  <c r="AD61" i="5"/>
  <c r="AD60" i="5"/>
  <c r="AD59" i="5"/>
  <c r="AD58" i="5"/>
  <c r="AD57" i="5"/>
  <c r="AD56" i="5"/>
  <c r="AD55" i="5"/>
  <c r="AB263" i="5"/>
  <c r="AB262" i="5"/>
  <c r="AB261" i="5"/>
  <c r="AB260" i="5"/>
  <c r="AB259" i="5"/>
  <c r="AB258" i="5"/>
  <c r="AB256" i="5"/>
  <c r="AB252" i="5"/>
  <c r="AB251" i="5"/>
  <c r="AB250" i="5"/>
  <c r="AB249" i="5"/>
  <c r="AB248" i="5"/>
  <c r="AB247" i="5"/>
  <c r="AB240" i="5"/>
  <c r="AB228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188" i="5"/>
  <c r="AB180" i="5"/>
  <c r="AB174" i="5"/>
  <c r="AB173" i="5"/>
  <c r="AB172" i="5"/>
  <c r="AB171" i="5"/>
  <c r="AB170" i="5"/>
  <c r="AB144" i="5"/>
  <c r="AB143" i="5"/>
  <c r="AB142" i="5"/>
  <c r="AB131" i="5"/>
  <c r="AB63" i="5"/>
  <c r="AB61" i="5"/>
  <c r="AB60" i="5"/>
  <c r="AB59" i="5"/>
  <c r="AB58" i="5"/>
  <c r="AB57" i="5"/>
  <c r="AB56" i="5"/>
  <c r="AB55" i="5"/>
  <c r="AB54" i="5"/>
  <c r="D174" i="5"/>
  <c r="D180" i="5"/>
  <c r="D173" i="5"/>
  <c r="D172" i="5"/>
  <c r="D171" i="5"/>
  <c r="D143" i="5"/>
  <c r="D142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63" i="5" l="1"/>
  <c r="B350" i="5"/>
  <c r="B67" i="5"/>
  <c r="B301" i="5"/>
  <c r="B310" i="5"/>
  <c r="B362" i="5"/>
  <c r="B102" i="5"/>
  <c r="B349" i="5"/>
  <c r="B311" i="5"/>
  <c r="B337" i="5"/>
  <c r="B338" i="5"/>
  <c r="B325" i="5"/>
  <c r="B330" i="5"/>
  <c r="B244" i="5"/>
  <c r="B93" i="5"/>
  <c r="B92" i="5"/>
  <c r="B239" i="5"/>
  <c r="B235" i="5"/>
  <c r="B245" i="5"/>
  <c r="B305" i="5"/>
  <c r="B129" i="5"/>
  <c r="B127" i="5"/>
  <c r="B240" i="5"/>
  <c r="B378" i="5"/>
  <c r="B332" i="5"/>
  <c r="B329" i="5"/>
  <c r="B161" i="5"/>
  <c r="B153" i="5"/>
  <c r="B122" i="5"/>
  <c r="B379" i="5"/>
  <c r="B155" i="5"/>
  <c r="B376" i="5"/>
  <c r="B160" i="5"/>
  <c r="B375" i="5"/>
  <c r="B99" i="5"/>
  <c r="B128" i="5"/>
  <c r="B377" i="5"/>
  <c r="B125" i="5"/>
  <c r="B158" i="5"/>
  <c r="B303" i="5"/>
  <c r="B167" i="5"/>
  <c r="B166" i="5"/>
  <c r="B126" i="5"/>
  <c r="B162" i="5"/>
  <c r="B90" i="5"/>
  <c r="B157" i="5"/>
  <c r="B86" i="5"/>
  <c r="B148" i="5"/>
  <c r="B103" i="5"/>
  <c r="B105" i="5"/>
  <c r="B101" i="5"/>
  <c r="B192" i="5"/>
  <c r="B191" i="5"/>
  <c r="B147" i="5"/>
  <c r="B146" i="5"/>
  <c r="B96" i="5"/>
  <c r="B139" i="5"/>
  <c r="B150" i="5"/>
  <c r="B151" i="5"/>
  <c r="B95" i="5"/>
  <c r="B87" i="5"/>
  <c r="B97" i="5"/>
  <c r="B98" i="5"/>
  <c r="B135" i="5"/>
  <c r="B91" i="5"/>
  <c r="B203" i="5"/>
  <c r="B138" i="5"/>
  <c r="B136" i="5"/>
  <c r="B185" i="5"/>
  <c r="B145" i="5"/>
  <c r="B199" i="5"/>
  <c r="B271" i="5"/>
  <c r="B119" i="5"/>
  <c r="B42" i="5"/>
  <c r="B200" i="5"/>
  <c r="B184" i="5"/>
  <c r="B121" i="5"/>
  <c r="B204" i="5"/>
  <c r="B197" i="5"/>
  <c r="B195" i="5"/>
  <c r="B186" i="5"/>
  <c r="B196" i="5"/>
  <c r="B201" i="5"/>
  <c r="B182" i="5"/>
  <c r="B39" i="5"/>
  <c r="B40" i="5"/>
  <c r="B38" i="5"/>
  <c r="B14" i="5"/>
  <c r="B13" i="5"/>
  <c r="B12" i="5"/>
  <c r="B230" i="5"/>
  <c r="B181" i="5"/>
  <c r="B194" i="5"/>
  <c r="B189" i="5"/>
  <c r="B190" i="5"/>
  <c r="B21" i="5"/>
  <c r="B20" i="5"/>
  <c r="B19" i="5"/>
  <c r="B18" i="5"/>
  <c r="B17" i="5"/>
  <c r="B16" i="5"/>
  <c r="B15" i="5"/>
  <c r="B272" i="5"/>
  <c r="B187" i="5"/>
  <c r="B275" i="5"/>
  <c r="B265" i="5"/>
  <c r="B111" i="5"/>
  <c r="B109" i="5"/>
  <c r="B43" i="5"/>
  <c r="B229" i="5"/>
  <c r="B373" i="5"/>
  <c r="B372" i="5"/>
  <c r="B371" i="5"/>
  <c r="B369" i="5"/>
  <c r="B368" i="5"/>
  <c r="B359" i="5"/>
  <c r="B308" i="5"/>
  <c r="B307" i="5"/>
  <c r="B118" i="5"/>
  <c r="B46" i="5"/>
  <c r="B123" i="5"/>
  <c r="B120" i="5"/>
  <c r="B117" i="5"/>
  <c r="B112" i="5"/>
  <c r="B114" i="5"/>
  <c r="B47" i="5"/>
  <c r="B116" i="5"/>
  <c r="B113" i="5"/>
  <c r="B75" i="5"/>
  <c r="B74" i="5"/>
  <c r="B73" i="5"/>
  <c r="B183" i="5"/>
  <c r="B77" i="5"/>
  <c r="B78" i="5"/>
  <c r="B264" i="5"/>
  <c r="B282" i="5"/>
  <c r="B281" i="5"/>
  <c r="B279" i="5"/>
  <c r="B277" i="5"/>
  <c r="B276" i="5"/>
  <c r="B274" i="5"/>
  <c r="B284" i="5"/>
  <c r="B115" i="5"/>
  <c r="B11" i="5"/>
  <c r="B79" i="5"/>
  <c r="B360" i="5"/>
  <c r="B83" i="5"/>
  <c r="B82" i="5"/>
  <c r="B81" i="5"/>
  <c r="B232" i="5"/>
  <c r="B286" i="5"/>
  <c r="B345" i="5"/>
  <c r="B343" i="5"/>
  <c r="B306" i="5"/>
  <c r="B304" i="5"/>
  <c r="B110" i="5"/>
  <c r="B108" i="5"/>
  <c r="B231" i="5"/>
  <c r="B270" i="5"/>
  <c r="B280" i="5"/>
  <c r="B59" i="5"/>
  <c r="B58" i="5"/>
  <c r="B57" i="5"/>
  <c r="B56" i="5"/>
  <c r="B55" i="5"/>
  <c r="B285" i="5"/>
  <c r="B48" i="5"/>
  <c r="B347" i="5"/>
  <c r="B346" i="5"/>
  <c r="B211" i="5"/>
  <c r="B210" i="5"/>
  <c r="B209" i="5"/>
  <c r="B208" i="5"/>
  <c r="B180" i="5"/>
  <c r="B174" i="5"/>
  <c r="B173" i="5"/>
  <c r="B172" i="5"/>
  <c r="B171" i="5"/>
  <c r="B143" i="5"/>
  <c r="B142" i="5"/>
  <c r="B61" i="5"/>
  <c r="B60" i="5"/>
  <c r="B179" i="5"/>
  <c r="B84" i="5"/>
  <c r="B76" i="5"/>
  <c r="B71" i="5"/>
  <c r="B54" i="5"/>
  <c r="B37" i="5"/>
  <c r="B36" i="5"/>
  <c r="B34" i="5"/>
  <c r="B33" i="5"/>
  <c r="B32" i="5"/>
  <c r="B31" i="5"/>
  <c r="B30" i="5"/>
  <c r="B27" i="5"/>
  <c r="B26" i="5"/>
  <c r="B44" i="5"/>
  <c r="B70" i="5"/>
  <c r="B69" i="5"/>
  <c r="B51" i="5"/>
  <c r="B50" i="5"/>
  <c r="B49" i="5"/>
  <c r="B25" i="5"/>
  <c r="B24" i="5"/>
  <c r="B23" i="5"/>
  <c r="B22" i="5"/>
  <c r="B321" i="5"/>
  <c r="B320" i="5"/>
  <c r="B319" i="5"/>
  <c r="B317" i="5"/>
  <c r="B278" i="5"/>
  <c r="B66" i="5"/>
  <c r="B65" i="5"/>
  <c r="B64" i="5"/>
  <c r="B259" i="5"/>
  <c r="B250" i="5"/>
  <c r="B249" i="5"/>
  <c r="B248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177" i="5"/>
  <c r="B62" i="5"/>
  <c r="B133" i="5"/>
  <c r="B72" i="5"/>
  <c r="B178" i="5"/>
  <c r="B132" i="5"/>
  <c r="B80" i="5"/>
  <c r="B29" i="5"/>
  <c r="B253" i="5"/>
  <c r="B290" i="5"/>
  <c r="B268" i="5"/>
  <c r="B266" i="5"/>
  <c r="B288" i="5"/>
  <c r="B292" i="5"/>
  <c r="B291" i="5"/>
  <c r="B289" i="5"/>
  <c r="B287" i="5"/>
  <c r="B269" i="5"/>
  <c r="B267" i="5"/>
  <c r="B358" i="5"/>
  <c r="B357" i="5"/>
  <c r="B356" i="5"/>
  <c r="B355" i="5"/>
  <c r="B318" i="5"/>
  <c r="B316" i="5"/>
  <c r="B342" i="5"/>
  <c r="B344" i="5"/>
  <c r="B261" i="5"/>
  <c r="B260" i="5"/>
  <c r="B258" i="5"/>
  <c r="B257" i="5"/>
  <c r="B256" i="5"/>
  <c r="B255" i="5"/>
  <c r="B254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<sst xmlns="http://schemas.openxmlformats.org/spreadsheetml/2006/main" count="5578" uniqueCount="393">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</sst>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6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  <xf numFmtId="0" fontId="0" fillId="0" borderId="0" xfId="0" applyFill="1" applyAlignment="1">
      <alignment horizontal="left"/>
    </xf>
    <xf numFmtId="49" fontId="0" fillId="2" borderId="0" xfId="0" applyNumberFormat="1" applyFont="1" applyFill="1"/>
    <xf numFmtId="49" fontId="0" fillId="10" borderId="0" xfId="0" applyNumberFormat="1" applyFont="1" applyFill="1"/>
    <xf numFmtId="49" fontId="0" fillId="3" borderId="0" xfId="0" applyNumberFormat="1" applyFont="1" applyFill="1"/>
    <xf numFmtId="49" fontId="0" fillId="11" borderId="0" xfId="0" applyNumberFormat="1" applyFont="1" applyFill="1"/>
    <xf numFmtId="49" fontId="0" fillId="4" borderId="0" xfId="0" applyNumberFormat="1" applyFont="1" applyFill="1"/>
    <xf numFmtId="49" fontId="0" fillId="12" borderId="0" xfId="0" applyNumberFormat="1" applyFont="1" applyFill="1"/>
    <xf numFmtId="49" fontId="0" fillId="5" borderId="0" xfId="0" applyNumberFormat="1" applyFont="1" applyFill="1"/>
    <xf numFmtId="49" fontId="0" fillId="13" borderId="0" xfId="0" applyNumberFormat="1" applyFont="1" applyFill="1"/>
    <xf numFmtId="49" fontId="0" fillId="6" borderId="0" xfId="0" applyNumberFormat="1" applyFont="1" applyFill="1"/>
    <xf numFmtId="49" fontId="0" fillId="7" borderId="0" xfId="0" applyNumberFormat="1" applyFont="1" applyFill="1"/>
    <xf numFmtId="49" fontId="0" fillId="14" borderId="0" xfId="0" applyNumberFormat="1" applyFont="1" applyFill="1"/>
    <xf numFmtId="49" fontId="0" fillId="8" borderId="0" xfId="0" applyNumberFormat="1" applyFont="1" applyFill="1"/>
    <xf numFmtId="49" fontId="0" fillId="15" borderId="0" xfId="0" applyNumberFormat="1" applyFont="1" applyFill="1"/>
    <xf numFmtId="49" fontId="0" fillId="9" borderId="0" xfId="0" applyNumberFormat="1" applyFont="1" applyFill="1"/>
    <xf numFmtId="49" fontId="0" fillId="16" borderId="0" xfId="0" applyNumberFormat="1" applyFont="1" applyFill="1"/>
    <xf numFmtId="49" fontId="0" fillId="28" borderId="0" xfId="0" applyNumberFormat="1" applyFont="1" applyFill="1"/>
    <xf numFmtId="49" fontId="0" fillId="87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98"/>
  <sheetViews>
    <sheetView tabSelected="1" topLeftCell="A3" zoomScale="85" zoomScaleNormal="85" workbookViewId="0">
      <pane ySplit="4" topLeftCell="A19" activePane="bottomLeft" state="frozen"/>
      <selection activeCell="A3" sqref="A3"/>
      <selection pane="bottomLeft" activeCell="U54" sqref="U54:Y62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37" t="s">
        <v>302</v>
      </c>
      <c r="D26" s="137" t="s">
        <v>302</v>
      </c>
      <c r="F26" s="138" t="s">
        <v>303</v>
      </c>
      <c r="G26" s="38" t="s">
        <v>222</v>
      </c>
      <c r="I26" s="137" t="s">
        <v>302</v>
      </c>
      <c r="J26" s="137" t="s">
        <v>302</v>
      </c>
      <c r="L26" s="138" t="s">
        <v>303</v>
      </c>
      <c r="M26" s="38" t="s">
        <v>222</v>
      </c>
      <c r="U26" s="137" t="s">
        <v>302</v>
      </c>
      <c r="V26" s="137" t="s">
        <v>302</v>
      </c>
      <c r="X26" s="138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39" t="s">
        <v>304</v>
      </c>
      <c r="D28" s="139" t="s">
        <v>304</v>
      </c>
      <c r="F28" s="140" t="s">
        <v>305</v>
      </c>
      <c r="G28" s="38" t="s">
        <v>222</v>
      </c>
      <c r="I28" s="139" t="s">
        <v>304</v>
      </c>
      <c r="J28" s="139" t="s">
        <v>304</v>
      </c>
      <c r="L28" s="140" t="s">
        <v>305</v>
      </c>
      <c r="M28" s="38" t="s">
        <v>222</v>
      </c>
      <c r="U28" s="139" t="s">
        <v>304</v>
      </c>
      <c r="V28" s="139" t="s">
        <v>304</v>
      </c>
      <c r="X28" s="140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39" t="s">
        <v>304</v>
      </c>
      <c r="D30" s="139" t="s">
        <v>304</v>
      </c>
      <c r="F30" s="140" t="s">
        <v>305</v>
      </c>
      <c r="G30" s="38" t="s">
        <v>222</v>
      </c>
      <c r="I30" s="139" t="s">
        <v>304</v>
      </c>
      <c r="J30" s="139" t="s">
        <v>304</v>
      </c>
      <c r="L30" s="140" t="s">
        <v>305</v>
      </c>
      <c r="M30" s="38" t="s">
        <v>222</v>
      </c>
      <c r="U30" s="139" t="s">
        <v>304</v>
      </c>
      <c r="V30" s="139" t="s">
        <v>304</v>
      </c>
      <c r="X30" s="140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39" t="s">
        <v>304</v>
      </c>
      <c r="D32" s="139" t="s">
        <v>304</v>
      </c>
      <c r="F32" s="140" t="s">
        <v>305</v>
      </c>
      <c r="G32" s="38" t="s">
        <v>222</v>
      </c>
      <c r="I32" s="139" t="s">
        <v>304</v>
      </c>
      <c r="J32" s="139" t="s">
        <v>304</v>
      </c>
      <c r="L32" s="140" t="s">
        <v>305</v>
      </c>
      <c r="M32" s="38" t="s">
        <v>222</v>
      </c>
      <c r="U32" s="139" t="s">
        <v>304</v>
      </c>
      <c r="V32" s="139" t="s">
        <v>304</v>
      </c>
      <c r="X32" s="140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39" t="s">
        <v>304</v>
      </c>
      <c r="D34" s="139" t="s">
        <v>304</v>
      </c>
      <c r="F34" s="140" t="s">
        <v>305</v>
      </c>
      <c r="G34" s="38" t="s">
        <v>222</v>
      </c>
      <c r="I34" s="139" t="s">
        <v>304</v>
      </c>
      <c r="J34" s="139" t="s">
        <v>304</v>
      </c>
      <c r="L34" s="140" t="s">
        <v>305</v>
      </c>
      <c r="M34" s="38" t="s">
        <v>222</v>
      </c>
      <c r="U34" s="139" t="s">
        <v>304</v>
      </c>
      <c r="V34" s="139" t="s">
        <v>304</v>
      </c>
      <c r="X34" s="140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35" t="s">
        <v>299</v>
      </c>
      <c r="D36" s="135" t="s">
        <v>299</v>
      </c>
      <c r="F36" s="136" t="s">
        <v>300</v>
      </c>
      <c r="G36" s="38" t="s">
        <v>222</v>
      </c>
      <c r="I36" s="135" t="s">
        <v>299</v>
      </c>
      <c r="J36" s="135" t="s">
        <v>299</v>
      </c>
      <c r="L36" s="136" t="s">
        <v>300</v>
      </c>
      <c r="M36" s="38" t="s">
        <v>222</v>
      </c>
      <c r="U36" s="135" t="s">
        <v>299</v>
      </c>
      <c r="V36" s="135" t="s">
        <v>299</v>
      </c>
      <c r="X36" s="136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35" t="s">
        <v>299</v>
      </c>
      <c r="D38" s="135" t="s">
        <v>299</v>
      </c>
      <c r="F38" s="136" t="s">
        <v>300</v>
      </c>
      <c r="G38" s="38" t="s">
        <v>222</v>
      </c>
      <c r="I38" s="135" t="s">
        <v>299</v>
      </c>
      <c r="J38" s="135" t="s">
        <v>299</v>
      </c>
      <c r="L38" s="136" t="s">
        <v>300</v>
      </c>
      <c r="M38" s="38" t="s">
        <v>222</v>
      </c>
      <c r="U38" s="135" t="s">
        <v>299</v>
      </c>
      <c r="V38" s="135" t="s">
        <v>299</v>
      </c>
      <c r="X38" s="136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159" t="s">
        <v>170</v>
      </c>
      <c r="D54" s="160" t="s">
        <v>178</v>
      </c>
      <c r="E54" s="156"/>
      <c r="F54" s="159" t="s">
        <v>170</v>
      </c>
      <c r="G54" s="160" t="s">
        <v>178</v>
      </c>
      <c r="H54" s="156"/>
      <c r="I54" s="159" t="s">
        <v>170</v>
      </c>
      <c r="J54" s="160" t="s">
        <v>178</v>
      </c>
      <c r="K54" s="156"/>
      <c r="L54" s="159" t="s">
        <v>170</v>
      </c>
      <c r="M54" s="160" t="s">
        <v>178</v>
      </c>
      <c r="U54" s="28" t="s">
        <v>297</v>
      </c>
      <c r="V54" s="28" t="s">
        <v>297</v>
      </c>
      <c r="X54" s="28" t="s">
        <v>297</v>
      </c>
      <c r="Y54" s="28" t="s">
        <v>297</v>
      </c>
      <c r="AA54" s="2" t="s">
        <v>6</v>
      </c>
      <c r="AB54" s="2" t="str">
        <f t="shared" ref="AB54:AB61" si="70">IF(NOT(ISBLANK(AC54)),"-","")</f>
        <v>-</v>
      </c>
      <c r="AC54" s="2" t="s">
        <v>7</v>
      </c>
      <c r="AD54" s="2" t="str">
        <f t="shared" ref="AD54:AD61" si="71">IF(NOT(ISBLANK(AE54)),"_","")</f>
        <v>_</v>
      </c>
      <c r="AE54" s="2" t="s">
        <v>9</v>
      </c>
      <c r="AF54" s="2" t="str">
        <f t="shared" ref="AF54:AF61" si="72">IF(NOT(ISBLANK(AG54)),"_","")</f>
        <v/>
      </c>
      <c r="AG54" s="2"/>
      <c r="AH54" s="2" t="str">
        <f t="shared" ref="AH54:AH66" si="73">IF(NOT(ISBLANK(AI54)),"_","")</f>
        <v/>
      </c>
      <c r="AI54" s="2"/>
    </row>
    <row r="55" spans="1:35" x14ac:dyDescent="0.25">
      <c r="B55" s="2" t="str">
        <f t="shared" si="69"/>
        <v>@color-mtb:scale_0</v>
      </c>
      <c r="C55" s="161" t="s">
        <v>171</v>
      </c>
      <c r="D55" s="162" t="s">
        <v>179</v>
      </c>
      <c r="E55" s="156"/>
      <c r="F55" s="161" t="s">
        <v>171</v>
      </c>
      <c r="G55" s="162" t="s">
        <v>179</v>
      </c>
      <c r="H55" s="156"/>
      <c r="I55" s="161" t="s">
        <v>171</v>
      </c>
      <c r="J55" s="162" t="s">
        <v>179</v>
      </c>
      <c r="K55" s="156"/>
      <c r="L55" s="161" t="s">
        <v>171</v>
      </c>
      <c r="M55" s="162" t="s">
        <v>179</v>
      </c>
      <c r="U55" s="28" t="s">
        <v>297</v>
      </c>
      <c r="V55" s="28" t="s">
        <v>297</v>
      </c>
      <c r="X55" s="28" t="s">
        <v>297</v>
      </c>
      <c r="Y55" s="28" t="s">
        <v>297</v>
      </c>
      <c r="AA55" s="2" t="s">
        <v>6</v>
      </c>
      <c r="AB55" s="2" t="str">
        <f t="shared" si="70"/>
        <v>-</v>
      </c>
      <c r="AC55" s="2" t="s">
        <v>7</v>
      </c>
      <c r="AD55" s="2" t="str">
        <f t="shared" si="71"/>
        <v>_</v>
      </c>
      <c r="AE55" s="2">
        <v>0</v>
      </c>
      <c r="AF55" s="2" t="str">
        <f t="shared" si="72"/>
        <v/>
      </c>
      <c r="AH55" s="2" t="str">
        <f t="shared" si="73"/>
        <v/>
      </c>
    </row>
    <row r="56" spans="1:35" x14ac:dyDescent="0.25">
      <c r="B56" s="2" t="str">
        <f t="shared" si="69"/>
        <v>@color-mtb:scale_1</v>
      </c>
      <c r="C56" s="163" t="s">
        <v>172</v>
      </c>
      <c r="D56" s="164" t="s">
        <v>180</v>
      </c>
      <c r="E56" s="156"/>
      <c r="F56" s="163" t="s">
        <v>172</v>
      </c>
      <c r="G56" s="164" t="s">
        <v>180</v>
      </c>
      <c r="H56" s="156"/>
      <c r="I56" s="163" t="s">
        <v>172</v>
      </c>
      <c r="J56" s="164" t="s">
        <v>180</v>
      </c>
      <c r="K56" s="156"/>
      <c r="L56" s="163" t="s">
        <v>172</v>
      </c>
      <c r="M56" s="164" t="s">
        <v>180</v>
      </c>
      <c r="U56" s="28" t="s">
        <v>297</v>
      </c>
      <c r="V56" s="28" t="s">
        <v>297</v>
      </c>
      <c r="X56" s="28" t="s">
        <v>297</v>
      </c>
      <c r="Y56" s="28" t="s">
        <v>297</v>
      </c>
      <c r="AA56" s="2" t="s">
        <v>6</v>
      </c>
      <c r="AB56" s="2" t="str">
        <f t="shared" si="70"/>
        <v>-</v>
      </c>
      <c r="AC56" s="2" t="s">
        <v>7</v>
      </c>
      <c r="AD56" s="2" t="str">
        <f t="shared" si="71"/>
        <v>_</v>
      </c>
      <c r="AE56" s="2">
        <v>1</v>
      </c>
      <c r="AF56" s="2" t="str">
        <f t="shared" si="72"/>
        <v/>
      </c>
      <c r="AH56" s="2" t="str">
        <f t="shared" si="73"/>
        <v/>
      </c>
    </row>
    <row r="57" spans="1:35" x14ac:dyDescent="0.25">
      <c r="B57" s="2" t="str">
        <f t="shared" si="69"/>
        <v>@color-mtb:scale_2</v>
      </c>
      <c r="C57" s="165" t="s">
        <v>173</v>
      </c>
      <c r="D57" s="166" t="s">
        <v>181</v>
      </c>
      <c r="E57" s="156"/>
      <c r="F57" s="165" t="s">
        <v>173</v>
      </c>
      <c r="G57" s="166" t="s">
        <v>181</v>
      </c>
      <c r="H57" s="156"/>
      <c r="I57" s="165" t="s">
        <v>173</v>
      </c>
      <c r="J57" s="166" t="s">
        <v>181</v>
      </c>
      <c r="K57" s="156"/>
      <c r="L57" s="165" t="s">
        <v>173</v>
      </c>
      <c r="M57" s="166" t="s">
        <v>181</v>
      </c>
      <c r="U57" s="28" t="s">
        <v>297</v>
      </c>
      <c r="V57" s="28" t="s">
        <v>297</v>
      </c>
      <c r="X57" s="28" t="s">
        <v>297</v>
      </c>
      <c r="Y57" s="28" t="s">
        <v>297</v>
      </c>
      <c r="AA57" s="2" t="s">
        <v>6</v>
      </c>
      <c r="AB57" s="2" t="str">
        <f t="shared" si="70"/>
        <v>-</v>
      </c>
      <c r="AC57" s="2" t="s">
        <v>7</v>
      </c>
      <c r="AD57" s="2" t="str">
        <f t="shared" si="71"/>
        <v>_</v>
      </c>
      <c r="AE57" s="2">
        <v>2</v>
      </c>
      <c r="AF57" s="2" t="str">
        <f t="shared" si="72"/>
        <v/>
      </c>
      <c r="AH57" s="2" t="str">
        <f t="shared" si="73"/>
        <v/>
      </c>
    </row>
    <row r="58" spans="1:35" x14ac:dyDescent="0.25">
      <c r="B58" s="2" t="str">
        <f t="shared" si="69"/>
        <v>@color-mtb:scale_3</v>
      </c>
      <c r="C58" s="167" t="s">
        <v>174</v>
      </c>
      <c r="D58" s="167" t="s">
        <v>174</v>
      </c>
      <c r="E58" s="156"/>
      <c r="F58" s="167" t="s">
        <v>174</v>
      </c>
      <c r="G58" s="167" t="s">
        <v>174</v>
      </c>
      <c r="H58" s="156"/>
      <c r="I58" s="167" t="s">
        <v>174</v>
      </c>
      <c r="J58" s="167" t="s">
        <v>174</v>
      </c>
      <c r="K58" s="156"/>
      <c r="L58" s="167" t="s">
        <v>174</v>
      </c>
      <c r="M58" s="167" t="s">
        <v>174</v>
      </c>
      <c r="U58" s="28" t="s">
        <v>297</v>
      </c>
      <c r="V58" s="28" t="s">
        <v>297</v>
      </c>
      <c r="X58" s="28" t="s">
        <v>297</v>
      </c>
      <c r="Y58" s="28" t="s">
        <v>297</v>
      </c>
      <c r="AA58" s="2" t="s">
        <v>6</v>
      </c>
      <c r="AB58" s="2" t="str">
        <f t="shared" si="70"/>
        <v>-</v>
      </c>
      <c r="AC58" s="2" t="s">
        <v>7</v>
      </c>
      <c r="AD58" s="2" t="str">
        <f t="shared" si="71"/>
        <v>_</v>
      </c>
      <c r="AE58" s="2">
        <v>3</v>
      </c>
      <c r="AF58" s="2" t="str">
        <f t="shared" si="72"/>
        <v/>
      </c>
      <c r="AH58" s="2" t="str">
        <f t="shared" si="73"/>
        <v/>
      </c>
    </row>
    <row r="59" spans="1:35" x14ac:dyDescent="0.25">
      <c r="B59" s="2" t="str">
        <f t="shared" si="69"/>
        <v>@color-mtb:scale_4</v>
      </c>
      <c r="C59" s="168" t="s">
        <v>175</v>
      </c>
      <c r="D59" s="169" t="s">
        <v>182</v>
      </c>
      <c r="E59" s="156"/>
      <c r="F59" s="168" t="s">
        <v>175</v>
      </c>
      <c r="G59" s="169" t="s">
        <v>182</v>
      </c>
      <c r="H59" s="156"/>
      <c r="I59" s="168" t="s">
        <v>175</v>
      </c>
      <c r="J59" s="169" t="s">
        <v>182</v>
      </c>
      <c r="K59" s="156"/>
      <c r="L59" s="168" t="s">
        <v>175</v>
      </c>
      <c r="M59" s="169" t="s">
        <v>182</v>
      </c>
      <c r="U59" s="28" t="s">
        <v>297</v>
      </c>
      <c r="V59" s="28" t="s">
        <v>297</v>
      </c>
      <c r="X59" s="28" t="s">
        <v>297</v>
      </c>
      <c r="Y59" s="28" t="s">
        <v>297</v>
      </c>
      <c r="AA59" s="2" t="s">
        <v>6</v>
      </c>
      <c r="AB59" s="2" t="str">
        <f t="shared" si="70"/>
        <v>-</v>
      </c>
      <c r="AC59" s="2" t="s">
        <v>7</v>
      </c>
      <c r="AD59" s="2" t="str">
        <f t="shared" si="71"/>
        <v>_</v>
      </c>
      <c r="AE59" s="2">
        <v>4</v>
      </c>
      <c r="AF59" s="2" t="str">
        <f t="shared" si="72"/>
        <v/>
      </c>
      <c r="AH59" s="2" t="str">
        <f t="shared" si="73"/>
        <v/>
      </c>
    </row>
    <row r="60" spans="1:35" x14ac:dyDescent="0.25">
      <c r="B60" s="2" t="str">
        <f t="shared" si="69"/>
        <v>@color-mtb:scale_5</v>
      </c>
      <c r="C60" s="170" t="s">
        <v>176</v>
      </c>
      <c r="D60" s="171" t="s">
        <v>183</v>
      </c>
      <c r="E60" s="156"/>
      <c r="F60" s="170" t="s">
        <v>176</v>
      </c>
      <c r="G60" s="171" t="s">
        <v>183</v>
      </c>
      <c r="H60" s="156"/>
      <c r="I60" s="170" t="s">
        <v>176</v>
      </c>
      <c r="J60" s="171" t="s">
        <v>183</v>
      </c>
      <c r="K60" s="156"/>
      <c r="L60" s="170" t="s">
        <v>176</v>
      </c>
      <c r="M60" s="171" t="s">
        <v>183</v>
      </c>
      <c r="U60" s="28" t="s">
        <v>297</v>
      </c>
      <c r="V60" s="28" t="s">
        <v>297</v>
      </c>
      <c r="X60" s="28" t="s">
        <v>297</v>
      </c>
      <c r="Y60" s="28" t="s">
        <v>297</v>
      </c>
      <c r="AA60" s="2" t="s">
        <v>6</v>
      </c>
      <c r="AB60" s="2" t="str">
        <f t="shared" si="70"/>
        <v>-</v>
      </c>
      <c r="AC60" s="2" t="s">
        <v>7</v>
      </c>
      <c r="AD60" s="2" t="str">
        <f t="shared" si="71"/>
        <v>_</v>
      </c>
      <c r="AE60" s="2">
        <v>5</v>
      </c>
      <c r="AF60" s="2" t="str">
        <f t="shared" si="72"/>
        <v/>
      </c>
      <c r="AH60" s="2" t="str">
        <f t="shared" si="73"/>
        <v/>
      </c>
    </row>
    <row r="61" spans="1:35" x14ac:dyDescent="0.25">
      <c r="B61" s="2" t="str">
        <f t="shared" si="69"/>
        <v>@color-mtb:scale_6</v>
      </c>
      <c r="C61" s="172" t="s">
        <v>177</v>
      </c>
      <c r="D61" s="173" t="s">
        <v>184</v>
      </c>
      <c r="E61" s="156"/>
      <c r="F61" s="172" t="s">
        <v>177</v>
      </c>
      <c r="G61" s="173" t="s">
        <v>184</v>
      </c>
      <c r="H61" s="156"/>
      <c r="I61" s="172" t="s">
        <v>177</v>
      </c>
      <c r="J61" s="173" t="s">
        <v>184</v>
      </c>
      <c r="K61" s="156"/>
      <c r="L61" s="172" t="s">
        <v>177</v>
      </c>
      <c r="M61" s="173" t="s">
        <v>184</v>
      </c>
      <c r="U61" s="28" t="s">
        <v>297</v>
      </c>
      <c r="V61" s="28" t="s">
        <v>297</v>
      </c>
      <c r="X61" s="28" t="s">
        <v>297</v>
      </c>
      <c r="Y61" s="28" t="s">
        <v>297</v>
      </c>
      <c r="AA61" s="2" t="s">
        <v>6</v>
      </c>
      <c r="AB61" s="2" t="str">
        <f t="shared" si="70"/>
        <v>-</v>
      </c>
      <c r="AC61" s="2" t="s">
        <v>7</v>
      </c>
      <c r="AD61" s="2" t="str">
        <f t="shared" si="71"/>
        <v>_</v>
      </c>
      <c r="AE61" s="2">
        <v>6</v>
      </c>
      <c r="AF61" s="2" t="str">
        <f t="shared" si="72"/>
        <v/>
      </c>
      <c r="AH61" s="2" t="str">
        <f t="shared" si="73"/>
        <v/>
      </c>
    </row>
    <row r="62" spans="1:35" x14ac:dyDescent="0.25">
      <c r="B62" s="2" t="str">
        <f t="shared" si="69"/>
        <v>@color-mtb:scale_null</v>
      </c>
      <c r="C62" s="174" t="s">
        <v>222</v>
      </c>
      <c r="D62" s="174" t="s">
        <v>222</v>
      </c>
      <c r="E62" s="156"/>
      <c r="F62" s="175" t="s">
        <v>281</v>
      </c>
      <c r="G62" s="175" t="s">
        <v>281</v>
      </c>
      <c r="H62" s="156"/>
      <c r="I62" s="174" t="s">
        <v>222</v>
      </c>
      <c r="J62" s="174" t="s">
        <v>222</v>
      </c>
      <c r="K62" s="156"/>
      <c r="L62" s="175" t="s">
        <v>281</v>
      </c>
      <c r="M62" s="175" t="s">
        <v>281</v>
      </c>
      <c r="U62" s="28" t="s">
        <v>297</v>
      </c>
      <c r="V62" s="28" t="s">
        <v>297</v>
      </c>
      <c r="X62" s="28" t="s">
        <v>297</v>
      </c>
      <c r="Y62" s="28" t="s">
        <v>297</v>
      </c>
      <c r="AA62" s="2" t="s">
        <v>6</v>
      </c>
      <c r="AB62" s="2" t="str">
        <f t="shared" ref="AB62" si="74">IF(NOT(ISBLANK(AC62)),"-","")</f>
        <v>-</v>
      </c>
      <c r="AC62" s="2" t="s">
        <v>7</v>
      </c>
      <c r="AD62" s="2" t="str">
        <f t="shared" ref="AD62" si="75">IF(NOT(ISBLANK(AE62)),"_","")</f>
        <v>_</v>
      </c>
      <c r="AE62" s="2" t="s">
        <v>297</v>
      </c>
      <c r="AF62" s="2" t="str">
        <f t="shared" ref="AF62" si="76">IF(NOT(ISBLANK(AG62)),"_","")</f>
        <v/>
      </c>
      <c r="AH62" s="2" t="str">
        <f t="shared" si="73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3"/>
        <v/>
      </c>
    </row>
    <row r="64" spans="1:35" x14ac:dyDescent="0.25">
      <c r="B64" s="2" t="str">
        <f>_xlfn.CONCAT("@",AA64,AB64,AC64,AD64,AE64,AF64,AG64,AH64,AI64)</f>
        <v>@color-mtb:winter_1</v>
      </c>
      <c r="C64" s="28" t="s">
        <v>297</v>
      </c>
      <c r="D64" s="28" t="s">
        <v>297</v>
      </c>
      <c r="F64" s="28" t="s">
        <v>297</v>
      </c>
      <c r="G64" s="28" t="s">
        <v>297</v>
      </c>
      <c r="I64" s="28" t="s">
        <v>297</v>
      </c>
      <c r="J64" s="28" t="s">
        <v>297</v>
      </c>
      <c r="L64" s="28" t="s">
        <v>297</v>
      </c>
      <c r="M64" s="28" t="s">
        <v>297</v>
      </c>
      <c r="O64" s="40"/>
      <c r="P64" s="40"/>
      <c r="R64" s="40"/>
      <c r="S64" s="40"/>
      <c r="U64" s="41" t="s">
        <v>171</v>
      </c>
      <c r="V64" s="42" t="s">
        <v>179</v>
      </c>
      <c r="X64" s="41" t="s">
        <v>171</v>
      </c>
      <c r="Y64" s="42" t="s">
        <v>179</v>
      </c>
      <c r="AA64" s="2" t="s">
        <v>6</v>
      </c>
      <c r="AB64" s="2" t="str">
        <f t="shared" ref="AB64" si="77">IF(NOT(ISBLANK(AC64)),"-","")</f>
        <v>-</v>
      </c>
      <c r="AC64" s="2" t="s">
        <v>225</v>
      </c>
      <c r="AD64" s="2" t="str">
        <f t="shared" ref="AD64" si="78">IF(NOT(ISBLANK(AE64)),"_","")</f>
        <v>_</v>
      </c>
      <c r="AE64" s="2">
        <v>1</v>
      </c>
      <c r="AF64" s="2" t="str">
        <f t="shared" ref="AF64" si="79">IF(NOT(ISBLANK(AG64)),"_","")</f>
        <v/>
      </c>
      <c r="AH64" s="2" t="str">
        <f t="shared" si="73"/>
        <v/>
      </c>
    </row>
    <row r="65" spans="2:34" x14ac:dyDescent="0.25">
      <c r="B65" s="2" t="str">
        <f t="shared" ref="B65:B66" si="80">_xlfn.CONCAT("@",AA65,AB65,AC65,AD65,AE65,AF65,AG65,AH65,AI65)</f>
        <v>@color-mtb:winter_2</v>
      </c>
      <c r="C65" s="28" t="s">
        <v>297</v>
      </c>
      <c r="D65" s="28" t="s">
        <v>297</v>
      </c>
      <c r="F65" s="28" t="s">
        <v>297</v>
      </c>
      <c r="G65" s="28" t="s">
        <v>297</v>
      </c>
      <c r="I65" s="28" t="s">
        <v>297</v>
      </c>
      <c r="J65" s="28" t="s">
        <v>297</v>
      </c>
      <c r="L65" s="28" t="s">
        <v>297</v>
      </c>
      <c r="M65" s="28" t="s">
        <v>297</v>
      </c>
      <c r="O65" s="40"/>
      <c r="P65" s="40"/>
      <c r="R65" s="40"/>
      <c r="S65" s="40"/>
      <c r="U65" s="43" t="s">
        <v>172</v>
      </c>
      <c r="V65" s="44" t="s">
        <v>180</v>
      </c>
      <c r="X65" s="43" t="s">
        <v>172</v>
      </c>
      <c r="Y65" s="44" t="s">
        <v>180</v>
      </c>
      <c r="AA65" s="2" t="s">
        <v>6</v>
      </c>
      <c r="AB65" s="2" t="str">
        <f t="shared" ref="AB65:AB66" si="81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3"/>
        <v/>
      </c>
    </row>
    <row r="66" spans="2:34" x14ac:dyDescent="0.25">
      <c r="B66" s="2" t="str">
        <f t="shared" si="80"/>
        <v>@color-mtb:winter_3</v>
      </c>
      <c r="C66" s="28" t="s">
        <v>297</v>
      </c>
      <c r="D66" s="28" t="s">
        <v>297</v>
      </c>
      <c r="F66" s="28" t="s">
        <v>297</v>
      </c>
      <c r="G66" s="28" t="s">
        <v>297</v>
      </c>
      <c r="I66" s="28" t="s">
        <v>297</v>
      </c>
      <c r="J66" s="28" t="s">
        <v>297</v>
      </c>
      <c r="L66" s="28" t="s">
        <v>297</v>
      </c>
      <c r="M66" s="28" t="s">
        <v>297</v>
      </c>
      <c r="O66" s="40"/>
      <c r="P66" s="40"/>
      <c r="R66" s="40"/>
      <c r="S66" s="40"/>
      <c r="U66" s="45" t="s">
        <v>173</v>
      </c>
      <c r="V66" s="46" t="s">
        <v>181</v>
      </c>
      <c r="X66" s="45" t="s">
        <v>173</v>
      </c>
      <c r="Y66" s="46" t="s">
        <v>181</v>
      </c>
      <c r="AA66" s="2" t="s">
        <v>6</v>
      </c>
      <c r="AB66" s="2" t="str">
        <f t="shared" si="81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3"/>
        <v/>
      </c>
    </row>
    <row r="67" spans="2:34" x14ac:dyDescent="0.25">
      <c r="B67" s="2" t="str">
        <f t="shared" ref="B67" si="82">_xlfn.CONCAT("@",AA67,AB67,AC67,AD67,AE67,AF67,AG67,AH67,AI67)</f>
        <v>@color-mtb:winter_null</v>
      </c>
      <c r="C67" s="28" t="s">
        <v>297</v>
      </c>
      <c r="D67" s="28" t="s">
        <v>297</v>
      </c>
      <c r="F67" s="28" t="s">
        <v>297</v>
      </c>
      <c r="G67" s="28" t="s">
        <v>297</v>
      </c>
      <c r="I67" s="28" t="s">
        <v>297</v>
      </c>
      <c r="J67" s="28" t="s">
        <v>297</v>
      </c>
      <c r="L67" s="28" t="s">
        <v>297</v>
      </c>
      <c r="M67" s="28" t="s">
        <v>297</v>
      </c>
      <c r="O67" s="40"/>
      <c r="P67" s="40"/>
      <c r="R67" s="40"/>
      <c r="S67" s="40"/>
      <c r="U67" s="38" t="s">
        <v>222</v>
      </c>
      <c r="V67" s="38" t="s">
        <v>222</v>
      </c>
      <c r="X67" s="31" t="s">
        <v>281</v>
      </c>
      <c r="Y67" s="31" t="s">
        <v>281</v>
      </c>
      <c r="AA67" s="2" t="s">
        <v>6</v>
      </c>
      <c r="AB67" s="2" t="str">
        <f t="shared" ref="AB67" si="83">IF(NOT(ISBLANK(AC67)),"-","")</f>
        <v>-</v>
      </c>
      <c r="AC67" s="2" t="s">
        <v>225</v>
      </c>
      <c r="AD67" s="2" t="str">
        <f>IF(NOT(ISBLANK(AE67)),"_","")</f>
        <v>_</v>
      </c>
      <c r="AE67" s="2" t="s">
        <v>297</v>
      </c>
      <c r="AF67" s="2" t="str">
        <f>IF(NOT(ISBLANK(AG67)),"_","")</f>
        <v/>
      </c>
      <c r="AH67" s="2" t="str">
        <f t="shared" ref="AH67" si="84">IF(NOT(ISBLANK(AI67)),"_","")</f>
        <v/>
      </c>
    </row>
    <row r="68" spans="2:34" x14ac:dyDescent="0.25">
      <c r="B68" s="2"/>
      <c r="AA68" s="2"/>
      <c r="AB68" s="2"/>
      <c r="AC68" s="2"/>
      <c r="AD68" s="2"/>
      <c r="AE68" s="2"/>
    </row>
    <row r="69" spans="2:34" x14ac:dyDescent="0.25">
      <c r="B69" s="2" t="str">
        <f t="shared" ref="B69:B84" si="85">_xlfn.CONCAT("@",AA69,AB69,AC69,AD69,AE69,AF69,AG69,AH69,AI69)</f>
        <v>@case_width-path_narrow_z11</v>
      </c>
      <c r="C69" s="28" t="s">
        <v>80</v>
      </c>
      <c r="D69" s="28" t="s">
        <v>85</v>
      </c>
      <c r="F69" s="28" t="s">
        <v>80</v>
      </c>
      <c r="G69" s="28" t="s">
        <v>85</v>
      </c>
      <c r="I69" s="28" t="s">
        <v>95</v>
      </c>
      <c r="L69" s="28" t="s">
        <v>95</v>
      </c>
      <c r="U69" s="28" t="s">
        <v>80</v>
      </c>
      <c r="V69" s="28" t="s">
        <v>85</v>
      </c>
      <c r="X69" s="28" t="s">
        <v>80</v>
      </c>
      <c r="Y69" s="28" t="s">
        <v>85</v>
      </c>
      <c r="AA69" s="2" t="s">
        <v>78</v>
      </c>
      <c r="AB69" s="2" t="str">
        <f t="shared" ref="AB69" si="86">IF(NOT(ISBLANK(AC69)),"-","")</f>
        <v>-</v>
      </c>
      <c r="AC69" s="2" t="s">
        <v>71</v>
      </c>
      <c r="AD69" s="2" t="str">
        <f t="shared" ref="AD69" si="87">IF(NOT(ISBLANK(AE69)),"_","")</f>
        <v>_</v>
      </c>
      <c r="AE69" s="2" t="s">
        <v>72</v>
      </c>
      <c r="AF69" s="2" t="str">
        <f t="shared" ref="AF69" si="88">IF(NOT(ISBLANK(AG69)),"_","")</f>
        <v>_</v>
      </c>
      <c r="AG69" s="28" t="s">
        <v>70</v>
      </c>
      <c r="AH69" s="2" t="str">
        <f t="shared" ref="AH69:AH84" si="89">IF(NOT(ISBLANK(AI69)),"_","")</f>
        <v/>
      </c>
    </row>
    <row r="70" spans="2:34" x14ac:dyDescent="0.25">
      <c r="B70" s="2" t="str">
        <f t="shared" si="85"/>
        <v>@case_width-path_medium_z11</v>
      </c>
      <c r="C70" s="28" t="s">
        <v>84</v>
      </c>
      <c r="D70" s="28" t="s">
        <v>88</v>
      </c>
      <c r="F70" s="28" t="s">
        <v>84</v>
      </c>
      <c r="G70" s="28" t="s">
        <v>88</v>
      </c>
      <c r="I70" s="28" t="s">
        <v>96</v>
      </c>
      <c r="L70" s="28" t="s">
        <v>96</v>
      </c>
      <c r="U70" s="28" t="s">
        <v>84</v>
      </c>
      <c r="V70" s="28" t="s">
        <v>88</v>
      </c>
      <c r="X70" s="28" t="s">
        <v>84</v>
      </c>
      <c r="Y70" s="28" t="s">
        <v>88</v>
      </c>
      <c r="AA70" s="2" t="s">
        <v>78</v>
      </c>
      <c r="AB70" s="2" t="str">
        <f t="shared" ref="AB70" si="90">IF(NOT(ISBLANK(AC70)),"-","")</f>
        <v>-</v>
      </c>
      <c r="AC70" s="2" t="s">
        <v>71</v>
      </c>
      <c r="AD70" s="2" t="str">
        <f t="shared" ref="AD70" si="91">IF(NOT(ISBLANK(AE70)),"_","")</f>
        <v>_</v>
      </c>
      <c r="AE70" s="2" t="s">
        <v>79</v>
      </c>
      <c r="AF70" s="2" t="str">
        <f t="shared" ref="AF70" si="92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U71" s="28" t="s">
        <v>85</v>
      </c>
      <c r="V71" s="28" t="s">
        <v>92</v>
      </c>
      <c r="X71" s="28" t="s">
        <v>85</v>
      </c>
      <c r="Y71" s="28" t="s">
        <v>92</v>
      </c>
      <c r="AA71" s="2" t="s">
        <v>78</v>
      </c>
      <c r="AB71" s="2" t="str">
        <f t="shared" ref="AB71:AB74" si="93">IF(NOT(ISBLANK(AC71)),"-","")</f>
        <v>-</v>
      </c>
      <c r="AC71" s="2" t="s">
        <v>71</v>
      </c>
      <c r="AD71" s="2" t="str">
        <f t="shared" ref="AD71:AD74" si="94">IF(NOT(ISBLANK(AE71)),"_","")</f>
        <v>_</v>
      </c>
      <c r="AE71" s="2" t="s">
        <v>77</v>
      </c>
      <c r="AF71" s="2" t="str">
        <f t="shared" ref="AF71:AF74" si="95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@case_width-path_widest_z11</v>
      </c>
      <c r="C72" s="28" t="s">
        <v>85</v>
      </c>
      <c r="D72" s="28" t="s">
        <v>92</v>
      </c>
      <c r="F72" s="28" t="s">
        <v>85</v>
      </c>
      <c r="G72" s="28" t="s">
        <v>92</v>
      </c>
      <c r="I72" s="28" t="s">
        <v>84</v>
      </c>
      <c r="L72" s="28" t="s">
        <v>84</v>
      </c>
      <c r="U72" s="28" t="s">
        <v>85</v>
      </c>
      <c r="V72" s="28" t="s">
        <v>92</v>
      </c>
      <c r="X72" s="28" t="s">
        <v>85</v>
      </c>
      <c r="Y72" s="28" t="s">
        <v>92</v>
      </c>
      <c r="AA72" s="2" t="s">
        <v>78</v>
      </c>
      <c r="AB72" s="2" t="str">
        <f t="shared" ref="AB72" si="96">IF(NOT(ISBLANK(AC72)),"-","")</f>
        <v>-</v>
      </c>
      <c r="AC72" s="2" t="s">
        <v>71</v>
      </c>
      <c r="AD72" s="2" t="str">
        <f t="shared" ref="AD72" si="97">IF(NOT(ISBLANK(AE72)),"_","")</f>
        <v>_</v>
      </c>
      <c r="AE72" s="2" t="s">
        <v>296</v>
      </c>
      <c r="AF72" s="2" t="str">
        <f t="shared" ref="AF72" si="98">IF(NOT(ISBLANK(AG72)),"_","")</f>
        <v>_</v>
      </c>
      <c r="AG72" s="28" t="s">
        <v>70</v>
      </c>
      <c r="AH72" s="2" t="str">
        <f t="shared" si="89"/>
        <v/>
      </c>
    </row>
    <row r="73" spans="2:34" x14ac:dyDescent="0.25">
      <c r="B73" s="2" t="str">
        <f t="shared" si="85"/>
        <v>@case_width-path_narrow_z14</v>
      </c>
      <c r="C73" s="28" t="s">
        <v>81</v>
      </c>
      <c r="D73" s="28" t="s">
        <v>90</v>
      </c>
      <c r="F73" s="28" t="s">
        <v>81</v>
      </c>
      <c r="G73" s="28" t="s">
        <v>90</v>
      </c>
      <c r="I73" s="28" t="s">
        <v>80</v>
      </c>
      <c r="L73" s="28" t="s">
        <v>80</v>
      </c>
      <c r="U73" s="28" t="s">
        <v>81</v>
      </c>
      <c r="V73" s="28" t="s">
        <v>90</v>
      </c>
      <c r="X73" s="28" t="s">
        <v>81</v>
      </c>
      <c r="Y73" s="28" t="s">
        <v>90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72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@case_width-path_medium_z14</v>
      </c>
      <c r="C74" s="28" t="s">
        <v>85</v>
      </c>
      <c r="D74" s="28" t="s">
        <v>92</v>
      </c>
      <c r="F74" s="28" t="s">
        <v>85</v>
      </c>
      <c r="G74" s="28" t="s">
        <v>92</v>
      </c>
      <c r="I74" s="28" t="s">
        <v>97</v>
      </c>
      <c r="L74" s="28" t="s">
        <v>97</v>
      </c>
      <c r="U74" s="28" t="s">
        <v>85</v>
      </c>
      <c r="V74" s="28" t="s">
        <v>92</v>
      </c>
      <c r="X74" s="28" t="s">
        <v>85</v>
      </c>
      <c r="Y74" s="28" t="s">
        <v>92</v>
      </c>
      <c r="AA74" s="2" t="s">
        <v>78</v>
      </c>
      <c r="AB74" s="2" t="str">
        <f t="shared" si="93"/>
        <v>-</v>
      </c>
      <c r="AC74" s="2" t="s">
        <v>71</v>
      </c>
      <c r="AD74" s="2" t="str">
        <f t="shared" si="94"/>
        <v>_</v>
      </c>
      <c r="AE74" s="2" t="s">
        <v>79</v>
      </c>
      <c r="AF74" s="2" t="str">
        <f t="shared" si="95"/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U75" s="28" t="s">
        <v>88</v>
      </c>
      <c r="V75" s="28" t="s">
        <v>86</v>
      </c>
      <c r="X75" s="28" t="s">
        <v>88</v>
      </c>
      <c r="Y75" s="28" t="s">
        <v>86</v>
      </c>
      <c r="AA75" s="2" t="s">
        <v>78</v>
      </c>
      <c r="AB75" s="2" t="str">
        <f t="shared" ref="AB75:AB78" si="99">IF(NOT(ISBLANK(AC75)),"-","")</f>
        <v>-</v>
      </c>
      <c r="AC75" s="2" t="s">
        <v>71</v>
      </c>
      <c r="AD75" s="2" t="str">
        <f t="shared" ref="AD75:AD78" si="100">IF(NOT(ISBLANK(AE75)),"_","")</f>
        <v>_</v>
      </c>
      <c r="AE75" s="2" t="s">
        <v>77</v>
      </c>
      <c r="AF75" s="2" t="str">
        <f t="shared" ref="AF75:AF78" si="101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@case_width-path_widest_z14</v>
      </c>
      <c r="C76" s="28" t="s">
        <v>88</v>
      </c>
      <c r="D76" s="28" t="s">
        <v>86</v>
      </c>
      <c r="F76" s="28" t="s">
        <v>88</v>
      </c>
      <c r="G76" s="28" t="s">
        <v>86</v>
      </c>
      <c r="I76" s="28" t="s">
        <v>100</v>
      </c>
      <c r="L76" s="28" t="s">
        <v>100</v>
      </c>
      <c r="U76" s="28" t="s">
        <v>88</v>
      </c>
      <c r="V76" s="28" t="s">
        <v>86</v>
      </c>
      <c r="X76" s="28" t="s">
        <v>88</v>
      </c>
      <c r="Y76" s="28" t="s">
        <v>86</v>
      </c>
      <c r="AA76" s="2" t="s">
        <v>78</v>
      </c>
      <c r="AB76" s="2" t="str">
        <f t="shared" ref="AB76" si="102">IF(NOT(ISBLANK(AC76)),"-","")</f>
        <v>-</v>
      </c>
      <c r="AC76" s="2" t="s">
        <v>71</v>
      </c>
      <c r="AD76" s="2" t="str">
        <f t="shared" ref="AD76" si="103">IF(NOT(ISBLANK(AE76)),"_","")</f>
        <v>_</v>
      </c>
      <c r="AE76" s="2" t="s">
        <v>296</v>
      </c>
      <c r="AF76" s="2" t="str">
        <f t="shared" ref="AF76" si="104">IF(NOT(ISBLANK(AG76)),"_","")</f>
        <v>_</v>
      </c>
      <c r="AG76" s="28" t="s">
        <v>74</v>
      </c>
      <c r="AH76" s="2" t="str">
        <f t="shared" si="89"/>
        <v/>
      </c>
    </row>
    <row r="77" spans="2:34" x14ac:dyDescent="0.25">
      <c r="B77" s="2" t="str">
        <f t="shared" si="85"/>
        <v>@case_width-path_narrow_z16</v>
      </c>
      <c r="C77" s="28" t="s">
        <v>88</v>
      </c>
      <c r="D77" s="28" t="s">
        <v>88</v>
      </c>
      <c r="F77" s="28" t="s">
        <v>88</v>
      </c>
      <c r="G77" s="28" t="s">
        <v>88</v>
      </c>
      <c r="I77" s="28" t="s">
        <v>80</v>
      </c>
      <c r="L77" s="28" t="s">
        <v>80</v>
      </c>
      <c r="U77" s="28" t="s">
        <v>88</v>
      </c>
      <c r="V77" s="28" t="s">
        <v>88</v>
      </c>
      <c r="X77" s="28" t="s">
        <v>88</v>
      </c>
      <c r="Y77" s="28" t="s">
        <v>88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72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@case_width-path_medium_z16</v>
      </c>
      <c r="C78" s="28" t="s">
        <v>86</v>
      </c>
      <c r="D78" s="28" t="s">
        <v>86</v>
      </c>
      <c r="F78" s="28" t="s">
        <v>86</v>
      </c>
      <c r="G78" s="28" t="s">
        <v>86</v>
      </c>
      <c r="I78" s="28" t="s">
        <v>98</v>
      </c>
      <c r="L78" s="28" t="s">
        <v>98</v>
      </c>
      <c r="U78" s="28" t="s">
        <v>86</v>
      </c>
      <c r="V78" s="28" t="s">
        <v>86</v>
      </c>
      <c r="X78" s="28" t="s">
        <v>86</v>
      </c>
      <c r="Y78" s="28" t="s">
        <v>86</v>
      </c>
      <c r="AA78" s="2" t="s">
        <v>78</v>
      </c>
      <c r="AB78" s="2" t="str">
        <f t="shared" si="99"/>
        <v>-</v>
      </c>
      <c r="AC78" s="2" t="s">
        <v>71</v>
      </c>
      <c r="AD78" s="2" t="str">
        <f t="shared" si="100"/>
        <v>_</v>
      </c>
      <c r="AE78" s="2" t="s">
        <v>79</v>
      </c>
      <c r="AF78" s="2" t="str">
        <f t="shared" si="101"/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U79" s="28" t="s">
        <v>87</v>
      </c>
      <c r="V79" s="28" t="s">
        <v>87</v>
      </c>
      <c r="X79" s="28" t="s">
        <v>87</v>
      </c>
      <c r="Y79" s="28" t="s">
        <v>87</v>
      </c>
      <c r="AA79" s="2" t="s">
        <v>78</v>
      </c>
      <c r="AB79" s="2" t="str">
        <f t="shared" ref="AB79:AB82" si="105">IF(NOT(ISBLANK(AC79)),"-","")</f>
        <v>-</v>
      </c>
      <c r="AC79" s="2" t="s">
        <v>71</v>
      </c>
      <c r="AD79" s="2" t="str">
        <f t="shared" ref="AD79:AD82" si="106">IF(NOT(ISBLANK(AE79)),"_","")</f>
        <v>_</v>
      </c>
      <c r="AE79" s="2" t="s">
        <v>77</v>
      </c>
      <c r="AF79" s="2" t="str">
        <f t="shared" ref="AF79:AF82" si="107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@case_width-path_widest_z16</v>
      </c>
      <c r="C80" s="28" t="s">
        <v>87</v>
      </c>
      <c r="D80" s="28" t="s">
        <v>87</v>
      </c>
      <c r="F80" s="28" t="s">
        <v>87</v>
      </c>
      <c r="G80" s="28" t="s">
        <v>87</v>
      </c>
      <c r="I80" s="28" t="s">
        <v>91</v>
      </c>
      <c r="L80" s="28" t="s">
        <v>91</v>
      </c>
      <c r="U80" s="28" t="s">
        <v>87</v>
      </c>
      <c r="V80" s="28" t="s">
        <v>87</v>
      </c>
      <c r="X80" s="28" t="s">
        <v>87</v>
      </c>
      <c r="Y80" s="28" t="s">
        <v>87</v>
      </c>
      <c r="AA80" s="2" t="s">
        <v>78</v>
      </c>
      <c r="AB80" s="2" t="str">
        <f t="shared" ref="AB80" si="108">IF(NOT(ISBLANK(AC80)),"-","")</f>
        <v>-</v>
      </c>
      <c r="AC80" s="2" t="s">
        <v>71</v>
      </c>
      <c r="AD80" s="2" t="str">
        <f t="shared" ref="AD80" si="109">IF(NOT(ISBLANK(AE80)),"_","")</f>
        <v>_</v>
      </c>
      <c r="AE80" s="2" t="s">
        <v>296</v>
      </c>
      <c r="AF80" s="2" t="str">
        <f t="shared" ref="AF80" si="110">IF(NOT(ISBLANK(AG80)),"_","")</f>
        <v>_</v>
      </c>
      <c r="AG80" s="28" t="s">
        <v>75</v>
      </c>
      <c r="AH80" s="2" t="str">
        <f t="shared" si="89"/>
        <v/>
      </c>
    </row>
    <row r="81" spans="2:34" x14ac:dyDescent="0.25">
      <c r="B81" s="2" t="str">
        <f t="shared" si="85"/>
        <v>@case_width-path_narrow_z18</v>
      </c>
      <c r="C81" s="28" t="s">
        <v>83</v>
      </c>
      <c r="D81" s="28" t="s">
        <v>91</v>
      </c>
      <c r="F81" s="28" t="s">
        <v>83</v>
      </c>
      <c r="G81" s="28" t="s">
        <v>91</v>
      </c>
      <c r="I81" s="28" t="s">
        <v>84</v>
      </c>
      <c r="L81" s="28" t="s">
        <v>84</v>
      </c>
      <c r="U81" s="28" t="s">
        <v>83</v>
      </c>
      <c r="V81" s="28" t="s">
        <v>91</v>
      </c>
      <c r="X81" s="28" t="s">
        <v>83</v>
      </c>
      <c r="Y81" s="28" t="s">
        <v>91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72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@case_width-path_medium_z18</v>
      </c>
      <c r="C82" s="28" t="s">
        <v>87</v>
      </c>
      <c r="D82" s="28" t="s">
        <v>93</v>
      </c>
      <c r="F82" s="28" t="s">
        <v>87</v>
      </c>
      <c r="G82" s="28" t="s">
        <v>93</v>
      </c>
      <c r="I82" s="28" t="s">
        <v>99</v>
      </c>
      <c r="L82" s="28" t="s">
        <v>99</v>
      </c>
      <c r="U82" s="28" t="s">
        <v>87</v>
      </c>
      <c r="V82" s="28" t="s">
        <v>93</v>
      </c>
      <c r="X82" s="28" t="s">
        <v>87</v>
      </c>
      <c r="Y82" s="28" t="s">
        <v>93</v>
      </c>
      <c r="AA82" s="2" t="s">
        <v>78</v>
      </c>
      <c r="AB82" s="2" t="str">
        <f t="shared" si="105"/>
        <v>-</v>
      </c>
      <c r="AC82" s="2" t="s">
        <v>71</v>
      </c>
      <c r="AD82" s="2" t="str">
        <f t="shared" si="106"/>
        <v>_</v>
      </c>
      <c r="AE82" s="2" t="s">
        <v>79</v>
      </c>
      <c r="AF82" s="2" t="str">
        <f t="shared" si="107"/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U83" s="28" t="s">
        <v>89</v>
      </c>
      <c r="V83" s="28" t="s">
        <v>94</v>
      </c>
      <c r="X83" s="28" t="s">
        <v>89</v>
      </c>
      <c r="Y83" s="28" t="s">
        <v>94</v>
      </c>
      <c r="AA83" s="2" t="s">
        <v>78</v>
      </c>
      <c r="AB83" s="2" t="str">
        <f t="shared" ref="AB83" si="111">IF(NOT(ISBLANK(AC83)),"-","")</f>
        <v>-</v>
      </c>
      <c r="AC83" s="2" t="s">
        <v>71</v>
      </c>
      <c r="AD83" s="2" t="str">
        <f t="shared" ref="AD83" si="112">IF(NOT(ISBLANK(AE83)),"_","")</f>
        <v>_</v>
      </c>
      <c r="AE83" s="2" t="s">
        <v>77</v>
      </c>
      <c r="AF83" s="2" t="str">
        <f t="shared" ref="AF83" si="113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 t="str">
        <f t="shared" si="85"/>
        <v>@case_width-path_widest_z18</v>
      </c>
      <c r="C84" s="28" t="s">
        <v>89</v>
      </c>
      <c r="D84" s="28" t="s">
        <v>94</v>
      </c>
      <c r="F84" s="28" t="s">
        <v>89</v>
      </c>
      <c r="G84" s="28" t="s">
        <v>94</v>
      </c>
      <c r="I84" s="28" t="s">
        <v>332</v>
      </c>
      <c r="L84" s="28" t="s">
        <v>332</v>
      </c>
      <c r="U84" s="28" t="s">
        <v>89</v>
      </c>
      <c r="V84" s="28" t="s">
        <v>94</v>
      </c>
      <c r="X84" s="28" t="s">
        <v>89</v>
      </c>
      <c r="Y84" s="28" t="s">
        <v>94</v>
      </c>
      <c r="AA84" s="2" t="s">
        <v>78</v>
      </c>
      <c r="AB84" s="2" t="str">
        <f t="shared" ref="AB84" si="114">IF(NOT(ISBLANK(AC84)),"-","")</f>
        <v>-</v>
      </c>
      <c r="AC84" s="2" t="s">
        <v>71</v>
      </c>
      <c r="AD84" s="2" t="str">
        <f t="shared" ref="AD84" si="115">IF(NOT(ISBLANK(AE84)),"_","")</f>
        <v>_</v>
      </c>
      <c r="AE84" s="2" t="s">
        <v>296</v>
      </c>
      <c r="AF84" s="2" t="str">
        <f t="shared" ref="AF84" si="116">IF(NOT(ISBLANK(AG84)),"_","")</f>
        <v>_</v>
      </c>
      <c r="AG84" s="28" t="s">
        <v>76</v>
      </c>
      <c r="AH84" s="2" t="str">
        <f t="shared" si="89"/>
        <v/>
      </c>
    </row>
    <row r="85" spans="2:34" x14ac:dyDescent="0.25">
      <c r="B85" s="2"/>
      <c r="AA85" s="2"/>
      <c r="AB85" s="2"/>
      <c r="AC85" s="2"/>
      <c r="AD85" s="2"/>
      <c r="AE85" s="2"/>
      <c r="AF85" s="2"/>
      <c r="AH85" s="2"/>
    </row>
    <row r="86" spans="2:34" x14ac:dyDescent="0.25">
      <c r="B86" s="2" t="str">
        <f t="shared" ref="B86" si="117">_xlfn.CONCAT("@",AA86,AB86,AC86,AD86,AE86,AF86,AG86,AH86,AI86)</f>
        <v>@color-path_track_footway_cycleway_railings</v>
      </c>
      <c r="C86" s="48" t="s">
        <v>214</v>
      </c>
      <c r="D86" s="48" t="s">
        <v>214</v>
      </c>
      <c r="F86" s="31" t="s">
        <v>281</v>
      </c>
      <c r="G86" s="31" t="s">
        <v>281</v>
      </c>
      <c r="I86" s="48" t="s">
        <v>214</v>
      </c>
      <c r="J86" s="48" t="s">
        <v>214</v>
      </c>
      <c r="L86" s="31" t="s">
        <v>281</v>
      </c>
      <c r="M86" s="31" t="s">
        <v>281</v>
      </c>
      <c r="U86" s="48" t="s">
        <v>214</v>
      </c>
      <c r="V86" s="48" t="s">
        <v>214</v>
      </c>
      <c r="X86" s="31" t="s">
        <v>281</v>
      </c>
      <c r="Y86" s="31" t="s">
        <v>281</v>
      </c>
      <c r="AA86" s="2" t="s">
        <v>6</v>
      </c>
      <c r="AB86" s="2" t="str">
        <f t="shared" ref="AB86" si="118">IF(NOT(ISBLANK(AC86)),"-","")</f>
        <v>-</v>
      </c>
      <c r="AC86" s="2" t="s">
        <v>349</v>
      </c>
      <c r="AD86" s="2" t="str">
        <f t="shared" ref="AD86" si="119">IF(NOT(ISBLANK(AE86)),"_","")</f>
        <v>_</v>
      </c>
      <c r="AE86" s="2" t="s">
        <v>342</v>
      </c>
      <c r="AF86" s="2" t="str">
        <f t="shared" ref="AF86" si="120">IF(NOT(ISBLANK(AG86)),"_","")</f>
        <v/>
      </c>
      <c r="AH86" s="2" t="str">
        <f t="shared" ref="AH86" si="121">IF(NOT(ISBLANK(AI86)),"_","")</f>
        <v/>
      </c>
    </row>
    <row r="87" spans="2:34" x14ac:dyDescent="0.25">
      <c r="B87" s="2" t="str">
        <f t="shared" ref="B87" si="122">_xlfn.CONCAT("@",AA87,AB87,AC87,AD87,AE87,AF87,AG87,AH87,AI87)</f>
        <v>@color-path_track_footway_cycleway_floor</v>
      </c>
      <c r="C87" s="47" t="s">
        <v>222</v>
      </c>
      <c r="D87" s="47" t="s">
        <v>222</v>
      </c>
      <c r="F87" s="48" t="s">
        <v>214</v>
      </c>
      <c r="G87" s="48" t="s">
        <v>214</v>
      </c>
      <c r="I87" s="47" t="s">
        <v>222</v>
      </c>
      <c r="J87" s="47" t="s">
        <v>222</v>
      </c>
      <c r="L87" s="48" t="s">
        <v>214</v>
      </c>
      <c r="M87" s="48" t="s">
        <v>214</v>
      </c>
      <c r="U87" s="47" t="s">
        <v>222</v>
      </c>
      <c r="V87" s="47" t="s">
        <v>222</v>
      </c>
      <c r="X87" s="48" t="s">
        <v>214</v>
      </c>
      <c r="Y87" s="48" t="s">
        <v>214</v>
      </c>
      <c r="AA87" s="2" t="s">
        <v>6</v>
      </c>
      <c r="AB87" s="2" t="str">
        <f t="shared" ref="AB87" si="123">IF(NOT(ISBLANK(AC87)),"-","")</f>
        <v>-</v>
      </c>
      <c r="AC87" s="2" t="s">
        <v>349</v>
      </c>
      <c r="AD87" s="2" t="str">
        <f t="shared" ref="AD87" si="124">IF(NOT(ISBLANK(AE87)),"_","")</f>
        <v>_</v>
      </c>
      <c r="AE87" s="2" t="s">
        <v>343</v>
      </c>
      <c r="AF87" s="2" t="str">
        <f t="shared" ref="AF87" si="125">IF(NOT(ISBLANK(AG87)),"_","")</f>
        <v/>
      </c>
      <c r="AH87" s="2" t="str">
        <f t="shared" ref="AH87" si="126">IF(NOT(ISBLANK(AI87)),"_","")</f>
        <v/>
      </c>
    </row>
    <row r="88" spans="2:34" x14ac:dyDescent="0.25">
      <c r="B88" s="2"/>
      <c r="AA88" s="2"/>
      <c r="AB88" s="2"/>
      <c r="AC88" s="2"/>
      <c r="AD88" s="2"/>
      <c r="AE88" s="2"/>
      <c r="AF88" s="2"/>
      <c r="AH88" s="2"/>
    </row>
    <row r="89" spans="2:34" x14ac:dyDescent="0.25">
      <c r="B89" s="2" t="str">
        <f t="shared" ref="B89" si="127">_xlfn.CONCAT("@",AA89,AB89,AC89,AD89,AE89,AF89,AG89,AH89,AI89)</f>
        <v>@case_width-path_track_footway_cycleway_railings_z12</v>
      </c>
      <c r="C89" s="28" t="s">
        <v>131</v>
      </c>
      <c r="D89" s="28" t="s">
        <v>131</v>
      </c>
      <c r="F89" s="28" t="s">
        <v>131</v>
      </c>
      <c r="G89" s="28" t="s">
        <v>131</v>
      </c>
      <c r="I89" s="28" t="s">
        <v>131</v>
      </c>
      <c r="J89" s="28" t="s">
        <v>82</v>
      </c>
      <c r="L89" s="28" t="s">
        <v>131</v>
      </c>
      <c r="M89" s="28" t="s">
        <v>82</v>
      </c>
      <c r="U89" s="28" t="s">
        <v>131</v>
      </c>
      <c r="V89" s="28" t="s">
        <v>131</v>
      </c>
      <c r="X89" s="28" t="s">
        <v>131</v>
      </c>
      <c r="Y89" s="28" t="s">
        <v>131</v>
      </c>
      <c r="AA89" s="2" t="s">
        <v>78</v>
      </c>
      <c r="AB89" s="2" t="str">
        <f t="shared" ref="AB89" si="128">IF(NOT(ISBLANK(AC89)),"-","")</f>
        <v>-</v>
      </c>
      <c r="AC89" s="2" t="s">
        <v>349</v>
      </c>
      <c r="AD89" s="2" t="str">
        <f t="shared" ref="AD89" si="129">IF(NOT(ISBLANK(AE89)),"_","")</f>
        <v>_</v>
      </c>
      <c r="AE89" s="2" t="s">
        <v>342</v>
      </c>
      <c r="AF89" s="2" t="str">
        <f t="shared" ref="AF89" si="130">IF(NOT(ISBLANK(AG89)),"_","")</f>
        <v>_</v>
      </c>
      <c r="AG89" s="28" t="s">
        <v>109</v>
      </c>
      <c r="AH89" s="2" t="str">
        <f t="shared" ref="AH89" si="131">IF(NOT(ISBLANK(AI89)),"_","")</f>
        <v/>
      </c>
    </row>
    <row r="90" spans="2:34" x14ac:dyDescent="0.25">
      <c r="B90" s="2" t="str">
        <f t="shared" ref="B90" si="132">_xlfn.CONCAT("@",AA90,AB90,AC90,AD90,AE90,AF90,AG90,AH90,AI90)</f>
        <v>@case_width-path_track_footway_cycleway_railings_z14</v>
      </c>
      <c r="C90" s="28" t="s">
        <v>344</v>
      </c>
      <c r="D90" s="28" t="s">
        <v>344</v>
      </c>
      <c r="F90" s="28" t="s">
        <v>344</v>
      </c>
      <c r="G90" s="28" t="s">
        <v>344</v>
      </c>
      <c r="I90" s="28" t="s">
        <v>86</v>
      </c>
      <c r="J90" s="28" t="s">
        <v>134</v>
      </c>
      <c r="L90" s="28" t="s">
        <v>86</v>
      </c>
      <c r="M90" s="28" t="s">
        <v>134</v>
      </c>
      <c r="U90" s="28" t="s">
        <v>344</v>
      </c>
      <c r="V90" s="28" t="s">
        <v>344</v>
      </c>
      <c r="X90" s="28" t="s">
        <v>344</v>
      </c>
      <c r="Y90" s="28" t="s">
        <v>344</v>
      </c>
      <c r="AA90" s="2" t="s">
        <v>78</v>
      </c>
      <c r="AB90" s="2" t="str">
        <f t="shared" ref="AB90" si="133">IF(NOT(ISBLANK(AC90)),"-","")</f>
        <v>-</v>
      </c>
      <c r="AC90" s="2" t="s">
        <v>349</v>
      </c>
      <c r="AD90" s="2" t="str">
        <f t="shared" ref="AD90" si="134">IF(NOT(ISBLANK(AE90)),"_","")</f>
        <v>_</v>
      </c>
      <c r="AE90" s="2" t="s">
        <v>342</v>
      </c>
      <c r="AF90" s="2" t="str">
        <f t="shared" ref="AF90" si="135">IF(NOT(ISBLANK(AG90)),"_","")</f>
        <v>_</v>
      </c>
      <c r="AG90" s="28" t="s">
        <v>74</v>
      </c>
      <c r="AH90" s="2" t="str">
        <f t="shared" ref="AH90" si="136">IF(NOT(ISBLANK(AI90)),"_","")</f>
        <v/>
      </c>
    </row>
    <row r="91" spans="2:34" x14ac:dyDescent="0.25">
      <c r="B91" s="2" t="str">
        <f t="shared" ref="B91" si="137">_xlfn.CONCAT("@",AA91,AB91,AC91,AD91,AE91,AF91,AG91,AH91,AI91)</f>
        <v>@case_width-path_track_footway_cycleway_railings_z15</v>
      </c>
      <c r="C91" s="28" t="s">
        <v>128</v>
      </c>
      <c r="D91" s="28" t="s">
        <v>313</v>
      </c>
      <c r="F91" s="28" t="s">
        <v>128</v>
      </c>
      <c r="G91" s="28" t="s">
        <v>86</v>
      </c>
      <c r="I91" s="28" t="s">
        <v>134</v>
      </c>
      <c r="J91" s="28" t="s">
        <v>327</v>
      </c>
      <c r="L91" s="28" t="s">
        <v>134</v>
      </c>
      <c r="M91" s="28" t="s">
        <v>327</v>
      </c>
      <c r="U91" s="28" t="s">
        <v>128</v>
      </c>
      <c r="V91" s="28" t="s">
        <v>313</v>
      </c>
      <c r="X91" s="28" t="s">
        <v>128</v>
      </c>
      <c r="Y91" s="28" t="s">
        <v>86</v>
      </c>
      <c r="AA91" s="2" t="s">
        <v>78</v>
      </c>
      <c r="AB91" s="2" t="str">
        <f t="shared" ref="AB91" si="138">IF(NOT(ISBLANK(AC91)),"-","")</f>
        <v>-</v>
      </c>
      <c r="AC91" s="2" t="s">
        <v>349</v>
      </c>
      <c r="AD91" s="2" t="str">
        <f t="shared" ref="AD91" si="139">IF(NOT(ISBLANK(AE91)),"_","")</f>
        <v>_</v>
      </c>
      <c r="AE91" s="2" t="s">
        <v>342</v>
      </c>
      <c r="AF91" s="2" t="str">
        <f t="shared" ref="AF91" si="140">IF(NOT(ISBLANK(AG91)),"_","")</f>
        <v>_</v>
      </c>
      <c r="AG91" s="28" t="s">
        <v>337</v>
      </c>
      <c r="AH91" s="2" t="str">
        <f t="shared" ref="AH91" si="141">IF(NOT(ISBLANK(AI91)),"_","")</f>
        <v/>
      </c>
    </row>
    <row r="92" spans="2:34" x14ac:dyDescent="0.25">
      <c r="B92" s="2" t="str">
        <f t="shared" ref="B92" si="142">_xlfn.CONCAT("@",AA92,AB92,AC92,AD92,AE92,AF92,AG92,AH92,AI92)</f>
        <v>@case_width-path_track_footway_cycleway_railings_z16</v>
      </c>
      <c r="C92" s="28" t="s">
        <v>340</v>
      </c>
      <c r="D92" s="28" t="s">
        <v>345</v>
      </c>
      <c r="F92" s="28" t="s">
        <v>340</v>
      </c>
      <c r="G92" s="28" t="s">
        <v>345</v>
      </c>
      <c r="I92" s="28" t="s">
        <v>135</v>
      </c>
      <c r="J92" s="28" t="s">
        <v>347</v>
      </c>
      <c r="L92" s="28" t="s">
        <v>135</v>
      </c>
      <c r="M92" s="28" t="s">
        <v>347</v>
      </c>
      <c r="U92" s="28" t="s">
        <v>340</v>
      </c>
      <c r="V92" s="28" t="s">
        <v>345</v>
      </c>
      <c r="X92" s="28" t="s">
        <v>340</v>
      </c>
      <c r="Y92" s="28" t="s">
        <v>345</v>
      </c>
      <c r="AA92" s="2" t="s">
        <v>78</v>
      </c>
      <c r="AB92" s="2" t="str">
        <f t="shared" ref="AB92" si="143">IF(NOT(ISBLANK(AC92)),"-","")</f>
        <v>-</v>
      </c>
      <c r="AC92" s="2" t="s">
        <v>349</v>
      </c>
      <c r="AD92" s="2" t="str">
        <f t="shared" ref="AD92" si="144">IF(NOT(ISBLANK(AE92)),"_","")</f>
        <v>_</v>
      </c>
      <c r="AE92" s="2" t="s">
        <v>342</v>
      </c>
      <c r="AF92" s="2" t="str">
        <f t="shared" ref="AF92" si="145">IF(NOT(ISBLANK(AG92)),"_","")</f>
        <v>_</v>
      </c>
      <c r="AG92" s="28" t="s">
        <v>75</v>
      </c>
      <c r="AH92" s="2" t="str">
        <f t="shared" ref="AH92" si="146">IF(NOT(ISBLANK(AI92)),"_","")</f>
        <v/>
      </c>
    </row>
    <row r="93" spans="2:34" x14ac:dyDescent="0.25">
      <c r="B93" s="2" t="str">
        <f t="shared" ref="B93" si="147">_xlfn.CONCAT("@",AA93,AB93,AC93,AD93,AE93,AF93,AG93,AH93,AI93)</f>
        <v>@case_width-path_track_footway_cycleway_railings_z18</v>
      </c>
      <c r="C93" s="28" t="s">
        <v>89</v>
      </c>
      <c r="D93" s="28" t="s">
        <v>339</v>
      </c>
      <c r="F93" s="28" t="s">
        <v>89</v>
      </c>
      <c r="G93" s="28" t="s">
        <v>339</v>
      </c>
      <c r="I93" s="28" t="s">
        <v>346</v>
      </c>
      <c r="J93" s="28" t="s">
        <v>348</v>
      </c>
      <c r="L93" s="28" t="s">
        <v>346</v>
      </c>
      <c r="M93" s="28" t="s">
        <v>348</v>
      </c>
      <c r="U93" s="28" t="s">
        <v>89</v>
      </c>
      <c r="V93" s="28" t="s">
        <v>339</v>
      </c>
      <c r="X93" s="28" t="s">
        <v>89</v>
      </c>
      <c r="Y93" s="28" t="s">
        <v>339</v>
      </c>
      <c r="AA93" s="2" t="s">
        <v>78</v>
      </c>
      <c r="AB93" s="2" t="str">
        <f t="shared" ref="AB93" si="148">IF(NOT(ISBLANK(AC93)),"-","")</f>
        <v>-</v>
      </c>
      <c r="AC93" s="2" t="s">
        <v>349</v>
      </c>
      <c r="AD93" s="2" t="str">
        <f t="shared" ref="AD93" si="149">IF(NOT(ISBLANK(AE93)),"_","")</f>
        <v>_</v>
      </c>
      <c r="AE93" s="2" t="s">
        <v>342</v>
      </c>
      <c r="AF93" s="2" t="str">
        <f t="shared" ref="AF93" si="150">IF(NOT(ISBLANK(AG93)),"_","")</f>
        <v>_</v>
      </c>
      <c r="AG93" s="28" t="s">
        <v>76</v>
      </c>
      <c r="AH93" s="2" t="str">
        <f t="shared" ref="AH93" si="151">IF(NOT(ISBLANK(AI93)),"_","")</f>
        <v/>
      </c>
    </row>
    <row r="94" spans="2:34" x14ac:dyDescent="0.25">
      <c r="B94" s="2"/>
      <c r="AA94" s="2"/>
      <c r="AB94" s="2"/>
      <c r="AC94" s="2"/>
      <c r="AD94" s="2"/>
      <c r="AE94" s="2"/>
      <c r="AF94" s="2"/>
      <c r="AH94" s="2"/>
    </row>
    <row r="95" spans="2:34" x14ac:dyDescent="0.25">
      <c r="B95" s="2" t="str">
        <f t="shared" ref="B95" si="152">_xlfn.CONCAT("@",AA95,AB95,AC95,AD95,AE95,AF95,AG95,AH95,AI95)</f>
        <v>@case_width-path_track_footway_cycleway_floor_z12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112</v>
      </c>
      <c r="J95" s="28" t="s">
        <v>90</v>
      </c>
      <c r="L95" s="28" t="s">
        <v>112</v>
      </c>
      <c r="M95" s="28" t="s">
        <v>90</v>
      </c>
      <c r="U95" s="28" t="s">
        <v>112</v>
      </c>
      <c r="V95" s="28" t="s">
        <v>112</v>
      </c>
      <c r="X95" s="28" t="s">
        <v>112</v>
      </c>
      <c r="Y95" s="28" t="s">
        <v>112</v>
      </c>
      <c r="AA95" s="2" t="s">
        <v>78</v>
      </c>
      <c r="AB95" s="2" t="str">
        <f t="shared" ref="AB95" si="153">IF(NOT(ISBLANK(AC95)),"-","")</f>
        <v>-</v>
      </c>
      <c r="AC95" s="2" t="s">
        <v>349</v>
      </c>
      <c r="AD95" s="2" t="str">
        <f t="shared" ref="AD95" si="154">IF(NOT(ISBLANK(AE95)),"_","")</f>
        <v>_</v>
      </c>
      <c r="AE95" s="2" t="s">
        <v>343</v>
      </c>
      <c r="AF95" s="2" t="str">
        <f t="shared" ref="AF95" si="155">IF(NOT(ISBLANK(AG95)),"_","")</f>
        <v>_</v>
      </c>
      <c r="AG95" s="28" t="s">
        <v>109</v>
      </c>
      <c r="AH95" s="2" t="str">
        <f t="shared" ref="AH95" si="156">IF(NOT(ISBLANK(AI95)),"_","")</f>
        <v/>
      </c>
    </row>
    <row r="96" spans="2:34" x14ac:dyDescent="0.25">
      <c r="B96" s="2" t="str">
        <f t="shared" ref="B96" si="157">_xlfn.CONCAT("@",AA96,AB96,AC96,AD96,AE96,AF96,AG96,AH96,AI96)</f>
        <v>@case_width-path_track_footway_cycleway_floor_z14</v>
      </c>
      <c r="C96" s="28" t="s">
        <v>112</v>
      </c>
      <c r="D96" s="28" t="s">
        <v>112</v>
      </c>
      <c r="F96" s="28" t="s">
        <v>112</v>
      </c>
      <c r="G96" s="28" t="s">
        <v>112</v>
      </c>
      <c r="I96" s="28" t="s">
        <v>128</v>
      </c>
      <c r="J96" s="28" t="s">
        <v>313</v>
      </c>
      <c r="L96" s="28" t="s">
        <v>128</v>
      </c>
      <c r="M96" s="28" t="s">
        <v>313</v>
      </c>
      <c r="U96" s="28" t="s">
        <v>112</v>
      </c>
      <c r="V96" s="28" t="s">
        <v>112</v>
      </c>
      <c r="X96" s="28" t="s">
        <v>112</v>
      </c>
      <c r="Y96" s="28" t="s">
        <v>112</v>
      </c>
      <c r="AA96" s="2" t="s">
        <v>78</v>
      </c>
      <c r="AB96" s="2" t="str">
        <f t="shared" ref="AB96" si="158">IF(NOT(ISBLANK(AC96)),"-","")</f>
        <v>-</v>
      </c>
      <c r="AC96" s="2" t="s">
        <v>349</v>
      </c>
      <c r="AD96" s="2" t="str">
        <f t="shared" ref="AD96" si="159">IF(NOT(ISBLANK(AE96)),"_","")</f>
        <v>_</v>
      </c>
      <c r="AE96" s="2" t="s">
        <v>343</v>
      </c>
      <c r="AF96" s="2" t="str">
        <f t="shared" ref="AF96" si="160">IF(NOT(ISBLANK(AG96)),"_","")</f>
        <v>_</v>
      </c>
      <c r="AG96" s="28" t="s">
        <v>74</v>
      </c>
      <c r="AH96" s="2" t="str">
        <f t="shared" ref="AH96" si="161">IF(NOT(ISBLANK(AI96)),"_","")</f>
        <v/>
      </c>
    </row>
    <row r="97" spans="1:35" x14ac:dyDescent="0.25">
      <c r="B97" s="2" t="str">
        <f t="shared" ref="B97:B98" si="162">_xlfn.CONCAT("@",AA97,AB97,AC97,AD97,AE97,AF97,AG97,AH97,AI97)</f>
        <v>@case_width-path_track_footway_cycleway_floor_z15</v>
      </c>
      <c r="C97" s="28" t="s">
        <v>88</v>
      </c>
      <c r="D97" s="28" t="s">
        <v>92</v>
      </c>
      <c r="F97" s="28" t="s">
        <v>88</v>
      </c>
      <c r="G97" s="28" t="s">
        <v>92</v>
      </c>
      <c r="I97" s="28" t="s">
        <v>83</v>
      </c>
      <c r="J97" s="28" t="s">
        <v>86</v>
      </c>
      <c r="L97" s="28" t="s">
        <v>83</v>
      </c>
      <c r="M97" s="28" t="s">
        <v>86</v>
      </c>
      <c r="U97" s="28" t="s">
        <v>88</v>
      </c>
      <c r="V97" s="28" t="s">
        <v>92</v>
      </c>
      <c r="X97" s="28" t="s">
        <v>88</v>
      </c>
      <c r="Y97" s="28" t="s">
        <v>92</v>
      </c>
      <c r="AA97" s="2" t="s">
        <v>78</v>
      </c>
      <c r="AB97" s="2" t="str">
        <f t="shared" ref="AB97:AB98" si="163">IF(NOT(ISBLANK(AC97)),"-","")</f>
        <v>-</v>
      </c>
      <c r="AC97" s="2" t="s">
        <v>349</v>
      </c>
      <c r="AD97" s="2" t="str">
        <f t="shared" ref="AD97:AD98" si="164">IF(NOT(ISBLANK(AE97)),"_","")</f>
        <v>_</v>
      </c>
      <c r="AE97" s="2" t="s">
        <v>343</v>
      </c>
      <c r="AF97" s="2" t="str">
        <f t="shared" ref="AF97:AF98" si="165">IF(NOT(ISBLANK(AG97)),"_","")</f>
        <v>_</v>
      </c>
      <c r="AG97" s="28" t="s">
        <v>337</v>
      </c>
      <c r="AH97" s="2" t="str">
        <f t="shared" ref="AH97:AH98" si="166">IF(NOT(ISBLANK(AI97)),"_","")</f>
        <v/>
      </c>
    </row>
    <row r="98" spans="1:35" x14ac:dyDescent="0.25">
      <c r="B98" s="2" t="str">
        <f t="shared" si="162"/>
        <v>@case_width-path_track_footway_cycleway_floor_z16</v>
      </c>
      <c r="C98" s="28" t="s">
        <v>86</v>
      </c>
      <c r="D98" s="28" t="s">
        <v>134</v>
      </c>
      <c r="F98" s="28" t="s">
        <v>86</v>
      </c>
      <c r="G98" s="28" t="s">
        <v>134</v>
      </c>
      <c r="I98" s="28" t="s">
        <v>327</v>
      </c>
      <c r="J98" s="28" t="s">
        <v>341</v>
      </c>
      <c r="L98" s="28" t="s">
        <v>327</v>
      </c>
      <c r="M98" s="28" t="s">
        <v>341</v>
      </c>
      <c r="U98" s="28" t="s">
        <v>86</v>
      </c>
      <c r="V98" s="28" t="s">
        <v>134</v>
      </c>
      <c r="X98" s="28" t="s">
        <v>86</v>
      </c>
      <c r="Y98" s="28" t="s">
        <v>134</v>
      </c>
      <c r="AA98" s="2" t="s">
        <v>78</v>
      </c>
      <c r="AB98" s="2" t="str">
        <f t="shared" si="163"/>
        <v>-</v>
      </c>
      <c r="AC98" s="2" t="s">
        <v>349</v>
      </c>
      <c r="AD98" s="2" t="str">
        <f t="shared" si="164"/>
        <v>_</v>
      </c>
      <c r="AE98" s="2" t="s">
        <v>343</v>
      </c>
      <c r="AF98" s="2" t="str">
        <f t="shared" si="165"/>
        <v>_</v>
      </c>
      <c r="AG98" s="28" t="s">
        <v>75</v>
      </c>
      <c r="AH98" s="2" t="str">
        <f t="shared" si="166"/>
        <v/>
      </c>
    </row>
    <row r="99" spans="1:35" x14ac:dyDescent="0.25">
      <c r="B99" s="2" t="str">
        <f t="shared" ref="B99" si="167">_xlfn.CONCAT("@",AA99,AB99,AC99,AD99,AE99,AF99,AG99,AH99,AI99)</f>
        <v>@case_width-path_track_footway_cycleway_floor_z18</v>
      </c>
      <c r="C99" s="28" t="s">
        <v>332</v>
      </c>
      <c r="D99" s="28" t="s">
        <v>338</v>
      </c>
      <c r="F99" s="28" t="s">
        <v>332</v>
      </c>
      <c r="G99" s="28" t="s">
        <v>338</v>
      </c>
      <c r="I99" s="28" t="s">
        <v>339</v>
      </c>
      <c r="J99" s="28" t="s">
        <v>145</v>
      </c>
      <c r="L99" s="28" t="s">
        <v>339</v>
      </c>
      <c r="M99" s="28" t="s">
        <v>145</v>
      </c>
      <c r="U99" s="28" t="s">
        <v>332</v>
      </c>
      <c r="V99" s="28" t="s">
        <v>338</v>
      </c>
      <c r="X99" s="28" t="s">
        <v>332</v>
      </c>
      <c r="Y99" s="28" t="s">
        <v>338</v>
      </c>
      <c r="AA99" s="2" t="s">
        <v>78</v>
      </c>
      <c r="AB99" s="2" t="str">
        <f t="shared" ref="AB99" si="168">IF(NOT(ISBLANK(AC99)),"-","")</f>
        <v>-</v>
      </c>
      <c r="AC99" s="2" t="s">
        <v>349</v>
      </c>
      <c r="AD99" s="2" t="str">
        <f t="shared" ref="AD99" si="169">IF(NOT(ISBLANK(AE99)),"_","")</f>
        <v>_</v>
      </c>
      <c r="AE99" s="2" t="s">
        <v>343</v>
      </c>
      <c r="AF99" s="2" t="str">
        <f t="shared" ref="AF99" si="170">IF(NOT(ISBLANK(AG99)),"_","")</f>
        <v>_</v>
      </c>
      <c r="AG99" s="28" t="s">
        <v>76</v>
      </c>
      <c r="AH99" s="2" t="str">
        <f t="shared" ref="AH99" si="171">IF(NOT(ISBLANK(AI99)),"_","")</f>
        <v/>
      </c>
    </row>
    <row r="100" spans="1:35" x14ac:dyDescent="0.25">
      <c r="B100" s="2"/>
      <c r="AA100" s="2"/>
      <c r="AB100" s="2"/>
      <c r="AC100" s="2"/>
      <c r="AD100" s="2"/>
      <c r="AE100" s="2"/>
    </row>
    <row r="101" spans="1:35" x14ac:dyDescent="0.25">
      <c r="B101" s="2" t="str">
        <f>_xlfn.CONCAT("@",AA101,AB101,AC101,AD101,AE101,AF101,AG101,AH101,AI101)</f>
        <v>@case_width-track_default_z10</v>
      </c>
      <c r="C101" s="28" t="s">
        <v>85</v>
      </c>
      <c r="D101" s="28" t="s">
        <v>354</v>
      </c>
      <c r="F101" s="28" t="s">
        <v>85</v>
      </c>
      <c r="G101" s="28" t="s">
        <v>354</v>
      </c>
      <c r="I101" s="28" t="s">
        <v>85</v>
      </c>
      <c r="J101" s="28" t="s">
        <v>354</v>
      </c>
      <c r="L101" s="28" t="s">
        <v>85</v>
      </c>
      <c r="M101" s="28" t="s">
        <v>354</v>
      </c>
      <c r="U101" s="28" t="s">
        <v>85</v>
      </c>
      <c r="V101" s="28" t="s">
        <v>354</v>
      </c>
      <c r="X101" s="28" t="s">
        <v>85</v>
      </c>
      <c r="Y101" s="28" t="s">
        <v>354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103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@case_width-track_default_z12</v>
      </c>
      <c r="C102" s="28" t="s">
        <v>82</v>
      </c>
      <c r="D102" s="28" t="s">
        <v>83</v>
      </c>
      <c r="F102" s="28" t="s">
        <v>82</v>
      </c>
      <c r="G102" s="28" t="s">
        <v>83</v>
      </c>
      <c r="I102" s="28" t="s">
        <v>82</v>
      </c>
      <c r="J102" s="28" t="s">
        <v>83</v>
      </c>
      <c r="L102" s="28" t="s">
        <v>82</v>
      </c>
      <c r="M102" s="28" t="s">
        <v>83</v>
      </c>
      <c r="U102" s="28" t="s">
        <v>82</v>
      </c>
      <c r="V102" s="28" t="s">
        <v>83</v>
      </c>
      <c r="X102" s="28" t="s">
        <v>82</v>
      </c>
      <c r="Y102" s="28" t="s">
        <v>83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109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@case_width-track_default_z14</v>
      </c>
      <c r="C103" s="28" t="s">
        <v>92</v>
      </c>
      <c r="D103" s="28" t="s">
        <v>86</v>
      </c>
      <c r="F103" s="28" t="s">
        <v>92</v>
      </c>
      <c r="G103" s="28" t="s">
        <v>86</v>
      </c>
      <c r="I103" s="28" t="s">
        <v>92</v>
      </c>
      <c r="J103" s="28" t="s">
        <v>86</v>
      </c>
      <c r="L103" s="28" t="s">
        <v>92</v>
      </c>
      <c r="M103" s="28" t="s">
        <v>86</v>
      </c>
      <c r="U103" s="28" t="s">
        <v>92</v>
      </c>
      <c r="V103" s="28" t="s">
        <v>86</v>
      </c>
      <c r="X103" s="28" t="s">
        <v>92</v>
      </c>
      <c r="Y103" s="28" t="s">
        <v>86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74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@case_width-track_default_z16</v>
      </c>
      <c r="C104" s="28" t="s">
        <v>87</v>
      </c>
      <c r="D104" s="28" t="s">
        <v>87</v>
      </c>
      <c r="F104" s="28" t="s">
        <v>87</v>
      </c>
      <c r="G104" s="28" t="s">
        <v>87</v>
      </c>
      <c r="I104" s="28" t="s">
        <v>87</v>
      </c>
      <c r="J104" s="28" t="s">
        <v>87</v>
      </c>
      <c r="L104" s="28" t="s">
        <v>87</v>
      </c>
      <c r="M104" s="28" t="s">
        <v>87</v>
      </c>
      <c r="U104" s="28" t="s">
        <v>87</v>
      </c>
      <c r="V104" s="28" t="s">
        <v>87</v>
      </c>
      <c r="X104" s="28" t="s">
        <v>87</v>
      </c>
      <c r="Y104" s="28" t="s">
        <v>87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75</v>
      </c>
      <c r="AH104" s="2" t="str">
        <f>IF(NOT(ISBLANK(AI104)),"_","")</f>
        <v/>
      </c>
    </row>
    <row r="105" spans="1:35" x14ac:dyDescent="0.25">
      <c r="B105" s="2" t="str">
        <f>_xlfn.CONCAT("@",AA105,AB105,AC105,AD105,AE105,AF105,AG105,AH105,AI105)</f>
        <v>@case_width-track_default_z18</v>
      </c>
      <c r="C105" s="28" t="s">
        <v>89</v>
      </c>
      <c r="D105" s="28" t="s">
        <v>94</v>
      </c>
      <c r="F105" s="28" t="s">
        <v>89</v>
      </c>
      <c r="G105" s="28" t="s">
        <v>94</v>
      </c>
      <c r="I105" s="28" t="s">
        <v>89</v>
      </c>
      <c r="J105" s="28" t="s">
        <v>94</v>
      </c>
      <c r="L105" s="28" t="s">
        <v>89</v>
      </c>
      <c r="M105" s="28" t="s">
        <v>94</v>
      </c>
      <c r="U105" s="28" t="s">
        <v>89</v>
      </c>
      <c r="V105" s="28" t="s">
        <v>94</v>
      </c>
      <c r="X105" s="28" t="s">
        <v>89</v>
      </c>
      <c r="Y105" s="28" t="s">
        <v>94</v>
      </c>
      <c r="AA105" s="2" t="s">
        <v>78</v>
      </c>
      <c r="AB105" s="2" t="str">
        <f>IF(NOT(ISBLANK(AC105)),"-","")</f>
        <v>-</v>
      </c>
      <c r="AC105" s="2" t="s">
        <v>102</v>
      </c>
      <c r="AD105" s="2" t="str">
        <f>IF(NOT(ISBLANK(AE105)),"_","")</f>
        <v>_</v>
      </c>
      <c r="AE105" s="2" t="s">
        <v>262</v>
      </c>
      <c r="AF105" s="2" t="str">
        <f>IF(NOT(ISBLANK(AG105)),"_","")</f>
        <v>_</v>
      </c>
      <c r="AG105" s="28" t="s">
        <v>76</v>
      </c>
      <c r="AH105" s="2" t="str">
        <f>IF(NOT(ISBLANK(AI105)),"_","")</f>
        <v/>
      </c>
    </row>
    <row r="106" spans="1:35" x14ac:dyDescent="0.25">
      <c r="B106" s="2"/>
      <c r="AA106" s="2"/>
      <c r="AB106" s="2"/>
      <c r="AC106" s="2"/>
      <c r="AD106" s="2"/>
      <c r="AE106" s="2"/>
    </row>
    <row r="107" spans="1:35" s="5" customFormat="1" x14ac:dyDescent="0.25">
      <c r="A107" s="27" t="s">
        <v>334</v>
      </c>
      <c r="B107" s="27"/>
      <c r="C107" s="27"/>
      <c r="D107" s="27"/>
      <c r="F107" s="27"/>
      <c r="G107" s="27"/>
      <c r="I107" s="27"/>
      <c r="J107" s="27"/>
      <c r="L107" s="27"/>
      <c r="M107" s="27"/>
      <c r="O107" s="27"/>
      <c r="P107" s="27"/>
      <c r="R107" s="27"/>
      <c r="S107" s="27"/>
      <c r="U107" s="27"/>
      <c r="V107" s="27"/>
      <c r="X107" s="27"/>
      <c r="Y107" s="27"/>
      <c r="AA107" s="27"/>
      <c r="AB107" s="27"/>
      <c r="AC107" s="27"/>
      <c r="AD107" s="27"/>
      <c r="AE107" s="27"/>
      <c r="AF107" s="27"/>
      <c r="AG107" s="27"/>
      <c r="AH107" s="27"/>
      <c r="AI107" s="27"/>
    </row>
    <row r="108" spans="1:35" x14ac:dyDescent="0.25">
      <c r="B108" s="2" t="str">
        <f t="shared" ref="B108:B123" si="172">_xlfn.CONCAT("@",AA108,AB108,AC108,AD108,AE108,AF108,AG108,AH108,AI108)</f>
        <v>@line_width-path_narrow_z12</v>
      </c>
      <c r="C108" s="28" t="s">
        <v>120</v>
      </c>
      <c r="D108" s="28" t="s">
        <v>122</v>
      </c>
      <c r="F108" s="28" t="s">
        <v>120</v>
      </c>
      <c r="G108" s="28" t="s">
        <v>122</v>
      </c>
      <c r="I108" s="28" t="s">
        <v>120</v>
      </c>
      <c r="J108" s="28" t="s">
        <v>122</v>
      </c>
      <c r="L108" s="28" t="s">
        <v>120</v>
      </c>
      <c r="M108" s="28" t="s">
        <v>122</v>
      </c>
      <c r="U108" s="28" t="s">
        <v>120</v>
      </c>
      <c r="V108" s="28" t="s">
        <v>122</v>
      </c>
      <c r="X108" s="28" t="s">
        <v>120</v>
      </c>
      <c r="Y108" s="28" t="s">
        <v>122</v>
      </c>
      <c r="AA108" s="2" t="s">
        <v>119</v>
      </c>
      <c r="AB108" s="2" t="str">
        <f t="shared" ref="AB108:AB123" si="173">IF(NOT(ISBLANK(AC108)),"-","")</f>
        <v>-</v>
      </c>
      <c r="AC108" s="2" t="s">
        <v>71</v>
      </c>
      <c r="AD108" s="2" t="str">
        <f t="shared" ref="AD108:AD123" si="174">IF(NOT(ISBLANK(AE108)),"_","")</f>
        <v>_</v>
      </c>
      <c r="AE108" s="2" t="s">
        <v>72</v>
      </c>
      <c r="AF108" s="2" t="str">
        <f t="shared" ref="AF108:AF123" si="175">IF(NOT(ISBLANK(AG108)),"_","")</f>
        <v>_</v>
      </c>
      <c r="AG108" s="28" t="s">
        <v>109</v>
      </c>
      <c r="AH108" s="2" t="str">
        <f t="shared" ref="AH108:AH123" si="176">IF(NOT(ISBLANK(AI108)),"_","")</f>
        <v/>
      </c>
    </row>
    <row r="109" spans="1:35" x14ac:dyDescent="0.25">
      <c r="B109" s="2" t="str">
        <f t="shared" si="172"/>
        <v>@line_width-path_medium_z12</v>
      </c>
      <c r="C109" s="28" t="s">
        <v>122</v>
      </c>
      <c r="D109" s="28" t="s">
        <v>116</v>
      </c>
      <c r="F109" s="28" t="s">
        <v>122</v>
      </c>
      <c r="G109" s="28" t="s">
        <v>116</v>
      </c>
      <c r="I109" s="28" t="s">
        <v>122</v>
      </c>
      <c r="J109" s="28" t="s">
        <v>116</v>
      </c>
      <c r="L109" s="28" t="s">
        <v>122</v>
      </c>
      <c r="M109" s="28" t="s">
        <v>116</v>
      </c>
      <c r="U109" s="28" t="s">
        <v>122</v>
      </c>
      <c r="V109" s="28" t="s">
        <v>116</v>
      </c>
      <c r="X109" s="28" t="s">
        <v>122</v>
      </c>
      <c r="Y109" s="28" t="s">
        <v>116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79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U110" s="28" t="s">
        <v>97</v>
      </c>
      <c r="V110" s="28" t="s">
        <v>123</v>
      </c>
      <c r="X110" s="28" t="s">
        <v>97</v>
      </c>
      <c r="Y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77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@line_width-path_widest_z12</v>
      </c>
      <c r="C111" s="28" t="s">
        <v>97</v>
      </c>
      <c r="D111" s="28" t="s">
        <v>123</v>
      </c>
      <c r="F111" s="28" t="s">
        <v>97</v>
      </c>
      <c r="G111" s="28" t="s">
        <v>123</v>
      </c>
      <c r="I111" s="28" t="s">
        <v>97</v>
      </c>
      <c r="J111" s="28" t="s">
        <v>123</v>
      </c>
      <c r="L111" s="28" t="s">
        <v>97</v>
      </c>
      <c r="M111" s="28" t="s">
        <v>123</v>
      </c>
      <c r="U111" s="28" t="s">
        <v>97</v>
      </c>
      <c r="V111" s="28" t="s">
        <v>123</v>
      </c>
      <c r="X111" s="28" t="s">
        <v>97</v>
      </c>
      <c r="Y111" s="28" t="s">
        <v>123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296</v>
      </c>
      <c r="AF111" s="2" t="str">
        <f t="shared" si="175"/>
        <v>_</v>
      </c>
      <c r="AG111" s="28" t="s">
        <v>109</v>
      </c>
      <c r="AH111" s="2" t="str">
        <f t="shared" si="176"/>
        <v/>
      </c>
    </row>
    <row r="112" spans="1:35" x14ac:dyDescent="0.25">
      <c r="B112" s="2" t="str">
        <f t="shared" si="172"/>
        <v>@line_width-path_narrow_z14</v>
      </c>
      <c r="C112" s="28" t="s">
        <v>96</v>
      </c>
      <c r="D112" s="28" t="s">
        <v>97</v>
      </c>
      <c r="F112" s="28" t="s">
        <v>96</v>
      </c>
      <c r="G112" s="28" t="s">
        <v>97</v>
      </c>
      <c r="I112" s="28" t="s">
        <v>95</v>
      </c>
      <c r="J112" s="28" t="s">
        <v>115</v>
      </c>
      <c r="L112" s="28" t="s">
        <v>95</v>
      </c>
      <c r="M112" s="28" t="s">
        <v>115</v>
      </c>
      <c r="U112" s="28" t="s">
        <v>96</v>
      </c>
      <c r="V112" s="28" t="s">
        <v>97</v>
      </c>
      <c r="X112" s="28" t="s">
        <v>96</v>
      </c>
      <c r="Y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72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@line_width-path_medium_z14</v>
      </c>
      <c r="C113" s="28" t="s">
        <v>80</v>
      </c>
      <c r="D113" s="28" t="s">
        <v>84</v>
      </c>
      <c r="F113" s="28" t="s">
        <v>80</v>
      </c>
      <c r="G113" s="28" t="s">
        <v>84</v>
      </c>
      <c r="I113" s="28" t="s">
        <v>96</v>
      </c>
      <c r="J113" s="28" t="s">
        <v>97</v>
      </c>
      <c r="L113" s="28" t="s">
        <v>96</v>
      </c>
      <c r="M113" s="28" t="s">
        <v>97</v>
      </c>
      <c r="U113" s="28" t="s">
        <v>80</v>
      </c>
      <c r="V113" s="28" t="s">
        <v>84</v>
      </c>
      <c r="X113" s="28" t="s">
        <v>80</v>
      </c>
      <c r="Y113" s="28" t="s">
        <v>84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79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U114" s="28" t="s">
        <v>123</v>
      </c>
      <c r="V114" s="28" t="s">
        <v>126</v>
      </c>
      <c r="X114" s="28" t="s">
        <v>123</v>
      </c>
      <c r="Y114" s="28" t="s">
        <v>126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77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@line_width-path_widest_z14</v>
      </c>
      <c r="C115" s="28" t="s">
        <v>123</v>
      </c>
      <c r="D115" s="28" t="s">
        <v>126</v>
      </c>
      <c r="F115" s="28" t="s">
        <v>123</v>
      </c>
      <c r="G115" s="28" t="s">
        <v>126</v>
      </c>
      <c r="I115" s="28" t="s">
        <v>84</v>
      </c>
      <c r="J115" s="28" t="s">
        <v>112</v>
      </c>
      <c r="L115" s="28" t="s">
        <v>84</v>
      </c>
      <c r="M115" s="28" t="s">
        <v>112</v>
      </c>
      <c r="U115" s="28" t="s">
        <v>123</v>
      </c>
      <c r="V115" s="28" t="s">
        <v>126</v>
      </c>
      <c r="X115" s="28" t="s">
        <v>123</v>
      </c>
      <c r="Y115" s="28" t="s">
        <v>126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296</v>
      </c>
      <c r="AF115" s="2" t="str">
        <f t="shared" si="175"/>
        <v>_</v>
      </c>
      <c r="AG115" s="28" t="s">
        <v>74</v>
      </c>
      <c r="AH115" s="2" t="str">
        <f t="shared" si="176"/>
        <v/>
      </c>
    </row>
    <row r="116" spans="2:34" x14ac:dyDescent="0.25">
      <c r="B116" s="2" t="str">
        <f t="shared" si="172"/>
        <v>@line_width-path_narrow_z16</v>
      </c>
      <c r="C116" s="28" t="s">
        <v>80</v>
      </c>
      <c r="D116" s="28" t="s">
        <v>85</v>
      </c>
      <c r="F116" s="28" t="s">
        <v>80</v>
      </c>
      <c r="G116" s="28" t="s">
        <v>85</v>
      </c>
      <c r="I116" s="28" t="s">
        <v>80</v>
      </c>
      <c r="J116" s="28" t="s">
        <v>84</v>
      </c>
      <c r="L116" s="28" t="s">
        <v>80</v>
      </c>
      <c r="M116" s="28" t="s">
        <v>84</v>
      </c>
      <c r="U116" s="28" t="s">
        <v>80</v>
      </c>
      <c r="V116" s="28" t="s">
        <v>85</v>
      </c>
      <c r="X116" s="28" t="s">
        <v>80</v>
      </c>
      <c r="Y116" s="28" t="s">
        <v>85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72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@line_width-path_medium_z16</v>
      </c>
      <c r="C117" s="28" t="s">
        <v>123</v>
      </c>
      <c r="D117" s="28" t="s">
        <v>126</v>
      </c>
      <c r="F117" s="28" t="s">
        <v>123</v>
      </c>
      <c r="G117" s="28" t="s">
        <v>126</v>
      </c>
      <c r="I117" s="28" t="s">
        <v>97</v>
      </c>
      <c r="J117" s="28" t="s">
        <v>123</v>
      </c>
      <c r="L117" s="28" t="s">
        <v>97</v>
      </c>
      <c r="M117" s="28" t="s">
        <v>123</v>
      </c>
      <c r="U117" s="28" t="s">
        <v>123</v>
      </c>
      <c r="V117" s="28" t="s">
        <v>126</v>
      </c>
      <c r="X117" s="28" t="s">
        <v>123</v>
      </c>
      <c r="Y117" s="28" t="s">
        <v>126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79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U118" s="28" t="s">
        <v>88</v>
      </c>
      <c r="V118" s="28" t="s">
        <v>128</v>
      </c>
      <c r="X118" s="28" t="s">
        <v>88</v>
      </c>
      <c r="Y118" s="28" t="s">
        <v>128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77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@line_width-path_widest_z16</v>
      </c>
      <c r="C119" s="28" t="s">
        <v>88</v>
      </c>
      <c r="D119" s="28" t="s">
        <v>128</v>
      </c>
      <c r="F119" s="28" t="s">
        <v>88</v>
      </c>
      <c r="G119" s="28" t="s">
        <v>128</v>
      </c>
      <c r="I119" s="28" t="s">
        <v>98</v>
      </c>
      <c r="J119" s="28" t="s">
        <v>99</v>
      </c>
      <c r="L119" s="28" t="s">
        <v>98</v>
      </c>
      <c r="M119" s="28" t="s">
        <v>99</v>
      </c>
      <c r="U119" s="28" t="s">
        <v>88</v>
      </c>
      <c r="V119" s="28" t="s">
        <v>128</v>
      </c>
      <c r="X119" s="28" t="s">
        <v>88</v>
      </c>
      <c r="Y119" s="28" t="s">
        <v>128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296</v>
      </c>
      <c r="AF119" s="2" t="str">
        <f t="shared" si="175"/>
        <v>_</v>
      </c>
      <c r="AG119" s="28" t="s">
        <v>75</v>
      </c>
      <c r="AH119" s="2" t="str">
        <f t="shared" si="176"/>
        <v/>
      </c>
    </row>
    <row r="120" spans="2:34" x14ac:dyDescent="0.25">
      <c r="B120" s="2" t="str">
        <f t="shared" si="172"/>
        <v>@line_width-path_narrow_z18</v>
      </c>
      <c r="C120" s="28" t="s">
        <v>85</v>
      </c>
      <c r="D120" s="28" t="s">
        <v>88</v>
      </c>
      <c r="F120" s="28" t="s">
        <v>85</v>
      </c>
      <c r="G120" s="28" t="s">
        <v>88</v>
      </c>
      <c r="I120" s="28" t="s">
        <v>80</v>
      </c>
      <c r="J120" s="28" t="s">
        <v>84</v>
      </c>
      <c r="L120" s="28" t="s">
        <v>80</v>
      </c>
      <c r="M120" s="28" t="s">
        <v>84</v>
      </c>
      <c r="U120" s="28" t="s">
        <v>85</v>
      </c>
      <c r="V120" s="28" t="s">
        <v>88</v>
      </c>
      <c r="X120" s="28" t="s">
        <v>85</v>
      </c>
      <c r="Y120" s="28" t="s">
        <v>88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72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@line_width-path_medium_z18</v>
      </c>
      <c r="C121" s="28" t="s">
        <v>82</v>
      </c>
      <c r="D121" s="28" t="s">
        <v>127</v>
      </c>
      <c r="F121" s="28" t="s">
        <v>82</v>
      </c>
      <c r="G121" s="28" t="s">
        <v>127</v>
      </c>
      <c r="I121" s="28" t="s">
        <v>98</v>
      </c>
      <c r="J121" s="28" t="s">
        <v>99</v>
      </c>
      <c r="L121" s="28" t="s">
        <v>98</v>
      </c>
      <c r="M121" s="28" t="s">
        <v>99</v>
      </c>
      <c r="U121" s="28" t="s">
        <v>82</v>
      </c>
      <c r="V121" s="28" t="s">
        <v>127</v>
      </c>
      <c r="X121" s="28" t="s">
        <v>82</v>
      </c>
      <c r="Y121" s="28" t="s">
        <v>127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79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U122" s="28" t="s">
        <v>313</v>
      </c>
      <c r="V122" s="28" t="s">
        <v>129</v>
      </c>
      <c r="X122" s="28" t="s">
        <v>313</v>
      </c>
      <c r="Y122" s="28" t="s">
        <v>129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77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 t="str">
        <f t="shared" si="172"/>
        <v>@line_width-path_widest_z18</v>
      </c>
      <c r="C123" s="28" t="s">
        <v>313</v>
      </c>
      <c r="D123" s="28" t="s">
        <v>129</v>
      </c>
      <c r="F123" s="28" t="s">
        <v>313</v>
      </c>
      <c r="G123" s="28" t="s">
        <v>129</v>
      </c>
      <c r="I123" s="28" t="s">
        <v>99</v>
      </c>
      <c r="J123" s="28" t="s">
        <v>100</v>
      </c>
      <c r="L123" s="28" t="s">
        <v>99</v>
      </c>
      <c r="M123" s="28" t="s">
        <v>100</v>
      </c>
      <c r="U123" s="28" t="s">
        <v>313</v>
      </c>
      <c r="V123" s="28" t="s">
        <v>129</v>
      </c>
      <c r="X123" s="28" t="s">
        <v>313</v>
      </c>
      <c r="Y123" s="28" t="s">
        <v>129</v>
      </c>
      <c r="AA123" s="2" t="s">
        <v>119</v>
      </c>
      <c r="AB123" s="2" t="str">
        <f t="shared" si="173"/>
        <v>-</v>
      </c>
      <c r="AC123" s="2" t="s">
        <v>71</v>
      </c>
      <c r="AD123" s="2" t="str">
        <f t="shared" si="174"/>
        <v>_</v>
      </c>
      <c r="AE123" s="2" t="s">
        <v>296</v>
      </c>
      <c r="AF123" s="2" t="str">
        <f t="shared" si="175"/>
        <v>_</v>
      </c>
      <c r="AG123" s="28" t="s">
        <v>76</v>
      </c>
      <c r="AH123" s="2" t="str">
        <f t="shared" si="176"/>
        <v/>
      </c>
    </row>
    <row r="124" spans="2:34" x14ac:dyDescent="0.25">
      <c r="B124" s="2"/>
      <c r="AA124" s="2"/>
      <c r="AB124" s="2"/>
      <c r="AC124" s="2"/>
      <c r="AD124" s="2"/>
      <c r="AE124" s="2"/>
      <c r="AF124" s="2"/>
      <c r="AH124" s="2"/>
    </row>
    <row r="125" spans="2:34" x14ac:dyDescent="0.25">
      <c r="B125" s="2" t="str">
        <f>_xlfn.CONCAT("@",AA125,AB125,AC125,AD125,AE125,AF125,AG125,AH125,AI125)</f>
        <v>@line_width-track_default_z10</v>
      </c>
      <c r="C125" s="28" t="s">
        <v>120</v>
      </c>
      <c r="D125" s="28" t="s">
        <v>81</v>
      </c>
      <c r="F125" s="28" t="s">
        <v>120</v>
      </c>
      <c r="G125" s="28" t="s">
        <v>81</v>
      </c>
      <c r="I125" s="28" t="s">
        <v>96</v>
      </c>
      <c r="J125" s="28" t="s">
        <v>353</v>
      </c>
      <c r="L125" s="28" t="s">
        <v>96</v>
      </c>
      <c r="M125" s="28" t="s">
        <v>353</v>
      </c>
      <c r="U125" s="28" t="s">
        <v>120</v>
      </c>
      <c r="V125" s="28" t="s">
        <v>81</v>
      </c>
      <c r="X125" s="28" t="s">
        <v>120</v>
      </c>
      <c r="Y125" s="28" t="s">
        <v>81</v>
      </c>
      <c r="AA125" s="2" t="s">
        <v>119</v>
      </c>
      <c r="AB125" s="2" t="str">
        <f t="shared" ref="AB125:AB129" si="177">IF(NOT(ISBLANK(AC125)),"-","")</f>
        <v>-</v>
      </c>
      <c r="AC125" s="2" t="s">
        <v>102</v>
      </c>
      <c r="AD125" s="2" t="str">
        <f t="shared" ref="AD125:AD129" si="178">IF(NOT(ISBLANK(AE125)),"_","")</f>
        <v>_</v>
      </c>
      <c r="AE125" s="2" t="s">
        <v>262</v>
      </c>
      <c r="AF125" s="2" t="str">
        <f t="shared" ref="AF125:AF129" si="179">IF(NOT(ISBLANK(AG125)),"_","")</f>
        <v>_</v>
      </c>
      <c r="AG125" s="28" t="s">
        <v>103</v>
      </c>
      <c r="AH125" s="2" t="str">
        <f t="shared" ref="AH125:AH129" si="180">IF(NOT(ISBLANK(AI125)),"_","")</f>
        <v/>
      </c>
    </row>
    <row r="126" spans="2:34" x14ac:dyDescent="0.25">
      <c r="B126" s="2" t="str">
        <f>_xlfn.CONCAT("@",AA126,AB126,AC126,AD126,AE126,AF126,AG126,AH126,AI126)</f>
        <v>@line_width-track_default_z12</v>
      </c>
      <c r="C126" s="28" t="s">
        <v>96</v>
      </c>
      <c r="D126" s="28" t="s">
        <v>98</v>
      </c>
      <c r="F126" s="28" t="s">
        <v>96</v>
      </c>
      <c r="G126" s="28" t="s">
        <v>98</v>
      </c>
      <c r="I126" s="28" t="s">
        <v>97</v>
      </c>
      <c r="J126" s="28" t="s">
        <v>123</v>
      </c>
      <c r="L126" s="28" t="s">
        <v>97</v>
      </c>
      <c r="M126" s="28" t="s">
        <v>123</v>
      </c>
      <c r="U126" s="28" t="s">
        <v>96</v>
      </c>
      <c r="V126" s="28" t="s">
        <v>98</v>
      </c>
      <c r="X126" s="28" t="s">
        <v>96</v>
      </c>
      <c r="Y126" s="28" t="s">
        <v>98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109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@line_width-track_default_z14</v>
      </c>
      <c r="C127" s="28" t="s">
        <v>81</v>
      </c>
      <c r="D127" s="28" t="s">
        <v>85</v>
      </c>
      <c r="F127" s="28" t="s">
        <v>81</v>
      </c>
      <c r="G127" s="28" t="s">
        <v>85</v>
      </c>
      <c r="I127" s="28" t="s">
        <v>98</v>
      </c>
      <c r="J127" s="28" t="s">
        <v>99</v>
      </c>
      <c r="L127" s="28" t="s">
        <v>98</v>
      </c>
      <c r="M127" s="28" t="s">
        <v>99</v>
      </c>
      <c r="U127" s="28" t="s">
        <v>81</v>
      </c>
      <c r="V127" s="28" t="s">
        <v>85</v>
      </c>
      <c r="X127" s="28" t="s">
        <v>81</v>
      </c>
      <c r="Y127" s="28" t="s">
        <v>85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74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@line_width-track_default_z16</v>
      </c>
      <c r="C128" s="28" t="s">
        <v>82</v>
      </c>
      <c r="D128" s="28" t="s">
        <v>127</v>
      </c>
      <c r="F128" s="28" t="s">
        <v>82</v>
      </c>
      <c r="G128" s="28" t="s">
        <v>127</v>
      </c>
      <c r="I128" s="28" t="s">
        <v>92</v>
      </c>
      <c r="J128" s="28" t="s">
        <v>86</v>
      </c>
      <c r="L128" s="28" t="s">
        <v>92</v>
      </c>
      <c r="M128" s="28" t="s">
        <v>86</v>
      </c>
      <c r="U128" s="28" t="s">
        <v>82</v>
      </c>
      <c r="V128" s="28" t="s">
        <v>127</v>
      </c>
      <c r="X128" s="28" t="s">
        <v>82</v>
      </c>
      <c r="Y128" s="28" t="s">
        <v>127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75</v>
      </c>
      <c r="AH128" s="2" t="str">
        <f t="shared" si="180"/>
        <v/>
      </c>
    </row>
    <row r="129" spans="1:35" x14ac:dyDescent="0.25">
      <c r="B129" s="2" t="str">
        <f>_xlfn.CONCAT("@",AA129,AB129,AC129,AD129,AE129,AF129,AG129,AH129,AI129)</f>
        <v>@line_width-track_default_z18</v>
      </c>
      <c r="C129" s="28" t="s">
        <v>134</v>
      </c>
      <c r="D129" s="28" t="s">
        <v>135</v>
      </c>
      <c r="F129" s="28" t="s">
        <v>134</v>
      </c>
      <c r="G129" s="28" t="s">
        <v>135</v>
      </c>
      <c r="I129" s="28" t="s">
        <v>327</v>
      </c>
      <c r="J129" s="28" t="s">
        <v>332</v>
      </c>
      <c r="L129" s="28" t="s">
        <v>327</v>
      </c>
      <c r="M129" s="28" t="s">
        <v>332</v>
      </c>
      <c r="U129" s="28" t="s">
        <v>134</v>
      </c>
      <c r="V129" s="28" t="s">
        <v>135</v>
      </c>
      <c r="X129" s="28" t="s">
        <v>134</v>
      </c>
      <c r="Y129" s="28" t="s">
        <v>135</v>
      </c>
      <c r="AA129" s="2" t="s">
        <v>119</v>
      </c>
      <c r="AB129" s="2" t="str">
        <f t="shared" si="177"/>
        <v>-</v>
      </c>
      <c r="AC129" s="2" t="s">
        <v>102</v>
      </c>
      <c r="AD129" s="2" t="str">
        <f t="shared" si="178"/>
        <v>_</v>
      </c>
      <c r="AE129" s="2" t="s">
        <v>262</v>
      </c>
      <c r="AF129" s="2" t="str">
        <f t="shared" si="179"/>
        <v>_</v>
      </c>
      <c r="AG129" s="28" t="s">
        <v>76</v>
      </c>
      <c r="AH129" s="2" t="str">
        <f t="shared" si="180"/>
        <v/>
      </c>
    </row>
    <row r="130" spans="1:35" x14ac:dyDescent="0.25">
      <c r="B130" s="2"/>
      <c r="AA130" s="2"/>
      <c r="AB130" s="2"/>
      <c r="AC130" s="2"/>
      <c r="AD130" s="2"/>
      <c r="AE130" s="2"/>
    </row>
    <row r="131" spans="1:35" s="2" customFormat="1" x14ac:dyDescent="0.25">
      <c r="A131" s="3" t="s">
        <v>336</v>
      </c>
      <c r="B131" s="3"/>
      <c r="C131" s="27"/>
      <c r="D131" s="6"/>
      <c r="E131" s="7"/>
      <c r="F131" s="6"/>
      <c r="G131" s="6"/>
      <c r="H131" s="7"/>
      <c r="I131" s="6"/>
      <c r="J131" s="6"/>
      <c r="K131" s="7"/>
      <c r="L131" s="6"/>
      <c r="M131" s="6"/>
      <c r="N131" s="7"/>
      <c r="O131" s="6"/>
      <c r="P131" s="6"/>
      <c r="Q131" s="7"/>
      <c r="R131" s="6"/>
      <c r="S131" s="6"/>
      <c r="T131" s="7"/>
      <c r="U131" s="6"/>
      <c r="V131" s="6"/>
      <c r="W131" s="7"/>
      <c r="X131" s="6"/>
      <c r="Y131" s="6"/>
      <c r="AA131" s="4"/>
      <c r="AB131" s="4" t="str">
        <f t="shared" ref="AB131:AB263" si="181">IF(NOT(ISBLANK(AC131)),"-","")</f>
        <v/>
      </c>
      <c r="AC131" s="4"/>
      <c r="AD131" s="4" t="str">
        <f t="shared" ref="AD131:AD267" si="182">IF(NOT(ISBLANK(AE131)),"_","")</f>
        <v/>
      </c>
      <c r="AE131" s="4"/>
      <c r="AF131" s="4" t="str">
        <f t="shared" ref="AF131:AF267" si="183">IF(NOT(ISBLANK(AG131)),"_","")</f>
        <v/>
      </c>
      <c r="AG131" s="4"/>
      <c r="AH131" s="4" t="str">
        <f t="shared" ref="AH131:AH179" si="184">IF(NOT(ISBLANK(AI131)),"_","")</f>
        <v/>
      </c>
      <c r="AI131" s="4"/>
    </row>
    <row r="132" spans="1:35" x14ac:dyDescent="0.25">
      <c r="B132" s="2" t="str">
        <f t="shared" ref="B132" si="185">_xlfn.CONCAT("@",AA132,AB132,AC132,AD132,AE132,AF132,AG132,AH132,AI132)</f>
        <v>@color-cycleway_case</v>
      </c>
      <c r="C132" s="47" t="s">
        <v>222</v>
      </c>
      <c r="D132" s="47" t="s">
        <v>222</v>
      </c>
      <c r="F132" s="48" t="s">
        <v>214</v>
      </c>
      <c r="G132" s="48" t="s">
        <v>214</v>
      </c>
      <c r="I132" s="47" t="s">
        <v>222</v>
      </c>
      <c r="J132" s="47" t="s">
        <v>222</v>
      </c>
      <c r="L132" s="48" t="s">
        <v>214</v>
      </c>
      <c r="M132" s="48" t="s">
        <v>214</v>
      </c>
      <c r="U132" s="47" t="s">
        <v>222</v>
      </c>
      <c r="V132" s="47" t="s">
        <v>222</v>
      </c>
      <c r="X132" s="48" t="s">
        <v>214</v>
      </c>
      <c r="Y132" s="48" t="s">
        <v>214</v>
      </c>
      <c r="AA132" s="2" t="s">
        <v>6</v>
      </c>
      <c r="AB132" s="2" t="str">
        <f t="shared" ref="AB132" si="186">IF(NOT(ISBLANK(AC132)),"-","")</f>
        <v>-</v>
      </c>
      <c r="AC132" s="2" t="s">
        <v>12</v>
      </c>
      <c r="AD132" s="2" t="str">
        <f t="shared" ref="AD132" si="187">IF(NOT(ISBLANK(AE132)),"_","")</f>
        <v>_</v>
      </c>
      <c r="AE132" s="2" t="s">
        <v>17</v>
      </c>
      <c r="AF132" s="2" t="str">
        <f t="shared" ref="AF132" si="188">IF(NOT(ISBLANK(AG132)),"_","")</f>
        <v/>
      </c>
      <c r="AH132" s="2" t="str">
        <f t="shared" si="184"/>
        <v/>
      </c>
    </row>
    <row r="133" spans="1:35" x14ac:dyDescent="0.25">
      <c r="B133" s="2" t="str">
        <f>_xlfn.CONCAT("@",AA133,AB133,AC133,AD133,AE133,AF133,AG133,AH133,AI133)</f>
        <v>@color-footway_case</v>
      </c>
      <c r="C133" s="47" t="s">
        <v>222</v>
      </c>
      <c r="D133" s="47" t="s">
        <v>222</v>
      </c>
      <c r="F133" s="48" t="s">
        <v>214</v>
      </c>
      <c r="G133" s="48" t="s">
        <v>214</v>
      </c>
      <c r="I133" s="47" t="s">
        <v>222</v>
      </c>
      <c r="J133" s="47" t="s">
        <v>222</v>
      </c>
      <c r="L133" s="48" t="s">
        <v>214</v>
      </c>
      <c r="M133" s="48" t="s">
        <v>214</v>
      </c>
      <c r="U133" s="47" t="s">
        <v>222</v>
      </c>
      <c r="V133" s="47" t="s">
        <v>222</v>
      </c>
      <c r="X133" s="48" t="s">
        <v>214</v>
      </c>
      <c r="Y133" s="48" t="s">
        <v>214</v>
      </c>
      <c r="AA133" s="2" t="s">
        <v>6</v>
      </c>
      <c r="AB133" s="2" t="str">
        <f t="shared" ref="AB133:AB136" si="189">IF(NOT(ISBLANK(AC133)),"-","")</f>
        <v>-</v>
      </c>
      <c r="AC133" s="2" t="s">
        <v>34</v>
      </c>
      <c r="AD133" s="2" t="str">
        <f t="shared" ref="AD133:AD136" si="190">IF(NOT(ISBLANK(AE133)),"_","")</f>
        <v>_</v>
      </c>
      <c r="AE133" s="2" t="s">
        <v>17</v>
      </c>
      <c r="AF133" s="2" t="str">
        <f t="shared" ref="AF133:AF136" si="191">IF(NOT(ISBLANK(AG133)),"_","")</f>
        <v/>
      </c>
      <c r="AG133" s="2"/>
      <c r="AH133" s="2" t="str">
        <f>IF(NOT(ISBLANK(AI133)),"_","")</f>
        <v/>
      </c>
      <c r="AI133" s="2"/>
    </row>
    <row r="134" spans="1:35" x14ac:dyDescent="0.25">
      <c r="B134" s="2"/>
      <c r="U134" s="154"/>
      <c r="AA134" s="2"/>
      <c r="AB134" s="2"/>
      <c r="AC134" s="2"/>
      <c r="AD134" s="2"/>
      <c r="AE134" s="2"/>
    </row>
    <row r="135" spans="1:35" x14ac:dyDescent="0.25">
      <c r="B135" s="2" t="str">
        <f t="shared" ref="B135" si="192">_xlfn.CONCAT("@",AA135,AB135,AC135,AD135,AE135,AF135,AG135,AH135,AI135)</f>
        <v>@case_width-cycleway_default_z12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112</v>
      </c>
      <c r="J135" s="28" t="s">
        <v>90</v>
      </c>
      <c r="L135" s="28" t="s">
        <v>112</v>
      </c>
      <c r="M135" s="28" t="s">
        <v>90</v>
      </c>
      <c r="U135" s="28" t="s">
        <v>112</v>
      </c>
      <c r="V135" s="28" t="s">
        <v>112</v>
      </c>
      <c r="X135" s="28" t="s">
        <v>112</v>
      </c>
      <c r="Y135" s="28" t="s">
        <v>112</v>
      </c>
      <c r="AA135" s="2" t="s">
        <v>78</v>
      </c>
      <c r="AB135" s="2" t="str">
        <f t="shared" ref="AB135" si="193">IF(NOT(ISBLANK(AC135)),"-","")</f>
        <v>-</v>
      </c>
      <c r="AC135" s="2" t="s">
        <v>12</v>
      </c>
      <c r="AD135" s="2" t="str">
        <f t="shared" ref="AD135" si="194">IF(NOT(ISBLANK(AE135)),"_","")</f>
        <v>_</v>
      </c>
      <c r="AE135" s="2" t="s">
        <v>262</v>
      </c>
      <c r="AF135" s="2" t="str">
        <f t="shared" ref="AF135" si="195">IF(NOT(ISBLANK(AG135)),"_","")</f>
        <v>_</v>
      </c>
      <c r="AG135" s="28" t="s">
        <v>109</v>
      </c>
      <c r="AH135" s="2" t="str">
        <f t="shared" ref="AH135" si="196">IF(NOT(ISBLANK(AI135)),"_","")</f>
        <v/>
      </c>
    </row>
    <row r="136" spans="1:35" x14ac:dyDescent="0.25">
      <c r="B136" s="2" t="str">
        <f t="shared" ref="B136" si="197">_xlfn.CONCAT("@",AA136,AB136,AC136,AD136,AE136,AF136,AG136,AH136,AI136)</f>
        <v>@case_width-cycleway_default_z14</v>
      </c>
      <c r="C136" s="28" t="s">
        <v>112</v>
      </c>
      <c r="D136" s="28" t="s">
        <v>112</v>
      </c>
      <c r="F136" s="28" t="s">
        <v>112</v>
      </c>
      <c r="G136" s="28" t="s">
        <v>112</v>
      </c>
      <c r="I136" s="28" t="s">
        <v>128</v>
      </c>
      <c r="J136" s="28" t="s">
        <v>313</v>
      </c>
      <c r="L136" s="28" t="s">
        <v>128</v>
      </c>
      <c r="M136" s="28" t="s">
        <v>313</v>
      </c>
      <c r="U136" s="28" t="s">
        <v>112</v>
      </c>
      <c r="V136" s="28" t="s">
        <v>112</v>
      </c>
      <c r="X136" s="28" t="s">
        <v>112</v>
      </c>
      <c r="Y136" s="28" t="s">
        <v>112</v>
      </c>
      <c r="AA136" s="2" t="s">
        <v>78</v>
      </c>
      <c r="AB136" s="2" t="str">
        <f t="shared" si="189"/>
        <v>-</v>
      </c>
      <c r="AC136" s="2" t="s">
        <v>12</v>
      </c>
      <c r="AD136" s="2" t="str">
        <f t="shared" si="190"/>
        <v>_</v>
      </c>
      <c r="AE136" s="2" t="s">
        <v>262</v>
      </c>
      <c r="AF136" s="2" t="str">
        <f t="shared" si="191"/>
        <v>_</v>
      </c>
      <c r="AG136" s="28" t="s">
        <v>74</v>
      </c>
      <c r="AH136" s="2" t="str">
        <f t="shared" ref="AH136" si="198">IF(NOT(ISBLANK(AI136)),"_","")</f>
        <v/>
      </c>
    </row>
    <row r="137" spans="1:35" x14ac:dyDescent="0.25">
      <c r="B137" s="2" t="str">
        <f t="shared" ref="B137" si="199">_xlfn.CONCAT("@",AA137,AB137,AC137,AD137,AE137,AF137,AG137,AH137,AI137)</f>
        <v>@case_width-cycleway_default_z15</v>
      </c>
      <c r="C137" s="28" t="s">
        <v>88</v>
      </c>
      <c r="D137" s="28" t="s">
        <v>92</v>
      </c>
      <c r="F137" s="28" t="s">
        <v>88</v>
      </c>
      <c r="G137" s="28" t="s">
        <v>92</v>
      </c>
      <c r="I137" s="28" t="s">
        <v>83</v>
      </c>
      <c r="J137" s="28" t="s">
        <v>86</v>
      </c>
      <c r="L137" s="28" t="s">
        <v>83</v>
      </c>
      <c r="M137" s="28" t="s">
        <v>86</v>
      </c>
      <c r="U137" s="28" t="s">
        <v>88</v>
      </c>
      <c r="V137" s="28" t="s">
        <v>92</v>
      </c>
      <c r="X137" s="28" t="s">
        <v>88</v>
      </c>
      <c r="Y137" s="28" t="s">
        <v>92</v>
      </c>
      <c r="AA137" s="2" t="s">
        <v>78</v>
      </c>
      <c r="AB137" s="2" t="str">
        <f t="shared" ref="AB137" si="200">IF(NOT(ISBLANK(AC137)),"-","")</f>
        <v>-</v>
      </c>
      <c r="AC137" s="2" t="s">
        <v>12</v>
      </c>
      <c r="AD137" s="2" t="str">
        <f t="shared" ref="AD137" si="201">IF(NOT(ISBLANK(AE137)),"_","")</f>
        <v>_</v>
      </c>
      <c r="AE137" s="2" t="s">
        <v>262</v>
      </c>
      <c r="AF137" s="2" t="str">
        <f t="shared" ref="AF137" si="202">IF(NOT(ISBLANK(AG137)),"_","")</f>
        <v>_</v>
      </c>
      <c r="AG137" s="28" t="s">
        <v>337</v>
      </c>
      <c r="AH137" s="2" t="str">
        <f t="shared" ref="AH137" si="203">IF(NOT(ISBLANK(AI137)),"_","")</f>
        <v/>
      </c>
    </row>
    <row r="138" spans="1:35" x14ac:dyDescent="0.25">
      <c r="B138" s="2" t="str">
        <f t="shared" ref="B138" si="204">_xlfn.CONCAT("@",AA138,AB138,AC138,AD138,AE138,AF138,AG138,AH138,AI138)</f>
        <v>@case_width-cycleway_default_z16</v>
      </c>
      <c r="C138" s="28" t="s">
        <v>86</v>
      </c>
      <c r="D138" s="28" t="s">
        <v>134</v>
      </c>
      <c r="F138" s="28" t="s">
        <v>86</v>
      </c>
      <c r="G138" s="28" t="s">
        <v>134</v>
      </c>
      <c r="I138" s="28" t="s">
        <v>327</v>
      </c>
      <c r="J138" s="28" t="s">
        <v>341</v>
      </c>
      <c r="L138" s="28" t="s">
        <v>327</v>
      </c>
      <c r="M138" s="28" t="s">
        <v>341</v>
      </c>
      <c r="U138" s="28" t="s">
        <v>86</v>
      </c>
      <c r="V138" s="28" t="s">
        <v>134</v>
      </c>
      <c r="X138" s="28" t="s">
        <v>86</v>
      </c>
      <c r="Y138" s="28" t="s">
        <v>134</v>
      </c>
      <c r="AA138" s="2" t="s">
        <v>78</v>
      </c>
      <c r="AB138" s="2" t="str">
        <f t="shared" ref="AB138" si="205">IF(NOT(ISBLANK(AC138)),"-","")</f>
        <v>-</v>
      </c>
      <c r="AC138" s="2" t="s">
        <v>12</v>
      </c>
      <c r="AD138" s="2" t="str">
        <f t="shared" ref="AD138" si="206">IF(NOT(ISBLANK(AE138)),"_","")</f>
        <v>_</v>
      </c>
      <c r="AE138" s="2" t="s">
        <v>262</v>
      </c>
      <c r="AF138" s="2" t="str">
        <f t="shared" ref="AF138" si="207">IF(NOT(ISBLANK(AG138)),"_","")</f>
        <v>_</v>
      </c>
      <c r="AG138" s="28" t="s">
        <v>75</v>
      </c>
      <c r="AH138" s="2" t="str">
        <f t="shared" ref="AH138" si="208">IF(NOT(ISBLANK(AI138)),"_","")</f>
        <v/>
      </c>
    </row>
    <row r="139" spans="1:35" x14ac:dyDescent="0.25">
      <c r="B139" s="2" t="str">
        <f t="shared" ref="B139" si="209">_xlfn.CONCAT("@",AA139,AB139,AC139,AD139,AE139,AF139,AG139,AH139,AI139)</f>
        <v>@case_width-cycleway_default_z18</v>
      </c>
      <c r="C139" s="28" t="s">
        <v>332</v>
      </c>
      <c r="D139" s="28" t="s">
        <v>338</v>
      </c>
      <c r="F139" s="28" t="s">
        <v>332</v>
      </c>
      <c r="G139" s="28" t="s">
        <v>338</v>
      </c>
      <c r="I139" s="28" t="s">
        <v>339</v>
      </c>
      <c r="J139" s="28" t="s">
        <v>145</v>
      </c>
      <c r="L139" s="28" t="s">
        <v>339</v>
      </c>
      <c r="M139" s="28" t="s">
        <v>145</v>
      </c>
      <c r="U139" s="28" t="s">
        <v>332</v>
      </c>
      <c r="V139" s="28" t="s">
        <v>338</v>
      </c>
      <c r="X139" s="28" t="s">
        <v>332</v>
      </c>
      <c r="Y139" s="28" t="s">
        <v>338</v>
      </c>
      <c r="AA139" s="2" t="s">
        <v>78</v>
      </c>
      <c r="AB139" s="2" t="str">
        <f t="shared" ref="AB139" si="210">IF(NOT(ISBLANK(AC139)),"-","")</f>
        <v>-</v>
      </c>
      <c r="AC139" s="2" t="s">
        <v>12</v>
      </c>
      <c r="AD139" s="2" t="str">
        <f t="shared" ref="AD139" si="211">IF(NOT(ISBLANK(AE139)),"_","")</f>
        <v>_</v>
      </c>
      <c r="AE139" s="2" t="s">
        <v>262</v>
      </c>
      <c r="AF139" s="2" t="str">
        <f t="shared" ref="AF139" si="212">IF(NOT(ISBLANK(AG139)),"_","")</f>
        <v>_</v>
      </c>
      <c r="AG139" s="28" t="s">
        <v>76</v>
      </c>
      <c r="AH139" s="2" t="str">
        <f t="shared" ref="AH139" si="213">IF(NOT(ISBLANK(AI139)),"_","")</f>
        <v/>
      </c>
    </row>
    <row r="140" spans="1:35" x14ac:dyDescent="0.25">
      <c r="B140" s="2"/>
      <c r="AA140" s="2"/>
      <c r="AB140" s="2"/>
      <c r="AC140" s="2"/>
      <c r="AD140" s="2"/>
      <c r="AE140" s="2"/>
    </row>
    <row r="141" spans="1:35" s="5" customFormat="1" x14ac:dyDescent="0.25">
      <c r="A141" s="3" t="s">
        <v>335</v>
      </c>
      <c r="B141" s="27"/>
      <c r="C141" s="27"/>
      <c r="D141" s="27"/>
      <c r="F141" s="27"/>
      <c r="G141" s="27"/>
      <c r="I141" s="27"/>
      <c r="J141" s="27"/>
      <c r="L141" s="27"/>
      <c r="M141" s="27"/>
      <c r="O141" s="27"/>
      <c r="P141" s="27"/>
      <c r="R141" s="27"/>
      <c r="S141" s="27"/>
      <c r="U141" s="27"/>
      <c r="V141" s="27"/>
      <c r="X141" s="27"/>
      <c r="Y141" s="27"/>
      <c r="AA141" s="27"/>
      <c r="AB141" s="27"/>
      <c r="AC141" s="27"/>
      <c r="AD141" s="27"/>
      <c r="AE141" s="27"/>
      <c r="AF141" s="27"/>
      <c r="AG141" s="27"/>
      <c r="AH141" s="27"/>
      <c r="AI141" s="27"/>
    </row>
    <row r="142" spans="1:35" x14ac:dyDescent="0.25">
      <c r="B142" s="2" t="str">
        <f>_xlfn.CONCAT("@",AA142,AB142,AC142,AD142,AE142,AF142,AG142,AH142,AI142)</f>
        <v>@color-cycleway_line</v>
      </c>
      <c r="C142" s="49" t="s">
        <v>185</v>
      </c>
      <c r="D142" s="50" t="str">
        <f>C142</f>
        <v>"#3046d7"</v>
      </c>
      <c r="F142" s="49" t="s">
        <v>185</v>
      </c>
      <c r="G142" s="50" t="str">
        <f>F142</f>
        <v>"#3046d7"</v>
      </c>
      <c r="I142" s="49" t="s">
        <v>185</v>
      </c>
      <c r="J142" s="50" t="str">
        <f>I142</f>
        <v>"#3046d7"</v>
      </c>
      <c r="L142" s="49" t="s">
        <v>185</v>
      </c>
      <c r="M142" s="50" t="str">
        <f>L142</f>
        <v>"#3046d7"</v>
      </c>
      <c r="U142" s="49" t="s">
        <v>185</v>
      </c>
      <c r="V142" s="50" t="str">
        <f>U142</f>
        <v>"#3046d7"</v>
      </c>
      <c r="X142" s="49" t="s">
        <v>185</v>
      </c>
      <c r="Y142" s="50" t="str">
        <f>X142</f>
        <v>"#3046d7"</v>
      </c>
      <c r="AA142" s="2" t="s">
        <v>6</v>
      </c>
      <c r="AB142" s="2" t="str">
        <f>IF(NOT(ISBLANK(AC142)),"-","")</f>
        <v>-</v>
      </c>
      <c r="AC142" s="2" t="s">
        <v>12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H142" s="2" t="str">
        <f>IF(NOT(ISBLANK(AI142)),"_","")</f>
        <v/>
      </c>
    </row>
    <row r="143" spans="1:35" x14ac:dyDescent="0.25">
      <c r="B143" s="2" t="str">
        <f>_xlfn.CONCAT("@",AA143,AB143,AC143,AD143,AE143,AF143,AG143,AH143,AI143)</f>
        <v>@color-footway_line</v>
      </c>
      <c r="C143" s="51" t="s">
        <v>186</v>
      </c>
      <c r="D143" s="52" t="str">
        <f>C143</f>
        <v>"#a43820"</v>
      </c>
      <c r="F143" s="51" t="s">
        <v>186</v>
      </c>
      <c r="G143" s="52" t="str">
        <f>F143</f>
        <v>"#a43820"</v>
      </c>
      <c r="I143" s="51" t="s">
        <v>186</v>
      </c>
      <c r="J143" s="52" t="str">
        <f>I143</f>
        <v>"#a43820"</v>
      </c>
      <c r="L143" s="51" t="s">
        <v>186</v>
      </c>
      <c r="M143" s="52" t="str">
        <f>L143</f>
        <v>"#a43820"</v>
      </c>
      <c r="U143" s="51" t="s">
        <v>186</v>
      </c>
      <c r="V143" s="52" t="str">
        <f>U143</f>
        <v>"#a43820"</v>
      </c>
      <c r="X143" s="51" t="s">
        <v>186</v>
      </c>
      <c r="Y143" s="52" t="str">
        <f>X143</f>
        <v>"#a43820"</v>
      </c>
      <c r="AA143" s="2" t="s">
        <v>6</v>
      </c>
      <c r="AB143" s="2" t="str">
        <f>IF(NOT(ISBLANK(AC143)),"-","")</f>
        <v>-</v>
      </c>
      <c r="AC143" s="2" t="s">
        <v>34</v>
      </c>
      <c r="AD143" s="2" t="str">
        <f>IF(NOT(ISBLANK(AE143)),"_","")</f>
        <v>_</v>
      </c>
      <c r="AE143" s="2" t="s">
        <v>13</v>
      </c>
      <c r="AF143" s="2" t="str">
        <f>IF(NOT(ISBLANK(AG143)),"_","")</f>
        <v/>
      </c>
      <c r="AG143" s="2"/>
      <c r="AH143" s="2" t="str">
        <f>IF(NOT(ISBLANK(AI143)),"_","")</f>
        <v/>
      </c>
      <c r="AI143" s="2"/>
    </row>
    <row r="144" spans="1:35" x14ac:dyDescent="0.25">
      <c r="AA144" s="2"/>
      <c r="AB144" s="2" t="str">
        <f t="shared" si="181"/>
        <v/>
      </c>
      <c r="AC144" s="2"/>
      <c r="AD144" s="2" t="str">
        <f t="shared" si="182"/>
        <v/>
      </c>
      <c r="AE144" s="2"/>
      <c r="AF144" s="28" t="str">
        <f t="shared" si="183"/>
        <v/>
      </c>
      <c r="AH144" s="28" t="str">
        <f t="shared" si="184"/>
        <v/>
      </c>
    </row>
    <row r="145" spans="2:34" x14ac:dyDescent="0.25">
      <c r="B145" s="2" t="str">
        <f t="shared" ref="B145" si="214">_xlfn.CONCAT("@",AA145,AB145,AC145,AD145,AE145,AF145,AG145,AH145,AI145)</f>
        <v>@line_width-cycleway_paved_or_uk_z12</v>
      </c>
      <c r="C145" s="28" t="s">
        <v>84</v>
      </c>
      <c r="D145" s="28" t="s">
        <v>84</v>
      </c>
      <c r="F145" s="28" t="s">
        <v>84</v>
      </c>
      <c r="G145" s="28" t="s">
        <v>84</v>
      </c>
      <c r="I145" s="28" t="s">
        <v>123</v>
      </c>
      <c r="J145" s="28" t="s">
        <v>123</v>
      </c>
      <c r="L145" s="28" t="s">
        <v>123</v>
      </c>
      <c r="M145" s="28" t="s">
        <v>123</v>
      </c>
      <c r="U145" s="28" t="s">
        <v>84</v>
      </c>
      <c r="V145" s="28" t="s">
        <v>84</v>
      </c>
      <c r="X145" s="28" t="s">
        <v>84</v>
      </c>
      <c r="Y145" s="28" t="s">
        <v>84</v>
      </c>
      <c r="AA145" s="2" t="s">
        <v>119</v>
      </c>
      <c r="AB145" s="2" t="str">
        <f t="shared" ref="AB145" si="215">IF(NOT(ISBLANK(AC145)),"-","")</f>
        <v>-</v>
      </c>
      <c r="AC145" s="2" t="s">
        <v>12</v>
      </c>
      <c r="AD145" s="2" t="str">
        <f t="shared" ref="AD145" si="216">IF(NOT(ISBLANK(AE145)),"_","")</f>
        <v>_</v>
      </c>
      <c r="AE145" s="2" t="s">
        <v>24</v>
      </c>
      <c r="AF145" s="2" t="str">
        <f t="shared" ref="AF145" si="217">IF(NOT(ISBLANK(AG145)),"_","")</f>
        <v>_</v>
      </c>
      <c r="AG145" s="28" t="s">
        <v>109</v>
      </c>
      <c r="AH145" s="2" t="str">
        <f t="shared" ref="AH145" si="218">IF(NOT(ISBLANK(AI145)),"_","")</f>
        <v/>
      </c>
    </row>
    <row r="146" spans="2:34" x14ac:dyDescent="0.25">
      <c r="B146" s="2" t="str">
        <f t="shared" ref="B146" si="219">_xlfn.CONCAT("@",AA146,AB146,AC146,AD146,AE146,AF146,AG146,AH146,AI146)</f>
        <v>@line_width-cycleway_paved_or_uk_z14</v>
      </c>
      <c r="C146" s="28" t="s">
        <v>123</v>
      </c>
      <c r="D146" s="28" t="s">
        <v>90</v>
      </c>
      <c r="F146" s="28" t="s">
        <v>123</v>
      </c>
      <c r="G146" s="28" t="s">
        <v>90</v>
      </c>
      <c r="I146" s="28" t="s">
        <v>112</v>
      </c>
      <c r="J146" s="28" t="s">
        <v>350</v>
      </c>
      <c r="L146" s="28" t="s">
        <v>112</v>
      </c>
      <c r="M146" s="28" t="s">
        <v>350</v>
      </c>
      <c r="U146" s="28" t="s">
        <v>123</v>
      </c>
      <c r="V146" s="28" t="s">
        <v>90</v>
      </c>
      <c r="X146" s="28" t="s">
        <v>123</v>
      </c>
      <c r="Y146" s="28" t="s">
        <v>90</v>
      </c>
      <c r="AA146" s="2" t="s">
        <v>119</v>
      </c>
      <c r="AB146" s="2" t="str">
        <f t="shared" ref="AB146" si="220">IF(NOT(ISBLANK(AC146)),"-","")</f>
        <v>-</v>
      </c>
      <c r="AC146" s="2" t="s">
        <v>12</v>
      </c>
      <c r="AD146" s="2" t="str">
        <f t="shared" ref="AD146" si="221">IF(NOT(ISBLANK(AE146)),"_","")</f>
        <v>_</v>
      </c>
      <c r="AE146" s="2" t="s">
        <v>24</v>
      </c>
      <c r="AF146" s="2" t="str">
        <f t="shared" ref="AF146" si="222">IF(NOT(ISBLANK(AG146)),"_","")</f>
        <v>_</v>
      </c>
      <c r="AG146" s="28" t="s">
        <v>74</v>
      </c>
      <c r="AH146" s="2" t="str">
        <f t="shared" ref="AH146" si="223">IF(NOT(ISBLANK(AI146)),"_","")</f>
        <v/>
      </c>
    </row>
    <row r="147" spans="2:34" x14ac:dyDescent="0.25">
      <c r="B147" s="2" t="str">
        <f t="shared" ref="B147" si="224">_xlfn.CONCAT("@",AA147,AB147,AC147,AD147,AE147,AF147,AG147,AH147,AI147)</f>
        <v>@line_width-cycleway_paved_or_uk_z16</v>
      </c>
      <c r="C147" s="28" t="s">
        <v>88</v>
      </c>
      <c r="D147" s="28" t="s">
        <v>92</v>
      </c>
      <c r="F147" s="28" t="s">
        <v>88</v>
      </c>
      <c r="G147" s="28" t="s">
        <v>92</v>
      </c>
      <c r="I147" s="28" t="s">
        <v>82</v>
      </c>
      <c r="J147" s="28" t="s">
        <v>83</v>
      </c>
      <c r="L147" s="28" t="s">
        <v>82</v>
      </c>
      <c r="M147" s="28" t="s">
        <v>83</v>
      </c>
      <c r="U147" s="28" t="s">
        <v>88</v>
      </c>
      <c r="V147" s="28" t="s">
        <v>92</v>
      </c>
      <c r="X147" s="28" t="s">
        <v>88</v>
      </c>
      <c r="Y147" s="28" t="s">
        <v>92</v>
      </c>
      <c r="AA147" s="2" t="s">
        <v>119</v>
      </c>
      <c r="AB147" s="2" t="str">
        <f t="shared" ref="AB147" si="225">IF(NOT(ISBLANK(AC147)),"-","")</f>
        <v>-</v>
      </c>
      <c r="AC147" s="2" t="s">
        <v>12</v>
      </c>
      <c r="AD147" s="2" t="str">
        <f t="shared" ref="AD147" si="226">IF(NOT(ISBLANK(AE147)),"_","")</f>
        <v>_</v>
      </c>
      <c r="AE147" s="2" t="s">
        <v>24</v>
      </c>
      <c r="AF147" s="2" t="str">
        <f t="shared" ref="AF147" si="227">IF(NOT(ISBLANK(AG147)),"_","")</f>
        <v>_</v>
      </c>
      <c r="AG147" s="28" t="s">
        <v>75</v>
      </c>
      <c r="AH147" s="2" t="str">
        <f t="shared" ref="AH147" si="228">IF(NOT(ISBLANK(AI147)),"_","")</f>
        <v/>
      </c>
    </row>
    <row r="148" spans="2:34" x14ac:dyDescent="0.25">
      <c r="B148" s="2" t="str">
        <f t="shared" ref="B148" si="229">_xlfn.CONCAT("@",AA148,AB148,AC148,AD148,AE148,AF148,AG148,AH148,AI148)</f>
        <v>@line_width-cycleway_paved_or_uk_z18</v>
      </c>
      <c r="C148" s="28" t="s">
        <v>86</v>
      </c>
      <c r="D148" s="28" t="s">
        <v>341</v>
      </c>
      <c r="F148" s="28" t="s">
        <v>86</v>
      </c>
      <c r="G148" s="28" t="s">
        <v>341</v>
      </c>
      <c r="I148" s="28" t="s">
        <v>134</v>
      </c>
      <c r="J148" s="28" t="s">
        <v>332</v>
      </c>
      <c r="L148" s="28" t="s">
        <v>134</v>
      </c>
      <c r="M148" s="28" t="s">
        <v>332</v>
      </c>
      <c r="U148" s="28" t="s">
        <v>86</v>
      </c>
      <c r="V148" s="28" t="s">
        <v>341</v>
      </c>
      <c r="X148" s="28" t="s">
        <v>86</v>
      </c>
      <c r="Y148" s="28" t="s">
        <v>341</v>
      </c>
      <c r="AA148" s="2" t="s">
        <v>119</v>
      </c>
      <c r="AB148" s="2" t="str">
        <f t="shared" ref="AB148" si="230">IF(NOT(ISBLANK(AC148)),"-","")</f>
        <v>-</v>
      </c>
      <c r="AC148" s="2" t="s">
        <v>12</v>
      </c>
      <c r="AD148" s="2" t="str">
        <f t="shared" ref="AD148" si="231">IF(NOT(ISBLANK(AE148)),"_","")</f>
        <v>_</v>
      </c>
      <c r="AE148" s="2" t="s">
        <v>24</v>
      </c>
      <c r="AF148" s="2" t="str">
        <f t="shared" ref="AF148" si="232">IF(NOT(ISBLANK(AG148)),"_","")</f>
        <v>_</v>
      </c>
      <c r="AG148" s="28" t="s">
        <v>76</v>
      </c>
      <c r="AH148" s="2" t="str">
        <f t="shared" ref="AH148" si="233">IF(NOT(ISBLANK(AI148)),"_","")</f>
        <v/>
      </c>
    </row>
    <row r="149" spans="2:34" x14ac:dyDescent="0.25">
      <c r="AA149" s="2"/>
      <c r="AB149" s="2"/>
      <c r="AC149" s="2"/>
      <c r="AD149" s="2"/>
      <c r="AE149" s="2"/>
    </row>
    <row r="150" spans="2:34" x14ac:dyDescent="0.25">
      <c r="B150" s="2" t="str">
        <f t="shared" ref="B150:B153" si="234">_xlfn.CONCAT("@",AA150,AB150,AC150,AD150,AE150,AF150,AG150,AH150,AI150)</f>
        <v>@line_width-cycleway_unpaved_z12</v>
      </c>
      <c r="C150" s="28" t="s">
        <v>112</v>
      </c>
      <c r="D150" s="28" t="s">
        <v>112</v>
      </c>
      <c r="F150" s="28" t="s">
        <v>112</v>
      </c>
      <c r="G150" s="28" t="s">
        <v>112</v>
      </c>
      <c r="I150" s="28" t="s">
        <v>126</v>
      </c>
      <c r="J150" s="28" t="s">
        <v>126</v>
      </c>
      <c r="L150" s="28" t="s">
        <v>126</v>
      </c>
      <c r="M150" s="28" t="s">
        <v>126</v>
      </c>
      <c r="U150" s="28" t="s">
        <v>112</v>
      </c>
      <c r="V150" s="28" t="s">
        <v>112</v>
      </c>
      <c r="X150" s="28" t="s">
        <v>112</v>
      </c>
      <c r="Y150" s="28" t="s">
        <v>112</v>
      </c>
      <c r="AA150" s="2" t="s">
        <v>119</v>
      </c>
      <c r="AB150" s="2" t="str">
        <f t="shared" ref="AB150:AB153" si="235">IF(NOT(ISBLANK(AC150)),"-","")</f>
        <v>-</v>
      </c>
      <c r="AC150" s="2" t="s">
        <v>12</v>
      </c>
      <c r="AD150" s="2" t="str">
        <f t="shared" ref="AD150:AD153" si="236">IF(NOT(ISBLANK(AE150)),"_","")</f>
        <v>_</v>
      </c>
      <c r="AE150" s="2" t="s">
        <v>21</v>
      </c>
      <c r="AF150" s="2" t="str">
        <f t="shared" ref="AF150:AF153" si="237">IF(NOT(ISBLANK(AG150)),"_","")</f>
        <v>_</v>
      </c>
      <c r="AG150" s="28" t="s">
        <v>109</v>
      </c>
      <c r="AH150" s="2" t="str">
        <f t="shared" ref="AH150:AH153" si="238">IF(NOT(ISBLANK(AI150)),"_","")</f>
        <v/>
      </c>
    </row>
    <row r="151" spans="2:34" x14ac:dyDescent="0.25">
      <c r="B151" s="2" t="str">
        <f t="shared" si="234"/>
        <v>@line_width-cycleway_unpaved_z14</v>
      </c>
      <c r="C151" s="28" t="s">
        <v>126</v>
      </c>
      <c r="D151" s="28" t="s">
        <v>344</v>
      </c>
      <c r="F151" s="28" t="s">
        <v>126</v>
      </c>
      <c r="G151" s="28" t="s">
        <v>344</v>
      </c>
      <c r="I151" s="28" t="s">
        <v>351</v>
      </c>
      <c r="J151" s="28" t="s">
        <v>352</v>
      </c>
      <c r="L151" s="28" t="s">
        <v>351</v>
      </c>
      <c r="M151" s="28" t="s">
        <v>352</v>
      </c>
      <c r="U151" s="28" t="s">
        <v>126</v>
      </c>
      <c r="V151" s="28" t="s">
        <v>344</v>
      </c>
      <c r="X151" s="28" t="s">
        <v>126</v>
      </c>
      <c r="Y151" s="28" t="s">
        <v>344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74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@line_width-cycleway_unpaved_z16</v>
      </c>
      <c r="C152" s="28" t="s">
        <v>128</v>
      </c>
      <c r="D152" s="28" t="s">
        <v>86</v>
      </c>
      <c r="F152" s="28" t="s">
        <v>128</v>
      </c>
      <c r="G152" s="28" t="s">
        <v>86</v>
      </c>
      <c r="I152" s="28" t="s">
        <v>127</v>
      </c>
      <c r="J152" s="28" t="s">
        <v>91</v>
      </c>
      <c r="L152" s="28" t="s">
        <v>127</v>
      </c>
      <c r="M152" s="28" t="s">
        <v>91</v>
      </c>
      <c r="U152" s="28" t="s">
        <v>128</v>
      </c>
      <c r="V152" s="28" t="s">
        <v>86</v>
      </c>
      <c r="X152" s="28" t="s">
        <v>128</v>
      </c>
      <c r="Y152" s="28" t="s">
        <v>86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75</v>
      </c>
      <c r="AH152" s="2" t="str">
        <f t="shared" si="238"/>
        <v/>
      </c>
    </row>
    <row r="153" spans="2:34" x14ac:dyDescent="0.25">
      <c r="B153" s="2" t="str">
        <f t="shared" si="234"/>
        <v>@line_width-cycleway_unpaved_z18</v>
      </c>
      <c r="C153" s="28" t="s">
        <v>87</v>
      </c>
      <c r="D153" s="28" t="s">
        <v>89</v>
      </c>
      <c r="F153" s="28" t="s">
        <v>87</v>
      </c>
      <c r="G153" s="28" t="s">
        <v>89</v>
      </c>
      <c r="I153" s="28" t="s">
        <v>135</v>
      </c>
      <c r="J153" s="28" t="s">
        <v>145</v>
      </c>
      <c r="L153" s="28" t="s">
        <v>135</v>
      </c>
      <c r="M153" s="28" t="s">
        <v>145</v>
      </c>
      <c r="U153" s="28" t="s">
        <v>87</v>
      </c>
      <c r="V153" s="28" t="s">
        <v>89</v>
      </c>
      <c r="X153" s="28" t="s">
        <v>87</v>
      </c>
      <c r="Y153" s="28" t="s">
        <v>89</v>
      </c>
      <c r="AA153" s="2" t="s">
        <v>119</v>
      </c>
      <c r="AB153" s="2" t="str">
        <f t="shared" si="235"/>
        <v>-</v>
      </c>
      <c r="AC153" s="2" t="s">
        <v>12</v>
      </c>
      <c r="AD153" s="2" t="str">
        <f t="shared" si="236"/>
        <v>_</v>
      </c>
      <c r="AE153" s="2" t="s">
        <v>21</v>
      </c>
      <c r="AF153" s="2" t="str">
        <f t="shared" si="237"/>
        <v>_</v>
      </c>
      <c r="AG153" s="28" t="s">
        <v>76</v>
      </c>
      <c r="AH153" s="2" t="str">
        <f t="shared" si="238"/>
        <v/>
      </c>
    </row>
    <row r="154" spans="2:34" x14ac:dyDescent="0.25">
      <c r="AA154" s="2"/>
      <c r="AB154" s="2"/>
      <c r="AC154" s="2"/>
      <c r="AD154" s="2"/>
      <c r="AE154" s="2"/>
    </row>
    <row r="155" spans="2:34" x14ac:dyDescent="0.25">
      <c r="B155" s="2" t="str">
        <f t="shared" ref="B155:B158" si="239">_xlfn.CONCAT("@",AA155,AB155,AC155,AD155,AE155,AF155,AG155,AH155,AI155)</f>
        <v>@line_width-footway_default_z12</v>
      </c>
      <c r="C155" s="28" t="s">
        <v>96</v>
      </c>
      <c r="D155" s="28" t="s">
        <v>116</v>
      </c>
      <c r="F155" s="28" t="s">
        <v>96</v>
      </c>
      <c r="G155" s="28" t="s">
        <v>116</v>
      </c>
      <c r="I155" s="28" t="s">
        <v>96</v>
      </c>
      <c r="J155" s="28" t="s">
        <v>116</v>
      </c>
      <c r="L155" s="28" t="s">
        <v>96</v>
      </c>
      <c r="M155" s="28" t="s">
        <v>116</v>
      </c>
      <c r="U155" s="28" t="s">
        <v>96</v>
      </c>
      <c r="V155" s="28" t="s">
        <v>116</v>
      </c>
      <c r="X155" s="28" t="s">
        <v>96</v>
      </c>
      <c r="Y155" s="28" t="s">
        <v>116</v>
      </c>
      <c r="AA155" s="2" t="s">
        <v>119</v>
      </c>
      <c r="AB155" s="2" t="str">
        <f t="shared" ref="AB155:AB158" si="240">IF(NOT(ISBLANK(AC155)),"-","")</f>
        <v>-</v>
      </c>
      <c r="AC155" s="2" t="s">
        <v>34</v>
      </c>
      <c r="AD155" s="2" t="str">
        <f t="shared" ref="AD155:AD158" si="241">IF(NOT(ISBLANK(AE155)),"_","")</f>
        <v>_</v>
      </c>
      <c r="AE155" s="2" t="s">
        <v>262</v>
      </c>
      <c r="AF155" s="2" t="str">
        <f t="shared" ref="AF155:AF158" si="242">IF(NOT(ISBLANK(AG155)),"_","")</f>
        <v>_</v>
      </c>
      <c r="AG155" s="28" t="s">
        <v>109</v>
      </c>
      <c r="AH155" s="2" t="str">
        <f t="shared" ref="AH155:AH158" si="243">IF(NOT(ISBLANK(AI155)),"_","")</f>
        <v/>
      </c>
    </row>
    <row r="156" spans="2:34" x14ac:dyDescent="0.25">
      <c r="B156" s="2" t="str">
        <f t="shared" si="239"/>
        <v>@line_width-footway_default_z14</v>
      </c>
      <c r="C156" s="28" t="s">
        <v>84</v>
      </c>
      <c r="D156" s="28" t="s">
        <v>90</v>
      </c>
      <c r="F156" s="28" t="s">
        <v>84</v>
      </c>
      <c r="G156" s="28" t="s">
        <v>90</v>
      </c>
      <c r="I156" s="28" t="s">
        <v>84</v>
      </c>
      <c r="J156" s="28" t="s">
        <v>90</v>
      </c>
      <c r="L156" s="28" t="s">
        <v>84</v>
      </c>
      <c r="M156" s="28" t="s">
        <v>90</v>
      </c>
      <c r="U156" s="28" t="s">
        <v>84</v>
      </c>
      <c r="V156" s="28" t="s">
        <v>90</v>
      </c>
      <c r="X156" s="28" t="s">
        <v>84</v>
      </c>
      <c r="Y156" s="28" t="s">
        <v>90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74</v>
      </c>
      <c r="AH156" s="2" t="str">
        <f t="shared" si="243"/>
        <v/>
      </c>
    </row>
    <row r="157" spans="2:34" x14ac:dyDescent="0.25">
      <c r="B157" s="2" t="str">
        <f t="shared" si="239"/>
        <v>@line_width-footway_default_z16</v>
      </c>
      <c r="C157" s="28" t="s">
        <v>90</v>
      </c>
      <c r="D157" s="28" t="s">
        <v>92</v>
      </c>
      <c r="F157" s="28" t="s">
        <v>90</v>
      </c>
      <c r="G157" s="28" t="s">
        <v>92</v>
      </c>
      <c r="I157" s="28" t="s">
        <v>90</v>
      </c>
      <c r="J157" s="28" t="s">
        <v>92</v>
      </c>
      <c r="L157" s="28" t="s">
        <v>90</v>
      </c>
      <c r="M157" s="28" t="s">
        <v>92</v>
      </c>
      <c r="U157" s="28" t="s">
        <v>90</v>
      </c>
      <c r="V157" s="28" t="s">
        <v>92</v>
      </c>
      <c r="X157" s="28" t="s">
        <v>90</v>
      </c>
      <c r="Y157" s="28" t="s">
        <v>92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75</v>
      </c>
      <c r="AH157" s="2" t="str">
        <f t="shared" si="243"/>
        <v/>
      </c>
    </row>
    <row r="158" spans="2:34" x14ac:dyDescent="0.25">
      <c r="B158" s="2" t="str">
        <f t="shared" si="239"/>
        <v>@line_width-footway_default_z18</v>
      </c>
      <c r="C158" s="28" t="s">
        <v>92</v>
      </c>
      <c r="D158" s="28" t="s">
        <v>86</v>
      </c>
      <c r="F158" s="28" t="s">
        <v>92</v>
      </c>
      <c r="G158" s="28" t="s">
        <v>86</v>
      </c>
      <c r="I158" s="28" t="s">
        <v>92</v>
      </c>
      <c r="J158" s="28" t="s">
        <v>86</v>
      </c>
      <c r="L158" s="28" t="s">
        <v>92</v>
      </c>
      <c r="M158" s="28" t="s">
        <v>86</v>
      </c>
      <c r="U158" s="28" t="s">
        <v>92</v>
      </c>
      <c r="V158" s="28" t="s">
        <v>86</v>
      </c>
      <c r="X158" s="28" t="s">
        <v>92</v>
      </c>
      <c r="Y158" s="28" t="s">
        <v>86</v>
      </c>
      <c r="AA158" s="2" t="s">
        <v>119</v>
      </c>
      <c r="AB158" s="2" t="str">
        <f t="shared" si="240"/>
        <v>-</v>
      </c>
      <c r="AC158" s="2" t="s">
        <v>34</v>
      </c>
      <c r="AD158" s="2" t="str">
        <f t="shared" si="241"/>
        <v>_</v>
      </c>
      <c r="AE158" s="2" t="s">
        <v>262</v>
      </c>
      <c r="AF158" s="2" t="str">
        <f t="shared" si="242"/>
        <v>_</v>
      </c>
      <c r="AG158" s="28" t="s">
        <v>76</v>
      </c>
      <c r="AH158" s="2" t="str">
        <f t="shared" si="243"/>
        <v/>
      </c>
    </row>
    <row r="159" spans="2:34" x14ac:dyDescent="0.25">
      <c r="AA159" s="2"/>
      <c r="AB159" s="2"/>
      <c r="AC159" s="2"/>
      <c r="AD159" s="2"/>
      <c r="AE159" s="2"/>
    </row>
    <row r="160" spans="2:34" x14ac:dyDescent="0.25">
      <c r="B160" s="2" t="str">
        <f t="shared" ref="B160:B163" si="244">_xlfn.CONCAT("@",AA160,AB160,AC160,AD160,AE160,AF160,AG160,AH160,AI160)</f>
        <v>@line_offset-footway_left_z12</v>
      </c>
      <c r="C160" s="28" t="s">
        <v>363</v>
      </c>
      <c r="D160" s="28" t="s">
        <v>364</v>
      </c>
      <c r="F160" s="28" t="s">
        <v>363</v>
      </c>
      <c r="G160" s="28" t="s">
        <v>364</v>
      </c>
      <c r="I160" s="28" t="s">
        <v>363</v>
      </c>
      <c r="J160" s="28" t="s">
        <v>364</v>
      </c>
      <c r="L160" s="28" t="s">
        <v>363</v>
      </c>
      <c r="M160" s="28" t="s">
        <v>364</v>
      </c>
      <c r="U160" s="28" t="s">
        <v>363</v>
      </c>
      <c r="V160" s="28" t="s">
        <v>364</v>
      </c>
      <c r="X160" s="28" t="s">
        <v>363</v>
      </c>
      <c r="Y160" s="28" t="s">
        <v>364</v>
      </c>
      <c r="AA160" s="2" t="s">
        <v>355</v>
      </c>
      <c r="AB160" s="2" t="str">
        <f t="shared" ref="AB160:AB163" si="245">IF(NOT(ISBLANK(AC160)),"-","")</f>
        <v>-</v>
      </c>
      <c r="AC160" s="2" t="s">
        <v>34</v>
      </c>
      <c r="AD160" s="2" t="str">
        <f t="shared" ref="AD160:AD163" si="246">IF(NOT(ISBLANK(AE160)),"_","")</f>
        <v>_</v>
      </c>
      <c r="AE160" s="2" t="s">
        <v>356</v>
      </c>
      <c r="AF160" s="2" t="str">
        <f t="shared" ref="AF160:AF163" si="247">IF(NOT(ISBLANK(AG160)),"_","")</f>
        <v>_</v>
      </c>
      <c r="AG160" s="28" t="s">
        <v>109</v>
      </c>
      <c r="AH160" s="2" t="str">
        <f t="shared" ref="AH160:AH163" si="248">IF(NOT(ISBLANK(AI160)),"_","")</f>
        <v/>
      </c>
    </row>
    <row r="161" spans="1:39" x14ac:dyDescent="0.25">
      <c r="B161" s="2" t="str">
        <f t="shared" si="244"/>
        <v>@line_offset-footway_left_z14</v>
      </c>
      <c r="C161" s="28" t="s">
        <v>359</v>
      </c>
      <c r="D161" s="28" t="s">
        <v>360</v>
      </c>
      <c r="F161" s="28" t="s">
        <v>359</v>
      </c>
      <c r="G161" s="28" t="s">
        <v>360</v>
      </c>
      <c r="I161" s="28" t="s">
        <v>359</v>
      </c>
      <c r="J161" s="28" t="s">
        <v>360</v>
      </c>
      <c r="L161" s="28" t="s">
        <v>359</v>
      </c>
      <c r="M161" s="28" t="s">
        <v>360</v>
      </c>
      <c r="U161" s="28" t="s">
        <v>359</v>
      </c>
      <c r="V161" s="28" t="s">
        <v>360</v>
      </c>
      <c r="X161" s="28" t="s">
        <v>359</v>
      </c>
      <c r="Y161" s="28" t="s">
        <v>360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74</v>
      </c>
      <c r="AH161" s="2" t="str">
        <f t="shared" si="248"/>
        <v/>
      </c>
    </row>
    <row r="162" spans="1:39" x14ac:dyDescent="0.25">
      <c r="B162" s="2" t="str">
        <f t="shared" si="244"/>
        <v>@line_offset-footway_left_z16</v>
      </c>
      <c r="C162" s="28" t="s">
        <v>358</v>
      </c>
      <c r="D162" s="28" t="s">
        <v>361</v>
      </c>
      <c r="F162" s="28" t="s">
        <v>358</v>
      </c>
      <c r="G162" s="28" t="s">
        <v>361</v>
      </c>
      <c r="I162" s="28" t="s">
        <v>358</v>
      </c>
      <c r="J162" s="28" t="s">
        <v>361</v>
      </c>
      <c r="L162" s="28" t="s">
        <v>358</v>
      </c>
      <c r="M162" s="28" t="s">
        <v>361</v>
      </c>
      <c r="U162" s="28" t="s">
        <v>358</v>
      </c>
      <c r="V162" s="28" t="s">
        <v>361</v>
      </c>
      <c r="X162" s="28" t="s">
        <v>358</v>
      </c>
      <c r="Y162" s="28" t="s">
        <v>361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75</v>
      </c>
      <c r="AH162" s="2" t="str">
        <f t="shared" si="248"/>
        <v/>
      </c>
    </row>
    <row r="163" spans="1:39" x14ac:dyDescent="0.25">
      <c r="B163" s="2" t="str">
        <f t="shared" si="244"/>
        <v>@line_offset-footway_left_z18</v>
      </c>
      <c r="C163" s="28" t="s">
        <v>357</v>
      </c>
      <c r="D163" s="28" t="s">
        <v>362</v>
      </c>
      <c r="F163" s="28" t="s">
        <v>357</v>
      </c>
      <c r="G163" s="28" t="s">
        <v>362</v>
      </c>
      <c r="I163" s="28" t="s">
        <v>357</v>
      </c>
      <c r="J163" s="28" t="s">
        <v>362</v>
      </c>
      <c r="L163" s="28" t="s">
        <v>357</v>
      </c>
      <c r="M163" s="28" t="s">
        <v>362</v>
      </c>
      <c r="U163" s="28" t="s">
        <v>357</v>
      </c>
      <c r="V163" s="28" t="s">
        <v>362</v>
      </c>
      <c r="X163" s="28" t="s">
        <v>357</v>
      </c>
      <c r="Y163" s="28" t="s">
        <v>362</v>
      </c>
      <c r="AA163" s="2" t="s">
        <v>355</v>
      </c>
      <c r="AB163" s="2" t="str">
        <f t="shared" si="245"/>
        <v>-</v>
      </c>
      <c r="AC163" s="2" t="s">
        <v>34</v>
      </c>
      <c r="AD163" s="2" t="str">
        <f t="shared" si="246"/>
        <v>_</v>
      </c>
      <c r="AE163" s="2" t="s">
        <v>356</v>
      </c>
      <c r="AF163" s="2" t="str">
        <f t="shared" si="247"/>
        <v>_</v>
      </c>
      <c r="AG163" s="28" t="s">
        <v>76</v>
      </c>
      <c r="AH163" s="2" t="str">
        <f t="shared" si="248"/>
        <v/>
      </c>
    </row>
    <row r="164" spans="1:39" x14ac:dyDescent="0.25">
      <c r="AA164" s="2"/>
      <c r="AB164" s="2"/>
      <c r="AC164" s="2"/>
      <c r="AD164" s="2"/>
      <c r="AE164" s="2"/>
    </row>
    <row r="165" spans="1:39" x14ac:dyDescent="0.25">
      <c r="B165" s="2" t="str">
        <f t="shared" ref="B165:B168" si="249">_xlfn.CONCAT("@",AA165,AB165,AC165,AD165,AE165,AF165,AG165,AH165,AI165)</f>
        <v>@line_offset-footway_right_z12</v>
      </c>
      <c r="C165" s="28" t="s">
        <v>84</v>
      </c>
      <c r="D165" s="28" t="s">
        <v>85</v>
      </c>
      <c r="F165" s="28" t="s">
        <v>363</v>
      </c>
      <c r="G165" s="28" t="s">
        <v>364</v>
      </c>
      <c r="I165" s="28" t="s">
        <v>363</v>
      </c>
      <c r="J165" s="28" t="s">
        <v>364</v>
      </c>
      <c r="L165" s="28" t="s">
        <v>363</v>
      </c>
      <c r="M165" s="28" t="s">
        <v>364</v>
      </c>
      <c r="U165" s="28" t="s">
        <v>84</v>
      </c>
      <c r="V165" s="28" t="s">
        <v>85</v>
      </c>
      <c r="X165" s="28" t="s">
        <v>363</v>
      </c>
      <c r="Y165" s="28" t="s">
        <v>364</v>
      </c>
      <c r="AA165" s="2" t="s">
        <v>355</v>
      </c>
      <c r="AB165" s="2" t="str">
        <f t="shared" ref="AB165:AB168" si="250">IF(NOT(ISBLANK(AC165)),"-","")</f>
        <v>-</v>
      </c>
      <c r="AC165" s="2" t="s">
        <v>34</v>
      </c>
      <c r="AD165" s="2" t="str">
        <f t="shared" ref="AD165:AD168" si="251">IF(NOT(ISBLANK(AE165)),"_","")</f>
        <v>_</v>
      </c>
      <c r="AE165" s="2" t="s">
        <v>365</v>
      </c>
      <c r="AF165" s="2" t="str">
        <f t="shared" ref="AF165:AF168" si="252">IF(NOT(ISBLANK(AG165)),"_","")</f>
        <v>_</v>
      </c>
      <c r="AG165" s="28" t="s">
        <v>109</v>
      </c>
      <c r="AH165" s="2" t="str">
        <f t="shared" ref="AH165:AH168" si="253">IF(NOT(ISBLANK(AI165)),"_","")</f>
        <v/>
      </c>
    </row>
    <row r="166" spans="1:39" x14ac:dyDescent="0.25">
      <c r="B166" s="2" t="str">
        <f t="shared" si="249"/>
        <v>@line_offset-footway_right_z14</v>
      </c>
      <c r="C166" s="28" t="s">
        <v>88</v>
      </c>
      <c r="D166" s="28" t="s">
        <v>92</v>
      </c>
      <c r="F166" s="28" t="s">
        <v>359</v>
      </c>
      <c r="G166" s="28" t="s">
        <v>360</v>
      </c>
      <c r="I166" s="28" t="s">
        <v>359</v>
      </c>
      <c r="J166" s="28" t="s">
        <v>360</v>
      </c>
      <c r="L166" s="28" t="s">
        <v>359</v>
      </c>
      <c r="M166" s="28" t="s">
        <v>360</v>
      </c>
      <c r="U166" s="28" t="s">
        <v>88</v>
      </c>
      <c r="V166" s="28" t="s">
        <v>92</v>
      </c>
      <c r="X166" s="28" t="s">
        <v>359</v>
      </c>
      <c r="Y166" s="28" t="s">
        <v>360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74</v>
      </c>
      <c r="AH166" s="2" t="str">
        <f t="shared" si="253"/>
        <v/>
      </c>
    </row>
    <row r="167" spans="1:39" x14ac:dyDescent="0.25">
      <c r="B167" s="2" t="str">
        <f t="shared" si="249"/>
        <v>@line_offset-footway_right_z16</v>
      </c>
      <c r="C167" s="28" t="s">
        <v>134</v>
      </c>
      <c r="D167" s="28" t="s">
        <v>327</v>
      </c>
      <c r="F167" s="28" t="s">
        <v>358</v>
      </c>
      <c r="G167" s="28" t="s">
        <v>361</v>
      </c>
      <c r="I167" s="28" t="s">
        <v>358</v>
      </c>
      <c r="J167" s="28" t="s">
        <v>361</v>
      </c>
      <c r="L167" s="28" t="s">
        <v>358</v>
      </c>
      <c r="M167" s="28" t="s">
        <v>361</v>
      </c>
      <c r="U167" s="28" t="s">
        <v>134</v>
      </c>
      <c r="V167" s="28" t="s">
        <v>327</v>
      </c>
      <c r="X167" s="28" t="s">
        <v>358</v>
      </c>
      <c r="Y167" s="28" t="s">
        <v>361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75</v>
      </c>
      <c r="AH167" s="2" t="str">
        <f t="shared" si="253"/>
        <v/>
      </c>
    </row>
    <row r="168" spans="1:39" x14ac:dyDescent="0.25">
      <c r="B168" s="2" t="str">
        <f t="shared" si="249"/>
        <v>@line_offset-footway_right_z18</v>
      </c>
      <c r="C168" s="28" t="s">
        <v>366</v>
      </c>
      <c r="D168" s="28" t="s">
        <v>339</v>
      </c>
      <c r="F168" s="28" t="s">
        <v>357</v>
      </c>
      <c r="G168" s="28" t="s">
        <v>362</v>
      </c>
      <c r="I168" s="28" t="s">
        <v>357</v>
      </c>
      <c r="J168" s="28" t="s">
        <v>362</v>
      </c>
      <c r="L168" s="28" t="s">
        <v>357</v>
      </c>
      <c r="M168" s="28" t="s">
        <v>362</v>
      </c>
      <c r="U168" s="28" t="s">
        <v>366</v>
      </c>
      <c r="V168" s="28" t="s">
        <v>339</v>
      </c>
      <c r="X168" s="28" t="s">
        <v>357</v>
      </c>
      <c r="Y168" s="28" t="s">
        <v>362</v>
      </c>
      <c r="AA168" s="2" t="s">
        <v>355</v>
      </c>
      <c r="AB168" s="2" t="str">
        <f t="shared" si="250"/>
        <v>-</v>
      </c>
      <c r="AC168" s="2" t="s">
        <v>34</v>
      </c>
      <c r="AD168" s="2" t="str">
        <f t="shared" si="251"/>
        <v>_</v>
      </c>
      <c r="AE168" s="2" t="s">
        <v>365</v>
      </c>
      <c r="AF168" s="2" t="str">
        <f t="shared" si="252"/>
        <v>_</v>
      </c>
      <c r="AG168" s="28" t="s">
        <v>76</v>
      </c>
      <c r="AH168" s="2" t="str">
        <f t="shared" si="253"/>
        <v/>
      </c>
    </row>
    <row r="169" spans="1:39" x14ac:dyDescent="0.25">
      <c r="AA169" s="2"/>
      <c r="AB169" s="2"/>
      <c r="AC169" s="2"/>
      <c r="AD169" s="2"/>
      <c r="AE169" s="2"/>
    </row>
    <row r="170" spans="1:39" s="2" customFormat="1" x14ac:dyDescent="0.25">
      <c r="A170" s="3" t="s">
        <v>39</v>
      </c>
      <c r="B170" s="3"/>
      <c r="C170" s="27"/>
      <c r="D170" s="6"/>
      <c r="E170" s="7"/>
      <c r="F170" s="6"/>
      <c r="G170" s="6"/>
      <c r="H170" s="7"/>
      <c r="I170" s="6"/>
      <c r="J170" s="6"/>
      <c r="K170" s="7"/>
      <c r="L170" s="6"/>
      <c r="M170" s="6"/>
      <c r="N170" s="7"/>
      <c r="O170" s="6"/>
      <c r="P170" s="6"/>
      <c r="Q170" s="7"/>
      <c r="R170" s="6"/>
      <c r="S170" s="6"/>
      <c r="T170" s="7"/>
      <c r="U170" s="6"/>
      <c r="V170" s="6"/>
      <c r="W170" s="7"/>
      <c r="X170" s="6"/>
      <c r="Y170" s="6"/>
      <c r="AA170" s="4"/>
      <c r="AB170" s="4" t="str">
        <f t="shared" si="181"/>
        <v/>
      </c>
      <c r="AC170" s="4"/>
      <c r="AD170" s="4" t="str">
        <f t="shared" si="182"/>
        <v/>
      </c>
      <c r="AE170" s="4"/>
      <c r="AF170" s="4" t="str">
        <f t="shared" si="183"/>
        <v/>
      </c>
      <c r="AG170" s="4"/>
      <c r="AH170" s="4" t="str">
        <f t="shared" si="184"/>
        <v/>
      </c>
      <c r="AI170" s="4"/>
    </row>
    <row r="171" spans="1:39" x14ac:dyDescent="0.25">
      <c r="B171" s="2" t="str">
        <f t="shared" ref="B171:B174" si="254">_xlfn.CONCAT("@",AA171,AB171,AC171,AD171,AE171,AF171,AG171,AH171,AI171)</f>
        <v>@color-obstacle_vegetation</v>
      </c>
      <c r="C171" s="53" t="s">
        <v>187</v>
      </c>
      <c r="D171" s="54" t="str">
        <f>C171</f>
        <v>"#4a9100"</v>
      </c>
      <c r="F171" s="53" t="s">
        <v>187</v>
      </c>
      <c r="G171" s="54" t="str">
        <f>F171</f>
        <v>"#4a9100"</v>
      </c>
      <c r="I171" s="53" t="s">
        <v>187</v>
      </c>
      <c r="J171" s="54" t="str">
        <f>I171</f>
        <v>"#4a9100"</v>
      </c>
      <c r="L171" s="53" t="s">
        <v>187</v>
      </c>
      <c r="M171" s="54" t="str">
        <f>L171</f>
        <v>"#4a9100"</v>
      </c>
      <c r="U171" s="53" t="s">
        <v>187</v>
      </c>
      <c r="V171" s="54" t="str">
        <f>U171</f>
        <v>"#4a9100"</v>
      </c>
      <c r="X171" s="53" t="s">
        <v>187</v>
      </c>
      <c r="Y171" s="54" t="str">
        <f>X171</f>
        <v>"#4a9100"</v>
      </c>
      <c r="AA171" s="2" t="s">
        <v>6</v>
      </c>
      <c r="AB171" s="2" t="str">
        <f t="shared" si="181"/>
        <v>-</v>
      </c>
      <c r="AC171" s="2" t="s">
        <v>35</v>
      </c>
      <c r="AD171" s="2" t="str">
        <f t="shared" si="182"/>
        <v>_</v>
      </c>
      <c r="AE171" s="2" t="s">
        <v>36</v>
      </c>
      <c r="AF171" s="2" t="str">
        <f t="shared" si="183"/>
        <v/>
      </c>
      <c r="AG171" s="2"/>
      <c r="AH171" s="2" t="str">
        <f t="shared" si="184"/>
        <v/>
      </c>
      <c r="AI171" s="2"/>
      <c r="AJ171" s="2"/>
      <c r="AK171" s="2"/>
      <c r="AL171" s="2"/>
      <c r="AM171" s="2"/>
    </row>
    <row r="172" spans="1:39" x14ac:dyDescent="0.25">
      <c r="B172" s="2" t="str">
        <f t="shared" si="254"/>
        <v>@color-surface_mud</v>
      </c>
      <c r="C172" s="55" t="s">
        <v>188</v>
      </c>
      <c r="D172" s="56" t="str">
        <f>C172</f>
        <v>"#0e84ed"</v>
      </c>
      <c r="F172" s="55" t="s">
        <v>188</v>
      </c>
      <c r="G172" s="56" t="str">
        <f>F172</f>
        <v>"#0e84ed"</v>
      </c>
      <c r="I172" s="55" t="s">
        <v>188</v>
      </c>
      <c r="J172" s="56" t="str">
        <f>I172</f>
        <v>"#0e84ed"</v>
      </c>
      <c r="L172" s="55" t="s">
        <v>188</v>
      </c>
      <c r="M172" s="56" t="str">
        <f>L172</f>
        <v>"#0e84ed"</v>
      </c>
      <c r="U172" s="55" t="s">
        <v>188</v>
      </c>
      <c r="V172" s="56" t="str">
        <f>U172</f>
        <v>"#0e84ed"</v>
      </c>
      <c r="X172" s="55" t="s">
        <v>188</v>
      </c>
      <c r="Y172" s="56" t="str">
        <f>X172</f>
        <v>"#0e84ed"</v>
      </c>
      <c r="AA172" s="2" t="s">
        <v>6</v>
      </c>
      <c r="AB172" s="2" t="str">
        <f t="shared" si="181"/>
        <v>-</v>
      </c>
      <c r="AC172" s="2" t="s">
        <v>37</v>
      </c>
      <c r="AD172" s="2" t="str">
        <f t="shared" si="182"/>
        <v>_</v>
      </c>
      <c r="AE172" s="2" t="s">
        <v>38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@color-access_no</v>
      </c>
      <c r="C173" s="57" t="s">
        <v>189</v>
      </c>
      <c r="D173" s="58" t="str">
        <f>C173</f>
        <v>"#ff003d"</v>
      </c>
      <c r="F173" s="57" t="s">
        <v>189</v>
      </c>
      <c r="G173" s="58" t="str">
        <f>F173</f>
        <v>"#ff003d"</v>
      </c>
      <c r="I173" s="57" t="s">
        <v>189</v>
      </c>
      <c r="J173" s="58" t="str">
        <f>I173</f>
        <v>"#ff003d"</v>
      </c>
      <c r="L173" s="57" t="s">
        <v>189</v>
      </c>
      <c r="M173" s="58" t="str">
        <f>L173</f>
        <v>"#ff003d"</v>
      </c>
      <c r="U173" s="57" t="s">
        <v>189</v>
      </c>
      <c r="V173" s="58" t="str">
        <f>U173</f>
        <v>"#ff003d"</v>
      </c>
      <c r="X173" s="57" t="s">
        <v>189</v>
      </c>
      <c r="Y173" s="58" t="str">
        <f>X173</f>
        <v>"#ff003d"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41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B174" s="2" t="str">
        <f t="shared" si="254"/>
        <v>@color-access_discouraged</v>
      </c>
      <c r="C174" s="59" t="s">
        <v>190</v>
      </c>
      <c r="D174" s="60" t="str">
        <f>C174</f>
        <v>"#ff6a00"</v>
      </c>
      <c r="F174" s="59" t="s">
        <v>190</v>
      </c>
      <c r="G174" s="60" t="str">
        <f>F174</f>
        <v>"#ff6a00"</v>
      </c>
      <c r="I174" s="59" t="s">
        <v>190</v>
      </c>
      <c r="J174" s="60" t="str">
        <f>I174</f>
        <v>"#ff6a00"</v>
      </c>
      <c r="L174" s="59" t="s">
        <v>190</v>
      </c>
      <c r="M174" s="60" t="str">
        <f>L174</f>
        <v>"#ff6a00"</v>
      </c>
      <c r="U174" s="59" t="s">
        <v>190</v>
      </c>
      <c r="V174" s="60" t="str">
        <f>U174</f>
        <v>"#ff6a00"</v>
      </c>
      <c r="X174" s="59" t="s">
        <v>190</v>
      </c>
      <c r="Y174" s="60" t="str">
        <f>X174</f>
        <v>"#ff6a00"</v>
      </c>
      <c r="AA174" s="2" t="s">
        <v>6</v>
      </c>
      <c r="AB174" s="2" t="str">
        <f t="shared" si="181"/>
        <v>-</v>
      </c>
      <c r="AC174" s="2" t="s">
        <v>40</v>
      </c>
      <c r="AD174" s="2" t="str">
        <f t="shared" si="182"/>
        <v>_</v>
      </c>
      <c r="AE174" s="2" t="s">
        <v>42</v>
      </c>
      <c r="AF174" s="2" t="str">
        <f t="shared" si="183"/>
        <v/>
      </c>
      <c r="AG174" s="2"/>
      <c r="AH174" s="2" t="str">
        <f t="shared" si="184"/>
        <v/>
      </c>
      <c r="AI174" s="2"/>
    </row>
    <row r="175" spans="1:39" x14ac:dyDescent="0.25">
      <c r="AB175" s="28" t="str">
        <f t="shared" ref="AB175:AB177" si="255">IF(NOT(ISBLANK(AC175)),"-","")</f>
        <v/>
      </c>
      <c r="AD175" s="28" t="str">
        <f t="shared" ref="AD175:AD177" si="256">IF(NOT(ISBLANK(AE175)),"_","")</f>
        <v/>
      </c>
      <c r="AF175" s="28" t="str">
        <f t="shared" ref="AF175:AF177" si="257">IF(NOT(ISBLANK(AG175)),"_","")</f>
        <v/>
      </c>
      <c r="AH175" s="28" t="str">
        <f t="shared" si="184"/>
        <v/>
      </c>
    </row>
    <row r="176" spans="1:39" s="2" customFormat="1" x14ac:dyDescent="0.25">
      <c r="A176" s="3" t="s">
        <v>268</v>
      </c>
      <c r="B176" s="3"/>
      <c r="C176" s="27"/>
      <c r="D176" s="6"/>
      <c r="E176" s="7"/>
      <c r="F176" s="6"/>
      <c r="G176" s="6"/>
      <c r="H176" s="7"/>
      <c r="I176" s="27"/>
      <c r="J176" s="6"/>
      <c r="K176" s="7"/>
      <c r="L176" s="6"/>
      <c r="M176" s="6"/>
      <c r="N176" s="7"/>
      <c r="O176" s="6"/>
      <c r="P176" s="6"/>
      <c r="Q176" s="7"/>
      <c r="R176" s="6"/>
      <c r="S176" s="6"/>
      <c r="T176" s="7"/>
      <c r="U176" s="6"/>
      <c r="V176" s="6"/>
      <c r="W176" s="7"/>
      <c r="X176" s="6"/>
      <c r="Y176" s="6"/>
      <c r="AA176" s="4"/>
      <c r="AB176" s="4" t="str">
        <f t="shared" si="255"/>
        <v/>
      </c>
      <c r="AC176" s="4"/>
      <c r="AD176" s="4" t="str">
        <f t="shared" si="256"/>
        <v/>
      </c>
      <c r="AE176" s="4"/>
      <c r="AF176" s="4" t="str">
        <f t="shared" si="257"/>
        <v/>
      </c>
      <c r="AG176" s="4"/>
      <c r="AH176" s="4" t="str">
        <f t="shared" si="184"/>
        <v/>
      </c>
      <c r="AI176" s="4"/>
    </row>
    <row r="177" spans="2:35" x14ac:dyDescent="0.25">
      <c r="B177" s="2" t="str">
        <f t="shared" ref="B177:B192" si="258">_xlfn.CONCAT("@",AA177,AB177,AC177,AD177,AE177,AF177,AG177,AH177,AI177)</f>
        <v>@color-building_area_residential</v>
      </c>
      <c r="C177" s="61" t="s">
        <v>257</v>
      </c>
      <c r="D177" s="61" t="s">
        <v>257</v>
      </c>
      <c r="F177" s="62" t="s">
        <v>247</v>
      </c>
      <c r="G177" s="118" t="s">
        <v>228</v>
      </c>
      <c r="I177" s="61" t="s">
        <v>257</v>
      </c>
      <c r="J177" s="61" t="s">
        <v>257</v>
      </c>
      <c r="L177" s="62" t="s">
        <v>247</v>
      </c>
      <c r="M177" s="118" t="s">
        <v>228</v>
      </c>
      <c r="U177" s="61" t="s">
        <v>257</v>
      </c>
      <c r="V177" s="61" t="s">
        <v>257</v>
      </c>
      <c r="X177" s="62" t="s">
        <v>247</v>
      </c>
      <c r="Y177" s="118" t="s">
        <v>228</v>
      </c>
      <c r="AA177" s="2" t="s">
        <v>6</v>
      </c>
      <c r="AB177" s="2" t="str">
        <f t="shared" si="255"/>
        <v>-</v>
      </c>
      <c r="AC177" s="2" t="s">
        <v>253</v>
      </c>
      <c r="AD177" s="2" t="str">
        <f t="shared" si="256"/>
        <v>_</v>
      </c>
      <c r="AE177" s="2" t="s">
        <v>259</v>
      </c>
      <c r="AF177" s="2" t="str">
        <f t="shared" si="257"/>
        <v>_</v>
      </c>
      <c r="AG177" s="2" t="s">
        <v>64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@color-building_area_generic</v>
      </c>
      <c r="C178" s="63" t="s">
        <v>256</v>
      </c>
      <c r="D178" s="63" t="s">
        <v>256</v>
      </c>
      <c r="F178" s="64" t="s">
        <v>254</v>
      </c>
      <c r="G178" s="149" t="s">
        <v>367</v>
      </c>
      <c r="I178" s="63" t="s">
        <v>256</v>
      </c>
      <c r="J178" s="63" t="s">
        <v>256</v>
      </c>
      <c r="L178" s="64" t="s">
        <v>254</v>
      </c>
      <c r="M178" s="149" t="s">
        <v>367</v>
      </c>
      <c r="U178" s="63" t="s">
        <v>256</v>
      </c>
      <c r="V178" s="63" t="s">
        <v>256</v>
      </c>
      <c r="X178" s="64" t="s">
        <v>254</v>
      </c>
      <c r="Y178" s="149" t="s">
        <v>367</v>
      </c>
      <c r="AA178" s="2" t="s">
        <v>6</v>
      </c>
      <c r="AB178" s="2" t="str">
        <f t="shared" ref="AB178" si="259">IF(NOT(ISBLANK(AC178)),"-","")</f>
        <v>-</v>
      </c>
      <c r="AC178" s="2" t="s">
        <v>253</v>
      </c>
      <c r="AD178" s="2" t="str">
        <f t="shared" ref="AD178" si="260">IF(NOT(ISBLANK(AE178)),"_","")</f>
        <v>_</v>
      </c>
      <c r="AE178" s="2" t="s">
        <v>259</v>
      </c>
      <c r="AF178" s="2" t="str">
        <f t="shared" ref="AF178" si="261">IF(NOT(ISBLANK(AG178)),"_","")</f>
        <v>_</v>
      </c>
      <c r="AG178" s="2" t="s">
        <v>255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@color-building_line_top</v>
      </c>
      <c r="C179" s="63" t="s">
        <v>256</v>
      </c>
      <c r="D179" s="63" t="s">
        <v>256</v>
      </c>
      <c r="F179" s="64" t="s">
        <v>254</v>
      </c>
      <c r="G179" s="149" t="s">
        <v>367</v>
      </c>
      <c r="I179" s="63" t="s">
        <v>256</v>
      </c>
      <c r="J179" s="63" t="s">
        <v>256</v>
      </c>
      <c r="L179" s="64" t="s">
        <v>254</v>
      </c>
      <c r="M179" s="149" t="s">
        <v>367</v>
      </c>
      <c r="U179" s="63" t="s">
        <v>256</v>
      </c>
      <c r="V179" s="63" t="s">
        <v>256</v>
      </c>
      <c r="X179" s="64" t="s">
        <v>254</v>
      </c>
      <c r="Y179" s="149" t="s">
        <v>367</v>
      </c>
      <c r="AA179" s="2" t="s">
        <v>6</v>
      </c>
      <c r="AB179" s="2" t="str">
        <f t="shared" ref="AB179" si="262">IF(NOT(ISBLANK(AC179)),"-","")</f>
        <v>-</v>
      </c>
      <c r="AC179" s="2" t="s">
        <v>253</v>
      </c>
      <c r="AD179" s="2" t="str">
        <f t="shared" ref="AD179" si="263">IF(NOT(ISBLANK(AE179)),"_","")</f>
        <v>_</v>
      </c>
      <c r="AE179" s="2" t="s">
        <v>13</v>
      </c>
      <c r="AF179" s="2" t="str">
        <f t="shared" ref="AF179" si="264">IF(NOT(ISBLANK(AG179)),"_","")</f>
        <v>_</v>
      </c>
      <c r="AG179" s="2" t="s">
        <v>258</v>
      </c>
      <c r="AH179" s="2" t="str">
        <f t="shared" si="184"/>
        <v/>
      </c>
      <c r="AI179" s="2"/>
    </row>
    <row r="180" spans="2:35" x14ac:dyDescent="0.25">
      <c r="B180" s="2" t="str">
        <f t="shared" si="258"/>
        <v>@color-contours_line</v>
      </c>
      <c r="C180" s="65" t="s">
        <v>191</v>
      </c>
      <c r="D180" s="66" t="str">
        <f>C180</f>
        <v>"#916f4c"</v>
      </c>
      <c r="F180" s="67" t="s">
        <v>269</v>
      </c>
      <c r="G180" s="67" t="str">
        <f>F180</f>
        <v>"#5f472f"</v>
      </c>
      <c r="I180" s="65" t="s">
        <v>191</v>
      </c>
      <c r="J180" s="66" t="str">
        <f>I180</f>
        <v>"#916f4c"</v>
      </c>
      <c r="L180" s="67" t="s">
        <v>269</v>
      </c>
      <c r="M180" s="67" t="str">
        <f>L180</f>
        <v>"#5f472f"</v>
      </c>
      <c r="U180" s="65" t="s">
        <v>191</v>
      </c>
      <c r="V180" s="66" t="str">
        <f>U180</f>
        <v>"#916f4c"</v>
      </c>
      <c r="X180" s="67" t="s">
        <v>269</v>
      </c>
      <c r="Y180" s="67" t="str">
        <f>X180</f>
        <v>"#5f472f"</v>
      </c>
      <c r="AA180" s="2" t="s">
        <v>6</v>
      </c>
      <c r="AB180" s="2" t="str">
        <f t="shared" ref="AB180:AB187" si="265">IF(NOT(ISBLANK(AC180)),"-","")</f>
        <v>-</v>
      </c>
      <c r="AC180" s="2" t="s">
        <v>67</v>
      </c>
      <c r="AD180" s="2" t="str">
        <f t="shared" ref="AD180:AD187" si="266">IF(NOT(ISBLANK(AE180)),"_","")</f>
        <v>_</v>
      </c>
      <c r="AE180" s="2" t="s">
        <v>13</v>
      </c>
      <c r="AF180" s="2" t="str">
        <f>IF(NOT(ISBLANK(AG180)),"_","")</f>
        <v/>
      </c>
      <c r="AG180" s="2"/>
      <c r="AH180" s="2" t="str">
        <f>IF(NOT(ISBLANK(AI180)),"_","")</f>
        <v/>
      </c>
      <c r="AI180" s="2"/>
    </row>
    <row r="181" spans="2:35" x14ac:dyDescent="0.25">
      <c r="B181" s="2" t="str">
        <f t="shared" ref="B181" si="267">_xlfn.CONCAT("@",AA181,AB181,AC181,AD181,AE181,AF181,AG181,AH181,AI181)</f>
        <v>@color-water_contours_line_1500</v>
      </c>
      <c r="C181" s="141" t="s">
        <v>315</v>
      </c>
      <c r="D181" s="145" t="s">
        <v>320</v>
      </c>
      <c r="F181" s="142" t="s">
        <v>316</v>
      </c>
      <c r="G181" s="142" t="s">
        <v>316</v>
      </c>
      <c r="I181" s="141" t="s">
        <v>315</v>
      </c>
      <c r="J181" s="145" t="s">
        <v>320</v>
      </c>
      <c r="L181" s="142" t="s">
        <v>316</v>
      </c>
      <c r="M181" s="142" t="s">
        <v>316</v>
      </c>
      <c r="U181" s="141" t="s">
        <v>315</v>
      </c>
      <c r="V181" s="145" t="s">
        <v>320</v>
      </c>
      <c r="X181" s="142" t="s">
        <v>316</v>
      </c>
      <c r="Y181" s="142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1500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8">_xlfn.CONCAT("@",AA182,AB182,AC182,AD182,AE182,AF182,AG182,AH182,AI182)</f>
        <v>@color-water_contours_line_3000</v>
      </c>
      <c r="C182" s="143" t="s">
        <v>318</v>
      </c>
      <c r="D182" s="146" t="s">
        <v>321</v>
      </c>
      <c r="F182" s="142" t="s">
        <v>316</v>
      </c>
      <c r="G182" s="142" t="s">
        <v>316</v>
      </c>
      <c r="I182" s="143" t="s">
        <v>318</v>
      </c>
      <c r="J182" s="146" t="s">
        <v>321</v>
      </c>
      <c r="L182" s="142" t="s">
        <v>316</v>
      </c>
      <c r="M182" s="142" t="s">
        <v>316</v>
      </c>
      <c r="U182" s="143" t="s">
        <v>318</v>
      </c>
      <c r="V182" s="146" t="s">
        <v>321</v>
      </c>
      <c r="X182" s="142" t="s">
        <v>316</v>
      </c>
      <c r="Y182" s="142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3000</v>
      </c>
      <c r="AH182" s="2" t="str">
        <f>IF(NOT(ISBLANK(AI182)),"_","")</f>
        <v/>
      </c>
      <c r="AI182" s="2"/>
    </row>
    <row r="183" spans="2:35" x14ac:dyDescent="0.25">
      <c r="B183" s="2" t="str">
        <f t="shared" ref="B183" si="269">_xlfn.CONCAT("@",AA183,AB183,AC183,AD183,AE183,AF183,AG183,AH183,AI183)</f>
        <v>@color-water_contours_line_6000</v>
      </c>
      <c r="C183" s="144" t="s">
        <v>319</v>
      </c>
      <c r="D183" s="147" t="s">
        <v>322</v>
      </c>
      <c r="F183" s="142" t="s">
        <v>316</v>
      </c>
      <c r="G183" s="142" t="s">
        <v>316</v>
      </c>
      <c r="I183" s="144" t="s">
        <v>319</v>
      </c>
      <c r="J183" s="147" t="s">
        <v>322</v>
      </c>
      <c r="L183" s="142" t="s">
        <v>316</v>
      </c>
      <c r="M183" s="142" t="s">
        <v>316</v>
      </c>
      <c r="U183" s="144" t="s">
        <v>319</v>
      </c>
      <c r="V183" s="147" t="s">
        <v>322</v>
      </c>
      <c r="X183" s="142" t="s">
        <v>316</v>
      </c>
      <c r="Y183" s="142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>
        <v>6000</v>
      </c>
      <c r="AH183" s="2" t="str">
        <f t="shared" ref="AH183:AH204" si="270">IF(NOT(ISBLANK(AI183)),"_","")</f>
        <v/>
      </c>
      <c r="AI183" s="2"/>
    </row>
    <row r="184" spans="2:35" x14ac:dyDescent="0.25">
      <c r="B184" s="2" t="str">
        <f t="shared" ref="B184:B185" si="271">_xlfn.CONCAT("@",AA184,AB184,AC184,AD184,AE184,AF184,AG184,AH184,AI184)</f>
        <v>@color-water_contours_line_over6000</v>
      </c>
      <c r="C184" s="145" t="s">
        <v>320</v>
      </c>
      <c r="D184" s="148" t="s">
        <v>323</v>
      </c>
      <c r="F184" s="142" t="s">
        <v>316</v>
      </c>
      <c r="G184" s="142" t="s">
        <v>316</v>
      </c>
      <c r="I184" s="145" t="s">
        <v>320</v>
      </c>
      <c r="J184" s="148" t="s">
        <v>323</v>
      </c>
      <c r="L184" s="142" t="s">
        <v>316</v>
      </c>
      <c r="M184" s="142" t="s">
        <v>316</v>
      </c>
      <c r="U184" s="145" t="s">
        <v>320</v>
      </c>
      <c r="V184" s="148" t="s">
        <v>323</v>
      </c>
      <c r="X184" s="142" t="s">
        <v>316</v>
      </c>
      <c r="Y184" s="142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13</v>
      </c>
      <c r="AF184" s="2" t="str">
        <f>IF(NOT(ISBLANK(AG184)),"_","")</f>
        <v>_</v>
      </c>
      <c r="AG184" s="2" t="s">
        <v>317</v>
      </c>
      <c r="AH184" s="2" t="str">
        <f t="shared" si="270"/>
        <v/>
      </c>
      <c r="AI184" s="2"/>
    </row>
    <row r="185" spans="2:35" x14ac:dyDescent="0.25">
      <c r="B185" s="2" t="str">
        <f t="shared" si="271"/>
        <v>@color-water_contours_label</v>
      </c>
      <c r="C185" s="144" t="s">
        <v>319</v>
      </c>
      <c r="D185" s="147" t="s">
        <v>322</v>
      </c>
      <c r="F185" s="142" t="s">
        <v>316</v>
      </c>
      <c r="G185" s="142" t="s">
        <v>316</v>
      </c>
      <c r="I185" s="144" t="s">
        <v>319</v>
      </c>
      <c r="J185" s="147" t="s">
        <v>322</v>
      </c>
      <c r="L185" s="142" t="s">
        <v>316</v>
      </c>
      <c r="M185" s="142" t="s">
        <v>316</v>
      </c>
      <c r="U185" s="144" t="s">
        <v>319</v>
      </c>
      <c r="V185" s="147" t="s">
        <v>322</v>
      </c>
      <c r="X185" s="142" t="s">
        <v>316</v>
      </c>
      <c r="Y185" s="142" t="s">
        <v>316</v>
      </c>
      <c r="AA185" s="2" t="s">
        <v>6</v>
      </c>
      <c r="AB185" s="2" t="str">
        <f t="shared" si="265"/>
        <v>-</v>
      </c>
      <c r="AC185" s="2" t="s">
        <v>314</v>
      </c>
      <c r="AD185" s="2" t="str">
        <f t="shared" si="266"/>
        <v>_</v>
      </c>
      <c r="AE185" s="2" t="s">
        <v>271</v>
      </c>
      <c r="AF185" s="2" t="str">
        <f t="shared" ref="AF185:AF204" si="272">IF(NOT(ISBLANK(AG185)),"_","")</f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ref="B186" si="273">_xlfn.CONCAT("@",AA186,AB186,AC186,AD186,AE186,AF186,AG186,AH186,AI186)</f>
        <v>@color-water_shipping_lane</v>
      </c>
      <c r="C186" s="48" t="s">
        <v>214</v>
      </c>
      <c r="D186" s="48" t="s">
        <v>214</v>
      </c>
      <c r="F186" s="47" t="s">
        <v>222</v>
      </c>
      <c r="G186" s="47" t="s">
        <v>222</v>
      </c>
      <c r="I186" s="48" t="s">
        <v>214</v>
      </c>
      <c r="J186" s="48" t="s">
        <v>214</v>
      </c>
      <c r="L186" s="47" t="s">
        <v>222</v>
      </c>
      <c r="M186" s="47" t="s">
        <v>222</v>
      </c>
      <c r="U186" s="48" t="s">
        <v>214</v>
      </c>
      <c r="V186" s="48" t="s">
        <v>214</v>
      </c>
      <c r="X186" s="47" t="s">
        <v>222</v>
      </c>
      <c r="Y186" s="47" t="s">
        <v>222</v>
      </c>
      <c r="AA186" s="2" t="s">
        <v>6</v>
      </c>
      <c r="AB186" s="2" t="str">
        <f t="shared" si="265"/>
        <v>-</v>
      </c>
      <c r="AC186" s="2" t="s">
        <v>324</v>
      </c>
      <c r="AD186" s="2" t="str">
        <f t="shared" si="266"/>
        <v/>
      </c>
      <c r="AE186" s="2"/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B187" s="2" t="str">
        <f t="shared" si="258"/>
        <v>@color-cliff_line</v>
      </c>
      <c r="C187" s="48" t="s">
        <v>214</v>
      </c>
      <c r="D187" s="48" t="s">
        <v>214</v>
      </c>
      <c r="F187" s="47" t="s">
        <v>222</v>
      </c>
      <c r="G187" s="47" t="s">
        <v>222</v>
      </c>
      <c r="I187" s="48" t="s">
        <v>214</v>
      </c>
      <c r="J187" s="48" t="s">
        <v>214</v>
      </c>
      <c r="L187" s="47" t="s">
        <v>222</v>
      </c>
      <c r="M187" s="47" t="s">
        <v>222</v>
      </c>
      <c r="U187" s="48" t="s">
        <v>214</v>
      </c>
      <c r="V187" s="48" t="s">
        <v>214</v>
      </c>
      <c r="X187" s="47" t="s">
        <v>222</v>
      </c>
      <c r="Y187" s="47" t="s">
        <v>222</v>
      </c>
      <c r="AA187" s="2" t="s">
        <v>6</v>
      </c>
      <c r="AB187" s="2" t="str">
        <f t="shared" si="265"/>
        <v>-</v>
      </c>
      <c r="AC187" s="2" t="s">
        <v>270</v>
      </c>
      <c r="AD187" s="2" t="str">
        <f t="shared" si="266"/>
        <v>_</v>
      </c>
      <c r="AE187" s="2" t="s">
        <v>13</v>
      </c>
      <c r="AF187" s="2" t="str">
        <f t="shared" si="272"/>
        <v/>
      </c>
      <c r="AG187" s="2"/>
      <c r="AH187" s="2" t="str">
        <f t="shared" si="270"/>
        <v/>
      </c>
      <c r="AI187" s="2"/>
    </row>
    <row r="188" spans="2:35" x14ac:dyDescent="0.25">
      <c r="AB188" s="28" t="str">
        <f t="shared" si="181"/>
        <v/>
      </c>
      <c r="AD188" s="28" t="str">
        <f t="shared" si="182"/>
        <v/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@line_width-ditch_z12</v>
      </c>
      <c r="C189" s="28" t="s">
        <v>95</v>
      </c>
      <c r="D189" s="28" t="s">
        <v>80</v>
      </c>
      <c r="F189" s="28" t="s">
        <v>95</v>
      </c>
      <c r="G189" s="28" t="s">
        <v>80</v>
      </c>
      <c r="I189" s="28" t="s">
        <v>95</v>
      </c>
      <c r="J189" s="28" t="s">
        <v>80</v>
      </c>
      <c r="L189" s="28" t="s">
        <v>95</v>
      </c>
      <c r="M189" s="28" t="s">
        <v>80</v>
      </c>
      <c r="O189" s="28" t="s">
        <v>95</v>
      </c>
      <c r="P189" s="28" t="s">
        <v>80</v>
      </c>
      <c r="R189" s="28" t="s">
        <v>95</v>
      </c>
      <c r="S189" s="28" t="s">
        <v>80</v>
      </c>
      <c r="U189" s="28" t="s">
        <v>95</v>
      </c>
      <c r="V189" s="28" t="s">
        <v>80</v>
      </c>
      <c r="X189" s="28" t="s">
        <v>95</v>
      </c>
      <c r="Y189" s="28" t="s">
        <v>80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109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@line_width-ditch_z14</v>
      </c>
      <c r="C190" s="28" t="s">
        <v>84</v>
      </c>
      <c r="D190" s="28" t="s">
        <v>85</v>
      </c>
      <c r="F190" s="28" t="s">
        <v>84</v>
      </c>
      <c r="G190" s="28" t="s">
        <v>85</v>
      </c>
      <c r="I190" s="28" t="s">
        <v>84</v>
      </c>
      <c r="J190" s="28" t="s">
        <v>85</v>
      </c>
      <c r="L190" s="28" t="s">
        <v>84</v>
      </c>
      <c r="M190" s="28" t="s">
        <v>85</v>
      </c>
      <c r="O190" s="28" t="s">
        <v>84</v>
      </c>
      <c r="P190" s="28" t="s">
        <v>85</v>
      </c>
      <c r="R190" s="28" t="s">
        <v>84</v>
      </c>
      <c r="S190" s="28" t="s">
        <v>85</v>
      </c>
      <c r="U190" s="28" t="s">
        <v>84</v>
      </c>
      <c r="V190" s="28" t="s">
        <v>85</v>
      </c>
      <c r="X190" s="28" t="s">
        <v>84</v>
      </c>
      <c r="Y190" s="28" t="s">
        <v>85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74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@line_width-ditch_z16</v>
      </c>
      <c r="C191" s="28" t="s">
        <v>92</v>
      </c>
      <c r="D191" s="28" t="s">
        <v>92</v>
      </c>
      <c r="F191" s="28" t="s">
        <v>92</v>
      </c>
      <c r="G191" s="28" t="s">
        <v>92</v>
      </c>
      <c r="I191" s="28" t="s">
        <v>92</v>
      </c>
      <c r="J191" s="28" t="s">
        <v>92</v>
      </c>
      <c r="L191" s="28" t="s">
        <v>92</v>
      </c>
      <c r="M191" s="28" t="s">
        <v>92</v>
      </c>
      <c r="O191" s="28" t="s">
        <v>92</v>
      </c>
      <c r="P191" s="28" t="s">
        <v>92</v>
      </c>
      <c r="R191" s="28" t="s">
        <v>92</v>
      </c>
      <c r="S191" s="28" t="s">
        <v>92</v>
      </c>
      <c r="U191" s="28" t="s">
        <v>92</v>
      </c>
      <c r="V191" s="28" t="s">
        <v>92</v>
      </c>
      <c r="X191" s="28" t="s">
        <v>92</v>
      </c>
      <c r="Y191" s="28" t="s">
        <v>92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75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 t="str">
        <f t="shared" si="258"/>
        <v>@line_width-ditch_z18</v>
      </c>
      <c r="C192" s="28" t="s">
        <v>327</v>
      </c>
      <c r="D192" s="28" t="s">
        <v>327</v>
      </c>
      <c r="F192" s="28" t="s">
        <v>327</v>
      </c>
      <c r="G192" s="28" t="s">
        <v>327</v>
      </c>
      <c r="I192" s="28" t="s">
        <v>327</v>
      </c>
      <c r="J192" s="28" t="s">
        <v>327</v>
      </c>
      <c r="L192" s="28" t="s">
        <v>327</v>
      </c>
      <c r="M192" s="28" t="s">
        <v>327</v>
      </c>
      <c r="O192" s="28" t="s">
        <v>327</v>
      </c>
      <c r="P192" s="28" t="s">
        <v>327</v>
      </c>
      <c r="R192" s="28" t="s">
        <v>327</v>
      </c>
      <c r="S192" s="28" t="s">
        <v>327</v>
      </c>
      <c r="U192" s="28" t="s">
        <v>327</v>
      </c>
      <c r="V192" s="28" t="s">
        <v>327</v>
      </c>
      <c r="X192" s="28" t="s">
        <v>327</v>
      </c>
      <c r="Y192" s="28" t="s">
        <v>327</v>
      </c>
      <c r="AA192" s="2" t="s">
        <v>119</v>
      </c>
      <c r="AB192" s="2" t="str">
        <f t="shared" si="181"/>
        <v>-</v>
      </c>
      <c r="AC192" s="28" t="s">
        <v>325</v>
      </c>
      <c r="AD192" s="2" t="str">
        <f t="shared" si="182"/>
        <v>_</v>
      </c>
      <c r="AE192" s="28" t="s">
        <v>76</v>
      </c>
      <c r="AF192" s="2" t="str">
        <f t="shared" si="272"/>
        <v/>
      </c>
      <c r="AH192" s="2" t="str">
        <f t="shared" si="270"/>
        <v/>
      </c>
    </row>
    <row r="193" spans="1:35" x14ac:dyDescent="0.25">
      <c r="B193" s="2"/>
      <c r="AA193" s="2"/>
      <c r="AB193" s="2"/>
      <c r="AD193" s="2"/>
      <c r="AF193" s="2"/>
      <c r="AH193" s="2"/>
    </row>
    <row r="194" spans="1:35" x14ac:dyDescent="0.25">
      <c r="B194" s="2" t="str">
        <f t="shared" ref="B194:B197" si="274">_xlfn.CONCAT("@",AA194,AB194,AC194,AD194,AE194,AF194,AG194,AH194,AI194)</f>
        <v>@line_width-stream_z12</v>
      </c>
      <c r="C194" s="28" t="s">
        <v>80</v>
      </c>
      <c r="D194" s="28" t="s">
        <v>85</v>
      </c>
      <c r="F194" s="28" t="s">
        <v>80</v>
      </c>
      <c r="G194" s="28" t="s">
        <v>85</v>
      </c>
      <c r="I194" s="28" t="s">
        <v>80</v>
      </c>
      <c r="J194" s="28" t="s">
        <v>85</v>
      </c>
      <c r="L194" s="28" t="s">
        <v>80</v>
      </c>
      <c r="M194" s="28" t="s">
        <v>85</v>
      </c>
      <c r="O194" s="28" t="s">
        <v>80</v>
      </c>
      <c r="P194" s="28" t="s">
        <v>85</v>
      </c>
      <c r="R194" s="28" t="s">
        <v>80</v>
      </c>
      <c r="S194" s="28" t="s">
        <v>85</v>
      </c>
      <c r="U194" s="28" t="s">
        <v>80</v>
      </c>
      <c r="V194" s="28" t="s">
        <v>85</v>
      </c>
      <c r="X194" s="28" t="s">
        <v>80</v>
      </c>
      <c r="Y194" s="28" t="s">
        <v>85</v>
      </c>
      <c r="AA194" s="2" t="s">
        <v>119</v>
      </c>
      <c r="AB194" s="2" t="str">
        <f t="shared" ref="AB194:AB197" si="275">IF(NOT(ISBLANK(AC194)),"-","")</f>
        <v>-</v>
      </c>
      <c r="AC194" s="28" t="s">
        <v>326</v>
      </c>
      <c r="AD194" s="2" t="str">
        <f t="shared" ref="AD194:AD197" si="276">IF(NOT(ISBLANK(AE194)),"_","")</f>
        <v>_</v>
      </c>
      <c r="AE194" s="28" t="s">
        <v>109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@line_width-stream_z14</v>
      </c>
      <c r="C195" s="28" t="s">
        <v>90</v>
      </c>
      <c r="D195" s="28" t="s">
        <v>88</v>
      </c>
      <c r="F195" s="28" t="s">
        <v>90</v>
      </c>
      <c r="G195" s="28" t="s">
        <v>88</v>
      </c>
      <c r="I195" s="28" t="s">
        <v>90</v>
      </c>
      <c r="J195" s="28" t="s">
        <v>88</v>
      </c>
      <c r="L195" s="28" t="s">
        <v>90</v>
      </c>
      <c r="M195" s="28" t="s">
        <v>88</v>
      </c>
      <c r="O195" s="28" t="s">
        <v>90</v>
      </c>
      <c r="P195" s="28" t="s">
        <v>88</v>
      </c>
      <c r="R195" s="28" t="s">
        <v>90</v>
      </c>
      <c r="S195" s="28" t="s">
        <v>88</v>
      </c>
      <c r="U195" s="28" t="s">
        <v>90</v>
      </c>
      <c r="V195" s="28" t="s">
        <v>88</v>
      </c>
      <c r="X195" s="28" t="s">
        <v>90</v>
      </c>
      <c r="Y195" s="28" t="s">
        <v>88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74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@line_width-stream_z16</v>
      </c>
      <c r="C196" s="28" t="s">
        <v>86</v>
      </c>
      <c r="D196" s="28" t="s">
        <v>86</v>
      </c>
      <c r="F196" s="28" t="s">
        <v>86</v>
      </c>
      <c r="G196" s="28" t="s">
        <v>86</v>
      </c>
      <c r="I196" s="28" t="s">
        <v>86</v>
      </c>
      <c r="J196" s="28" t="s">
        <v>86</v>
      </c>
      <c r="L196" s="28" t="s">
        <v>86</v>
      </c>
      <c r="M196" s="28" t="s">
        <v>86</v>
      </c>
      <c r="O196" s="28" t="s">
        <v>86</v>
      </c>
      <c r="P196" s="28" t="s">
        <v>86</v>
      </c>
      <c r="R196" s="28" t="s">
        <v>86</v>
      </c>
      <c r="S196" s="28" t="s">
        <v>86</v>
      </c>
      <c r="U196" s="28" t="s">
        <v>86</v>
      </c>
      <c r="V196" s="28" t="s">
        <v>86</v>
      </c>
      <c r="X196" s="28" t="s">
        <v>86</v>
      </c>
      <c r="Y196" s="28" t="s">
        <v>86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75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 t="str">
        <f t="shared" si="274"/>
        <v>@line_width-stream_z18</v>
      </c>
      <c r="C197" s="28" t="s">
        <v>328</v>
      </c>
      <c r="D197" s="28" t="s">
        <v>328</v>
      </c>
      <c r="F197" s="28" t="s">
        <v>328</v>
      </c>
      <c r="G197" s="28" t="s">
        <v>328</v>
      </c>
      <c r="I197" s="28" t="s">
        <v>328</v>
      </c>
      <c r="J197" s="28" t="s">
        <v>328</v>
      </c>
      <c r="L197" s="28" t="s">
        <v>328</v>
      </c>
      <c r="M197" s="28" t="s">
        <v>328</v>
      </c>
      <c r="O197" s="28" t="s">
        <v>328</v>
      </c>
      <c r="P197" s="28" t="s">
        <v>328</v>
      </c>
      <c r="R197" s="28" t="s">
        <v>328</v>
      </c>
      <c r="S197" s="28" t="s">
        <v>328</v>
      </c>
      <c r="U197" s="28" t="s">
        <v>328</v>
      </c>
      <c r="V197" s="28" t="s">
        <v>328</v>
      </c>
      <c r="X197" s="28" t="s">
        <v>328</v>
      </c>
      <c r="Y197" s="28" t="s">
        <v>328</v>
      </c>
      <c r="AA197" s="2" t="s">
        <v>119</v>
      </c>
      <c r="AB197" s="2" t="str">
        <f t="shared" si="275"/>
        <v>-</v>
      </c>
      <c r="AC197" s="28" t="s">
        <v>326</v>
      </c>
      <c r="AD197" s="2" t="str">
        <f t="shared" si="276"/>
        <v>_</v>
      </c>
      <c r="AE197" s="28" t="s">
        <v>76</v>
      </c>
      <c r="AF197" s="2" t="str">
        <f t="shared" si="272"/>
        <v/>
      </c>
      <c r="AH197" s="2" t="str">
        <f t="shared" si="270"/>
        <v/>
      </c>
    </row>
    <row r="198" spans="1:35" x14ac:dyDescent="0.25">
      <c r="B198" s="2"/>
      <c r="AA198" s="2"/>
      <c r="AB198" s="2"/>
      <c r="AD198" s="2"/>
      <c r="AF198" s="2"/>
      <c r="AH198" s="2"/>
    </row>
    <row r="199" spans="1:35" x14ac:dyDescent="0.25">
      <c r="B199" s="2" t="str">
        <f t="shared" ref="B199:B201" si="277">_xlfn.CONCAT("@",AA199,AB199,AC199,AD199,AE199,AF199,AG199,AH199,AI199)</f>
        <v>@line_width-canal_z13</v>
      </c>
      <c r="C199" s="28" t="s">
        <v>95</v>
      </c>
      <c r="D199" s="28" t="s">
        <v>80</v>
      </c>
      <c r="F199" s="28" t="s">
        <v>95</v>
      </c>
      <c r="G199" s="28" t="s">
        <v>80</v>
      </c>
      <c r="I199" s="28" t="s">
        <v>95</v>
      </c>
      <c r="J199" s="28" t="s">
        <v>80</v>
      </c>
      <c r="L199" s="28" t="s">
        <v>95</v>
      </c>
      <c r="M199" s="28" t="s">
        <v>80</v>
      </c>
      <c r="O199" s="28" t="s">
        <v>95</v>
      </c>
      <c r="P199" s="28" t="s">
        <v>80</v>
      </c>
      <c r="R199" s="28" t="s">
        <v>95</v>
      </c>
      <c r="S199" s="28" t="s">
        <v>80</v>
      </c>
      <c r="U199" s="28" t="s">
        <v>95</v>
      </c>
      <c r="V199" s="28" t="s">
        <v>80</v>
      </c>
      <c r="X199" s="28" t="s">
        <v>95</v>
      </c>
      <c r="Y199" s="28" t="s">
        <v>80</v>
      </c>
      <c r="AA199" s="2" t="s">
        <v>119</v>
      </c>
      <c r="AB199" s="2" t="str">
        <f t="shared" ref="AB199:AB201" si="278">IF(NOT(ISBLANK(AC199)),"-","")</f>
        <v>-</v>
      </c>
      <c r="AC199" s="28" t="s">
        <v>329</v>
      </c>
      <c r="AD199" s="2" t="str">
        <f t="shared" ref="AD199:AD201" si="279">IF(NOT(ISBLANK(AE199)),"_","")</f>
        <v>_</v>
      </c>
      <c r="AE199" s="28" t="s">
        <v>330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@line_width-canal_z16</v>
      </c>
      <c r="C200" s="28" t="s">
        <v>128</v>
      </c>
      <c r="D200" s="28" t="s">
        <v>86</v>
      </c>
      <c r="F200" s="28" t="s">
        <v>128</v>
      </c>
      <c r="G200" s="28" t="s">
        <v>86</v>
      </c>
      <c r="I200" s="28" t="s">
        <v>128</v>
      </c>
      <c r="J200" s="28" t="s">
        <v>86</v>
      </c>
      <c r="L200" s="28" t="s">
        <v>128</v>
      </c>
      <c r="M200" s="28" t="s">
        <v>86</v>
      </c>
      <c r="O200" s="28" t="s">
        <v>128</v>
      </c>
      <c r="P200" s="28" t="s">
        <v>86</v>
      </c>
      <c r="R200" s="28" t="s">
        <v>128</v>
      </c>
      <c r="S200" s="28" t="s">
        <v>86</v>
      </c>
      <c r="U200" s="28" t="s">
        <v>128</v>
      </c>
      <c r="V200" s="28" t="s">
        <v>86</v>
      </c>
      <c r="X200" s="28" t="s">
        <v>128</v>
      </c>
      <c r="Y200" s="28" t="s">
        <v>86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75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 t="str">
        <f t="shared" si="277"/>
        <v>@line_width-canal_z20</v>
      </c>
      <c r="C201" s="28" t="s">
        <v>86</v>
      </c>
      <c r="D201" s="28" t="s">
        <v>87</v>
      </c>
      <c r="F201" s="28" t="s">
        <v>86</v>
      </c>
      <c r="G201" s="28" t="s">
        <v>87</v>
      </c>
      <c r="I201" s="28" t="s">
        <v>86</v>
      </c>
      <c r="J201" s="28" t="s">
        <v>87</v>
      </c>
      <c r="L201" s="28" t="s">
        <v>86</v>
      </c>
      <c r="M201" s="28" t="s">
        <v>87</v>
      </c>
      <c r="O201" s="28" t="s">
        <v>86</v>
      </c>
      <c r="P201" s="28" t="s">
        <v>87</v>
      </c>
      <c r="R201" s="28" t="s">
        <v>86</v>
      </c>
      <c r="S201" s="28" t="s">
        <v>87</v>
      </c>
      <c r="U201" s="28" t="s">
        <v>86</v>
      </c>
      <c r="V201" s="28" t="s">
        <v>87</v>
      </c>
      <c r="X201" s="28" t="s">
        <v>86</v>
      </c>
      <c r="Y201" s="28" t="s">
        <v>87</v>
      </c>
      <c r="AA201" s="2" t="s">
        <v>119</v>
      </c>
      <c r="AB201" s="2" t="str">
        <f t="shared" si="278"/>
        <v>-</v>
      </c>
      <c r="AC201" s="28" t="s">
        <v>329</v>
      </c>
      <c r="AD201" s="2" t="str">
        <f t="shared" si="279"/>
        <v>_</v>
      </c>
      <c r="AE201" s="28" t="s">
        <v>139</v>
      </c>
      <c r="AF201" s="2" t="str">
        <f t="shared" si="272"/>
        <v/>
      </c>
      <c r="AH201" s="2" t="str">
        <f t="shared" si="270"/>
        <v/>
      </c>
    </row>
    <row r="202" spans="1:35" x14ac:dyDescent="0.25">
      <c r="B202" s="2"/>
      <c r="AA202" s="2"/>
      <c r="AB202" s="2"/>
      <c r="AD202" s="2"/>
      <c r="AF202" s="2"/>
      <c r="AH202" s="2"/>
    </row>
    <row r="203" spans="1:35" x14ac:dyDescent="0.25">
      <c r="B203" s="2" t="str">
        <f t="shared" ref="B203:B204" si="280">_xlfn.CONCAT("@",AA203,AB203,AC203,AD203,AE203,AF203,AG203,AH203,AI203)</f>
        <v>@line_width-river_z10</v>
      </c>
      <c r="C203" s="28" t="s">
        <v>96</v>
      </c>
      <c r="D203" s="28" t="s">
        <v>97</v>
      </c>
      <c r="F203" s="28" t="s">
        <v>96</v>
      </c>
      <c r="G203" s="28" t="s">
        <v>97</v>
      </c>
      <c r="I203" s="28" t="s">
        <v>96</v>
      </c>
      <c r="J203" s="28" t="s">
        <v>97</v>
      </c>
      <c r="L203" s="28" t="s">
        <v>96</v>
      </c>
      <c r="M203" s="28" t="s">
        <v>97</v>
      </c>
      <c r="O203" s="28" t="s">
        <v>96</v>
      </c>
      <c r="P203" s="28" t="s">
        <v>97</v>
      </c>
      <c r="R203" s="28" t="s">
        <v>96</v>
      </c>
      <c r="S203" s="28" t="s">
        <v>97</v>
      </c>
      <c r="U203" s="28" t="s">
        <v>96</v>
      </c>
      <c r="V203" s="28" t="s">
        <v>97</v>
      </c>
      <c r="X203" s="28" t="s">
        <v>96</v>
      </c>
      <c r="Y203" s="28" t="s">
        <v>97</v>
      </c>
      <c r="AA203" s="2" t="s">
        <v>119</v>
      </c>
      <c r="AB203" s="2" t="str">
        <f t="shared" ref="AB203:AB204" si="281">IF(NOT(ISBLANK(AC203)),"-","")</f>
        <v>-</v>
      </c>
      <c r="AC203" s="28" t="s">
        <v>331</v>
      </c>
      <c r="AD203" s="2" t="str">
        <f t="shared" ref="AD203:AD204" si="282">IF(NOT(ISBLANK(AE203)),"_","")</f>
        <v>_</v>
      </c>
      <c r="AE203" s="28" t="s">
        <v>103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 t="str">
        <f t="shared" si="280"/>
        <v>@line_width-river_z20</v>
      </c>
      <c r="C204" s="28" t="s">
        <v>86</v>
      </c>
      <c r="D204" s="28" t="s">
        <v>332</v>
      </c>
      <c r="F204" s="28" t="s">
        <v>86</v>
      </c>
      <c r="G204" s="28" t="s">
        <v>332</v>
      </c>
      <c r="I204" s="28" t="s">
        <v>86</v>
      </c>
      <c r="J204" s="28" t="s">
        <v>332</v>
      </c>
      <c r="L204" s="28" t="s">
        <v>86</v>
      </c>
      <c r="M204" s="28" t="s">
        <v>332</v>
      </c>
      <c r="O204" s="28" t="s">
        <v>86</v>
      </c>
      <c r="P204" s="28" t="s">
        <v>332</v>
      </c>
      <c r="R204" s="28" t="s">
        <v>86</v>
      </c>
      <c r="S204" s="28" t="s">
        <v>332</v>
      </c>
      <c r="U204" s="28" t="s">
        <v>86</v>
      </c>
      <c r="V204" s="28" t="s">
        <v>332</v>
      </c>
      <c r="X204" s="28" t="s">
        <v>86</v>
      </c>
      <c r="Y204" s="28" t="s">
        <v>332</v>
      </c>
      <c r="AA204" s="2" t="s">
        <v>119</v>
      </c>
      <c r="AB204" s="2" t="str">
        <f t="shared" si="281"/>
        <v>-</v>
      </c>
      <c r="AC204" s="28" t="s">
        <v>331</v>
      </c>
      <c r="AD204" s="2" t="str">
        <f t="shared" si="282"/>
        <v>_</v>
      </c>
      <c r="AE204" s="28" t="s">
        <v>139</v>
      </c>
      <c r="AF204" s="2" t="str">
        <f t="shared" si="272"/>
        <v/>
      </c>
      <c r="AH204" s="2" t="str">
        <f t="shared" si="270"/>
        <v/>
      </c>
    </row>
    <row r="205" spans="1:35" x14ac:dyDescent="0.25">
      <c r="B205" s="2"/>
      <c r="AA205" s="2"/>
      <c r="AB205" s="2"/>
      <c r="AD205" s="2"/>
      <c r="AF205" s="2"/>
      <c r="AH205" s="2"/>
    </row>
    <row r="206" spans="1:35" x14ac:dyDescent="0.25">
      <c r="AA206" s="2"/>
    </row>
    <row r="207" spans="1:35" s="2" customFormat="1" x14ac:dyDescent="0.25">
      <c r="A207" s="3" t="s">
        <v>252</v>
      </c>
      <c r="B207" s="3"/>
      <c r="C207" s="27"/>
      <c r="D207" s="6"/>
      <c r="E207" s="7"/>
      <c r="F207" s="6"/>
      <c r="G207" s="6"/>
      <c r="H207" s="7"/>
      <c r="I207" s="6"/>
      <c r="J207" s="6"/>
      <c r="K207" s="7"/>
      <c r="L207" s="6"/>
      <c r="M207" s="6"/>
      <c r="N207" s="7"/>
      <c r="O207" s="6"/>
      <c r="P207" s="6"/>
      <c r="Q207" s="7"/>
      <c r="R207" s="6"/>
      <c r="S207" s="6"/>
      <c r="T207" s="7"/>
      <c r="U207" s="6"/>
      <c r="V207" s="6"/>
      <c r="W207" s="7"/>
      <c r="X207" s="6"/>
      <c r="Y207" s="6"/>
      <c r="AA207" s="4"/>
      <c r="AB207" s="4" t="str">
        <f t="shared" si="181"/>
        <v/>
      </c>
      <c r="AC207" s="4"/>
      <c r="AD207" s="4" t="str">
        <f t="shared" si="182"/>
        <v/>
      </c>
      <c r="AE207" s="4"/>
      <c r="AF207" s="4" t="str">
        <f t="shared" si="183"/>
        <v/>
      </c>
      <c r="AG207" s="4"/>
      <c r="AH207" s="4" t="str">
        <f t="shared" ref="AH207:AH254" si="283">IF(NOT(ISBLANK(AI207)),"_","")</f>
        <v/>
      </c>
      <c r="AI207" s="4"/>
    </row>
    <row r="208" spans="1:35" x14ac:dyDescent="0.25">
      <c r="B208" s="2" t="str">
        <f t="shared" ref="B208:B232" si="284">_xlfn.CONCAT("@",AA208,AB208,AC208,AD208,AE208,AF208,AG208,AH208,AI208)</f>
        <v>@color-background</v>
      </c>
      <c r="C208" s="68" t="s">
        <v>192</v>
      </c>
      <c r="D208" s="38" t="s">
        <v>222</v>
      </c>
      <c r="F208" s="48" t="s">
        <v>214</v>
      </c>
      <c r="G208" s="48" t="s">
        <v>214</v>
      </c>
      <c r="I208" s="68" t="s">
        <v>192</v>
      </c>
      <c r="J208" s="38" t="s">
        <v>222</v>
      </c>
      <c r="L208" s="48" t="s">
        <v>214</v>
      </c>
      <c r="M208" s="48" t="s">
        <v>214</v>
      </c>
      <c r="U208" s="68" t="s">
        <v>192</v>
      </c>
      <c r="V208" s="38" t="s">
        <v>222</v>
      </c>
      <c r="X208" s="48" t="s">
        <v>214</v>
      </c>
      <c r="Y208" s="48" t="s">
        <v>214</v>
      </c>
      <c r="AA208" s="2" t="s">
        <v>6</v>
      </c>
      <c r="AB208" s="2" t="str">
        <f t="shared" si="181"/>
        <v>-</v>
      </c>
      <c r="AC208" s="2" t="s">
        <v>66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@color-water</v>
      </c>
      <c r="C209" s="69" t="s">
        <v>193</v>
      </c>
      <c r="D209" s="70" t="s">
        <v>194</v>
      </c>
      <c r="F209" s="71" t="s">
        <v>235</v>
      </c>
      <c r="G209" s="71" t="s">
        <v>235</v>
      </c>
      <c r="I209" s="69" t="s">
        <v>193</v>
      </c>
      <c r="J209" s="70" t="s">
        <v>194</v>
      </c>
      <c r="L209" s="71" t="s">
        <v>235</v>
      </c>
      <c r="M209" s="71" t="s">
        <v>235</v>
      </c>
      <c r="U209" s="69" t="s">
        <v>193</v>
      </c>
      <c r="V209" s="70" t="s">
        <v>194</v>
      </c>
      <c r="X209" s="71" t="s">
        <v>235</v>
      </c>
      <c r="Y209" s="71" t="s">
        <v>235</v>
      </c>
      <c r="AA209" s="2" t="s">
        <v>6</v>
      </c>
      <c r="AB209" s="2" t="str">
        <f t="shared" si="181"/>
        <v>-</v>
      </c>
      <c r="AC209" s="2" t="s">
        <v>14</v>
      </c>
      <c r="AD209" s="2" t="str">
        <f t="shared" si="182"/>
        <v/>
      </c>
      <c r="AE209" s="2"/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@color-landcover_field</v>
      </c>
      <c r="C210" s="72" t="s">
        <v>195</v>
      </c>
      <c r="D210" s="73" t="s">
        <v>196</v>
      </c>
      <c r="F210" s="74" t="s">
        <v>238</v>
      </c>
      <c r="G210" s="74" t="s">
        <v>238</v>
      </c>
      <c r="I210" s="150" t="s">
        <v>368</v>
      </c>
      <c r="J210" s="73" t="s">
        <v>196</v>
      </c>
      <c r="L210" s="74" t="s">
        <v>238</v>
      </c>
      <c r="M210" s="74" t="s">
        <v>238</v>
      </c>
      <c r="U210" s="72" t="s">
        <v>195</v>
      </c>
      <c r="V210" s="73" t="s">
        <v>196</v>
      </c>
      <c r="X210" s="74" t="s">
        <v>238</v>
      </c>
      <c r="Y210" s="74" t="s">
        <v>238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46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@color-landcover_meadow</v>
      </c>
      <c r="C211" s="75" t="s">
        <v>197</v>
      </c>
      <c r="D211" s="76" t="s">
        <v>198</v>
      </c>
      <c r="F211" s="77" t="s">
        <v>237</v>
      </c>
      <c r="G211" s="77" t="s">
        <v>237</v>
      </c>
      <c r="I211" s="151" t="s">
        <v>369</v>
      </c>
      <c r="J211" s="76" t="s">
        <v>198</v>
      </c>
      <c r="L211" s="77" t="s">
        <v>237</v>
      </c>
      <c r="M211" s="77" t="s">
        <v>237</v>
      </c>
      <c r="U211" s="75" t="s">
        <v>197</v>
      </c>
      <c r="V211" s="76" t="s">
        <v>198</v>
      </c>
      <c r="X211" s="77" t="s">
        <v>237</v>
      </c>
      <c r="Y211" s="77" t="s">
        <v>237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47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@color-landcover_bare_rock</v>
      </c>
      <c r="C212" s="78" t="s">
        <v>199</v>
      </c>
      <c r="D212" s="78" t="s">
        <v>199</v>
      </c>
      <c r="F212" s="79" t="s">
        <v>242</v>
      </c>
      <c r="G212" s="79" t="s">
        <v>242</v>
      </c>
      <c r="I212" s="78" t="s">
        <v>199</v>
      </c>
      <c r="J212" s="78" t="s">
        <v>199</v>
      </c>
      <c r="L212" s="79" t="s">
        <v>242</v>
      </c>
      <c r="M212" s="79" t="s">
        <v>242</v>
      </c>
      <c r="U212" s="78" t="s">
        <v>199</v>
      </c>
      <c r="V212" s="78" t="s">
        <v>199</v>
      </c>
      <c r="X212" s="79" t="s">
        <v>242</v>
      </c>
      <c r="Y212" s="79" t="s">
        <v>242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48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@color-landcover_sand</v>
      </c>
      <c r="C213" s="80" t="s">
        <v>200</v>
      </c>
      <c r="D213" s="38" t="s">
        <v>222</v>
      </c>
      <c r="F213" s="81" t="s">
        <v>243</v>
      </c>
      <c r="G213" s="48" t="s">
        <v>214</v>
      </c>
      <c r="I213" s="80" t="s">
        <v>200</v>
      </c>
      <c r="J213" s="38" t="s">
        <v>222</v>
      </c>
      <c r="L213" s="81" t="s">
        <v>243</v>
      </c>
      <c r="M213" s="48" t="s">
        <v>214</v>
      </c>
      <c r="U213" s="80" t="s">
        <v>200</v>
      </c>
      <c r="V213" s="38" t="s">
        <v>222</v>
      </c>
      <c r="X213" s="81" t="s">
        <v>243</v>
      </c>
      <c r="Y213" s="48" t="s">
        <v>214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49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@color-landcover_allotments</v>
      </c>
      <c r="C214" s="82" t="s">
        <v>201</v>
      </c>
      <c r="D214" s="82" t="s">
        <v>201</v>
      </c>
      <c r="F214" s="83" t="s">
        <v>244</v>
      </c>
      <c r="G214" s="83" t="s">
        <v>244</v>
      </c>
      <c r="I214" s="82" t="s">
        <v>201</v>
      </c>
      <c r="J214" s="82" t="s">
        <v>201</v>
      </c>
      <c r="L214" s="83" t="s">
        <v>244</v>
      </c>
      <c r="M214" s="83" t="s">
        <v>244</v>
      </c>
      <c r="U214" s="82" t="s">
        <v>201</v>
      </c>
      <c r="V214" s="82" t="s">
        <v>201</v>
      </c>
      <c r="X214" s="83" t="s">
        <v>244</v>
      </c>
      <c r="Y214" s="83" t="s">
        <v>244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50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@color-landcover_heath_fell</v>
      </c>
      <c r="C215" s="84" t="s">
        <v>202</v>
      </c>
      <c r="D215" s="38" t="s">
        <v>222</v>
      </c>
      <c r="F215" s="85" t="s">
        <v>245</v>
      </c>
      <c r="G215" s="48" t="s">
        <v>214</v>
      </c>
      <c r="I215" s="84" t="s">
        <v>202</v>
      </c>
      <c r="J215" s="38" t="s">
        <v>222</v>
      </c>
      <c r="L215" s="85" t="s">
        <v>245</v>
      </c>
      <c r="M215" s="48" t="s">
        <v>214</v>
      </c>
      <c r="U215" s="84" t="s">
        <v>202</v>
      </c>
      <c r="V215" s="38" t="s">
        <v>222</v>
      </c>
      <c r="X215" s="85" t="s">
        <v>245</v>
      </c>
      <c r="Y215" s="48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52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@color-landcover_grass</v>
      </c>
      <c r="C216" s="86" t="s">
        <v>203</v>
      </c>
      <c r="D216" s="38" t="s">
        <v>222</v>
      </c>
      <c r="F216" s="87" t="s">
        <v>275</v>
      </c>
      <c r="G216" s="48" t="s">
        <v>214</v>
      </c>
      <c r="I216" s="86" t="s">
        <v>203</v>
      </c>
      <c r="J216" s="38" t="s">
        <v>222</v>
      </c>
      <c r="L216" s="87" t="s">
        <v>275</v>
      </c>
      <c r="M216" s="48" t="s">
        <v>214</v>
      </c>
      <c r="U216" s="86" t="s">
        <v>203</v>
      </c>
      <c r="V216" s="38" t="s">
        <v>222</v>
      </c>
      <c r="X216" s="87" t="s">
        <v>275</v>
      </c>
      <c r="Y216" s="48" t="s">
        <v>214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53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@color-landcover_quarry</v>
      </c>
      <c r="C217" s="88" t="s">
        <v>204</v>
      </c>
      <c r="D217" s="88" t="s">
        <v>204</v>
      </c>
      <c r="F217" s="89" t="s">
        <v>246</v>
      </c>
      <c r="G217" s="89" t="s">
        <v>246</v>
      </c>
      <c r="I217" s="88" t="s">
        <v>204</v>
      </c>
      <c r="J217" s="88" t="s">
        <v>204</v>
      </c>
      <c r="L217" s="89" t="s">
        <v>246</v>
      </c>
      <c r="M217" s="89" t="s">
        <v>246</v>
      </c>
      <c r="U217" s="88" t="s">
        <v>204</v>
      </c>
      <c r="V217" s="88" t="s">
        <v>204</v>
      </c>
      <c r="X217" s="89" t="s">
        <v>246</v>
      </c>
      <c r="Y217" s="89" t="s">
        <v>246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54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@color-landcover_storage</v>
      </c>
      <c r="C218" s="90" t="s">
        <v>205</v>
      </c>
      <c r="D218" s="90" t="s">
        <v>205</v>
      </c>
      <c r="F218" s="91" t="s">
        <v>260</v>
      </c>
      <c r="G218" s="91" t="s">
        <v>260</v>
      </c>
      <c r="I218" s="90" t="s">
        <v>205</v>
      </c>
      <c r="J218" s="90" t="s">
        <v>205</v>
      </c>
      <c r="L218" s="91" t="s">
        <v>260</v>
      </c>
      <c r="M218" s="91" t="s">
        <v>260</v>
      </c>
      <c r="U218" s="90" t="s">
        <v>205</v>
      </c>
      <c r="V218" s="90" t="s">
        <v>205</v>
      </c>
      <c r="X218" s="91" t="s">
        <v>260</v>
      </c>
      <c r="Y218" s="91" t="s">
        <v>260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55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@color-landcover_wood</v>
      </c>
      <c r="C219" s="92" t="s">
        <v>206</v>
      </c>
      <c r="D219" s="92" t="s">
        <v>206</v>
      </c>
      <c r="F219" s="93" t="s">
        <v>236</v>
      </c>
      <c r="G219" s="93" t="s">
        <v>236</v>
      </c>
      <c r="I219" s="92" t="s">
        <v>206</v>
      </c>
      <c r="J219" s="92" t="s">
        <v>206</v>
      </c>
      <c r="L219" s="93" t="s">
        <v>236</v>
      </c>
      <c r="M219" s="93" t="s">
        <v>236</v>
      </c>
      <c r="U219" s="92" t="s">
        <v>206</v>
      </c>
      <c r="V219" s="92" t="s">
        <v>206</v>
      </c>
      <c r="X219" s="93" t="s">
        <v>236</v>
      </c>
      <c r="Y219" s="93" t="s">
        <v>236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56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@color-landcover_parking_area</v>
      </c>
      <c r="C220" s="94" t="s">
        <v>207</v>
      </c>
      <c r="D220" s="94" t="s">
        <v>207</v>
      </c>
      <c r="F220" s="95" t="s">
        <v>247</v>
      </c>
      <c r="G220" s="95" t="s">
        <v>247</v>
      </c>
      <c r="I220" s="94" t="s">
        <v>207</v>
      </c>
      <c r="J220" s="94" t="s">
        <v>207</v>
      </c>
      <c r="L220" s="95" t="s">
        <v>247</v>
      </c>
      <c r="M220" s="95" t="s">
        <v>247</v>
      </c>
      <c r="U220" s="94" t="s">
        <v>207</v>
      </c>
      <c r="V220" s="94" t="s">
        <v>207</v>
      </c>
      <c r="X220" s="95" t="s">
        <v>247</v>
      </c>
      <c r="Y220" s="95" t="s">
        <v>247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57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@color-landcover_railway</v>
      </c>
      <c r="C221" s="96" t="s">
        <v>208</v>
      </c>
      <c r="D221" s="96" t="s">
        <v>208</v>
      </c>
      <c r="F221" s="97" t="s">
        <v>248</v>
      </c>
      <c r="G221" s="97" t="s">
        <v>248</v>
      </c>
      <c r="I221" s="96" t="s">
        <v>208</v>
      </c>
      <c r="J221" s="96" t="s">
        <v>208</v>
      </c>
      <c r="L221" s="97" t="s">
        <v>248</v>
      </c>
      <c r="M221" s="97" t="s">
        <v>248</v>
      </c>
      <c r="U221" s="96" t="s">
        <v>208</v>
      </c>
      <c r="V221" s="96" t="s">
        <v>208</v>
      </c>
      <c r="X221" s="97" t="s">
        <v>248</v>
      </c>
      <c r="Y221" s="97" t="s">
        <v>248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58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@color-landcover_school</v>
      </c>
      <c r="C222" s="98" t="s">
        <v>210</v>
      </c>
      <c r="D222" s="98" t="s">
        <v>210</v>
      </c>
      <c r="F222" s="91" t="s">
        <v>260</v>
      </c>
      <c r="G222" s="91" t="s">
        <v>260</v>
      </c>
      <c r="I222" s="98" t="s">
        <v>210</v>
      </c>
      <c r="J222" s="98" t="s">
        <v>210</v>
      </c>
      <c r="L222" s="91" t="s">
        <v>260</v>
      </c>
      <c r="M222" s="91" t="s">
        <v>260</v>
      </c>
      <c r="U222" s="98" t="s">
        <v>210</v>
      </c>
      <c r="V222" s="98" t="s">
        <v>210</v>
      </c>
      <c r="X222" s="91" t="s">
        <v>260</v>
      </c>
      <c r="Y222" s="91" t="s">
        <v>260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59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@color-landcover_cemetery</v>
      </c>
      <c r="C223" s="99" t="s">
        <v>209</v>
      </c>
      <c r="D223" s="99" t="s">
        <v>209</v>
      </c>
      <c r="F223" s="100" t="s">
        <v>249</v>
      </c>
      <c r="G223" s="100" t="s">
        <v>249</v>
      </c>
      <c r="I223" s="99" t="s">
        <v>209</v>
      </c>
      <c r="J223" s="99" t="s">
        <v>209</v>
      </c>
      <c r="L223" s="100" t="s">
        <v>249</v>
      </c>
      <c r="M223" s="100" t="s">
        <v>249</v>
      </c>
      <c r="U223" s="99" t="s">
        <v>209</v>
      </c>
      <c r="V223" s="99" t="s">
        <v>209</v>
      </c>
      <c r="X223" s="100" t="s">
        <v>249</v>
      </c>
      <c r="Y223" s="100" t="s">
        <v>249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61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@color-landcover_hospital</v>
      </c>
      <c r="C224" s="98" t="s">
        <v>210</v>
      </c>
      <c r="D224" s="98" t="s">
        <v>210</v>
      </c>
      <c r="F224" s="91" t="s">
        <v>260</v>
      </c>
      <c r="G224" s="91" t="s">
        <v>260</v>
      </c>
      <c r="I224" s="98" t="s">
        <v>210</v>
      </c>
      <c r="J224" s="98" t="s">
        <v>210</v>
      </c>
      <c r="L224" s="91" t="s">
        <v>260</v>
      </c>
      <c r="M224" s="91" t="s">
        <v>260</v>
      </c>
      <c r="U224" s="98" t="s">
        <v>210</v>
      </c>
      <c r="V224" s="98" t="s">
        <v>210</v>
      </c>
      <c r="X224" s="91" t="s">
        <v>260</v>
      </c>
      <c r="Y224" s="91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60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@color-landcover_industrial</v>
      </c>
      <c r="C225" s="98" t="s">
        <v>210</v>
      </c>
      <c r="D225" s="98" t="s">
        <v>210</v>
      </c>
      <c r="F225" s="91" t="s">
        <v>260</v>
      </c>
      <c r="G225" s="91" t="s">
        <v>260</v>
      </c>
      <c r="I225" s="98" t="s">
        <v>210</v>
      </c>
      <c r="J225" s="98" t="s">
        <v>210</v>
      </c>
      <c r="L225" s="91" t="s">
        <v>260</v>
      </c>
      <c r="M225" s="91" t="s">
        <v>260</v>
      </c>
      <c r="U225" s="98" t="s">
        <v>210</v>
      </c>
      <c r="V225" s="98" t="s">
        <v>210</v>
      </c>
      <c r="X225" s="91" t="s">
        <v>260</v>
      </c>
      <c r="Y225" s="91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62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@color-landcover_commercial</v>
      </c>
      <c r="C226" s="98" t="s">
        <v>210</v>
      </c>
      <c r="D226" s="98" t="s">
        <v>210</v>
      </c>
      <c r="F226" s="91" t="s">
        <v>260</v>
      </c>
      <c r="G226" s="91" t="s">
        <v>260</v>
      </c>
      <c r="I226" s="98" t="s">
        <v>210</v>
      </c>
      <c r="J226" s="98" t="s">
        <v>210</v>
      </c>
      <c r="L226" s="91" t="s">
        <v>260</v>
      </c>
      <c r="M226" s="91" t="s">
        <v>260</v>
      </c>
      <c r="U226" s="98" t="s">
        <v>210</v>
      </c>
      <c r="V226" s="98" t="s">
        <v>210</v>
      </c>
      <c r="X226" s="91" t="s">
        <v>260</v>
      </c>
      <c r="Y226" s="91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63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@color-landcover_residential</v>
      </c>
      <c r="C227" s="98" t="s">
        <v>210</v>
      </c>
      <c r="D227" s="98" t="s">
        <v>210</v>
      </c>
      <c r="F227" s="91" t="s">
        <v>260</v>
      </c>
      <c r="G227" s="91" t="s">
        <v>260</v>
      </c>
      <c r="I227" s="98" t="s">
        <v>210</v>
      </c>
      <c r="J227" s="98" t="s">
        <v>210</v>
      </c>
      <c r="L227" s="91" t="s">
        <v>260</v>
      </c>
      <c r="M227" s="91" t="s">
        <v>260</v>
      </c>
      <c r="U227" s="98" t="s">
        <v>210</v>
      </c>
      <c r="V227" s="98" t="s">
        <v>210</v>
      </c>
      <c r="X227" s="91" t="s">
        <v>260</v>
      </c>
      <c r="Y227" s="91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64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@color-landcover_built-up</v>
      </c>
      <c r="C228" s="98" t="s">
        <v>210</v>
      </c>
      <c r="D228" s="98" t="s">
        <v>210</v>
      </c>
      <c r="F228" s="91" t="s">
        <v>260</v>
      </c>
      <c r="G228" s="91" t="s">
        <v>260</v>
      </c>
      <c r="I228" s="98" t="s">
        <v>210</v>
      </c>
      <c r="J228" s="98" t="s">
        <v>210</v>
      </c>
      <c r="L228" s="91" t="s">
        <v>260</v>
      </c>
      <c r="M228" s="91" t="s">
        <v>260</v>
      </c>
      <c r="U228" s="98" t="s">
        <v>210</v>
      </c>
      <c r="V228" s="98" t="s">
        <v>210</v>
      </c>
      <c r="X228" s="91" t="s">
        <v>260</v>
      </c>
      <c r="Y228" s="91" t="s">
        <v>260</v>
      </c>
      <c r="AA228" s="2" t="s">
        <v>6</v>
      </c>
      <c r="AB228" s="2" t="str">
        <f t="shared" si="181"/>
        <v>-</v>
      </c>
      <c r="AC228" s="2" t="s">
        <v>51</v>
      </c>
      <c r="AD228" s="2" t="str">
        <f t="shared" si="182"/>
        <v>_</v>
      </c>
      <c r="AE228" s="2" t="s">
        <v>65</v>
      </c>
      <c r="AF228" s="2" t="str">
        <f t="shared" si="183"/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@color-landcover_ice_shelf</v>
      </c>
      <c r="C229" s="68" t="s">
        <v>192</v>
      </c>
      <c r="D229" s="68" t="s">
        <v>192</v>
      </c>
      <c r="F229" s="101" t="s">
        <v>250</v>
      </c>
      <c r="G229" s="101" t="s">
        <v>250</v>
      </c>
      <c r="I229" s="68" t="s">
        <v>192</v>
      </c>
      <c r="J229" s="68" t="s">
        <v>192</v>
      </c>
      <c r="L229" s="101" t="s">
        <v>250</v>
      </c>
      <c r="M229" s="101" t="s">
        <v>250</v>
      </c>
      <c r="U229" s="68" t="s">
        <v>192</v>
      </c>
      <c r="V229" s="68" t="s">
        <v>192</v>
      </c>
      <c r="X229" s="101" t="s">
        <v>250</v>
      </c>
      <c r="Y229" s="101" t="s">
        <v>250</v>
      </c>
      <c r="AA229" s="2" t="s">
        <v>6</v>
      </c>
      <c r="AB229" s="2" t="str">
        <f t="shared" ref="AB229:AB239" si="285">IF(NOT(ISBLANK(AC229)),"-","")</f>
        <v>-</v>
      </c>
      <c r="AC229" s="2" t="s">
        <v>51</v>
      </c>
      <c r="AD229" s="2" t="str">
        <f t="shared" ref="AD229:AD239" si="286">IF(NOT(ISBLANK(AE229)),"_","")</f>
        <v>_</v>
      </c>
      <c r="AE229" s="2" t="s">
        <v>239</v>
      </c>
      <c r="AF229" s="2" t="str">
        <f t="shared" ref="AF229:AF239" si="287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@color-landcover_glacier</v>
      </c>
      <c r="C230" s="68" t="s">
        <v>192</v>
      </c>
      <c r="D230" s="68" t="s">
        <v>192</v>
      </c>
      <c r="F230" s="101" t="s">
        <v>250</v>
      </c>
      <c r="G230" s="101" t="s">
        <v>250</v>
      </c>
      <c r="I230" s="68" t="s">
        <v>192</v>
      </c>
      <c r="J230" s="68" t="s">
        <v>192</v>
      </c>
      <c r="L230" s="101" t="s">
        <v>250</v>
      </c>
      <c r="M230" s="101" t="s">
        <v>250</v>
      </c>
      <c r="U230" s="68" t="s">
        <v>192</v>
      </c>
      <c r="V230" s="68" t="s">
        <v>192</v>
      </c>
      <c r="X230" s="101" t="s">
        <v>250</v>
      </c>
      <c r="Y230" s="101" t="s">
        <v>250</v>
      </c>
      <c r="AA230" s="2" t="s">
        <v>6</v>
      </c>
      <c r="AB230" s="2" t="str">
        <f t="shared" ref="AB230" si="288">IF(NOT(ISBLANK(AC230)),"-","")</f>
        <v>-</v>
      </c>
      <c r="AC230" s="2" t="s">
        <v>51</v>
      </c>
      <c r="AD230" s="2" t="str">
        <f t="shared" ref="AD230" si="289">IF(NOT(ISBLANK(AE230)),"_","")</f>
        <v>_</v>
      </c>
      <c r="AE230" s="2" t="s">
        <v>263</v>
      </c>
      <c r="AF230" s="2" t="str">
        <f t="shared" ref="AF230" si="290">IF(NOT(ISBLANK(AG230)),"_","")</f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@color-landcover_sport_play</v>
      </c>
      <c r="C231" s="102" t="s">
        <v>241</v>
      </c>
      <c r="D231" s="102" t="s">
        <v>241</v>
      </c>
      <c r="F231" s="103" t="s">
        <v>251</v>
      </c>
      <c r="G231" s="103" t="s">
        <v>251</v>
      </c>
      <c r="I231" s="102" t="s">
        <v>241</v>
      </c>
      <c r="J231" s="102" t="s">
        <v>241</v>
      </c>
      <c r="L231" s="103" t="s">
        <v>251</v>
      </c>
      <c r="M231" s="103" t="s">
        <v>251</v>
      </c>
      <c r="U231" s="102" t="s">
        <v>241</v>
      </c>
      <c r="V231" s="102" t="s">
        <v>241</v>
      </c>
      <c r="X231" s="103" t="s">
        <v>251</v>
      </c>
      <c r="Y231" s="103" t="s">
        <v>251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240</v>
      </c>
      <c r="AF231" s="2" t="str">
        <f t="shared" si="287"/>
        <v/>
      </c>
      <c r="AG231" s="2"/>
      <c r="AH231" s="2" t="str">
        <f t="shared" si="283"/>
        <v/>
      </c>
      <c r="AI231" s="2"/>
    </row>
    <row r="232" spans="1:35" x14ac:dyDescent="0.25">
      <c r="B232" s="2" t="str">
        <f t="shared" si="284"/>
        <v>@color-landcover_line_generic</v>
      </c>
      <c r="C232" s="104" t="s">
        <v>261</v>
      </c>
      <c r="D232" s="104" t="s">
        <v>261</v>
      </c>
      <c r="F232" s="91" t="s">
        <v>260</v>
      </c>
      <c r="G232" s="91" t="s">
        <v>260</v>
      </c>
      <c r="I232" s="104" t="s">
        <v>261</v>
      </c>
      <c r="J232" s="104" t="s">
        <v>261</v>
      </c>
      <c r="L232" s="91" t="s">
        <v>260</v>
      </c>
      <c r="M232" s="91" t="s">
        <v>260</v>
      </c>
      <c r="U232" s="104" t="s">
        <v>261</v>
      </c>
      <c r="V232" s="104" t="s">
        <v>261</v>
      </c>
      <c r="X232" s="91" t="s">
        <v>260</v>
      </c>
      <c r="Y232" s="91" t="s">
        <v>260</v>
      </c>
      <c r="AA232" s="2" t="s">
        <v>6</v>
      </c>
      <c r="AB232" s="2" t="str">
        <f t="shared" si="285"/>
        <v>-</v>
      </c>
      <c r="AC232" s="2" t="s">
        <v>51</v>
      </c>
      <c r="AD232" s="2" t="str">
        <f t="shared" si="286"/>
        <v>_</v>
      </c>
      <c r="AE232" s="2" t="s">
        <v>13</v>
      </c>
      <c r="AF232" s="2" t="str">
        <f t="shared" si="287"/>
        <v>_</v>
      </c>
      <c r="AG232" s="2" t="s">
        <v>255</v>
      </c>
      <c r="AH232" s="2" t="str">
        <f t="shared" si="283"/>
        <v/>
      </c>
      <c r="AI232" s="2"/>
    </row>
    <row r="233" spans="1:35" x14ac:dyDescent="0.25">
      <c r="AB233" s="28" t="str">
        <f t="shared" si="285"/>
        <v/>
      </c>
      <c r="AD233" s="28" t="str">
        <f t="shared" si="286"/>
        <v/>
      </c>
      <c r="AF233" s="28" t="str">
        <f t="shared" si="287"/>
        <v/>
      </c>
      <c r="AH233" s="28" t="str">
        <f t="shared" ref="AH233:AH239" si="291">IF(NOT(ISBLANK(AI233)),"_","")</f>
        <v/>
      </c>
    </row>
    <row r="234" spans="1:35" s="2" customFormat="1" x14ac:dyDescent="0.25">
      <c r="A234" s="3" t="s">
        <v>371</v>
      </c>
      <c r="B234" s="3"/>
      <c r="C234" s="27"/>
      <c r="D234" s="6"/>
      <c r="E234" s="7"/>
      <c r="F234" s="6"/>
      <c r="G234" s="6"/>
      <c r="H234" s="7"/>
      <c r="I234" s="6"/>
      <c r="J234" s="6"/>
      <c r="K234" s="7"/>
      <c r="L234" s="6"/>
      <c r="M234" s="6"/>
      <c r="N234" s="7"/>
      <c r="O234" s="6"/>
      <c r="P234" s="6"/>
      <c r="Q234" s="7"/>
      <c r="R234" s="6"/>
      <c r="S234" s="6"/>
      <c r="T234" s="7"/>
      <c r="U234" s="6"/>
      <c r="V234" s="6"/>
      <c r="W234" s="7"/>
      <c r="X234" s="6"/>
      <c r="Y234" s="6"/>
      <c r="AA234" s="4"/>
      <c r="AB234" s="4" t="str">
        <f t="shared" si="285"/>
        <v/>
      </c>
      <c r="AC234" s="4"/>
      <c r="AD234" s="4" t="str">
        <f t="shared" si="286"/>
        <v/>
      </c>
      <c r="AE234" s="4"/>
      <c r="AF234" s="4" t="str">
        <f t="shared" si="287"/>
        <v/>
      </c>
      <c r="AG234" s="4"/>
      <c r="AH234" s="4" t="str">
        <f t="shared" si="291"/>
        <v/>
      </c>
      <c r="AI234" s="4"/>
    </row>
    <row r="235" spans="1:35" x14ac:dyDescent="0.25">
      <c r="B235" s="2" t="str">
        <f t="shared" ref="B235:B238" si="292">_xlfn.CONCAT("@",AA235,AB235,AC235,AD235,AE235,AF235,AG235,AH235,AI235)</f>
        <v>@fill-opacity-landcover_clearcut_mid</v>
      </c>
      <c r="C235" s="28" t="s">
        <v>95</v>
      </c>
      <c r="D235" s="28" t="s">
        <v>95</v>
      </c>
      <c r="F235" s="28" t="s">
        <v>95</v>
      </c>
      <c r="G235" s="28" t="s">
        <v>95</v>
      </c>
      <c r="I235" s="28" t="s">
        <v>376</v>
      </c>
      <c r="J235" s="28" t="s">
        <v>376</v>
      </c>
      <c r="L235" s="28" t="s">
        <v>376</v>
      </c>
      <c r="M235" s="28" t="s">
        <v>376</v>
      </c>
      <c r="O235" s="28" t="s">
        <v>377</v>
      </c>
      <c r="P235" s="28" t="s">
        <v>377</v>
      </c>
      <c r="R235" s="28" t="s">
        <v>377</v>
      </c>
      <c r="S235" s="28" t="s">
        <v>377</v>
      </c>
      <c r="U235" s="28" t="s">
        <v>377</v>
      </c>
      <c r="V235" s="28" t="s">
        <v>377</v>
      </c>
      <c r="X235" s="28" t="s">
        <v>377</v>
      </c>
      <c r="Y235" s="28" t="s">
        <v>377</v>
      </c>
      <c r="AA235" s="28" t="s">
        <v>372</v>
      </c>
      <c r="AB235" s="28" t="str">
        <f t="shared" ref="AB235:AB238" si="293">IF(NOT(ISBLANK(AC235)),"-","")</f>
        <v>-</v>
      </c>
      <c r="AC235" s="28" t="s">
        <v>51</v>
      </c>
      <c r="AD235" s="28" t="str">
        <f t="shared" ref="AD235:AD238" si="294">IF(NOT(ISBLANK(AE235)),"_","")</f>
        <v>_</v>
      </c>
      <c r="AE235" s="28" t="s">
        <v>384</v>
      </c>
      <c r="AF235" s="28" t="str">
        <f t="shared" ref="AF235:AF238" si="295">IF(NOT(ISBLANK(AG235)),"_","")</f>
        <v>_</v>
      </c>
      <c r="AG235" s="28" t="s">
        <v>375</v>
      </c>
      <c r="AH235" s="28" t="str">
        <f t="shared" ref="AH235:AH238" si="296">IF(NOT(ISBLANK(AI235)),"_","")</f>
        <v/>
      </c>
    </row>
    <row r="236" spans="1:35" x14ac:dyDescent="0.25">
      <c r="B236" s="2" t="str">
        <f t="shared" si="292"/>
        <v>@fill-opacity-landcover_clearcut_full</v>
      </c>
      <c r="C236" s="28" t="s">
        <v>80</v>
      </c>
      <c r="D236" s="28" t="s">
        <v>80</v>
      </c>
      <c r="F236" s="28" t="s">
        <v>80</v>
      </c>
      <c r="G236" s="28" t="s">
        <v>80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124</v>
      </c>
      <c r="P236" s="28" t="s">
        <v>124</v>
      </c>
      <c r="R236" s="28" t="s">
        <v>124</v>
      </c>
      <c r="S236" s="28" t="s">
        <v>124</v>
      </c>
      <c r="U236" s="28" t="s">
        <v>124</v>
      </c>
      <c r="V236" s="28" t="s">
        <v>124</v>
      </c>
      <c r="X236" s="28" t="s">
        <v>124</v>
      </c>
      <c r="Y236" s="28" t="s">
        <v>124</v>
      </c>
      <c r="AA236" s="28" t="s">
        <v>372</v>
      </c>
      <c r="AB236" s="28" t="str">
        <f t="shared" si="293"/>
        <v>-</v>
      </c>
      <c r="AC236" s="28" t="s">
        <v>51</v>
      </c>
      <c r="AD236" s="28" t="str">
        <f t="shared" si="294"/>
        <v>_</v>
      </c>
      <c r="AE236" s="28" t="s">
        <v>384</v>
      </c>
      <c r="AF236" s="28" t="str">
        <f t="shared" si="295"/>
        <v>_</v>
      </c>
      <c r="AG236" s="28" t="s">
        <v>374</v>
      </c>
      <c r="AH236" s="28" t="str">
        <f t="shared" si="296"/>
        <v/>
      </c>
    </row>
    <row r="237" spans="1:35" x14ac:dyDescent="0.25">
      <c r="B237" s="2" t="str">
        <f t="shared" si="292"/>
        <v>@fill-opacity-landcover_field_mid</v>
      </c>
      <c r="C237" s="28" t="s">
        <v>95</v>
      </c>
      <c r="D237" s="28" t="s">
        <v>95</v>
      </c>
      <c r="F237" s="28" t="s">
        <v>95</v>
      </c>
      <c r="G237" s="28" t="s">
        <v>95</v>
      </c>
      <c r="I237" s="28" t="s">
        <v>95</v>
      </c>
      <c r="J237" s="28" t="s">
        <v>95</v>
      </c>
      <c r="L237" s="28" t="s">
        <v>95</v>
      </c>
      <c r="M237" s="28" t="s">
        <v>95</v>
      </c>
      <c r="O237" s="28" t="s">
        <v>95</v>
      </c>
      <c r="P237" s="28" t="s">
        <v>95</v>
      </c>
      <c r="R237" s="28" t="s">
        <v>95</v>
      </c>
      <c r="S237" s="28" t="s">
        <v>95</v>
      </c>
      <c r="U237" s="28" t="s">
        <v>95</v>
      </c>
      <c r="V237" s="28" t="s">
        <v>95</v>
      </c>
      <c r="X237" s="28" t="s">
        <v>95</v>
      </c>
      <c r="Y237" s="28" t="s">
        <v>95</v>
      </c>
      <c r="AA237" s="28" t="s">
        <v>372</v>
      </c>
      <c r="AB237" s="28" t="str">
        <f t="shared" si="293"/>
        <v>-</v>
      </c>
      <c r="AC237" s="28" t="s">
        <v>51</v>
      </c>
      <c r="AD237" s="28" t="str">
        <f t="shared" si="294"/>
        <v>_</v>
      </c>
      <c r="AE237" s="28" t="s">
        <v>46</v>
      </c>
      <c r="AF237" s="28" t="str">
        <f t="shared" si="295"/>
        <v>_</v>
      </c>
      <c r="AG237" s="28" t="s">
        <v>375</v>
      </c>
      <c r="AH237" s="28" t="str">
        <f t="shared" si="296"/>
        <v/>
      </c>
    </row>
    <row r="238" spans="1:35" x14ac:dyDescent="0.25">
      <c r="B238" s="2" t="str">
        <f t="shared" si="292"/>
        <v>@fill-opacity-landcover_field_full</v>
      </c>
      <c r="C238" s="28" t="s">
        <v>80</v>
      </c>
      <c r="D238" s="28" t="s">
        <v>80</v>
      </c>
      <c r="F238" s="28" t="s">
        <v>80</v>
      </c>
      <c r="G238" s="28" t="s">
        <v>80</v>
      </c>
      <c r="I238" s="28" t="s">
        <v>80</v>
      </c>
      <c r="J238" s="28" t="s">
        <v>80</v>
      </c>
      <c r="L238" s="28" t="s">
        <v>80</v>
      </c>
      <c r="M238" s="28" t="s">
        <v>80</v>
      </c>
      <c r="O238" s="28" t="s">
        <v>80</v>
      </c>
      <c r="P238" s="28" t="s">
        <v>80</v>
      </c>
      <c r="R238" s="28" t="s">
        <v>80</v>
      </c>
      <c r="S238" s="28" t="s">
        <v>80</v>
      </c>
      <c r="U238" s="28" t="s">
        <v>80</v>
      </c>
      <c r="V238" s="28" t="s">
        <v>80</v>
      </c>
      <c r="X238" s="28" t="s">
        <v>80</v>
      </c>
      <c r="Y238" s="28" t="s">
        <v>80</v>
      </c>
      <c r="AA238" s="28" t="s">
        <v>372</v>
      </c>
      <c r="AB238" s="28" t="str">
        <f t="shared" si="293"/>
        <v>-</v>
      </c>
      <c r="AC238" s="28" t="s">
        <v>51</v>
      </c>
      <c r="AD238" s="28" t="str">
        <f t="shared" si="294"/>
        <v>_</v>
      </c>
      <c r="AE238" s="28" t="s">
        <v>46</v>
      </c>
      <c r="AF238" s="28" t="str">
        <f t="shared" si="295"/>
        <v>_</v>
      </c>
      <c r="AG238" s="28" t="s">
        <v>374</v>
      </c>
      <c r="AH238" s="28" t="str">
        <f t="shared" si="296"/>
        <v/>
      </c>
    </row>
    <row r="239" spans="1:35" x14ac:dyDescent="0.25">
      <c r="B239" s="2" t="str">
        <f t="shared" ref="B239" si="297">_xlfn.CONCAT("@",AA239,AB239,AC239,AD239,AE239,AF239,AG239,AH239,AI239)</f>
        <v>@fill-opacity-landcover_scrub_mid</v>
      </c>
      <c r="C239" s="28" t="s">
        <v>95</v>
      </c>
      <c r="D239" s="28" t="s">
        <v>95</v>
      </c>
      <c r="F239" s="28" t="s">
        <v>95</v>
      </c>
      <c r="G239" s="28" t="s">
        <v>95</v>
      </c>
      <c r="I239" s="28" t="s">
        <v>376</v>
      </c>
      <c r="J239" s="28" t="s">
        <v>376</v>
      </c>
      <c r="L239" s="28" t="s">
        <v>376</v>
      </c>
      <c r="M239" s="28" t="s">
        <v>376</v>
      </c>
      <c r="O239" s="28" t="s">
        <v>377</v>
      </c>
      <c r="P239" s="28" t="s">
        <v>377</v>
      </c>
      <c r="R239" s="28" t="s">
        <v>377</v>
      </c>
      <c r="S239" s="28" t="s">
        <v>377</v>
      </c>
      <c r="U239" s="28" t="s">
        <v>377</v>
      </c>
      <c r="V239" s="28" t="s">
        <v>377</v>
      </c>
      <c r="X239" s="28" t="s">
        <v>377</v>
      </c>
      <c r="Y239" s="28" t="s">
        <v>377</v>
      </c>
      <c r="AA239" s="28" t="s">
        <v>372</v>
      </c>
      <c r="AB239" s="28" t="str">
        <f t="shared" si="285"/>
        <v>-</v>
      </c>
      <c r="AC239" s="28" t="s">
        <v>51</v>
      </c>
      <c r="AD239" s="28" t="str">
        <f t="shared" si="286"/>
        <v>_</v>
      </c>
      <c r="AE239" s="28" t="s">
        <v>373</v>
      </c>
      <c r="AF239" s="28" t="str">
        <f t="shared" si="287"/>
        <v>_</v>
      </c>
      <c r="AG239" s="28" t="s">
        <v>375</v>
      </c>
      <c r="AH239" s="28" t="str">
        <f t="shared" si="291"/>
        <v/>
      </c>
    </row>
    <row r="240" spans="1:35" x14ac:dyDescent="0.25">
      <c r="B240" s="2" t="str">
        <f t="shared" ref="B240" si="298">_xlfn.CONCAT("@",AA240,AB240,AC240,AD240,AE240,AF240,AG240,AH240,AI240)</f>
        <v>@fill-opacity-landcover_scrub_full</v>
      </c>
      <c r="C240" s="28" t="s">
        <v>80</v>
      </c>
      <c r="D240" s="28" t="s">
        <v>80</v>
      </c>
      <c r="F240" s="28" t="s">
        <v>80</v>
      </c>
      <c r="G240" s="28" t="s">
        <v>80</v>
      </c>
      <c r="I240" s="28" t="s">
        <v>95</v>
      </c>
      <c r="J240" s="28" t="s">
        <v>95</v>
      </c>
      <c r="L240" s="28" t="s">
        <v>95</v>
      </c>
      <c r="M240" s="28" t="s">
        <v>95</v>
      </c>
      <c r="O240" s="28" t="s">
        <v>124</v>
      </c>
      <c r="P240" s="28" t="s">
        <v>124</v>
      </c>
      <c r="R240" s="28" t="s">
        <v>124</v>
      </c>
      <c r="S240" s="28" t="s">
        <v>124</v>
      </c>
      <c r="U240" s="28" t="s">
        <v>124</v>
      </c>
      <c r="V240" s="28" t="s">
        <v>124</v>
      </c>
      <c r="X240" s="28" t="s">
        <v>124</v>
      </c>
      <c r="Y240" s="28" t="s">
        <v>124</v>
      </c>
      <c r="AA240" s="28" t="s">
        <v>372</v>
      </c>
      <c r="AB240" s="28" t="str">
        <f t="shared" si="181"/>
        <v>-</v>
      </c>
      <c r="AC240" s="28" t="s">
        <v>51</v>
      </c>
      <c r="AD240" s="28" t="str">
        <f t="shared" si="182"/>
        <v>_</v>
      </c>
      <c r="AE240" s="28" t="s">
        <v>373</v>
      </c>
      <c r="AF240" s="28" t="str">
        <f t="shared" si="183"/>
        <v>_</v>
      </c>
      <c r="AG240" s="28" t="s">
        <v>374</v>
      </c>
      <c r="AH240" s="28" t="str">
        <f t="shared" si="283"/>
        <v/>
      </c>
    </row>
    <row r="241" spans="1:35" x14ac:dyDescent="0.25">
      <c r="B241" s="2" t="str">
        <f t="shared" ref="B241:B243" si="299">_xlfn.CONCAT("@",AA241,AB241,AC241,AD241,AE241,AF241,AG241,AH241,AI241)</f>
        <v>@fill-opacity-landcover_wetland_full</v>
      </c>
      <c r="C241" s="28" t="s">
        <v>80</v>
      </c>
      <c r="D241" s="28" t="s">
        <v>80</v>
      </c>
      <c r="F241" s="28" t="s">
        <v>80</v>
      </c>
      <c r="G241" s="28" t="s">
        <v>80</v>
      </c>
      <c r="I241" s="28" t="s">
        <v>95</v>
      </c>
      <c r="J241" s="28" t="s">
        <v>95</v>
      </c>
      <c r="L241" s="28" t="s">
        <v>95</v>
      </c>
      <c r="M241" s="28" t="s">
        <v>95</v>
      </c>
      <c r="O241" s="28" t="s">
        <v>124</v>
      </c>
      <c r="P241" s="28" t="s">
        <v>124</v>
      </c>
      <c r="R241" s="28" t="s">
        <v>124</v>
      </c>
      <c r="S241" s="28" t="s">
        <v>124</v>
      </c>
      <c r="U241" s="28" t="s">
        <v>124</v>
      </c>
      <c r="V241" s="28" t="s">
        <v>124</v>
      </c>
      <c r="X241" s="28" t="s">
        <v>124</v>
      </c>
      <c r="Y241" s="28" t="s">
        <v>124</v>
      </c>
      <c r="AA241" s="28" t="s">
        <v>372</v>
      </c>
      <c r="AB241" s="28" t="str">
        <f t="shared" ref="AB241:AB243" si="300">IF(NOT(ISBLANK(AC241)),"-","")</f>
        <v>-</v>
      </c>
      <c r="AC241" s="28" t="s">
        <v>51</v>
      </c>
      <c r="AD241" s="28" t="str">
        <f t="shared" ref="AD241:AD243" si="301">IF(NOT(ISBLANK(AE241)),"_","")</f>
        <v>_</v>
      </c>
      <c r="AE241" s="28" t="s">
        <v>378</v>
      </c>
      <c r="AF241" s="28" t="str">
        <f t="shared" ref="AF241:AF243" si="302">IF(NOT(ISBLANK(AG241)),"_","")</f>
        <v>_</v>
      </c>
      <c r="AG241" s="28" t="s">
        <v>374</v>
      </c>
      <c r="AH241" s="28" t="str">
        <f t="shared" ref="AH241:AH243" si="303">IF(NOT(ISBLANK(AI241)),"_","")</f>
        <v/>
      </c>
    </row>
    <row r="242" spans="1:35" x14ac:dyDescent="0.25">
      <c r="B242" s="2" t="str">
        <f t="shared" si="299"/>
        <v>@fill-opacity-landuse_sport_play_mid</v>
      </c>
      <c r="C242" s="28" t="s">
        <v>95</v>
      </c>
      <c r="D242" s="28" t="s">
        <v>95</v>
      </c>
      <c r="F242" s="28" t="s">
        <v>95</v>
      </c>
      <c r="G242" s="28" t="s">
        <v>95</v>
      </c>
      <c r="I242" s="28" t="s">
        <v>95</v>
      </c>
      <c r="J242" s="28" t="s">
        <v>95</v>
      </c>
      <c r="L242" s="28" t="s">
        <v>95</v>
      </c>
      <c r="M242" s="28" t="s">
        <v>95</v>
      </c>
      <c r="O242" s="28" t="s">
        <v>95</v>
      </c>
      <c r="P242" s="28" t="s">
        <v>95</v>
      </c>
      <c r="R242" s="28" t="s">
        <v>95</v>
      </c>
      <c r="S242" s="28" t="s">
        <v>95</v>
      </c>
      <c r="U242" s="28" t="s">
        <v>95</v>
      </c>
      <c r="V242" s="28" t="s">
        <v>95</v>
      </c>
      <c r="X242" s="28" t="s">
        <v>95</v>
      </c>
      <c r="Y242" s="28" t="s">
        <v>95</v>
      </c>
      <c r="AA242" s="28" t="s">
        <v>372</v>
      </c>
      <c r="AB242" s="28" t="str">
        <f t="shared" si="300"/>
        <v>-</v>
      </c>
      <c r="AC242" s="28" t="s">
        <v>385</v>
      </c>
      <c r="AD242" s="28" t="str">
        <f t="shared" si="301"/>
        <v>_</v>
      </c>
      <c r="AE242" s="28" t="s">
        <v>240</v>
      </c>
      <c r="AF242" s="28" t="str">
        <f t="shared" si="302"/>
        <v>_</v>
      </c>
      <c r="AG242" s="28" t="s">
        <v>375</v>
      </c>
      <c r="AH242" s="28" t="str">
        <f t="shared" si="303"/>
        <v/>
      </c>
    </row>
    <row r="243" spans="1:35" x14ac:dyDescent="0.25">
      <c r="B243" s="2" t="str">
        <f t="shared" si="299"/>
        <v>@fill-opacity-landuse_sport_play_full</v>
      </c>
      <c r="C243" s="28" t="s">
        <v>80</v>
      </c>
      <c r="D243" s="28" t="s">
        <v>80</v>
      </c>
      <c r="F243" s="28" t="s">
        <v>80</v>
      </c>
      <c r="G243" s="28" t="s">
        <v>80</v>
      </c>
      <c r="I243" s="28" t="s">
        <v>80</v>
      </c>
      <c r="J243" s="28" t="s">
        <v>80</v>
      </c>
      <c r="L243" s="28" t="s">
        <v>80</v>
      </c>
      <c r="M243" s="28" t="s">
        <v>80</v>
      </c>
      <c r="O243" s="28" t="s">
        <v>80</v>
      </c>
      <c r="P243" s="28" t="s">
        <v>80</v>
      </c>
      <c r="R243" s="28" t="s">
        <v>80</v>
      </c>
      <c r="S243" s="28" t="s">
        <v>80</v>
      </c>
      <c r="U243" s="28" t="s">
        <v>80</v>
      </c>
      <c r="V243" s="28" t="s">
        <v>80</v>
      </c>
      <c r="X243" s="28" t="s">
        <v>80</v>
      </c>
      <c r="Y243" s="28" t="s">
        <v>80</v>
      </c>
      <c r="AA243" s="28" t="s">
        <v>372</v>
      </c>
      <c r="AB243" s="28" t="str">
        <f t="shared" si="300"/>
        <v>-</v>
      </c>
      <c r="AC243" s="28" t="s">
        <v>385</v>
      </c>
      <c r="AD243" s="28" t="str">
        <f t="shared" si="301"/>
        <v>_</v>
      </c>
      <c r="AE243" s="28" t="s">
        <v>240</v>
      </c>
      <c r="AF243" s="28" t="str">
        <f t="shared" si="302"/>
        <v>_</v>
      </c>
      <c r="AG243" s="28" t="s">
        <v>374</v>
      </c>
      <c r="AH243" s="28" t="str">
        <f t="shared" si="303"/>
        <v/>
      </c>
    </row>
    <row r="244" spans="1:35" x14ac:dyDescent="0.25">
      <c r="B244" s="2" t="str">
        <f t="shared" ref="B244" si="304">_xlfn.CONCAT("@",AA244,AB244,AC244,AD244,AE244,AF244,AG244,AH244,AI244)</f>
        <v>@fill-opacity-portected_area_outline-inner_full</v>
      </c>
      <c r="C244" s="28" t="s">
        <v>120</v>
      </c>
      <c r="D244" s="28" t="s">
        <v>120</v>
      </c>
      <c r="F244" s="28" t="s">
        <v>381</v>
      </c>
      <c r="G244" s="28" t="s">
        <v>381</v>
      </c>
      <c r="I244" s="28" t="s">
        <v>381</v>
      </c>
      <c r="J244" s="28" t="s">
        <v>381</v>
      </c>
      <c r="L244" s="28" t="s">
        <v>382</v>
      </c>
      <c r="M244" s="28" t="s">
        <v>382</v>
      </c>
      <c r="O244" s="28" t="s">
        <v>381</v>
      </c>
      <c r="P244" s="28" t="s">
        <v>381</v>
      </c>
      <c r="R244" s="28" t="s">
        <v>382</v>
      </c>
      <c r="S244" s="28" t="s">
        <v>382</v>
      </c>
      <c r="U244" s="28" t="s">
        <v>120</v>
      </c>
      <c r="V244" s="28" t="s">
        <v>120</v>
      </c>
      <c r="X244" s="28" t="s">
        <v>120</v>
      </c>
      <c r="Y244" s="28" t="s">
        <v>120</v>
      </c>
      <c r="AA244" s="28" t="s">
        <v>372</v>
      </c>
      <c r="AB244" s="28" t="str">
        <f t="shared" ref="AB244" si="305">IF(NOT(ISBLANK(AC244)),"-","")</f>
        <v>-</v>
      </c>
      <c r="AC244" s="28" t="s">
        <v>379</v>
      </c>
      <c r="AD244" s="28" t="str">
        <f t="shared" ref="AD244" si="306">IF(NOT(ISBLANK(AE244)),"_","")</f>
        <v>_</v>
      </c>
      <c r="AE244" s="28" t="s">
        <v>380</v>
      </c>
      <c r="AF244" s="28" t="str">
        <f t="shared" ref="AF244" si="307">IF(NOT(ISBLANK(AG244)),"_","")</f>
        <v>_</v>
      </c>
      <c r="AG244" s="28" t="s">
        <v>374</v>
      </c>
      <c r="AH244" s="28" t="str">
        <f t="shared" ref="AH244" si="308">IF(NOT(ISBLANK(AI244)),"_","")</f>
        <v/>
      </c>
    </row>
    <row r="245" spans="1:35" x14ac:dyDescent="0.25">
      <c r="B245" s="2" t="str">
        <f t="shared" ref="B245" si="309">_xlfn.CONCAT("@",AA245,AB245,AC245,AD245,AE245,AF245,AG245,AH245,AI245)</f>
        <v>@fill-opacity-portected_area_outline-outer_full</v>
      </c>
      <c r="C245" s="28" t="s">
        <v>80</v>
      </c>
      <c r="D245" s="28" t="s">
        <v>80</v>
      </c>
      <c r="F245" s="28" t="s">
        <v>122</v>
      </c>
      <c r="G245" s="28" t="s">
        <v>122</v>
      </c>
      <c r="I245" s="28" t="s">
        <v>95</v>
      </c>
      <c r="J245" s="28" t="s">
        <v>95</v>
      </c>
      <c r="L245" s="28" t="s">
        <v>376</v>
      </c>
      <c r="M245" s="28" t="s">
        <v>376</v>
      </c>
      <c r="O245" s="28" t="s">
        <v>124</v>
      </c>
      <c r="P245" s="28" t="s">
        <v>124</v>
      </c>
      <c r="R245" s="28" t="s">
        <v>377</v>
      </c>
      <c r="S245" s="28" t="s">
        <v>377</v>
      </c>
      <c r="U245" s="28" t="s">
        <v>80</v>
      </c>
      <c r="V245" s="28" t="s">
        <v>80</v>
      </c>
      <c r="X245" s="28" t="s">
        <v>122</v>
      </c>
      <c r="Y245" s="28" t="s">
        <v>122</v>
      </c>
      <c r="AA245" s="28" t="s">
        <v>372</v>
      </c>
      <c r="AB245" s="28" t="str">
        <f t="shared" ref="AB245" si="310">IF(NOT(ISBLANK(AC245)),"-","")</f>
        <v>-</v>
      </c>
      <c r="AC245" s="28" t="s">
        <v>379</v>
      </c>
      <c r="AD245" s="28" t="str">
        <f t="shared" ref="AD245" si="311">IF(NOT(ISBLANK(AE245)),"_","")</f>
        <v>_</v>
      </c>
      <c r="AE245" s="28" t="s">
        <v>383</v>
      </c>
      <c r="AF245" s="28" t="str">
        <f t="shared" ref="AF245" si="312">IF(NOT(ISBLANK(AG245)),"_","")</f>
        <v>_</v>
      </c>
      <c r="AG245" s="28" t="s">
        <v>374</v>
      </c>
      <c r="AH245" s="28" t="str">
        <f t="shared" ref="AH245" si="313">IF(NOT(ISBLANK(AI245)),"_","")</f>
        <v/>
      </c>
    </row>
    <row r="247" spans="1:35" s="2" customFormat="1" x14ac:dyDescent="0.25">
      <c r="A247" s="3" t="s">
        <v>43</v>
      </c>
      <c r="B247" s="3"/>
      <c r="C247" s="27"/>
      <c r="D247" s="6"/>
      <c r="E247" s="7"/>
      <c r="F247" s="6"/>
      <c r="G247" s="6"/>
      <c r="H247" s="7"/>
      <c r="I247" s="6"/>
      <c r="J247" s="6"/>
      <c r="K247" s="7"/>
      <c r="L247" s="6"/>
      <c r="M247" s="6"/>
      <c r="N247" s="7"/>
      <c r="O247" s="6"/>
      <c r="P247" s="6"/>
      <c r="Q247" s="7"/>
      <c r="R247" s="6"/>
      <c r="S247" s="6"/>
      <c r="T247" s="7"/>
      <c r="U247" s="6"/>
      <c r="V247" s="6"/>
      <c r="W247" s="7"/>
      <c r="X247" s="6"/>
      <c r="Y247" s="6"/>
      <c r="AA247" s="4"/>
      <c r="AB247" s="4" t="str">
        <f t="shared" si="181"/>
        <v/>
      </c>
      <c r="AC247" s="4"/>
      <c r="AD247" s="4" t="str">
        <f t="shared" si="182"/>
        <v/>
      </c>
      <c r="AE247" s="4"/>
      <c r="AF247" s="4" t="str">
        <f t="shared" si="183"/>
        <v/>
      </c>
      <c r="AG247" s="4"/>
      <c r="AH247" s="4" t="str">
        <f t="shared" si="283"/>
        <v/>
      </c>
      <c r="AI247" s="4"/>
    </row>
    <row r="248" spans="1:35" x14ac:dyDescent="0.25">
      <c r="B248" s="2" t="str">
        <f t="shared" ref="B248:B250" si="314">_xlfn.CONCAT("@",AA248,AB248,AC248,AD248,AE248,AF248,AG248,AH248,AI248)</f>
        <v>@color-motorway_case_farzoom</v>
      </c>
      <c r="C248" s="105" t="s">
        <v>211</v>
      </c>
      <c r="D248" s="48" t="s">
        <v>214</v>
      </c>
      <c r="F248" s="105" t="s">
        <v>211</v>
      </c>
      <c r="G248" s="105" t="s">
        <v>211</v>
      </c>
      <c r="I248" s="106" t="str">
        <f>C248</f>
        <v>"#bf440f"</v>
      </c>
      <c r="J248" s="48" t="s">
        <v>214</v>
      </c>
      <c r="L248" s="105" t="s">
        <v>211</v>
      </c>
      <c r="M248" s="105" t="s">
        <v>211</v>
      </c>
      <c r="U248" s="105" t="s">
        <v>211</v>
      </c>
      <c r="V248" s="48" t="s">
        <v>214</v>
      </c>
      <c r="X248" s="105" t="s">
        <v>211</v>
      </c>
      <c r="Y248" s="105" t="s">
        <v>211</v>
      </c>
      <c r="AA248" s="2" t="s">
        <v>6</v>
      </c>
      <c r="AB248" s="2" t="str">
        <f t="shared" si="181"/>
        <v>-</v>
      </c>
      <c r="AC248" s="2" t="s">
        <v>16</v>
      </c>
      <c r="AD248" s="2" t="str">
        <f t="shared" si="182"/>
        <v>_</v>
      </c>
      <c r="AE248" s="2" t="s">
        <v>17</v>
      </c>
      <c r="AF248" s="2" t="str">
        <f t="shared" si="183"/>
        <v>_</v>
      </c>
      <c r="AG248" s="2" t="s">
        <v>20</v>
      </c>
      <c r="AH248" s="2" t="str">
        <f t="shared" si="283"/>
        <v/>
      </c>
      <c r="AI248" s="2"/>
    </row>
    <row r="249" spans="1:35" x14ac:dyDescent="0.25">
      <c r="B249" s="2" t="str">
        <f t="shared" si="314"/>
        <v>@color-motorway_case_default</v>
      </c>
      <c r="C249" s="107" t="s">
        <v>212</v>
      </c>
      <c r="D249" s="48" t="s">
        <v>214</v>
      </c>
      <c r="F249" s="48" t="s">
        <v>214</v>
      </c>
      <c r="G249" s="48" t="s">
        <v>214</v>
      </c>
      <c r="I249" s="108" t="str">
        <f>C249</f>
        <v>"#a15412"</v>
      </c>
      <c r="J249" s="48" t="s">
        <v>214</v>
      </c>
      <c r="L249" s="48" t="s">
        <v>214</v>
      </c>
      <c r="M249" s="48" t="s">
        <v>214</v>
      </c>
      <c r="U249" s="107" t="s">
        <v>212</v>
      </c>
      <c r="V249" s="48" t="s">
        <v>214</v>
      </c>
      <c r="X249" s="48" t="s">
        <v>214</v>
      </c>
      <c r="Y249" s="48" t="s">
        <v>214</v>
      </c>
      <c r="AA249" s="2" t="s">
        <v>6</v>
      </c>
      <c r="AB249" s="2" t="str">
        <f t="shared" si="181"/>
        <v>-</v>
      </c>
      <c r="AC249" s="2" t="s">
        <v>16</v>
      </c>
      <c r="AD249" s="2" t="str">
        <f t="shared" si="182"/>
        <v>_</v>
      </c>
      <c r="AE249" s="2" t="s">
        <v>17</v>
      </c>
      <c r="AF249" s="2" t="str">
        <f t="shared" si="183"/>
        <v>_</v>
      </c>
      <c r="AG249" s="2" t="s">
        <v>262</v>
      </c>
      <c r="AH249" s="2" t="str">
        <f t="shared" si="283"/>
        <v/>
      </c>
      <c r="AI249" s="2"/>
    </row>
    <row r="250" spans="1:35" x14ac:dyDescent="0.25">
      <c r="B250" s="2" t="str">
        <f t="shared" si="314"/>
        <v>@color-motorway_line_default</v>
      </c>
      <c r="C250" s="109" t="s">
        <v>213</v>
      </c>
      <c r="D250" s="110" t="s">
        <v>215</v>
      </c>
      <c r="F250" s="110" t="s">
        <v>215</v>
      </c>
      <c r="G250" s="110" t="s">
        <v>215</v>
      </c>
      <c r="I250" s="111" t="str">
        <f>C250</f>
        <v>"#ffcc88"</v>
      </c>
      <c r="J250" s="112" t="str">
        <f>D250</f>
        <v>"#d6771e"</v>
      </c>
      <c r="L250" s="110" t="s">
        <v>215</v>
      </c>
      <c r="M250" s="110" t="s">
        <v>215</v>
      </c>
      <c r="U250" s="109" t="s">
        <v>213</v>
      </c>
      <c r="V250" s="110" t="s">
        <v>215</v>
      </c>
      <c r="X250" s="110" t="s">
        <v>215</v>
      </c>
      <c r="Y250" s="110" t="s">
        <v>215</v>
      </c>
      <c r="AA250" s="2" t="s">
        <v>6</v>
      </c>
      <c r="AB250" s="2" t="str">
        <f t="shared" si="181"/>
        <v>-</v>
      </c>
      <c r="AC250" s="2" t="s">
        <v>16</v>
      </c>
      <c r="AD250" s="2" t="str">
        <f t="shared" si="182"/>
        <v>_</v>
      </c>
      <c r="AE250" s="2" t="s">
        <v>13</v>
      </c>
      <c r="AF250" s="2" t="str">
        <f t="shared" si="183"/>
        <v>_</v>
      </c>
      <c r="AG250" s="2" t="s">
        <v>262</v>
      </c>
      <c r="AH250" s="2" t="str">
        <f t="shared" si="283"/>
        <v/>
      </c>
      <c r="AI250" s="2"/>
    </row>
    <row r="251" spans="1:35" x14ac:dyDescent="0.25">
      <c r="AB251" s="28" t="str">
        <f t="shared" si="181"/>
        <v/>
      </c>
      <c r="AD251" s="28" t="str">
        <f t="shared" si="182"/>
        <v/>
      </c>
      <c r="AF251" s="28" t="str">
        <f t="shared" si="183"/>
        <v/>
      </c>
      <c r="AH251" s="28" t="str">
        <f t="shared" si="283"/>
        <v/>
      </c>
    </row>
    <row r="252" spans="1:35" s="2" customFormat="1" x14ac:dyDescent="0.25">
      <c r="A252" s="3" t="s">
        <v>45</v>
      </c>
      <c r="B252" s="3"/>
      <c r="C252" s="27"/>
      <c r="D252" s="6"/>
      <c r="E252" s="7"/>
      <c r="F252" s="6"/>
      <c r="G252" s="6"/>
      <c r="H252" s="7"/>
      <c r="I252" s="6"/>
      <c r="J252" s="6"/>
      <c r="K252" s="7"/>
      <c r="L252" s="6"/>
      <c r="M252" s="6"/>
      <c r="N252" s="7"/>
      <c r="O252" s="6"/>
      <c r="P252" s="6"/>
      <c r="Q252" s="7"/>
      <c r="R252" s="6"/>
      <c r="S252" s="6"/>
      <c r="T252" s="7"/>
      <c r="U252" s="27"/>
      <c r="V252" s="6"/>
      <c r="W252" s="7"/>
      <c r="X252" s="6"/>
      <c r="Y252" s="6"/>
      <c r="AA252" s="4"/>
      <c r="AB252" s="4" t="str">
        <f t="shared" si="181"/>
        <v/>
      </c>
      <c r="AC252" s="4"/>
      <c r="AD252" s="4" t="str">
        <f t="shared" si="182"/>
        <v/>
      </c>
      <c r="AE252" s="4"/>
      <c r="AF252" s="4" t="str">
        <f t="shared" si="183"/>
        <v/>
      </c>
      <c r="AG252" s="4"/>
      <c r="AH252" s="4" t="str">
        <f t="shared" si="283"/>
        <v/>
      </c>
      <c r="AI252" s="4"/>
    </row>
    <row r="253" spans="1:35" x14ac:dyDescent="0.25">
      <c r="B253" s="2" t="str">
        <f t="shared" ref="B253:B261" si="315">_xlfn.CONCAT("@",AA253,AB253,AC253,AD253,AE253,AF253,AG253,AH253,AI253)</f>
        <v>@color-trunk_case_bicycle_no_default</v>
      </c>
      <c r="C253" s="113" t="s">
        <v>226</v>
      </c>
      <c r="D253" s="48" t="s">
        <v>214</v>
      </c>
      <c r="F253" s="48" t="s">
        <v>214</v>
      </c>
      <c r="G253" s="48" t="s">
        <v>214</v>
      </c>
      <c r="I253" s="114" t="str">
        <f>C253</f>
        <v>"#bd430f"</v>
      </c>
      <c r="J253" s="37" t="str">
        <f>D253</f>
        <v>"#000000"</v>
      </c>
      <c r="L253" s="48" t="s">
        <v>214</v>
      </c>
      <c r="M253" s="48" t="s">
        <v>214</v>
      </c>
      <c r="U253" s="113" t="s">
        <v>226</v>
      </c>
      <c r="V253" s="48" t="s">
        <v>214</v>
      </c>
      <c r="X253" s="48" t="s">
        <v>214</v>
      </c>
      <c r="Y253" s="48" t="s">
        <v>214</v>
      </c>
      <c r="AA253" s="28" t="s">
        <v>6</v>
      </c>
      <c r="AB253" s="2" t="str">
        <f t="shared" si="181"/>
        <v>-</v>
      </c>
      <c r="AC253" s="2" t="s">
        <v>18</v>
      </c>
      <c r="AD253" s="2" t="str">
        <f t="shared" ref="AD253" si="316">IF(NOT(ISBLANK(AE253)),"_","")</f>
        <v>_</v>
      </c>
      <c r="AE253" s="28" t="s">
        <v>17</v>
      </c>
      <c r="AF253" s="2" t="str">
        <f t="shared" ref="AF253" si="317">IF(NOT(ISBLANK(AG253)),"_","")</f>
        <v>_</v>
      </c>
      <c r="AG253" s="28" t="s">
        <v>23</v>
      </c>
      <c r="AH253" s="2" t="str">
        <f t="shared" si="283"/>
        <v>_</v>
      </c>
      <c r="AI253" s="28" t="s">
        <v>262</v>
      </c>
    </row>
    <row r="254" spans="1:35" x14ac:dyDescent="0.25">
      <c r="B254" s="2" t="str">
        <f t="shared" si="315"/>
        <v>@color-trunk_case_bicycle_no_farzoom</v>
      </c>
      <c r="C254" s="113" t="s">
        <v>226</v>
      </c>
      <c r="D254" s="48" t="s">
        <v>214</v>
      </c>
      <c r="F254" s="113" t="s">
        <v>226</v>
      </c>
      <c r="G254" s="113" t="s">
        <v>226</v>
      </c>
      <c r="I254" s="114" t="str">
        <f>C254</f>
        <v>"#bd430f"</v>
      </c>
      <c r="J254" s="37" t="str">
        <f>D254</f>
        <v>"#000000"</v>
      </c>
      <c r="L254" s="113" t="s">
        <v>226</v>
      </c>
      <c r="M254" s="113" t="s">
        <v>226</v>
      </c>
      <c r="U254" s="113" t="s">
        <v>226</v>
      </c>
      <c r="V254" s="48" t="s">
        <v>214</v>
      </c>
      <c r="X254" s="113" t="s">
        <v>226</v>
      </c>
      <c r="Y254" s="113" t="s">
        <v>226</v>
      </c>
      <c r="AA254" s="28" t="s">
        <v>6</v>
      </c>
      <c r="AB254" s="2" t="str">
        <f t="shared" ref="AB254" si="318">IF(NOT(ISBLANK(AC254)),"-","")</f>
        <v>-</v>
      </c>
      <c r="AC254" s="2" t="s">
        <v>18</v>
      </c>
      <c r="AD254" s="2" t="str">
        <f t="shared" ref="AD254" si="319">IF(NOT(ISBLANK(AE254)),"_","")</f>
        <v>_</v>
      </c>
      <c r="AE254" s="28" t="s">
        <v>17</v>
      </c>
      <c r="AF254" s="2" t="str">
        <f t="shared" ref="AF254" si="320">IF(NOT(ISBLANK(AG254)),"_","")</f>
        <v>_</v>
      </c>
      <c r="AG254" s="28" t="s">
        <v>23</v>
      </c>
      <c r="AH254" s="2" t="str">
        <f t="shared" si="283"/>
        <v>_</v>
      </c>
      <c r="AI254" s="28" t="s">
        <v>20</v>
      </c>
    </row>
    <row r="255" spans="1:35" x14ac:dyDescent="0.25">
      <c r="B255" s="2" t="str">
        <f t="shared" si="315"/>
        <v>@color-trunk_case_unpaved_farzoom</v>
      </c>
      <c r="C255" s="115" t="s">
        <v>227</v>
      </c>
      <c r="D255" s="116" t="s">
        <v>229</v>
      </c>
      <c r="F255" s="116" t="s">
        <v>229</v>
      </c>
      <c r="G255" s="115" t="s">
        <v>227</v>
      </c>
      <c r="I255" s="115" t="s">
        <v>227</v>
      </c>
      <c r="J255" s="116" t="s">
        <v>229</v>
      </c>
      <c r="L255" s="116" t="s">
        <v>229</v>
      </c>
      <c r="M255" s="115" t="s">
        <v>227</v>
      </c>
      <c r="U255" s="115" t="s">
        <v>227</v>
      </c>
      <c r="V255" s="116" t="s">
        <v>229</v>
      </c>
      <c r="X255" s="116" t="s">
        <v>229</v>
      </c>
      <c r="Y255" s="115" t="s">
        <v>227</v>
      </c>
      <c r="AA255" s="28" t="s">
        <v>6</v>
      </c>
      <c r="AB255" s="2" t="str">
        <f>IF(NOT(ISBLANK(AC255)),"-","")</f>
        <v>-</v>
      </c>
      <c r="AC255" s="2" t="s">
        <v>18</v>
      </c>
      <c r="AD255" s="2" t="str">
        <f>IF(NOT(ISBLANK(AE255)),"_","")</f>
        <v>_</v>
      </c>
      <c r="AE255" s="28" t="s">
        <v>17</v>
      </c>
      <c r="AF255" s="2" t="str">
        <f>IF(NOT(ISBLANK(AG255)),"_","")</f>
        <v>_</v>
      </c>
      <c r="AG255" s="28" t="s">
        <v>21</v>
      </c>
      <c r="AH255" s="2" t="str">
        <f>IF(NOT(ISBLANK(AI255)),"_","")</f>
        <v>_</v>
      </c>
      <c r="AI255" s="28" t="s">
        <v>20</v>
      </c>
    </row>
    <row r="256" spans="1:35" x14ac:dyDescent="0.25">
      <c r="B256" s="2" t="str">
        <f t="shared" si="315"/>
        <v>@color-trunk_case_unpaved_default</v>
      </c>
      <c r="C256" s="117" t="s">
        <v>217</v>
      </c>
      <c r="D256" s="48" t="s">
        <v>214</v>
      </c>
      <c r="F256" s="48" t="s">
        <v>214</v>
      </c>
      <c r="G256" s="48" t="s">
        <v>214</v>
      </c>
      <c r="I256" s="117" t="s">
        <v>217</v>
      </c>
      <c r="J256" s="48" t="s">
        <v>214</v>
      </c>
      <c r="L256" s="48" t="s">
        <v>214</v>
      </c>
      <c r="M256" s="48" t="s">
        <v>214</v>
      </c>
      <c r="U256" s="117" t="s">
        <v>217</v>
      </c>
      <c r="V256" s="48" t="s">
        <v>214</v>
      </c>
      <c r="X256" s="48" t="s">
        <v>214</v>
      </c>
      <c r="Y256" s="48" t="s">
        <v>214</v>
      </c>
      <c r="AA256" s="28" t="s">
        <v>6</v>
      </c>
      <c r="AB256" s="28" t="str">
        <f t="shared" si="181"/>
        <v>-</v>
      </c>
      <c r="AC256" s="2" t="s">
        <v>18</v>
      </c>
      <c r="AD256" s="28" t="str">
        <f t="shared" si="182"/>
        <v>_</v>
      </c>
      <c r="AE256" s="28" t="s">
        <v>17</v>
      </c>
      <c r="AF256" s="28" t="str">
        <f t="shared" si="183"/>
        <v>_</v>
      </c>
      <c r="AG256" s="28" t="s">
        <v>21</v>
      </c>
      <c r="AH256" s="28" t="str">
        <f t="shared" ref="AH256:AH265" si="321">IF(NOT(ISBLANK(AI256)),"_","")</f>
        <v>_</v>
      </c>
      <c r="AI256" s="28" t="s">
        <v>262</v>
      </c>
    </row>
    <row r="257" spans="1:35" x14ac:dyDescent="0.25">
      <c r="B257" s="2" t="str">
        <f t="shared" si="315"/>
        <v>@color-trunk_case_paved_or_uk_farzoom</v>
      </c>
      <c r="C257" s="118" t="s">
        <v>228</v>
      </c>
      <c r="D257" s="48" t="s">
        <v>214</v>
      </c>
      <c r="F257" s="118" t="s">
        <v>228</v>
      </c>
      <c r="G257" s="118" t="s">
        <v>228</v>
      </c>
      <c r="I257" s="118" t="s">
        <v>228</v>
      </c>
      <c r="J257" s="48" t="s">
        <v>214</v>
      </c>
      <c r="L257" s="118" t="s">
        <v>228</v>
      </c>
      <c r="M257" s="118" t="s">
        <v>228</v>
      </c>
      <c r="U257" s="118" t="s">
        <v>228</v>
      </c>
      <c r="V257" s="48" t="s">
        <v>214</v>
      </c>
      <c r="X257" s="118" t="s">
        <v>228</v>
      </c>
      <c r="Y257" s="118" t="s">
        <v>228</v>
      </c>
      <c r="AA257" s="2" t="s">
        <v>6</v>
      </c>
      <c r="AB257" s="2" t="str">
        <f t="shared" si="181"/>
        <v>-</v>
      </c>
      <c r="AC257" s="2" t="s">
        <v>18</v>
      </c>
      <c r="AD257" s="2" t="str">
        <f t="shared" si="182"/>
        <v>_</v>
      </c>
      <c r="AE257" s="2" t="s">
        <v>17</v>
      </c>
      <c r="AF257" s="2" t="str">
        <f t="shared" si="183"/>
        <v>_</v>
      </c>
      <c r="AG257" s="2" t="s">
        <v>24</v>
      </c>
      <c r="AH257" s="2" t="str">
        <f t="shared" si="321"/>
        <v>_</v>
      </c>
      <c r="AI257" s="28" t="s">
        <v>20</v>
      </c>
    </row>
    <row r="258" spans="1:35" x14ac:dyDescent="0.25">
      <c r="B258" s="2" t="str">
        <f t="shared" si="315"/>
        <v>@color-trunk_case_paved_or_uk_default</v>
      </c>
      <c r="C258" s="119" t="s">
        <v>218</v>
      </c>
      <c r="D258" s="48" t="s">
        <v>214</v>
      </c>
      <c r="F258" s="48" t="s">
        <v>214</v>
      </c>
      <c r="G258" s="48" t="s">
        <v>214</v>
      </c>
      <c r="I258" s="119" t="s">
        <v>218</v>
      </c>
      <c r="J258" s="48" t="s">
        <v>214</v>
      </c>
      <c r="L258" s="48" t="s">
        <v>214</v>
      </c>
      <c r="M258" s="48" t="s">
        <v>214</v>
      </c>
      <c r="U258" s="119" t="s">
        <v>218</v>
      </c>
      <c r="V258" s="48" t="s">
        <v>214</v>
      </c>
      <c r="X258" s="48" t="s">
        <v>214</v>
      </c>
      <c r="Y258" s="48" t="s">
        <v>214</v>
      </c>
      <c r="AA258" s="2" t="s">
        <v>6</v>
      </c>
      <c r="AB258" s="2" t="str">
        <f t="shared" si="181"/>
        <v>-</v>
      </c>
      <c r="AC258" s="2" t="s">
        <v>18</v>
      </c>
      <c r="AD258" s="2" t="str">
        <f t="shared" si="182"/>
        <v>_</v>
      </c>
      <c r="AE258" s="2" t="s">
        <v>17</v>
      </c>
      <c r="AF258" s="2" t="str">
        <f t="shared" si="183"/>
        <v>_</v>
      </c>
      <c r="AG258" s="2" t="s">
        <v>24</v>
      </c>
      <c r="AH258" s="2" t="str">
        <f t="shared" si="321"/>
        <v>_</v>
      </c>
      <c r="AI258" s="28" t="s">
        <v>262</v>
      </c>
    </row>
    <row r="259" spans="1:35" x14ac:dyDescent="0.25">
      <c r="B259" s="2" t="str">
        <f t="shared" si="315"/>
        <v>@color-trunk_line_bicycle_no</v>
      </c>
      <c r="C259" s="109" t="s">
        <v>213</v>
      </c>
      <c r="D259" s="110" t="s">
        <v>215</v>
      </c>
      <c r="F259" s="109" t="s">
        <v>213</v>
      </c>
      <c r="G259" s="110" t="s">
        <v>215</v>
      </c>
      <c r="I259" s="111" t="str">
        <f>C259</f>
        <v>"#ffcc88"</v>
      </c>
      <c r="J259" s="112" t="str">
        <f>D259</f>
        <v>"#d6771e"</v>
      </c>
      <c r="L259" s="109" t="s">
        <v>213</v>
      </c>
      <c r="M259" s="110" t="s">
        <v>215</v>
      </c>
      <c r="U259" s="109" t="s">
        <v>213</v>
      </c>
      <c r="V259" s="110" t="s">
        <v>215</v>
      </c>
      <c r="X259" s="109" t="s">
        <v>213</v>
      </c>
      <c r="Y259" s="110" t="s">
        <v>215</v>
      </c>
      <c r="AA259" s="2" t="s">
        <v>6</v>
      </c>
      <c r="AB259" s="2" t="str">
        <f t="shared" si="181"/>
        <v>-</v>
      </c>
      <c r="AC259" s="2" t="s">
        <v>18</v>
      </c>
      <c r="AD259" s="2" t="str">
        <f t="shared" si="182"/>
        <v>_</v>
      </c>
      <c r="AE259" s="2" t="s">
        <v>13</v>
      </c>
      <c r="AF259" s="2" t="str">
        <f t="shared" si="183"/>
        <v>_</v>
      </c>
      <c r="AG259" s="2" t="s">
        <v>23</v>
      </c>
      <c r="AH259" s="2" t="str">
        <f t="shared" si="321"/>
        <v/>
      </c>
      <c r="AI259" s="2"/>
    </row>
    <row r="260" spans="1:35" x14ac:dyDescent="0.25">
      <c r="B260" s="2" t="str">
        <f t="shared" si="315"/>
        <v>@color-trunk_line_unpaved_default</v>
      </c>
      <c r="C260" s="120" t="s">
        <v>221</v>
      </c>
      <c r="D260" s="121" t="str">
        <f>C260</f>
        <v>"#eddfca"</v>
      </c>
      <c r="F260" s="120" t="s">
        <v>221</v>
      </c>
      <c r="G260" s="121" t="str">
        <f>F260</f>
        <v>"#eddfca"</v>
      </c>
      <c r="I260" s="120" t="s">
        <v>221</v>
      </c>
      <c r="J260" s="121" t="str">
        <f>I260</f>
        <v>"#eddfca"</v>
      </c>
      <c r="L260" s="120" t="s">
        <v>221</v>
      </c>
      <c r="M260" s="121" t="str">
        <f>L260</f>
        <v>"#eddfca"</v>
      </c>
      <c r="U260" s="120" t="s">
        <v>221</v>
      </c>
      <c r="V260" s="121" t="str">
        <f>U260</f>
        <v>"#eddfca"</v>
      </c>
      <c r="X260" s="120" t="s">
        <v>221</v>
      </c>
      <c r="Y260" s="121" t="str">
        <f>X260</f>
        <v>"#eddfca"</v>
      </c>
      <c r="AA260" s="2" t="s">
        <v>6</v>
      </c>
      <c r="AB260" s="2" t="str">
        <f t="shared" si="181"/>
        <v>-</v>
      </c>
      <c r="AC260" s="2" t="s">
        <v>18</v>
      </c>
      <c r="AD260" s="2" t="str">
        <f t="shared" si="182"/>
        <v>_</v>
      </c>
      <c r="AE260" s="2" t="s">
        <v>13</v>
      </c>
      <c r="AF260" s="2" t="str">
        <f t="shared" si="183"/>
        <v>_</v>
      </c>
      <c r="AG260" s="2" t="s">
        <v>21</v>
      </c>
      <c r="AH260" s="2" t="str">
        <f t="shared" si="321"/>
        <v>_</v>
      </c>
      <c r="AI260" s="28" t="s">
        <v>262</v>
      </c>
    </row>
    <row r="261" spans="1:35" x14ac:dyDescent="0.25">
      <c r="B261" s="2" t="str">
        <f t="shared" si="315"/>
        <v>@color-trunk_line_paved_or_uk_default</v>
      </c>
      <c r="C261" s="47" t="s">
        <v>222</v>
      </c>
      <c r="D261" s="38" t="str">
        <f>C261</f>
        <v>"#ffffff"</v>
      </c>
      <c r="F261" s="47" t="s">
        <v>222</v>
      </c>
      <c r="G261" s="38" t="str">
        <f>F261</f>
        <v>"#ffffff"</v>
      </c>
      <c r="I261" s="47" t="s">
        <v>222</v>
      </c>
      <c r="J261" s="38" t="str">
        <f>I261</f>
        <v>"#ffffff"</v>
      </c>
      <c r="L261" s="47" t="s">
        <v>222</v>
      </c>
      <c r="M261" s="38" t="str">
        <f>L261</f>
        <v>"#ffffff"</v>
      </c>
      <c r="U261" s="47" t="s">
        <v>222</v>
      </c>
      <c r="V261" s="38" t="str">
        <f>U261</f>
        <v>"#ffffff"</v>
      </c>
      <c r="X261" s="47" t="s">
        <v>222</v>
      </c>
      <c r="Y261" s="38" t="str">
        <f>X261</f>
        <v>"#ffffff"</v>
      </c>
      <c r="AA261" s="28" t="s">
        <v>6</v>
      </c>
      <c r="AB261" s="28" t="str">
        <f t="shared" si="181"/>
        <v>-</v>
      </c>
      <c r="AC261" s="28" t="s">
        <v>18</v>
      </c>
      <c r="AD261" s="28" t="str">
        <f t="shared" si="182"/>
        <v>_</v>
      </c>
      <c r="AE261" s="28" t="s">
        <v>13</v>
      </c>
      <c r="AF261" s="28" t="str">
        <f t="shared" si="183"/>
        <v>_</v>
      </c>
      <c r="AG261" s="28" t="s">
        <v>24</v>
      </c>
      <c r="AH261" s="28" t="str">
        <f t="shared" si="321"/>
        <v>_</v>
      </c>
      <c r="AI261" s="28" t="s">
        <v>262</v>
      </c>
    </row>
    <row r="262" spans="1:35" x14ac:dyDescent="0.25">
      <c r="B262" s="2"/>
      <c r="AB262" s="28" t="str">
        <f t="shared" si="181"/>
        <v/>
      </c>
      <c r="AD262" s="28" t="str">
        <f t="shared" si="182"/>
        <v/>
      </c>
      <c r="AF262" s="28" t="str">
        <f t="shared" si="183"/>
        <v/>
      </c>
      <c r="AH262" s="28" t="str">
        <f t="shared" si="321"/>
        <v/>
      </c>
    </row>
    <row r="263" spans="1:35" s="2" customFormat="1" x14ac:dyDescent="0.25">
      <c r="A263" s="3" t="s">
        <v>44</v>
      </c>
      <c r="B263" s="3"/>
      <c r="C263" s="27"/>
      <c r="D263" s="6"/>
      <c r="E263" s="7"/>
      <c r="F263" s="6"/>
      <c r="G263" s="6"/>
      <c r="H263" s="7"/>
      <c r="I263" s="6"/>
      <c r="J263" s="6"/>
      <c r="K263" s="7"/>
      <c r="L263" s="6"/>
      <c r="M263" s="6"/>
      <c r="N263" s="7"/>
      <c r="O263" s="6"/>
      <c r="P263" s="6"/>
      <c r="Q263" s="7"/>
      <c r="R263" s="6"/>
      <c r="S263" s="6"/>
      <c r="T263" s="7"/>
      <c r="U263" s="27"/>
      <c r="V263" s="6"/>
      <c r="W263" s="7"/>
      <c r="X263" s="6"/>
      <c r="Y263" s="6"/>
      <c r="AA263" s="4"/>
      <c r="AB263" s="4" t="str">
        <f t="shared" si="181"/>
        <v/>
      </c>
      <c r="AC263" s="4"/>
      <c r="AD263" s="4" t="str">
        <f t="shared" si="182"/>
        <v/>
      </c>
      <c r="AE263" s="4"/>
      <c r="AF263" s="4" t="str">
        <f t="shared" si="183"/>
        <v/>
      </c>
      <c r="AG263" s="4"/>
      <c r="AH263" s="4" t="str">
        <f t="shared" si="321"/>
        <v/>
      </c>
      <c r="AI263" s="4"/>
    </row>
    <row r="264" spans="1:35" x14ac:dyDescent="0.25">
      <c r="B264" s="2" t="str">
        <f t="shared" ref="B264:B272" si="322">_xlfn.CONCAT("@",AA264,AB264,AC264,AD264,AE264,AF264,AG264,AH264,AI264)</f>
        <v>@color-primary_case_bicycle_no_default</v>
      </c>
      <c r="C264" s="113" t="s">
        <v>226</v>
      </c>
      <c r="D264" s="48" t="s">
        <v>214</v>
      </c>
      <c r="F264" s="48" t="s">
        <v>214</v>
      </c>
      <c r="G264" s="48" t="s">
        <v>214</v>
      </c>
      <c r="I264" s="114" t="str">
        <f>C264</f>
        <v>"#bd430f"</v>
      </c>
      <c r="J264" s="37" t="str">
        <f>D264</f>
        <v>"#000000"</v>
      </c>
      <c r="L264" s="48" t="s">
        <v>214</v>
      </c>
      <c r="M264" s="48" t="s">
        <v>214</v>
      </c>
      <c r="U264" s="113" t="s">
        <v>226</v>
      </c>
      <c r="V264" s="48" t="s">
        <v>214</v>
      </c>
      <c r="X264" s="48" t="s">
        <v>214</v>
      </c>
      <c r="Y264" s="48" t="s">
        <v>214</v>
      </c>
      <c r="AA264" s="28" t="s">
        <v>6</v>
      </c>
      <c r="AB264" s="2" t="str">
        <f t="shared" ref="AB264:AB373" si="323">IF(NOT(ISBLANK(AC264)),"-","")</f>
        <v>-</v>
      </c>
      <c r="AC264" s="2" t="s">
        <v>25</v>
      </c>
      <c r="AD264" s="2" t="str">
        <f t="shared" si="182"/>
        <v>_</v>
      </c>
      <c r="AE264" s="28" t="s">
        <v>17</v>
      </c>
      <c r="AF264" s="2" t="str">
        <f t="shared" si="183"/>
        <v>_</v>
      </c>
      <c r="AG264" s="28" t="s">
        <v>23</v>
      </c>
      <c r="AH264" s="2" t="str">
        <f t="shared" si="321"/>
        <v>_</v>
      </c>
      <c r="AI264" s="28" t="s">
        <v>262</v>
      </c>
    </row>
    <row r="265" spans="1:35" x14ac:dyDescent="0.25">
      <c r="B265" s="2" t="str">
        <f t="shared" si="322"/>
        <v>@color-primary_case_bicycle_no_farzoom</v>
      </c>
      <c r="C265" s="113" t="s">
        <v>226</v>
      </c>
      <c r="D265" s="48" t="s">
        <v>214</v>
      </c>
      <c r="F265" s="113" t="s">
        <v>226</v>
      </c>
      <c r="G265" s="113" t="s">
        <v>226</v>
      </c>
      <c r="I265" s="114" t="str">
        <f>C265</f>
        <v>"#bd430f"</v>
      </c>
      <c r="J265" s="37" t="str">
        <f>D265</f>
        <v>"#000000"</v>
      </c>
      <c r="L265" s="113" t="s">
        <v>226</v>
      </c>
      <c r="M265" s="113" t="s">
        <v>226</v>
      </c>
      <c r="U265" s="113" t="s">
        <v>226</v>
      </c>
      <c r="V265" s="48" t="s">
        <v>214</v>
      </c>
      <c r="X265" s="113" t="s">
        <v>226</v>
      </c>
      <c r="Y265" s="113" t="s">
        <v>226</v>
      </c>
      <c r="AA265" s="28" t="s">
        <v>6</v>
      </c>
      <c r="AB265" s="2" t="str">
        <f t="shared" ref="AB265" si="324">IF(NOT(ISBLANK(AC265)),"-","")</f>
        <v>-</v>
      </c>
      <c r="AC265" s="2" t="s">
        <v>25</v>
      </c>
      <c r="AD265" s="2" t="str">
        <f t="shared" ref="AD265" si="325">IF(NOT(ISBLANK(AE265)),"_","")</f>
        <v>_</v>
      </c>
      <c r="AE265" s="28" t="s">
        <v>17</v>
      </c>
      <c r="AF265" s="2" t="str">
        <f t="shared" ref="AF265" si="326">IF(NOT(ISBLANK(AG265)),"_","")</f>
        <v>_</v>
      </c>
      <c r="AG265" s="28" t="s">
        <v>23</v>
      </c>
      <c r="AH265" s="2" t="str">
        <f t="shared" si="321"/>
        <v>_</v>
      </c>
      <c r="AI265" s="28" t="s">
        <v>20</v>
      </c>
    </row>
    <row r="266" spans="1:35" x14ac:dyDescent="0.25">
      <c r="B266" s="2" t="str">
        <f t="shared" si="322"/>
        <v>@color-primary_case_unpaved_farzoom</v>
      </c>
      <c r="C266" s="115" t="s">
        <v>227</v>
      </c>
      <c r="D266" s="116" t="s">
        <v>229</v>
      </c>
      <c r="F266" s="116" t="s">
        <v>229</v>
      </c>
      <c r="G266" s="115" t="s">
        <v>227</v>
      </c>
      <c r="I266" s="115" t="s">
        <v>227</v>
      </c>
      <c r="J266" s="116" t="s">
        <v>229</v>
      </c>
      <c r="L266" s="116" t="s">
        <v>229</v>
      </c>
      <c r="M266" s="115" t="s">
        <v>227</v>
      </c>
      <c r="U266" s="115" t="s">
        <v>227</v>
      </c>
      <c r="V266" s="116" t="s">
        <v>229</v>
      </c>
      <c r="X266" s="116" t="s">
        <v>229</v>
      </c>
      <c r="Y266" s="115" t="s">
        <v>227</v>
      </c>
      <c r="AA266" s="28" t="s">
        <v>6</v>
      </c>
      <c r="AB266" s="2" t="str">
        <f>IF(NOT(ISBLANK(AC266)),"-","")</f>
        <v>-</v>
      </c>
      <c r="AC266" s="2" t="s">
        <v>25</v>
      </c>
      <c r="AD266" s="2" t="str">
        <f>IF(NOT(ISBLANK(AE266)),"_","")</f>
        <v>_</v>
      </c>
      <c r="AE266" s="28" t="s">
        <v>17</v>
      </c>
      <c r="AF266" s="2" t="str">
        <f>IF(NOT(ISBLANK(AG266)),"_","")</f>
        <v>_</v>
      </c>
      <c r="AG266" s="28" t="s">
        <v>21</v>
      </c>
      <c r="AH266" s="2" t="str">
        <f>IF(NOT(ISBLANK(AI266)),"_","")</f>
        <v>_</v>
      </c>
      <c r="AI266" s="28" t="s">
        <v>20</v>
      </c>
    </row>
    <row r="267" spans="1:35" x14ac:dyDescent="0.25">
      <c r="B267" s="2" t="str">
        <f t="shared" si="322"/>
        <v>@color-primary_case_unpaved_default</v>
      </c>
      <c r="C267" s="117" t="s">
        <v>217</v>
      </c>
      <c r="D267" s="116" t="s">
        <v>229</v>
      </c>
      <c r="F267" s="48" t="s">
        <v>214</v>
      </c>
      <c r="G267" s="48" t="s">
        <v>214</v>
      </c>
      <c r="I267" s="117" t="s">
        <v>217</v>
      </c>
      <c r="J267" s="116" t="s">
        <v>229</v>
      </c>
      <c r="L267" s="48" t="s">
        <v>214</v>
      </c>
      <c r="M267" s="48" t="s">
        <v>214</v>
      </c>
      <c r="U267" s="117" t="s">
        <v>217</v>
      </c>
      <c r="V267" s="116" t="s">
        <v>229</v>
      </c>
      <c r="X267" s="48" t="s">
        <v>214</v>
      </c>
      <c r="Y267" s="48" t="s">
        <v>214</v>
      </c>
      <c r="AA267" s="28" t="s">
        <v>6</v>
      </c>
      <c r="AB267" s="2" t="str">
        <f t="shared" si="323"/>
        <v>-</v>
      </c>
      <c r="AC267" s="2" t="s">
        <v>25</v>
      </c>
      <c r="AD267" s="2" t="str">
        <f t="shared" si="182"/>
        <v>_</v>
      </c>
      <c r="AE267" s="28" t="s">
        <v>17</v>
      </c>
      <c r="AF267" s="2" t="str">
        <f t="shared" si="183"/>
        <v>_</v>
      </c>
      <c r="AG267" s="28" t="s">
        <v>21</v>
      </c>
      <c r="AH267" s="28" t="str">
        <f t="shared" ref="AH267:AH269" si="327">IF(NOT(ISBLANK(AI267)),"_","")</f>
        <v>_</v>
      </c>
      <c r="AI267" s="28" t="s">
        <v>262</v>
      </c>
    </row>
    <row r="268" spans="1:35" x14ac:dyDescent="0.25">
      <c r="B268" s="2" t="str">
        <f t="shared" si="322"/>
        <v>@color-primary_case_paved_or_uk_farzoom</v>
      </c>
      <c r="C268" s="118" t="s">
        <v>228</v>
      </c>
      <c r="D268" s="48" t="s">
        <v>214</v>
      </c>
      <c r="F268" s="118" t="s">
        <v>228</v>
      </c>
      <c r="G268" s="118" t="s">
        <v>228</v>
      </c>
      <c r="I268" s="118" t="s">
        <v>228</v>
      </c>
      <c r="J268" s="48" t="s">
        <v>214</v>
      </c>
      <c r="L268" s="118" t="s">
        <v>228</v>
      </c>
      <c r="M268" s="118" t="s">
        <v>228</v>
      </c>
      <c r="U268" s="118" t="s">
        <v>228</v>
      </c>
      <c r="V268" s="48" t="s">
        <v>214</v>
      </c>
      <c r="X268" s="118" t="s">
        <v>228</v>
      </c>
      <c r="Y268" s="118" t="s">
        <v>228</v>
      </c>
      <c r="AA268" s="2" t="s">
        <v>6</v>
      </c>
      <c r="AB268" s="2" t="str">
        <f t="shared" si="323"/>
        <v>-</v>
      </c>
      <c r="AC268" s="2" t="s">
        <v>25</v>
      </c>
      <c r="AD268" s="2" t="str">
        <f t="shared" ref="AD268" si="328">IF(NOT(ISBLANK(AE268)),"_","")</f>
        <v>_</v>
      </c>
      <c r="AE268" s="2" t="s">
        <v>17</v>
      </c>
      <c r="AF268" s="2" t="str">
        <f t="shared" ref="AF268" si="329">IF(NOT(ISBLANK(AG268)),"_","")</f>
        <v>_</v>
      </c>
      <c r="AG268" s="2" t="s">
        <v>24</v>
      </c>
      <c r="AH268" s="2" t="str">
        <f t="shared" si="327"/>
        <v>_</v>
      </c>
      <c r="AI268" s="28" t="s">
        <v>20</v>
      </c>
    </row>
    <row r="269" spans="1:35" x14ac:dyDescent="0.25">
      <c r="B269" s="2" t="str">
        <f t="shared" si="322"/>
        <v>@color-primary_case_paved_or_uk_default</v>
      </c>
      <c r="C269" s="119" t="s">
        <v>218</v>
      </c>
      <c r="D269" s="48" t="s">
        <v>214</v>
      </c>
      <c r="F269" s="48" t="s">
        <v>214</v>
      </c>
      <c r="G269" s="48" t="s">
        <v>214</v>
      </c>
      <c r="I269" s="119" t="s">
        <v>218</v>
      </c>
      <c r="J269" s="48" t="s">
        <v>214</v>
      </c>
      <c r="L269" s="48" t="s">
        <v>214</v>
      </c>
      <c r="M269" s="48" t="s">
        <v>214</v>
      </c>
      <c r="U269" s="119" t="s">
        <v>218</v>
      </c>
      <c r="V269" s="48" t="s">
        <v>214</v>
      </c>
      <c r="X269" s="48" t="s">
        <v>214</v>
      </c>
      <c r="Y269" s="48" t="s">
        <v>214</v>
      </c>
      <c r="AA269" s="2" t="s">
        <v>6</v>
      </c>
      <c r="AB269" s="2" t="str">
        <f t="shared" si="323"/>
        <v>-</v>
      </c>
      <c r="AC269" s="28" t="s">
        <v>25</v>
      </c>
      <c r="AD269" s="2" t="str">
        <f t="shared" ref="AD269:AD373" si="330">IF(NOT(ISBLANK(AE269)),"_","")</f>
        <v>_</v>
      </c>
      <c r="AE269" s="2" t="s">
        <v>17</v>
      </c>
      <c r="AF269" s="2" t="str">
        <f t="shared" ref="AF269:AF373" si="331">IF(NOT(ISBLANK(AG269)),"_","")</f>
        <v>_</v>
      </c>
      <c r="AG269" s="2" t="s">
        <v>24</v>
      </c>
      <c r="AH269" s="2" t="str">
        <f t="shared" si="327"/>
        <v>_</v>
      </c>
      <c r="AI269" s="28" t="s">
        <v>262</v>
      </c>
    </row>
    <row r="270" spans="1:35" x14ac:dyDescent="0.25">
      <c r="B270" s="2" t="str">
        <f t="shared" si="322"/>
        <v>@color-primary_line_bicycle_no</v>
      </c>
      <c r="C270" s="122" t="s">
        <v>231</v>
      </c>
      <c r="D270" s="110" t="s">
        <v>215</v>
      </c>
      <c r="F270" s="122" t="s">
        <v>231</v>
      </c>
      <c r="G270" s="110" t="s">
        <v>215</v>
      </c>
      <c r="I270" s="123" t="str">
        <f>C270</f>
        <v>"#ffcc8a"</v>
      </c>
      <c r="J270" s="112" t="str">
        <f>D270</f>
        <v>"#d6771e"</v>
      </c>
      <c r="L270" s="122" t="s">
        <v>231</v>
      </c>
      <c r="M270" s="110" t="s">
        <v>215</v>
      </c>
      <c r="U270" s="122" t="s">
        <v>231</v>
      </c>
      <c r="V270" s="110" t="s">
        <v>215</v>
      </c>
      <c r="X270" s="122" t="s">
        <v>231</v>
      </c>
      <c r="Y270" s="110" t="s">
        <v>215</v>
      </c>
      <c r="AA270" s="28" t="s">
        <v>6</v>
      </c>
      <c r="AB270" s="2" t="str">
        <f t="shared" si="323"/>
        <v>-</v>
      </c>
      <c r="AC270" s="28" t="s">
        <v>25</v>
      </c>
      <c r="AD270" s="2" t="str">
        <f t="shared" si="330"/>
        <v>_</v>
      </c>
      <c r="AE270" s="28" t="s">
        <v>13</v>
      </c>
      <c r="AF270" s="2" t="str">
        <f t="shared" si="331"/>
        <v>_</v>
      </c>
      <c r="AG270" s="28" t="s">
        <v>23</v>
      </c>
      <c r="AH270" s="2" t="str">
        <f t="shared" ref="AH270:AH275" si="332">IF(NOT(ISBLANK(AI270)),"_","")</f>
        <v/>
      </c>
    </row>
    <row r="271" spans="1:35" x14ac:dyDescent="0.25">
      <c r="B271" s="2" t="str">
        <f t="shared" si="322"/>
        <v>@color-primary_line_unpaved_default</v>
      </c>
      <c r="C271" s="120" t="s">
        <v>221</v>
      </c>
      <c r="D271" s="121" t="str">
        <f>C271</f>
        <v>"#eddfca"</v>
      </c>
      <c r="F271" s="120" t="s">
        <v>221</v>
      </c>
      <c r="G271" s="121" t="str">
        <f>F271</f>
        <v>"#eddfca"</v>
      </c>
      <c r="I271" s="120" t="s">
        <v>221</v>
      </c>
      <c r="J271" s="121" t="str">
        <f>I271</f>
        <v>"#eddfca"</v>
      </c>
      <c r="L271" s="120" t="s">
        <v>221</v>
      </c>
      <c r="M271" s="121" t="str">
        <f>L271</f>
        <v>"#eddfca"</v>
      </c>
      <c r="U271" s="120" t="s">
        <v>221</v>
      </c>
      <c r="V271" s="121" t="str">
        <f>U271</f>
        <v>"#eddfca"</v>
      </c>
      <c r="X271" s="120" t="s">
        <v>221</v>
      </c>
      <c r="Y271" s="121" t="str">
        <f>X271</f>
        <v>"#eddfca"</v>
      </c>
      <c r="AA271" s="2" t="s">
        <v>6</v>
      </c>
      <c r="AB271" s="2" t="str">
        <f t="shared" si="323"/>
        <v>-</v>
      </c>
      <c r="AC271" s="2" t="s">
        <v>25</v>
      </c>
      <c r="AD271" s="2" t="str">
        <f t="shared" si="330"/>
        <v>_</v>
      </c>
      <c r="AE271" s="2" t="s">
        <v>13</v>
      </c>
      <c r="AF271" s="2" t="str">
        <f t="shared" si="331"/>
        <v>_</v>
      </c>
      <c r="AG271" s="2" t="s">
        <v>21</v>
      </c>
      <c r="AH271" s="2" t="str">
        <f t="shared" si="332"/>
        <v>_</v>
      </c>
      <c r="AI271" s="28" t="s">
        <v>262</v>
      </c>
    </row>
    <row r="272" spans="1:35" x14ac:dyDescent="0.25">
      <c r="B272" s="2" t="str">
        <f t="shared" si="322"/>
        <v>@color-primary_line_paved_or_uk_default</v>
      </c>
      <c r="C272" s="47" t="s">
        <v>222</v>
      </c>
      <c r="D272" s="38" t="str">
        <f>C272</f>
        <v>"#ffffff"</v>
      </c>
      <c r="F272" s="47" t="s">
        <v>222</v>
      </c>
      <c r="G272" s="38" t="str">
        <f>F272</f>
        <v>"#ffffff"</v>
      </c>
      <c r="I272" s="47" t="s">
        <v>222</v>
      </c>
      <c r="J272" s="38" t="str">
        <f>I272</f>
        <v>"#ffffff"</v>
      </c>
      <c r="L272" s="47" t="s">
        <v>222</v>
      </c>
      <c r="M272" s="38" t="str">
        <f>L272</f>
        <v>"#ffffff"</v>
      </c>
      <c r="U272" s="47" t="s">
        <v>222</v>
      </c>
      <c r="V272" s="38" t="str">
        <f>U272</f>
        <v>"#ffffff"</v>
      </c>
      <c r="X272" s="47" t="s">
        <v>222</v>
      </c>
      <c r="Y272" s="38" t="str">
        <f>X272</f>
        <v>"#ffffff"</v>
      </c>
      <c r="AA272" s="2" t="s">
        <v>6</v>
      </c>
      <c r="AB272" s="2" t="str">
        <f t="shared" si="323"/>
        <v>-</v>
      </c>
      <c r="AC272" s="2" t="s">
        <v>25</v>
      </c>
      <c r="AD272" s="2" t="str">
        <f t="shared" si="330"/>
        <v>_</v>
      </c>
      <c r="AE272" s="2" t="s">
        <v>13</v>
      </c>
      <c r="AF272" s="2" t="str">
        <f t="shared" si="331"/>
        <v>_</v>
      </c>
      <c r="AG272" s="28" t="s">
        <v>24</v>
      </c>
      <c r="AH272" s="28" t="str">
        <f t="shared" si="332"/>
        <v>_</v>
      </c>
      <c r="AI272" s="28" t="s">
        <v>262</v>
      </c>
    </row>
    <row r="273" spans="2:35" x14ac:dyDescent="0.25">
      <c r="B273" s="2"/>
      <c r="C273" s="26"/>
      <c r="D273" s="26"/>
      <c r="I273" s="26"/>
      <c r="U273" s="26"/>
      <c r="V273" s="26"/>
      <c r="AB273" s="2"/>
      <c r="AD273" s="2"/>
      <c r="AF273" s="2" t="str">
        <f t="shared" ref="AF273:AF282" si="333">IF(NOT(ISBLANK(AG273)),"_","")</f>
        <v/>
      </c>
      <c r="AH273" s="2" t="str">
        <f t="shared" si="332"/>
        <v/>
      </c>
    </row>
    <row r="274" spans="2:35" x14ac:dyDescent="0.25">
      <c r="B274" s="2" t="str">
        <f t="shared" ref="B274:B282" si="334">_xlfn.CONCAT("@",AA274,AB274,AC274,AD274,AE274,AF274,AG274,AH274,AI274)</f>
        <v>@color-secondary_case_bicycle_no_default</v>
      </c>
      <c r="C274" s="113" t="s">
        <v>226</v>
      </c>
      <c r="D274" s="48" t="s">
        <v>214</v>
      </c>
      <c r="F274" s="48" t="s">
        <v>214</v>
      </c>
      <c r="G274" s="48" t="s">
        <v>214</v>
      </c>
      <c r="I274" s="114" t="str">
        <f>C274</f>
        <v>"#bd430f"</v>
      </c>
      <c r="J274" s="37" t="str">
        <f>D274</f>
        <v>"#000000"</v>
      </c>
      <c r="L274" s="48" t="s">
        <v>214</v>
      </c>
      <c r="M274" s="48" t="s">
        <v>214</v>
      </c>
      <c r="U274" s="113" t="s">
        <v>226</v>
      </c>
      <c r="V274" s="48" t="s">
        <v>214</v>
      </c>
      <c r="X274" s="48" t="s">
        <v>214</v>
      </c>
      <c r="Y274" s="48" t="s">
        <v>214</v>
      </c>
      <c r="AA274" s="28" t="s">
        <v>6</v>
      </c>
      <c r="AB274" s="2" t="str">
        <f t="shared" ref="AB274:AB282" si="335">IF(NOT(ISBLANK(AC274)),"-","")</f>
        <v>-</v>
      </c>
      <c r="AC274" s="2" t="s">
        <v>27</v>
      </c>
      <c r="AD274" s="2" t="str">
        <f t="shared" ref="AD274:AD282" si="336">IF(NOT(ISBLANK(AE274)),"_","")</f>
        <v>_</v>
      </c>
      <c r="AE274" s="28" t="s">
        <v>17</v>
      </c>
      <c r="AF274" s="2" t="str">
        <f t="shared" si="333"/>
        <v>_</v>
      </c>
      <c r="AG274" s="28" t="s">
        <v>23</v>
      </c>
      <c r="AH274" s="2" t="str">
        <f t="shared" si="332"/>
        <v>_</v>
      </c>
      <c r="AI274" s="28" t="s">
        <v>262</v>
      </c>
    </row>
    <row r="275" spans="2:35" x14ac:dyDescent="0.25">
      <c r="B275" s="2" t="str">
        <f t="shared" si="334"/>
        <v>@color-secondary_case_bicycle_no_farzoom</v>
      </c>
      <c r="C275" s="113" t="s">
        <v>226</v>
      </c>
      <c r="D275" s="48" t="s">
        <v>214</v>
      </c>
      <c r="F275" s="113" t="s">
        <v>226</v>
      </c>
      <c r="G275" s="113" t="s">
        <v>226</v>
      </c>
      <c r="I275" s="114" t="str">
        <f>C275</f>
        <v>"#bd430f"</v>
      </c>
      <c r="J275" s="37" t="str">
        <f>D275</f>
        <v>"#000000"</v>
      </c>
      <c r="L275" s="113" t="s">
        <v>226</v>
      </c>
      <c r="M275" s="113" t="s">
        <v>226</v>
      </c>
      <c r="U275" s="113" t="s">
        <v>226</v>
      </c>
      <c r="V275" s="48" t="s">
        <v>214</v>
      </c>
      <c r="X275" s="113" t="s">
        <v>226</v>
      </c>
      <c r="Y275" s="113" t="s">
        <v>226</v>
      </c>
      <c r="AA275" s="28" t="s">
        <v>6</v>
      </c>
      <c r="AB275" s="2" t="str">
        <f t="shared" ref="AB275" si="337">IF(NOT(ISBLANK(AC275)),"-","")</f>
        <v>-</v>
      </c>
      <c r="AC275" s="2" t="s">
        <v>27</v>
      </c>
      <c r="AD275" s="2" t="str">
        <f t="shared" ref="AD275" si="338">IF(NOT(ISBLANK(AE275)),"_","")</f>
        <v>_</v>
      </c>
      <c r="AE275" s="28" t="s">
        <v>17</v>
      </c>
      <c r="AF275" s="2" t="str">
        <f t="shared" ref="AF275" si="339">IF(NOT(ISBLANK(AG275)),"_","")</f>
        <v>_</v>
      </c>
      <c r="AG275" s="28" t="s">
        <v>23</v>
      </c>
      <c r="AH275" s="2" t="str">
        <f t="shared" si="332"/>
        <v>_</v>
      </c>
      <c r="AI275" s="28" t="s">
        <v>20</v>
      </c>
    </row>
    <row r="276" spans="2:35" x14ac:dyDescent="0.25">
      <c r="B276" s="2" t="str">
        <f t="shared" si="334"/>
        <v>@color-secondary_case_unpaved_farzoom</v>
      </c>
      <c r="C276" s="115" t="s">
        <v>227</v>
      </c>
      <c r="D276" s="116" t="s">
        <v>229</v>
      </c>
      <c r="F276" s="116" t="s">
        <v>229</v>
      </c>
      <c r="G276" s="115" t="s">
        <v>227</v>
      </c>
      <c r="I276" s="115" t="s">
        <v>227</v>
      </c>
      <c r="J276" s="116" t="s">
        <v>229</v>
      </c>
      <c r="L276" s="116" t="s">
        <v>229</v>
      </c>
      <c r="M276" s="115" t="s">
        <v>227</v>
      </c>
      <c r="U276" s="115" t="s">
        <v>227</v>
      </c>
      <c r="V276" s="116" t="s">
        <v>229</v>
      </c>
      <c r="X276" s="116" t="s">
        <v>229</v>
      </c>
      <c r="Y276" s="115" t="s">
        <v>227</v>
      </c>
      <c r="AA276" s="28" t="s">
        <v>6</v>
      </c>
      <c r="AB276" s="2" t="str">
        <f>IF(NOT(ISBLANK(AC276)),"-","")</f>
        <v>-</v>
      </c>
      <c r="AC276" s="2" t="s">
        <v>27</v>
      </c>
      <c r="AD276" s="2" t="str">
        <f>IF(NOT(ISBLANK(AE276)),"_","")</f>
        <v>_</v>
      </c>
      <c r="AE276" s="28" t="s">
        <v>17</v>
      </c>
      <c r="AF276" s="2" t="str">
        <f>IF(NOT(ISBLANK(AG276)),"_","")</f>
        <v>_</v>
      </c>
      <c r="AG276" s="28" t="s">
        <v>21</v>
      </c>
      <c r="AH276" s="2" t="str">
        <f>IF(NOT(ISBLANK(AI276)),"_","")</f>
        <v>_</v>
      </c>
      <c r="AI276" s="28" t="s">
        <v>20</v>
      </c>
    </row>
    <row r="277" spans="2:35" x14ac:dyDescent="0.25">
      <c r="B277" s="2" t="str">
        <f t="shared" si="334"/>
        <v>@color-secondary_case_unpaved_default</v>
      </c>
      <c r="C277" s="116" t="s">
        <v>229</v>
      </c>
      <c r="D277" s="116" t="s">
        <v>229</v>
      </c>
      <c r="F277" s="48" t="s">
        <v>214</v>
      </c>
      <c r="G277" s="48" t="s">
        <v>214</v>
      </c>
      <c r="I277" s="116" t="s">
        <v>229</v>
      </c>
      <c r="J277" s="116" t="s">
        <v>229</v>
      </c>
      <c r="L277" s="48" t="s">
        <v>214</v>
      </c>
      <c r="M277" s="48" t="s">
        <v>214</v>
      </c>
      <c r="U277" s="116" t="s">
        <v>229</v>
      </c>
      <c r="V277" s="116" t="s">
        <v>229</v>
      </c>
      <c r="X277" s="48" t="s">
        <v>214</v>
      </c>
      <c r="Y277" s="48" t="s">
        <v>214</v>
      </c>
      <c r="AA277" s="28" t="s">
        <v>6</v>
      </c>
      <c r="AB277" s="2" t="str">
        <f t="shared" si="335"/>
        <v>-</v>
      </c>
      <c r="AC277" s="2" t="s">
        <v>27</v>
      </c>
      <c r="AD277" s="2" t="str">
        <f t="shared" si="336"/>
        <v>_</v>
      </c>
      <c r="AE277" s="28" t="s">
        <v>17</v>
      </c>
      <c r="AF277" s="2" t="str">
        <f t="shared" si="333"/>
        <v>_</v>
      </c>
      <c r="AG277" s="28" t="s">
        <v>21</v>
      </c>
      <c r="AH277" s="28" t="str">
        <f t="shared" ref="AH277:AH279" si="340">IF(NOT(ISBLANK(AI277)),"_","")</f>
        <v>_</v>
      </c>
      <c r="AI277" s="28" t="s">
        <v>262</v>
      </c>
    </row>
    <row r="278" spans="2:35" x14ac:dyDescent="0.25">
      <c r="B278" s="2" t="str">
        <f t="shared" si="334"/>
        <v>@color-secondary_case_paved_or_uk_farzoom</v>
      </c>
      <c r="C278" s="118" t="s">
        <v>228</v>
      </c>
      <c r="D278" s="48" t="s">
        <v>214</v>
      </c>
      <c r="F278" s="118" t="s">
        <v>228</v>
      </c>
      <c r="G278" s="118" t="s">
        <v>228</v>
      </c>
      <c r="I278" s="118" t="s">
        <v>228</v>
      </c>
      <c r="J278" s="48" t="s">
        <v>214</v>
      </c>
      <c r="L278" s="118" t="s">
        <v>228</v>
      </c>
      <c r="M278" s="118" t="s">
        <v>228</v>
      </c>
      <c r="U278" s="118" t="s">
        <v>228</v>
      </c>
      <c r="V278" s="48" t="s">
        <v>214</v>
      </c>
      <c r="X278" s="118" t="s">
        <v>228</v>
      </c>
      <c r="Y278" s="118" t="s">
        <v>228</v>
      </c>
      <c r="AA278" s="2" t="s">
        <v>6</v>
      </c>
      <c r="AB278" s="2" t="str">
        <f t="shared" si="335"/>
        <v>-</v>
      </c>
      <c r="AC278" s="2" t="s">
        <v>27</v>
      </c>
      <c r="AD278" s="2" t="str">
        <f t="shared" si="336"/>
        <v>_</v>
      </c>
      <c r="AE278" s="2" t="s">
        <v>17</v>
      </c>
      <c r="AF278" s="2" t="str">
        <f t="shared" si="333"/>
        <v>_</v>
      </c>
      <c r="AG278" s="2" t="s">
        <v>24</v>
      </c>
      <c r="AH278" s="2" t="str">
        <f t="shared" si="340"/>
        <v>_</v>
      </c>
      <c r="AI278" s="28" t="s">
        <v>20</v>
      </c>
    </row>
    <row r="279" spans="2:35" x14ac:dyDescent="0.25">
      <c r="B279" s="2" t="str">
        <f t="shared" si="334"/>
        <v>@color-secondary_case_paved_or_uk_default</v>
      </c>
      <c r="C279" s="124" t="s">
        <v>230</v>
      </c>
      <c r="D279" s="48" t="s">
        <v>214</v>
      </c>
      <c r="F279" s="48" t="s">
        <v>214</v>
      </c>
      <c r="G279" s="48" t="s">
        <v>214</v>
      </c>
      <c r="I279" s="124" t="s">
        <v>230</v>
      </c>
      <c r="J279" s="48" t="s">
        <v>214</v>
      </c>
      <c r="L279" s="48" t="s">
        <v>214</v>
      </c>
      <c r="M279" s="48" t="s">
        <v>214</v>
      </c>
      <c r="U279" s="124" t="s">
        <v>230</v>
      </c>
      <c r="V279" s="48" t="s">
        <v>214</v>
      </c>
      <c r="X279" s="48" t="s">
        <v>214</v>
      </c>
      <c r="Y279" s="48" t="s">
        <v>214</v>
      </c>
      <c r="AA279" s="2" t="s">
        <v>6</v>
      </c>
      <c r="AB279" s="2" t="str">
        <f t="shared" si="335"/>
        <v>-</v>
      </c>
      <c r="AC279" s="2" t="s">
        <v>27</v>
      </c>
      <c r="AD279" s="2" t="str">
        <f t="shared" si="336"/>
        <v>_</v>
      </c>
      <c r="AE279" s="2" t="s">
        <v>17</v>
      </c>
      <c r="AF279" s="2" t="str">
        <f t="shared" si="333"/>
        <v>_</v>
      </c>
      <c r="AG279" s="2" t="s">
        <v>24</v>
      </c>
      <c r="AH279" s="2" t="str">
        <f t="shared" si="340"/>
        <v>_</v>
      </c>
      <c r="AI279" s="28" t="s">
        <v>262</v>
      </c>
    </row>
    <row r="280" spans="2:35" x14ac:dyDescent="0.25">
      <c r="B280" s="2" t="str">
        <f t="shared" si="334"/>
        <v>@color-secondary_line_bicycle_no</v>
      </c>
      <c r="C280" s="122" t="s">
        <v>231</v>
      </c>
      <c r="D280" s="110" t="s">
        <v>215</v>
      </c>
      <c r="F280" s="122" t="s">
        <v>231</v>
      </c>
      <c r="G280" s="110" t="s">
        <v>215</v>
      </c>
      <c r="I280" s="123" t="str">
        <f>C280</f>
        <v>"#ffcc8a"</v>
      </c>
      <c r="J280" s="112" t="str">
        <f>D280</f>
        <v>"#d6771e"</v>
      </c>
      <c r="L280" s="122" t="s">
        <v>231</v>
      </c>
      <c r="M280" s="110" t="s">
        <v>215</v>
      </c>
      <c r="U280" s="122" t="s">
        <v>231</v>
      </c>
      <c r="V280" s="110" t="s">
        <v>215</v>
      </c>
      <c r="X280" s="122" t="s">
        <v>231</v>
      </c>
      <c r="Y280" s="110" t="s">
        <v>215</v>
      </c>
      <c r="AA280" s="28" t="s">
        <v>6</v>
      </c>
      <c r="AB280" s="2" t="str">
        <f t="shared" si="335"/>
        <v>-</v>
      </c>
      <c r="AC280" s="2" t="s">
        <v>27</v>
      </c>
      <c r="AD280" s="2" t="str">
        <f t="shared" si="336"/>
        <v>_</v>
      </c>
      <c r="AE280" s="28" t="s">
        <v>13</v>
      </c>
      <c r="AF280" s="2" t="str">
        <f t="shared" si="333"/>
        <v>_</v>
      </c>
      <c r="AG280" s="28" t="s">
        <v>23</v>
      </c>
      <c r="AH280" s="2" t="str">
        <f t="shared" ref="AH280:AH374" si="341">IF(NOT(ISBLANK(AI280)),"_","")</f>
        <v/>
      </c>
    </row>
    <row r="281" spans="2:35" x14ac:dyDescent="0.25">
      <c r="B281" s="2" t="str">
        <f t="shared" si="334"/>
        <v>@color-secondary_line_unpaved_default</v>
      </c>
      <c r="C281" s="120" t="s">
        <v>221</v>
      </c>
      <c r="D281" s="121" t="str">
        <f>C281</f>
        <v>"#eddfca"</v>
      </c>
      <c r="F281" s="120" t="s">
        <v>221</v>
      </c>
      <c r="G281" s="121" t="str">
        <f>F281</f>
        <v>"#eddfca"</v>
      </c>
      <c r="I281" s="120" t="s">
        <v>221</v>
      </c>
      <c r="J281" s="121" t="str">
        <f>I281</f>
        <v>"#eddfca"</v>
      </c>
      <c r="L281" s="120" t="s">
        <v>221</v>
      </c>
      <c r="M281" s="121" t="str">
        <f>L281</f>
        <v>"#eddfca"</v>
      </c>
      <c r="U281" s="120" t="s">
        <v>221</v>
      </c>
      <c r="V281" s="121" t="str">
        <f>U281</f>
        <v>"#eddfca"</v>
      </c>
      <c r="X281" s="120" t="s">
        <v>221</v>
      </c>
      <c r="Y281" s="121" t="str">
        <f>X281</f>
        <v>"#eddfca"</v>
      </c>
      <c r="AA281" s="2" t="s">
        <v>6</v>
      </c>
      <c r="AB281" s="2" t="str">
        <f t="shared" si="335"/>
        <v>-</v>
      </c>
      <c r="AC281" s="2" t="s">
        <v>27</v>
      </c>
      <c r="AD281" s="2" t="str">
        <f t="shared" si="336"/>
        <v>_</v>
      </c>
      <c r="AE281" s="2" t="s">
        <v>13</v>
      </c>
      <c r="AF281" s="2" t="str">
        <f t="shared" si="333"/>
        <v>_</v>
      </c>
      <c r="AG281" s="2" t="s">
        <v>21</v>
      </c>
      <c r="AH281" s="2" t="str">
        <f t="shared" si="341"/>
        <v>_</v>
      </c>
      <c r="AI281" s="28" t="s">
        <v>262</v>
      </c>
    </row>
    <row r="282" spans="2:35" x14ac:dyDescent="0.25">
      <c r="B282" s="2" t="str">
        <f t="shared" si="334"/>
        <v>@color-secondary_line_paved_or_uk_default</v>
      </c>
      <c r="C282" s="47" t="s">
        <v>222</v>
      </c>
      <c r="D282" s="38" t="str">
        <f>C282</f>
        <v>"#ffffff"</v>
      </c>
      <c r="F282" s="47" t="s">
        <v>222</v>
      </c>
      <c r="G282" s="38" t="str">
        <f>F282</f>
        <v>"#ffffff"</v>
      </c>
      <c r="I282" s="47" t="s">
        <v>222</v>
      </c>
      <c r="J282" s="38" t="str">
        <f>I282</f>
        <v>"#ffffff"</v>
      </c>
      <c r="L282" s="47" t="s">
        <v>222</v>
      </c>
      <c r="M282" s="38" t="str">
        <f>L282</f>
        <v>"#ffffff"</v>
      </c>
      <c r="U282" s="47" t="s">
        <v>222</v>
      </c>
      <c r="V282" s="38" t="str">
        <f>U282</f>
        <v>"#ffffff"</v>
      </c>
      <c r="X282" s="47" t="s">
        <v>222</v>
      </c>
      <c r="Y282" s="38" t="str">
        <f>X282</f>
        <v>"#ffffff"</v>
      </c>
      <c r="AA282" s="2" t="s">
        <v>6</v>
      </c>
      <c r="AB282" s="2" t="str">
        <f t="shared" si="335"/>
        <v>-</v>
      </c>
      <c r="AC282" s="2" t="s">
        <v>27</v>
      </c>
      <c r="AD282" s="2" t="str">
        <f t="shared" si="336"/>
        <v>_</v>
      </c>
      <c r="AE282" s="2" t="s">
        <v>13</v>
      </c>
      <c r="AF282" s="2" t="str">
        <f t="shared" si="333"/>
        <v>_</v>
      </c>
      <c r="AG282" s="28" t="s">
        <v>24</v>
      </c>
      <c r="AH282" s="28" t="str">
        <f t="shared" si="341"/>
        <v>_</v>
      </c>
      <c r="AI282" s="28" t="s">
        <v>262</v>
      </c>
    </row>
    <row r="283" spans="2:35" x14ac:dyDescent="0.25">
      <c r="B283" s="2"/>
      <c r="C283" s="26"/>
      <c r="D283" s="26"/>
      <c r="I283" s="26"/>
      <c r="U283" s="26"/>
      <c r="V283" s="26"/>
      <c r="AB283" s="2"/>
      <c r="AD283" s="2"/>
      <c r="AF283" s="2" t="str">
        <f t="shared" si="331"/>
        <v/>
      </c>
      <c r="AH283" s="2" t="str">
        <f t="shared" si="341"/>
        <v/>
      </c>
    </row>
    <row r="284" spans="2:35" x14ac:dyDescent="0.25">
      <c r="B284" s="2" t="str">
        <f t="shared" ref="B284:B292" si="342">_xlfn.CONCAT("@",AA284,AB284,AC284,AD284,AE284,AF284,AG284,AH284,AI284)</f>
        <v>@color-tertiary_case_bicycle_no_default</v>
      </c>
      <c r="C284" s="113" t="s">
        <v>226</v>
      </c>
      <c r="D284" s="48" t="s">
        <v>214</v>
      </c>
      <c r="F284" s="48" t="s">
        <v>214</v>
      </c>
      <c r="G284" s="48" t="s">
        <v>214</v>
      </c>
      <c r="I284" s="114" t="str">
        <f>C284</f>
        <v>"#bd430f"</v>
      </c>
      <c r="J284" s="37" t="str">
        <f>D284</f>
        <v>"#000000"</v>
      </c>
      <c r="L284" s="48" t="s">
        <v>214</v>
      </c>
      <c r="M284" s="48" t="s">
        <v>214</v>
      </c>
      <c r="U284" s="113" t="s">
        <v>226</v>
      </c>
      <c r="V284" s="48" t="s">
        <v>214</v>
      </c>
      <c r="X284" s="48" t="s">
        <v>214</v>
      </c>
      <c r="Y284" s="48" t="s">
        <v>214</v>
      </c>
      <c r="AA284" s="28" t="s">
        <v>6</v>
      </c>
      <c r="AB284" s="2" t="str">
        <f t="shared" ref="AB284:AB286" si="343">IF(NOT(ISBLANK(AC284)),"-","")</f>
        <v>-</v>
      </c>
      <c r="AC284" s="2" t="s">
        <v>26</v>
      </c>
      <c r="AD284" s="2" t="str">
        <f t="shared" ref="AD284:AD286" si="344">IF(NOT(ISBLANK(AE284)),"_","")</f>
        <v>_</v>
      </c>
      <c r="AE284" s="28" t="s">
        <v>17</v>
      </c>
      <c r="AF284" s="2" t="str">
        <f t="shared" ref="AF284:AF286" si="345">IF(NOT(ISBLANK(AG284)),"_","")</f>
        <v>_</v>
      </c>
      <c r="AG284" s="28" t="s">
        <v>23</v>
      </c>
      <c r="AH284" s="2" t="str">
        <f t="shared" si="341"/>
        <v>_</v>
      </c>
      <c r="AI284" s="28" t="s">
        <v>262</v>
      </c>
    </row>
    <row r="285" spans="2:35" x14ac:dyDescent="0.25">
      <c r="B285" s="2" t="str">
        <f t="shared" si="342"/>
        <v>@color-tertiary_case_bicycle_no_farzoom</v>
      </c>
      <c r="C285" s="113" t="s">
        <v>226</v>
      </c>
      <c r="D285" s="48" t="s">
        <v>214</v>
      </c>
      <c r="F285" s="113" t="s">
        <v>226</v>
      </c>
      <c r="G285" s="113" t="s">
        <v>226</v>
      </c>
      <c r="I285" s="114" t="str">
        <f>C285</f>
        <v>"#bd430f"</v>
      </c>
      <c r="J285" s="37" t="str">
        <f>D285</f>
        <v>"#000000"</v>
      </c>
      <c r="L285" s="113" t="s">
        <v>226</v>
      </c>
      <c r="M285" s="113" t="s">
        <v>226</v>
      </c>
      <c r="U285" s="113" t="s">
        <v>226</v>
      </c>
      <c r="V285" s="48" t="s">
        <v>214</v>
      </c>
      <c r="X285" s="113" t="s">
        <v>226</v>
      </c>
      <c r="Y285" s="113" t="s">
        <v>226</v>
      </c>
      <c r="AA285" s="28" t="s">
        <v>6</v>
      </c>
      <c r="AB285" s="2" t="str">
        <f t="shared" ref="AB285" si="346">IF(NOT(ISBLANK(AC285)),"-","")</f>
        <v>-</v>
      </c>
      <c r="AC285" s="2" t="s">
        <v>26</v>
      </c>
      <c r="AD285" s="2" t="str">
        <f t="shared" ref="AD285" si="347">IF(NOT(ISBLANK(AE285)),"_","")</f>
        <v>_</v>
      </c>
      <c r="AE285" s="28" t="s">
        <v>17</v>
      </c>
      <c r="AF285" s="2" t="str">
        <f t="shared" ref="AF285" si="348">IF(NOT(ISBLANK(AG285)),"_","")</f>
        <v>_</v>
      </c>
      <c r="AG285" s="28" t="s">
        <v>23</v>
      </c>
      <c r="AH285" s="2" t="str">
        <f t="shared" si="341"/>
        <v>_</v>
      </c>
      <c r="AI285" s="28" t="s">
        <v>20</v>
      </c>
    </row>
    <row r="286" spans="2:35" x14ac:dyDescent="0.25">
      <c r="B286" s="2" t="str">
        <f t="shared" si="342"/>
        <v>@color-tertiary_case_unpaved_farzoom</v>
      </c>
      <c r="C286" s="115" t="s">
        <v>227</v>
      </c>
      <c r="D286" s="116" t="s">
        <v>229</v>
      </c>
      <c r="F286" s="116" t="s">
        <v>229</v>
      </c>
      <c r="G286" s="115" t="s">
        <v>227</v>
      </c>
      <c r="I286" s="115" t="s">
        <v>227</v>
      </c>
      <c r="J286" s="116" t="s">
        <v>229</v>
      </c>
      <c r="L286" s="116" t="s">
        <v>229</v>
      </c>
      <c r="M286" s="115" t="s">
        <v>227</v>
      </c>
      <c r="U286" s="115" t="s">
        <v>227</v>
      </c>
      <c r="V286" s="116" t="s">
        <v>229</v>
      </c>
      <c r="X286" s="116" t="s">
        <v>229</v>
      </c>
      <c r="Y286" s="115" t="s">
        <v>227</v>
      </c>
      <c r="AA286" s="28" t="s">
        <v>6</v>
      </c>
      <c r="AB286" s="2" t="str">
        <f t="shared" si="343"/>
        <v>-</v>
      </c>
      <c r="AC286" s="2" t="s">
        <v>26</v>
      </c>
      <c r="AD286" s="2" t="str">
        <f t="shared" si="344"/>
        <v>_</v>
      </c>
      <c r="AE286" s="28" t="s">
        <v>17</v>
      </c>
      <c r="AF286" s="2" t="str">
        <f t="shared" si="345"/>
        <v>_</v>
      </c>
      <c r="AG286" s="28" t="s">
        <v>21</v>
      </c>
      <c r="AH286" s="2" t="str">
        <f>IF(NOT(ISBLANK(AI286)),"_","")</f>
        <v>_</v>
      </c>
      <c r="AI286" s="28" t="s">
        <v>20</v>
      </c>
    </row>
    <row r="287" spans="2:35" x14ac:dyDescent="0.25">
      <c r="B287" s="2" t="str">
        <f t="shared" si="342"/>
        <v>@color-tertiary_case_unpaved_default</v>
      </c>
      <c r="C287" s="116" t="s">
        <v>229</v>
      </c>
      <c r="D287" s="116" t="s">
        <v>229</v>
      </c>
      <c r="F287" s="48" t="s">
        <v>214</v>
      </c>
      <c r="G287" s="48" t="s">
        <v>214</v>
      </c>
      <c r="I287" s="116" t="s">
        <v>229</v>
      </c>
      <c r="J287" s="116" t="s">
        <v>229</v>
      </c>
      <c r="L287" s="48" t="s">
        <v>214</v>
      </c>
      <c r="M287" s="48" t="s">
        <v>214</v>
      </c>
      <c r="U287" s="116" t="s">
        <v>229</v>
      </c>
      <c r="V287" s="116" t="s">
        <v>229</v>
      </c>
      <c r="X287" s="48" t="s">
        <v>214</v>
      </c>
      <c r="Y287" s="48" t="s">
        <v>214</v>
      </c>
      <c r="AA287" s="28" t="s">
        <v>6</v>
      </c>
      <c r="AB287" s="2" t="str">
        <f t="shared" ref="AB287:AB292" si="349">IF(NOT(ISBLANK(AC287)),"-","")</f>
        <v>-</v>
      </c>
      <c r="AC287" s="2" t="s">
        <v>26</v>
      </c>
      <c r="AD287" s="2" t="str">
        <f t="shared" ref="AD287:AD292" si="350">IF(NOT(ISBLANK(AE287)),"_","")</f>
        <v>_</v>
      </c>
      <c r="AE287" s="28" t="s">
        <v>17</v>
      </c>
      <c r="AF287" s="2" t="str">
        <f t="shared" si="331"/>
        <v>_</v>
      </c>
      <c r="AG287" s="28" t="s">
        <v>21</v>
      </c>
      <c r="AH287" s="28" t="str">
        <f t="shared" ref="AH287:AH292" si="351">IF(NOT(ISBLANK(AI287)),"_","")</f>
        <v>_</v>
      </c>
      <c r="AI287" s="28" t="s">
        <v>262</v>
      </c>
    </row>
    <row r="288" spans="2:35" x14ac:dyDescent="0.25">
      <c r="B288" s="2" t="str">
        <f t="shared" si="342"/>
        <v>@color-tertiary_case_paved_or_uk_farzoom</v>
      </c>
      <c r="C288" s="118" t="s">
        <v>228</v>
      </c>
      <c r="D288" s="48" t="s">
        <v>214</v>
      </c>
      <c r="F288" s="118" t="s">
        <v>228</v>
      </c>
      <c r="G288" s="118" t="s">
        <v>228</v>
      </c>
      <c r="I288" s="118" t="s">
        <v>228</v>
      </c>
      <c r="J288" s="48" t="s">
        <v>214</v>
      </c>
      <c r="L288" s="118" t="s">
        <v>228</v>
      </c>
      <c r="M288" s="118" t="s">
        <v>228</v>
      </c>
      <c r="U288" s="118" t="s">
        <v>228</v>
      </c>
      <c r="V288" s="48" t="s">
        <v>214</v>
      </c>
      <c r="X288" s="118" t="s">
        <v>228</v>
      </c>
      <c r="Y288" s="118" t="s">
        <v>228</v>
      </c>
      <c r="AA288" s="2" t="s">
        <v>6</v>
      </c>
      <c r="AB288" s="2" t="str">
        <f t="shared" ref="AB288" si="352">IF(NOT(ISBLANK(AC288)),"-","")</f>
        <v>-</v>
      </c>
      <c r="AC288" s="2" t="s">
        <v>26</v>
      </c>
      <c r="AD288" s="2" t="str">
        <f t="shared" ref="AD288" si="353">IF(NOT(ISBLANK(AE288)),"_","")</f>
        <v>_</v>
      </c>
      <c r="AE288" s="2" t="s">
        <v>17</v>
      </c>
      <c r="AF288" s="2" t="str">
        <f t="shared" ref="AF288" si="354">IF(NOT(ISBLANK(AG288)),"_","")</f>
        <v>_</v>
      </c>
      <c r="AG288" s="2" t="s">
        <v>24</v>
      </c>
      <c r="AH288" s="2" t="str">
        <f t="shared" si="351"/>
        <v>_</v>
      </c>
      <c r="AI288" s="28" t="s">
        <v>20</v>
      </c>
    </row>
    <row r="289" spans="1:35" x14ac:dyDescent="0.25">
      <c r="B289" s="2" t="str">
        <f t="shared" si="342"/>
        <v>@color-tertiary_case_paved_or_uk_default</v>
      </c>
      <c r="C289" s="124" t="s">
        <v>230</v>
      </c>
      <c r="D289" s="48" t="s">
        <v>214</v>
      </c>
      <c r="F289" s="48" t="s">
        <v>214</v>
      </c>
      <c r="G289" s="48" t="s">
        <v>214</v>
      </c>
      <c r="I289" s="124" t="s">
        <v>230</v>
      </c>
      <c r="J289" s="48" t="s">
        <v>214</v>
      </c>
      <c r="L289" s="48" t="s">
        <v>214</v>
      </c>
      <c r="M289" s="48" t="s">
        <v>214</v>
      </c>
      <c r="U289" s="124" t="s">
        <v>230</v>
      </c>
      <c r="V289" s="48" t="s">
        <v>214</v>
      </c>
      <c r="X289" s="48" t="s">
        <v>214</v>
      </c>
      <c r="Y289" s="48" t="s">
        <v>214</v>
      </c>
      <c r="AA289" s="2" t="s">
        <v>6</v>
      </c>
      <c r="AB289" s="2" t="str">
        <f t="shared" si="349"/>
        <v>-</v>
      </c>
      <c r="AC289" s="2" t="s">
        <v>26</v>
      </c>
      <c r="AD289" s="2" t="str">
        <f t="shared" si="350"/>
        <v>_</v>
      </c>
      <c r="AE289" s="2" t="s">
        <v>17</v>
      </c>
      <c r="AF289" s="2" t="str">
        <f t="shared" si="331"/>
        <v>_</v>
      </c>
      <c r="AG289" s="2" t="s">
        <v>24</v>
      </c>
      <c r="AH289" s="2" t="str">
        <f t="shared" si="351"/>
        <v>_</v>
      </c>
      <c r="AI289" s="28" t="s">
        <v>262</v>
      </c>
    </row>
    <row r="290" spans="1:35" x14ac:dyDescent="0.25">
      <c r="B290" s="2" t="str">
        <f t="shared" si="342"/>
        <v>@color-tertiary_line_bicycle_no</v>
      </c>
      <c r="C290" s="122" t="s">
        <v>231</v>
      </c>
      <c r="D290" s="110" t="s">
        <v>215</v>
      </c>
      <c r="F290" s="122" t="s">
        <v>231</v>
      </c>
      <c r="G290" s="110" t="s">
        <v>215</v>
      </c>
      <c r="I290" s="123" t="str">
        <f>C290</f>
        <v>"#ffcc8a"</v>
      </c>
      <c r="J290" s="112" t="str">
        <f>D290</f>
        <v>"#d6771e"</v>
      </c>
      <c r="L290" s="122" t="s">
        <v>231</v>
      </c>
      <c r="M290" s="110" t="s">
        <v>215</v>
      </c>
      <c r="U290" s="122" t="s">
        <v>231</v>
      </c>
      <c r="V290" s="110" t="s">
        <v>215</v>
      </c>
      <c r="X290" s="122" t="s">
        <v>231</v>
      </c>
      <c r="Y290" s="110" t="s">
        <v>215</v>
      </c>
      <c r="AA290" s="28" t="s">
        <v>6</v>
      </c>
      <c r="AB290" s="2" t="str">
        <f t="shared" si="349"/>
        <v>-</v>
      </c>
      <c r="AC290" s="2" t="s">
        <v>26</v>
      </c>
      <c r="AD290" s="2" t="str">
        <f t="shared" si="350"/>
        <v>_</v>
      </c>
      <c r="AE290" s="28" t="s">
        <v>13</v>
      </c>
      <c r="AF290" s="2" t="str">
        <f t="shared" si="331"/>
        <v>_</v>
      </c>
      <c r="AG290" s="28" t="s">
        <v>23</v>
      </c>
      <c r="AH290" s="2" t="str">
        <f t="shared" si="351"/>
        <v/>
      </c>
    </row>
    <row r="291" spans="1:35" x14ac:dyDescent="0.25">
      <c r="B291" s="2" t="str">
        <f t="shared" si="342"/>
        <v>@color-tertiary_line_unpaved_default</v>
      </c>
      <c r="C291" s="120" t="s">
        <v>221</v>
      </c>
      <c r="D291" s="121" t="str">
        <f>C291</f>
        <v>"#eddfca"</v>
      </c>
      <c r="F291" s="120" t="s">
        <v>221</v>
      </c>
      <c r="G291" s="121" t="str">
        <f>F291</f>
        <v>"#eddfca"</v>
      </c>
      <c r="I291" s="120" t="s">
        <v>221</v>
      </c>
      <c r="J291" s="121" t="str">
        <f>I291</f>
        <v>"#eddfca"</v>
      </c>
      <c r="L291" s="120" t="s">
        <v>221</v>
      </c>
      <c r="M291" s="121" t="str">
        <f>L291</f>
        <v>"#eddfca"</v>
      </c>
      <c r="U291" s="120" t="s">
        <v>221</v>
      </c>
      <c r="V291" s="121" t="str">
        <f>U291</f>
        <v>"#eddfca"</v>
      </c>
      <c r="X291" s="120" t="s">
        <v>221</v>
      </c>
      <c r="Y291" s="121" t="str">
        <f>X291</f>
        <v>"#eddfca"</v>
      </c>
      <c r="AA291" s="2" t="s">
        <v>6</v>
      </c>
      <c r="AB291" s="2" t="str">
        <f t="shared" si="349"/>
        <v>-</v>
      </c>
      <c r="AC291" s="2" t="s">
        <v>26</v>
      </c>
      <c r="AD291" s="2" t="str">
        <f t="shared" si="350"/>
        <v>_</v>
      </c>
      <c r="AE291" s="2" t="s">
        <v>13</v>
      </c>
      <c r="AF291" s="2" t="str">
        <f t="shared" si="331"/>
        <v>_</v>
      </c>
      <c r="AG291" s="2" t="s">
        <v>21</v>
      </c>
      <c r="AH291" s="2" t="str">
        <f t="shared" si="351"/>
        <v>_</v>
      </c>
      <c r="AI291" s="28" t="s">
        <v>262</v>
      </c>
    </row>
    <row r="292" spans="1:35" x14ac:dyDescent="0.25">
      <c r="B292" s="2" t="str">
        <f t="shared" si="342"/>
        <v>@color-tertiary_line_paved_or_uk_default</v>
      </c>
      <c r="C292" s="47" t="s">
        <v>222</v>
      </c>
      <c r="D292" s="38" t="str">
        <f>C292</f>
        <v>"#ffffff"</v>
      </c>
      <c r="F292" s="47" t="s">
        <v>222</v>
      </c>
      <c r="G292" s="38" t="str">
        <f>F292</f>
        <v>"#ffffff"</v>
      </c>
      <c r="I292" s="47" t="s">
        <v>222</v>
      </c>
      <c r="J292" s="38" t="str">
        <f>I292</f>
        <v>"#ffffff"</v>
      </c>
      <c r="L292" s="47" t="s">
        <v>222</v>
      </c>
      <c r="M292" s="38" t="str">
        <f>L292</f>
        <v>"#ffffff"</v>
      </c>
      <c r="U292" s="47" t="s">
        <v>222</v>
      </c>
      <c r="V292" s="38" t="str">
        <f>U292</f>
        <v>"#ffffff"</v>
      </c>
      <c r="X292" s="47" t="s">
        <v>222</v>
      </c>
      <c r="Y292" s="38" t="str">
        <f>X292</f>
        <v>"#ffffff"</v>
      </c>
      <c r="AA292" s="2" t="s">
        <v>6</v>
      </c>
      <c r="AB292" s="2" t="str">
        <f t="shared" si="349"/>
        <v>-</v>
      </c>
      <c r="AC292" s="2" t="s">
        <v>26</v>
      </c>
      <c r="AD292" s="2" t="str">
        <f t="shared" si="350"/>
        <v>_</v>
      </c>
      <c r="AE292" s="2" t="s">
        <v>13</v>
      </c>
      <c r="AF292" s="2" t="str">
        <f t="shared" si="331"/>
        <v>_</v>
      </c>
      <c r="AG292" s="28" t="s">
        <v>24</v>
      </c>
      <c r="AH292" s="28" t="str">
        <f t="shared" si="351"/>
        <v>_</v>
      </c>
      <c r="AI292" s="28" t="s">
        <v>262</v>
      </c>
    </row>
    <row r="293" spans="1:35" x14ac:dyDescent="0.25">
      <c r="B293" s="2"/>
      <c r="C293" s="153"/>
      <c r="D293" s="154"/>
      <c r="E293" s="154"/>
      <c r="F293" s="153"/>
      <c r="G293" s="154"/>
      <c r="H293" s="154"/>
      <c r="I293" s="154"/>
      <c r="J293" s="154"/>
      <c r="K293" s="154"/>
      <c r="L293" s="153"/>
      <c r="M293" s="154"/>
      <c r="U293" s="152"/>
      <c r="V293" s="152"/>
      <c r="X293" s="152"/>
      <c r="Y293" s="152"/>
      <c r="AA293" s="2"/>
      <c r="AB293" s="2"/>
      <c r="AC293" s="2"/>
      <c r="AD293" s="2"/>
      <c r="AE293" s="2"/>
      <c r="AF293" s="2"/>
      <c r="AG293" s="2"/>
      <c r="AH293" s="2"/>
      <c r="AI293" s="2"/>
    </row>
    <row r="294" spans="1:35" x14ac:dyDescent="0.25">
      <c r="B294" s="2" t="str">
        <f t="shared" ref="B294:B297" si="355">_xlfn.CONCAT("@",AA294,AB294,AC294,AD294,AE294,AF294,AG294,AH294,AI294)</f>
        <v>@dasharray-tertiary_case_medium_dash</v>
      </c>
      <c r="C294" s="155" t="s">
        <v>341</v>
      </c>
      <c r="D294" s="155" t="s">
        <v>341</v>
      </c>
      <c r="E294" s="155"/>
      <c r="F294" s="155" t="s">
        <v>341</v>
      </c>
      <c r="G294" s="155" t="s">
        <v>341</v>
      </c>
      <c r="H294" s="155"/>
      <c r="I294" s="155" t="s">
        <v>92</v>
      </c>
      <c r="J294" s="155" t="s">
        <v>92</v>
      </c>
      <c r="K294" s="155"/>
      <c r="L294" s="155" t="s">
        <v>92</v>
      </c>
      <c r="M294" s="155" t="s">
        <v>92</v>
      </c>
      <c r="N294" s="156"/>
      <c r="U294" s="155" t="s">
        <v>341</v>
      </c>
      <c r="V294" s="155" t="s">
        <v>341</v>
      </c>
      <c r="W294" s="155"/>
      <c r="X294" s="155" t="s">
        <v>341</v>
      </c>
      <c r="Y294" s="155" t="s">
        <v>341</v>
      </c>
      <c r="AA294" s="2" t="s">
        <v>386</v>
      </c>
      <c r="AB294" s="2" t="str">
        <f t="shared" ref="AB294:AB297" si="356">IF(NOT(ISBLANK(AC294)),"-","")</f>
        <v>-</v>
      </c>
      <c r="AC294" s="2" t="s">
        <v>26</v>
      </c>
      <c r="AD294" s="2" t="str">
        <f t="shared" ref="AD294:AD297" si="357">IF(NOT(ISBLANK(AE294)),"_","")</f>
        <v>_</v>
      </c>
      <c r="AE294" s="2" t="s">
        <v>17</v>
      </c>
      <c r="AF294" s="2" t="str">
        <f t="shared" ref="AF294:AF297" si="358">IF(NOT(ISBLANK(AG294)),"_","")</f>
        <v>_</v>
      </c>
      <c r="AG294" s="2" t="s">
        <v>79</v>
      </c>
      <c r="AH294" s="2" t="str">
        <f t="shared" ref="AH294:AH297" si="359">IF(NOT(ISBLANK(AI294)),"_","")</f>
        <v>_</v>
      </c>
      <c r="AI294" s="2" t="s">
        <v>388</v>
      </c>
    </row>
    <row r="295" spans="1:35" x14ac:dyDescent="0.25">
      <c r="B295" s="2" t="str">
        <f t="shared" si="355"/>
        <v>@dasharray-tertiary_case_medium_gap</v>
      </c>
      <c r="C295" s="155" t="s">
        <v>390</v>
      </c>
      <c r="D295" s="155" t="s">
        <v>390</v>
      </c>
      <c r="E295" s="155"/>
      <c r="F295" s="155" t="s">
        <v>390</v>
      </c>
      <c r="G295" s="155" t="s">
        <v>390</v>
      </c>
      <c r="H295" s="155"/>
      <c r="I295" s="155" t="s">
        <v>96</v>
      </c>
      <c r="J295" s="155" t="s">
        <v>96</v>
      </c>
      <c r="K295" s="155"/>
      <c r="L295" s="155" t="s">
        <v>96</v>
      </c>
      <c r="M295" s="155" t="s">
        <v>96</v>
      </c>
      <c r="N295" s="156"/>
      <c r="U295" s="155" t="s">
        <v>390</v>
      </c>
      <c r="V295" s="155" t="s">
        <v>390</v>
      </c>
      <c r="W295" s="155"/>
      <c r="X295" s="155" t="s">
        <v>390</v>
      </c>
      <c r="Y295" s="155" t="s">
        <v>390</v>
      </c>
      <c r="AA295" s="2" t="s">
        <v>386</v>
      </c>
      <c r="AB295" s="2" t="str">
        <f t="shared" si="356"/>
        <v>-</v>
      </c>
      <c r="AC295" s="2" t="s">
        <v>26</v>
      </c>
      <c r="AD295" s="2" t="str">
        <f t="shared" si="357"/>
        <v>_</v>
      </c>
      <c r="AE295" s="2" t="s">
        <v>17</v>
      </c>
      <c r="AF295" s="2" t="str">
        <f t="shared" si="358"/>
        <v>_</v>
      </c>
      <c r="AG295" s="2" t="s">
        <v>79</v>
      </c>
      <c r="AH295" s="2" t="str">
        <f t="shared" si="359"/>
        <v>_</v>
      </c>
      <c r="AI295" s="2" t="s">
        <v>389</v>
      </c>
    </row>
    <row r="296" spans="1:35" x14ac:dyDescent="0.25">
      <c r="B296" s="2" t="str">
        <f t="shared" si="355"/>
        <v>@dasharray-tertiary_case_rough_dash</v>
      </c>
      <c r="C296" s="155" t="s">
        <v>341</v>
      </c>
      <c r="D296" s="155" t="s">
        <v>341</v>
      </c>
      <c r="E296" s="155"/>
      <c r="F296" s="155" t="s">
        <v>341</v>
      </c>
      <c r="G296" s="155" t="s">
        <v>341</v>
      </c>
      <c r="H296" s="155"/>
      <c r="I296" s="155" t="s">
        <v>97</v>
      </c>
      <c r="J296" s="155" t="s">
        <v>97</v>
      </c>
      <c r="K296" s="155"/>
      <c r="L296" s="155" t="s">
        <v>97</v>
      </c>
      <c r="M296" s="155" t="s">
        <v>97</v>
      </c>
      <c r="N296" s="156"/>
      <c r="U296" s="155" t="s">
        <v>341</v>
      </c>
      <c r="V296" s="155" t="s">
        <v>341</v>
      </c>
      <c r="W296" s="155"/>
      <c r="X296" s="155" t="s">
        <v>341</v>
      </c>
      <c r="Y296" s="155" t="s">
        <v>341</v>
      </c>
      <c r="AA296" s="2" t="s">
        <v>386</v>
      </c>
      <c r="AB296" s="2" t="str">
        <f t="shared" si="356"/>
        <v>-</v>
      </c>
      <c r="AC296" s="2" t="s">
        <v>26</v>
      </c>
      <c r="AD296" s="2" t="str">
        <f t="shared" si="357"/>
        <v>_</v>
      </c>
      <c r="AE296" s="2" t="s">
        <v>17</v>
      </c>
      <c r="AF296" s="2" t="str">
        <f t="shared" si="358"/>
        <v>_</v>
      </c>
      <c r="AG296" s="2" t="s">
        <v>387</v>
      </c>
      <c r="AH296" s="2" t="str">
        <f t="shared" si="359"/>
        <v>_</v>
      </c>
      <c r="AI296" s="2" t="s">
        <v>388</v>
      </c>
    </row>
    <row r="297" spans="1:35" x14ac:dyDescent="0.25">
      <c r="B297" s="2" t="str">
        <f t="shared" si="355"/>
        <v>@dasharray-tertiary_case_rough_gap</v>
      </c>
      <c r="C297" s="155" t="s">
        <v>390</v>
      </c>
      <c r="D297" s="155" t="s">
        <v>390</v>
      </c>
      <c r="E297" s="155"/>
      <c r="F297" s="155" t="s">
        <v>390</v>
      </c>
      <c r="G297" s="155" t="s">
        <v>390</v>
      </c>
      <c r="H297" s="155"/>
      <c r="I297" s="155" t="s">
        <v>96</v>
      </c>
      <c r="J297" s="155" t="s">
        <v>96</v>
      </c>
      <c r="K297" s="155"/>
      <c r="L297" s="155" t="s">
        <v>96</v>
      </c>
      <c r="M297" s="155" t="s">
        <v>96</v>
      </c>
      <c r="N297" s="156"/>
      <c r="U297" s="155" t="s">
        <v>390</v>
      </c>
      <c r="V297" s="155" t="s">
        <v>390</v>
      </c>
      <c r="W297" s="155"/>
      <c r="X297" s="155" t="s">
        <v>390</v>
      </c>
      <c r="Y297" s="155" t="s">
        <v>390</v>
      </c>
      <c r="AA297" s="2" t="s">
        <v>386</v>
      </c>
      <c r="AB297" s="2" t="str">
        <f t="shared" si="356"/>
        <v>-</v>
      </c>
      <c r="AC297" s="2" t="s">
        <v>26</v>
      </c>
      <c r="AD297" s="2" t="str">
        <f t="shared" si="357"/>
        <v>_</v>
      </c>
      <c r="AE297" s="2" t="s">
        <v>17</v>
      </c>
      <c r="AF297" s="2" t="str">
        <f t="shared" si="358"/>
        <v>_</v>
      </c>
      <c r="AG297" s="2" t="s">
        <v>387</v>
      </c>
      <c r="AH297" s="2" t="str">
        <f t="shared" si="359"/>
        <v>_</v>
      </c>
      <c r="AI297" s="2" t="s">
        <v>389</v>
      </c>
    </row>
    <row r="298" spans="1:35" x14ac:dyDescent="0.25">
      <c r="B298" s="2"/>
      <c r="AB298" s="28" t="str">
        <f t="shared" si="323"/>
        <v/>
      </c>
      <c r="AD298" s="28" t="str">
        <f t="shared" si="330"/>
        <v/>
      </c>
      <c r="AF298" s="28" t="str">
        <f t="shared" si="331"/>
        <v/>
      </c>
      <c r="AH298" s="28" t="str">
        <f t="shared" si="341"/>
        <v/>
      </c>
    </row>
    <row r="299" spans="1:35" s="2" customFormat="1" x14ac:dyDescent="0.25">
      <c r="A299" s="3" t="s">
        <v>223</v>
      </c>
      <c r="B299" s="3"/>
      <c r="C299" s="27"/>
      <c r="D299" s="6"/>
      <c r="E299" s="7"/>
      <c r="F299" s="6"/>
      <c r="G299" s="6"/>
      <c r="H299" s="7"/>
      <c r="I299" s="6"/>
      <c r="J299" s="6"/>
      <c r="K299" s="7"/>
      <c r="L299" s="6"/>
      <c r="M299" s="6"/>
      <c r="N299" s="7"/>
      <c r="O299" s="6"/>
      <c r="P299" s="6"/>
      <c r="Q299" s="7"/>
      <c r="R299" s="6"/>
      <c r="S299" s="6"/>
      <c r="T299" s="7"/>
      <c r="U299" s="6"/>
      <c r="V299" s="6"/>
      <c r="W299" s="7"/>
      <c r="X299" s="6"/>
      <c r="Y299" s="6"/>
      <c r="AA299" s="4"/>
      <c r="AB299" s="4" t="str">
        <f t="shared" si="323"/>
        <v/>
      </c>
      <c r="AC299" s="4"/>
      <c r="AD299" s="4" t="str">
        <f t="shared" si="330"/>
        <v/>
      </c>
      <c r="AE299" s="4"/>
      <c r="AF299" s="4" t="str">
        <f t="shared" si="331"/>
        <v/>
      </c>
      <c r="AG299" s="4"/>
      <c r="AH299" s="4" t="str">
        <f t="shared" si="341"/>
        <v/>
      </c>
      <c r="AI299" s="4"/>
    </row>
    <row r="300" spans="1:35" x14ac:dyDescent="0.25">
      <c r="B300" s="2" t="str">
        <f t="shared" ref="B300:B301" si="360">_xlfn.CONCAT("@",AA300,AB300,AC300,AD300,AE300,AF300,AG300,AH300,AI300)</f>
        <v>@color-parking_aisle_line_unpaved</v>
      </c>
      <c r="C300" s="125" t="s">
        <v>232</v>
      </c>
      <c r="D300" s="116" t="s">
        <v>229</v>
      </c>
      <c r="F300" s="125" t="s">
        <v>232</v>
      </c>
      <c r="G300" s="115" t="s">
        <v>227</v>
      </c>
      <c r="I300" s="125" t="s">
        <v>232</v>
      </c>
      <c r="J300" s="116" t="s">
        <v>229</v>
      </c>
      <c r="L300" s="125" t="s">
        <v>232</v>
      </c>
      <c r="M300" s="115" t="s">
        <v>227</v>
      </c>
      <c r="U300" s="125" t="s">
        <v>232</v>
      </c>
      <c r="V300" s="116" t="s">
        <v>229</v>
      </c>
      <c r="X300" s="125" t="s">
        <v>232</v>
      </c>
      <c r="Y300" s="115" t="s">
        <v>227</v>
      </c>
      <c r="AA300" s="2" t="s">
        <v>6</v>
      </c>
      <c r="AB300" s="2" t="str">
        <f t="shared" ref="AB300:AB301" si="361">IF(NOT(ISBLANK(AC300)),"-","")</f>
        <v>-</v>
      </c>
      <c r="AC300" s="2" t="s">
        <v>392</v>
      </c>
      <c r="AD300" s="2" t="str">
        <f t="shared" ref="AD300:AD301" si="362">IF(NOT(ISBLANK(AE300)),"_","")</f>
        <v>_</v>
      </c>
      <c r="AE300" s="2" t="s">
        <v>13</v>
      </c>
      <c r="AF300" s="2" t="str">
        <f t="shared" ref="AF300:AF301" si="363">IF(NOT(ISBLANK(AG300)),"_","")</f>
        <v>_</v>
      </c>
      <c r="AG300" s="2" t="s">
        <v>21</v>
      </c>
      <c r="AH300" s="2" t="str">
        <f t="shared" ref="AH300:AH301" si="364">IF(NOT(ISBLANK(AI300)),"_","")</f>
        <v/>
      </c>
      <c r="AI300" s="2"/>
    </row>
    <row r="301" spans="1:35" x14ac:dyDescent="0.25">
      <c r="B301" s="2" t="str">
        <f t="shared" si="360"/>
        <v>@color-parking_aisle_line_paved_or_uk</v>
      </c>
      <c r="C301" s="128" t="s">
        <v>233</v>
      </c>
      <c r="D301" s="129" t="s">
        <v>234</v>
      </c>
      <c r="F301" s="128" t="s">
        <v>233</v>
      </c>
      <c r="G301" s="128" t="s">
        <v>233</v>
      </c>
      <c r="I301" s="128" t="s">
        <v>233</v>
      </c>
      <c r="J301" s="129" t="s">
        <v>234</v>
      </c>
      <c r="L301" s="128" t="s">
        <v>233</v>
      </c>
      <c r="M301" s="128" t="s">
        <v>233</v>
      </c>
      <c r="U301" s="128" t="s">
        <v>233</v>
      </c>
      <c r="V301" s="129" t="s">
        <v>234</v>
      </c>
      <c r="X301" s="128" t="s">
        <v>233</v>
      </c>
      <c r="Y301" s="128" t="s">
        <v>233</v>
      </c>
      <c r="AA301" s="2" t="s">
        <v>6</v>
      </c>
      <c r="AB301" s="2" t="str">
        <f t="shared" si="361"/>
        <v>-</v>
      </c>
      <c r="AC301" s="2" t="s">
        <v>392</v>
      </c>
      <c r="AD301" s="2" t="str">
        <f t="shared" si="362"/>
        <v>_</v>
      </c>
      <c r="AE301" s="2" t="s">
        <v>13</v>
      </c>
      <c r="AF301" s="2" t="str">
        <f t="shared" si="363"/>
        <v>_</v>
      </c>
      <c r="AG301" s="2" t="s">
        <v>24</v>
      </c>
      <c r="AH301" s="2" t="str">
        <f t="shared" si="364"/>
        <v/>
      </c>
      <c r="AI301" s="2"/>
    </row>
    <row r="302" spans="1:35" x14ac:dyDescent="0.25">
      <c r="B302" s="2"/>
      <c r="C302" s="26"/>
      <c r="D302" s="38"/>
      <c r="F302" s="47"/>
      <c r="G302" s="38"/>
      <c r="I302" s="38"/>
      <c r="J302" s="38"/>
      <c r="L302" s="47"/>
      <c r="M302" s="38"/>
      <c r="U302" s="26"/>
      <c r="V302" s="38"/>
      <c r="X302" s="47"/>
      <c r="Y302" s="38"/>
      <c r="AA302" s="2"/>
      <c r="AB302" s="2"/>
      <c r="AC302" s="2"/>
      <c r="AD302" s="2"/>
      <c r="AE302" s="2"/>
      <c r="AF302" s="2"/>
      <c r="AG302" s="2"/>
      <c r="AH302" s="2"/>
      <c r="AI302" s="2"/>
    </row>
    <row r="303" spans="1:35" x14ac:dyDescent="0.25">
      <c r="B303" s="2" t="str">
        <f t="shared" ref="B303:B308" si="365">_xlfn.CONCAT("@",AA303,AB303,AC303,AD303,AE303,AF303,AG303,AH303,AI303)</f>
        <v>@color-raceway_case_unpaved_farzoom</v>
      </c>
      <c r="C303" s="115" t="s">
        <v>227</v>
      </c>
      <c r="D303" s="116" t="s">
        <v>229</v>
      </c>
      <c r="F303" s="116" t="s">
        <v>229</v>
      </c>
      <c r="G303" s="115" t="s">
        <v>227</v>
      </c>
      <c r="I303" s="132" t="str">
        <f t="shared" ref="I303" si="366">C303</f>
        <v>"#b99346"</v>
      </c>
      <c r="J303" s="127" t="str">
        <f t="shared" ref="J303" si="367">D303</f>
        <v>"#644507"</v>
      </c>
      <c r="L303" s="116" t="s">
        <v>229</v>
      </c>
      <c r="M303" s="115" t="s">
        <v>227</v>
      </c>
      <c r="U303" s="115" t="s">
        <v>227</v>
      </c>
      <c r="V303" s="116" t="s">
        <v>229</v>
      </c>
      <c r="X303" s="116" t="s">
        <v>229</v>
      </c>
      <c r="Y303" s="115" t="s">
        <v>227</v>
      </c>
      <c r="AA303" s="2" t="s">
        <v>6</v>
      </c>
      <c r="AB303" s="2" t="str">
        <f t="shared" ref="AB303" si="368">IF(NOT(ISBLANK(AC303)),"-","")</f>
        <v>-</v>
      </c>
      <c r="AC303" s="2" t="s">
        <v>28</v>
      </c>
      <c r="AD303" s="2" t="str">
        <f t="shared" ref="AD303" si="369">IF(NOT(ISBLANK(AE303)),"_","")</f>
        <v>_</v>
      </c>
      <c r="AE303" s="2" t="s">
        <v>17</v>
      </c>
      <c r="AF303" s="2" t="str">
        <f t="shared" ref="AF303" si="370">IF(NOT(ISBLANK(AG303)),"_","")</f>
        <v>_</v>
      </c>
      <c r="AG303" s="2" t="s">
        <v>21</v>
      </c>
      <c r="AH303" s="2" t="str">
        <f t="shared" ref="AH303" si="371">IF(NOT(ISBLANK(AI303)),"_","")</f>
        <v>_</v>
      </c>
      <c r="AI303" s="28" t="s">
        <v>20</v>
      </c>
    </row>
    <row r="304" spans="1:35" x14ac:dyDescent="0.25">
      <c r="B304" s="2" t="str">
        <f t="shared" si="365"/>
        <v>@color-raceway_case_unpaved_default</v>
      </c>
      <c r="C304" s="125" t="s">
        <v>232</v>
      </c>
      <c r="D304" s="116" t="s">
        <v>229</v>
      </c>
      <c r="F304" s="48" t="s">
        <v>214</v>
      </c>
      <c r="G304" s="48" t="s">
        <v>214</v>
      </c>
      <c r="I304" s="126" t="str">
        <f>C304</f>
        <v>"#af9564"</v>
      </c>
      <c r="J304" s="127" t="str">
        <f>D304</f>
        <v>"#644507"</v>
      </c>
      <c r="L304" s="48" t="s">
        <v>214</v>
      </c>
      <c r="M304" s="48" t="s">
        <v>214</v>
      </c>
      <c r="U304" s="125" t="s">
        <v>232</v>
      </c>
      <c r="V304" s="116" t="s">
        <v>229</v>
      </c>
      <c r="X304" s="48" t="s">
        <v>214</v>
      </c>
      <c r="Y304" s="48" t="s">
        <v>214</v>
      </c>
      <c r="AA304" s="2" t="s">
        <v>6</v>
      </c>
      <c r="AB304" s="2" t="str">
        <f t="shared" ref="AB304:AB306" si="372">IF(NOT(ISBLANK(AC304)),"-","")</f>
        <v>-</v>
      </c>
      <c r="AC304" s="2" t="s">
        <v>28</v>
      </c>
      <c r="AD304" s="2" t="str">
        <f t="shared" ref="AD304:AD306" si="373">IF(NOT(ISBLANK(AE304)),"_","")</f>
        <v>_</v>
      </c>
      <c r="AE304" s="2" t="s">
        <v>17</v>
      </c>
      <c r="AF304" s="2" t="str">
        <f t="shared" ref="AF304:AF306" si="374">IF(NOT(ISBLANK(AG304)),"_","")</f>
        <v>_</v>
      </c>
      <c r="AG304" s="2" t="s">
        <v>21</v>
      </c>
      <c r="AH304" s="2" t="str">
        <f t="shared" si="341"/>
        <v>_</v>
      </c>
      <c r="AI304" s="2" t="s">
        <v>262</v>
      </c>
    </row>
    <row r="305" spans="2:35" x14ac:dyDescent="0.25">
      <c r="B305" s="2" t="str">
        <f t="shared" si="365"/>
        <v>@color-raceway_case_paved_or_uk_farzoom</v>
      </c>
      <c r="C305" s="118" t="s">
        <v>228</v>
      </c>
      <c r="D305" s="48" t="s">
        <v>214</v>
      </c>
      <c r="F305" s="118" t="s">
        <v>228</v>
      </c>
      <c r="G305" s="118" t="s">
        <v>228</v>
      </c>
      <c r="I305" s="133" t="str">
        <f t="shared" ref="I305" si="375">C305</f>
        <v>"#808080"</v>
      </c>
      <c r="J305" s="37" t="str">
        <f t="shared" ref="J305" si="376">D305</f>
        <v>"#000000"</v>
      </c>
      <c r="L305" s="118" t="s">
        <v>228</v>
      </c>
      <c r="M305" s="118" t="s">
        <v>228</v>
      </c>
      <c r="U305" s="118" t="s">
        <v>228</v>
      </c>
      <c r="V305" s="48" t="s">
        <v>214</v>
      </c>
      <c r="X305" s="118" t="s">
        <v>228</v>
      </c>
      <c r="Y305" s="118" t="s">
        <v>228</v>
      </c>
      <c r="AA305" s="2" t="s">
        <v>6</v>
      </c>
      <c r="AB305" s="2" t="str">
        <f t="shared" si="372"/>
        <v>-</v>
      </c>
      <c r="AC305" s="2" t="s">
        <v>28</v>
      </c>
      <c r="AD305" s="2" t="str">
        <f t="shared" si="373"/>
        <v>_</v>
      </c>
      <c r="AE305" s="2" t="s">
        <v>17</v>
      </c>
      <c r="AF305" s="2" t="str">
        <f t="shared" si="374"/>
        <v>_</v>
      </c>
      <c r="AG305" s="2" t="s">
        <v>24</v>
      </c>
      <c r="AH305" s="2" t="str">
        <f t="shared" ref="AH305" si="377">IF(NOT(ISBLANK(AI305)),"_","")</f>
        <v>_</v>
      </c>
      <c r="AI305" s="28" t="s">
        <v>20</v>
      </c>
    </row>
    <row r="306" spans="2:35" x14ac:dyDescent="0.25">
      <c r="B306" s="2" t="str">
        <f t="shared" si="365"/>
        <v>@color-raceway_case_paved_or_uk_default</v>
      </c>
      <c r="C306" s="128" t="s">
        <v>233</v>
      </c>
      <c r="D306" s="129" t="s">
        <v>234</v>
      </c>
      <c r="F306" s="48" t="s">
        <v>214</v>
      </c>
      <c r="G306" s="48" t="s">
        <v>214</v>
      </c>
      <c r="I306" s="130" t="str">
        <f>C306</f>
        <v>"#a8a6a4"</v>
      </c>
      <c r="J306" s="131" t="str">
        <f>D306</f>
        <v>"#4a4a4a"</v>
      </c>
      <c r="L306" s="48" t="s">
        <v>214</v>
      </c>
      <c r="M306" s="48" t="s">
        <v>214</v>
      </c>
      <c r="U306" s="128" t="s">
        <v>233</v>
      </c>
      <c r="V306" s="129" t="s">
        <v>234</v>
      </c>
      <c r="X306" s="48" t="s">
        <v>214</v>
      </c>
      <c r="Y306" s="48" t="s">
        <v>214</v>
      </c>
      <c r="AA306" s="2" t="s">
        <v>6</v>
      </c>
      <c r="AB306" s="2" t="str">
        <f t="shared" si="372"/>
        <v>-</v>
      </c>
      <c r="AC306" s="2" t="s">
        <v>28</v>
      </c>
      <c r="AD306" s="2" t="str">
        <f t="shared" si="373"/>
        <v>_</v>
      </c>
      <c r="AE306" s="2" t="s">
        <v>17</v>
      </c>
      <c r="AF306" s="2" t="str">
        <f t="shared" si="374"/>
        <v>_</v>
      </c>
      <c r="AG306" s="2" t="s">
        <v>24</v>
      </c>
      <c r="AH306" s="2" t="str">
        <f t="shared" si="341"/>
        <v>_</v>
      </c>
      <c r="AI306" s="2" t="s">
        <v>262</v>
      </c>
    </row>
    <row r="307" spans="2:35" x14ac:dyDescent="0.25">
      <c r="B307" s="2" t="str">
        <f t="shared" si="365"/>
        <v>@color-raceway_line_unpaved</v>
      </c>
      <c r="C307" s="120" t="s">
        <v>221</v>
      </c>
      <c r="D307" s="121" t="str">
        <f>C307</f>
        <v>"#eddfca"</v>
      </c>
      <c r="F307" s="120" t="s">
        <v>221</v>
      </c>
      <c r="G307" s="38" t="str">
        <f t="shared" ref="G307:G308" si="378">F307</f>
        <v>"#eddfca"</v>
      </c>
      <c r="I307" s="121" t="str">
        <f>C307</f>
        <v>"#eddfca"</v>
      </c>
      <c r="J307" s="121" t="str">
        <f>C307</f>
        <v>"#eddfca"</v>
      </c>
      <c r="L307" s="120" t="s">
        <v>221</v>
      </c>
      <c r="M307" s="38" t="str">
        <f t="shared" ref="M307:M308" si="379">L307</f>
        <v>"#eddfca"</v>
      </c>
      <c r="U307" s="120" t="s">
        <v>221</v>
      </c>
      <c r="V307" s="121" t="str">
        <f>U307</f>
        <v>"#eddfca"</v>
      </c>
      <c r="X307" s="120" t="s">
        <v>221</v>
      </c>
      <c r="Y307" s="38" t="str">
        <f t="shared" ref="Y307:Y308" si="380">X307</f>
        <v>"#eddfca"</v>
      </c>
      <c r="AA307" s="2" t="s">
        <v>6</v>
      </c>
      <c r="AB307" s="2" t="str">
        <f t="shared" si="323"/>
        <v>-</v>
      </c>
      <c r="AC307" s="2" t="s">
        <v>28</v>
      </c>
      <c r="AD307" s="2" t="str">
        <f t="shared" si="330"/>
        <v>_</v>
      </c>
      <c r="AE307" s="2" t="s">
        <v>13</v>
      </c>
      <c r="AF307" s="2" t="str">
        <f t="shared" si="331"/>
        <v>_</v>
      </c>
      <c r="AG307" s="2" t="s">
        <v>21</v>
      </c>
      <c r="AH307" s="2" t="str">
        <f t="shared" si="341"/>
        <v/>
      </c>
      <c r="AI307" s="2"/>
    </row>
    <row r="308" spans="2:35" x14ac:dyDescent="0.25">
      <c r="B308" s="2" t="str">
        <f t="shared" si="365"/>
        <v>@color-raceway_line_paved_or_uk</v>
      </c>
      <c r="C308" s="26" t="s">
        <v>222</v>
      </c>
      <c r="D308" s="38" t="str">
        <f>C308</f>
        <v>"#ffffff"</v>
      </c>
      <c r="F308" s="47" t="s">
        <v>222</v>
      </c>
      <c r="G308" s="38" t="str">
        <f t="shared" si="378"/>
        <v>"#ffffff"</v>
      </c>
      <c r="I308" s="38" t="str">
        <f>C308</f>
        <v>"#ffffff"</v>
      </c>
      <c r="J308" s="38" t="str">
        <f>C308</f>
        <v>"#ffffff"</v>
      </c>
      <c r="L308" s="47" t="s">
        <v>222</v>
      </c>
      <c r="M308" s="38" t="str">
        <f t="shared" si="379"/>
        <v>"#ffffff"</v>
      </c>
      <c r="U308" s="26" t="s">
        <v>222</v>
      </c>
      <c r="V308" s="38" t="str">
        <f>U308</f>
        <v>"#ffffff"</v>
      </c>
      <c r="X308" s="47" t="s">
        <v>222</v>
      </c>
      <c r="Y308" s="38" t="str">
        <f t="shared" si="380"/>
        <v>"#ffffff"</v>
      </c>
      <c r="AA308" s="2" t="s">
        <v>6</v>
      </c>
      <c r="AB308" s="2" t="str">
        <f t="shared" si="323"/>
        <v>-</v>
      </c>
      <c r="AC308" s="2" t="s">
        <v>28</v>
      </c>
      <c r="AD308" s="2" t="str">
        <f t="shared" si="330"/>
        <v>_</v>
      </c>
      <c r="AE308" s="2" t="s">
        <v>13</v>
      </c>
      <c r="AF308" s="2" t="str">
        <f t="shared" si="331"/>
        <v>_</v>
      </c>
      <c r="AG308" s="2" t="s">
        <v>24</v>
      </c>
      <c r="AH308" s="2" t="str">
        <f t="shared" si="341"/>
        <v/>
      </c>
      <c r="AI308" s="2"/>
    </row>
    <row r="309" spans="2:35" x14ac:dyDescent="0.25">
      <c r="B309" s="2"/>
      <c r="C309" s="153"/>
      <c r="D309" s="154"/>
      <c r="E309" s="154"/>
      <c r="F309" s="153"/>
      <c r="G309" s="154"/>
      <c r="H309" s="154"/>
      <c r="I309" s="154"/>
      <c r="J309" s="154"/>
      <c r="K309" s="154"/>
      <c r="L309" s="153"/>
      <c r="M309" s="154"/>
      <c r="N309" s="154"/>
      <c r="O309" s="154"/>
      <c r="P309" s="154"/>
      <c r="Q309" s="154"/>
      <c r="R309" s="154"/>
      <c r="U309" s="153"/>
      <c r="V309" s="154"/>
      <c r="W309" s="154"/>
      <c r="X309" s="153"/>
      <c r="Y309" s="154"/>
      <c r="AA309" s="2"/>
      <c r="AB309" s="2"/>
      <c r="AC309" s="2"/>
      <c r="AD309" s="2"/>
      <c r="AE309" s="2"/>
      <c r="AF309" s="2"/>
      <c r="AG309" s="2"/>
      <c r="AH309" s="2"/>
      <c r="AI309" s="2"/>
    </row>
    <row r="310" spans="2:35" x14ac:dyDescent="0.25">
      <c r="B310" s="2" t="str">
        <f t="shared" ref="B310:B313" si="381">_xlfn.CONCAT("@",AA310,AB310,AC310,AD310,AE310,AF310,AG310,AH310,AI310)</f>
        <v>@dasharray-raceway_case_medium_dash</v>
      </c>
      <c r="C310" s="155" t="s">
        <v>341</v>
      </c>
      <c r="D310" s="155" t="s">
        <v>341</v>
      </c>
      <c r="E310" s="155"/>
      <c r="F310" s="155" t="s">
        <v>341</v>
      </c>
      <c r="G310" s="155" t="s">
        <v>341</v>
      </c>
      <c r="H310" s="155"/>
      <c r="I310" s="155" t="s">
        <v>92</v>
      </c>
      <c r="J310" s="155" t="s">
        <v>92</v>
      </c>
      <c r="K310" s="155"/>
      <c r="L310" s="155" t="s">
        <v>92</v>
      </c>
      <c r="M310" s="155" t="s">
        <v>92</v>
      </c>
      <c r="N310" s="156"/>
      <c r="U310" s="155" t="s">
        <v>341</v>
      </c>
      <c r="V310" s="155" t="s">
        <v>341</v>
      </c>
      <c r="W310" s="155"/>
      <c r="X310" s="155" t="s">
        <v>341</v>
      </c>
      <c r="Y310" s="155" t="s">
        <v>341</v>
      </c>
      <c r="AA310" s="2" t="s">
        <v>386</v>
      </c>
      <c r="AB310" s="2" t="str">
        <f t="shared" ref="AB310:AB313" si="382">IF(NOT(ISBLANK(AC310)),"-","")</f>
        <v>-</v>
      </c>
      <c r="AC310" s="2" t="s">
        <v>28</v>
      </c>
      <c r="AD310" s="2" t="str">
        <f t="shared" ref="AD310:AD313" si="383">IF(NOT(ISBLANK(AE310)),"_","")</f>
        <v>_</v>
      </c>
      <c r="AE310" s="2" t="s">
        <v>17</v>
      </c>
      <c r="AF310" s="2" t="str">
        <f t="shared" ref="AF310:AF313" si="384">IF(NOT(ISBLANK(AG310)),"_","")</f>
        <v>_</v>
      </c>
      <c r="AG310" s="2" t="s">
        <v>79</v>
      </c>
      <c r="AH310" s="2" t="str">
        <f t="shared" ref="AH310:AH313" si="385">IF(NOT(ISBLANK(AI310)),"_","")</f>
        <v>_</v>
      </c>
      <c r="AI310" s="2" t="s">
        <v>388</v>
      </c>
    </row>
    <row r="311" spans="2:35" x14ac:dyDescent="0.25">
      <c r="B311" s="2" t="str">
        <f t="shared" si="381"/>
        <v>@dasharray-raceway_case_medium_gap</v>
      </c>
      <c r="C311" s="155" t="s">
        <v>390</v>
      </c>
      <c r="D311" s="155" t="s">
        <v>390</v>
      </c>
      <c r="E311" s="155"/>
      <c r="F311" s="155" t="s">
        <v>390</v>
      </c>
      <c r="G311" s="155" t="s">
        <v>390</v>
      </c>
      <c r="H311" s="155"/>
      <c r="I311" s="155" t="s">
        <v>96</v>
      </c>
      <c r="J311" s="155" t="s">
        <v>96</v>
      </c>
      <c r="K311" s="155"/>
      <c r="L311" s="155" t="s">
        <v>96</v>
      </c>
      <c r="M311" s="155" t="s">
        <v>96</v>
      </c>
      <c r="N311" s="156"/>
      <c r="U311" s="155" t="s">
        <v>390</v>
      </c>
      <c r="V311" s="155" t="s">
        <v>390</v>
      </c>
      <c r="W311" s="155"/>
      <c r="X311" s="155" t="s">
        <v>390</v>
      </c>
      <c r="Y311" s="155" t="s">
        <v>390</v>
      </c>
      <c r="AA311" s="2" t="s">
        <v>386</v>
      </c>
      <c r="AB311" s="2" t="str">
        <f t="shared" si="382"/>
        <v>-</v>
      </c>
      <c r="AC311" s="2" t="s">
        <v>28</v>
      </c>
      <c r="AD311" s="2" t="str">
        <f t="shared" si="383"/>
        <v>_</v>
      </c>
      <c r="AE311" s="2" t="s">
        <v>17</v>
      </c>
      <c r="AF311" s="2" t="str">
        <f t="shared" si="384"/>
        <v>_</v>
      </c>
      <c r="AG311" s="2" t="s">
        <v>79</v>
      </c>
      <c r="AH311" s="2" t="str">
        <f t="shared" si="385"/>
        <v>_</v>
      </c>
      <c r="AI311" s="2" t="s">
        <v>389</v>
      </c>
    </row>
    <row r="312" spans="2:35" x14ac:dyDescent="0.25">
      <c r="B312" s="2" t="str">
        <f t="shared" si="381"/>
        <v>@dasharray-raceway_case_rough_dash</v>
      </c>
      <c r="C312" s="155" t="s">
        <v>341</v>
      </c>
      <c r="D312" s="155" t="s">
        <v>341</v>
      </c>
      <c r="E312" s="155"/>
      <c r="F312" s="155" t="s">
        <v>341</v>
      </c>
      <c r="G312" s="155" t="s">
        <v>341</v>
      </c>
      <c r="H312" s="155"/>
      <c r="I312" s="155" t="s">
        <v>97</v>
      </c>
      <c r="J312" s="155" t="s">
        <v>97</v>
      </c>
      <c r="K312" s="155"/>
      <c r="L312" s="155" t="s">
        <v>97</v>
      </c>
      <c r="M312" s="155" t="s">
        <v>97</v>
      </c>
      <c r="N312" s="156"/>
      <c r="U312" s="155" t="s">
        <v>341</v>
      </c>
      <c r="V312" s="155" t="s">
        <v>341</v>
      </c>
      <c r="W312" s="155"/>
      <c r="X312" s="155" t="s">
        <v>341</v>
      </c>
      <c r="Y312" s="155" t="s">
        <v>341</v>
      </c>
      <c r="AA312" s="2" t="s">
        <v>386</v>
      </c>
      <c r="AB312" s="2" t="str">
        <f t="shared" si="382"/>
        <v>-</v>
      </c>
      <c r="AC312" s="2" t="s">
        <v>28</v>
      </c>
      <c r="AD312" s="2" t="str">
        <f t="shared" si="383"/>
        <v>_</v>
      </c>
      <c r="AE312" s="2" t="s">
        <v>17</v>
      </c>
      <c r="AF312" s="2" t="str">
        <f t="shared" si="384"/>
        <v>_</v>
      </c>
      <c r="AG312" s="2" t="s">
        <v>387</v>
      </c>
      <c r="AH312" s="2" t="str">
        <f t="shared" si="385"/>
        <v>_</v>
      </c>
      <c r="AI312" s="2" t="s">
        <v>388</v>
      </c>
    </row>
    <row r="313" spans="2:35" x14ac:dyDescent="0.25">
      <c r="B313" s="2" t="str">
        <f t="shared" si="381"/>
        <v>@dasharray-raceway_case_rough_gap</v>
      </c>
      <c r="C313" s="155" t="s">
        <v>390</v>
      </c>
      <c r="D313" s="155" t="s">
        <v>390</v>
      </c>
      <c r="E313" s="155"/>
      <c r="F313" s="155" t="s">
        <v>390</v>
      </c>
      <c r="G313" s="155" t="s">
        <v>390</v>
      </c>
      <c r="H313" s="155"/>
      <c r="I313" s="155" t="s">
        <v>96</v>
      </c>
      <c r="J313" s="155" t="s">
        <v>96</v>
      </c>
      <c r="K313" s="155"/>
      <c r="L313" s="155" t="s">
        <v>96</v>
      </c>
      <c r="M313" s="155" t="s">
        <v>96</v>
      </c>
      <c r="N313" s="156"/>
      <c r="U313" s="155" t="s">
        <v>390</v>
      </c>
      <c r="V313" s="155" t="s">
        <v>390</v>
      </c>
      <c r="W313" s="155"/>
      <c r="X313" s="155" t="s">
        <v>390</v>
      </c>
      <c r="Y313" s="155" t="s">
        <v>390</v>
      </c>
      <c r="AA313" s="2" t="s">
        <v>386</v>
      </c>
      <c r="AB313" s="2" t="str">
        <f t="shared" si="382"/>
        <v>-</v>
      </c>
      <c r="AC313" s="2" t="s">
        <v>28</v>
      </c>
      <c r="AD313" s="2" t="str">
        <f t="shared" si="383"/>
        <v>_</v>
      </c>
      <c r="AE313" s="2" t="s">
        <v>17</v>
      </c>
      <c r="AF313" s="2" t="str">
        <f t="shared" si="384"/>
        <v>_</v>
      </c>
      <c r="AG313" s="2" t="s">
        <v>387</v>
      </c>
      <c r="AH313" s="2" t="str">
        <f t="shared" si="385"/>
        <v>_</v>
      </c>
      <c r="AI313" s="2" t="s">
        <v>389</v>
      </c>
    </row>
    <row r="314" spans="2:35" x14ac:dyDescent="0.25">
      <c r="B314" s="2"/>
      <c r="C314" s="153"/>
      <c r="D314" s="154"/>
      <c r="E314" s="154"/>
      <c r="F314" s="153"/>
      <c r="G314" s="154"/>
      <c r="H314" s="154"/>
      <c r="I314" s="154"/>
      <c r="J314" s="154"/>
      <c r="K314" s="154"/>
      <c r="L314" s="153"/>
      <c r="M314" s="154"/>
      <c r="U314" s="153"/>
      <c r="V314" s="154"/>
      <c r="W314" s="154"/>
      <c r="X314" s="153"/>
      <c r="Y314" s="154"/>
      <c r="AA314" s="2"/>
      <c r="AB314" s="2"/>
      <c r="AC314" s="2"/>
      <c r="AD314" s="2"/>
      <c r="AE314" s="2"/>
      <c r="AF314" s="2"/>
      <c r="AG314" s="2"/>
      <c r="AH314" s="2"/>
      <c r="AI314" s="2"/>
    </row>
    <row r="315" spans="2:35" x14ac:dyDescent="0.25">
      <c r="B315" s="2"/>
      <c r="C315" s="154"/>
      <c r="D315" s="154"/>
      <c r="E315" s="154"/>
      <c r="F315" s="154"/>
      <c r="G315" s="154"/>
      <c r="H315" s="154"/>
      <c r="I315" s="154"/>
      <c r="J315" s="154"/>
      <c r="K315" s="154"/>
      <c r="L315" s="154"/>
      <c r="M315" s="154"/>
      <c r="U315" s="154"/>
      <c r="V315" s="154"/>
      <c r="W315" s="154"/>
      <c r="X315" s="154"/>
      <c r="Y315" s="154"/>
      <c r="AB315" s="28" t="str">
        <f t="shared" si="323"/>
        <v/>
      </c>
      <c r="AD315" s="28" t="str">
        <f t="shared" si="330"/>
        <v/>
      </c>
      <c r="AF315" s="28" t="str">
        <f t="shared" si="331"/>
        <v/>
      </c>
      <c r="AH315" s="28" t="str">
        <f t="shared" si="341"/>
        <v/>
      </c>
    </row>
    <row r="316" spans="2:35" x14ac:dyDescent="0.25">
      <c r="B316" s="2" t="str">
        <f t="shared" ref="B316:B321" si="386">_xlfn.CONCAT("@",AA316,AB316,AC316,AD316,AE316,AF316,AG316,AH316,AI316)</f>
        <v>@color-driveway_case_unpaved_farzoom</v>
      </c>
      <c r="C316" s="115" t="s">
        <v>227</v>
      </c>
      <c r="D316" s="116" t="s">
        <v>229</v>
      </c>
      <c r="F316" s="116" t="s">
        <v>229</v>
      </c>
      <c r="G316" s="115" t="s">
        <v>227</v>
      </c>
      <c r="I316" s="132" t="str">
        <f t="shared" ref="I316:J319" si="387">C316</f>
        <v>"#b99346"</v>
      </c>
      <c r="J316" s="127" t="str">
        <f t="shared" si="387"/>
        <v>"#644507"</v>
      </c>
      <c r="L316" s="116" t="s">
        <v>229</v>
      </c>
      <c r="M316" s="115" t="s">
        <v>227</v>
      </c>
      <c r="U316" s="115" t="s">
        <v>227</v>
      </c>
      <c r="V316" s="116" t="s">
        <v>229</v>
      </c>
      <c r="X316" s="116" t="s">
        <v>229</v>
      </c>
      <c r="Y316" s="115" t="s">
        <v>227</v>
      </c>
      <c r="AA316" s="2" t="s">
        <v>6</v>
      </c>
      <c r="AB316" s="2" t="str">
        <f t="shared" si="323"/>
        <v>-</v>
      </c>
      <c r="AC316" s="2" t="s">
        <v>29</v>
      </c>
      <c r="AD316" s="2" t="str">
        <f t="shared" si="330"/>
        <v>_</v>
      </c>
      <c r="AE316" s="2" t="s">
        <v>17</v>
      </c>
      <c r="AF316" s="2" t="str">
        <f t="shared" si="331"/>
        <v>_</v>
      </c>
      <c r="AG316" s="2" t="s">
        <v>21</v>
      </c>
      <c r="AH316" s="2" t="str">
        <f t="shared" si="341"/>
        <v>_</v>
      </c>
      <c r="AI316" s="28" t="s">
        <v>20</v>
      </c>
    </row>
    <row r="317" spans="2:35" x14ac:dyDescent="0.25">
      <c r="B317" s="2" t="str">
        <f t="shared" si="386"/>
        <v>@color-driveway_case_unpaved_default</v>
      </c>
      <c r="C317" s="116" t="s">
        <v>229</v>
      </c>
      <c r="D317" s="116" t="s">
        <v>229</v>
      </c>
      <c r="F317" s="48" t="s">
        <v>214</v>
      </c>
      <c r="G317" s="48" t="s">
        <v>214</v>
      </c>
      <c r="I317" s="127" t="str">
        <f t="shared" si="387"/>
        <v>"#644507"</v>
      </c>
      <c r="J317" s="127" t="str">
        <f t="shared" si="387"/>
        <v>"#644507"</v>
      </c>
      <c r="L317" s="48" t="s">
        <v>214</v>
      </c>
      <c r="M317" s="48" t="s">
        <v>214</v>
      </c>
      <c r="U317" s="116" t="s">
        <v>229</v>
      </c>
      <c r="V317" s="116" t="s">
        <v>229</v>
      </c>
      <c r="X317" s="48" t="s">
        <v>214</v>
      </c>
      <c r="Y317" s="48" t="s">
        <v>214</v>
      </c>
      <c r="AA317" s="2" t="s">
        <v>6</v>
      </c>
      <c r="AB317" s="2" t="str">
        <f t="shared" si="323"/>
        <v>-</v>
      </c>
      <c r="AC317" s="2" t="s">
        <v>29</v>
      </c>
      <c r="AD317" s="2" t="str">
        <f t="shared" si="330"/>
        <v>_</v>
      </c>
      <c r="AE317" s="2" t="s">
        <v>17</v>
      </c>
      <c r="AF317" s="2" t="str">
        <f t="shared" si="331"/>
        <v>_</v>
      </c>
      <c r="AG317" s="2" t="s">
        <v>21</v>
      </c>
      <c r="AH317" s="2" t="str">
        <f t="shared" si="341"/>
        <v>_</v>
      </c>
      <c r="AI317" s="2" t="s">
        <v>262</v>
      </c>
    </row>
    <row r="318" spans="2:35" x14ac:dyDescent="0.25">
      <c r="B318" s="2" t="str">
        <f t="shared" si="386"/>
        <v>@color-driveway_case_paved_or_uk_farzoom</v>
      </c>
      <c r="C318" s="118" t="s">
        <v>228</v>
      </c>
      <c r="D318" s="48" t="s">
        <v>214</v>
      </c>
      <c r="F318" s="118" t="s">
        <v>228</v>
      </c>
      <c r="G318" s="118" t="s">
        <v>228</v>
      </c>
      <c r="I318" s="133" t="str">
        <f t="shared" si="387"/>
        <v>"#808080"</v>
      </c>
      <c r="J318" s="37" t="str">
        <f t="shared" si="387"/>
        <v>"#000000"</v>
      </c>
      <c r="L318" s="118" t="s">
        <v>228</v>
      </c>
      <c r="M318" s="118" t="s">
        <v>228</v>
      </c>
      <c r="U318" s="118" t="s">
        <v>228</v>
      </c>
      <c r="V318" s="48" t="s">
        <v>214</v>
      </c>
      <c r="X318" s="118" t="s">
        <v>228</v>
      </c>
      <c r="Y318" s="118" t="s">
        <v>228</v>
      </c>
      <c r="AA318" s="2" t="s">
        <v>6</v>
      </c>
      <c r="AB318" s="2" t="str">
        <f t="shared" si="323"/>
        <v>-</v>
      </c>
      <c r="AC318" s="2" t="s">
        <v>29</v>
      </c>
      <c r="AD318" s="2" t="str">
        <f t="shared" si="330"/>
        <v>_</v>
      </c>
      <c r="AE318" s="2" t="s">
        <v>17</v>
      </c>
      <c r="AF318" s="2" t="str">
        <f t="shared" si="331"/>
        <v>_</v>
      </c>
      <c r="AG318" s="2" t="s">
        <v>24</v>
      </c>
      <c r="AH318" s="2" t="str">
        <f t="shared" si="341"/>
        <v>_</v>
      </c>
      <c r="AI318" s="28" t="s">
        <v>20</v>
      </c>
    </row>
    <row r="319" spans="2:35" x14ac:dyDescent="0.25">
      <c r="B319" s="2" t="str">
        <f t="shared" si="386"/>
        <v>@color-driveway_case_paved_or_uk_default</v>
      </c>
      <c r="C319" s="119" t="s">
        <v>218</v>
      </c>
      <c r="D319" s="48" t="s">
        <v>214</v>
      </c>
      <c r="F319" s="48" t="s">
        <v>214</v>
      </c>
      <c r="G319" s="48" t="s">
        <v>214</v>
      </c>
      <c r="I319" s="134" t="str">
        <f t="shared" si="387"/>
        <v>"#404040"</v>
      </c>
      <c r="J319" s="37" t="str">
        <f t="shared" si="387"/>
        <v>"#000000"</v>
      </c>
      <c r="L319" s="48" t="s">
        <v>214</v>
      </c>
      <c r="M319" s="48" t="s">
        <v>214</v>
      </c>
      <c r="Q319" s="7"/>
      <c r="U319" s="119" t="s">
        <v>218</v>
      </c>
      <c r="V319" s="48" t="s">
        <v>214</v>
      </c>
      <c r="X319" s="48" t="s">
        <v>214</v>
      </c>
      <c r="Y319" s="48" t="s">
        <v>214</v>
      </c>
      <c r="AA319" s="2" t="s">
        <v>6</v>
      </c>
      <c r="AB319" s="2" t="str">
        <f t="shared" si="323"/>
        <v>-</v>
      </c>
      <c r="AC319" s="2" t="s">
        <v>29</v>
      </c>
      <c r="AD319" s="2" t="str">
        <f t="shared" si="330"/>
        <v>_</v>
      </c>
      <c r="AE319" s="2" t="s">
        <v>17</v>
      </c>
      <c r="AF319" s="2" t="str">
        <f t="shared" si="331"/>
        <v>_</v>
      </c>
      <c r="AG319" s="2" t="s">
        <v>24</v>
      </c>
      <c r="AH319" s="2" t="str">
        <f t="shared" si="341"/>
        <v>_</v>
      </c>
      <c r="AI319" s="2" t="s">
        <v>262</v>
      </c>
    </row>
    <row r="320" spans="2:35" x14ac:dyDescent="0.25">
      <c r="B320" s="2" t="str">
        <f t="shared" si="386"/>
        <v>@color-driveway_line_unpaved</v>
      </c>
      <c r="C320" s="120" t="s">
        <v>221</v>
      </c>
      <c r="D320" s="38" t="str">
        <f t="shared" ref="D320:D321" si="388">C320</f>
        <v>"#eddfca"</v>
      </c>
      <c r="F320" s="120" t="s">
        <v>221</v>
      </c>
      <c r="G320" s="38" t="str">
        <f t="shared" ref="G320:G321" si="389">F320</f>
        <v>"#eddfca"</v>
      </c>
      <c r="I320" s="120" t="s">
        <v>221</v>
      </c>
      <c r="J320" s="38" t="str">
        <f t="shared" ref="J320:J321" si="390">I320</f>
        <v>"#eddfca"</v>
      </c>
      <c r="L320" s="120" t="s">
        <v>221</v>
      </c>
      <c r="M320" s="38" t="str">
        <f t="shared" ref="M320:M321" si="391">L320</f>
        <v>"#eddfca"</v>
      </c>
      <c r="U320" s="120" t="s">
        <v>221</v>
      </c>
      <c r="V320" s="38" t="str">
        <f t="shared" ref="V320:V321" si="392">U320</f>
        <v>"#eddfca"</v>
      </c>
      <c r="X320" s="120" t="s">
        <v>221</v>
      </c>
      <c r="Y320" s="38" t="str">
        <f t="shared" ref="Y320:Y321" si="393">X320</f>
        <v>"#eddfca"</v>
      </c>
      <c r="AA320" s="2" t="s">
        <v>6</v>
      </c>
      <c r="AB320" s="2" t="str">
        <f t="shared" si="323"/>
        <v>-</v>
      </c>
      <c r="AC320" s="2" t="s">
        <v>29</v>
      </c>
      <c r="AD320" s="2" t="str">
        <f t="shared" si="330"/>
        <v>_</v>
      </c>
      <c r="AE320" s="2" t="s">
        <v>13</v>
      </c>
      <c r="AF320" s="2" t="str">
        <f t="shared" si="331"/>
        <v>_</v>
      </c>
      <c r="AG320" s="2" t="s">
        <v>21</v>
      </c>
      <c r="AH320" s="2" t="str">
        <f t="shared" si="341"/>
        <v/>
      </c>
      <c r="AI320" s="2"/>
    </row>
    <row r="321" spans="2:35" x14ac:dyDescent="0.25">
      <c r="B321" s="2" t="str">
        <f t="shared" si="386"/>
        <v>@color-driveway_line_paved_or_uk</v>
      </c>
      <c r="C321" s="47" t="s">
        <v>222</v>
      </c>
      <c r="D321" s="38" t="str">
        <f t="shared" si="388"/>
        <v>"#ffffff"</v>
      </c>
      <c r="F321" s="47" t="s">
        <v>222</v>
      </c>
      <c r="G321" s="38" t="str">
        <f t="shared" si="389"/>
        <v>"#ffffff"</v>
      </c>
      <c r="I321" s="47" t="s">
        <v>222</v>
      </c>
      <c r="J321" s="38" t="str">
        <f t="shared" si="390"/>
        <v>"#ffffff"</v>
      </c>
      <c r="L321" s="47" t="s">
        <v>222</v>
      </c>
      <c r="M321" s="38" t="str">
        <f t="shared" si="391"/>
        <v>"#ffffff"</v>
      </c>
      <c r="U321" s="47" t="s">
        <v>222</v>
      </c>
      <c r="V321" s="38" t="str">
        <f t="shared" si="392"/>
        <v>"#ffffff"</v>
      </c>
      <c r="X321" s="47" t="s">
        <v>222</v>
      </c>
      <c r="Y321" s="38" t="str">
        <f t="shared" si="393"/>
        <v>"#ffffff"</v>
      </c>
      <c r="AA321" s="2" t="s">
        <v>6</v>
      </c>
      <c r="AB321" s="2" t="str">
        <f t="shared" si="323"/>
        <v>-</v>
      </c>
      <c r="AC321" s="2" t="s">
        <v>29</v>
      </c>
      <c r="AD321" s="2" t="str">
        <f t="shared" si="330"/>
        <v>_</v>
      </c>
      <c r="AE321" s="2" t="s">
        <v>13</v>
      </c>
      <c r="AF321" s="2" t="str">
        <f t="shared" si="331"/>
        <v>_</v>
      </c>
      <c r="AG321" s="2" t="s">
        <v>24</v>
      </c>
      <c r="AH321" s="2" t="str">
        <f t="shared" si="341"/>
        <v/>
      </c>
      <c r="AI321" s="2"/>
    </row>
    <row r="322" spans="2:35" x14ac:dyDescent="0.25">
      <c r="B322" s="2"/>
      <c r="C322" s="153"/>
      <c r="D322" s="154"/>
      <c r="E322" s="154"/>
      <c r="F322" s="153"/>
      <c r="G322" s="154"/>
      <c r="H322" s="154"/>
      <c r="I322" s="154"/>
      <c r="J322" s="154"/>
      <c r="K322" s="154"/>
      <c r="L322" s="153"/>
      <c r="M322" s="154"/>
      <c r="U322" s="153"/>
      <c r="V322" s="154"/>
      <c r="W322" s="154"/>
      <c r="X322" s="153"/>
      <c r="Y322" s="154"/>
      <c r="AA322" s="2"/>
      <c r="AB322" s="2"/>
      <c r="AC322" s="2"/>
      <c r="AD322" s="2"/>
      <c r="AE322" s="2"/>
      <c r="AF322" s="2"/>
      <c r="AG322" s="2"/>
      <c r="AH322" s="2"/>
      <c r="AI322" s="2"/>
    </row>
    <row r="323" spans="2:35" x14ac:dyDescent="0.25">
      <c r="B323" s="2" t="str">
        <f t="shared" ref="B323:B326" si="394">_xlfn.CONCAT("@",AA323,AB323,AC323,AD323,AE323,AF323,AG323,AH323,AI323)</f>
        <v>@dasharray-driveway_case_medium_dash</v>
      </c>
      <c r="C323" s="155" t="s">
        <v>341</v>
      </c>
      <c r="D323" s="155" t="s">
        <v>341</v>
      </c>
      <c r="E323" s="155"/>
      <c r="F323" s="155" t="s">
        <v>341</v>
      </c>
      <c r="G323" s="155" t="s">
        <v>341</v>
      </c>
      <c r="H323" s="155"/>
      <c r="I323" s="155" t="s">
        <v>92</v>
      </c>
      <c r="J323" s="155" t="s">
        <v>92</v>
      </c>
      <c r="K323" s="155"/>
      <c r="L323" s="155" t="s">
        <v>92</v>
      </c>
      <c r="M323" s="155" t="s">
        <v>92</v>
      </c>
      <c r="N323" s="156"/>
      <c r="U323" s="155" t="s">
        <v>341</v>
      </c>
      <c r="V323" s="155" t="s">
        <v>341</v>
      </c>
      <c r="W323" s="155"/>
      <c r="X323" s="155" t="s">
        <v>341</v>
      </c>
      <c r="Y323" s="155" t="s">
        <v>341</v>
      </c>
      <c r="AA323" s="2" t="s">
        <v>386</v>
      </c>
      <c r="AB323" s="2" t="str">
        <f t="shared" ref="AB323:AB326" si="395">IF(NOT(ISBLANK(AC323)),"-","")</f>
        <v>-</v>
      </c>
      <c r="AC323" s="2" t="s">
        <v>29</v>
      </c>
      <c r="AD323" s="2" t="str">
        <f t="shared" ref="AD323:AD326" si="396">IF(NOT(ISBLANK(AE323)),"_","")</f>
        <v>_</v>
      </c>
      <c r="AE323" s="2" t="s">
        <v>17</v>
      </c>
      <c r="AF323" s="2" t="str">
        <f t="shared" ref="AF323:AF326" si="397">IF(NOT(ISBLANK(AG323)),"_","")</f>
        <v>_</v>
      </c>
      <c r="AG323" s="2" t="s">
        <v>79</v>
      </c>
      <c r="AH323" s="2" t="str">
        <f t="shared" ref="AH323:AH326" si="398">IF(NOT(ISBLANK(AI323)),"_","")</f>
        <v>_</v>
      </c>
      <c r="AI323" s="2" t="s">
        <v>388</v>
      </c>
    </row>
    <row r="324" spans="2:35" x14ac:dyDescent="0.25">
      <c r="B324" s="2" t="str">
        <f t="shared" si="394"/>
        <v>@dasharray-driveway_case_medium_gap</v>
      </c>
      <c r="C324" s="155" t="s">
        <v>390</v>
      </c>
      <c r="D324" s="155" t="s">
        <v>390</v>
      </c>
      <c r="E324" s="155"/>
      <c r="F324" s="155" t="s">
        <v>390</v>
      </c>
      <c r="G324" s="155" t="s">
        <v>390</v>
      </c>
      <c r="H324" s="155"/>
      <c r="I324" s="155" t="s">
        <v>96</v>
      </c>
      <c r="J324" s="155" t="s">
        <v>96</v>
      </c>
      <c r="K324" s="155"/>
      <c r="L324" s="155" t="s">
        <v>96</v>
      </c>
      <c r="M324" s="155" t="s">
        <v>96</v>
      </c>
      <c r="N324" s="156"/>
      <c r="U324" s="155" t="s">
        <v>390</v>
      </c>
      <c r="V324" s="155" t="s">
        <v>390</v>
      </c>
      <c r="W324" s="155"/>
      <c r="X324" s="155" t="s">
        <v>390</v>
      </c>
      <c r="Y324" s="155" t="s">
        <v>390</v>
      </c>
      <c r="AA324" s="2" t="s">
        <v>386</v>
      </c>
      <c r="AB324" s="2" t="str">
        <f t="shared" si="395"/>
        <v>-</v>
      </c>
      <c r="AC324" s="2" t="s">
        <v>29</v>
      </c>
      <c r="AD324" s="2" t="str">
        <f t="shared" si="396"/>
        <v>_</v>
      </c>
      <c r="AE324" s="2" t="s">
        <v>17</v>
      </c>
      <c r="AF324" s="2" t="str">
        <f t="shared" si="397"/>
        <v>_</v>
      </c>
      <c r="AG324" s="2" t="s">
        <v>79</v>
      </c>
      <c r="AH324" s="2" t="str">
        <f t="shared" si="398"/>
        <v>_</v>
      </c>
      <c r="AI324" s="2" t="s">
        <v>389</v>
      </c>
    </row>
    <row r="325" spans="2:35" x14ac:dyDescent="0.25">
      <c r="B325" s="2" t="str">
        <f t="shared" si="394"/>
        <v>@dasharray-driveway_case_rough_dash</v>
      </c>
      <c r="C325" s="155" t="s">
        <v>341</v>
      </c>
      <c r="D325" s="155" t="s">
        <v>341</v>
      </c>
      <c r="E325" s="155"/>
      <c r="F325" s="155" t="s">
        <v>341</v>
      </c>
      <c r="G325" s="155" t="s">
        <v>341</v>
      </c>
      <c r="H325" s="155"/>
      <c r="I325" s="155" t="s">
        <v>97</v>
      </c>
      <c r="J325" s="155" t="s">
        <v>97</v>
      </c>
      <c r="K325" s="155"/>
      <c r="L325" s="155" t="s">
        <v>97</v>
      </c>
      <c r="M325" s="155" t="s">
        <v>97</v>
      </c>
      <c r="N325" s="156"/>
      <c r="U325" s="155" t="s">
        <v>341</v>
      </c>
      <c r="V325" s="155" t="s">
        <v>341</v>
      </c>
      <c r="W325" s="155"/>
      <c r="X325" s="155" t="s">
        <v>341</v>
      </c>
      <c r="Y325" s="155" t="s">
        <v>341</v>
      </c>
      <c r="AA325" s="2" t="s">
        <v>386</v>
      </c>
      <c r="AB325" s="2" t="str">
        <f t="shared" si="395"/>
        <v>-</v>
      </c>
      <c r="AC325" s="2" t="s">
        <v>29</v>
      </c>
      <c r="AD325" s="2" t="str">
        <f t="shared" si="396"/>
        <v>_</v>
      </c>
      <c r="AE325" s="2" t="s">
        <v>17</v>
      </c>
      <c r="AF325" s="2" t="str">
        <f t="shared" si="397"/>
        <v>_</v>
      </c>
      <c r="AG325" s="2" t="s">
        <v>387</v>
      </c>
      <c r="AH325" s="2" t="str">
        <f t="shared" si="398"/>
        <v>_</v>
      </c>
      <c r="AI325" s="2" t="s">
        <v>388</v>
      </c>
    </row>
    <row r="326" spans="2:35" x14ac:dyDescent="0.25">
      <c r="B326" s="2" t="str">
        <f t="shared" si="394"/>
        <v>@dasharray-driveway_case_rough_gap</v>
      </c>
      <c r="C326" s="155" t="s">
        <v>390</v>
      </c>
      <c r="D326" s="155" t="s">
        <v>390</v>
      </c>
      <c r="E326" s="155"/>
      <c r="F326" s="155" t="s">
        <v>390</v>
      </c>
      <c r="G326" s="155" t="s">
        <v>390</v>
      </c>
      <c r="H326" s="155"/>
      <c r="I326" s="155" t="s">
        <v>96</v>
      </c>
      <c r="J326" s="155" t="s">
        <v>96</v>
      </c>
      <c r="K326" s="155"/>
      <c r="L326" s="155" t="s">
        <v>96</v>
      </c>
      <c r="M326" s="155" t="s">
        <v>96</v>
      </c>
      <c r="N326" s="156"/>
      <c r="U326" s="155" t="s">
        <v>390</v>
      </c>
      <c r="V326" s="155" t="s">
        <v>390</v>
      </c>
      <c r="W326" s="155"/>
      <c r="X326" s="155" t="s">
        <v>390</v>
      </c>
      <c r="Y326" s="155" t="s">
        <v>390</v>
      </c>
      <c r="AA326" s="2" t="s">
        <v>386</v>
      </c>
      <c r="AB326" s="2" t="str">
        <f t="shared" si="395"/>
        <v>-</v>
      </c>
      <c r="AC326" s="2" t="s">
        <v>29</v>
      </c>
      <c r="AD326" s="2" t="str">
        <f t="shared" si="396"/>
        <v>_</v>
      </c>
      <c r="AE326" s="2" t="s">
        <v>17</v>
      </c>
      <c r="AF326" s="2" t="str">
        <f t="shared" si="397"/>
        <v>_</v>
      </c>
      <c r="AG326" s="2" t="s">
        <v>387</v>
      </c>
      <c r="AH326" s="2" t="str">
        <f t="shared" si="398"/>
        <v>_</v>
      </c>
      <c r="AI326" s="2" t="s">
        <v>389</v>
      </c>
    </row>
    <row r="327" spans="2:35" x14ac:dyDescent="0.25">
      <c r="B327" s="2"/>
      <c r="C327" s="153"/>
      <c r="D327" s="154"/>
      <c r="E327" s="154"/>
      <c r="F327" s="153"/>
      <c r="G327" s="154"/>
      <c r="H327" s="154"/>
      <c r="I327" s="153"/>
      <c r="J327" s="154"/>
      <c r="K327" s="154"/>
      <c r="L327" s="153"/>
      <c r="M327" s="154"/>
      <c r="U327" s="153"/>
      <c r="V327" s="154"/>
      <c r="W327" s="154"/>
      <c r="X327" s="153"/>
      <c r="Y327" s="154"/>
      <c r="AA327" s="2"/>
      <c r="AB327" s="2"/>
      <c r="AC327" s="2"/>
      <c r="AD327" s="2"/>
      <c r="AE327" s="2"/>
      <c r="AF327" s="2"/>
      <c r="AG327" s="2"/>
      <c r="AH327" s="2"/>
      <c r="AI327" s="2"/>
    </row>
    <row r="328" spans="2:35" x14ac:dyDescent="0.25">
      <c r="B328" s="2"/>
      <c r="C328" s="154"/>
      <c r="D328" s="154"/>
      <c r="E328" s="154"/>
      <c r="F328" s="154"/>
      <c r="G328" s="154"/>
      <c r="H328" s="154"/>
      <c r="I328" s="154"/>
      <c r="J328" s="154"/>
      <c r="K328" s="154"/>
      <c r="L328" s="154"/>
      <c r="M328" s="154"/>
      <c r="U328" s="154"/>
      <c r="V328" s="154"/>
      <c r="W328" s="154"/>
      <c r="X328" s="154"/>
      <c r="Y328" s="154"/>
      <c r="AB328" s="28" t="str">
        <f t="shared" ref="AB328:AB347" si="399">IF(NOT(ISBLANK(AC328)),"-","")</f>
        <v/>
      </c>
      <c r="AD328" s="28" t="str">
        <f t="shared" ref="AD328:AD347" si="400">IF(NOT(ISBLANK(AE328)),"_","")</f>
        <v/>
      </c>
      <c r="AF328" s="28" t="str">
        <f t="shared" ref="AF328:AF347" si="401">IF(NOT(ISBLANK(AG328)),"_","")</f>
        <v/>
      </c>
      <c r="AH328" s="28" t="str">
        <f t="shared" si="341"/>
        <v/>
      </c>
    </row>
    <row r="329" spans="2:35" x14ac:dyDescent="0.25">
      <c r="B329" s="2" t="str">
        <f t="shared" ref="B329:B334" si="402">_xlfn.CONCAT("@",AA329,AB329,AC329,AD329,AE329,AF329,AG329,AH329,AI329)</f>
        <v>@color-busway_case_unpaved_farzoom</v>
      </c>
      <c r="C329" s="115" t="s">
        <v>227</v>
      </c>
      <c r="D329" s="116" t="s">
        <v>229</v>
      </c>
      <c r="F329" s="116" t="s">
        <v>229</v>
      </c>
      <c r="G329" s="115" t="s">
        <v>227</v>
      </c>
      <c r="I329" s="132" t="str">
        <f t="shared" ref="I329:I332" si="403">C329</f>
        <v>"#b99346"</v>
      </c>
      <c r="J329" s="127" t="str">
        <f t="shared" ref="J329:J332" si="404">D329</f>
        <v>"#644507"</v>
      </c>
      <c r="L329" s="116" t="s">
        <v>229</v>
      </c>
      <c r="M329" s="115" t="s">
        <v>227</v>
      </c>
      <c r="U329" s="115" t="s">
        <v>227</v>
      </c>
      <c r="V329" s="116" t="s">
        <v>229</v>
      </c>
      <c r="X329" s="116" t="s">
        <v>229</v>
      </c>
      <c r="Y329" s="115" t="s">
        <v>227</v>
      </c>
      <c r="AA329" s="2" t="s">
        <v>6</v>
      </c>
      <c r="AB329" s="2" t="str">
        <f t="shared" si="399"/>
        <v>-</v>
      </c>
      <c r="AC329" s="2" t="s">
        <v>370</v>
      </c>
      <c r="AD329" s="2" t="str">
        <f t="shared" si="400"/>
        <v>_</v>
      </c>
      <c r="AE329" s="2" t="s">
        <v>17</v>
      </c>
      <c r="AF329" s="2" t="str">
        <f t="shared" si="401"/>
        <v>_</v>
      </c>
      <c r="AG329" s="2" t="s">
        <v>21</v>
      </c>
      <c r="AH329" s="2" t="str">
        <f t="shared" ref="AH329:AH341" si="405">IF(NOT(ISBLANK(AI329)),"_","")</f>
        <v>_</v>
      </c>
      <c r="AI329" s="28" t="s">
        <v>20</v>
      </c>
    </row>
    <row r="330" spans="2:35" x14ac:dyDescent="0.25">
      <c r="B330" s="2" t="str">
        <f t="shared" si="402"/>
        <v>@color-busway_case_unpaved_default</v>
      </c>
      <c r="C330" s="116" t="s">
        <v>229</v>
      </c>
      <c r="D330" s="116" t="s">
        <v>229</v>
      </c>
      <c r="F330" s="48" t="s">
        <v>214</v>
      </c>
      <c r="G330" s="48" t="s">
        <v>214</v>
      </c>
      <c r="I330" s="127" t="str">
        <f t="shared" si="403"/>
        <v>"#644507"</v>
      </c>
      <c r="J330" s="127" t="str">
        <f t="shared" si="404"/>
        <v>"#644507"</v>
      </c>
      <c r="L330" s="48" t="s">
        <v>214</v>
      </c>
      <c r="M330" s="48" t="s">
        <v>214</v>
      </c>
      <c r="U330" s="116" t="s">
        <v>229</v>
      </c>
      <c r="V330" s="116" t="s">
        <v>229</v>
      </c>
      <c r="X330" s="48" t="s">
        <v>214</v>
      </c>
      <c r="Y330" s="48" t="s">
        <v>214</v>
      </c>
      <c r="AA330" s="2" t="s">
        <v>6</v>
      </c>
      <c r="AB330" s="2" t="str">
        <f t="shared" si="399"/>
        <v>-</v>
      </c>
      <c r="AC330" s="2" t="s">
        <v>370</v>
      </c>
      <c r="AD330" s="2" t="str">
        <f t="shared" si="400"/>
        <v>_</v>
      </c>
      <c r="AE330" s="2" t="s">
        <v>17</v>
      </c>
      <c r="AF330" s="2" t="str">
        <f t="shared" si="401"/>
        <v>_</v>
      </c>
      <c r="AG330" s="2" t="s">
        <v>21</v>
      </c>
      <c r="AH330" s="2" t="str">
        <f t="shared" si="405"/>
        <v>_</v>
      </c>
      <c r="AI330" s="2" t="s">
        <v>262</v>
      </c>
    </row>
    <row r="331" spans="2:35" x14ac:dyDescent="0.25">
      <c r="B331" s="2" t="str">
        <f t="shared" si="402"/>
        <v>@color-busway_case_paved_or_uk_farzoom</v>
      </c>
      <c r="C331" s="118" t="s">
        <v>228</v>
      </c>
      <c r="D331" s="48" t="s">
        <v>214</v>
      </c>
      <c r="F331" s="118" t="s">
        <v>228</v>
      </c>
      <c r="G331" s="118" t="s">
        <v>228</v>
      </c>
      <c r="I331" s="133" t="str">
        <f t="shared" si="403"/>
        <v>"#808080"</v>
      </c>
      <c r="J331" s="37" t="str">
        <f t="shared" si="404"/>
        <v>"#000000"</v>
      </c>
      <c r="L331" s="118" t="s">
        <v>228</v>
      </c>
      <c r="M331" s="118" t="s">
        <v>228</v>
      </c>
      <c r="U331" s="118" t="s">
        <v>228</v>
      </c>
      <c r="V331" s="48" t="s">
        <v>214</v>
      </c>
      <c r="X331" s="118" t="s">
        <v>228</v>
      </c>
      <c r="Y331" s="118" t="s">
        <v>228</v>
      </c>
      <c r="AA331" s="2" t="s">
        <v>6</v>
      </c>
      <c r="AB331" s="2" t="str">
        <f t="shared" si="399"/>
        <v>-</v>
      </c>
      <c r="AC331" s="2" t="s">
        <v>370</v>
      </c>
      <c r="AD331" s="2" t="str">
        <f t="shared" si="400"/>
        <v>_</v>
      </c>
      <c r="AE331" s="2" t="s">
        <v>17</v>
      </c>
      <c r="AF331" s="2" t="str">
        <f t="shared" si="401"/>
        <v>_</v>
      </c>
      <c r="AG331" s="2" t="s">
        <v>24</v>
      </c>
      <c r="AH331" s="2" t="str">
        <f t="shared" si="405"/>
        <v>_</v>
      </c>
      <c r="AI331" s="28" t="s">
        <v>20</v>
      </c>
    </row>
    <row r="332" spans="2:35" x14ac:dyDescent="0.25">
      <c r="B332" s="2" t="str">
        <f t="shared" si="402"/>
        <v>@color-busway_case_paved_or_uk_default</v>
      </c>
      <c r="C332" s="119" t="s">
        <v>218</v>
      </c>
      <c r="D332" s="48" t="s">
        <v>214</v>
      </c>
      <c r="F332" s="48" t="s">
        <v>214</v>
      </c>
      <c r="G332" s="48" t="s">
        <v>214</v>
      </c>
      <c r="I332" s="134" t="str">
        <f t="shared" si="403"/>
        <v>"#404040"</v>
      </c>
      <c r="J332" s="37" t="str">
        <f t="shared" si="404"/>
        <v>"#000000"</v>
      </c>
      <c r="L332" s="48" t="s">
        <v>214</v>
      </c>
      <c r="M332" s="48" t="s">
        <v>214</v>
      </c>
      <c r="Q332" s="7"/>
      <c r="U332" s="119" t="s">
        <v>218</v>
      </c>
      <c r="V332" s="48" t="s">
        <v>214</v>
      </c>
      <c r="X332" s="48" t="s">
        <v>214</v>
      </c>
      <c r="Y332" s="48" t="s">
        <v>214</v>
      </c>
      <c r="AA332" s="2" t="s">
        <v>6</v>
      </c>
      <c r="AB332" s="2" t="str">
        <f t="shared" si="399"/>
        <v>-</v>
      </c>
      <c r="AC332" s="2" t="s">
        <v>370</v>
      </c>
      <c r="AD332" s="2" t="str">
        <f t="shared" si="400"/>
        <v>_</v>
      </c>
      <c r="AE332" s="2" t="s">
        <v>17</v>
      </c>
      <c r="AF332" s="2" t="str">
        <f t="shared" si="401"/>
        <v>_</v>
      </c>
      <c r="AG332" s="2" t="s">
        <v>24</v>
      </c>
      <c r="AH332" s="2" t="str">
        <f t="shared" si="405"/>
        <v>_</v>
      </c>
      <c r="AI332" s="2" t="s">
        <v>262</v>
      </c>
    </row>
    <row r="333" spans="2:35" x14ac:dyDescent="0.25">
      <c r="B333" s="2" t="str">
        <f t="shared" si="402"/>
        <v>@color-busway_line_unpaved</v>
      </c>
      <c r="C333" s="120" t="s">
        <v>221</v>
      </c>
      <c r="D333" s="38" t="str">
        <f t="shared" ref="D333:D334" si="406">C333</f>
        <v>"#eddfca"</v>
      </c>
      <c r="F333" s="120" t="s">
        <v>221</v>
      </c>
      <c r="G333" s="38" t="str">
        <f t="shared" ref="G333:G334" si="407">F333</f>
        <v>"#eddfca"</v>
      </c>
      <c r="I333" s="120" t="s">
        <v>221</v>
      </c>
      <c r="J333" s="38" t="str">
        <f t="shared" ref="J333:J334" si="408">I333</f>
        <v>"#eddfca"</v>
      </c>
      <c r="L333" s="120" t="s">
        <v>221</v>
      </c>
      <c r="M333" s="38" t="str">
        <f t="shared" ref="M333:M334" si="409">L333</f>
        <v>"#eddfca"</v>
      </c>
      <c r="U333" s="120" t="s">
        <v>221</v>
      </c>
      <c r="V333" s="38" t="str">
        <f t="shared" ref="V333:V334" si="410">U333</f>
        <v>"#eddfca"</v>
      </c>
      <c r="X333" s="120" t="s">
        <v>221</v>
      </c>
      <c r="Y333" s="38" t="str">
        <f t="shared" ref="Y333:Y334" si="411">X333</f>
        <v>"#eddfca"</v>
      </c>
      <c r="AA333" s="2" t="s">
        <v>6</v>
      </c>
      <c r="AB333" s="2" t="str">
        <f t="shared" si="399"/>
        <v>-</v>
      </c>
      <c r="AC333" s="2" t="s">
        <v>370</v>
      </c>
      <c r="AD333" s="2" t="str">
        <f t="shared" si="400"/>
        <v>_</v>
      </c>
      <c r="AE333" s="2" t="s">
        <v>13</v>
      </c>
      <c r="AF333" s="2" t="str">
        <f t="shared" si="401"/>
        <v>_</v>
      </c>
      <c r="AG333" s="2" t="s">
        <v>21</v>
      </c>
      <c r="AH333" s="2" t="str">
        <f t="shared" si="405"/>
        <v/>
      </c>
      <c r="AI333" s="2"/>
    </row>
    <row r="334" spans="2:35" x14ac:dyDescent="0.25">
      <c r="B334" s="2" t="str">
        <f t="shared" si="402"/>
        <v>@color-busway_line_paved_or_uk</v>
      </c>
      <c r="C334" s="47" t="s">
        <v>222</v>
      </c>
      <c r="D334" s="38" t="str">
        <f t="shared" si="406"/>
        <v>"#ffffff"</v>
      </c>
      <c r="F334" s="47" t="s">
        <v>222</v>
      </c>
      <c r="G334" s="38" t="str">
        <f t="shared" si="407"/>
        <v>"#ffffff"</v>
      </c>
      <c r="I334" s="47" t="s">
        <v>222</v>
      </c>
      <c r="J334" s="38" t="str">
        <f t="shared" si="408"/>
        <v>"#ffffff"</v>
      </c>
      <c r="L334" s="47" t="s">
        <v>222</v>
      </c>
      <c r="M334" s="38" t="str">
        <f t="shared" si="409"/>
        <v>"#ffffff"</v>
      </c>
      <c r="U334" s="47" t="s">
        <v>222</v>
      </c>
      <c r="V334" s="38" t="str">
        <f t="shared" si="410"/>
        <v>"#ffffff"</v>
      </c>
      <c r="X334" s="47" t="s">
        <v>222</v>
      </c>
      <c r="Y334" s="38" t="str">
        <f t="shared" si="411"/>
        <v>"#ffffff"</v>
      </c>
      <c r="AA334" s="2" t="s">
        <v>6</v>
      </c>
      <c r="AB334" s="2" t="str">
        <f t="shared" si="399"/>
        <v>-</v>
      </c>
      <c r="AC334" s="2" t="s">
        <v>370</v>
      </c>
      <c r="AD334" s="2" t="str">
        <f t="shared" si="400"/>
        <v>_</v>
      </c>
      <c r="AE334" s="2" t="s">
        <v>13</v>
      </c>
      <c r="AF334" s="2" t="str">
        <f t="shared" si="401"/>
        <v>_</v>
      </c>
      <c r="AG334" s="2" t="s">
        <v>24</v>
      </c>
      <c r="AH334" s="2" t="str">
        <f t="shared" si="405"/>
        <v/>
      </c>
      <c r="AI334" s="2"/>
    </row>
    <row r="335" spans="2:35" x14ac:dyDescent="0.25">
      <c r="B335" s="2"/>
      <c r="C335" s="153"/>
      <c r="D335" s="154"/>
      <c r="E335" s="154"/>
      <c r="F335" s="153"/>
      <c r="G335" s="154"/>
      <c r="H335" s="154"/>
      <c r="I335" s="154"/>
      <c r="J335" s="154"/>
      <c r="K335" s="154"/>
      <c r="L335" s="153"/>
      <c r="M335" s="154"/>
      <c r="U335" s="153"/>
      <c r="V335" s="154"/>
      <c r="W335" s="154"/>
      <c r="X335" s="153"/>
      <c r="Y335" s="154"/>
      <c r="AA335" s="2"/>
      <c r="AB335" s="2"/>
      <c r="AC335" s="2"/>
      <c r="AD335" s="2"/>
      <c r="AE335" s="2"/>
      <c r="AF335" s="2"/>
      <c r="AG335" s="2"/>
      <c r="AH335" s="2"/>
      <c r="AI335" s="2"/>
    </row>
    <row r="336" spans="2:35" x14ac:dyDescent="0.25">
      <c r="B336" s="2" t="str">
        <f t="shared" ref="B336:B339" si="412">_xlfn.CONCAT("@",AA336,AB336,AC336,AD336,AE336,AF336,AG336,AH336,AI336)</f>
        <v>@dasharray-busway_case_medium_dash</v>
      </c>
      <c r="C336" s="155" t="s">
        <v>341</v>
      </c>
      <c r="D336" s="155" t="s">
        <v>341</v>
      </c>
      <c r="E336" s="155"/>
      <c r="F336" s="155" t="s">
        <v>341</v>
      </c>
      <c r="G336" s="155" t="s">
        <v>341</v>
      </c>
      <c r="H336" s="155"/>
      <c r="I336" s="155" t="s">
        <v>92</v>
      </c>
      <c r="J336" s="155" t="s">
        <v>92</v>
      </c>
      <c r="K336" s="155"/>
      <c r="L336" s="155" t="s">
        <v>92</v>
      </c>
      <c r="M336" s="155" t="s">
        <v>92</v>
      </c>
      <c r="N336" s="156"/>
      <c r="U336" s="155" t="s">
        <v>341</v>
      </c>
      <c r="V336" s="155" t="s">
        <v>341</v>
      </c>
      <c r="W336" s="155"/>
      <c r="X336" s="155" t="s">
        <v>341</v>
      </c>
      <c r="Y336" s="155" t="s">
        <v>341</v>
      </c>
      <c r="AA336" s="2" t="s">
        <v>386</v>
      </c>
      <c r="AB336" s="2" t="str">
        <f t="shared" ref="AB336:AB339" si="413">IF(NOT(ISBLANK(AC336)),"-","")</f>
        <v>-</v>
      </c>
      <c r="AC336" s="2" t="s">
        <v>370</v>
      </c>
      <c r="AD336" s="2" t="str">
        <f t="shared" ref="AD336:AD339" si="414">IF(NOT(ISBLANK(AE336)),"_","")</f>
        <v>_</v>
      </c>
      <c r="AE336" s="2" t="s">
        <v>17</v>
      </c>
      <c r="AF336" s="2" t="str">
        <f t="shared" ref="AF336:AF339" si="415">IF(NOT(ISBLANK(AG336)),"_","")</f>
        <v>_</v>
      </c>
      <c r="AG336" s="2" t="s">
        <v>79</v>
      </c>
      <c r="AH336" s="2" t="str">
        <f t="shared" ref="AH336:AH339" si="416">IF(NOT(ISBLANK(AI336)),"_","")</f>
        <v>_</v>
      </c>
      <c r="AI336" s="2" t="s">
        <v>388</v>
      </c>
    </row>
    <row r="337" spans="2:35" x14ac:dyDescent="0.25">
      <c r="B337" s="2" t="str">
        <f t="shared" si="412"/>
        <v>@dasharray-busway_case_medium_gap</v>
      </c>
      <c r="C337" s="155" t="s">
        <v>390</v>
      </c>
      <c r="D337" s="155" t="s">
        <v>390</v>
      </c>
      <c r="E337" s="155"/>
      <c r="F337" s="155" t="s">
        <v>390</v>
      </c>
      <c r="G337" s="155" t="s">
        <v>390</v>
      </c>
      <c r="H337" s="155"/>
      <c r="I337" s="155" t="s">
        <v>96</v>
      </c>
      <c r="J337" s="155" t="s">
        <v>96</v>
      </c>
      <c r="K337" s="155"/>
      <c r="L337" s="155" t="s">
        <v>96</v>
      </c>
      <c r="M337" s="155" t="s">
        <v>96</v>
      </c>
      <c r="N337" s="156"/>
      <c r="U337" s="155" t="s">
        <v>390</v>
      </c>
      <c r="V337" s="155" t="s">
        <v>390</v>
      </c>
      <c r="W337" s="155"/>
      <c r="X337" s="155" t="s">
        <v>390</v>
      </c>
      <c r="Y337" s="155" t="s">
        <v>390</v>
      </c>
      <c r="AA337" s="2" t="s">
        <v>386</v>
      </c>
      <c r="AB337" s="2" t="str">
        <f t="shared" si="413"/>
        <v>-</v>
      </c>
      <c r="AC337" s="2" t="s">
        <v>370</v>
      </c>
      <c r="AD337" s="2" t="str">
        <f t="shared" si="414"/>
        <v>_</v>
      </c>
      <c r="AE337" s="2" t="s">
        <v>17</v>
      </c>
      <c r="AF337" s="2" t="str">
        <f t="shared" si="415"/>
        <v>_</v>
      </c>
      <c r="AG337" s="2" t="s">
        <v>79</v>
      </c>
      <c r="AH337" s="2" t="str">
        <f t="shared" si="416"/>
        <v>_</v>
      </c>
      <c r="AI337" s="2" t="s">
        <v>389</v>
      </c>
    </row>
    <row r="338" spans="2:35" x14ac:dyDescent="0.25">
      <c r="B338" s="2" t="str">
        <f t="shared" si="412"/>
        <v>@dasharray-busway_case_rough_dash</v>
      </c>
      <c r="C338" s="155" t="s">
        <v>341</v>
      </c>
      <c r="D338" s="155" t="s">
        <v>341</v>
      </c>
      <c r="E338" s="155"/>
      <c r="F338" s="155" t="s">
        <v>341</v>
      </c>
      <c r="G338" s="155" t="s">
        <v>341</v>
      </c>
      <c r="H338" s="155"/>
      <c r="I338" s="155" t="s">
        <v>97</v>
      </c>
      <c r="J338" s="155" t="s">
        <v>97</v>
      </c>
      <c r="K338" s="155"/>
      <c r="L338" s="155" t="s">
        <v>97</v>
      </c>
      <c r="M338" s="155" t="s">
        <v>97</v>
      </c>
      <c r="N338" s="156"/>
      <c r="U338" s="155" t="s">
        <v>341</v>
      </c>
      <c r="V338" s="155" t="s">
        <v>341</v>
      </c>
      <c r="W338" s="155"/>
      <c r="X338" s="155" t="s">
        <v>341</v>
      </c>
      <c r="Y338" s="155" t="s">
        <v>341</v>
      </c>
      <c r="AA338" s="2" t="s">
        <v>386</v>
      </c>
      <c r="AB338" s="2" t="str">
        <f t="shared" si="413"/>
        <v>-</v>
      </c>
      <c r="AC338" s="2" t="s">
        <v>370</v>
      </c>
      <c r="AD338" s="2" t="str">
        <f t="shared" si="414"/>
        <v>_</v>
      </c>
      <c r="AE338" s="2" t="s">
        <v>17</v>
      </c>
      <c r="AF338" s="2" t="str">
        <f t="shared" si="415"/>
        <v>_</v>
      </c>
      <c r="AG338" s="2" t="s">
        <v>387</v>
      </c>
      <c r="AH338" s="2" t="str">
        <f t="shared" si="416"/>
        <v>_</v>
      </c>
      <c r="AI338" s="2" t="s">
        <v>388</v>
      </c>
    </row>
    <row r="339" spans="2:35" x14ac:dyDescent="0.25">
      <c r="B339" s="2" t="str">
        <f t="shared" si="412"/>
        <v>@dasharray-busway_case_rough_gap</v>
      </c>
      <c r="C339" s="155" t="s">
        <v>390</v>
      </c>
      <c r="D339" s="155" t="s">
        <v>390</v>
      </c>
      <c r="E339" s="155"/>
      <c r="F339" s="155" t="s">
        <v>390</v>
      </c>
      <c r="G339" s="155" t="s">
        <v>390</v>
      </c>
      <c r="H339" s="155"/>
      <c r="I339" s="155" t="s">
        <v>96</v>
      </c>
      <c r="J339" s="155" t="s">
        <v>96</v>
      </c>
      <c r="K339" s="155"/>
      <c r="L339" s="155" t="s">
        <v>96</v>
      </c>
      <c r="M339" s="155" t="s">
        <v>96</v>
      </c>
      <c r="N339" s="156"/>
      <c r="U339" s="155" t="s">
        <v>390</v>
      </c>
      <c r="V339" s="155" t="s">
        <v>390</v>
      </c>
      <c r="W339" s="155"/>
      <c r="X339" s="155" t="s">
        <v>390</v>
      </c>
      <c r="Y339" s="155" t="s">
        <v>390</v>
      </c>
      <c r="AA339" s="2" t="s">
        <v>386</v>
      </c>
      <c r="AB339" s="2" t="str">
        <f t="shared" si="413"/>
        <v>-</v>
      </c>
      <c r="AC339" s="2" t="s">
        <v>370</v>
      </c>
      <c r="AD339" s="2" t="str">
        <f t="shared" si="414"/>
        <v>_</v>
      </c>
      <c r="AE339" s="2" t="s">
        <v>17</v>
      </c>
      <c r="AF339" s="2" t="str">
        <f t="shared" si="415"/>
        <v>_</v>
      </c>
      <c r="AG339" s="2" t="s">
        <v>387</v>
      </c>
      <c r="AH339" s="2" t="str">
        <f t="shared" si="416"/>
        <v>_</v>
      </c>
      <c r="AI339" s="2" t="s">
        <v>389</v>
      </c>
    </row>
    <row r="340" spans="2:35" x14ac:dyDescent="0.25">
      <c r="B340" s="158"/>
      <c r="C340" s="153"/>
      <c r="D340" s="154"/>
      <c r="E340" s="154"/>
      <c r="F340" s="153"/>
      <c r="G340" s="154"/>
      <c r="H340" s="154"/>
      <c r="I340" s="153"/>
      <c r="J340" s="154"/>
      <c r="K340" s="154"/>
      <c r="L340" s="153"/>
      <c r="M340" s="154"/>
      <c r="N340" s="154"/>
      <c r="O340" s="154"/>
      <c r="U340" s="153"/>
      <c r="V340" s="154"/>
      <c r="W340" s="154"/>
      <c r="X340" s="153"/>
      <c r="Y340" s="154"/>
      <c r="AA340" s="2"/>
      <c r="AB340" s="2"/>
      <c r="AC340" s="2"/>
      <c r="AD340" s="2"/>
      <c r="AE340" s="2"/>
      <c r="AF340" s="2"/>
      <c r="AG340" s="2"/>
      <c r="AH340" s="2"/>
      <c r="AI340" s="2"/>
    </row>
    <row r="341" spans="2:35" x14ac:dyDescent="0.25">
      <c r="B341" s="158"/>
      <c r="C341" s="154"/>
      <c r="D341" s="154"/>
      <c r="E341" s="154"/>
      <c r="F341" s="154"/>
      <c r="G341" s="154"/>
      <c r="H341" s="154"/>
      <c r="I341" s="154"/>
      <c r="J341" s="154"/>
      <c r="K341" s="154"/>
      <c r="L341" s="154"/>
      <c r="M341" s="154"/>
      <c r="N341" s="154"/>
      <c r="O341" s="154"/>
      <c r="U341" s="154"/>
      <c r="V341" s="154"/>
      <c r="W341" s="154"/>
      <c r="X341" s="154"/>
      <c r="Y341" s="154"/>
      <c r="AB341" s="28" t="str">
        <f t="shared" ref="AB341" si="417">IF(NOT(ISBLANK(AC341)),"-","")</f>
        <v/>
      </c>
      <c r="AD341" s="28" t="str">
        <f t="shared" ref="AD341" si="418">IF(NOT(ISBLANK(AE341)),"_","")</f>
        <v/>
      </c>
      <c r="AF341" s="28" t="str">
        <f t="shared" ref="AF341" si="419">IF(NOT(ISBLANK(AG341)),"_","")</f>
        <v/>
      </c>
      <c r="AH341" s="28" t="str">
        <f t="shared" si="405"/>
        <v/>
      </c>
    </row>
    <row r="342" spans="2:35" x14ac:dyDescent="0.25">
      <c r="B342" s="2" t="str">
        <f t="shared" ref="B342:B347" si="420">_xlfn.CONCAT("@",AA342,AB342,AC342,AD342,AE342,AF342,AG342,AH342,AI342)</f>
        <v>@color-service_case_unpaved_farzoom</v>
      </c>
      <c r="C342" s="115" t="s">
        <v>227</v>
      </c>
      <c r="D342" s="116" t="s">
        <v>229</v>
      </c>
      <c r="F342" s="116" t="s">
        <v>229</v>
      </c>
      <c r="G342" s="115" t="s">
        <v>227</v>
      </c>
      <c r="I342" s="132" t="str">
        <f t="shared" ref="I342:J345" si="421">C342</f>
        <v>"#b99346"</v>
      </c>
      <c r="J342" s="127" t="str">
        <f t="shared" si="421"/>
        <v>"#644507"</v>
      </c>
      <c r="L342" s="116" t="s">
        <v>229</v>
      </c>
      <c r="M342" s="115" t="s">
        <v>227</v>
      </c>
      <c r="U342" s="115" t="s">
        <v>227</v>
      </c>
      <c r="V342" s="116" t="s">
        <v>229</v>
      </c>
      <c r="X342" s="116" t="s">
        <v>229</v>
      </c>
      <c r="Y342" s="115" t="s">
        <v>227</v>
      </c>
      <c r="AA342" s="2" t="s">
        <v>6</v>
      </c>
      <c r="AB342" s="2" t="str">
        <f t="shared" si="399"/>
        <v>-</v>
      </c>
      <c r="AC342" s="2" t="s">
        <v>30</v>
      </c>
      <c r="AD342" s="2" t="str">
        <f t="shared" si="400"/>
        <v>_</v>
      </c>
      <c r="AE342" s="2" t="s">
        <v>17</v>
      </c>
      <c r="AF342" s="2" t="str">
        <f t="shared" si="401"/>
        <v>_</v>
      </c>
      <c r="AG342" s="2" t="s">
        <v>21</v>
      </c>
      <c r="AH342" s="2" t="str">
        <f t="shared" si="341"/>
        <v>_</v>
      </c>
      <c r="AI342" s="28" t="s">
        <v>20</v>
      </c>
    </row>
    <row r="343" spans="2:35" x14ac:dyDescent="0.25">
      <c r="B343" s="2" t="str">
        <f t="shared" si="420"/>
        <v>@color-service_case_unpaved_default</v>
      </c>
      <c r="C343" s="116" t="s">
        <v>229</v>
      </c>
      <c r="D343" s="116" t="s">
        <v>229</v>
      </c>
      <c r="F343" s="48" t="s">
        <v>214</v>
      </c>
      <c r="G343" s="48" t="s">
        <v>214</v>
      </c>
      <c r="I343" s="127" t="str">
        <f t="shared" si="421"/>
        <v>"#644507"</v>
      </c>
      <c r="J343" s="127" t="str">
        <f t="shared" si="421"/>
        <v>"#644507"</v>
      </c>
      <c r="L343" s="48" t="s">
        <v>214</v>
      </c>
      <c r="M343" s="48" t="s">
        <v>214</v>
      </c>
      <c r="U343" s="116" t="s">
        <v>229</v>
      </c>
      <c r="V343" s="116" t="s">
        <v>229</v>
      </c>
      <c r="X343" s="48" t="s">
        <v>214</v>
      </c>
      <c r="Y343" s="48" t="s">
        <v>214</v>
      </c>
      <c r="AA343" s="2" t="s">
        <v>6</v>
      </c>
      <c r="AB343" s="2" t="str">
        <f t="shared" si="399"/>
        <v>-</v>
      </c>
      <c r="AC343" s="2" t="s">
        <v>30</v>
      </c>
      <c r="AD343" s="2" t="str">
        <f t="shared" si="400"/>
        <v>_</v>
      </c>
      <c r="AE343" s="2" t="s">
        <v>17</v>
      </c>
      <c r="AF343" s="2" t="str">
        <f t="shared" si="401"/>
        <v>_</v>
      </c>
      <c r="AG343" s="2" t="s">
        <v>21</v>
      </c>
      <c r="AH343" s="2" t="str">
        <f t="shared" si="341"/>
        <v>_</v>
      </c>
      <c r="AI343" s="2" t="s">
        <v>262</v>
      </c>
    </row>
    <row r="344" spans="2:35" x14ac:dyDescent="0.25">
      <c r="B344" s="2" t="str">
        <f t="shared" si="420"/>
        <v>@color-service_case_paved_or_uk_farzoom</v>
      </c>
      <c r="C344" s="118" t="s">
        <v>228</v>
      </c>
      <c r="D344" s="48" t="s">
        <v>214</v>
      </c>
      <c r="F344" s="48" t="s">
        <v>214</v>
      </c>
      <c r="G344" s="48" t="s">
        <v>214</v>
      </c>
      <c r="I344" s="133" t="str">
        <f t="shared" si="421"/>
        <v>"#808080"</v>
      </c>
      <c r="J344" s="37" t="str">
        <f t="shared" si="421"/>
        <v>"#000000"</v>
      </c>
      <c r="L344" s="48" t="s">
        <v>214</v>
      </c>
      <c r="M344" s="48" t="s">
        <v>214</v>
      </c>
      <c r="U344" s="118" t="s">
        <v>228</v>
      </c>
      <c r="V344" s="48" t="s">
        <v>214</v>
      </c>
      <c r="X344" s="48" t="s">
        <v>214</v>
      </c>
      <c r="Y344" s="48" t="s">
        <v>214</v>
      </c>
      <c r="AA344" s="2" t="s">
        <v>6</v>
      </c>
      <c r="AB344" s="2" t="str">
        <f t="shared" si="399"/>
        <v>-</v>
      </c>
      <c r="AC344" s="2" t="s">
        <v>30</v>
      </c>
      <c r="AD344" s="2" t="str">
        <f t="shared" si="400"/>
        <v>_</v>
      </c>
      <c r="AE344" s="2" t="s">
        <v>17</v>
      </c>
      <c r="AF344" s="2" t="str">
        <f t="shared" si="401"/>
        <v>_</v>
      </c>
      <c r="AG344" s="2" t="s">
        <v>24</v>
      </c>
      <c r="AH344" s="2" t="str">
        <f t="shared" si="341"/>
        <v>_</v>
      </c>
      <c r="AI344" s="28" t="s">
        <v>20</v>
      </c>
    </row>
    <row r="345" spans="2:35" x14ac:dyDescent="0.25">
      <c r="B345" s="2" t="str">
        <f t="shared" si="420"/>
        <v>@color-service_case_paved_or_uk_default</v>
      </c>
      <c r="C345" s="119" t="s">
        <v>218</v>
      </c>
      <c r="D345" s="48" t="s">
        <v>214</v>
      </c>
      <c r="F345" s="48" t="s">
        <v>214</v>
      </c>
      <c r="G345" s="48" t="s">
        <v>214</v>
      </c>
      <c r="I345" s="134" t="str">
        <f t="shared" si="421"/>
        <v>"#404040"</v>
      </c>
      <c r="J345" s="37" t="str">
        <f t="shared" si="421"/>
        <v>"#000000"</v>
      </c>
      <c r="L345" s="48" t="s">
        <v>214</v>
      </c>
      <c r="M345" s="48" t="s">
        <v>214</v>
      </c>
      <c r="Q345" s="7"/>
      <c r="U345" s="119" t="s">
        <v>218</v>
      </c>
      <c r="V345" s="48" t="s">
        <v>214</v>
      </c>
      <c r="X345" s="48" t="s">
        <v>214</v>
      </c>
      <c r="Y345" s="48" t="s">
        <v>214</v>
      </c>
      <c r="AA345" s="2" t="s">
        <v>6</v>
      </c>
      <c r="AB345" s="2" t="str">
        <f t="shared" si="399"/>
        <v>-</v>
      </c>
      <c r="AC345" s="2" t="s">
        <v>30</v>
      </c>
      <c r="AD345" s="2" t="str">
        <f t="shared" si="400"/>
        <v>_</v>
      </c>
      <c r="AE345" s="2" t="s">
        <v>17</v>
      </c>
      <c r="AF345" s="2" t="str">
        <f t="shared" si="401"/>
        <v>_</v>
      </c>
      <c r="AG345" s="2" t="s">
        <v>24</v>
      </c>
      <c r="AH345" s="2" t="str">
        <f t="shared" si="341"/>
        <v>_</v>
      </c>
      <c r="AI345" s="2" t="s">
        <v>262</v>
      </c>
    </row>
    <row r="346" spans="2:35" x14ac:dyDescent="0.25">
      <c r="B346" s="2" t="str">
        <f t="shared" si="420"/>
        <v>@color-service_line_unpaved</v>
      </c>
      <c r="C346" s="120" t="s">
        <v>221</v>
      </c>
      <c r="D346" s="38" t="str">
        <f t="shared" ref="D346:D347" si="422">C346</f>
        <v>"#eddfca"</v>
      </c>
      <c r="F346" s="120" t="s">
        <v>221</v>
      </c>
      <c r="G346" s="38" t="str">
        <f t="shared" ref="G346:G347" si="423">F346</f>
        <v>"#eddfca"</v>
      </c>
      <c r="I346" s="121" t="str">
        <f>C346</f>
        <v>"#eddfca"</v>
      </c>
      <c r="J346" s="38" t="str">
        <f t="shared" ref="J346:J347" si="424">C346</f>
        <v>"#eddfca"</v>
      </c>
      <c r="L346" s="120" t="s">
        <v>221</v>
      </c>
      <c r="M346" s="38" t="str">
        <f t="shared" ref="M346:M347" si="425">L346</f>
        <v>"#eddfca"</v>
      </c>
      <c r="U346" s="120" t="s">
        <v>221</v>
      </c>
      <c r="V346" s="38" t="str">
        <f t="shared" ref="V346:V347" si="426">U346</f>
        <v>"#eddfca"</v>
      </c>
      <c r="X346" s="120" t="s">
        <v>221</v>
      </c>
      <c r="Y346" s="38" t="str">
        <f t="shared" ref="Y346:Y347" si="427">X346</f>
        <v>"#eddfca"</v>
      </c>
      <c r="AA346" s="2" t="s">
        <v>6</v>
      </c>
      <c r="AB346" s="2" t="str">
        <f t="shared" si="399"/>
        <v>-</v>
      </c>
      <c r="AC346" s="2" t="s">
        <v>30</v>
      </c>
      <c r="AD346" s="2" t="str">
        <f t="shared" si="400"/>
        <v>_</v>
      </c>
      <c r="AE346" s="2" t="s">
        <v>13</v>
      </c>
      <c r="AF346" s="2" t="str">
        <f t="shared" si="401"/>
        <v>_</v>
      </c>
      <c r="AG346" s="2" t="s">
        <v>21</v>
      </c>
      <c r="AH346" s="2" t="str">
        <f t="shared" si="341"/>
        <v/>
      </c>
      <c r="AI346" s="2"/>
    </row>
    <row r="347" spans="2:35" x14ac:dyDescent="0.25">
      <c r="B347" s="2" t="str">
        <f t="shared" si="420"/>
        <v>@color-service_line_paved_or_uk</v>
      </c>
      <c r="C347" s="47" t="s">
        <v>222</v>
      </c>
      <c r="D347" s="38" t="str">
        <f t="shared" si="422"/>
        <v>"#ffffff"</v>
      </c>
      <c r="F347" s="47" t="s">
        <v>222</v>
      </c>
      <c r="G347" s="38" t="str">
        <f t="shared" si="423"/>
        <v>"#ffffff"</v>
      </c>
      <c r="I347" s="38" t="str">
        <f>C347</f>
        <v>"#ffffff"</v>
      </c>
      <c r="J347" s="38" t="str">
        <f t="shared" si="424"/>
        <v>"#ffffff"</v>
      </c>
      <c r="L347" s="47" t="s">
        <v>222</v>
      </c>
      <c r="M347" s="38" t="str">
        <f t="shared" si="425"/>
        <v>"#ffffff"</v>
      </c>
      <c r="U347" s="47" t="s">
        <v>222</v>
      </c>
      <c r="V347" s="38" t="str">
        <f t="shared" si="426"/>
        <v>"#ffffff"</v>
      </c>
      <c r="X347" s="47" t="s">
        <v>222</v>
      </c>
      <c r="Y347" s="38" t="str">
        <f t="shared" si="427"/>
        <v>"#ffffff"</v>
      </c>
      <c r="AA347" s="2" t="s">
        <v>6</v>
      </c>
      <c r="AB347" s="2" t="str">
        <f t="shared" si="399"/>
        <v>-</v>
      </c>
      <c r="AC347" s="2" t="s">
        <v>30</v>
      </c>
      <c r="AD347" s="2" t="str">
        <f t="shared" si="400"/>
        <v>_</v>
      </c>
      <c r="AE347" s="2" t="s">
        <v>13</v>
      </c>
      <c r="AF347" s="2" t="str">
        <f t="shared" si="401"/>
        <v>_</v>
      </c>
      <c r="AG347" s="2" t="s">
        <v>24</v>
      </c>
      <c r="AH347" s="2" t="str">
        <f t="shared" si="341"/>
        <v/>
      </c>
      <c r="AI347" s="2"/>
    </row>
    <row r="348" spans="2:35" x14ac:dyDescent="0.25">
      <c r="B348" s="2"/>
      <c r="C348" s="153"/>
      <c r="D348" s="154"/>
      <c r="E348" s="154"/>
      <c r="F348" s="153"/>
      <c r="G348" s="154"/>
      <c r="H348" s="154"/>
      <c r="I348" s="154"/>
      <c r="J348" s="154"/>
      <c r="K348" s="154"/>
      <c r="L348" s="153"/>
      <c r="M348" s="154"/>
      <c r="U348" s="153"/>
      <c r="V348" s="154"/>
      <c r="W348" s="154"/>
      <c r="X348" s="153"/>
      <c r="Y348" s="154"/>
      <c r="AA348" s="2"/>
      <c r="AB348" s="2"/>
      <c r="AC348" s="2"/>
      <c r="AD348" s="2"/>
      <c r="AE348" s="2"/>
      <c r="AF348" s="2"/>
      <c r="AG348" s="2"/>
      <c r="AH348" s="2"/>
      <c r="AI348" s="2"/>
    </row>
    <row r="349" spans="2:35" x14ac:dyDescent="0.25">
      <c r="B349" s="2" t="str">
        <f t="shared" ref="B349:B350" si="428">_xlfn.CONCAT("@",AA349,AB349,AC349,AD349,AE349,AF349,AG349,AH349,AI349)</f>
        <v>@dasharray-service_case_medium_dash</v>
      </c>
      <c r="C349" s="155" t="s">
        <v>341</v>
      </c>
      <c r="D349" s="155" t="s">
        <v>341</v>
      </c>
      <c r="E349" s="155"/>
      <c r="F349" s="155" t="s">
        <v>341</v>
      </c>
      <c r="G349" s="155" t="s">
        <v>341</v>
      </c>
      <c r="H349" s="155"/>
      <c r="I349" s="155" t="s">
        <v>92</v>
      </c>
      <c r="J349" s="155" t="s">
        <v>92</v>
      </c>
      <c r="K349" s="155"/>
      <c r="L349" s="155" t="s">
        <v>92</v>
      </c>
      <c r="M349" s="155" t="s">
        <v>92</v>
      </c>
      <c r="N349" s="156"/>
      <c r="U349" s="155" t="s">
        <v>341</v>
      </c>
      <c r="V349" s="155" t="s">
        <v>341</v>
      </c>
      <c r="W349" s="155"/>
      <c r="X349" s="155" t="s">
        <v>341</v>
      </c>
      <c r="Y349" s="155" t="s">
        <v>341</v>
      </c>
      <c r="AA349" s="2" t="s">
        <v>386</v>
      </c>
      <c r="AB349" s="2" t="str">
        <f t="shared" ref="AB349:AB350" si="429">IF(NOT(ISBLANK(AC349)),"-","")</f>
        <v>-</v>
      </c>
      <c r="AC349" s="2" t="s">
        <v>30</v>
      </c>
      <c r="AD349" s="2" t="str">
        <f t="shared" ref="AD349:AD350" si="430">IF(NOT(ISBLANK(AE349)),"_","")</f>
        <v>_</v>
      </c>
      <c r="AE349" s="2" t="s">
        <v>17</v>
      </c>
      <c r="AF349" s="2" t="str">
        <f t="shared" ref="AF349:AF350" si="431">IF(NOT(ISBLANK(AG349)),"_","")</f>
        <v>_</v>
      </c>
      <c r="AG349" s="2" t="s">
        <v>79</v>
      </c>
      <c r="AH349" s="2" t="str">
        <f t="shared" ref="AH349:AH350" si="432">IF(NOT(ISBLANK(AI349)),"_","")</f>
        <v>_</v>
      </c>
      <c r="AI349" s="2" t="s">
        <v>388</v>
      </c>
    </row>
    <row r="350" spans="2:35" x14ac:dyDescent="0.25">
      <c r="B350" s="2" t="str">
        <f t="shared" si="428"/>
        <v>@dasharray-service_case_medium_gap</v>
      </c>
      <c r="C350" s="155" t="s">
        <v>390</v>
      </c>
      <c r="D350" s="155" t="s">
        <v>390</v>
      </c>
      <c r="E350" s="155"/>
      <c r="F350" s="155" t="s">
        <v>390</v>
      </c>
      <c r="G350" s="155" t="s">
        <v>390</v>
      </c>
      <c r="H350" s="155"/>
      <c r="I350" s="155" t="s">
        <v>96</v>
      </c>
      <c r="J350" s="155" t="s">
        <v>96</v>
      </c>
      <c r="K350" s="155"/>
      <c r="L350" s="155" t="s">
        <v>96</v>
      </c>
      <c r="M350" s="155" t="s">
        <v>96</v>
      </c>
      <c r="N350" s="156"/>
      <c r="U350" s="155" t="s">
        <v>390</v>
      </c>
      <c r="V350" s="155" t="s">
        <v>390</v>
      </c>
      <c r="W350" s="155"/>
      <c r="X350" s="155" t="s">
        <v>390</v>
      </c>
      <c r="Y350" s="155" t="s">
        <v>390</v>
      </c>
      <c r="AA350" s="2" t="s">
        <v>386</v>
      </c>
      <c r="AB350" s="2" t="str">
        <f t="shared" si="429"/>
        <v>-</v>
      </c>
      <c r="AC350" s="2" t="s">
        <v>30</v>
      </c>
      <c r="AD350" s="2" t="str">
        <f t="shared" si="430"/>
        <v>_</v>
      </c>
      <c r="AE350" s="2" t="s">
        <v>17</v>
      </c>
      <c r="AF350" s="2" t="str">
        <f t="shared" si="431"/>
        <v>_</v>
      </c>
      <c r="AG350" s="2" t="s">
        <v>79</v>
      </c>
      <c r="AH350" s="2" t="str">
        <f t="shared" si="432"/>
        <v>_</v>
      </c>
      <c r="AI350" s="2" t="s">
        <v>389</v>
      </c>
    </row>
    <row r="351" spans="2:35" x14ac:dyDescent="0.25">
      <c r="B351" s="2" t="str">
        <f t="shared" ref="B351" si="433">_xlfn.CONCAT("@",AA351,AB351,AC351,AD351,AE351,AF351,AG351,AH351,AI351)</f>
        <v>@dasharray-service_case_rough_dash</v>
      </c>
      <c r="C351" s="155" t="s">
        <v>341</v>
      </c>
      <c r="D351" s="155" t="s">
        <v>341</v>
      </c>
      <c r="E351" s="155"/>
      <c r="F351" s="155" t="s">
        <v>341</v>
      </c>
      <c r="G351" s="155" t="s">
        <v>341</v>
      </c>
      <c r="H351" s="155"/>
      <c r="I351" s="155" t="s">
        <v>97</v>
      </c>
      <c r="J351" s="155" t="s">
        <v>97</v>
      </c>
      <c r="K351" s="155"/>
      <c r="L351" s="155" t="s">
        <v>97</v>
      </c>
      <c r="M351" s="155" t="s">
        <v>97</v>
      </c>
      <c r="N351" s="156"/>
      <c r="U351" s="155" t="s">
        <v>341</v>
      </c>
      <c r="V351" s="155" t="s">
        <v>341</v>
      </c>
      <c r="W351" s="155"/>
      <c r="X351" s="155" t="s">
        <v>341</v>
      </c>
      <c r="Y351" s="155" t="s">
        <v>341</v>
      </c>
      <c r="AA351" s="2" t="s">
        <v>386</v>
      </c>
      <c r="AB351" s="2" t="str">
        <f t="shared" ref="AB351" si="434">IF(NOT(ISBLANK(AC351)),"-","")</f>
        <v>-</v>
      </c>
      <c r="AC351" s="2" t="s">
        <v>30</v>
      </c>
      <c r="AD351" s="2" t="str">
        <f t="shared" ref="AD351" si="435">IF(NOT(ISBLANK(AE351)),"_","")</f>
        <v>_</v>
      </c>
      <c r="AE351" s="2" t="s">
        <v>17</v>
      </c>
      <c r="AF351" s="2" t="str">
        <f t="shared" ref="AF351" si="436">IF(NOT(ISBLANK(AG351)),"_","")</f>
        <v>_</v>
      </c>
      <c r="AG351" s="2" t="s">
        <v>387</v>
      </c>
      <c r="AH351" s="2" t="str">
        <f t="shared" ref="AH351" si="437">IF(NOT(ISBLANK(AI351)),"_","")</f>
        <v>_</v>
      </c>
      <c r="AI351" s="2" t="s">
        <v>388</v>
      </c>
    </row>
    <row r="352" spans="2:35" x14ac:dyDescent="0.25">
      <c r="B352" s="2" t="str">
        <f t="shared" ref="B352" si="438">_xlfn.CONCAT("@",AA352,AB352,AC352,AD352,AE352,AF352,AG352,AH352,AI352)</f>
        <v>@dasharray-service_case_rough_gap</v>
      </c>
      <c r="C352" s="155" t="s">
        <v>390</v>
      </c>
      <c r="D352" s="155" t="s">
        <v>390</v>
      </c>
      <c r="E352" s="155"/>
      <c r="F352" s="155" t="s">
        <v>390</v>
      </c>
      <c r="G352" s="155" t="s">
        <v>390</v>
      </c>
      <c r="H352" s="155"/>
      <c r="I352" s="155" t="s">
        <v>96</v>
      </c>
      <c r="J352" s="155" t="s">
        <v>96</v>
      </c>
      <c r="K352" s="155"/>
      <c r="L352" s="155" t="s">
        <v>96</v>
      </c>
      <c r="M352" s="155" t="s">
        <v>96</v>
      </c>
      <c r="N352" s="156"/>
      <c r="U352" s="155" t="s">
        <v>390</v>
      </c>
      <c r="V352" s="155" t="s">
        <v>390</v>
      </c>
      <c r="W352" s="155"/>
      <c r="X352" s="155" t="s">
        <v>390</v>
      </c>
      <c r="Y352" s="155" t="s">
        <v>390</v>
      </c>
      <c r="AA352" s="2" t="s">
        <v>386</v>
      </c>
      <c r="AB352" s="2" t="str">
        <f t="shared" ref="AB352" si="439">IF(NOT(ISBLANK(AC352)),"-","")</f>
        <v>-</v>
      </c>
      <c r="AC352" s="2" t="s">
        <v>30</v>
      </c>
      <c r="AD352" s="2" t="str">
        <f t="shared" ref="AD352" si="440">IF(NOT(ISBLANK(AE352)),"_","")</f>
        <v>_</v>
      </c>
      <c r="AE352" s="2" t="s">
        <v>17</v>
      </c>
      <c r="AF352" s="2" t="str">
        <f t="shared" ref="AF352" si="441">IF(NOT(ISBLANK(AG352)),"_","")</f>
        <v>_</v>
      </c>
      <c r="AG352" s="2" t="s">
        <v>387</v>
      </c>
      <c r="AH352" s="2" t="str">
        <f t="shared" ref="AH352" si="442">IF(NOT(ISBLANK(AI352)),"_","")</f>
        <v>_</v>
      </c>
      <c r="AI352" s="2" t="s">
        <v>389</v>
      </c>
    </row>
    <row r="353" spans="1:35" x14ac:dyDescent="0.25">
      <c r="B353" s="2"/>
      <c r="C353" s="157" t="s">
        <v>391</v>
      </c>
      <c r="D353" s="155"/>
      <c r="E353" s="155"/>
      <c r="F353" s="155"/>
      <c r="G353" s="155"/>
      <c r="H353" s="155"/>
      <c r="I353" s="155"/>
      <c r="J353" s="155"/>
      <c r="K353" s="155"/>
      <c r="L353" s="155"/>
      <c r="M353" s="155"/>
      <c r="N353" s="156"/>
      <c r="U353" s="157" t="s">
        <v>391</v>
      </c>
      <c r="V353" s="155"/>
      <c r="W353" s="155"/>
      <c r="X353" s="155"/>
      <c r="Y353" s="155"/>
      <c r="AA353" s="2"/>
      <c r="AB353" s="2"/>
      <c r="AC353" s="2"/>
      <c r="AD353" s="2"/>
      <c r="AE353" s="2"/>
      <c r="AF353" s="2"/>
      <c r="AG353" s="2"/>
      <c r="AH353" s="2"/>
      <c r="AI353" s="2"/>
    </row>
    <row r="354" spans="1:35" x14ac:dyDescent="0.25">
      <c r="B354" s="2"/>
      <c r="C354" s="154"/>
      <c r="D354" s="154"/>
      <c r="E354" s="154"/>
      <c r="F354" s="154"/>
      <c r="G354" s="154"/>
      <c r="H354" s="154"/>
      <c r="I354" s="154"/>
      <c r="J354" s="154"/>
      <c r="K354" s="154"/>
      <c r="L354" s="154"/>
      <c r="M354" s="154"/>
      <c r="U354" s="154"/>
      <c r="V354" s="154"/>
      <c r="W354" s="154"/>
      <c r="X354" s="154"/>
      <c r="Y354" s="154"/>
      <c r="AB354" s="28" t="str">
        <f t="shared" si="323"/>
        <v/>
      </c>
      <c r="AD354" s="28" t="str">
        <f t="shared" si="330"/>
        <v/>
      </c>
      <c r="AF354" s="28" t="str">
        <f t="shared" si="331"/>
        <v/>
      </c>
      <c r="AH354" s="28" t="str">
        <f t="shared" si="341"/>
        <v/>
      </c>
    </row>
    <row r="355" spans="1:35" x14ac:dyDescent="0.25">
      <c r="B355" s="2" t="str">
        <f t="shared" ref="B355:B360" si="443">_xlfn.CONCAT("@",AA355,AB355,AC355,AD355,AE355,AF355,AG355,AH355,AI355)</f>
        <v>@color-minor_case_unpaved_farzoom</v>
      </c>
      <c r="C355" s="115" t="s">
        <v>227</v>
      </c>
      <c r="D355" s="116" t="s">
        <v>229</v>
      </c>
      <c r="F355" s="116" t="s">
        <v>229</v>
      </c>
      <c r="G355" s="115" t="s">
        <v>227</v>
      </c>
      <c r="I355" s="132" t="str">
        <f t="shared" ref="I355:J358" si="444">C355</f>
        <v>"#b99346"</v>
      </c>
      <c r="J355" s="127" t="str">
        <f t="shared" si="444"/>
        <v>"#644507"</v>
      </c>
      <c r="L355" s="116" t="s">
        <v>229</v>
      </c>
      <c r="M355" s="115" t="s">
        <v>227</v>
      </c>
      <c r="U355" s="115" t="s">
        <v>227</v>
      </c>
      <c r="V355" s="116" t="s">
        <v>229</v>
      </c>
      <c r="X355" s="116" t="s">
        <v>229</v>
      </c>
      <c r="Y355" s="115" t="s">
        <v>227</v>
      </c>
      <c r="AA355" s="2" t="s">
        <v>6</v>
      </c>
      <c r="AB355" s="2" t="str">
        <f t="shared" ref="AB355" si="445">IF(NOT(ISBLANK(AC355)),"-","")</f>
        <v>-</v>
      </c>
      <c r="AC355" s="2" t="s">
        <v>31</v>
      </c>
      <c r="AD355" s="2" t="str">
        <f t="shared" ref="AD355" si="446">IF(NOT(ISBLANK(AE355)),"_","")</f>
        <v>_</v>
      </c>
      <c r="AE355" s="2" t="s">
        <v>17</v>
      </c>
      <c r="AF355" s="2" t="str">
        <f t="shared" ref="AF355" si="447">IF(NOT(ISBLANK(AG355)),"_","")</f>
        <v>_</v>
      </c>
      <c r="AG355" s="2" t="s">
        <v>21</v>
      </c>
      <c r="AH355" s="2" t="str">
        <f t="shared" si="341"/>
        <v>_</v>
      </c>
      <c r="AI355" s="28" t="s">
        <v>20</v>
      </c>
    </row>
    <row r="356" spans="1:35" x14ac:dyDescent="0.25">
      <c r="B356" s="2" t="str">
        <f t="shared" si="443"/>
        <v>@color-minor_case_unpaved_default</v>
      </c>
      <c r="C356" s="116" t="s">
        <v>229</v>
      </c>
      <c r="D356" s="116" t="s">
        <v>229</v>
      </c>
      <c r="F356" s="48" t="s">
        <v>214</v>
      </c>
      <c r="G356" s="48" t="s">
        <v>214</v>
      </c>
      <c r="I356" s="127" t="str">
        <f t="shared" si="444"/>
        <v>"#644507"</v>
      </c>
      <c r="J356" s="127" t="str">
        <f t="shared" si="444"/>
        <v>"#644507"</v>
      </c>
      <c r="L356" s="48" t="s">
        <v>214</v>
      </c>
      <c r="M356" s="48" t="s">
        <v>214</v>
      </c>
      <c r="U356" s="116" t="s">
        <v>229</v>
      </c>
      <c r="V356" s="116" t="s">
        <v>229</v>
      </c>
      <c r="X356" s="48" t="s">
        <v>214</v>
      </c>
      <c r="Y356" s="48" t="s">
        <v>214</v>
      </c>
      <c r="AA356" s="2" t="s">
        <v>6</v>
      </c>
      <c r="AB356" s="2" t="str">
        <f t="shared" si="323"/>
        <v>-</v>
      </c>
      <c r="AC356" s="2" t="s">
        <v>31</v>
      </c>
      <c r="AD356" s="2" t="str">
        <f t="shared" si="330"/>
        <v>_</v>
      </c>
      <c r="AE356" s="2" t="s">
        <v>17</v>
      </c>
      <c r="AF356" s="2" t="str">
        <f t="shared" si="331"/>
        <v>_</v>
      </c>
      <c r="AG356" s="2" t="s">
        <v>21</v>
      </c>
      <c r="AH356" s="2" t="str">
        <f t="shared" si="341"/>
        <v>_</v>
      </c>
      <c r="AI356" s="28" t="s">
        <v>262</v>
      </c>
    </row>
    <row r="357" spans="1:35" x14ac:dyDescent="0.25">
      <c r="B357" s="2" t="str">
        <f t="shared" si="443"/>
        <v>@color-minor_case_paved_or_uk_farzoom</v>
      </c>
      <c r="C357" s="118" t="s">
        <v>228</v>
      </c>
      <c r="D357" s="48" t="s">
        <v>214</v>
      </c>
      <c r="F357" s="118" t="s">
        <v>228</v>
      </c>
      <c r="G357" s="118" t="s">
        <v>228</v>
      </c>
      <c r="I357" s="133" t="str">
        <f t="shared" si="444"/>
        <v>"#808080"</v>
      </c>
      <c r="J357" s="37" t="str">
        <f t="shared" si="444"/>
        <v>"#000000"</v>
      </c>
      <c r="L357" s="118" t="s">
        <v>228</v>
      </c>
      <c r="M357" s="118" t="s">
        <v>228</v>
      </c>
      <c r="U357" s="118" t="s">
        <v>228</v>
      </c>
      <c r="V357" s="48" t="s">
        <v>214</v>
      </c>
      <c r="X357" s="118" t="s">
        <v>228</v>
      </c>
      <c r="Y357" s="118" t="s">
        <v>228</v>
      </c>
      <c r="AA357" s="2" t="s">
        <v>6</v>
      </c>
      <c r="AB357" s="2" t="str">
        <f t="shared" ref="AB357" si="448">IF(NOT(ISBLANK(AC357)),"-","")</f>
        <v>-</v>
      </c>
      <c r="AC357" s="2" t="s">
        <v>31</v>
      </c>
      <c r="AD357" s="2" t="str">
        <f t="shared" ref="AD357" si="449">IF(NOT(ISBLANK(AE357)),"_","")</f>
        <v>_</v>
      </c>
      <c r="AE357" s="2" t="s">
        <v>17</v>
      </c>
      <c r="AF357" s="2" t="str">
        <f t="shared" ref="AF357" si="450">IF(NOT(ISBLANK(AG357)),"_","")</f>
        <v>_</v>
      </c>
      <c r="AG357" s="2" t="s">
        <v>24</v>
      </c>
      <c r="AH357" s="2" t="str">
        <f t="shared" si="341"/>
        <v>_</v>
      </c>
      <c r="AI357" s="28" t="s">
        <v>20</v>
      </c>
    </row>
    <row r="358" spans="1:35" x14ac:dyDescent="0.25">
      <c r="B358" s="2" t="str">
        <f t="shared" si="443"/>
        <v>@color-minor_case_paved_or_uk_default</v>
      </c>
      <c r="C358" s="119" t="s">
        <v>218</v>
      </c>
      <c r="D358" s="48" t="s">
        <v>214</v>
      </c>
      <c r="F358" s="48" t="s">
        <v>214</v>
      </c>
      <c r="G358" s="48" t="s">
        <v>214</v>
      </c>
      <c r="I358" s="134" t="str">
        <f t="shared" si="444"/>
        <v>"#404040"</v>
      </c>
      <c r="J358" s="37" t="str">
        <f t="shared" si="444"/>
        <v>"#000000"</v>
      </c>
      <c r="L358" s="48" t="s">
        <v>214</v>
      </c>
      <c r="M358" s="48" t="s">
        <v>214</v>
      </c>
      <c r="U358" s="119" t="s">
        <v>218</v>
      </c>
      <c r="V358" s="48" t="s">
        <v>214</v>
      </c>
      <c r="X358" s="48" t="s">
        <v>214</v>
      </c>
      <c r="Y358" s="48" t="s">
        <v>214</v>
      </c>
      <c r="AA358" s="2" t="s">
        <v>6</v>
      </c>
      <c r="AB358" s="2" t="str">
        <f t="shared" si="323"/>
        <v>-</v>
      </c>
      <c r="AC358" s="2" t="s">
        <v>31</v>
      </c>
      <c r="AD358" s="2" t="str">
        <f t="shared" si="330"/>
        <v>_</v>
      </c>
      <c r="AE358" s="2" t="s">
        <v>17</v>
      </c>
      <c r="AF358" s="2" t="str">
        <f t="shared" si="331"/>
        <v>_</v>
      </c>
      <c r="AG358" s="2" t="s">
        <v>24</v>
      </c>
      <c r="AH358" s="2" t="str">
        <f t="shared" si="341"/>
        <v>_</v>
      </c>
      <c r="AI358" s="28" t="s">
        <v>262</v>
      </c>
    </row>
    <row r="359" spans="1:35" x14ac:dyDescent="0.25">
      <c r="B359" s="2" t="str">
        <f t="shared" si="443"/>
        <v>@color-minor_line_unpaved</v>
      </c>
      <c r="C359" s="120" t="s">
        <v>221</v>
      </c>
      <c r="D359" s="38" t="str">
        <f t="shared" ref="D359:D360" si="451">C359</f>
        <v>"#eddfca"</v>
      </c>
      <c r="F359" s="120" t="s">
        <v>221</v>
      </c>
      <c r="G359" s="38" t="str">
        <f t="shared" ref="G359:G360" si="452">F359</f>
        <v>"#eddfca"</v>
      </c>
      <c r="I359" s="121" t="str">
        <f>C359</f>
        <v>"#eddfca"</v>
      </c>
      <c r="J359" s="38" t="str">
        <f t="shared" ref="J359:J360" si="453">C359</f>
        <v>"#eddfca"</v>
      </c>
      <c r="L359" s="120" t="s">
        <v>221</v>
      </c>
      <c r="M359" s="38" t="str">
        <f t="shared" ref="M359:M360" si="454">L359</f>
        <v>"#eddfca"</v>
      </c>
      <c r="U359" s="120" t="s">
        <v>221</v>
      </c>
      <c r="V359" s="38" t="str">
        <f t="shared" ref="V359:V360" si="455">U359</f>
        <v>"#eddfca"</v>
      </c>
      <c r="X359" s="120" t="s">
        <v>221</v>
      </c>
      <c r="Y359" s="38" t="str">
        <f t="shared" ref="Y359:Y360" si="456">X359</f>
        <v>"#eddfca"</v>
      </c>
      <c r="AA359" s="2" t="s">
        <v>6</v>
      </c>
      <c r="AB359" s="2" t="str">
        <f t="shared" si="323"/>
        <v>-</v>
      </c>
      <c r="AC359" s="2" t="s">
        <v>31</v>
      </c>
      <c r="AD359" s="2" t="str">
        <f t="shared" si="330"/>
        <v>_</v>
      </c>
      <c r="AE359" s="2" t="s">
        <v>13</v>
      </c>
      <c r="AF359" s="2" t="str">
        <f t="shared" si="331"/>
        <v>_</v>
      </c>
      <c r="AG359" s="2" t="s">
        <v>21</v>
      </c>
      <c r="AH359" s="2" t="str">
        <f t="shared" si="341"/>
        <v/>
      </c>
      <c r="AI359" s="2"/>
    </row>
    <row r="360" spans="1:35" x14ac:dyDescent="0.25">
      <c r="B360" s="2" t="str">
        <f t="shared" si="443"/>
        <v>@color-minor_line_paved_or_uk</v>
      </c>
      <c r="C360" s="47" t="s">
        <v>222</v>
      </c>
      <c r="D360" s="38" t="str">
        <f t="shared" si="451"/>
        <v>"#ffffff"</v>
      </c>
      <c r="F360" s="47" t="s">
        <v>222</v>
      </c>
      <c r="G360" s="38" t="str">
        <f t="shared" si="452"/>
        <v>"#ffffff"</v>
      </c>
      <c r="I360" s="38" t="str">
        <f>C360</f>
        <v>"#ffffff"</v>
      </c>
      <c r="J360" s="38" t="str">
        <f t="shared" si="453"/>
        <v>"#ffffff"</v>
      </c>
      <c r="L360" s="47" t="s">
        <v>222</v>
      </c>
      <c r="M360" s="38" t="str">
        <f t="shared" si="454"/>
        <v>"#ffffff"</v>
      </c>
      <c r="U360" s="47" t="s">
        <v>222</v>
      </c>
      <c r="V360" s="38" t="str">
        <f t="shared" si="455"/>
        <v>"#ffffff"</v>
      </c>
      <c r="X360" s="47" t="s">
        <v>222</v>
      </c>
      <c r="Y360" s="38" t="str">
        <f t="shared" si="456"/>
        <v>"#ffffff"</v>
      </c>
      <c r="AA360" s="2" t="s">
        <v>6</v>
      </c>
      <c r="AB360" s="2" t="str">
        <f t="shared" si="323"/>
        <v>-</v>
      </c>
      <c r="AC360" s="2" t="s">
        <v>31</v>
      </c>
      <c r="AD360" s="2" t="str">
        <f t="shared" si="330"/>
        <v>_</v>
      </c>
      <c r="AE360" s="2" t="s">
        <v>13</v>
      </c>
      <c r="AF360" s="2" t="str">
        <f t="shared" si="331"/>
        <v>_</v>
      </c>
      <c r="AG360" s="2" t="s">
        <v>24</v>
      </c>
      <c r="AH360" s="2" t="str">
        <f t="shared" si="341"/>
        <v/>
      </c>
      <c r="AI360" s="2"/>
    </row>
    <row r="361" spans="1:35" x14ac:dyDescent="0.25">
      <c r="B361" s="2"/>
      <c r="C361" s="153"/>
      <c r="D361" s="154"/>
      <c r="E361" s="154"/>
      <c r="F361" s="153"/>
      <c r="G361" s="154"/>
      <c r="H361" s="154"/>
      <c r="I361" s="154"/>
      <c r="J361" s="154"/>
      <c r="K361" s="154"/>
      <c r="L361" s="153"/>
      <c r="M361" s="154"/>
      <c r="U361" s="153"/>
      <c r="V361" s="154"/>
      <c r="W361" s="154"/>
      <c r="X361" s="153"/>
      <c r="Y361" s="154"/>
      <c r="AA361" s="2"/>
      <c r="AB361" s="2"/>
      <c r="AC361" s="2"/>
      <c r="AD361" s="2"/>
      <c r="AE361" s="2"/>
      <c r="AF361" s="2"/>
      <c r="AG361" s="2"/>
      <c r="AH361" s="2"/>
      <c r="AI361" s="2"/>
    </row>
    <row r="362" spans="1:35" x14ac:dyDescent="0.25">
      <c r="B362" s="2" t="str">
        <f t="shared" ref="B362:B365" si="457">_xlfn.CONCAT("@",AA362,AB362,AC362,AD362,AE362,AF362,AG362,AH362,AI362)</f>
        <v>@dasharray-minor_case_medium_dash</v>
      </c>
      <c r="C362" s="155" t="s">
        <v>341</v>
      </c>
      <c r="D362" s="155" t="s">
        <v>341</v>
      </c>
      <c r="E362" s="155"/>
      <c r="F362" s="155" t="s">
        <v>341</v>
      </c>
      <c r="G362" s="155" t="s">
        <v>341</v>
      </c>
      <c r="H362" s="155"/>
      <c r="I362" s="155" t="s">
        <v>92</v>
      </c>
      <c r="J362" s="155" t="s">
        <v>92</v>
      </c>
      <c r="K362" s="155"/>
      <c r="L362" s="155" t="s">
        <v>92</v>
      </c>
      <c r="M362" s="155" t="s">
        <v>92</v>
      </c>
      <c r="N362" s="156"/>
      <c r="U362" s="155" t="s">
        <v>341</v>
      </c>
      <c r="V362" s="155" t="s">
        <v>341</v>
      </c>
      <c r="W362" s="155"/>
      <c r="X362" s="155" t="s">
        <v>341</v>
      </c>
      <c r="Y362" s="155" t="s">
        <v>341</v>
      </c>
      <c r="AA362" s="2" t="s">
        <v>386</v>
      </c>
      <c r="AB362" s="2" t="str">
        <f t="shared" ref="AB362:AB365" si="458">IF(NOT(ISBLANK(AC362)),"-","")</f>
        <v>-</v>
      </c>
      <c r="AC362" s="2" t="s">
        <v>31</v>
      </c>
      <c r="AD362" s="2" t="str">
        <f t="shared" ref="AD362:AD365" si="459">IF(NOT(ISBLANK(AE362)),"_","")</f>
        <v>_</v>
      </c>
      <c r="AE362" s="2" t="s">
        <v>17</v>
      </c>
      <c r="AF362" s="2" t="str">
        <f t="shared" ref="AF362:AF365" si="460">IF(NOT(ISBLANK(AG362)),"_","")</f>
        <v>_</v>
      </c>
      <c r="AG362" s="2" t="s">
        <v>79</v>
      </c>
      <c r="AH362" s="2" t="str">
        <f t="shared" ref="AH362:AH365" si="461">IF(NOT(ISBLANK(AI362)),"_","")</f>
        <v>_</v>
      </c>
      <c r="AI362" s="2" t="s">
        <v>388</v>
      </c>
    </row>
    <row r="363" spans="1:35" x14ac:dyDescent="0.25">
      <c r="B363" s="2" t="str">
        <f t="shared" si="457"/>
        <v>@dasharray-minor_case_medium_gap</v>
      </c>
      <c r="C363" s="155" t="s">
        <v>390</v>
      </c>
      <c r="D363" s="155" t="s">
        <v>390</v>
      </c>
      <c r="E363" s="155"/>
      <c r="F363" s="155" t="s">
        <v>390</v>
      </c>
      <c r="G363" s="155" t="s">
        <v>390</v>
      </c>
      <c r="H363" s="155"/>
      <c r="I363" s="155" t="s">
        <v>96</v>
      </c>
      <c r="J363" s="155" t="s">
        <v>96</v>
      </c>
      <c r="K363" s="155"/>
      <c r="L363" s="155" t="s">
        <v>96</v>
      </c>
      <c r="M363" s="155" t="s">
        <v>96</v>
      </c>
      <c r="N363" s="156"/>
      <c r="U363" s="155" t="s">
        <v>390</v>
      </c>
      <c r="V363" s="155" t="s">
        <v>390</v>
      </c>
      <c r="W363" s="155"/>
      <c r="X363" s="155" t="s">
        <v>390</v>
      </c>
      <c r="Y363" s="155" t="s">
        <v>390</v>
      </c>
      <c r="AA363" s="2" t="s">
        <v>386</v>
      </c>
      <c r="AB363" s="2" t="str">
        <f t="shared" si="458"/>
        <v>-</v>
      </c>
      <c r="AC363" s="2" t="s">
        <v>31</v>
      </c>
      <c r="AD363" s="2" t="str">
        <f t="shared" si="459"/>
        <v>_</v>
      </c>
      <c r="AE363" s="2" t="s">
        <v>17</v>
      </c>
      <c r="AF363" s="2" t="str">
        <f t="shared" si="460"/>
        <v>_</v>
      </c>
      <c r="AG363" s="2" t="s">
        <v>79</v>
      </c>
      <c r="AH363" s="2" t="str">
        <f t="shared" si="461"/>
        <v>_</v>
      </c>
      <c r="AI363" s="2" t="s">
        <v>389</v>
      </c>
    </row>
    <row r="364" spans="1:35" x14ac:dyDescent="0.25">
      <c r="B364" s="2" t="str">
        <f t="shared" si="457"/>
        <v>@dasharray-minor_case_rough_dash</v>
      </c>
      <c r="C364" s="155" t="s">
        <v>341</v>
      </c>
      <c r="D364" s="155" t="s">
        <v>341</v>
      </c>
      <c r="E364" s="155"/>
      <c r="F364" s="155" t="s">
        <v>341</v>
      </c>
      <c r="G364" s="155" t="s">
        <v>341</v>
      </c>
      <c r="H364" s="155"/>
      <c r="I364" s="155" t="s">
        <v>97</v>
      </c>
      <c r="J364" s="155" t="s">
        <v>97</v>
      </c>
      <c r="K364" s="155"/>
      <c r="L364" s="155" t="s">
        <v>97</v>
      </c>
      <c r="M364" s="155" t="s">
        <v>97</v>
      </c>
      <c r="N364" s="156"/>
      <c r="U364" s="155" t="s">
        <v>341</v>
      </c>
      <c r="V364" s="155" t="s">
        <v>341</v>
      </c>
      <c r="W364" s="155"/>
      <c r="X364" s="155" t="s">
        <v>341</v>
      </c>
      <c r="Y364" s="155" t="s">
        <v>341</v>
      </c>
      <c r="AA364" s="2" t="s">
        <v>386</v>
      </c>
      <c r="AB364" s="2" t="str">
        <f t="shared" si="458"/>
        <v>-</v>
      </c>
      <c r="AC364" s="2" t="s">
        <v>31</v>
      </c>
      <c r="AD364" s="2" t="str">
        <f t="shared" si="459"/>
        <v>_</v>
      </c>
      <c r="AE364" s="2" t="s">
        <v>17</v>
      </c>
      <c r="AF364" s="2" t="str">
        <f t="shared" si="460"/>
        <v>_</v>
      </c>
      <c r="AG364" s="2" t="s">
        <v>387</v>
      </c>
      <c r="AH364" s="2" t="str">
        <f t="shared" si="461"/>
        <v>_</v>
      </c>
      <c r="AI364" s="2" t="s">
        <v>388</v>
      </c>
    </row>
    <row r="365" spans="1:35" x14ac:dyDescent="0.25">
      <c r="B365" s="2" t="str">
        <f t="shared" si="457"/>
        <v>@dasharray-minor_case_rough_gap</v>
      </c>
      <c r="C365" s="155" t="s">
        <v>390</v>
      </c>
      <c r="D365" s="155" t="s">
        <v>390</v>
      </c>
      <c r="E365" s="155"/>
      <c r="F365" s="155" t="s">
        <v>390</v>
      </c>
      <c r="G365" s="155" t="s">
        <v>390</v>
      </c>
      <c r="H365" s="155"/>
      <c r="I365" s="155" t="s">
        <v>96</v>
      </c>
      <c r="J365" s="155" t="s">
        <v>96</v>
      </c>
      <c r="K365" s="155"/>
      <c r="L365" s="155" t="s">
        <v>96</v>
      </c>
      <c r="M365" s="155" t="s">
        <v>96</v>
      </c>
      <c r="N365" s="156"/>
      <c r="U365" s="155" t="s">
        <v>390</v>
      </c>
      <c r="V365" s="155" t="s">
        <v>390</v>
      </c>
      <c r="W365" s="155"/>
      <c r="X365" s="155" t="s">
        <v>390</v>
      </c>
      <c r="Y365" s="155" t="s">
        <v>390</v>
      </c>
      <c r="AA365" s="2" t="s">
        <v>386</v>
      </c>
      <c r="AB365" s="2" t="str">
        <f t="shared" si="458"/>
        <v>-</v>
      </c>
      <c r="AC365" s="2" t="s">
        <v>31</v>
      </c>
      <c r="AD365" s="2" t="str">
        <f t="shared" si="459"/>
        <v>_</v>
      </c>
      <c r="AE365" s="2" t="s">
        <v>17</v>
      </c>
      <c r="AF365" s="2" t="str">
        <f t="shared" si="460"/>
        <v>_</v>
      </c>
      <c r="AG365" s="2" t="s">
        <v>387</v>
      </c>
      <c r="AH365" s="2" t="str">
        <f t="shared" si="461"/>
        <v>_</v>
      </c>
      <c r="AI365" s="2" t="s">
        <v>389</v>
      </c>
    </row>
    <row r="366" spans="1:35" x14ac:dyDescent="0.25">
      <c r="B366" s="2"/>
      <c r="AB366" s="28" t="str">
        <f t="shared" si="323"/>
        <v/>
      </c>
      <c r="AD366" s="28" t="str">
        <f t="shared" si="330"/>
        <v/>
      </c>
      <c r="AF366" s="28" t="str">
        <f t="shared" si="331"/>
        <v/>
      </c>
      <c r="AH366" s="28" t="str">
        <f t="shared" si="341"/>
        <v/>
      </c>
    </row>
    <row r="367" spans="1:35" s="2" customFormat="1" x14ac:dyDescent="0.25">
      <c r="A367" s="3" t="s">
        <v>224</v>
      </c>
      <c r="B367" s="3"/>
      <c r="C367" s="27"/>
      <c r="D367" s="6"/>
      <c r="E367" s="7"/>
      <c r="F367" s="6"/>
      <c r="G367" s="6"/>
      <c r="H367" s="7"/>
      <c r="I367" s="6"/>
      <c r="J367" s="6"/>
      <c r="K367" s="7"/>
      <c r="L367" s="6"/>
      <c r="M367" s="6"/>
      <c r="N367" s="7"/>
      <c r="O367" s="6"/>
      <c r="P367" s="6"/>
      <c r="Q367" s="7"/>
      <c r="R367" s="6"/>
      <c r="S367" s="6"/>
      <c r="T367" s="7"/>
      <c r="U367" s="6"/>
      <c r="V367" s="6"/>
      <c r="W367" s="7"/>
      <c r="X367" s="6"/>
      <c r="Y367" s="6"/>
      <c r="AA367" s="4"/>
      <c r="AB367" s="4" t="str">
        <f t="shared" si="323"/>
        <v/>
      </c>
      <c r="AC367" s="4"/>
      <c r="AD367" s="4" t="str">
        <f t="shared" si="330"/>
        <v/>
      </c>
      <c r="AE367" s="4"/>
      <c r="AF367" s="4" t="str">
        <f t="shared" si="331"/>
        <v/>
      </c>
      <c r="AG367" s="4"/>
      <c r="AH367" s="4" t="str">
        <f t="shared" si="341"/>
        <v/>
      </c>
      <c r="AI367" s="4"/>
    </row>
    <row r="368" spans="1:35" x14ac:dyDescent="0.25">
      <c r="B368" s="2" t="str">
        <f t="shared" ref="B368:B398" si="462">_xlfn.CONCAT("@",AA368,AB368,AC368,AD368,AE368,AF368,AG368,AH368,AI368)</f>
        <v>@color-motorway_link_line</v>
      </c>
      <c r="C368" s="111" t="s">
        <v>213</v>
      </c>
      <c r="D368" s="112" t="s">
        <v>215</v>
      </c>
      <c r="F368" s="110" t="s">
        <v>215</v>
      </c>
      <c r="G368" s="110" t="s">
        <v>215</v>
      </c>
      <c r="I368" s="111" t="s">
        <v>213</v>
      </c>
      <c r="J368" s="112" t="s">
        <v>215</v>
      </c>
      <c r="L368" s="110" t="s">
        <v>215</v>
      </c>
      <c r="M368" s="110" t="s">
        <v>215</v>
      </c>
      <c r="O368" s="111" t="s">
        <v>213</v>
      </c>
      <c r="P368" s="112" t="s">
        <v>215</v>
      </c>
      <c r="R368" s="110" t="s">
        <v>215</v>
      </c>
      <c r="S368" s="110" t="s">
        <v>215</v>
      </c>
      <c r="U368" s="111" t="s">
        <v>213</v>
      </c>
      <c r="V368" s="112" t="s">
        <v>215</v>
      </c>
      <c r="X368" s="110" t="s">
        <v>215</v>
      </c>
      <c r="Y368" s="110" t="s">
        <v>215</v>
      </c>
      <c r="AA368" s="2" t="s">
        <v>6</v>
      </c>
      <c r="AB368" s="2" t="str">
        <f t="shared" si="323"/>
        <v>-</v>
      </c>
      <c r="AC368" s="2" t="s">
        <v>33</v>
      </c>
      <c r="AD368" s="2" t="str">
        <f t="shared" si="330"/>
        <v>_</v>
      </c>
      <c r="AE368" s="2" t="s">
        <v>13</v>
      </c>
      <c r="AF368" s="2" t="str">
        <f t="shared" si="331"/>
        <v/>
      </c>
      <c r="AG368" s="2"/>
      <c r="AH368" s="2" t="str">
        <f t="shared" si="341"/>
        <v/>
      </c>
      <c r="AI368" s="2"/>
    </row>
    <row r="369" spans="2:35" x14ac:dyDescent="0.25">
      <c r="B369" s="2" t="str">
        <f t="shared" si="462"/>
        <v>@color-motorway_link_case</v>
      </c>
      <c r="C369" s="108" t="s">
        <v>212</v>
      </c>
      <c r="D369" s="37" t="s">
        <v>214</v>
      </c>
      <c r="F369" s="48" t="s">
        <v>214</v>
      </c>
      <c r="G369" s="48" t="s">
        <v>214</v>
      </c>
      <c r="I369" s="108" t="s">
        <v>212</v>
      </c>
      <c r="J369" s="37" t="s">
        <v>214</v>
      </c>
      <c r="L369" s="48" t="s">
        <v>214</v>
      </c>
      <c r="M369" s="48" t="s">
        <v>214</v>
      </c>
      <c r="O369" s="108" t="s">
        <v>212</v>
      </c>
      <c r="P369" s="37" t="s">
        <v>214</v>
      </c>
      <c r="R369" s="48" t="s">
        <v>214</v>
      </c>
      <c r="S369" s="48" t="s">
        <v>214</v>
      </c>
      <c r="U369" s="108" t="s">
        <v>212</v>
      </c>
      <c r="V369" s="37" t="s">
        <v>214</v>
      </c>
      <c r="X369" s="48" t="s">
        <v>214</v>
      </c>
      <c r="Y369" s="48" t="s">
        <v>214</v>
      </c>
      <c r="AA369" s="2" t="s">
        <v>6</v>
      </c>
      <c r="AB369" s="2" t="str">
        <f t="shared" si="323"/>
        <v>-</v>
      </c>
      <c r="AC369" s="2" t="s">
        <v>33</v>
      </c>
      <c r="AD369" s="2" t="str">
        <f t="shared" si="330"/>
        <v>_</v>
      </c>
      <c r="AE369" s="2" t="s">
        <v>17</v>
      </c>
      <c r="AF369" s="2" t="str">
        <f t="shared" si="331"/>
        <v/>
      </c>
      <c r="AG369" s="2"/>
      <c r="AH369" s="2" t="str">
        <f t="shared" si="341"/>
        <v/>
      </c>
      <c r="AI369" s="2"/>
    </row>
    <row r="370" spans="2:35" x14ac:dyDescent="0.25">
      <c r="B370" s="2"/>
      <c r="AB370" s="28" t="str">
        <f t="shared" ref="AB370" si="463">IF(NOT(ISBLANK(AC370)),"-","")</f>
        <v/>
      </c>
      <c r="AD370" s="28" t="str">
        <f t="shared" ref="AD370" si="464">IF(NOT(ISBLANK(AE370)),"_","")</f>
        <v/>
      </c>
      <c r="AF370" s="28" t="str">
        <f t="shared" ref="AF370" si="465">IF(NOT(ISBLANK(AG370)),"_","")</f>
        <v/>
      </c>
      <c r="AH370" s="28" t="str">
        <f t="shared" ref="AH370" si="466">IF(NOT(ISBLANK(AI370)),"_","")</f>
        <v/>
      </c>
    </row>
    <row r="371" spans="2:35" x14ac:dyDescent="0.25">
      <c r="B371" s="2" t="str">
        <f t="shared" si="462"/>
        <v>@color-trunk_primary_secondary_tertiary_link_line_bicycle_no</v>
      </c>
      <c r="C371" s="122" t="s">
        <v>231</v>
      </c>
      <c r="D371" s="110" t="s">
        <v>215</v>
      </c>
      <c r="F371" s="122" t="s">
        <v>231</v>
      </c>
      <c r="G371" s="110" t="s">
        <v>215</v>
      </c>
      <c r="I371" s="123" t="str">
        <f>C371</f>
        <v>"#ffcc8a"</v>
      </c>
      <c r="J371" s="112" t="str">
        <f>D371</f>
        <v>"#d6771e"</v>
      </c>
      <c r="L371" s="122" t="s">
        <v>231</v>
      </c>
      <c r="M371" s="110" t="s">
        <v>215</v>
      </c>
      <c r="U371" s="122" t="s">
        <v>231</v>
      </c>
      <c r="V371" s="110" t="s">
        <v>215</v>
      </c>
      <c r="X371" s="122" t="s">
        <v>231</v>
      </c>
      <c r="Y371" s="110" t="s">
        <v>215</v>
      </c>
      <c r="AA371" s="2" t="s">
        <v>6</v>
      </c>
      <c r="AB371" s="2" t="str">
        <f t="shared" si="323"/>
        <v>-</v>
      </c>
      <c r="AC371" s="2" t="s">
        <v>32</v>
      </c>
      <c r="AD371" s="2" t="str">
        <f t="shared" si="330"/>
        <v>_</v>
      </c>
      <c r="AE371" s="2" t="s">
        <v>13</v>
      </c>
      <c r="AF371" s="2" t="str">
        <f t="shared" si="331"/>
        <v>_</v>
      </c>
      <c r="AG371" s="2" t="s">
        <v>23</v>
      </c>
      <c r="AH371" s="2" t="str">
        <f t="shared" si="341"/>
        <v/>
      </c>
      <c r="AI371" s="2"/>
    </row>
    <row r="372" spans="2:35" x14ac:dyDescent="0.25">
      <c r="B372" s="2" t="str">
        <f t="shared" si="462"/>
        <v>@color-trunk_primary_secondary_tertiary_link_line_unpaved</v>
      </c>
      <c r="C372" s="121" t="s">
        <v>221</v>
      </c>
      <c r="D372" s="121" t="str">
        <f>C372</f>
        <v>"#eddfca"</v>
      </c>
      <c r="F372" s="121" t="s">
        <v>221</v>
      </c>
      <c r="G372" s="121" t="str">
        <f>F372</f>
        <v>"#eddfca"</v>
      </c>
      <c r="I372" s="121" t="s">
        <v>221</v>
      </c>
      <c r="J372" s="121" t="str">
        <f>I372</f>
        <v>"#eddfca"</v>
      </c>
      <c r="L372" s="121" t="s">
        <v>221</v>
      </c>
      <c r="M372" s="121" t="str">
        <f>L372</f>
        <v>"#eddfca"</v>
      </c>
      <c r="U372" s="121" t="s">
        <v>221</v>
      </c>
      <c r="V372" s="121" t="str">
        <f>U372</f>
        <v>"#eddfca"</v>
      </c>
      <c r="X372" s="121" t="s">
        <v>221</v>
      </c>
      <c r="Y372" s="121" t="str">
        <f>X372</f>
        <v>"#eddfca"</v>
      </c>
      <c r="AA372" s="2" t="s">
        <v>6</v>
      </c>
      <c r="AB372" s="2" t="str">
        <f t="shared" si="323"/>
        <v>-</v>
      </c>
      <c r="AC372" s="2" t="s">
        <v>32</v>
      </c>
      <c r="AD372" s="2" t="str">
        <f t="shared" si="330"/>
        <v>_</v>
      </c>
      <c r="AE372" s="2" t="s">
        <v>13</v>
      </c>
      <c r="AF372" s="2" t="str">
        <f t="shared" si="331"/>
        <v>_</v>
      </c>
      <c r="AG372" s="2" t="s">
        <v>21</v>
      </c>
      <c r="AH372" s="2" t="str">
        <f t="shared" si="341"/>
        <v/>
      </c>
      <c r="AI372" s="2"/>
    </row>
    <row r="373" spans="2:35" x14ac:dyDescent="0.25">
      <c r="B373" s="2" t="str">
        <f t="shared" si="462"/>
        <v>@color-trunk_primary_secondary_tertiary_link_line_paved_or_uk</v>
      </c>
      <c r="C373" s="47" t="s">
        <v>222</v>
      </c>
      <c r="D373" s="38" t="str">
        <f>C373</f>
        <v>"#ffffff"</v>
      </c>
      <c r="F373" s="47" t="s">
        <v>222</v>
      </c>
      <c r="G373" s="38" t="str">
        <f>F373</f>
        <v>"#ffffff"</v>
      </c>
      <c r="I373" s="47" t="s">
        <v>222</v>
      </c>
      <c r="J373" s="38" t="str">
        <f>I373</f>
        <v>"#ffffff"</v>
      </c>
      <c r="L373" s="47" t="s">
        <v>222</v>
      </c>
      <c r="M373" s="38" t="str">
        <f>L373</f>
        <v>"#ffffff"</v>
      </c>
      <c r="U373" s="47" t="s">
        <v>222</v>
      </c>
      <c r="V373" s="38" t="str">
        <f>U373</f>
        <v>"#ffffff"</v>
      </c>
      <c r="X373" s="47" t="s">
        <v>222</v>
      </c>
      <c r="Y373" s="38" t="str">
        <f>X373</f>
        <v>"#ffffff"</v>
      </c>
      <c r="AA373" s="2" t="s">
        <v>6</v>
      </c>
      <c r="AB373" s="2" t="str">
        <f t="shared" si="323"/>
        <v>-</v>
      </c>
      <c r="AC373" s="2" t="s">
        <v>32</v>
      </c>
      <c r="AD373" s="2" t="str">
        <f t="shared" si="330"/>
        <v>_</v>
      </c>
      <c r="AE373" s="2" t="s">
        <v>13</v>
      </c>
      <c r="AF373" s="2" t="str">
        <f t="shared" si="331"/>
        <v>_</v>
      </c>
      <c r="AG373" s="2" t="s">
        <v>24</v>
      </c>
      <c r="AH373" s="2" t="str">
        <f t="shared" si="341"/>
        <v/>
      </c>
      <c r="AI373" s="2"/>
    </row>
    <row r="374" spans="2:35" x14ac:dyDescent="0.25">
      <c r="B374" s="2" t="str">
        <f t="shared" si="462"/>
        <v>@color-trunk_primary_secondary_tertiary_link_case_bicycle_no_farzoom</v>
      </c>
      <c r="C374" s="113" t="s">
        <v>226</v>
      </c>
      <c r="D374" s="48" t="s">
        <v>214</v>
      </c>
      <c r="F374" s="113" t="s">
        <v>226</v>
      </c>
      <c r="G374" s="113" t="s">
        <v>226</v>
      </c>
      <c r="I374" s="114" t="str">
        <f>C374</f>
        <v>"#bd430f"</v>
      </c>
      <c r="J374" s="37" t="str">
        <f>D374</f>
        <v>"#000000"</v>
      </c>
      <c r="L374" s="113" t="s">
        <v>226</v>
      </c>
      <c r="M374" s="113" t="s">
        <v>226</v>
      </c>
      <c r="U374" s="113" t="s">
        <v>226</v>
      </c>
      <c r="V374" s="48" t="s">
        <v>214</v>
      </c>
      <c r="X374" s="113" t="s">
        <v>226</v>
      </c>
      <c r="Y374" s="113" t="s">
        <v>226</v>
      </c>
      <c r="AA374" s="2" t="s">
        <v>6</v>
      </c>
      <c r="AB374" s="2" t="str">
        <f t="shared" ref="AB374" si="467">IF(NOT(ISBLANK(AC374)),"-","")</f>
        <v>-</v>
      </c>
      <c r="AC374" s="2" t="s">
        <v>32</v>
      </c>
      <c r="AD374" s="2" t="str">
        <f t="shared" ref="AD374" si="468">IF(NOT(ISBLANK(AE374)),"_","")</f>
        <v>_</v>
      </c>
      <c r="AE374" s="2" t="s">
        <v>17</v>
      </c>
      <c r="AF374" s="2" t="str">
        <f t="shared" ref="AF374" si="469">IF(NOT(ISBLANK(AG374)),"_","")</f>
        <v>_</v>
      </c>
      <c r="AG374" s="2" t="s">
        <v>23</v>
      </c>
      <c r="AH374" s="2" t="str">
        <f t="shared" si="341"/>
        <v>_</v>
      </c>
      <c r="AI374" s="2" t="s">
        <v>20</v>
      </c>
    </row>
    <row r="375" spans="2:35" x14ac:dyDescent="0.25">
      <c r="B375" s="2" t="str">
        <f t="shared" ref="B375:B379" si="470">_xlfn.CONCAT("@",AA375,AB375,AC375,AD375,AE375,AF375,AG375,AH375,AI375)</f>
        <v>@color-trunk_primary_secondary_tertiary_link_case_bicycle_no_default</v>
      </c>
      <c r="C375" s="113" t="s">
        <v>226</v>
      </c>
      <c r="D375" s="48" t="s">
        <v>214</v>
      </c>
      <c r="F375" s="48" t="s">
        <v>214</v>
      </c>
      <c r="G375" s="48" t="s">
        <v>214</v>
      </c>
      <c r="I375" s="114" t="str">
        <f>C375</f>
        <v>"#bd430f"</v>
      </c>
      <c r="J375" s="37" t="str">
        <f>D375</f>
        <v>"#000000"</v>
      </c>
      <c r="L375" s="48" t="s">
        <v>214</v>
      </c>
      <c r="M375" s="48" t="s">
        <v>214</v>
      </c>
      <c r="U375" s="113" t="s">
        <v>226</v>
      </c>
      <c r="V375" s="48" t="s">
        <v>214</v>
      </c>
      <c r="X375" s="48" t="s">
        <v>214</v>
      </c>
      <c r="Y375" s="48" t="s">
        <v>214</v>
      </c>
      <c r="AA375" s="2" t="s">
        <v>6</v>
      </c>
      <c r="AB375" s="2" t="str">
        <f t="shared" ref="AB375:AB379" si="471">IF(NOT(ISBLANK(AC375)),"-","")</f>
        <v>-</v>
      </c>
      <c r="AC375" s="2" t="s">
        <v>32</v>
      </c>
      <c r="AD375" s="2" t="str">
        <f t="shared" ref="AD375:AD379" si="472">IF(NOT(ISBLANK(AE375)),"_","")</f>
        <v>_</v>
      </c>
      <c r="AE375" s="2" t="s">
        <v>17</v>
      </c>
      <c r="AF375" s="2" t="str">
        <f t="shared" ref="AF375:AF379" si="473">IF(NOT(ISBLANK(AG375)),"_","")</f>
        <v>_</v>
      </c>
      <c r="AG375" s="2" t="s">
        <v>23</v>
      </c>
      <c r="AH375" s="2" t="str">
        <f t="shared" ref="AH375:AH379" si="474">IF(NOT(ISBLANK(AI375)),"_","")</f>
        <v>_</v>
      </c>
      <c r="AI375" s="2" t="s">
        <v>262</v>
      </c>
    </row>
    <row r="376" spans="2:35" x14ac:dyDescent="0.25">
      <c r="B376" s="2" t="str">
        <f t="shared" ref="B376" si="475">_xlfn.CONCAT("@",AA376,AB376,AC376,AD376,AE376,AF376,AG376,AH376,AI376)</f>
        <v>@color-trunk_primary_secondary_tertiary_link_case_unpaved_farzoom</v>
      </c>
      <c r="C376" s="115" t="s">
        <v>227</v>
      </c>
      <c r="D376" s="116" t="s">
        <v>229</v>
      </c>
      <c r="F376" s="116" t="s">
        <v>229</v>
      </c>
      <c r="G376" s="115" t="s">
        <v>227</v>
      </c>
      <c r="I376" s="115" t="s">
        <v>227</v>
      </c>
      <c r="J376" s="116" t="s">
        <v>229</v>
      </c>
      <c r="L376" s="116" t="s">
        <v>229</v>
      </c>
      <c r="M376" s="115" t="s">
        <v>227</v>
      </c>
      <c r="U376" s="115" t="s">
        <v>227</v>
      </c>
      <c r="V376" s="116" t="s">
        <v>229</v>
      </c>
      <c r="X376" s="116" t="s">
        <v>229</v>
      </c>
      <c r="Y376" s="115" t="s">
        <v>227</v>
      </c>
      <c r="AA376" s="2" t="s">
        <v>6</v>
      </c>
      <c r="AB376" s="2" t="str">
        <f t="shared" ref="AB376" si="476">IF(NOT(ISBLANK(AC376)),"-","")</f>
        <v>-</v>
      </c>
      <c r="AC376" s="2" t="s">
        <v>32</v>
      </c>
      <c r="AD376" s="2" t="str">
        <f t="shared" ref="AD376" si="477">IF(NOT(ISBLANK(AE376)),"_","")</f>
        <v>_</v>
      </c>
      <c r="AE376" s="2" t="s">
        <v>17</v>
      </c>
      <c r="AF376" s="2" t="str">
        <f t="shared" ref="AF376" si="478">IF(NOT(ISBLANK(AG376)),"_","")</f>
        <v>_</v>
      </c>
      <c r="AG376" s="2" t="s">
        <v>21</v>
      </c>
      <c r="AH376" s="2" t="str">
        <f t="shared" ref="AH376" si="479">IF(NOT(ISBLANK(AI376)),"_","")</f>
        <v>_</v>
      </c>
      <c r="AI376" s="2" t="s">
        <v>20</v>
      </c>
    </row>
    <row r="377" spans="2:35" x14ac:dyDescent="0.25">
      <c r="B377" s="2" t="str">
        <f t="shared" si="470"/>
        <v>@color-trunk_primary_secondary_tertiary_link_case_unpaved_default</v>
      </c>
      <c r="C377" s="116" t="s">
        <v>229</v>
      </c>
      <c r="D377" s="116" t="s">
        <v>229</v>
      </c>
      <c r="F377" s="48" t="s">
        <v>214</v>
      </c>
      <c r="G377" s="48" t="s">
        <v>214</v>
      </c>
      <c r="I377" s="116" t="s">
        <v>229</v>
      </c>
      <c r="J377" s="116" t="s">
        <v>229</v>
      </c>
      <c r="L377" s="48" t="s">
        <v>214</v>
      </c>
      <c r="M377" s="48" t="s">
        <v>214</v>
      </c>
      <c r="U377" s="116" t="s">
        <v>229</v>
      </c>
      <c r="V377" s="116" t="s">
        <v>229</v>
      </c>
      <c r="X377" s="48" t="s">
        <v>214</v>
      </c>
      <c r="Y377" s="48" t="s">
        <v>214</v>
      </c>
      <c r="AA377" s="2" t="s">
        <v>6</v>
      </c>
      <c r="AB377" s="2" t="str">
        <f t="shared" si="471"/>
        <v>-</v>
      </c>
      <c r="AC377" s="2" t="s">
        <v>32</v>
      </c>
      <c r="AD377" s="2" t="str">
        <f t="shared" si="472"/>
        <v>_</v>
      </c>
      <c r="AE377" s="2" t="s">
        <v>17</v>
      </c>
      <c r="AF377" s="2" t="str">
        <f t="shared" si="473"/>
        <v>_</v>
      </c>
      <c r="AG377" s="2" t="s">
        <v>21</v>
      </c>
      <c r="AH377" s="2" t="str">
        <f t="shared" si="474"/>
        <v>_</v>
      </c>
      <c r="AI377" s="2" t="s">
        <v>262</v>
      </c>
    </row>
    <row r="378" spans="2:35" x14ac:dyDescent="0.25">
      <c r="B378" s="2" t="str">
        <f t="shared" ref="B378" si="480">_xlfn.CONCAT("@",AA378,AB378,AC378,AD378,AE378,AF378,AG378,AH378,AI378)</f>
        <v>@color-trunk_primary_secondary_tertiary_link_case_paved_or_uk_farzoom</v>
      </c>
      <c r="C378" s="118" t="s">
        <v>228</v>
      </c>
      <c r="D378" s="48" t="s">
        <v>214</v>
      </c>
      <c r="F378" s="118" t="s">
        <v>228</v>
      </c>
      <c r="G378" s="118" t="s">
        <v>228</v>
      </c>
      <c r="I378" s="118" t="s">
        <v>228</v>
      </c>
      <c r="J378" s="48" t="s">
        <v>214</v>
      </c>
      <c r="L378" s="118" t="s">
        <v>228</v>
      </c>
      <c r="M378" s="118" t="s">
        <v>228</v>
      </c>
      <c r="U378" s="118" t="s">
        <v>228</v>
      </c>
      <c r="V378" s="48" t="s">
        <v>214</v>
      </c>
      <c r="X378" s="118" t="s">
        <v>228</v>
      </c>
      <c r="Y378" s="118" t="s">
        <v>228</v>
      </c>
      <c r="AA378" s="2" t="s">
        <v>6</v>
      </c>
      <c r="AB378" s="2" t="str">
        <f t="shared" ref="AB378" si="481">IF(NOT(ISBLANK(AC378)),"-","")</f>
        <v>-</v>
      </c>
      <c r="AC378" s="2" t="s">
        <v>32</v>
      </c>
      <c r="AD378" s="2" t="str">
        <f t="shared" ref="AD378" si="482">IF(NOT(ISBLANK(AE378)),"_","")</f>
        <v>_</v>
      </c>
      <c r="AE378" s="2" t="s">
        <v>17</v>
      </c>
      <c r="AF378" s="2" t="str">
        <f t="shared" ref="AF378" si="483">IF(NOT(ISBLANK(AG378)),"_","")</f>
        <v>_</v>
      </c>
      <c r="AG378" s="2" t="s">
        <v>24</v>
      </c>
      <c r="AH378" s="2" t="str">
        <f t="shared" ref="AH378" si="484">IF(NOT(ISBLANK(AI378)),"_","")</f>
        <v>_</v>
      </c>
      <c r="AI378" s="2" t="s">
        <v>20</v>
      </c>
    </row>
    <row r="379" spans="2:35" x14ac:dyDescent="0.25">
      <c r="B379" s="2" t="str">
        <f t="shared" si="470"/>
        <v>@color-trunk_primary_secondary_tertiary_link_case_paved_or_uk_default</v>
      </c>
      <c r="C379" s="124" t="s">
        <v>230</v>
      </c>
      <c r="D379" s="48" t="s">
        <v>214</v>
      </c>
      <c r="F379" s="48" t="s">
        <v>214</v>
      </c>
      <c r="G379" s="48" t="s">
        <v>214</v>
      </c>
      <c r="I379" s="124" t="s">
        <v>230</v>
      </c>
      <c r="J379" s="48" t="s">
        <v>214</v>
      </c>
      <c r="L379" s="48" t="s">
        <v>214</v>
      </c>
      <c r="M379" s="48" t="s">
        <v>214</v>
      </c>
      <c r="U379" s="124" t="s">
        <v>230</v>
      </c>
      <c r="V379" s="48" t="s">
        <v>214</v>
      </c>
      <c r="X379" s="48" t="s">
        <v>214</v>
      </c>
      <c r="Y379" s="48" t="s">
        <v>214</v>
      </c>
      <c r="AA379" s="2" t="s">
        <v>6</v>
      </c>
      <c r="AB379" s="2" t="str">
        <f t="shared" si="471"/>
        <v>-</v>
      </c>
      <c r="AC379" s="2" t="s">
        <v>32</v>
      </c>
      <c r="AD379" s="2" t="str">
        <f t="shared" si="472"/>
        <v>_</v>
      </c>
      <c r="AE379" s="2" t="s">
        <v>17</v>
      </c>
      <c r="AF379" s="2" t="str">
        <f t="shared" si="473"/>
        <v>_</v>
      </c>
      <c r="AG379" s="2" t="s">
        <v>24</v>
      </c>
      <c r="AH379" s="2" t="str">
        <f t="shared" si="474"/>
        <v>_</v>
      </c>
      <c r="AI379" s="2" t="s">
        <v>262</v>
      </c>
    </row>
    <row r="380" spans="2:35" x14ac:dyDescent="0.25">
      <c r="B380" s="2" t="str">
        <f t="shared" si="462"/>
        <v>@</v>
      </c>
    </row>
    <row r="381" spans="2:35" x14ac:dyDescent="0.25">
      <c r="B381" s="2" t="str">
        <f t="shared" si="462"/>
        <v>@</v>
      </c>
    </row>
    <row r="382" spans="2:35" x14ac:dyDescent="0.25">
      <c r="B382" s="2" t="str">
        <f t="shared" si="462"/>
        <v>@</v>
      </c>
    </row>
    <row r="383" spans="2:35" x14ac:dyDescent="0.25">
      <c r="B383" s="2" t="str">
        <f t="shared" si="462"/>
        <v>@</v>
      </c>
    </row>
    <row r="384" spans="2:35" x14ac:dyDescent="0.25">
      <c r="B384" s="2" t="str">
        <f t="shared" si="462"/>
        <v>@</v>
      </c>
    </row>
    <row r="385" spans="2:2" x14ac:dyDescent="0.25">
      <c r="B385" s="2" t="str">
        <f t="shared" si="462"/>
        <v>@</v>
      </c>
    </row>
    <row r="386" spans="2:2" x14ac:dyDescent="0.25">
      <c r="B386" s="2" t="str">
        <f t="shared" si="462"/>
        <v>@</v>
      </c>
    </row>
    <row r="387" spans="2:2" x14ac:dyDescent="0.25">
      <c r="B387" s="2" t="str">
        <f t="shared" si="462"/>
        <v>@</v>
      </c>
    </row>
    <row r="388" spans="2:2" x14ac:dyDescent="0.25">
      <c r="B388" s="2" t="str">
        <f t="shared" si="462"/>
        <v>@</v>
      </c>
    </row>
    <row r="389" spans="2:2" x14ac:dyDescent="0.25">
      <c r="B389" s="2" t="str">
        <f t="shared" si="462"/>
        <v>@</v>
      </c>
    </row>
    <row r="390" spans="2:2" x14ac:dyDescent="0.25">
      <c r="B390" s="2" t="str">
        <f t="shared" si="462"/>
        <v>@</v>
      </c>
    </row>
    <row r="391" spans="2:2" x14ac:dyDescent="0.25">
      <c r="B391" s="2" t="str">
        <f t="shared" si="462"/>
        <v>@</v>
      </c>
    </row>
    <row r="392" spans="2:2" x14ac:dyDescent="0.25">
      <c r="B392" s="2" t="str">
        <f t="shared" si="462"/>
        <v>@</v>
      </c>
    </row>
    <row r="393" spans="2:2" x14ac:dyDescent="0.25">
      <c r="B393" s="2" t="str">
        <f t="shared" si="462"/>
        <v>@</v>
      </c>
    </row>
    <row r="394" spans="2:2" x14ac:dyDescent="0.25">
      <c r="B394" s="2" t="str">
        <f t="shared" si="462"/>
        <v>@</v>
      </c>
    </row>
    <row r="395" spans="2:2" x14ac:dyDescent="0.25">
      <c r="B395" s="2" t="str">
        <f t="shared" si="462"/>
        <v>@</v>
      </c>
    </row>
    <row r="396" spans="2:2" x14ac:dyDescent="0.25">
      <c r="B396" s="2" t="str">
        <f t="shared" si="462"/>
        <v>@</v>
      </c>
    </row>
    <row r="397" spans="2:2" x14ac:dyDescent="0.25">
      <c r="B397" s="2" t="str">
        <f t="shared" si="462"/>
        <v>@</v>
      </c>
    </row>
    <row r="398" spans="2:2" x14ac:dyDescent="0.25">
      <c r="B398" s="2" t="str">
        <f t="shared" si="462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70 C73 M69:T69 M70:T70 M71:T71 M73:T73 M74:T74 M75:T75 M77:T77 M78:T78 M79:T79 M81:T81 M82:T82 M83:T83 D73:E73 E69 E70 E71 E72 D81:E84 E74 E75 E76 E77 E78 E79 E80 H73 H69:L69 H70:L70 H71:L71 H72:L72 H81:L83 H74:L74 H75:L75 H76 H77 H78:L78 H79:L79 H80 J73:K73 J77:K77 H84 J84:K84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2025-12-28T12:37:32Z</dcterms:modified>
</cp:coreProperties>
</file>