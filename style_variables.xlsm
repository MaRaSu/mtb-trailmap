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A0596CF0-B174-44A8-B000-A807A22652BE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67" i="5" l="1"/>
  <c r="AF167" i="5"/>
  <c r="AD167" i="5"/>
  <c r="AB167" i="5"/>
  <c r="B167" i="5"/>
  <c r="AH166" i="5"/>
  <c r="AF166" i="5"/>
  <c r="AD166" i="5"/>
  <c r="AB166" i="5"/>
  <c r="B166" i="5"/>
  <c r="AH165" i="5"/>
  <c r="AF165" i="5"/>
  <c r="AD165" i="5"/>
  <c r="B165" i="5" s="1"/>
  <c r="AB165" i="5"/>
  <c r="AH164" i="5"/>
  <c r="AF164" i="5"/>
  <c r="AD164" i="5"/>
  <c r="AB164" i="5"/>
  <c r="B164" i="5"/>
  <c r="AH162" i="5"/>
  <c r="AF162" i="5"/>
  <c r="AD162" i="5"/>
  <c r="AB162" i="5"/>
  <c r="B162" i="5"/>
  <c r="AH161" i="5"/>
  <c r="AF161" i="5"/>
  <c r="AD161" i="5"/>
  <c r="B161" i="5" s="1"/>
  <c r="AB161" i="5"/>
  <c r="AH160" i="5"/>
  <c r="AF160" i="5"/>
  <c r="AD160" i="5"/>
  <c r="AB160" i="5"/>
  <c r="B160" i="5"/>
  <c r="AH159" i="5"/>
  <c r="AF159" i="5"/>
  <c r="AD159" i="5"/>
  <c r="AB159" i="5"/>
  <c r="B159" i="5"/>
  <c r="AH157" i="5"/>
  <c r="AF157" i="5"/>
  <c r="AD157" i="5"/>
  <c r="AB157" i="5"/>
  <c r="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B154" i="5" s="1"/>
  <c r="AH128" i="5"/>
  <c r="AF128" i="5"/>
  <c r="AD128" i="5"/>
  <c r="AB128" i="5"/>
  <c r="B128" i="5"/>
  <c r="AH127" i="5"/>
  <c r="AF127" i="5"/>
  <c r="AD127" i="5"/>
  <c r="AB127" i="5"/>
  <c r="B127" i="5"/>
  <c r="AH126" i="5"/>
  <c r="AF126" i="5"/>
  <c r="AD126" i="5"/>
  <c r="AB126" i="5"/>
  <c r="B126" i="5"/>
  <c r="AH125" i="5"/>
  <c r="AF125" i="5"/>
  <c r="AD125" i="5"/>
  <c r="AB125" i="5"/>
  <c r="B125" i="5"/>
  <c r="AH124" i="5"/>
  <c r="AF124" i="5"/>
  <c r="AD124" i="5"/>
  <c r="AB124" i="5"/>
  <c r="B124" i="5" s="1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B98" i="5" s="1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B89" i="5" s="1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B121" i="5" s="1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85" i="5"/>
  <c r="AD285" i="5"/>
  <c r="AB285" i="5"/>
  <c r="V285" i="5"/>
  <c r="AF282" i="5"/>
  <c r="AD282" i="5"/>
  <c r="AB282" i="5"/>
  <c r="AF296" i="5"/>
  <c r="AD296" i="5"/>
  <c r="AB296" i="5"/>
  <c r="J296" i="5"/>
  <c r="I296" i="5"/>
  <c r="D296" i="5"/>
  <c r="AF295" i="5"/>
  <c r="AD295" i="5"/>
  <c r="AB295" i="5"/>
  <c r="J295" i="5"/>
  <c r="I295" i="5"/>
  <c r="D295" i="5"/>
  <c r="AF294" i="5"/>
  <c r="AD294" i="5"/>
  <c r="AB294" i="5"/>
  <c r="V294" i="5"/>
  <c r="AF293" i="5"/>
  <c r="AD293" i="5"/>
  <c r="AB293" i="5"/>
  <c r="J293" i="5"/>
  <c r="I293" i="5"/>
  <c r="AF292" i="5"/>
  <c r="AD292" i="5"/>
  <c r="AB292" i="5"/>
  <c r="J292" i="5"/>
  <c r="I292" i="5"/>
  <c r="AF291" i="5"/>
  <c r="AD291" i="5"/>
  <c r="AB291" i="5"/>
  <c r="J291" i="5"/>
  <c r="I291" i="5"/>
  <c r="AF290" i="5"/>
  <c r="AD290" i="5"/>
  <c r="AB290" i="5"/>
  <c r="J290" i="5"/>
  <c r="I290" i="5"/>
  <c r="AF289" i="5"/>
  <c r="AD289" i="5"/>
  <c r="AB289" i="5"/>
  <c r="AF288" i="5"/>
  <c r="AD288" i="5"/>
  <c r="AB288" i="5"/>
  <c r="V303" i="5"/>
  <c r="V311" i="5"/>
  <c r="AF311" i="5"/>
  <c r="AD311" i="5"/>
  <c r="AB311" i="5"/>
  <c r="AF303" i="5"/>
  <c r="AD303" i="5"/>
  <c r="AB303" i="5"/>
  <c r="AF305" i="5"/>
  <c r="AD305" i="5"/>
  <c r="AB305" i="5"/>
  <c r="J305" i="5"/>
  <c r="I305" i="5"/>
  <c r="D305" i="5"/>
  <c r="AF304" i="5"/>
  <c r="AD304" i="5"/>
  <c r="AB304" i="5"/>
  <c r="J304" i="5"/>
  <c r="I304" i="5"/>
  <c r="D304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J300" i="5"/>
  <c r="I300" i="5"/>
  <c r="AF299" i="5"/>
  <c r="AD299" i="5"/>
  <c r="AB299" i="5"/>
  <c r="J299" i="5"/>
  <c r="I299" i="5"/>
  <c r="AF298" i="5"/>
  <c r="AD298" i="5"/>
  <c r="AB298" i="5"/>
  <c r="AF297" i="5"/>
  <c r="AD297" i="5"/>
  <c r="AB297" i="5"/>
  <c r="J310" i="5"/>
  <c r="J309" i="5"/>
  <c r="I310" i="5"/>
  <c r="I309" i="5"/>
  <c r="J308" i="5"/>
  <c r="J307" i="5"/>
  <c r="I308" i="5"/>
  <c r="I307" i="5"/>
  <c r="AF309" i="5"/>
  <c r="AD309" i="5"/>
  <c r="AB309" i="5"/>
  <c r="AF307" i="5"/>
  <c r="AD307" i="5"/>
  <c r="AB307" i="5"/>
  <c r="AF310" i="5"/>
  <c r="AD310" i="5"/>
  <c r="AB310" i="5"/>
  <c r="AF308" i="5"/>
  <c r="AD308" i="5"/>
  <c r="AB308" i="5"/>
  <c r="J284" i="5"/>
  <c r="J283" i="5"/>
  <c r="I283" i="5"/>
  <c r="I284" i="5"/>
  <c r="AF284" i="5"/>
  <c r="AD284" i="5"/>
  <c r="AB284" i="5"/>
  <c r="AF283" i="5"/>
  <c r="AD283" i="5"/>
  <c r="AB283" i="5"/>
  <c r="J313" i="5"/>
  <c r="J312" i="5"/>
  <c r="J287" i="5"/>
  <c r="D313" i="5"/>
  <c r="D312" i="5"/>
  <c r="D287" i="5"/>
  <c r="J286" i="5"/>
  <c r="D286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1" i="5"/>
  <c r="AF320" i="5"/>
  <c r="AF319" i="5"/>
  <c r="AF318" i="5"/>
  <c r="AF317" i="5"/>
  <c r="AF316" i="5"/>
  <c r="AF315" i="5"/>
  <c r="AF314" i="5"/>
  <c r="AF313" i="5"/>
  <c r="AF312" i="5"/>
  <c r="AF306" i="5"/>
  <c r="AF287" i="5"/>
  <c r="AF286" i="5"/>
  <c r="AF281" i="5"/>
  <c r="AF280" i="5"/>
  <c r="AF259" i="5"/>
  <c r="AF258" i="5"/>
  <c r="AD321" i="5"/>
  <c r="AD320" i="5"/>
  <c r="AD319" i="5"/>
  <c r="AD318" i="5"/>
  <c r="AD317" i="5"/>
  <c r="AD316" i="5"/>
  <c r="AD315" i="5"/>
  <c r="AD314" i="5"/>
  <c r="AD313" i="5"/>
  <c r="AD312" i="5"/>
  <c r="AD306" i="5"/>
  <c r="AD287" i="5"/>
  <c r="AD286" i="5"/>
  <c r="AD281" i="5"/>
  <c r="AD280" i="5"/>
  <c r="AD259" i="5"/>
  <c r="AD258" i="5"/>
  <c r="AB321" i="5"/>
  <c r="AB320" i="5"/>
  <c r="AB319" i="5"/>
  <c r="AB318" i="5"/>
  <c r="AB317" i="5"/>
  <c r="AB316" i="5"/>
  <c r="AB315" i="5"/>
  <c r="AB314" i="5"/>
  <c r="AB313" i="5"/>
  <c r="AB312" i="5"/>
  <c r="AB306" i="5"/>
  <c r="AB287" i="5"/>
  <c r="AB286" i="5"/>
  <c r="AB281" i="5"/>
  <c r="AB280" i="5"/>
  <c r="AB259" i="5"/>
  <c r="I313" i="5"/>
  <c r="I312" i="5"/>
  <c r="I287" i="5"/>
  <c r="I286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56" i="5" l="1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1" i="5"/>
  <c r="B320" i="5"/>
  <c r="B319" i="5"/>
  <c r="B318" i="5"/>
  <c r="B317" i="5"/>
  <c r="B316" i="5"/>
  <c r="B312" i="5"/>
  <c r="B287" i="5"/>
  <c r="B286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3" i="5"/>
  <c r="B82" i="5"/>
  <c r="B81" i="5"/>
  <c r="B80" i="5"/>
  <c r="B231" i="5"/>
  <c r="B273" i="5"/>
  <c r="B302" i="5"/>
  <c r="B300" i="5"/>
  <c r="B298" i="5"/>
  <c r="B284" i="5"/>
  <c r="B283" i="5"/>
  <c r="B109" i="5"/>
  <c r="B107" i="5"/>
  <c r="B230" i="5"/>
  <c r="B257" i="5"/>
  <c r="B267" i="5"/>
  <c r="B59" i="5"/>
  <c r="B58" i="5"/>
  <c r="B57" i="5"/>
  <c r="B56" i="5"/>
  <c r="B55" i="5"/>
  <c r="B272" i="5"/>
  <c r="B48" i="5"/>
  <c r="B289" i="5"/>
  <c r="B311" i="5"/>
  <c r="B303" i="5"/>
  <c r="B305" i="5"/>
  <c r="B304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85" i="5"/>
  <c r="B282" i="5"/>
  <c r="B296" i="5"/>
  <c r="B295" i="5"/>
  <c r="B294" i="5"/>
  <c r="B293" i="5"/>
  <c r="B291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0" i="5"/>
  <c r="B309" i="5"/>
  <c r="B308" i="5"/>
  <c r="B307" i="5"/>
  <c r="B292" i="5"/>
  <c r="B290" i="5"/>
  <c r="B299" i="5"/>
  <c r="B301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<sst xmlns="http://schemas.openxmlformats.org/spreadsheetml/2006/main" count="3386" uniqueCount="371">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</sst>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0" fillId="0" borderId="0" xfId="0" applyNumberFormat="1" applyFill="1"/>
    <xf numFmtId="49" fontId="1" fillId="109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0"/>
  <sheetViews>
    <sheetView tabSelected="1" topLeftCell="A3" zoomScale="85" zoomScaleNormal="85" workbookViewId="0">
      <pane ySplit="4" topLeftCell="A127" activePane="bottomLeft" state="frozen"/>
      <selection activeCell="A3" sqref="A3"/>
      <selection pane="bottomLeft" activeCell="P183" sqref="P183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217</v>
      </c>
    </row>
    <row r="3" spans="1:35" s="26" customFormat="1" x14ac:dyDescent="0.25">
      <c r="B3" s="26" t="s">
        <v>0</v>
      </c>
      <c r="C3" s="26" t="s">
        <v>105</v>
      </c>
      <c r="I3" s="26" t="s">
        <v>156</v>
      </c>
      <c r="O3" s="26" t="s">
        <v>161</v>
      </c>
      <c r="U3" s="26" t="s">
        <v>166</v>
      </c>
    </row>
    <row r="4" spans="1:35" s="26" customFormat="1" x14ac:dyDescent="0.25">
      <c r="C4" s="26" t="s">
        <v>222</v>
      </c>
      <c r="F4" s="26" t="s">
        <v>223</v>
      </c>
      <c r="I4" s="26" t="s">
        <v>222</v>
      </c>
      <c r="L4" s="26" t="s">
        <v>223</v>
      </c>
      <c r="O4" s="26" t="s">
        <v>222</v>
      </c>
      <c r="R4" s="26" t="s">
        <v>223</v>
      </c>
      <c r="U4" s="26" t="s">
        <v>222</v>
      </c>
      <c r="X4" s="26" t="s">
        <v>223</v>
      </c>
    </row>
    <row r="5" spans="1:35" s="26" customFormat="1" x14ac:dyDescent="0.25">
      <c r="C5" s="26" t="s">
        <v>151</v>
      </c>
      <c r="D5" s="26" t="s">
        <v>11</v>
      </c>
      <c r="F5" s="26" t="s">
        <v>151</v>
      </c>
      <c r="G5" s="26" t="s">
        <v>11</v>
      </c>
      <c r="I5" s="26" t="s">
        <v>151</v>
      </c>
      <c r="J5" s="26" t="s">
        <v>11</v>
      </c>
      <c r="L5" s="26" t="s">
        <v>151</v>
      </c>
      <c r="M5" s="26" t="s">
        <v>11</v>
      </c>
      <c r="O5" s="26" t="s">
        <v>151</v>
      </c>
      <c r="P5" s="26" t="s">
        <v>11</v>
      </c>
      <c r="R5" s="26" t="s">
        <v>151</v>
      </c>
      <c r="S5" s="26" t="s">
        <v>11</v>
      </c>
      <c r="U5" s="26" t="s">
        <v>151</v>
      </c>
      <c r="V5" s="26" t="s">
        <v>11</v>
      </c>
      <c r="X5" s="26" t="s">
        <v>151</v>
      </c>
      <c r="Y5" s="26" t="s">
        <v>11</v>
      </c>
    </row>
    <row r="6" spans="1:35" s="26" customFormat="1" x14ac:dyDescent="0.25">
      <c r="C6" s="26" t="s">
        <v>152</v>
      </c>
      <c r="D6" s="26" t="s">
        <v>154</v>
      </c>
      <c r="F6" s="26" t="s">
        <v>153</v>
      </c>
      <c r="G6" s="26" t="s">
        <v>155</v>
      </c>
      <c r="I6" s="26" t="s">
        <v>157</v>
      </c>
      <c r="J6" s="26" t="s">
        <v>159</v>
      </c>
      <c r="L6" s="26" t="s">
        <v>158</v>
      </c>
      <c r="M6" s="26" t="s">
        <v>160</v>
      </c>
      <c r="O6" s="26" t="s">
        <v>162</v>
      </c>
      <c r="P6" s="26" t="s">
        <v>164</v>
      </c>
      <c r="R6" s="26" t="s">
        <v>163</v>
      </c>
      <c r="S6" s="26" t="s">
        <v>165</v>
      </c>
      <c r="U6" s="26" t="s">
        <v>167</v>
      </c>
      <c r="V6" s="26" t="s">
        <v>169</v>
      </c>
      <c r="X6" s="26" t="s">
        <v>168</v>
      </c>
      <c r="Y6" s="26" t="s">
        <v>170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  <c r="AH6" s="1"/>
      <c r="AI6" s="1" t="s">
        <v>313</v>
      </c>
    </row>
    <row r="7" spans="1:35" s="5" customFormat="1" x14ac:dyDescent="0.25">
      <c r="A7" s="27" t="s">
        <v>269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268</v>
      </c>
      <c r="C8" s="28" t="s">
        <v>267</v>
      </c>
      <c r="D8" s="28" t="s">
        <v>267</v>
      </c>
      <c r="F8" s="28" t="s">
        <v>270</v>
      </c>
      <c r="G8" s="28" t="s">
        <v>270</v>
      </c>
      <c r="I8" s="28" t="s">
        <v>267</v>
      </c>
      <c r="J8" s="28" t="s">
        <v>267</v>
      </c>
      <c r="L8" s="28" t="s">
        <v>270</v>
      </c>
      <c r="M8" s="28" t="s">
        <v>270</v>
      </c>
      <c r="O8" s="28" t="s">
        <v>267</v>
      </c>
      <c r="P8" s="28" t="s">
        <v>267</v>
      </c>
      <c r="R8" s="28" t="s">
        <v>270</v>
      </c>
      <c r="S8" s="28" t="s">
        <v>270</v>
      </c>
      <c r="U8" s="28" t="s">
        <v>267</v>
      </c>
      <c r="V8" s="28" t="s">
        <v>267</v>
      </c>
      <c r="X8" s="28" t="s">
        <v>270</v>
      </c>
      <c r="Y8" s="28" t="s">
        <v>270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291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215</v>
      </c>
      <c r="D11" s="37" t="s">
        <v>215</v>
      </c>
      <c r="F11" s="38" t="s">
        <v>225</v>
      </c>
      <c r="G11" s="38" t="s">
        <v>225</v>
      </c>
      <c r="I11" s="37" t="s">
        <v>215</v>
      </c>
      <c r="L11" s="38" t="s">
        <v>225</v>
      </c>
      <c r="O11" s="37" t="s">
        <v>215</v>
      </c>
      <c r="R11" s="38" t="s">
        <v>225</v>
      </c>
      <c r="U11" s="37" t="s">
        <v>215</v>
      </c>
      <c r="X11" s="38" t="s">
        <v>225</v>
      </c>
      <c r="AA11" s="2" t="s">
        <v>6</v>
      </c>
      <c r="AB11" s="2" t="str">
        <f t="shared" ref="AB11" si="0">IF(NOT(ISBLANK(AC11)),"-","")</f>
        <v>-</v>
      </c>
      <c r="AC11" s="2" t="s">
        <v>274</v>
      </c>
      <c r="AD11" s="2" t="str">
        <f t="shared" ref="AD11" si="1">IF(NOT(ISBLANK(AE11)),"_","")</f>
        <v>_</v>
      </c>
      <c r="AE11" s="2" t="s">
        <v>275</v>
      </c>
      <c r="AF11" s="2" t="str">
        <f t="shared" ref="AF11" si="2">IF(NOT(ISBLANK(AG11)),"_","")</f>
        <v>_</v>
      </c>
      <c r="AG11" s="2" t="s">
        <v>265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225</v>
      </c>
      <c r="D12" s="38" t="s">
        <v>225</v>
      </c>
      <c r="F12" s="37" t="s">
        <v>215</v>
      </c>
      <c r="G12" s="37" t="s">
        <v>215</v>
      </c>
      <c r="I12" s="38" t="s">
        <v>225</v>
      </c>
      <c r="L12" s="37" t="s">
        <v>215</v>
      </c>
      <c r="O12" s="38" t="s">
        <v>225</v>
      </c>
      <c r="R12" s="37" t="s">
        <v>215</v>
      </c>
      <c r="U12" s="38" t="s">
        <v>225</v>
      </c>
      <c r="X12" s="37" t="s">
        <v>215</v>
      </c>
      <c r="AA12" s="2" t="s">
        <v>6</v>
      </c>
      <c r="AB12" s="2" t="str">
        <f t="shared" ref="AB12" si="5">IF(NOT(ISBLANK(AC12)),"-","")</f>
        <v>-</v>
      </c>
      <c r="AC12" s="2" t="s">
        <v>274</v>
      </c>
      <c r="AD12" s="2" t="str">
        <f t="shared" ref="AD12" si="6">IF(NOT(ISBLANK(AE12)),"_","")</f>
        <v>_</v>
      </c>
      <c r="AE12" s="2" t="s">
        <v>275</v>
      </c>
      <c r="AF12" s="2" t="str">
        <f t="shared" ref="AF12" si="7">IF(NOT(ISBLANK(AG12)),"_","")</f>
        <v>_</v>
      </c>
      <c r="AG12" s="2" t="s">
        <v>276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277</v>
      </c>
      <c r="D13" s="39" t="s">
        <v>277</v>
      </c>
      <c r="F13" s="39" t="s">
        <v>277</v>
      </c>
      <c r="G13" s="39" t="s">
        <v>277</v>
      </c>
      <c r="I13" s="39" t="s">
        <v>277</v>
      </c>
      <c r="L13" s="39" t="s">
        <v>277</v>
      </c>
      <c r="O13" s="39" t="s">
        <v>277</v>
      </c>
      <c r="R13" s="39" t="s">
        <v>277</v>
      </c>
      <c r="U13" s="39" t="s">
        <v>277</v>
      </c>
      <c r="X13" s="39" t="s">
        <v>277</v>
      </c>
      <c r="AA13" s="2" t="s">
        <v>6</v>
      </c>
      <c r="AB13" s="2" t="str">
        <f t="shared" ref="AB13:AB14" si="8">IF(NOT(ISBLANK(AC13)),"-","")</f>
        <v>-</v>
      </c>
      <c r="AC13" s="2" t="s">
        <v>274</v>
      </c>
      <c r="AD13" s="2" t="str">
        <f t="shared" ref="AD13:AD14" si="9">IF(NOT(ISBLANK(AE13)),"_","")</f>
        <v>_</v>
      </c>
      <c r="AE13" s="2" t="s">
        <v>275</v>
      </c>
      <c r="AF13" s="2" t="str">
        <f t="shared" ref="AF13:AF14" si="10">IF(NOT(ISBLANK(AG13)),"_","")</f>
        <v>_</v>
      </c>
      <c r="AG13" s="2" t="s">
        <v>42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281</v>
      </c>
      <c r="D14" s="29" t="s">
        <v>281</v>
      </c>
      <c r="F14" s="30" t="s">
        <v>282</v>
      </c>
      <c r="G14" s="38" t="s">
        <v>225</v>
      </c>
      <c r="AA14" s="2" t="s">
        <v>6</v>
      </c>
      <c r="AB14" s="2" t="str">
        <f t="shared" si="8"/>
        <v>-</v>
      </c>
      <c r="AC14" s="2" t="s">
        <v>274</v>
      </c>
      <c r="AD14" s="2" t="str">
        <f t="shared" si="9"/>
        <v>_</v>
      </c>
      <c r="AE14" s="2" t="s">
        <v>279</v>
      </c>
      <c r="AF14" s="2" t="str">
        <f t="shared" si="10"/>
        <v>_</v>
      </c>
      <c r="AG14" s="2" t="s">
        <v>280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284</v>
      </c>
      <c r="D15" s="31" t="s">
        <v>284</v>
      </c>
      <c r="F15" s="32" t="s">
        <v>285</v>
      </c>
      <c r="G15" s="37" t="s">
        <v>215</v>
      </c>
      <c r="AA15" s="2" t="s">
        <v>6</v>
      </c>
      <c r="AB15" s="2" t="str">
        <f t="shared" ref="AB15:AB16" si="11">IF(NOT(ISBLANK(AC15)),"-","")</f>
        <v>-</v>
      </c>
      <c r="AC15" s="2" t="s">
        <v>283</v>
      </c>
      <c r="AD15" s="2" t="str">
        <f t="shared" ref="AD15:AD16" si="12">IF(NOT(ISBLANK(AE15)),"_","")</f>
        <v>_</v>
      </c>
      <c r="AE15" s="2" t="s">
        <v>279</v>
      </c>
      <c r="AF15" s="2" t="str">
        <f t="shared" ref="AF15:AF16" si="13">IF(NOT(ISBLANK(AG15)),"_","")</f>
        <v>_</v>
      </c>
      <c r="AG15" s="2" t="s">
        <v>280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281</v>
      </c>
      <c r="D16" s="29" t="s">
        <v>281</v>
      </c>
      <c r="F16" s="30" t="s">
        <v>282</v>
      </c>
      <c r="G16" s="38" t="s">
        <v>225</v>
      </c>
      <c r="AA16" s="2" t="s">
        <v>6</v>
      </c>
      <c r="AB16" s="2" t="str">
        <f t="shared" si="11"/>
        <v>-</v>
      </c>
      <c r="AC16" s="2" t="s">
        <v>274</v>
      </c>
      <c r="AD16" s="2" t="str">
        <f t="shared" si="12"/>
        <v>_</v>
      </c>
      <c r="AE16" s="2" t="s">
        <v>279</v>
      </c>
      <c r="AF16" s="2" t="str">
        <f t="shared" si="13"/>
        <v>_</v>
      </c>
      <c r="AG16" s="2" t="s">
        <v>286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284</v>
      </c>
      <c r="D17" s="31" t="s">
        <v>284</v>
      </c>
      <c r="F17" s="32" t="s">
        <v>285</v>
      </c>
      <c r="G17" s="37" t="s">
        <v>215</v>
      </c>
      <c r="AA17" s="2" t="s">
        <v>6</v>
      </c>
      <c r="AB17" s="2" t="str">
        <f t="shared" ref="AB17:AB18" si="14">IF(NOT(ISBLANK(AC17)),"-","")</f>
        <v>-</v>
      </c>
      <c r="AC17" s="2" t="s">
        <v>283</v>
      </c>
      <c r="AD17" s="2" t="str">
        <f t="shared" ref="AD17:AD18" si="15">IF(NOT(ISBLANK(AE17)),"_","")</f>
        <v>_</v>
      </c>
      <c r="AE17" s="2" t="s">
        <v>279</v>
      </c>
      <c r="AF17" s="2" t="str">
        <f t="shared" ref="AF17:AF18" si="16">IF(NOT(ISBLANK(AG17)),"_","")</f>
        <v>_</v>
      </c>
      <c r="AG17" s="2" t="s">
        <v>286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281</v>
      </c>
      <c r="D18" s="29" t="s">
        <v>281</v>
      </c>
      <c r="F18" s="30" t="s">
        <v>282</v>
      </c>
      <c r="G18" s="38" t="s">
        <v>225</v>
      </c>
      <c r="AA18" s="2" t="s">
        <v>6</v>
      </c>
      <c r="AB18" s="2" t="str">
        <f t="shared" si="14"/>
        <v>-</v>
      </c>
      <c r="AC18" s="2" t="s">
        <v>274</v>
      </c>
      <c r="AD18" s="2" t="str">
        <f t="shared" si="15"/>
        <v>_</v>
      </c>
      <c r="AE18" s="2" t="s">
        <v>279</v>
      </c>
      <c r="AF18" s="2" t="str">
        <f t="shared" si="16"/>
        <v>_</v>
      </c>
      <c r="AG18" s="2" t="s">
        <v>287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284</v>
      </c>
      <c r="D19" s="31" t="s">
        <v>284</v>
      </c>
      <c r="F19" s="32" t="s">
        <v>285</v>
      </c>
      <c r="G19" s="37" t="s">
        <v>215</v>
      </c>
      <c r="AA19" s="2" t="s">
        <v>6</v>
      </c>
      <c r="AB19" s="2" t="str">
        <f t="shared" ref="AB19:AB20" si="17">IF(NOT(ISBLANK(AC19)),"-","")</f>
        <v>-</v>
      </c>
      <c r="AC19" s="2" t="s">
        <v>283</v>
      </c>
      <c r="AD19" s="2" t="str">
        <f t="shared" ref="AD19:AD20" si="18">IF(NOT(ISBLANK(AE19)),"_","")</f>
        <v>_</v>
      </c>
      <c r="AE19" s="2" t="s">
        <v>279</v>
      </c>
      <c r="AF19" s="2" t="str">
        <f t="shared" ref="AF19:AF20" si="19">IF(NOT(ISBLANK(AG19)),"_","")</f>
        <v>_</v>
      </c>
      <c r="AG19" s="2" t="s">
        <v>287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281</v>
      </c>
      <c r="D20" s="29" t="s">
        <v>281</v>
      </c>
      <c r="F20" s="30" t="s">
        <v>282</v>
      </c>
      <c r="G20" s="38" t="s">
        <v>225</v>
      </c>
      <c r="AA20" s="2" t="s">
        <v>6</v>
      </c>
      <c r="AB20" s="2" t="str">
        <f t="shared" si="17"/>
        <v>-</v>
      </c>
      <c r="AC20" s="2" t="s">
        <v>274</v>
      </c>
      <c r="AD20" s="2" t="str">
        <f t="shared" si="18"/>
        <v>_</v>
      </c>
      <c r="AE20" s="2" t="s">
        <v>279</v>
      </c>
      <c r="AF20" s="2" t="str">
        <f t="shared" si="19"/>
        <v>_</v>
      </c>
      <c r="AG20" s="2" t="s">
        <v>288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284</v>
      </c>
      <c r="D21" s="31" t="s">
        <v>284</v>
      </c>
      <c r="F21" s="32" t="s">
        <v>285</v>
      </c>
      <c r="G21" s="37" t="s">
        <v>215</v>
      </c>
      <c r="AA21" s="2" t="s">
        <v>6</v>
      </c>
      <c r="AB21" s="2" t="str">
        <f t="shared" ref="AB21:AB22" si="20">IF(NOT(ISBLANK(AC21)),"-","")</f>
        <v>-</v>
      </c>
      <c r="AC21" s="2" t="s">
        <v>283</v>
      </c>
      <c r="AD21" s="2" t="str">
        <f t="shared" ref="AD21:AD22" si="21">IF(NOT(ISBLANK(AE21)),"_","")</f>
        <v>_</v>
      </c>
      <c r="AE21" s="2" t="s">
        <v>279</v>
      </c>
      <c r="AF21" s="2" t="str">
        <f t="shared" ref="AF21:AF22" si="22">IF(NOT(ISBLANK(AG21)),"_","")</f>
        <v>_</v>
      </c>
      <c r="AG21" s="2" t="s">
        <v>288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281</v>
      </c>
      <c r="D22" s="29" t="s">
        <v>281</v>
      </c>
      <c r="F22" s="30" t="s">
        <v>282</v>
      </c>
      <c r="G22" s="38" t="s">
        <v>225</v>
      </c>
      <c r="AA22" s="2" t="s">
        <v>6</v>
      </c>
      <c r="AB22" s="2" t="str">
        <f t="shared" si="20"/>
        <v>-</v>
      </c>
      <c r="AC22" s="2" t="s">
        <v>274</v>
      </c>
      <c r="AD22" s="2" t="str">
        <f t="shared" si="21"/>
        <v>_</v>
      </c>
      <c r="AE22" s="2" t="s">
        <v>279</v>
      </c>
      <c r="AF22" s="2" t="str">
        <f t="shared" si="22"/>
        <v>_</v>
      </c>
      <c r="AG22" s="2" t="s">
        <v>289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284</v>
      </c>
      <c r="D23" s="31" t="s">
        <v>284</v>
      </c>
      <c r="F23" s="32" t="s">
        <v>285</v>
      </c>
      <c r="G23" s="37" t="s">
        <v>215</v>
      </c>
      <c r="AA23" s="2" t="s">
        <v>6</v>
      </c>
      <c r="AB23" s="2" t="str">
        <f t="shared" ref="AB23:AB24" si="23">IF(NOT(ISBLANK(AC23)),"-","")</f>
        <v>-</v>
      </c>
      <c r="AC23" s="2" t="s">
        <v>283</v>
      </c>
      <c r="AD23" s="2" t="str">
        <f t="shared" ref="AD23:AD24" si="24">IF(NOT(ISBLANK(AE23)),"_","")</f>
        <v>_</v>
      </c>
      <c r="AE23" s="2" t="s">
        <v>279</v>
      </c>
      <c r="AF23" s="2" t="str">
        <f t="shared" ref="AF23:AF24" si="25">IF(NOT(ISBLANK(AG23)),"_","")</f>
        <v>_</v>
      </c>
      <c r="AG23" s="2" t="s">
        <v>289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281</v>
      </c>
      <c r="D24" s="29" t="s">
        <v>281</v>
      </c>
      <c r="F24" s="30" t="s">
        <v>282</v>
      </c>
      <c r="G24" s="38" t="s">
        <v>225</v>
      </c>
      <c r="AA24" s="2" t="s">
        <v>6</v>
      </c>
      <c r="AB24" s="2" t="str">
        <f t="shared" si="23"/>
        <v>-</v>
      </c>
      <c r="AC24" s="2" t="s">
        <v>274</v>
      </c>
      <c r="AD24" s="2" t="str">
        <f t="shared" si="24"/>
        <v>_</v>
      </c>
      <c r="AE24" s="2" t="s">
        <v>279</v>
      </c>
      <c r="AF24" s="2" t="str">
        <f t="shared" si="25"/>
        <v>_</v>
      </c>
      <c r="AG24" s="2" t="s">
        <v>290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284</v>
      </c>
      <c r="D25" s="31" t="s">
        <v>284</v>
      </c>
      <c r="F25" s="32" t="s">
        <v>285</v>
      </c>
      <c r="G25" s="37" t="s">
        <v>215</v>
      </c>
      <c r="AA25" s="2" t="s">
        <v>6</v>
      </c>
      <c r="AB25" s="2" t="str">
        <f t="shared" ref="AB25:AB43" si="26">IF(NOT(ISBLANK(AC25)),"-","")</f>
        <v>-</v>
      </c>
      <c r="AC25" s="2" t="s">
        <v>283</v>
      </c>
      <c r="AD25" s="2" t="str">
        <f t="shared" ref="AD25:AD43" si="27">IF(NOT(ISBLANK(AE25)),"_","")</f>
        <v>_</v>
      </c>
      <c r="AE25" s="2" t="s">
        <v>279</v>
      </c>
      <c r="AF25" s="2" t="str">
        <f t="shared" ref="AF25:AF43" si="28">IF(NOT(ISBLANK(AG25)),"_","")</f>
        <v>_</v>
      </c>
      <c r="AG25" s="2" t="s">
        <v>290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6" t="s">
        <v>305</v>
      </c>
      <c r="D26" s="166" t="s">
        <v>305</v>
      </c>
      <c r="F26" s="167" t="s">
        <v>306</v>
      </c>
      <c r="G26" s="38" t="s">
        <v>225</v>
      </c>
      <c r="AA26" s="2" t="s">
        <v>6</v>
      </c>
      <c r="AB26" s="2" t="str">
        <f t="shared" si="26"/>
        <v>-</v>
      </c>
      <c r="AC26" s="2" t="s">
        <v>274</v>
      </c>
      <c r="AD26" s="2" t="str">
        <f t="shared" si="27"/>
        <v>_</v>
      </c>
      <c r="AE26" s="2" t="s">
        <v>279</v>
      </c>
      <c r="AF26" s="2" t="str">
        <f t="shared" si="28"/>
        <v>_</v>
      </c>
      <c r="AG26" s="2" t="s">
        <v>304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284</v>
      </c>
      <c r="D27" s="31" t="s">
        <v>284</v>
      </c>
      <c r="F27" s="32" t="s">
        <v>285</v>
      </c>
      <c r="G27" s="37" t="s">
        <v>215</v>
      </c>
      <c r="AA27" s="2" t="s">
        <v>6</v>
      </c>
      <c r="AB27" s="2" t="str">
        <f t="shared" ref="AB27:AB28" si="29">IF(NOT(ISBLANK(AC27)),"-","")</f>
        <v>-</v>
      </c>
      <c r="AC27" s="2" t="s">
        <v>283</v>
      </c>
      <c r="AD27" s="2" t="str">
        <f t="shared" ref="AD27:AD28" si="30">IF(NOT(ISBLANK(AE27)),"_","")</f>
        <v>_</v>
      </c>
      <c r="AE27" s="2" t="s">
        <v>279</v>
      </c>
      <c r="AF27" s="2" t="str">
        <f t="shared" ref="AF27:AF28" si="31">IF(NOT(ISBLANK(AG27)),"_","")</f>
        <v>_</v>
      </c>
      <c r="AG27" s="2" t="s">
        <v>304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8" t="s">
        <v>307</v>
      </c>
      <c r="D28" s="168" t="s">
        <v>307</v>
      </c>
      <c r="F28" s="169" t="s">
        <v>308</v>
      </c>
      <c r="G28" s="38" t="s">
        <v>225</v>
      </c>
      <c r="AA28" s="2" t="s">
        <v>6</v>
      </c>
      <c r="AB28" s="2" t="str">
        <f t="shared" si="29"/>
        <v>-</v>
      </c>
      <c r="AC28" s="2" t="s">
        <v>274</v>
      </c>
      <c r="AD28" s="2" t="str">
        <f t="shared" si="30"/>
        <v>_</v>
      </c>
      <c r="AE28" s="2" t="s">
        <v>279</v>
      </c>
      <c r="AF28" s="2" t="str">
        <f t="shared" si="31"/>
        <v>_</v>
      </c>
      <c r="AG28" s="2" t="s">
        <v>315</v>
      </c>
      <c r="AH28" s="2" t="str">
        <f t="shared" si="3"/>
        <v>_</v>
      </c>
      <c r="AI28" s="2" t="s">
        <v>280</v>
      </c>
    </row>
    <row r="29" spans="2:35" x14ac:dyDescent="0.25">
      <c r="B29" s="2" t="str">
        <f t="shared" si="4"/>
        <v>@color-label_halo_place_country_other</v>
      </c>
      <c r="C29" s="31" t="s">
        <v>284</v>
      </c>
      <c r="D29" s="31" t="s">
        <v>284</v>
      </c>
      <c r="F29" s="32" t="s">
        <v>285</v>
      </c>
      <c r="G29" s="37" t="s">
        <v>215</v>
      </c>
      <c r="AA29" s="2" t="s">
        <v>6</v>
      </c>
      <c r="AB29" s="2" t="str">
        <f t="shared" ref="AB29:AB30" si="32">IF(NOT(ISBLANK(AC29)),"-","")</f>
        <v>-</v>
      </c>
      <c r="AC29" s="2" t="s">
        <v>283</v>
      </c>
      <c r="AD29" s="2" t="str">
        <f t="shared" ref="AD29:AD30" si="33">IF(NOT(ISBLANK(AE29)),"_","")</f>
        <v>_</v>
      </c>
      <c r="AE29" s="2" t="s">
        <v>279</v>
      </c>
      <c r="AF29" s="2" t="str">
        <f t="shared" ref="AF29:AF30" si="34">IF(NOT(ISBLANK(AG29)),"_","")</f>
        <v>_</v>
      </c>
      <c r="AG29" s="2" t="s">
        <v>315</v>
      </c>
      <c r="AH29" s="2" t="str">
        <f t="shared" si="3"/>
        <v>_</v>
      </c>
      <c r="AI29" s="2" t="s">
        <v>280</v>
      </c>
    </row>
    <row r="30" spans="2:35" x14ac:dyDescent="0.25">
      <c r="B30" s="2" t="str">
        <f t="shared" si="4"/>
        <v>@color-label_place_country_minor</v>
      </c>
      <c r="C30" s="168" t="s">
        <v>307</v>
      </c>
      <c r="D30" s="168" t="s">
        <v>307</v>
      </c>
      <c r="F30" s="169" t="s">
        <v>308</v>
      </c>
      <c r="G30" s="38" t="s">
        <v>225</v>
      </c>
      <c r="AA30" s="2" t="s">
        <v>6</v>
      </c>
      <c r="AB30" s="2" t="str">
        <f t="shared" si="32"/>
        <v>-</v>
      </c>
      <c r="AC30" s="2" t="s">
        <v>274</v>
      </c>
      <c r="AD30" s="2" t="str">
        <f t="shared" si="33"/>
        <v>_</v>
      </c>
      <c r="AE30" s="2" t="s">
        <v>279</v>
      </c>
      <c r="AF30" s="2" t="str">
        <f t="shared" si="34"/>
        <v>_</v>
      </c>
      <c r="AG30" s="2" t="s">
        <v>315</v>
      </c>
      <c r="AH30" s="2" t="str">
        <f t="shared" si="3"/>
        <v>_</v>
      </c>
      <c r="AI30" s="2" t="s">
        <v>32</v>
      </c>
    </row>
    <row r="31" spans="2:35" x14ac:dyDescent="0.25">
      <c r="B31" s="2" t="str">
        <f t="shared" si="4"/>
        <v>@color-label_halo_place_country_minor</v>
      </c>
      <c r="C31" s="31" t="s">
        <v>284</v>
      </c>
      <c r="D31" s="31" t="s">
        <v>284</v>
      </c>
      <c r="F31" s="32" t="s">
        <v>285</v>
      </c>
      <c r="G31" s="37" t="s">
        <v>215</v>
      </c>
      <c r="AA31" s="2" t="s">
        <v>6</v>
      </c>
      <c r="AB31" s="2" t="str">
        <f t="shared" ref="AB31:AB32" si="35">IF(NOT(ISBLANK(AC31)),"-","")</f>
        <v>-</v>
      </c>
      <c r="AC31" s="2" t="s">
        <v>283</v>
      </c>
      <c r="AD31" s="2" t="str">
        <f t="shared" ref="AD31:AD32" si="36">IF(NOT(ISBLANK(AE31)),"_","")</f>
        <v>_</v>
      </c>
      <c r="AE31" s="2" t="s">
        <v>279</v>
      </c>
      <c r="AF31" s="2" t="str">
        <f t="shared" ref="AF31:AF32" si="37">IF(NOT(ISBLANK(AG31)),"_","")</f>
        <v>_</v>
      </c>
      <c r="AG31" s="2" t="s">
        <v>315</v>
      </c>
      <c r="AH31" s="2" t="str">
        <f t="shared" si="3"/>
        <v>_</v>
      </c>
      <c r="AI31" s="2" t="s">
        <v>32</v>
      </c>
    </row>
    <row r="32" spans="2:35" x14ac:dyDescent="0.25">
      <c r="B32" s="2" t="str">
        <f t="shared" si="4"/>
        <v>@color-label_place_country_medium</v>
      </c>
      <c r="C32" s="168" t="s">
        <v>307</v>
      </c>
      <c r="D32" s="168" t="s">
        <v>307</v>
      </c>
      <c r="F32" s="169" t="s">
        <v>308</v>
      </c>
      <c r="G32" s="38" t="s">
        <v>225</v>
      </c>
      <c r="AA32" s="2" t="s">
        <v>6</v>
      </c>
      <c r="AB32" s="2" t="str">
        <f t="shared" si="35"/>
        <v>-</v>
      </c>
      <c r="AC32" s="2" t="s">
        <v>274</v>
      </c>
      <c r="AD32" s="2" t="str">
        <f t="shared" si="36"/>
        <v>_</v>
      </c>
      <c r="AE32" s="2" t="s">
        <v>279</v>
      </c>
      <c r="AF32" s="2" t="str">
        <f t="shared" si="37"/>
        <v>_</v>
      </c>
      <c r="AG32" s="2" t="s">
        <v>315</v>
      </c>
      <c r="AH32" s="2" t="str">
        <f t="shared" si="3"/>
        <v>_</v>
      </c>
      <c r="AI32" s="2" t="s">
        <v>80</v>
      </c>
    </row>
    <row r="33" spans="2:35" x14ac:dyDescent="0.25">
      <c r="B33" s="2" t="str">
        <f t="shared" si="4"/>
        <v>@color-label_halo_place_country_medium</v>
      </c>
      <c r="C33" s="31" t="s">
        <v>284</v>
      </c>
      <c r="D33" s="31" t="s">
        <v>284</v>
      </c>
      <c r="F33" s="32" t="s">
        <v>285</v>
      </c>
      <c r="G33" s="37" t="s">
        <v>215</v>
      </c>
      <c r="AA33" s="2" t="s">
        <v>6</v>
      </c>
      <c r="AB33" s="2" t="str">
        <f t="shared" ref="AB33:AB34" si="38">IF(NOT(ISBLANK(AC33)),"-","")</f>
        <v>-</v>
      </c>
      <c r="AC33" s="2" t="s">
        <v>283</v>
      </c>
      <c r="AD33" s="2" t="str">
        <f t="shared" ref="AD33:AD34" si="39">IF(NOT(ISBLANK(AE33)),"_","")</f>
        <v>_</v>
      </c>
      <c r="AE33" s="2" t="s">
        <v>279</v>
      </c>
      <c r="AF33" s="2" t="str">
        <f t="shared" ref="AF33:AF34" si="40">IF(NOT(ISBLANK(AG33)),"_","")</f>
        <v>_</v>
      </c>
      <c r="AG33" s="2" t="s">
        <v>315</v>
      </c>
      <c r="AH33" s="2" t="str">
        <f t="shared" si="3"/>
        <v>_</v>
      </c>
      <c r="AI33" s="2" t="s">
        <v>80</v>
      </c>
    </row>
    <row r="34" spans="2:35" x14ac:dyDescent="0.25">
      <c r="B34" s="2" t="str">
        <f t="shared" si="4"/>
        <v>@color-label_place_country_major</v>
      </c>
      <c r="C34" s="168" t="s">
        <v>307</v>
      </c>
      <c r="D34" s="168" t="s">
        <v>307</v>
      </c>
      <c r="F34" s="169" t="s">
        <v>308</v>
      </c>
      <c r="G34" s="38" t="s">
        <v>225</v>
      </c>
      <c r="AA34" s="2" t="s">
        <v>6</v>
      </c>
      <c r="AB34" s="2" t="str">
        <f t="shared" si="38"/>
        <v>-</v>
      </c>
      <c r="AC34" s="2" t="s">
        <v>274</v>
      </c>
      <c r="AD34" s="2" t="str">
        <f t="shared" si="39"/>
        <v>_</v>
      </c>
      <c r="AE34" s="2" t="s">
        <v>279</v>
      </c>
      <c r="AF34" s="2" t="str">
        <f t="shared" si="40"/>
        <v>_</v>
      </c>
      <c r="AG34" s="2" t="s">
        <v>315</v>
      </c>
      <c r="AH34" s="2" t="str">
        <f t="shared" si="3"/>
        <v>_</v>
      </c>
      <c r="AI34" s="2" t="s">
        <v>314</v>
      </c>
    </row>
    <row r="35" spans="2:35" x14ac:dyDescent="0.25">
      <c r="B35" s="2" t="str">
        <f t="shared" si="4"/>
        <v>@color-label_halo_place_country_major</v>
      </c>
      <c r="C35" s="31" t="s">
        <v>284</v>
      </c>
      <c r="D35" s="31" t="s">
        <v>284</v>
      </c>
      <c r="F35" s="32" t="s">
        <v>285</v>
      </c>
      <c r="G35" s="37" t="s">
        <v>215</v>
      </c>
      <c r="AA35" s="2" t="s">
        <v>6</v>
      </c>
      <c r="AB35" s="2" t="str">
        <f t="shared" ref="AB35" si="41">IF(NOT(ISBLANK(AC35)),"-","")</f>
        <v>-</v>
      </c>
      <c r="AC35" s="2" t="s">
        <v>283</v>
      </c>
      <c r="AD35" s="2" t="str">
        <f t="shared" ref="AD35" si="42">IF(NOT(ISBLANK(AE35)),"_","")</f>
        <v>_</v>
      </c>
      <c r="AE35" s="2" t="s">
        <v>279</v>
      </c>
      <c r="AF35" s="2" t="str">
        <f t="shared" ref="AF35" si="43">IF(NOT(ISBLANK(AG35)),"_","")</f>
        <v>_</v>
      </c>
      <c r="AG35" s="2" t="s">
        <v>315</v>
      </c>
      <c r="AH35" s="2" t="str">
        <f t="shared" si="3"/>
        <v>_</v>
      </c>
      <c r="AI35" s="2" t="s">
        <v>314</v>
      </c>
    </row>
    <row r="36" spans="2:35" x14ac:dyDescent="0.25">
      <c r="B36" s="2" t="str">
        <f t="shared" si="4"/>
        <v>@color-label_place_protected_area</v>
      </c>
      <c r="C36" s="164" t="s">
        <v>302</v>
      </c>
      <c r="D36" s="164" t="s">
        <v>302</v>
      </c>
      <c r="F36" s="165" t="s">
        <v>303</v>
      </c>
      <c r="G36" s="38" t="s">
        <v>225</v>
      </c>
      <c r="AA36" s="2" t="s">
        <v>6</v>
      </c>
      <c r="AB36" s="2" t="str">
        <f t="shared" si="26"/>
        <v>-</v>
      </c>
      <c r="AC36" s="2" t="s">
        <v>274</v>
      </c>
      <c r="AD36" s="2" t="str">
        <f t="shared" si="27"/>
        <v>_</v>
      </c>
      <c r="AE36" s="2" t="s">
        <v>279</v>
      </c>
      <c r="AF36" s="2" t="str">
        <f t="shared" si="28"/>
        <v>_</v>
      </c>
      <c r="AG36" s="2" t="s">
        <v>301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225</v>
      </c>
      <c r="D37" s="38" t="s">
        <v>225</v>
      </c>
      <c r="F37" s="37" t="s">
        <v>215</v>
      </c>
      <c r="G37" s="37" t="s">
        <v>215</v>
      </c>
      <c r="AA37" s="2" t="s">
        <v>6</v>
      </c>
      <c r="AB37" s="2" t="str">
        <f t="shared" ref="AB37:AB38" si="44">IF(NOT(ISBLANK(AC37)),"-","")</f>
        <v>-</v>
      </c>
      <c r="AC37" s="2" t="s">
        <v>283</v>
      </c>
      <c r="AD37" s="2" t="str">
        <f t="shared" ref="AD37:AD38" si="45">IF(NOT(ISBLANK(AE37)),"_","")</f>
        <v>_</v>
      </c>
      <c r="AE37" s="2" t="s">
        <v>279</v>
      </c>
      <c r="AF37" s="2" t="str">
        <f t="shared" ref="AF37:AF38" si="46">IF(NOT(ISBLANK(AG37)),"_","")</f>
        <v>_</v>
      </c>
      <c r="AG37" s="2" t="s">
        <v>301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4" t="s">
        <v>302</v>
      </c>
      <c r="D38" s="164" t="s">
        <v>302</v>
      </c>
      <c r="F38" s="165" t="s">
        <v>303</v>
      </c>
      <c r="G38" s="38" t="s">
        <v>225</v>
      </c>
      <c r="AA38" s="2" t="s">
        <v>6</v>
      </c>
      <c r="AB38" s="2" t="str">
        <f t="shared" si="44"/>
        <v>-</v>
      </c>
      <c r="AC38" s="2" t="s">
        <v>274</v>
      </c>
      <c r="AD38" s="2" t="str">
        <f t="shared" si="45"/>
        <v>_</v>
      </c>
      <c r="AE38" s="2" t="s">
        <v>279</v>
      </c>
      <c r="AF38" s="2" t="str">
        <f t="shared" si="46"/>
        <v>_</v>
      </c>
      <c r="AG38" s="2" t="s">
        <v>309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297</v>
      </c>
      <c r="D39" s="35" t="s">
        <v>297</v>
      </c>
      <c r="F39" s="36" t="s">
        <v>298</v>
      </c>
      <c r="G39" s="38" t="s">
        <v>225</v>
      </c>
      <c r="AA39" s="2" t="s">
        <v>6</v>
      </c>
      <c r="AB39" s="2" t="str">
        <f t="shared" ref="AB39" si="47">IF(NOT(ISBLANK(AC39)),"-","")</f>
        <v>-</v>
      </c>
      <c r="AC39" s="2" t="s">
        <v>274</v>
      </c>
      <c r="AD39" s="2" t="str">
        <f t="shared" ref="AD39" si="48">IF(NOT(ISBLANK(AE39)),"_","")</f>
        <v>_</v>
      </c>
      <c r="AE39" s="2" t="s">
        <v>279</v>
      </c>
      <c r="AF39" s="2" t="str">
        <f t="shared" ref="AF39" si="49">IF(NOT(ISBLANK(AG39)),"_","")</f>
        <v>_</v>
      </c>
      <c r="AG39" s="2" t="s">
        <v>310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225</v>
      </c>
      <c r="D40" s="38" t="s">
        <v>225</v>
      </c>
      <c r="F40" s="37" t="s">
        <v>215</v>
      </c>
      <c r="G40" s="37" t="s">
        <v>215</v>
      </c>
      <c r="AA40" s="2" t="s">
        <v>6</v>
      </c>
      <c r="AB40" s="2" t="str">
        <f t="shared" ref="AB40" si="50">IF(NOT(ISBLANK(AC40)),"-","")</f>
        <v>-</v>
      </c>
      <c r="AC40" s="2" t="s">
        <v>283</v>
      </c>
      <c r="AD40" s="2" t="str">
        <f t="shared" ref="AD40" si="51">IF(NOT(ISBLANK(AE40)),"_","")</f>
        <v>_</v>
      </c>
      <c r="AE40" s="2" t="s">
        <v>279</v>
      </c>
      <c r="AF40" s="2" t="str">
        <f t="shared" ref="AF40" si="52">IF(NOT(ISBLANK(AG40)),"_","")</f>
        <v>_</v>
      </c>
      <c r="AG40" s="2" t="s">
        <v>311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293</v>
      </c>
      <c r="D42" s="37" t="s">
        <v>215</v>
      </c>
      <c r="F42" s="34" t="s">
        <v>294</v>
      </c>
      <c r="G42" s="38" t="s">
        <v>225</v>
      </c>
      <c r="AA42" s="2" t="s">
        <v>312</v>
      </c>
      <c r="AB42" s="2" t="str">
        <f t="shared" ref="AB42" si="54">IF(NOT(ISBLANK(AC42)),"-","")</f>
        <v>-</v>
      </c>
      <c r="AC42" s="2" t="s">
        <v>274</v>
      </c>
      <c r="AD42" s="2" t="str">
        <f t="shared" ref="AD42" si="55">IF(NOT(ISBLANK(AE42)),"_","")</f>
        <v>_</v>
      </c>
      <c r="AE42" s="2" t="s">
        <v>292</v>
      </c>
      <c r="AF42" s="2" t="str">
        <f t="shared" ref="AF42" si="56">IF(NOT(ISBLANK(AG42)),"_","")</f>
        <v>_</v>
      </c>
      <c r="AG42" s="2" t="s">
        <v>72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293</v>
      </c>
      <c r="D43" s="37" t="s">
        <v>215</v>
      </c>
      <c r="F43" s="34" t="s">
        <v>294</v>
      </c>
      <c r="G43" s="38" t="s">
        <v>225</v>
      </c>
      <c r="AA43" s="2" t="s">
        <v>6</v>
      </c>
      <c r="AB43" s="2" t="str">
        <f t="shared" si="26"/>
        <v>-</v>
      </c>
      <c r="AC43" s="2" t="s">
        <v>274</v>
      </c>
      <c r="AD43" s="2" t="str">
        <f t="shared" si="27"/>
        <v>_</v>
      </c>
      <c r="AE43" s="2" t="s">
        <v>292</v>
      </c>
      <c r="AF43" s="2" t="str">
        <f t="shared" si="28"/>
        <v>_</v>
      </c>
      <c r="AG43" s="2" t="s">
        <v>72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225</v>
      </c>
      <c r="D44" s="38" t="s">
        <v>225</v>
      </c>
      <c r="F44" s="37" t="s">
        <v>215</v>
      </c>
      <c r="G44" s="37" t="s">
        <v>215</v>
      </c>
      <c r="AA44" s="2" t="s">
        <v>6</v>
      </c>
      <c r="AB44" s="2" t="str">
        <f t="shared" ref="AB44:AB46" si="58">IF(NOT(ISBLANK(AC44)),"-","")</f>
        <v>-</v>
      </c>
      <c r="AC44" s="2" t="s">
        <v>283</v>
      </c>
      <c r="AD44" s="2" t="str">
        <f t="shared" ref="AD44:AD46" si="59">IF(NOT(ISBLANK(AE44)),"_","")</f>
        <v>_</v>
      </c>
      <c r="AE44" s="2" t="s">
        <v>292</v>
      </c>
      <c r="AF44" s="2" t="str">
        <f t="shared" ref="AF44:AF46" si="60">IF(NOT(ISBLANK(AG44)),"_","")</f>
        <v>_</v>
      </c>
      <c r="AG44" s="2" t="s">
        <v>72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293</v>
      </c>
      <c r="D46" s="37" t="s">
        <v>215</v>
      </c>
      <c r="F46" s="34" t="s">
        <v>294</v>
      </c>
      <c r="G46" s="38" t="s">
        <v>225</v>
      </c>
      <c r="AA46" s="2" t="s">
        <v>6</v>
      </c>
      <c r="AB46" s="2" t="str">
        <f t="shared" si="58"/>
        <v>-</v>
      </c>
      <c r="AC46" s="2" t="s">
        <v>274</v>
      </c>
      <c r="AD46" s="2" t="str">
        <f t="shared" si="59"/>
        <v>_</v>
      </c>
      <c r="AE46" s="2" t="s">
        <v>292</v>
      </c>
      <c r="AF46" s="2" t="str">
        <f t="shared" si="60"/>
        <v>_</v>
      </c>
      <c r="AG46" s="2" t="s">
        <v>32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225</v>
      </c>
      <c r="D47" s="38" t="s">
        <v>225</v>
      </c>
      <c r="F47" s="37" t="s">
        <v>215</v>
      </c>
      <c r="G47" s="37" t="s">
        <v>215</v>
      </c>
      <c r="AA47" s="2" t="s">
        <v>6</v>
      </c>
      <c r="AB47" s="2" t="str">
        <f t="shared" ref="AB47:AB48" si="63">IF(NOT(ISBLANK(AC47)),"-","")</f>
        <v>-</v>
      </c>
      <c r="AC47" s="2" t="s">
        <v>283</v>
      </c>
      <c r="AD47" s="2" t="str">
        <f t="shared" ref="AD47:AD48" si="64">IF(NOT(ISBLANK(AE47)),"_","")</f>
        <v>_</v>
      </c>
      <c r="AE47" s="2" t="s">
        <v>292</v>
      </c>
      <c r="AF47" s="2" t="str">
        <f t="shared" ref="AF47:AF48" si="65">IF(NOT(ISBLANK(AG47)),"_","")</f>
        <v>_</v>
      </c>
      <c r="AG47" s="2" t="s">
        <v>32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293</v>
      </c>
      <c r="D48" s="37" t="s">
        <v>215</v>
      </c>
      <c r="F48" s="34" t="s">
        <v>294</v>
      </c>
      <c r="G48" s="38" t="s">
        <v>225</v>
      </c>
      <c r="AA48" s="2" t="s">
        <v>6</v>
      </c>
      <c r="AB48" s="2" t="str">
        <f t="shared" si="63"/>
        <v>-</v>
      </c>
      <c r="AC48" s="2" t="s">
        <v>274</v>
      </c>
      <c r="AD48" s="2" t="str">
        <f t="shared" si="64"/>
        <v>_</v>
      </c>
      <c r="AE48" s="2" t="s">
        <v>292</v>
      </c>
      <c r="AF48" s="2" t="str">
        <f t="shared" si="65"/>
        <v>_</v>
      </c>
      <c r="AG48" s="2" t="s">
        <v>295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225</v>
      </c>
      <c r="D49" s="38" t="s">
        <v>225</v>
      </c>
      <c r="F49" s="37" t="s">
        <v>215</v>
      </c>
      <c r="G49" s="37" t="s">
        <v>215</v>
      </c>
      <c r="AA49" s="2" t="s">
        <v>6</v>
      </c>
      <c r="AB49" s="2" t="str">
        <f t="shared" ref="AB49:AB51" si="66">IF(NOT(ISBLANK(AC49)),"-","")</f>
        <v>-</v>
      </c>
      <c r="AC49" s="2" t="s">
        <v>283</v>
      </c>
      <c r="AD49" s="2" t="str">
        <f t="shared" ref="AD49:AD51" si="67">IF(NOT(ISBLANK(AE49)),"_","")</f>
        <v>_</v>
      </c>
      <c r="AE49" s="2" t="s">
        <v>292</v>
      </c>
      <c r="AF49" s="2" t="str">
        <f t="shared" ref="AF49:AF51" si="68">IF(NOT(ISBLANK(AG49)),"_","")</f>
        <v>_</v>
      </c>
      <c r="AG49" s="2" t="s">
        <v>295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297</v>
      </c>
      <c r="D50" s="37" t="s">
        <v>215</v>
      </c>
      <c r="F50" s="36" t="s">
        <v>298</v>
      </c>
      <c r="G50" s="38" t="s">
        <v>225</v>
      </c>
      <c r="AA50" s="2" t="s">
        <v>6</v>
      </c>
      <c r="AB50" s="2" t="str">
        <f t="shared" si="66"/>
        <v>-</v>
      </c>
      <c r="AC50" s="2" t="s">
        <v>274</v>
      </c>
      <c r="AD50" s="2" t="str">
        <f t="shared" si="67"/>
        <v>_</v>
      </c>
      <c r="AE50" s="2" t="s">
        <v>296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225</v>
      </c>
      <c r="D51" s="38" t="s">
        <v>225</v>
      </c>
      <c r="F51" s="37" t="s">
        <v>215</v>
      </c>
      <c r="G51" s="37" t="s">
        <v>215</v>
      </c>
      <c r="AA51" s="2" t="s">
        <v>6</v>
      </c>
      <c r="AB51" s="2" t="str">
        <f t="shared" si="66"/>
        <v>-</v>
      </c>
      <c r="AC51" s="2" t="s">
        <v>283</v>
      </c>
      <c r="AD51" s="2" t="str">
        <f t="shared" si="67"/>
        <v>_</v>
      </c>
      <c r="AE51" s="2" t="s">
        <v>296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336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171</v>
      </c>
      <c r="D54" s="41" t="s">
        <v>179</v>
      </c>
      <c r="F54" s="40" t="s">
        <v>171</v>
      </c>
      <c r="G54" s="41" t="s">
        <v>179</v>
      </c>
      <c r="I54" s="42" t="str">
        <f t="shared" ref="I54:J61" si="70">C54</f>
        <v>"#0ac5a0"</v>
      </c>
      <c r="J54" s="43" t="str">
        <f t="shared" si="70"/>
        <v>"#00c7b0"</v>
      </c>
      <c r="U54" s="44"/>
      <c r="V54" s="44"/>
      <c r="X54" s="44"/>
      <c r="Y54" s="44"/>
      <c r="AA54" s="2" t="s">
        <v>6</v>
      </c>
      <c r="AB54" s="2" t="str">
        <f>IF(NOT(ISBLANK(AC54)),"-","")</f>
        <v>-</v>
      </c>
      <c r="AC54" s="2" t="s">
        <v>7</v>
      </c>
      <c r="AD54" s="2" t="str">
        <f>IF(NOT(ISBLANK(AE54)),"_","")</f>
        <v>_</v>
      </c>
      <c r="AE54" s="2" t="s">
        <v>9</v>
      </c>
      <c r="AF54" s="2" t="str">
        <f>IF(NOT(ISBLANK(AG54)),"_","")</f>
        <v/>
      </c>
      <c r="AG54" s="2"/>
      <c r="AH54" s="2" t="str">
        <f t="shared" ref="AH54:AH66" si="71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172</v>
      </c>
      <c r="D55" s="46" t="s">
        <v>180</v>
      </c>
      <c r="F55" s="45" t="s">
        <v>172</v>
      </c>
      <c r="G55" s="46" t="s">
        <v>180</v>
      </c>
      <c r="I55" s="47" t="str">
        <f t="shared" si="70"/>
        <v>"#75e009"</v>
      </c>
      <c r="J55" s="48" t="str">
        <f t="shared" si="70"/>
        <v>"#66cc00"</v>
      </c>
      <c r="U55" s="44"/>
      <c r="V55" s="44"/>
      <c r="X55" s="44"/>
      <c r="Y55" s="44"/>
      <c r="AA55" s="2" t="s">
        <v>6</v>
      </c>
      <c r="AB55" s="2" t="str">
        <f>IF(NOT(ISBLANK(AC55)),"-","")</f>
        <v>-</v>
      </c>
      <c r="AC55" s="2" t="s">
        <v>7</v>
      </c>
      <c r="AD55" s="2" t="str">
        <f>IF(NOT(ISBLANK(AE55)),"_","")</f>
        <v>_</v>
      </c>
      <c r="AE55" s="2">
        <v>0</v>
      </c>
      <c r="AF55" s="2" t="str">
        <f>IF(NOT(ISBLANK(AG55)),"_","")</f>
        <v/>
      </c>
      <c r="AH55" s="2" t="str">
        <f t="shared" si="71"/>
        <v/>
      </c>
    </row>
    <row r="56" spans="1:35" x14ac:dyDescent="0.25">
      <c r="B56" s="2" t="str">
        <f t="shared" si="69"/>
        <v>@color-mtb:scale_1</v>
      </c>
      <c r="C56" s="49" t="s">
        <v>173</v>
      </c>
      <c r="D56" s="50" t="s">
        <v>181</v>
      </c>
      <c r="F56" s="49" t="s">
        <v>173</v>
      </c>
      <c r="G56" s="50" t="s">
        <v>181</v>
      </c>
      <c r="I56" s="51" t="str">
        <f t="shared" si="70"/>
        <v>"#d7dc00"</v>
      </c>
      <c r="J56" s="52" t="str">
        <f t="shared" si="70"/>
        <v>"#c5c900"</v>
      </c>
      <c r="U56" s="44"/>
      <c r="V56" s="44"/>
      <c r="X56" s="44"/>
      <c r="Y56" s="44"/>
      <c r="AA56" s="2" t="s">
        <v>6</v>
      </c>
      <c r="AB56" s="2" t="str">
        <f>IF(NOT(ISBLANK(AC56)),"-","")</f>
        <v>-</v>
      </c>
      <c r="AC56" s="2" t="s">
        <v>7</v>
      </c>
      <c r="AD56" s="2" t="str">
        <f>IF(NOT(ISBLANK(AE56)),"_","")</f>
        <v>_</v>
      </c>
      <c r="AE56" s="2">
        <v>1</v>
      </c>
      <c r="AF56" s="2" t="str">
        <f>IF(NOT(ISBLANK(AG56)),"_","")</f>
        <v/>
      </c>
      <c r="AH56" s="2" t="str">
        <f t="shared" si="71"/>
        <v/>
      </c>
    </row>
    <row r="57" spans="1:35" x14ac:dyDescent="0.25">
      <c r="B57" s="2" t="str">
        <f t="shared" si="69"/>
        <v>@color-mtb:scale_2</v>
      </c>
      <c r="C57" s="53" t="s">
        <v>174</v>
      </c>
      <c r="D57" s="54" t="s">
        <v>182</v>
      </c>
      <c r="F57" s="53" t="s">
        <v>174</v>
      </c>
      <c r="G57" s="54" t="s">
        <v>182</v>
      </c>
      <c r="I57" s="55" t="str">
        <f t="shared" si="70"/>
        <v>"#feb13e"</v>
      </c>
      <c r="J57" s="56" t="str">
        <f t="shared" si="70"/>
        <v>"#f09000"</v>
      </c>
      <c r="U57" s="44"/>
      <c r="V57" s="44"/>
      <c r="X57" s="44"/>
      <c r="Y57" s="44"/>
      <c r="AA57" s="2" t="s">
        <v>6</v>
      </c>
      <c r="AB57" s="2" t="str">
        <f>IF(NOT(ISBLANK(AC57)),"-","")</f>
        <v>-</v>
      </c>
      <c r="AC57" s="2" t="s">
        <v>7</v>
      </c>
      <c r="AD57" s="2" t="str">
        <f>IF(NOT(ISBLANK(AE57)),"_","")</f>
        <v>_</v>
      </c>
      <c r="AE57" s="2">
        <v>2</v>
      </c>
      <c r="AF57" s="2" t="str">
        <f>IF(NOT(ISBLANK(AG57)),"_","")</f>
        <v/>
      </c>
      <c r="AH57" s="2" t="str">
        <f t="shared" si="71"/>
        <v/>
      </c>
    </row>
    <row r="58" spans="1:35" x14ac:dyDescent="0.25">
      <c r="B58" s="2" t="str">
        <f t="shared" si="69"/>
        <v>@color-mtb:scale_3</v>
      </c>
      <c r="C58" s="57" t="s">
        <v>175</v>
      </c>
      <c r="D58" s="57" t="s">
        <v>175</v>
      </c>
      <c r="F58" s="57" t="s">
        <v>175</v>
      </c>
      <c r="G58" s="57" t="s">
        <v>175</v>
      </c>
      <c r="I58" s="58" t="str">
        <f t="shared" si="70"/>
        <v>"#ff4f5e"</v>
      </c>
      <c r="J58" s="58" t="str">
        <f t="shared" si="70"/>
        <v>"#ff4f5e"</v>
      </c>
      <c r="U58" s="44"/>
      <c r="V58" s="44"/>
      <c r="X58" s="44"/>
      <c r="Y58" s="44"/>
      <c r="AA58" s="2" t="s">
        <v>6</v>
      </c>
      <c r="AB58" s="2" t="str">
        <f>IF(NOT(ISBLANK(AC58)),"-","")</f>
        <v>-</v>
      </c>
      <c r="AC58" s="2" t="s">
        <v>7</v>
      </c>
      <c r="AD58" s="2" t="str">
        <f>IF(NOT(ISBLANK(AE58)),"_","")</f>
        <v>_</v>
      </c>
      <c r="AE58" s="2">
        <v>3</v>
      </c>
      <c r="AF58" s="2" t="str">
        <f>IF(NOT(ISBLANK(AG58)),"_","")</f>
        <v/>
      </c>
      <c r="AH58" s="2" t="str">
        <f t="shared" si="71"/>
        <v/>
      </c>
    </row>
    <row r="59" spans="1:35" x14ac:dyDescent="0.25">
      <c r="B59" s="2" t="str">
        <f t="shared" si="69"/>
        <v>@color-mtb:scale_4</v>
      </c>
      <c r="C59" s="59" t="s">
        <v>176</v>
      </c>
      <c r="D59" s="60" t="s">
        <v>183</v>
      </c>
      <c r="F59" s="59" t="s">
        <v>176</v>
      </c>
      <c r="G59" s="60" t="s">
        <v>183</v>
      </c>
      <c r="I59" s="61" t="str">
        <f t="shared" si="70"/>
        <v>"#e50bdd"</v>
      </c>
      <c r="J59" s="62" t="str">
        <f t="shared" si="70"/>
        <v>"#d600ce"</v>
      </c>
      <c r="U59" s="44"/>
      <c r="V59" s="44"/>
      <c r="X59" s="44"/>
      <c r="Y59" s="44"/>
      <c r="AA59" s="2" t="s">
        <v>6</v>
      </c>
      <c r="AB59" s="2" t="str">
        <f>IF(NOT(ISBLANK(AC59)),"-","")</f>
        <v>-</v>
      </c>
      <c r="AC59" s="2" t="s">
        <v>7</v>
      </c>
      <c r="AD59" s="2" t="str">
        <f>IF(NOT(ISBLANK(AE59)),"_","")</f>
        <v>_</v>
      </c>
      <c r="AE59" s="2">
        <v>4</v>
      </c>
      <c r="AF59" s="2" t="str">
        <f>IF(NOT(ISBLANK(AG59)),"_","")</f>
        <v/>
      </c>
      <c r="AH59" s="2" t="str">
        <f t="shared" si="71"/>
        <v/>
      </c>
    </row>
    <row r="60" spans="1:35" x14ac:dyDescent="0.25">
      <c r="B60" s="2" t="str">
        <f t="shared" si="69"/>
        <v>@color-mtb:scale_5</v>
      </c>
      <c r="C60" s="63" t="s">
        <v>177</v>
      </c>
      <c r="D60" s="64" t="s">
        <v>184</v>
      </c>
      <c r="F60" s="63" t="s">
        <v>177</v>
      </c>
      <c r="G60" s="64" t="s">
        <v>184</v>
      </c>
      <c r="I60" s="65" t="str">
        <f t="shared" si="70"/>
        <v>"#9600c8"</v>
      </c>
      <c r="J60" s="66" t="str">
        <f t="shared" si="70"/>
        <v>"#7a3391"</v>
      </c>
      <c r="U60" s="44"/>
      <c r="V60" s="44"/>
      <c r="X60" s="44"/>
      <c r="Y60" s="44"/>
      <c r="AA60" s="2" t="s">
        <v>6</v>
      </c>
      <c r="AB60" s="2" t="str">
        <f>IF(NOT(ISBLANK(AC60)),"-","")</f>
        <v>-</v>
      </c>
      <c r="AC60" s="2" t="s">
        <v>7</v>
      </c>
      <c r="AD60" s="2" t="str">
        <f>IF(NOT(ISBLANK(AE60)),"_","")</f>
        <v>_</v>
      </c>
      <c r="AE60" s="2">
        <v>5</v>
      </c>
      <c r="AF60" s="2" t="str">
        <f>IF(NOT(ISBLANK(AG60)),"_","")</f>
        <v/>
      </c>
      <c r="AH60" s="2" t="str">
        <f t="shared" si="71"/>
        <v/>
      </c>
    </row>
    <row r="61" spans="1:35" x14ac:dyDescent="0.25">
      <c r="B61" s="2" t="str">
        <f t="shared" si="69"/>
        <v>@color-mtb:scale_6</v>
      </c>
      <c r="C61" s="67" t="s">
        <v>178</v>
      </c>
      <c r="D61" s="68" t="s">
        <v>185</v>
      </c>
      <c r="F61" s="67" t="s">
        <v>178</v>
      </c>
      <c r="G61" s="68" t="s">
        <v>185</v>
      </c>
      <c r="I61" s="69" t="str">
        <f t="shared" si="70"/>
        <v>"#8100ac"</v>
      </c>
      <c r="J61" s="70" t="str">
        <f t="shared" si="70"/>
        <v>"#593266"</v>
      </c>
      <c r="U61" s="44"/>
      <c r="V61" s="44"/>
      <c r="X61" s="44"/>
      <c r="Y61" s="44"/>
      <c r="AA61" s="2" t="s">
        <v>6</v>
      </c>
      <c r="AB61" s="2" t="str">
        <f>IF(NOT(ISBLANK(AC61)),"-","")</f>
        <v>-</v>
      </c>
      <c r="AC61" s="2" t="s">
        <v>7</v>
      </c>
      <c r="AD61" s="2" t="str">
        <f>IF(NOT(ISBLANK(AE61)),"_","")</f>
        <v>_</v>
      </c>
      <c r="AE61" s="2">
        <v>6</v>
      </c>
      <c r="AF61" s="2" t="str">
        <f>IF(NOT(ISBLANK(AG61)),"_","")</f>
        <v/>
      </c>
      <c r="AH61" s="2" t="str">
        <f t="shared" si="71"/>
        <v/>
      </c>
    </row>
    <row r="62" spans="1:35" x14ac:dyDescent="0.25">
      <c r="B62" s="2" t="str">
        <f t="shared" si="69"/>
        <v>@color-mtb:scale_null</v>
      </c>
      <c r="C62" s="38" t="s">
        <v>225</v>
      </c>
      <c r="D62" s="38" t="s">
        <v>225</v>
      </c>
      <c r="F62" s="31" t="s">
        <v>284</v>
      </c>
      <c r="G62" s="31" t="s">
        <v>284</v>
      </c>
      <c r="I62" s="38" t="s">
        <v>225</v>
      </c>
      <c r="J62" s="38" t="s">
        <v>225</v>
      </c>
      <c r="L62" s="31" t="s">
        <v>284</v>
      </c>
      <c r="M62" s="31" t="s">
        <v>284</v>
      </c>
      <c r="U62" s="44"/>
      <c r="V62" s="44"/>
      <c r="X62" s="44"/>
      <c r="Y62" s="44"/>
      <c r="AA62" s="2" t="s">
        <v>6</v>
      </c>
      <c r="AB62" s="2" t="str">
        <f t="shared" ref="AB62" si="72">IF(NOT(ISBLANK(AC62)),"-","")</f>
        <v>-</v>
      </c>
      <c r="AC62" s="2" t="s">
        <v>7</v>
      </c>
      <c r="AD62" s="2" t="str">
        <f t="shared" ref="AD62" si="73">IF(NOT(ISBLANK(AE62)),"_","")</f>
        <v>_</v>
      </c>
      <c r="AE62" s="2" t="s">
        <v>300</v>
      </c>
      <c r="AF62" s="2" t="str">
        <f t="shared" ref="AF62" si="74">IF(NOT(ISBLANK(AG62)),"_","")</f>
        <v/>
      </c>
      <c r="AH62" s="2" t="str">
        <f t="shared" si="71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1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172</v>
      </c>
      <c r="V64" s="46" t="s">
        <v>180</v>
      </c>
      <c r="AA64" s="2" t="s">
        <v>6</v>
      </c>
      <c r="AB64" s="2" t="str">
        <f t="shared" ref="AB64" si="75">IF(NOT(ISBLANK(AC64)),"-","")</f>
        <v>-</v>
      </c>
      <c r="AC64" s="2" t="s">
        <v>228</v>
      </c>
      <c r="AD64" s="2" t="str">
        <f t="shared" ref="AD64" si="76">IF(NOT(ISBLANK(AE64)),"_","")</f>
        <v>_</v>
      </c>
      <c r="AE64" s="2">
        <v>1</v>
      </c>
      <c r="AF64" s="2" t="str">
        <f t="shared" ref="AF64" si="77">IF(NOT(ISBLANK(AG64)),"_","")</f>
        <v/>
      </c>
      <c r="AH64" s="2" t="str">
        <f t="shared" si="71"/>
        <v/>
      </c>
    </row>
    <row r="65" spans="2:34" x14ac:dyDescent="0.25">
      <c r="B65" s="2" t="str">
        <f t="shared" ref="B65:B66" si="78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173</v>
      </c>
      <c r="V65" s="50" t="s">
        <v>181</v>
      </c>
      <c r="AA65" s="2" t="s">
        <v>6</v>
      </c>
      <c r="AB65" s="2" t="str">
        <f t="shared" ref="AB65:AB66" si="79">IF(NOT(ISBLANK(AC65)),"-","")</f>
        <v>-</v>
      </c>
      <c r="AC65" s="2" t="s">
        <v>228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1"/>
        <v/>
      </c>
    </row>
    <row r="66" spans="2:34" x14ac:dyDescent="0.25">
      <c r="B66" s="2" t="str">
        <f t="shared" si="78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174</v>
      </c>
      <c r="V66" s="54" t="s">
        <v>182</v>
      </c>
      <c r="AA66" s="2" t="s">
        <v>6</v>
      </c>
      <c r="AB66" s="2" t="str">
        <f t="shared" si="79"/>
        <v>-</v>
      </c>
      <c r="AC66" s="2" t="s">
        <v>228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1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0">_xlfn.CONCAT("@",AA68,AB68,AC68,AD68,AE68,AF68,AG68,AH68,AI68)</f>
        <v>@case_width-path_narrow_z11</v>
      </c>
      <c r="C68" s="28" t="s">
        <v>81</v>
      </c>
      <c r="D68" s="28" t="s">
        <v>86</v>
      </c>
      <c r="F68" s="28" t="s">
        <v>81</v>
      </c>
      <c r="G68" s="28" t="s">
        <v>86</v>
      </c>
      <c r="I68" s="28" t="s">
        <v>96</v>
      </c>
      <c r="L68" s="28" t="s">
        <v>96</v>
      </c>
      <c r="AA68" s="2" t="s">
        <v>79</v>
      </c>
      <c r="AB68" s="2" t="str">
        <f t="shared" ref="AB68" si="81">IF(NOT(ISBLANK(AC68)),"-","")</f>
        <v>-</v>
      </c>
      <c r="AC68" s="2" t="s">
        <v>72</v>
      </c>
      <c r="AD68" s="2" t="str">
        <f t="shared" ref="AD68" si="82">IF(NOT(ISBLANK(AE68)),"_","")</f>
        <v>_</v>
      </c>
      <c r="AE68" s="2" t="s">
        <v>73</v>
      </c>
      <c r="AF68" s="2" t="str">
        <f t="shared" ref="AF68" si="83">IF(NOT(ISBLANK(AG68)),"_","")</f>
        <v>_</v>
      </c>
      <c r="AG68" s="28" t="s">
        <v>71</v>
      </c>
      <c r="AH68" s="2" t="str">
        <f t="shared" ref="AH68:AH83" si="84">IF(NOT(ISBLANK(AI68)),"_","")</f>
        <v/>
      </c>
    </row>
    <row r="69" spans="2:34" x14ac:dyDescent="0.25">
      <c r="B69" s="2" t="str">
        <f t="shared" si="80"/>
        <v>@case_width-path_medium_z11</v>
      </c>
      <c r="C69" s="28" t="s">
        <v>85</v>
      </c>
      <c r="D69" s="28" t="s">
        <v>89</v>
      </c>
      <c r="F69" s="28" t="s">
        <v>85</v>
      </c>
      <c r="G69" s="28" t="s">
        <v>89</v>
      </c>
      <c r="I69" s="28" t="s">
        <v>97</v>
      </c>
      <c r="L69" s="28" t="s">
        <v>97</v>
      </c>
      <c r="AA69" s="2" t="s">
        <v>79</v>
      </c>
      <c r="AB69" s="2" t="str">
        <f t="shared" ref="AB69" si="85">IF(NOT(ISBLANK(AC69)),"-","")</f>
        <v>-</v>
      </c>
      <c r="AC69" s="2" t="s">
        <v>72</v>
      </c>
      <c r="AD69" s="2" t="str">
        <f t="shared" ref="AD69" si="86">IF(NOT(ISBLANK(AE69)),"_","")</f>
        <v>_</v>
      </c>
      <c r="AE69" s="2" t="s">
        <v>80</v>
      </c>
      <c r="AF69" s="2" t="str">
        <f t="shared" ref="AF69" si="87">IF(NOT(ISBLANK(AG69)),"_","")</f>
        <v>_</v>
      </c>
      <c r="AG69" s="28" t="s">
        <v>71</v>
      </c>
      <c r="AH69" s="2" t="str">
        <f t="shared" si="84"/>
        <v/>
      </c>
    </row>
    <row r="70" spans="2:34" x14ac:dyDescent="0.25">
      <c r="B70" s="2" t="str">
        <f t="shared" si="80"/>
        <v>@case_width-path_wide_z11</v>
      </c>
      <c r="C70" s="28" t="s">
        <v>86</v>
      </c>
      <c r="D70" s="28" t="s">
        <v>93</v>
      </c>
      <c r="F70" s="28" t="s">
        <v>86</v>
      </c>
      <c r="G70" s="28" t="s">
        <v>93</v>
      </c>
      <c r="I70" s="28" t="s">
        <v>85</v>
      </c>
      <c r="L70" s="28" t="s">
        <v>85</v>
      </c>
      <c r="AA70" s="2" t="s">
        <v>79</v>
      </c>
      <c r="AB70" s="2" t="str">
        <f t="shared" ref="AB70:AB73" si="88">IF(NOT(ISBLANK(AC70)),"-","")</f>
        <v>-</v>
      </c>
      <c r="AC70" s="2" t="s">
        <v>72</v>
      </c>
      <c r="AD70" s="2" t="str">
        <f t="shared" ref="AD70:AD73" si="89">IF(NOT(ISBLANK(AE70)),"_","")</f>
        <v>_</v>
      </c>
      <c r="AE70" s="2" t="s">
        <v>78</v>
      </c>
      <c r="AF70" s="2" t="str">
        <f t="shared" ref="AF70:AF73" si="90">IF(NOT(ISBLANK(AG70)),"_","")</f>
        <v>_</v>
      </c>
      <c r="AG70" s="28" t="s">
        <v>71</v>
      </c>
      <c r="AH70" s="2" t="str">
        <f t="shared" si="84"/>
        <v/>
      </c>
    </row>
    <row r="71" spans="2:34" x14ac:dyDescent="0.25">
      <c r="B71" s="2" t="str">
        <f t="shared" si="80"/>
        <v>@case_width-path_widest_z11</v>
      </c>
      <c r="C71" s="28" t="s">
        <v>86</v>
      </c>
      <c r="D71" s="28" t="s">
        <v>93</v>
      </c>
      <c r="F71" s="28" t="s">
        <v>86</v>
      </c>
      <c r="G71" s="28" t="s">
        <v>93</v>
      </c>
      <c r="I71" s="28" t="s">
        <v>85</v>
      </c>
      <c r="L71" s="28" t="s">
        <v>85</v>
      </c>
      <c r="AA71" s="2" t="s">
        <v>79</v>
      </c>
      <c r="AB71" s="2" t="str">
        <f t="shared" ref="AB71" si="91">IF(NOT(ISBLANK(AC71)),"-","")</f>
        <v>-</v>
      </c>
      <c r="AC71" s="2" t="s">
        <v>72</v>
      </c>
      <c r="AD71" s="2" t="str">
        <f t="shared" ref="AD71" si="92">IF(NOT(ISBLANK(AE71)),"_","")</f>
        <v>_</v>
      </c>
      <c r="AE71" s="2" t="s">
        <v>299</v>
      </c>
      <c r="AF71" s="2" t="str">
        <f t="shared" ref="AF71" si="93">IF(NOT(ISBLANK(AG71)),"_","")</f>
        <v>_</v>
      </c>
      <c r="AG71" s="28" t="s">
        <v>71</v>
      </c>
      <c r="AH71" s="2" t="str">
        <f t="shared" si="84"/>
        <v/>
      </c>
    </row>
    <row r="72" spans="2:34" x14ac:dyDescent="0.25">
      <c r="B72" s="2" t="str">
        <f t="shared" si="80"/>
        <v>@case_width-path_narrow_z14</v>
      </c>
      <c r="C72" s="28" t="s">
        <v>82</v>
      </c>
      <c r="D72" s="28" t="s">
        <v>91</v>
      </c>
      <c r="F72" s="28" t="s">
        <v>82</v>
      </c>
      <c r="G72" s="28" t="s">
        <v>91</v>
      </c>
      <c r="I72" s="28" t="s">
        <v>81</v>
      </c>
      <c r="L72" s="28" t="s">
        <v>81</v>
      </c>
      <c r="AA72" s="2" t="s">
        <v>79</v>
      </c>
      <c r="AB72" s="2" t="str">
        <f t="shared" si="88"/>
        <v>-</v>
      </c>
      <c r="AC72" s="2" t="s">
        <v>72</v>
      </c>
      <c r="AD72" s="2" t="str">
        <f t="shared" si="89"/>
        <v>_</v>
      </c>
      <c r="AE72" s="2" t="s">
        <v>73</v>
      </c>
      <c r="AF72" s="2" t="str">
        <f t="shared" si="90"/>
        <v>_</v>
      </c>
      <c r="AG72" s="28" t="s">
        <v>75</v>
      </c>
      <c r="AH72" s="2" t="str">
        <f t="shared" si="84"/>
        <v/>
      </c>
    </row>
    <row r="73" spans="2:34" x14ac:dyDescent="0.25">
      <c r="B73" s="2" t="str">
        <f t="shared" si="80"/>
        <v>@case_width-path_medium_z14</v>
      </c>
      <c r="C73" s="28" t="s">
        <v>86</v>
      </c>
      <c r="D73" s="28" t="s">
        <v>93</v>
      </c>
      <c r="F73" s="28" t="s">
        <v>86</v>
      </c>
      <c r="G73" s="28" t="s">
        <v>93</v>
      </c>
      <c r="I73" s="28" t="s">
        <v>98</v>
      </c>
      <c r="L73" s="28" t="s">
        <v>98</v>
      </c>
      <c r="AA73" s="2" t="s">
        <v>79</v>
      </c>
      <c r="AB73" s="2" t="str">
        <f t="shared" si="88"/>
        <v>-</v>
      </c>
      <c r="AC73" s="2" t="s">
        <v>72</v>
      </c>
      <c r="AD73" s="2" t="str">
        <f t="shared" si="89"/>
        <v>_</v>
      </c>
      <c r="AE73" s="2" t="s">
        <v>80</v>
      </c>
      <c r="AF73" s="2" t="str">
        <f t="shared" si="90"/>
        <v>_</v>
      </c>
      <c r="AG73" s="28" t="s">
        <v>75</v>
      </c>
      <c r="AH73" s="2" t="str">
        <f t="shared" si="84"/>
        <v/>
      </c>
    </row>
    <row r="74" spans="2:34" x14ac:dyDescent="0.25">
      <c r="B74" s="2" t="str">
        <f t="shared" si="80"/>
        <v>@case_width-path_wide_z14</v>
      </c>
      <c r="C74" s="28" t="s">
        <v>89</v>
      </c>
      <c r="D74" s="28" t="s">
        <v>87</v>
      </c>
      <c r="F74" s="28" t="s">
        <v>89</v>
      </c>
      <c r="G74" s="28" t="s">
        <v>87</v>
      </c>
      <c r="I74" s="28" t="s">
        <v>99</v>
      </c>
      <c r="L74" s="28" t="s">
        <v>99</v>
      </c>
      <c r="AA74" s="2" t="s">
        <v>79</v>
      </c>
      <c r="AB74" s="2" t="str">
        <f t="shared" ref="AB74:AB77" si="94">IF(NOT(ISBLANK(AC74)),"-","")</f>
        <v>-</v>
      </c>
      <c r="AC74" s="2" t="s">
        <v>72</v>
      </c>
      <c r="AD74" s="2" t="str">
        <f t="shared" ref="AD74:AD77" si="95">IF(NOT(ISBLANK(AE74)),"_","")</f>
        <v>_</v>
      </c>
      <c r="AE74" s="2" t="s">
        <v>78</v>
      </c>
      <c r="AF74" s="2" t="str">
        <f t="shared" ref="AF74:AF77" si="96">IF(NOT(ISBLANK(AG74)),"_","")</f>
        <v>_</v>
      </c>
      <c r="AG74" s="28" t="s">
        <v>75</v>
      </c>
      <c r="AH74" s="2" t="str">
        <f t="shared" si="84"/>
        <v/>
      </c>
    </row>
    <row r="75" spans="2:34" x14ac:dyDescent="0.25">
      <c r="B75" s="2" t="str">
        <f t="shared" si="80"/>
        <v>@case_width-path_widest_z14</v>
      </c>
      <c r="C75" s="28" t="s">
        <v>89</v>
      </c>
      <c r="D75" s="28" t="s">
        <v>87</v>
      </c>
      <c r="F75" s="28" t="s">
        <v>89</v>
      </c>
      <c r="G75" s="28" t="s">
        <v>87</v>
      </c>
      <c r="I75" s="28" t="s">
        <v>99</v>
      </c>
      <c r="L75" s="28" t="s">
        <v>99</v>
      </c>
      <c r="AA75" s="2" t="s">
        <v>79</v>
      </c>
      <c r="AB75" s="2" t="str">
        <f t="shared" ref="AB75" si="97">IF(NOT(ISBLANK(AC75)),"-","")</f>
        <v>-</v>
      </c>
      <c r="AC75" s="2" t="s">
        <v>72</v>
      </c>
      <c r="AD75" s="2" t="str">
        <f t="shared" ref="AD75" si="98">IF(NOT(ISBLANK(AE75)),"_","")</f>
        <v>_</v>
      </c>
      <c r="AE75" s="2" t="s">
        <v>299</v>
      </c>
      <c r="AF75" s="2" t="str">
        <f t="shared" ref="AF75" si="99">IF(NOT(ISBLANK(AG75)),"_","")</f>
        <v>_</v>
      </c>
      <c r="AG75" s="28" t="s">
        <v>75</v>
      </c>
      <c r="AH75" s="2" t="str">
        <f t="shared" si="84"/>
        <v/>
      </c>
    </row>
    <row r="76" spans="2:34" x14ac:dyDescent="0.25">
      <c r="B76" s="2" t="str">
        <f t="shared" si="80"/>
        <v>@case_width-path_narrow_z16</v>
      </c>
      <c r="C76" s="28" t="s">
        <v>89</v>
      </c>
      <c r="D76" s="28" t="s">
        <v>89</v>
      </c>
      <c r="F76" s="28" t="s">
        <v>89</v>
      </c>
      <c r="G76" s="28" t="s">
        <v>89</v>
      </c>
      <c r="I76" s="28" t="s">
        <v>81</v>
      </c>
      <c r="L76" s="28" t="s">
        <v>81</v>
      </c>
      <c r="AA76" s="2" t="s">
        <v>79</v>
      </c>
      <c r="AB76" s="2" t="str">
        <f t="shared" si="94"/>
        <v>-</v>
      </c>
      <c r="AC76" s="2" t="s">
        <v>72</v>
      </c>
      <c r="AD76" s="2" t="str">
        <f t="shared" si="95"/>
        <v>_</v>
      </c>
      <c r="AE76" s="2" t="s">
        <v>73</v>
      </c>
      <c r="AF76" s="2" t="str">
        <f t="shared" si="96"/>
        <v>_</v>
      </c>
      <c r="AG76" s="28" t="s">
        <v>76</v>
      </c>
      <c r="AH76" s="2" t="str">
        <f t="shared" si="84"/>
        <v/>
      </c>
    </row>
    <row r="77" spans="2:34" x14ac:dyDescent="0.25">
      <c r="B77" s="2" t="str">
        <f t="shared" si="80"/>
        <v>@case_width-path_medium_z16</v>
      </c>
      <c r="C77" s="28" t="s">
        <v>87</v>
      </c>
      <c r="D77" s="28" t="s">
        <v>87</v>
      </c>
      <c r="F77" s="28" t="s">
        <v>87</v>
      </c>
      <c r="G77" s="28" t="s">
        <v>87</v>
      </c>
      <c r="I77" s="28" t="s">
        <v>99</v>
      </c>
      <c r="L77" s="28" t="s">
        <v>99</v>
      </c>
      <c r="AA77" s="2" t="s">
        <v>79</v>
      </c>
      <c r="AB77" s="2" t="str">
        <f t="shared" si="94"/>
        <v>-</v>
      </c>
      <c r="AC77" s="2" t="s">
        <v>72</v>
      </c>
      <c r="AD77" s="2" t="str">
        <f t="shared" si="95"/>
        <v>_</v>
      </c>
      <c r="AE77" s="2" t="s">
        <v>80</v>
      </c>
      <c r="AF77" s="2" t="str">
        <f t="shared" si="96"/>
        <v>_</v>
      </c>
      <c r="AG77" s="28" t="s">
        <v>76</v>
      </c>
      <c r="AH77" s="2" t="str">
        <f t="shared" si="84"/>
        <v/>
      </c>
    </row>
    <row r="78" spans="2:34" x14ac:dyDescent="0.25">
      <c r="B78" s="2" t="str">
        <f t="shared" si="80"/>
        <v>@case_width-path_wide_z16</v>
      </c>
      <c r="C78" s="28" t="s">
        <v>88</v>
      </c>
      <c r="D78" s="28" t="s">
        <v>88</v>
      </c>
      <c r="F78" s="28" t="s">
        <v>88</v>
      </c>
      <c r="G78" s="28" t="s">
        <v>88</v>
      </c>
      <c r="I78" s="28" t="s">
        <v>100</v>
      </c>
      <c r="L78" s="28" t="s">
        <v>100</v>
      </c>
      <c r="AA78" s="2" t="s">
        <v>79</v>
      </c>
      <c r="AB78" s="2" t="str">
        <f t="shared" ref="AB78:AB81" si="100">IF(NOT(ISBLANK(AC78)),"-","")</f>
        <v>-</v>
      </c>
      <c r="AC78" s="2" t="s">
        <v>72</v>
      </c>
      <c r="AD78" s="2" t="str">
        <f t="shared" ref="AD78:AD81" si="101">IF(NOT(ISBLANK(AE78)),"_","")</f>
        <v>_</v>
      </c>
      <c r="AE78" s="2" t="s">
        <v>78</v>
      </c>
      <c r="AF78" s="2" t="str">
        <f t="shared" ref="AF78:AF81" si="102">IF(NOT(ISBLANK(AG78)),"_","")</f>
        <v>_</v>
      </c>
      <c r="AG78" s="28" t="s">
        <v>76</v>
      </c>
      <c r="AH78" s="2" t="str">
        <f t="shared" si="84"/>
        <v/>
      </c>
    </row>
    <row r="79" spans="2:34" x14ac:dyDescent="0.25">
      <c r="B79" s="2" t="str">
        <f t="shared" si="80"/>
        <v>@case_width-path_widest_z16</v>
      </c>
      <c r="C79" s="28" t="s">
        <v>88</v>
      </c>
      <c r="D79" s="28" t="s">
        <v>88</v>
      </c>
      <c r="F79" s="28" t="s">
        <v>88</v>
      </c>
      <c r="G79" s="28" t="s">
        <v>88</v>
      </c>
      <c r="I79" s="28" t="s">
        <v>100</v>
      </c>
      <c r="L79" s="28" t="s">
        <v>100</v>
      </c>
      <c r="AA79" s="2" t="s">
        <v>79</v>
      </c>
      <c r="AB79" s="2" t="str">
        <f t="shared" ref="AB79" si="103">IF(NOT(ISBLANK(AC79)),"-","")</f>
        <v>-</v>
      </c>
      <c r="AC79" s="2" t="s">
        <v>72</v>
      </c>
      <c r="AD79" s="2" t="str">
        <f t="shared" ref="AD79" si="104">IF(NOT(ISBLANK(AE79)),"_","")</f>
        <v>_</v>
      </c>
      <c r="AE79" s="2" t="s">
        <v>299</v>
      </c>
      <c r="AF79" s="2" t="str">
        <f t="shared" ref="AF79" si="105">IF(NOT(ISBLANK(AG79)),"_","")</f>
        <v>_</v>
      </c>
      <c r="AG79" s="28" t="s">
        <v>76</v>
      </c>
      <c r="AH79" s="2" t="str">
        <f t="shared" si="84"/>
        <v/>
      </c>
    </row>
    <row r="80" spans="2:34" x14ac:dyDescent="0.25">
      <c r="B80" s="2" t="str">
        <f t="shared" si="80"/>
        <v>@case_width-path_narrow_z18</v>
      </c>
      <c r="C80" s="28" t="s">
        <v>84</v>
      </c>
      <c r="D80" s="28" t="s">
        <v>92</v>
      </c>
      <c r="F80" s="28" t="s">
        <v>84</v>
      </c>
      <c r="G80" s="28" t="s">
        <v>92</v>
      </c>
      <c r="I80" s="28" t="s">
        <v>85</v>
      </c>
      <c r="L80" s="28" t="s">
        <v>85</v>
      </c>
      <c r="AA80" s="2" t="s">
        <v>79</v>
      </c>
      <c r="AB80" s="2" t="str">
        <f t="shared" si="100"/>
        <v>-</v>
      </c>
      <c r="AC80" s="2" t="s">
        <v>72</v>
      </c>
      <c r="AD80" s="2" t="str">
        <f t="shared" si="101"/>
        <v>_</v>
      </c>
      <c r="AE80" s="2" t="s">
        <v>73</v>
      </c>
      <c r="AF80" s="2" t="str">
        <f t="shared" si="102"/>
        <v>_</v>
      </c>
      <c r="AG80" s="28" t="s">
        <v>77</v>
      </c>
      <c r="AH80" s="2" t="str">
        <f t="shared" si="84"/>
        <v/>
      </c>
    </row>
    <row r="81" spans="2:34" x14ac:dyDescent="0.25">
      <c r="B81" s="2" t="str">
        <f t="shared" si="80"/>
        <v>@case_width-path_medium_z18</v>
      </c>
      <c r="C81" s="28" t="s">
        <v>88</v>
      </c>
      <c r="D81" s="28" t="s">
        <v>94</v>
      </c>
      <c r="F81" s="28" t="s">
        <v>88</v>
      </c>
      <c r="G81" s="28" t="s">
        <v>94</v>
      </c>
      <c r="I81" s="28" t="s">
        <v>100</v>
      </c>
      <c r="L81" s="28" t="s">
        <v>100</v>
      </c>
      <c r="AA81" s="2" t="s">
        <v>79</v>
      </c>
      <c r="AB81" s="2" t="str">
        <f t="shared" si="100"/>
        <v>-</v>
      </c>
      <c r="AC81" s="2" t="s">
        <v>72</v>
      </c>
      <c r="AD81" s="2" t="str">
        <f t="shared" si="101"/>
        <v>_</v>
      </c>
      <c r="AE81" s="2" t="s">
        <v>80</v>
      </c>
      <c r="AF81" s="2" t="str">
        <f t="shared" si="102"/>
        <v>_</v>
      </c>
      <c r="AG81" s="28" t="s">
        <v>77</v>
      </c>
      <c r="AH81" s="2" t="str">
        <f t="shared" si="84"/>
        <v/>
      </c>
    </row>
    <row r="82" spans="2:34" x14ac:dyDescent="0.25">
      <c r="B82" s="2" t="str">
        <f t="shared" si="80"/>
        <v>@case_width-path_wide_z18</v>
      </c>
      <c r="C82" s="28" t="s">
        <v>90</v>
      </c>
      <c r="D82" s="28" t="s">
        <v>95</v>
      </c>
      <c r="F82" s="28" t="s">
        <v>90</v>
      </c>
      <c r="G82" s="28" t="s">
        <v>95</v>
      </c>
      <c r="I82" s="28" t="s">
        <v>101</v>
      </c>
      <c r="L82" s="28" t="s">
        <v>101</v>
      </c>
      <c r="AA82" s="2" t="s">
        <v>79</v>
      </c>
      <c r="AB82" s="2" t="str">
        <f t="shared" ref="AB82" si="106">IF(NOT(ISBLANK(AC82)),"-","")</f>
        <v>-</v>
      </c>
      <c r="AC82" s="2" t="s">
        <v>72</v>
      </c>
      <c r="AD82" s="2" t="str">
        <f t="shared" ref="AD82" si="107">IF(NOT(ISBLANK(AE82)),"_","")</f>
        <v>_</v>
      </c>
      <c r="AE82" s="2" t="s">
        <v>78</v>
      </c>
      <c r="AF82" s="2" t="str">
        <f t="shared" ref="AF82" si="108">IF(NOT(ISBLANK(AG82)),"_","")</f>
        <v>_</v>
      </c>
      <c r="AG82" s="28" t="s">
        <v>77</v>
      </c>
      <c r="AH82" s="2" t="str">
        <f t="shared" si="84"/>
        <v/>
      </c>
    </row>
    <row r="83" spans="2:34" x14ac:dyDescent="0.25">
      <c r="B83" s="2" t="str">
        <f t="shared" si="80"/>
        <v>@case_width-path_widest_z18</v>
      </c>
      <c r="C83" s="28" t="s">
        <v>90</v>
      </c>
      <c r="D83" s="28" t="s">
        <v>95</v>
      </c>
      <c r="F83" s="28" t="s">
        <v>90</v>
      </c>
      <c r="G83" s="28" t="s">
        <v>95</v>
      </c>
      <c r="I83" s="28" t="s">
        <v>101</v>
      </c>
      <c r="L83" s="28" t="s">
        <v>101</v>
      </c>
      <c r="AA83" s="2" t="s">
        <v>79</v>
      </c>
      <c r="AB83" s="2" t="str">
        <f t="shared" ref="AB83" si="109">IF(NOT(ISBLANK(AC83)),"-","")</f>
        <v>-</v>
      </c>
      <c r="AC83" s="2" t="s">
        <v>72</v>
      </c>
      <c r="AD83" s="2" t="str">
        <f t="shared" ref="AD83" si="110">IF(NOT(ISBLANK(AE83)),"_","")</f>
        <v>_</v>
      </c>
      <c r="AE83" s="2" t="s">
        <v>299</v>
      </c>
      <c r="AF83" s="2" t="str">
        <f t="shared" ref="AF83" si="111">IF(NOT(ISBLANK(AG83)),"_","")</f>
        <v>_</v>
      </c>
      <c r="AG83" s="28" t="s">
        <v>77</v>
      </c>
      <c r="AH83" s="2" t="str">
        <f t="shared" si="84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2">_xlfn.CONCAT("@",AA85,AB85,AC85,AD85,AE85,AF85,AG85,AH85,AI85)</f>
        <v>@color-path_track_footway_cycleway_railings</v>
      </c>
      <c r="C85" s="72" t="s">
        <v>215</v>
      </c>
      <c r="D85" s="72" t="s">
        <v>215</v>
      </c>
      <c r="F85" s="31" t="s">
        <v>284</v>
      </c>
      <c r="G85" s="31" t="s">
        <v>284</v>
      </c>
      <c r="I85" s="72" t="s">
        <v>215</v>
      </c>
      <c r="J85" s="72" t="s">
        <v>215</v>
      </c>
      <c r="L85" s="31" t="s">
        <v>284</v>
      </c>
      <c r="M85" s="31" t="s">
        <v>284</v>
      </c>
      <c r="AA85" s="2" t="s">
        <v>6</v>
      </c>
      <c r="AB85" s="2" t="str">
        <f t="shared" ref="AB85" si="113">IF(NOT(ISBLANK(AC85)),"-","")</f>
        <v>-</v>
      </c>
      <c r="AC85" s="2" t="s">
        <v>352</v>
      </c>
      <c r="AD85" s="2" t="str">
        <f t="shared" ref="AD85" si="114">IF(NOT(ISBLANK(AE85)),"_","")</f>
        <v>_</v>
      </c>
      <c r="AE85" s="2" t="s">
        <v>345</v>
      </c>
      <c r="AF85" s="2" t="str">
        <f t="shared" ref="AF85" si="115">IF(NOT(ISBLANK(AG85)),"_","")</f>
        <v/>
      </c>
      <c r="AH85" s="2" t="str">
        <f t="shared" ref="AH85" si="116">IF(NOT(ISBLANK(AI85)),"_","")</f>
        <v/>
      </c>
    </row>
    <row r="86" spans="2:34" x14ac:dyDescent="0.25">
      <c r="B86" s="2" t="str">
        <f t="shared" ref="B86" si="117">_xlfn.CONCAT("@",AA86,AB86,AC86,AD86,AE86,AF86,AG86,AH86,AI86)</f>
        <v>@color-path_track_footway_cycleway_floor</v>
      </c>
      <c r="C86" s="71" t="s">
        <v>225</v>
      </c>
      <c r="D86" s="71" t="s">
        <v>225</v>
      </c>
      <c r="F86" s="72" t="s">
        <v>215</v>
      </c>
      <c r="G86" s="72" t="s">
        <v>215</v>
      </c>
      <c r="I86" s="71" t="s">
        <v>225</v>
      </c>
      <c r="J86" s="71" t="s">
        <v>225</v>
      </c>
      <c r="L86" s="72" t="s">
        <v>215</v>
      </c>
      <c r="M86" s="72" t="s">
        <v>215</v>
      </c>
      <c r="AA86" s="2" t="s">
        <v>6</v>
      </c>
      <c r="AB86" s="2" t="str">
        <f t="shared" ref="AB86" si="118">IF(NOT(ISBLANK(AC86)),"-","")</f>
        <v>-</v>
      </c>
      <c r="AC86" s="2" t="s">
        <v>352</v>
      </c>
      <c r="AD86" s="2" t="str">
        <f t="shared" ref="AD86" si="119">IF(NOT(ISBLANK(AE86)),"_","")</f>
        <v>_</v>
      </c>
      <c r="AE86" s="2" t="s">
        <v>346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2">_xlfn.CONCAT("@",AA88,AB88,AC88,AD88,AE88,AF88,AG88,AH88,AI88)</f>
        <v>@case_width-path_track_footway_cycleway_railings_z12</v>
      </c>
      <c r="C88" s="28" t="s">
        <v>132</v>
      </c>
      <c r="D88" s="28" t="s">
        <v>132</v>
      </c>
      <c r="F88" s="28" t="s">
        <v>132</v>
      </c>
      <c r="G88" s="28" t="s">
        <v>132</v>
      </c>
      <c r="I88" s="28" t="s">
        <v>132</v>
      </c>
      <c r="J88" s="28" t="s">
        <v>83</v>
      </c>
      <c r="L88" s="28" t="s">
        <v>132</v>
      </c>
      <c r="M88" s="28" t="s">
        <v>83</v>
      </c>
      <c r="AA88" s="2" t="s">
        <v>79</v>
      </c>
      <c r="AB88" s="2" t="str">
        <f t="shared" ref="AB88" si="123">IF(NOT(ISBLANK(AC88)),"-","")</f>
        <v>-</v>
      </c>
      <c r="AC88" s="2" t="s">
        <v>352</v>
      </c>
      <c r="AD88" s="2" t="str">
        <f t="shared" ref="AD88" si="124">IF(NOT(ISBLANK(AE88)),"_","")</f>
        <v>_</v>
      </c>
      <c r="AE88" s="2" t="s">
        <v>345</v>
      </c>
      <c r="AF88" s="2" t="str">
        <f t="shared" ref="AF88" si="125">IF(NOT(ISBLANK(AG88)),"_","")</f>
        <v>_</v>
      </c>
      <c r="AG88" s="28" t="s">
        <v>110</v>
      </c>
      <c r="AH88" s="2" t="str">
        <f t="shared" ref="AH88" si="126">IF(NOT(ISBLANK(AI88)),"_","")</f>
        <v/>
      </c>
    </row>
    <row r="89" spans="2:34" x14ac:dyDescent="0.25">
      <c r="B89" s="2" t="str">
        <f t="shared" ref="B89" si="127">_xlfn.CONCAT("@",AA89,AB89,AC89,AD89,AE89,AF89,AG89,AH89,AI89)</f>
        <v>@case_width-path_track_footway_cycleway_railings_z14</v>
      </c>
      <c r="C89" s="28" t="s">
        <v>347</v>
      </c>
      <c r="D89" s="28" t="s">
        <v>347</v>
      </c>
      <c r="F89" s="28" t="s">
        <v>347</v>
      </c>
      <c r="G89" s="28" t="s">
        <v>347</v>
      </c>
      <c r="I89" s="28" t="s">
        <v>87</v>
      </c>
      <c r="J89" s="28" t="s">
        <v>135</v>
      </c>
      <c r="L89" s="28" t="s">
        <v>87</v>
      </c>
      <c r="M89" s="28" t="s">
        <v>135</v>
      </c>
      <c r="AA89" s="2" t="s">
        <v>79</v>
      </c>
      <c r="AB89" s="2" t="str">
        <f t="shared" ref="AB89" si="128">IF(NOT(ISBLANK(AC89)),"-","")</f>
        <v>-</v>
      </c>
      <c r="AC89" s="2" t="s">
        <v>352</v>
      </c>
      <c r="AD89" s="2" t="str">
        <f t="shared" ref="AD89" si="129">IF(NOT(ISBLANK(AE89)),"_","")</f>
        <v>_</v>
      </c>
      <c r="AE89" s="2" t="s">
        <v>345</v>
      </c>
      <c r="AF89" s="2" t="str">
        <f t="shared" ref="AF89" si="130">IF(NOT(ISBLANK(AG89)),"_","")</f>
        <v>_</v>
      </c>
      <c r="AG89" s="28" t="s">
        <v>75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@case_width-path_track_footway_cycleway_railings_z15</v>
      </c>
      <c r="C90" s="28" t="s">
        <v>129</v>
      </c>
      <c r="D90" s="28" t="s">
        <v>316</v>
      </c>
      <c r="F90" s="28" t="s">
        <v>129</v>
      </c>
      <c r="G90" s="28" t="s">
        <v>87</v>
      </c>
      <c r="I90" s="28" t="s">
        <v>135</v>
      </c>
      <c r="J90" s="28" t="s">
        <v>330</v>
      </c>
      <c r="L90" s="28" t="s">
        <v>135</v>
      </c>
      <c r="M90" s="28" t="s">
        <v>330</v>
      </c>
      <c r="AA90" s="2" t="s">
        <v>79</v>
      </c>
      <c r="AB90" s="2" t="str">
        <f t="shared" ref="AB90" si="133">IF(NOT(ISBLANK(AC90)),"-","")</f>
        <v>-</v>
      </c>
      <c r="AC90" s="2" t="s">
        <v>352</v>
      </c>
      <c r="AD90" s="2" t="str">
        <f t="shared" ref="AD90" si="134">IF(NOT(ISBLANK(AE90)),"_","")</f>
        <v>_</v>
      </c>
      <c r="AE90" s="2" t="s">
        <v>345</v>
      </c>
      <c r="AF90" s="2" t="str">
        <f t="shared" ref="AF90" si="135">IF(NOT(ISBLANK(AG90)),"_","")</f>
        <v>_</v>
      </c>
      <c r="AG90" s="28" t="s">
        <v>340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@case_width-path_track_footway_cycleway_railings_z16</v>
      </c>
      <c r="C91" s="28" t="s">
        <v>343</v>
      </c>
      <c r="D91" s="28" t="s">
        <v>348</v>
      </c>
      <c r="F91" s="28" t="s">
        <v>343</v>
      </c>
      <c r="G91" s="28" t="s">
        <v>348</v>
      </c>
      <c r="I91" s="28" t="s">
        <v>136</v>
      </c>
      <c r="J91" s="28" t="s">
        <v>350</v>
      </c>
      <c r="L91" s="28" t="s">
        <v>136</v>
      </c>
      <c r="M91" s="28" t="s">
        <v>350</v>
      </c>
      <c r="AA91" s="2" t="s">
        <v>79</v>
      </c>
      <c r="AB91" s="2" t="str">
        <f t="shared" ref="AB91" si="138">IF(NOT(ISBLANK(AC91)),"-","")</f>
        <v>-</v>
      </c>
      <c r="AC91" s="2" t="s">
        <v>352</v>
      </c>
      <c r="AD91" s="2" t="str">
        <f t="shared" ref="AD91" si="139">IF(NOT(ISBLANK(AE91)),"_","")</f>
        <v>_</v>
      </c>
      <c r="AE91" s="2" t="s">
        <v>345</v>
      </c>
      <c r="AF91" s="2" t="str">
        <f t="shared" ref="AF91" si="140">IF(NOT(ISBLANK(AG91)),"_","")</f>
        <v>_</v>
      </c>
      <c r="AG91" s="28" t="s">
        <v>76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@case_width-path_track_footway_cycleway_railings_z18</v>
      </c>
      <c r="C92" s="28" t="s">
        <v>90</v>
      </c>
      <c r="D92" s="28" t="s">
        <v>342</v>
      </c>
      <c r="F92" s="28" t="s">
        <v>90</v>
      </c>
      <c r="G92" s="28" t="s">
        <v>342</v>
      </c>
      <c r="I92" s="28" t="s">
        <v>349</v>
      </c>
      <c r="J92" s="28" t="s">
        <v>351</v>
      </c>
      <c r="L92" s="28" t="s">
        <v>349</v>
      </c>
      <c r="M92" s="28" t="s">
        <v>351</v>
      </c>
      <c r="AA92" s="2" t="s">
        <v>79</v>
      </c>
      <c r="AB92" s="2" t="str">
        <f t="shared" ref="AB92" si="143">IF(NOT(ISBLANK(AC92)),"-","")</f>
        <v>-</v>
      </c>
      <c r="AC92" s="2" t="s">
        <v>352</v>
      </c>
      <c r="AD92" s="2" t="str">
        <f t="shared" ref="AD92" si="144">IF(NOT(ISBLANK(AE92)),"_","")</f>
        <v>_</v>
      </c>
      <c r="AE92" s="2" t="s">
        <v>345</v>
      </c>
      <c r="AF92" s="2" t="str">
        <f t="shared" ref="AF92" si="145">IF(NOT(ISBLANK(AG92)),"_","")</f>
        <v>_</v>
      </c>
      <c r="AG92" s="28" t="s">
        <v>77</v>
      </c>
      <c r="AH92" s="2" t="str">
        <f t="shared" ref="AH92" si="146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47">_xlfn.CONCAT("@",AA94,AB94,AC94,AD94,AE94,AF94,AG94,AH94,AI94)</f>
        <v>@case_width-path_track_footway_cycleway_floor_z12</v>
      </c>
      <c r="C94" s="28" t="s">
        <v>113</v>
      </c>
      <c r="D94" s="28" t="s">
        <v>113</v>
      </c>
      <c r="F94" s="28" t="s">
        <v>113</v>
      </c>
      <c r="G94" s="28" t="s">
        <v>113</v>
      </c>
      <c r="I94" s="28" t="s">
        <v>113</v>
      </c>
      <c r="J94" s="28" t="s">
        <v>91</v>
      </c>
      <c r="L94" s="28" t="s">
        <v>113</v>
      </c>
      <c r="M94" s="28" t="s">
        <v>91</v>
      </c>
      <c r="AA94" s="2" t="s">
        <v>79</v>
      </c>
      <c r="AB94" s="2" t="str">
        <f t="shared" ref="AB94" si="148">IF(NOT(ISBLANK(AC94)),"-","")</f>
        <v>-</v>
      </c>
      <c r="AC94" s="2" t="s">
        <v>352</v>
      </c>
      <c r="AD94" s="2" t="str">
        <f t="shared" ref="AD94" si="149">IF(NOT(ISBLANK(AE94)),"_","")</f>
        <v>_</v>
      </c>
      <c r="AE94" s="2" t="s">
        <v>346</v>
      </c>
      <c r="AF94" s="2" t="str">
        <f t="shared" ref="AF94" si="150">IF(NOT(ISBLANK(AG94)),"_","")</f>
        <v>_</v>
      </c>
      <c r="AG94" s="28" t="s">
        <v>110</v>
      </c>
      <c r="AH94" s="2" t="str">
        <f t="shared" ref="AH94" si="151">IF(NOT(ISBLANK(AI94)),"_","")</f>
        <v/>
      </c>
    </row>
    <row r="95" spans="2:34" x14ac:dyDescent="0.25">
      <c r="B95" s="2" t="str">
        <f t="shared" ref="B95" si="152">_xlfn.CONCAT("@",AA95,AB95,AC95,AD95,AE95,AF95,AG95,AH95,AI95)</f>
        <v>@case_width-path_track_footway_cycleway_floor_z14</v>
      </c>
      <c r="C95" s="28" t="s">
        <v>113</v>
      </c>
      <c r="D95" s="28" t="s">
        <v>113</v>
      </c>
      <c r="F95" s="28" t="s">
        <v>113</v>
      </c>
      <c r="G95" s="28" t="s">
        <v>113</v>
      </c>
      <c r="I95" s="28" t="s">
        <v>129</v>
      </c>
      <c r="J95" s="28" t="s">
        <v>316</v>
      </c>
      <c r="L95" s="28" t="s">
        <v>129</v>
      </c>
      <c r="M95" s="28" t="s">
        <v>316</v>
      </c>
      <c r="AA95" s="2" t="s">
        <v>79</v>
      </c>
      <c r="AB95" s="2" t="str">
        <f t="shared" ref="AB95" si="153">IF(NOT(ISBLANK(AC95)),"-","")</f>
        <v>-</v>
      </c>
      <c r="AC95" s="2" t="s">
        <v>352</v>
      </c>
      <c r="AD95" s="2" t="str">
        <f t="shared" ref="AD95" si="154">IF(NOT(ISBLANK(AE95)),"_","")</f>
        <v>_</v>
      </c>
      <c r="AE95" s="2" t="s">
        <v>346</v>
      </c>
      <c r="AF95" s="2" t="str">
        <f t="shared" ref="AF95" si="155">IF(NOT(ISBLANK(AG95)),"_","")</f>
        <v>_</v>
      </c>
      <c r="AG95" s="28" t="s">
        <v>75</v>
      </c>
      <c r="AH95" s="2" t="str">
        <f t="shared" ref="AH95" si="156">IF(NOT(ISBLANK(AI95)),"_","")</f>
        <v/>
      </c>
    </row>
    <row r="96" spans="2:34" x14ac:dyDescent="0.25">
      <c r="B96" s="2" t="str">
        <f t="shared" ref="B96:B97" si="157">_xlfn.CONCAT("@",AA96,AB96,AC96,AD96,AE96,AF96,AG96,AH96,AI96)</f>
        <v>@case_width-path_track_footway_cycleway_floor_z15</v>
      </c>
      <c r="C96" s="28" t="s">
        <v>89</v>
      </c>
      <c r="D96" s="28" t="s">
        <v>93</v>
      </c>
      <c r="F96" s="28" t="s">
        <v>89</v>
      </c>
      <c r="G96" s="28" t="s">
        <v>93</v>
      </c>
      <c r="I96" s="178" t="s">
        <v>84</v>
      </c>
      <c r="J96" s="28" t="s">
        <v>87</v>
      </c>
      <c r="L96" s="178" t="s">
        <v>84</v>
      </c>
      <c r="M96" s="28" t="s">
        <v>87</v>
      </c>
      <c r="AA96" s="2" t="s">
        <v>79</v>
      </c>
      <c r="AB96" s="2" t="str">
        <f t="shared" ref="AB96:AB97" si="158">IF(NOT(ISBLANK(AC96)),"-","")</f>
        <v>-</v>
      </c>
      <c r="AC96" s="2" t="s">
        <v>352</v>
      </c>
      <c r="AD96" s="2" t="str">
        <f t="shared" ref="AD96:AD97" si="159">IF(NOT(ISBLANK(AE96)),"_","")</f>
        <v>_</v>
      </c>
      <c r="AE96" s="2" t="s">
        <v>346</v>
      </c>
      <c r="AF96" s="2" t="str">
        <f t="shared" ref="AF96:AF97" si="160">IF(NOT(ISBLANK(AG96)),"_","")</f>
        <v>_</v>
      </c>
      <c r="AG96" s="28" t="s">
        <v>340</v>
      </c>
      <c r="AH96" s="2" t="str">
        <f t="shared" ref="AH96:AH97" si="161">IF(NOT(ISBLANK(AI96)),"_","")</f>
        <v/>
      </c>
    </row>
    <row r="97" spans="1:35" x14ac:dyDescent="0.25">
      <c r="B97" s="2" t="str">
        <f t="shared" si="157"/>
        <v>@case_width-path_track_footway_cycleway_floor_z16</v>
      </c>
      <c r="C97" s="28" t="s">
        <v>87</v>
      </c>
      <c r="D97" s="28" t="s">
        <v>135</v>
      </c>
      <c r="F97" s="28" t="s">
        <v>87</v>
      </c>
      <c r="G97" s="28" t="s">
        <v>135</v>
      </c>
      <c r="I97" s="28" t="s">
        <v>330</v>
      </c>
      <c r="J97" s="28" t="s">
        <v>344</v>
      </c>
      <c r="L97" s="28" t="s">
        <v>330</v>
      </c>
      <c r="M97" s="28" t="s">
        <v>344</v>
      </c>
      <c r="AA97" s="2" t="s">
        <v>79</v>
      </c>
      <c r="AB97" s="2" t="str">
        <f t="shared" si="158"/>
        <v>-</v>
      </c>
      <c r="AC97" s="2" t="s">
        <v>352</v>
      </c>
      <c r="AD97" s="2" t="str">
        <f t="shared" si="159"/>
        <v>_</v>
      </c>
      <c r="AE97" s="2" t="s">
        <v>346</v>
      </c>
      <c r="AF97" s="2" t="str">
        <f t="shared" si="160"/>
        <v>_</v>
      </c>
      <c r="AG97" s="28" t="s">
        <v>76</v>
      </c>
      <c r="AH97" s="2" t="str">
        <f t="shared" si="161"/>
        <v/>
      </c>
    </row>
    <row r="98" spans="1:35" x14ac:dyDescent="0.25">
      <c r="B98" s="2" t="str">
        <f t="shared" ref="B98" si="162">_xlfn.CONCAT("@",AA98,AB98,AC98,AD98,AE98,AF98,AG98,AH98,AI98)</f>
        <v>@case_width-path_track_footway_cycleway_floor_z18</v>
      </c>
      <c r="C98" s="28" t="s">
        <v>335</v>
      </c>
      <c r="D98" s="28" t="s">
        <v>341</v>
      </c>
      <c r="F98" s="28" t="s">
        <v>335</v>
      </c>
      <c r="G98" s="28" t="s">
        <v>341</v>
      </c>
      <c r="I98" s="28" t="s">
        <v>342</v>
      </c>
      <c r="J98" s="28" t="s">
        <v>146</v>
      </c>
      <c r="L98" s="28" t="s">
        <v>342</v>
      </c>
      <c r="M98" s="28" t="s">
        <v>146</v>
      </c>
      <c r="AA98" s="2" t="s">
        <v>79</v>
      </c>
      <c r="AB98" s="2" t="str">
        <f t="shared" ref="AB98" si="163">IF(NOT(ISBLANK(AC98)),"-","")</f>
        <v>-</v>
      </c>
      <c r="AC98" s="2" t="s">
        <v>352</v>
      </c>
      <c r="AD98" s="2" t="str">
        <f t="shared" ref="AD98" si="164">IF(NOT(ISBLANK(AE98)),"_","")</f>
        <v>_</v>
      </c>
      <c r="AE98" s="2" t="s">
        <v>346</v>
      </c>
      <c r="AF98" s="2" t="str">
        <f t="shared" ref="AF98" si="165">IF(NOT(ISBLANK(AG98)),"_","")</f>
        <v>_</v>
      </c>
      <c r="AG98" s="28" t="s">
        <v>77</v>
      </c>
      <c r="AH98" s="2" t="str">
        <f t="shared" ref="AH98" si="166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86</v>
      </c>
      <c r="D100" s="178" t="s">
        <v>357</v>
      </c>
      <c r="F100" s="28" t="s">
        <v>86</v>
      </c>
      <c r="G100" s="178" t="s">
        <v>357</v>
      </c>
      <c r="I100" s="28" t="s">
        <v>86</v>
      </c>
      <c r="J100" s="178" t="s">
        <v>357</v>
      </c>
      <c r="L100" s="28" t="s">
        <v>86</v>
      </c>
      <c r="M100" s="178" t="s">
        <v>357</v>
      </c>
      <c r="AA100" s="2" t="s">
        <v>79</v>
      </c>
      <c r="AB100" s="2" t="str">
        <f>IF(NOT(ISBLANK(AC100)),"-","")</f>
        <v>-</v>
      </c>
      <c r="AC100" s="2" t="s">
        <v>103</v>
      </c>
      <c r="AD100" s="2" t="str">
        <f>IF(NOT(ISBLANK(AE100)),"_","")</f>
        <v>_</v>
      </c>
      <c r="AE100" s="2" t="s">
        <v>265</v>
      </c>
      <c r="AF100" s="2" t="str">
        <f>IF(NOT(ISBLANK(AG100)),"_","")</f>
        <v>_</v>
      </c>
      <c r="AG100" s="28" t="s">
        <v>104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83</v>
      </c>
      <c r="D101" s="28" t="s">
        <v>84</v>
      </c>
      <c r="F101" s="28" t="s">
        <v>83</v>
      </c>
      <c r="G101" s="28" t="s">
        <v>84</v>
      </c>
      <c r="I101" s="28" t="s">
        <v>83</v>
      </c>
      <c r="J101" s="28" t="s">
        <v>84</v>
      </c>
      <c r="L101" s="28" t="s">
        <v>83</v>
      </c>
      <c r="M101" s="28" t="s">
        <v>84</v>
      </c>
      <c r="AA101" s="2" t="s">
        <v>79</v>
      </c>
      <c r="AB101" s="2" t="str">
        <f>IF(NOT(ISBLANK(AC101)),"-","")</f>
        <v>-</v>
      </c>
      <c r="AC101" s="2" t="s">
        <v>103</v>
      </c>
      <c r="AD101" s="2" t="str">
        <f>IF(NOT(ISBLANK(AE101)),"_","")</f>
        <v>_</v>
      </c>
      <c r="AE101" s="2" t="s">
        <v>265</v>
      </c>
      <c r="AF101" s="2" t="str">
        <f>IF(NOT(ISBLANK(AG101)),"_","")</f>
        <v>_</v>
      </c>
      <c r="AG101" s="28" t="s">
        <v>110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93</v>
      </c>
      <c r="D102" s="28" t="s">
        <v>87</v>
      </c>
      <c r="F102" s="28" t="s">
        <v>93</v>
      </c>
      <c r="G102" s="28" t="s">
        <v>87</v>
      </c>
      <c r="I102" s="28" t="s">
        <v>93</v>
      </c>
      <c r="J102" s="28" t="s">
        <v>87</v>
      </c>
      <c r="L102" s="28" t="s">
        <v>93</v>
      </c>
      <c r="M102" s="28" t="s">
        <v>87</v>
      </c>
      <c r="AA102" s="2" t="s">
        <v>79</v>
      </c>
      <c r="AB102" s="2" t="str">
        <f>IF(NOT(ISBLANK(AC102)),"-","")</f>
        <v>-</v>
      </c>
      <c r="AC102" s="2" t="s">
        <v>103</v>
      </c>
      <c r="AD102" s="2" t="str">
        <f>IF(NOT(ISBLANK(AE102)),"_","")</f>
        <v>_</v>
      </c>
      <c r="AE102" s="2" t="s">
        <v>265</v>
      </c>
      <c r="AF102" s="2" t="str">
        <f>IF(NOT(ISBLANK(AG102)),"_","")</f>
        <v>_</v>
      </c>
      <c r="AG102" s="28" t="s">
        <v>75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88</v>
      </c>
      <c r="D103" s="28" t="s">
        <v>88</v>
      </c>
      <c r="F103" s="28" t="s">
        <v>88</v>
      </c>
      <c r="G103" s="28" t="s">
        <v>88</v>
      </c>
      <c r="I103" s="28" t="s">
        <v>88</v>
      </c>
      <c r="J103" s="28" t="s">
        <v>88</v>
      </c>
      <c r="L103" s="28" t="s">
        <v>88</v>
      </c>
      <c r="M103" s="28" t="s">
        <v>88</v>
      </c>
      <c r="AA103" s="2" t="s">
        <v>79</v>
      </c>
      <c r="AB103" s="2" t="str">
        <f>IF(NOT(ISBLANK(AC103)),"-","")</f>
        <v>-</v>
      </c>
      <c r="AC103" s="2" t="s">
        <v>103</v>
      </c>
      <c r="AD103" s="2" t="str">
        <f>IF(NOT(ISBLANK(AE103)),"_","")</f>
        <v>_</v>
      </c>
      <c r="AE103" s="2" t="s">
        <v>265</v>
      </c>
      <c r="AF103" s="2" t="str">
        <f>IF(NOT(ISBLANK(AG103)),"_","")</f>
        <v>_</v>
      </c>
      <c r="AG103" s="28" t="s">
        <v>76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90</v>
      </c>
      <c r="D104" s="28" t="s">
        <v>95</v>
      </c>
      <c r="F104" s="28" t="s">
        <v>90</v>
      </c>
      <c r="G104" s="28" t="s">
        <v>95</v>
      </c>
      <c r="I104" s="28" t="s">
        <v>90</v>
      </c>
      <c r="J104" s="28" t="s">
        <v>95</v>
      </c>
      <c r="L104" s="28" t="s">
        <v>90</v>
      </c>
      <c r="M104" s="28" t="s">
        <v>95</v>
      </c>
      <c r="AA104" s="2" t="s">
        <v>79</v>
      </c>
      <c r="AB104" s="2" t="str">
        <f>IF(NOT(ISBLANK(AC104)),"-","")</f>
        <v>-</v>
      </c>
      <c r="AC104" s="2" t="s">
        <v>103</v>
      </c>
      <c r="AD104" s="2" t="str">
        <f>IF(NOT(ISBLANK(AE104)),"_","")</f>
        <v>_</v>
      </c>
      <c r="AE104" s="2" t="s">
        <v>265</v>
      </c>
      <c r="AF104" s="2" t="str">
        <f>IF(NOT(ISBLANK(AG104)),"_","")</f>
        <v>_</v>
      </c>
      <c r="AG104" s="28" t="s">
        <v>77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337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67">_xlfn.CONCAT("@",AA107,AB107,AC107,AD107,AE107,AF107,AG107,AH107,AI107)</f>
        <v>@line_width-path_narrow_z12</v>
      </c>
      <c r="C107" s="28" t="s">
        <v>121</v>
      </c>
      <c r="D107" s="28" t="s">
        <v>123</v>
      </c>
      <c r="F107" s="28" t="s">
        <v>121</v>
      </c>
      <c r="G107" s="28" t="s">
        <v>123</v>
      </c>
      <c r="I107" s="28" t="s">
        <v>121</v>
      </c>
      <c r="J107" s="28" t="s">
        <v>123</v>
      </c>
      <c r="L107" s="28" t="s">
        <v>121</v>
      </c>
      <c r="M107" s="28" t="s">
        <v>123</v>
      </c>
      <c r="AA107" s="2" t="s">
        <v>120</v>
      </c>
      <c r="AB107" s="2" t="str">
        <f t="shared" ref="AB107:AB122" si="168">IF(NOT(ISBLANK(AC107)),"-","")</f>
        <v>-</v>
      </c>
      <c r="AC107" s="2" t="s">
        <v>72</v>
      </c>
      <c r="AD107" s="2" t="str">
        <f t="shared" ref="AD107:AD122" si="169">IF(NOT(ISBLANK(AE107)),"_","")</f>
        <v>_</v>
      </c>
      <c r="AE107" s="2" t="s">
        <v>73</v>
      </c>
      <c r="AF107" s="2" t="str">
        <f t="shared" ref="AF107:AF122" si="170">IF(NOT(ISBLANK(AG107)),"_","")</f>
        <v>_</v>
      </c>
      <c r="AG107" s="28" t="s">
        <v>110</v>
      </c>
      <c r="AH107" s="2" t="str">
        <f t="shared" ref="AH107:AH122" si="171">IF(NOT(ISBLANK(AI107)),"_","")</f>
        <v/>
      </c>
    </row>
    <row r="108" spans="1:35" x14ac:dyDescent="0.25">
      <c r="B108" s="2" t="str">
        <f t="shared" si="167"/>
        <v>@line_width-path_medium_z12</v>
      </c>
      <c r="C108" s="28" t="s">
        <v>123</v>
      </c>
      <c r="D108" s="28" t="s">
        <v>117</v>
      </c>
      <c r="F108" s="28" t="s">
        <v>123</v>
      </c>
      <c r="G108" s="28" t="s">
        <v>117</v>
      </c>
      <c r="I108" s="28" t="s">
        <v>123</v>
      </c>
      <c r="J108" s="28" t="s">
        <v>117</v>
      </c>
      <c r="L108" s="28" t="s">
        <v>123</v>
      </c>
      <c r="M108" s="28" t="s">
        <v>117</v>
      </c>
      <c r="AA108" s="2" t="s">
        <v>120</v>
      </c>
      <c r="AB108" s="2" t="str">
        <f t="shared" si="168"/>
        <v>-</v>
      </c>
      <c r="AC108" s="2" t="s">
        <v>72</v>
      </c>
      <c r="AD108" s="2" t="str">
        <f t="shared" si="169"/>
        <v>_</v>
      </c>
      <c r="AE108" s="2" t="s">
        <v>80</v>
      </c>
      <c r="AF108" s="2" t="str">
        <f t="shared" si="170"/>
        <v>_</v>
      </c>
      <c r="AG108" s="28" t="s">
        <v>110</v>
      </c>
      <c r="AH108" s="2" t="str">
        <f t="shared" si="171"/>
        <v/>
      </c>
    </row>
    <row r="109" spans="1:35" x14ac:dyDescent="0.25">
      <c r="B109" s="2" t="str">
        <f t="shared" si="167"/>
        <v>@line_width-path_wide_z12</v>
      </c>
      <c r="C109" s="28" t="s">
        <v>98</v>
      </c>
      <c r="D109" s="28" t="s">
        <v>124</v>
      </c>
      <c r="F109" s="28" t="s">
        <v>98</v>
      </c>
      <c r="G109" s="28" t="s">
        <v>124</v>
      </c>
      <c r="I109" s="28" t="s">
        <v>98</v>
      </c>
      <c r="J109" s="28" t="s">
        <v>124</v>
      </c>
      <c r="L109" s="28" t="s">
        <v>98</v>
      </c>
      <c r="M109" s="28" t="s">
        <v>124</v>
      </c>
      <c r="AA109" s="2" t="s">
        <v>120</v>
      </c>
      <c r="AB109" s="2" t="str">
        <f t="shared" si="168"/>
        <v>-</v>
      </c>
      <c r="AC109" s="2" t="s">
        <v>72</v>
      </c>
      <c r="AD109" s="2" t="str">
        <f t="shared" si="169"/>
        <v>_</v>
      </c>
      <c r="AE109" s="2" t="s">
        <v>78</v>
      </c>
      <c r="AF109" s="2" t="str">
        <f t="shared" si="170"/>
        <v>_</v>
      </c>
      <c r="AG109" s="28" t="s">
        <v>110</v>
      </c>
      <c r="AH109" s="2" t="str">
        <f t="shared" si="171"/>
        <v/>
      </c>
    </row>
    <row r="110" spans="1:35" x14ac:dyDescent="0.25">
      <c r="B110" s="2" t="str">
        <f t="shared" si="167"/>
        <v>@line_width-path_widest_z12</v>
      </c>
      <c r="C110" s="28" t="s">
        <v>98</v>
      </c>
      <c r="D110" s="28" t="s">
        <v>124</v>
      </c>
      <c r="F110" s="28" t="s">
        <v>98</v>
      </c>
      <c r="G110" s="28" t="s">
        <v>124</v>
      </c>
      <c r="I110" s="28" t="s">
        <v>98</v>
      </c>
      <c r="J110" s="28" t="s">
        <v>124</v>
      </c>
      <c r="L110" s="28" t="s">
        <v>98</v>
      </c>
      <c r="M110" s="28" t="s">
        <v>124</v>
      </c>
      <c r="AA110" s="2" t="s">
        <v>120</v>
      </c>
      <c r="AB110" s="2" t="str">
        <f t="shared" si="168"/>
        <v>-</v>
      </c>
      <c r="AC110" s="2" t="s">
        <v>72</v>
      </c>
      <c r="AD110" s="2" t="str">
        <f t="shared" si="169"/>
        <v>_</v>
      </c>
      <c r="AE110" s="2" t="s">
        <v>299</v>
      </c>
      <c r="AF110" s="2" t="str">
        <f t="shared" si="170"/>
        <v>_</v>
      </c>
      <c r="AG110" s="28" t="s">
        <v>110</v>
      </c>
      <c r="AH110" s="2" t="str">
        <f t="shared" si="171"/>
        <v/>
      </c>
    </row>
    <row r="111" spans="1:35" x14ac:dyDescent="0.25">
      <c r="B111" s="2" t="str">
        <f t="shared" si="167"/>
        <v>@line_width-path_narrow_z14</v>
      </c>
      <c r="C111" s="28" t="s">
        <v>97</v>
      </c>
      <c r="D111" s="28" t="s">
        <v>98</v>
      </c>
      <c r="F111" s="28" t="s">
        <v>97</v>
      </c>
      <c r="G111" s="28" t="s">
        <v>98</v>
      </c>
      <c r="I111" s="28" t="s">
        <v>96</v>
      </c>
      <c r="J111" s="28" t="s">
        <v>116</v>
      </c>
      <c r="L111" s="28" t="s">
        <v>96</v>
      </c>
      <c r="M111" s="28" t="s">
        <v>116</v>
      </c>
      <c r="AA111" s="2" t="s">
        <v>120</v>
      </c>
      <c r="AB111" s="2" t="str">
        <f t="shared" si="168"/>
        <v>-</v>
      </c>
      <c r="AC111" s="2" t="s">
        <v>72</v>
      </c>
      <c r="AD111" s="2" t="str">
        <f t="shared" si="169"/>
        <v>_</v>
      </c>
      <c r="AE111" s="2" t="s">
        <v>73</v>
      </c>
      <c r="AF111" s="2" t="str">
        <f t="shared" si="170"/>
        <v>_</v>
      </c>
      <c r="AG111" s="28" t="s">
        <v>75</v>
      </c>
      <c r="AH111" s="2" t="str">
        <f t="shared" si="171"/>
        <v/>
      </c>
    </row>
    <row r="112" spans="1:35" x14ac:dyDescent="0.25">
      <c r="B112" s="2" t="str">
        <f t="shared" si="167"/>
        <v>@line_width-path_medium_z14</v>
      </c>
      <c r="C112" s="28" t="s">
        <v>81</v>
      </c>
      <c r="D112" s="28" t="s">
        <v>85</v>
      </c>
      <c r="F112" s="28" t="s">
        <v>81</v>
      </c>
      <c r="G112" s="28" t="s">
        <v>85</v>
      </c>
      <c r="I112" s="28" t="s">
        <v>97</v>
      </c>
      <c r="J112" s="28" t="s">
        <v>98</v>
      </c>
      <c r="L112" s="28" t="s">
        <v>97</v>
      </c>
      <c r="M112" s="28" t="s">
        <v>98</v>
      </c>
      <c r="AA112" s="2" t="s">
        <v>120</v>
      </c>
      <c r="AB112" s="2" t="str">
        <f t="shared" si="168"/>
        <v>-</v>
      </c>
      <c r="AC112" s="2" t="s">
        <v>72</v>
      </c>
      <c r="AD112" s="2" t="str">
        <f t="shared" si="169"/>
        <v>_</v>
      </c>
      <c r="AE112" s="2" t="s">
        <v>80</v>
      </c>
      <c r="AF112" s="2" t="str">
        <f t="shared" si="170"/>
        <v>_</v>
      </c>
      <c r="AG112" s="28" t="s">
        <v>75</v>
      </c>
      <c r="AH112" s="2" t="str">
        <f t="shared" si="171"/>
        <v/>
      </c>
    </row>
    <row r="113" spans="2:34" x14ac:dyDescent="0.25">
      <c r="B113" s="2" t="str">
        <f t="shared" si="167"/>
        <v>@line_width-path_wide_z14</v>
      </c>
      <c r="C113" s="28" t="s">
        <v>124</v>
      </c>
      <c r="D113" s="28" t="s">
        <v>127</v>
      </c>
      <c r="F113" s="28" t="s">
        <v>124</v>
      </c>
      <c r="G113" s="28" t="s">
        <v>127</v>
      </c>
      <c r="I113" s="28" t="s">
        <v>85</v>
      </c>
      <c r="J113" s="28" t="s">
        <v>113</v>
      </c>
      <c r="L113" s="28" t="s">
        <v>85</v>
      </c>
      <c r="M113" s="28" t="s">
        <v>113</v>
      </c>
      <c r="AA113" s="2" t="s">
        <v>120</v>
      </c>
      <c r="AB113" s="2" t="str">
        <f t="shared" si="168"/>
        <v>-</v>
      </c>
      <c r="AC113" s="2" t="s">
        <v>72</v>
      </c>
      <c r="AD113" s="2" t="str">
        <f t="shared" si="169"/>
        <v>_</v>
      </c>
      <c r="AE113" s="2" t="s">
        <v>78</v>
      </c>
      <c r="AF113" s="2" t="str">
        <f t="shared" si="170"/>
        <v>_</v>
      </c>
      <c r="AG113" s="28" t="s">
        <v>75</v>
      </c>
      <c r="AH113" s="2" t="str">
        <f t="shared" si="171"/>
        <v/>
      </c>
    </row>
    <row r="114" spans="2:34" x14ac:dyDescent="0.25">
      <c r="B114" s="2" t="str">
        <f t="shared" si="167"/>
        <v>@line_width-path_widest_z14</v>
      </c>
      <c r="C114" s="28" t="s">
        <v>124</v>
      </c>
      <c r="D114" s="28" t="s">
        <v>127</v>
      </c>
      <c r="F114" s="28" t="s">
        <v>124</v>
      </c>
      <c r="G114" s="28" t="s">
        <v>127</v>
      </c>
      <c r="I114" s="28" t="s">
        <v>85</v>
      </c>
      <c r="J114" s="28" t="s">
        <v>113</v>
      </c>
      <c r="L114" s="28" t="s">
        <v>85</v>
      </c>
      <c r="M114" s="28" t="s">
        <v>113</v>
      </c>
      <c r="AA114" s="2" t="s">
        <v>120</v>
      </c>
      <c r="AB114" s="2" t="str">
        <f t="shared" si="168"/>
        <v>-</v>
      </c>
      <c r="AC114" s="2" t="s">
        <v>72</v>
      </c>
      <c r="AD114" s="2" t="str">
        <f t="shared" si="169"/>
        <v>_</v>
      </c>
      <c r="AE114" s="2" t="s">
        <v>299</v>
      </c>
      <c r="AF114" s="2" t="str">
        <f t="shared" si="170"/>
        <v>_</v>
      </c>
      <c r="AG114" s="28" t="s">
        <v>75</v>
      </c>
      <c r="AH114" s="2" t="str">
        <f t="shared" si="171"/>
        <v/>
      </c>
    </row>
    <row r="115" spans="2:34" x14ac:dyDescent="0.25">
      <c r="B115" s="2" t="str">
        <f t="shared" si="167"/>
        <v>@line_width-path_narrow_z16</v>
      </c>
      <c r="C115" s="28" t="s">
        <v>81</v>
      </c>
      <c r="D115" s="28" t="s">
        <v>86</v>
      </c>
      <c r="F115" s="28" t="s">
        <v>81</v>
      </c>
      <c r="G115" s="28" t="s">
        <v>86</v>
      </c>
      <c r="I115" s="28" t="s">
        <v>81</v>
      </c>
      <c r="J115" s="28" t="s">
        <v>85</v>
      </c>
      <c r="L115" s="28" t="s">
        <v>81</v>
      </c>
      <c r="M115" s="28" t="s">
        <v>85</v>
      </c>
      <c r="AA115" s="2" t="s">
        <v>120</v>
      </c>
      <c r="AB115" s="2" t="str">
        <f t="shared" si="168"/>
        <v>-</v>
      </c>
      <c r="AC115" s="2" t="s">
        <v>72</v>
      </c>
      <c r="AD115" s="2" t="str">
        <f t="shared" si="169"/>
        <v>_</v>
      </c>
      <c r="AE115" s="2" t="s">
        <v>73</v>
      </c>
      <c r="AF115" s="2" t="str">
        <f t="shared" si="170"/>
        <v>_</v>
      </c>
      <c r="AG115" s="28" t="s">
        <v>76</v>
      </c>
      <c r="AH115" s="2" t="str">
        <f t="shared" si="171"/>
        <v/>
      </c>
    </row>
    <row r="116" spans="2:34" x14ac:dyDescent="0.25">
      <c r="B116" s="2" t="str">
        <f t="shared" si="167"/>
        <v>@line_width-path_medium_z16</v>
      </c>
      <c r="C116" s="28" t="s">
        <v>124</v>
      </c>
      <c r="D116" s="28" t="s">
        <v>127</v>
      </c>
      <c r="F116" s="28" t="s">
        <v>124</v>
      </c>
      <c r="G116" s="28" t="s">
        <v>127</v>
      </c>
      <c r="I116" s="28" t="s">
        <v>98</v>
      </c>
      <c r="J116" s="28" t="s">
        <v>124</v>
      </c>
      <c r="L116" s="28" t="s">
        <v>98</v>
      </c>
      <c r="M116" s="28" t="s">
        <v>124</v>
      </c>
      <c r="AA116" s="2" t="s">
        <v>120</v>
      </c>
      <c r="AB116" s="2" t="str">
        <f t="shared" si="168"/>
        <v>-</v>
      </c>
      <c r="AC116" s="2" t="s">
        <v>72</v>
      </c>
      <c r="AD116" s="2" t="str">
        <f t="shared" si="169"/>
        <v>_</v>
      </c>
      <c r="AE116" s="2" t="s">
        <v>80</v>
      </c>
      <c r="AF116" s="2" t="str">
        <f t="shared" si="170"/>
        <v>_</v>
      </c>
      <c r="AG116" s="28" t="s">
        <v>76</v>
      </c>
      <c r="AH116" s="2" t="str">
        <f t="shared" si="171"/>
        <v/>
      </c>
    </row>
    <row r="117" spans="2:34" x14ac:dyDescent="0.25">
      <c r="B117" s="2" t="str">
        <f t="shared" si="167"/>
        <v>@line_width-path_wide_z16</v>
      </c>
      <c r="C117" s="28" t="s">
        <v>89</v>
      </c>
      <c r="D117" s="28" t="s">
        <v>129</v>
      </c>
      <c r="F117" s="28" t="s">
        <v>89</v>
      </c>
      <c r="G117" s="28" t="s">
        <v>129</v>
      </c>
      <c r="I117" s="28" t="s">
        <v>99</v>
      </c>
      <c r="J117" s="28" t="s">
        <v>100</v>
      </c>
      <c r="L117" s="28" t="s">
        <v>99</v>
      </c>
      <c r="M117" s="28" t="s">
        <v>100</v>
      </c>
      <c r="AA117" s="2" t="s">
        <v>120</v>
      </c>
      <c r="AB117" s="2" t="str">
        <f t="shared" si="168"/>
        <v>-</v>
      </c>
      <c r="AC117" s="2" t="s">
        <v>72</v>
      </c>
      <c r="AD117" s="2" t="str">
        <f t="shared" si="169"/>
        <v>_</v>
      </c>
      <c r="AE117" s="2" t="s">
        <v>78</v>
      </c>
      <c r="AF117" s="2" t="str">
        <f t="shared" si="170"/>
        <v>_</v>
      </c>
      <c r="AG117" s="28" t="s">
        <v>76</v>
      </c>
      <c r="AH117" s="2" t="str">
        <f t="shared" si="171"/>
        <v/>
      </c>
    </row>
    <row r="118" spans="2:34" x14ac:dyDescent="0.25">
      <c r="B118" s="2" t="str">
        <f t="shared" si="167"/>
        <v>@line_width-path_widest_z16</v>
      </c>
      <c r="C118" s="28" t="s">
        <v>89</v>
      </c>
      <c r="D118" s="28" t="s">
        <v>129</v>
      </c>
      <c r="F118" s="28" t="s">
        <v>89</v>
      </c>
      <c r="G118" s="28" t="s">
        <v>129</v>
      </c>
      <c r="I118" s="28" t="s">
        <v>99</v>
      </c>
      <c r="J118" s="28" t="s">
        <v>100</v>
      </c>
      <c r="L118" s="28" t="s">
        <v>99</v>
      </c>
      <c r="M118" s="28" t="s">
        <v>100</v>
      </c>
      <c r="AA118" s="2" t="s">
        <v>120</v>
      </c>
      <c r="AB118" s="2" t="str">
        <f t="shared" si="168"/>
        <v>-</v>
      </c>
      <c r="AC118" s="2" t="s">
        <v>72</v>
      </c>
      <c r="AD118" s="2" t="str">
        <f t="shared" si="169"/>
        <v>_</v>
      </c>
      <c r="AE118" s="2" t="s">
        <v>299</v>
      </c>
      <c r="AF118" s="2" t="str">
        <f t="shared" si="170"/>
        <v>_</v>
      </c>
      <c r="AG118" s="28" t="s">
        <v>76</v>
      </c>
      <c r="AH118" s="2" t="str">
        <f t="shared" si="171"/>
        <v/>
      </c>
    </row>
    <row r="119" spans="2:34" x14ac:dyDescent="0.25">
      <c r="B119" s="2" t="str">
        <f t="shared" si="167"/>
        <v>@line_width-path_narrow_z18</v>
      </c>
      <c r="C119" s="28" t="s">
        <v>86</v>
      </c>
      <c r="D119" s="28" t="s">
        <v>89</v>
      </c>
      <c r="F119" s="28" t="s">
        <v>86</v>
      </c>
      <c r="G119" s="28" t="s">
        <v>89</v>
      </c>
      <c r="I119" s="28" t="s">
        <v>81</v>
      </c>
      <c r="J119" s="28" t="s">
        <v>85</v>
      </c>
      <c r="L119" s="28" t="s">
        <v>81</v>
      </c>
      <c r="M119" s="28" t="s">
        <v>85</v>
      </c>
      <c r="AA119" s="2" t="s">
        <v>120</v>
      </c>
      <c r="AB119" s="2" t="str">
        <f t="shared" si="168"/>
        <v>-</v>
      </c>
      <c r="AC119" s="2" t="s">
        <v>72</v>
      </c>
      <c r="AD119" s="2" t="str">
        <f t="shared" si="169"/>
        <v>_</v>
      </c>
      <c r="AE119" s="2" t="s">
        <v>73</v>
      </c>
      <c r="AF119" s="2" t="str">
        <f t="shared" si="170"/>
        <v>_</v>
      </c>
      <c r="AG119" s="28" t="s">
        <v>77</v>
      </c>
      <c r="AH119" s="2" t="str">
        <f t="shared" si="171"/>
        <v/>
      </c>
    </row>
    <row r="120" spans="2:34" x14ac:dyDescent="0.25">
      <c r="B120" s="2" t="str">
        <f t="shared" si="167"/>
        <v>@line_width-path_medium_z18</v>
      </c>
      <c r="C120" s="28" t="s">
        <v>83</v>
      </c>
      <c r="D120" s="28" t="s">
        <v>128</v>
      </c>
      <c r="F120" s="28" t="s">
        <v>83</v>
      </c>
      <c r="G120" s="28" t="s">
        <v>128</v>
      </c>
      <c r="I120" s="28" t="s">
        <v>99</v>
      </c>
      <c r="J120" s="28" t="s">
        <v>100</v>
      </c>
      <c r="L120" s="28" t="s">
        <v>99</v>
      </c>
      <c r="M120" s="28" t="s">
        <v>100</v>
      </c>
      <c r="AA120" s="2" t="s">
        <v>120</v>
      </c>
      <c r="AB120" s="2" t="str">
        <f t="shared" si="168"/>
        <v>-</v>
      </c>
      <c r="AC120" s="2" t="s">
        <v>72</v>
      </c>
      <c r="AD120" s="2" t="str">
        <f t="shared" si="169"/>
        <v>_</v>
      </c>
      <c r="AE120" s="2" t="s">
        <v>80</v>
      </c>
      <c r="AF120" s="2" t="str">
        <f t="shared" si="170"/>
        <v>_</v>
      </c>
      <c r="AG120" s="28" t="s">
        <v>77</v>
      </c>
      <c r="AH120" s="2" t="str">
        <f t="shared" si="171"/>
        <v/>
      </c>
    </row>
    <row r="121" spans="2:34" x14ac:dyDescent="0.25">
      <c r="B121" s="2" t="str">
        <f t="shared" si="167"/>
        <v>@line_width-path_wide_z18</v>
      </c>
      <c r="C121" s="28" t="s">
        <v>316</v>
      </c>
      <c r="D121" s="28" t="s">
        <v>130</v>
      </c>
      <c r="F121" s="28" t="s">
        <v>316</v>
      </c>
      <c r="G121" s="28" t="s">
        <v>130</v>
      </c>
      <c r="I121" s="28" t="s">
        <v>100</v>
      </c>
      <c r="J121" s="28" t="s">
        <v>101</v>
      </c>
      <c r="L121" s="28" t="s">
        <v>100</v>
      </c>
      <c r="M121" s="28" t="s">
        <v>101</v>
      </c>
      <c r="AA121" s="2" t="s">
        <v>120</v>
      </c>
      <c r="AB121" s="2" t="str">
        <f t="shared" si="168"/>
        <v>-</v>
      </c>
      <c r="AC121" s="2" t="s">
        <v>72</v>
      </c>
      <c r="AD121" s="2" t="str">
        <f t="shared" si="169"/>
        <v>_</v>
      </c>
      <c r="AE121" s="2" t="s">
        <v>78</v>
      </c>
      <c r="AF121" s="2" t="str">
        <f t="shared" si="170"/>
        <v>_</v>
      </c>
      <c r="AG121" s="28" t="s">
        <v>77</v>
      </c>
      <c r="AH121" s="2" t="str">
        <f t="shared" si="171"/>
        <v/>
      </c>
    </row>
    <row r="122" spans="2:34" x14ac:dyDescent="0.25">
      <c r="B122" s="2" t="str">
        <f t="shared" si="167"/>
        <v>@line_width-path_widest_z18</v>
      </c>
      <c r="C122" s="28" t="s">
        <v>316</v>
      </c>
      <c r="D122" s="28" t="s">
        <v>130</v>
      </c>
      <c r="F122" s="28" t="s">
        <v>316</v>
      </c>
      <c r="G122" s="28" t="s">
        <v>130</v>
      </c>
      <c r="I122" s="28" t="s">
        <v>100</v>
      </c>
      <c r="J122" s="28" t="s">
        <v>101</v>
      </c>
      <c r="L122" s="28" t="s">
        <v>100</v>
      </c>
      <c r="M122" s="28" t="s">
        <v>101</v>
      </c>
      <c r="AA122" s="2" t="s">
        <v>120</v>
      </c>
      <c r="AB122" s="2" t="str">
        <f t="shared" si="168"/>
        <v>-</v>
      </c>
      <c r="AC122" s="2" t="s">
        <v>72</v>
      </c>
      <c r="AD122" s="2" t="str">
        <f t="shared" si="169"/>
        <v>_</v>
      </c>
      <c r="AE122" s="2" t="s">
        <v>299</v>
      </c>
      <c r="AF122" s="2" t="str">
        <f t="shared" si="170"/>
        <v>_</v>
      </c>
      <c r="AG122" s="28" t="s">
        <v>77</v>
      </c>
      <c r="AH122" s="2" t="str">
        <f t="shared" si="171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121</v>
      </c>
      <c r="D124" s="28" t="s">
        <v>82</v>
      </c>
      <c r="F124" s="28" t="s">
        <v>121</v>
      </c>
      <c r="G124" s="28" t="s">
        <v>82</v>
      </c>
      <c r="I124" s="28" t="s">
        <v>97</v>
      </c>
      <c r="J124" s="28" t="s">
        <v>356</v>
      </c>
      <c r="L124" s="28" t="s">
        <v>97</v>
      </c>
      <c r="M124" s="28" t="s">
        <v>356</v>
      </c>
      <c r="AA124" s="2" t="s">
        <v>120</v>
      </c>
      <c r="AB124" s="2" t="str">
        <f t="shared" ref="AB124:AB128" si="172">IF(NOT(ISBLANK(AC124)),"-","")</f>
        <v>-</v>
      </c>
      <c r="AC124" s="2" t="s">
        <v>103</v>
      </c>
      <c r="AD124" s="2" t="str">
        <f t="shared" ref="AD124:AD128" si="173">IF(NOT(ISBLANK(AE124)),"_","")</f>
        <v>_</v>
      </c>
      <c r="AE124" s="2" t="s">
        <v>265</v>
      </c>
      <c r="AF124" s="2" t="str">
        <f t="shared" ref="AF124:AF128" si="174">IF(NOT(ISBLANK(AG124)),"_","")</f>
        <v>_</v>
      </c>
      <c r="AG124" s="28" t="s">
        <v>104</v>
      </c>
      <c r="AH124" s="2" t="str">
        <f t="shared" ref="AH124:AH128" si="175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97</v>
      </c>
      <c r="D125" s="28" t="s">
        <v>99</v>
      </c>
      <c r="F125" s="28" t="s">
        <v>97</v>
      </c>
      <c r="G125" s="28" t="s">
        <v>99</v>
      </c>
      <c r="I125" s="28" t="s">
        <v>98</v>
      </c>
      <c r="J125" s="28" t="s">
        <v>124</v>
      </c>
      <c r="L125" s="28" t="s">
        <v>98</v>
      </c>
      <c r="M125" s="28" t="s">
        <v>124</v>
      </c>
      <c r="AA125" s="2" t="s">
        <v>120</v>
      </c>
      <c r="AB125" s="2" t="str">
        <f t="shared" si="172"/>
        <v>-</v>
      </c>
      <c r="AC125" s="2" t="s">
        <v>103</v>
      </c>
      <c r="AD125" s="2" t="str">
        <f t="shared" si="173"/>
        <v>_</v>
      </c>
      <c r="AE125" s="2" t="s">
        <v>265</v>
      </c>
      <c r="AF125" s="2" t="str">
        <f t="shared" si="174"/>
        <v>_</v>
      </c>
      <c r="AG125" s="28" t="s">
        <v>110</v>
      </c>
      <c r="AH125" s="2" t="str">
        <f t="shared" si="175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82</v>
      </c>
      <c r="D126" s="28" t="s">
        <v>86</v>
      </c>
      <c r="F126" s="28" t="s">
        <v>82</v>
      </c>
      <c r="G126" s="28" t="s">
        <v>86</v>
      </c>
      <c r="I126" s="28" t="s">
        <v>99</v>
      </c>
      <c r="J126" s="28" t="s">
        <v>100</v>
      </c>
      <c r="L126" s="28" t="s">
        <v>99</v>
      </c>
      <c r="M126" s="28" t="s">
        <v>100</v>
      </c>
      <c r="AA126" s="2" t="s">
        <v>120</v>
      </c>
      <c r="AB126" s="2" t="str">
        <f t="shared" si="172"/>
        <v>-</v>
      </c>
      <c r="AC126" s="2" t="s">
        <v>103</v>
      </c>
      <c r="AD126" s="2" t="str">
        <f t="shared" si="173"/>
        <v>_</v>
      </c>
      <c r="AE126" s="2" t="s">
        <v>265</v>
      </c>
      <c r="AF126" s="2" t="str">
        <f t="shared" si="174"/>
        <v>_</v>
      </c>
      <c r="AG126" s="28" t="s">
        <v>75</v>
      </c>
      <c r="AH126" s="2" t="str">
        <f t="shared" si="175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83</v>
      </c>
      <c r="D127" s="28" t="s">
        <v>128</v>
      </c>
      <c r="F127" s="28" t="s">
        <v>83</v>
      </c>
      <c r="G127" s="28" t="s">
        <v>128</v>
      </c>
      <c r="I127" s="28" t="s">
        <v>93</v>
      </c>
      <c r="J127" s="28" t="s">
        <v>87</v>
      </c>
      <c r="L127" s="28" t="s">
        <v>93</v>
      </c>
      <c r="M127" s="28" t="s">
        <v>87</v>
      </c>
      <c r="AA127" s="2" t="s">
        <v>120</v>
      </c>
      <c r="AB127" s="2" t="str">
        <f t="shared" si="172"/>
        <v>-</v>
      </c>
      <c r="AC127" s="2" t="s">
        <v>103</v>
      </c>
      <c r="AD127" s="2" t="str">
        <f t="shared" si="173"/>
        <v>_</v>
      </c>
      <c r="AE127" s="2" t="s">
        <v>265</v>
      </c>
      <c r="AF127" s="2" t="str">
        <f t="shared" si="174"/>
        <v>_</v>
      </c>
      <c r="AG127" s="28" t="s">
        <v>76</v>
      </c>
      <c r="AH127" s="2" t="str">
        <f t="shared" si="175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135</v>
      </c>
      <c r="D128" s="28" t="s">
        <v>136</v>
      </c>
      <c r="F128" s="28" t="s">
        <v>135</v>
      </c>
      <c r="G128" s="28" t="s">
        <v>136</v>
      </c>
      <c r="I128" s="28" t="s">
        <v>330</v>
      </c>
      <c r="J128" s="28" t="s">
        <v>335</v>
      </c>
      <c r="L128" s="28" t="s">
        <v>330</v>
      </c>
      <c r="M128" s="28" t="s">
        <v>335</v>
      </c>
      <c r="AA128" s="2" t="s">
        <v>120</v>
      </c>
      <c r="AB128" s="2" t="str">
        <f t="shared" si="172"/>
        <v>-</v>
      </c>
      <c r="AC128" s="2" t="s">
        <v>103</v>
      </c>
      <c r="AD128" s="2" t="str">
        <f t="shared" si="173"/>
        <v>_</v>
      </c>
      <c r="AE128" s="2" t="s">
        <v>265</v>
      </c>
      <c r="AF128" s="2" t="str">
        <f t="shared" si="174"/>
        <v>_</v>
      </c>
      <c r="AG128" s="28" t="s">
        <v>77</v>
      </c>
      <c r="AH128" s="2" t="str">
        <f t="shared" si="175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339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76">IF(NOT(ISBLANK(AC130)),"-","")</f>
        <v/>
      </c>
      <c r="AC130" s="4"/>
      <c r="AD130" s="4" t="str">
        <f t="shared" ref="AD130:AD254" si="177">IF(NOT(ISBLANK(AE130)),"_","")</f>
        <v/>
      </c>
      <c r="AE130" s="4"/>
      <c r="AF130" s="4" t="str">
        <f t="shared" ref="AF130:AF254" si="178">IF(NOT(ISBLANK(AG130)),"_","")</f>
        <v/>
      </c>
      <c r="AG130" s="4"/>
      <c r="AH130" s="4" t="str">
        <f t="shared" ref="AH130:AH178" si="179">IF(NOT(ISBLANK(AI130)),"_","")</f>
        <v/>
      </c>
      <c r="AI130" s="4"/>
    </row>
    <row r="131" spans="1:35" x14ac:dyDescent="0.25">
      <c r="B131" s="2" t="str">
        <f t="shared" ref="B131" si="180">_xlfn.CONCAT("@",AA131,AB131,AC131,AD131,AE131,AF131,AG131,AH131,AI131)</f>
        <v>@color-cycleway_case</v>
      </c>
      <c r="C131" s="71" t="s">
        <v>225</v>
      </c>
      <c r="D131" s="71" t="s">
        <v>225</v>
      </c>
      <c r="F131" s="72" t="s">
        <v>215</v>
      </c>
      <c r="G131" s="72" t="s">
        <v>215</v>
      </c>
      <c r="I131" s="71" t="s">
        <v>225</v>
      </c>
      <c r="J131" s="71" t="s">
        <v>225</v>
      </c>
      <c r="L131" s="72" t="s">
        <v>215</v>
      </c>
      <c r="M131" s="72" t="s">
        <v>215</v>
      </c>
      <c r="AA131" s="2" t="s">
        <v>6</v>
      </c>
      <c r="AB131" s="2" t="str">
        <f t="shared" ref="AB131" si="181">IF(NOT(ISBLANK(AC131)),"-","")</f>
        <v>-</v>
      </c>
      <c r="AC131" s="2" t="s">
        <v>12</v>
      </c>
      <c r="AD131" s="2" t="str">
        <f t="shared" ref="AD131" si="182">IF(NOT(ISBLANK(AE131)),"_","")</f>
        <v>_</v>
      </c>
      <c r="AE131" s="2" t="s">
        <v>17</v>
      </c>
      <c r="AF131" s="2" t="str">
        <f t="shared" ref="AF131" si="183">IF(NOT(ISBLANK(AG131)),"_","")</f>
        <v/>
      </c>
      <c r="AH131" s="2" t="str">
        <f t="shared" si="179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225</v>
      </c>
      <c r="D132" s="71" t="s">
        <v>225</v>
      </c>
      <c r="F132" s="72" t="s">
        <v>215</v>
      </c>
      <c r="G132" s="72" t="s">
        <v>215</v>
      </c>
      <c r="I132" s="71" t="s">
        <v>225</v>
      </c>
      <c r="J132" s="71" t="s">
        <v>225</v>
      </c>
      <c r="L132" s="72" t="s">
        <v>215</v>
      </c>
      <c r="M132" s="72" t="s">
        <v>215</v>
      </c>
      <c r="AA132" s="2" t="s">
        <v>6</v>
      </c>
      <c r="AB132" s="2" t="str">
        <f t="shared" ref="AB132:AB135" si="184">IF(NOT(ISBLANK(AC132)),"-","")</f>
        <v>-</v>
      </c>
      <c r="AC132" s="2" t="s">
        <v>35</v>
      </c>
      <c r="AD132" s="2" t="str">
        <f t="shared" ref="AD132:AD135" si="185">IF(NOT(ISBLANK(AE132)),"_","")</f>
        <v>_</v>
      </c>
      <c r="AE132" s="2" t="s">
        <v>17</v>
      </c>
      <c r="AF132" s="2" t="str">
        <f t="shared" ref="AF132:AF135" si="186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87">_xlfn.CONCAT("@",AA134,AB134,AC134,AD134,AE134,AF134,AG134,AH134,AI134)</f>
        <v>@case_width-cycleway_default_z12</v>
      </c>
      <c r="C134" s="28" t="s">
        <v>113</v>
      </c>
      <c r="D134" s="28" t="s">
        <v>113</v>
      </c>
      <c r="F134" s="28" t="s">
        <v>113</v>
      </c>
      <c r="G134" s="28" t="s">
        <v>113</v>
      </c>
      <c r="I134" s="28" t="s">
        <v>113</v>
      </c>
      <c r="J134" s="28" t="s">
        <v>91</v>
      </c>
      <c r="L134" s="28" t="s">
        <v>113</v>
      </c>
      <c r="M134" s="28" t="s">
        <v>91</v>
      </c>
      <c r="AA134" s="2" t="s">
        <v>79</v>
      </c>
      <c r="AB134" s="2" t="str">
        <f t="shared" ref="AB134" si="188">IF(NOT(ISBLANK(AC134)),"-","")</f>
        <v>-</v>
      </c>
      <c r="AC134" s="2" t="s">
        <v>12</v>
      </c>
      <c r="AD134" s="2" t="str">
        <f t="shared" ref="AD134" si="189">IF(NOT(ISBLANK(AE134)),"_","")</f>
        <v>_</v>
      </c>
      <c r="AE134" s="2" t="s">
        <v>265</v>
      </c>
      <c r="AF134" s="2" t="str">
        <f t="shared" ref="AF134" si="190">IF(NOT(ISBLANK(AG134)),"_","")</f>
        <v>_</v>
      </c>
      <c r="AG134" s="28" t="s">
        <v>110</v>
      </c>
      <c r="AH134" s="2" t="str">
        <f t="shared" ref="AH134" si="191">IF(NOT(ISBLANK(AI134)),"_","")</f>
        <v/>
      </c>
    </row>
    <row r="135" spans="1:35" x14ac:dyDescent="0.25">
      <c r="B135" s="2" t="str">
        <f t="shared" ref="B135" si="192">_xlfn.CONCAT("@",AA135,AB135,AC135,AD135,AE135,AF135,AG135,AH135,AI135)</f>
        <v>@case_width-cycleway_default_z14</v>
      </c>
      <c r="C135" s="28" t="s">
        <v>113</v>
      </c>
      <c r="D135" s="28" t="s">
        <v>113</v>
      </c>
      <c r="F135" s="28" t="s">
        <v>113</v>
      </c>
      <c r="G135" s="28" t="s">
        <v>113</v>
      </c>
      <c r="I135" s="28" t="s">
        <v>129</v>
      </c>
      <c r="J135" s="28" t="s">
        <v>316</v>
      </c>
      <c r="L135" s="28" t="s">
        <v>129</v>
      </c>
      <c r="M135" s="28" t="s">
        <v>316</v>
      </c>
      <c r="AA135" s="2" t="s">
        <v>79</v>
      </c>
      <c r="AB135" s="2" t="str">
        <f t="shared" si="184"/>
        <v>-</v>
      </c>
      <c r="AC135" s="2" t="s">
        <v>12</v>
      </c>
      <c r="AD135" s="2" t="str">
        <f t="shared" si="185"/>
        <v>_</v>
      </c>
      <c r="AE135" s="2" t="s">
        <v>265</v>
      </c>
      <c r="AF135" s="2" t="str">
        <f t="shared" si="186"/>
        <v>_</v>
      </c>
      <c r="AG135" s="28" t="s">
        <v>75</v>
      </c>
      <c r="AH135" s="2" t="str">
        <f t="shared" ref="AH135" si="193">IF(NOT(ISBLANK(AI135)),"_","")</f>
        <v/>
      </c>
    </row>
    <row r="136" spans="1:35" x14ac:dyDescent="0.25">
      <c r="B136" s="2" t="str">
        <f t="shared" ref="B136" si="194">_xlfn.CONCAT("@",AA136,AB136,AC136,AD136,AE136,AF136,AG136,AH136,AI136)</f>
        <v>@case_width-cycleway_default_z15</v>
      </c>
      <c r="C136" s="28" t="s">
        <v>89</v>
      </c>
      <c r="D136" s="28" t="s">
        <v>93</v>
      </c>
      <c r="F136" s="28" t="s">
        <v>89</v>
      </c>
      <c r="G136" s="28" t="s">
        <v>93</v>
      </c>
      <c r="I136" s="178" t="s">
        <v>84</v>
      </c>
      <c r="J136" s="28" t="s">
        <v>87</v>
      </c>
      <c r="L136" s="178" t="s">
        <v>84</v>
      </c>
      <c r="M136" s="28" t="s">
        <v>87</v>
      </c>
      <c r="AA136" s="2" t="s">
        <v>79</v>
      </c>
      <c r="AB136" s="2" t="str">
        <f t="shared" ref="AB136" si="195">IF(NOT(ISBLANK(AC136)),"-","")</f>
        <v>-</v>
      </c>
      <c r="AC136" s="2" t="s">
        <v>12</v>
      </c>
      <c r="AD136" s="2" t="str">
        <f t="shared" ref="AD136" si="196">IF(NOT(ISBLANK(AE136)),"_","")</f>
        <v>_</v>
      </c>
      <c r="AE136" s="2" t="s">
        <v>265</v>
      </c>
      <c r="AF136" s="2" t="str">
        <f t="shared" ref="AF136" si="197">IF(NOT(ISBLANK(AG136)),"_","")</f>
        <v>_</v>
      </c>
      <c r="AG136" s="28" t="s">
        <v>340</v>
      </c>
      <c r="AH136" s="2" t="str">
        <f t="shared" ref="AH136" si="198">IF(NOT(ISBLANK(AI136)),"_","")</f>
        <v/>
      </c>
    </row>
    <row r="137" spans="1:35" x14ac:dyDescent="0.25">
      <c r="B137" s="2" t="str">
        <f t="shared" ref="B137" si="199">_xlfn.CONCAT("@",AA137,AB137,AC137,AD137,AE137,AF137,AG137,AH137,AI137)</f>
        <v>@case_width-cycleway_default_z16</v>
      </c>
      <c r="C137" s="28" t="s">
        <v>87</v>
      </c>
      <c r="D137" s="28" t="s">
        <v>135</v>
      </c>
      <c r="F137" s="28" t="s">
        <v>87</v>
      </c>
      <c r="G137" s="28" t="s">
        <v>135</v>
      </c>
      <c r="I137" s="28" t="s">
        <v>330</v>
      </c>
      <c r="J137" s="28" t="s">
        <v>344</v>
      </c>
      <c r="L137" s="28" t="s">
        <v>330</v>
      </c>
      <c r="M137" s="28" t="s">
        <v>344</v>
      </c>
      <c r="AA137" s="2" t="s">
        <v>79</v>
      </c>
      <c r="AB137" s="2" t="str">
        <f t="shared" ref="AB137" si="200">IF(NOT(ISBLANK(AC137)),"-","")</f>
        <v>-</v>
      </c>
      <c r="AC137" s="2" t="s">
        <v>12</v>
      </c>
      <c r="AD137" s="2" t="str">
        <f t="shared" ref="AD137" si="201">IF(NOT(ISBLANK(AE137)),"_","")</f>
        <v>_</v>
      </c>
      <c r="AE137" s="2" t="s">
        <v>265</v>
      </c>
      <c r="AF137" s="2" t="str">
        <f t="shared" ref="AF137" si="202">IF(NOT(ISBLANK(AG137)),"_","")</f>
        <v>_</v>
      </c>
      <c r="AG137" s="28" t="s">
        <v>76</v>
      </c>
      <c r="AH137" s="2" t="str">
        <f t="shared" ref="AH137" si="203">IF(NOT(ISBLANK(AI137)),"_","")</f>
        <v/>
      </c>
    </row>
    <row r="138" spans="1:35" x14ac:dyDescent="0.25">
      <c r="B138" s="2" t="str">
        <f t="shared" ref="B138" si="204">_xlfn.CONCAT("@",AA138,AB138,AC138,AD138,AE138,AF138,AG138,AH138,AI138)</f>
        <v>@case_width-cycleway_default_z18</v>
      </c>
      <c r="C138" s="28" t="s">
        <v>335</v>
      </c>
      <c r="D138" s="28" t="s">
        <v>341</v>
      </c>
      <c r="F138" s="28" t="s">
        <v>335</v>
      </c>
      <c r="G138" s="28" t="s">
        <v>341</v>
      </c>
      <c r="I138" s="28" t="s">
        <v>342</v>
      </c>
      <c r="J138" s="28" t="s">
        <v>146</v>
      </c>
      <c r="L138" s="28" t="s">
        <v>342</v>
      </c>
      <c r="M138" s="28" t="s">
        <v>146</v>
      </c>
      <c r="AA138" s="2" t="s">
        <v>79</v>
      </c>
      <c r="AB138" s="2" t="str">
        <f t="shared" ref="AB138" si="205">IF(NOT(ISBLANK(AC138)),"-","")</f>
        <v>-</v>
      </c>
      <c r="AC138" s="2" t="s">
        <v>12</v>
      </c>
      <c r="AD138" s="2" t="str">
        <f t="shared" ref="AD138" si="206">IF(NOT(ISBLANK(AE138)),"_","")</f>
        <v>_</v>
      </c>
      <c r="AE138" s="2" t="s">
        <v>265</v>
      </c>
      <c r="AF138" s="2" t="str">
        <f t="shared" ref="AF138" si="207">IF(NOT(ISBLANK(AG138)),"_","")</f>
        <v>_</v>
      </c>
      <c r="AG138" s="28" t="s">
        <v>77</v>
      </c>
      <c r="AH138" s="2" t="str">
        <f t="shared" ref="AH138" si="208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338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186</v>
      </c>
      <c r="D141" s="74" t="str">
        <f>C141</f>
        <v>"#3046d7"</v>
      </c>
      <c r="F141" s="73" t="s">
        <v>186</v>
      </c>
      <c r="G141" s="74" t="str">
        <f>F141</f>
        <v>"#3046d7"</v>
      </c>
      <c r="I141" s="73" t="s">
        <v>186</v>
      </c>
      <c r="J141" s="74" t="str">
        <f>I141</f>
        <v>"#3046d7"</v>
      </c>
      <c r="L141" s="73" t="s">
        <v>186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187</v>
      </c>
      <c r="D142" s="76" t="str">
        <f>C142</f>
        <v>"#a43820"</v>
      </c>
      <c r="F142" s="75" t="s">
        <v>187</v>
      </c>
      <c r="G142" s="76" t="str">
        <f>F142</f>
        <v>"#a43820"</v>
      </c>
      <c r="I142" s="75" t="s">
        <v>187</v>
      </c>
      <c r="J142" s="76" t="str">
        <f>I142</f>
        <v>"#a43820"</v>
      </c>
      <c r="L142" s="75" t="s">
        <v>187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35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76"/>
        <v/>
      </c>
      <c r="AC143" s="2"/>
      <c r="AD143" s="2" t="str">
        <f t="shared" si="177"/>
        <v/>
      </c>
      <c r="AE143" s="2"/>
      <c r="AF143" s="28" t="str">
        <f t="shared" si="178"/>
        <v/>
      </c>
      <c r="AH143" s="28" t="str">
        <f t="shared" si="179"/>
        <v/>
      </c>
    </row>
    <row r="144" spans="1:35" x14ac:dyDescent="0.25">
      <c r="B144" s="2" t="str">
        <f t="shared" ref="B144" si="209">_xlfn.CONCAT("@",AA144,AB144,AC144,AD144,AE144,AF144,AG144,AH144,AI144)</f>
        <v>@line_width-cycleway_paved_or_uk_z12</v>
      </c>
      <c r="C144" s="28" t="s">
        <v>85</v>
      </c>
      <c r="D144" s="28" t="s">
        <v>85</v>
      </c>
      <c r="F144" s="28" t="s">
        <v>85</v>
      </c>
      <c r="G144" s="28" t="s">
        <v>85</v>
      </c>
      <c r="I144" s="28" t="s">
        <v>124</v>
      </c>
      <c r="J144" s="28" t="s">
        <v>124</v>
      </c>
      <c r="L144" s="28" t="s">
        <v>124</v>
      </c>
      <c r="M144" s="28" t="s">
        <v>124</v>
      </c>
      <c r="AA144" s="2" t="s">
        <v>120</v>
      </c>
      <c r="AB144" s="2" t="str">
        <f t="shared" ref="AB144" si="210">IF(NOT(ISBLANK(AC144)),"-","")</f>
        <v>-</v>
      </c>
      <c r="AC144" s="2" t="s">
        <v>12</v>
      </c>
      <c r="AD144" s="2" t="str">
        <f t="shared" ref="AD144" si="211">IF(NOT(ISBLANK(AE144)),"_","")</f>
        <v>_</v>
      </c>
      <c r="AE144" s="2" t="s">
        <v>25</v>
      </c>
      <c r="AF144" s="2" t="str">
        <f t="shared" ref="AF144" si="212">IF(NOT(ISBLANK(AG144)),"_","")</f>
        <v>_</v>
      </c>
      <c r="AG144" s="28" t="s">
        <v>110</v>
      </c>
      <c r="AH144" s="2" t="str">
        <f t="shared" ref="AH144" si="213">IF(NOT(ISBLANK(AI144)),"_","")</f>
        <v/>
      </c>
    </row>
    <row r="145" spans="2:34" x14ac:dyDescent="0.25">
      <c r="B145" s="2" t="str">
        <f t="shared" ref="B145" si="214">_xlfn.CONCAT("@",AA145,AB145,AC145,AD145,AE145,AF145,AG145,AH145,AI145)</f>
        <v>@line_width-cycleway_paved_or_uk_z14</v>
      </c>
      <c r="C145" s="28" t="s">
        <v>124</v>
      </c>
      <c r="D145" s="28" t="s">
        <v>91</v>
      </c>
      <c r="F145" s="28" t="s">
        <v>124</v>
      </c>
      <c r="G145" s="28" t="s">
        <v>91</v>
      </c>
      <c r="I145" s="28" t="s">
        <v>113</v>
      </c>
      <c r="J145" s="28" t="s">
        <v>353</v>
      </c>
      <c r="L145" s="28" t="s">
        <v>113</v>
      </c>
      <c r="M145" s="28" t="s">
        <v>353</v>
      </c>
      <c r="AA145" s="2" t="s">
        <v>120</v>
      </c>
      <c r="AB145" s="2" t="str">
        <f t="shared" ref="AB145" si="215">IF(NOT(ISBLANK(AC145)),"-","")</f>
        <v>-</v>
      </c>
      <c r="AC145" s="2" t="s">
        <v>12</v>
      </c>
      <c r="AD145" s="2" t="str">
        <f t="shared" ref="AD145" si="216">IF(NOT(ISBLANK(AE145)),"_","")</f>
        <v>_</v>
      </c>
      <c r="AE145" s="2" t="s">
        <v>25</v>
      </c>
      <c r="AF145" s="2" t="str">
        <f t="shared" ref="AF145" si="217">IF(NOT(ISBLANK(AG145)),"_","")</f>
        <v>_</v>
      </c>
      <c r="AG145" s="28" t="s">
        <v>75</v>
      </c>
      <c r="AH145" s="2" t="str">
        <f t="shared" ref="AH145" si="218">IF(NOT(ISBLANK(AI145)),"_","")</f>
        <v/>
      </c>
    </row>
    <row r="146" spans="2:34" x14ac:dyDescent="0.25">
      <c r="B146" s="2" t="str">
        <f t="shared" ref="B146" si="219">_xlfn.CONCAT("@",AA146,AB146,AC146,AD146,AE146,AF146,AG146,AH146,AI146)</f>
        <v>@line_width-cycleway_paved_or_uk_z16</v>
      </c>
      <c r="C146" s="28" t="s">
        <v>89</v>
      </c>
      <c r="D146" s="28" t="s">
        <v>93</v>
      </c>
      <c r="F146" s="28" t="s">
        <v>89</v>
      </c>
      <c r="G146" s="28" t="s">
        <v>93</v>
      </c>
      <c r="I146" s="28" t="s">
        <v>83</v>
      </c>
      <c r="J146" s="28" t="s">
        <v>84</v>
      </c>
      <c r="L146" s="28" t="s">
        <v>83</v>
      </c>
      <c r="M146" s="28" t="s">
        <v>84</v>
      </c>
      <c r="AA146" s="2" t="s">
        <v>120</v>
      </c>
      <c r="AB146" s="2" t="str">
        <f t="shared" ref="AB146" si="220">IF(NOT(ISBLANK(AC146)),"-","")</f>
        <v>-</v>
      </c>
      <c r="AC146" s="2" t="s">
        <v>12</v>
      </c>
      <c r="AD146" s="2" t="str">
        <f t="shared" ref="AD146" si="221">IF(NOT(ISBLANK(AE146)),"_","")</f>
        <v>_</v>
      </c>
      <c r="AE146" s="2" t="s">
        <v>25</v>
      </c>
      <c r="AF146" s="2" t="str">
        <f t="shared" ref="AF146" si="222">IF(NOT(ISBLANK(AG146)),"_","")</f>
        <v>_</v>
      </c>
      <c r="AG146" s="28" t="s">
        <v>76</v>
      </c>
      <c r="AH146" s="2" t="str">
        <f t="shared" ref="AH146" si="223">IF(NOT(ISBLANK(AI146)),"_","")</f>
        <v/>
      </c>
    </row>
    <row r="147" spans="2:34" x14ac:dyDescent="0.25">
      <c r="B147" s="2" t="str">
        <f t="shared" ref="B147" si="224">_xlfn.CONCAT("@",AA147,AB147,AC147,AD147,AE147,AF147,AG147,AH147,AI147)</f>
        <v>@line_width-cycleway_paved_or_uk_z18</v>
      </c>
      <c r="C147" s="28" t="s">
        <v>87</v>
      </c>
      <c r="D147" s="28" t="s">
        <v>344</v>
      </c>
      <c r="F147" s="28" t="s">
        <v>87</v>
      </c>
      <c r="G147" s="28" t="s">
        <v>344</v>
      </c>
      <c r="I147" s="28" t="s">
        <v>135</v>
      </c>
      <c r="J147" s="28" t="s">
        <v>335</v>
      </c>
      <c r="L147" s="28" t="s">
        <v>135</v>
      </c>
      <c r="M147" s="28" t="s">
        <v>335</v>
      </c>
      <c r="AA147" s="2" t="s">
        <v>120</v>
      </c>
      <c r="AB147" s="2" t="str">
        <f t="shared" ref="AB147" si="225">IF(NOT(ISBLANK(AC147)),"-","")</f>
        <v>-</v>
      </c>
      <c r="AC147" s="2" t="s">
        <v>12</v>
      </c>
      <c r="AD147" s="2" t="str">
        <f t="shared" ref="AD147" si="226">IF(NOT(ISBLANK(AE147)),"_","")</f>
        <v>_</v>
      </c>
      <c r="AE147" s="2" t="s">
        <v>25</v>
      </c>
      <c r="AF147" s="2" t="str">
        <f t="shared" ref="AF147" si="227">IF(NOT(ISBLANK(AG147)),"_","")</f>
        <v>_</v>
      </c>
      <c r="AG147" s="28" t="s">
        <v>77</v>
      </c>
      <c r="AH147" s="2" t="str">
        <f t="shared" ref="AH147" si="228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29">_xlfn.CONCAT("@",AA149,AB149,AC149,AD149,AE149,AF149,AG149,AH149,AI149)</f>
        <v>@line_width-cycleway_unpaved_z12</v>
      </c>
      <c r="C149" s="178" t="s">
        <v>113</v>
      </c>
      <c r="D149" s="28" t="s">
        <v>113</v>
      </c>
      <c r="F149" s="178" t="s">
        <v>113</v>
      </c>
      <c r="G149" s="28" t="s">
        <v>113</v>
      </c>
      <c r="I149" s="28" t="s">
        <v>127</v>
      </c>
      <c r="J149" s="28" t="s">
        <v>127</v>
      </c>
      <c r="L149" s="28" t="s">
        <v>127</v>
      </c>
      <c r="M149" s="28" t="s">
        <v>127</v>
      </c>
      <c r="AA149" s="2" t="s">
        <v>120</v>
      </c>
      <c r="AB149" s="2" t="str">
        <f t="shared" ref="AB149:AB152" si="230">IF(NOT(ISBLANK(AC149)),"-","")</f>
        <v>-</v>
      </c>
      <c r="AC149" s="2" t="s">
        <v>12</v>
      </c>
      <c r="AD149" s="2" t="str">
        <f t="shared" ref="AD149:AD152" si="231">IF(NOT(ISBLANK(AE149)),"_","")</f>
        <v>_</v>
      </c>
      <c r="AE149" s="2" t="s">
        <v>22</v>
      </c>
      <c r="AF149" s="2" t="str">
        <f t="shared" ref="AF149:AF152" si="232">IF(NOT(ISBLANK(AG149)),"_","")</f>
        <v>_</v>
      </c>
      <c r="AG149" s="28" t="s">
        <v>110</v>
      </c>
      <c r="AH149" s="2" t="str">
        <f t="shared" ref="AH149:AH152" si="233">IF(NOT(ISBLANK(AI149)),"_","")</f>
        <v/>
      </c>
    </row>
    <row r="150" spans="2:34" x14ac:dyDescent="0.25">
      <c r="B150" s="2" t="str">
        <f t="shared" si="229"/>
        <v>@line_width-cycleway_unpaved_z14</v>
      </c>
      <c r="C150" s="28" t="s">
        <v>127</v>
      </c>
      <c r="D150" s="28" t="s">
        <v>347</v>
      </c>
      <c r="F150" s="28" t="s">
        <v>127</v>
      </c>
      <c r="G150" s="28" t="s">
        <v>347</v>
      </c>
      <c r="I150" s="28" t="s">
        <v>354</v>
      </c>
      <c r="J150" s="28" t="s">
        <v>355</v>
      </c>
      <c r="L150" s="28" t="s">
        <v>354</v>
      </c>
      <c r="M150" s="28" t="s">
        <v>355</v>
      </c>
      <c r="AA150" s="2" t="s">
        <v>120</v>
      </c>
      <c r="AB150" s="2" t="str">
        <f t="shared" si="230"/>
        <v>-</v>
      </c>
      <c r="AC150" s="2" t="s">
        <v>12</v>
      </c>
      <c r="AD150" s="2" t="str">
        <f t="shared" si="231"/>
        <v>_</v>
      </c>
      <c r="AE150" s="2" t="s">
        <v>22</v>
      </c>
      <c r="AF150" s="2" t="str">
        <f t="shared" si="232"/>
        <v>_</v>
      </c>
      <c r="AG150" s="28" t="s">
        <v>75</v>
      </c>
      <c r="AH150" s="2" t="str">
        <f t="shared" si="233"/>
        <v/>
      </c>
    </row>
    <row r="151" spans="2:34" x14ac:dyDescent="0.25">
      <c r="B151" s="2" t="str">
        <f t="shared" si="229"/>
        <v>@line_width-cycleway_unpaved_z16</v>
      </c>
      <c r="C151" s="28" t="s">
        <v>129</v>
      </c>
      <c r="D151" s="28" t="s">
        <v>87</v>
      </c>
      <c r="F151" s="28" t="s">
        <v>129</v>
      </c>
      <c r="G151" s="28" t="s">
        <v>87</v>
      </c>
      <c r="I151" s="28" t="s">
        <v>128</v>
      </c>
      <c r="J151" s="28" t="s">
        <v>92</v>
      </c>
      <c r="L151" s="28" t="s">
        <v>128</v>
      </c>
      <c r="M151" s="28" t="s">
        <v>92</v>
      </c>
      <c r="AA151" s="2" t="s">
        <v>120</v>
      </c>
      <c r="AB151" s="2" t="str">
        <f t="shared" si="230"/>
        <v>-</v>
      </c>
      <c r="AC151" s="2" t="s">
        <v>12</v>
      </c>
      <c r="AD151" s="2" t="str">
        <f t="shared" si="231"/>
        <v>_</v>
      </c>
      <c r="AE151" s="2" t="s">
        <v>22</v>
      </c>
      <c r="AF151" s="2" t="str">
        <f t="shared" si="232"/>
        <v>_</v>
      </c>
      <c r="AG151" s="28" t="s">
        <v>76</v>
      </c>
      <c r="AH151" s="2" t="str">
        <f t="shared" si="233"/>
        <v/>
      </c>
    </row>
    <row r="152" spans="2:34" x14ac:dyDescent="0.25">
      <c r="B152" s="2" t="str">
        <f t="shared" si="229"/>
        <v>@line_width-cycleway_unpaved_z18</v>
      </c>
      <c r="C152" s="28" t="s">
        <v>88</v>
      </c>
      <c r="D152" s="28" t="s">
        <v>90</v>
      </c>
      <c r="F152" s="28" t="s">
        <v>88</v>
      </c>
      <c r="G152" s="28" t="s">
        <v>90</v>
      </c>
      <c r="I152" s="28" t="s">
        <v>136</v>
      </c>
      <c r="J152" s="28" t="s">
        <v>146</v>
      </c>
      <c r="L152" s="28" t="s">
        <v>136</v>
      </c>
      <c r="M152" s="28" t="s">
        <v>146</v>
      </c>
      <c r="AA152" s="2" t="s">
        <v>120</v>
      </c>
      <c r="AB152" s="2" t="str">
        <f t="shared" si="230"/>
        <v>-</v>
      </c>
      <c r="AC152" s="2" t="s">
        <v>12</v>
      </c>
      <c r="AD152" s="2" t="str">
        <f t="shared" si="231"/>
        <v>_</v>
      </c>
      <c r="AE152" s="2" t="s">
        <v>22</v>
      </c>
      <c r="AF152" s="2" t="str">
        <f t="shared" si="232"/>
        <v>_</v>
      </c>
      <c r="AG152" s="28" t="s">
        <v>77</v>
      </c>
      <c r="AH152" s="2" t="str">
        <f t="shared" si="233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4">_xlfn.CONCAT("@",AA154,AB154,AC154,AD154,AE154,AF154,AG154,AH154,AI154)</f>
        <v>@line_width-footway_default_z12</v>
      </c>
      <c r="C154" s="178" t="s">
        <v>97</v>
      </c>
      <c r="D154" s="28" t="s">
        <v>117</v>
      </c>
      <c r="F154" s="178" t="s">
        <v>97</v>
      </c>
      <c r="G154" s="28" t="s">
        <v>117</v>
      </c>
      <c r="I154" s="178" t="s">
        <v>97</v>
      </c>
      <c r="J154" s="28" t="s">
        <v>117</v>
      </c>
      <c r="L154" s="178" t="s">
        <v>97</v>
      </c>
      <c r="M154" s="28" t="s">
        <v>117</v>
      </c>
      <c r="AA154" s="2" t="s">
        <v>120</v>
      </c>
      <c r="AB154" s="2" t="str">
        <f t="shared" ref="AB154:AB157" si="235">IF(NOT(ISBLANK(AC154)),"-","")</f>
        <v>-</v>
      </c>
      <c r="AC154" s="2" t="s">
        <v>35</v>
      </c>
      <c r="AD154" s="2" t="str">
        <f t="shared" ref="AD154:AD157" si="236">IF(NOT(ISBLANK(AE154)),"_","")</f>
        <v>_</v>
      </c>
      <c r="AE154" s="2" t="s">
        <v>265</v>
      </c>
      <c r="AF154" s="2" t="str">
        <f t="shared" ref="AF154:AF157" si="237">IF(NOT(ISBLANK(AG154)),"_","")</f>
        <v>_</v>
      </c>
      <c r="AG154" s="28" t="s">
        <v>110</v>
      </c>
      <c r="AH154" s="2" t="str">
        <f t="shared" ref="AH154:AH157" si="238">IF(NOT(ISBLANK(AI154)),"_","")</f>
        <v/>
      </c>
    </row>
    <row r="155" spans="2:34" x14ac:dyDescent="0.25">
      <c r="B155" s="2" t="str">
        <f t="shared" si="234"/>
        <v>@line_width-footway_default_z14</v>
      </c>
      <c r="C155" s="28" t="s">
        <v>85</v>
      </c>
      <c r="D155" s="28" t="s">
        <v>91</v>
      </c>
      <c r="F155" s="28" t="s">
        <v>85</v>
      </c>
      <c r="G155" s="28" t="s">
        <v>91</v>
      </c>
      <c r="I155" s="28" t="s">
        <v>85</v>
      </c>
      <c r="J155" s="28" t="s">
        <v>91</v>
      </c>
      <c r="L155" s="28" t="s">
        <v>85</v>
      </c>
      <c r="M155" s="28" t="s">
        <v>91</v>
      </c>
      <c r="AA155" s="2" t="s">
        <v>120</v>
      </c>
      <c r="AB155" s="2" t="str">
        <f t="shared" si="235"/>
        <v>-</v>
      </c>
      <c r="AC155" s="2" t="s">
        <v>35</v>
      </c>
      <c r="AD155" s="2" t="str">
        <f t="shared" si="236"/>
        <v>_</v>
      </c>
      <c r="AE155" s="2" t="s">
        <v>265</v>
      </c>
      <c r="AF155" s="2" t="str">
        <f t="shared" si="237"/>
        <v>_</v>
      </c>
      <c r="AG155" s="28" t="s">
        <v>75</v>
      </c>
      <c r="AH155" s="2" t="str">
        <f t="shared" si="238"/>
        <v/>
      </c>
    </row>
    <row r="156" spans="2:34" x14ac:dyDescent="0.25">
      <c r="B156" s="2" t="str">
        <f t="shared" si="234"/>
        <v>@line_width-footway_default_z16</v>
      </c>
      <c r="C156" s="28" t="s">
        <v>91</v>
      </c>
      <c r="D156" s="28" t="s">
        <v>93</v>
      </c>
      <c r="F156" s="28" t="s">
        <v>91</v>
      </c>
      <c r="G156" s="28" t="s">
        <v>93</v>
      </c>
      <c r="I156" s="28" t="s">
        <v>91</v>
      </c>
      <c r="J156" s="28" t="s">
        <v>93</v>
      </c>
      <c r="L156" s="28" t="s">
        <v>91</v>
      </c>
      <c r="M156" s="28" t="s">
        <v>93</v>
      </c>
      <c r="AA156" s="2" t="s">
        <v>120</v>
      </c>
      <c r="AB156" s="2" t="str">
        <f t="shared" si="235"/>
        <v>-</v>
      </c>
      <c r="AC156" s="2" t="s">
        <v>35</v>
      </c>
      <c r="AD156" s="2" t="str">
        <f t="shared" si="236"/>
        <v>_</v>
      </c>
      <c r="AE156" s="2" t="s">
        <v>265</v>
      </c>
      <c r="AF156" s="2" t="str">
        <f t="shared" si="237"/>
        <v>_</v>
      </c>
      <c r="AG156" s="28" t="s">
        <v>76</v>
      </c>
      <c r="AH156" s="2" t="str">
        <f t="shared" si="238"/>
        <v/>
      </c>
    </row>
    <row r="157" spans="2:34" x14ac:dyDescent="0.25">
      <c r="B157" s="2" t="str">
        <f t="shared" si="234"/>
        <v>@line_width-footway_default_z18</v>
      </c>
      <c r="C157" s="28" t="s">
        <v>93</v>
      </c>
      <c r="D157" s="28" t="s">
        <v>87</v>
      </c>
      <c r="F157" s="28" t="s">
        <v>93</v>
      </c>
      <c r="G157" s="28" t="s">
        <v>87</v>
      </c>
      <c r="I157" s="28" t="s">
        <v>93</v>
      </c>
      <c r="J157" s="28" t="s">
        <v>87</v>
      </c>
      <c r="L157" s="28" t="s">
        <v>93</v>
      </c>
      <c r="M157" s="28" t="s">
        <v>87</v>
      </c>
      <c r="AA157" s="2" t="s">
        <v>120</v>
      </c>
      <c r="AB157" s="2" t="str">
        <f t="shared" si="235"/>
        <v>-</v>
      </c>
      <c r="AC157" s="2" t="s">
        <v>35</v>
      </c>
      <c r="AD157" s="2" t="str">
        <f t="shared" si="236"/>
        <v>_</v>
      </c>
      <c r="AE157" s="2" t="s">
        <v>265</v>
      </c>
      <c r="AF157" s="2" t="str">
        <f t="shared" si="237"/>
        <v>_</v>
      </c>
      <c r="AG157" s="28" t="s">
        <v>77</v>
      </c>
      <c r="AH157" s="2" t="str">
        <f t="shared" si="238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39">_xlfn.CONCAT("@",AA159,AB159,AC159,AD159,AE159,AF159,AG159,AH159,AI159)</f>
        <v>@line_offset-footway_left_z12</v>
      </c>
      <c r="C159" s="178" t="s">
        <v>366</v>
      </c>
      <c r="D159" s="28" t="s">
        <v>367</v>
      </c>
      <c r="F159" s="178" t="s">
        <v>366</v>
      </c>
      <c r="G159" s="28" t="s">
        <v>367</v>
      </c>
      <c r="I159" s="178" t="s">
        <v>366</v>
      </c>
      <c r="J159" s="28" t="s">
        <v>367</v>
      </c>
      <c r="L159" s="178" t="s">
        <v>366</v>
      </c>
      <c r="M159" s="28" t="s">
        <v>367</v>
      </c>
      <c r="AA159" s="2" t="s">
        <v>358</v>
      </c>
      <c r="AB159" s="2" t="str">
        <f t="shared" ref="AB159:AB162" si="240">IF(NOT(ISBLANK(AC159)),"-","")</f>
        <v>-</v>
      </c>
      <c r="AC159" s="2" t="s">
        <v>35</v>
      </c>
      <c r="AD159" s="2" t="str">
        <f t="shared" ref="AD159:AD162" si="241">IF(NOT(ISBLANK(AE159)),"_","")</f>
        <v>_</v>
      </c>
      <c r="AE159" s="2" t="s">
        <v>359</v>
      </c>
      <c r="AF159" s="2" t="str">
        <f t="shared" ref="AF159:AF162" si="242">IF(NOT(ISBLANK(AG159)),"_","")</f>
        <v>_</v>
      </c>
      <c r="AG159" s="28" t="s">
        <v>110</v>
      </c>
      <c r="AH159" s="2" t="str">
        <f t="shared" ref="AH159:AH162" si="243">IF(NOT(ISBLANK(AI159)),"_","")</f>
        <v/>
      </c>
    </row>
    <row r="160" spans="2:34" x14ac:dyDescent="0.25">
      <c r="B160" s="2" t="str">
        <f t="shared" si="239"/>
        <v>@line_offset-footway_left_z14</v>
      </c>
      <c r="C160" s="28" t="s">
        <v>362</v>
      </c>
      <c r="D160" s="28" t="s">
        <v>363</v>
      </c>
      <c r="F160" s="28" t="s">
        <v>362</v>
      </c>
      <c r="G160" s="28" t="s">
        <v>363</v>
      </c>
      <c r="I160" s="28" t="s">
        <v>362</v>
      </c>
      <c r="J160" s="28" t="s">
        <v>363</v>
      </c>
      <c r="L160" s="28" t="s">
        <v>362</v>
      </c>
      <c r="M160" s="28" t="s">
        <v>363</v>
      </c>
      <c r="AA160" s="2" t="s">
        <v>358</v>
      </c>
      <c r="AB160" s="2" t="str">
        <f t="shared" si="240"/>
        <v>-</v>
      </c>
      <c r="AC160" s="2" t="s">
        <v>35</v>
      </c>
      <c r="AD160" s="2" t="str">
        <f t="shared" si="241"/>
        <v>_</v>
      </c>
      <c r="AE160" s="2" t="s">
        <v>359</v>
      </c>
      <c r="AF160" s="2" t="str">
        <f t="shared" si="242"/>
        <v>_</v>
      </c>
      <c r="AG160" s="28" t="s">
        <v>75</v>
      </c>
      <c r="AH160" s="2" t="str">
        <f t="shared" si="243"/>
        <v/>
      </c>
    </row>
    <row r="161" spans="1:39" x14ac:dyDescent="0.25">
      <c r="B161" s="2" t="str">
        <f t="shared" si="239"/>
        <v>@line_offset-footway_left_z16</v>
      </c>
      <c r="C161" s="28" t="s">
        <v>361</v>
      </c>
      <c r="D161" s="28" t="s">
        <v>364</v>
      </c>
      <c r="F161" s="28" t="s">
        <v>361</v>
      </c>
      <c r="G161" s="28" t="s">
        <v>364</v>
      </c>
      <c r="I161" s="28" t="s">
        <v>361</v>
      </c>
      <c r="J161" s="28" t="s">
        <v>364</v>
      </c>
      <c r="L161" s="28" t="s">
        <v>361</v>
      </c>
      <c r="M161" s="28" t="s">
        <v>364</v>
      </c>
      <c r="AA161" s="2" t="s">
        <v>358</v>
      </c>
      <c r="AB161" s="2" t="str">
        <f t="shared" si="240"/>
        <v>-</v>
      </c>
      <c r="AC161" s="2" t="s">
        <v>35</v>
      </c>
      <c r="AD161" s="2" t="str">
        <f t="shared" si="241"/>
        <v>_</v>
      </c>
      <c r="AE161" s="2" t="s">
        <v>359</v>
      </c>
      <c r="AF161" s="2" t="str">
        <f t="shared" si="242"/>
        <v>_</v>
      </c>
      <c r="AG161" s="28" t="s">
        <v>76</v>
      </c>
      <c r="AH161" s="2" t="str">
        <f t="shared" si="243"/>
        <v/>
      </c>
    </row>
    <row r="162" spans="1:39" x14ac:dyDescent="0.25">
      <c r="B162" s="2" t="str">
        <f t="shared" si="239"/>
        <v>@line_offset-footway_left_z18</v>
      </c>
      <c r="C162" s="28" t="s">
        <v>360</v>
      </c>
      <c r="D162" s="28" t="s">
        <v>365</v>
      </c>
      <c r="F162" s="28" t="s">
        <v>360</v>
      </c>
      <c r="G162" s="28" t="s">
        <v>365</v>
      </c>
      <c r="I162" s="28" t="s">
        <v>360</v>
      </c>
      <c r="J162" s="28" t="s">
        <v>365</v>
      </c>
      <c r="L162" s="28" t="s">
        <v>360</v>
      </c>
      <c r="M162" s="28" t="s">
        <v>365</v>
      </c>
      <c r="AA162" s="2" t="s">
        <v>358</v>
      </c>
      <c r="AB162" s="2" t="str">
        <f t="shared" si="240"/>
        <v>-</v>
      </c>
      <c r="AC162" s="2" t="s">
        <v>35</v>
      </c>
      <c r="AD162" s="2" t="str">
        <f t="shared" si="241"/>
        <v>_</v>
      </c>
      <c r="AE162" s="2" t="s">
        <v>359</v>
      </c>
      <c r="AF162" s="2" t="str">
        <f t="shared" si="242"/>
        <v>_</v>
      </c>
      <c r="AG162" s="28" t="s">
        <v>77</v>
      </c>
      <c r="AH162" s="2" t="str">
        <f t="shared" si="243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4">_xlfn.CONCAT("@",AA164,AB164,AC164,AD164,AE164,AF164,AG164,AH164,AI164)</f>
        <v>@line_offset-footway_right_z12</v>
      </c>
      <c r="C164" s="178" t="s">
        <v>85</v>
      </c>
      <c r="D164" s="28" t="s">
        <v>86</v>
      </c>
      <c r="F164" s="178" t="s">
        <v>366</v>
      </c>
      <c r="G164" s="28" t="s">
        <v>367</v>
      </c>
      <c r="I164" s="178" t="s">
        <v>366</v>
      </c>
      <c r="J164" s="28" t="s">
        <v>367</v>
      </c>
      <c r="L164" s="178" t="s">
        <v>366</v>
      </c>
      <c r="M164" s="28" t="s">
        <v>367</v>
      </c>
      <c r="AA164" s="2" t="s">
        <v>358</v>
      </c>
      <c r="AB164" s="2" t="str">
        <f t="shared" ref="AB164:AB167" si="245">IF(NOT(ISBLANK(AC164)),"-","")</f>
        <v>-</v>
      </c>
      <c r="AC164" s="2" t="s">
        <v>35</v>
      </c>
      <c r="AD164" s="2" t="str">
        <f t="shared" ref="AD164:AD167" si="246">IF(NOT(ISBLANK(AE164)),"_","")</f>
        <v>_</v>
      </c>
      <c r="AE164" s="2" t="s">
        <v>368</v>
      </c>
      <c r="AF164" s="2" t="str">
        <f t="shared" ref="AF164:AF167" si="247">IF(NOT(ISBLANK(AG164)),"_","")</f>
        <v>_</v>
      </c>
      <c r="AG164" s="28" t="s">
        <v>110</v>
      </c>
      <c r="AH164" s="2" t="str">
        <f t="shared" ref="AH164:AH167" si="248">IF(NOT(ISBLANK(AI164)),"_","")</f>
        <v/>
      </c>
    </row>
    <row r="165" spans="1:39" x14ac:dyDescent="0.25">
      <c r="B165" s="2" t="str">
        <f t="shared" si="244"/>
        <v>@line_offset-footway_right_z14</v>
      </c>
      <c r="C165" s="28" t="s">
        <v>89</v>
      </c>
      <c r="D165" s="28" t="s">
        <v>93</v>
      </c>
      <c r="F165" s="28" t="s">
        <v>362</v>
      </c>
      <c r="G165" s="28" t="s">
        <v>363</v>
      </c>
      <c r="I165" s="28" t="s">
        <v>362</v>
      </c>
      <c r="J165" s="28" t="s">
        <v>363</v>
      </c>
      <c r="L165" s="28" t="s">
        <v>362</v>
      </c>
      <c r="M165" s="28" t="s">
        <v>363</v>
      </c>
      <c r="AA165" s="2" t="s">
        <v>358</v>
      </c>
      <c r="AB165" s="2" t="str">
        <f t="shared" si="245"/>
        <v>-</v>
      </c>
      <c r="AC165" s="2" t="s">
        <v>35</v>
      </c>
      <c r="AD165" s="2" t="str">
        <f t="shared" si="246"/>
        <v>_</v>
      </c>
      <c r="AE165" s="2" t="s">
        <v>368</v>
      </c>
      <c r="AF165" s="2" t="str">
        <f t="shared" si="247"/>
        <v>_</v>
      </c>
      <c r="AG165" s="28" t="s">
        <v>75</v>
      </c>
      <c r="AH165" s="2" t="str">
        <f t="shared" si="248"/>
        <v/>
      </c>
    </row>
    <row r="166" spans="1:39" x14ac:dyDescent="0.25">
      <c r="B166" s="2" t="str">
        <f t="shared" si="244"/>
        <v>@line_offset-footway_right_z16</v>
      </c>
      <c r="C166" s="28" t="s">
        <v>135</v>
      </c>
      <c r="D166" s="28" t="s">
        <v>330</v>
      </c>
      <c r="F166" s="28" t="s">
        <v>361</v>
      </c>
      <c r="G166" s="28" t="s">
        <v>364</v>
      </c>
      <c r="I166" s="28" t="s">
        <v>361</v>
      </c>
      <c r="J166" s="28" t="s">
        <v>364</v>
      </c>
      <c r="L166" s="28" t="s">
        <v>361</v>
      </c>
      <c r="M166" s="28" t="s">
        <v>364</v>
      </c>
      <c r="AA166" s="2" t="s">
        <v>358</v>
      </c>
      <c r="AB166" s="2" t="str">
        <f t="shared" si="245"/>
        <v>-</v>
      </c>
      <c r="AC166" s="2" t="s">
        <v>35</v>
      </c>
      <c r="AD166" s="2" t="str">
        <f t="shared" si="246"/>
        <v>_</v>
      </c>
      <c r="AE166" s="2" t="s">
        <v>368</v>
      </c>
      <c r="AF166" s="2" t="str">
        <f t="shared" si="247"/>
        <v>_</v>
      </c>
      <c r="AG166" s="28" t="s">
        <v>76</v>
      </c>
      <c r="AH166" s="2" t="str">
        <f t="shared" si="248"/>
        <v/>
      </c>
    </row>
    <row r="167" spans="1:39" x14ac:dyDescent="0.25">
      <c r="B167" s="2" t="str">
        <f t="shared" si="244"/>
        <v>@line_offset-footway_right_z18</v>
      </c>
      <c r="C167" s="28" t="s">
        <v>369</v>
      </c>
      <c r="D167" s="28" t="s">
        <v>342</v>
      </c>
      <c r="F167" s="28" t="s">
        <v>360</v>
      </c>
      <c r="G167" s="28" t="s">
        <v>365</v>
      </c>
      <c r="I167" s="28" t="s">
        <v>360</v>
      </c>
      <c r="J167" s="28" t="s">
        <v>365</v>
      </c>
      <c r="L167" s="28" t="s">
        <v>360</v>
      </c>
      <c r="M167" s="28" t="s">
        <v>365</v>
      </c>
      <c r="AA167" s="2" t="s">
        <v>358</v>
      </c>
      <c r="AB167" s="2" t="str">
        <f t="shared" si="245"/>
        <v>-</v>
      </c>
      <c r="AC167" s="2" t="s">
        <v>35</v>
      </c>
      <c r="AD167" s="2" t="str">
        <f t="shared" si="246"/>
        <v>_</v>
      </c>
      <c r="AE167" s="2" t="s">
        <v>368</v>
      </c>
      <c r="AF167" s="2" t="str">
        <f t="shared" si="247"/>
        <v>_</v>
      </c>
      <c r="AG167" s="28" t="s">
        <v>77</v>
      </c>
      <c r="AH167" s="2" t="str">
        <f t="shared" si="248"/>
        <v/>
      </c>
    </row>
    <row r="168" spans="1:39" x14ac:dyDescent="0.25">
      <c r="D168" s="178"/>
      <c r="AA168" s="2"/>
      <c r="AB168" s="2"/>
      <c r="AC168" s="2"/>
      <c r="AD168" s="2"/>
      <c r="AE168" s="2"/>
    </row>
    <row r="169" spans="1:39" s="2" customFormat="1" x14ac:dyDescent="0.25">
      <c r="A169" s="3" t="s">
        <v>40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76"/>
        <v/>
      </c>
      <c r="AC169" s="4"/>
      <c r="AD169" s="4" t="str">
        <f t="shared" si="177"/>
        <v/>
      </c>
      <c r="AE169" s="4"/>
      <c r="AF169" s="4" t="str">
        <f t="shared" si="178"/>
        <v/>
      </c>
      <c r="AG169" s="4"/>
      <c r="AH169" s="4" t="str">
        <f t="shared" si="179"/>
        <v/>
      </c>
      <c r="AI169" s="4"/>
    </row>
    <row r="170" spans="1:39" x14ac:dyDescent="0.25">
      <c r="B170" s="2" t="str">
        <f t="shared" ref="B170:B173" si="249">_xlfn.CONCAT("@",AA170,AB170,AC170,AD170,AE170,AF170,AG170,AH170,AI170)</f>
        <v>@color-obstacle_vegetation</v>
      </c>
      <c r="C170" s="77" t="s">
        <v>188</v>
      </c>
      <c r="D170" s="78" t="str">
        <f>C170</f>
        <v>"#4a9100"</v>
      </c>
      <c r="F170" s="77" t="s">
        <v>188</v>
      </c>
      <c r="G170" s="78" t="str">
        <f>F170</f>
        <v>"#4a9100"</v>
      </c>
      <c r="I170" s="77" t="s">
        <v>188</v>
      </c>
      <c r="J170" s="78" t="str">
        <f>I170</f>
        <v>"#4a9100"</v>
      </c>
      <c r="L170" s="77" t="s">
        <v>188</v>
      </c>
      <c r="M170" s="78" t="str">
        <f>L170</f>
        <v>"#4a9100"</v>
      </c>
      <c r="AA170" s="2" t="s">
        <v>6</v>
      </c>
      <c r="AB170" s="2" t="str">
        <f t="shared" si="176"/>
        <v>-</v>
      </c>
      <c r="AC170" s="2" t="s">
        <v>36</v>
      </c>
      <c r="AD170" s="2" t="str">
        <f t="shared" si="177"/>
        <v>_</v>
      </c>
      <c r="AE170" s="2" t="s">
        <v>37</v>
      </c>
      <c r="AF170" s="2" t="str">
        <f t="shared" si="178"/>
        <v/>
      </c>
      <c r="AG170" s="2"/>
      <c r="AH170" s="2" t="str">
        <f t="shared" si="179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49"/>
        <v>@color-surface_mud</v>
      </c>
      <c r="C171" s="79" t="s">
        <v>189</v>
      </c>
      <c r="D171" s="80" t="str">
        <f>C171</f>
        <v>"#0e84ed"</v>
      </c>
      <c r="F171" s="79" t="s">
        <v>189</v>
      </c>
      <c r="G171" s="80" t="str">
        <f>F171</f>
        <v>"#0e84ed"</v>
      </c>
      <c r="I171" s="79" t="s">
        <v>189</v>
      </c>
      <c r="J171" s="80" t="str">
        <f>I171</f>
        <v>"#0e84ed"</v>
      </c>
      <c r="L171" s="79" t="s">
        <v>189</v>
      </c>
      <c r="M171" s="80" t="str">
        <f>L171</f>
        <v>"#0e84ed"</v>
      </c>
      <c r="AA171" s="2" t="s">
        <v>6</v>
      </c>
      <c r="AB171" s="2" t="str">
        <f t="shared" si="176"/>
        <v>-</v>
      </c>
      <c r="AC171" s="2" t="s">
        <v>38</v>
      </c>
      <c r="AD171" s="2" t="str">
        <f t="shared" si="177"/>
        <v>_</v>
      </c>
      <c r="AE171" s="2" t="s">
        <v>39</v>
      </c>
      <c r="AF171" s="2" t="str">
        <f t="shared" si="178"/>
        <v/>
      </c>
      <c r="AG171" s="2"/>
      <c r="AH171" s="2" t="str">
        <f t="shared" si="179"/>
        <v/>
      </c>
      <c r="AI171" s="2"/>
    </row>
    <row r="172" spans="1:39" x14ac:dyDescent="0.25">
      <c r="B172" s="2" t="str">
        <f t="shared" si="249"/>
        <v>@color-access_no</v>
      </c>
      <c r="C172" s="81" t="s">
        <v>190</v>
      </c>
      <c r="D172" s="82" t="str">
        <f>C172</f>
        <v>"#ff003d"</v>
      </c>
      <c r="F172" s="81" t="s">
        <v>190</v>
      </c>
      <c r="G172" s="82" t="str">
        <f>F172</f>
        <v>"#ff003d"</v>
      </c>
      <c r="I172" s="81" t="s">
        <v>190</v>
      </c>
      <c r="J172" s="82" t="str">
        <f>I172</f>
        <v>"#ff003d"</v>
      </c>
      <c r="L172" s="81" t="s">
        <v>190</v>
      </c>
      <c r="M172" s="82" t="str">
        <f>L172</f>
        <v>"#ff003d"</v>
      </c>
      <c r="AA172" s="2" t="s">
        <v>6</v>
      </c>
      <c r="AB172" s="2" t="str">
        <f t="shared" si="176"/>
        <v>-</v>
      </c>
      <c r="AC172" s="2" t="s">
        <v>41</v>
      </c>
      <c r="AD172" s="2" t="str">
        <f t="shared" si="177"/>
        <v>_</v>
      </c>
      <c r="AE172" s="2" t="s">
        <v>42</v>
      </c>
      <c r="AF172" s="2" t="str">
        <f t="shared" si="178"/>
        <v/>
      </c>
      <c r="AG172" s="2"/>
      <c r="AH172" s="2" t="str">
        <f t="shared" si="179"/>
        <v/>
      </c>
      <c r="AI172" s="2"/>
    </row>
    <row r="173" spans="1:39" x14ac:dyDescent="0.25">
      <c r="B173" s="2" t="str">
        <f t="shared" si="249"/>
        <v>@color-access_discouraged</v>
      </c>
      <c r="C173" s="83" t="s">
        <v>191</v>
      </c>
      <c r="D173" s="84" t="str">
        <f>C173</f>
        <v>"#ff6a00"</v>
      </c>
      <c r="F173" s="83" t="s">
        <v>191</v>
      </c>
      <c r="G173" s="84" t="str">
        <f>F173</f>
        <v>"#ff6a00"</v>
      </c>
      <c r="I173" s="83" t="s">
        <v>191</v>
      </c>
      <c r="J173" s="84" t="str">
        <f>I173</f>
        <v>"#ff6a00"</v>
      </c>
      <c r="L173" s="83" t="s">
        <v>191</v>
      </c>
      <c r="M173" s="84" t="str">
        <f>L173</f>
        <v>"#ff6a00"</v>
      </c>
      <c r="AA173" s="2" t="s">
        <v>6</v>
      </c>
      <c r="AB173" s="2" t="str">
        <f t="shared" si="176"/>
        <v>-</v>
      </c>
      <c r="AC173" s="2" t="s">
        <v>41</v>
      </c>
      <c r="AD173" s="2" t="str">
        <f t="shared" si="177"/>
        <v>_</v>
      </c>
      <c r="AE173" s="2" t="s">
        <v>43</v>
      </c>
      <c r="AF173" s="2" t="str">
        <f t="shared" si="178"/>
        <v/>
      </c>
      <c r="AG173" s="2"/>
      <c r="AH173" s="2" t="str">
        <f t="shared" si="179"/>
        <v/>
      </c>
      <c r="AI173" s="2"/>
    </row>
    <row r="174" spans="1:39" x14ac:dyDescent="0.25">
      <c r="AB174" s="28" t="str">
        <f t="shared" ref="AB174:AB176" si="250">IF(NOT(ISBLANK(AC174)),"-","")</f>
        <v/>
      </c>
      <c r="AD174" s="28" t="str">
        <f t="shared" ref="AD174:AD176" si="251">IF(NOT(ISBLANK(AE174)),"_","")</f>
        <v/>
      </c>
      <c r="AF174" s="28" t="str">
        <f t="shared" ref="AF174:AF176" si="252">IF(NOT(ISBLANK(AG174)),"_","")</f>
        <v/>
      </c>
      <c r="AH174" s="28" t="str">
        <f t="shared" si="179"/>
        <v/>
      </c>
    </row>
    <row r="175" spans="1:39" s="2" customFormat="1" x14ac:dyDescent="0.25">
      <c r="A175" s="3" t="s">
        <v>271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0"/>
        <v/>
      </c>
      <c r="AC175" s="4"/>
      <c r="AD175" s="4" t="str">
        <f t="shared" si="251"/>
        <v/>
      </c>
      <c r="AE175" s="4"/>
      <c r="AF175" s="4" t="str">
        <f t="shared" si="252"/>
        <v/>
      </c>
      <c r="AG175" s="4"/>
      <c r="AH175" s="4" t="str">
        <f t="shared" si="179"/>
        <v/>
      </c>
      <c r="AI175" s="4"/>
    </row>
    <row r="176" spans="1:39" x14ac:dyDescent="0.25">
      <c r="B176" s="2" t="str">
        <f t="shared" ref="B176:B191" si="253">_xlfn.CONCAT("@",AA176,AB176,AC176,AD176,AE176,AF176,AG176,AH176,AI176)</f>
        <v>@color-building_area_residential</v>
      </c>
      <c r="C176" s="85" t="s">
        <v>260</v>
      </c>
      <c r="D176" s="85" t="s">
        <v>260</v>
      </c>
      <c r="F176" s="86" t="s">
        <v>250</v>
      </c>
      <c r="G176" s="142" t="s">
        <v>231</v>
      </c>
      <c r="I176" s="85" t="s">
        <v>260</v>
      </c>
      <c r="J176" s="85" t="s">
        <v>260</v>
      </c>
      <c r="L176" s="86" t="s">
        <v>250</v>
      </c>
      <c r="M176" s="142" t="s">
        <v>231</v>
      </c>
      <c r="AA176" s="2" t="s">
        <v>6</v>
      </c>
      <c r="AB176" s="2" t="str">
        <f t="shared" si="250"/>
        <v>-</v>
      </c>
      <c r="AC176" s="2" t="s">
        <v>256</v>
      </c>
      <c r="AD176" s="2" t="str">
        <f t="shared" si="251"/>
        <v>_</v>
      </c>
      <c r="AE176" s="2" t="s">
        <v>262</v>
      </c>
      <c r="AF176" s="2" t="str">
        <f t="shared" si="252"/>
        <v>_</v>
      </c>
      <c r="AG176" s="2" t="s">
        <v>65</v>
      </c>
      <c r="AH176" s="2" t="str">
        <f t="shared" si="179"/>
        <v/>
      </c>
      <c r="AI176" s="2"/>
    </row>
    <row r="177" spans="2:35" x14ac:dyDescent="0.25">
      <c r="B177" s="2" t="str">
        <f t="shared" si="253"/>
        <v>@color-building_area_generic</v>
      </c>
      <c r="C177" s="87" t="s">
        <v>259</v>
      </c>
      <c r="D177" s="87" t="s">
        <v>259</v>
      </c>
      <c r="F177" s="88" t="s">
        <v>257</v>
      </c>
      <c r="G177" s="179" t="s">
        <v>370</v>
      </c>
      <c r="I177" s="87" t="s">
        <v>259</v>
      </c>
      <c r="J177" s="87" t="s">
        <v>259</v>
      </c>
      <c r="L177" s="88" t="s">
        <v>257</v>
      </c>
      <c r="M177" s="179" t="s">
        <v>370</v>
      </c>
      <c r="AA177" s="2" t="s">
        <v>6</v>
      </c>
      <c r="AB177" s="2" t="str">
        <f t="shared" ref="AB177" si="254">IF(NOT(ISBLANK(AC177)),"-","")</f>
        <v>-</v>
      </c>
      <c r="AC177" s="2" t="s">
        <v>256</v>
      </c>
      <c r="AD177" s="2" t="str">
        <f t="shared" ref="AD177" si="255">IF(NOT(ISBLANK(AE177)),"_","")</f>
        <v>_</v>
      </c>
      <c r="AE177" s="2" t="s">
        <v>262</v>
      </c>
      <c r="AF177" s="2" t="str">
        <f t="shared" ref="AF177" si="256">IF(NOT(ISBLANK(AG177)),"_","")</f>
        <v>_</v>
      </c>
      <c r="AG177" s="2" t="s">
        <v>258</v>
      </c>
      <c r="AH177" s="2" t="str">
        <f t="shared" si="179"/>
        <v/>
      </c>
      <c r="AI177" s="2"/>
    </row>
    <row r="178" spans="2:35" x14ac:dyDescent="0.25">
      <c r="B178" s="2" t="str">
        <f t="shared" si="253"/>
        <v>@color-building_line_top</v>
      </c>
      <c r="C178" s="87" t="s">
        <v>259</v>
      </c>
      <c r="D178" s="87" t="s">
        <v>259</v>
      </c>
      <c r="F178" s="88" t="s">
        <v>257</v>
      </c>
      <c r="G178" s="179" t="s">
        <v>370</v>
      </c>
      <c r="I178" s="87" t="s">
        <v>259</v>
      </c>
      <c r="J178" s="87" t="s">
        <v>259</v>
      </c>
      <c r="L178" s="88" t="s">
        <v>257</v>
      </c>
      <c r="M178" s="179" t="s">
        <v>370</v>
      </c>
      <c r="AA178" s="2" t="s">
        <v>6</v>
      </c>
      <c r="AB178" s="2" t="str">
        <f t="shared" ref="AB178" si="257">IF(NOT(ISBLANK(AC178)),"-","")</f>
        <v>-</v>
      </c>
      <c r="AC178" s="2" t="s">
        <v>256</v>
      </c>
      <c r="AD178" s="2" t="str">
        <f t="shared" ref="AD178" si="258">IF(NOT(ISBLANK(AE178)),"_","")</f>
        <v>_</v>
      </c>
      <c r="AE178" s="2" t="s">
        <v>13</v>
      </c>
      <c r="AF178" s="2" t="str">
        <f t="shared" ref="AF178" si="259">IF(NOT(ISBLANK(AG178)),"_","")</f>
        <v>_</v>
      </c>
      <c r="AG178" s="2" t="s">
        <v>261</v>
      </c>
      <c r="AH178" s="2" t="str">
        <f t="shared" si="179"/>
        <v/>
      </c>
      <c r="AI178" s="2"/>
    </row>
    <row r="179" spans="2:35" x14ac:dyDescent="0.25">
      <c r="B179" s="2" t="str">
        <f t="shared" si="253"/>
        <v>@color-contours_line</v>
      </c>
      <c r="C179" s="89" t="s">
        <v>192</v>
      </c>
      <c r="D179" s="90" t="str">
        <f>C179</f>
        <v>"#916f4c"</v>
      </c>
      <c r="F179" s="91" t="s">
        <v>272</v>
      </c>
      <c r="G179" s="91" t="str">
        <f>F179</f>
        <v>"#5f472f"</v>
      </c>
      <c r="I179" s="89" t="s">
        <v>192</v>
      </c>
      <c r="J179" s="90" t="str">
        <f>I179</f>
        <v>"#916f4c"</v>
      </c>
      <c r="L179" s="91" t="s">
        <v>272</v>
      </c>
      <c r="M179" s="91" t="str">
        <f>L179</f>
        <v>"#5f472f"</v>
      </c>
      <c r="AA179" s="2" t="s">
        <v>6</v>
      </c>
      <c r="AB179" s="2" t="str">
        <f t="shared" ref="AB179:AB186" si="260">IF(NOT(ISBLANK(AC179)),"-","")</f>
        <v>-</v>
      </c>
      <c r="AC179" s="2" t="s">
        <v>68</v>
      </c>
      <c r="AD179" s="2" t="str">
        <f t="shared" ref="AD179:AD186" si="261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2">_xlfn.CONCAT("@",AA180,AB180,AC180,AD180,AE180,AF180,AG180,AH180,AI180)</f>
        <v>@color-water_contours_line_1500</v>
      </c>
      <c r="C180" s="170" t="s">
        <v>318</v>
      </c>
      <c r="D180" s="174" t="s">
        <v>323</v>
      </c>
      <c r="F180" s="171" t="s">
        <v>319</v>
      </c>
      <c r="G180" s="171" t="s">
        <v>319</v>
      </c>
      <c r="I180" s="170" t="s">
        <v>318</v>
      </c>
      <c r="J180" s="174" t="s">
        <v>323</v>
      </c>
      <c r="L180" s="171" t="s">
        <v>319</v>
      </c>
      <c r="M180" s="171" t="s">
        <v>319</v>
      </c>
      <c r="AA180" s="2" t="s">
        <v>6</v>
      </c>
      <c r="AB180" s="2" t="str">
        <f t="shared" si="260"/>
        <v>-</v>
      </c>
      <c r="AC180" s="2" t="s">
        <v>317</v>
      </c>
      <c r="AD180" s="2" t="str">
        <f t="shared" si="261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3">_xlfn.CONCAT("@",AA181,AB181,AC181,AD181,AE181,AF181,AG181,AH181,AI181)</f>
        <v>@color-water_contours_line_3000</v>
      </c>
      <c r="C181" s="172" t="s">
        <v>321</v>
      </c>
      <c r="D181" s="175" t="s">
        <v>324</v>
      </c>
      <c r="F181" s="171" t="s">
        <v>319</v>
      </c>
      <c r="G181" s="171" t="s">
        <v>319</v>
      </c>
      <c r="I181" s="172" t="s">
        <v>321</v>
      </c>
      <c r="J181" s="175" t="s">
        <v>324</v>
      </c>
      <c r="L181" s="171" t="s">
        <v>319</v>
      </c>
      <c r="M181" s="171" t="s">
        <v>319</v>
      </c>
      <c r="AA181" s="2" t="s">
        <v>6</v>
      </c>
      <c r="AB181" s="2" t="str">
        <f t="shared" si="260"/>
        <v>-</v>
      </c>
      <c r="AC181" s="2" t="s">
        <v>317</v>
      </c>
      <c r="AD181" s="2" t="str">
        <f t="shared" si="261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4">_xlfn.CONCAT("@",AA182,AB182,AC182,AD182,AE182,AF182,AG182,AH182,AI182)</f>
        <v>@color-water_contours_line_6000</v>
      </c>
      <c r="C182" s="173" t="s">
        <v>322</v>
      </c>
      <c r="D182" s="176" t="s">
        <v>325</v>
      </c>
      <c r="F182" s="171" t="s">
        <v>319</v>
      </c>
      <c r="G182" s="171" t="s">
        <v>319</v>
      </c>
      <c r="I182" s="173" t="s">
        <v>322</v>
      </c>
      <c r="J182" s="176" t="s">
        <v>325</v>
      </c>
      <c r="L182" s="171" t="s">
        <v>319</v>
      </c>
      <c r="M182" s="171" t="s">
        <v>319</v>
      </c>
      <c r="AA182" s="2" t="s">
        <v>6</v>
      </c>
      <c r="AB182" s="2" t="str">
        <f t="shared" si="260"/>
        <v>-</v>
      </c>
      <c r="AC182" s="2" t="s">
        <v>317</v>
      </c>
      <c r="AD182" s="2" t="str">
        <f t="shared" si="261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65">IF(NOT(ISBLANK(AI182)),"_","")</f>
        <v/>
      </c>
      <c r="AI182" s="2"/>
    </row>
    <row r="183" spans="2:35" x14ac:dyDescent="0.25">
      <c r="B183" s="2" t="str">
        <f t="shared" ref="B183:B184" si="266">_xlfn.CONCAT("@",AA183,AB183,AC183,AD183,AE183,AF183,AG183,AH183,AI183)</f>
        <v>@color-water_contours_line_over6000</v>
      </c>
      <c r="C183" s="174" t="s">
        <v>323</v>
      </c>
      <c r="D183" s="177" t="s">
        <v>326</v>
      </c>
      <c r="F183" s="171" t="s">
        <v>319</v>
      </c>
      <c r="G183" s="171" t="s">
        <v>319</v>
      </c>
      <c r="I183" s="174" t="s">
        <v>323</v>
      </c>
      <c r="J183" s="177" t="s">
        <v>326</v>
      </c>
      <c r="L183" s="171" t="s">
        <v>319</v>
      </c>
      <c r="M183" s="171" t="s">
        <v>319</v>
      </c>
      <c r="AA183" s="2" t="s">
        <v>6</v>
      </c>
      <c r="AB183" s="2" t="str">
        <f t="shared" si="260"/>
        <v>-</v>
      </c>
      <c r="AC183" s="2" t="s">
        <v>317</v>
      </c>
      <c r="AD183" s="2" t="str">
        <f t="shared" si="261"/>
        <v>_</v>
      </c>
      <c r="AE183" s="2" t="s">
        <v>13</v>
      </c>
      <c r="AF183" s="2" t="str">
        <f>IF(NOT(ISBLANK(AG183)),"_","")</f>
        <v>_</v>
      </c>
      <c r="AG183" s="2" t="s">
        <v>320</v>
      </c>
      <c r="AH183" s="2" t="str">
        <f t="shared" si="265"/>
        <v/>
      </c>
      <c r="AI183" s="2"/>
    </row>
    <row r="184" spans="2:35" x14ac:dyDescent="0.25">
      <c r="B184" s="2" t="str">
        <f t="shared" si="266"/>
        <v>@color-water_contours_label</v>
      </c>
      <c r="C184" s="173" t="s">
        <v>322</v>
      </c>
      <c r="D184" s="176" t="s">
        <v>325</v>
      </c>
      <c r="F184" s="171" t="s">
        <v>319</v>
      </c>
      <c r="G184" s="171" t="s">
        <v>319</v>
      </c>
      <c r="I184" s="173" t="s">
        <v>322</v>
      </c>
      <c r="J184" s="176" t="s">
        <v>325</v>
      </c>
      <c r="L184" s="171" t="s">
        <v>319</v>
      </c>
      <c r="M184" s="171" t="s">
        <v>319</v>
      </c>
      <c r="AA184" s="2" t="s">
        <v>6</v>
      </c>
      <c r="AB184" s="2" t="str">
        <f t="shared" si="260"/>
        <v>-</v>
      </c>
      <c r="AC184" s="2" t="s">
        <v>317</v>
      </c>
      <c r="AD184" s="2" t="str">
        <f t="shared" si="261"/>
        <v>_</v>
      </c>
      <c r="AE184" s="2" t="s">
        <v>274</v>
      </c>
      <c r="AF184" s="2" t="str">
        <f t="shared" ref="AF184:AF203" si="267">IF(NOT(ISBLANK(AG184)),"_","")</f>
        <v/>
      </c>
      <c r="AG184" s="2"/>
      <c r="AH184" s="2" t="str">
        <f t="shared" si="265"/>
        <v/>
      </c>
      <c r="AI184" s="2"/>
    </row>
    <row r="185" spans="2:35" x14ac:dyDescent="0.25">
      <c r="B185" s="2" t="str">
        <f t="shared" ref="B185" si="268">_xlfn.CONCAT("@",AA185,AB185,AC185,AD185,AE185,AF185,AG185,AH185,AI185)</f>
        <v>@color-water_shipping_lane</v>
      </c>
      <c r="C185" s="72" t="s">
        <v>215</v>
      </c>
      <c r="D185" s="72" t="s">
        <v>215</v>
      </c>
      <c r="F185" s="71" t="s">
        <v>225</v>
      </c>
      <c r="G185" s="71" t="s">
        <v>225</v>
      </c>
      <c r="I185" s="72" t="s">
        <v>215</v>
      </c>
      <c r="J185" s="72" t="s">
        <v>215</v>
      </c>
      <c r="L185" s="71" t="s">
        <v>225</v>
      </c>
      <c r="M185" s="71" t="s">
        <v>225</v>
      </c>
      <c r="AA185" s="2" t="s">
        <v>6</v>
      </c>
      <c r="AB185" s="2" t="str">
        <f t="shared" si="260"/>
        <v>-</v>
      </c>
      <c r="AC185" s="2" t="s">
        <v>327</v>
      </c>
      <c r="AD185" s="2" t="str">
        <f t="shared" si="261"/>
        <v/>
      </c>
      <c r="AE185" s="2"/>
      <c r="AF185" s="2" t="str">
        <f t="shared" si="267"/>
        <v/>
      </c>
      <c r="AG185" s="2"/>
      <c r="AH185" s="2" t="str">
        <f t="shared" si="265"/>
        <v/>
      </c>
      <c r="AI185" s="2"/>
    </row>
    <row r="186" spans="2:35" x14ac:dyDescent="0.25">
      <c r="B186" s="2" t="str">
        <f t="shared" si="253"/>
        <v>@color-cliff_line</v>
      </c>
      <c r="C186" s="72" t="s">
        <v>215</v>
      </c>
      <c r="D186" s="72" t="s">
        <v>215</v>
      </c>
      <c r="F186" s="71" t="s">
        <v>225</v>
      </c>
      <c r="G186" s="71" t="s">
        <v>225</v>
      </c>
      <c r="I186" s="72" t="s">
        <v>215</v>
      </c>
      <c r="J186" s="72" t="s">
        <v>215</v>
      </c>
      <c r="L186" s="71" t="s">
        <v>225</v>
      </c>
      <c r="M186" s="71" t="s">
        <v>225</v>
      </c>
      <c r="AA186" s="2" t="s">
        <v>6</v>
      </c>
      <c r="AB186" s="2" t="str">
        <f t="shared" si="260"/>
        <v>-</v>
      </c>
      <c r="AC186" s="2" t="s">
        <v>273</v>
      </c>
      <c r="AD186" s="2" t="str">
        <f t="shared" si="261"/>
        <v>_</v>
      </c>
      <c r="AE186" s="2" t="s">
        <v>13</v>
      </c>
      <c r="AF186" s="2" t="str">
        <f t="shared" si="267"/>
        <v/>
      </c>
      <c r="AG186" s="2"/>
      <c r="AH186" s="2" t="str">
        <f t="shared" si="265"/>
        <v/>
      </c>
      <c r="AI186" s="2"/>
    </row>
    <row r="187" spans="2:35" x14ac:dyDescent="0.25">
      <c r="AB187" s="28" t="str">
        <f t="shared" si="176"/>
        <v/>
      </c>
      <c r="AD187" s="28" t="str">
        <f t="shared" si="177"/>
        <v/>
      </c>
      <c r="AF187" s="2" t="str">
        <f t="shared" si="267"/>
        <v/>
      </c>
      <c r="AH187" s="2" t="str">
        <f t="shared" si="265"/>
        <v/>
      </c>
    </row>
    <row r="188" spans="2:35" x14ac:dyDescent="0.25">
      <c r="B188" s="2" t="str">
        <f t="shared" si="253"/>
        <v>@line_width-ditch_z12</v>
      </c>
      <c r="C188" s="28" t="s">
        <v>96</v>
      </c>
      <c r="D188" s="28" t="s">
        <v>81</v>
      </c>
      <c r="F188" s="28" t="s">
        <v>96</v>
      </c>
      <c r="G188" s="28" t="s">
        <v>81</v>
      </c>
      <c r="I188" s="28" t="s">
        <v>96</v>
      </c>
      <c r="J188" s="28" t="s">
        <v>81</v>
      </c>
      <c r="L188" s="28" t="s">
        <v>96</v>
      </c>
      <c r="M188" s="28" t="s">
        <v>81</v>
      </c>
      <c r="O188" s="28" t="s">
        <v>96</v>
      </c>
      <c r="P188" s="28" t="s">
        <v>81</v>
      </c>
      <c r="R188" s="28" t="s">
        <v>96</v>
      </c>
      <c r="S188" s="28" t="s">
        <v>81</v>
      </c>
      <c r="U188" s="28" t="s">
        <v>96</v>
      </c>
      <c r="V188" s="28" t="s">
        <v>81</v>
      </c>
      <c r="X188" s="28" t="s">
        <v>96</v>
      </c>
      <c r="Y188" s="28" t="s">
        <v>81</v>
      </c>
      <c r="AA188" s="2" t="s">
        <v>120</v>
      </c>
      <c r="AB188" s="2" t="str">
        <f t="shared" si="176"/>
        <v>-</v>
      </c>
      <c r="AC188" s="28" t="s">
        <v>328</v>
      </c>
      <c r="AD188" s="2" t="str">
        <f t="shared" si="177"/>
        <v>_</v>
      </c>
      <c r="AE188" s="28" t="s">
        <v>110</v>
      </c>
      <c r="AF188" s="2" t="str">
        <f t="shared" si="267"/>
        <v/>
      </c>
      <c r="AH188" s="2" t="str">
        <f t="shared" si="265"/>
        <v/>
      </c>
    </row>
    <row r="189" spans="2:35" x14ac:dyDescent="0.25">
      <c r="B189" s="2" t="str">
        <f t="shared" si="253"/>
        <v>@line_width-ditch_z14</v>
      </c>
      <c r="C189" s="28" t="s">
        <v>85</v>
      </c>
      <c r="D189" s="28" t="s">
        <v>86</v>
      </c>
      <c r="F189" s="28" t="s">
        <v>85</v>
      </c>
      <c r="G189" s="28" t="s">
        <v>86</v>
      </c>
      <c r="I189" s="28" t="s">
        <v>85</v>
      </c>
      <c r="J189" s="28" t="s">
        <v>86</v>
      </c>
      <c r="L189" s="28" t="s">
        <v>85</v>
      </c>
      <c r="M189" s="28" t="s">
        <v>86</v>
      </c>
      <c r="O189" s="28" t="s">
        <v>85</v>
      </c>
      <c r="P189" s="28" t="s">
        <v>86</v>
      </c>
      <c r="R189" s="28" t="s">
        <v>85</v>
      </c>
      <c r="S189" s="28" t="s">
        <v>86</v>
      </c>
      <c r="U189" s="28" t="s">
        <v>85</v>
      </c>
      <c r="V189" s="28" t="s">
        <v>86</v>
      </c>
      <c r="X189" s="28" t="s">
        <v>85</v>
      </c>
      <c r="Y189" s="28" t="s">
        <v>86</v>
      </c>
      <c r="AA189" s="2" t="s">
        <v>120</v>
      </c>
      <c r="AB189" s="2" t="str">
        <f t="shared" si="176"/>
        <v>-</v>
      </c>
      <c r="AC189" s="28" t="s">
        <v>328</v>
      </c>
      <c r="AD189" s="2" t="str">
        <f t="shared" si="177"/>
        <v>_</v>
      </c>
      <c r="AE189" s="28" t="s">
        <v>75</v>
      </c>
      <c r="AF189" s="2" t="str">
        <f t="shared" si="267"/>
        <v/>
      </c>
      <c r="AH189" s="2" t="str">
        <f t="shared" si="265"/>
        <v/>
      </c>
    </row>
    <row r="190" spans="2:35" x14ac:dyDescent="0.25">
      <c r="B190" s="2" t="str">
        <f t="shared" si="253"/>
        <v>@line_width-ditch_z16</v>
      </c>
      <c r="C190" s="28" t="s">
        <v>93</v>
      </c>
      <c r="D190" s="28" t="s">
        <v>93</v>
      </c>
      <c r="F190" s="28" t="s">
        <v>93</v>
      </c>
      <c r="G190" s="28" t="s">
        <v>93</v>
      </c>
      <c r="I190" s="28" t="s">
        <v>93</v>
      </c>
      <c r="J190" s="28" t="s">
        <v>93</v>
      </c>
      <c r="L190" s="28" t="s">
        <v>93</v>
      </c>
      <c r="M190" s="28" t="s">
        <v>93</v>
      </c>
      <c r="O190" s="28" t="s">
        <v>93</v>
      </c>
      <c r="P190" s="28" t="s">
        <v>93</v>
      </c>
      <c r="R190" s="28" t="s">
        <v>93</v>
      </c>
      <c r="S190" s="28" t="s">
        <v>93</v>
      </c>
      <c r="U190" s="28" t="s">
        <v>93</v>
      </c>
      <c r="V190" s="28" t="s">
        <v>93</v>
      </c>
      <c r="X190" s="28" t="s">
        <v>93</v>
      </c>
      <c r="Y190" s="28" t="s">
        <v>93</v>
      </c>
      <c r="AA190" s="2" t="s">
        <v>120</v>
      </c>
      <c r="AB190" s="2" t="str">
        <f t="shared" si="176"/>
        <v>-</v>
      </c>
      <c r="AC190" s="28" t="s">
        <v>328</v>
      </c>
      <c r="AD190" s="2" t="str">
        <f t="shared" si="177"/>
        <v>_</v>
      </c>
      <c r="AE190" s="28" t="s">
        <v>76</v>
      </c>
      <c r="AF190" s="2" t="str">
        <f t="shared" si="267"/>
        <v/>
      </c>
      <c r="AH190" s="2" t="str">
        <f t="shared" si="265"/>
        <v/>
      </c>
    </row>
    <row r="191" spans="2:35" x14ac:dyDescent="0.25">
      <c r="B191" s="2" t="str">
        <f t="shared" si="253"/>
        <v>@line_width-ditch_z18</v>
      </c>
      <c r="C191" s="28" t="s">
        <v>330</v>
      </c>
      <c r="D191" s="28" t="s">
        <v>330</v>
      </c>
      <c r="F191" s="28" t="s">
        <v>330</v>
      </c>
      <c r="G191" s="28" t="s">
        <v>330</v>
      </c>
      <c r="I191" s="28" t="s">
        <v>330</v>
      </c>
      <c r="J191" s="28" t="s">
        <v>330</v>
      </c>
      <c r="L191" s="28" t="s">
        <v>330</v>
      </c>
      <c r="M191" s="28" t="s">
        <v>330</v>
      </c>
      <c r="O191" s="28" t="s">
        <v>330</v>
      </c>
      <c r="P191" s="28" t="s">
        <v>330</v>
      </c>
      <c r="R191" s="28" t="s">
        <v>330</v>
      </c>
      <c r="S191" s="28" t="s">
        <v>330</v>
      </c>
      <c r="U191" s="28" t="s">
        <v>330</v>
      </c>
      <c r="V191" s="28" t="s">
        <v>330</v>
      </c>
      <c r="X191" s="28" t="s">
        <v>330</v>
      </c>
      <c r="Y191" s="28" t="s">
        <v>330</v>
      </c>
      <c r="AA191" s="2" t="s">
        <v>120</v>
      </c>
      <c r="AB191" s="2" t="str">
        <f t="shared" si="176"/>
        <v>-</v>
      </c>
      <c r="AC191" s="28" t="s">
        <v>328</v>
      </c>
      <c r="AD191" s="2" t="str">
        <f t="shared" si="177"/>
        <v>_</v>
      </c>
      <c r="AE191" s="28" t="s">
        <v>77</v>
      </c>
      <c r="AF191" s="2" t="str">
        <f t="shared" si="267"/>
        <v/>
      </c>
      <c r="AH191" s="2" t="str">
        <f t="shared" si="265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69">_xlfn.CONCAT("@",AA193,AB193,AC193,AD193,AE193,AF193,AG193,AH193,AI193)</f>
        <v>@line_width-stream_z12</v>
      </c>
      <c r="C193" s="28" t="s">
        <v>81</v>
      </c>
      <c r="D193" s="28" t="s">
        <v>86</v>
      </c>
      <c r="F193" s="28" t="s">
        <v>81</v>
      </c>
      <c r="G193" s="28" t="s">
        <v>86</v>
      </c>
      <c r="I193" s="28" t="s">
        <v>81</v>
      </c>
      <c r="J193" s="28" t="s">
        <v>86</v>
      </c>
      <c r="L193" s="28" t="s">
        <v>81</v>
      </c>
      <c r="M193" s="28" t="s">
        <v>86</v>
      </c>
      <c r="O193" s="28" t="s">
        <v>81</v>
      </c>
      <c r="P193" s="28" t="s">
        <v>86</v>
      </c>
      <c r="R193" s="28" t="s">
        <v>81</v>
      </c>
      <c r="S193" s="28" t="s">
        <v>86</v>
      </c>
      <c r="U193" s="28" t="s">
        <v>81</v>
      </c>
      <c r="V193" s="28" t="s">
        <v>86</v>
      </c>
      <c r="X193" s="28" t="s">
        <v>81</v>
      </c>
      <c r="Y193" s="28" t="s">
        <v>86</v>
      </c>
      <c r="AA193" s="2" t="s">
        <v>120</v>
      </c>
      <c r="AB193" s="2" t="str">
        <f t="shared" ref="AB193:AB196" si="270">IF(NOT(ISBLANK(AC193)),"-","")</f>
        <v>-</v>
      </c>
      <c r="AC193" s="28" t="s">
        <v>329</v>
      </c>
      <c r="AD193" s="2" t="str">
        <f t="shared" ref="AD193:AD196" si="271">IF(NOT(ISBLANK(AE193)),"_","")</f>
        <v>_</v>
      </c>
      <c r="AE193" s="28" t="s">
        <v>110</v>
      </c>
      <c r="AF193" s="2" t="str">
        <f t="shared" si="267"/>
        <v/>
      </c>
      <c r="AH193" s="2" t="str">
        <f t="shared" si="265"/>
        <v/>
      </c>
    </row>
    <row r="194" spans="1:35" x14ac:dyDescent="0.25">
      <c r="B194" s="2" t="str">
        <f t="shared" si="269"/>
        <v>@line_width-stream_z14</v>
      </c>
      <c r="C194" s="28" t="s">
        <v>91</v>
      </c>
      <c r="D194" s="28" t="s">
        <v>89</v>
      </c>
      <c r="F194" s="28" t="s">
        <v>91</v>
      </c>
      <c r="G194" s="28" t="s">
        <v>89</v>
      </c>
      <c r="I194" s="28" t="s">
        <v>91</v>
      </c>
      <c r="J194" s="28" t="s">
        <v>89</v>
      </c>
      <c r="L194" s="28" t="s">
        <v>91</v>
      </c>
      <c r="M194" s="28" t="s">
        <v>89</v>
      </c>
      <c r="O194" s="28" t="s">
        <v>91</v>
      </c>
      <c r="P194" s="28" t="s">
        <v>89</v>
      </c>
      <c r="R194" s="28" t="s">
        <v>91</v>
      </c>
      <c r="S194" s="28" t="s">
        <v>89</v>
      </c>
      <c r="U194" s="28" t="s">
        <v>91</v>
      </c>
      <c r="V194" s="28" t="s">
        <v>89</v>
      </c>
      <c r="X194" s="28" t="s">
        <v>91</v>
      </c>
      <c r="Y194" s="28" t="s">
        <v>89</v>
      </c>
      <c r="AA194" s="2" t="s">
        <v>120</v>
      </c>
      <c r="AB194" s="2" t="str">
        <f t="shared" si="270"/>
        <v>-</v>
      </c>
      <c r="AC194" s="28" t="s">
        <v>329</v>
      </c>
      <c r="AD194" s="2" t="str">
        <f t="shared" si="271"/>
        <v>_</v>
      </c>
      <c r="AE194" s="28" t="s">
        <v>75</v>
      </c>
      <c r="AF194" s="2" t="str">
        <f t="shared" si="267"/>
        <v/>
      </c>
      <c r="AH194" s="2" t="str">
        <f t="shared" si="265"/>
        <v/>
      </c>
    </row>
    <row r="195" spans="1:35" x14ac:dyDescent="0.25">
      <c r="B195" s="2" t="str">
        <f t="shared" si="269"/>
        <v>@line_width-stream_z16</v>
      </c>
      <c r="C195" s="28" t="s">
        <v>87</v>
      </c>
      <c r="D195" s="28" t="s">
        <v>87</v>
      </c>
      <c r="F195" s="28" t="s">
        <v>87</v>
      </c>
      <c r="G195" s="28" t="s">
        <v>87</v>
      </c>
      <c r="I195" s="28" t="s">
        <v>87</v>
      </c>
      <c r="J195" s="28" t="s">
        <v>87</v>
      </c>
      <c r="L195" s="28" t="s">
        <v>87</v>
      </c>
      <c r="M195" s="28" t="s">
        <v>87</v>
      </c>
      <c r="O195" s="28" t="s">
        <v>87</v>
      </c>
      <c r="P195" s="28" t="s">
        <v>87</v>
      </c>
      <c r="R195" s="28" t="s">
        <v>87</v>
      </c>
      <c r="S195" s="28" t="s">
        <v>87</v>
      </c>
      <c r="U195" s="28" t="s">
        <v>87</v>
      </c>
      <c r="V195" s="28" t="s">
        <v>87</v>
      </c>
      <c r="X195" s="28" t="s">
        <v>87</v>
      </c>
      <c r="Y195" s="28" t="s">
        <v>87</v>
      </c>
      <c r="AA195" s="2" t="s">
        <v>120</v>
      </c>
      <c r="AB195" s="2" t="str">
        <f t="shared" si="270"/>
        <v>-</v>
      </c>
      <c r="AC195" s="28" t="s">
        <v>329</v>
      </c>
      <c r="AD195" s="2" t="str">
        <f t="shared" si="271"/>
        <v>_</v>
      </c>
      <c r="AE195" s="28" t="s">
        <v>76</v>
      </c>
      <c r="AF195" s="2" t="str">
        <f t="shared" si="267"/>
        <v/>
      </c>
      <c r="AH195" s="2" t="str">
        <f t="shared" si="265"/>
        <v/>
      </c>
    </row>
    <row r="196" spans="1:35" x14ac:dyDescent="0.25">
      <c r="B196" s="2" t="str">
        <f t="shared" si="269"/>
        <v>@line_width-stream_z18</v>
      </c>
      <c r="C196" s="28" t="s">
        <v>331</v>
      </c>
      <c r="D196" s="28" t="s">
        <v>331</v>
      </c>
      <c r="F196" s="28" t="s">
        <v>331</v>
      </c>
      <c r="G196" s="28" t="s">
        <v>331</v>
      </c>
      <c r="I196" s="28" t="s">
        <v>331</v>
      </c>
      <c r="J196" s="28" t="s">
        <v>331</v>
      </c>
      <c r="L196" s="28" t="s">
        <v>331</v>
      </c>
      <c r="M196" s="28" t="s">
        <v>331</v>
      </c>
      <c r="O196" s="28" t="s">
        <v>331</v>
      </c>
      <c r="P196" s="28" t="s">
        <v>331</v>
      </c>
      <c r="R196" s="28" t="s">
        <v>331</v>
      </c>
      <c r="S196" s="28" t="s">
        <v>331</v>
      </c>
      <c r="U196" s="28" t="s">
        <v>331</v>
      </c>
      <c r="V196" s="28" t="s">
        <v>331</v>
      </c>
      <c r="X196" s="28" t="s">
        <v>331</v>
      </c>
      <c r="Y196" s="28" t="s">
        <v>331</v>
      </c>
      <c r="AA196" s="2" t="s">
        <v>120</v>
      </c>
      <c r="AB196" s="2" t="str">
        <f t="shared" si="270"/>
        <v>-</v>
      </c>
      <c r="AC196" s="28" t="s">
        <v>329</v>
      </c>
      <c r="AD196" s="2" t="str">
        <f t="shared" si="271"/>
        <v>_</v>
      </c>
      <c r="AE196" s="28" t="s">
        <v>77</v>
      </c>
      <c r="AF196" s="2" t="str">
        <f t="shared" si="267"/>
        <v/>
      </c>
      <c r="AH196" s="2" t="str">
        <f t="shared" si="265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2">_xlfn.CONCAT("@",AA198,AB198,AC198,AD198,AE198,AF198,AG198,AH198,AI198)</f>
        <v>@line_width-canal_z13</v>
      </c>
      <c r="C198" s="28" t="s">
        <v>96</v>
      </c>
      <c r="D198" s="28" t="s">
        <v>81</v>
      </c>
      <c r="F198" s="28" t="s">
        <v>96</v>
      </c>
      <c r="G198" s="28" t="s">
        <v>81</v>
      </c>
      <c r="I198" s="28" t="s">
        <v>96</v>
      </c>
      <c r="J198" s="28" t="s">
        <v>81</v>
      </c>
      <c r="L198" s="28" t="s">
        <v>96</v>
      </c>
      <c r="M198" s="28" t="s">
        <v>81</v>
      </c>
      <c r="O198" s="28" t="s">
        <v>96</v>
      </c>
      <c r="P198" s="28" t="s">
        <v>81</v>
      </c>
      <c r="R198" s="28" t="s">
        <v>96</v>
      </c>
      <c r="S198" s="28" t="s">
        <v>81</v>
      </c>
      <c r="U198" s="28" t="s">
        <v>96</v>
      </c>
      <c r="V198" s="28" t="s">
        <v>81</v>
      </c>
      <c r="X198" s="28" t="s">
        <v>96</v>
      </c>
      <c r="Y198" s="28" t="s">
        <v>81</v>
      </c>
      <c r="AA198" s="2" t="s">
        <v>120</v>
      </c>
      <c r="AB198" s="2" t="str">
        <f t="shared" ref="AB198:AB200" si="273">IF(NOT(ISBLANK(AC198)),"-","")</f>
        <v>-</v>
      </c>
      <c r="AC198" s="28" t="s">
        <v>332</v>
      </c>
      <c r="AD198" s="2" t="str">
        <f t="shared" ref="AD198:AD200" si="274">IF(NOT(ISBLANK(AE198)),"_","")</f>
        <v>_</v>
      </c>
      <c r="AE198" s="28" t="s">
        <v>333</v>
      </c>
      <c r="AF198" s="2" t="str">
        <f t="shared" si="267"/>
        <v/>
      </c>
      <c r="AH198" s="2" t="str">
        <f t="shared" si="265"/>
        <v/>
      </c>
    </row>
    <row r="199" spans="1:35" x14ac:dyDescent="0.25">
      <c r="B199" s="2" t="str">
        <f t="shared" si="272"/>
        <v>@line_width-canal_z16</v>
      </c>
      <c r="C199" s="28" t="s">
        <v>129</v>
      </c>
      <c r="D199" s="28" t="s">
        <v>87</v>
      </c>
      <c r="F199" s="28" t="s">
        <v>129</v>
      </c>
      <c r="G199" s="28" t="s">
        <v>87</v>
      </c>
      <c r="I199" s="28" t="s">
        <v>129</v>
      </c>
      <c r="J199" s="28" t="s">
        <v>87</v>
      </c>
      <c r="L199" s="28" t="s">
        <v>129</v>
      </c>
      <c r="M199" s="28" t="s">
        <v>87</v>
      </c>
      <c r="O199" s="28" t="s">
        <v>129</v>
      </c>
      <c r="P199" s="28" t="s">
        <v>87</v>
      </c>
      <c r="R199" s="28" t="s">
        <v>129</v>
      </c>
      <c r="S199" s="28" t="s">
        <v>87</v>
      </c>
      <c r="U199" s="28" t="s">
        <v>129</v>
      </c>
      <c r="V199" s="28" t="s">
        <v>87</v>
      </c>
      <c r="X199" s="28" t="s">
        <v>129</v>
      </c>
      <c r="Y199" s="28" t="s">
        <v>87</v>
      </c>
      <c r="AA199" s="2" t="s">
        <v>120</v>
      </c>
      <c r="AB199" s="2" t="str">
        <f t="shared" si="273"/>
        <v>-</v>
      </c>
      <c r="AC199" s="28" t="s">
        <v>332</v>
      </c>
      <c r="AD199" s="2" t="str">
        <f t="shared" si="274"/>
        <v>_</v>
      </c>
      <c r="AE199" s="28" t="s">
        <v>76</v>
      </c>
      <c r="AF199" s="2" t="str">
        <f t="shared" si="267"/>
        <v/>
      </c>
      <c r="AH199" s="2" t="str">
        <f t="shared" si="265"/>
        <v/>
      </c>
    </row>
    <row r="200" spans="1:35" x14ac:dyDescent="0.25">
      <c r="B200" s="2" t="str">
        <f t="shared" si="272"/>
        <v>@line_width-canal_z20</v>
      </c>
      <c r="C200" s="28" t="s">
        <v>87</v>
      </c>
      <c r="D200" s="28" t="s">
        <v>88</v>
      </c>
      <c r="F200" s="28" t="s">
        <v>87</v>
      </c>
      <c r="G200" s="28" t="s">
        <v>88</v>
      </c>
      <c r="I200" s="28" t="s">
        <v>87</v>
      </c>
      <c r="J200" s="28" t="s">
        <v>88</v>
      </c>
      <c r="L200" s="28" t="s">
        <v>87</v>
      </c>
      <c r="M200" s="28" t="s">
        <v>88</v>
      </c>
      <c r="O200" s="28" t="s">
        <v>87</v>
      </c>
      <c r="P200" s="28" t="s">
        <v>88</v>
      </c>
      <c r="R200" s="28" t="s">
        <v>87</v>
      </c>
      <c r="S200" s="28" t="s">
        <v>88</v>
      </c>
      <c r="U200" s="28" t="s">
        <v>87</v>
      </c>
      <c r="V200" s="28" t="s">
        <v>88</v>
      </c>
      <c r="X200" s="28" t="s">
        <v>87</v>
      </c>
      <c r="Y200" s="28" t="s">
        <v>88</v>
      </c>
      <c r="AA200" s="2" t="s">
        <v>120</v>
      </c>
      <c r="AB200" s="2" t="str">
        <f t="shared" si="273"/>
        <v>-</v>
      </c>
      <c r="AC200" s="28" t="s">
        <v>332</v>
      </c>
      <c r="AD200" s="2" t="str">
        <f t="shared" si="274"/>
        <v>_</v>
      </c>
      <c r="AE200" s="28" t="s">
        <v>140</v>
      </c>
      <c r="AF200" s="2" t="str">
        <f t="shared" si="267"/>
        <v/>
      </c>
      <c r="AH200" s="2" t="str">
        <f t="shared" si="265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75">_xlfn.CONCAT("@",AA202,AB202,AC202,AD202,AE202,AF202,AG202,AH202,AI202)</f>
        <v>@line_width-river_z10</v>
      </c>
      <c r="C202" s="28" t="s">
        <v>97</v>
      </c>
      <c r="D202" s="28" t="s">
        <v>98</v>
      </c>
      <c r="F202" s="28" t="s">
        <v>97</v>
      </c>
      <c r="G202" s="28" t="s">
        <v>98</v>
      </c>
      <c r="I202" s="28" t="s">
        <v>97</v>
      </c>
      <c r="J202" s="28" t="s">
        <v>98</v>
      </c>
      <c r="L202" s="28" t="s">
        <v>97</v>
      </c>
      <c r="M202" s="28" t="s">
        <v>98</v>
      </c>
      <c r="O202" s="28" t="s">
        <v>97</v>
      </c>
      <c r="P202" s="28" t="s">
        <v>98</v>
      </c>
      <c r="R202" s="28" t="s">
        <v>97</v>
      </c>
      <c r="S202" s="28" t="s">
        <v>98</v>
      </c>
      <c r="U202" s="28" t="s">
        <v>97</v>
      </c>
      <c r="V202" s="28" t="s">
        <v>98</v>
      </c>
      <c r="X202" s="28" t="s">
        <v>97</v>
      </c>
      <c r="Y202" s="28" t="s">
        <v>98</v>
      </c>
      <c r="AA202" s="2" t="s">
        <v>120</v>
      </c>
      <c r="AB202" s="2" t="str">
        <f t="shared" ref="AB202:AB203" si="276">IF(NOT(ISBLANK(AC202)),"-","")</f>
        <v>-</v>
      </c>
      <c r="AC202" s="28" t="s">
        <v>334</v>
      </c>
      <c r="AD202" s="2" t="str">
        <f t="shared" ref="AD202:AD203" si="277">IF(NOT(ISBLANK(AE202)),"_","")</f>
        <v>_</v>
      </c>
      <c r="AE202" s="28" t="s">
        <v>104</v>
      </c>
      <c r="AF202" s="2" t="str">
        <f t="shared" si="267"/>
        <v/>
      </c>
      <c r="AH202" s="2" t="str">
        <f t="shared" si="265"/>
        <v/>
      </c>
    </row>
    <row r="203" spans="1:35" x14ac:dyDescent="0.25">
      <c r="B203" s="2" t="str">
        <f t="shared" si="275"/>
        <v>@line_width-river_z20</v>
      </c>
      <c r="C203" s="28" t="s">
        <v>87</v>
      </c>
      <c r="D203" s="28" t="s">
        <v>335</v>
      </c>
      <c r="F203" s="28" t="s">
        <v>87</v>
      </c>
      <c r="G203" s="28" t="s">
        <v>335</v>
      </c>
      <c r="I203" s="28" t="s">
        <v>87</v>
      </c>
      <c r="J203" s="28" t="s">
        <v>335</v>
      </c>
      <c r="L203" s="28" t="s">
        <v>87</v>
      </c>
      <c r="M203" s="28" t="s">
        <v>335</v>
      </c>
      <c r="O203" s="28" t="s">
        <v>87</v>
      </c>
      <c r="P203" s="28" t="s">
        <v>335</v>
      </c>
      <c r="R203" s="28" t="s">
        <v>87</v>
      </c>
      <c r="S203" s="28" t="s">
        <v>335</v>
      </c>
      <c r="U203" s="28" t="s">
        <v>87</v>
      </c>
      <c r="V203" s="28" t="s">
        <v>335</v>
      </c>
      <c r="X203" s="28" t="s">
        <v>87</v>
      </c>
      <c r="Y203" s="28" t="s">
        <v>335</v>
      </c>
      <c r="AA203" s="2" t="s">
        <v>120</v>
      </c>
      <c r="AB203" s="2" t="str">
        <f t="shared" si="276"/>
        <v>-</v>
      </c>
      <c r="AC203" s="28" t="s">
        <v>334</v>
      </c>
      <c r="AD203" s="2" t="str">
        <f t="shared" si="277"/>
        <v>_</v>
      </c>
      <c r="AE203" s="28" t="s">
        <v>140</v>
      </c>
      <c r="AF203" s="2" t="str">
        <f t="shared" si="267"/>
        <v/>
      </c>
      <c r="AH203" s="2" t="str">
        <f t="shared" si="265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255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76"/>
        <v/>
      </c>
      <c r="AC206" s="4"/>
      <c r="AD206" s="4" t="str">
        <f t="shared" si="177"/>
        <v/>
      </c>
      <c r="AE206" s="4"/>
      <c r="AF206" s="4" t="str">
        <f t="shared" si="178"/>
        <v/>
      </c>
      <c r="AG206" s="4"/>
      <c r="AH206" s="4" t="str">
        <f t="shared" ref="AH206:AH240" si="278">IF(NOT(ISBLANK(AI206)),"_","")</f>
        <v/>
      </c>
      <c r="AI206" s="4"/>
    </row>
    <row r="207" spans="1:35" x14ac:dyDescent="0.25">
      <c r="B207" s="2" t="str">
        <f t="shared" ref="B207:B231" si="279">_xlfn.CONCAT("@",AA207,AB207,AC207,AD207,AE207,AF207,AG207,AH207,AI207)</f>
        <v>@color-background</v>
      </c>
      <c r="C207" s="92" t="s">
        <v>193</v>
      </c>
      <c r="D207" s="38" t="s">
        <v>225</v>
      </c>
      <c r="F207" s="72" t="s">
        <v>215</v>
      </c>
      <c r="G207" s="72" t="s">
        <v>215</v>
      </c>
      <c r="AA207" s="2" t="s">
        <v>6</v>
      </c>
      <c r="AB207" s="2" t="str">
        <f t="shared" si="176"/>
        <v>-</v>
      </c>
      <c r="AC207" s="2" t="s">
        <v>67</v>
      </c>
      <c r="AD207" s="2" t="str">
        <f t="shared" si="177"/>
        <v/>
      </c>
      <c r="AE207" s="2"/>
      <c r="AF207" s="2" t="str">
        <f t="shared" si="178"/>
        <v/>
      </c>
      <c r="AG207" s="2"/>
      <c r="AH207" s="2" t="str">
        <f t="shared" si="278"/>
        <v/>
      </c>
      <c r="AI207" s="2"/>
    </row>
    <row r="208" spans="1:35" x14ac:dyDescent="0.25">
      <c r="B208" s="2" t="str">
        <f t="shared" si="279"/>
        <v>@color-water</v>
      </c>
      <c r="C208" s="93" t="s">
        <v>194</v>
      </c>
      <c r="D208" s="94" t="s">
        <v>195</v>
      </c>
      <c r="F208" s="95" t="s">
        <v>238</v>
      </c>
      <c r="G208" s="95" t="s">
        <v>238</v>
      </c>
      <c r="AA208" s="2" t="s">
        <v>6</v>
      </c>
      <c r="AB208" s="2" t="str">
        <f t="shared" si="176"/>
        <v>-</v>
      </c>
      <c r="AC208" s="2" t="s">
        <v>14</v>
      </c>
      <c r="AD208" s="2" t="str">
        <f t="shared" si="177"/>
        <v/>
      </c>
      <c r="AE208" s="2"/>
      <c r="AF208" s="2" t="str">
        <f t="shared" si="178"/>
        <v/>
      </c>
      <c r="AG208" s="2"/>
      <c r="AH208" s="2" t="str">
        <f t="shared" si="278"/>
        <v/>
      </c>
      <c r="AI208" s="2"/>
    </row>
    <row r="209" spans="2:35" x14ac:dyDescent="0.25">
      <c r="B209" s="2" t="str">
        <f t="shared" si="279"/>
        <v>@color-landcover_field</v>
      </c>
      <c r="C209" s="96" t="s">
        <v>196</v>
      </c>
      <c r="D209" s="97" t="s">
        <v>197</v>
      </c>
      <c r="F209" s="98" t="s">
        <v>241</v>
      </c>
      <c r="G209" s="98" t="s">
        <v>241</v>
      </c>
      <c r="AA209" s="2" t="s">
        <v>6</v>
      </c>
      <c r="AB209" s="2" t="str">
        <f t="shared" si="176"/>
        <v>-</v>
      </c>
      <c r="AC209" s="2" t="s">
        <v>52</v>
      </c>
      <c r="AD209" s="2" t="str">
        <f t="shared" si="177"/>
        <v>_</v>
      </c>
      <c r="AE209" s="2" t="s">
        <v>47</v>
      </c>
      <c r="AF209" s="2" t="str">
        <f t="shared" si="178"/>
        <v/>
      </c>
      <c r="AG209" s="2"/>
      <c r="AH209" s="2" t="str">
        <f t="shared" si="278"/>
        <v/>
      </c>
      <c r="AI209" s="2"/>
    </row>
    <row r="210" spans="2:35" x14ac:dyDescent="0.25">
      <c r="B210" s="2" t="str">
        <f t="shared" si="279"/>
        <v>@color-landcover_meadow</v>
      </c>
      <c r="C210" s="99" t="s">
        <v>198</v>
      </c>
      <c r="D210" s="100" t="s">
        <v>199</v>
      </c>
      <c r="F210" s="101" t="s">
        <v>240</v>
      </c>
      <c r="G210" s="101" t="s">
        <v>240</v>
      </c>
      <c r="AA210" s="2" t="s">
        <v>6</v>
      </c>
      <c r="AB210" s="2" t="str">
        <f t="shared" si="176"/>
        <v>-</v>
      </c>
      <c r="AC210" s="2" t="s">
        <v>52</v>
      </c>
      <c r="AD210" s="2" t="str">
        <f t="shared" si="177"/>
        <v>_</v>
      </c>
      <c r="AE210" s="2" t="s">
        <v>48</v>
      </c>
      <c r="AF210" s="2" t="str">
        <f t="shared" si="178"/>
        <v/>
      </c>
      <c r="AG210" s="2"/>
      <c r="AH210" s="2" t="str">
        <f t="shared" si="278"/>
        <v/>
      </c>
      <c r="AI210" s="2"/>
    </row>
    <row r="211" spans="2:35" x14ac:dyDescent="0.25">
      <c r="B211" s="2" t="str">
        <f t="shared" si="279"/>
        <v>@color-landcover_bare_rock</v>
      </c>
      <c r="C211" s="102" t="s">
        <v>200</v>
      </c>
      <c r="D211" s="102" t="s">
        <v>200</v>
      </c>
      <c r="F211" s="103" t="s">
        <v>245</v>
      </c>
      <c r="G211" s="103" t="s">
        <v>245</v>
      </c>
      <c r="AA211" s="2" t="s">
        <v>6</v>
      </c>
      <c r="AB211" s="2" t="str">
        <f t="shared" si="176"/>
        <v>-</v>
      </c>
      <c r="AC211" s="2" t="s">
        <v>52</v>
      </c>
      <c r="AD211" s="2" t="str">
        <f t="shared" si="177"/>
        <v>_</v>
      </c>
      <c r="AE211" s="2" t="s">
        <v>49</v>
      </c>
      <c r="AF211" s="2" t="str">
        <f t="shared" si="178"/>
        <v/>
      </c>
      <c r="AG211" s="2"/>
      <c r="AH211" s="2" t="str">
        <f t="shared" si="278"/>
        <v/>
      </c>
      <c r="AI211" s="2"/>
    </row>
    <row r="212" spans="2:35" x14ac:dyDescent="0.25">
      <c r="B212" s="2" t="str">
        <f t="shared" si="279"/>
        <v>@color-landcover_sand</v>
      </c>
      <c r="C212" s="104" t="s">
        <v>201</v>
      </c>
      <c r="D212" s="38" t="s">
        <v>225</v>
      </c>
      <c r="F212" s="105" t="s">
        <v>246</v>
      </c>
      <c r="G212" s="72" t="s">
        <v>215</v>
      </c>
      <c r="AA212" s="2" t="s">
        <v>6</v>
      </c>
      <c r="AB212" s="2" t="str">
        <f t="shared" si="176"/>
        <v>-</v>
      </c>
      <c r="AC212" s="2" t="s">
        <v>52</v>
      </c>
      <c r="AD212" s="2" t="str">
        <f t="shared" si="177"/>
        <v>_</v>
      </c>
      <c r="AE212" s="2" t="s">
        <v>50</v>
      </c>
      <c r="AF212" s="2" t="str">
        <f t="shared" si="178"/>
        <v/>
      </c>
      <c r="AG212" s="2"/>
      <c r="AH212" s="2" t="str">
        <f t="shared" si="278"/>
        <v/>
      </c>
      <c r="AI212" s="2"/>
    </row>
    <row r="213" spans="2:35" x14ac:dyDescent="0.25">
      <c r="B213" s="2" t="str">
        <f t="shared" si="279"/>
        <v>@color-landcover_allotments</v>
      </c>
      <c r="C213" s="106" t="s">
        <v>202</v>
      </c>
      <c r="D213" s="106" t="s">
        <v>202</v>
      </c>
      <c r="F213" s="107" t="s">
        <v>247</v>
      </c>
      <c r="G213" s="107" t="s">
        <v>247</v>
      </c>
      <c r="AA213" s="2" t="s">
        <v>6</v>
      </c>
      <c r="AB213" s="2" t="str">
        <f t="shared" si="176"/>
        <v>-</v>
      </c>
      <c r="AC213" s="2" t="s">
        <v>52</v>
      </c>
      <c r="AD213" s="2" t="str">
        <f t="shared" si="177"/>
        <v>_</v>
      </c>
      <c r="AE213" s="2" t="s">
        <v>51</v>
      </c>
      <c r="AF213" s="2" t="str">
        <f t="shared" si="178"/>
        <v/>
      </c>
      <c r="AG213" s="2"/>
      <c r="AH213" s="2" t="str">
        <f t="shared" si="278"/>
        <v/>
      </c>
      <c r="AI213" s="2"/>
    </row>
    <row r="214" spans="2:35" x14ac:dyDescent="0.25">
      <c r="B214" s="2" t="str">
        <f t="shared" si="279"/>
        <v>@color-landcover_heath_fell</v>
      </c>
      <c r="C214" s="108" t="s">
        <v>203</v>
      </c>
      <c r="D214" s="38" t="s">
        <v>225</v>
      </c>
      <c r="F214" s="109" t="s">
        <v>248</v>
      </c>
      <c r="G214" s="72" t="s">
        <v>215</v>
      </c>
      <c r="AA214" s="2" t="s">
        <v>6</v>
      </c>
      <c r="AB214" s="2" t="str">
        <f t="shared" si="176"/>
        <v>-</v>
      </c>
      <c r="AC214" s="2" t="s">
        <v>52</v>
      </c>
      <c r="AD214" s="2" t="str">
        <f t="shared" si="177"/>
        <v>_</v>
      </c>
      <c r="AE214" s="2" t="s">
        <v>53</v>
      </c>
      <c r="AF214" s="2" t="str">
        <f t="shared" si="178"/>
        <v/>
      </c>
      <c r="AG214" s="2"/>
      <c r="AH214" s="2" t="str">
        <f t="shared" si="278"/>
        <v/>
      </c>
      <c r="AI214" s="2"/>
    </row>
    <row r="215" spans="2:35" x14ac:dyDescent="0.25">
      <c r="B215" s="2" t="str">
        <f t="shared" si="279"/>
        <v>@color-landcover_grass</v>
      </c>
      <c r="C215" s="110" t="s">
        <v>204</v>
      </c>
      <c r="D215" s="38" t="s">
        <v>225</v>
      </c>
      <c r="F215" s="111" t="s">
        <v>278</v>
      </c>
      <c r="G215" s="72" t="s">
        <v>215</v>
      </c>
      <c r="AA215" s="2" t="s">
        <v>6</v>
      </c>
      <c r="AB215" s="2" t="str">
        <f t="shared" si="176"/>
        <v>-</v>
      </c>
      <c r="AC215" s="2" t="s">
        <v>52</v>
      </c>
      <c r="AD215" s="2" t="str">
        <f t="shared" si="177"/>
        <v>_</v>
      </c>
      <c r="AE215" s="2" t="s">
        <v>54</v>
      </c>
      <c r="AF215" s="2" t="str">
        <f t="shared" si="178"/>
        <v/>
      </c>
      <c r="AG215" s="2"/>
      <c r="AH215" s="2" t="str">
        <f t="shared" si="278"/>
        <v/>
      </c>
      <c r="AI215" s="2"/>
    </row>
    <row r="216" spans="2:35" x14ac:dyDescent="0.25">
      <c r="B216" s="2" t="str">
        <f t="shared" si="279"/>
        <v>@color-landcover_quarry</v>
      </c>
      <c r="C216" s="112" t="s">
        <v>205</v>
      </c>
      <c r="D216" s="112" t="s">
        <v>205</v>
      </c>
      <c r="F216" s="113" t="s">
        <v>249</v>
      </c>
      <c r="G216" s="113" t="s">
        <v>249</v>
      </c>
      <c r="AA216" s="2" t="s">
        <v>6</v>
      </c>
      <c r="AB216" s="2" t="str">
        <f t="shared" si="176"/>
        <v>-</v>
      </c>
      <c r="AC216" s="2" t="s">
        <v>52</v>
      </c>
      <c r="AD216" s="2" t="str">
        <f t="shared" si="177"/>
        <v>_</v>
      </c>
      <c r="AE216" s="2" t="s">
        <v>55</v>
      </c>
      <c r="AF216" s="2" t="str">
        <f t="shared" si="178"/>
        <v/>
      </c>
      <c r="AG216" s="2"/>
      <c r="AH216" s="2" t="str">
        <f t="shared" si="278"/>
        <v/>
      </c>
      <c r="AI216" s="2"/>
    </row>
    <row r="217" spans="2:35" x14ac:dyDescent="0.25">
      <c r="B217" s="2" t="str">
        <f t="shared" si="279"/>
        <v>@color-landcover_storage</v>
      </c>
      <c r="C217" s="114" t="s">
        <v>206</v>
      </c>
      <c r="D217" s="114" t="s">
        <v>206</v>
      </c>
      <c r="F217" s="115" t="s">
        <v>263</v>
      </c>
      <c r="G217" s="115" t="s">
        <v>263</v>
      </c>
      <c r="AA217" s="2" t="s">
        <v>6</v>
      </c>
      <c r="AB217" s="2" t="str">
        <f t="shared" si="176"/>
        <v>-</v>
      </c>
      <c r="AC217" s="2" t="s">
        <v>52</v>
      </c>
      <c r="AD217" s="2" t="str">
        <f t="shared" si="177"/>
        <v>_</v>
      </c>
      <c r="AE217" s="2" t="s">
        <v>56</v>
      </c>
      <c r="AF217" s="2" t="str">
        <f t="shared" si="178"/>
        <v/>
      </c>
      <c r="AG217" s="2"/>
      <c r="AH217" s="2" t="str">
        <f t="shared" si="278"/>
        <v/>
      </c>
      <c r="AI217" s="2"/>
    </row>
    <row r="218" spans="2:35" x14ac:dyDescent="0.25">
      <c r="B218" s="2" t="str">
        <f t="shared" si="279"/>
        <v>@color-landcover_wood</v>
      </c>
      <c r="C218" s="116" t="s">
        <v>207</v>
      </c>
      <c r="D218" s="116" t="s">
        <v>207</v>
      </c>
      <c r="F218" s="117" t="s">
        <v>239</v>
      </c>
      <c r="G218" s="117" t="s">
        <v>239</v>
      </c>
      <c r="AA218" s="2" t="s">
        <v>6</v>
      </c>
      <c r="AB218" s="2" t="str">
        <f t="shared" si="176"/>
        <v>-</v>
      </c>
      <c r="AC218" s="2" t="s">
        <v>52</v>
      </c>
      <c r="AD218" s="2" t="str">
        <f t="shared" si="177"/>
        <v>_</v>
      </c>
      <c r="AE218" s="2" t="s">
        <v>57</v>
      </c>
      <c r="AF218" s="2" t="str">
        <f t="shared" si="178"/>
        <v/>
      </c>
      <c r="AG218" s="2"/>
      <c r="AH218" s="2" t="str">
        <f t="shared" si="278"/>
        <v/>
      </c>
      <c r="AI218" s="2"/>
    </row>
    <row r="219" spans="2:35" x14ac:dyDescent="0.25">
      <c r="B219" s="2" t="str">
        <f t="shared" si="279"/>
        <v>@color-landcover_parking_area</v>
      </c>
      <c r="C219" s="118" t="s">
        <v>208</v>
      </c>
      <c r="D219" s="118" t="s">
        <v>208</v>
      </c>
      <c r="F219" s="119" t="s">
        <v>250</v>
      </c>
      <c r="G219" s="119" t="s">
        <v>250</v>
      </c>
      <c r="AA219" s="2" t="s">
        <v>6</v>
      </c>
      <c r="AB219" s="2" t="str">
        <f t="shared" si="176"/>
        <v>-</v>
      </c>
      <c r="AC219" s="2" t="s">
        <v>52</v>
      </c>
      <c r="AD219" s="2" t="str">
        <f t="shared" si="177"/>
        <v>_</v>
      </c>
      <c r="AE219" s="2" t="s">
        <v>58</v>
      </c>
      <c r="AF219" s="2" t="str">
        <f t="shared" si="178"/>
        <v/>
      </c>
      <c r="AG219" s="2"/>
      <c r="AH219" s="2" t="str">
        <f t="shared" si="278"/>
        <v/>
      </c>
      <c r="AI219" s="2"/>
    </row>
    <row r="220" spans="2:35" x14ac:dyDescent="0.25">
      <c r="B220" s="2" t="str">
        <f t="shared" si="279"/>
        <v>@color-landcover_railway</v>
      </c>
      <c r="C220" s="120" t="s">
        <v>209</v>
      </c>
      <c r="D220" s="120" t="s">
        <v>209</v>
      </c>
      <c r="F220" s="121" t="s">
        <v>251</v>
      </c>
      <c r="G220" s="121" t="s">
        <v>251</v>
      </c>
      <c r="AA220" s="2" t="s">
        <v>6</v>
      </c>
      <c r="AB220" s="2" t="str">
        <f t="shared" si="176"/>
        <v>-</v>
      </c>
      <c r="AC220" s="2" t="s">
        <v>52</v>
      </c>
      <c r="AD220" s="2" t="str">
        <f t="shared" si="177"/>
        <v>_</v>
      </c>
      <c r="AE220" s="2" t="s">
        <v>59</v>
      </c>
      <c r="AF220" s="2" t="str">
        <f t="shared" si="178"/>
        <v/>
      </c>
      <c r="AG220" s="2"/>
      <c r="AH220" s="2" t="str">
        <f t="shared" si="278"/>
        <v/>
      </c>
      <c r="AI220" s="2"/>
    </row>
    <row r="221" spans="2:35" x14ac:dyDescent="0.25">
      <c r="B221" s="2" t="str">
        <f t="shared" si="279"/>
        <v>@color-landcover_school</v>
      </c>
      <c r="C221" s="122" t="s">
        <v>211</v>
      </c>
      <c r="D221" s="122" t="s">
        <v>211</v>
      </c>
      <c r="F221" s="115" t="s">
        <v>263</v>
      </c>
      <c r="G221" s="115" t="s">
        <v>263</v>
      </c>
      <c r="AA221" s="2" t="s">
        <v>6</v>
      </c>
      <c r="AB221" s="2" t="str">
        <f t="shared" si="176"/>
        <v>-</v>
      </c>
      <c r="AC221" s="2" t="s">
        <v>52</v>
      </c>
      <c r="AD221" s="2" t="str">
        <f t="shared" si="177"/>
        <v>_</v>
      </c>
      <c r="AE221" s="2" t="s">
        <v>60</v>
      </c>
      <c r="AF221" s="2" t="str">
        <f t="shared" si="178"/>
        <v/>
      </c>
      <c r="AG221" s="2"/>
      <c r="AH221" s="2" t="str">
        <f t="shared" si="278"/>
        <v/>
      </c>
      <c r="AI221" s="2"/>
    </row>
    <row r="222" spans="2:35" x14ac:dyDescent="0.25">
      <c r="B222" s="2" t="str">
        <f t="shared" si="279"/>
        <v>@color-landcover_cemetery</v>
      </c>
      <c r="C222" s="123" t="s">
        <v>210</v>
      </c>
      <c r="D222" s="123" t="s">
        <v>210</v>
      </c>
      <c r="F222" s="124" t="s">
        <v>252</v>
      </c>
      <c r="G222" s="124" t="s">
        <v>252</v>
      </c>
      <c r="AA222" s="2" t="s">
        <v>6</v>
      </c>
      <c r="AB222" s="2" t="str">
        <f t="shared" si="176"/>
        <v>-</v>
      </c>
      <c r="AC222" s="2" t="s">
        <v>52</v>
      </c>
      <c r="AD222" s="2" t="str">
        <f t="shared" si="177"/>
        <v>_</v>
      </c>
      <c r="AE222" s="2" t="s">
        <v>62</v>
      </c>
      <c r="AF222" s="2" t="str">
        <f t="shared" si="178"/>
        <v/>
      </c>
      <c r="AG222" s="2"/>
      <c r="AH222" s="2" t="str">
        <f t="shared" si="278"/>
        <v/>
      </c>
      <c r="AI222" s="2"/>
    </row>
    <row r="223" spans="2:35" x14ac:dyDescent="0.25">
      <c r="B223" s="2" t="str">
        <f t="shared" si="279"/>
        <v>@color-landcover_hospital</v>
      </c>
      <c r="C223" s="122" t="s">
        <v>211</v>
      </c>
      <c r="D223" s="122" t="s">
        <v>211</v>
      </c>
      <c r="F223" s="115" t="s">
        <v>263</v>
      </c>
      <c r="G223" s="115" t="s">
        <v>263</v>
      </c>
      <c r="AA223" s="2" t="s">
        <v>6</v>
      </c>
      <c r="AB223" s="2" t="str">
        <f t="shared" si="176"/>
        <v>-</v>
      </c>
      <c r="AC223" s="2" t="s">
        <v>52</v>
      </c>
      <c r="AD223" s="2" t="str">
        <f t="shared" si="177"/>
        <v>_</v>
      </c>
      <c r="AE223" s="2" t="s">
        <v>61</v>
      </c>
      <c r="AF223" s="2" t="str">
        <f t="shared" si="178"/>
        <v/>
      </c>
      <c r="AG223" s="2"/>
      <c r="AH223" s="2" t="str">
        <f t="shared" si="278"/>
        <v/>
      </c>
      <c r="AI223" s="2"/>
    </row>
    <row r="224" spans="2:35" x14ac:dyDescent="0.25">
      <c r="B224" s="2" t="str">
        <f t="shared" si="279"/>
        <v>@color-landcover_industrial</v>
      </c>
      <c r="C224" s="122" t="s">
        <v>211</v>
      </c>
      <c r="D224" s="122" t="s">
        <v>211</v>
      </c>
      <c r="F224" s="115" t="s">
        <v>263</v>
      </c>
      <c r="G224" s="115" t="s">
        <v>263</v>
      </c>
      <c r="AA224" s="2" t="s">
        <v>6</v>
      </c>
      <c r="AB224" s="2" t="str">
        <f t="shared" si="176"/>
        <v>-</v>
      </c>
      <c r="AC224" s="2" t="s">
        <v>52</v>
      </c>
      <c r="AD224" s="2" t="str">
        <f t="shared" si="177"/>
        <v>_</v>
      </c>
      <c r="AE224" s="2" t="s">
        <v>63</v>
      </c>
      <c r="AF224" s="2" t="str">
        <f t="shared" si="178"/>
        <v/>
      </c>
      <c r="AG224" s="2"/>
      <c r="AH224" s="2" t="str">
        <f t="shared" si="278"/>
        <v/>
      </c>
      <c r="AI224" s="2"/>
    </row>
    <row r="225" spans="1:35" x14ac:dyDescent="0.25">
      <c r="B225" s="2" t="str">
        <f t="shared" si="279"/>
        <v>@color-landcover_commercial</v>
      </c>
      <c r="C225" s="122" t="s">
        <v>211</v>
      </c>
      <c r="D225" s="122" t="s">
        <v>211</v>
      </c>
      <c r="F225" s="115" t="s">
        <v>263</v>
      </c>
      <c r="G225" s="115" t="s">
        <v>263</v>
      </c>
      <c r="AA225" s="2" t="s">
        <v>6</v>
      </c>
      <c r="AB225" s="2" t="str">
        <f t="shared" si="176"/>
        <v>-</v>
      </c>
      <c r="AC225" s="2" t="s">
        <v>52</v>
      </c>
      <c r="AD225" s="2" t="str">
        <f t="shared" si="177"/>
        <v>_</v>
      </c>
      <c r="AE225" s="2" t="s">
        <v>64</v>
      </c>
      <c r="AF225" s="2" t="str">
        <f t="shared" si="178"/>
        <v/>
      </c>
      <c r="AG225" s="2"/>
      <c r="AH225" s="2" t="str">
        <f t="shared" si="278"/>
        <v/>
      </c>
      <c r="AI225" s="2"/>
    </row>
    <row r="226" spans="1:35" x14ac:dyDescent="0.25">
      <c r="B226" s="2" t="str">
        <f t="shared" si="279"/>
        <v>@color-landcover_residential</v>
      </c>
      <c r="C226" s="122" t="s">
        <v>211</v>
      </c>
      <c r="D226" s="122" t="s">
        <v>211</v>
      </c>
      <c r="F226" s="115" t="s">
        <v>263</v>
      </c>
      <c r="G226" s="115" t="s">
        <v>263</v>
      </c>
      <c r="AA226" s="2" t="s">
        <v>6</v>
      </c>
      <c r="AB226" s="2" t="str">
        <f t="shared" si="176"/>
        <v>-</v>
      </c>
      <c r="AC226" s="2" t="s">
        <v>52</v>
      </c>
      <c r="AD226" s="2" t="str">
        <f t="shared" si="177"/>
        <v>_</v>
      </c>
      <c r="AE226" s="2" t="s">
        <v>65</v>
      </c>
      <c r="AF226" s="2" t="str">
        <f t="shared" si="178"/>
        <v/>
      </c>
      <c r="AG226" s="2"/>
      <c r="AH226" s="2" t="str">
        <f t="shared" si="278"/>
        <v/>
      </c>
      <c r="AI226" s="2"/>
    </row>
    <row r="227" spans="1:35" x14ac:dyDescent="0.25">
      <c r="B227" s="2" t="str">
        <f t="shared" si="279"/>
        <v>@color-landcover_built-up</v>
      </c>
      <c r="C227" s="122" t="s">
        <v>211</v>
      </c>
      <c r="D227" s="122" t="s">
        <v>211</v>
      </c>
      <c r="F227" s="115" t="s">
        <v>263</v>
      </c>
      <c r="G227" s="115" t="s">
        <v>263</v>
      </c>
      <c r="AA227" s="2" t="s">
        <v>6</v>
      </c>
      <c r="AB227" s="2" t="str">
        <f t="shared" si="176"/>
        <v>-</v>
      </c>
      <c r="AC227" s="2" t="s">
        <v>52</v>
      </c>
      <c r="AD227" s="2" t="str">
        <f t="shared" si="177"/>
        <v>_</v>
      </c>
      <c r="AE227" s="2" t="s">
        <v>66</v>
      </c>
      <c r="AF227" s="2" t="str">
        <f t="shared" si="178"/>
        <v/>
      </c>
      <c r="AG227" s="2"/>
      <c r="AH227" s="2" t="str">
        <f t="shared" si="278"/>
        <v/>
      </c>
      <c r="AI227" s="2"/>
    </row>
    <row r="228" spans="1:35" x14ac:dyDescent="0.25">
      <c r="B228" s="2" t="str">
        <f t="shared" si="279"/>
        <v>@color-landcover_ice_shelf</v>
      </c>
      <c r="C228" s="92" t="s">
        <v>193</v>
      </c>
      <c r="D228" s="92" t="s">
        <v>193</v>
      </c>
      <c r="F228" s="125" t="s">
        <v>253</v>
      </c>
      <c r="G228" s="125" t="s">
        <v>253</v>
      </c>
      <c r="AA228" s="2" t="s">
        <v>6</v>
      </c>
      <c r="AB228" s="2" t="str">
        <f t="shared" ref="AB228:AB231" si="280">IF(NOT(ISBLANK(AC228)),"-","")</f>
        <v>-</v>
      </c>
      <c r="AC228" s="2" t="s">
        <v>52</v>
      </c>
      <c r="AD228" s="2" t="str">
        <f t="shared" ref="AD228:AD231" si="281">IF(NOT(ISBLANK(AE228)),"_","")</f>
        <v>_</v>
      </c>
      <c r="AE228" s="2" t="s">
        <v>242</v>
      </c>
      <c r="AF228" s="2" t="str">
        <f t="shared" ref="AF228:AF231" si="282">IF(NOT(ISBLANK(AG228)),"_","")</f>
        <v/>
      </c>
      <c r="AG228" s="2"/>
      <c r="AH228" s="2" t="str">
        <f t="shared" si="278"/>
        <v/>
      </c>
      <c r="AI228" s="2"/>
    </row>
    <row r="229" spans="1:35" x14ac:dyDescent="0.25">
      <c r="B229" s="2" t="str">
        <f t="shared" si="279"/>
        <v>@color-landcover_glacier</v>
      </c>
      <c r="C229" s="92" t="s">
        <v>193</v>
      </c>
      <c r="D229" s="92" t="s">
        <v>193</v>
      </c>
      <c r="F229" s="125" t="s">
        <v>253</v>
      </c>
      <c r="G229" s="125" t="s">
        <v>253</v>
      </c>
      <c r="AA229" s="2" t="s">
        <v>6</v>
      </c>
      <c r="AB229" s="2" t="str">
        <f t="shared" ref="AB229" si="283">IF(NOT(ISBLANK(AC229)),"-","")</f>
        <v>-</v>
      </c>
      <c r="AC229" s="2" t="s">
        <v>52</v>
      </c>
      <c r="AD229" s="2" t="str">
        <f t="shared" ref="AD229" si="284">IF(NOT(ISBLANK(AE229)),"_","")</f>
        <v>_</v>
      </c>
      <c r="AE229" s="2" t="s">
        <v>266</v>
      </c>
      <c r="AF229" s="2" t="str">
        <f t="shared" ref="AF229" si="285">IF(NOT(ISBLANK(AG229)),"_","")</f>
        <v/>
      </c>
      <c r="AG229" s="2"/>
      <c r="AH229" s="2" t="str">
        <f t="shared" si="278"/>
        <v/>
      </c>
      <c r="AI229" s="2"/>
    </row>
    <row r="230" spans="1:35" x14ac:dyDescent="0.25">
      <c r="B230" s="2" t="str">
        <f t="shared" si="279"/>
        <v>@color-landcover_sport_play</v>
      </c>
      <c r="C230" s="126" t="s">
        <v>244</v>
      </c>
      <c r="D230" s="126" t="s">
        <v>244</v>
      </c>
      <c r="F230" s="127" t="s">
        <v>254</v>
      </c>
      <c r="G230" s="127" t="s">
        <v>254</v>
      </c>
      <c r="AA230" s="2" t="s">
        <v>6</v>
      </c>
      <c r="AB230" s="2" t="str">
        <f t="shared" si="280"/>
        <v>-</v>
      </c>
      <c r="AC230" s="2" t="s">
        <v>52</v>
      </c>
      <c r="AD230" s="2" t="str">
        <f t="shared" si="281"/>
        <v>_</v>
      </c>
      <c r="AE230" s="2" t="s">
        <v>243</v>
      </c>
      <c r="AF230" s="2" t="str">
        <f t="shared" si="282"/>
        <v/>
      </c>
      <c r="AG230" s="2"/>
      <c r="AH230" s="2" t="str">
        <f t="shared" si="278"/>
        <v/>
      </c>
      <c r="AI230" s="2"/>
    </row>
    <row r="231" spans="1:35" x14ac:dyDescent="0.25">
      <c r="B231" s="2" t="str">
        <f t="shared" si="279"/>
        <v>@color-landcover_line_generic</v>
      </c>
      <c r="C231" s="128" t="s">
        <v>264</v>
      </c>
      <c r="D231" s="128" t="s">
        <v>264</v>
      </c>
      <c r="F231" s="115" t="s">
        <v>263</v>
      </c>
      <c r="G231" s="115" t="s">
        <v>263</v>
      </c>
      <c r="AA231" s="2" t="s">
        <v>6</v>
      </c>
      <c r="AB231" s="2" t="str">
        <f t="shared" si="280"/>
        <v>-</v>
      </c>
      <c r="AC231" s="2" t="s">
        <v>52</v>
      </c>
      <c r="AD231" s="2" t="str">
        <f t="shared" si="281"/>
        <v>_</v>
      </c>
      <c r="AE231" s="2" t="s">
        <v>13</v>
      </c>
      <c r="AF231" s="2" t="str">
        <f t="shared" si="282"/>
        <v>_</v>
      </c>
      <c r="AG231" s="2" t="s">
        <v>258</v>
      </c>
      <c r="AH231" s="2" t="str">
        <f t="shared" si="278"/>
        <v/>
      </c>
      <c r="AI231" s="2"/>
    </row>
    <row r="232" spans="1:35" x14ac:dyDescent="0.25">
      <c r="AB232" s="28" t="str">
        <f t="shared" si="176"/>
        <v/>
      </c>
      <c r="AD232" s="28" t="str">
        <f t="shared" si="177"/>
        <v/>
      </c>
      <c r="AF232" s="28" t="str">
        <f t="shared" si="178"/>
        <v/>
      </c>
      <c r="AH232" s="28" t="str">
        <f t="shared" si="278"/>
        <v/>
      </c>
    </row>
    <row r="233" spans="1:35" s="2" customFormat="1" x14ac:dyDescent="0.25">
      <c r="A233" s="3" t="s">
        <v>44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76"/>
        <v/>
      </c>
      <c r="AC233" s="4"/>
      <c r="AD233" s="4" t="str">
        <f t="shared" si="177"/>
        <v/>
      </c>
      <c r="AE233" s="4"/>
      <c r="AF233" s="4" t="str">
        <f t="shared" si="178"/>
        <v/>
      </c>
      <c r="AG233" s="4"/>
      <c r="AH233" s="4" t="str">
        <f t="shared" si="278"/>
        <v/>
      </c>
      <c r="AI233" s="4"/>
    </row>
    <row r="234" spans="1:35" x14ac:dyDescent="0.25">
      <c r="B234" s="2" t="str">
        <f t="shared" ref="B234:B236" si="286">_xlfn.CONCAT("@",AA234,AB234,AC234,AD234,AE234,AF234,AG234,AH234,AI234)</f>
        <v>@color-motorway_case_farzoom</v>
      </c>
      <c r="C234" s="129" t="s">
        <v>212</v>
      </c>
      <c r="D234" s="72" t="s">
        <v>215</v>
      </c>
      <c r="F234" s="129" t="s">
        <v>212</v>
      </c>
      <c r="G234" s="129" t="s">
        <v>212</v>
      </c>
      <c r="I234" s="130" t="str">
        <f>C234</f>
        <v>"#bf440f"</v>
      </c>
      <c r="J234" s="72" t="s">
        <v>215</v>
      </c>
      <c r="U234" s="130" t="str">
        <f>C234</f>
        <v>"#bf440f"</v>
      </c>
      <c r="AA234" s="2" t="s">
        <v>6</v>
      </c>
      <c r="AB234" s="2" t="str">
        <f t="shared" si="176"/>
        <v>-</v>
      </c>
      <c r="AC234" s="2" t="s">
        <v>16</v>
      </c>
      <c r="AD234" s="2" t="str">
        <f t="shared" si="177"/>
        <v>_</v>
      </c>
      <c r="AE234" s="2" t="s">
        <v>17</v>
      </c>
      <c r="AF234" s="2" t="str">
        <f t="shared" si="178"/>
        <v>_</v>
      </c>
      <c r="AG234" s="2" t="s">
        <v>21</v>
      </c>
      <c r="AH234" s="2" t="str">
        <f t="shared" si="278"/>
        <v/>
      </c>
      <c r="AI234" s="2"/>
    </row>
    <row r="235" spans="1:35" x14ac:dyDescent="0.25">
      <c r="B235" s="2" t="str">
        <f t="shared" si="286"/>
        <v>@color-motorway_case_default</v>
      </c>
      <c r="C235" s="131" t="s">
        <v>213</v>
      </c>
      <c r="D235" s="72" t="s">
        <v>215</v>
      </c>
      <c r="F235" s="72" t="s">
        <v>215</v>
      </c>
      <c r="G235" s="72" t="s">
        <v>215</v>
      </c>
      <c r="I235" s="132" t="str">
        <f>C235</f>
        <v>"#a15412"</v>
      </c>
      <c r="J235" s="72" t="s">
        <v>215</v>
      </c>
      <c r="U235" s="132" t="str">
        <f>C235</f>
        <v>"#a15412"</v>
      </c>
      <c r="AA235" s="2" t="s">
        <v>6</v>
      </c>
      <c r="AB235" s="2" t="str">
        <f t="shared" si="176"/>
        <v>-</v>
      </c>
      <c r="AC235" s="2" t="s">
        <v>16</v>
      </c>
      <c r="AD235" s="2" t="str">
        <f t="shared" si="177"/>
        <v>_</v>
      </c>
      <c r="AE235" s="2" t="s">
        <v>17</v>
      </c>
      <c r="AF235" s="2" t="str">
        <f t="shared" si="178"/>
        <v>_</v>
      </c>
      <c r="AG235" s="2" t="s">
        <v>265</v>
      </c>
      <c r="AH235" s="2" t="str">
        <f t="shared" si="278"/>
        <v/>
      </c>
      <c r="AI235" s="2"/>
    </row>
    <row r="236" spans="1:35" x14ac:dyDescent="0.25">
      <c r="B236" s="2" t="str">
        <f t="shared" si="286"/>
        <v>@color-motorway_line_default</v>
      </c>
      <c r="C236" s="133" t="s">
        <v>214</v>
      </c>
      <c r="D236" s="134" t="s">
        <v>216</v>
      </c>
      <c r="F236" s="134" t="s">
        <v>216</v>
      </c>
      <c r="G236" s="134" t="s">
        <v>216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76"/>
        <v>-</v>
      </c>
      <c r="AC236" s="2" t="s">
        <v>16</v>
      </c>
      <c r="AD236" s="2" t="str">
        <f t="shared" si="177"/>
        <v>_</v>
      </c>
      <c r="AE236" s="2" t="s">
        <v>13</v>
      </c>
      <c r="AF236" s="2" t="str">
        <f t="shared" si="178"/>
        <v>_</v>
      </c>
      <c r="AG236" s="2" t="s">
        <v>265</v>
      </c>
      <c r="AH236" s="2" t="str">
        <f t="shared" si="278"/>
        <v/>
      </c>
      <c r="AI236" s="2"/>
    </row>
    <row r="237" spans="1:35" x14ac:dyDescent="0.25">
      <c r="AB237" s="28" t="str">
        <f t="shared" si="176"/>
        <v/>
      </c>
      <c r="AD237" s="28" t="str">
        <f t="shared" si="177"/>
        <v/>
      </c>
      <c r="AF237" s="28" t="str">
        <f t="shared" si="178"/>
        <v/>
      </c>
      <c r="AH237" s="28" t="str">
        <f t="shared" si="278"/>
        <v/>
      </c>
    </row>
    <row r="238" spans="1:35" s="2" customFormat="1" x14ac:dyDescent="0.25">
      <c r="A238" s="3" t="s">
        <v>46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76"/>
        <v/>
      </c>
      <c r="AC238" s="4"/>
      <c r="AD238" s="4" t="str">
        <f t="shared" si="177"/>
        <v/>
      </c>
      <c r="AE238" s="4"/>
      <c r="AF238" s="4" t="str">
        <f t="shared" si="178"/>
        <v/>
      </c>
      <c r="AG238" s="4"/>
      <c r="AH238" s="4" t="str">
        <f t="shared" si="278"/>
        <v/>
      </c>
      <c r="AI238" s="4"/>
    </row>
    <row r="239" spans="1:35" x14ac:dyDescent="0.25">
      <c r="B239" s="2" t="str">
        <f t="shared" ref="B239:B248" si="287">_xlfn.CONCAT("@",AA239,AB239,AC239,AD239,AE239,AF239,AG239,AH239,AI239)</f>
        <v>@color-trunk_case_bicycle_no_default</v>
      </c>
      <c r="C239" s="137" t="s">
        <v>229</v>
      </c>
      <c r="D239" s="72" t="s">
        <v>215</v>
      </c>
      <c r="F239" s="72" t="s">
        <v>215</v>
      </c>
      <c r="G239" s="72" t="s">
        <v>215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76"/>
        <v>-</v>
      </c>
      <c r="AC239" s="2" t="s">
        <v>19</v>
      </c>
      <c r="AD239" s="2" t="str">
        <f t="shared" ref="AD239" si="288">IF(NOT(ISBLANK(AE239)),"_","")</f>
        <v>_</v>
      </c>
      <c r="AE239" s="28" t="s">
        <v>17</v>
      </c>
      <c r="AF239" s="2" t="str">
        <f t="shared" ref="AF239" si="289">IF(NOT(ISBLANK(AG239)),"_","")</f>
        <v>_</v>
      </c>
      <c r="AG239" s="28" t="s">
        <v>24</v>
      </c>
      <c r="AH239" s="2" t="str">
        <f t="shared" si="278"/>
        <v>_</v>
      </c>
      <c r="AI239" s="28" t="s">
        <v>265</v>
      </c>
    </row>
    <row r="240" spans="1:35" x14ac:dyDescent="0.25">
      <c r="B240" s="2" t="str">
        <f t="shared" si="287"/>
        <v>@color-trunk_case_bicycle_no_farzoom</v>
      </c>
      <c r="C240" s="137" t="s">
        <v>229</v>
      </c>
      <c r="D240" s="72" t="s">
        <v>215</v>
      </c>
      <c r="F240" s="137" t="s">
        <v>229</v>
      </c>
      <c r="G240" s="137" t="s">
        <v>229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0">IF(NOT(ISBLANK(AC240)),"-","")</f>
        <v>-</v>
      </c>
      <c r="AC240" s="2" t="s">
        <v>19</v>
      </c>
      <c r="AD240" s="2" t="str">
        <f t="shared" ref="AD240" si="291">IF(NOT(ISBLANK(AE240)),"_","")</f>
        <v>_</v>
      </c>
      <c r="AE240" s="28" t="s">
        <v>17</v>
      </c>
      <c r="AF240" s="2" t="str">
        <f t="shared" ref="AF240" si="292">IF(NOT(ISBLANK(AG240)),"_","")</f>
        <v>_</v>
      </c>
      <c r="AG240" s="28" t="s">
        <v>24</v>
      </c>
      <c r="AH240" s="2" t="str">
        <f t="shared" si="278"/>
        <v>_</v>
      </c>
      <c r="AI240" s="28" t="s">
        <v>21</v>
      </c>
    </row>
    <row r="241" spans="1:35" x14ac:dyDescent="0.25">
      <c r="B241" s="2" t="str">
        <f t="shared" si="287"/>
        <v>@color-trunk_case_unpaved_farzoom</v>
      </c>
      <c r="C241" s="139" t="s">
        <v>230</v>
      </c>
      <c r="D241" s="140" t="s">
        <v>232</v>
      </c>
      <c r="F241" s="140" t="s">
        <v>232</v>
      </c>
      <c r="G241" s="139" t="s">
        <v>230</v>
      </c>
      <c r="I241" s="139" t="s">
        <v>230</v>
      </c>
      <c r="J241" s="140" t="s">
        <v>232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19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22</v>
      </c>
      <c r="AH241" s="2" t="str">
        <f>IF(NOT(ISBLANK(AI241)),"_","")</f>
        <v>_</v>
      </c>
      <c r="AI241" s="28" t="s">
        <v>21</v>
      </c>
    </row>
    <row r="242" spans="1:35" x14ac:dyDescent="0.25">
      <c r="B242" s="2" t="str">
        <f t="shared" si="287"/>
        <v>@color-trunk_case_unpaved_default</v>
      </c>
      <c r="C242" s="141" t="s">
        <v>218</v>
      </c>
      <c r="D242" s="72" t="s">
        <v>215</v>
      </c>
      <c r="F242" s="72" t="s">
        <v>215</v>
      </c>
      <c r="G242" s="72" t="s">
        <v>215</v>
      </c>
      <c r="I242" s="141" t="s">
        <v>218</v>
      </c>
      <c r="J242" s="72" t="s">
        <v>215</v>
      </c>
      <c r="U242" s="44"/>
      <c r="V242" s="44"/>
      <c r="X242" s="44"/>
      <c r="Y242" s="44"/>
      <c r="AA242" s="28" t="s">
        <v>6</v>
      </c>
      <c r="AB242" s="28" t="str">
        <f t="shared" si="176"/>
        <v>-</v>
      </c>
      <c r="AC242" s="2" t="s">
        <v>19</v>
      </c>
      <c r="AD242" s="28" t="str">
        <f t="shared" si="177"/>
        <v>_</v>
      </c>
      <c r="AE242" s="28" t="s">
        <v>17</v>
      </c>
      <c r="AF242" s="28" t="str">
        <f t="shared" si="178"/>
        <v>_</v>
      </c>
      <c r="AG242" s="28" t="s">
        <v>22</v>
      </c>
      <c r="AH242" s="28" t="str">
        <f t="shared" ref="AH242:AH252" si="293">IF(NOT(ISBLANK(AI242)),"_","")</f>
        <v>_</v>
      </c>
      <c r="AI242" s="28" t="s">
        <v>265</v>
      </c>
    </row>
    <row r="243" spans="1:35" x14ac:dyDescent="0.25">
      <c r="B243" s="2" t="str">
        <f t="shared" si="287"/>
        <v>@color-trunk_case_paved_or_uk_farzoom</v>
      </c>
      <c r="C243" s="142" t="s">
        <v>231</v>
      </c>
      <c r="D243" s="72" t="s">
        <v>215</v>
      </c>
      <c r="F243" s="142" t="s">
        <v>231</v>
      </c>
      <c r="G243" s="142" t="s">
        <v>231</v>
      </c>
      <c r="I243" s="142" t="s">
        <v>231</v>
      </c>
      <c r="J243" s="72" t="s">
        <v>215</v>
      </c>
      <c r="U243" s="44"/>
      <c r="V243" s="44"/>
      <c r="X243" s="44"/>
      <c r="Y243" s="44"/>
      <c r="AA243" s="2" t="s">
        <v>6</v>
      </c>
      <c r="AB243" s="2" t="str">
        <f t="shared" si="176"/>
        <v>-</v>
      </c>
      <c r="AC243" s="2" t="s">
        <v>19</v>
      </c>
      <c r="AD243" s="2" t="str">
        <f t="shared" si="177"/>
        <v>_</v>
      </c>
      <c r="AE243" s="2" t="s">
        <v>17</v>
      </c>
      <c r="AF243" s="2" t="str">
        <f t="shared" si="178"/>
        <v>_</v>
      </c>
      <c r="AG243" s="2" t="s">
        <v>25</v>
      </c>
      <c r="AH243" s="2" t="str">
        <f t="shared" si="293"/>
        <v>_</v>
      </c>
      <c r="AI243" s="28" t="s">
        <v>21</v>
      </c>
    </row>
    <row r="244" spans="1:35" x14ac:dyDescent="0.25">
      <c r="B244" s="2" t="str">
        <f t="shared" si="287"/>
        <v>@color-trunk_case_paved_or_uk_default</v>
      </c>
      <c r="C244" s="143" t="s">
        <v>219</v>
      </c>
      <c r="D244" s="72" t="s">
        <v>215</v>
      </c>
      <c r="F244" s="72" t="s">
        <v>215</v>
      </c>
      <c r="G244" s="72" t="s">
        <v>215</v>
      </c>
      <c r="I244" s="143" t="s">
        <v>219</v>
      </c>
      <c r="J244" s="72" t="s">
        <v>215</v>
      </c>
      <c r="U244" s="44"/>
      <c r="V244" s="44"/>
      <c r="X244" s="44"/>
      <c r="Y244" s="44"/>
      <c r="AA244" s="2" t="s">
        <v>6</v>
      </c>
      <c r="AB244" s="2" t="str">
        <f t="shared" si="176"/>
        <v>-</v>
      </c>
      <c r="AC244" s="2" t="s">
        <v>19</v>
      </c>
      <c r="AD244" s="2" t="str">
        <f t="shared" si="177"/>
        <v>_</v>
      </c>
      <c r="AE244" s="2" t="s">
        <v>17</v>
      </c>
      <c r="AF244" s="2" t="str">
        <f t="shared" si="178"/>
        <v>_</v>
      </c>
      <c r="AG244" s="2" t="s">
        <v>25</v>
      </c>
      <c r="AH244" s="2" t="str">
        <f t="shared" si="293"/>
        <v>_</v>
      </c>
      <c r="AI244" s="28" t="s">
        <v>265</v>
      </c>
    </row>
    <row r="245" spans="1:35" x14ac:dyDescent="0.25">
      <c r="B245" s="2" t="str">
        <f t="shared" si="287"/>
        <v>@color-trunk_line_default</v>
      </c>
      <c r="C245" s="144" t="s">
        <v>220</v>
      </c>
      <c r="D245" s="145" t="s">
        <v>221</v>
      </c>
      <c r="F245" s="144" t="s">
        <v>220</v>
      </c>
      <c r="G245" s="145" t="s">
        <v>221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76"/>
        <v>-</v>
      </c>
      <c r="AC245" s="2" t="s">
        <v>19</v>
      </c>
      <c r="AD245" s="2" t="str">
        <f t="shared" si="177"/>
        <v>_</v>
      </c>
      <c r="AE245" s="2" t="s">
        <v>13</v>
      </c>
      <c r="AF245" s="2" t="str">
        <f t="shared" si="178"/>
        <v>_</v>
      </c>
      <c r="AG245" s="2" t="s">
        <v>265</v>
      </c>
      <c r="AH245" s="2" t="str">
        <f t="shared" si="293"/>
        <v/>
      </c>
      <c r="AI245" s="2"/>
    </row>
    <row r="246" spans="1:35" x14ac:dyDescent="0.25">
      <c r="B246" s="2" t="str">
        <f t="shared" si="287"/>
        <v>@color-trunk_line_bicycle_no</v>
      </c>
      <c r="C246" s="133" t="s">
        <v>214</v>
      </c>
      <c r="D246" s="134" t="s">
        <v>216</v>
      </c>
      <c r="F246" s="133" t="s">
        <v>214</v>
      </c>
      <c r="G246" s="134" t="s">
        <v>216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76"/>
        <v>-</v>
      </c>
      <c r="AC246" s="2" t="s">
        <v>19</v>
      </c>
      <c r="AD246" s="2" t="str">
        <f t="shared" si="177"/>
        <v>_</v>
      </c>
      <c r="AE246" s="2" t="s">
        <v>13</v>
      </c>
      <c r="AF246" s="2" t="str">
        <f t="shared" si="178"/>
        <v>_</v>
      </c>
      <c r="AG246" s="2" t="s">
        <v>24</v>
      </c>
      <c r="AH246" s="2" t="str">
        <f t="shared" si="293"/>
        <v/>
      </c>
      <c r="AI246" s="2"/>
    </row>
    <row r="247" spans="1:35" x14ac:dyDescent="0.25">
      <c r="B247" s="2" t="str">
        <f t="shared" si="287"/>
        <v>@color-trunk_line_unpaved_default</v>
      </c>
      <c r="C247" s="148" t="s">
        <v>224</v>
      </c>
      <c r="D247" s="149" t="str">
        <f>C247</f>
        <v>"#eddfca"</v>
      </c>
      <c r="F247" s="148" t="s">
        <v>224</v>
      </c>
      <c r="G247" s="149" t="str">
        <f>F247</f>
        <v>"#eddfca"</v>
      </c>
      <c r="I247" s="148" t="s">
        <v>224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76"/>
        <v>-</v>
      </c>
      <c r="AC247" s="2" t="s">
        <v>19</v>
      </c>
      <c r="AD247" s="2" t="str">
        <f t="shared" si="177"/>
        <v>_</v>
      </c>
      <c r="AE247" s="2" t="s">
        <v>13</v>
      </c>
      <c r="AF247" s="2" t="str">
        <f t="shared" si="178"/>
        <v>_</v>
      </c>
      <c r="AG247" s="2" t="s">
        <v>22</v>
      </c>
      <c r="AH247" s="2" t="str">
        <f t="shared" si="293"/>
        <v>_</v>
      </c>
      <c r="AI247" s="28" t="s">
        <v>265</v>
      </c>
    </row>
    <row r="248" spans="1:35" x14ac:dyDescent="0.25">
      <c r="B248" s="2" t="str">
        <f t="shared" si="287"/>
        <v>@color-trunk_line_paved_or_uk_default</v>
      </c>
      <c r="C248" s="71" t="s">
        <v>225</v>
      </c>
      <c r="D248" s="38" t="str">
        <f>C248</f>
        <v>"#ffffff"</v>
      </c>
      <c r="F248" s="71" t="s">
        <v>225</v>
      </c>
      <c r="G248" s="38" t="str">
        <f>F248</f>
        <v>"#ffffff"</v>
      </c>
      <c r="I248" s="71" t="s">
        <v>225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76"/>
        <v>-</v>
      </c>
      <c r="AC248" s="28" t="s">
        <v>19</v>
      </c>
      <c r="AD248" s="28" t="str">
        <f t="shared" si="177"/>
        <v>_</v>
      </c>
      <c r="AE248" s="28" t="s">
        <v>13</v>
      </c>
      <c r="AF248" s="28" t="str">
        <f t="shared" si="178"/>
        <v>_</v>
      </c>
      <c r="AG248" s="28" t="s">
        <v>25</v>
      </c>
      <c r="AH248" s="28" t="str">
        <f t="shared" si="293"/>
        <v>_</v>
      </c>
      <c r="AI248" s="28" t="s">
        <v>265</v>
      </c>
    </row>
    <row r="249" spans="1:35" x14ac:dyDescent="0.25">
      <c r="B249" s="2"/>
      <c r="AB249" s="28" t="str">
        <f t="shared" si="176"/>
        <v/>
      </c>
      <c r="AD249" s="28" t="str">
        <f t="shared" si="177"/>
        <v/>
      </c>
      <c r="AF249" s="28" t="str">
        <f t="shared" si="178"/>
        <v/>
      </c>
      <c r="AH249" s="28" t="str">
        <f t="shared" si="293"/>
        <v/>
      </c>
    </row>
    <row r="250" spans="1:35" s="2" customFormat="1" x14ac:dyDescent="0.25">
      <c r="A250" s="3" t="s">
        <v>45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76"/>
        <v/>
      </c>
      <c r="AC250" s="4"/>
      <c r="AD250" s="4" t="str">
        <f t="shared" si="177"/>
        <v/>
      </c>
      <c r="AE250" s="4"/>
      <c r="AF250" s="4" t="str">
        <f t="shared" si="178"/>
        <v/>
      </c>
      <c r="AG250" s="4"/>
      <c r="AH250" s="4" t="str">
        <f t="shared" si="293"/>
        <v/>
      </c>
      <c r="AI250" s="4"/>
    </row>
    <row r="251" spans="1:35" x14ac:dyDescent="0.25">
      <c r="B251" s="2" t="str">
        <f t="shared" ref="B251:B259" si="294">_xlfn.CONCAT("@",AA251,AB251,AC251,AD251,AE251,AF251,AG251,AH251,AI251)</f>
        <v>@color-primary_case_bicycle_no_default</v>
      </c>
      <c r="C251" s="137" t="s">
        <v>229</v>
      </c>
      <c r="D251" s="72" t="s">
        <v>215</v>
      </c>
      <c r="F251" s="72" t="s">
        <v>215</v>
      </c>
      <c r="G251" s="72" t="s">
        <v>215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1" si="295">IF(NOT(ISBLANK(AC251)),"-","")</f>
        <v>-</v>
      </c>
      <c r="AC251" s="2" t="s">
        <v>26</v>
      </c>
      <c r="AD251" s="2" t="str">
        <f t="shared" si="177"/>
        <v>_</v>
      </c>
      <c r="AE251" s="28" t="s">
        <v>17</v>
      </c>
      <c r="AF251" s="2" t="str">
        <f t="shared" si="178"/>
        <v>_</v>
      </c>
      <c r="AG251" s="28" t="s">
        <v>24</v>
      </c>
      <c r="AH251" s="2" t="str">
        <f t="shared" si="293"/>
        <v>_</v>
      </c>
      <c r="AI251" s="28" t="s">
        <v>265</v>
      </c>
    </row>
    <row r="252" spans="1:35" x14ac:dyDescent="0.25">
      <c r="B252" s="2" t="str">
        <f t="shared" si="294"/>
        <v>@color-primary_case_bicycle_no_farzoom</v>
      </c>
      <c r="C252" s="137" t="s">
        <v>229</v>
      </c>
      <c r="D252" s="72" t="s">
        <v>215</v>
      </c>
      <c r="F252" s="137" t="s">
        <v>229</v>
      </c>
      <c r="G252" s="137" t="s">
        <v>229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296">IF(NOT(ISBLANK(AC252)),"-","")</f>
        <v>-</v>
      </c>
      <c r="AC252" s="2" t="s">
        <v>26</v>
      </c>
      <c r="AD252" s="2" t="str">
        <f t="shared" ref="AD252" si="297">IF(NOT(ISBLANK(AE252)),"_","")</f>
        <v>_</v>
      </c>
      <c r="AE252" s="28" t="s">
        <v>17</v>
      </c>
      <c r="AF252" s="2" t="str">
        <f t="shared" ref="AF252" si="298">IF(NOT(ISBLANK(AG252)),"_","")</f>
        <v>_</v>
      </c>
      <c r="AG252" s="28" t="s">
        <v>24</v>
      </c>
      <c r="AH252" s="2" t="str">
        <f t="shared" si="293"/>
        <v>_</v>
      </c>
      <c r="AI252" s="28" t="s">
        <v>21</v>
      </c>
    </row>
    <row r="253" spans="1:35" x14ac:dyDescent="0.25">
      <c r="B253" s="2" t="str">
        <f t="shared" si="294"/>
        <v>@color-primary_case_unpaved_farzoom</v>
      </c>
      <c r="C253" s="139" t="s">
        <v>230</v>
      </c>
      <c r="D253" s="140" t="s">
        <v>232</v>
      </c>
      <c r="F253" s="140" t="s">
        <v>232</v>
      </c>
      <c r="G253" s="139" t="s">
        <v>230</v>
      </c>
      <c r="I253" s="139" t="s">
        <v>230</v>
      </c>
      <c r="J253" s="140" t="s">
        <v>232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26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22</v>
      </c>
      <c r="AH253" s="2" t="str">
        <f>IF(NOT(ISBLANK(AI253)),"_","")</f>
        <v>_</v>
      </c>
      <c r="AI253" s="28" t="s">
        <v>21</v>
      </c>
    </row>
    <row r="254" spans="1:35" x14ac:dyDescent="0.25">
      <c r="B254" s="2" t="str">
        <f t="shared" si="294"/>
        <v>@color-primary_case_unpaved_default</v>
      </c>
      <c r="C254" s="141" t="s">
        <v>218</v>
      </c>
      <c r="D254" s="140" t="s">
        <v>232</v>
      </c>
      <c r="F254" s="72" t="s">
        <v>215</v>
      </c>
      <c r="G254" s="72" t="s">
        <v>215</v>
      </c>
      <c r="I254" s="141" t="s">
        <v>218</v>
      </c>
      <c r="J254" s="140" t="s">
        <v>232</v>
      </c>
      <c r="U254" s="44"/>
      <c r="V254" s="44"/>
      <c r="X254" s="44"/>
      <c r="Y254" s="44"/>
      <c r="AA254" s="28" t="s">
        <v>6</v>
      </c>
      <c r="AB254" s="2" t="str">
        <f t="shared" si="295"/>
        <v>-</v>
      </c>
      <c r="AC254" s="2" t="s">
        <v>26</v>
      </c>
      <c r="AD254" s="2" t="str">
        <f t="shared" si="177"/>
        <v>_</v>
      </c>
      <c r="AE254" s="28" t="s">
        <v>17</v>
      </c>
      <c r="AF254" s="2" t="str">
        <f t="shared" si="178"/>
        <v>_</v>
      </c>
      <c r="AG254" s="28" t="s">
        <v>22</v>
      </c>
      <c r="AH254" s="28" t="str">
        <f t="shared" ref="AH254:AH256" si="299">IF(NOT(ISBLANK(AI254)),"_","")</f>
        <v>_</v>
      </c>
      <c r="AI254" s="28" t="s">
        <v>265</v>
      </c>
    </row>
    <row r="255" spans="1:35" x14ac:dyDescent="0.25">
      <c r="B255" s="2" t="str">
        <f t="shared" si="294"/>
        <v>@color-primary_case_paved_or_uk_farzoom</v>
      </c>
      <c r="C255" s="142" t="s">
        <v>231</v>
      </c>
      <c r="D255" s="72" t="s">
        <v>215</v>
      </c>
      <c r="F255" s="142" t="s">
        <v>231</v>
      </c>
      <c r="G255" s="142" t="s">
        <v>231</v>
      </c>
      <c r="I255" s="142" t="s">
        <v>231</v>
      </c>
      <c r="J255" s="72" t="s">
        <v>215</v>
      </c>
      <c r="U255" s="44"/>
      <c r="V255" s="44"/>
      <c r="X255" s="44"/>
      <c r="Y255" s="44"/>
      <c r="AA255" s="2" t="s">
        <v>6</v>
      </c>
      <c r="AB255" s="2" t="str">
        <f t="shared" si="295"/>
        <v>-</v>
      </c>
      <c r="AC255" s="2" t="s">
        <v>26</v>
      </c>
      <c r="AD255" s="2" t="str">
        <f t="shared" ref="AD255" si="300">IF(NOT(ISBLANK(AE255)),"_","")</f>
        <v>_</v>
      </c>
      <c r="AE255" s="2" t="s">
        <v>17</v>
      </c>
      <c r="AF255" s="2" t="str">
        <f t="shared" ref="AF255" si="301">IF(NOT(ISBLANK(AG255)),"_","")</f>
        <v>_</v>
      </c>
      <c r="AG255" s="2" t="s">
        <v>25</v>
      </c>
      <c r="AH255" s="2" t="str">
        <f t="shared" si="299"/>
        <v>_</v>
      </c>
      <c r="AI255" s="28" t="s">
        <v>21</v>
      </c>
    </row>
    <row r="256" spans="1:35" x14ac:dyDescent="0.25">
      <c r="B256" s="2" t="str">
        <f t="shared" si="294"/>
        <v>@color-primary_case_paved_or_uk_default</v>
      </c>
      <c r="C256" s="143" t="s">
        <v>219</v>
      </c>
      <c r="D256" s="72" t="s">
        <v>215</v>
      </c>
      <c r="F256" s="72" t="s">
        <v>215</v>
      </c>
      <c r="G256" s="72" t="s">
        <v>215</v>
      </c>
      <c r="I256" s="143" t="s">
        <v>219</v>
      </c>
      <c r="J256" s="72" t="s">
        <v>215</v>
      </c>
      <c r="U256" s="44"/>
      <c r="V256" s="44"/>
      <c r="X256" s="44"/>
      <c r="Y256" s="44"/>
      <c r="AA256" s="2" t="s">
        <v>6</v>
      </c>
      <c r="AB256" s="2" t="str">
        <f t="shared" si="295"/>
        <v>-</v>
      </c>
      <c r="AC256" s="28" t="s">
        <v>26</v>
      </c>
      <c r="AD256" s="2" t="str">
        <f t="shared" ref="AD256:AD321" si="302">IF(NOT(ISBLANK(AE256)),"_","")</f>
        <v>_</v>
      </c>
      <c r="AE256" s="2" t="s">
        <v>17</v>
      </c>
      <c r="AF256" s="2" t="str">
        <f t="shared" ref="AF256:AF321" si="303">IF(NOT(ISBLANK(AG256)),"_","")</f>
        <v>_</v>
      </c>
      <c r="AG256" s="2" t="s">
        <v>25</v>
      </c>
      <c r="AH256" s="2" t="str">
        <f t="shared" si="299"/>
        <v>_</v>
      </c>
      <c r="AI256" s="28" t="s">
        <v>265</v>
      </c>
    </row>
    <row r="257" spans="2:35" x14ac:dyDescent="0.25">
      <c r="B257" s="2" t="str">
        <f t="shared" si="294"/>
        <v>@color-primary_line_bicycle_no</v>
      </c>
      <c r="C257" s="150" t="s">
        <v>234</v>
      </c>
      <c r="D257" s="134" t="s">
        <v>216</v>
      </c>
      <c r="F257" s="150" t="s">
        <v>234</v>
      </c>
      <c r="G257" s="134" t="s">
        <v>216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295"/>
        <v>-</v>
      </c>
      <c r="AC257" s="28" t="s">
        <v>26</v>
      </c>
      <c r="AD257" s="2" t="str">
        <f t="shared" si="302"/>
        <v>_</v>
      </c>
      <c r="AE257" s="28" t="s">
        <v>13</v>
      </c>
      <c r="AF257" s="2" t="str">
        <f t="shared" si="303"/>
        <v>_</v>
      </c>
      <c r="AG257" s="28" t="s">
        <v>24</v>
      </c>
      <c r="AH257" s="2" t="str">
        <f t="shared" ref="AH257:AH262" si="304">IF(NOT(ISBLANK(AI257)),"_","")</f>
        <v/>
      </c>
    </row>
    <row r="258" spans="2:35" x14ac:dyDescent="0.25">
      <c r="B258" s="2" t="str">
        <f t="shared" si="294"/>
        <v>@color-primary_line_unpaved_default</v>
      </c>
      <c r="C258" s="148" t="s">
        <v>224</v>
      </c>
      <c r="D258" s="149" t="str">
        <f>C258</f>
        <v>"#eddfca"</v>
      </c>
      <c r="F258" s="148" t="s">
        <v>224</v>
      </c>
      <c r="G258" s="149" t="str">
        <f>F258</f>
        <v>"#eddfca"</v>
      </c>
      <c r="I258" s="148" t="s">
        <v>224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295"/>
        <v>-</v>
      </c>
      <c r="AC258" s="2" t="s">
        <v>26</v>
      </c>
      <c r="AD258" s="2" t="str">
        <f t="shared" si="302"/>
        <v>_</v>
      </c>
      <c r="AE258" s="2" t="s">
        <v>13</v>
      </c>
      <c r="AF258" s="2" t="str">
        <f t="shared" si="303"/>
        <v>_</v>
      </c>
      <c r="AG258" s="2" t="s">
        <v>22</v>
      </c>
      <c r="AH258" s="2" t="str">
        <f t="shared" si="304"/>
        <v>_</v>
      </c>
      <c r="AI258" s="28" t="s">
        <v>265</v>
      </c>
    </row>
    <row r="259" spans="2:35" x14ac:dyDescent="0.25">
      <c r="B259" s="2" t="str">
        <f t="shared" si="294"/>
        <v>@color-primary_line_paved_or_uk_default</v>
      </c>
      <c r="C259" s="71" t="s">
        <v>225</v>
      </c>
      <c r="D259" s="38" t="str">
        <f>C259</f>
        <v>"#ffffff"</v>
      </c>
      <c r="F259" s="71" t="s">
        <v>225</v>
      </c>
      <c r="G259" s="38" t="str">
        <f>F259</f>
        <v>"#ffffff"</v>
      </c>
      <c r="I259" s="71" t="s">
        <v>225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295"/>
        <v>-</v>
      </c>
      <c r="AC259" s="2" t="s">
        <v>26</v>
      </c>
      <c r="AD259" s="2" t="str">
        <f t="shared" si="302"/>
        <v>_</v>
      </c>
      <c r="AE259" s="2" t="s">
        <v>13</v>
      </c>
      <c r="AF259" s="2" t="str">
        <f t="shared" si="303"/>
        <v>_</v>
      </c>
      <c r="AG259" s="28" t="s">
        <v>25</v>
      </c>
      <c r="AH259" s="28" t="str">
        <f t="shared" si="304"/>
        <v>_</v>
      </c>
      <c r="AI259" s="28" t="s">
        <v>265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05">IF(NOT(ISBLANK(AG260)),"_","")</f>
        <v/>
      </c>
      <c r="AH260" s="2" t="str">
        <f t="shared" si="304"/>
        <v/>
      </c>
    </row>
    <row r="261" spans="2:35" x14ac:dyDescent="0.25">
      <c r="B261" s="2" t="str">
        <f t="shared" ref="B261:B269" si="306">_xlfn.CONCAT("@",AA261,AB261,AC261,AD261,AE261,AF261,AG261,AH261,AI261)</f>
        <v>@color-secondary_case_bicycle_no_default</v>
      </c>
      <c r="C261" s="137" t="s">
        <v>229</v>
      </c>
      <c r="D261" s="72" t="s">
        <v>215</v>
      </c>
      <c r="F261" s="72" t="s">
        <v>215</v>
      </c>
      <c r="G261" s="72" t="s">
        <v>215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07">IF(NOT(ISBLANK(AC261)),"-","")</f>
        <v>-</v>
      </c>
      <c r="AC261" s="2" t="s">
        <v>28</v>
      </c>
      <c r="AD261" s="2" t="str">
        <f t="shared" ref="AD261:AD269" si="308">IF(NOT(ISBLANK(AE261)),"_","")</f>
        <v>_</v>
      </c>
      <c r="AE261" s="28" t="s">
        <v>17</v>
      </c>
      <c r="AF261" s="2" t="str">
        <f t="shared" si="305"/>
        <v>_</v>
      </c>
      <c r="AG261" s="28" t="s">
        <v>24</v>
      </c>
      <c r="AH261" s="2" t="str">
        <f t="shared" si="304"/>
        <v>_</v>
      </c>
      <c r="AI261" s="28" t="s">
        <v>265</v>
      </c>
    </row>
    <row r="262" spans="2:35" x14ac:dyDescent="0.25">
      <c r="B262" s="2" t="str">
        <f t="shared" si="306"/>
        <v>@color-secondary_case_bicycle_no_farzoom</v>
      </c>
      <c r="C262" s="137" t="s">
        <v>229</v>
      </c>
      <c r="D262" s="72" t="s">
        <v>215</v>
      </c>
      <c r="F262" s="137" t="s">
        <v>229</v>
      </c>
      <c r="G262" s="137" t="s">
        <v>229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09">IF(NOT(ISBLANK(AC262)),"-","")</f>
        <v>-</v>
      </c>
      <c r="AC262" s="2" t="s">
        <v>28</v>
      </c>
      <c r="AD262" s="2" t="str">
        <f t="shared" ref="AD262" si="310">IF(NOT(ISBLANK(AE262)),"_","")</f>
        <v>_</v>
      </c>
      <c r="AE262" s="28" t="s">
        <v>17</v>
      </c>
      <c r="AF262" s="2" t="str">
        <f t="shared" ref="AF262" si="311">IF(NOT(ISBLANK(AG262)),"_","")</f>
        <v>_</v>
      </c>
      <c r="AG262" s="28" t="s">
        <v>24</v>
      </c>
      <c r="AH262" s="2" t="str">
        <f t="shared" si="304"/>
        <v>_</v>
      </c>
      <c r="AI262" s="28" t="s">
        <v>21</v>
      </c>
    </row>
    <row r="263" spans="2:35" x14ac:dyDescent="0.25">
      <c r="B263" s="2" t="str">
        <f t="shared" si="306"/>
        <v>@color-secondary_case_unpaved_farzoom</v>
      </c>
      <c r="C263" s="139" t="s">
        <v>230</v>
      </c>
      <c r="D263" s="140" t="s">
        <v>232</v>
      </c>
      <c r="F263" s="140" t="s">
        <v>232</v>
      </c>
      <c r="G263" s="139" t="s">
        <v>230</v>
      </c>
      <c r="I263" s="139" t="s">
        <v>230</v>
      </c>
      <c r="J263" s="140" t="s">
        <v>232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28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22</v>
      </c>
      <c r="AH263" s="2" t="str">
        <f>IF(NOT(ISBLANK(AI263)),"_","")</f>
        <v>_</v>
      </c>
      <c r="AI263" s="28" t="s">
        <v>21</v>
      </c>
    </row>
    <row r="264" spans="2:35" x14ac:dyDescent="0.25">
      <c r="B264" s="2" t="str">
        <f t="shared" si="306"/>
        <v>@color-secondary_case_unpaved_default</v>
      </c>
      <c r="C264" s="140" t="s">
        <v>232</v>
      </c>
      <c r="D264" s="140" t="s">
        <v>232</v>
      </c>
      <c r="F264" s="72" t="s">
        <v>215</v>
      </c>
      <c r="G264" s="72" t="s">
        <v>215</v>
      </c>
      <c r="I264" s="140" t="s">
        <v>232</v>
      </c>
      <c r="J264" s="140" t="s">
        <v>232</v>
      </c>
      <c r="U264" s="44"/>
      <c r="V264" s="44"/>
      <c r="X264" s="44"/>
      <c r="Y264" s="44"/>
      <c r="AA264" s="28" t="s">
        <v>6</v>
      </c>
      <c r="AB264" s="2" t="str">
        <f t="shared" si="307"/>
        <v>-</v>
      </c>
      <c r="AC264" s="2" t="s">
        <v>28</v>
      </c>
      <c r="AD264" s="2" t="str">
        <f t="shared" si="308"/>
        <v>_</v>
      </c>
      <c r="AE264" s="28" t="s">
        <v>17</v>
      </c>
      <c r="AF264" s="2" t="str">
        <f t="shared" si="305"/>
        <v>_</v>
      </c>
      <c r="AG264" s="28" t="s">
        <v>22</v>
      </c>
      <c r="AH264" s="28" t="str">
        <f t="shared" ref="AH264:AH266" si="312">IF(NOT(ISBLANK(AI264)),"_","")</f>
        <v>_</v>
      </c>
      <c r="AI264" s="28" t="s">
        <v>265</v>
      </c>
    </row>
    <row r="265" spans="2:35" x14ac:dyDescent="0.25">
      <c r="B265" s="2" t="str">
        <f t="shared" si="306"/>
        <v>@color-secondary_case_paved_or_uk_farzoom</v>
      </c>
      <c r="C265" s="142" t="s">
        <v>231</v>
      </c>
      <c r="D265" s="72" t="s">
        <v>215</v>
      </c>
      <c r="F265" s="142" t="s">
        <v>231</v>
      </c>
      <c r="G265" s="142" t="s">
        <v>231</v>
      </c>
      <c r="I265" s="142" t="s">
        <v>231</v>
      </c>
      <c r="J265" s="72" t="s">
        <v>215</v>
      </c>
      <c r="U265" s="44"/>
      <c r="V265" s="44"/>
      <c r="X265" s="44"/>
      <c r="Y265" s="44"/>
      <c r="AA265" s="2" t="s">
        <v>6</v>
      </c>
      <c r="AB265" s="2" t="str">
        <f t="shared" si="307"/>
        <v>-</v>
      </c>
      <c r="AC265" s="2" t="s">
        <v>28</v>
      </c>
      <c r="AD265" s="2" t="str">
        <f t="shared" si="308"/>
        <v>_</v>
      </c>
      <c r="AE265" s="2" t="s">
        <v>17</v>
      </c>
      <c r="AF265" s="2" t="str">
        <f t="shared" si="305"/>
        <v>_</v>
      </c>
      <c r="AG265" s="2" t="s">
        <v>25</v>
      </c>
      <c r="AH265" s="2" t="str">
        <f t="shared" si="312"/>
        <v>_</v>
      </c>
      <c r="AI265" s="28" t="s">
        <v>21</v>
      </c>
    </row>
    <row r="266" spans="2:35" x14ac:dyDescent="0.25">
      <c r="B266" s="2" t="str">
        <f t="shared" si="306"/>
        <v>@color-secondary_case_paved_or_uk_default</v>
      </c>
      <c r="C266" s="152" t="s">
        <v>233</v>
      </c>
      <c r="D266" s="72" t="s">
        <v>215</v>
      </c>
      <c r="F266" s="72" t="s">
        <v>215</v>
      </c>
      <c r="G266" s="72" t="s">
        <v>215</v>
      </c>
      <c r="I266" s="152" t="s">
        <v>233</v>
      </c>
      <c r="J266" s="72" t="s">
        <v>215</v>
      </c>
      <c r="U266" s="44"/>
      <c r="V266" s="44"/>
      <c r="X266" s="44"/>
      <c r="Y266" s="44"/>
      <c r="AA266" s="2" t="s">
        <v>6</v>
      </c>
      <c r="AB266" s="2" t="str">
        <f t="shared" si="307"/>
        <v>-</v>
      </c>
      <c r="AC266" s="2" t="s">
        <v>28</v>
      </c>
      <c r="AD266" s="2" t="str">
        <f t="shared" si="308"/>
        <v>_</v>
      </c>
      <c r="AE266" s="2" t="s">
        <v>17</v>
      </c>
      <c r="AF266" s="2" t="str">
        <f t="shared" si="305"/>
        <v>_</v>
      </c>
      <c r="AG266" s="2" t="s">
        <v>25</v>
      </c>
      <c r="AH266" s="2" t="str">
        <f t="shared" si="312"/>
        <v>_</v>
      </c>
      <c r="AI266" s="28" t="s">
        <v>265</v>
      </c>
    </row>
    <row r="267" spans="2:35" x14ac:dyDescent="0.25">
      <c r="B267" s="2" t="str">
        <f t="shared" si="306"/>
        <v>@color-secondary_line_bicycle_no</v>
      </c>
      <c r="C267" s="150" t="s">
        <v>234</v>
      </c>
      <c r="D267" s="134" t="s">
        <v>216</v>
      </c>
      <c r="F267" s="150" t="s">
        <v>234</v>
      </c>
      <c r="G267" s="134" t="s">
        <v>216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07"/>
        <v>-</v>
      </c>
      <c r="AC267" s="2" t="s">
        <v>28</v>
      </c>
      <c r="AD267" s="2" t="str">
        <f t="shared" si="308"/>
        <v>_</v>
      </c>
      <c r="AE267" s="28" t="s">
        <v>13</v>
      </c>
      <c r="AF267" s="2" t="str">
        <f t="shared" si="305"/>
        <v>_</v>
      </c>
      <c r="AG267" s="28" t="s">
        <v>24</v>
      </c>
      <c r="AH267" s="2" t="str">
        <f t="shared" ref="AH267:AH321" si="313">IF(NOT(ISBLANK(AI267)),"_","")</f>
        <v/>
      </c>
    </row>
    <row r="268" spans="2:35" x14ac:dyDescent="0.25">
      <c r="B268" s="2" t="str">
        <f t="shared" si="306"/>
        <v>@color-secondary_line_unpaved_default</v>
      </c>
      <c r="C268" s="148" t="s">
        <v>224</v>
      </c>
      <c r="D268" s="149" t="str">
        <f>C268</f>
        <v>"#eddfca"</v>
      </c>
      <c r="F268" s="148" t="s">
        <v>224</v>
      </c>
      <c r="G268" s="149" t="str">
        <f>F268</f>
        <v>"#eddfca"</v>
      </c>
      <c r="I268" s="148" t="s">
        <v>224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07"/>
        <v>-</v>
      </c>
      <c r="AC268" s="2" t="s">
        <v>28</v>
      </c>
      <c r="AD268" s="2" t="str">
        <f t="shared" si="308"/>
        <v>_</v>
      </c>
      <c r="AE268" s="2" t="s">
        <v>13</v>
      </c>
      <c r="AF268" s="2" t="str">
        <f t="shared" si="305"/>
        <v>_</v>
      </c>
      <c r="AG268" s="2" t="s">
        <v>22</v>
      </c>
      <c r="AH268" s="2" t="str">
        <f t="shared" si="313"/>
        <v>_</v>
      </c>
      <c r="AI268" s="28" t="s">
        <v>265</v>
      </c>
    </row>
    <row r="269" spans="2:35" x14ac:dyDescent="0.25">
      <c r="B269" s="2" t="str">
        <f t="shared" si="306"/>
        <v>@color-secondary_line_paved_or_uk_default</v>
      </c>
      <c r="C269" s="71" t="s">
        <v>225</v>
      </c>
      <c r="D269" s="38" t="str">
        <f>C269</f>
        <v>"#ffffff"</v>
      </c>
      <c r="F269" s="71" t="s">
        <v>225</v>
      </c>
      <c r="G269" s="38" t="str">
        <f>F269</f>
        <v>"#ffffff"</v>
      </c>
      <c r="I269" s="71" t="s">
        <v>225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07"/>
        <v>-</v>
      </c>
      <c r="AC269" s="2" t="s">
        <v>28</v>
      </c>
      <c r="AD269" s="2" t="str">
        <f t="shared" si="308"/>
        <v>_</v>
      </c>
      <c r="AE269" s="2" t="s">
        <v>13</v>
      </c>
      <c r="AF269" s="2" t="str">
        <f t="shared" si="305"/>
        <v>_</v>
      </c>
      <c r="AG269" s="28" t="s">
        <v>25</v>
      </c>
      <c r="AH269" s="28" t="str">
        <f t="shared" si="313"/>
        <v>_</v>
      </c>
      <c r="AI269" s="28" t="s">
        <v>265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3"/>
        <v/>
      </c>
      <c r="AH270" s="2" t="str">
        <f t="shared" si="313"/>
        <v/>
      </c>
    </row>
    <row r="271" spans="2:35" x14ac:dyDescent="0.25">
      <c r="B271" s="2" t="str">
        <f t="shared" ref="B271:B279" si="314">_xlfn.CONCAT("@",AA271,AB271,AC271,AD271,AE271,AF271,AG271,AH271,AI271)</f>
        <v>@color-tertiary_case_bicycle_no_default</v>
      </c>
      <c r="C271" s="137" t="s">
        <v>229</v>
      </c>
      <c r="D271" s="72" t="s">
        <v>215</v>
      </c>
      <c r="F271" s="72" t="s">
        <v>215</v>
      </c>
      <c r="G271" s="72" t="s">
        <v>215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15">IF(NOT(ISBLANK(AC271)),"-","")</f>
        <v>-</v>
      </c>
      <c r="AC271" s="2" t="s">
        <v>27</v>
      </c>
      <c r="AD271" s="2" t="str">
        <f t="shared" ref="AD271:AD273" si="316">IF(NOT(ISBLANK(AE271)),"_","")</f>
        <v>_</v>
      </c>
      <c r="AE271" s="28" t="s">
        <v>17</v>
      </c>
      <c r="AF271" s="2" t="str">
        <f t="shared" ref="AF271:AF273" si="317">IF(NOT(ISBLANK(AG271)),"_","")</f>
        <v>_</v>
      </c>
      <c r="AG271" s="28" t="s">
        <v>24</v>
      </c>
      <c r="AH271" s="2" t="str">
        <f t="shared" si="313"/>
        <v>_</v>
      </c>
      <c r="AI271" s="28" t="s">
        <v>265</v>
      </c>
    </row>
    <row r="272" spans="2:35" x14ac:dyDescent="0.25">
      <c r="B272" s="2" t="str">
        <f t="shared" si="314"/>
        <v>@color-tertiary_case_bicycle_no_farzoom</v>
      </c>
      <c r="C272" s="137" t="s">
        <v>229</v>
      </c>
      <c r="D272" s="72" t="s">
        <v>215</v>
      </c>
      <c r="F272" s="137" t="s">
        <v>229</v>
      </c>
      <c r="G272" s="137" t="s">
        <v>229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18">IF(NOT(ISBLANK(AC272)),"-","")</f>
        <v>-</v>
      </c>
      <c r="AC272" s="2" t="s">
        <v>27</v>
      </c>
      <c r="AD272" s="2" t="str">
        <f t="shared" ref="AD272" si="319">IF(NOT(ISBLANK(AE272)),"_","")</f>
        <v>_</v>
      </c>
      <c r="AE272" s="28" t="s">
        <v>17</v>
      </c>
      <c r="AF272" s="2" t="str">
        <f t="shared" ref="AF272" si="320">IF(NOT(ISBLANK(AG272)),"_","")</f>
        <v>_</v>
      </c>
      <c r="AG272" s="28" t="s">
        <v>24</v>
      </c>
      <c r="AH272" s="2" t="str">
        <f t="shared" si="313"/>
        <v>_</v>
      </c>
      <c r="AI272" s="28" t="s">
        <v>21</v>
      </c>
    </row>
    <row r="273" spans="1:35" x14ac:dyDescent="0.25">
      <c r="B273" s="2" t="str">
        <f t="shared" si="314"/>
        <v>@color-tertiary_case_unpaved_farzoom</v>
      </c>
      <c r="C273" s="139" t="s">
        <v>230</v>
      </c>
      <c r="D273" s="140" t="s">
        <v>232</v>
      </c>
      <c r="F273" s="140" t="s">
        <v>232</v>
      </c>
      <c r="G273" s="139" t="s">
        <v>230</v>
      </c>
      <c r="I273" s="139" t="s">
        <v>230</v>
      </c>
      <c r="J273" s="140" t="s">
        <v>232</v>
      </c>
      <c r="U273" s="44"/>
      <c r="V273" s="44"/>
      <c r="X273" s="44"/>
      <c r="Y273" s="44"/>
      <c r="AA273" s="28" t="s">
        <v>6</v>
      </c>
      <c r="AB273" s="2" t="str">
        <f t="shared" si="315"/>
        <v>-</v>
      </c>
      <c r="AC273" s="2" t="s">
        <v>27</v>
      </c>
      <c r="AD273" s="2" t="str">
        <f t="shared" si="316"/>
        <v>_</v>
      </c>
      <c r="AE273" s="28" t="s">
        <v>17</v>
      </c>
      <c r="AF273" s="2" t="str">
        <f t="shared" si="317"/>
        <v>_</v>
      </c>
      <c r="AG273" s="28" t="s">
        <v>22</v>
      </c>
      <c r="AH273" s="2" t="str">
        <f>IF(NOT(ISBLANK(AI273)),"_","")</f>
        <v>_</v>
      </c>
      <c r="AI273" s="28" t="s">
        <v>21</v>
      </c>
    </row>
    <row r="274" spans="1:35" x14ac:dyDescent="0.25">
      <c r="B274" s="2" t="str">
        <f t="shared" si="314"/>
        <v>@color-tertiary_case_unpaved_default</v>
      </c>
      <c r="C274" s="140" t="s">
        <v>232</v>
      </c>
      <c r="D274" s="140" t="s">
        <v>232</v>
      </c>
      <c r="F274" s="72" t="s">
        <v>215</v>
      </c>
      <c r="G274" s="72" t="s">
        <v>215</v>
      </c>
      <c r="I274" s="140" t="s">
        <v>232</v>
      </c>
      <c r="J274" s="140" t="s">
        <v>232</v>
      </c>
      <c r="U274" s="44"/>
      <c r="V274" s="44"/>
      <c r="X274" s="44"/>
      <c r="Y274" s="44"/>
      <c r="AA274" s="28" t="s">
        <v>6</v>
      </c>
      <c r="AB274" s="2" t="str">
        <f t="shared" ref="AB274:AB279" si="321">IF(NOT(ISBLANK(AC274)),"-","")</f>
        <v>-</v>
      </c>
      <c r="AC274" s="2" t="s">
        <v>27</v>
      </c>
      <c r="AD274" s="2" t="str">
        <f t="shared" ref="AD274:AD279" si="322">IF(NOT(ISBLANK(AE274)),"_","")</f>
        <v>_</v>
      </c>
      <c r="AE274" s="28" t="s">
        <v>17</v>
      </c>
      <c r="AF274" s="2" t="str">
        <f t="shared" si="303"/>
        <v>_</v>
      </c>
      <c r="AG274" s="28" t="s">
        <v>22</v>
      </c>
      <c r="AH274" s="28" t="str">
        <f t="shared" ref="AH274:AH279" si="323">IF(NOT(ISBLANK(AI274)),"_","")</f>
        <v>_</v>
      </c>
      <c r="AI274" s="28" t="s">
        <v>265</v>
      </c>
    </row>
    <row r="275" spans="1:35" x14ac:dyDescent="0.25">
      <c r="B275" s="2" t="str">
        <f t="shared" si="314"/>
        <v>@color-tertiary_case_paved_or_uk_farzoom</v>
      </c>
      <c r="C275" s="142" t="s">
        <v>231</v>
      </c>
      <c r="D275" s="72" t="s">
        <v>215</v>
      </c>
      <c r="F275" s="142" t="s">
        <v>231</v>
      </c>
      <c r="G275" s="142" t="s">
        <v>231</v>
      </c>
      <c r="I275" s="142" t="s">
        <v>231</v>
      </c>
      <c r="J275" s="72" t="s">
        <v>215</v>
      </c>
      <c r="U275" s="44"/>
      <c r="V275" s="44"/>
      <c r="X275" s="44"/>
      <c r="Y275" s="44"/>
      <c r="AA275" s="2" t="s">
        <v>6</v>
      </c>
      <c r="AB275" s="2" t="str">
        <f t="shared" ref="AB275" si="324">IF(NOT(ISBLANK(AC275)),"-","")</f>
        <v>-</v>
      </c>
      <c r="AC275" s="2" t="s">
        <v>27</v>
      </c>
      <c r="AD275" s="2" t="str">
        <f t="shared" ref="AD275" si="325">IF(NOT(ISBLANK(AE275)),"_","")</f>
        <v>_</v>
      </c>
      <c r="AE275" s="2" t="s">
        <v>17</v>
      </c>
      <c r="AF275" s="2" t="str">
        <f t="shared" ref="AF275" si="326">IF(NOT(ISBLANK(AG275)),"_","")</f>
        <v>_</v>
      </c>
      <c r="AG275" s="2" t="s">
        <v>25</v>
      </c>
      <c r="AH275" s="2" t="str">
        <f t="shared" si="323"/>
        <v>_</v>
      </c>
      <c r="AI275" s="28" t="s">
        <v>21</v>
      </c>
    </row>
    <row r="276" spans="1:35" x14ac:dyDescent="0.25">
      <c r="B276" s="2" t="str">
        <f t="shared" si="314"/>
        <v>@color-tertiary_case_paved_or_uk_default</v>
      </c>
      <c r="C276" s="152" t="s">
        <v>233</v>
      </c>
      <c r="D276" s="72" t="s">
        <v>215</v>
      </c>
      <c r="F276" s="72" t="s">
        <v>215</v>
      </c>
      <c r="G276" s="72" t="s">
        <v>215</v>
      </c>
      <c r="I276" s="152" t="s">
        <v>233</v>
      </c>
      <c r="J276" s="72" t="s">
        <v>215</v>
      </c>
      <c r="U276" s="44"/>
      <c r="V276" s="44"/>
      <c r="X276" s="44"/>
      <c r="Y276" s="44"/>
      <c r="AA276" s="2" t="s">
        <v>6</v>
      </c>
      <c r="AB276" s="2" t="str">
        <f t="shared" si="321"/>
        <v>-</v>
      </c>
      <c r="AC276" s="2" t="s">
        <v>27</v>
      </c>
      <c r="AD276" s="2" t="str">
        <f t="shared" si="322"/>
        <v>_</v>
      </c>
      <c r="AE276" s="2" t="s">
        <v>17</v>
      </c>
      <c r="AF276" s="2" t="str">
        <f t="shared" si="303"/>
        <v>_</v>
      </c>
      <c r="AG276" s="2" t="s">
        <v>25</v>
      </c>
      <c r="AH276" s="2" t="str">
        <f t="shared" si="323"/>
        <v>_</v>
      </c>
      <c r="AI276" s="28" t="s">
        <v>265</v>
      </c>
    </row>
    <row r="277" spans="1:35" x14ac:dyDescent="0.25">
      <c r="B277" s="2" t="str">
        <f t="shared" si="314"/>
        <v>@color-tertiary_line_bicycle_no</v>
      </c>
      <c r="C277" s="150" t="s">
        <v>234</v>
      </c>
      <c r="D277" s="134" t="s">
        <v>216</v>
      </c>
      <c r="F277" s="150" t="s">
        <v>234</v>
      </c>
      <c r="G277" s="134" t="s">
        <v>216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1"/>
        <v>-</v>
      </c>
      <c r="AC277" s="2" t="s">
        <v>27</v>
      </c>
      <c r="AD277" s="2" t="str">
        <f t="shared" si="322"/>
        <v>_</v>
      </c>
      <c r="AE277" s="28" t="s">
        <v>13</v>
      </c>
      <c r="AF277" s="2" t="str">
        <f t="shared" si="303"/>
        <v>_</v>
      </c>
      <c r="AG277" s="28" t="s">
        <v>24</v>
      </c>
      <c r="AH277" s="2" t="str">
        <f t="shared" si="323"/>
        <v/>
      </c>
    </row>
    <row r="278" spans="1:35" x14ac:dyDescent="0.25">
      <c r="B278" s="2" t="str">
        <f t="shared" si="314"/>
        <v>@color-tertiary_line_unpaved_default</v>
      </c>
      <c r="C278" s="148" t="s">
        <v>224</v>
      </c>
      <c r="D278" s="149" t="str">
        <f>C278</f>
        <v>"#eddfca"</v>
      </c>
      <c r="F278" s="148" t="s">
        <v>224</v>
      </c>
      <c r="G278" s="149" t="str">
        <f>F278</f>
        <v>"#eddfca"</v>
      </c>
      <c r="I278" s="148" t="s">
        <v>224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1"/>
        <v>-</v>
      </c>
      <c r="AC278" s="2" t="s">
        <v>27</v>
      </c>
      <c r="AD278" s="2" t="str">
        <f t="shared" si="322"/>
        <v>_</v>
      </c>
      <c r="AE278" s="2" t="s">
        <v>13</v>
      </c>
      <c r="AF278" s="2" t="str">
        <f t="shared" si="303"/>
        <v>_</v>
      </c>
      <c r="AG278" s="2" t="s">
        <v>22</v>
      </c>
      <c r="AH278" s="2" t="str">
        <f t="shared" si="323"/>
        <v>_</v>
      </c>
      <c r="AI278" s="28" t="s">
        <v>265</v>
      </c>
    </row>
    <row r="279" spans="1:35" x14ac:dyDescent="0.25">
      <c r="B279" s="2" t="str">
        <f t="shared" si="314"/>
        <v>@color-tertiary_line_paved_or_uk_default</v>
      </c>
      <c r="C279" s="71" t="s">
        <v>225</v>
      </c>
      <c r="D279" s="38" t="str">
        <f>C279</f>
        <v>"#ffffff"</v>
      </c>
      <c r="F279" s="71" t="s">
        <v>225</v>
      </c>
      <c r="G279" s="38" t="str">
        <f>F279</f>
        <v>"#ffffff"</v>
      </c>
      <c r="I279" s="71" t="s">
        <v>225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1"/>
        <v>-</v>
      </c>
      <c r="AC279" s="2" t="s">
        <v>27</v>
      </c>
      <c r="AD279" s="2" t="str">
        <f t="shared" si="322"/>
        <v>_</v>
      </c>
      <c r="AE279" s="2" t="s">
        <v>13</v>
      </c>
      <c r="AF279" s="2" t="str">
        <f t="shared" si="303"/>
        <v>_</v>
      </c>
      <c r="AG279" s="28" t="s">
        <v>25</v>
      </c>
      <c r="AH279" s="28" t="str">
        <f t="shared" si="323"/>
        <v>_</v>
      </c>
      <c r="AI279" s="28" t="s">
        <v>265</v>
      </c>
    </row>
    <row r="280" spans="1:35" x14ac:dyDescent="0.25">
      <c r="B280" s="2"/>
      <c r="AB280" s="28" t="str">
        <f t="shared" si="295"/>
        <v/>
      </c>
      <c r="AD280" s="28" t="str">
        <f t="shared" si="302"/>
        <v/>
      </c>
      <c r="AF280" s="28" t="str">
        <f t="shared" si="303"/>
        <v/>
      </c>
      <c r="AH280" s="28" t="str">
        <f t="shared" si="313"/>
        <v/>
      </c>
    </row>
    <row r="281" spans="1:35" s="2" customFormat="1" x14ac:dyDescent="0.25">
      <c r="A281" s="3" t="s">
        <v>226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295"/>
        <v/>
      </c>
      <c r="AC281" s="4"/>
      <c r="AD281" s="4" t="str">
        <f t="shared" si="302"/>
        <v/>
      </c>
      <c r="AE281" s="4"/>
      <c r="AF281" s="4" t="str">
        <f t="shared" si="303"/>
        <v/>
      </c>
      <c r="AG281" s="4"/>
      <c r="AH281" s="4" t="str">
        <f t="shared" si="313"/>
        <v/>
      </c>
      <c r="AI281" s="4"/>
    </row>
    <row r="282" spans="1:35" x14ac:dyDescent="0.25">
      <c r="B282" s="2" t="str">
        <f t="shared" ref="B282:B287" si="327">_xlfn.CONCAT("@",AA282,AB282,AC282,AD282,AE282,AF282,AG282,AH282,AI282)</f>
        <v>@color-raceway_case</v>
      </c>
      <c r="C282" s="44"/>
      <c r="D282" s="44"/>
      <c r="F282" s="44"/>
      <c r="G282" s="44"/>
      <c r="I282" s="44"/>
      <c r="J282" s="44"/>
      <c r="L282" s="44"/>
      <c r="M282" s="44"/>
      <c r="U282" s="72" t="s">
        <v>215</v>
      </c>
      <c r="V282" s="72" t="s">
        <v>215</v>
      </c>
      <c r="AA282" s="2" t="s">
        <v>6</v>
      </c>
      <c r="AB282" s="2" t="str">
        <f t="shared" ref="AB282" si="328">IF(NOT(ISBLANK(AC282)),"-","")</f>
        <v>-</v>
      </c>
      <c r="AC282" s="2" t="s">
        <v>29</v>
      </c>
      <c r="AD282" s="2" t="str">
        <f t="shared" ref="AD282" si="329">IF(NOT(ISBLANK(AE282)),"_","")</f>
        <v>_</v>
      </c>
      <c r="AE282" s="2" t="s">
        <v>17</v>
      </c>
      <c r="AF282" s="2" t="str">
        <f t="shared" ref="AF282" si="330">IF(NOT(ISBLANK(AG282)),"_","")</f>
        <v/>
      </c>
      <c r="AG282" s="2"/>
      <c r="AH282" s="2" t="str">
        <f t="shared" si="313"/>
        <v/>
      </c>
      <c r="AI282" s="2"/>
    </row>
    <row r="283" spans="1:35" x14ac:dyDescent="0.25">
      <c r="B283" s="2" t="str">
        <f t="shared" si="327"/>
        <v>@color-raceway_case_unpaved</v>
      </c>
      <c r="C283" s="153" t="s">
        <v>235</v>
      </c>
      <c r="D283" s="140" t="s">
        <v>232</v>
      </c>
      <c r="F283" s="72" t="s">
        <v>215</v>
      </c>
      <c r="G283" s="72" t="s">
        <v>215</v>
      </c>
      <c r="I283" s="154" t="str">
        <f>C283</f>
        <v>"#af9564"</v>
      </c>
      <c r="J283" s="155" t="str">
        <f>D283</f>
        <v>"#644507"</v>
      </c>
      <c r="U283" s="44"/>
      <c r="V283" s="44"/>
      <c r="X283" s="44"/>
      <c r="Y283" s="44"/>
      <c r="AA283" s="2" t="s">
        <v>6</v>
      </c>
      <c r="AB283" s="2" t="str">
        <f t="shared" ref="AB283:AB285" si="331">IF(NOT(ISBLANK(AC283)),"-","")</f>
        <v>-</v>
      </c>
      <c r="AC283" s="2" t="s">
        <v>29</v>
      </c>
      <c r="AD283" s="2" t="str">
        <f t="shared" ref="AD283:AD285" si="332">IF(NOT(ISBLANK(AE283)),"_","")</f>
        <v>_</v>
      </c>
      <c r="AE283" s="2" t="s">
        <v>17</v>
      </c>
      <c r="AF283" s="2" t="str">
        <f t="shared" ref="AF283:AF285" si="333">IF(NOT(ISBLANK(AG283)),"_","")</f>
        <v>_</v>
      </c>
      <c r="AG283" s="2" t="s">
        <v>22</v>
      </c>
      <c r="AH283" s="2" t="str">
        <f t="shared" si="313"/>
        <v/>
      </c>
      <c r="AI283" s="2"/>
    </row>
    <row r="284" spans="1:35" x14ac:dyDescent="0.25">
      <c r="B284" s="2" t="str">
        <f t="shared" si="327"/>
        <v>@color-raceway_case_paved_or_uk</v>
      </c>
      <c r="C284" s="156" t="s">
        <v>236</v>
      </c>
      <c r="D284" s="157" t="s">
        <v>237</v>
      </c>
      <c r="F284" s="72" t="s">
        <v>215</v>
      </c>
      <c r="G284" s="72" t="s">
        <v>215</v>
      </c>
      <c r="I284" s="158" t="str">
        <f>C284</f>
        <v>"#a8a6a4"</v>
      </c>
      <c r="J284" s="159" t="str">
        <f>D284</f>
        <v>"#4a4a4a"</v>
      </c>
      <c r="U284" s="44"/>
      <c r="V284" s="44"/>
      <c r="X284" s="44"/>
      <c r="Y284" s="44"/>
      <c r="AA284" s="2" t="s">
        <v>6</v>
      </c>
      <c r="AB284" s="2" t="str">
        <f t="shared" si="331"/>
        <v>-</v>
      </c>
      <c r="AC284" s="2" t="s">
        <v>29</v>
      </c>
      <c r="AD284" s="2" t="str">
        <f t="shared" si="332"/>
        <v>_</v>
      </c>
      <c r="AE284" s="2" t="s">
        <v>17</v>
      </c>
      <c r="AF284" s="2" t="str">
        <f t="shared" si="333"/>
        <v>_</v>
      </c>
      <c r="AG284" s="2" t="s">
        <v>25</v>
      </c>
      <c r="AH284" s="2" t="str">
        <f t="shared" si="313"/>
        <v/>
      </c>
      <c r="AI284" s="2"/>
    </row>
    <row r="285" spans="1:35" x14ac:dyDescent="0.25">
      <c r="B285" s="2" t="str">
        <f t="shared" si="327"/>
        <v>@color-raceway_line_default</v>
      </c>
      <c r="C285" s="44"/>
      <c r="D285" s="44"/>
      <c r="F285" s="44"/>
      <c r="G285" s="44"/>
      <c r="I285" s="44"/>
      <c r="J285" s="44"/>
      <c r="L285" s="44"/>
      <c r="M285" s="44"/>
      <c r="U285" s="71" t="s">
        <v>225</v>
      </c>
      <c r="V285" s="38" t="str">
        <f>U285</f>
        <v>"#ffffff"</v>
      </c>
      <c r="AA285" s="2" t="s">
        <v>6</v>
      </c>
      <c r="AB285" s="2" t="str">
        <f t="shared" si="331"/>
        <v>-</v>
      </c>
      <c r="AC285" s="2" t="s">
        <v>29</v>
      </c>
      <c r="AD285" s="2" t="str">
        <f t="shared" si="332"/>
        <v>_</v>
      </c>
      <c r="AE285" s="2" t="s">
        <v>13</v>
      </c>
      <c r="AF285" s="2" t="str">
        <f t="shared" si="333"/>
        <v>_</v>
      </c>
      <c r="AG285" s="2" t="s">
        <v>265</v>
      </c>
      <c r="AH285" s="2" t="str">
        <f t="shared" si="313"/>
        <v/>
      </c>
      <c r="AI285" s="2"/>
    </row>
    <row r="286" spans="1:35" x14ac:dyDescent="0.25">
      <c r="B286" s="2" t="str">
        <f t="shared" si="327"/>
        <v>@color-raceway_line_unpaved</v>
      </c>
      <c r="C286" s="148" t="s">
        <v>224</v>
      </c>
      <c r="D286" s="149" t="str">
        <f>C286</f>
        <v>"#eddfca"</v>
      </c>
      <c r="I286" s="149" t="str">
        <f>C286</f>
        <v>"#eddfca"</v>
      </c>
      <c r="J286" s="149" t="str">
        <f>C286</f>
        <v>"#eddfca"</v>
      </c>
      <c r="U286" s="44"/>
      <c r="V286" s="44"/>
      <c r="X286" s="44"/>
      <c r="Y286" s="44"/>
      <c r="AA286" s="2" t="s">
        <v>6</v>
      </c>
      <c r="AB286" s="2" t="str">
        <f t="shared" si="295"/>
        <v>-</v>
      </c>
      <c r="AC286" s="2" t="s">
        <v>29</v>
      </c>
      <c r="AD286" s="2" t="str">
        <f t="shared" si="302"/>
        <v>_</v>
      </c>
      <c r="AE286" s="2" t="s">
        <v>13</v>
      </c>
      <c r="AF286" s="2" t="str">
        <f t="shared" si="303"/>
        <v>_</v>
      </c>
      <c r="AG286" s="2" t="s">
        <v>22</v>
      </c>
      <c r="AH286" s="2" t="str">
        <f t="shared" si="313"/>
        <v/>
      </c>
      <c r="AI286" s="2"/>
    </row>
    <row r="287" spans="1:35" x14ac:dyDescent="0.25">
      <c r="B287" s="2" t="str">
        <f t="shared" si="327"/>
        <v>@color-raceway_line_paved_or_uk</v>
      </c>
      <c r="C287" s="26" t="s">
        <v>225</v>
      </c>
      <c r="D287" s="38" t="str">
        <f>C287</f>
        <v>"#ffffff"</v>
      </c>
      <c r="I287" s="38" t="str">
        <f>C287</f>
        <v>"#ffffff"</v>
      </c>
      <c r="J287" s="38" t="str">
        <f>C287</f>
        <v>"#ffffff"</v>
      </c>
      <c r="U287" s="44"/>
      <c r="V287" s="44"/>
      <c r="X287" s="44"/>
      <c r="Y287" s="44"/>
      <c r="AA287" s="2" t="s">
        <v>6</v>
      </c>
      <c r="AB287" s="2" t="str">
        <f t="shared" si="295"/>
        <v>-</v>
      </c>
      <c r="AC287" s="2" t="s">
        <v>29</v>
      </c>
      <c r="AD287" s="2" t="str">
        <f t="shared" si="302"/>
        <v>_</v>
      </c>
      <c r="AE287" s="2" t="s">
        <v>13</v>
      </c>
      <c r="AF287" s="2" t="str">
        <f t="shared" si="303"/>
        <v>_</v>
      </c>
      <c r="AG287" s="2" t="s">
        <v>25</v>
      </c>
      <c r="AH287" s="2" t="str">
        <f t="shared" si="313"/>
        <v/>
      </c>
      <c r="AI287" s="2"/>
    </row>
    <row r="288" spans="1:35" x14ac:dyDescent="0.25">
      <c r="B288" s="2"/>
      <c r="AB288" s="28" t="str">
        <f t="shared" si="295"/>
        <v/>
      </c>
      <c r="AD288" s="28" t="str">
        <f t="shared" si="302"/>
        <v/>
      </c>
      <c r="AF288" s="28" t="str">
        <f t="shared" si="303"/>
        <v/>
      </c>
      <c r="AH288" s="28" t="str">
        <f t="shared" si="313"/>
        <v/>
      </c>
    </row>
    <row r="289" spans="2:35" x14ac:dyDescent="0.25">
      <c r="B289" s="2" t="str">
        <f t="shared" ref="B289:B296" si="334">_xlfn.CONCAT("@",AA289,AB289,AC289,AD289,AE289,AF289,AG289,AH289,AI289)</f>
        <v>@color-driveway_case</v>
      </c>
      <c r="C289" s="44"/>
      <c r="D289" s="44"/>
      <c r="F289" s="44"/>
      <c r="G289" s="44"/>
      <c r="I289" s="44"/>
      <c r="J289" s="44"/>
      <c r="L289" s="44"/>
      <c r="M289" s="44"/>
      <c r="U289" s="72" t="s">
        <v>215</v>
      </c>
      <c r="V289" s="72" t="s">
        <v>215</v>
      </c>
      <c r="AA289" s="2" t="s">
        <v>6</v>
      </c>
      <c r="AB289" s="2" t="str">
        <f t="shared" si="295"/>
        <v>-</v>
      </c>
      <c r="AC289" s="2" t="s">
        <v>30</v>
      </c>
      <c r="AD289" s="2" t="str">
        <f t="shared" si="302"/>
        <v>_</v>
      </c>
      <c r="AE289" s="2" t="s">
        <v>17</v>
      </c>
      <c r="AF289" s="2" t="str">
        <f t="shared" si="303"/>
        <v/>
      </c>
      <c r="AG289" s="2"/>
      <c r="AH289" s="2" t="str">
        <f t="shared" si="313"/>
        <v/>
      </c>
      <c r="AI289" s="2"/>
    </row>
    <row r="290" spans="2:35" x14ac:dyDescent="0.25">
      <c r="B290" s="2" t="str">
        <f t="shared" si="334"/>
        <v>@color-driveway_case_unpaved_farzoom</v>
      </c>
      <c r="C290" s="139" t="s">
        <v>230</v>
      </c>
      <c r="D290" s="140" t="s">
        <v>232</v>
      </c>
      <c r="F290" s="140" t="s">
        <v>232</v>
      </c>
      <c r="G290" s="139" t="s">
        <v>230</v>
      </c>
      <c r="I290" s="160" t="str">
        <f t="shared" ref="I290:J293" si="335">C290</f>
        <v>"#b99346"</v>
      </c>
      <c r="J290" s="155" t="str">
        <f t="shared" si="335"/>
        <v>"#644507"</v>
      </c>
      <c r="U290" s="44"/>
      <c r="V290" s="44"/>
      <c r="X290" s="44"/>
      <c r="Y290" s="44"/>
      <c r="AA290" s="2" t="s">
        <v>6</v>
      </c>
      <c r="AB290" s="2" t="str">
        <f t="shared" si="295"/>
        <v>-</v>
      </c>
      <c r="AC290" s="2" t="s">
        <v>30</v>
      </c>
      <c r="AD290" s="2" t="str">
        <f t="shared" si="302"/>
        <v>_</v>
      </c>
      <c r="AE290" s="2" t="s">
        <v>17</v>
      </c>
      <c r="AF290" s="2" t="str">
        <f t="shared" si="303"/>
        <v>_</v>
      </c>
      <c r="AG290" s="2" t="s">
        <v>22</v>
      </c>
      <c r="AH290" s="2" t="str">
        <f t="shared" si="313"/>
        <v>_</v>
      </c>
      <c r="AI290" s="28" t="s">
        <v>21</v>
      </c>
    </row>
    <row r="291" spans="2:35" x14ac:dyDescent="0.25">
      <c r="B291" s="2" t="str">
        <f t="shared" si="334"/>
        <v>@color-driveway_case_unpaved</v>
      </c>
      <c r="C291" s="140" t="s">
        <v>232</v>
      </c>
      <c r="D291" s="140" t="s">
        <v>232</v>
      </c>
      <c r="F291" s="72" t="s">
        <v>215</v>
      </c>
      <c r="G291" s="72" t="s">
        <v>215</v>
      </c>
      <c r="I291" s="155" t="str">
        <f t="shared" si="335"/>
        <v>"#644507"</v>
      </c>
      <c r="J291" s="155" t="str">
        <f t="shared" si="335"/>
        <v>"#644507"</v>
      </c>
      <c r="U291" s="44"/>
      <c r="V291" s="44"/>
      <c r="X291" s="44"/>
      <c r="Y291" s="44"/>
      <c r="AA291" s="2" t="s">
        <v>6</v>
      </c>
      <c r="AB291" s="2" t="str">
        <f t="shared" si="295"/>
        <v>-</v>
      </c>
      <c r="AC291" s="2" t="s">
        <v>30</v>
      </c>
      <c r="AD291" s="2" t="str">
        <f t="shared" si="302"/>
        <v>_</v>
      </c>
      <c r="AE291" s="2" t="s">
        <v>17</v>
      </c>
      <c r="AF291" s="2" t="str">
        <f t="shared" si="303"/>
        <v>_</v>
      </c>
      <c r="AG291" s="2" t="s">
        <v>22</v>
      </c>
      <c r="AH291" s="2" t="str">
        <f t="shared" si="313"/>
        <v/>
      </c>
      <c r="AI291" s="2"/>
    </row>
    <row r="292" spans="2:35" x14ac:dyDescent="0.25">
      <c r="B292" s="2" t="str">
        <f t="shared" si="334"/>
        <v>@color-driveway_case_paved_or_uk_farzoom</v>
      </c>
      <c r="C292" s="142" t="s">
        <v>231</v>
      </c>
      <c r="D292" s="72" t="s">
        <v>215</v>
      </c>
      <c r="F292" s="142" t="s">
        <v>231</v>
      </c>
      <c r="G292" s="142" t="s">
        <v>231</v>
      </c>
      <c r="I292" s="161" t="str">
        <f t="shared" si="335"/>
        <v>"#808080"</v>
      </c>
      <c r="J292" s="37" t="str">
        <f t="shared" si="335"/>
        <v>"#000000"</v>
      </c>
      <c r="U292" s="44"/>
      <c r="V292" s="44"/>
      <c r="X292" s="44"/>
      <c r="Y292" s="44"/>
      <c r="AA292" s="2" t="s">
        <v>6</v>
      </c>
      <c r="AB292" s="2" t="str">
        <f t="shared" si="295"/>
        <v>-</v>
      </c>
      <c r="AC292" s="2" t="s">
        <v>30</v>
      </c>
      <c r="AD292" s="2" t="str">
        <f t="shared" si="302"/>
        <v>_</v>
      </c>
      <c r="AE292" s="2" t="s">
        <v>17</v>
      </c>
      <c r="AF292" s="2" t="str">
        <f t="shared" si="303"/>
        <v>_</v>
      </c>
      <c r="AG292" s="2" t="s">
        <v>25</v>
      </c>
      <c r="AH292" s="2" t="str">
        <f t="shared" si="313"/>
        <v>_</v>
      </c>
      <c r="AI292" s="28" t="s">
        <v>21</v>
      </c>
    </row>
    <row r="293" spans="2:35" x14ac:dyDescent="0.25">
      <c r="B293" s="2" t="str">
        <f t="shared" si="334"/>
        <v>@color-driveway_case_paved_or_uk</v>
      </c>
      <c r="C293" s="143" t="s">
        <v>219</v>
      </c>
      <c r="D293" s="72" t="s">
        <v>215</v>
      </c>
      <c r="F293" s="72" t="s">
        <v>215</v>
      </c>
      <c r="G293" s="72" t="s">
        <v>215</v>
      </c>
      <c r="I293" s="162" t="str">
        <f t="shared" si="335"/>
        <v>"#404040"</v>
      </c>
      <c r="J293" s="37" t="str">
        <f t="shared" si="335"/>
        <v>"#000000"</v>
      </c>
      <c r="Q293" s="7"/>
      <c r="U293" s="44"/>
      <c r="V293" s="44"/>
      <c r="X293" s="44"/>
      <c r="Y293" s="44"/>
      <c r="AA293" s="2" t="s">
        <v>6</v>
      </c>
      <c r="AB293" s="2" t="str">
        <f t="shared" si="295"/>
        <v>-</v>
      </c>
      <c r="AC293" s="2" t="s">
        <v>30</v>
      </c>
      <c r="AD293" s="2" t="str">
        <f t="shared" si="302"/>
        <v>_</v>
      </c>
      <c r="AE293" s="2" t="s">
        <v>17</v>
      </c>
      <c r="AF293" s="2" t="str">
        <f t="shared" si="303"/>
        <v>_</v>
      </c>
      <c r="AG293" s="2" t="s">
        <v>25</v>
      </c>
      <c r="AH293" s="2" t="str">
        <f t="shared" si="313"/>
        <v/>
      </c>
      <c r="AI293" s="2"/>
    </row>
    <row r="294" spans="2:35" x14ac:dyDescent="0.25">
      <c r="B294" s="2" t="str">
        <f t="shared" si="334"/>
        <v>@color-driveway_line_default</v>
      </c>
      <c r="C294" s="44"/>
      <c r="D294" s="44"/>
      <c r="F294" s="44"/>
      <c r="G294" s="44"/>
      <c r="I294" s="44"/>
      <c r="J294" s="44"/>
      <c r="L294" s="44"/>
      <c r="M294" s="44"/>
      <c r="U294" s="71" t="s">
        <v>225</v>
      </c>
      <c r="V294" s="38" t="str">
        <f>U294</f>
        <v>"#ffffff"</v>
      </c>
      <c r="AA294" s="2" t="s">
        <v>6</v>
      </c>
      <c r="AB294" s="2" t="str">
        <f t="shared" si="295"/>
        <v>-</v>
      </c>
      <c r="AC294" s="2" t="s">
        <v>30</v>
      </c>
      <c r="AD294" s="2" t="str">
        <f t="shared" si="302"/>
        <v>_</v>
      </c>
      <c r="AE294" s="2" t="s">
        <v>13</v>
      </c>
      <c r="AF294" s="2" t="str">
        <f t="shared" si="303"/>
        <v>_</v>
      </c>
      <c r="AG294" s="2" t="s">
        <v>265</v>
      </c>
      <c r="AH294" s="2" t="str">
        <f t="shared" si="313"/>
        <v/>
      </c>
      <c r="AI294" s="2"/>
    </row>
    <row r="295" spans="2:35" x14ac:dyDescent="0.25">
      <c r="B295" s="2" t="str">
        <f t="shared" si="334"/>
        <v>@color-driveway_line_unpaved</v>
      </c>
      <c r="C295" s="148" t="s">
        <v>224</v>
      </c>
      <c r="D295" s="38" t="str">
        <f t="shared" ref="D295:D296" si="336">C295</f>
        <v>"#eddfca"</v>
      </c>
      <c r="I295" s="149" t="str">
        <f>C295</f>
        <v>"#eddfca"</v>
      </c>
      <c r="J295" s="38" t="str">
        <f t="shared" ref="J295:J296" si="337">C295</f>
        <v>"#eddfca"</v>
      </c>
      <c r="U295" s="44"/>
      <c r="V295" s="44"/>
      <c r="X295" s="44"/>
      <c r="Y295" s="44"/>
      <c r="AA295" s="2" t="s">
        <v>6</v>
      </c>
      <c r="AB295" s="2" t="str">
        <f t="shared" si="295"/>
        <v>-</v>
      </c>
      <c r="AC295" s="2" t="s">
        <v>30</v>
      </c>
      <c r="AD295" s="2" t="str">
        <f t="shared" si="302"/>
        <v>_</v>
      </c>
      <c r="AE295" s="2" t="s">
        <v>13</v>
      </c>
      <c r="AF295" s="2" t="str">
        <f t="shared" si="303"/>
        <v>_</v>
      </c>
      <c r="AG295" s="2" t="s">
        <v>22</v>
      </c>
      <c r="AH295" s="2" t="str">
        <f t="shared" si="313"/>
        <v/>
      </c>
      <c r="AI295" s="2"/>
    </row>
    <row r="296" spans="2:35" x14ac:dyDescent="0.25">
      <c r="B296" s="2" t="str">
        <f t="shared" si="334"/>
        <v>@color-driveway_line_paved_or_uk</v>
      </c>
      <c r="C296" s="71" t="s">
        <v>225</v>
      </c>
      <c r="D296" s="38" t="str">
        <f t="shared" si="336"/>
        <v>"#ffffff"</v>
      </c>
      <c r="I296" s="38" t="str">
        <f>C296</f>
        <v>"#ffffff"</v>
      </c>
      <c r="J296" s="38" t="str">
        <f t="shared" si="337"/>
        <v>"#ffffff"</v>
      </c>
      <c r="U296" s="44"/>
      <c r="V296" s="44"/>
      <c r="X296" s="44"/>
      <c r="Y296" s="44"/>
      <c r="AA296" s="2" t="s">
        <v>6</v>
      </c>
      <c r="AB296" s="2" t="str">
        <f t="shared" si="295"/>
        <v>-</v>
      </c>
      <c r="AC296" s="2" t="s">
        <v>30</v>
      </c>
      <c r="AD296" s="2" t="str">
        <f t="shared" si="302"/>
        <v>_</v>
      </c>
      <c r="AE296" s="2" t="s">
        <v>13</v>
      </c>
      <c r="AF296" s="2" t="str">
        <f t="shared" si="303"/>
        <v>_</v>
      </c>
      <c r="AG296" s="2" t="s">
        <v>25</v>
      </c>
      <c r="AH296" s="2" t="str">
        <f t="shared" si="313"/>
        <v/>
      </c>
      <c r="AI296" s="2"/>
    </row>
    <row r="297" spans="2:35" x14ac:dyDescent="0.25">
      <c r="B297" s="2"/>
      <c r="AB297" s="28" t="str">
        <f t="shared" ref="AB297:AB305" si="338">IF(NOT(ISBLANK(AC297)),"-","")</f>
        <v/>
      </c>
      <c r="AD297" s="28" t="str">
        <f t="shared" ref="AD297:AD305" si="339">IF(NOT(ISBLANK(AE297)),"_","")</f>
        <v/>
      </c>
      <c r="AF297" s="28" t="str">
        <f t="shared" ref="AF297:AF305" si="340">IF(NOT(ISBLANK(AG297)),"_","")</f>
        <v/>
      </c>
      <c r="AH297" s="28" t="str">
        <f t="shared" si="313"/>
        <v/>
      </c>
    </row>
    <row r="298" spans="2:35" x14ac:dyDescent="0.25">
      <c r="B298" s="2" t="str">
        <f t="shared" ref="B298:B305" si="341">_xlfn.CONCAT("@",AA298,AB298,AC298,AD298,AE298,AF298,AG298,AH298,AI298)</f>
        <v>@color-service_case</v>
      </c>
      <c r="C298" s="44"/>
      <c r="D298" s="44"/>
      <c r="F298" s="44"/>
      <c r="G298" s="44"/>
      <c r="I298" s="44"/>
      <c r="J298" s="44"/>
      <c r="L298" s="44"/>
      <c r="M298" s="44"/>
      <c r="U298" s="72" t="s">
        <v>215</v>
      </c>
      <c r="V298" s="72" t="s">
        <v>215</v>
      </c>
      <c r="AA298" s="2" t="s">
        <v>6</v>
      </c>
      <c r="AB298" s="2" t="str">
        <f t="shared" si="338"/>
        <v>-</v>
      </c>
      <c r="AC298" s="2" t="s">
        <v>31</v>
      </c>
      <c r="AD298" s="2" t="str">
        <f t="shared" si="339"/>
        <v>_</v>
      </c>
      <c r="AE298" s="2" t="s">
        <v>17</v>
      </c>
      <c r="AF298" s="2" t="str">
        <f t="shared" si="340"/>
        <v/>
      </c>
      <c r="AG298" s="2"/>
      <c r="AH298" s="2" t="str">
        <f t="shared" si="313"/>
        <v/>
      </c>
      <c r="AI298" s="2"/>
    </row>
    <row r="299" spans="2:35" x14ac:dyDescent="0.25">
      <c r="B299" s="2" t="str">
        <f t="shared" si="341"/>
        <v>@color-service_case_unpaved_farzoom</v>
      </c>
      <c r="C299" s="139" t="s">
        <v>230</v>
      </c>
      <c r="D299" s="140" t="s">
        <v>232</v>
      </c>
      <c r="F299" s="140" t="s">
        <v>232</v>
      </c>
      <c r="G299" s="139" t="s">
        <v>230</v>
      </c>
      <c r="I299" s="160" t="str">
        <f t="shared" ref="I299:J302" si="342">C299</f>
        <v>"#b99346"</v>
      </c>
      <c r="J299" s="155" t="str">
        <f t="shared" si="342"/>
        <v>"#644507"</v>
      </c>
      <c r="U299" s="44"/>
      <c r="V299" s="44"/>
      <c r="X299" s="44"/>
      <c r="Y299" s="44"/>
      <c r="AA299" s="2" t="s">
        <v>6</v>
      </c>
      <c r="AB299" s="2" t="str">
        <f t="shared" si="338"/>
        <v>-</v>
      </c>
      <c r="AC299" s="2" t="s">
        <v>31</v>
      </c>
      <c r="AD299" s="2" t="str">
        <f t="shared" si="339"/>
        <v>_</v>
      </c>
      <c r="AE299" s="2" t="s">
        <v>17</v>
      </c>
      <c r="AF299" s="2" t="str">
        <f t="shared" si="340"/>
        <v>_</v>
      </c>
      <c r="AG299" s="2" t="s">
        <v>22</v>
      </c>
      <c r="AH299" s="2" t="str">
        <f t="shared" si="313"/>
        <v>_</v>
      </c>
      <c r="AI299" s="28" t="s">
        <v>21</v>
      </c>
    </row>
    <row r="300" spans="2:35" x14ac:dyDescent="0.25">
      <c r="B300" s="2" t="str">
        <f t="shared" si="341"/>
        <v>@color-service_case_unpaved</v>
      </c>
      <c r="C300" s="140" t="s">
        <v>232</v>
      </c>
      <c r="D300" s="140" t="s">
        <v>232</v>
      </c>
      <c r="F300" s="72" t="s">
        <v>215</v>
      </c>
      <c r="G300" s="72" t="s">
        <v>215</v>
      </c>
      <c r="I300" s="155" t="str">
        <f t="shared" si="342"/>
        <v>"#644507"</v>
      </c>
      <c r="J300" s="155" t="str">
        <f t="shared" si="342"/>
        <v>"#644507"</v>
      </c>
      <c r="U300" s="44"/>
      <c r="V300" s="44"/>
      <c r="X300" s="44"/>
      <c r="Y300" s="44"/>
      <c r="AA300" s="2" t="s">
        <v>6</v>
      </c>
      <c r="AB300" s="2" t="str">
        <f t="shared" si="338"/>
        <v>-</v>
      </c>
      <c r="AC300" s="2" t="s">
        <v>31</v>
      </c>
      <c r="AD300" s="2" t="str">
        <f t="shared" si="339"/>
        <v>_</v>
      </c>
      <c r="AE300" s="2" t="s">
        <v>17</v>
      </c>
      <c r="AF300" s="2" t="str">
        <f t="shared" si="340"/>
        <v>_</v>
      </c>
      <c r="AG300" s="2" t="s">
        <v>22</v>
      </c>
      <c r="AH300" s="2" t="str">
        <f t="shared" si="313"/>
        <v/>
      </c>
      <c r="AI300" s="2"/>
    </row>
    <row r="301" spans="2:35" x14ac:dyDescent="0.25">
      <c r="B301" s="2" t="str">
        <f t="shared" si="341"/>
        <v>@color-service_case_paved_or_uk_farzoom</v>
      </c>
      <c r="C301" s="142" t="s">
        <v>231</v>
      </c>
      <c r="D301" s="72" t="s">
        <v>215</v>
      </c>
      <c r="F301" s="72" t="s">
        <v>215</v>
      </c>
      <c r="G301" s="72" t="s">
        <v>215</v>
      </c>
      <c r="I301" s="161" t="str">
        <f t="shared" si="342"/>
        <v>"#808080"</v>
      </c>
      <c r="J301" s="37" t="str">
        <f t="shared" si="342"/>
        <v>"#000000"</v>
      </c>
      <c r="U301" s="44"/>
      <c r="V301" s="44"/>
      <c r="X301" s="44"/>
      <c r="Y301" s="44"/>
      <c r="AA301" s="2" t="s">
        <v>6</v>
      </c>
      <c r="AB301" s="2" t="str">
        <f t="shared" si="338"/>
        <v>-</v>
      </c>
      <c r="AC301" s="2" t="s">
        <v>31</v>
      </c>
      <c r="AD301" s="2" t="str">
        <f t="shared" si="339"/>
        <v>_</v>
      </c>
      <c r="AE301" s="2" t="s">
        <v>17</v>
      </c>
      <c r="AF301" s="2" t="str">
        <f t="shared" si="340"/>
        <v>_</v>
      </c>
      <c r="AG301" s="2" t="s">
        <v>25</v>
      </c>
      <c r="AH301" s="2" t="str">
        <f t="shared" si="313"/>
        <v>_</v>
      </c>
      <c r="AI301" s="28" t="s">
        <v>21</v>
      </c>
    </row>
    <row r="302" spans="2:35" x14ac:dyDescent="0.25">
      <c r="B302" s="2" t="str">
        <f t="shared" si="341"/>
        <v>@color-service_case_paved_or_uk</v>
      </c>
      <c r="C302" s="143" t="s">
        <v>219</v>
      </c>
      <c r="D302" s="72" t="s">
        <v>215</v>
      </c>
      <c r="F302" s="72" t="s">
        <v>215</v>
      </c>
      <c r="G302" s="72" t="s">
        <v>215</v>
      </c>
      <c r="I302" s="162" t="str">
        <f t="shared" si="342"/>
        <v>"#404040"</v>
      </c>
      <c r="J302" s="37" t="str">
        <f t="shared" si="342"/>
        <v>"#000000"</v>
      </c>
      <c r="Q302" s="7"/>
      <c r="U302" s="44"/>
      <c r="V302" s="44"/>
      <c r="X302" s="44"/>
      <c r="Y302" s="44"/>
      <c r="AA302" s="2" t="s">
        <v>6</v>
      </c>
      <c r="AB302" s="2" t="str">
        <f t="shared" si="338"/>
        <v>-</v>
      </c>
      <c r="AC302" s="2" t="s">
        <v>31</v>
      </c>
      <c r="AD302" s="2" t="str">
        <f t="shared" si="339"/>
        <v>_</v>
      </c>
      <c r="AE302" s="2" t="s">
        <v>17</v>
      </c>
      <c r="AF302" s="2" t="str">
        <f t="shared" si="340"/>
        <v>_</v>
      </c>
      <c r="AG302" s="2" t="s">
        <v>25</v>
      </c>
      <c r="AH302" s="2" t="str">
        <f t="shared" si="313"/>
        <v/>
      </c>
      <c r="AI302" s="2"/>
    </row>
    <row r="303" spans="2:35" x14ac:dyDescent="0.25">
      <c r="B303" s="2" t="str">
        <f t="shared" si="341"/>
        <v>@color-service_line_default</v>
      </c>
      <c r="C303" s="44"/>
      <c r="D303" s="44"/>
      <c r="F303" s="44"/>
      <c r="G303" s="44"/>
      <c r="I303" s="44"/>
      <c r="J303" s="44"/>
      <c r="L303" s="44"/>
      <c r="M303" s="44"/>
      <c r="U303" s="71" t="s">
        <v>225</v>
      </c>
      <c r="V303" s="38" t="str">
        <f>U303</f>
        <v>"#ffffff"</v>
      </c>
      <c r="AA303" s="2" t="s">
        <v>6</v>
      </c>
      <c r="AB303" s="2" t="str">
        <f t="shared" ref="AB303" si="343">IF(NOT(ISBLANK(AC303)),"-","")</f>
        <v>-</v>
      </c>
      <c r="AC303" s="2" t="s">
        <v>31</v>
      </c>
      <c r="AD303" s="2" t="str">
        <f t="shared" ref="AD303" si="344">IF(NOT(ISBLANK(AE303)),"_","")</f>
        <v>_</v>
      </c>
      <c r="AE303" s="2" t="s">
        <v>13</v>
      </c>
      <c r="AF303" s="2" t="str">
        <f t="shared" ref="AF303" si="345">IF(NOT(ISBLANK(AG303)),"_","")</f>
        <v>_</v>
      </c>
      <c r="AG303" s="2" t="s">
        <v>265</v>
      </c>
      <c r="AH303" s="2" t="str">
        <f t="shared" si="313"/>
        <v/>
      </c>
      <c r="AI303" s="2"/>
    </row>
    <row r="304" spans="2:35" x14ac:dyDescent="0.25">
      <c r="B304" s="2" t="str">
        <f t="shared" si="341"/>
        <v>@color-service_line_unpaved</v>
      </c>
      <c r="C304" s="148" t="s">
        <v>224</v>
      </c>
      <c r="D304" s="38" t="str">
        <f t="shared" ref="D304:D305" si="346">C304</f>
        <v>"#eddfca"</v>
      </c>
      <c r="I304" s="149" t="str">
        <f>C304</f>
        <v>"#eddfca"</v>
      </c>
      <c r="J304" s="38" t="str">
        <f t="shared" ref="J304:J305" si="347">C304</f>
        <v>"#eddfca"</v>
      </c>
      <c r="U304" s="44"/>
      <c r="V304" s="44"/>
      <c r="X304" s="44"/>
      <c r="Y304" s="44"/>
      <c r="AA304" s="2" t="s">
        <v>6</v>
      </c>
      <c r="AB304" s="2" t="str">
        <f t="shared" si="338"/>
        <v>-</v>
      </c>
      <c r="AC304" s="2" t="s">
        <v>31</v>
      </c>
      <c r="AD304" s="2" t="str">
        <f t="shared" si="339"/>
        <v>_</v>
      </c>
      <c r="AE304" s="2" t="s">
        <v>13</v>
      </c>
      <c r="AF304" s="2" t="str">
        <f t="shared" si="340"/>
        <v>_</v>
      </c>
      <c r="AG304" s="2" t="s">
        <v>22</v>
      </c>
      <c r="AH304" s="2" t="str">
        <f t="shared" si="313"/>
        <v/>
      </c>
      <c r="AI304" s="2"/>
    </row>
    <row r="305" spans="1:35" x14ac:dyDescent="0.25">
      <c r="B305" s="2" t="str">
        <f t="shared" si="341"/>
        <v>@color-service_line_paved_or_uk</v>
      </c>
      <c r="C305" s="71" t="s">
        <v>225</v>
      </c>
      <c r="D305" s="38" t="str">
        <f t="shared" si="346"/>
        <v>"#ffffff"</v>
      </c>
      <c r="I305" s="38" t="str">
        <f>C305</f>
        <v>"#ffffff"</v>
      </c>
      <c r="J305" s="38" t="str">
        <f t="shared" si="347"/>
        <v>"#ffffff"</v>
      </c>
      <c r="U305" s="44"/>
      <c r="V305" s="44"/>
      <c r="X305" s="44"/>
      <c r="Y305" s="44"/>
      <c r="AA305" s="2" t="s">
        <v>6</v>
      </c>
      <c r="AB305" s="2" t="str">
        <f t="shared" si="338"/>
        <v>-</v>
      </c>
      <c r="AC305" s="2" t="s">
        <v>31</v>
      </c>
      <c r="AD305" s="2" t="str">
        <f t="shared" si="339"/>
        <v>_</v>
      </c>
      <c r="AE305" s="2" t="s">
        <v>13</v>
      </c>
      <c r="AF305" s="2" t="str">
        <f t="shared" si="340"/>
        <v>_</v>
      </c>
      <c r="AG305" s="2" t="s">
        <v>25</v>
      </c>
      <c r="AH305" s="2" t="str">
        <f t="shared" si="313"/>
        <v/>
      </c>
      <c r="AI305" s="2"/>
    </row>
    <row r="306" spans="1:35" x14ac:dyDescent="0.25">
      <c r="B306" s="2"/>
      <c r="AB306" s="28" t="str">
        <f t="shared" si="295"/>
        <v/>
      </c>
      <c r="AD306" s="28" t="str">
        <f t="shared" si="302"/>
        <v/>
      </c>
      <c r="AF306" s="28" t="str">
        <f t="shared" si="303"/>
        <v/>
      </c>
      <c r="AH306" s="28" t="str">
        <f t="shared" si="313"/>
        <v/>
      </c>
    </row>
    <row r="307" spans="1:35" x14ac:dyDescent="0.25">
      <c r="B307" s="2" t="str">
        <f t="shared" ref="B307:B313" si="348">_xlfn.CONCAT("@",AA307,AB307,AC307,AD307,AE307,AF307,AG307,AH307,AI307)</f>
        <v>@color-minor_case_unpaved_farzoom</v>
      </c>
      <c r="C307" s="139" t="s">
        <v>230</v>
      </c>
      <c r="D307" s="140" t="s">
        <v>232</v>
      </c>
      <c r="F307" s="140" t="s">
        <v>232</v>
      </c>
      <c r="G307" s="139" t="s">
        <v>230</v>
      </c>
      <c r="I307" s="160" t="str">
        <f t="shared" ref="I307:J310" si="349">C307</f>
        <v>"#b99346"</v>
      </c>
      <c r="J307" s="155" t="str">
        <f t="shared" si="349"/>
        <v>"#644507"</v>
      </c>
      <c r="U307" s="44"/>
      <c r="V307" s="44"/>
      <c r="X307" s="44"/>
      <c r="Y307" s="44"/>
      <c r="AA307" s="2" t="s">
        <v>6</v>
      </c>
      <c r="AB307" s="2" t="str">
        <f t="shared" ref="AB307" si="350">IF(NOT(ISBLANK(AC307)),"-","")</f>
        <v>-</v>
      </c>
      <c r="AC307" s="2" t="s">
        <v>32</v>
      </c>
      <c r="AD307" s="2" t="str">
        <f t="shared" ref="AD307" si="351">IF(NOT(ISBLANK(AE307)),"_","")</f>
        <v>_</v>
      </c>
      <c r="AE307" s="2" t="s">
        <v>17</v>
      </c>
      <c r="AF307" s="2" t="str">
        <f t="shared" ref="AF307" si="352">IF(NOT(ISBLANK(AG307)),"_","")</f>
        <v>_</v>
      </c>
      <c r="AG307" s="2" t="s">
        <v>22</v>
      </c>
      <c r="AH307" s="2" t="str">
        <f t="shared" si="313"/>
        <v>_</v>
      </c>
      <c r="AI307" s="28" t="s">
        <v>21</v>
      </c>
    </row>
    <row r="308" spans="1:35" x14ac:dyDescent="0.25">
      <c r="B308" s="2" t="str">
        <f t="shared" si="348"/>
        <v>@color-minor_case_unpaved_default</v>
      </c>
      <c r="C308" s="140" t="s">
        <v>232</v>
      </c>
      <c r="D308" s="140" t="s">
        <v>232</v>
      </c>
      <c r="F308" s="72" t="s">
        <v>215</v>
      </c>
      <c r="G308" s="72" t="s">
        <v>215</v>
      </c>
      <c r="I308" s="155" t="str">
        <f t="shared" si="349"/>
        <v>"#644507"</v>
      </c>
      <c r="J308" s="155" t="str">
        <f t="shared" si="349"/>
        <v>"#644507"</v>
      </c>
      <c r="U308" s="44"/>
      <c r="V308" s="44"/>
      <c r="X308" s="44"/>
      <c r="Y308" s="44"/>
      <c r="AA308" s="2" t="s">
        <v>6</v>
      </c>
      <c r="AB308" s="2" t="str">
        <f t="shared" si="295"/>
        <v>-</v>
      </c>
      <c r="AC308" s="2" t="s">
        <v>32</v>
      </c>
      <c r="AD308" s="2" t="str">
        <f t="shared" si="302"/>
        <v>_</v>
      </c>
      <c r="AE308" s="2" t="s">
        <v>17</v>
      </c>
      <c r="AF308" s="2" t="str">
        <f t="shared" si="303"/>
        <v>_</v>
      </c>
      <c r="AG308" s="2" t="s">
        <v>22</v>
      </c>
      <c r="AH308" s="2" t="str">
        <f t="shared" si="313"/>
        <v>_</v>
      </c>
      <c r="AI308" s="28" t="s">
        <v>265</v>
      </c>
    </row>
    <row r="309" spans="1:35" x14ac:dyDescent="0.25">
      <c r="B309" s="2" t="str">
        <f t="shared" si="348"/>
        <v>@color-minor_case_paved_or_uk_farzoom</v>
      </c>
      <c r="C309" s="142" t="s">
        <v>231</v>
      </c>
      <c r="D309" s="72" t="s">
        <v>215</v>
      </c>
      <c r="F309" s="142" t="s">
        <v>231</v>
      </c>
      <c r="G309" s="142" t="s">
        <v>231</v>
      </c>
      <c r="I309" s="161" t="str">
        <f t="shared" si="349"/>
        <v>"#808080"</v>
      </c>
      <c r="J309" s="37" t="str">
        <f t="shared" si="349"/>
        <v>"#000000"</v>
      </c>
      <c r="U309" s="44"/>
      <c r="V309" s="44"/>
      <c r="X309" s="44"/>
      <c r="Y309" s="44"/>
      <c r="AA309" s="2" t="s">
        <v>6</v>
      </c>
      <c r="AB309" s="2" t="str">
        <f t="shared" ref="AB309" si="353">IF(NOT(ISBLANK(AC309)),"-","")</f>
        <v>-</v>
      </c>
      <c r="AC309" s="2" t="s">
        <v>32</v>
      </c>
      <c r="AD309" s="2" t="str">
        <f t="shared" ref="AD309" si="354">IF(NOT(ISBLANK(AE309)),"_","")</f>
        <v>_</v>
      </c>
      <c r="AE309" s="2" t="s">
        <v>17</v>
      </c>
      <c r="AF309" s="2" t="str">
        <f t="shared" ref="AF309" si="355">IF(NOT(ISBLANK(AG309)),"_","")</f>
        <v>_</v>
      </c>
      <c r="AG309" s="2" t="s">
        <v>25</v>
      </c>
      <c r="AH309" s="2" t="str">
        <f t="shared" si="313"/>
        <v>_</v>
      </c>
      <c r="AI309" s="28" t="s">
        <v>21</v>
      </c>
    </row>
    <row r="310" spans="1:35" x14ac:dyDescent="0.25">
      <c r="B310" s="2" t="str">
        <f t="shared" si="348"/>
        <v>@color-minor_case_paved_or_uk_default</v>
      </c>
      <c r="C310" s="143" t="s">
        <v>219</v>
      </c>
      <c r="D310" s="72" t="s">
        <v>215</v>
      </c>
      <c r="F310" s="72" t="s">
        <v>215</v>
      </c>
      <c r="G310" s="72" t="s">
        <v>215</v>
      </c>
      <c r="I310" s="162" t="str">
        <f t="shared" si="349"/>
        <v>"#404040"</v>
      </c>
      <c r="J310" s="37" t="str">
        <f t="shared" si="349"/>
        <v>"#000000"</v>
      </c>
      <c r="U310" s="44"/>
      <c r="V310" s="44"/>
      <c r="X310" s="44"/>
      <c r="Y310" s="44"/>
      <c r="AA310" s="2" t="s">
        <v>6</v>
      </c>
      <c r="AB310" s="2" t="str">
        <f t="shared" si="295"/>
        <v>-</v>
      </c>
      <c r="AC310" s="2" t="s">
        <v>32</v>
      </c>
      <c r="AD310" s="2" t="str">
        <f t="shared" si="302"/>
        <v>_</v>
      </c>
      <c r="AE310" s="2" t="s">
        <v>17</v>
      </c>
      <c r="AF310" s="2" t="str">
        <f t="shared" si="303"/>
        <v>_</v>
      </c>
      <c r="AG310" s="2" t="s">
        <v>25</v>
      </c>
      <c r="AH310" s="2" t="str">
        <f t="shared" si="313"/>
        <v>_</v>
      </c>
      <c r="AI310" s="28" t="s">
        <v>265</v>
      </c>
    </row>
    <row r="311" spans="1:35" x14ac:dyDescent="0.25">
      <c r="B311" s="2" t="str">
        <f t="shared" si="348"/>
        <v>@color-minor_line_default</v>
      </c>
      <c r="C311" s="44"/>
      <c r="D311" s="44"/>
      <c r="F311" s="44"/>
      <c r="G311" s="44"/>
      <c r="I311" s="44"/>
      <c r="J311" s="44"/>
      <c r="L311" s="44"/>
      <c r="M311" s="44"/>
      <c r="U311" s="71" t="s">
        <v>225</v>
      </c>
      <c r="V311" s="38" t="str">
        <f>U311</f>
        <v>"#ffffff"</v>
      </c>
      <c r="AA311" s="2" t="s">
        <v>6</v>
      </c>
      <c r="AB311" s="2" t="str">
        <f t="shared" ref="AB311" si="356">IF(NOT(ISBLANK(AC311)),"-","")</f>
        <v>-</v>
      </c>
      <c r="AC311" s="2" t="s">
        <v>32</v>
      </c>
      <c r="AD311" s="2" t="str">
        <f t="shared" ref="AD311" si="357">IF(NOT(ISBLANK(AE311)),"_","")</f>
        <v>_</v>
      </c>
      <c r="AE311" s="2" t="s">
        <v>13</v>
      </c>
      <c r="AF311" s="2" t="str">
        <f t="shared" ref="AF311" si="358">IF(NOT(ISBLANK(AG311)),"_","")</f>
        <v>_</v>
      </c>
      <c r="AG311" s="2" t="s">
        <v>265</v>
      </c>
      <c r="AH311" s="2" t="str">
        <f t="shared" si="313"/>
        <v/>
      </c>
      <c r="AI311" s="2"/>
    </row>
    <row r="312" spans="1:35" x14ac:dyDescent="0.25">
      <c r="B312" s="2" t="str">
        <f t="shared" si="348"/>
        <v>@color-minor_line_unpaved</v>
      </c>
      <c r="C312" s="148" t="s">
        <v>224</v>
      </c>
      <c r="D312" s="38" t="str">
        <f t="shared" ref="D312:D313" si="359">C312</f>
        <v>"#eddfca"</v>
      </c>
      <c r="I312" s="149" t="str">
        <f>C312</f>
        <v>"#eddfca"</v>
      </c>
      <c r="J312" s="38" t="str">
        <f t="shared" ref="J312:J313" si="360">C312</f>
        <v>"#eddfca"</v>
      </c>
      <c r="U312" s="44"/>
      <c r="V312" s="44"/>
      <c r="X312" s="44"/>
      <c r="Y312" s="44"/>
      <c r="AA312" s="2" t="s">
        <v>6</v>
      </c>
      <c r="AB312" s="2" t="str">
        <f t="shared" si="295"/>
        <v>-</v>
      </c>
      <c r="AC312" s="2" t="s">
        <v>32</v>
      </c>
      <c r="AD312" s="2" t="str">
        <f t="shared" si="302"/>
        <v>_</v>
      </c>
      <c r="AE312" s="2" t="s">
        <v>13</v>
      </c>
      <c r="AF312" s="2" t="str">
        <f t="shared" si="303"/>
        <v>_</v>
      </c>
      <c r="AG312" s="2" t="s">
        <v>22</v>
      </c>
      <c r="AH312" s="2" t="str">
        <f t="shared" si="313"/>
        <v/>
      </c>
      <c r="AI312" s="2"/>
    </row>
    <row r="313" spans="1:35" x14ac:dyDescent="0.25">
      <c r="B313" s="2" t="str">
        <f t="shared" si="348"/>
        <v>@color-minor_line_paved_or_uk</v>
      </c>
      <c r="C313" s="71" t="s">
        <v>225</v>
      </c>
      <c r="D313" s="38" t="str">
        <f t="shared" si="359"/>
        <v>"#ffffff"</v>
      </c>
      <c r="I313" s="38" t="str">
        <f>C313</f>
        <v>"#ffffff"</v>
      </c>
      <c r="J313" s="38" t="str">
        <f t="shared" si="360"/>
        <v>"#ffffff"</v>
      </c>
      <c r="U313" s="44"/>
      <c r="V313" s="44"/>
      <c r="X313" s="44"/>
      <c r="Y313" s="44"/>
      <c r="AA313" s="2" t="s">
        <v>6</v>
      </c>
      <c r="AB313" s="2" t="str">
        <f t="shared" si="295"/>
        <v>-</v>
      </c>
      <c r="AC313" s="2" t="s">
        <v>32</v>
      </c>
      <c r="AD313" s="2" t="str">
        <f t="shared" si="302"/>
        <v>_</v>
      </c>
      <c r="AE313" s="2" t="s">
        <v>13</v>
      </c>
      <c r="AF313" s="2" t="str">
        <f t="shared" si="303"/>
        <v>_</v>
      </c>
      <c r="AG313" s="2" t="s">
        <v>25</v>
      </c>
      <c r="AH313" s="2" t="str">
        <f t="shared" si="313"/>
        <v/>
      </c>
      <c r="AI313" s="2"/>
    </row>
    <row r="314" spans="1:35" x14ac:dyDescent="0.25">
      <c r="B314" s="2"/>
      <c r="AB314" s="28" t="str">
        <f t="shared" si="295"/>
        <v/>
      </c>
      <c r="AD314" s="28" t="str">
        <f t="shared" si="302"/>
        <v/>
      </c>
      <c r="AF314" s="28" t="str">
        <f t="shared" si="303"/>
        <v/>
      </c>
      <c r="AH314" s="28" t="str">
        <f t="shared" si="313"/>
        <v/>
      </c>
    </row>
    <row r="315" spans="1:35" s="2" customFormat="1" x14ac:dyDescent="0.25">
      <c r="A315" s="3" t="s">
        <v>227</v>
      </c>
      <c r="B315" s="3"/>
      <c r="C315" s="27"/>
      <c r="D315" s="6"/>
      <c r="E315" s="7"/>
      <c r="F315" s="6"/>
      <c r="G315" s="6"/>
      <c r="H315" s="7"/>
      <c r="I315" s="6"/>
      <c r="J315" s="6"/>
      <c r="K315" s="7"/>
      <c r="L315" s="6"/>
      <c r="M315" s="6"/>
      <c r="N315" s="7"/>
      <c r="O315" s="6"/>
      <c r="P315" s="6"/>
      <c r="Q315" s="7"/>
      <c r="R315" s="6"/>
      <c r="S315" s="6"/>
      <c r="T315" s="7"/>
      <c r="U315" s="6"/>
      <c r="V315" s="6"/>
      <c r="W315" s="7"/>
      <c r="X315" s="6"/>
      <c r="Y315" s="6"/>
      <c r="AA315" s="4"/>
      <c r="AB315" s="4" t="str">
        <f t="shared" si="295"/>
        <v/>
      </c>
      <c r="AC315" s="4"/>
      <c r="AD315" s="4" t="str">
        <f t="shared" si="302"/>
        <v/>
      </c>
      <c r="AE315" s="4"/>
      <c r="AF315" s="4" t="str">
        <f t="shared" si="303"/>
        <v/>
      </c>
      <c r="AG315" s="4"/>
      <c r="AH315" s="4" t="str">
        <f t="shared" si="313"/>
        <v/>
      </c>
      <c r="AI315" s="4"/>
    </row>
    <row r="316" spans="1:35" x14ac:dyDescent="0.25">
      <c r="B316" s="2" t="str">
        <f t="shared" ref="B316:B340" si="361">_xlfn.CONCAT("@",AA316,AB316,AC316,AD316,AE316,AF316,AG316,AH316,AI316)</f>
        <v>@color-motorway_link_line</v>
      </c>
      <c r="C316" s="135" t="s">
        <v>214</v>
      </c>
      <c r="D316" s="136" t="s">
        <v>216</v>
      </c>
      <c r="AA316" s="2" t="s">
        <v>6</v>
      </c>
      <c r="AB316" s="2" t="str">
        <f t="shared" si="295"/>
        <v>-</v>
      </c>
      <c r="AC316" s="2" t="s">
        <v>34</v>
      </c>
      <c r="AD316" s="2" t="str">
        <f t="shared" si="302"/>
        <v>_</v>
      </c>
      <c r="AE316" s="2" t="s">
        <v>13</v>
      </c>
      <c r="AF316" s="2" t="str">
        <f t="shared" si="303"/>
        <v/>
      </c>
      <c r="AG316" s="2"/>
      <c r="AH316" s="2" t="str">
        <f t="shared" si="313"/>
        <v/>
      </c>
      <c r="AI316" s="2"/>
    </row>
    <row r="317" spans="1:35" x14ac:dyDescent="0.25">
      <c r="B317" s="2" t="str">
        <f t="shared" si="361"/>
        <v>@color-motorway_link_case</v>
      </c>
      <c r="C317" s="132" t="s">
        <v>213</v>
      </c>
      <c r="D317" s="163" t="s">
        <v>18</v>
      </c>
      <c r="F317" s="72" t="s">
        <v>215</v>
      </c>
      <c r="G317" s="72" t="s">
        <v>215</v>
      </c>
      <c r="AA317" s="2" t="s">
        <v>6</v>
      </c>
      <c r="AB317" s="2" t="str">
        <f t="shared" si="295"/>
        <v>-</v>
      </c>
      <c r="AC317" s="2" t="s">
        <v>34</v>
      </c>
      <c r="AD317" s="2" t="str">
        <f t="shared" si="302"/>
        <v>_</v>
      </c>
      <c r="AE317" s="2" t="s">
        <v>17</v>
      </c>
      <c r="AF317" s="2" t="str">
        <f t="shared" si="303"/>
        <v/>
      </c>
      <c r="AG317" s="2"/>
      <c r="AH317" s="2" t="str">
        <f t="shared" si="313"/>
        <v/>
      </c>
      <c r="AI317" s="2"/>
    </row>
    <row r="318" spans="1:35" x14ac:dyDescent="0.25">
      <c r="B318" s="2" t="str">
        <f t="shared" si="361"/>
        <v>@color-trunk_primary_secondary_tertiary_link_line</v>
      </c>
      <c r="C318" s="146" t="s">
        <v>220</v>
      </c>
      <c r="D318" s="136" t="s">
        <v>216</v>
      </c>
      <c r="AA318" s="2" t="s">
        <v>6</v>
      </c>
      <c r="AB318" s="2" t="str">
        <f t="shared" si="295"/>
        <v>-</v>
      </c>
      <c r="AC318" s="2" t="s">
        <v>33</v>
      </c>
      <c r="AD318" s="2" t="str">
        <f t="shared" si="302"/>
        <v>_</v>
      </c>
      <c r="AE318" s="2" t="s">
        <v>13</v>
      </c>
      <c r="AF318" s="2" t="str">
        <f t="shared" si="303"/>
        <v/>
      </c>
      <c r="AG318" s="2"/>
      <c r="AH318" s="2" t="str">
        <f t="shared" si="313"/>
        <v/>
      </c>
      <c r="AI318" s="2"/>
    </row>
    <row r="319" spans="1:35" x14ac:dyDescent="0.25">
      <c r="B319" s="2" t="str">
        <f t="shared" si="361"/>
        <v>@color-trunk_primary_secondary_tertiary_link_line_bicycle_no</v>
      </c>
      <c r="C319" s="135" t="s">
        <v>214</v>
      </c>
      <c r="D319" s="147" t="s">
        <v>221</v>
      </c>
      <c r="AA319" s="2" t="s">
        <v>6</v>
      </c>
      <c r="AB319" s="2" t="str">
        <f t="shared" si="295"/>
        <v>-</v>
      </c>
      <c r="AC319" s="2" t="s">
        <v>33</v>
      </c>
      <c r="AD319" s="2" t="str">
        <f t="shared" si="302"/>
        <v>_</v>
      </c>
      <c r="AE319" s="2" t="s">
        <v>13</v>
      </c>
      <c r="AF319" s="2" t="str">
        <f t="shared" si="303"/>
        <v>_</v>
      </c>
      <c r="AG319" s="2" t="s">
        <v>24</v>
      </c>
      <c r="AH319" s="2" t="str">
        <f t="shared" si="313"/>
        <v/>
      </c>
      <c r="AI319" s="2"/>
    </row>
    <row r="320" spans="1:35" x14ac:dyDescent="0.25">
      <c r="B320" s="2" t="str">
        <f t="shared" si="361"/>
        <v>@color-trunk_primary_secondary_tertiary_link_line_unpaved</v>
      </c>
      <c r="I320" s="149" t="s">
        <v>224</v>
      </c>
      <c r="AA320" s="2" t="s">
        <v>6</v>
      </c>
      <c r="AB320" s="2" t="str">
        <f t="shared" si="295"/>
        <v>-</v>
      </c>
      <c r="AC320" s="2" t="s">
        <v>33</v>
      </c>
      <c r="AD320" s="2" t="str">
        <f t="shared" si="302"/>
        <v>_</v>
      </c>
      <c r="AE320" s="2" t="s">
        <v>13</v>
      </c>
      <c r="AF320" s="2" t="str">
        <f t="shared" si="303"/>
        <v>_</v>
      </c>
      <c r="AG320" s="2" t="s">
        <v>22</v>
      </c>
      <c r="AH320" s="2" t="str">
        <f t="shared" si="313"/>
        <v/>
      </c>
      <c r="AI320" s="2"/>
    </row>
    <row r="321" spans="2:35" x14ac:dyDescent="0.25">
      <c r="B321" s="2" t="str">
        <f t="shared" si="361"/>
        <v>@color-trunk_primary_secondary_tertiary_link_line_paved_or_uk</v>
      </c>
      <c r="I321" s="38" t="s">
        <v>225</v>
      </c>
      <c r="AA321" s="2" t="s">
        <v>6</v>
      </c>
      <c r="AB321" s="2" t="str">
        <f t="shared" si="295"/>
        <v>-</v>
      </c>
      <c r="AC321" s="2" t="s">
        <v>33</v>
      </c>
      <c r="AD321" s="2" t="str">
        <f t="shared" si="302"/>
        <v>_</v>
      </c>
      <c r="AE321" s="2" t="s">
        <v>13</v>
      </c>
      <c r="AF321" s="2" t="str">
        <f t="shared" si="303"/>
        <v>_</v>
      </c>
      <c r="AG321" s="2" t="s">
        <v>25</v>
      </c>
      <c r="AH321" s="2" t="str">
        <f t="shared" si="313"/>
        <v/>
      </c>
      <c r="AI321" s="2"/>
    </row>
    <row r="322" spans="2:35" x14ac:dyDescent="0.25">
      <c r="B322" s="2" t="str">
        <f t="shared" si="361"/>
        <v>@</v>
      </c>
    </row>
    <row r="323" spans="2:35" x14ac:dyDescent="0.25">
      <c r="B323" s="2" t="str">
        <f t="shared" si="361"/>
        <v>@</v>
      </c>
    </row>
    <row r="324" spans="2:35" x14ac:dyDescent="0.25">
      <c r="B324" s="2" t="str">
        <f t="shared" si="361"/>
        <v>@</v>
      </c>
    </row>
    <row r="325" spans="2:35" x14ac:dyDescent="0.25">
      <c r="B325" s="2" t="str">
        <f t="shared" si="361"/>
        <v>@</v>
      </c>
    </row>
    <row r="326" spans="2:35" x14ac:dyDescent="0.25">
      <c r="B326" s="2" t="str">
        <f t="shared" si="361"/>
        <v>@</v>
      </c>
    </row>
    <row r="327" spans="2:35" x14ac:dyDescent="0.25">
      <c r="B327" s="2" t="str">
        <f t="shared" si="361"/>
        <v>@</v>
      </c>
    </row>
    <row r="328" spans="2:35" x14ac:dyDescent="0.25">
      <c r="B328" s="2" t="str">
        <f t="shared" si="361"/>
        <v>@</v>
      </c>
    </row>
    <row r="329" spans="2:35" x14ac:dyDescent="0.25">
      <c r="B329" s="2" t="str">
        <f t="shared" si="361"/>
        <v>@</v>
      </c>
    </row>
    <row r="330" spans="2:35" x14ac:dyDescent="0.25">
      <c r="B330" s="2" t="str">
        <f t="shared" si="361"/>
        <v>@</v>
      </c>
    </row>
    <row r="331" spans="2:35" x14ac:dyDescent="0.25">
      <c r="B331" s="2" t="str">
        <f t="shared" si="361"/>
        <v>@</v>
      </c>
    </row>
    <row r="332" spans="2:35" x14ac:dyDescent="0.25">
      <c r="B332" s="2" t="str">
        <f t="shared" si="361"/>
        <v>@</v>
      </c>
    </row>
    <row r="333" spans="2:35" x14ac:dyDescent="0.25">
      <c r="B333" s="2" t="str">
        <f t="shared" si="361"/>
        <v>@</v>
      </c>
    </row>
    <row r="334" spans="2:35" x14ac:dyDescent="0.25">
      <c r="B334" s="2" t="str">
        <f t="shared" si="361"/>
        <v>@</v>
      </c>
    </row>
    <row r="335" spans="2:35" x14ac:dyDescent="0.25">
      <c r="B335" s="2" t="str">
        <f t="shared" si="361"/>
        <v>@</v>
      </c>
    </row>
    <row r="336" spans="2:35" x14ac:dyDescent="0.25">
      <c r="B336" s="2" t="str">
        <f t="shared" si="361"/>
        <v>@</v>
      </c>
    </row>
    <row r="337" spans="2:2" x14ac:dyDescent="0.25">
      <c r="B337" s="2" t="str">
        <f t="shared" si="361"/>
        <v>@</v>
      </c>
    </row>
    <row r="338" spans="2:2" x14ac:dyDescent="0.25">
      <c r="B338" s="2" t="str">
        <f t="shared" si="361"/>
        <v>@</v>
      </c>
    </row>
    <row r="339" spans="2:2" x14ac:dyDescent="0.25">
      <c r="B339" s="2" t="str">
        <f t="shared" si="361"/>
        <v>@</v>
      </c>
    </row>
    <row r="340" spans="2:2" x14ac:dyDescent="0.25">
      <c r="B340" s="2" t="str">
        <f t="shared" si="361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141</v>
      </c>
    </row>
    <row r="3" spans="1:29" x14ac:dyDescent="0.25">
      <c r="B3" s="9" t="s">
        <v>105</v>
      </c>
      <c r="C3" s="1"/>
      <c r="D3" s="5"/>
      <c r="E3" s="8" t="s">
        <v>106</v>
      </c>
      <c r="F3" s="1"/>
      <c r="G3" s="10"/>
      <c r="H3" s="9" t="s">
        <v>23</v>
      </c>
      <c r="I3" s="1"/>
      <c r="J3" s="5"/>
      <c r="K3" s="8" t="s">
        <v>107</v>
      </c>
      <c r="L3" s="1"/>
      <c r="M3" s="10"/>
      <c r="N3" s="9" t="s">
        <v>108</v>
      </c>
      <c r="O3" s="1"/>
      <c r="P3" s="5"/>
      <c r="Q3" s="8" t="s">
        <v>109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74</v>
      </c>
      <c r="AB4" s="1"/>
      <c r="AC4" s="1" t="s">
        <v>70</v>
      </c>
    </row>
    <row r="5" spans="1:29" x14ac:dyDescent="0.25">
      <c r="A5" s="3" t="s">
        <v>118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81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86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96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96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79</v>
      </c>
      <c r="V6" s="2" t="str">
        <f t="shared" ref="V6:V20" si="2">IF(NOT(ISBLANK(W6)),"-","")</f>
        <v>-</v>
      </c>
      <c r="W6" s="1" t="s">
        <v>72</v>
      </c>
      <c r="X6" s="2" t="str">
        <f>IF(NOT(ISBLANK(Y6)),"_","")</f>
        <v>_</v>
      </c>
      <c r="Y6" s="1" t="s">
        <v>73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71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111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113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116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123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79</v>
      </c>
      <c r="V7" s="2" t="str">
        <f t="shared" si="2"/>
        <v>-</v>
      </c>
      <c r="W7" s="1" t="s">
        <v>72</v>
      </c>
      <c r="X7" s="2" t="str">
        <f t="shared" ref="X7:X19" si="15">IF(NOT(ISBLANK(Y7)),"_","")</f>
        <v>_</v>
      </c>
      <c r="Y7" s="1" t="s">
        <v>73</v>
      </c>
      <c r="Z7" s="2" t="str">
        <f t="shared" si="3"/>
        <v/>
      </c>
      <c r="AB7" s="2" t="str">
        <f t="shared" si="4"/>
        <v>-</v>
      </c>
      <c r="AC7" s="1" t="s">
        <v>110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82</v>
      </c>
      <c r="E8" s="15" t="str">
        <f t="shared" si="7"/>
        <v>@case_width-path_narrow-z14-(mtb-hc)</v>
      </c>
      <c r="F8" s="7" t="str">
        <f t="shared" si="0"/>
        <v>2.5</v>
      </c>
      <c r="G8" s="10" t="s">
        <v>91</v>
      </c>
      <c r="H8" s="14" t="str">
        <f t="shared" si="8"/>
        <v>@case_width-path_narrow-z14-(gr)</v>
      </c>
      <c r="I8" s="7" t="str">
        <f t="shared" si="9"/>
        <v>1.0</v>
      </c>
      <c r="J8" s="5" t="s">
        <v>81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81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79</v>
      </c>
      <c r="V8" s="2" t="str">
        <f t="shared" si="2"/>
        <v>-</v>
      </c>
      <c r="W8" s="1" t="s">
        <v>72</v>
      </c>
      <c r="X8" s="2" t="str">
        <f t="shared" si="15"/>
        <v>_</v>
      </c>
      <c r="Y8" s="1" t="s">
        <v>73</v>
      </c>
      <c r="Z8" s="2" t="str">
        <f t="shared" si="3"/>
        <v/>
      </c>
      <c r="AB8" s="2" t="str">
        <f t="shared" si="4"/>
        <v>-</v>
      </c>
      <c r="AC8" s="1" t="s">
        <v>75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83</v>
      </c>
      <c r="E9" s="15" t="str">
        <f t="shared" si="7"/>
        <v>@case_width-path_narrow-z16-(mtb-hc)</v>
      </c>
      <c r="F9" s="7" t="str">
        <f t="shared" si="0"/>
        <v>3.0</v>
      </c>
      <c r="G9" s="10" t="s">
        <v>89</v>
      </c>
      <c r="H9" s="14" t="str">
        <f t="shared" si="8"/>
        <v>@case_width-path_narrow-z16-(gr)</v>
      </c>
      <c r="I9" s="7" t="str">
        <f t="shared" si="9"/>
        <v>1.0</v>
      </c>
      <c r="J9" s="5" t="s">
        <v>81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124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79</v>
      </c>
      <c r="V9" s="2" t="str">
        <f t="shared" si="2"/>
        <v>-</v>
      </c>
      <c r="W9" s="1" t="s">
        <v>72</v>
      </c>
      <c r="X9" s="2" t="str">
        <f t="shared" si="15"/>
        <v>_</v>
      </c>
      <c r="Y9" s="1" t="s">
        <v>73</v>
      </c>
      <c r="Z9" s="2" t="str">
        <f t="shared" si="3"/>
        <v/>
      </c>
      <c r="AB9" s="2" t="str">
        <f t="shared" si="4"/>
        <v>-</v>
      </c>
      <c r="AC9" s="1" t="s">
        <v>76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84</v>
      </c>
      <c r="E10" s="15" t="str">
        <f t="shared" si="7"/>
        <v>@case_width-path_narrow-z18-(mtb-hc)</v>
      </c>
      <c r="F10" s="7" t="str">
        <f t="shared" si="0"/>
        <v>7.5</v>
      </c>
      <c r="G10" s="10" t="s">
        <v>92</v>
      </c>
      <c r="H10" s="14" t="str">
        <f t="shared" si="8"/>
        <v>@case_width-path_narrow-z18-(gr)</v>
      </c>
      <c r="I10" s="7" t="str">
        <f t="shared" si="9"/>
        <v>1.5</v>
      </c>
      <c r="J10" s="5" t="s">
        <v>85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100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79</v>
      </c>
      <c r="V10" s="2" t="str">
        <f t="shared" si="2"/>
        <v>-</v>
      </c>
      <c r="W10" s="1" t="s">
        <v>72</v>
      </c>
      <c r="X10" s="2" t="str">
        <f t="shared" si="15"/>
        <v>_</v>
      </c>
      <c r="Y10" s="1" t="s">
        <v>73</v>
      </c>
      <c r="Z10" s="2" t="str">
        <f t="shared" si="3"/>
        <v/>
      </c>
      <c r="AB10" s="2" t="str">
        <f t="shared" si="4"/>
        <v>-</v>
      </c>
      <c r="AC10" s="1" t="s">
        <v>77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85</v>
      </c>
      <c r="E11" s="15" t="str">
        <f t="shared" si="7"/>
        <v>@case_width-path_medium-z11-(mtb-hc)</v>
      </c>
      <c r="F11" s="7" t="str">
        <f t="shared" si="0"/>
        <v>3.0</v>
      </c>
      <c r="G11" s="10" t="s">
        <v>89</v>
      </c>
      <c r="H11" s="14" t="str">
        <f t="shared" si="8"/>
        <v>@case_width-path_medium-z11-(gr)</v>
      </c>
      <c r="I11" s="7" t="str">
        <f t="shared" si="9"/>
        <v>0.8</v>
      </c>
      <c r="J11" s="5" t="s">
        <v>97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96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79</v>
      </c>
      <c r="V11" s="2" t="str">
        <f t="shared" si="2"/>
        <v>-</v>
      </c>
      <c r="W11" s="1" t="s">
        <v>72</v>
      </c>
      <c r="X11" s="2" t="str">
        <f t="shared" si="15"/>
        <v>_</v>
      </c>
      <c r="Y11" s="1" t="s">
        <v>80</v>
      </c>
      <c r="Z11" s="2" t="str">
        <f t="shared" si="3"/>
        <v/>
      </c>
      <c r="AB11" s="2" t="str">
        <f t="shared" si="4"/>
        <v>-</v>
      </c>
      <c r="AC11" s="1" t="s">
        <v>71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112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115</v>
      </c>
      <c r="H12" s="14" t="str">
        <f t="shared" si="8"/>
        <v>@case_width-path_medium-z12-(gr)</v>
      </c>
      <c r="I12" s="7" t="str">
        <f t="shared" si="9"/>
        <v>0.9</v>
      </c>
      <c r="J12" s="5" t="s">
        <v>117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123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79</v>
      </c>
      <c r="V12" s="2" t="str">
        <f t="shared" si="2"/>
        <v>-</v>
      </c>
      <c r="W12" s="1" t="s">
        <v>72</v>
      </c>
      <c r="X12" s="2" t="str">
        <f t="shared" si="15"/>
        <v>_</v>
      </c>
      <c r="Y12" s="1" t="s">
        <v>80</v>
      </c>
      <c r="Z12" s="2" t="str">
        <f t="shared" si="3"/>
        <v/>
      </c>
      <c r="AB12" s="2" t="str">
        <f t="shared" si="4"/>
        <v>-</v>
      </c>
      <c r="AC12" s="1" t="s">
        <v>110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86</v>
      </c>
      <c r="E13" s="15" t="str">
        <f t="shared" si="7"/>
        <v>@case_width-path_medium-z14-(mtb-hc)</v>
      </c>
      <c r="F13" s="7" t="str">
        <f t="shared" si="0"/>
        <v>4.0</v>
      </c>
      <c r="G13" s="10" t="s">
        <v>93</v>
      </c>
      <c r="H13" s="14" t="str">
        <f t="shared" si="8"/>
        <v>@case_width-path_medium-z14-(gr)</v>
      </c>
      <c r="I13" s="7" t="str">
        <f t="shared" si="9"/>
        <v>1.2</v>
      </c>
      <c r="J13" s="5" t="s">
        <v>98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81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79</v>
      </c>
      <c r="V13" s="2" t="str">
        <f t="shared" si="2"/>
        <v>-</v>
      </c>
      <c r="W13" s="1" t="s">
        <v>72</v>
      </c>
      <c r="X13" s="2" t="str">
        <f t="shared" si="15"/>
        <v>_</v>
      </c>
      <c r="Y13" s="1" t="s">
        <v>80</v>
      </c>
      <c r="Z13" s="2" t="str">
        <f t="shared" si="3"/>
        <v/>
      </c>
      <c r="AB13" s="2" t="str">
        <f t="shared" si="4"/>
        <v>-</v>
      </c>
      <c r="AC13" s="1" t="s">
        <v>75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87</v>
      </c>
      <c r="E14" s="15" t="str">
        <f t="shared" si="7"/>
        <v>@case_width-path_medium-z16-(mtb-hc)</v>
      </c>
      <c r="F14" s="7" t="str">
        <f t="shared" si="0"/>
        <v>6.0</v>
      </c>
      <c r="G14" s="10" t="s">
        <v>87</v>
      </c>
      <c r="H14" s="14" t="str">
        <f t="shared" si="8"/>
        <v>@case_width-path_medium-z16-(gr)</v>
      </c>
      <c r="I14" s="7" t="str">
        <f t="shared" si="9"/>
        <v>1.6</v>
      </c>
      <c r="J14" s="5" t="s">
        <v>99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124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79</v>
      </c>
      <c r="V14" s="2" t="str">
        <f t="shared" si="2"/>
        <v>-</v>
      </c>
      <c r="W14" s="1" t="s">
        <v>72</v>
      </c>
      <c r="X14" s="2" t="str">
        <f t="shared" si="15"/>
        <v>_</v>
      </c>
      <c r="Y14" s="1" t="s">
        <v>80</v>
      </c>
      <c r="Z14" s="2" t="str">
        <f t="shared" si="3"/>
        <v/>
      </c>
      <c r="AB14" s="2" t="str">
        <f t="shared" si="4"/>
        <v>-</v>
      </c>
      <c r="AC14" s="1" t="s">
        <v>76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88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94</v>
      </c>
      <c r="H15" s="14" t="str">
        <f t="shared" si="8"/>
        <v>@case_width-path_medium-z18-(gr)</v>
      </c>
      <c r="I15" s="7" t="str">
        <f t="shared" si="9"/>
        <v>2.4</v>
      </c>
      <c r="J15" s="5" t="s">
        <v>100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100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79</v>
      </c>
      <c r="V15" s="2" t="str">
        <f t="shared" si="2"/>
        <v>-</v>
      </c>
      <c r="W15" s="1" t="s">
        <v>72</v>
      </c>
      <c r="X15" s="2" t="str">
        <f t="shared" si="15"/>
        <v>_</v>
      </c>
      <c r="Y15" s="1" t="s">
        <v>80</v>
      </c>
      <c r="Z15" s="2" t="str">
        <f t="shared" si="3"/>
        <v/>
      </c>
      <c r="AB15" s="2" t="str">
        <f t="shared" si="4"/>
        <v>-</v>
      </c>
      <c r="AC15" s="1" t="s">
        <v>77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86</v>
      </c>
      <c r="E16" s="15" t="str">
        <f t="shared" si="7"/>
        <v>@case_width-path_wide-z11-(mtb-hc)</v>
      </c>
      <c r="F16" s="7" t="str">
        <f t="shared" si="0"/>
        <v>4.0</v>
      </c>
      <c r="G16" s="10" t="s">
        <v>93</v>
      </c>
      <c r="H16" s="14" t="str">
        <f t="shared" si="8"/>
        <v>@case_width-path_wide-z11-(gr)</v>
      </c>
      <c r="I16" s="7" t="str">
        <f t="shared" si="9"/>
        <v>1.5</v>
      </c>
      <c r="J16" s="5" t="s">
        <v>85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96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79</v>
      </c>
      <c r="V16" s="2" t="str">
        <f t="shared" si="2"/>
        <v>-</v>
      </c>
      <c r="W16" s="1" t="s">
        <v>72</v>
      </c>
      <c r="X16" s="2" t="str">
        <f t="shared" si="15"/>
        <v>_</v>
      </c>
      <c r="Y16" s="1" t="s">
        <v>78</v>
      </c>
      <c r="Z16" s="2" t="str">
        <f t="shared" si="3"/>
        <v/>
      </c>
      <c r="AB16" s="2" t="str">
        <f t="shared" si="4"/>
        <v>-</v>
      </c>
      <c r="AC16" s="1" t="s">
        <v>71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100</v>
      </c>
      <c r="E17" s="15" t="str">
        <f t="shared" si="7"/>
        <v>@case_width-path_wide-z12-(mtb-hc)</v>
      </c>
      <c r="F17" s="7" t="str">
        <f t="shared" si="0"/>
        <v>4.8</v>
      </c>
      <c r="G17" s="10" t="s">
        <v>114</v>
      </c>
      <c r="H17" s="14" t="str">
        <f t="shared" si="8"/>
        <v>@case_width-path_wide-z12-(gr)</v>
      </c>
      <c r="I17" s="7" t="str">
        <f t="shared" si="9"/>
        <v>1.5</v>
      </c>
      <c r="J17" s="5" t="s">
        <v>85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123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79</v>
      </c>
      <c r="V17" s="2" t="str">
        <f t="shared" si="2"/>
        <v>-</v>
      </c>
      <c r="W17" s="1" t="s">
        <v>72</v>
      </c>
      <c r="X17" s="2" t="str">
        <f t="shared" si="15"/>
        <v>_</v>
      </c>
      <c r="Y17" s="1" t="s">
        <v>78</v>
      </c>
      <c r="Z17" s="2" t="str">
        <f t="shared" si="3"/>
        <v/>
      </c>
      <c r="AB17" s="2" t="str">
        <f t="shared" si="4"/>
        <v>-</v>
      </c>
      <c r="AC17" s="1" t="s">
        <v>110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89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87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99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81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79</v>
      </c>
      <c r="V18" s="2" t="str">
        <f t="shared" si="2"/>
        <v>-</v>
      </c>
      <c r="W18" s="1" t="s">
        <v>72</v>
      </c>
      <c r="X18" s="2" t="str">
        <f t="shared" si="15"/>
        <v>_</v>
      </c>
      <c r="Y18" s="1" t="s">
        <v>78</v>
      </c>
      <c r="Z18" s="2" t="str">
        <f t="shared" si="3"/>
        <v/>
      </c>
      <c r="AB18" s="2" t="str">
        <f t="shared" si="4"/>
        <v>-</v>
      </c>
      <c r="AC18" s="1" t="s">
        <v>75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88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88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100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124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79</v>
      </c>
      <c r="V19" s="2" t="str">
        <f t="shared" si="2"/>
        <v>-</v>
      </c>
      <c r="W19" s="1" t="s">
        <v>72</v>
      </c>
      <c r="X19" s="2" t="str">
        <f t="shared" si="15"/>
        <v>_</v>
      </c>
      <c r="Y19" s="1" t="s">
        <v>78</v>
      </c>
      <c r="Z19" s="2" t="str">
        <f t="shared" si="3"/>
        <v/>
      </c>
      <c r="AB19" s="2" t="str">
        <f t="shared" si="4"/>
        <v>-</v>
      </c>
      <c r="AC19" s="1" t="s">
        <v>76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90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95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101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100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79</v>
      </c>
      <c r="V20" s="2" t="str">
        <f t="shared" si="2"/>
        <v>-</v>
      </c>
      <c r="W20" s="1" t="s">
        <v>72</v>
      </c>
      <c r="X20" s="2" t="str">
        <f t="shared" ref="X20" si="20">IF(NOT(ISBLANK(Y20)),"_","")</f>
        <v>_</v>
      </c>
      <c r="Y20" s="1" t="s">
        <v>78</v>
      </c>
      <c r="Z20" s="2" t="str">
        <f t="shared" si="3"/>
        <v/>
      </c>
      <c r="AB20" s="2" t="str">
        <f t="shared" si="4"/>
        <v>-</v>
      </c>
      <c r="AC20" s="1" t="s">
        <v>77</v>
      </c>
    </row>
    <row r="21" spans="1:29" x14ac:dyDescent="0.25">
      <c r="A21" s="3" t="s">
        <v>119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125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96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125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96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120</v>
      </c>
      <c r="V22" s="2" t="str">
        <f t="shared" ref="V22:V36" si="24">IF(NOT(ISBLANK(W22)),"-","")</f>
        <v>-</v>
      </c>
      <c r="W22" s="1" t="s">
        <v>72</v>
      </c>
      <c r="X22" s="2" t="str">
        <f>IF(NOT(ISBLANK(Y22)),"_","")</f>
        <v>_</v>
      </c>
      <c r="Y22" s="1" t="s">
        <v>73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71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121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123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121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123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120</v>
      </c>
      <c r="V23" s="2" t="str">
        <f t="shared" si="24"/>
        <v>-</v>
      </c>
      <c r="W23" s="1" t="s">
        <v>72</v>
      </c>
      <c r="X23" s="2" t="str">
        <f t="shared" ref="X23:X36" si="37">IF(NOT(ISBLANK(Y23)),"_","")</f>
        <v>_</v>
      </c>
      <c r="Y23" s="1" t="s">
        <v>73</v>
      </c>
      <c r="Z23" s="2" t="str">
        <f t="shared" si="25"/>
        <v/>
      </c>
      <c r="AB23" s="2" t="str">
        <f t="shared" si="26"/>
        <v>-</v>
      </c>
      <c r="AC23" s="1" t="s">
        <v>110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116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98</v>
      </c>
      <c r="H24" s="14" t="str">
        <f t="shared" si="30"/>
        <v>@line_width-path_narrow-z14-(gr)</v>
      </c>
      <c r="I24" s="7" t="str">
        <f t="shared" si="31"/>
        <v>0.5</v>
      </c>
      <c r="J24" s="5" t="s">
        <v>96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81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120</v>
      </c>
      <c r="V24" s="2" t="str">
        <f t="shared" si="24"/>
        <v>-</v>
      </c>
      <c r="W24" s="1" t="s">
        <v>72</v>
      </c>
      <c r="X24" s="2" t="str">
        <f t="shared" si="37"/>
        <v>_</v>
      </c>
      <c r="Y24" s="1" t="s">
        <v>73</v>
      </c>
      <c r="Z24" s="2" t="str">
        <f t="shared" si="25"/>
        <v/>
      </c>
      <c r="AB24" s="2" t="str">
        <f t="shared" si="26"/>
        <v>-</v>
      </c>
      <c r="AC24" s="1" t="s">
        <v>75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98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85</v>
      </c>
      <c r="H25" s="14" t="str">
        <f t="shared" si="30"/>
        <v>@line_width-path_narrow-z16-(gr)</v>
      </c>
      <c r="I25" s="7" t="str">
        <f t="shared" si="31"/>
        <v>1.0</v>
      </c>
      <c r="J25" s="5" t="s">
        <v>81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124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120</v>
      </c>
      <c r="V25" s="2" t="str">
        <f t="shared" si="24"/>
        <v>-</v>
      </c>
      <c r="W25" s="1" t="s">
        <v>72</v>
      </c>
      <c r="X25" s="2" t="str">
        <f t="shared" si="37"/>
        <v>_</v>
      </c>
      <c r="Y25" s="1" t="s">
        <v>73</v>
      </c>
      <c r="Z25" s="2" t="str">
        <f t="shared" si="25"/>
        <v/>
      </c>
      <c r="AB25" s="2" t="str">
        <f t="shared" si="26"/>
        <v>-</v>
      </c>
      <c r="AC25" s="1" t="s">
        <v>76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122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89</v>
      </c>
      <c r="H26" s="14" t="str">
        <f t="shared" si="30"/>
        <v>@line_width-path_narrow-z18-(gr)</v>
      </c>
      <c r="I26" s="7" t="str">
        <f t="shared" si="31"/>
        <v>1.0</v>
      </c>
      <c r="J26" s="5" t="s">
        <v>81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100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120</v>
      </c>
      <c r="V26" s="2" t="str">
        <f t="shared" si="24"/>
        <v>-</v>
      </c>
      <c r="W26" s="1" t="s">
        <v>72</v>
      </c>
      <c r="X26" s="2" t="str">
        <f t="shared" si="37"/>
        <v>_</v>
      </c>
      <c r="Y26" s="1" t="s">
        <v>73</v>
      </c>
      <c r="Z26" s="2" t="str">
        <f t="shared" si="25"/>
        <v/>
      </c>
      <c r="AB26" s="2" t="str">
        <f t="shared" si="26"/>
        <v>-</v>
      </c>
      <c r="AC26" s="1" t="s">
        <v>77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96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116</v>
      </c>
      <c r="H27" s="14" t="str">
        <f t="shared" si="30"/>
        <v>@line_width-path_medium-z11-(gr)</v>
      </c>
      <c r="I27" s="7" t="str">
        <f t="shared" si="31"/>
        <v>0.5</v>
      </c>
      <c r="J27" s="5" t="s">
        <v>96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120</v>
      </c>
      <c r="V27" s="2" t="str">
        <f t="shared" si="24"/>
        <v>-</v>
      </c>
      <c r="W27" s="1" t="s">
        <v>72</v>
      </c>
      <c r="X27" s="2" t="str">
        <f t="shared" si="37"/>
        <v>_</v>
      </c>
      <c r="Y27" s="1" t="s">
        <v>80</v>
      </c>
      <c r="Z27" s="2" t="str">
        <f t="shared" si="25"/>
        <v/>
      </c>
      <c r="AB27" s="2" t="str">
        <f t="shared" si="26"/>
        <v>-</v>
      </c>
      <c r="AC27" s="1" t="s">
        <v>71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123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117</v>
      </c>
      <c r="H28" s="14" t="str">
        <f t="shared" si="30"/>
        <v>@line_width-path_medium-z12-(gr)</v>
      </c>
      <c r="I28" s="7" t="str">
        <f t="shared" si="31"/>
        <v>0.6</v>
      </c>
      <c r="J28" s="5" t="s">
        <v>123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120</v>
      </c>
      <c r="V28" s="2" t="str">
        <f t="shared" si="24"/>
        <v>-</v>
      </c>
      <c r="W28" s="1" t="s">
        <v>72</v>
      </c>
      <c r="X28" s="2" t="str">
        <f t="shared" si="37"/>
        <v>_</v>
      </c>
      <c r="Y28" s="1" t="s">
        <v>80</v>
      </c>
      <c r="Z28" s="2" t="str">
        <f t="shared" si="25"/>
        <v/>
      </c>
      <c r="AB28" s="2" t="str">
        <f t="shared" si="26"/>
        <v>-</v>
      </c>
      <c r="AC28" s="1" t="s">
        <v>110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81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85</v>
      </c>
      <c r="H29" s="14" t="str">
        <f t="shared" si="30"/>
        <v>@line_width-path_medium-z14-(gr)</v>
      </c>
      <c r="I29" s="7" t="str">
        <f t="shared" si="31"/>
        <v>0.8</v>
      </c>
      <c r="J29" s="5" t="s">
        <v>97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120</v>
      </c>
      <c r="V29" s="2" t="str">
        <f t="shared" si="24"/>
        <v>-</v>
      </c>
      <c r="W29" s="1" t="s">
        <v>72</v>
      </c>
      <c r="X29" s="2" t="str">
        <f t="shared" si="37"/>
        <v>_</v>
      </c>
      <c r="Y29" s="1" t="s">
        <v>80</v>
      </c>
      <c r="Z29" s="2" t="str">
        <f t="shared" si="25"/>
        <v/>
      </c>
      <c r="AB29" s="2" t="str">
        <f t="shared" si="26"/>
        <v>-</v>
      </c>
      <c r="AC29" s="1" t="s">
        <v>75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124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127</v>
      </c>
      <c r="H30" s="14" t="str">
        <f t="shared" si="30"/>
        <v>@line_width-path_medium-z16-(gr)</v>
      </c>
      <c r="I30" s="7" t="str">
        <f t="shared" si="31"/>
        <v>1.2</v>
      </c>
      <c r="J30" s="5" t="s">
        <v>98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120</v>
      </c>
      <c r="V30" s="2" t="str">
        <f t="shared" si="24"/>
        <v>-</v>
      </c>
      <c r="W30" s="1" t="s">
        <v>72</v>
      </c>
      <c r="X30" s="2" t="str">
        <f t="shared" si="37"/>
        <v>_</v>
      </c>
      <c r="Y30" s="1" t="s">
        <v>80</v>
      </c>
      <c r="Z30" s="2" t="str">
        <f t="shared" si="25"/>
        <v/>
      </c>
      <c r="AB30" s="2" t="str">
        <f t="shared" si="26"/>
        <v>-</v>
      </c>
      <c r="AC30" s="1" t="s">
        <v>76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83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128</v>
      </c>
      <c r="H31" s="14" t="str">
        <f t="shared" si="30"/>
        <v>@line_width-path_medium-z18-(gr)</v>
      </c>
      <c r="I31" s="7" t="str">
        <f t="shared" si="31"/>
        <v>1.6</v>
      </c>
      <c r="J31" s="5" t="s">
        <v>99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120</v>
      </c>
      <c r="V31" s="2" t="str">
        <f t="shared" si="24"/>
        <v>-</v>
      </c>
      <c r="W31" s="1" t="s">
        <v>72</v>
      </c>
      <c r="X31" s="2" t="str">
        <f t="shared" si="37"/>
        <v>_</v>
      </c>
      <c r="Y31" s="1" t="s">
        <v>80</v>
      </c>
      <c r="Z31" s="2" t="str">
        <f t="shared" si="25"/>
        <v/>
      </c>
      <c r="AB31" s="2" t="str">
        <f t="shared" si="26"/>
        <v>-</v>
      </c>
      <c r="AC31" s="1" t="s">
        <v>77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116</v>
      </c>
      <c r="E32" s="15" t="str">
        <f t="shared" si="29"/>
        <v>@line_width-path_wide-z11-(mtb-hc)</v>
      </c>
      <c r="F32" s="7" t="str">
        <f t="shared" si="21"/>
        <v>1.5</v>
      </c>
      <c r="G32" s="10" t="s">
        <v>85</v>
      </c>
      <c r="H32" s="14" t="str">
        <f t="shared" si="30"/>
        <v>@line_width-path_wide-z11-(gr)</v>
      </c>
      <c r="I32" s="7" t="str">
        <f t="shared" si="31"/>
        <v>1.0</v>
      </c>
      <c r="J32" s="5" t="s">
        <v>81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96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120</v>
      </c>
      <c r="V32" s="2" t="str">
        <f t="shared" si="24"/>
        <v>-</v>
      </c>
      <c r="W32" s="1" t="s">
        <v>72</v>
      </c>
      <c r="X32" s="2" t="str">
        <f t="shared" si="37"/>
        <v>_</v>
      </c>
      <c r="Y32" s="1" t="s">
        <v>78</v>
      </c>
      <c r="Z32" s="2" t="str">
        <f t="shared" si="25"/>
        <v/>
      </c>
      <c r="AB32" s="2" t="str">
        <f t="shared" si="26"/>
        <v>-</v>
      </c>
      <c r="AC32" s="1" t="s">
        <v>71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81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124</v>
      </c>
      <c r="H33" s="14" t="str">
        <f t="shared" si="30"/>
        <v>@line_width-path_wide-z12-(gr)</v>
      </c>
      <c r="I33" s="7" t="str">
        <f t="shared" si="31"/>
        <v>1.2</v>
      </c>
      <c r="J33" s="5" t="s">
        <v>98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123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120</v>
      </c>
      <c r="V33" s="2" t="str">
        <f t="shared" si="24"/>
        <v>-</v>
      </c>
      <c r="W33" s="1" t="s">
        <v>72</v>
      </c>
      <c r="X33" s="2" t="str">
        <f t="shared" si="37"/>
        <v>_</v>
      </c>
      <c r="Y33" s="1" t="s">
        <v>78</v>
      </c>
      <c r="Z33" s="2" t="str">
        <f t="shared" si="25"/>
        <v/>
      </c>
      <c r="AB33" s="2" t="str">
        <f t="shared" si="26"/>
        <v>-</v>
      </c>
      <c r="AC33" s="1" t="s">
        <v>110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112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127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85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81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120</v>
      </c>
      <c r="V34" s="2" t="str">
        <f t="shared" si="24"/>
        <v>-</v>
      </c>
      <c r="W34" s="1" t="s">
        <v>72</v>
      </c>
      <c r="X34" s="2" t="str">
        <f t="shared" si="37"/>
        <v>_</v>
      </c>
      <c r="Y34" s="1" t="s">
        <v>78</v>
      </c>
      <c r="Z34" s="2" t="str">
        <f t="shared" si="25"/>
        <v/>
      </c>
      <c r="AB34" s="2" t="str">
        <f t="shared" si="26"/>
        <v>-</v>
      </c>
      <c r="AC34" s="1" t="s">
        <v>75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126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129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99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124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120</v>
      </c>
      <c r="V35" s="2" t="str">
        <f t="shared" si="24"/>
        <v>-</v>
      </c>
      <c r="W35" s="1" t="s">
        <v>72</v>
      </c>
      <c r="X35" s="2" t="str">
        <f t="shared" si="37"/>
        <v>_</v>
      </c>
      <c r="Y35" s="1" t="s">
        <v>78</v>
      </c>
      <c r="Z35" s="2" t="str">
        <f t="shared" si="25"/>
        <v/>
      </c>
      <c r="AB35" s="2" t="str">
        <f t="shared" si="26"/>
        <v>-</v>
      </c>
      <c r="AC35" s="1" t="s">
        <v>76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87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130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100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100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120</v>
      </c>
      <c r="V36" s="2" t="str">
        <f t="shared" si="24"/>
        <v>-</v>
      </c>
      <c r="W36" s="1" t="s">
        <v>72</v>
      </c>
      <c r="X36" s="2" t="str">
        <f t="shared" si="37"/>
        <v>_</v>
      </c>
      <c r="Y36" s="1" t="s">
        <v>78</v>
      </c>
      <c r="Z36" s="2" t="str">
        <f t="shared" si="25"/>
        <v/>
      </c>
      <c r="AB36" s="2" t="str">
        <f t="shared" si="26"/>
        <v>-</v>
      </c>
      <c r="AC36" s="1" t="s">
        <v>77</v>
      </c>
    </row>
    <row r="37" spans="1:29" x14ac:dyDescent="0.25">
      <c r="A37" s="3" t="s">
        <v>131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86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93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86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79</v>
      </c>
      <c r="V38" s="2" t="str">
        <f t="shared" ref="V38" si="43">IF(NOT(ISBLANK(W38)),"-","")</f>
        <v>-</v>
      </c>
      <c r="W38" s="1" t="s">
        <v>103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104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89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93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89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79</v>
      </c>
      <c r="V39" s="2" t="str">
        <f t="shared" ref="V39:V43" si="48">IF(NOT(ISBLANK(W39)),"-","")</f>
        <v>-</v>
      </c>
      <c r="W39" s="1" t="s">
        <v>103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71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132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133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132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79</v>
      </c>
      <c r="V40" s="2" t="str">
        <f t="shared" si="48"/>
        <v>-</v>
      </c>
      <c r="W40" s="1" t="s">
        <v>103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110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93</v>
      </c>
      <c r="E41" s="15" t="str">
        <f t="shared" si="53"/>
        <v>@case_width-track-z14-(mtb-hc)</v>
      </c>
      <c r="F41" s="7" t="str">
        <f t="shared" si="41"/>
        <v>6.0</v>
      </c>
      <c r="G41" s="10" t="s">
        <v>87</v>
      </c>
      <c r="H41" s="14" t="str">
        <f t="shared" si="54"/>
        <v>@case_width-track-z14-(gr)</v>
      </c>
      <c r="I41" s="7" t="str">
        <f t="shared" si="55"/>
        <v>4.0</v>
      </c>
      <c r="J41" s="5" t="s">
        <v>93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79</v>
      </c>
      <c r="V41" s="2" t="str">
        <f t="shared" si="48"/>
        <v>-</v>
      </c>
      <c r="W41" s="1" t="s">
        <v>103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75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88</v>
      </c>
      <c r="E42" s="15" t="str">
        <f t="shared" si="53"/>
        <v>@case_width-track-z16-(mtb-hc)</v>
      </c>
      <c r="F42" s="7" t="str">
        <f t="shared" si="41"/>
        <v>13.5</v>
      </c>
      <c r="G42" s="10" t="s">
        <v>94</v>
      </c>
      <c r="H42" s="14" t="str">
        <f t="shared" si="54"/>
        <v>@case_width-track-z16-(gr)</v>
      </c>
      <c r="I42" s="7" t="str">
        <f t="shared" si="55"/>
        <v>9.0</v>
      </c>
      <c r="J42" s="5" t="s">
        <v>88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79</v>
      </c>
      <c r="V42" s="2" t="str">
        <f t="shared" si="48"/>
        <v>-</v>
      </c>
      <c r="W42" s="1" t="s">
        <v>103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76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90</v>
      </c>
      <c r="E43" s="15" t="str">
        <f t="shared" si="53"/>
        <v>@case_width-track-z18-(mtb-hc)</v>
      </c>
      <c r="F43" s="7" t="str">
        <f t="shared" si="41"/>
        <v>22.5</v>
      </c>
      <c r="G43" s="10" t="s">
        <v>95</v>
      </c>
      <c r="H43" s="14" t="str">
        <f t="shared" si="54"/>
        <v>@case_width-track-z18-(gr)</v>
      </c>
      <c r="I43" s="7" t="str">
        <f t="shared" si="55"/>
        <v>15.0</v>
      </c>
      <c r="J43" s="5" t="s">
        <v>90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79</v>
      </c>
      <c r="V43" s="2" t="str">
        <f t="shared" si="48"/>
        <v>-</v>
      </c>
      <c r="W43" s="1" t="s">
        <v>103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77</v>
      </c>
    </row>
    <row r="44" spans="1:29" x14ac:dyDescent="0.25">
      <c r="A44" s="3" t="s">
        <v>134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96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82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97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120</v>
      </c>
      <c r="V45" s="2" t="str">
        <f t="shared" ref="V45" si="66">IF(NOT(ISBLANK(W45)),"-","")</f>
        <v>-</v>
      </c>
      <c r="W45" s="1" t="s">
        <v>103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104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123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85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117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120</v>
      </c>
      <c r="V46" s="2" t="str">
        <f t="shared" ref="V46:V50" si="79">IF(NOT(ISBLANK(W46)),"-","")</f>
        <v>-</v>
      </c>
      <c r="W46" s="1" t="s">
        <v>103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71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117</v>
      </c>
      <c r="E47" s="15" t="str">
        <f t="shared" si="71"/>
        <v>@line_width-track-z12-(mtb-hc)</v>
      </c>
      <c r="F47" s="7" t="str">
        <f t="shared" si="62"/>
        <v>1.7</v>
      </c>
      <c r="G47" s="10" t="s">
        <v>112</v>
      </c>
      <c r="H47" s="14" t="str">
        <f t="shared" si="72"/>
        <v>@line_width-track-z12-(gr)</v>
      </c>
      <c r="I47" s="7" t="str">
        <f t="shared" si="73"/>
        <v>1.2</v>
      </c>
      <c r="J47" s="5" t="s">
        <v>98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120</v>
      </c>
      <c r="V47" s="2" t="str">
        <f t="shared" si="79"/>
        <v>-</v>
      </c>
      <c r="W47" s="1" t="s">
        <v>103</v>
      </c>
      <c r="Y47" s="1"/>
      <c r="Z47" s="2" t="str">
        <f t="shared" si="80"/>
        <v/>
      </c>
      <c r="AB47" s="2" t="str">
        <f t="shared" si="81"/>
        <v>-</v>
      </c>
      <c r="AC47" s="1" t="s">
        <v>110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82</v>
      </c>
      <c r="E48" s="15" t="str">
        <f t="shared" si="71"/>
        <v>@line_width-track-z14-(mtb-hc)</v>
      </c>
      <c r="F48" s="7" t="str">
        <f t="shared" si="62"/>
        <v>2.0</v>
      </c>
      <c r="G48" s="10" t="s">
        <v>86</v>
      </c>
      <c r="H48" s="14" t="str">
        <f t="shared" si="72"/>
        <v>@line_width-track-z14-(gr)</v>
      </c>
      <c r="I48" s="7" t="str">
        <f t="shared" si="73"/>
        <v>1.6</v>
      </c>
      <c r="J48" s="5" t="s">
        <v>99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120</v>
      </c>
      <c r="V48" s="2" t="str">
        <f t="shared" si="79"/>
        <v>-</v>
      </c>
      <c r="W48" s="1" t="s">
        <v>103</v>
      </c>
      <c r="Y48" s="1"/>
      <c r="Z48" s="2" t="str">
        <f t="shared" si="80"/>
        <v/>
      </c>
      <c r="AB48" s="2" t="str">
        <f t="shared" si="81"/>
        <v>-</v>
      </c>
      <c r="AC48" s="1" t="s">
        <v>75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83</v>
      </c>
      <c r="E49" s="15" t="str">
        <f t="shared" si="71"/>
        <v>@line_width-track-z16-(mtb-hc)</v>
      </c>
      <c r="F49" s="7" t="str">
        <f t="shared" si="62"/>
        <v>5.2</v>
      </c>
      <c r="G49" s="10" t="s">
        <v>128</v>
      </c>
      <c r="H49" s="14" t="str">
        <f t="shared" si="72"/>
        <v>@line_width-track-z16-(gr)</v>
      </c>
      <c r="I49" s="7" t="str">
        <f t="shared" si="73"/>
        <v>4.0</v>
      </c>
      <c r="J49" s="5" t="s">
        <v>93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120</v>
      </c>
      <c r="V49" s="2" t="str">
        <f t="shared" si="79"/>
        <v>-</v>
      </c>
      <c r="W49" s="1" t="s">
        <v>103</v>
      </c>
      <c r="Y49" s="1"/>
      <c r="Z49" s="2" t="str">
        <f t="shared" si="80"/>
        <v/>
      </c>
      <c r="AB49" s="2" t="str">
        <f t="shared" si="81"/>
        <v>-</v>
      </c>
      <c r="AC49" s="1" t="s">
        <v>76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135</v>
      </c>
      <c r="E50" s="15" t="str">
        <f t="shared" si="71"/>
        <v>@line_width-track-z18-(mtb-hc)</v>
      </c>
      <c r="F50" s="7" t="str">
        <f t="shared" si="62"/>
        <v>10.5</v>
      </c>
      <c r="G50" s="10" t="s">
        <v>136</v>
      </c>
      <c r="H50" s="14" t="str">
        <f t="shared" si="72"/>
        <v>@line_width-track-z18-(gr)</v>
      </c>
      <c r="I50" s="7" t="str">
        <f t="shared" si="73"/>
        <v>5.0</v>
      </c>
      <c r="J50" s="5" t="s">
        <v>84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120</v>
      </c>
      <c r="V50" s="2" t="str">
        <f t="shared" si="79"/>
        <v>-</v>
      </c>
      <c r="W50" s="1" t="s">
        <v>103</v>
      </c>
      <c r="Y50" s="1"/>
      <c r="Z50" s="2" t="str">
        <f t="shared" si="80"/>
        <v/>
      </c>
      <c r="AB50" s="2" t="str">
        <f t="shared" si="81"/>
        <v>-</v>
      </c>
      <c r="AC50" s="1" t="s">
        <v>77</v>
      </c>
    </row>
    <row r="51" spans="1:29" x14ac:dyDescent="0.25">
      <c r="A51" s="3" t="s">
        <v>137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81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81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79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138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100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100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79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139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129</v>
      </c>
      <c r="E54" s="15" t="str">
        <f t="shared" si="89"/>
        <v>@case_width-motorway-z10-(mtb-hc)</v>
      </c>
      <c r="F54" s="7" t="str">
        <f t="shared" si="62"/>
        <v>4.5</v>
      </c>
      <c r="G54" s="10" t="s">
        <v>129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79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104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142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143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79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140</v>
      </c>
    </row>
    <row r="56" spans="1:29" x14ac:dyDescent="0.25">
      <c r="A56" s="3" t="s">
        <v>144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96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96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120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145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85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91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120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104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89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129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120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110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93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135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120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75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146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147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120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140</v>
      </c>
    </row>
    <row r="62" spans="1:29" x14ac:dyDescent="0.25">
      <c r="A62" s="3" t="s">
        <v>148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91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79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139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93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79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104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142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79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140</v>
      </c>
    </row>
    <row r="66" spans="1:29" x14ac:dyDescent="0.25">
      <c r="A66" s="3" t="s">
        <v>149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96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120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145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86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120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104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115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120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110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150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120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75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146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120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140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74</v>
      </c>
      <c r="M2" s="1"/>
      <c r="N2" s="1" t="s">
        <v>70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69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81</v>
      </c>
      <c r="F4" s="2" t="s">
        <v>79</v>
      </c>
      <c r="G4" s="2" t="str">
        <f t="shared" ref="G4" si="0">IF(NOT(ISBLANK(H4)),"-","")</f>
        <v>-</v>
      </c>
      <c r="H4" s="2" t="s">
        <v>72</v>
      </c>
      <c r="I4" s="2" t="str">
        <f>IF(NOT(ISBLANK(J4)),"_","")</f>
        <v>_</v>
      </c>
      <c r="J4" s="2" t="s">
        <v>73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71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82</v>
      </c>
      <c r="F5" s="2" t="s">
        <v>79</v>
      </c>
      <c r="G5" s="2" t="str">
        <f t="shared" ref="G5:G6" si="5">IF(NOT(ISBLANK(H5)),"-","")</f>
        <v>-</v>
      </c>
      <c r="H5" s="2" t="s">
        <v>72</v>
      </c>
      <c r="I5" s="2" t="str">
        <f t="shared" ref="I5:I28" si="6">IF(NOT(ISBLANK(J5)),"_","")</f>
        <v>_</v>
      </c>
      <c r="J5" s="2" t="s">
        <v>73</v>
      </c>
      <c r="K5" s="2" t="str">
        <f t="shared" si="1"/>
        <v/>
      </c>
      <c r="M5" s="2" t="str">
        <f t="shared" si="2"/>
        <v>-</v>
      </c>
      <c r="N5" s="2" t="s">
        <v>75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83</v>
      </c>
      <c r="F6" s="2" t="s">
        <v>79</v>
      </c>
      <c r="G6" s="2" t="str">
        <f t="shared" si="5"/>
        <v>-</v>
      </c>
      <c r="H6" s="2" t="s">
        <v>72</v>
      </c>
      <c r="I6" s="2" t="str">
        <f t="shared" si="6"/>
        <v>_</v>
      </c>
      <c r="J6" s="2" t="s">
        <v>73</v>
      </c>
      <c r="K6" s="2" t="str">
        <f t="shared" si="1"/>
        <v/>
      </c>
      <c r="M6" s="2" t="str">
        <f t="shared" si="2"/>
        <v>-</v>
      </c>
      <c r="N6" s="2" t="s">
        <v>76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84</v>
      </c>
      <c r="F7" s="2" t="s">
        <v>79</v>
      </c>
      <c r="G7" s="2" t="str">
        <f t="shared" ref="G7:G19" si="7">IF(NOT(ISBLANK(H7)),"-","")</f>
        <v>-</v>
      </c>
      <c r="H7" s="2" t="s">
        <v>72</v>
      </c>
      <c r="I7" s="2" t="str">
        <f t="shared" si="6"/>
        <v>_</v>
      </c>
      <c r="J7" s="2" t="s">
        <v>73</v>
      </c>
      <c r="K7" s="2" t="str">
        <f t="shared" si="1"/>
        <v/>
      </c>
      <c r="M7" s="2" t="str">
        <f t="shared" si="2"/>
        <v>-</v>
      </c>
      <c r="N7" s="2" t="s">
        <v>77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85</v>
      </c>
      <c r="F8" s="2" t="s">
        <v>79</v>
      </c>
      <c r="G8" s="2" t="str">
        <f t="shared" si="7"/>
        <v>-</v>
      </c>
      <c r="H8" s="2" t="s">
        <v>72</v>
      </c>
      <c r="I8" s="2" t="str">
        <f t="shared" si="6"/>
        <v>_</v>
      </c>
      <c r="J8" s="2" t="s">
        <v>80</v>
      </c>
      <c r="K8" s="2" t="str">
        <f t="shared" si="1"/>
        <v/>
      </c>
      <c r="M8" s="2" t="str">
        <f t="shared" si="2"/>
        <v>-</v>
      </c>
      <c r="N8" s="2" t="s">
        <v>71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86</v>
      </c>
      <c r="F9" s="2" t="s">
        <v>79</v>
      </c>
      <c r="G9" s="2" t="str">
        <f t="shared" si="7"/>
        <v>-</v>
      </c>
      <c r="H9" s="2" t="s">
        <v>72</v>
      </c>
      <c r="I9" s="2" t="str">
        <f t="shared" si="6"/>
        <v>_</v>
      </c>
      <c r="J9" s="2" t="s">
        <v>80</v>
      </c>
      <c r="K9" s="2" t="str">
        <f t="shared" si="1"/>
        <v/>
      </c>
      <c r="M9" s="2" t="str">
        <f t="shared" si="2"/>
        <v>-</v>
      </c>
      <c r="N9" s="2" t="s">
        <v>75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87</v>
      </c>
      <c r="F10" s="2" t="s">
        <v>79</v>
      </c>
      <c r="G10" s="2" t="str">
        <f t="shared" si="7"/>
        <v>-</v>
      </c>
      <c r="H10" s="2" t="s">
        <v>72</v>
      </c>
      <c r="I10" s="2" t="str">
        <f t="shared" si="6"/>
        <v>_</v>
      </c>
      <c r="J10" s="2" t="s">
        <v>80</v>
      </c>
      <c r="K10" s="2" t="str">
        <f t="shared" si="1"/>
        <v/>
      </c>
      <c r="M10" s="2" t="str">
        <f t="shared" si="2"/>
        <v>-</v>
      </c>
      <c r="N10" s="2" t="s">
        <v>76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88</v>
      </c>
      <c r="F11" s="2" t="s">
        <v>79</v>
      </c>
      <c r="G11" s="2" t="str">
        <f t="shared" si="7"/>
        <v>-</v>
      </c>
      <c r="H11" s="2" t="s">
        <v>72</v>
      </c>
      <c r="I11" s="2" t="str">
        <f t="shared" si="6"/>
        <v>_</v>
      </c>
      <c r="J11" s="2" t="s">
        <v>80</v>
      </c>
      <c r="K11" s="2" t="str">
        <f t="shared" si="1"/>
        <v/>
      </c>
      <c r="M11" s="2" t="str">
        <f t="shared" si="2"/>
        <v>-</v>
      </c>
      <c r="N11" s="2" t="s">
        <v>77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86</v>
      </c>
      <c r="F12" s="2" t="s">
        <v>79</v>
      </c>
      <c r="G12" s="2" t="str">
        <f t="shared" si="7"/>
        <v>-</v>
      </c>
      <c r="H12" s="2" t="s">
        <v>72</v>
      </c>
      <c r="I12" s="2" t="str">
        <f t="shared" si="6"/>
        <v>_</v>
      </c>
      <c r="J12" s="2" t="s">
        <v>78</v>
      </c>
      <c r="K12" s="2" t="str">
        <f t="shared" si="1"/>
        <v/>
      </c>
      <c r="M12" s="2" t="str">
        <f t="shared" si="2"/>
        <v>-</v>
      </c>
      <c r="N12" s="2" t="s">
        <v>71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89</v>
      </c>
      <c r="F13" s="2" t="s">
        <v>79</v>
      </c>
      <c r="G13" s="2" t="str">
        <f t="shared" si="7"/>
        <v>-</v>
      </c>
      <c r="H13" s="2" t="s">
        <v>72</v>
      </c>
      <c r="I13" s="2" t="str">
        <f t="shared" si="6"/>
        <v>_</v>
      </c>
      <c r="J13" s="2" t="s">
        <v>78</v>
      </c>
      <c r="K13" s="2" t="str">
        <f t="shared" si="1"/>
        <v/>
      </c>
      <c r="M13" s="2" t="str">
        <f t="shared" si="2"/>
        <v>-</v>
      </c>
      <c r="N13" s="2" t="s">
        <v>75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88</v>
      </c>
      <c r="F14" s="2" t="s">
        <v>79</v>
      </c>
      <c r="G14" s="2" t="str">
        <f t="shared" si="7"/>
        <v>-</v>
      </c>
      <c r="H14" s="2" t="s">
        <v>72</v>
      </c>
      <c r="I14" s="2" t="str">
        <f t="shared" si="6"/>
        <v>_</v>
      </c>
      <c r="J14" s="2" t="s">
        <v>78</v>
      </c>
      <c r="K14" s="2" t="str">
        <f t="shared" si="1"/>
        <v/>
      </c>
      <c r="M14" s="2" t="str">
        <f t="shared" si="2"/>
        <v>-</v>
      </c>
      <c r="N14" s="2" t="s">
        <v>76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90</v>
      </c>
      <c r="F15" s="2" t="s">
        <v>79</v>
      </c>
      <c r="G15" s="2" t="str">
        <f t="shared" si="7"/>
        <v>-</v>
      </c>
      <c r="H15" s="2" t="s">
        <v>72</v>
      </c>
      <c r="I15" s="2" t="str">
        <f t="shared" si="6"/>
        <v>_</v>
      </c>
      <c r="J15" s="2" t="s">
        <v>78</v>
      </c>
      <c r="K15" s="2" t="str">
        <f t="shared" si="1"/>
        <v/>
      </c>
      <c r="M15" s="2" t="str">
        <f t="shared" si="2"/>
        <v>-</v>
      </c>
      <c r="N15" s="2" t="s">
        <v>77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86</v>
      </c>
      <c r="F17" s="2" t="s">
        <v>79</v>
      </c>
      <c r="G17" s="2" t="str">
        <f t="shared" si="7"/>
        <v>-</v>
      </c>
      <c r="H17" s="2" t="s">
        <v>72</v>
      </c>
      <c r="I17" s="2" t="str">
        <f t="shared" si="6"/>
        <v>_</v>
      </c>
      <c r="J17" s="2" t="s">
        <v>73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71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91</v>
      </c>
      <c r="F18" s="2" t="s">
        <v>79</v>
      </c>
      <c r="G18" s="2" t="str">
        <f t="shared" si="7"/>
        <v>-</v>
      </c>
      <c r="H18" s="2" t="s">
        <v>72</v>
      </c>
      <c r="I18" s="2" t="str">
        <f t="shared" si="6"/>
        <v>_</v>
      </c>
      <c r="J18" s="2" t="s">
        <v>73</v>
      </c>
      <c r="K18" s="2" t="str">
        <f t="shared" si="1"/>
        <v/>
      </c>
      <c r="M18" s="2" t="str">
        <f t="shared" si="9"/>
        <v>-</v>
      </c>
      <c r="N18" s="2" t="s">
        <v>75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89</v>
      </c>
      <c r="F19" s="2" t="s">
        <v>79</v>
      </c>
      <c r="G19" s="2" t="str">
        <f t="shared" si="7"/>
        <v>-</v>
      </c>
      <c r="H19" s="2" t="s">
        <v>72</v>
      </c>
      <c r="I19" s="2" t="str">
        <f t="shared" si="6"/>
        <v>_</v>
      </c>
      <c r="J19" s="2" t="s">
        <v>73</v>
      </c>
      <c r="K19" s="2" t="str">
        <f t="shared" si="1"/>
        <v/>
      </c>
      <c r="M19" s="2" t="str">
        <f t="shared" si="9"/>
        <v>-</v>
      </c>
      <c r="N19" s="2" t="s">
        <v>76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92</v>
      </c>
      <c r="F20" s="2" t="s">
        <v>79</v>
      </c>
      <c r="G20" s="2" t="str">
        <f t="shared" ref="G20:G28" si="13">IF(NOT(ISBLANK(H20)),"-","")</f>
        <v>-</v>
      </c>
      <c r="H20" s="2" t="s">
        <v>72</v>
      </c>
      <c r="I20" s="2" t="str">
        <f t="shared" si="6"/>
        <v>_</v>
      </c>
      <c r="J20" s="2" t="s">
        <v>73</v>
      </c>
      <c r="K20" s="2" t="str">
        <f t="shared" si="1"/>
        <v/>
      </c>
      <c r="M20" s="2" t="str">
        <f t="shared" si="9"/>
        <v>-</v>
      </c>
      <c r="N20" s="2" t="s">
        <v>77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89</v>
      </c>
      <c r="F21" s="2" t="s">
        <v>79</v>
      </c>
      <c r="G21" s="2" t="str">
        <f t="shared" si="13"/>
        <v>-</v>
      </c>
      <c r="H21" s="2" t="s">
        <v>72</v>
      </c>
      <c r="I21" s="2" t="str">
        <f t="shared" si="6"/>
        <v>_</v>
      </c>
      <c r="J21" s="2" t="s">
        <v>80</v>
      </c>
      <c r="K21" s="2" t="str">
        <f t="shared" si="1"/>
        <v/>
      </c>
      <c r="M21" s="2" t="str">
        <f t="shared" si="9"/>
        <v>-</v>
      </c>
      <c r="N21" s="2" t="s">
        <v>71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93</v>
      </c>
      <c r="F22" s="2" t="s">
        <v>79</v>
      </c>
      <c r="G22" s="2" t="str">
        <f t="shared" si="13"/>
        <v>-</v>
      </c>
      <c r="H22" s="2" t="s">
        <v>72</v>
      </c>
      <c r="I22" s="2" t="str">
        <f t="shared" si="6"/>
        <v>_</v>
      </c>
      <c r="J22" s="2" t="s">
        <v>80</v>
      </c>
      <c r="K22" s="2" t="str">
        <f t="shared" si="1"/>
        <v/>
      </c>
      <c r="M22" s="2" t="str">
        <f t="shared" si="9"/>
        <v>-</v>
      </c>
      <c r="N22" s="2" t="s">
        <v>75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87</v>
      </c>
      <c r="F23" s="2" t="s">
        <v>79</v>
      </c>
      <c r="G23" s="2" t="str">
        <f t="shared" si="13"/>
        <v>-</v>
      </c>
      <c r="H23" s="2" t="s">
        <v>72</v>
      </c>
      <c r="I23" s="2" t="str">
        <f t="shared" si="6"/>
        <v>_</v>
      </c>
      <c r="J23" s="2" t="s">
        <v>80</v>
      </c>
      <c r="K23" s="2" t="str">
        <f t="shared" si="1"/>
        <v/>
      </c>
      <c r="M23" s="2" t="str">
        <f t="shared" si="9"/>
        <v>-</v>
      </c>
      <c r="N23" s="2" t="s">
        <v>76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94</v>
      </c>
      <c r="F24" s="2" t="s">
        <v>79</v>
      </c>
      <c r="G24" s="2" t="str">
        <f t="shared" si="13"/>
        <v>-</v>
      </c>
      <c r="H24" s="2" t="s">
        <v>72</v>
      </c>
      <c r="I24" s="2" t="str">
        <f t="shared" si="6"/>
        <v>_</v>
      </c>
      <c r="J24" s="2" t="s">
        <v>80</v>
      </c>
      <c r="K24" s="2" t="str">
        <f t="shared" si="1"/>
        <v/>
      </c>
      <c r="M24" s="2" t="str">
        <f t="shared" si="9"/>
        <v>-</v>
      </c>
      <c r="N24" s="2" t="s">
        <v>77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93</v>
      </c>
      <c r="F25" s="2" t="s">
        <v>79</v>
      </c>
      <c r="G25" s="2" t="str">
        <f t="shared" si="13"/>
        <v>-</v>
      </c>
      <c r="H25" s="2" t="s">
        <v>72</v>
      </c>
      <c r="I25" s="2" t="str">
        <f t="shared" si="6"/>
        <v>_</v>
      </c>
      <c r="J25" s="2" t="s">
        <v>78</v>
      </c>
      <c r="K25" s="2" t="str">
        <f t="shared" si="1"/>
        <v/>
      </c>
      <c r="M25" s="2" t="str">
        <f t="shared" si="9"/>
        <v>-</v>
      </c>
      <c r="N25" s="2" t="s">
        <v>71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87</v>
      </c>
      <c r="F26" s="2" t="s">
        <v>79</v>
      </c>
      <c r="G26" s="2" t="str">
        <f t="shared" si="13"/>
        <v>-</v>
      </c>
      <c r="H26" s="2" t="s">
        <v>72</v>
      </c>
      <c r="I26" s="2" t="str">
        <f t="shared" si="6"/>
        <v>_</v>
      </c>
      <c r="J26" s="2" t="s">
        <v>78</v>
      </c>
      <c r="K26" s="2" t="str">
        <f t="shared" si="1"/>
        <v/>
      </c>
      <c r="M26" s="2" t="str">
        <f t="shared" si="9"/>
        <v>-</v>
      </c>
      <c r="N26" s="2" t="s">
        <v>75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88</v>
      </c>
      <c r="F27" s="2" t="s">
        <v>79</v>
      </c>
      <c r="G27" s="2" t="str">
        <f t="shared" si="13"/>
        <v>-</v>
      </c>
      <c r="H27" s="2" t="s">
        <v>72</v>
      </c>
      <c r="I27" s="2" t="str">
        <f t="shared" si="6"/>
        <v>_</v>
      </c>
      <c r="J27" s="2" t="s">
        <v>78</v>
      </c>
      <c r="K27" s="2" t="str">
        <f t="shared" si="1"/>
        <v/>
      </c>
      <c r="M27" s="2" t="str">
        <f t="shared" si="9"/>
        <v>-</v>
      </c>
      <c r="N27" s="2" t="s">
        <v>76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95</v>
      </c>
      <c r="F28" s="2" t="s">
        <v>79</v>
      </c>
      <c r="G28" s="2" t="str">
        <f t="shared" si="13"/>
        <v>-</v>
      </c>
      <c r="H28" s="2" t="s">
        <v>72</v>
      </c>
      <c r="I28" s="2" t="str">
        <f t="shared" si="6"/>
        <v>_</v>
      </c>
      <c r="J28" s="2" t="s">
        <v>78</v>
      </c>
      <c r="K28" s="2" t="str">
        <f t="shared" si="1"/>
        <v/>
      </c>
      <c r="M28" s="2" t="str">
        <f t="shared" si="9"/>
        <v>-</v>
      </c>
      <c r="N28" s="2" t="s">
        <v>77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96</v>
      </c>
      <c r="F30" s="2" t="s">
        <v>79</v>
      </c>
      <c r="G30" s="2" t="str">
        <f t="shared" ref="G30:G41" si="14">IF(NOT(ISBLANK(H30)),"-","")</f>
        <v>-</v>
      </c>
      <c r="H30" s="2" t="s">
        <v>72</v>
      </c>
      <c r="I30" s="2" t="str">
        <f>IF(NOT(ISBLANK(J30)),"_","")</f>
        <v>_</v>
      </c>
      <c r="J30" s="2" t="s">
        <v>73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71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81</v>
      </c>
      <c r="F31" s="2" t="s">
        <v>79</v>
      </c>
      <c r="G31" s="2" t="str">
        <f t="shared" si="14"/>
        <v>-</v>
      </c>
      <c r="H31" s="2" t="s">
        <v>72</v>
      </c>
      <c r="I31" s="2" t="str">
        <f t="shared" ref="I31:I41" si="20">IF(NOT(ISBLANK(J31)),"_","")</f>
        <v>_</v>
      </c>
      <c r="J31" s="2" t="s">
        <v>73</v>
      </c>
      <c r="K31" s="2" t="str">
        <f t="shared" si="1"/>
        <v/>
      </c>
      <c r="M31" s="2" t="str">
        <f t="shared" si="15"/>
        <v>-</v>
      </c>
      <c r="N31" s="2" t="s">
        <v>75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81</v>
      </c>
      <c r="F32" s="2" t="s">
        <v>79</v>
      </c>
      <c r="G32" s="2" t="str">
        <f t="shared" si="14"/>
        <v>-</v>
      </c>
      <c r="H32" s="2" t="s">
        <v>72</v>
      </c>
      <c r="I32" s="2" t="str">
        <f t="shared" si="20"/>
        <v>_</v>
      </c>
      <c r="J32" s="2" t="s">
        <v>73</v>
      </c>
      <c r="K32" s="2" t="str">
        <f t="shared" si="1"/>
        <v/>
      </c>
      <c r="M32" s="2" t="str">
        <f t="shared" si="15"/>
        <v>-</v>
      </c>
      <c r="N32" s="2" t="s">
        <v>76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85</v>
      </c>
      <c r="F33" s="2" t="s">
        <v>79</v>
      </c>
      <c r="G33" s="2" t="str">
        <f t="shared" si="14"/>
        <v>-</v>
      </c>
      <c r="H33" s="2" t="s">
        <v>72</v>
      </c>
      <c r="I33" s="2" t="str">
        <f t="shared" si="20"/>
        <v>_</v>
      </c>
      <c r="J33" s="2" t="s">
        <v>73</v>
      </c>
      <c r="K33" s="2" t="str">
        <f t="shared" si="1"/>
        <v/>
      </c>
      <c r="M33" s="2" t="str">
        <f t="shared" si="15"/>
        <v>-</v>
      </c>
      <c r="N33" s="2" t="s">
        <v>77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97</v>
      </c>
      <c r="F34" s="2" t="s">
        <v>79</v>
      </c>
      <c r="G34" s="2" t="str">
        <f t="shared" si="14"/>
        <v>-</v>
      </c>
      <c r="H34" s="2" t="s">
        <v>72</v>
      </c>
      <c r="I34" s="2" t="str">
        <f t="shared" si="20"/>
        <v>_</v>
      </c>
      <c r="J34" s="2" t="s">
        <v>80</v>
      </c>
      <c r="K34" s="2" t="str">
        <f t="shared" si="1"/>
        <v/>
      </c>
      <c r="M34" s="2" t="str">
        <f t="shared" si="15"/>
        <v>-</v>
      </c>
      <c r="N34" s="2" t="s">
        <v>71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98</v>
      </c>
      <c r="F35" s="2" t="s">
        <v>79</v>
      </c>
      <c r="G35" s="2" t="str">
        <f t="shared" si="14"/>
        <v>-</v>
      </c>
      <c r="H35" s="2" t="s">
        <v>72</v>
      </c>
      <c r="I35" s="2" t="str">
        <f t="shared" si="20"/>
        <v>_</v>
      </c>
      <c r="J35" s="2" t="s">
        <v>80</v>
      </c>
      <c r="K35" s="2" t="str">
        <f t="shared" si="1"/>
        <v/>
      </c>
      <c r="M35" s="2" t="str">
        <f t="shared" si="15"/>
        <v>-</v>
      </c>
      <c r="N35" s="2" t="s">
        <v>75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99</v>
      </c>
      <c r="F36" s="2" t="s">
        <v>79</v>
      </c>
      <c r="G36" s="2" t="str">
        <f t="shared" si="14"/>
        <v>-</v>
      </c>
      <c r="H36" s="2" t="s">
        <v>72</v>
      </c>
      <c r="I36" s="2" t="str">
        <f t="shared" si="20"/>
        <v>_</v>
      </c>
      <c r="J36" s="2" t="s">
        <v>80</v>
      </c>
      <c r="K36" s="2" t="str">
        <f t="shared" si="1"/>
        <v/>
      </c>
      <c r="M36" s="2" t="str">
        <f t="shared" si="15"/>
        <v>-</v>
      </c>
      <c r="N36" s="2" t="s">
        <v>76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100</v>
      </c>
      <c r="F37" s="2" t="s">
        <v>79</v>
      </c>
      <c r="G37" s="2" t="str">
        <f t="shared" si="14"/>
        <v>-</v>
      </c>
      <c r="H37" s="2" t="s">
        <v>72</v>
      </c>
      <c r="I37" s="2" t="str">
        <f t="shared" si="20"/>
        <v>_</v>
      </c>
      <c r="J37" s="2" t="s">
        <v>80</v>
      </c>
      <c r="K37" s="2" t="str">
        <f t="shared" si="1"/>
        <v/>
      </c>
      <c r="M37" s="2" t="str">
        <f t="shared" si="15"/>
        <v>-</v>
      </c>
      <c r="N37" s="2" t="s">
        <v>77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85</v>
      </c>
      <c r="F38" s="2" t="s">
        <v>79</v>
      </c>
      <c r="G38" s="2" t="str">
        <f t="shared" si="14"/>
        <v>-</v>
      </c>
      <c r="H38" s="2" t="s">
        <v>72</v>
      </c>
      <c r="I38" s="2" t="str">
        <f t="shared" si="20"/>
        <v>_</v>
      </c>
      <c r="J38" s="2" t="s">
        <v>78</v>
      </c>
      <c r="K38" s="2" t="str">
        <f t="shared" si="1"/>
        <v/>
      </c>
      <c r="M38" s="2" t="str">
        <f t="shared" si="15"/>
        <v>-</v>
      </c>
      <c r="N38" s="2" t="s">
        <v>71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99</v>
      </c>
      <c r="F39" s="2" t="s">
        <v>79</v>
      </c>
      <c r="G39" s="2" t="str">
        <f t="shared" si="14"/>
        <v>-</v>
      </c>
      <c r="H39" s="2" t="s">
        <v>72</v>
      </c>
      <c r="I39" s="2" t="str">
        <f t="shared" si="20"/>
        <v>_</v>
      </c>
      <c r="J39" s="2" t="s">
        <v>78</v>
      </c>
      <c r="K39" s="2" t="str">
        <f t="shared" si="1"/>
        <v/>
      </c>
      <c r="M39" s="2" t="str">
        <f t="shared" si="15"/>
        <v>-</v>
      </c>
      <c r="N39" s="2" t="s">
        <v>75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100</v>
      </c>
      <c r="F40" s="2" t="s">
        <v>79</v>
      </c>
      <c r="G40" s="2" t="str">
        <f t="shared" si="14"/>
        <v>-</v>
      </c>
      <c r="H40" s="2" t="s">
        <v>72</v>
      </c>
      <c r="I40" s="2" t="str">
        <f t="shared" si="20"/>
        <v>_</v>
      </c>
      <c r="J40" s="2" t="s">
        <v>78</v>
      </c>
      <c r="K40" s="2" t="str">
        <f t="shared" si="1"/>
        <v/>
      </c>
      <c r="M40" s="2" t="str">
        <f t="shared" si="15"/>
        <v>-</v>
      </c>
      <c r="N40" s="2" t="s">
        <v>76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101</v>
      </c>
      <c r="F41" s="2" t="s">
        <v>79</v>
      </c>
      <c r="G41" s="2" t="str">
        <f t="shared" si="14"/>
        <v>-</v>
      </c>
      <c r="H41" s="2" t="s">
        <v>72</v>
      </c>
      <c r="I41" s="2" t="str">
        <f t="shared" si="20"/>
        <v>_</v>
      </c>
      <c r="J41" s="2" t="s">
        <v>78</v>
      </c>
      <c r="K41" s="2" t="str">
        <f t="shared" si="1"/>
        <v/>
      </c>
      <c r="M41" s="2" t="str">
        <f t="shared" si="15"/>
        <v>-</v>
      </c>
      <c r="N41" s="2" t="s">
        <v>77</v>
      </c>
      <c r="O41" s="2" t="str">
        <f t="shared" si="16"/>
        <v>-</v>
      </c>
      <c r="P41" s="2" t="s">
        <v>23</v>
      </c>
    </row>
    <row r="43" spans="1:18" x14ac:dyDescent="0.25">
      <c r="A43" s="3" t="s">
        <v>102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86</v>
      </c>
      <c r="F44" s="2" t="s">
        <v>79</v>
      </c>
      <c r="G44" s="2" t="str">
        <f t="shared" ref="G44" si="21">IF(NOT(ISBLANK(H44)),"-","")</f>
        <v>-</v>
      </c>
      <c r="H44" s="2" t="s">
        <v>103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104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89</v>
      </c>
      <c r="F45" s="2" t="s">
        <v>79</v>
      </c>
      <c r="G45" s="2" t="str">
        <f t="shared" ref="G45:G50" si="26">IF(NOT(ISBLANK(H45)),"-","")</f>
        <v>-</v>
      </c>
      <c r="H45" s="2" t="s">
        <v>103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71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93</v>
      </c>
      <c r="F46" s="2" t="s">
        <v>79</v>
      </c>
      <c r="G46" s="2" t="str">
        <f t="shared" si="26"/>
        <v>-</v>
      </c>
      <c r="H46" s="2" t="s">
        <v>103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75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88</v>
      </c>
      <c r="F47" s="2" t="s">
        <v>79</v>
      </c>
      <c r="G47" s="2" t="str">
        <f t="shared" si="26"/>
        <v>-</v>
      </c>
      <c r="H47" s="2" t="s">
        <v>103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76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90</v>
      </c>
      <c r="F48" s="2" t="s">
        <v>79</v>
      </c>
      <c r="G48" s="2" t="str">
        <f t="shared" si="26"/>
        <v>-</v>
      </c>
      <c r="H48" s="2" t="s">
        <v>103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77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93</v>
      </c>
      <c r="F50" s="2" t="s">
        <v>79</v>
      </c>
      <c r="G50" s="2" t="str">
        <f t="shared" si="26"/>
        <v>-</v>
      </c>
      <c r="H50" s="2" t="s">
        <v>103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104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93</v>
      </c>
      <c r="F51" s="2" t="s">
        <v>79</v>
      </c>
      <c r="G51" s="2" t="str">
        <f t="shared" ref="G51:G54" si="33">IF(NOT(ISBLANK(H51)),"-","")</f>
        <v>-</v>
      </c>
      <c r="H51" s="2" t="s">
        <v>103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71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87</v>
      </c>
      <c r="F52" s="2" t="s">
        <v>79</v>
      </c>
      <c r="G52" s="2" t="str">
        <f t="shared" si="33"/>
        <v>-</v>
      </c>
      <c r="H52" s="2" t="s">
        <v>103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75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94</v>
      </c>
      <c r="F53" s="2" t="s">
        <v>79</v>
      </c>
      <c r="G53" s="2" t="str">
        <f t="shared" si="33"/>
        <v>-</v>
      </c>
      <c r="H53" s="2" t="s">
        <v>103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76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95</v>
      </c>
      <c r="F54" s="2" t="s">
        <v>79</v>
      </c>
      <c r="G54" s="2" t="str">
        <f t="shared" si="33"/>
        <v>-</v>
      </c>
      <c r="H54" s="2" t="s">
        <v>103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77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86</v>
      </c>
      <c r="F56" s="2" t="s">
        <v>79</v>
      </c>
      <c r="G56" s="2" t="str">
        <f t="shared" ref="G56:G60" si="40">IF(NOT(ISBLANK(H56)),"-","")</f>
        <v>-</v>
      </c>
      <c r="H56" s="2" t="s">
        <v>103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104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89</v>
      </c>
      <c r="F57" s="2" t="s">
        <v>79</v>
      </c>
      <c r="G57" s="2" t="str">
        <f t="shared" si="40"/>
        <v>-</v>
      </c>
      <c r="H57" s="2" t="s">
        <v>103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71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93</v>
      </c>
      <c r="F58" s="2" t="s">
        <v>79</v>
      </c>
      <c r="G58" s="2" t="str">
        <f t="shared" si="40"/>
        <v>-</v>
      </c>
      <c r="H58" s="2" t="s">
        <v>103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75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88</v>
      </c>
      <c r="F59" s="2" t="s">
        <v>79</v>
      </c>
      <c r="G59" s="2" t="str">
        <f t="shared" si="40"/>
        <v>-</v>
      </c>
      <c r="H59" s="2" t="s">
        <v>103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76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90</v>
      </c>
      <c r="F60" s="2" t="s">
        <v>79</v>
      </c>
      <c r="G60" s="2" t="str">
        <f t="shared" si="40"/>
        <v>-</v>
      </c>
      <c r="H60" s="2" t="s">
        <v>103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77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86</v>
      </c>
      <c r="F62" s="2" t="s">
        <v>79</v>
      </c>
      <c r="G62" s="2" t="str">
        <f t="shared" ref="G62:G66" si="47">IF(NOT(ISBLANK(H62)),"-","")</f>
        <v>-</v>
      </c>
      <c r="H62" s="2" t="s">
        <v>103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104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89</v>
      </c>
      <c r="F63" s="2" t="s">
        <v>79</v>
      </c>
      <c r="G63" s="2" t="str">
        <f t="shared" si="47"/>
        <v>-</v>
      </c>
      <c r="H63" s="2" t="s">
        <v>103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71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93</v>
      </c>
      <c r="F64" s="2" t="s">
        <v>79</v>
      </c>
      <c r="G64" s="2" t="str">
        <f t="shared" si="47"/>
        <v>-</v>
      </c>
      <c r="H64" s="2" t="s">
        <v>103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75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88</v>
      </c>
      <c r="F65" s="2" t="s">
        <v>79</v>
      </c>
      <c r="G65" s="2" t="str">
        <f t="shared" si="47"/>
        <v>-</v>
      </c>
      <c r="H65" s="2" t="s">
        <v>103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76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90</v>
      </c>
      <c r="F66" s="2" t="s">
        <v>79</v>
      </c>
      <c r="G66" s="2" t="str">
        <f t="shared" si="47"/>
        <v>-</v>
      </c>
      <c r="H66" s="2" t="s">
        <v>103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77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2025-12-26T10:09:35Z</dcterms:modified>
</cp:coreProperties>
</file>