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17" codeName="{D2901291-EE16-BAEF-A0FF-EE518A719B5A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8F90DC59-E418-49ED-8845-35A5C71D004E}" xr6:coauthVersionLast="47" xr6:coauthVersionMax="47" xr10:uidLastSave="{00000000-0000-0000-0000-000000000000}"/>
  <bookViews>
    <workbookView xWindow="-120" yWindow="-120" windowWidth="38640" windowHeight="21390" xr2:uid="{F88141D2-AFE8-4827-86DB-93E9A93B7471}"/>
  </bookViews>
  <sheets>
    <sheet name="style_variables_color" sheetId="1" r:id="rId1"/>
    <sheet name="style_variables_linetypes" sheetId="3" r:id="rId2"/>
    <sheet name="#OLD style_variables_linetype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1" i="3" l="1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O40" i="1"/>
  <c r="M40" i="1"/>
  <c r="K40" i="1"/>
  <c r="I40" i="1"/>
  <c r="G40" i="1"/>
  <c r="C40" i="1"/>
  <c r="M66" i="1"/>
  <c r="K66" i="1"/>
  <c r="M65" i="1"/>
  <c r="K65" i="1"/>
  <c r="M64" i="1"/>
  <c r="K64" i="1"/>
  <c r="M63" i="1"/>
  <c r="K63" i="1"/>
  <c r="M61" i="1"/>
  <c r="K61" i="1"/>
  <c r="M62" i="1"/>
  <c r="K62" i="1"/>
  <c r="M60" i="1"/>
  <c r="K60" i="1"/>
  <c r="M59" i="1"/>
  <c r="K59" i="1"/>
  <c r="M58" i="1"/>
  <c r="K58" i="1"/>
  <c r="M57" i="1"/>
  <c r="K57" i="1"/>
  <c r="M56" i="1"/>
  <c r="K56" i="1"/>
  <c r="M55" i="1"/>
  <c r="K55" i="1"/>
  <c r="G66" i="1"/>
  <c r="G65" i="1"/>
  <c r="G64" i="1"/>
  <c r="G63" i="1"/>
  <c r="G61" i="1"/>
  <c r="G62" i="1"/>
  <c r="G60" i="1"/>
  <c r="G59" i="1"/>
  <c r="G58" i="1"/>
  <c r="G57" i="1"/>
  <c r="G56" i="1"/>
  <c r="G55" i="1"/>
  <c r="C66" i="1"/>
  <c r="C65" i="1"/>
  <c r="C64" i="1"/>
  <c r="C63" i="1"/>
  <c r="C61" i="1"/>
  <c r="C62" i="1"/>
  <c r="C60" i="1"/>
  <c r="C59" i="1"/>
  <c r="C58" i="1"/>
  <c r="B58" i="1"/>
  <c r="C57" i="1"/>
  <c r="B57" i="1"/>
  <c r="C56" i="1"/>
  <c r="B56" i="1"/>
  <c r="C55" i="1"/>
  <c r="B55" i="1"/>
  <c r="O43" i="1"/>
  <c r="M43" i="1"/>
  <c r="K43" i="1"/>
  <c r="I43" i="1"/>
  <c r="G43" i="1"/>
  <c r="C43" i="1"/>
  <c r="I66" i="1"/>
  <c r="B66" i="1" s="1"/>
  <c r="I65" i="1"/>
  <c r="I64" i="1"/>
  <c r="B64" i="1" s="1"/>
  <c r="I63" i="1"/>
  <c r="B63" i="1" s="1"/>
  <c r="I61" i="1"/>
  <c r="B61" i="1" s="1"/>
  <c r="I62" i="1"/>
  <c r="I60" i="1"/>
  <c r="I59" i="1"/>
  <c r="I58" i="1"/>
  <c r="I57" i="1"/>
  <c r="I56" i="1"/>
  <c r="I55" i="1"/>
  <c r="G54" i="1"/>
  <c r="G53" i="1"/>
  <c r="O53" i="1"/>
  <c r="M53" i="1"/>
  <c r="K53" i="1"/>
  <c r="I53" i="1"/>
  <c r="C53" i="1"/>
  <c r="G49" i="1"/>
  <c r="G47" i="1"/>
  <c r="O153" i="1"/>
  <c r="M153" i="1"/>
  <c r="K153" i="1"/>
  <c r="I153" i="1"/>
  <c r="G153" i="1"/>
  <c r="O152" i="1"/>
  <c r="M152" i="1"/>
  <c r="K152" i="1"/>
  <c r="I152" i="1"/>
  <c r="G152" i="1"/>
  <c r="I151" i="1"/>
  <c r="G151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52" i="1"/>
  <c r="K51" i="1"/>
  <c r="K50" i="1"/>
  <c r="K54" i="1"/>
  <c r="K49" i="1"/>
  <c r="K47" i="1"/>
  <c r="K48" i="1"/>
  <c r="K46" i="1"/>
  <c r="K151" i="1"/>
  <c r="K150" i="1"/>
  <c r="K162" i="1"/>
  <c r="K161" i="1"/>
  <c r="K160" i="1"/>
  <c r="K159" i="1"/>
  <c r="K158" i="1"/>
  <c r="K157" i="1"/>
  <c r="K156" i="1"/>
  <c r="K155" i="1"/>
  <c r="K147" i="1"/>
  <c r="K146" i="1"/>
  <c r="K145" i="1"/>
  <c r="K144" i="1"/>
  <c r="K143" i="1"/>
  <c r="K142" i="1"/>
  <c r="K141" i="1"/>
  <c r="K140" i="1"/>
  <c r="K138" i="1"/>
  <c r="K137" i="1"/>
  <c r="K136" i="1"/>
  <c r="K135" i="1"/>
  <c r="K134" i="1"/>
  <c r="K133" i="1"/>
  <c r="K132" i="1"/>
  <c r="K131" i="1"/>
  <c r="K129" i="1"/>
  <c r="K128" i="1"/>
  <c r="K127" i="1"/>
  <c r="K126" i="1"/>
  <c r="K125" i="1"/>
  <c r="K124" i="1"/>
  <c r="K123" i="1"/>
  <c r="K122" i="1"/>
  <c r="K120" i="1"/>
  <c r="K119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52" i="1"/>
  <c r="I51" i="1"/>
  <c r="I50" i="1"/>
  <c r="I54" i="1"/>
  <c r="I49" i="1"/>
  <c r="I47" i="1"/>
  <c r="I48" i="1"/>
  <c r="I46" i="1"/>
  <c r="I150" i="1"/>
  <c r="I162" i="1"/>
  <c r="I161" i="1"/>
  <c r="I160" i="1"/>
  <c r="I159" i="1"/>
  <c r="I158" i="1"/>
  <c r="I157" i="1"/>
  <c r="I156" i="1"/>
  <c r="I155" i="1"/>
  <c r="I147" i="1"/>
  <c r="I146" i="1"/>
  <c r="I145" i="1"/>
  <c r="I144" i="1"/>
  <c r="I143" i="1"/>
  <c r="I142" i="1"/>
  <c r="I141" i="1"/>
  <c r="I140" i="1"/>
  <c r="I138" i="1"/>
  <c r="I137" i="1"/>
  <c r="I136" i="1"/>
  <c r="I135" i="1"/>
  <c r="I134" i="1"/>
  <c r="I133" i="1"/>
  <c r="I132" i="1"/>
  <c r="I131" i="1"/>
  <c r="I129" i="1"/>
  <c r="I128" i="1"/>
  <c r="I127" i="1"/>
  <c r="I126" i="1"/>
  <c r="I125" i="1"/>
  <c r="I124" i="1"/>
  <c r="I123" i="1"/>
  <c r="I122" i="1"/>
  <c r="O38" i="1"/>
  <c r="M38" i="1"/>
  <c r="K38" i="1"/>
  <c r="I38" i="1"/>
  <c r="G38" i="1"/>
  <c r="C38" i="1"/>
  <c r="O37" i="1"/>
  <c r="M37" i="1"/>
  <c r="K37" i="1"/>
  <c r="I37" i="1"/>
  <c r="G37" i="1"/>
  <c r="C37" i="1"/>
  <c r="K35" i="1"/>
  <c r="I35" i="1"/>
  <c r="G35" i="1"/>
  <c r="O35" i="1"/>
  <c r="M35" i="1"/>
  <c r="C35" i="1"/>
  <c r="O34" i="1"/>
  <c r="M34" i="1"/>
  <c r="K34" i="1"/>
  <c r="I34" i="1"/>
  <c r="G34" i="1"/>
  <c r="C34" i="1"/>
  <c r="I32" i="1"/>
  <c r="I29" i="1"/>
  <c r="I31" i="1"/>
  <c r="O25" i="1"/>
  <c r="O24" i="1"/>
  <c r="M25" i="1"/>
  <c r="M24" i="1"/>
  <c r="K25" i="1"/>
  <c r="K24" i="1"/>
  <c r="I25" i="1"/>
  <c r="I24" i="1"/>
  <c r="G25" i="1"/>
  <c r="G24" i="1"/>
  <c r="C25" i="1"/>
  <c r="C24" i="1"/>
  <c r="O32" i="1"/>
  <c r="M32" i="1"/>
  <c r="K32" i="1"/>
  <c r="G32" i="1"/>
  <c r="C32" i="1"/>
  <c r="O31" i="1"/>
  <c r="M31" i="1"/>
  <c r="K31" i="1"/>
  <c r="G31" i="1"/>
  <c r="C31" i="1"/>
  <c r="O29" i="1"/>
  <c r="M29" i="1"/>
  <c r="K29" i="1"/>
  <c r="G29" i="1"/>
  <c r="C29" i="1"/>
  <c r="O28" i="1"/>
  <c r="M28" i="1"/>
  <c r="K28" i="1"/>
  <c r="I28" i="1"/>
  <c r="G28" i="1"/>
  <c r="B28" i="1" s="1"/>
  <c r="C28" i="1"/>
  <c r="O100" i="1"/>
  <c r="M100" i="1"/>
  <c r="K100" i="1"/>
  <c r="I100" i="1"/>
  <c r="G100" i="1"/>
  <c r="B100" i="1" s="1"/>
  <c r="C100" i="1"/>
  <c r="O99" i="1"/>
  <c r="M99" i="1"/>
  <c r="K99" i="1"/>
  <c r="I99" i="1"/>
  <c r="G99" i="1"/>
  <c r="C99" i="1"/>
  <c r="O98" i="1"/>
  <c r="M98" i="1"/>
  <c r="K98" i="1"/>
  <c r="I98" i="1"/>
  <c r="G98" i="1"/>
  <c r="C98" i="1"/>
  <c r="O97" i="1"/>
  <c r="M97" i="1"/>
  <c r="K97" i="1"/>
  <c r="I97" i="1"/>
  <c r="G97" i="1"/>
  <c r="C97" i="1"/>
  <c r="O96" i="1"/>
  <c r="M96" i="1"/>
  <c r="K96" i="1"/>
  <c r="I96" i="1"/>
  <c r="G96" i="1"/>
  <c r="C96" i="1"/>
  <c r="O95" i="1"/>
  <c r="M95" i="1"/>
  <c r="K95" i="1"/>
  <c r="I95" i="1"/>
  <c r="G95" i="1"/>
  <c r="C95" i="1"/>
  <c r="O176" i="1"/>
  <c r="M176" i="1"/>
  <c r="G176" i="1"/>
  <c r="C176" i="1"/>
  <c r="O175" i="1"/>
  <c r="M175" i="1"/>
  <c r="G175" i="1"/>
  <c r="C175" i="1"/>
  <c r="O174" i="1"/>
  <c r="M174" i="1"/>
  <c r="G174" i="1"/>
  <c r="C174" i="1"/>
  <c r="O173" i="1"/>
  <c r="M173" i="1"/>
  <c r="G173" i="1"/>
  <c r="C173" i="1"/>
  <c r="O172" i="1"/>
  <c r="M172" i="1"/>
  <c r="G172" i="1"/>
  <c r="C172" i="1"/>
  <c r="O171" i="1"/>
  <c r="M171" i="1"/>
  <c r="G171" i="1"/>
  <c r="C171" i="1"/>
  <c r="O170" i="1"/>
  <c r="M170" i="1"/>
  <c r="G170" i="1"/>
  <c r="C170" i="1"/>
  <c r="O169" i="1"/>
  <c r="M169" i="1"/>
  <c r="G169" i="1"/>
  <c r="C169" i="1"/>
  <c r="O168" i="1"/>
  <c r="M168" i="1"/>
  <c r="G168" i="1"/>
  <c r="C168" i="1"/>
  <c r="O167" i="1"/>
  <c r="M167" i="1"/>
  <c r="G167" i="1"/>
  <c r="C167" i="1"/>
  <c r="O166" i="1"/>
  <c r="M166" i="1"/>
  <c r="G166" i="1"/>
  <c r="C166" i="1"/>
  <c r="O165" i="1"/>
  <c r="M165" i="1"/>
  <c r="G165" i="1"/>
  <c r="C165" i="1"/>
  <c r="O164" i="1"/>
  <c r="M164" i="1"/>
  <c r="G164" i="1"/>
  <c r="C164" i="1"/>
  <c r="O52" i="1"/>
  <c r="M52" i="1"/>
  <c r="G52" i="1"/>
  <c r="C52" i="1"/>
  <c r="O51" i="1"/>
  <c r="M51" i="1"/>
  <c r="G51" i="1"/>
  <c r="C51" i="1"/>
  <c r="O50" i="1"/>
  <c r="M50" i="1"/>
  <c r="G50" i="1"/>
  <c r="C50" i="1"/>
  <c r="O54" i="1"/>
  <c r="M54" i="1"/>
  <c r="C54" i="1"/>
  <c r="O49" i="1"/>
  <c r="M49" i="1"/>
  <c r="C49" i="1"/>
  <c r="O47" i="1"/>
  <c r="M47" i="1"/>
  <c r="C47" i="1"/>
  <c r="O48" i="1"/>
  <c r="M48" i="1"/>
  <c r="G48" i="1"/>
  <c r="C48" i="1"/>
  <c r="O46" i="1"/>
  <c r="M46" i="1"/>
  <c r="G46" i="1"/>
  <c r="C46" i="1"/>
  <c r="C153" i="1"/>
  <c r="C152" i="1"/>
  <c r="O151" i="1"/>
  <c r="M151" i="1"/>
  <c r="C151" i="1"/>
  <c r="O162" i="1"/>
  <c r="M162" i="1"/>
  <c r="O161" i="1"/>
  <c r="M161" i="1"/>
  <c r="O160" i="1"/>
  <c r="M160" i="1"/>
  <c r="O159" i="1"/>
  <c r="M159" i="1"/>
  <c r="O158" i="1"/>
  <c r="M158" i="1"/>
  <c r="O157" i="1"/>
  <c r="M157" i="1"/>
  <c r="O156" i="1"/>
  <c r="M156" i="1"/>
  <c r="O155" i="1"/>
  <c r="M155" i="1"/>
  <c r="O147" i="1"/>
  <c r="M147" i="1"/>
  <c r="G147" i="1"/>
  <c r="O146" i="1"/>
  <c r="M146" i="1"/>
  <c r="G146" i="1"/>
  <c r="M145" i="1"/>
  <c r="G145" i="1"/>
  <c r="O144" i="1"/>
  <c r="M144" i="1"/>
  <c r="G144" i="1"/>
  <c r="O143" i="1"/>
  <c r="M143" i="1"/>
  <c r="G143" i="1"/>
  <c r="O142" i="1"/>
  <c r="M142" i="1"/>
  <c r="G142" i="1"/>
  <c r="M141" i="1"/>
  <c r="G141" i="1"/>
  <c r="O140" i="1"/>
  <c r="M140" i="1"/>
  <c r="G140" i="1"/>
  <c r="O150" i="1"/>
  <c r="M150" i="1"/>
  <c r="G150" i="1"/>
  <c r="C150" i="1"/>
  <c r="G162" i="1"/>
  <c r="C162" i="1"/>
  <c r="G161" i="1"/>
  <c r="C161" i="1"/>
  <c r="G160" i="1"/>
  <c r="C160" i="1"/>
  <c r="G159" i="1"/>
  <c r="C159" i="1"/>
  <c r="G158" i="1"/>
  <c r="C158" i="1"/>
  <c r="G157" i="1"/>
  <c r="C157" i="1"/>
  <c r="G156" i="1"/>
  <c r="C156" i="1"/>
  <c r="G155" i="1"/>
  <c r="C155" i="1"/>
  <c r="C147" i="1"/>
  <c r="C146" i="1"/>
  <c r="C145" i="1"/>
  <c r="C144" i="1"/>
  <c r="C143" i="1"/>
  <c r="C142" i="1"/>
  <c r="C141" i="1"/>
  <c r="C140" i="1"/>
  <c r="O138" i="1"/>
  <c r="M138" i="1"/>
  <c r="G138" i="1"/>
  <c r="O137" i="1"/>
  <c r="M137" i="1"/>
  <c r="G137" i="1"/>
  <c r="M136" i="1"/>
  <c r="G136" i="1"/>
  <c r="O135" i="1"/>
  <c r="M135" i="1"/>
  <c r="G135" i="1"/>
  <c r="O134" i="1"/>
  <c r="M134" i="1"/>
  <c r="G134" i="1"/>
  <c r="O133" i="1"/>
  <c r="M133" i="1"/>
  <c r="G133" i="1"/>
  <c r="M132" i="1"/>
  <c r="G132" i="1"/>
  <c r="O131" i="1"/>
  <c r="M131" i="1"/>
  <c r="G131" i="1"/>
  <c r="O129" i="1"/>
  <c r="M129" i="1"/>
  <c r="G129" i="1"/>
  <c r="O128" i="1"/>
  <c r="M128" i="1"/>
  <c r="G128" i="1"/>
  <c r="M127" i="1"/>
  <c r="G127" i="1"/>
  <c r="O126" i="1"/>
  <c r="M126" i="1"/>
  <c r="G126" i="1"/>
  <c r="C123" i="1"/>
  <c r="M125" i="1"/>
  <c r="G125" i="1"/>
  <c r="M123" i="1"/>
  <c r="G123" i="1"/>
  <c r="O125" i="1"/>
  <c r="O124" i="1"/>
  <c r="O122" i="1"/>
  <c r="M124" i="1"/>
  <c r="M122" i="1"/>
  <c r="G124" i="1"/>
  <c r="G122" i="1"/>
  <c r="C138" i="1"/>
  <c r="C137" i="1"/>
  <c r="C136" i="1"/>
  <c r="C135" i="1"/>
  <c r="C134" i="1"/>
  <c r="C133" i="1"/>
  <c r="C132" i="1"/>
  <c r="C131" i="1"/>
  <c r="C129" i="1"/>
  <c r="C128" i="1"/>
  <c r="C127" i="1"/>
  <c r="C126" i="1"/>
  <c r="I120" i="1"/>
  <c r="G120" i="1"/>
  <c r="O112" i="1"/>
  <c r="M112" i="1"/>
  <c r="K112" i="1"/>
  <c r="I112" i="1"/>
  <c r="O111" i="1"/>
  <c r="M111" i="1"/>
  <c r="K111" i="1"/>
  <c r="I111" i="1"/>
  <c r="O110" i="1"/>
  <c r="M110" i="1"/>
  <c r="K110" i="1"/>
  <c r="I110" i="1"/>
  <c r="O109" i="1"/>
  <c r="M109" i="1"/>
  <c r="K109" i="1"/>
  <c r="I109" i="1"/>
  <c r="O116" i="1"/>
  <c r="M116" i="1"/>
  <c r="K116" i="1"/>
  <c r="O115" i="1"/>
  <c r="M115" i="1"/>
  <c r="K115" i="1"/>
  <c r="O114" i="1"/>
  <c r="M114" i="1"/>
  <c r="K114" i="1"/>
  <c r="O113" i="1"/>
  <c r="M113" i="1"/>
  <c r="K113" i="1"/>
  <c r="O108" i="1"/>
  <c r="M108" i="1"/>
  <c r="K108" i="1"/>
  <c r="I108" i="1"/>
  <c r="G108" i="1"/>
  <c r="K107" i="1"/>
  <c r="K106" i="1"/>
  <c r="K105" i="1"/>
  <c r="K104" i="1"/>
  <c r="K103" i="1"/>
  <c r="K102" i="1"/>
  <c r="K101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4" i="1"/>
  <c r="K73" i="1"/>
  <c r="K72" i="1"/>
  <c r="K71" i="1"/>
  <c r="K70" i="1"/>
  <c r="K69" i="1"/>
  <c r="K45" i="1"/>
  <c r="K44" i="1"/>
  <c r="K23" i="1"/>
  <c r="K22" i="1"/>
  <c r="K19" i="1"/>
  <c r="K18" i="1"/>
  <c r="K17" i="1"/>
  <c r="K16" i="1"/>
  <c r="K15" i="1"/>
  <c r="K14" i="1"/>
  <c r="K13" i="1"/>
  <c r="K12" i="1"/>
  <c r="K10" i="1"/>
  <c r="K9" i="1"/>
  <c r="K8" i="1"/>
  <c r="K7" i="1"/>
  <c r="K6" i="1"/>
  <c r="K5" i="1"/>
  <c r="K4" i="1"/>
  <c r="K3" i="1"/>
  <c r="I119" i="1"/>
  <c r="I116" i="1"/>
  <c r="I115" i="1"/>
  <c r="I114" i="1"/>
  <c r="I113" i="1"/>
  <c r="I107" i="1"/>
  <c r="I106" i="1"/>
  <c r="I105" i="1"/>
  <c r="I104" i="1"/>
  <c r="I103" i="1"/>
  <c r="I102" i="1"/>
  <c r="I101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4" i="1"/>
  <c r="I73" i="1"/>
  <c r="I72" i="1"/>
  <c r="I71" i="1"/>
  <c r="I70" i="1"/>
  <c r="I69" i="1"/>
  <c r="I45" i="1"/>
  <c r="I44" i="1"/>
  <c r="I23" i="1"/>
  <c r="I22" i="1"/>
  <c r="I19" i="1"/>
  <c r="I18" i="1"/>
  <c r="I17" i="1"/>
  <c r="I16" i="1"/>
  <c r="I15" i="1"/>
  <c r="I14" i="1"/>
  <c r="I13" i="1"/>
  <c r="I12" i="1"/>
  <c r="I10" i="1"/>
  <c r="I9" i="1"/>
  <c r="I8" i="1"/>
  <c r="I7" i="1"/>
  <c r="I6" i="1"/>
  <c r="I5" i="1"/>
  <c r="I4" i="1"/>
  <c r="I3" i="1"/>
  <c r="M106" i="1"/>
  <c r="M105" i="1"/>
  <c r="M104" i="1"/>
  <c r="M103" i="1"/>
  <c r="G102" i="1"/>
  <c r="G92" i="1"/>
  <c r="G91" i="1"/>
  <c r="G90" i="1"/>
  <c r="G89" i="1"/>
  <c r="O82" i="1"/>
  <c r="M82" i="1"/>
  <c r="G82" i="1"/>
  <c r="C82" i="1"/>
  <c r="O83" i="1"/>
  <c r="M83" i="1"/>
  <c r="G83" i="1"/>
  <c r="C83" i="1"/>
  <c r="M88" i="1"/>
  <c r="G88" i="1"/>
  <c r="M86" i="1"/>
  <c r="G86" i="1"/>
  <c r="G87" i="1"/>
  <c r="O80" i="1"/>
  <c r="O79" i="1"/>
  <c r="O78" i="1"/>
  <c r="O77" i="1"/>
  <c r="M80" i="1"/>
  <c r="M79" i="1"/>
  <c r="M78" i="1"/>
  <c r="M77" i="1"/>
  <c r="C80" i="1"/>
  <c r="C79" i="1"/>
  <c r="C78" i="1"/>
  <c r="C77" i="1"/>
  <c r="G80" i="1"/>
  <c r="G79" i="1"/>
  <c r="G78" i="1"/>
  <c r="G77" i="1"/>
  <c r="O74" i="1"/>
  <c r="M74" i="1"/>
  <c r="G74" i="1"/>
  <c r="O73" i="1"/>
  <c r="M73" i="1"/>
  <c r="G73" i="1"/>
  <c r="O72" i="1"/>
  <c r="M72" i="1"/>
  <c r="G72" i="1"/>
  <c r="O71" i="1"/>
  <c r="M71" i="1"/>
  <c r="G71" i="1"/>
  <c r="O70" i="1"/>
  <c r="M70" i="1"/>
  <c r="G70" i="1"/>
  <c r="O45" i="1"/>
  <c r="M45" i="1"/>
  <c r="G45" i="1"/>
  <c r="O120" i="1"/>
  <c r="O119" i="1"/>
  <c r="O107" i="1"/>
  <c r="O106" i="1"/>
  <c r="O105" i="1"/>
  <c r="O104" i="1"/>
  <c r="O103" i="1"/>
  <c r="O102" i="1"/>
  <c r="O101" i="1"/>
  <c r="O92" i="1"/>
  <c r="O91" i="1"/>
  <c r="O90" i="1"/>
  <c r="O89" i="1"/>
  <c r="O88" i="1"/>
  <c r="O86" i="1"/>
  <c r="O87" i="1"/>
  <c r="O85" i="1"/>
  <c r="O84" i="1"/>
  <c r="O81" i="1"/>
  <c r="O69" i="1"/>
  <c r="O44" i="1"/>
  <c r="O23" i="1"/>
  <c r="O22" i="1"/>
  <c r="M120" i="1"/>
  <c r="M119" i="1"/>
  <c r="M107" i="1"/>
  <c r="M102" i="1"/>
  <c r="M101" i="1"/>
  <c r="M92" i="1"/>
  <c r="M91" i="1"/>
  <c r="M90" i="1"/>
  <c r="M89" i="1"/>
  <c r="M87" i="1"/>
  <c r="M85" i="1"/>
  <c r="M84" i="1"/>
  <c r="M81" i="1"/>
  <c r="M69" i="1"/>
  <c r="M44" i="1"/>
  <c r="M23" i="1"/>
  <c r="G119" i="1"/>
  <c r="G112" i="1"/>
  <c r="G111" i="1"/>
  <c r="G110" i="1"/>
  <c r="G109" i="1"/>
  <c r="G116" i="1"/>
  <c r="G115" i="1"/>
  <c r="G114" i="1"/>
  <c r="G113" i="1"/>
  <c r="G107" i="1"/>
  <c r="G106" i="1"/>
  <c r="G105" i="1"/>
  <c r="G104" i="1"/>
  <c r="G103" i="1"/>
  <c r="G101" i="1"/>
  <c r="G85" i="1"/>
  <c r="G84" i="1"/>
  <c r="G81" i="1"/>
  <c r="G69" i="1"/>
  <c r="G44" i="1"/>
  <c r="G23" i="1"/>
  <c r="C125" i="1"/>
  <c r="C124" i="1"/>
  <c r="C122" i="1"/>
  <c r="C120" i="1"/>
  <c r="C119" i="1"/>
  <c r="C112" i="1"/>
  <c r="C111" i="1"/>
  <c r="C110" i="1"/>
  <c r="C109" i="1"/>
  <c r="C116" i="1"/>
  <c r="C115" i="1"/>
  <c r="C114" i="1"/>
  <c r="C113" i="1"/>
  <c r="C108" i="1"/>
  <c r="C107" i="1"/>
  <c r="C106" i="1"/>
  <c r="C105" i="1"/>
  <c r="C104" i="1"/>
  <c r="C103" i="1"/>
  <c r="C102" i="1"/>
  <c r="C101" i="1"/>
  <c r="C92" i="1"/>
  <c r="C91" i="1"/>
  <c r="C90" i="1"/>
  <c r="C89" i="1"/>
  <c r="C88" i="1"/>
  <c r="C86" i="1"/>
  <c r="C87" i="1"/>
  <c r="C85" i="1"/>
  <c r="C84" i="1"/>
  <c r="C81" i="1"/>
  <c r="C74" i="1"/>
  <c r="C73" i="1"/>
  <c r="C72" i="1"/>
  <c r="C71" i="1"/>
  <c r="C70" i="1"/>
  <c r="C69" i="1"/>
  <c r="C45" i="1"/>
  <c r="C44" i="1"/>
  <c r="C23" i="1"/>
  <c r="C22" i="1"/>
  <c r="M22" i="1"/>
  <c r="G22" i="1"/>
  <c r="O19" i="1"/>
  <c r="O18" i="1"/>
  <c r="O17" i="1"/>
  <c r="O16" i="1"/>
  <c r="O15" i="1"/>
  <c r="O14" i="1"/>
  <c r="O13" i="1"/>
  <c r="O12" i="1"/>
  <c r="O10" i="1"/>
  <c r="O9" i="1"/>
  <c r="O8" i="1"/>
  <c r="O7" i="1"/>
  <c r="O6" i="1"/>
  <c r="O5" i="1"/>
  <c r="O4" i="1"/>
  <c r="O3" i="1"/>
  <c r="M19" i="1"/>
  <c r="M18" i="1"/>
  <c r="M17" i="1"/>
  <c r="M16" i="1"/>
  <c r="M15" i="1"/>
  <c r="M14" i="1"/>
  <c r="M13" i="1"/>
  <c r="M12" i="1"/>
  <c r="M10" i="1"/>
  <c r="M9" i="1"/>
  <c r="M8" i="1"/>
  <c r="M7" i="1"/>
  <c r="M6" i="1"/>
  <c r="M5" i="1"/>
  <c r="M4" i="1"/>
  <c r="M3" i="1"/>
  <c r="G19" i="1"/>
  <c r="G18" i="1"/>
  <c r="G17" i="1"/>
  <c r="G16" i="1"/>
  <c r="G15" i="1"/>
  <c r="G14" i="1"/>
  <c r="G13" i="1"/>
  <c r="G12" i="1"/>
  <c r="G10" i="1"/>
  <c r="G9" i="1"/>
  <c r="G8" i="1"/>
  <c r="G7" i="1"/>
  <c r="G6" i="1"/>
  <c r="G5" i="1"/>
  <c r="G4" i="1"/>
  <c r="G3" i="1"/>
  <c r="C19" i="1"/>
  <c r="C18" i="1"/>
  <c r="C17" i="1"/>
  <c r="C16" i="1"/>
  <c r="C15" i="1"/>
  <c r="C14" i="1"/>
  <c r="C13" i="1"/>
  <c r="C12" i="1"/>
  <c r="C10" i="1"/>
  <c r="C9" i="1"/>
  <c r="C8" i="1"/>
  <c r="C7" i="1"/>
  <c r="C6" i="1"/>
  <c r="C5" i="1"/>
  <c r="C4" i="1"/>
  <c r="C3" i="1"/>
  <c r="K71" i="3" l="1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  <c r="B40" i="1"/>
  <c r="B62" i="1"/>
  <c r="B60" i="1"/>
  <c r="B59" i="1"/>
  <c r="B65" i="1"/>
  <c r="B43" i="1"/>
  <c r="B165" i="1"/>
  <c r="B164" i="1"/>
  <c r="B82" i="1"/>
  <c r="B71" i="1"/>
  <c r="B53" i="1"/>
  <c r="B38" i="1"/>
  <c r="B37" i="1"/>
  <c r="B153" i="1"/>
  <c r="B175" i="1"/>
  <c r="B174" i="1"/>
  <c r="B152" i="1"/>
  <c r="B151" i="1"/>
  <c r="B170" i="1"/>
  <c r="B48" i="1"/>
  <c r="B46" i="1"/>
  <c r="B171" i="1"/>
  <c r="B50" i="1"/>
  <c r="B52" i="1"/>
  <c r="B51" i="1"/>
  <c r="B168" i="1"/>
  <c r="B143" i="1"/>
  <c r="B142" i="1"/>
  <c r="B141" i="1"/>
  <c r="B140" i="1"/>
  <c r="B131" i="1"/>
  <c r="B138" i="1"/>
  <c r="B133" i="1"/>
  <c r="B135" i="1"/>
  <c r="B132" i="1"/>
  <c r="B123" i="1"/>
  <c r="B150" i="1"/>
  <c r="B35" i="1"/>
  <c r="B129" i="1"/>
  <c r="B34" i="1"/>
  <c r="B54" i="1"/>
  <c r="B49" i="1"/>
  <c r="B147" i="1"/>
  <c r="B72" i="1"/>
  <c r="B167" i="1"/>
  <c r="B31" i="1"/>
  <c r="B32" i="1"/>
  <c r="B29" i="1"/>
  <c r="B73" i="1"/>
  <c r="B74" i="1"/>
  <c r="B95" i="1"/>
  <c r="B176" i="1"/>
  <c r="B166" i="1"/>
  <c r="B146" i="1"/>
  <c r="B24" i="1"/>
  <c r="B25" i="1"/>
  <c r="B144" i="1"/>
  <c r="B99" i="1"/>
  <c r="B98" i="1"/>
  <c r="B173" i="1"/>
  <c r="B172" i="1"/>
  <c r="B169" i="1"/>
  <c r="B47" i="1"/>
  <c r="B145" i="1"/>
  <c r="B162" i="1"/>
  <c r="B70" i="1"/>
  <c r="B97" i="1"/>
  <c r="B96" i="1"/>
  <c r="B137" i="1"/>
  <c r="B136" i="1"/>
  <c r="B134" i="1"/>
  <c r="B128" i="1"/>
  <c r="B127" i="1"/>
  <c r="B126" i="1"/>
  <c r="B156" i="1"/>
  <c r="B159" i="1"/>
  <c r="B157" i="1"/>
  <c r="B160" i="1"/>
  <c r="B158" i="1"/>
  <c r="B161" i="1"/>
  <c r="B155" i="1"/>
  <c r="B45" i="1"/>
  <c r="B22" i="1"/>
  <c r="B83" i="1"/>
  <c r="B80" i="1"/>
  <c r="B79" i="1"/>
  <c r="B78" i="1"/>
  <c r="B77" i="1"/>
  <c r="B13" i="1"/>
  <c r="B12" i="1"/>
  <c r="B10" i="1"/>
  <c r="B9" i="1"/>
  <c r="B8" i="1"/>
  <c r="B7" i="1"/>
  <c r="B6" i="1"/>
  <c r="B5" i="1"/>
  <c r="B4" i="1"/>
  <c r="B3" i="1"/>
  <c r="B120" i="1"/>
  <c r="B107" i="1"/>
  <c r="B90" i="1"/>
  <c r="B44" i="1"/>
  <c r="B19" i="1"/>
  <c r="B18" i="1"/>
  <c r="B17" i="1"/>
  <c r="B16" i="1"/>
  <c r="B15" i="1"/>
  <c r="B14" i="1"/>
  <c r="B125" i="1"/>
  <c r="B114" i="1"/>
  <c r="B101" i="1"/>
  <c r="B116" i="1"/>
  <c r="B104" i="1"/>
  <c r="B88" i="1"/>
  <c r="B119" i="1"/>
  <c r="B108" i="1"/>
  <c r="B91" i="1"/>
  <c r="B23" i="1"/>
  <c r="B111" i="1"/>
  <c r="B113" i="1"/>
  <c r="B92" i="1"/>
  <c r="B69" i="1"/>
  <c r="B124" i="1"/>
  <c r="B115" i="1"/>
  <c r="B103" i="1"/>
  <c r="B86" i="1"/>
  <c r="B109" i="1"/>
  <c r="B102" i="1"/>
  <c r="B85" i="1"/>
  <c r="B122" i="1"/>
  <c r="B105" i="1"/>
  <c r="B87" i="1"/>
  <c r="B110" i="1"/>
  <c r="B112" i="1"/>
  <c r="B106" i="1"/>
  <c r="B89" i="1"/>
  <c r="B81" i="1"/>
  <c r="B84" i="1"/>
</calcChain>
</file>

<file path=xl/sharedStrings.xml><?xml version="1.0" encoding="utf-8"?>
<sst xmlns="http://schemas.openxmlformats.org/spreadsheetml/2006/main" count="1544" uniqueCount="216">
  <si>
    <t>name</t>
  </si>
  <si>
    <t>value</t>
  </si>
  <si>
    <t>#0ac5a0</t>
  </si>
  <si>
    <t>#75e009</t>
  </si>
  <si>
    <t>#d7dc00</t>
  </si>
  <si>
    <t>#feb13e</t>
  </si>
  <si>
    <t>#ff4f5e</t>
  </si>
  <si>
    <t>#e50bdd</t>
  </si>
  <si>
    <t>#9600c8</t>
  </si>
  <si>
    <t>#8100ac</t>
  </si>
  <si>
    <t>#00c7b0</t>
  </si>
  <si>
    <t>#66cc00</t>
  </si>
  <si>
    <t>#c5c900</t>
  </si>
  <si>
    <t>#f09000</t>
  </si>
  <si>
    <t>#d600ce</t>
  </si>
  <si>
    <t>#7a3391</t>
  </si>
  <si>
    <t>#593266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</si>
  <si>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</si>
  <si>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</si>
  <si>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</si>
  <si>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</si>
  <si>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</si>
  <si>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</si>
  <si>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</si>
  <si>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</si>
  <si>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</si>
  <si>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</si>
  <si>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</si>
  <si>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</si>
  <si>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#3046d7</t>
  </si>
  <si>
    <t>#001ac7</t>
  </si>
  <si>
    <t>water</t>
  </si>
  <si>
    <t>#bfd9f2</t>
  </si>
  <si>
    <t>#8aa0b5</t>
  </si>
  <si>
    <t>input</t>
  </si>
  <si>
    <t>motorway</t>
  </si>
  <si>
    <t>#ffcc88</t>
  </si>
  <si>
    <t>#d6771e</t>
  </si>
  <si>
    <t>case</t>
  </si>
  <si>
    <t>#bf440f</t>
  </si>
  <si>
    <t>#000000</t>
  </si>
  <si>
    <t>#a15412</t>
  </si>
  <si>
    <t>trunk</t>
  </si>
  <si>
    <t>prop.detail2</t>
  </si>
  <si>
    <t>farzoom</t>
  </si>
  <si>
    <t>unpaved</t>
  </si>
  <si>
    <t>#634507</t>
  </si>
  <si>
    <t>#404040</t>
  </si>
  <si>
    <t>gr</t>
  </si>
  <si>
    <t>#df9a5e</t>
  </si>
  <si>
    <t>#c26d21</t>
  </si>
  <si>
    <t>bicycle_no</t>
  </si>
  <si>
    <t>paved_or_uk</t>
  </si>
  <si>
    <t>#ffeeaa</t>
  </si>
  <si>
    <t>#ffc72e</t>
  </si>
  <si>
    <t>#eddfca</t>
  </si>
  <si>
    <t>#ffffff</t>
  </si>
  <si>
    <t>primary</t>
  </si>
  <si>
    <t>#ffe16b</t>
  </si>
  <si>
    <t>secondary_tertiary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</si>
  <si>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</si>
  <si>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</si>
  <si>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</si>
  <si>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</si>
  <si>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</si>
  <si>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</si>
  <si>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</si>
  <si>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</si>
  <si>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#d28644</t>
  </si>
  <si>
    <t>footway</t>
  </si>
  <si>
    <t>#a43820</t>
  </si>
  <si>
    <t>obstacle</t>
  </si>
  <si>
    <t>vegetation</t>
  </si>
  <si>
    <t>surface</t>
  </si>
  <si>
    <t>mud</t>
  </si>
  <si>
    <t>#4a9100</t>
  </si>
  <si>
    <t>#0e84ed</t>
  </si>
  <si>
    <t>#006ecf</t>
  </si>
  <si>
    <t>mtb:scales</t>
  </si>
  <si>
    <t>cycleways and footways</t>
  </si>
  <si>
    <t>marker lines</t>
  </si>
  <si>
    <t>access</t>
  </si>
  <si>
    <t>no</t>
  </si>
  <si>
    <t>discouraged</t>
  </si>
  <si>
    <t>#ff003d</t>
  </si>
  <si>
    <t>#ff6a00</t>
  </si>
  <si>
    <t>#de5c00</t>
  </si>
  <si>
    <t>area fills</t>
  </si>
  <si>
    <t>roads: motorway</t>
  </si>
  <si>
    <t>roads: major</t>
  </si>
  <si>
    <t>roads: trunk</t>
  </si>
  <si>
    <t>roads:minor</t>
  </si>
  <si>
    <t>road: link</t>
  </si>
  <si>
    <t>#f7eeb7</t>
  </si>
  <si>
    <t>#edf2bb</t>
  </si>
  <si>
    <t>field</t>
  </si>
  <si>
    <t>meadow</t>
  </si>
  <si>
    <t>#f5e9a4</t>
  </si>
  <si>
    <t>#e6eda1</t>
  </si>
  <si>
    <t>bare_rock</t>
  </si>
  <si>
    <t>#d6d6d6</t>
  </si>
  <si>
    <t>sand</t>
  </si>
  <si>
    <t>#f5eebc</t>
  </si>
  <si>
    <t>allotments</t>
  </si>
  <si>
    <t>landcover</t>
  </si>
  <si>
    <t>#dee7c5</t>
  </si>
  <si>
    <t>#f2f5e9</t>
  </si>
  <si>
    <t>#e5f4d5</t>
  </si>
  <si>
    <t>heath_fell</t>
  </si>
  <si>
    <t>grass</t>
  </si>
  <si>
    <t>quarry</t>
  </si>
  <si>
    <t>storage</t>
  </si>
  <si>
    <t>#ebe2dd</t>
  </si>
  <si>
    <t>#d7d3ce</t>
  </si>
  <si>
    <t>wood</t>
  </si>
  <si>
    <t>#e9eddf</t>
  </si>
  <si>
    <t>parking_area</t>
  </si>
  <si>
    <t>#e6e6e6</t>
  </si>
  <si>
    <t>railway</t>
  </si>
  <si>
    <t>#eae6e1</t>
  </si>
  <si>
    <t>school</t>
  </si>
  <si>
    <t>#ebe4dd</t>
  </si>
  <si>
    <t>hospital</t>
  </si>
  <si>
    <t>#ebe0d6</t>
  </si>
  <si>
    <t>#e0e4dd</t>
  </si>
  <si>
    <t>cemetery</t>
  </si>
  <si>
    <t>industrial</t>
  </si>
  <si>
    <t>commercial</t>
  </si>
  <si>
    <t>residential</t>
  </si>
  <si>
    <t>built-up</t>
  </si>
  <si>
    <t>#f7f4f0</t>
  </si>
  <si>
    <t>background</t>
  </si>
  <si>
    <t>contours</t>
  </si>
  <si>
    <t>#916f4c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</si>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</sst>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sz val="8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</fonts>
  <fills count="63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001AC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DF9A5E"/>
        <bgColor indexed="64"/>
      </patternFill>
    </fill>
    <fill>
      <patternFill patternType="solid">
        <fgColor rgb="FFC26D21"/>
        <bgColor indexed="64"/>
      </patternFill>
    </fill>
    <fill>
      <patternFill patternType="solid">
        <fgColor rgb="FFFFEEAA"/>
        <bgColor indexed="64"/>
      </patternFill>
    </fill>
    <fill>
      <patternFill patternType="solid">
        <fgColor rgb="FFFFC72E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16B"/>
        <bgColor indexed="64"/>
      </patternFill>
    </fill>
    <fill>
      <patternFill patternType="solid">
        <fgColor rgb="FFD28644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006ECF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rgb="FFDE5C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4DD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97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12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0" fillId="14" borderId="0" xfId="0" applyFill="1" applyAlignment="1">
      <alignment horizontal="left"/>
    </xf>
    <xf numFmtId="0" fontId="0" fillId="15" borderId="0" xfId="0" applyFill="1" applyAlignment="1">
      <alignment horizontal="left"/>
    </xf>
    <xf numFmtId="0" fontId="0" fillId="16" borderId="0" xfId="0" applyFill="1" applyAlignment="1">
      <alignment horizontal="left"/>
    </xf>
    <xf numFmtId="0" fontId="0" fillId="17" borderId="0" xfId="0" applyFill="1" applyAlignment="1">
      <alignment horizontal="left"/>
    </xf>
    <xf numFmtId="0" fontId="0" fillId="18" borderId="0" xfId="0" applyFill="1" applyAlignment="1">
      <alignment horizontal="left"/>
    </xf>
    <xf numFmtId="0" fontId="0" fillId="19" borderId="0" xfId="0" applyFill="1" applyAlignment="1">
      <alignment horizontal="left"/>
    </xf>
    <xf numFmtId="0" fontId="0" fillId="20" borderId="0" xfId="0" applyFill="1" applyAlignment="1">
      <alignment horizontal="left"/>
    </xf>
    <xf numFmtId="0" fontId="0" fillId="21" borderId="0" xfId="0" applyFill="1" applyAlignment="1">
      <alignment horizontal="left"/>
    </xf>
    <xf numFmtId="0" fontId="0" fillId="22" borderId="0" xfId="0" applyFill="1" applyAlignment="1">
      <alignment horizontal="left"/>
    </xf>
    <xf numFmtId="0" fontId="0" fillId="23" borderId="0" xfId="0" applyFill="1" applyAlignment="1">
      <alignment horizontal="left"/>
    </xf>
    <xf numFmtId="0" fontId="0" fillId="24" borderId="0" xfId="0" applyFill="1" applyAlignment="1">
      <alignment horizontal="left"/>
    </xf>
    <xf numFmtId="0" fontId="0" fillId="25" borderId="0" xfId="0" applyFill="1" applyAlignment="1">
      <alignment horizontal="left"/>
    </xf>
    <xf numFmtId="0" fontId="0" fillId="26" borderId="0" xfId="0" applyFill="1" applyAlignment="1">
      <alignment horizontal="left"/>
    </xf>
    <xf numFmtId="0" fontId="0" fillId="27" borderId="0" xfId="0" applyFill="1" applyAlignment="1">
      <alignment horizontal="left"/>
    </xf>
    <xf numFmtId="0" fontId="0" fillId="28" borderId="0" xfId="0" applyFill="1" applyAlignment="1">
      <alignment horizontal="left"/>
    </xf>
    <xf numFmtId="0" fontId="0" fillId="29" borderId="0" xfId="0" applyFill="1" applyAlignment="1">
      <alignment horizontal="left"/>
    </xf>
    <xf numFmtId="0" fontId="0" fillId="30" borderId="0" xfId="0" applyFill="1" applyAlignment="1">
      <alignment horizontal="left"/>
    </xf>
    <xf numFmtId="0" fontId="0" fillId="31" borderId="0" xfId="0" applyFill="1" applyAlignment="1">
      <alignment horizontal="left"/>
    </xf>
    <xf numFmtId="0" fontId="0" fillId="32" borderId="0" xfId="0" applyFill="1" applyAlignment="1">
      <alignment horizontal="left"/>
    </xf>
    <xf numFmtId="0" fontId="0" fillId="33" borderId="0" xfId="0" applyFill="1" applyAlignment="1">
      <alignment horizontal="left"/>
    </xf>
    <xf numFmtId="0" fontId="0" fillId="34" borderId="0" xfId="0" applyFill="1" applyAlignment="1">
      <alignment horizontal="left"/>
    </xf>
    <xf numFmtId="0" fontId="0" fillId="35" borderId="0" xfId="0" applyFill="1" applyAlignment="1">
      <alignment horizontal="left"/>
    </xf>
    <xf numFmtId="0" fontId="0" fillId="36" borderId="0" xfId="0" applyFill="1" applyAlignment="1">
      <alignment horizontal="left"/>
    </xf>
    <xf numFmtId="0" fontId="0" fillId="37" borderId="0" xfId="0" applyFill="1" applyAlignment="1">
      <alignment horizontal="left"/>
    </xf>
    <xf numFmtId="0" fontId="0" fillId="38" borderId="0" xfId="0" applyFill="1" applyAlignment="1">
      <alignment horizontal="left"/>
    </xf>
    <xf numFmtId="0" fontId="0" fillId="39" borderId="0" xfId="0" applyFill="1" applyAlignment="1">
      <alignment horizontal="left"/>
    </xf>
    <xf numFmtId="0" fontId="0" fillId="40" borderId="0" xfId="0" applyFill="1" applyAlignment="1">
      <alignment horizontal="left"/>
    </xf>
    <xf numFmtId="0" fontId="0" fillId="41" borderId="0" xfId="0" applyFill="1" applyAlignment="1">
      <alignment horizontal="left"/>
    </xf>
    <xf numFmtId="0" fontId="0" fillId="42" borderId="0" xfId="0" applyFill="1" applyAlignment="1">
      <alignment horizontal="left"/>
    </xf>
    <xf numFmtId="0" fontId="1" fillId="43" borderId="0" xfId="0" applyFont="1" applyFill="1" applyAlignment="1">
      <alignment horizontal="left"/>
    </xf>
    <xf numFmtId="0" fontId="0" fillId="43" borderId="0" xfId="0" applyFill="1" applyAlignment="1">
      <alignment horizontal="left"/>
    </xf>
    <xf numFmtId="0" fontId="0" fillId="44" borderId="0" xfId="0" applyFill="1" applyAlignment="1">
      <alignment horizontal="left"/>
    </xf>
    <xf numFmtId="0" fontId="0" fillId="45" borderId="0" xfId="0" applyFill="1" applyAlignment="1">
      <alignment horizontal="left"/>
    </xf>
    <xf numFmtId="0" fontId="0" fillId="46" borderId="0" xfId="0" applyFill="1" applyAlignment="1">
      <alignment horizontal="left"/>
    </xf>
    <xf numFmtId="0" fontId="0" fillId="47" borderId="0" xfId="0" applyFill="1" applyAlignment="1">
      <alignment horizontal="left"/>
    </xf>
    <xf numFmtId="0" fontId="0" fillId="48" borderId="0" xfId="0" applyFill="1" applyAlignment="1">
      <alignment horizontal="left"/>
    </xf>
    <xf numFmtId="0" fontId="0" fillId="49" borderId="0" xfId="0" applyFill="1" applyAlignment="1">
      <alignment horizontal="left"/>
    </xf>
    <xf numFmtId="0" fontId="0" fillId="50" borderId="0" xfId="0" applyFill="1" applyAlignment="1">
      <alignment horizontal="left"/>
    </xf>
    <xf numFmtId="0" fontId="0" fillId="51" borderId="0" xfId="0" applyFill="1" applyAlignment="1">
      <alignment horizontal="left"/>
    </xf>
    <xf numFmtId="0" fontId="0" fillId="52" borderId="0" xfId="0" applyFill="1" applyAlignment="1">
      <alignment horizontal="left"/>
    </xf>
    <xf numFmtId="0" fontId="0" fillId="53" borderId="0" xfId="0" applyFill="1" applyAlignment="1">
      <alignment horizontal="left"/>
    </xf>
    <xf numFmtId="0" fontId="0" fillId="54" borderId="0" xfId="0" applyFill="1" applyAlignment="1">
      <alignment horizontal="left"/>
    </xf>
    <xf numFmtId="0" fontId="0" fillId="55" borderId="0" xfId="0" applyFill="1" applyAlignment="1">
      <alignment horizontal="left"/>
    </xf>
    <xf numFmtId="0" fontId="0" fillId="56" borderId="0" xfId="0" applyFill="1" applyAlignment="1">
      <alignment horizontal="left"/>
    </xf>
    <xf numFmtId="0" fontId="0" fillId="57" borderId="0" xfId="0" applyFill="1" applyAlignment="1">
      <alignment horizontal="left"/>
    </xf>
    <xf numFmtId="0" fontId="0" fillId="58" borderId="0" xfId="0" applyFill="1" applyAlignment="1">
      <alignment horizontal="left"/>
    </xf>
    <xf numFmtId="0" fontId="0" fillId="59" borderId="0" xfId="0" applyFill="1" applyAlignment="1">
      <alignment horizontal="left"/>
    </xf>
    <xf numFmtId="0" fontId="0" fillId="60" borderId="0" xfId="0" applyFill="1" applyAlignment="1">
      <alignment horizontal="left"/>
    </xf>
    <xf numFmtId="0" fontId="0" fillId="61" borderId="0" xfId="0" applyFill="1" applyAlignment="1">
      <alignment horizontal="left"/>
    </xf>
    <xf numFmtId="0" fontId="0" fillId="62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43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43" borderId="0" xfId="0" applyFont="1" applyFill="1" applyBorder="1" applyAlignment="1">
      <alignment horizontal="left"/>
    </xf>
    <xf numFmtId="49" fontId="1" fillId="0" borderId="0" xfId="0" applyNumberFormat="1" applyFont="1" applyBorder="1" applyAlignment="1">
      <alignment horizontal="left"/>
    </xf>
    <xf numFmtId="49" fontId="0" fillId="43" borderId="0" xfId="0" applyNumberFormat="1" applyFill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0" fillId="0" borderId="0" xfId="0" applyBorder="1"/>
    <xf numFmtId="0" fontId="0" fillId="43" borderId="0" xfId="0" applyFill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43" borderId="2" xfId="0" applyFont="1" applyFill="1" applyBorder="1" applyAlignment="1">
      <alignment horizontal="left"/>
    </xf>
    <xf numFmtId="49" fontId="0" fillId="43" borderId="3" xfId="0" applyNumberFormat="1" applyFill="1" applyBorder="1" applyAlignment="1">
      <alignment horizontal="left"/>
    </xf>
    <xf numFmtId="49" fontId="0" fillId="43" borderId="1" xfId="0" applyNumberFormat="1" applyFill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2" xfId="0" applyFont="1" applyBorder="1" applyAlignment="1">
      <alignment horizontal="left"/>
    </xf>
    <xf numFmtId="49" fontId="0" fillId="0" borderId="0" xfId="0" applyNumberFormat="1" applyFont="1" applyBorder="1" applyAlignment="1">
      <alignment horizontal="left"/>
    </xf>
    <xf numFmtId="0" fontId="0" fillId="0" borderId="1" xfId="0" applyFont="1" applyBorder="1" applyAlignment="1">
      <alignment horizontal="left"/>
    </xf>
    <xf numFmtId="49" fontId="0" fillId="0" borderId="3" xfId="0" applyNumberFormat="1" applyFont="1" applyBorder="1" applyAlignment="1">
      <alignment horizontal="left"/>
    </xf>
    <xf numFmtId="0" fontId="0" fillId="0" borderId="0" xfId="0" applyFont="1" applyBorder="1"/>
    <xf numFmtId="49" fontId="3" fillId="0" borderId="0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Border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0" fontId="5" fillId="0" borderId="2" xfId="0" applyFont="1" applyBorder="1" applyAlignment="1">
      <alignment horizontal="left"/>
    </xf>
    <xf numFmtId="49" fontId="5" fillId="0" borderId="0" xfId="0" applyNumberFormat="1" applyFont="1" applyBorder="1" applyAlignment="1">
      <alignment horizontal="left"/>
    </xf>
    <xf numFmtId="0" fontId="5" fillId="0" borderId="1" xfId="0" applyFont="1" applyBorder="1" applyAlignment="1">
      <alignment horizontal="left"/>
    </xf>
    <xf numFmtId="49" fontId="4" fillId="0" borderId="3" xfId="0" applyNumberFormat="1" applyFont="1" applyBorder="1" applyAlignment="1">
      <alignment horizontal="left"/>
    </xf>
  </cellXfs>
  <cellStyles count="1">
    <cellStyle name="Normal" xfId="0" builtinId="0"/>
  </cellStyles>
  <dxfs count="1"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DB2C7-07D1-48C1-B266-4D7882029C60}">
  <sheetPr codeName="Sheet1"/>
  <dimension ref="A1:P176"/>
  <sheetViews>
    <sheetView tabSelected="1" workbookViewId="0">
      <selection activeCell="U49" sqref="U49"/>
    </sheetView>
  </sheetViews>
  <sheetFormatPr defaultRowHeight="13.5" x14ac:dyDescent="0.25"/>
  <cols>
    <col min="1" max="1" width="2.7109375" style="2" customWidth="1"/>
    <col min="2" max="2" width="62.28515625" style="2" customWidth="1"/>
    <col min="3" max="4" width="12.7109375" style="2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6384" width="9.140625" style="2"/>
  </cols>
  <sheetData>
    <row r="1" spans="1:16" s="1" customFormat="1" x14ac:dyDescent="0.25">
      <c r="B1" s="1" t="s">
        <v>0</v>
      </c>
      <c r="C1" s="1" t="s">
        <v>1</v>
      </c>
      <c r="D1" s="1" t="s">
        <v>34</v>
      </c>
      <c r="F1" s="1" t="s">
        <v>18</v>
      </c>
      <c r="H1" s="1" t="s">
        <v>17</v>
      </c>
      <c r="J1" s="1" t="s">
        <v>23</v>
      </c>
      <c r="L1" s="1" t="s">
        <v>43</v>
      </c>
      <c r="N1" s="1" t="s">
        <v>19</v>
      </c>
      <c r="P1" s="1" t="s">
        <v>20</v>
      </c>
    </row>
    <row r="2" spans="1:16" s="1" customFormat="1" x14ac:dyDescent="0.25">
      <c r="A2" s="44" t="s">
        <v>78</v>
      </c>
      <c r="B2" s="44"/>
      <c r="C2" s="44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</row>
    <row r="3" spans="1:16" x14ac:dyDescent="0.25">
      <c r="B3" s="1" t="str">
        <f>_xlfn.CONCAT("@",F3,G3,H3,I3,J3,K3,L3,M3,"(",N3,O3,P3,")")</f>
        <v>@color-mtb:scale_0--(def)</v>
      </c>
      <c r="C3" s="1" t="str">
        <f>_xlfn.CONCAT("""",D3,"""")</f>
        <v>"#0ac5a0"</v>
      </c>
      <c r="D3" s="3" t="s">
        <v>2</v>
      </c>
      <c r="F3" s="2" t="s">
        <v>21</v>
      </c>
      <c r="G3" s="2" t="str">
        <f>IF(NOT(ISBLANK(H3)),"-","")</f>
        <v>-</v>
      </c>
      <c r="H3" s="2" t="s">
        <v>22</v>
      </c>
      <c r="I3" s="2" t="str">
        <f t="shared" ref="I3:I19" si="0">IF(NOT(ISBLANK(J3)),"_","")</f>
        <v>_</v>
      </c>
      <c r="J3" s="2" t="s">
        <v>24</v>
      </c>
      <c r="K3" s="2" t="str">
        <f t="shared" ref="K3:K19" si="1">IF(NOT(ISBLANK(L3)),"_","")</f>
        <v/>
      </c>
      <c r="M3" s="2" t="str">
        <f t="shared" ref="M3:M24" si="2">IF(NOT(ISBLANK(N3)),"-","")</f>
        <v>-</v>
      </c>
      <c r="N3" s="2" t="s">
        <v>25</v>
      </c>
      <c r="O3" s="2" t="str">
        <f t="shared" ref="O3:O19" si="3">IF(NOT(ISBLANK(P3)),"-","")</f>
        <v/>
      </c>
    </row>
    <row r="4" spans="1:16" x14ac:dyDescent="0.25">
      <c r="B4" s="1" t="str">
        <f t="shared" ref="B4:B126" si="4">_xlfn.CONCAT("@",F4,G4,H4,I4,J4,K4,L4,M4,"(",N4,O4,P4,")")</f>
        <v>@color-mtb:scale_0-(def)</v>
      </c>
      <c r="C4" s="1" t="str">
        <f t="shared" ref="C4:C126" si="5">_xlfn.CONCAT("""",D4,"""")</f>
        <v>"#75e009"</v>
      </c>
      <c r="D4" s="4" t="s">
        <v>3</v>
      </c>
      <c r="F4" s="2" t="s">
        <v>21</v>
      </c>
      <c r="G4" s="2" t="str">
        <f t="shared" ref="G4:G24" si="6">IF(NOT(ISBLANK(H4)),"-","")</f>
        <v>-</v>
      </c>
      <c r="H4" s="2" t="s">
        <v>22</v>
      </c>
      <c r="I4" s="2" t="str">
        <f t="shared" si="0"/>
        <v>_</v>
      </c>
      <c r="J4" s="2">
        <v>0</v>
      </c>
      <c r="K4" s="2" t="str">
        <f t="shared" si="1"/>
        <v/>
      </c>
      <c r="M4" s="2" t="str">
        <f t="shared" si="2"/>
        <v>-</v>
      </c>
      <c r="N4" s="2" t="s">
        <v>25</v>
      </c>
      <c r="O4" s="2" t="str">
        <f t="shared" si="3"/>
        <v/>
      </c>
    </row>
    <row r="5" spans="1:16" x14ac:dyDescent="0.25">
      <c r="B5" s="1" t="str">
        <f t="shared" si="4"/>
        <v>@color-mtb:scale_1-(def)</v>
      </c>
      <c r="C5" s="1" t="str">
        <f t="shared" si="5"/>
        <v>"#d7dc00"</v>
      </c>
      <c r="D5" s="5" t="s">
        <v>4</v>
      </c>
      <c r="F5" s="2" t="s">
        <v>21</v>
      </c>
      <c r="G5" s="2" t="str">
        <f t="shared" si="6"/>
        <v>-</v>
      </c>
      <c r="H5" s="2" t="s">
        <v>22</v>
      </c>
      <c r="I5" s="2" t="str">
        <f t="shared" si="0"/>
        <v>_</v>
      </c>
      <c r="J5" s="2">
        <v>1</v>
      </c>
      <c r="K5" s="2" t="str">
        <f t="shared" si="1"/>
        <v/>
      </c>
      <c r="M5" s="2" t="str">
        <f t="shared" si="2"/>
        <v>-</v>
      </c>
      <c r="N5" s="2" t="s">
        <v>25</v>
      </c>
      <c r="O5" s="2" t="str">
        <f t="shared" si="3"/>
        <v/>
      </c>
    </row>
    <row r="6" spans="1:16" x14ac:dyDescent="0.25">
      <c r="B6" s="1" t="str">
        <f t="shared" si="4"/>
        <v>@color-mtb:scale_2-(def)</v>
      </c>
      <c r="C6" s="1" t="str">
        <f t="shared" si="5"/>
        <v>"#feb13e"</v>
      </c>
      <c r="D6" s="6" t="s">
        <v>5</v>
      </c>
      <c r="F6" s="2" t="s">
        <v>21</v>
      </c>
      <c r="G6" s="2" t="str">
        <f t="shared" si="6"/>
        <v>-</v>
      </c>
      <c r="H6" s="2" t="s">
        <v>22</v>
      </c>
      <c r="I6" s="2" t="str">
        <f t="shared" si="0"/>
        <v>_</v>
      </c>
      <c r="J6" s="2">
        <v>2</v>
      </c>
      <c r="K6" s="2" t="str">
        <f t="shared" si="1"/>
        <v/>
      </c>
      <c r="M6" s="2" t="str">
        <f t="shared" si="2"/>
        <v>-</v>
      </c>
      <c r="N6" s="2" t="s">
        <v>25</v>
      </c>
      <c r="O6" s="2" t="str">
        <f t="shared" si="3"/>
        <v/>
      </c>
    </row>
    <row r="7" spans="1:16" x14ac:dyDescent="0.25">
      <c r="B7" s="1" t="str">
        <f t="shared" si="4"/>
        <v>@color-mtb:scale_3-(def)</v>
      </c>
      <c r="C7" s="1" t="str">
        <f t="shared" si="5"/>
        <v>"#ff4f5e"</v>
      </c>
      <c r="D7" s="7" t="s">
        <v>6</v>
      </c>
      <c r="F7" s="2" t="s">
        <v>21</v>
      </c>
      <c r="G7" s="2" t="str">
        <f t="shared" si="6"/>
        <v>-</v>
      </c>
      <c r="H7" s="2" t="s">
        <v>22</v>
      </c>
      <c r="I7" s="2" t="str">
        <f t="shared" si="0"/>
        <v>_</v>
      </c>
      <c r="J7" s="2">
        <v>3</v>
      </c>
      <c r="K7" s="2" t="str">
        <f t="shared" si="1"/>
        <v/>
      </c>
      <c r="M7" s="2" t="str">
        <f t="shared" si="2"/>
        <v>-</v>
      </c>
      <c r="N7" s="2" t="s">
        <v>25</v>
      </c>
      <c r="O7" s="2" t="str">
        <f t="shared" si="3"/>
        <v/>
      </c>
    </row>
    <row r="8" spans="1:16" x14ac:dyDescent="0.25">
      <c r="B8" s="1" t="str">
        <f t="shared" si="4"/>
        <v>@color-mtb:scale_4-(def)</v>
      </c>
      <c r="C8" s="1" t="str">
        <f t="shared" si="5"/>
        <v>"#e50bdd"</v>
      </c>
      <c r="D8" s="8" t="s">
        <v>7</v>
      </c>
      <c r="F8" s="2" t="s">
        <v>21</v>
      </c>
      <c r="G8" s="2" t="str">
        <f t="shared" si="6"/>
        <v>-</v>
      </c>
      <c r="H8" s="2" t="s">
        <v>22</v>
      </c>
      <c r="I8" s="2" t="str">
        <f t="shared" si="0"/>
        <v>_</v>
      </c>
      <c r="J8" s="2">
        <v>4</v>
      </c>
      <c r="K8" s="2" t="str">
        <f t="shared" si="1"/>
        <v/>
      </c>
      <c r="M8" s="2" t="str">
        <f t="shared" si="2"/>
        <v>-</v>
      </c>
      <c r="N8" s="2" t="s">
        <v>25</v>
      </c>
      <c r="O8" s="2" t="str">
        <f t="shared" si="3"/>
        <v/>
      </c>
    </row>
    <row r="9" spans="1:16" x14ac:dyDescent="0.25">
      <c r="B9" s="1" t="str">
        <f t="shared" si="4"/>
        <v>@color-mtb:scale_5-(def)</v>
      </c>
      <c r="C9" s="1" t="str">
        <f t="shared" si="5"/>
        <v>"#9600c8"</v>
      </c>
      <c r="D9" s="9" t="s">
        <v>8</v>
      </c>
      <c r="F9" s="2" t="s">
        <v>21</v>
      </c>
      <c r="G9" s="2" t="str">
        <f t="shared" si="6"/>
        <v>-</v>
      </c>
      <c r="H9" s="2" t="s">
        <v>22</v>
      </c>
      <c r="I9" s="2" t="str">
        <f t="shared" si="0"/>
        <v>_</v>
      </c>
      <c r="J9" s="2">
        <v>5</v>
      </c>
      <c r="K9" s="2" t="str">
        <f t="shared" si="1"/>
        <v/>
      </c>
      <c r="M9" s="2" t="str">
        <f t="shared" si="2"/>
        <v>-</v>
      </c>
      <c r="N9" s="2" t="s">
        <v>25</v>
      </c>
      <c r="O9" s="2" t="str">
        <f t="shared" si="3"/>
        <v/>
      </c>
    </row>
    <row r="10" spans="1:16" x14ac:dyDescent="0.25">
      <c r="B10" s="1" t="str">
        <f t="shared" si="4"/>
        <v>@color-mtb:scale_6-(def)</v>
      </c>
      <c r="C10" s="1" t="str">
        <f t="shared" si="5"/>
        <v>"#8100ac"</v>
      </c>
      <c r="D10" s="10" t="s">
        <v>9</v>
      </c>
      <c r="F10" s="2" t="s">
        <v>21</v>
      </c>
      <c r="G10" s="2" t="str">
        <f t="shared" si="6"/>
        <v>-</v>
      </c>
      <c r="H10" s="2" t="s">
        <v>22</v>
      </c>
      <c r="I10" s="2" t="str">
        <f t="shared" si="0"/>
        <v>_</v>
      </c>
      <c r="J10" s="2">
        <v>6</v>
      </c>
      <c r="K10" s="2" t="str">
        <f t="shared" si="1"/>
        <v/>
      </c>
      <c r="M10" s="2" t="str">
        <f t="shared" si="2"/>
        <v>-</v>
      </c>
      <c r="N10" s="2" t="s">
        <v>25</v>
      </c>
      <c r="O10" s="2" t="str">
        <f t="shared" si="3"/>
        <v/>
      </c>
    </row>
    <row r="11" spans="1:16" x14ac:dyDescent="0.25">
      <c r="B11" s="1"/>
      <c r="C11" s="1"/>
    </row>
    <row r="12" spans="1:16" x14ac:dyDescent="0.25">
      <c r="B12" s="1" t="str">
        <f t="shared" si="4"/>
        <v>@color-mtb:scale_0--(def-hc)</v>
      </c>
      <c r="C12" s="1" t="str">
        <f t="shared" si="5"/>
        <v>"#00c7b0"</v>
      </c>
      <c r="D12" s="11" t="s">
        <v>10</v>
      </c>
      <c r="F12" s="2" t="s">
        <v>21</v>
      </c>
      <c r="G12" s="2" t="str">
        <f t="shared" si="6"/>
        <v>-</v>
      </c>
      <c r="H12" s="2" t="s">
        <v>22</v>
      </c>
      <c r="I12" s="2" t="str">
        <f t="shared" si="0"/>
        <v>_</v>
      </c>
      <c r="J12" s="2" t="s">
        <v>24</v>
      </c>
      <c r="K12" s="2" t="str">
        <f t="shared" si="1"/>
        <v/>
      </c>
      <c r="M12" s="2" t="str">
        <f t="shared" si="2"/>
        <v>-</v>
      </c>
      <c r="N12" s="2" t="s">
        <v>25</v>
      </c>
      <c r="O12" s="2" t="str">
        <f t="shared" si="3"/>
        <v>-</v>
      </c>
      <c r="P12" s="2" t="s">
        <v>26</v>
      </c>
    </row>
    <row r="13" spans="1:16" x14ac:dyDescent="0.25">
      <c r="B13" s="1" t="str">
        <f t="shared" si="4"/>
        <v>@color-mtb:scale_0-(def-hc)</v>
      </c>
      <c r="C13" s="1" t="str">
        <f t="shared" si="5"/>
        <v>"#66cc00"</v>
      </c>
      <c r="D13" s="12" t="s">
        <v>11</v>
      </c>
      <c r="F13" s="2" t="s">
        <v>21</v>
      </c>
      <c r="G13" s="2" t="str">
        <f t="shared" si="6"/>
        <v>-</v>
      </c>
      <c r="H13" s="2" t="s">
        <v>22</v>
      </c>
      <c r="I13" s="2" t="str">
        <f t="shared" si="0"/>
        <v>_</v>
      </c>
      <c r="J13" s="2">
        <v>0</v>
      </c>
      <c r="K13" s="2" t="str">
        <f t="shared" si="1"/>
        <v/>
      </c>
      <c r="M13" s="2" t="str">
        <f t="shared" si="2"/>
        <v>-</v>
      </c>
      <c r="N13" s="2" t="s">
        <v>25</v>
      </c>
      <c r="O13" s="2" t="str">
        <f t="shared" si="3"/>
        <v>-</v>
      </c>
      <c r="P13" s="2" t="s">
        <v>26</v>
      </c>
    </row>
    <row r="14" spans="1:16" x14ac:dyDescent="0.25">
      <c r="B14" s="1" t="str">
        <f t="shared" si="4"/>
        <v>@color-mtb:scale_1-(def-hc)</v>
      </c>
      <c r="C14" s="1" t="str">
        <f t="shared" si="5"/>
        <v>"#c5c900"</v>
      </c>
      <c r="D14" s="13" t="s">
        <v>12</v>
      </c>
      <c r="F14" s="2" t="s">
        <v>21</v>
      </c>
      <c r="G14" s="2" t="str">
        <f t="shared" si="6"/>
        <v>-</v>
      </c>
      <c r="H14" s="2" t="s">
        <v>22</v>
      </c>
      <c r="I14" s="2" t="str">
        <f t="shared" si="0"/>
        <v>_</v>
      </c>
      <c r="J14" s="2">
        <v>1</v>
      </c>
      <c r="K14" s="2" t="str">
        <f t="shared" si="1"/>
        <v/>
      </c>
      <c r="M14" s="2" t="str">
        <f t="shared" si="2"/>
        <v>-</v>
      </c>
      <c r="N14" s="2" t="s">
        <v>25</v>
      </c>
      <c r="O14" s="2" t="str">
        <f t="shared" si="3"/>
        <v>-</v>
      </c>
      <c r="P14" s="2" t="s">
        <v>26</v>
      </c>
    </row>
    <row r="15" spans="1:16" x14ac:dyDescent="0.25">
      <c r="B15" s="1" t="str">
        <f t="shared" si="4"/>
        <v>@color-mtb:scale_2-(def-hc)</v>
      </c>
      <c r="C15" s="1" t="str">
        <f t="shared" si="5"/>
        <v>"#f09000"</v>
      </c>
      <c r="D15" s="14" t="s">
        <v>13</v>
      </c>
      <c r="F15" s="2" t="s">
        <v>21</v>
      </c>
      <c r="G15" s="2" t="str">
        <f t="shared" si="6"/>
        <v>-</v>
      </c>
      <c r="H15" s="2" t="s">
        <v>22</v>
      </c>
      <c r="I15" s="2" t="str">
        <f t="shared" si="0"/>
        <v>_</v>
      </c>
      <c r="J15" s="2">
        <v>2</v>
      </c>
      <c r="K15" s="2" t="str">
        <f t="shared" si="1"/>
        <v/>
      </c>
      <c r="M15" s="2" t="str">
        <f t="shared" si="2"/>
        <v>-</v>
      </c>
      <c r="N15" s="2" t="s">
        <v>25</v>
      </c>
      <c r="O15" s="2" t="str">
        <f t="shared" si="3"/>
        <v>-</v>
      </c>
      <c r="P15" s="2" t="s">
        <v>26</v>
      </c>
    </row>
    <row r="16" spans="1:16" x14ac:dyDescent="0.25">
      <c r="B16" s="1" t="str">
        <f t="shared" si="4"/>
        <v>@color-mtb:scale_3-(def-hc)</v>
      </c>
      <c r="C16" s="1" t="str">
        <f t="shared" si="5"/>
        <v>"#ff4f5e"</v>
      </c>
      <c r="D16" s="7" t="s">
        <v>6</v>
      </c>
      <c r="F16" s="2" t="s">
        <v>21</v>
      </c>
      <c r="G16" s="2" t="str">
        <f t="shared" si="6"/>
        <v>-</v>
      </c>
      <c r="H16" s="2" t="s">
        <v>22</v>
      </c>
      <c r="I16" s="2" t="str">
        <f t="shared" si="0"/>
        <v>_</v>
      </c>
      <c r="J16" s="2">
        <v>3</v>
      </c>
      <c r="K16" s="2" t="str">
        <f t="shared" si="1"/>
        <v/>
      </c>
      <c r="M16" s="2" t="str">
        <f t="shared" si="2"/>
        <v>-</v>
      </c>
      <c r="N16" s="2" t="s">
        <v>25</v>
      </c>
      <c r="O16" s="2" t="str">
        <f t="shared" si="3"/>
        <v>-</v>
      </c>
      <c r="P16" s="2" t="s">
        <v>26</v>
      </c>
    </row>
    <row r="17" spans="1:16" x14ac:dyDescent="0.25">
      <c r="B17" s="1" t="str">
        <f t="shared" si="4"/>
        <v>@color-mtb:scale_4-(def-hc)</v>
      </c>
      <c r="C17" s="1" t="str">
        <f t="shared" si="5"/>
        <v>"#d600ce"</v>
      </c>
      <c r="D17" s="15" t="s">
        <v>14</v>
      </c>
      <c r="F17" s="2" t="s">
        <v>21</v>
      </c>
      <c r="G17" s="2" t="str">
        <f t="shared" si="6"/>
        <v>-</v>
      </c>
      <c r="H17" s="2" t="s">
        <v>22</v>
      </c>
      <c r="I17" s="2" t="str">
        <f t="shared" si="0"/>
        <v>_</v>
      </c>
      <c r="J17" s="2">
        <v>4</v>
      </c>
      <c r="K17" s="2" t="str">
        <f t="shared" si="1"/>
        <v/>
      </c>
      <c r="M17" s="2" t="str">
        <f t="shared" si="2"/>
        <v>-</v>
      </c>
      <c r="N17" s="2" t="s">
        <v>25</v>
      </c>
      <c r="O17" s="2" t="str">
        <f t="shared" si="3"/>
        <v>-</v>
      </c>
      <c r="P17" s="2" t="s">
        <v>26</v>
      </c>
    </row>
    <row r="18" spans="1:16" x14ac:dyDescent="0.25">
      <c r="B18" s="1" t="str">
        <f t="shared" si="4"/>
        <v>@color-mtb:scale_5-(def-hc)</v>
      </c>
      <c r="C18" s="1" t="str">
        <f t="shared" si="5"/>
        <v>"#7a3391"</v>
      </c>
      <c r="D18" s="16" t="s">
        <v>15</v>
      </c>
      <c r="F18" s="2" t="s">
        <v>21</v>
      </c>
      <c r="G18" s="2" t="str">
        <f t="shared" si="6"/>
        <v>-</v>
      </c>
      <c r="H18" s="2" t="s">
        <v>22</v>
      </c>
      <c r="I18" s="2" t="str">
        <f t="shared" si="0"/>
        <v>_</v>
      </c>
      <c r="J18" s="2">
        <v>5</v>
      </c>
      <c r="K18" s="2" t="str">
        <f t="shared" si="1"/>
        <v/>
      </c>
      <c r="M18" s="2" t="str">
        <f t="shared" si="2"/>
        <v>-</v>
      </c>
      <c r="N18" s="2" t="s">
        <v>25</v>
      </c>
      <c r="O18" s="2" t="str">
        <f t="shared" si="3"/>
        <v>-</v>
      </c>
      <c r="P18" s="2" t="s">
        <v>26</v>
      </c>
    </row>
    <row r="19" spans="1:16" x14ac:dyDescent="0.25">
      <c r="B19" s="1" t="str">
        <f t="shared" si="4"/>
        <v>@color-mtb:scale_6-(def-hc)</v>
      </c>
      <c r="C19" s="1" t="str">
        <f t="shared" si="5"/>
        <v>"#593266"</v>
      </c>
      <c r="D19" s="17" t="s">
        <v>16</v>
      </c>
      <c r="F19" s="2" t="s">
        <v>21</v>
      </c>
      <c r="G19" s="2" t="str">
        <f t="shared" si="6"/>
        <v>-</v>
      </c>
      <c r="H19" s="2" t="s">
        <v>22</v>
      </c>
      <c r="I19" s="2" t="str">
        <f t="shared" si="0"/>
        <v>_</v>
      </c>
      <c r="J19" s="2">
        <v>6</v>
      </c>
      <c r="K19" s="2" t="str">
        <f t="shared" si="1"/>
        <v/>
      </c>
      <c r="M19" s="2" t="str">
        <f t="shared" si="2"/>
        <v>-</v>
      </c>
      <c r="N19" s="2" t="s">
        <v>25</v>
      </c>
      <c r="O19" s="2" t="str">
        <f t="shared" si="3"/>
        <v>-</v>
      </c>
      <c r="P19" s="2" t="s">
        <v>26</v>
      </c>
    </row>
    <row r="20" spans="1:16" x14ac:dyDescent="0.25">
      <c r="B20" s="1"/>
      <c r="C20" s="1"/>
    </row>
    <row r="21" spans="1:16" x14ac:dyDescent="0.25">
      <c r="A21" s="44" t="s">
        <v>79</v>
      </c>
      <c r="B21" s="44"/>
      <c r="C21" s="44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</row>
    <row r="22" spans="1:16" x14ac:dyDescent="0.25">
      <c r="B22" s="1" t="str">
        <f t="shared" si="4"/>
        <v>@color-cycleway_line-(def)</v>
      </c>
      <c r="C22" s="1" t="str">
        <f t="shared" si="5"/>
        <v>"#3046d7"</v>
      </c>
      <c r="D22" s="18" t="s">
        <v>29</v>
      </c>
      <c r="F22" s="2" t="s">
        <v>21</v>
      </c>
      <c r="G22" s="2" t="str">
        <f t="shared" si="6"/>
        <v>-</v>
      </c>
      <c r="H22" s="2" t="s">
        <v>27</v>
      </c>
      <c r="I22" s="2" t="str">
        <f>IF(NOT(ISBLANK(J22)),"_","")</f>
        <v>_</v>
      </c>
      <c r="J22" s="2" t="s">
        <v>28</v>
      </c>
      <c r="K22" s="2" t="str">
        <f>IF(NOT(ISBLANK(L22)),"_","")</f>
        <v/>
      </c>
      <c r="M22" s="2" t="str">
        <f t="shared" si="2"/>
        <v>-</v>
      </c>
      <c r="N22" s="2" t="s">
        <v>25</v>
      </c>
      <c r="O22" s="2" t="str">
        <f t="shared" ref="G22:O125" si="7">IF(NOT(ISBLANK(P22)),"-","")</f>
        <v/>
      </c>
    </row>
    <row r="23" spans="1:16" x14ac:dyDescent="0.25">
      <c r="B23" s="1" t="str">
        <f t="shared" si="4"/>
        <v>@color-cycleway_line-(def-hc)</v>
      </c>
      <c r="C23" s="1" t="str">
        <f t="shared" si="5"/>
        <v>"#001ac7"</v>
      </c>
      <c r="D23" s="19" t="s">
        <v>30</v>
      </c>
      <c r="F23" s="2" t="s">
        <v>21</v>
      </c>
      <c r="G23" s="2" t="str">
        <f t="shared" si="7"/>
        <v>-</v>
      </c>
      <c r="H23" s="2" t="s">
        <v>27</v>
      </c>
      <c r="I23" s="2" t="str">
        <f>IF(NOT(ISBLANK(J23)),"_","")</f>
        <v>_</v>
      </c>
      <c r="J23" s="2" t="s">
        <v>28</v>
      </c>
      <c r="K23" s="2" t="str">
        <f>IF(NOT(ISBLANK(L23)),"_","")</f>
        <v/>
      </c>
      <c r="M23" s="2" t="str">
        <f t="shared" si="7"/>
        <v>-</v>
      </c>
      <c r="N23" s="2" t="s">
        <v>25</v>
      </c>
      <c r="O23" s="2" t="str">
        <f t="shared" si="7"/>
        <v>-</v>
      </c>
      <c r="P23" s="2" t="s">
        <v>26</v>
      </c>
    </row>
    <row r="24" spans="1:16" x14ac:dyDescent="0.25">
      <c r="B24" s="1" t="str">
        <f t="shared" ref="B24:B25" si="8">_xlfn.CONCAT("@",F24,G24,H24,I24,J24,K24,L24,M24,"(",N24,O24,P24,")")</f>
        <v>@color-footway_line-(def)</v>
      </c>
      <c r="C24" s="1" t="str">
        <f t="shared" ref="C24:C25" si="9">_xlfn.CONCAT("""",D24,"""")</f>
        <v>"#a43820"</v>
      </c>
      <c r="D24" s="37" t="s">
        <v>70</v>
      </c>
      <c r="F24" s="2" t="s">
        <v>21</v>
      </c>
      <c r="G24" s="2" t="str">
        <f t="shared" si="6"/>
        <v>-</v>
      </c>
      <c r="H24" s="2" t="s">
        <v>69</v>
      </c>
      <c r="I24" s="2" t="str">
        <f>IF(NOT(ISBLANK(J24)),"_","")</f>
        <v>_</v>
      </c>
      <c r="J24" s="2" t="s">
        <v>28</v>
      </c>
      <c r="K24" s="2" t="str">
        <f>IF(NOT(ISBLANK(L24)),"_","")</f>
        <v/>
      </c>
      <c r="M24" s="2" t="str">
        <f t="shared" si="2"/>
        <v>-</v>
      </c>
      <c r="N24" s="2" t="s">
        <v>25</v>
      </c>
      <c r="O24" s="2" t="str">
        <f t="shared" si="7"/>
        <v/>
      </c>
    </row>
    <row r="25" spans="1:16" x14ac:dyDescent="0.25">
      <c r="B25" s="1" t="str">
        <f t="shared" si="8"/>
        <v>@color-footway_line-(def-hc)</v>
      </c>
      <c r="C25" s="1" t="str">
        <f t="shared" si="9"/>
        <v>"#a43820"</v>
      </c>
      <c r="D25" s="37" t="s">
        <v>70</v>
      </c>
      <c r="F25" s="2" t="s">
        <v>21</v>
      </c>
      <c r="G25" s="2" t="str">
        <f t="shared" si="7"/>
        <v>-</v>
      </c>
      <c r="H25" s="2" t="s">
        <v>69</v>
      </c>
      <c r="I25" s="2" t="str">
        <f>IF(NOT(ISBLANK(J25)),"_","")</f>
        <v>_</v>
      </c>
      <c r="J25" s="2" t="s">
        <v>28</v>
      </c>
      <c r="K25" s="2" t="str">
        <f>IF(NOT(ISBLANK(L25)),"_","")</f>
        <v/>
      </c>
      <c r="M25" s="2" t="str">
        <f t="shared" si="7"/>
        <v>-</v>
      </c>
      <c r="N25" s="2" t="s">
        <v>25</v>
      </c>
      <c r="O25" s="2" t="str">
        <f t="shared" si="7"/>
        <v>-</v>
      </c>
      <c r="P25" s="2" t="s">
        <v>26</v>
      </c>
    </row>
    <row r="26" spans="1:16" x14ac:dyDescent="0.25">
      <c r="B26" s="1"/>
      <c r="C26" s="1"/>
    </row>
    <row r="27" spans="1:16" x14ac:dyDescent="0.25">
      <c r="A27" s="44" t="s">
        <v>80</v>
      </c>
      <c r="B27" s="44"/>
      <c r="C27" s="44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</row>
    <row r="28" spans="1:16" x14ac:dyDescent="0.25">
      <c r="B28" s="1" t="str">
        <f t="shared" ref="B28:B32" si="10">_xlfn.CONCAT("@",F28,G28,H28,I28,J28,K28,L28,M28,"(",N28,O28,P28,")")</f>
        <v>@color-obstacle-vegetation-(def)</v>
      </c>
      <c r="C28" s="1" t="str">
        <f t="shared" ref="C28:C32" si="11">_xlfn.CONCAT("""",D28,"""")</f>
        <v>"#4a9100"</v>
      </c>
      <c r="D28" s="38" t="s">
        <v>75</v>
      </c>
      <c r="F28" s="2" t="s">
        <v>21</v>
      </c>
      <c r="G28" s="2" t="str">
        <f t="shared" ref="G28:G32" si="12">IF(NOT(ISBLANK(H28)),"-","")</f>
        <v>-</v>
      </c>
      <c r="H28" s="2" t="s">
        <v>71</v>
      </c>
      <c r="I28" s="2" t="str">
        <f t="shared" ref="I28" si="13">IF(NOT(ISBLANK(J28)),"-","")</f>
        <v>-</v>
      </c>
      <c r="J28" s="2" t="s">
        <v>72</v>
      </c>
      <c r="K28" s="2" t="str">
        <f t="shared" ref="K28:K32" si="14">IF(NOT(ISBLANK(L28)),"-","")</f>
        <v/>
      </c>
      <c r="M28" s="2" t="str">
        <f t="shared" ref="M28:M32" si="15">IF(NOT(ISBLANK(N28)),"-","")</f>
        <v>-</v>
      </c>
      <c r="N28" s="2" t="s">
        <v>25</v>
      </c>
      <c r="O28" s="2" t="str">
        <f t="shared" ref="O28:O32" si="16">IF(NOT(ISBLANK(P28)),"-","")</f>
        <v/>
      </c>
    </row>
    <row r="29" spans="1:16" x14ac:dyDescent="0.25">
      <c r="B29" s="1" t="str">
        <f t="shared" si="10"/>
        <v>@color-obstacle-vegetation-(def-hc)</v>
      </c>
      <c r="C29" s="1" t="str">
        <f t="shared" si="11"/>
        <v>"#4a9100"</v>
      </c>
      <c r="D29" s="38" t="s">
        <v>75</v>
      </c>
      <c r="F29" s="2" t="s">
        <v>21</v>
      </c>
      <c r="G29" s="2" t="str">
        <f t="shared" si="12"/>
        <v>-</v>
      </c>
      <c r="H29" s="2" t="s">
        <v>71</v>
      </c>
      <c r="I29" s="2" t="str">
        <f t="shared" ref="I29" si="17">IF(NOT(ISBLANK(J29)),"-","")</f>
        <v>-</v>
      </c>
      <c r="J29" s="2" t="s">
        <v>72</v>
      </c>
      <c r="K29" s="2" t="str">
        <f t="shared" si="14"/>
        <v/>
      </c>
      <c r="M29" s="2" t="str">
        <f t="shared" si="15"/>
        <v>-</v>
      </c>
      <c r="N29" s="2" t="s">
        <v>25</v>
      </c>
      <c r="O29" s="2" t="str">
        <f t="shared" si="16"/>
        <v>-</v>
      </c>
      <c r="P29" s="2" t="s">
        <v>26</v>
      </c>
    </row>
    <row r="30" spans="1:16" x14ac:dyDescent="0.25">
      <c r="B30" s="1"/>
      <c r="C30" s="1"/>
    </row>
    <row r="31" spans="1:16" x14ac:dyDescent="0.25">
      <c r="B31" s="1" t="str">
        <f t="shared" si="10"/>
        <v>@color-surface-mud-(def)</v>
      </c>
      <c r="C31" s="1" t="str">
        <f t="shared" si="11"/>
        <v>"#0e84ed"</v>
      </c>
      <c r="D31" s="39" t="s">
        <v>76</v>
      </c>
      <c r="F31" s="2" t="s">
        <v>21</v>
      </c>
      <c r="G31" s="2" t="str">
        <f t="shared" si="12"/>
        <v>-</v>
      </c>
      <c r="H31" s="2" t="s">
        <v>73</v>
      </c>
      <c r="I31" s="2" t="str">
        <f t="shared" ref="I31" si="18">IF(NOT(ISBLANK(J31)),"-","")</f>
        <v>-</v>
      </c>
      <c r="J31" s="2" t="s">
        <v>74</v>
      </c>
      <c r="K31" s="2" t="str">
        <f t="shared" si="14"/>
        <v/>
      </c>
      <c r="M31" s="2" t="str">
        <f t="shared" si="15"/>
        <v>-</v>
      </c>
      <c r="N31" s="2" t="s">
        <v>25</v>
      </c>
      <c r="O31" s="2" t="str">
        <f t="shared" si="16"/>
        <v/>
      </c>
    </row>
    <row r="32" spans="1:16" x14ac:dyDescent="0.25">
      <c r="B32" s="1" t="str">
        <f t="shared" si="10"/>
        <v>@color-surface-mud-(def-hc)</v>
      </c>
      <c r="C32" s="1" t="str">
        <f t="shared" si="11"/>
        <v>"#006ecf"</v>
      </c>
      <c r="D32" s="40" t="s">
        <v>77</v>
      </c>
      <c r="F32" s="2" t="s">
        <v>21</v>
      </c>
      <c r="G32" s="2" t="str">
        <f t="shared" si="12"/>
        <v>-</v>
      </c>
      <c r="H32" s="2" t="s">
        <v>73</v>
      </c>
      <c r="I32" s="2" t="str">
        <f t="shared" ref="I32" si="19">IF(NOT(ISBLANK(J32)),"-","")</f>
        <v>-</v>
      </c>
      <c r="J32" s="2" t="s">
        <v>74</v>
      </c>
      <c r="K32" s="2" t="str">
        <f t="shared" si="14"/>
        <v/>
      </c>
      <c r="M32" s="2" t="str">
        <f t="shared" si="15"/>
        <v>-</v>
      </c>
      <c r="N32" s="2" t="s">
        <v>25</v>
      </c>
      <c r="O32" s="2" t="str">
        <f t="shared" si="16"/>
        <v>-</v>
      </c>
      <c r="P32" s="2" t="s">
        <v>26</v>
      </c>
    </row>
    <row r="33" spans="1:16" x14ac:dyDescent="0.25">
      <c r="B33" s="1"/>
      <c r="C33" s="1"/>
    </row>
    <row r="34" spans="1:16" x14ac:dyDescent="0.25">
      <c r="B34" s="1" t="str">
        <f t="shared" ref="B34:B35" si="20">_xlfn.CONCAT("@",F34,G34,H34,I34,J34,K34,L34,M34,"(",N34,O34,P34,")")</f>
        <v>@color-access-no-(def)</v>
      </c>
      <c r="C34" s="1" t="str">
        <f t="shared" ref="C34:C35" si="21">_xlfn.CONCAT("""",D34,"""")</f>
        <v>"#ff003d"</v>
      </c>
      <c r="D34" s="41" t="s">
        <v>84</v>
      </c>
      <c r="F34" s="2" t="s">
        <v>21</v>
      </c>
      <c r="G34" s="2" t="str">
        <f t="shared" ref="G34" si="22">IF(NOT(ISBLANK(H34)),"-","")</f>
        <v>-</v>
      </c>
      <c r="H34" s="2" t="s">
        <v>81</v>
      </c>
      <c r="I34" s="2" t="str">
        <f t="shared" ref="I34" si="23">IF(NOT(ISBLANK(J34)),"-","")</f>
        <v>-</v>
      </c>
      <c r="J34" s="2" t="s">
        <v>82</v>
      </c>
      <c r="K34" s="2" t="str">
        <f t="shared" ref="K34" si="24">IF(NOT(ISBLANK(L34)),"-","")</f>
        <v/>
      </c>
      <c r="M34" s="2" t="str">
        <f t="shared" ref="M34:M35" si="25">IF(NOT(ISBLANK(N34)),"-","")</f>
        <v>-</v>
      </c>
      <c r="N34" s="2" t="s">
        <v>25</v>
      </c>
      <c r="O34" s="2" t="str">
        <f t="shared" ref="O34:O35" si="26">IF(NOT(ISBLANK(P34)),"-","")</f>
        <v/>
      </c>
    </row>
    <row r="35" spans="1:16" x14ac:dyDescent="0.25">
      <c r="B35" s="1" t="str">
        <f t="shared" si="20"/>
        <v>@color-access-no-(def-hc)</v>
      </c>
      <c r="C35" s="1" t="str">
        <f t="shared" si="21"/>
        <v>"#ff003d"</v>
      </c>
      <c r="D35" s="41" t="s">
        <v>84</v>
      </c>
      <c r="F35" s="2" t="s">
        <v>21</v>
      </c>
      <c r="G35" s="2" t="str">
        <f t="shared" ref="G35" si="27">IF(NOT(ISBLANK(H35)),"-","")</f>
        <v>-</v>
      </c>
      <c r="H35" s="2" t="s">
        <v>81</v>
      </c>
      <c r="I35" s="2" t="str">
        <f t="shared" ref="I35" si="28">IF(NOT(ISBLANK(J35)),"-","")</f>
        <v>-</v>
      </c>
      <c r="J35" s="2" t="s">
        <v>82</v>
      </c>
      <c r="K35" s="2" t="str">
        <f t="shared" ref="K35" si="29">IF(NOT(ISBLANK(L35)),"-","")</f>
        <v/>
      </c>
      <c r="M35" s="2" t="str">
        <f t="shared" si="25"/>
        <v>-</v>
      </c>
      <c r="N35" s="2" t="s">
        <v>25</v>
      </c>
      <c r="O35" s="2" t="str">
        <f t="shared" si="26"/>
        <v>-</v>
      </c>
      <c r="P35" s="2" t="s">
        <v>26</v>
      </c>
    </row>
    <row r="36" spans="1:16" x14ac:dyDescent="0.25">
      <c r="B36" s="1"/>
      <c r="C36" s="1"/>
    </row>
    <row r="37" spans="1:16" x14ac:dyDescent="0.25">
      <c r="B37" s="1" t="str">
        <f t="shared" ref="B37:B38" si="30">_xlfn.CONCAT("@",F37,G37,H37,I37,J37,K37,L37,M37,"(",N37,O37,P37,")")</f>
        <v>@color-access-discouraged-(def)</v>
      </c>
      <c r="C37" s="1" t="str">
        <f t="shared" ref="C37:C38" si="31">_xlfn.CONCAT("""",D37,"""")</f>
        <v>"#ff6a00"</v>
      </c>
      <c r="D37" s="42" t="s">
        <v>85</v>
      </c>
      <c r="F37" s="2" t="s">
        <v>21</v>
      </c>
      <c r="G37" s="2" t="str">
        <f t="shared" ref="G37:G38" si="32">IF(NOT(ISBLANK(H37)),"-","")</f>
        <v>-</v>
      </c>
      <c r="H37" s="2" t="s">
        <v>81</v>
      </c>
      <c r="I37" s="2" t="str">
        <f t="shared" ref="I37:I38" si="33">IF(NOT(ISBLANK(J37)),"-","")</f>
        <v>-</v>
      </c>
      <c r="J37" s="2" t="s">
        <v>83</v>
      </c>
      <c r="K37" s="2" t="str">
        <f t="shared" ref="K37:K38" si="34">IF(NOT(ISBLANK(L37)),"-","")</f>
        <v/>
      </c>
      <c r="M37" s="2" t="str">
        <f t="shared" ref="M37:M38" si="35">IF(NOT(ISBLANK(N37)),"-","")</f>
        <v>-</v>
      </c>
      <c r="N37" s="2" t="s">
        <v>25</v>
      </c>
      <c r="O37" s="2" t="str">
        <f t="shared" ref="O37:O38" si="36">IF(NOT(ISBLANK(P37)),"-","")</f>
        <v/>
      </c>
    </row>
    <row r="38" spans="1:16" x14ac:dyDescent="0.25">
      <c r="B38" s="1" t="str">
        <f t="shared" si="30"/>
        <v>@color-access-discouraged-(def-hc)</v>
      </c>
      <c r="C38" s="1" t="str">
        <f t="shared" si="31"/>
        <v>"#de5c00"</v>
      </c>
      <c r="D38" s="43" t="s">
        <v>86</v>
      </c>
      <c r="F38" s="2" t="s">
        <v>21</v>
      </c>
      <c r="G38" s="2" t="str">
        <f t="shared" si="32"/>
        <v>-</v>
      </c>
      <c r="H38" s="2" t="s">
        <v>81</v>
      </c>
      <c r="I38" s="2" t="str">
        <f t="shared" si="33"/>
        <v>-</v>
      </c>
      <c r="J38" s="2" t="s">
        <v>83</v>
      </c>
      <c r="K38" s="2" t="str">
        <f t="shared" si="34"/>
        <v/>
      </c>
      <c r="M38" s="2" t="str">
        <f t="shared" si="35"/>
        <v>-</v>
      </c>
      <c r="N38" s="2" t="s">
        <v>25</v>
      </c>
      <c r="O38" s="2" t="str">
        <f t="shared" si="36"/>
        <v>-</v>
      </c>
      <c r="P38" s="2" t="s">
        <v>26</v>
      </c>
    </row>
    <row r="39" spans="1:16" x14ac:dyDescent="0.25">
      <c r="B39" s="1"/>
      <c r="C39" s="1"/>
    </row>
    <row r="40" spans="1:16" x14ac:dyDescent="0.25">
      <c r="B40" s="1" t="str">
        <f t="shared" ref="B40" si="37">_xlfn.CONCAT("@",F40,G40,H40,I40,J40,K40,L40,M40,"(",N40,O40,P40,")")</f>
        <v>@color-contours-line-(def)</v>
      </c>
      <c r="C40" s="1" t="str">
        <f t="shared" ref="C40" si="38">_xlfn.CONCAT("""",D40,"""")</f>
        <v>"#916f4c"</v>
      </c>
      <c r="D40" s="64" t="s">
        <v>133</v>
      </c>
      <c r="F40" s="2" t="s">
        <v>21</v>
      </c>
      <c r="G40" s="2" t="str">
        <f t="shared" ref="G40" si="39">IF(NOT(ISBLANK(H40)),"-","")</f>
        <v>-</v>
      </c>
      <c r="H40" s="2" t="s">
        <v>132</v>
      </c>
      <c r="I40" s="2" t="str">
        <f t="shared" ref="I40" si="40">IF(NOT(ISBLANK(J40)),"-","")</f>
        <v>-</v>
      </c>
      <c r="J40" s="2" t="s">
        <v>28</v>
      </c>
      <c r="K40" s="2" t="str">
        <f t="shared" ref="K40" si="41">IF(NOT(ISBLANK(L40)),"-","")</f>
        <v/>
      </c>
      <c r="M40" s="2" t="str">
        <f t="shared" ref="M40" si="42">IF(NOT(ISBLANK(N40)),"-","")</f>
        <v>-</v>
      </c>
      <c r="N40" s="2" t="s">
        <v>25</v>
      </c>
      <c r="O40" s="2" t="str">
        <f t="shared" ref="O40" si="43">IF(NOT(ISBLANK(P40)),"-","")</f>
        <v/>
      </c>
    </row>
    <row r="41" spans="1:16" x14ac:dyDescent="0.25">
      <c r="B41" s="1"/>
      <c r="C41" s="1"/>
    </row>
    <row r="42" spans="1:16" x14ac:dyDescent="0.25">
      <c r="A42" s="44" t="s">
        <v>87</v>
      </c>
      <c r="B42" s="44"/>
      <c r="C42" s="44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</row>
    <row r="43" spans="1:16" x14ac:dyDescent="0.25">
      <c r="B43" s="1" t="str">
        <f>_xlfn.CONCAT("@",F43,G43,H43,I43,J43,K43,L43,M43,"(",N43,O43,P43,")")</f>
        <v>@color-background-(def)</v>
      </c>
      <c r="C43" s="1" t="str">
        <f>_xlfn.CONCAT("""",D43,"""")</f>
        <v>"#f7f4f0"</v>
      </c>
      <c r="D43" s="63" t="s">
        <v>130</v>
      </c>
      <c r="F43" s="2" t="s">
        <v>21</v>
      </c>
      <c r="G43" s="2" t="str">
        <f t="shared" ref="G43" si="44">IF(NOT(ISBLANK(H43)),"-","")</f>
        <v>-</v>
      </c>
      <c r="H43" s="2" t="s">
        <v>131</v>
      </c>
      <c r="I43" s="2" t="str">
        <f t="shared" ref="I43:I66" si="45">IF(NOT(ISBLANK(J43)),"_","")</f>
        <v/>
      </c>
      <c r="K43" s="2" t="str">
        <f t="shared" ref="K43:K54" si="46">IF(NOT(ISBLANK(L43)),"_","")</f>
        <v/>
      </c>
      <c r="M43" s="2" t="str">
        <f>IF(NOT(ISBLANK(N43)),"-","")</f>
        <v>-</v>
      </c>
      <c r="N43" s="2" t="s">
        <v>25</v>
      </c>
      <c r="O43" s="2" t="str">
        <f>IF(NOT(ISBLANK(P43)),"-","")</f>
        <v/>
      </c>
    </row>
    <row r="44" spans="1:16" x14ac:dyDescent="0.25">
      <c r="B44" s="1" t="str">
        <f t="shared" si="4"/>
        <v>@color-water-(def)</v>
      </c>
      <c r="C44" s="1" t="str">
        <f t="shared" si="5"/>
        <v>"#bfd9f2"</v>
      </c>
      <c r="D44" s="20" t="s">
        <v>32</v>
      </c>
      <c r="F44" s="2" t="s">
        <v>21</v>
      </c>
      <c r="G44" s="2" t="str">
        <f t="shared" si="7"/>
        <v>-</v>
      </c>
      <c r="H44" s="2" t="s">
        <v>31</v>
      </c>
      <c r="I44" s="2" t="str">
        <f t="shared" si="45"/>
        <v/>
      </c>
      <c r="K44" s="2" t="str">
        <f t="shared" si="46"/>
        <v/>
      </c>
      <c r="M44" s="2" t="str">
        <f t="shared" si="7"/>
        <v>-</v>
      </c>
      <c r="N44" s="2" t="s">
        <v>25</v>
      </c>
      <c r="O44" s="2" t="str">
        <f t="shared" si="7"/>
        <v/>
      </c>
    </row>
    <row r="45" spans="1:16" x14ac:dyDescent="0.25">
      <c r="B45" s="1" t="str">
        <f t="shared" si="4"/>
        <v>@color-water-(def-hc)</v>
      </c>
      <c r="C45" s="1" t="str">
        <f t="shared" si="5"/>
        <v>"#8aa0b5"</v>
      </c>
      <c r="D45" s="21" t="s">
        <v>33</v>
      </c>
      <c r="F45" s="2" t="s">
        <v>21</v>
      </c>
      <c r="G45" s="2" t="str">
        <f t="shared" ref="G45" si="47">IF(NOT(ISBLANK(H45)),"-","")</f>
        <v>-</v>
      </c>
      <c r="H45" s="2" t="s">
        <v>31</v>
      </c>
      <c r="I45" s="2" t="str">
        <f t="shared" si="45"/>
        <v/>
      </c>
      <c r="K45" s="2" t="str">
        <f t="shared" si="46"/>
        <v/>
      </c>
      <c r="M45" s="2" t="str">
        <f t="shared" ref="M45" si="48">IF(NOT(ISBLANK(N45)),"-","")</f>
        <v>-</v>
      </c>
      <c r="N45" s="2" t="s">
        <v>25</v>
      </c>
      <c r="O45" s="2" t="str">
        <f t="shared" ref="O45" si="49">IF(NOT(ISBLANK(P45)),"-","")</f>
        <v>-</v>
      </c>
      <c r="P45" s="2" t="s">
        <v>26</v>
      </c>
    </row>
    <row r="46" spans="1:16" x14ac:dyDescent="0.25">
      <c r="B46" s="1" t="str">
        <f t="shared" ref="B46:B54" si="50">_xlfn.CONCAT("@",F46,G46,H46,I46,J46,K46,L46,M46,"(",N46,O46,P46,")")</f>
        <v>@color-landcover_field-(def)</v>
      </c>
      <c r="C46" s="1" t="str">
        <f t="shared" ref="C46:C54" si="51">_xlfn.CONCAT("""",D46,"""")</f>
        <v>"#f7eeb7"</v>
      </c>
      <c r="D46" s="46" t="s">
        <v>93</v>
      </c>
      <c r="F46" s="2" t="s">
        <v>21</v>
      </c>
      <c r="G46" s="2" t="str">
        <f t="shared" ref="G46:G52" si="52">IF(NOT(ISBLANK(H46)),"-","")</f>
        <v>-</v>
      </c>
      <c r="H46" s="2" t="s">
        <v>104</v>
      </c>
      <c r="I46" s="2" t="str">
        <f t="shared" si="45"/>
        <v>_</v>
      </c>
      <c r="J46" s="2" t="s">
        <v>95</v>
      </c>
      <c r="K46" s="2" t="str">
        <f t="shared" si="46"/>
        <v/>
      </c>
      <c r="M46" s="2" t="str">
        <f t="shared" ref="M46:M54" si="53">IF(NOT(ISBLANK(N46)),"-","")</f>
        <v>-</v>
      </c>
      <c r="N46" s="2" t="s">
        <v>25</v>
      </c>
      <c r="O46" s="2" t="str">
        <f t="shared" ref="O46:O54" si="54">IF(NOT(ISBLANK(P46)),"-","")</f>
        <v/>
      </c>
    </row>
    <row r="47" spans="1:16" x14ac:dyDescent="0.25">
      <c r="B47" s="1" t="str">
        <f t="shared" si="50"/>
        <v>@color-landcover_field-(gr)</v>
      </c>
      <c r="C47" s="1" t="str">
        <f t="shared" si="51"/>
        <v>"#f5e9a4"</v>
      </c>
      <c r="D47" s="48" t="s">
        <v>97</v>
      </c>
      <c r="F47" s="2" t="s">
        <v>21</v>
      </c>
      <c r="G47" s="2" t="str">
        <f t="shared" si="52"/>
        <v>-</v>
      </c>
      <c r="H47" s="2" t="s">
        <v>104</v>
      </c>
      <c r="I47" s="2" t="str">
        <f t="shared" si="45"/>
        <v>_</v>
      </c>
      <c r="J47" s="2" t="s">
        <v>95</v>
      </c>
      <c r="K47" s="2" t="str">
        <f t="shared" si="46"/>
        <v/>
      </c>
      <c r="M47" s="2" t="str">
        <f t="shared" si="53"/>
        <v>-</v>
      </c>
      <c r="N47" s="2" t="s">
        <v>48</v>
      </c>
      <c r="O47" s="2" t="str">
        <f t="shared" si="54"/>
        <v/>
      </c>
    </row>
    <row r="48" spans="1:16" x14ac:dyDescent="0.25">
      <c r="B48" s="1" t="str">
        <f t="shared" si="50"/>
        <v>@color-landcover_meadow-(def)</v>
      </c>
      <c r="C48" s="1" t="str">
        <f t="shared" si="51"/>
        <v>"#edf2bb"</v>
      </c>
      <c r="D48" s="47" t="s">
        <v>94</v>
      </c>
      <c r="F48" s="2" t="s">
        <v>21</v>
      </c>
      <c r="G48" s="2" t="str">
        <f t="shared" si="52"/>
        <v>-</v>
      </c>
      <c r="H48" s="2" t="s">
        <v>104</v>
      </c>
      <c r="I48" s="2" t="str">
        <f t="shared" si="45"/>
        <v>_</v>
      </c>
      <c r="J48" s="2" t="s">
        <v>96</v>
      </c>
      <c r="K48" s="2" t="str">
        <f t="shared" si="46"/>
        <v/>
      </c>
      <c r="M48" s="2" t="str">
        <f t="shared" si="53"/>
        <v>-</v>
      </c>
      <c r="N48" s="2" t="s">
        <v>25</v>
      </c>
      <c r="O48" s="2" t="str">
        <f t="shared" si="54"/>
        <v/>
      </c>
    </row>
    <row r="49" spans="2:15" x14ac:dyDescent="0.25">
      <c r="B49" s="1" t="str">
        <f t="shared" si="50"/>
        <v>@color-landcover_meadow-(gr)</v>
      </c>
      <c r="C49" s="1" t="str">
        <f t="shared" si="51"/>
        <v>"#e6eda1"</v>
      </c>
      <c r="D49" s="49" t="s">
        <v>98</v>
      </c>
      <c r="F49" s="2" t="s">
        <v>21</v>
      </c>
      <c r="G49" s="2" t="str">
        <f t="shared" si="52"/>
        <v>-</v>
      </c>
      <c r="H49" s="2" t="s">
        <v>104</v>
      </c>
      <c r="I49" s="2" t="str">
        <f t="shared" si="45"/>
        <v>_</v>
      </c>
      <c r="J49" s="2" t="s">
        <v>96</v>
      </c>
      <c r="K49" s="2" t="str">
        <f t="shared" si="46"/>
        <v/>
      </c>
      <c r="M49" s="2" t="str">
        <f t="shared" si="53"/>
        <v>-</v>
      </c>
      <c r="N49" s="2" t="s">
        <v>48</v>
      </c>
      <c r="O49" s="2" t="str">
        <f t="shared" si="54"/>
        <v/>
      </c>
    </row>
    <row r="50" spans="2:15" x14ac:dyDescent="0.25">
      <c r="B50" s="1" t="str">
        <f t="shared" si="50"/>
        <v>@color-landcover_bare_rock-(def)</v>
      </c>
      <c r="C50" s="1" t="str">
        <f t="shared" si="51"/>
        <v>"#d6d6d6"</v>
      </c>
      <c r="D50" s="50" t="s">
        <v>100</v>
      </c>
      <c r="F50" s="2" t="s">
        <v>21</v>
      </c>
      <c r="G50" s="2" t="str">
        <f t="shared" si="52"/>
        <v>-</v>
      </c>
      <c r="H50" s="2" t="s">
        <v>104</v>
      </c>
      <c r="I50" s="2" t="str">
        <f t="shared" si="45"/>
        <v>_</v>
      </c>
      <c r="J50" s="2" t="s">
        <v>99</v>
      </c>
      <c r="K50" s="2" t="str">
        <f t="shared" si="46"/>
        <v/>
      </c>
      <c r="M50" s="2" t="str">
        <f t="shared" si="53"/>
        <v>-</v>
      </c>
      <c r="N50" s="2" t="s">
        <v>25</v>
      </c>
      <c r="O50" s="2" t="str">
        <f t="shared" si="54"/>
        <v/>
      </c>
    </row>
    <row r="51" spans="2:15" x14ac:dyDescent="0.25">
      <c r="B51" s="1" t="str">
        <f t="shared" si="50"/>
        <v>@color-landcover_sand-(def)</v>
      </c>
      <c r="C51" s="1" t="str">
        <f t="shared" si="51"/>
        <v>"#f5eebc"</v>
      </c>
      <c r="D51" s="51" t="s">
        <v>102</v>
      </c>
      <c r="F51" s="2" t="s">
        <v>21</v>
      </c>
      <c r="G51" s="2" t="str">
        <f t="shared" si="52"/>
        <v>-</v>
      </c>
      <c r="H51" s="2" t="s">
        <v>104</v>
      </c>
      <c r="I51" s="2" t="str">
        <f t="shared" si="45"/>
        <v>_</v>
      </c>
      <c r="J51" s="2" t="s">
        <v>101</v>
      </c>
      <c r="K51" s="2" t="str">
        <f t="shared" si="46"/>
        <v/>
      </c>
      <c r="M51" s="2" t="str">
        <f t="shared" si="53"/>
        <v>-</v>
      </c>
      <c r="N51" s="2" t="s">
        <v>25</v>
      </c>
      <c r="O51" s="2" t="str">
        <f t="shared" si="54"/>
        <v/>
      </c>
    </row>
    <row r="52" spans="2:15" x14ac:dyDescent="0.25">
      <c r="B52" s="1" t="str">
        <f t="shared" si="50"/>
        <v>@color-landcover_allotments-(def)</v>
      </c>
      <c r="C52" s="1" t="str">
        <f t="shared" si="51"/>
        <v>"#dee7c5"</v>
      </c>
      <c r="D52" s="52" t="s">
        <v>105</v>
      </c>
      <c r="F52" s="2" t="s">
        <v>21</v>
      </c>
      <c r="G52" s="2" t="str">
        <f t="shared" si="52"/>
        <v>-</v>
      </c>
      <c r="H52" s="2" t="s">
        <v>104</v>
      </c>
      <c r="I52" s="2" t="str">
        <f t="shared" si="45"/>
        <v>_</v>
      </c>
      <c r="J52" s="2" t="s">
        <v>103</v>
      </c>
      <c r="K52" s="2" t="str">
        <f t="shared" si="46"/>
        <v/>
      </c>
      <c r="M52" s="2" t="str">
        <f t="shared" si="53"/>
        <v>-</v>
      </c>
      <c r="N52" s="2" t="s">
        <v>25</v>
      </c>
      <c r="O52" s="2" t="str">
        <f t="shared" si="54"/>
        <v/>
      </c>
    </row>
    <row r="53" spans="2:15" x14ac:dyDescent="0.25">
      <c r="B53" s="1" t="str">
        <f t="shared" si="50"/>
        <v>@color-landcover_heath_fell-(def)</v>
      </c>
      <c r="C53" s="1" t="str">
        <f t="shared" si="51"/>
        <v>"#f2f5e9"</v>
      </c>
      <c r="D53" s="53" t="s">
        <v>106</v>
      </c>
      <c r="F53" s="2" t="s">
        <v>21</v>
      </c>
      <c r="G53" s="2" t="str">
        <f t="shared" ref="G53:G66" si="55">IF(NOT(ISBLANK(H53)),"-","")</f>
        <v>-</v>
      </c>
      <c r="H53" s="2" t="s">
        <v>104</v>
      </c>
      <c r="I53" s="2" t="str">
        <f t="shared" si="45"/>
        <v>_</v>
      </c>
      <c r="J53" s="2" t="s">
        <v>108</v>
      </c>
      <c r="K53" s="2" t="str">
        <f t="shared" si="46"/>
        <v/>
      </c>
      <c r="M53" s="2" t="str">
        <f t="shared" si="53"/>
        <v>-</v>
      </c>
      <c r="N53" s="2" t="s">
        <v>25</v>
      </c>
      <c r="O53" s="2" t="str">
        <f t="shared" si="54"/>
        <v/>
      </c>
    </row>
    <row r="54" spans="2:15" x14ac:dyDescent="0.25">
      <c r="B54" s="1" t="str">
        <f t="shared" si="50"/>
        <v>@color-landcover_grass-(def)</v>
      </c>
      <c r="C54" s="1" t="str">
        <f t="shared" si="51"/>
        <v>"#e5f4d5"</v>
      </c>
      <c r="D54" s="54" t="s">
        <v>107</v>
      </c>
      <c r="F54" s="2" t="s">
        <v>21</v>
      </c>
      <c r="G54" s="2" t="str">
        <f t="shared" si="55"/>
        <v>-</v>
      </c>
      <c r="H54" s="2" t="s">
        <v>104</v>
      </c>
      <c r="I54" s="2" t="str">
        <f t="shared" si="45"/>
        <v>_</v>
      </c>
      <c r="J54" s="2" t="s">
        <v>109</v>
      </c>
      <c r="K54" s="2" t="str">
        <f t="shared" si="46"/>
        <v/>
      </c>
      <c r="M54" s="2" t="str">
        <f t="shared" si="53"/>
        <v>-</v>
      </c>
      <c r="N54" s="2" t="s">
        <v>25</v>
      </c>
      <c r="O54" s="2" t="str">
        <f t="shared" si="54"/>
        <v/>
      </c>
    </row>
    <row r="55" spans="2:15" x14ac:dyDescent="0.25">
      <c r="B55" s="1" t="str">
        <f t="shared" ref="B55:B66" si="56">_xlfn.CONCAT("@",F55,G55,H55,I55,J55,K55,L55,M55,"(",N55,O55,P55,")")</f>
        <v>@color-landcover_quarry-(def)</v>
      </c>
      <c r="C55" s="1" t="str">
        <f t="shared" ref="C55:C66" si="57">_xlfn.CONCAT("""",D55,"""")</f>
        <v>"#d7d3ce"</v>
      </c>
      <c r="D55" s="56" t="s">
        <v>113</v>
      </c>
      <c r="F55" s="2" t="s">
        <v>21</v>
      </c>
      <c r="G55" s="2" t="str">
        <f t="shared" si="55"/>
        <v>-</v>
      </c>
      <c r="H55" s="2" t="s">
        <v>104</v>
      </c>
      <c r="I55" s="2" t="str">
        <f t="shared" si="45"/>
        <v>_</v>
      </c>
      <c r="J55" s="2" t="s">
        <v>110</v>
      </c>
      <c r="K55" s="2" t="str">
        <f t="shared" ref="K55:K66" si="58">IF(NOT(ISBLANK(L55)),"_","")</f>
        <v/>
      </c>
      <c r="M55" s="2" t="str">
        <f t="shared" ref="M55:M66" si="59">IF(NOT(ISBLANK(N55)),"-","")</f>
        <v>-</v>
      </c>
      <c r="N55" s="2" t="s">
        <v>25</v>
      </c>
    </row>
    <row r="56" spans="2:15" x14ac:dyDescent="0.25">
      <c r="B56" s="1" t="str">
        <f t="shared" si="56"/>
        <v>@color-landcover_storage-(def)</v>
      </c>
      <c r="C56" s="1" t="str">
        <f t="shared" si="57"/>
        <v>"#ebe2dd"</v>
      </c>
      <c r="D56" s="55" t="s">
        <v>112</v>
      </c>
      <c r="F56" s="2" t="s">
        <v>21</v>
      </c>
      <c r="G56" s="2" t="str">
        <f t="shared" si="55"/>
        <v>-</v>
      </c>
      <c r="H56" s="2" t="s">
        <v>104</v>
      </c>
      <c r="I56" s="2" t="str">
        <f t="shared" si="45"/>
        <v>_</v>
      </c>
      <c r="J56" s="2" t="s">
        <v>111</v>
      </c>
      <c r="K56" s="2" t="str">
        <f t="shared" si="58"/>
        <v/>
      </c>
      <c r="M56" s="2" t="str">
        <f t="shared" si="59"/>
        <v>-</v>
      </c>
      <c r="N56" s="2" t="s">
        <v>25</v>
      </c>
    </row>
    <row r="57" spans="2:15" x14ac:dyDescent="0.25">
      <c r="B57" s="1" t="str">
        <f t="shared" si="56"/>
        <v>@color-landcover_wood-(def)</v>
      </c>
      <c r="C57" s="1" t="str">
        <f t="shared" si="57"/>
        <v>"#e9eddf"</v>
      </c>
      <c r="D57" s="57" t="s">
        <v>115</v>
      </c>
      <c r="F57" s="2" t="s">
        <v>21</v>
      </c>
      <c r="G57" s="2" t="str">
        <f t="shared" si="55"/>
        <v>-</v>
      </c>
      <c r="H57" s="2" t="s">
        <v>104</v>
      </c>
      <c r="I57" s="2" t="str">
        <f t="shared" si="45"/>
        <v>_</v>
      </c>
      <c r="J57" s="2" t="s">
        <v>114</v>
      </c>
      <c r="K57" s="2" t="str">
        <f t="shared" si="58"/>
        <v/>
      </c>
      <c r="M57" s="2" t="str">
        <f t="shared" si="59"/>
        <v>-</v>
      </c>
      <c r="N57" s="2" t="s">
        <v>25</v>
      </c>
    </row>
    <row r="58" spans="2:15" x14ac:dyDescent="0.25">
      <c r="B58" s="1" t="str">
        <f t="shared" si="56"/>
        <v>@color-landcover_parking_area-(def)</v>
      </c>
      <c r="C58" s="1" t="str">
        <f t="shared" si="57"/>
        <v>"#e6e6e6"</v>
      </c>
      <c r="D58" s="58" t="s">
        <v>117</v>
      </c>
      <c r="F58" s="2" t="s">
        <v>21</v>
      </c>
      <c r="G58" s="2" t="str">
        <f t="shared" si="55"/>
        <v>-</v>
      </c>
      <c r="H58" s="2" t="s">
        <v>104</v>
      </c>
      <c r="I58" s="2" t="str">
        <f t="shared" si="45"/>
        <v>_</v>
      </c>
      <c r="J58" s="2" t="s">
        <v>116</v>
      </c>
      <c r="K58" s="2" t="str">
        <f t="shared" si="58"/>
        <v/>
      </c>
      <c r="M58" s="2" t="str">
        <f t="shared" si="59"/>
        <v>-</v>
      </c>
      <c r="N58" s="2" t="s">
        <v>25</v>
      </c>
    </row>
    <row r="59" spans="2:15" x14ac:dyDescent="0.25">
      <c r="B59" s="1" t="str">
        <f t="shared" si="56"/>
        <v>@color-landcover_railway-(def)</v>
      </c>
      <c r="C59" s="1" t="str">
        <f t="shared" si="57"/>
        <v>"#eae6e1"</v>
      </c>
      <c r="D59" s="59" t="s">
        <v>119</v>
      </c>
      <c r="F59" s="2" t="s">
        <v>21</v>
      </c>
      <c r="G59" s="2" t="str">
        <f t="shared" si="55"/>
        <v>-</v>
      </c>
      <c r="H59" s="2" t="s">
        <v>104</v>
      </c>
      <c r="I59" s="2" t="str">
        <f t="shared" si="45"/>
        <v>_</v>
      </c>
      <c r="J59" s="2" t="s">
        <v>118</v>
      </c>
      <c r="K59" s="2" t="str">
        <f t="shared" si="58"/>
        <v/>
      </c>
      <c r="M59" s="2" t="str">
        <f t="shared" si="59"/>
        <v>-</v>
      </c>
      <c r="N59" s="2" t="s">
        <v>25</v>
      </c>
    </row>
    <row r="60" spans="2:15" x14ac:dyDescent="0.25">
      <c r="B60" s="1" t="str">
        <f t="shared" si="56"/>
        <v>@color-landcover_school-(def)</v>
      </c>
      <c r="C60" s="1" t="str">
        <f t="shared" si="57"/>
        <v>"#ebe4dd"</v>
      </c>
      <c r="D60" s="60" t="s">
        <v>121</v>
      </c>
      <c r="F60" s="2" t="s">
        <v>21</v>
      </c>
      <c r="G60" s="2" t="str">
        <f t="shared" si="55"/>
        <v>-</v>
      </c>
      <c r="H60" s="2" t="s">
        <v>104</v>
      </c>
      <c r="I60" s="2" t="str">
        <f t="shared" si="45"/>
        <v>_</v>
      </c>
      <c r="J60" s="2" t="s">
        <v>120</v>
      </c>
      <c r="K60" s="2" t="str">
        <f t="shared" si="58"/>
        <v/>
      </c>
      <c r="M60" s="2" t="str">
        <f t="shared" si="59"/>
        <v>-</v>
      </c>
      <c r="N60" s="2" t="s">
        <v>25</v>
      </c>
    </row>
    <row r="61" spans="2:15" x14ac:dyDescent="0.25">
      <c r="B61" s="1" t="str">
        <f>_xlfn.CONCAT("@",F61,G61,H61,I61,J61,K61,L61,M61,"(",N61,O61,P61,")")</f>
        <v>@color-landcover_cemetery-(def)</v>
      </c>
      <c r="C61" s="1" t="str">
        <f>_xlfn.CONCAT("""",D61,"""")</f>
        <v>"#e0e4dd"</v>
      </c>
      <c r="D61" s="62" t="s">
        <v>124</v>
      </c>
      <c r="F61" s="2" t="s">
        <v>21</v>
      </c>
      <c r="G61" s="2" t="str">
        <f>IF(NOT(ISBLANK(H61)),"-","")</f>
        <v>-</v>
      </c>
      <c r="H61" s="2" t="s">
        <v>104</v>
      </c>
      <c r="I61" s="2" t="str">
        <f t="shared" si="45"/>
        <v>_</v>
      </c>
      <c r="J61" s="2" t="s">
        <v>125</v>
      </c>
      <c r="K61" s="2" t="str">
        <f>IF(NOT(ISBLANK(L61)),"_","")</f>
        <v/>
      </c>
      <c r="M61" s="2" t="str">
        <f>IF(NOT(ISBLANK(N61)),"-","")</f>
        <v>-</v>
      </c>
      <c r="N61" s="2" t="s">
        <v>25</v>
      </c>
    </row>
    <row r="62" spans="2:15" x14ac:dyDescent="0.25">
      <c r="B62" s="1" t="str">
        <f t="shared" si="56"/>
        <v>@color-landcover_hospital-(def)</v>
      </c>
      <c r="C62" s="1" t="str">
        <f t="shared" si="57"/>
        <v>"#ebe0d6"</v>
      </c>
      <c r="D62" s="61" t="s">
        <v>123</v>
      </c>
      <c r="F62" s="2" t="s">
        <v>21</v>
      </c>
      <c r="G62" s="2" t="str">
        <f t="shared" si="55"/>
        <v>-</v>
      </c>
      <c r="H62" s="2" t="s">
        <v>104</v>
      </c>
      <c r="I62" s="2" t="str">
        <f t="shared" si="45"/>
        <v>_</v>
      </c>
      <c r="J62" s="2" t="s">
        <v>122</v>
      </c>
      <c r="K62" s="2" t="str">
        <f t="shared" si="58"/>
        <v/>
      </c>
      <c r="M62" s="2" t="str">
        <f t="shared" si="59"/>
        <v>-</v>
      </c>
      <c r="N62" s="2" t="s">
        <v>25</v>
      </c>
    </row>
    <row r="63" spans="2:15" x14ac:dyDescent="0.25">
      <c r="B63" s="1" t="str">
        <f t="shared" si="56"/>
        <v>@color-landcover_industrial-(def)</v>
      </c>
      <c r="C63" s="1" t="str">
        <f t="shared" si="57"/>
        <v>"#ebe0d6"</v>
      </c>
      <c r="D63" s="61" t="s">
        <v>123</v>
      </c>
      <c r="F63" s="2" t="s">
        <v>21</v>
      </c>
      <c r="G63" s="2" t="str">
        <f t="shared" si="55"/>
        <v>-</v>
      </c>
      <c r="H63" s="2" t="s">
        <v>104</v>
      </c>
      <c r="I63" s="2" t="str">
        <f t="shared" si="45"/>
        <v>_</v>
      </c>
      <c r="J63" s="2" t="s">
        <v>126</v>
      </c>
      <c r="K63" s="2" t="str">
        <f t="shared" si="58"/>
        <v/>
      </c>
      <c r="M63" s="2" t="str">
        <f t="shared" si="59"/>
        <v>-</v>
      </c>
      <c r="N63" s="2" t="s">
        <v>25</v>
      </c>
    </row>
    <row r="64" spans="2:15" x14ac:dyDescent="0.25">
      <c r="B64" s="1" t="str">
        <f t="shared" si="56"/>
        <v>@color-landcover_commercial-(def)</v>
      </c>
      <c r="C64" s="1" t="str">
        <f t="shared" si="57"/>
        <v>"#ebe0d6"</v>
      </c>
      <c r="D64" s="61" t="s">
        <v>123</v>
      </c>
      <c r="F64" s="2" t="s">
        <v>21</v>
      </c>
      <c r="G64" s="2" t="str">
        <f t="shared" si="55"/>
        <v>-</v>
      </c>
      <c r="H64" s="2" t="s">
        <v>104</v>
      </c>
      <c r="I64" s="2" t="str">
        <f t="shared" si="45"/>
        <v>_</v>
      </c>
      <c r="J64" s="2" t="s">
        <v>127</v>
      </c>
      <c r="K64" s="2" t="str">
        <f t="shared" si="58"/>
        <v/>
      </c>
      <c r="M64" s="2" t="str">
        <f t="shared" si="59"/>
        <v>-</v>
      </c>
      <c r="N64" s="2" t="s">
        <v>25</v>
      </c>
    </row>
    <row r="65" spans="1:16" x14ac:dyDescent="0.25">
      <c r="B65" s="1" t="str">
        <f t="shared" si="56"/>
        <v>@color-landcover_residential-(def)</v>
      </c>
      <c r="C65" s="1" t="str">
        <f t="shared" si="57"/>
        <v>"#ebe0d6"</v>
      </c>
      <c r="D65" s="61" t="s">
        <v>123</v>
      </c>
      <c r="F65" s="2" t="s">
        <v>21</v>
      </c>
      <c r="G65" s="2" t="str">
        <f t="shared" si="55"/>
        <v>-</v>
      </c>
      <c r="H65" s="2" t="s">
        <v>104</v>
      </c>
      <c r="I65" s="2" t="str">
        <f t="shared" si="45"/>
        <v>_</v>
      </c>
      <c r="J65" s="2" t="s">
        <v>128</v>
      </c>
      <c r="K65" s="2" t="str">
        <f t="shared" si="58"/>
        <v/>
      </c>
      <c r="M65" s="2" t="str">
        <f t="shared" si="59"/>
        <v>-</v>
      </c>
      <c r="N65" s="2" t="s">
        <v>25</v>
      </c>
    </row>
    <row r="66" spans="1:16" x14ac:dyDescent="0.25">
      <c r="B66" s="1" t="str">
        <f t="shared" si="56"/>
        <v>@color-landcover_built-up-(def)</v>
      </c>
      <c r="C66" s="1" t="str">
        <f t="shared" si="57"/>
        <v>"#ebe0d6"</v>
      </c>
      <c r="D66" s="61" t="s">
        <v>123</v>
      </c>
      <c r="F66" s="2" t="s">
        <v>21</v>
      </c>
      <c r="G66" s="2" t="str">
        <f t="shared" si="55"/>
        <v>-</v>
      </c>
      <c r="H66" s="2" t="s">
        <v>104</v>
      </c>
      <c r="I66" s="2" t="str">
        <f t="shared" si="45"/>
        <v>_</v>
      </c>
      <c r="J66" s="2" t="s">
        <v>129</v>
      </c>
      <c r="K66" s="2" t="str">
        <f t="shared" si="58"/>
        <v/>
      </c>
      <c r="M66" s="2" t="str">
        <f t="shared" si="59"/>
        <v>-</v>
      </c>
      <c r="N66" s="2" t="s">
        <v>25</v>
      </c>
    </row>
    <row r="67" spans="1:16" x14ac:dyDescent="0.25">
      <c r="B67" s="1"/>
      <c r="C67" s="1"/>
    </row>
    <row r="68" spans="1:16" x14ac:dyDescent="0.25">
      <c r="A68" s="44" t="s">
        <v>88</v>
      </c>
      <c r="B68" s="44"/>
      <c r="C68" s="44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</row>
    <row r="69" spans="1:16" x14ac:dyDescent="0.25">
      <c r="B69" s="1" t="str">
        <f t="shared" si="4"/>
        <v>@color-motorway_case_farzoom-(def)</v>
      </c>
      <c r="C69" s="1" t="str">
        <f t="shared" si="5"/>
        <v>"#bf440f"</v>
      </c>
      <c r="D69" s="24" t="s">
        <v>39</v>
      </c>
      <c r="F69" s="2" t="s">
        <v>21</v>
      </c>
      <c r="G69" s="2" t="str">
        <f t="shared" si="7"/>
        <v>-</v>
      </c>
      <c r="H69" s="2" t="s">
        <v>35</v>
      </c>
      <c r="I69" s="2" t="str">
        <f t="shared" ref="I69:I74" si="60">IF(NOT(ISBLANK(J69)),"_","")</f>
        <v>_</v>
      </c>
      <c r="J69" s="2" t="s">
        <v>38</v>
      </c>
      <c r="K69" s="2" t="str">
        <f t="shared" ref="K69:K74" si="61">IF(NOT(ISBLANK(L69)),"_","")</f>
        <v>_</v>
      </c>
      <c r="L69" s="2" t="s">
        <v>44</v>
      </c>
      <c r="M69" s="2" t="str">
        <f t="shared" si="7"/>
        <v>-</v>
      </c>
      <c r="N69" s="2" t="s">
        <v>25</v>
      </c>
      <c r="O69" s="2" t="str">
        <f t="shared" si="7"/>
        <v/>
      </c>
    </row>
    <row r="70" spans="1:16" x14ac:dyDescent="0.25">
      <c r="B70" s="1" t="str">
        <f>_xlfn.CONCAT("@",F70,G70,H70,I70,J70,K70,L70,M70,"(",N70,O70,P70,")")</f>
        <v>@color-motorway_case_farzoom-(def-hc)</v>
      </c>
      <c r="C70" s="1" t="str">
        <f>_xlfn.CONCAT("""",D70,"""")</f>
        <v>"#000000"</v>
      </c>
      <c r="D70" s="25" t="s">
        <v>40</v>
      </c>
      <c r="F70" s="2" t="s">
        <v>21</v>
      </c>
      <c r="G70" s="2" t="str">
        <f>IF(NOT(ISBLANK(H70)),"-","")</f>
        <v>-</v>
      </c>
      <c r="H70" s="2" t="s">
        <v>35</v>
      </c>
      <c r="I70" s="2" t="str">
        <f t="shared" si="60"/>
        <v>_</v>
      </c>
      <c r="J70" s="2" t="s">
        <v>38</v>
      </c>
      <c r="K70" s="2" t="str">
        <f t="shared" si="61"/>
        <v>_</v>
      </c>
      <c r="L70" s="2" t="s">
        <v>44</v>
      </c>
      <c r="M70" s="2" t="str">
        <f>IF(NOT(ISBLANK(N70)),"-","")</f>
        <v>-</v>
      </c>
      <c r="N70" s="2" t="s">
        <v>25</v>
      </c>
      <c r="O70" s="2" t="str">
        <f>IF(NOT(ISBLANK(P70)),"-","")</f>
        <v>-</v>
      </c>
      <c r="P70" s="2" t="s">
        <v>26</v>
      </c>
    </row>
    <row r="71" spans="1:16" x14ac:dyDescent="0.25">
      <c r="B71" s="1" t="str">
        <f t="shared" si="4"/>
        <v>@color-motorway_case-(def)</v>
      </c>
      <c r="C71" s="1" t="str">
        <f t="shared" si="5"/>
        <v>"#a15412"</v>
      </c>
      <c r="D71" s="26" t="s">
        <v>41</v>
      </c>
      <c r="F71" s="2" t="s">
        <v>21</v>
      </c>
      <c r="G71" s="2" t="str">
        <f t="shared" ref="G71" si="62">IF(NOT(ISBLANK(H71)),"-","")</f>
        <v>-</v>
      </c>
      <c r="H71" s="2" t="s">
        <v>35</v>
      </c>
      <c r="I71" s="2" t="str">
        <f t="shared" si="60"/>
        <v>_</v>
      </c>
      <c r="J71" s="2" t="s">
        <v>38</v>
      </c>
      <c r="K71" s="2" t="str">
        <f t="shared" si="61"/>
        <v/>
      </c>
      <c r="M71" s="2" t="str">
        <f t="shared" ref="M71" si="63">IF(NOT(ISBLANK(N71)),"-","")</f>
        <v>-</v>
      </c>
      <c r="N71" s="2" t="s">
        <v>25</v>
      </c>
      <c r="O71" s="2" t="str">
        <f t="shared" ref="O71" si="64">IF(NOT(ISBLANK(P71)),"-","")</f>
        <v/>
      </c>
    </row>
    <row r="72" spans="1:16" x14ac:dyDescent="0.25">
      <c r="B72" s="1" t="str">
        <f>_xlfn.CONCAT("@",F72,G72,H72,I72,J72,K72,L72,M72,"(",N72,O72,P72,")")</f>
        <v>@color-motorway_case-(def-hc)</v>
      </c>
      <c r="C72" s="1" t="str">
        <f>_xlfn.CONCAT("""",D72,"""")</f>
        <v>"#000000"</v>
      </c>
      <c r="D72" s="25" t="s">
        <v>40</v>
      </c>
      <c r="F72" s="2" t="s">
        <v>21</v>
      </c>
      <c r="G72" s="2" t="str">
        <f>IF(NOT(ISBLANK(H72)),"-","")</f>
        <v>-</v>
      </c>
      <c r="H72" s="2" t="s">
        <v>35</v>
      </c>
      <c r="I72" s="2" t="str">
        <f t="shared" si="60"/>
        <v>_</v>
      </c>
      <c r="J72" s="2" t="s">
        <v>38</v>
      </c>
      <c r="K72" s="2" t="str">
        <f t="shared" si="61"/>
        <v/>
      </c>
      <c r="M72" s="2" t="str">
        <f>IF(NOT(ISBLANK(N72)),"-","")</f>
        <v>-</v>
      </c>
      <c r="N72" s="2" t="s">
        <v>25</v>
      </c>
      <c r="O72" s="2" t="str">
        <f>IF(NOT(ISBLANK(P72)),"-","")</f>
        <v>-</v>
      </c>
      <c r="P72" s="2" t="s">
        <v>26</v>
      </c>
    </row>
    <row r="73" spans="1:16" x14ac:dyDescent="0.25">
      <c r="B73" s="1" t="str">
        <f t="shared" si="4"/>
        <v>@color-motorway_line-(def)</v>
      </c>
      <c r="C73" s="1" t="str">
        <f t="shared" si="5"/>
        <v>"#ffcc88"</v>
      </c>
      <c r="D73" s="22" t="s">
        <v>36</v>
      </c>
      <c r="F73" s="2" t="s">
        <v>21</v>
      </c>
      <c r="G73" s="2" t="str">
        <f t="shared" ref="G73" si="65">IF(NOT(ISBLANK(H73)),"-","")</f>
        <v>-</v>
      </c>
      <c r="H73" s="2" t="s">
        <v>35</v>
      </c>
      <c r="I73" s="2" t="str">
        <f t="shared" si="60"/>
        <v>_</v>
      </c>
      <c r="J73" s="2" t="s">
        <v>28</v>
      </c>
      <c r="K73" s="2" t="str">
        <f t="shared" si="61"/>
        <v/>
      </c>
      <c r="M73" s="2" t="str">
        <f t="shared" ref="M73:O79" si="66">IF(NOT(ISBLANK(N73)),"-","")</f>
        <v>-</v>
      </c>
      <c r="N73" s="2" t="s">
        <v>25</v>
      </c>
      <c r="O73" s="2" t="str">
        <f t="shared" ref="O73" si="67">IF(NOT(ISBLANK(P73)),"-","")</f>
        <v/>
      </c>
    </row>
    <row r="74" spans="1:16" x14ac:dyDescent="0.25">
      <c r="B74" s="1" t="str">
        <f t="shared" si="4"/>
        <v>@color-motorway_line-(def-hc)</v>
      </c>
      <c r="C74" s="1" t="str">
        <f t="shared" si="5"/>
        <v>"#d6771e"</v>
      </c>
      <c r="D74" s="23" t="s">
        <v>37</v>
      </c>
      <c r="F74" s="2" t="s">
        <v>21</v>
      </c>
      <c r="G74" s="2" t="str">
        <f t="shared" ref="G74:G79" si="68">IF(NOT(ISBLANK(H74)),"-","")</f>
        <v>-</v>
      </c>
      <c r="H74" s="2" t="s">
        <v>35</v>
      </c>
      <c r="I74" s="2" t="str">
        <f t="shared" si="60"/>
        <v>_</v>
      </c>
      <c r="J74" s="2" t="s">
        <v>28</v>
      </c>
      <c r="K74" s="2" t="str">
        <f t="shared" si="61"/>
        <v/>
      </c>
      <c r="M74" s="2" t="str">
        <f t="shared" ref="M74" si="69">IF(NOT(ISBLANK(N74)),"-","")</f>
        <v>-</v>
      </c>
      <c r="N74" s="2" t="s">
        <v>25</v>
      </c>
      <c r="O74" s="2" t="str">
        <f t="shared" ref="O74" si="70">IF(NOT(ISBLANK(P74)),"-","")</f>
        <v>-</v>
      </c>
      <c r="P74" s="2" t="s">
        <v>26</v>
      </c>
    </row>
    <row r="75" spans="1:16" x14ac:dyDescent="0.25">
      <c r="B75" s="1"/>
      <c r="C75" s="1"/>
    </row>
    <row r="76" spans="1:16" x14ac:dyDescent="0.25">
      <c r="A76" s="44" t="s">
        <v>90</v>
      </c>
      <c r="B76" s="44"/>
      <c r="C76" s="44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</row>
    <row r="77" spans="1:16" x14ac:dyDescent="0.25">
      <c r="B77" s="1" t="str">
        <f t="shared" si="4"/>
        <v>@color-trunk_case_farzoom-(def)</v>
      </c>
      <c r="C77" s="1" t="str">
        <f t="shared" si="5"/>
        <v>"#df9a5e"</v>
      </c>
      <c r="D77" s="29" t="s">
        <v>49</v>
      </c>
      <c r="F77" s="2" t="s">
        <v>21</v>
      </c>
      <c r="G77" s="2" t="str">
        <f t="shared" si="68"/>
        <v>-</v>
      </c>
      <c r="H77" s="2" t="s">
        <v>42</v>
      </c>
      <c r="I77" s="2" t="str">
        <f t="shared" ref="I77:I92" si="71">IF(NOT(ISBLANK(J77)),"_","")</f>
        <v>_</v>
      </c>
      <c r="J77" s="2" t="s">
        <v>38</v>
      </c>
      <c r="K77" s="2" t="str">
        <f t="shared" ref="K77:K92" si="72">IF(NOT(ISBLANK(L77)),"_","")</f>
        <v>_</v>
      </c>
      <c r="L77" s="2" t="s">
        <v>44</v>
      </c>
      <c r="M77" s="2" t="str">
        <f t="shared" si="66"/>
        <v>-</v>
      </c>
      <c r="N77" s="2" t="s">
        <v>25</v>
      </c>
      <c r="O77" s="2" t="str">
        <f t="shared" si="66"/>
        <v/>
      </c>
    </row>
    <row r="78" spans="1:16" x14ac:dyDescent="0.25">
      <c r="B78" s="1" t="str">
        <f>_xlfn.CONCAT("@",F78,G78,H78,I78,J78,K78,L78,M78,"(",N78,O78,P78,")")</f>
        <v>@color-trunk_case_farzoom-(def-hc)</v>
      </c>
      <c r="C78" s="1" t="str">
        <f>_xlfn.CONCAT("""",D78,"""")</f>
        <v>"#000000"</v>
      </c>
      <c r="D78" s="25" t="s">
        <v>40</v>
      </c>
      <c r="F78" s="2" t="s">
        <v>21</v>
      </c>
      <c r="G78" s="2" t="str">
        <f>IF(NOT(ISBLANK(H78)),"-","")</f>
        <v>-</v>
      </c>
      <c r="H78" s="2" t="s">
        <v>42</v>
      </c>
      <c r="I78" s="2" t="str">
        <f t="shared" si="71"/>
        <v>_</v>
      </c>
      <c r="J78" s="2" t="s">
        <v>38</v>
      </c>
      <c r="K78" s="2" t="str">
        <f t="shared" si="72"/>
        <v>_</v>
      </c>
      <c r="L78" s="2" t="s">
        <v>44</v>
      </c>
      <c r="M78" s="2" t="str">
        <f>IF(NOT(ISBLANK(N78)),"-","")</f>
        <v>-</v>
      </c>
      <c r="N78" s="2" t="s">
        <v>25</v>
      </c>
      <c r="O78" s="2" t="str">
        <f>IF(NOT(ISBLANK(P78)),"-","")</f>
        <v>-</v>
      </c>
      <c r="P78" s="2" t="s">
        <v>26</v>
      </c>
    </row>
    <row r="79" spans="1:16" x14ac:dyDescent="0.25">
      <c r="B79" s="1" t="str">
        <f t="shared" si="4"/>
        <v>@color-trunk_case-(def)</v>
      </c>
      <c r="C79" s="1" t="str">
        <f t="shared" si="5"/>
        <v>"#c26d21"</v>
      </c>
      <c r="D79" s="30" t="s">
        <v>50</v>
      </c>
      <c r="F79" s="2" t="s">
        <v>21</v>
      </c>
      <c r="G79" s="2" t="str">
        <f t="shared" si="68"/>
        <v>-</v>
      </c>
      <c r="H79" s="2" t="s">
        <v>42</v>
      </c>
      <c r="I79" s="2" t="str">
        <f t="shared" si="71"/>
        <v>_</v>
      </c>
      <c r="J79" s="2" t="s">
        <v>38</v>
      </c>
      <c r="K79" s="2" t="str">
        <f t="shared" si="72"/>
        <v/>
      </c>
      <c r="M79" s="2" t="str">
        <f t="shared" si="66"/>
        <v>-</v>
      </c>
      <c r="N79" s="2" t="s">
        <v>25</v>
      </c>
      <c r="O79" s="2" t="str">
        <f t="shared" si="66"/>
        <v/>
      </c>
    </row>
    <row r="80" spans="1:16" x14ac:dyDescent="0.25">
      <c r="B80" s="1" t="str">
        <f>_xlfn.CONCAT("@",F80,G80,H80,I80,J80,K80,L80,M80,"(",N80,O80,P80,")")</f>
        <v>@color-trunk_case-(def-hc)</v>
      </c>
      <c r="C80" s="1" t="str">
        <f>_xlfn.CONCAT("""",D80,"""")</f>
        <v>"#000000"</v>
      </c>
      <c r="D80" s="25" t="s">
        <v>40</v>
      </c>
      <c r="F80" s="2" t="s">
        <v>21</v>
      </c>
      <c r="G80" s="2" t="str">
        <f>IF(NOT(ISBLANK(H80)),"-","")</f>
        <v>-</v>
      </c>
      <c r="H80" s="2" t="s">
        <v>42</v>
      </c>
      <c r="I80" s="2" t="str">
        <f t="shared" si="71"/>
        <v>_</v>
      </c>
      <c r="J80" s="2" t="s">
        <v>38</v>
      </c>
      <c r="K80" s="2" t="str">
        <f t="shared" si="72"/>
        <v/>
      </c>
      <c r="M80" s="2" t="str">
        <f>IF(NOT(ISBLANK(N80)),"-","")</f>
        <v>-</v>
      </c>
      <c r="N80" s="2" t="s">
        <v>25</v>
      </c>
      <c r="O80" s="2" t="str">
        <f>IF(NOT(ISBLANK(P80)),"-","")</f>
        <v>-</v>
      </c>
      <c r="P80" s="2" t="s">
        <v>26</v>
      </c>
    </row>
    <row r="81" spans="1:16" x14ac:dyDescent="0.25">
      <c r="B81" s="1" t="str">
        <f t="shared" si="4"/>
        <v>@color-trunk_case_unpaved-(gr)</v>
      </c>
      <c r="C81" s="1" t="str">
        <f t="shared" si="5"/>
        <v>"#634507"</v>
      </c>
      <c r="D81" s="27" t="s">
        <v>46</v>
      </c>
      <c r="F81" s="2" t="s">
        <v>21</v>
      </c>
      <c r="G81" s="2" t="str">
        <f t="shared" si="7"/>
        <v>-</v>
      </c>
      <c r="H81" s="2" t="s">
        <v>42</v>
      </c>
      <c r="I81" s="2" t="str">
        <f t="shared" si="71"/>
        <v>_</v>
      </c>
      <c r="J81" s="2" t="s">
        <v>38</v>
      </c>
      <c r="K81" s="2" t="str">
        <f t="shared" si="72"/>
        <v>_</v>
      </c>
      <c r="L81" s="2" t="s">
        <v>45</v>
      </c>
      <c r="M81" s="2" t="str">
        <f t="shared" si="7"/>
        <v>-</v>
      </c>
      <c r="N81" s="2" t="s">
        <v>48</v>
      </c>
      <c r="O81" s="2" t="str">
        <f t="shared" si="7"/>
        <v/>
      </c>
    </row>
    <row r="82" spans="1:16" x14ac:dyDescent="0.25">
      <c r="B82" s="1" t="str">
        <f t="shared" ref="B82" si="73">_xlfn.CONCAT("@",F82,G82,H82,I82,J82,K82,L82,M82,"(",N82,O82,P82,")")</f>
        <v>@color-trunk_case_unpaved-(gr-hc)</v>
      </c>
      <c r="C82" s="1" t="str">
        <f t="shared" ref="C82" si="74">_xlfn.CONCAT("""",D82,"""")</f>
        <v>""</v>
      </c>
      <c r="F82" s="2" t="s">
        <v>21</v>
      </c>
      <c r="G82" s="2" t="str">
        <f t="shared" ref="G82" si="75">IF(NOT(ISBLANK(H82)),"-","")</f>
        <v>-</v>
      </c>
      <c r="H82" s="2" t="s">
        <v>42</v>
      </c>
      <c r="I82" s="2" t="str">
        <f t="shared" si="71"/>
        <v>_</v>
      </c>
      <c r="J82" s="2" t="s">
        <v>38</v>
      </c>
      <c r="K82" s="2" t="str">
        <f t="shared" si="72"/>
        <v>_</v>
      </c>
      <c r="L82" s="2" t="s">
        <v>45</v>
      </c>
      <c r="M82" s="2" t="str">
        <f t="shared" ref="M82" si="76">IF(NOT(ISBLANK(N82)),"-","")</f>
        <v>-</v>
      </c>
      <c r="N82" s="2" t="s">
        <v>48</v>
      </c>
      <c r="O82" s="2" t="str">
        <f t="shared" ref="O82" si="77">IF(NOT(ISBLANK(P82)),"-","")</f>
        <v>-</v>
      </c>
      <c r="P82" s="2" t="s">
        <v>26</v>
      </c>
    </row>
    <row r="83" spans="1:16" x14ac:dyDescent="0.25">
      <c r="B83" s="1" t="str">
        <f t="shared" ref="B83" si="78">_xlfn.CONCAT("@",F83,G83,H83,I83,J83,K83,L83,M83,"(",N83,O83,P83,")")</f>
        <v>@color-trunk_case_paved_or_uk-(gr)</v>
      </c>
      <c r="C83" s="1" t="str">
        <f t="shared" ref="C83" si="79">_xlfn.CONCAT("""",D83,"""")</f>
        <v>"#404040"</v>
      </c>
      <c r="D83" s="28" t="s">
        <v>47</v>
      </c>
      <c r="F83" s="2" t="s">
        <v>21</v>
      </c>
      <c r="G83" s="2" t="str">
        <f t="shared" ref="G83" si="80">IF(NOT(ISBLANK(H83)),"-","")</f>
        <v>-</v>
      </c>
      <c r="H83" s="2" t="s">
        <v>42</v>
      </c>
      <c r="I83" s="2" t="str">
        <f t="shared" si="71"/>
        <v>_</v>
      </c>
      <c r="J83" s="2" t="s">
        <v>38</v>
      </c>
      <c r="K83" s="2" t="str">
        <f t="shared" si="72"/>
        <v>_</v>
      </c>
      <c r="L83" s="2" t="s">
        <v>52</v>
      </c>
      <c r="M83" s="2" t="str">
        <f t="shared" ref="M83" si="81">IF(NOT(ISBLANK(N83)),"-","")</f>
        <v>-</v>
      </c>
      <c r="N83" s="2" t="s">
        <v>48</v>
      </c>
      <c r="O83" s="2" t="str">
        <f t="shared" ref="O83" si="82">IF(NOT(ISBLANK(P83)),"-","")</f>
        <v/>
      </c>
    </row>
    <row r="84" spans="1:16" x14ac:dyDescent="0.25">
      <c r="B84" s="1" t="str">
        <f t="shared" si="4"/>
        <v>@color-trunk_case_paved_or_uk-(gr-hc)</v>
      </c>
      <c r="C84" s="1" t="str">
        <f t="shared" si="5"/>
        <v>""</v>
      </c>
      <c r="F84" s="2" t="s">
        <v>21</v>
      </c>
      <c r="G84" s="2" t="str">
        <f t="shared" si="7"/>
        <v>-</v>
      </c>
      <c r="H84" s="2" t="s">
        <v>42</v>
      </c>
      <c r="I84" s="2" t="str">
        <f t="shared" si="71"/>
        <v>_</v>
      </c>
      <c r="J84" s="2" t="s">
        <v>38</v>
      </c>
      <c r="K84" s="2" t="str">
        <f t="shared" si="72"/>
        <v>_</v>
      </c>
      <c r="L84" s="2" t="s">
        <v>52</v>
      </c>
      <c r="M84" s="2" t="str">
        <f t="shared" si="7"/>
        <v>-</v>
      </c>
      <c r="N84" s="2" t="s">
        <v>48</v>
      </c>
      <c r="O84" s="2" t="str">
        <f t="shared" si="7"/>
        <v>-</v>
      </c>
      <c r="P84" s="2" t="s">
        <v>26</v>
      </c>
    </row>
    <row r="85" spans="1:16" x14ac:dyDescent="0.25">
      <c r="B85" s="1" t="str">
        <f t="shared" si="4"/>
        <v>@color-trunk_line-(def)</v>
      </c>
      <c r="C85" s="1" t="str">
        <f t="shared" si="5"/>
        <v>"#ffeeaa"</v>
      </c>
      <c r="D85" s="31" t="s">
        <v>53</v>
      </c>
      <c r="F85" s="2" t="s">
        <v>21</v>
      </c>
      <c r="G85" s="2" t="str">
        <f t="shared" si="7"/>
        <v>-</v>
      </c>
      <c r="H85" s="2" t="s">
        <v>42</v>
      </c>
      <c r="I85" s="2" t="str">
        <f t="shared" si="71"/>
        <v>_</v>
      </c>
      <c r="J85" s="2" t="s">
        <v>28</v>
      </c>
      <c r="K85" s="2" t="str">
        <f t="shared" si="72"/>
        <v/>
      </c>
      <c r="M85" s="2" t="str">
        <f t="shared" si="7"/>
        <v>-</v>
      </c>
      <c r="N85" s="2" t="s">
        <v>25</v>
      </c>
      <c r="O85" s="2" t="str">
        <f t="shared" si="7"/>
        <v/>
      </c>
    </row>
    <row r="86" spans="1:16" x14ac:dyDescent="0.25">
      <c r="B86" s="1" t="str">
        <f>_xlfn.CONCAT("@",F86,G86,H86,I86,J86,K86,L86,M86,"(",N86,O86,P86,")")</f>
        <v>@color-trunk_line-(def-hc)</v>
      </c>
      <c r="C86" s="1" t="str">
        <f>_xlfn.CONCAT("""",D86,"""")</f>
        <v>"#ffc72e"</v>
      </c>
      <c r="D86" s="32" t="s">
        <v>54</v>
      </c>
      <c r="F86" s="2" t="s">
        <v>21</v>
      </c>
      <c r="G86" s="2" t="str">
        <f>IF(NOT(ISBLANK(H86)),"-","")</f>
        <v>-</v>
      </c>
      <c r="H86" s="2" t="s">
        <v>42</v>
      </c>
      <c r="I86" s="2" t="str">
        <f t="shared" si="71"/>
        <v>_</v>
      </c>
      <c r="J86" s="2" t="s">
        <v>28</v>
      </c>
      <c r="K86" s="2" t="str">
        <f t="shared" si="72"/>
        <v/>
      </c>
      <c r="M86" s="2" t="str">
        <f>IF(NOT(ISBLANK(N86)),"-","")</f>
        <v>-</v>
      </c>
      <c r="N86" s="2" t="s">
        <v>25</v>
      </c>
      <c r="O86" s="2" t="str">
        <f>IF(NOT(ISBLANK(P86)),"-","")</f>
        <v>-</v>
      </c>
      <c r="P86" s="2" t="s">
        <v>26</v>
      </c>
    </row>
    <row r="87" spans="1:16" x14ac:dyDescent="0.25">
      <c r="B87" s="1" t="str">
        <f t="shared" si="4"/>
        <v>@color-trunk_line_bicycle_no-(def)</v>
      </c>
      <c r="C87" s="1" t="str">
        <f t="shared" si="5"/>
        <v>"#ffcc88"</v>
      </c>
      <c r="D87" s="22" t="s">
        <v>36</v>
      </c>
      <c r="F87" s="2" t="s">
        <v>21</v>
      </c>
      <c r="G87" s="2" t="str">
        <f t="shared" ref="G87" si="83">IF(NOT(ISBLANK(H87)),"-","")</f>
        <v>-</v>
      </c>
      <c r="H87" s="2" t="s">
        <v>42</v>
      </c>
      <c r="I87" s="2" t="str">
        <f t="shared" si="71"/>
        <v>_</v>
      </c>
      <c r="J87" s="2" t="s">
        <v>28</v>
      </c>
      <c r="K87" s="2" t="str">
        <f t="shared" si="72"/>
        <v>_</v>
      </c>
      <c r="L87" s="2" t="s">
        <v>51</v>
      </c>
      <c r="M87" s="2" t="str">
        <f t="shared" si="7"/>
        <v>-</v>
      </c>
      <c r="N87" s="2" t="s">
        <v>25</v>
      </c>
      <c r="O87" s="2" t="str">
        <f t="shared" si="7"/>
        <v/>
      </c>
    </row>
    <row r="88" spans="1:16" x14ac:dyDescent="0.25">
      <c r="B88" s="1" t="str">
        <f t="shared" si="4"/>
        <v>@color-trunk_line_bicycle_no-(def-hc)</v>
      </c>
      <c r="C88" s="1" t="str">
        <f t="shared" si="5"/>
        <v>"#d6771e"</v>
      </c>
      <c r="D88" s="23" t="s">
        <v>37</v>
      </c>
      <c r="F88" s="2" t="s">
        <v>21</v>
      </c>
      <c r="G88" s="2" t="str">
        <f t="shared" ref="G88" si="84">IF(NOT(ISBLANK(H88)),"-","")</f>
        <v>-</v>
      </c>
      <c r="H88" s="2" t="s">
        <v>42</v>
      </c>
      <c r="I88" s="2" t="str">
        <f t="shared" si="71"/>
        <v>_</v>
      </c>
      <c r="J88" s="2" t="s">
        <v>28</v>
      </c>
      <c r="K88" s="2" t="str">
        <f t="shared" si="72"/>
        <v>_</v>
      </c>
      <c r="L88" s="2" t="s">
        <v>51</v>
      </c>
      <c r="M88" s="2" t="str">
        <f t="shared" ref="M88" si="85">IF(NOT(ISBLANK(N88)),"-","")</f>
        <v>-</v>
      </c>
      <c r="N88" s="2" t="s">
        <v>25</v>
      </c>
      <c r="O88" s="2" t="str">
        <f t="shared" si="7"/>
        <v>-</v>
      </c>
      <c r="P88" s="2" t="s">
        <v>26</v>
      </c>
    </row>
    <row r="89" spans="1:16" x14ac:dyDescent="0.25">
      <c r="B89" s="1" t="str">
        <f t="shared" si="4"/>
        <v>@color-trunk_line_unpaved-(gr)</v>
      </c>
      <c r="C89" s="1" t="str">
        <f t="shared" si="5"/>
        <v>"#eddfca"</v>
      </c>
      <c r="D89" s="33" t="s">
        <v>55</v>
      </c>
      <c r="F89" s="2" t="s">
        <v>21</v>
      </c>
      <c r="G89" s="2" t="str">
        <f t="shared" ref="G89:G92" si="86">IF(NOT(ISBLANK(H89)),"-","")</f>
        <v>-</v>
      </c>
      <c r="H89" s="2" t="s">
        <v>42</v>
      </c>
      <c r="I89" s="2" t="str">
        <f t="shared" si="71"/>
        <v>_</v>
      </c>
      <c r="J89" s="2" t="s">
        <v>28</v>
      </c>
      <c r="K89" s="2" t="str">
        <f t="shared" si="72"/>
        <v>_</v>
      </c>
      <c r="L89" s="2" t="s">
        <v>45</v>
      </c>
      <c r="M89" s="2" t="str">
        <f t="shared" si="7"/>
        <v>-</v>
      </c>
      <c r="N89" s="2" t="s">
        <v>48</v>
      </c>
      <c r="O89" s="2" t="str">
        <f t="shared" si="7"/>
        <v/>
      </c>
    </row>
    <row r="90" spans="1:16" x14ac:dyDescent="0.25">
      <c r="B90" s="1" t="str">
        <f t="shared" si="4"/>
        <v>@color-trunk_line_unpaved-(gr-hc)</v>
      </c>
      <c r="C90" s="1" t="str">
        <f t="shared" si="5"/>
        <v>""</v>
      </c>
      <c r="F90" s="2" t="s">
        <v>21</v>
      </c>
      <c r="G90" s="2" t="str">
        <f t="shared" si="86"/>
        <v>-</v>
      </c>
      <c r="H90" s="2" t="s">
        <v>42</v>
      </c>
      <c r="I90" s="2" t="str">
        <f t="shared" si="71"/>
        <v>_</v>
      </c>
      <c r="J90" s="2" t="s">
        <v>28</v>
      </c>
      <c r="K90" s="2" t="str">
        <f t="shared" si="72"/>
        <v>_</v>
      </c>
      <c r="L90" s="2" t="s">
        <v>45</v>
      </c>
      <c r="M90" s="2" t="str">
        <f t="shared" si="7"/>
        <v>-</v>
      </c>
      <c r="N90" s="2" t="s">
        <v>48</v>
      </c>
      <c r="O90" s="2" t="str">
        <f t="shared" si="7"/>
        <v>-</v>
      </c>
      <c r="P90" s="2" t="s">
        <v>26</v>
      </c>
    </row>
    <row r="91" spans="1:16" x14ac:dyDescent="0.25">
      <c r="B91" s="1" t="str">
        <f t="shared" si="4"/>
        <v>@color-trunk_line_paved_or_uk-(gr)</v>
      </c>
      <c r="C91" s="1" t="str">
        <f t="shared" si="5"/>
        <v>"#ffffff"</v>
      </c>
      <c r="D91" s="34" t="s">
        <v>56</v>
      </c>
      <c r="F91" s="2" t="s">
        <v>21</v>
      </c>
      <c r="G91" s="2" t="str">
        <f t="shared" si="86"/>
        <v>-</v>
      </c>
      <c r="H91" s="2" t="s">
        <v>42</v>
      </c>
      <c r="I91" s="2" t="str">
        <f t="shared" si="71"/>
        <v>_</v>
      </c>
      <c r="J91" s="2" t="s">
        <v>28</v>
      </c>
      <c r="K91" s="2" t="str">
        <f t="shared" si="72"/>
        <v>_</v>
      </c>
      <c r="L91" s="2" t="s">
        <v>52</v>
      </c>
      <c r="M91" s="2" t="str">
        <f t="shared" si="7"/>
        <v>-</v>
      </c>
      <c r="N91" s="2" t="s">
        <v>48</v>
      </c>
      <c r="O91" s="2" t="str">
        <f t="shared" si="7"/>
        <v/>
      </c>
    </row>
    <row r="92" spans="1:16" x14ac:dyDescent="0.25">
      <c r="B92" s="1" t="str">
        <f t="shared" si="4"/>
        <v>@color-trunk_line_paved_or_uk-(gr-hc)</v>
      </c>
      <c r="C92" s="1" t="str">
        <f t="shared" si="5"/>
        <v>""</v>
      </c>
      <c r="F92" s="2" t="s">
        <v>21</v>
      </c>
      <c r="G92" s="2" t="str">
        <f t="shared" si="86"/>
        <v>-</v>
      </c>
      <c r="H92" s="2" t="s">
        <v>42</v>
      </c>
      <c r="I92" s="2" t="str">
        <f t="shared" si="71"/>
        <v>_</v>
      </c>
      <c r="J92" s="2" t="s">
        <v>28</v>
      </c>
      <c r="K92" s="2" t="str">
        <f t="shared" si="72"/>
        <v>_</v>
      </c>
      <c r="L92" s="2" t="s">
        <v>52</v>
      </c>
      <c r="M92" s="2" t="str">
        <f t="shared" si="7"/>
        <v>-</v>
      </c>
      <c r="N92" s="2" t="s">
        <v>48</v>
      </c>
      <c r="O92" s="2" t="str">
        <f t="shared" si="7"/>
        <v>-</v>
      </c>
      <c r="P92" s="2" t="s">
        <v>26</v>
      </c>
    </row>
    <row r="93" spans="1:16" x14ac:dyDescent="0.25">
      <c r="B93" s="1"/>
      <c r="C93" s="1"/>
    </row>
    <row r="94" spans="1:16" x14ac:dyDescent="0.25">
      <c r="A94" s="44" t="s">
        <v>89</v>
      </c>
      <c r="B94" s="44"/>
      <c r="C94" s="44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</row>
    <row r="95" spans="1:16" x14ac:dyDescent="0.25">
      <c r="B95" s="1" t="str">
        <f t="shared" ref="B95" si="87">_xlfn.CONCAT("@",F95,G95,H95,I95,J95,K95,L95,M95,"(",N95,O95,P95,")")</f>
        <v>@color-primary_case-(def)</v>
      </c>
      <c r="C95" s="1" t="str">
        <f t="shared" ref="C95" si="88">_xlfn.CONCAT("""",D95,"""")</f>
        <v>"#d28644"</v>
      </c>
      <c r="D95" s="36" t="s">
        <v>68</v>
      </c>
      <c r="F95" s="2" t="s">
        <v>21</v>
      </c>
      <c r="G95" s="2" t="str">
        <f t="shared" ref="G95" si="89">IF(NOT(ISBLANK(H95)),"-","")</f>
        <v>-</v>
      </c>
      <c r="H95" s="2" t="s">
        <v>57</v>
      </c>
      <c r="I95" s="2" t="str">
        <f t="shared" ref="I95:I106" si="90">IF(NOT(ISBLANK(J95)),"_","")</f>
        <v>_</v>
      </c>
      <c r="J95" s="2" t="s">
        <v>38</v>
      </c>
      <c r="K95" s="2" t="str">
        <f t="shared" ref="K95:K106" si="91">IF(NOT(ISBLANK(L95)),"_","")</f>
        <v/>
      </c>
      <c r="M95" s="2" t="str">
        <f t="shared" ref="M95" si="92">IF(NOT(ISBLANK(N95)),"-","")</f>
        <v>-</v>
      </c>
      <c r="N95" s="2" t="s">
        <v>25</v>
      </c>
      <c r="O95" s="2" t="str">
        <f t="shared" ref="O95" si="93">IF(NOT(ISBLANK(P95)),"-","")</f>
        <v/>
      </c>
    </row>
    <row r="96" spans="1:16" x14ac:dyDescent="0.25">
      <c r="B96" s="1" t="str">
        <f t="shared" ref="B96" si="94">_xlfn.CONCAT("@",F96,G96,H96,I96,J96,K96,L96,M96,"(",N96,O96,P96,")")</f>
        <v>@color-primary_case-(def-hc)</v>
      </c>
      <c r="C96" s="1" t="str">
        <f t="shared" ref="C96" si="95">_xlfn.CONCAT("""",D96,"""")</f>
        <v>"#000000"</v>
      </c>
      <c r="D96" s="25" t="s">
        <v>40</v>
      </c>
      <c r="F96" s="2" t="s">
        <v>21</v>
      </c>
      <c r="G96" s="2" t="str">
        <f t="shared" ref="G96" si="96">IF(NOT(ISBLANK(H96)),"-","")</f>
        <v>-</v>
      </c>
      <c r="H96" s="2" t="s">
        <v>57</v>
      </c>
      <c r="I96" s="2" t="str">
        <f t="shared" si="90"/>
        <v>_</v>
      </c>
      <c r="J96" s="2" t="s">
        <v>38</v>
      </c>
      <c r="K96" s="2" t="str">
        <f t="shared" si="91"/>
        <v/>
      </c>
      <c r="M96" s="2" t="str">
        <f t="shared" ref="M96" si="97">IF(NOT(ISBLANK(N96)),"-","")</f>
        <v>-</v>
      </c>
      <c r="N96" s="2" t="s">
        <v>25</v>
      </c>
      <c r="O96" s="2" t="str">
        <f t="shared" ref="O96" si="98">IF(NOT(ISBLANK(P96)),"-","")</f>
        <v>-</v>
      </c>
      <c r="P96" s="2" t="s">
        <v>26</v>
      </c>
    </row>
    <row r="97" spans="2:16" x14ac:dyDescent="0.25">
      <c r="B97" s="1" t="str">
        <f t="shared" ref="B97" si="99">_xlfn.CONCAT("@",F97,G97,H97,I97,J97,K97,L97,M97,"(",N97,O97,P97,")")</f>
        <v>@color-primary_case_unpaved-(gr)</v>
      </c>
      <c r="C97" s="1" t="str">
        <f t="shared" ref="C97" si="100">_xlfn.CONCAT("""",D97,"""")</f>
        <v>"#634507"</v>
      </c>
      <c r="D97" s="27" t="s">
        <v>46</v>
      </c>
      <c r="F97" s="2" t="s">
        <v>21</v>
      </c>
      <c r="G97" s="2" t="str">
        <f t="shared" ref="G97" si="101">IF(NOT(ISBLANK(H97)),"-","")</f>
        <v>-</v>
      </c>
      <c r="H97" s="2" t="s">
        <v>57</v>
      </c>
      <c r="I97" s="2" t="str">
        <f t="shared" si="90"/>
        <v>_</v>
      </c>
      <c r="J97" s="2" t="s">
        <v>38</v>
      </c>
      <c r="K97" s="2" t="str">
        <f t="shared" si="91"/>
        <v>_</v>
      </c>
      <c r="L97" s="2" t="s">
        <v>45</v>
      </c>
      <c r="M97" s="2" t="str">
        <f t="shared" ref="M97" si="102">IF(NOT(ISBLANK(N97)),"-","")</f>
        <v>-</v>
      </c>
      <c r="N97" s="2" t="s">
        <v>48</v>
      </c>
      <c r="O97" s="2" t="str">
        <f t="shared" ref="O97" si="103">IF(NOT(ISBLANK(P97)),"-","")</f>
        <v/>
      </c>
    </row>
    <row r="98" spans="2:16" x14ac:dyDescent="0.25">
      <c r="B98" s="1" t="str">
        <f t="shared" ref="B98:B99" si="104">_xlfn.CONCAT("@",F98,G98,H98,I98,J98,K98,L98,M98,"(",N98,O98,P98,")")</f>
        <v>@color-primary_case_unpaved-(gr-hc)</v>
      </c>
      <c r="C98" s="1" t="str">
        <f t="shared" ref="C98:C99" si="105">_xlfn.CONCAT("""",D98,"""")</f>
        <v>""</v>
      </c>
      <c r="F98" s="2" t="s">
        <v>21</v>
      </c>
      <c r="G98" s="2" t="str">
        <f t="shared" ref="G98:G99" si="106">IF(NOT(ISBLANK(H98)),"-","")</f>
        <v>-</v>
      </c>
      <c r="H98" s="2" t="s">
        <v>57</v>
      </c>
      <c r="I98" s="2" t="str">
        <f t="shared" si="90"/>
        <v>_</v>
      </c>
      <c r="J98" s="2" t="s">
        <v>38</v>
      </c>
      <c r="K98" s="2" t="str">
        <f t="shared" si="91"/>
        <v>_</v>
      </c>
      <c r="L98" s="2" t="s">
        <v>45</v>
      </c>
      <c r="M98" s="2" t="str">
        <f t="shared" ref="M98:M99" si="107">IF(NOT(ISBLANK(N98)),"-","")</f>
        <v>-</v>
      </c>
      <c r="N98" s="2" t="s">
        <v>48</v>
      </c>
      <c r="O98" s="2" t="str">
        <f t="shared" ref="O98:O99" si="108">IF(NOT(ISBLANK(P98)),"-","")</f>
        <v>-</v>
      </c>
      <c r="P98" s="2" t="s">
        <v>26</v>
      </c>
    </row>
    <row r="99" spans="2:16" x14ac:dyDescent="0.25">
      <c r="B99" s="1" t="str">
        <f t="shared" si="104"/>
        <v>@color-primary_case_paved_or_uk-(gr)</v>
      </c>
      <c r="C99" s="1" t="str">
        <f t="shared" si="105"/>
        <v>"#404040"</v>
      </c>
      <c r="D99" s="28" t="s">
        <v>47</v>
      </c>
      <c r="F99" s="2" t="s">
        <v>21</v>
      </c>
      <c r="G99" s="2" t="str">
        <f t="shared" si="106"/>
        <v>-</v>
      </c>
      <c r="H99" s="2" t="s">
        <v>57</v>
      </c>
      <c r="I99" s="2" t="str">
        <f t="shared" si="90"/>
        <v>_</v>
      </c>
      <c r="J99" s="2" t="s">
        <v>38</v>
      </c>
      <c r="K99" s="2" t="str">
        <f t="shared" si="91"/>
        <v>_</v>
      </c>
      <c r="L99" s="2" t="s">
        <v>52</v>
      </c>
      <c r="M99" s="2" t="str">
        <f t="shared" si="107"/>
        <v>-</v>
      </c>
      <c r="N99" s="2" t="s">
        <v>48</v>
      </c>
      <c r="O99" s="2" t="str">
        <f t="shared" si="108"/>
        <v/>
      </c>
    </row>
    <row r="100" spans="2:16" x14ac:dyDescent="0.25">
      <c r="B100" s="1" t="str">
        <f t="shared" ref="B100" si="109">_xlfn.CONCAT("@",F100,G100,H100,I100,J100,K100,L100,M100,"(",N100,O100,P100,")")</f>
        <v>@color-primary_case_paved_or_uk-(gr-hc)</v>
      </c>
      <c r="C100" s="1" t="str">
        <f t="shared" ref="C100" si="110">_xlfn.CONCAT("""",D100,"""")</f>
        <v>""</v>
      </c>
      <c r="F100" s="2" t="s">
        <v>21</v>
      </c>
      <c r="G100" s="2" t="str">
        <f t="shared" ref="G100" si="111">IF(NOT(ISBLANK(H100)),"-","")</f>
        <v>-</v>
      </c>
      <c r="H100" s="2" t="s">
        <v>57</v>
      </c>
      <c r="I100" s="2" t="str">
        <f t="shared" si="90"/>
        <v>_</v>
      </c>
      <c r="J100" s="2" t="s">
        <v>38</v>
      </c>
      <c r="K100" s="2" t="str">
        <f t="shared" si="91"/>
        <v>_</v>
      </c>
      <c r="L100" s="2" t="s">
        <v>52</v>
      </c>
      <c r="M100" s="2" t="str">
        <f t="shared" ref="M100" si="112">IF(NOT(ISBLANK(N100)),"-","")</f>
        <v>-</v>
      </c>
      <c r="N100" s="2" t="s">
        <v>48</v>
      </c>
      <c r="O100" s="2" t="str">
        <f t="shared" ref="O100" si="113">IF(NOT(ISBLANK(P100)),"-","")</f>
        <v>-</v>
      </c>
      <c r="P100" s="2" t="s">
        <v>26</v>
      </c>
    </row>
    <row r="101" spans="2:16" x14ac:dyDescent="0.25">
      <c r="B101" s="1" t="str">
        <f t="shared" si="4"/>
        <v>@color-primary_line-(def)</v>
      </c>
      <c r="C101" s="1" t="str">
        <f t="shared" si="5"/>
        <v>"#ffeeaa"</v>
      </c>
      <c r="D101" s="31" t="s">
        <v>53</v>
      </c>
      <c r="F101" s="2" t="s">
        <v>21</v>
      </c>
      <c r="G101" s="2" t="str">
        <f t="shared" si="7"/>
        <v>-</v>
      </c>
      <c r="H101" s="2" t="s">
        <v>57</v>
      </c>
      <c r="I101" s="2" t="str">
        <f t="shared" si="90"/>
        <v>_</v>
      </c>
      <c r="J101" s="2" t="s">
        <v>28</v>
      </c>
      <c r="K101" s="2" t="str">
        <f t="shared" si="91"/>
        <v/>
      </c>
      <c r="M101" s="2" t="str">
        <f t="shared" si="7"/>
        <v>-</v>
      </c>
      <c r="N101" s="2" t="s">
        <v>25</v>
      </c>
      <c r="O101" s="2" t="str">
        <f t="shared" si="7"/>
        <v/>
      </c>
    </row>
    <row r="102" spans="2:16" x14ac:dyDescent="0.25">
      <c r="B102" s="1" t="str">
        <f t="shared" si="4"/>
        <v>@color-primary_line-(def-hc)</v>
      </c>
      <c r="C102" s="1" t="str">
        <f t="shared" si="5"/>
        <v>"#ffe16b"</v>
      </c>
      <c r="D102" s="35" t="s">
        <v>58</v>
      </c>
      <c r="F102" s="2" t="s">
        <v>21</v>
      </c>
      <c r="G102" s="2" t="str">
        <f t="shared" ref="G102" si="114">IF(NOT(ISBLANK(H102)),"-","")</f>
        <v>-</v>
      </c>
      <c r="H102" s="2" t="s">
        <v>57</v>
      </c>
      <c r="I102" s="2" t="str">
        <f t="shared" si="90"/>
        <v>_</v>
      </c>
      <c r="J102" s="2" t="s">
        <v>28</v>
      </c>
      <c r="K102" s="2" t="str">
        <f t="shared" si="91"/>
        <v/>
      </c>
      <c r="M102" s="2" t="str">
        <f t="shared" si="7"/>
        <v>-</v>
      </c>
      <c r="N102" s="2" t="s">
        <v>25</v>
      </c>
      <c r="O102" s="2" t="str">
        <f t="shared" si="7"/>
        <v>-</v>
      </c>
      <c r="P102" s="2" t="s">
        <v>26</v>
      </c>
    </row>
    <row r="103" spans="2:16" x14ac:dyDescent="0.25">
      <c r="B103" s="1" t="str">
        <f t="shared" si="4"/>
        <v>@color-primary_line_unpaved-(gr)</v>
      </c>
      <c r="C103" s="1" t="str">
        <f t="shared" si="5"/>
        <v>"#eddfca"</v>
      </c>
      <c r="D103" s="33" t="s">
        <v>55</v>
      </c>
      <c r="F103" s="2" t="s">
        <v>21</v>
      </c>
      <c r="G103" s="2" t="str">
        <f t="shared" si="7"/>
        <v>-</v>
      </c>
      <c r="H103" s="2" t="s">
        <v>57</v>
      </c>
      <c r="I103" s="2" t="str">
        <f t="shared" si="90"/>
        <v>_</v>
      </c>
      <c r="J103" s="2" t="s">
        <v>28</v>
      </c>
      <c r="K103" s="2" t="str">
        <f t="shared" si="91"/>
        <v>_</v>
      </c>
      <c r="L103" s="2" t="s">
        <v>45</v>
      </c>
      <c r="M103" s="2" t="str">
        <f t="shared" ref="M103:M106" si="115">IF(NOT(ISBLANK(N103)),"-","")</f>
        <v>-</v>
      </c>
      <c r="N103" s="2" t="s">
        <v>48</v>
      </c>
      <c r="O103" s="2" t="str">
        <f t="shared" si="7"/>
        <v/>
      </c>
    </row>
    <row r="104" spans="2:16" x14ac:dyDescent="0.25">
      <c r="B104" s="1" t="str">
        <f t="shared" si="4"/>
        <v>@color-primary_line_unpaved-(gr-hc)</v>
      </c>
      <c r="C104" s="1" t="str">
        <f t="shared" si="5"/>
        <v>""</v>
      </c>
      <c r="F104" s="2" t="s">
        <v>21</v>
      </c>
      <c r="G104" s="2" t="str">
        <f t="shared" si="7"/>
        <v>-</v>
      </c>
      <c r="H104" s="2" t="s">
        <v>57</v>
      </c>
      <c r="I104" s="2" t="str">
        <f t="shared" si="90"/>
        <v>_</v>
      </c>
      <c r="J104" s="2" t="s">
        <v>28</v>
      </c>
      <c r="K104" s="2" t="str">
        <f t="shared" si="91"/>
        <v>_</v>
      </c>
      <c r="L104" s="2" t="s">
        <v>45</v>
      </c>
      <c r="M104" s="2" t="str">
        <f t="shared" si="115"/>
        <v>-</v>
      </c>
      <c r="N104" s="2" t="s">
        <v>48</v>
      </c>
      <c r="O104" s="2" t="str">
        <f t="shared" si="7"/>
        <v>-</v>
      </c>
      <c r="P104" s="2" t="s">
        <v>26</v>
      </c>
    </row>
    <row r="105" spans="2:16" x14ac:dyDescent="0.25">
      <c r="B105" s="1" t="str">
        <f t="shared" si="4"/>
        <v>@color-primary_line_paved_or_uk-(gr)</v>
      </c>
      <c r="C105" s="1" t="str">
        <f t="shared" si="5"/>
        <v>"#ffffff"</v>
      </c>
      <c r="D105" s="34" t="s">
        <v>56</v>
      </c>
      <c r="F105" s="2" t="s">
        <v>21</v>
      </c>
      <c r="G105" s="2" t="str">
        <f t="shared" si="7"/>
        <v>-</v>
      </c>
      <c r="H105" s="2" t="s">
        <v>57</v>
      </c>
      <c r="I105" s="2" t="str">
        <f t="shared" si="90"/>
        <v>_</v>
      </c>
      <c r="J105" s="2" t="s">
        <v>28</v>
      </c>
      <c r="K105" s="2" t="str">
        <f t="shared" si="91"/>
        <v>_</v>
      </c>
      <c r="L105" s="2" t="s">
        <v>52</v>
      </c>
      <c r="M105" s="2" t="str">
        <f t="shared" si="115"/>
        <v>-</v>
      </c>
      <c r="N105" s="2" t="s">
        <v>48</v>
      </c>
      <c r="O105" s="2" t="str">
        <f t="shared" si="7"/>
        <v/>
      </c>
    </row>
    <row r="106" spans="2:16" x14ac:dyDescent="0.25">
      <c r="B106" s="1" t="str">
        <f t="shared" si="4"/>
        <v>@color-primary_line_paved_or_uk-(gr-hc)</v>
      </c>
      <c r="C106" s="1" t="str">
        <f t="shared" si="5"/>
        <v>""</v>
      </c>
      <c r="F106" s="2" t="s">
        <v>21</v>
      </c>
      <c r="G106" s="2" t="str">
        <f t="shared" si="7"/>
        <v>-</v>
      </c>
      <c r="H106" s="2" t="s">
        <v>57</v>
      </c>
      <c r="I106" s="2" t="str">
        <f t="shared" si="90"/>
        <v>_</v>
      </c>
      <c r="J106" s="2" t="s">
        <v>28</v>
      </c>
      <c r="K106" s="2" t="str">
        <f t="shared" si="91"/>
        <v>_</v>
      </c>
      <c r="L106" s="2" t="s">
        <v>52</v>
      </c>
      <c r="M106" s="2" t="str">
        <f t="shared" si="115"/>
        <v>-</v>
      </c>
      <c r="N106" s="2" t="s">
        <v>48</v>
      </c>
      <c r="O106" s="2" t="str">
        <f t="shared" si="7"/>
        <v>-</v>
      </c>
      <c r="P106" s="2" t="s">
        <v>26</v>
      </c>
    </row>
    <row r="107" spans="2:16" x14ac:dyDescent="0.25">
      <c r="B107" s="1" t="str">
        <f t="shared" si="4"/>
        <v>@color-secondary_tertiary_line-(def)</v>
      </c>
      <c r="C107" s="1" t="str">
        <f t="shared" si="5"/>
        <v>"#ffeeaa"</v>
      </c>
      <c r="D107" s="31" t="s">
        <v>53</v>
      </c>
      <c r="F107" s="2" t="s">
        <v>21</v>
      </c>
      <c r="G107" s="2" t="str">
        <f t="shared" si="7"/>
        <v>-</v>
      </c>
      <c r="H107" s="2" t="s">
        <v>59</v>
      </c>
      <c r="I107" s="2" t="str">
        <f t="shared" ref="I107:I116" si="116">IF(NOT(ISBLANK(J107)),"_","")</f>
        <v>_</v>
      </c>
      <c r="J107" s="2" t="s">
        <v>28</v>
      </c>
      <c r="K107" s="2" t="str">
        <f t="shared" ref="K107:K116" si="117">IF(NOT(ISBLANK(L107)),"_","")</f>
        <v/>
      </c>
      <c r="M107" s="2" t="str">
        <f t="shared" si="7"/>
        <v>-</v>
      </c>
      <c r="N107" s="2" t="s">
        <v>25</v>
      </c>
      <c r="O107" s="2" t="str">
        <f t="shared" si="7"/>
        <v/>
      </c>
    </row>
    <row r="108" spans="2:16" x14ac:dyDescent="0.25">
      <c r="B108" s="1" t="str">
        <f t="shared" si="4"/>
        <v>@color-secondary_tertiary_line-(def-hc)</v>
      </c>
      <c r="C108" s="1" t="str">
        <f t="shared" si="5"/>
        <v>"#ffe16b"</v>
      </c>
      <c r="D108" s="35" t="s">
        <v>58</v>
      </c>
      <c r="F108" s="2" t="s">
        <v>21</v>
      </c>
      <c r="G108" s="2" t="str">
        <f t="shared" ref="G108" si="118">IF(NOT(ISBLANK(H108)),"-","")</f>
        <v>-</v>
      </c>
      <c r="H108" s="2" t="s">
        <v>59</v>
      </c>
      <c r="I108" s="2" t="str">
        <f t="shared" si="116"/>
        <v>_</v>
      </c>
      <c r="J108" s="2" t="s">
        <v>28</v>
      </c>
      <c r="K108" s="2" t="str">
        <f t="shared" si="117"/>
        <v/>
      </c>
      <c r="M108" s="2" t="str">
        <f t="shared" ref="M108:M116" si="119">IF(NOT(ISBLANK(N108)),"-","")</f>
        <v>-</v>
      </c>
      <c r="N108" s="2" t="s">
        <v>25</v>
      </c>
      <c r="O108" s="2" t="str">
        <f t="shared" ref="O108:O116" si="120">IF(NOT(ISBLANK(P108)),"-","")</f>
        <v>-</v>
      </c>
      <c r="P108" s="2" t="s">
        <v>26</v>
      </c>
    </row>
    <row r="109" spans="2:16" x14ac:dyDescent="0.25">
      <c r="B109" s="1" t="str">
        <f>_xlfn.CONCAT("@",F109,G109,H109,I109,J109,K109,L109,M109,"(",N109,O109,P109,")")</f>
        <v>@color-secondary_line_unpaved-(gr)</v>
      </c>
      <c r="C109" s="1" t="str">
        <f>_xlfn.CONCAT("""",D109,"""")</f>
        <v>"#eddfca"</v>
      </c>
      <c r="D109" s="33" t="s">
        <v>55</v>
      </c>
      <c r="F109" s="2" t="s">
        <v>21</v>
      </c>
      <c r="G109" s="2" t="str">
        <f>IF(NOT(ISBLANK(H109)),"-","")</f>
        <v>-</v>
      </c>
      <c r="H109" s="2" t="s">
        <v>61</v>
      </c>
      <c r="I109" s="2" t="str">
        <f t="shared" si="116"/>
        <v>_</v>
      </c>
      <c r="J109" s="2" t="s">
        <v>28</v>
      </c>
      <c r="K109" s="2" t="str">
        <f t="shared" si="117"/>
        <v>_</v>
      </c>
      <c r="L109" s="2" t="s">
        <v>45</v>
      </c>
      <c r="M109" s="2" t="str">
        <f t="shared" ref="M109:M112" si="121">IF(NOT(ISBLANK(N109)),"-","")</f>
        <v>-</v>
      </c>
      <c r="N109" s="2" t="s">
        <v>48</v>
      </c>
      <c r="O109" s="2" t="str">
        <f t="shared" ref="O109:O112" si="122">IF(NOT(ISBLANK(P109)),"-","")</f>
        <v/>
      </c>
    </row>
    <row r="110" spans="2:16" x14ac:dyDescent="0.25">
      <c r="B110" s="1" t="str">
        <f>_xlfn.CONCAT("@",F110,G110,H110,I110,J110,K110,L110,M110,"(",N110,O110,P110,")")</f>
        <v>@color-secondary_line_unpaved-(gr-hc)</v>
      </c>
      <c r="C110" s="1" t="str">
        <f>_xlfn.CONCAT("""",D110,"""")</f>
        <v>""</v>
      </c>
      <c r="F110" s="2" t="s">
        <v>21</v>
      </c>
      <c r="G110" s="2" t="str">
        <f>IF(NOT(ISBLANK(H110)),"-","")</f>
        <v>-</v>
      </c>
      <c r="H110" s="2" t="s">
        <v>61</v>
      </c>
      <c r="I110" s="2" t="str">
        <f t="shared" si="116"/>
        <v>_</v>
      </c>
      <c r="J110" s="2" t="s">
        <v>28</v>
      </c>
      <c r="K110" s="2" t="str">
        <f t="shared" si="117"/>
        <v>_</v>
      </c>
      <c r="L110" s="2" t="s">
        <v>45</v>
      </c>
      <c r="M110" s="2" t="str">
        <f t="shared" si="121"/>
        <v>-</v>
      </c>
      <c r="N110" s="2" t="s">
        <v>48</v>
      </c>
      <c r="O110" s="2" t="str">
        <f t="shared" si="122"/>
        <v>-</v>
      </c>
      <c r="P110" s="2" t="s">
        <v>26</v>
      </c>
    </row>
    <row r="111" spans="2:16" x14ac:dyDescent="0.25">
      <c r="B111" s="1" t="str">
        <f>_xlfn.CONCAT("@",F111,G111,H111,I111,J111,K111,L111,M111,"(",N111,O111,P111,")")</f>
        <v>@color-secondary_line_paved_or_uk-(gr)</v>
      </c>
      <c r="C111" s="1" t="str">
        <f>_xlfn.CONCAT("""",D111,"""")</f>
        <v>"#ffffff"</v>
      </c>
      <c r="D111" s="34" t="s">
        <v>56</v>
      </c>
      <c r="F111" s="2" t="s">
        <v>21</v>
      </c>
      <c r="G111" s="2" t="str">
        <f>IF(NOT(ISBLANK(H111)),"-","")</f>
        <v>-</v>
      </c>
      <c r="H111" s="2" t="s">
        <v>61</v>
      </c>
      <c r="I111" s="2" t="str">
        <f t="shared" si="116"/>
        <v>_</v>
      </c>
      <c r="J111" s="2" t="s">
        <v>28</v>
      </c>
      <c r="K111" s="2" t="str">
        <f t="shared" si="117"/>
        <v>_</v>
      </c>
      <c r="L111" s="2" t="s">
        <v>52</v>
      </c>
      <c r="M111" s="2" t="str">
        <f t="shared" si="121"/>
        <v>-</v>
      </c>
      <c r="N111" s="2" t="s">
        <v>48</v>
      </c>
      <c r="O111" s="2" t="str">
        <f t="shared" si="122"/>
        <v/>
      </c>
    </row>
    <row r="112" spans="2:16" x14ac:dyDescent="0.25">
      <c r="B112" s="1" t="str">
        <f>_xlfn.CONCAT("@",F112,G112,H112,I112,J112,K112,L112,M112,"(",N112,O112,P112,")")</f>
        <v>@color-secondary_line_paved_or_uk-(gr-hc)</v>
      </c>
      <c r="C112" s="1" t="str">
        <f>_xlfn.CONCAT("""",D112,"""")</f>
        <v>""</v>
      </c>
      <c r="F112" s="2" t="s">
        <v>21</v>
      </c>
      <c r="G112" s="2" t="str">
        <f>IF(NOT(ISBLANK(H112)),"-","")</f>
        <v>-</v>
      </c>
      <c r="H112" s="2" t="s">
        <v>61</v>
      </c>
      <c r="I112" s="2" t="str">
        <f t="shared" si="116"/>
        <v>_</v>
      </c>
      <c r="J112" s="2" t="s">
        <v>28</v>
      </c>
      <c r="K112" s="2" t="str">
        <f t="shared" si="117"/>
        <v>_</v>
      </c>
      <c r="L112" s="2" t="s">
        <v>52</v>
      </c>
      <c r="M112" s="2" t="str">
        <f t="shared" si="121"/>
        <v>-</v>
      </c>
      <c r="N112" s="2" t="s">
        <v>48</v>
      </c>
      <c r="O112" s="2" t="str">
        <f t="shared" si="122"/>
        <v>-</v>
      </c>
      <c r="P112" s="2" t="s">
        <v>26</v>
      </c>
    </row>
    <row r="113" spans="1:16" x14ac:dyDescent="0.25">
      <c r="B113" s="1" t="str">
        <f t="shared" si="4"/>
        <v>@color-tertiary_line_unpaved-(gr)</v>
      </c>
      <c r="C113" s="1" t="str">
        <f t="shared" si="5"/>
        <v>"#eddfca"</v>
      </c>
      <c r="D113" s="33" t="s">
        <v>55</v>
      </c>
      <c r="F113" s="2" t="s">
        <v>21</v>
      </c>
      <c r="G113" s="2" t="str">
        <f t="shared" si="7"/>
        <v>-</v>
      </c>
      <c r="H113" s="2" t="s">
        <v>60</v>
      </c>
      <c r="I113" s="2" t="str">
        <f t="shared" si="116"/>
        <v>_</v>
      </c>
      <c r="J113" s="2" t="s">
        <v>28</v>
      </c>
      <c r="K113" s="2" t="str">
        <f t="shared" si="117"/>
        <v>_</v>
      </c>
      <c r="L113" s="2" t="s">
        <v>45</v>
      </c>
      <c r="M113" s="2" t="str">
        <f t="shared" si="119"/>
        <v>-</v>
      </c>
      <c r="N113" s="2" t="s">
        <v>48</v>
      </c>
      <c r="O113" s="2" t="str">
        <f t="shared" si="120"/>
        <v/>
      </c>
    </row>
    <row r="114" spans="1:16" x14ac:dyDescent="0.25">
      <c r="B114" s="1" t="str">
        <f t="shared" si="4"/>
        <v>@color-tertiary_line_unpaved-(gr-hc)</v>
      </c>
      <c r="C114" s="1" t="str">
        <f t="shared" si="5"/>
        <v>""</v>
      </c>
      <c r="F114" s="2" t="s">
        <v>21</v>
      </c>
      <c r="G114" s="2" t="str">
        <f t="shared" si="7"/>
        <v>-</v>
      </c>
      <c r="H114" s="2" t="s">
        <v>60</v>
      </c>
      <c r="I114" s="2" t="str">
        <f t="shared" si="116"/>
        <v>_</v>
      </c>
      <c r="J114" s="2" t="s">
        <v>28</v>
      </c>
      <c r="K114" s="2" t="str">
        <f t="shared" si="117"/>
        <v>_</v>
      </c>
      <c r="L114" s="2" t="s">
        <v>45</v>
      </c>
      <c r="M114" s="2" t="str">
        <f t="shared" si="119"/>
        <v>-</v>
      </c>
      <c r="N114" s="2" t="s">
        <v>48</v>
      </c>
      <c r="O114" s="2" t="str">
        <f t="shared" si="120"/>
        <v>-</v>
      </c>
      <c r="P114" s="2" t="s">
        <v>26</v>
      </c>
    </row>
    <row r="115" spans="1:16" x14ac:dyDescent="0.25">
      <c r="B115" s="1" t="str">
        <f t="shared" si="4"/>
        <v>@color-tertiary_line_paved_or_uk-(gr)</v>
      </c>
      <c r="C115" s="1" t="str">
        <f t="shared" si="5"/>
        <v>"#ffffff"</v>
      </c>
      <c r="D115" s="34" t="s">
        <v>56</v>
      </c>
      <c r="F115" s="2" t="s">
        <v>21</v>
      </c>
      <c r="G115" s="2" t="str">
        <f t="shared" si="7"/>
        <v>-</v>
      </c>
      <c r="H115" s="2" t="s">
        <v>60</v>
      </c>
      <c r="I115" s="2" t="str">
        <f t="shared" si="116"/>
        <v>_</v>
      </c>
      <c r="J115" s="2" t="s">
        <v>28</v>
      </c>
      <c r="K115" s="2" t="str">
        <f t="shared" si="117"/>
        <v>_</v>
      </c>
      <c r="L115" s="2" t="s">
        <v>52</v>
      </c>
      <c r="M115" s="2" t="str">
        <f t="shared" si="119"/>
        <v>-</v>
      </c>
      <c r="N115" s="2" t="s">
        <v>48</v>
      </c>
      <c r="O115" s="2" t="str">
        <f t="shared" si="120"/>
        <v/>
      </c>
    </row>
    <row r="116" spans="1:16" x14ac:dyDescent="0.25">
      <c r="B116" s="1" t="str">
        <f t="shared" si="4"/>
        <v>@color-tertiary_line_paved_or_uk-(gr-hc)</v>
      </c>
      <c r="C116" s="1" t="str">
        <f t="shared" si="5"/>
        <v>""</v>
      </c>
      <c r="F116" s="2" t="s">
        <v>21</v>
      </c>
      <c r="G116" s="2" t="str">
        <f t="shared" si="7"/>
        <v>-</v>
      </c>
      <c r="H116" s="2" t="s">
        <v>60</v>
      </c>
      <c r="I116" s="2" t="str">
        <f t="shared" si="116"/>
        <v>_</v>
      </c>
      <c r="J116" s="2" t="s">
        <v>28</v>
      </c>
      <c r="K116" s="2" t="str">
        <f t="shared" si="117"/>
        <v>_</v>
      </c>
      <c r="L116" s="2" t="s">
        <v>52</v>
      </c>
      <c r="M116" s="2" t="str">
        <f t="shared" si="119"/>
        <v>-</v>
      </c>
      <c r="N116" s="2" t="s">
        <v>48</v>
      </c>
      <c r="O116" s="2" t="str">
        <f t="shared" si="120"/>
        <v>-</v>
      </c>
      <c r="P116" s="2" t="s">
        <v>26</v>
      </c>
    </row>
    <row r="117" spans="1:16" x14ac:dyDescent="0.25">
      <c r="B117" s="1"/>
      <c r="C117" s="1"/>
    </row>
    <row r="118" spans="1:16" x14ac:dyDescent="0.25">
      <c r="A118" s="44" t="s">
        <v>91</v>
      </c>
      <c r="B118" s="44"/>
      <c r="C118" s="44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</row>
    <row r="119" spans="1:16" x14ac:dyDescent="0.25">
      <c r="B119" s="1" t="str">
        <f t="shared" si="4"/>
        <v>@color-raceway_line_unpaved-(def)</v>
      </c>
      <c r="C119" s="1" t="str">
        <f t="shared" si="5"/>
        <v>"#eddfca"</v>
      </c>
      <c r="D119" s="33" t="s">
        <v>55</v>
      </c>
      <c r="F119" s="2" t="s">
        <v>21</v>
      </c>
      <c r="G119" s="2" t="str">
        <f t="shared" si="7"/>
        <v>-</v>
      </c>
      <c r="H119" s="2" t="s">
        <v>62</v>
      </c>
      <c r="I119" s="2" t="str">
        <f>IF(NOT(ISBLANK(J119)),"_","")</f>
        <v>_</v>
      </c>
      <c r="J119" s="2" t="s">
        <v>28</v>
      </c>
      <c r="K119" s="2" t="str">
        <f>IF(NOT(ISBLANK(L119)),"_","")</f>
        <v>_</v>
      </c>
      <c r="L119" s="2" t="s">
        <v>45</v>
      </c>
      <c r="M119" s="2" t="str">
        <f t="shared" si="7"/>
        <v>-</v>
      </c>
      <c r="N119" s="2" t="s">
        <v>25</v>
      </c>
      <c r="O119" s="2" t="str">
        <f t="shared" si="7"/>
        <v/>
      </c>
    </row>
    <row r="120" spans="1:16" x14ac:dyDescent="0.25">
      <c r="B120" s="1" t="str">
        <f t="shared" si="4"/>
        <v>@color-raceway_line_paved_or_uk-(def)</v>
      </c>
      <c r="C120" s="1" t="str">
        <f t="shared" si="5"/>
        <v>"#ffffff"</v>
      </c>
      <c r="D120" s="34" t="s">
        <v>56</v>
      </c>
      <c r="F120" s="2" t="s">
        <v>21</v>
      </c>
      <c r="G120" s="2" t="str">
        <f t="shared" ref="G120" si="123">IF(NOT(ISBLANK(H120)),"-","")</f>
        <v>-</v>
      </c>
      <c r="H120" s="2" t="s">
        <v>62</v>
      </c>
      <c r="I120" s="2" t="str">
        <f>IF(NOT(ISBLANK(J120)),"_","")</f>
        <v>_</v>
      </c>
      <c r="J120" s="2" t="s">
        <v>28</v>
      </c>
      <c r="K120" s="2" t="str">
        <f>IF(NOT(ISBLANK(L120)),"_","")</f>
        <v>_</v>
      </c>
      <c r="L120" s="2" t="s">
        <v>52</v>
      </c>
      <c r="M120" s="2" t="str">
        <f t="shared" si="7"/>
        <v>-</v>
      </c>
      <c r="N120" s="2" t="s">
        <v>25</v>
      </c>
      <c r="O120" s="2" t="str">
        <f t="shared" si="7"/>
        <v/>
      </c>
    </row>
    <row r="121" spans="1:16" x14ac:dyDescent="0.25">
      <c r="B121" s="1"/>
      <c r="C121" s="1"/>
    </row>
    <row r="122" spans="1:16" x14ac:dyDescent="0.25">
      <c r="B122" s="1" t="str">
        <f t="shared" si="4"/>
        <v>@color-driveway_line_unpaved-(def)</v>
      </c>
      <c r="C122" s="1" t="str">
        <f t="shared" si="5"/>
        <v>"#eddfca"</v>
      </c>
      <c r="D122" s="33" t="s">
        <v>55</v>
      </c>
      <c r="F122" s="2" t="s">
        <v>21</v>
      </c>
      <c r="G122" s="2" t="str">
        <f t="shared" si="7"/>
        <v>-</v>
      </c>
      <c r="H122" s="2" t="s">
        <v>63</v>
      </c>
      <c r="I122" s="2" t="str">
        <f t="shared" ref="I122:K129" si="124">IF(NOT(ISBLANK(J122)),"_","")</f>
        <v>_</v>
      </c>
      <c r="J122" s="2" t="s">
        <v>28</v>
      </c>
      <c r="K122" s="2" t="str">
        <f t="shared" si="124"/>
        <v>_</v>
      </c>
      <c r="L122" s="2" t="s">
        <v>45</v>
      </c>
      <c r="M122" s="2" t="str">
        <f t="shared" si="7"/>
        <v>-</v>
      </c>
      <c r="N122" s="2" t="s">
        <v>25</v>
      </c>
      <c r="O122" s="2" t="str">
        <f t="shared" si="7"/>
        <v/>
      </c>
    </row>
    <row r="123" spans="1:16" x14ac:dyDescent="0.25">
      <c r="B123" s="1" t="str">
        <f t="shared" ref="B123" si="125">_xlfn.CONCAT("@",F123,G123,H123,I123,J123,K123,L123,M123,"(",N123,O123,P123,")")</f>
        <v>@color-driveway_line_unpaved-(defhc)</v>
      </c>
      <c r="C123" s="1" t="str">
        <f t="shared" ref="C123" si="126">_xlfn.CONCAT("""",D123,"""")</f>
        <v>"#eddfca"</v>
      </c>
      <c r="D123" s="33" t="s">
        <v>55</v>
      </c>
      <c r="F123" s="2" t="s">
        <v>21</v>
      </c>
      <c r="G123" s="2" t="str">
        <f t="shared" ref="G123" si="127">IF(NOT(ISBLANK(H123)),"-","")</f>
        <v>-</v>
      </c>
      <c r="H123" s="2" t="s">
        <v>63</v>
      </c>
      <c r="I123" s="2" t="str">
        <f t="shared" si="124"/>
        <v>_</v>
      </c>
      <c r="J123" s="2" t="s">
        <v>28</v>
      </c>
      <c r="K123" s="2" t="str">
        <f t="shared" si="124"/>
        <v>_</v>
      </c>
      <c r="L123" s="2" t="s">
        <v>45</v>
      </c>
      <c r="M123" s="2" t="str">
        <f t="shared" ref="M123" si="128">IF(NOT(ISBLANK(N123)),"-","")</f>
        <v>-</v>
      </c>
      <c r="N123" s="2" t="s">
        <v>25</v>
      </c>
      <c r="P123" s="2" t="s">
        <v>26</v>
      </c>
    </row>
    <row r="124" spans="1:16" x14ac:dyDescent="0.25">
      <c r="B124" s="1" t="str">
        <f t="shared" si="4"/>
        <v>@color-driveway_line_paved_or_uk-(def)</v>
      </c>
      <c r="C124" s="1" t="str">
        <f t="shared" si="5"/>
        <v>"#ffffff"</v>
      </c>
      <c r="D124" s="34" t="s">
        <v>56</v>
      </c>
      <c r="F124" s="2" t="s">
        <v>21</v>
      </c>
      <c r="G124" s="2" t="str">
        <f t="shared" si="7"/>
        <v>-</v>
      </c>
      <c r="H124" s="2" t="s">
        <v>63</v>
      </c>
      <c r="I124" s="2" t="str">
        <f t="shared" si="124"/>
        <v>_</v>
      </c>
      <c r="J124" s="2" t="s">
        <v>28</v>
      </c>
      <c r="K124" s="2" t="str">
        <f t="shared" si="124"/>
        <v>_</v>
      </c>
      <c r="L124" s="2" t="s">
        <v>52</v>
      </c>
      <c r="M124" s="2" t="str">
        <f t="shared" si="7"/>
        <v>-</v>
      </c>
      <c r="N124" s="2" t="s">
        <v>25</v>
      </c>
      <c r="O124" s="2" t="str">
        <f t="shared" si="7"/>
        <v/>
      </c>
    </row>
    <row r="125" spans="1:16" x14ac:dyDescent="0.25">
      <c r="B125" s="1" t="str">
        <f t="shared" si="4"/>
        <v>@color-driveway_line_paved_or_uk-(def-hc)</v>
      </c>
      <c r="C125" s="1" t="str">
        <f t="shared" si="5"/>
        <v>"#ffffff"</v>
      </c>
      <c r="D125" s="34" t="s">
        <v>56</v>
      </c>
      <c r="F125" s="2" t="s">
        <v>21</v>
      </c>
      <c r="G125" s="2" t="str">
        <f t="shared" ref="G125:G128" si="129">IF(NOT(ISBLANK(H125)),"-","")</f>
        <v>-</v>
      </c>
      <c r="H125" s="2" t="s">
        <v>63</v>
      </c>
      <c r="I125" s="2" t="str">
        <f t="shared" si="124"/>
        <v>_</v>
      </c>
      <c r="J125" s="2" t="s">
        <v>28</v>
      </c>
      <c r="K125" s="2" t="str">
        <f t="shared" si="124"/>
        <v>_</v>
      </c>
      <c r="L125" s="2" t="s">
        <v>52</v>
      </c>
      <c r="M125" s="2" t="str">
        <f t="shared" ref="M125:M128" si="130">IF(NOT(ISBLANK(N125)),"-","")</f>
        <v>-</v>
      </c>
      <c r="N125" s="2" t="s">
        <v>25</v>
      </c>
      <c r="O125" s="2" t="str">
        <f t="shared" si="7"/>
        <v>-</v>
      </c>
      <c r="P125" s="2" t="s">
        <v>26</v>
      </c>
    </row>
    <row r="126" spans="1:16" x14ac:dyDescent="0.25">
      <c r="B126" s="1" t="str">
        <f t="shared" si="4"/>
        <v>@color-driveway_line_unpaved-(gr)</v>
      </c>
      <c r="C126" s="1" t="str">
        <f t="shared" si="5"/>
        <v>"#eddfca"</v>
      </c>
      <c r="D126" s="33" t="s">
        <v>55</v>
      </c>
      <c r="F126" s="2" t="s">
        <v>21</v>
      </c>
      <c r="G126" s="2" t="str">
        <f t="shared" si="129"/>
        <v>-</v>
      </c>
      <c r="H126" s="2" t="s">
        <v>63</v>
      </c>
      <c r="I126" s="2" t="str">
        <f t="shared" si="124"/>
        <v>_</v>
      </c>
      <c r="J126" s="2" t="s">
        <v>28</v>
      </c>
      <c r="K126" s="2" t="str">
        <f t="shared" si="124"/>
        <v>_</v>
      </c>
      <c r="L126" s="2" t="s">
        <v>45</v>
      </c>
      <c r="M126" s="2" t="str">
        <f t="shared" si="130"/>
        <v>-</v>
      </c>
      <c r="N126" s="2" t="s">
        <v>48</v>
      </c>
      <c r="O126" s="2" t="str">
        <f t="shared" ref="O126" si="131">IF(NOT(ISBLANK(P126)),"-","")</f>
        <v/>
      </c>
    </row>
    <row r="127" spans="1:16" x14ac:dyDescent="0.25">
      <c r="B127" s="1" t="str">
        <f t="shared" ref="B127:B138" si="132">_xlfn.CONCAT("@",F127,G127,H127,I127,J127,K127,L127,M127,"(",N127,O127,P127,")")</f>
        <v>@color-driveway_line_unpaved-(grhc)</v>
      </c>
      <c r="C127" s="1" t="str">
        <f t="shared" ref="C127:C138" si="133">_xlfn.CONCAT("""",D127,"""")</f>
        <v>""</v>
      </c>
      <c r="F127" s="2" t="s">
        <v>21</v>
      </c>
      <c r="G127" s="2" t="str">
        <f t="shared" si="129"/>
        <v>-</v>
      </c>
      <c r="H127" s="2" t="s">
        <v>63</v>
      </c>
      <c r="I127" s="2" t="str">
        <f t="shared" si="124"/>
        <v>_</v>
      </c>
      <c r="J127" s="2" t="s">
        <v>28</v>
      </c>
      <c r="K127" s="2" t="str">
        <f t="shared" si="124"/>
        <v>_</v>
      </c>
      <c r="L127" s="2" t="s">
        <v>45</v>
      </c>
      <c r="M127" s="2" t="str">
        <f t="shared" si="130"/>
        <v>-</v>
      </c>
      <c r="N127" s="2" t="s">
        <v>48</v>
      </c>
      <c r="P127" s="2" t="s">
        <v>26</v>
      </c>
    </row>
    <row r="128" spans="1:16" x14ac:dyDescent="0.25">
      <c r="B128" s="1" t="str">
        <f t="shared" si="132"/>
        <v>@color-driveway_line_paved_or_uk-(gr)</v>
      </c>
      <c r="C128" s="1" t="str">
        <f t="shared" si="133"/>
        <v>"#ffffff"</v>
      </c>
      <c r="D128" s="34" t="s">
        <v>56</v>
      </c>
      <c r="F128" s="2" t="s">
        <v>21</v>
      </c>
      <c r="G128" s="2" t="str">
        <f t="shared" si="129"/>
        <v>-</v>
      </c>
      <c r="H128" s="2" t="s">
        <v>63</v>
      </c>
      <c r="I128" s="2" t="str">
        <f t="shared" si="124"/>
        <v>_</v>
      </c>
      <c r="J128" s="2" t="s">
        <v>28</v>
      </c>
      <c r="K128" s="2" t="str">
        <f t="shared" si="124"/>
        <v>_</v>
      </c>
      <c r="L128" s="2" t="s">
        <v>52</v>
      </c>
      <c r="M128" s="2" t="str">
        <f t="shared" si="130"/>
        <v>-</v>
      </c>
      <c r="N128" s="2" t="s">
        <v>48</v>
      </c>
      <c r="O128" s="2" t="str">
        <f t="shared" ref="O128:O129" si="134">IF(NOT(ISBLANK(P128)),"-","")</f>
        <v/>
      </c>
    </row>
    <row r="129" spans="2:16" x14ac:dyDescent="0.25">
      <c r="B129" s="1" t="str">
        <f t="shared" si="132"/>
        <v>@color-driveway_line_paved_or_uk-(gr-hc)</v>
      </c>
      <c r="C129" s="1" t="str">
        <f t="shared" si="133"/>
        <v>""</v>
      </c>
      <c r="F129" s="2" t="s">
        <v>21</v>
      </c>
      <c r="G129" s="2" t="str">
        <f t="shared" ref="G129" si="135">IF(NOT(ISBLANK(H129)),"-","")</f>
        <v>-</v>
      </c>
      <c r="H129" s="2" t="s">
        <v>63</v>
      </c>
      <c r="I129" s="2" t="str">
        <f t="shared" si="124"/>
        <v>_</v>
      </c>
      <c r="J129" s="2" t="s">
        <v>28</v>
      </c>
      <c r="K129" s="2" t="str">
        <f t="shared" si="124"/>
        <v>_</v>
      </c>
      <c r="L129" s="2" t="s">
        <v>52</v>
      </c>
      <c r="M129" s="2" t="str">
        <f t="shared" ref="M129" si="136">IF(NOT(ISBLANK(N129)),"-","")</f>
        <v>-</v>
      </c>
      <c r="N129" s="2" t="s">
        <v>48</v>
      </c>
      <c r="O129" s="2" t="str">
        <f t="shared" si="134"/>
        <v>-</v>
      </c>
      <c r="P129" s="2" t="s">
        <v>26</v>
      </c>
    </row>
    <row r="130" spans="2:16" x14ac:dyDescent="0.25">
      <c r="B130" s="1"/>
      <c r="C130" s="1"/>
    </row>
    <row r="131" spans="2:16" x14ac:dyDescent="0.25">
      <c r="B131" s="1" t="str">
        <f t="shared" si="132"/>
        <v>@color-service_line_unpaved-(def)</v>
      </c>
      <c r="C131" s="1" t="str">
        <f t="shared" si="133"/>
        <v>"#eddfca"</v>
      </c>
      <c r="D131" s="33" t="s">
        <v>55</v>
      </c>
      <c r="F131" s="2" t="s">
        <v>21</v>
      </c>
      <c r="G131" s="2" t="str">
        <f t="shared" ref="G131:G138" si="137">IF(NOT(ISBLANK(H131)),"-","")</f>
        <v>-</v>
      </c>
      <c r="H131" s="2" t="s">
        <v>64</v>
      </c>
      <c r="I131" s="2" t="str">
        <f t="shared" ref="I131:K138" si="138">IF(NOT(ISBLANK(J131)),"_","")</f>
        <v>_</v>
      </c>
      <c r="J131" s="2" t="s">
        <v>28</v>
      </c>
      <c r="K131" s="2" t="str">
        <f t="shared" si="138"/>
        <v>_</v>
      </c>
      <c r="L131" s="2" t="s">
        <v>45</v>
      </c>
      <c r="M131" s="2" t="str">
        <f t="shared" ref="M131:M138" si="139">IF(NOT(ISBLANK(N131)),"-","")</f>
        <v>-</v>
      </c>
      <c r="N131" s="2" t="s">
        <v>25</v>
      </c>
      <c r="O131" s="2" t="str">
        <f t="shared" ref="O131" si="140">IF(NOT(ISBLANK(P131)),"-","")</f>
        <v/>
      </c>
    </row>
    <row r="132" spans="2:16" x14ac:dyDescent="0.25">
      <c r="B132" s="1" t="str">
        <f t="shared" si="132"/>
        <v>@color-service_line_unpaved-(defhc)</v>
      </c>
      <c r="C132" s="1" t="str">
        <f t="shared" si="133"/>
        <v>"#eddfca"</v>
      </c>
      <c r="D132" s="33" t="s">
        <v>55</v>
      </c>
      <c r="F132" s="2" t="s">
        <v>21</v>
      </c>
      <c r="G132" s="2" t="str">
        <f t="shared" si="137"/>
        <v>-</v>
      </c>
      <c r="H132" s="2" t="s">
        <v>64</v>
      </c>
      <c r="I132" s="2" t="str">
        <f t="shared" si="138"/>
        <v>_</v>
      </c>
      <c r="J132" s="2" t="s">
        <v>28</v>
      </c>
      <c r="K132" s="2" t="str">
        <f t="shared" si="138"/>
        <v>_</v>
      </c>
      <c r="L132" s="2" t="s">
        <v>45</v>
      </c>
      <c r="M132" s="2" t="str">
        <f t="shared" si="139"/>
        <v>-</v>
      </c>
      <c r="N132" s="2" t="s">
        <v>25</v>
      </c>
      <c r="P132" s="2" t="s">
        <v>26</v>
      </c>
    </row>
    <row r="133" spans="2:16" x14ac:dyDescent="0.25">
      <c r="B133" s="1" t="str">
        <f t="shared" si="132"/>
        <v>@color-service_line_paved_or_uk-(def)</v>
      </c>
      <c r="C133" s="1" t="str">
        <f t="shared" si="133"/>
        <v>"#ffffff"</v>
      </c>
      <c r="D133" s="34" t="s">
        <v>56</v>
      </c>
      <c r="F133" s="2" t="s">
        <v>21</v>
      </c>
      <c r="G133" s="2" t="str">
        <f t="shared" si="137"/>
        <v>-</v>
      </c>
      <c r="H133" s="2" t="s">
        <v>64</v>
      </c>
      <c r="I133" s="2" t="str">
        <f t="shared" si="138"/>
        <v>_</v>
      </c>
      <c r="J133" s="2" t="s">
        <v>28</v>
      </c>
      <c r="K133" s="2" t="str">
        <f t="shared" si="138"/>
        <v>_</v>
      </c>
      <c r="L133" s="2" t="s">
        <v>52</v>
      </c>
      <c r="M133" s="2" t="str">
        <f t="shared" si="139"/>
        <v>-</v>
      </c>
      <c r="N133" s="2" t="s">
        <v>25</v>
      </c>
      <c r="O133" s="2" t="str">
        <f t="shared" ref="O133:O135" si="141">IF(NOT(ISBLANK(P133)),"-","")</f>
        <v/>
      </c>
    </row>
    <row r="134" spans="2:16" x14ac:dyDescent="0.25">
      <c r="B134" s="1" t="str">
        <f t="shared" si="132"/>
        <v>@color-service_line_paved_or_uk-(def-hc)</v>
      </c>
      <c r="C134" s="1" t="str">
        <f t="shared" si="133"/>
        <v>"#ffffff"</v>
      </c>
      <c r="D134" s="34" t="s">
        <v>56</v>
      </c>
      <c r="F134" s="2" t="s">
        <v>21</v>
      </c>
      <c r="G134" s="2" t="str">
        <f t="shared" si="137"/>
        <v>-</v>
      </c>
      <c r="H134" s="2" t="s">
        <v>64</v>
      </c>
      <c r="I134" s="2" t="str">
        <f t="shared" si="138"/>
        <v>_</v>
      </c>
      <c r="J134" s="2" t="s">
        <v>28</v>
      </c>
      <c r="K134" s="2" t="str">
        <f t="shared" si="138"/>
        <v>_</v>
      </c>
      <c r="L134" s="2" t="s">
        <v>52</v>
      </c>
      <c r="M134" s="2" t="str">
        <f t="shared" si="139"/>
        <v>-</v>
      </c>
      <c r="N134" s="2" t="s">
        <v>25</v>
      </c>
      <c r="O134" s="2" t="str">
        <f t="shared" si="141"/>
        <v>-</v>
      </c>
      <c r="P134" s="2" t="s">
        <v>26</v>
      </c>
    </row>
    <row r="135" spans="2:16" x14ac:dyDescent="0.25">
      <c r="B135" s="1" t="str">
        <f t="shared" si="132"/>
        <v>@color-service_line_unpaved-(gr)</v>
      </c>
      <c r="C135" s="1" t="str">
        <f t="shared" si="133"/>
        <v>"#eddfca"</v>
      </c>
      <c r="D135" s="33" t="s">
        <v>55</v>
      </c>
      <c r="F135" s="2" t="s">
        <v>21</v>
      </c>
      <c r="G135" s="2" t="str">
        <f t="shared" si="137"/>
        <v>-</v>
      </c>
      <c r="H135" s="2" t="s">
        <v>64</v>
      </c>
      <c r="I135" s="2" t="str">
        <f t="shared" si="138"/>
        <v>_</v>
      </c>
      <c r="J135" s="2" t="s">
        <v>28</v>
      </c>
      <c r="K135" s="2" t="str">
        <f t="shared" si="138"/>
        <v>_</v>
      </c>
      <c r="L135" s="2" t="s">
        <v>45</v>
      </c>
      <c r="M135" s="2" t="str">
        <f t="shared" si="139"/>
        <v>-</v>
      </c>
      <c r="N135" s="2" t="s">
        <v>48</v>
      </c>
      <c r="O135" s="2" t="str">
        <f t="shared" si="141"/>
        <v/>
      </c>
    </row>
    <row r="136" spans="2:16" x14ac:dyDescent="0.25">
      <c r="B136" s="1" t="str">
        <f t="shared" si="132"/>
        <v>@color-service_line_unpaved-(grhc)</v>
      </c>
      <c r="C136" s="1" t="str">
        <f t="shared" si="133"/>
        <v>""</v>
      </c>
      <c r="F136" s="2" t="s">
        <v>21</v>
      </c>
      <c r="G136" s="2" t="str">
        <f t="shared" si="137"/>
        <v>-</v>
      </c>
      <c r="H136" s="2" t="s">
        <v>64</v>
      </c>
      <c r="I136" s="2" t="str">
        <f t="shared" si="138"/>
        <v>_</v>
      </c>
      <c r="J136" s="2" t="s">
        <v>28</v>
      </c>
      <c r="K136" s="2" t="str">
        <f t="shared" si="138"/>
        <v>_</v>
      </c>
      <c r="L136" s="2" t="s">
        <v>45</v>
      </c>
      <c r="M136" s="2" t="str">
        <f t="shared" si="139"/>
        <v>-</v>
      </c>
      <c r="N136" s="2" t="s">
        <v>48</v>
      </c>
      <c r="P136" s="2" t="s">
        <v>26</v>
      </c>
    </row>
    <row r="137" spans="2:16" x14ac:dyDescent="0.25">
      <c r="B137" s="1" t="str">
        <f t="shared" si="132"/>
        <v>@color-service_line_paved_or_uk-(gr)</v>
      </c>
      <c r="C137" s="1" t="str">
        <f t="shared" si="133"/>
        <v>"#ffffff"</v>
      </c>
      <c r="D137" s="34" t="s">
        <v>56</v>
      </c>
      <c r="F137" s="2" t="s">
        <v>21</v>
      </c>
      <c r="G137" s="2" t="str">
        <f t="shared" si="137"/>
        <v>-</v>
      </c>
      <c r="H137" s="2" t="s">
        <v>64</v>
      </c>
      <c r="I137" s="2" t="str">
        <f t="shared" si="138"/>
        <v>_</v>
      </c>
      <c r="J137" s="2" t="s">
        <v>28</v>
      </c>
      <c r="K137" s="2" t="str">
        <f t="shared" si="138"/>
        <v>_</v>
      </c>
      <c r="L137" s="2" t="s">
        <v>52</v>
      </c>
      <c r="M137" s="2" t="str">
        <f t="shared" si="139"/>
        <v>-</v>
      </c>
      <c r="N137" s="2" t="s">
        <v>48</v>
      </c>
      <c r="O137" s="2" t="str">
        <f t="shared" ref="O137:O138" si="142">IF(NOT(ISBLANK(P137)),"-","")</f>
        <v/>
      </c>
    </row>
    <row r="138" spans="2:16" x14ac:dyDescent="0.25">
      <c r="B138" s="1" t="str">
        <f t="shared" si="132"/>
        <v>@color-service_line_paved_or_uk-(gr-hc)</v>
      </c>
      <c r="C138" s="1" t="str">
        <f t="shared" si="133"/>
        <v>""</v>
      </c>
      <c r="F138" s="2" t="s">
        <v>21</v>
      </c>
      <c r="G138" s="2" t="str">
        <f t="shared" si="137"/>
        <v>-</v>
      </c>
      <c r="H138" s="2" t="s">
        <v>64</v>
      </c>
      <c r="I138" s="2" t="str">
        <f t="shared" si="138"/>
        <v>_</v>
      </c>
      <c r="J138" s="2" t="s">
        <v>28</v>
      </c>
      <c r="K138" s="2" t="str">
        <f t="shared" si="138"/>
        <v>_</v>
      </c>
      <c r="L138" s="2" t="s">
        <v>52</v>
      </c>
      <c r="M138" s="2" t="str">
        <f t="shared" si="139"/>
        <v>-</v>
      </c>
      <c r="N138" s="2" t="s">
        <v>48</v>
      </c>
      <c r="O138" s="2" t="str">
        <f t="shared" si="142"/>
        <v>-</v>
      </c>
      <c r="P138" s="2" t="s">
        <v>26</v>
      </c>
    </row>
    <row r="139" spans="2:16" x14ac:dyDescent="0.25">
      <c r="B139" s="1"/>
      <c r="C139" s="1"/>
    </row>
    <row r="140" spans="2:16" x14ac:dyDescent="0.25">
      <c r="B140" s="1" t="str">
        <f t="shared" ref="B140:B162" si="143">_xlfn.CONCAT("@",F140,G140,H140,I140,J140,K140,L140,M140,"(",N140,O140,P140,")")</f>
        <v>@color-minor_line_unpaved-(def)</v>
      </c>
      <c r="C140" s="1" t="str">
        <f t="shared" ref="C140:C162" si="144">_xlfn.CONCAT("""",D140,"""")</f>
        <v>"#eddfca"</v>
      </c>
      <c r="D140" s="33" t="s">
        <v>55</v>
      </c>
      <c r="F140" s="2" t="s">
        <v>21</v>
      </c>
      <c r="G140" s="2" t="str">
        <f t="shared" ref="G140:G147" si="145">IF(NOT(ISBLANK(H140)),"-","")</f>
        <v>-</v>
      </c>
      <c r="H140" s="2" t="s">
        <v>65</v>
      </c>
      <c r="I140" s="2" t="str">
        <f t="shared" ref="I140:K147" si="146">IF(NOT(ISBLANK(J140)),"_","")</f>
        <v>_</v>
      </c>
      <c r="J140" s="2" t="s">
        <v>28</v>
      </c>
      <c r="K140" s="2" t="str">
        <f t="shared" si="146"/>
        <v>_</v>
      </c>
      <c r="L140" s="2" t="s">
        <v>45</v>
      </c>
      <c r="M140" s="2" t="str">
        <f t="shared" ref="M140:M147" si="147">IF(NOT(ISBLANK(N140)),"-","")</f>
        <v>-</v>
      </c>
      <c r="N140" s="2" t="s">
        <v>25</v>
      </c>
      <c r="O140" s="2" t="str">
        <f t="shared" ref="O140" si="148">IF(NOT(ISBLANK(P140)),"-","")</f>
        <v/>
      </c>
    </row>
    <row r="141" spans="2:16" x14ac:dyDescent="0.25">
      <c r="B141" s="1" t="str">
        <f t="shared" si="143"/>
        <v>@color-minor_line_unpaved-(defhc)</v>
      </c>
      <c r="C141" s="1" t="str">
        <f t="shared" si="144"/>
        <v>"#eddfca"</v>
      </c>
      <c r="D141" s="33" t="s">
        <v>55</v>
      </c>
      <c r="F141" s="2" t="s">
        <v>21</v>
      </c>
      <c r="G141" s="2" t="str">
        <f t="shared" si="145"/>
        <v>-</v>
      </c>
      <c r="H141" s="2" t="s">
        <v>65</v>
      </c>
      <c r="I141" s="2" t="str">
        <f t="shared" si="146"/>
        <v>_</v>
      </c>
      <c r="J141" s="2" t="s">
        <v>28</v>
      </c>
      <c r="K141" s="2" t="str">
        <f t="shared" si="146"/>
        <v>_</v>
      </c>
      <c r="L141" s="2" t="s">
        <v>45</v>
      </c>
      <c r="M141" s="2" t="str">
        <f t="shared" si="147"/>
        <v>-</v>
      </c>
      <c r="N141" s="2" t="s">
        <v>25</v>
      </c>
      <c r="P141" s="2" t="s">
        <v>26</v>
      </c>
    </row>
    <row r="142" spans="2:16" x14ac:dyDescent="0.25">
      <c r="B142" s="1" t="str">
        <f t="shared" si="143"/>
        <v>@color-minor_line_paved_or_uk-(def)</v>
      </c>
      <c r="C142" s="1" t="str">
        <f t="shared" si="144"/>
        <v>"#ffffff"</v>
      </c>
      <c r="D142" s="34" t="s">
        <v>56</v>
      </c>
      <c r="F142" s="2" t="s">
        <v>21</v>
      </c>
      <c r="G142" s="2" t="str">
        <f t="shared" si="145"/>
        <v>-</v>
      </c>
      <c r="H142" s="2" t="s">
        <v>65</v>
      </c>
      <c r="I142" s="2" t="str">
        <f t="shared" si="146"/>
        <v>_</v>
      </c>
      <c r="J142" s="2" t="s">
        <v>28</v>
      </c>
      <c r="K142" s="2" t="str">
        <f t="shared" si="146"/>
        <v>_</v>
      </c>
      <c r="L142" s="2" t="s">
        <v>52</v>
      </c>
      <c r="M142" s="2" t="str">
        <f t="shared" si="147"/>
        <v>-</v>
      </c>
      <c r="N142" s="2" t="s">
        <v>25</v>
      </c>
      <c r="O142" s="2" t="str">
        <f t="shared" ref="O142:O144" si="149">IF(NOT(ISBLANK(P142)),"-","")</f>
        <v/>
      </c>
    </row>
    <row r="143" spans="2:16" x14ac:dyDescent="0.25">
      <c r="B143" s="1" t="str">
        <f t="shared" si="143"/>
        <v>@color-minor_line_paved_or_uk-(def-hc)</v>
      </c>
      <c r="C143" s="1" t="str">
        <f t="shared" si="144"/>
        <v>"#ffffff"</v>
      </c>
      <c r="D143" s="34" t="s">
        <v>56</v>
      </c>
      <c r="F143" s="2" t="s">
        <v>21</v>
      </c>
      <c r="G143" s="2" t="str">
        <f t="shared" si="145"/>
        <v>-</v>
      </c>
      <c r="H143" s="2" t="s">
        <v>65</v>
      </c>
      <c r="I143" s="2" t="str">
        <f t="shared" si="146"/>
        <v>_</v>
      </c>
      <c r="J143" s="2" t="s">
        <v>28</v>
      </c>
      <c r="K143" s="2" t="str">
        <f t="shared" si="146"/>
        <v>_</v>
      </c>
      <c r="L143" s="2" t="s">
        <v>52</v>
      </c>
      <c r="M143" s="2" t="str">
        <f t="shared" si="147"/>
        <v>-</v>
      </c>
      <c r="N143" s="2" t="s">
        <v>25</v>
      </c>
      <c r="O143" s="2" t="str">
        <f t="shared" si="149"/>
        <v>-</v>
      </c>
      <c r="P143" s="2" t="s">
        <v>26</v>
      </c>
    </row>
    <row r="144" spans="2:16" x14ac:dyDescent="0.25">
      <c r="B144" s="1" t="str">
        <f t="shared" si="143"/>
        <v>@color-minor_line_unpaved-(gr)</v>
      </c>
      <c r="C144" s="1" t="str">
        <f t="shared" si="144"/>
        <v>"#eddfca"</v>
      </c>
      <c r="D144" s="33" t="s">
        <v>55</v>
      </c>
      <c r="F144" s="2" t="s">
        <v>21</v>
      </c>
      <c r="G144" s="2" t="str">
        <f t="shared" si="145"/>
        <v>-</v>
      </c>
      <c r="H144" s="2" t="s">
        <v>65</v>
      </c>
      <c r="I144" s="2" t="str">
        <f t="shared" si="146"/>
        <v>_</v>
      </c>
      <c r="J144" s="2" t="s">
        <v>28</v>
      </c>
      <c r="K144" s="2" t="str">
        <f t="shared" si="146"/>
        <v>_</v>
      </c>
      <c r="L144" s="2" t="s">
        <v>45</v>
      </c>
      <c r="M144" s="2" t="str">
        <f t="shared" si="147"/>
        <v>-</v>
      </c>
      <c r="N144" s="2" t="s">
        <v>48</v>
      </c>
      <c r="O144" s="2" t="str">
        <f t="shared" si="149"/>
        <v/>
      </c>
    </row>
    <row r="145" spans="1:16" x14ac:dyDescent="0.25">
      <c r="B145" s="1" t="str">
        <f t="shared" si="143"/>
        <v>@color-minor_line_unpaved-(grhc)</v>
      </c>
      <c r="C145" s="1" t="str">
        <f t="shared" si="144"/>
        <v>""</v>
      </c>
      <c r="F145" s="2" t="s">
        <v>21</v>
      </c>
      <c r="G145" s="2" t="str">
        <f t="shared" si="145"/>
        <v>-</v>
      </c>
      <c r="H145" s="2" t="s">
        <v>65</v>
      </c>
      <c r="I145" s="2" t="str">
        <f t="shared" si="146"/>
        <v>_</v>
      </c>
      <c r="J145" s="2" t="s">
        <v>28</v>
      </c>
      <c r="K145" s="2" t="str">
        <f t="shared" si="146"/>
        <v>_</v>
      </c>
      <c r="L145" s="2" t="s">
        <v>45</v>
      </c>
      <c r="M145" s="2" t="str">
        <f t="shared" si="147"/>
        <v>-</v>
      </c>
      <c r="N145" s="2" t="s">
        <v>48</v>
      </c>
      <c r="P145" s="2" t="s">
        <v>26</v>
      </c>
    </row>
    <row r="146" spans="1:16" x14ac:dyDescent="0.25">
      <c r="B146" s="1" t="str">
        <f t="shared" si="143"/>
        <v>@color-minor_line_paved_or_uk-(gr)</v>
      </c>
      <c r="C146" s="1" t="str">
        <f t="shared" si="144"/>
        <v>"#ffffff"</v>
      </c>
      <c r="D146" s="34" t="s">
        <v>56</v>
      </c>
      <c r="F146" s="2" t="s">
        <v>21</v>
      </c>
      <c r="G146" s="2" t="str">
        <f t="shared" si="145"/>
        <v>-</v>
      </c>
      <c r="H146" s="2" t="s">
        <v>65</v>
      </c>
      <c r="I146" s="2" t="str">
        <f t="shared" si="146"/>
        <v>_</v>
      </c>
      <c r="J146" s="2" t="s">
        <v>28</v>
      </c>
      <c r="K146" s="2" t="str">
        <f t="shared" si="146"/>
        <v>_</v>
      </c>
      <c r="L146" s="2" t="s">
        <v>52</v>
      </c>
      <c r="M146" s="2" t="str">
        <f t="shared" si="147"/>
        <v>-</v>
      </c>
      <c r="N146" s="2" t="s">
        <v>48</v>
      </c>
      <c r="O146" s="2" t="str">
        <f t="shared" ref="O146:O147" si="150">IF(NOT(ISBLANK(P146)),"-","")</f>
        <v/>
      </c>
    </row>
    <row r="147" spans="1:16" x14ac:dyDescent="0.25">
      <c r="B147" s="1" t="str">
        <f t="shared" si="143"/>
        <v>@color-minor_line_paved_or_uk-(gr-hc)</v>
      </c>
      <c r="C147" s="1" t="str">
        <f t="shared" si="144"/>
        <v>""</v>
      </c>
      <c r="F147" s="2" t="s">
        <v>21</v>
      </c>
      <c r="G147" s="2" t="str">
        <f t="shared" si="145"/>
        <v>-</v>
      </c>
      <c r="H147" s="2" t="s">
        <v>65</v>
      </c>
      <c r="I147" s="2" t="str">
        <f t="shared" si="146"/>
        <v>_</v>
      </c>
      <c r="J147" s="2" t="s">
        <v>28</v>
      </c>
      <c r="K147" s="2" t="str">
        <f t="shared" si="146"/>
        <v>_</v>
      </c>
      <c r="L147" s="2" t="s">
        <v>52</v>
      </c>
      <c r="M147" s="2" t="str">
        <f t="shared" si="147"/>
        <v>-</v>
      </c>
      <c r="N147" s="2" t="s">
        <v>48</v>
      </c>
      <c r="O147" s="2" t="str">
        <f t="shared" si="150"/>
        <v>-</v>
      </c>
      <c r="P147" s="2" t="s">
        <v>26</v>
      </c>
    </row>
    <row r="148" spans="1:16" x14ac:dyDescent="0.25">
      <c r="B148" s="1"/>
      <c r="C148" s="1"/>
    </row>
    <row r="149" spans="1:16" x14ac:dyDescent="0.25">
      <c r="A149" s="44" t="s">
        <v>92</v>
      </c>
      <c r="B149" s="44"/>
      <c r="C149" s="44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</row>
    <row r="150" spans="1:16" x14ac:dyDescent="0.25">
      <c r="B150" s="1" t="str">
        <f>_xlfn.CONCAT("@",F150,G150,H150,I150,J150,K150,L150,M150,"(",N150,O150,P150,")")</f>
        <v>@color-motorway_link_line-(def)</v>
      </c>
      <c r="C150" s="1" t="str">
        <f>_xlfn.CONCAT("""",D150,"""")</f>
        <v>"#ffcc88"</v>
      </c>
      <c r="D150" s="22" t="s">
        <v>36</v>
      </c>
      <c r="F150" s="2" t="s">
        <v>21</v>
      </c>
      <c r="G150" s="2" t="str">
        <f>IF(NOT(ISBLANK(H150)),"-","")</f>
        <v>-</v>
      </c>
      <c r="H150" s="2" t="s">
        <v>67</v>
      </c>
      <c r="I150" s="2" t="str">
        <f>IF(NOT(ISBLANK(J150)),"_","")</f>
        <v>_</v>
      </c>
      <c r="J150" s="2" t="s">
        <v>28</v>
      </c>
      <c r="K150" s="2" t="str">
        <f>IF(NOT(ISBLANK(L150)),"_","")</f>
        <v/>
      </c>
      <c r="M150" s="2" t="str">
        <f t="shared" ref="M150" si="151">IF(NOT(ISBLANK(N150)),"-","")</f>
        <v>-</v>
      </c>
      <c r="N150" s="2" t="s">
        <v>25</v>
      </c>
      <c r="O150" s="2" t="str">
        <f t="shared" ref="O150" si="152">IF(NOT(ISBLANK(P150)),"-","")</f>
        <v/>
      </c>
    </row>
    <row r="151" spans="1:16" x14ac:dyDescent="0.25">
      <c r="B151" s="1" t="str">
        <f>_xlfn.CONCAT("@",F151,G151,H151,I151,J151,K151,L151,M151,"(",N151,O151,P151,")")</f>
        <v>@color-motorway_link_line-(def-hc)</v>
      </c>
      <c r="C151" s="1" t="str">
        <f>_xlfn.CONCAT("""",D151,"""")</f>
        <v>"#d6771e"</v>
      </c>
      <c r="D151" s="23" t="s">
        <v>37</v>
      </c>
      <c r="F151" s="2" t="s">
        <v>21</v>
      </c>
      <c r="G151" s="2" t="str">
        <f t="shared" ref="G151:G152" si="153">IF(NOT(ISBLANK(H151)),"-","")</f>
        <v>-</v>
      </c>
      <c r="H151" s="2" t="s">
        <v>67</v>
      </c>
      <c r="I151" s="2" t="str">
        <f>IF(NOT(ISBLANK(J151)),"_","")</f>
        <v>_</v>
      </c>
      <c r="J151" s="2" t="s">
        <v>28</v>
      </c>
      <c r="K151" s="2" t="str">
        <f>IF(NOT(ISBLANK(L151)),"_","")</f>
        <v/>
      </c>
      <c r="M151" s="2" t="str">
        <f>IF(NOT(ISBLANK(N151)),"-","")</f>
        <v>-</v>
      </c>
      <c r="N151" s="2" t="s">
        <v>25</v>
      </c>
      <c r="O151" s="2" t="str">
        <f>IF(NOT(ISBLANK(P151)),"-","")</f>
        <v>-</v>
      </c>
      <c r="P151" s="2" t="s">
        <v>26</v>
      </c>
    </row>
    <row r="152" spans="1:16" x14ac:dyDescent="0.25">
      <c r="B152" s="1" t="str">
        <f>_xlfn.CONCAT("@",F152,G152,H152,I152,J152,K152,L152,M152,"(",N152,O152,P152,")")</f>
        <v>@color-motorway_link_case-(def)</v>
      </c>
      <c r="C152" s="1" t="str">
        <f>_xlfn.CONCAT("""",D152,"""")</f>
        <v>"#a15412"</v>
      </c>
      <c r="D152" s="26" t="s">
        <v>41</v>
      </c>
      <c r="F152" s="2" t="s">
        <v>21</v>
      </c>
      <c r="G152" s="2" t="str">
        <f t="shared" si="153"/>
        <v>-</v>
      </c>
      <c r="H152" s="2" t="s">
        <v>67</v>
      </c>
      <c r="I152" s="2" t="str">
        <f t="shared" ref="I152" si="154">IF(NOT(ISBLANK(J152)),"_","")</f>
        <v>_</v>
      </c>
      <c r="J152" s="2" t="s">
        <v>38</v>
      </c>
      <c r="K152" s="2" t="str">
        <f t="shared" ref="K152" si="155">IF(NOT(ISBLANK(L152)),"_","")</f>
        <v/>
      </c>
      <c r="M152" s="2" t="str">
        <f>IF(NOT(ISBLANK(N152)),"-","")</f>
        <v>-</v>
      </c>
      <c r="N152" s="2" t="s">
        <v>25</v>
      </c>
      <c r="O152" s="2" t="str">
        <f>IF(NOT(ISBLANK(P152)),"-","")</f>
        <v/>
      </c>
    </row>
    <row r="153" spans="1:16" x14ac:dyDescent="0.25">
      <c r="B153" s="1" t="str">
        <f>_xlfn.CONCAT("@",F153,G153,H153,I153,J153,K153,L153,M153,"(",N153,O153,P153,")")</f>
        <v>@color-motorway_link_case-(def-hc)</v>
      </c>
      <c r="C153" s="1" t="str">
        <f>_xlfn.CONCAT("""",D153,"""")</f>
        <v>"#000000"</v>
      </c>
      <c r="D153" s="25" t="s">
        <v>40</v>
      </c>
      <c r="F153" s="2" t="s">
        <v>21</v>
      </c>
      <c r="G153" s="2" t="str">
        <f t="shared" ref="G153" si="156">IF(NOT(ISBLANK(H153)),"-","")</f>
        <v>-</v>
      </c>
      <c r="H153" s="2" t="s">
        <v>67</v>
      </c>
      <c r="I153" s="2" t="str">
        <f t="shared" ref="I153" si="157">IF(NOT(ISBLANK(J153)),"_","")</f>
        <v>_</v>
      </c>
      <c r="J153" s="2" t="s">
        <v>38</v>
      </c>
      <c r="K153" s="2" t="str">
        <f t="shared" ref="K153" si="158">IF(NOT(ISBLANK(L153)),"_","")</f>
        <v/>
      </c>
      <c r="M153" s="2" t="str">
        <f t="shared" ref="M153" si="159">IF(NOT(ISBLANK(N153)),"-","")</f>
        <v>-</v>
      </c>
      <c r="N153" s="2" t="s">
        <v>25</v>
      </c>
      <c r="O153" s="2" t="str">
        <f t="shared" ref="O153" si="160">IF(NOT(ISBLANK(P153)),"-","")</f>
        <v>-</v>
      </c>
      <c r="P153" s="2" t="s">
        <v>26</v>
      </c>
    </row>
    <row r="154" spans="1:16" x14ac:dyDescent="0.25">
      <c r="B154" s="1"/>
      <c r="C154" s="1"/>
      <c r="D154" s="1"/>
    </row>
    <row r="155" spans="1:16" x14ac:dyDescent="0.25">
      <c r="B155" s="1" t="str">
        <f t="shared" si="143"/>
        <v>@color-trunk_primary_secondary_tertiary_link_line-(def)</v>
      </c>
      <c r="C155" s="1" t="str">
        <f t="shared" si="144"/>
        <v>"#ffeeaa"</v>
      </c>
      <c r="D155" s="31" t="s">
        <v>53</v>
      </c>
      <c r="F155" s="2" t="s">
        <v>21</v>
      </c>
      <c r="G155" s="2" t="str">
        <f t="shared" ref="G155:G162" si="161">IF(NOT(ISBLANK(H155)),"-","")</f>
        <v>-</v>
      </c>
      <c r="H155" s="2" t="s">
        <v>66</v>
      </c>
      <c r="I155" s="2" t="str">
        <f t="shared" ref="I155:K162" si="162">IF(NOT(ISBLANK(J155)),"_","")</f>
        <v>_</v>
      </c>
      <c r="J155" s="2" t="s">
        <v>28</v>
      </c>
      <c r="K155" s="2" t="str">
        <f t="shared" si="162"/>
        <v/>
      </c>
      <c r="M155" s="2" t="str">
        <f t="shared" ref="M155" si="163">IF(NOT(ISBLANK(N155)),"-","")</f>
        <v>-</v>
      </c>
      <c r="N155" s="2" t="s">
        <v>25</v>
      </c>
      <c r="O155" s="2" t="str">
        <f t="shared" ref="O155" si="164">IF(NOT(ISBLANK(P155)),"-","")</f>
        <v/>
      </c>
    </row>
    <row r="156" spans="1:16" x14ac:dyDescent="0.25">
      <c r="B156" s="1" t="str">
        <f t="shared" si="143"/>
        <v>@color-trunk_primary_secondary_tertiary_link_line-(def-hc)</v>
      </c>
      <c r="C156" s="1" t="str">
        <f t="shared" si="144"/>
        <v>"#d6771e"</v>
      </c>
      <c r="D156" s="23" t="s">
        <v>37</v>
      </c>
      <c r="F156" s="2" t="s">
        <v>21</v>
      </c>
      <c r="G156" s="2" t="str">
        <f t="shared" si="161"/>
        <v>-</v>
      </c>
      <c r="H156" s="2" t="s">
        <v>66</v>
      </c>
      <c r="I156" s="2" t="str">
        <f t="shared" si="162"/>
        <v>_</v>
      </c>
      <c r="J156" s="2" t="s">
        <v>28</v>
      </c>
      <c r="K156" s="2" t="str">
        <f t="shared" si="162"/>
        <v/>
      </c>
      <c r="M156" s="2" t="str">
        <f>IF(NOT(ISBLANK(N156)),"-","")</f>
        <v>-</v>
      </c>
      <c r="N156" s="2" t="s">
        <v>25</v>
      </c>
      <c r="O156" s="2" t="str">
        <f>IF(NOT(ISBLANK(P156)),"-","")</f>
        <v>-</v>
      </c>
      <c r="P156" s="2" t="s">
        <v>26</v>
      </c>
    </row>
    <row r="157" spans="1:16" x14ac:dyDescent="0.25">
      <c r="B157" s="1" t="str">
        <f t="shared" si="143"/>
        <v>@color-trunk_primary_secondary_tertiary_link_line_bicycle_no-(def)</v>
      </c>
      <c r="C157" s="1" t="str">
        <f t="shared" si="144"/>
        <v>"#ffcc88"</v>
      </c>
      <c r="D157" s="22" t="s">
        <v>36</v>
      </c>
      <c r="F157" s="2" t="s">
        <v>21</v>
      </c>
      <c r="G157" s="2" t="str">
        <f t="shared" si="161"/>
        <v>-</v>
      </c>
      <c r="H157" s="2" t="s">
        <v>66</v>
      </c>
      <c r="I157" s="2" t="str">
        <f t="shared" si="162"/>
        <v>_</v>
      </c>
      <c r="J157" s="2" t="s">
        <v>28</v>
      </c>
      <c r="K157" s="2" t="str">
        <f t="shared" si="162"/>
        <v>_</v>
      </c>
      <c r="L157" s="2" t="s">
        <v>51</v>
      </c>
      <c r="M157" s="2" t="str">
        <f t="shared" ref="M157:M162" si="165">IF(NOT(ISBLANK(N157)),"-","")</f>
        <v>-</v>
      </c>
      <c r="N157" s="2" t="s">
        <v>25</v>
      </c>
      <c r="O157" s="2" t="str">
        <f t="shared" ref="O157:O162" si="166">IF(NOT(ISBLANK(P157)),"-","")</f>
        <v/>
      </c>
    </row>
    <row r="158" spans="1:16" x14ac:dyDescent="0.25">
      <c r="B158" s="1" t="str">
        <f t="shared" si="143"/>
        <v>@color-trunk_primary_secondary_tertiary_link_line_bicycle_no-(def-hc)</v>
      </c>
      <c r="C158" s="1" t="str">
        <f t="shared" si="144"/>
        <v>"#ffc72e"</v>
      </c>
      <c r="D158" s="32" t="s">
        <v>54</v>
      </c>
      <c r="F158" s="2" t="s">
        <v>21</v>
      </c>
      <c r="G158" s="2" t="str">
        <f t="shared" si="161"/>
        <v>-</v>
      </c>
      <c r="H158" s="2" t="s">
        <v>66</v>
      </c>
      <c r="I158" s="2" t="str">
        <f t="shared" si="162"/>
        <v>_</v>
      </c>
      <c r="J158" s="2" t="s">
        <v>28</v>
      </c>
      <c r="K158" s="2" t="str">
        <f t="shared" si="162"/>
        <v>_</v>
      </c>
      <c r="L158" s="2" t="s">
        <v>51</v>
      </c>
      <c r="M158" s="2" t="str">
        <f t="shared" si="165"/>
        <v>-</v>
      </c>
      <c r="N158" s="2" t="s">
        <v>25</v>
      </c>
      <c r="O158" s="2" t="str">
        <f t="shared" si="166"/>
        <v>-</v>
      </c>
      <c r="P158" s="2" t="s">
        <v>26</v>
      </c>
    </row>
    <row r="159" spans="1:16" x14ac:dyDescent="0.25">
      <c r="B159" s="1" t="str">
        <f t="shared" si="143"/>
        <v>@color-trunk_primary_secondary_tertiary_link_line_unpaved-(gr)</v>
      </c>
      <c r="C159" s="1" t="str">
        <f t="shared" si="144"/>
        <v>"#eddfca"</v>
      </c>
      <c r="D159" s="33" t="s">
        <v>55</v>
      </c>
      <c r="F159" s="2" t="s">
        <v>21</v>
      </c>
      <c r="G159" s="2" t="str">
        <f t="shared" si="161"/>
        <v>-</v>
      </c>
      <c r="H159" s="2" t="s">
        <v>66</v>
      </c>
      <c r="I159" s="2" t="str">
        <f t="shared" si="162"/>
        <v>_</v>
      </c>
      <c r="J159" s="2" t="s">
        <v>28</v>
      </c>
      <c r="K159" s="2" t="str">
        <f t="shared" si="162"/>
        <v>_</v>
      </c>
      <c r="L159" s="2" t="s">
        <v>45</v>
      </c>
      <c r="M159" s="2" t="str">
        <f t="shared" si="165"/>
        <v>-</v>
      </c>
      <c r="N159" s="2" t="s">
        <v>48</v>
      </c>
      <c r="O159" s="2" t="str">
        <f t="shared" si="166"/>
        <v/>
      </c>
    </row>
    <row r="160" spans="1:16" x14ac:dyDescent="0.25">
      <c r="B160" s="1" t="str">
        <f t="shared" si="143"/>
        <v>@color-trunk_primary_secondary_tertiary_link_line_unpaved-(gr-hc)</v>
      </c>
      <c r="C160" s="1" t="str">
        <f t="shared" si="144"/>
        <v>""</v>
      </c>
      <c r="F160" s="2" t="s">
        <v>21</v>
      </c>
      <c r="G160" s="2" t="str">
        <f t="shared" si="161"/>
        <v>-</v>
      </c>
      <c r="H160" s="2" t="s">
        <v>66</v>
      </c>
      <c r="I160" s="2" t="str">
        <f t="shared" si="162"/>
        <v>_</v>
      </c>
      <c r="J160" s="2" t="s">
        <v>28</v>
      </c>
      <c r="K160" s="2" t="str">
        <f t="shared" si="162"/>
        <v>_</v>
      </c>
      <c r="L160" s="2" t="s">
        <v>45</v>
      </c>
      <c r="M160" s="2" t="str">
        <f t="shared" si="165"/>
        <v>-</v>
      </c>
      <c r="N160" s="2" t="s">
        <v>48</v>
      </c>
      <c r="O160" s="2" t="str">
        <f t="shared" si="166"/>
        <v>-</v>
      </c>
      <c r="P160" s="2" t="s">
        <v>26</v>
      </c>
    </row>
    <row r="161" spans="2:16" x14ac:dyDescent="0.25">
      <c r="B161" s="1" t="str">
        <f t="shared" si="143"/>
        <v>@color-trunk_primary_secondary_tertiary_link_line_paved_or_uk-(gr)</v>
      </c>
      <c r="C161" s="1" t="str">
        <f t="shared" si="144"/>
        <v>"#ffffff"</v>
      </c>
      <c r="D161" s="34" t="s">
        <v>56</v>
      </c>
      <c r="F161" s="2" t="s">
        <v>21</v>
      </c>
      <c r="G161" s="2" t="str">
        <f t="shared" si="161"/>
        <v>-</v>
      </c>
      <c r="H161" s="2" t="s">
        <v>66</v>
      </c>
      <c r="I161" s="2" t="str">
        <f t="shared" si="162"/>
        <v>_</v>
      </c>
      <c r="J161" s="2" t="s">
        <v>28</v>
      </c>
      <c r="K161" s="2" t="str">
        <f t="shared" si="162"/>
        <v>_</v>
      </c>
      <c r="L161" s="2" t="s">
        <v>52</v>
      </c>
      <c r="M161" s="2" t="str">
        <f t="shared" si="165"/>
        <v>-</v>
      </c>
      <c r="N161" s="2" t="s">
        <v>48</v>
      </c>
      <c r="O161" s="2" t="str">
        <f t="shared" si="166"/>
        <v/>
      </c>
    </row>
    <row r="162" spans="2:16" x14ac:dyDescent="0.25">
      <c r="B162" s="1" t="str">
        <f t="shared" si="143"/>
        <v>@color-trunk_primary_secondary_tertiary_link_line_paved_or_uk-(gr-hc)</v>
      </c>
      <c r="C162" s="1" t="str">
        <f t="shared" si="144"/>
        <v>""</v>
      </c>
      <c r="F162" s="2" t="s">
        <v>21</v>
      </c>
      <c r="G162" s="2" t="str">
        <f t="shared" si="161"/>
        <v>-</v>
      </c>
      <c r="H162" s="2" t="s">
        <v>66</v>
      </c>
      <c r="I162" s="2" t="str">
        <f t="shared" si="162"/>
        <v>_</v>
      </c>
      <c r="J162" s="2" t="s">
        <v>28</v>
      </c>
      <c r="K162" s="2" t="str">
        <f t="shared" si="162"/>
        <v>_</v>
      </c>
      <c r="L162" s="2" t="s">
        <v>52</v>
      </c>
      <c r="M162" s="2" t="str">
        <f t="shared" si="165"/>
        <v>-</v>
      </c>
      <c r="N162" s="2" t="s">
        <v>48</v>
      </c>
      <c r="O162" s="2" t="str">
        <f t="shared" si="166"/>
        <v>-</v>
      </c>
      <c r="P162" s="2" t="s">
        <v>26</v>
      </c>
    </row>
    <row r="163" spans="2:16" x14ac:dyDescent="0.25">
      <c r="B163" s="1"/>
      <c r="C163" s="1"/>
    </row>
    <row r="164" spans="2:16" x14ac:dyDescent="0.25">
      <c r="B164" s="1" t="str">
        <f t="shared" ref="B164:B176" si="167">_xlfn.CONCAT("@",F164,G164,H164,I164,J164,K164,L164,M164,"(",N164,O164,P164,")")</f>
        <v>@()</v>
      </c>
      <c r="C164" s="1" t="str">
        <f t="shared" ref="C164:C176" si="168">_xlfn.CONCAT("""",D164,"""")</f>
        <v>""</v>
      </c>
      <c r="G164" s="2" t="str">
        <f t="shared" ref="G164:G176" si="169">IF(NOT(ISBLANK(H164)),"-","")</f>
        <v/>
      </c>
      <c r="I164" s="2" t="str">
        <f t="shared" ref="I164:K176" si="170">IF(NOT(ISBLANK(J164)),"_","")</f>
        <v/>
      </c>
      <c r="K164" s="2" t="str">
        <f t="shared" si="170"/>
        <v/>
      </c>
      <c r="M164" s="2" t="str">
        <f t="shared" ref="M164:M176" si="171">IF(NOT(ISBLANK(N164)),"-","")</f>
        <v/>
      </c>
      <c r="O164" s="2" t="str">
        <f t="shared" ref="O164:O176" si="172">IF(NOT(ISBLANK(P164)),"-","")</f>
        <v/>
      </c>
    </row>
    <row r="165" spans="2:16" x14ac:dyDescent="0.25">
      <c r="B165" s="1" t="str">
        <f t="shared" si="167"/>
        <v>@()</v>
      </c>
      <c r="C165" s="1" t="str">
        <f t="shared" si="168"/>
        <v>""</v>
      </c>
      <c r="G165" s="2" t="str">
        <f t="shared" si="169"/>
        <v/>
      </c>
      <c r="I165" s="2" t="str">
        <f t="shared" si="170"/>
        <v/>
      </c>
      <c r="K165" s="2" t="str">
        <f t="shared" si="170"/>
        <v/>
      </c>
      <c r="M165" s="2" t="str">
        <f t="shared" si="171"/>
        <v/>
      </c>
      <c r="O165" s="2" t="str">
        <f t="shared" si="172"/>
        <v/>
      </c>
    </row>
    <row r="166" spans="2:16" x14ac:dyDescent="0.25">
      <c r="B166" s="1" t="str">
        <f t="shared" si="167"/>
        <v>@()</v>
      </c>
      <c r="C166" s="1" t="str">
        <f t="shared" si="168"/>
        <v>""</v>
      </c>
      <c r="G166" s="2" t="str">
        <f t="shared" si="169"/>
        <v/>
      </c>
      <c r="I166" s="2" t="str">
        <f t="shared" si="170"/>
        <v/>
      </c>
      <c r="K166" s="2" t="str">
        <f t="shared" si="170"/>
        <v/>
      </c>
      <c r="M166" s="2" t="str">
        <f t="shared" si="171"/>
        <v/>
      </c>
      <c r="O166" s="2" t="str">
        <f t="shared" si="172"/>
        <v/>
      </c>
    </row>
    <row r="167" spans="2:16" x14ac:dyDescent="0.25">
      <c r="B167" s="1" t="str">
        <f t="shared" si="167"/>
        <v>@()</v>
      </c>
      <c r="C167" s="1" t="str">
        <f t="shared" si="168"/>
        <v>""</v>
      </c>
      <c r="G167" s="2" t="str">
        <f t="shared" si="169"/>
        <v/>
      </c>
      <c r="I167" s="2" t="str">
        <f t="shared" si="170"/>
        <v/>
      </c>
      <c r="K167" s="2" t="str">
        <f t="shared" si="170"/>
        <v/>
      </c>
      <c r="M167" s="2" t="str">
        <f t="shared" si="171"/>
        <v/>
      </c>
      <c r="O167" s="2" t="str">
        <f t="shared" si="172"/>
        <v/>
      </c>
    </row>
    <row r="168" spans="2:16" x14ac:dyDescent="0.25">
      <c r="B168" s="1" t="str">
        <f t="shared" si="167"/>
        <v>@()</v>
      </c>
      <c r="C168" s="1" t="str">
        <f t="shared" si="168"/>
        <v>""</v>
      </c>
      <c r="G168" s="2" t="str">
        <f t="shared" si="169"/>
        <v/>
      </c>
      <c r="I168" s="2" t="str">
        <f t="shared" si="170"/>
        <v/>
      </c>
      <c r="K168" s="2" t="str">
        <f t="shared" si="170"/>
        <v/>
      </c>
      <c r="M168" s="2" t="str">
        <f t="shared" si="171"/>
        <v/>
      </c>
      <c r="O168" s="2" t="str">
        <f t="shared" si="172"/>
        <v/>
      </c>
    </row>
    <row r="169" spans="2:16" x14ac:dyDescent="0.25">
      <c r="B169" s="1" t="str">
        <f t="shared" si="167"/>
        <v>@()</v>
      </c>
      <c r="C169" s="1" t="str">
        <f t="shared" si="168"/>
        <v>""</v>
      </c>
      <c r="G169" s="2" t="str">
        <f t="shared" si="169"/>
        <v/>
      </c>
      <c r="I169" s="2" t="str">
        <f t="shared" si="170"/>
        <v/>
      </c>
      <c r="K169" s="2" t="str">
        <f t="shared" si="170"/>
        <v/>
      </c>
      <c r="M169" s="2" t="str">
        <f t="shared" si="171"/>
        <v/>
      </c>
      <c r="O169" s="2" t="str">
        <f t="shared" si="172"/>
        <v/>
      </c>
    </row>
    <row r="170" spans="2:16" x14ac:dyDescent="0.25">
      <c r="B170" s="1" t="str">
        <f t="shared" si="167"/>
        <v>@()</v>
      </c>
      <c r="C170" s="1" t="str">
        <f t="shared" si="168"/>
        <v>""</v>
      </c>
      <c r="G170" s="2" t="str">
        <f t="shared" si="169"/>
        <v/>
      </c>
      <c r="I170" s="2" t="str">
        <f t="shared" si="170"/>
        <v/>
      </c>
      <c r="K170" s="2" t="str">
        <f t="shared" si="170"/>
        <v/>
      </c>
      <c r="M170" s="2" t="str">
        <f t="shared" si="171"/>
        <v/>
      </c>
      <c r="O170" s="2" t="str">
        <f t="shared" si="172"/>
        <v/>
      </c>
    </row>
    <row r="171" spans="2:16" x14ac:dyDescent="0.25">
      <c r="B171" s="1" t="str">
        <f t="shared" si="167"/>
        <v>@()</v>
      </c>
      <c r="C171" s="1" t="str">
        <f t="shared" si="168"/>
        <v>""</v>
      </c>
      <c r="G171" s="2" t="str">
        <f t="shared" si="169"/>
        <v/>
      </c>
      <c r="I171" s="2" t="str">
        <f t="shared" si="170"/>
        <v/>
      </c>
      <c r="K171" s="2" t="str">
        <f t="shared" si="170"/>
        <v/>
      </c>
      <c r="M171" s="2" t="str">
        <f t="shared" si="171"/>
        <v/>
      </c>
      <c r="O171" s="2" t="str">
        <f t="shared" si="172"/>
        <v/>
      </c>
    </row>
    <row r="172" spans="2:16" x14ac:dyDescent="0.25">
      <c r="B172" s="1" t="str">
        <f t="shared" si="167"/>
        <v>@()</v>
      </c>
      <c r="C172" s="1" t="str">
        <f t="shared" si="168"/>
        <v>""</v>
      </c>
      <c r="G172" s="2" t="str">
        <f t="shared" si="169"/>
        <v/>
      </c>
      <c r="I172" s="2" t="str">
        <f t="shared" si="170"/>
        <v/>
      </c>
      <c r="K172" s="2" t="str">
        <f t="shared" si="170"/>
        <v/>
      </c>
      <c r="M172" s="2" t="str">
        <f t="shared" si="171"/>
        <v/>
      </c>
      <c r="O172" s="2" t="str">
        <f t="shared" si="172"/>
        <v/>
      </c>
    </row>
    <row r="173" spans="2:16" x14ac:dyDescent="0.25">
      <c r="B173" s="1" t="str">
        <f t="shared" si="167"/>
        <v>@()</v>
      </c>
      <c r="C173" s="1" t="str">
        <f t="shared" si="168"/>
        <v>""</v>
      </c>
      <c r="G173" s="2" t="str">
        <f t="shared" si="169"/>
        <v/>
      </c>
      <c r="I173" s="2" t="str">
        <f t="shared" si="170"/>
        <v/>
      </c>
      <c r="K173" s="2" t="str">
        <f t="shared" si="170"/>
        <v/>
      </c>
      <c r="M173" s="2" t="str">
        <f t="shared" si="171"/>
        <v/>
      </c>
      <c r="O173" s="2" t="str">
        <f t="shared" si="172"/>
        <v/>
      </c>
    </row>
    <row r="174" spans="2:16" x14ac:dyDescent="0.25">
      <c r="B174" s="1" t="str">
        <f t="shared" si="167"/>
        <v>@()</v>
      </c>
      <c r="C174" s="1" t="str">
        <f t="shared" si="168"/>
        <v>""</v>
      </c>
      <c r="G174" s="2" t="str">
        <f t="shared" si="169"/>
        <v/>
      </c>
      <c r="I174" s="2" t="str">
        <f t="shared" si="170"/>
        <v/>
      </c>
      <c r="K174" s="2" t="str">
        <f t="shared" si="170"/>
        <v/>
      </c>
      <c r="M174" s="2" t="str">
        <f t="shared" si="171"/>
        <v/>
      </c>
      <c r="O174" s="2" t="str">
        <f t="shared" si="172"/>
        <v/>
      </c>
    </row>
    <row r="175" spans="2:16" x14ac:dyDescent="0.25">
      <c r="B175" s="1" t="str">
        <f t="shared" si="167"/>
        <v>@()</v>
      </c>
      <c r="C175" s="1" t="str">
        <f t="shared" si="168"/>
        <v>""</v>
      </c>
      <c r="G175" s="2" t="str">
        <f t="shared" si="169"/>
        <v/>
      </c>
      <c r="I175" s="2" t="str">
        <f t="shared" si="170"/>
        <v/>
      </c>
      <c r="K175" s="2" t="str">
        <f t="shared" si="170"/>
        <v/>
      </c>
      <c r="M175" s="2" t="str">
        <f t="shared" si="171"/>
        <v/>
      </c>
      <c r="O175" s="2" t="str">
        <f t="shared" si="172"/>
        <v/>
      </c>
    </row>
    <row r="176" spans="2:16" x14ac:dyDescent="0.25">
      <c r="B176" s="1" t="str">
        <f t="shared" si="167"/>
        <v>@()</v>
      </c>
      <c r="C176" s="1" t="str">
        <f t="shared" si="168"/>
        <v>""</v>
      </c>
      <c r="G176" s="2" t="str">
        <f t="shared" si="169"/>
        <v/>
      </c>
      <c r="I176" s="2" t="str">
        <f t="shared" si="170"/>
        <v/>
      </c>
      <c r="K176" s="2" t="str">
        <f t="shared" si="170"/>
        <v/>
      </c>
      <c r="M176" s="2" t="str">
        <f t="shared" si="171"/>
        <v/>
      </c>
      <c r="O176" s="2" t="str">
        <f t="shared" si="172"/>
        <v/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A13" zoomScale="85" zoomScaleNormal="85" workbookViewId="0">
      <selection activeCell="E76" sqref="E76"/>
    </sheetView>
  </sheetViews>
  <sheetFormatPr defaultRowHeight="13.5" x14ac:dyDescent="0.25"/>
  <cols>
    <col min="1" max="1" width="2.7109375" style="68" customWidth="1"/>
    <col min="2" max="2" width="35.7109375" style="68" customWidth="1"/>
    <col min="3" max="3" width="8.7109375" style="68" customWidth="1"/>
    <col min="4" max="4" width="8.7109375" style="73" customWidth="1"/>
    <col min="5" max="5" width="35.7109375" style="73" customWidth="1"/>
    <col min="6" max="6" width="8.7109375" style="68" customWidth="1"/>
    <col min="7" max="7" width="8.7109375" style="73" customWidth="1"/>
    <col min="8" max="8" width="35.7109375" style="68" customWidth="1"/>
    <col min="9" max="9" width="8.7109375" style="68" customWidth="1"/>
    <col min="10" max="10" width="8.7109375" style="73" customWidth="1"/>
    <col min="11" max="11" width="35.7109375" style="68" customWidth="1"/>
    <col min="12" max="12" width="8.7109375" style="68" customWidth="1"/>
    <col min="13" max="13" width="8.7109375" style="73" customWidth="1"/>
    <col min="14" max="14" width="35.7109375" style="68" customWidth="1"/>
    <col min="15" max="15" width="8.7109375" style="68" customWidth="1"/>
    <col min="16" max="16" width="8.7109375" style="73" customWidth="1"/>
    <col min="17" max="17" width="35.7109375" style="68" customWidth="1"/>
    <col min="18" max="18" width="8.7109375" style="68" customWidth="1"/>
    <col min="19" max="19" width="8.7109375" style="73" customWidth="1"/>
    <col min="20" max="20" width="2.7109375" style="68" customWidth="1"/>
    <col min="21" max="21" width="12.7109375" style="68" customWidth="1"/>
    <col min="22" max="22" width="2.7109375" style="68" customWidth="1"/>
    <col min="23" max="23" width="12.7109375" style="68" customWidth="1"/>
    <col min="24" max="24" width="2.7109375" style="68" customWidth="1"/>
    <col min="25" max="25" width="12.7109375" style="68" customWidth="1"/>
    <col min="26" max="26" width="2.7109375" style="68" customWidth="1"/>
    <col min="27" max="27" width="12.7109375" style="68" customWidth="1"/>
    <col min="28" max="28" width="2.7109375" style="68" customWidth="1"/>
    <col min="29" max="29" width="12.7109375" style="68" customWidth="1"/>
    <col min="30" max="16384" width="9.140625" style="75"/>
  </cols>
  <sheetData>
    <row r="1" spans="1:29" x14ac:dyDescent="0.25">
      <c r="B1" s="69" t="s">
        <v>206</v>
      </c>
    </row>
    <row r="3" spans="1:29" x14ac:dyDescent="0.25">
      <c r="B3" s="77" t="s">
        <v>170</v>
      </c>
      <c r="C3" s="69"/>
      <c r="D3" s="71"/>
      <c r="E3" s="74" t="s">
        <v>171</v>
      </c>
      <c r="F3" s="69"/>
      <c r="G3" s="78"/>
      <c r="H3" s="77" t="s">
        <v>48</v>
      </c>
      <c r="I3" s="69"/>
      <c r="J3" s="71"/>
      <c r="K3" s="74" t="s">
        <v>172</v>
      </c>
      <c r="L3" s="69"/>
      <c r="M3" s="78"/>
      <c r="N3" s="77" t="s">
        <v>173</v>
      </c>
      <c r="O3" s="69"/>
      <c r="P3" s="71"/>
      <c r="Q3" s="74" t="s">
        <v>174</v>
      </c>
      <c r="R3" s="69"/>
      <c r="S3" s="78"/>
      <c r="T3" s="69"/>
      <c r="U3" s="69"/>
      <c r="V3" s="69"/>
      <c r="W3" s="69"/>
      <c r="X3" s="69"/>
      <c r="Y3" s="69"/>
      <c r="Z3" s="69"/>
      <c r="AA3" s="69"/>
      <c r="AB3" s="69"/>
      <c r="AC3" s="69"/>
    </row>
    <row r="4" spans="1:29" x14ac:dyDescent="0.25">
      <c r="A4" s="69"/>
      <c r="B4" s="77" t="s">
        <v>0</v>
      </c>
      <c r="C4" s="69" t="s">
        <v>1</v>
      </c>
      <c r="D4" s="71" t="s">
        <v>34</v>
      </c>
      <c r="E4" s="74"/>
      <c r="F4" s="69" t="s">
        <v>1</v>
      </c>
      <c r="G4" s="78" t="s">
        <v>34</v>
      </c>
      <c r="H4" s="77" t="s">
        <v>0</v>
      </c>
      <c r="I4" s="69" t="s">
        <v>1</v>
      </c>
      <c r="J4" s="71" t="s">
        <v>34</v>
      </c>
      <c r="K4" s="74" t="s">
        <v>0</v>
      </c>
      <c r="L4" s="69" t="s">
        <v>1</v>
      </c>
      <c r="M4" s="78" t="s">
        <v>34</v>
      </c>
      <c r="N4" s="77" t="s">
        <v>0</v>
      </c>
      <c r="O4" s="69" t="s">
        <v>1</v>
      </c>
      <c r="P4" s="71" t="s">
        <v>34</v>
      </c>
      <c r="Q4" s="74" t="s">
        <v>0</v>
      </c>
      <c r="R4" s="69" t="s">
        <v>1</v>
      </c>
      <c r="S4" s="78" t="s">
        <v>34</v>
      </c>
      <c r="T4" s="69"/>
      <c r="U4" s="69" t="s">
        <v>18</v>
      </c>
      <c r="V4" s="69"/>
      <c r="W4" s="69" t="s">
        <v>17</v>
      </c>
      <c r="X4" s="69"/>
      <c r="Y4" s="69" t="s">
        <v>23</v>
      </c>
      <c r="Z4" s="69"/>
      <c r="AA4" s="69" t="s">
        <v>139</v>
      </c>
      <c r="AB4" s="69"/>
      <c r="AC4" s="69" t="s">
        <v>135</v>
      </c>
    </row>
    <row r="5" spans="1:29" x14ac:dyDescent="0.25">
      <c r="A5" s="70" t="s">
        <v>183</v>
      </c>
      <c r="B5" s="79"/>
      <c r="C5" s="70"/>
      <c r="D5" s="72"/>
      <c r="E5" s="81"/>
      <c r="F5" s="70"/>
      <c r="G5" s="80"/>
      <c r="H5" s="79"/>
      <c r="I5" s="70"/>
      <c r="J5" s="72"/>
      <c r="K5" s="81"/>
      <c r="L5" s="70"/>
      <c r="M5" s="80"/>
      <c r="N5" s="79"/>
      <c r="O5" s="70"/>
      <c r="P5" s="72"/>
      <c r="Q5" s="81"/>
      <c r="R5" s="70"/>
      <c r="S5" s="80"/>
      <c r="T5" s="76"/>
      <c r="U5" s="76"/>
      <c r="V5" s="76"/>
      <c r="W5" s="76"/>
      <c r="X5" s="76"/>
      <c r="Y5" s="76"/>
      <c r="Z5" s="76"/>
      <c r="AA5" s="76"/>
      <c r="AB5" s="76"/>
      <c r="AC5" s="76"/>
    </row>
    <row r="6" spans="1:29" s="87" customFormat="1" x14ac:dyDescent="0.25">
      <c r="A6" s="82"/>
      <c r="B6" s="83" t="str">
        <f>_xlfn.CONCAT("@",U6,V6,W6,X6,Y6,Z6,AA6,AB6,AC6,"-(",B$3,")")</f>
        <v>@case_width-path_narrow-z11-(mtb)</v>
      </c>
      <c r="C6" s="84" t="str">
        <f>D6</f>
        <v>1.0</v>
      </c>
      <c r="D6" s="71" t="s">
        <v>146</v>
      </c>
      <c r="E6" s="85" t="str">
        <f>_xlfn.CONCAT("@",U6,V6,W6,X6,Y6,Z6,AA6,AB6,AC6,"-(",E$3,")")</f>
        <v>@case_width-path_narrow-z11-(mtb-hc)</v>
      </c>
      <c r="F6" s="84" t="str">
        <f t="shared" ref="F6:F18" si="0">G6</f>
        <v>2.0</v>
      </c>
      <c r="G6" s="78" t="s">
        <v>151</v>
      </c>
      <c r="H6" s="83" t="str">
        <f>_xlfn.CONCAT("@",U6,V6,W6,X6,Y6,Z6,AA6,AB6,AC6,"-(",H$3,")")</f>
        <v>@case_width-path_narrow-z11-(gr)</v>
      </c>
      <c r="I6" s="84" t="str">
        <f>J6</f>
        <v>0.5</v>
      </c>
      <c r="J6" s="71" t="s">
        <v>161</v>
      </c>
      <c r="K6" s="85" t="str">
        <f>_xlfn.CONCAT("@",U6,V6,W6,X6,Y6,Z6,AA6,AB6,AC6,"-(",K$3,")")</f>
        <v>@case_width-path_narrow-z11-(gr-hc)</v>
      </c>
      <c r="L6" s="84">
        <f>M6</f>
        <v>0</v>
      </c>
      <c r="M6" s="78"/>
      <c r="N6" s="89" t="str">
        <f>_xlfn.CONCAT("@",U6,V6,W6,X6,Y6,Z6,AA6,AB6,AC6,"-(",N$3,")")</f>
        <v>@case_width-path_narrow-z11-(wnt)</v>
      </c>
      <c r="O6" s="90" t="str">
        <f t="shared" ref="O6:O20" si="1">P6</f>
        <v>0.5</v>
      </c>
      <c r="P6" s="88" t="s">
        <v>161</v>
      </c>
      <c r="Q6" s="91" t="str">
        <f>_xlfn.CONCAT("@",U6,V6,W6,X6,Y6,Z6,AA6,AB6,AC6,"-(",Q$3,")")</f>
        <v>@case_width-path_narrow-z11-(wnt-hc)</v>
      </c>
      <c r="R6" s="90">
        <f>S6</f>
        <v>0</v>
      </c>
      <c r="S6" s="92"/>
      <c r="T6" s="82"/>
      <c r="U6" s="69" t="s">
        <v>144</v>
      </c>
      <c r="V6" s="82" t="str">
        <f t="shared" ref="V6:V20" si="2">IF(NOT(ISBLANK(W6)),"-","")</f>
        <v>-</v>
      </c>
      <c r="W6" s="69" t="s">
        <v>137</v>
      </c>
      <c r="X6" s="82" t="str">
        <f>IF(NOT(ISBLANK(Y6)),"_","")</f>
        <v>_</v>
      </c>
      <c r="Y6" s="69" t="s">
        <v>138</v>
      </c>
      <c r="Z6" s="82" t="str">
        <f t="shared" ref="Z6:Z20" si="3">IF(NOT(ISBLANK(AA6)),"_","")</f>
        <v/>
      </c>
      <c r="AA6" s="82"/>
      <c r="AB6" s="82" t="str">
        <f t="shared" ref="AB6:AB20" si="4">IF(NOT(ISBLANK(AC6)),"-","")</f>
        <v>-</v>
      </c>
      <c r="AC6" s="69" t="s">
        <v>136</v>
      </c>
    </row>
    <row r="7" spans="1:29" s="87" customFormat="1" x14ac:dyDescent="0.25">
      <c r="A7" s="82"/>
      <c r="B7" s="83" t="str">
        <f t="shared" ref="B7:B17" si="5">_xlfn.CONCAT("@",U7,V7,W7,X7,Y7,Z7,AA7,AB7,AC7,"-(",B$3,")")</f>
        <v>@case_width-path_narrow-z12-(mtb)</v>
      </c>
      <c r="C7" s="84" t="str">
        <f t="shared" ref="C7:C17" si="6">D7</f>
        <v>1.1</v>
      </c>
      <c r="D7" s="71" t="s">
        <v>176</v>
      </c>
      <c r="E7" s="85" t="str">
        <f t="shared" ref="E7:E17" si="7">_xlfn.CONCAT("@",U7,V7,W7,X7,Y7,Z7,AA7,AB7,AC7,"-(",E$3,")")</f>
        <v>@case_width-path_narrow-z12-(mtb-hc)</v>
      </c>
      <c r="F7" s="84" t="str">
        <f t="shared" si="0"/>
        <v>2.2</v>
      </c>
      <c r="G7" s="78" t="s">
        <v>178</v>
      </c>
      <c r="H7" s="83" t="str">
        <f t="shared" ref="H7:H17" si="8">_xlfn.CONCAT("@",U7,V7,W7,X7,Y7,Z7,AA7,AB7,AC7,"-(",H$3,")")</f>
        <v>@case_width-path_narrow-z12-(gr)</v>
      </c>
      <c r="I7" s="84" t="str">
        <f t="shared" ref="I7:I18" si="9">J7</f>
        <v>0.7</v>
      </c>
      <c r="J7" s="71" t="s">
        <v>181</v>
      </c>
      <c r="K7" s="85" t="str">
        <f t="shared" ref="K7:K20" si="10">_xlfn.CONCAT("@",U7,V7,W7,X7,Y7,Z7,AA7,AB7,AC7,"-(",K$3,")")</f>
        <v>@case_width-path_narrow-z12-(gr-hc)</v>
      </c>
      <c r="L7" s="84">
        <f t="shared" ref="L7:L18" si="11">M7</f>
        <v>0</v>
      </c>
      <c r="M7" s="78"/>
      <c r="N7" s="89" t="str">
        <f t="shared" ref="N7:N20" si="12">_xlfn.CONCAT("@",U7,V7,W7,X7,Y7,Z7,AA7,AB7,AC7,"-(",N$3,")")</f>
        <v>@case_width-path_narrow-z12-(wnt)</v>
      </c>
      <c r="O7" s="90" t="str">
        <f t="shared" si="1"/>
        <v>0.6</v>
      </c>
      <c r="P7" s="88" t="s">
        <v>188</v>
      </c>
      <c r="Q7" s="91" t="str">
        <f t="shared" ref="Q7:Q20" si="13">_xlfn.CONCAT("@",U7,V7,W7,X7,Y7,Z7,AA7,AB7,AC7,"-(",Q$3,")")</f>
        <v>@case_width-path_narrow-z12-(wnt-hc)</v>
      </c>
      <c r="R7" s="90">
        <f t="shared" ref="R7:R19" si="14">S7</f>
        <v>0</v>
      </c>
      <c r="S7" s="92"/>
      <c r="T7" s="82"/>
      <c r="U7" s="69" t="s">
        <v>144</v>
      </c>
      <c r="V7" s="82" t="str">
        <f t="shared" si="2"/>
        <v>-</v>
      </c>
      <c r="W7" s="69" t="s">
        <v>137</v>
      </c>
      <c r="X7" s="82" t="str">
        <f t="shared" ref="X7:X19" si="15">IF(NOT(ISBLANK(Y7)),"_","")</f>
        <v>_</v>
      </c>
      <c r="Y7" s="69" t="s">
        <v>138</v>
      </c>
      <c r="Z7" s="82" t="str">
        <f t="shared" si="3"/>
        <v/>
      </c>
      <c r="AA7" s="82"/>
      <c r="AB7" s="82" t="str">
        <f t="shared" si="4"/>
        <v>-</v>
      </c>
      <c r="AC7" s="69" t="s">
        <v>175</v>
      </c>
    </row>
    <row r="8" spans="1:29" s="87" customFormat="1" x14ac:dyDescent="0.25">
      <c r="A8" s="82"/>
      <c r="B8" s="83" t="str">
        <f t="shared" si="5"/>
        <v>@case_width-path_narrow-z14-(mtb)</v>
      </c>
      <c r="C8" s="84" t="str">
        <f t="shared" si="6"/>
        <v>1.3</v>
      </c>
      <c r="D8" s="71" t="s">
        <v>147</v>
      </c>
      <c r="E8" s="85" t="str">
        <f t="shared" si="7"/>
        <v>@case_width-path_narrow-z14-(mtb-hc)</v>
      </c>
      <c r="F8" s="84" t="str">
        <f t="shared" si="0"/>
        <v>2.5</v>
      </c>
      <c r="G8" s="78" t="s">
        <v>156</v>
      </c>
      <c r="H8" s="83" t="str">
        <f t="shared" si="8"/>
        <v>@case_width-path_narrow-z14-(gr)</v>
      </c>
      <c r="I8" s="84" t="str">
        <f t="shared" si="9"/>
        <v>1.0</v>
      </c>
      <c r="J8" s="71" t="s">
        <v>146</v>
      </c>
      <c r="K8" s="85" t="str">
        <f t="shared" si="10"/>
        <v>@case_width-path_narrow-z14-(gr-hc)</v>
      </c>
      <c r="L8" s="84">
        <f t="shared" si="11"/>
        <v>0</v>
      </c>
      <c r="M8" s="78"/>
      <c r="N8" s="89" t="str">
        <f t="shared" si="12"/>
        <v>@case_width-path_narrow-z14-(wnt)</v>
      </c>
      <c r="O8" s="90" t="str">
        <f t="shared" si="1"/>
        <v>1.0</v>
      </c>
      <c r="P8" s="88" t="s">
        <v>146</v>
      </c>
      <c r="Q8" s="91" t="str">
        <f t="shared" si="13"/>
        <v>@case_width-path_narrow-z14-(wnt-hc)</v>
      </c>
      <c r="R8" s="90">
        <f t="shared" si="14"/>
        <v>0</v>
      </c>
      <c r="S8" s="92"/>
      <c r="T8" s="82"/>
      <c r="U8" s="69" t="s">
        <v>144</v>
      </c>
      <c r="V8" s="82" t="str">
        <f t="shared" si="2"/>
        <v>-</v>
      </c>
      <c r="W8" s="69" t="s">
        <v>137</v>
      </c>
      <c r="X8" s="82" t="str">
        <f t="shared" si="15"/>
        <v>_</v>
      </c>
      <c r="Y8" s="69" t="s">
        <v>138</v>
      </c>
      <c r="Z8" s="82" t="str">
        <f t="shared" si="3"/>
        <v/>
      </c>
      <c r="AA8" s="82"/>
      <c r="AB8" s="82" t="str">
        <f t="shared" si="4"/>
        <v>-</v>
      </c>
      <c r="AC8" s="69" t="s">
        <v>140</v>
      </c>
    </row>
    <row r="9" spans="1:29" s="87" customFormat="1" x14ac:dyDescent="0.25">
      <c r="A9" s="82"/>
      <c r="B9" s="83" t="str">
        <f t="shared" si="5"/>
        <v>@case_width-path_narrow-z16-(mtb)</v>
      </c>
      <c r="C9" s="84" t="str">
        <f t="shared" si="6"/>
        <v>3.5</v>
      </c>
      <c r="D9" s="71" t="s">
        <v>148</v>
      </c>
      <c r="E9" s="85" t="str">
        <f t="shared" si="7"/>
        <v>@case_width-path_narrow-z16-(mtb-hc)</v>
      </c>
      <c r="F9" s="84" t="str">
        <f t="shared" si="0"/>
        <v>3.0</v>
      </c>
      <c r="G9" s="78" t="s">
        <v>154</v>
      </c>
      <c r="H9" s="83" t="str">
        <f t="shared" si="8"/>
        <v>@case_width-path_narrow-z16-(gr)</v>
      </c>
      <c r="I9" s="84" t="str">
        <f t="shared" si="9"/>
        <v>1.0</v>
      </c>
      <c r="J9" s="71" t="s">
        <v>146</v>
      </c>
      <c r="K9" s="85" t="str">
        <f t="shared" si="10"/>
        <v>@case_width-path_narrow-z16-(gr-hc)</v>
      </c>
      <c r="L9" s="84">
        <f t="shared" si="11"/>
        <v>0</v>
      </c>
      <c r="M9" s="78"/>
      <c r="N9" s="89" t="str">
        <f t="shared" si="12"/>
        <v>@case_width-path_narrow-z16-(wnt)</v>
      </c>
      <c r="O9" s="90" t="str">
        <f t="shared" si="1"/>
        <v>1.8</v>
      </c>
      <c r="P9" s="88" t="s">
        <v>189</v>
      </c>
      <c r="Q9" s="91" t="str">
        <f t="shared" si="13"/>
        <v>@case_width-path_narrow-z16-(wnt-hc)</v>
      </c>
      <c r="R9" s="90">
        <f t="shared" si="14"/>
        <v>0</v>
      </c>
      <c r="S9" s="92"/>
      <c r="T9" s="82"/>
      <c r="U9" s="69" t="s">
        <v>144</v>
      </c>
      <c r="V9" s="82" t="str">
        <f t="shared" si="2"/>
        <v>-</v>
      </c>
      <c r="W9" s="69" t="s">
        <v>137</v>
      </c>
      <c r="X9" s="82" t="str">
        <f t="shared" si="15"/>
        <v>_</v>
      </c>
      <c r="Y9" s="69" t="s">
        <v>138</v>
      </c>
      <c r="Z9" s="82" t="str">
        <f t="shared" si="3"/>
        <v/>
      </c>
      <c r="AA9" s="82"/>
      <c r="AB9" s="82" t="str">
        <f t="shared" si="4"/>
        <v>-</v>
      </c>
      <c r="AC9" s="69" t="s">
        <v>141</v>
      </c>
    </row>
    <row r="10" spans="1:29" s="87" customFormat="1" x14ac:dyDescent="0.25">
      <c r="A10" s="82"/>
      <c r="B10" s="83" t="str">
        <f t="shared" si="5"/>
        <v>@case_width-path_narrow-z18-(mtb)</v>
      </c>
      <c r="C10" s="84" t="str">
        <f t="shared" si="6"/>
        <v>5.0</v>
      </c>
      <c r="D10" s="71" t="s">
        <v>149</v>
      </c>
      <c r="E10" s="85" t="str">
        <f t="shared" si="7"/>
        <v>@case_width-path_narrow-z18-(mtb-hc)</v>
      </c>
      <c r="F10" s="84" t="str">
        <f t="shared" si="0"/>
        <v>7.5</v>
      </c>
      <c r="G10" s="78" t="s">
        <v>157</v>
      </c>
      <c r="H10" s="83" t="str">
        <f t="shared" si="8"/>
        <v>@case_width-path_narrow-z18-(gr)</v>
      </c>
      <c r="I10" s="84" t="str">
        <f t="shared" si="9"/>
        <v>1.5</v>
      </c>
      <c r="J10" s="71" t="s">
        <v>150</v>
      </c>
      <c r="K10" s="85" t="str">
        <f t="shared" si="10"/>
        <v>@case_width-path_narrow-z18-(gr-hc)</v>
      </c>
      <c r="L10" s="84">
        <f t="shared" si="11"/>
        <v>0</v>
      </c>
      <c r="M10" s="78"/>
      <c r="N10" s="89" t="str">
        <f t="shared" si="12"/>
        <v>@case_width-path_narrow-z18-(wnt)</v>
      </c>
      <c r="O10" s="90" t="str">
        <f t="shared" si="1"/>
        <v>2.4</v>
      </c>
      <c r="P10" s="88" t="s">
        <v>165</v>
      </c>
      <c r="Q10" s="91" t="str">
        <f t="shared" si="13"/>
        <v>@case_width-path_narrow-z18-(wnt-hc)</v>
      </c>
      <c r="R10" s="90">
        <f t="shared" si="14"/>
        <v>0</v>
      </c>
      <c r="S10" s="92"/>
      <c r="T10" s="82"/>
      <c r="U10" s="69" t="s">
        <v>144</v>
      </c>
      <c r="V10" s="82" t="str">
        <f t="shared" si="2"/>
        <v>-</v>
      </c>
      <c r="W10" s="69" t="s">
        <v>137</v>
      </c>
      <c r="X10" s="82" t="str">
        <f t="shared" si="15"/>
        <v>_</v>
      </c>
      <c r="Y10" s="69" t="s">
        <v>138</v>
      </c>
      <c r="Z10" s="82" t="str">
        <f t="shared" si="3"/>
        <v/>
      </c>
      <c r="AA10" s="82"/>
      <c r="AB10" s="82" t="str">
        <f t="shared" si="4"/>
        <v>-</v>
      </c>
      <c r="AC10" s="69" t="s">
        <v>142</v>
      </c>
    </row>
    <row r="11" spans="1:29" s="87" customFormat="1" x14ac:dyDescent="0.25">
      <c r="A11" s="82"/>
      <c r="B11" s="83" t="str">
        <f t="shared" si="5"/>
        <v>@case_width-path_medium-z11-(mtb)</v>
      </c>
      <c r="C11" s="84" t="str">
        <f t="shared" si="6"/>
        <v>1.5</v>
      </c>
      <c r="D11" s="71" t="s">
        <v>150</v>
      </c>
      <c r="E11" s="85" t="str">
        <f t="shared" si="7"/>
        <v>@case_width-path_medium-z11-(mtb-hc)</v>
      </c>
      <c r="F11" s="84" t="str">
        <f t="shared" si="0"/>
        <v>3.0</v>
      </c>
      <c r="G11" s="78" t="s">
        <v>154</v>
      </c>
      <c r="H11" s="83" t="str">
        <f t="shared" si="8"/>
        <v>@case_width-path_medium-z11-(gr)</v>
      </c>
      <c r="I11" s="84" t="str">
        <f t="shared" si="9"/>
        <v>0.8</v>
      </c>
      <c r="J11" s="71" t="s">
        <v>162</v>
      </c>
      <c r="K11" s="85" t="str">
        <f t="shared" si="10"/>
        <v>@case_width-path_medium-z11-(gr-hc)</v>
      </c>
      <c r="L11" s="84">
        <f t="shared" si="11"/>
        <v>0</v>
      </c>
      <c r="M11" s="78"/>
      <c r="N11" s="83" t="str">
        <f t="shared" si="12"/>
        <v>@case_width-path_medium-z11-(wnt)</v>
      </c>
      <c r="O11" s="84" t="str">
        <f t="shared" si="1"/>
        <v>0.5</v>
      </c>
      <c r="P11" s="71" t="s">
        <v>161</v>
      </c>
      <c r="Q11" s="85" t="str">
        <f t="shared" si="13"/>
        <v>@case_width-path_medium-z11-(wnt-hc)</v>
      </c>
      <c r="R11" s="84">
        <f t="shared" si="14"/>
        <v>0</v>
      </c>
      <c r="S11" s="78"/>
      <c r="T11" s="82"/>
      <c r="U11" s="69" t="s">
        <v>144</v>
      </c>
      <c r="V11" s="82" t="str">
        <f t="shared" si="2"/>
        <v>-</v>
      </c>
      <c r="W11" s="69" t="s">
        <v>137</v>
      </c>
      <c r="X11" s="82" t="str">
        <f t="shared" si="15"/>
        <v>_</v>
      </c>
      <c r="Y11" s="69" t="s">
        <v>145</v>
      </c>
      <c r="Z11" s="82" t="str">
        <f t="shared" si="3"/>
        <v/>
      </c>
      <c r="AA11" s="82"/>
      <c r="AB11" s="82" t="str">
        <f t="shared" si="4"/>
        <v>-</v>
      </c>
      <c r="AC11" s="69" t="s">
        <v>136</v>
      </c>
    </row>
    <row r="12" spans="1:29" s="87" customFormat="1" x14ac:dyDescent="0.25">
      <c r="A12" s="82"/>
      <c r="B12" s="83" t="str">
        <f t="shared" si="5"/>
        <v>@case_width-path_medium-z12-(mtb)</v>
      </c>
      <c r="C12" s="84" t="str">
        <f t="shared" si="6"/>
        <v>1.7</v>
      </c>
      <c r="D12" s="71" t="s">
        <v>177</v>
      </c>
      <c r="E12" s="85" t="str">
        <f t="shared" si="7"/>
        <v>@case_width-path_medium-z12-(mtb-hc)</v>
      </c>
      <c r="F12" s="84" t="str">
        <f t="shared" si="0"/>
        <v>3.4</v>
      </c>
      <c r="G12" s="78" t="s">
        <v>180</v>
      </c>
      <c r="H12" s="83" t="str">
        <f t="shared" si="8"/>
        <v>@case_width-path_medium-z12-(gr)</v>
      </c>
      <c r="I12" s="84" t="str">
        <f t="shared" si="9"/>
        <v>0.9</v>
      </c>
      <c r="J12" s="71" t="s">
        <v>182</v>
      </c>
      <c r="K12" s="85" t="str">
        <f t="shared" si="10"/>
        <v>@case_width-path_medium-z12-(gr-hc)</v>
      </c>
      <c r="L12" s="84">
        <f t="shared" si="11"/>
        <v>0</v>
      </c>
      <c r="M12" s="78"/>
      <c r="N12" s="83" t="str">
        <f t="shared" si="12"/>
        <v>@case_width-path_medium-z12-(wnt)</v>
      </c>
      <c r="O12" s="84" t="str">
        <f t="shared" si="1"/>
        <v>0.6</v>
      </c>
      <c r="P12" s="71" t="s">
        <v>188</v>
      </c>
      <c r="Q12" s="85" t="str">
        <f t="shared" si="13"/>
        <v>@case_width-path_medium-z12-(wnt-hc)</v>
      </c>
      <c r="R12" s="84">
        <f t="shared" si="14"/>
        <v>0</v>
      </c>
      <c r="S12" s="78"/>
      <c r="T12" s="82"/>
      <c r="U12" s="69" t="s">
        <v>144</v>
      </c>
      <c r="V12" s="82" t="str">
        <f t="shared" si="2"/>
        <v>-</v>
      </c>
      <c r="W12" s="69" t="s">
        <v>137</v>
      </c>
      <c r="X12" s="82" t="str">
        <f t="shared" si="15"/>
        <v>_</v>
      </c>
      <c r="Y12" s="69" t="s">
        <v>145</v>
      </c>
      <c r="Z12" s="82" t="str">
        <f t="shared" si="3"/>
        <v/>
      </c>
      <c r="AA12" s="82"/>
      <c r="AB12" s="82" t="str">
        <f t="shared" si="4"/>
        <v>-</v>
      </c>
      <c r="AC12" s="69" t="s">
        <v>175</v>
      </c>
    </row>
    <row r="13" spans="1:29" s="87" customFormat="1" x14ac:dyDescent="0.25">
      <c r="A13" s="82"/>
      <c r="B13" s="83" t="str">
        <f t="shared" si="5"/>
        <v>@case_width-path_medium-z14-(mtb)</v>
      </c>
      <c r="C13" s="84" t="str">
        <f t="shared" si="6"/>
        <v>2.0</v>
      </c>
      <c r="D13" s="71" t="s">
        <v>151</v>
      </c>
      <c r="E13" s="85" t="str">
        <f t="shared" si="7"/>
        <v>@case_width-path_medium-z14-(mtb-hc)</v>
      </c>
      <c r="F13" s="84" t="str">
        <f t="shared" si="0"/>
        <v>4.0</v>
      </c>
      <c r="G13" s="78" t="s">
        <v>158</v>
      </c>
      <c r="H13" s="83" t="str">
        <f t="shared" si="8"/>
        <v>@case_width-path_medium-z14-(gr)</v>
      </c>
      <c r="I13" s="84" t="str">
        <f t="shared" si="9"/>
        <v>1.2</v>
      </c>
      <c r="J13" s="71" t="s">
        <v>163</v>
      </c>
      <c r="K13" s="85" t="str">
        <f t="shared" si="10"/>
        <v>@case_width-path_medium-z14-(gr-hc)</v>
      </c>
      <c r="L13" s="84">
        <f t="shared" si="11"/>
        <v>0</v>
      </c>
      <c r="M13" s="78"/>
      <c r="N13" s="83" t="str">
        <f t="shared" si="12"/>
        <v>@case_width-path_medium-z14-(wnt)</v>
      </c>
      <c r="O13" s="84" t="str">
        <f t="shared" si="1"/>
        <v>1.0</v>
      </c>
      <c r="P13" s="71" t="s">
        <v>146</v>
      </c>
      <c r="Q13" s="85" t="str">
        <f t="shared" si="13"/>
        <v>@case_width-path_medium-z14-(wnt-hc)</v>
      </c>
      <c r="R13" s="84">
        <f t="shared" si="14"/>
        <v>0</v>
      </c>
      <c r="S13" s="78"/>
      <c r="T13" s="82"/>
      <c r="U13" s="69" t="s">
        <v>144</v>
      </c>
      <c r="V13" s="82" t="str">
        <f t="shared" si="2"/>
        <v>-</v>
      </c>
      <c r="W13" s="69" t="s">
        <v>137</v>
      </c>
      <c r="X13" s="82" t="str">
        <f t="shared" si="15"/>
        <v>_</v>
      </c>
      <c r="Y13" s="69" t="s">
        <v>145</v>
      </c>
      <c r="Z13" s="82" t="str">
        <f t="shared" si="3"/>
        <v/>
      </c>
      <c r="AA13" s="82"/>
      <c r="AB13" s="82" t="str">
        <f t="shared" si="4"/>
        <v>-</v>
      </c>
      <c r="AC13" s="69" t="s">
        <v>140</v>
      </c>
    </row>
    <row r="14" spans="1:29" s="87" customFormat="1" x14ac:dyDescent="0.25">
      <c r="A14" s="82"/>
      <c r="B14" s="83" t="str">
        <f t="shared" si="5"/>
        <v>@case_width-path_medium-z16-(mtb)</v>
      </c>
      <c r="C14" s="84" t="str">
        <f t="shared" si="6"/>
        <v>6.0</v>
      </c>
      <c r="D14" s="71" t="s">
        <v>152</v>
      </c>
      <c r="E14" s="85" t="str">
        <f t="shared" si="7"/>
        <v>@case_width-path_medium-z16-(mtb-hc)</v>
      </c>
      <c r="F14" s="84" t="str">
        <f t="shared" si="0"/>
        <v>6.0</v>
      </c>
      <c r="G14" s="78" t="s">
        <v>152</v>
      </c>
      <c r="H14" s="83" t="str">
        <f t="shared" si="8"/>
        <v>@case_width-path_medium-z16-(gr)</v>
      </c>
      <c r="I14" s="84" t="str">
        <f t="shared" si="9"/>
        <v>1.6</v>
      </c>
      <c r="J14" s="71" t="s">
        <v>164</v>
      </c>
      <c r="K14" s="85" t="str">
        <f t="shared" si="10"/>
        <v>@case_width-path_medium-z16-(gr-hc)</v>
      </c>
      <c r="L14" s="84">
        <f t="shared" si="11"/>
        <v>0</v>
      </c>
      <c r="M14" s="78"/>
      <c r="N14" s="83" t="str">
        <f t="shared" si="12"/>
        <v>@case_width-path_medium-z16-(wnt)</v>
      </c>
      <c r="O14" s="84" t="str">
        <f t="shared" si="1"/>
        <v>1.8</v>
      </c>
      <c r="P14" s="71" t="s">
        <v>189</v>
      </c>
      <c r="Q14" s="85" t="str">
        <f t="shared" si="13"/>
        <v>@case_width-path_medium-z16-(wnt-hc)</v>
      </c>
      <c r="R14" s="84">
        <f t="shared" si="14"/>
        <v>0</v>
      </c>
      <c r="S14" s="78"/>
      <c r="T14" s="82"/>
      <c r="U14" s="69" t="s">
        <v>144</v>
      </c>
      <c r="V14" s="82" t="str">
        <f t="shared" si="2"/>
        <v>-</v>
      </c>
      <c r="W14" s="69" t="s">
        <v>137</v>
      </c>
      <c r="X14" s="82" t="str">
        <f t="shared" si="15"/>
        <v>_</v>
      </c>
      <c r="Y14" s="69" t="s">
        <v>145</v>
      </c>
      <c r="Z14" s="82" t="str">
        <f t="shared" si="3"/>
        <v/>
      </c>
      <c r="AA14" s="82"/>
      <c r="AB14" s="82" t="str">
        <f t="shared" si="4"/>
        <v>-</v>
      </c>
      <c r="AC14" s="69" t="s">
        <v>141</v>
      </c>
    </row>
    <row r="15" spans="1:29" s="87" customFormat="1" x14ac:dyDescent="0.25">
      <c r="A15" s="82"/>
      <c r="B15" s="83" t="str">
        <f t="shared" si="5"/>
        <v>@case_width-path_medium-z18-(mtb)</v>
      </c>
      <c r="C15" s="84" t="str">
        <f t="shared" si="6"/>
        <v>9.0</v>
      </c>
      <c r="D15" s="71" t="s">
        <v>153</v>
      </c>
      <c r="E15" s="85" t="str">
        <f t="shared" si="7"/>
        <v>@case_width-path_medium-z18-(mtb-hc)</v>
      </c>
      <c r="F15" s="84" t="str">
        <f t="shared" si="0"/>
        <v>13.5</v>
      </c>
      <c r="G15" s="78" t="s">
        <v>159</v>
      </c>
      <c r="H15" s="83" t="str">
        <f t="shared" si="8"/>
        <v>@case_width-path_medium-z18-(gr)</v>
      </c>
      <c r="I15" s="84" t="str">
        <f t="shared" si="9"/>
        <v>2.4</v>
      </c>
      <c r="J15" s="71" t="s">
        <v>165</v>
      </c>
      <c r="K15" s="85" t="str">
        <f t="shared" si="10"/>
        <v>@case_width-path_medium-z18-(gr-hc)</v>
      </c>
      <c r="L15" s="84">
        <f t="shared" si="11"/>
        <v>0</v>
      </c>
      <c r="M15" s="78"/>
      <c r="N15" s="83" t="str">
        <f t="shared" si="12"/>
        <v>@case_width-path_medium-z18-(wnt)</v>
      </c>
      <c r="O15" s="84" t="str">
        <f t="shared" si="1"/>
        <v>2.4</v>
      </c>
      <c r="P15" s="71" t="s">
        <v>165</v>
      </c>
      <c r="Q15" s="85" t="str">
        <f t="shared" si="13"/>
        <v>@case_width-path_medium-z18-(wnt-hc)</v>
      </c>
      <c r="R15" s="84">
        <f t="shared" si="14"/>
        <v>0</v>
      </c>
      <c r="S15" s="78"/>
      <c r="T15" s="82"/>
      <c r="U15" s="69" t="s">
        <v>144</v>
      </c>
      <c r="V15" s="82" t="str">
        <f t="shared" si="2"/>
        <v>-</v>
      </c>
      <c r="W15" s="69" t="s">
        <v>137</v>
      </c>
      <c r="X15" s="82" t="str">
        <f t="shared" si="15"/>
        <v>_</v>
      </c>
      <c r="Y15" s="69" t="s">
        <v>145</v>
      </c>
      <c r="Z15" s="82" t="str">
        <f t="shared" si="3"/>
        <v/>
      </c>
      <c r="AA15" s="82"/>
      <c r="AB15" s="82" t="str">
        <f t="shared" si="4"/>
        <v>-</v>
      </c>
      <c r="AC15" s="69" t="s">
        <v>142</v>
      </c>
    </row>
    <row r="16" spans="1:29" s="87" customFormat="1" x14ac:dyDescent="0.25">
      <c r="A16" s="82"/>
      <c r="B16" s="83" t="str">
        <f t="shared" si="5"/>
        <v>@case_width-path_wide-z11-(mtb)</v>
      </c>
      <c r="C16" s="84" t="str">
        <f t="shared" si="6"/>
        <v>2.0</v>
      </c>
      <c r="D16" s="71" t="s">
        <v>151</v>
      </c>
      <c r="E16" s="85" t="str">
        <f t="shared" si="7"/>
        <v>@case_width-path_wide-z11-(mtb-hc)</v>
      </c>
      <c r="F16" s="84" t="str">
        <f t="shared" si="0"/>
        <v>4.0</v>
      </c>
      <c r="G16" s="78" t="s">
        <v>158</v>
      </c>
      <c r="H16" s="83" t="str">
        <f t="shared" si="8"/>
        <v>@case_width-path_wide-z11-(gr)</v>
      </c>
      <c r="I16" s="84" t="str">
        <f t="shared" si="9"/>
        <v>1.5</v>
      </c>
      <c r="J16" s="71" t="s">
        <v>150</v>
      </c>
      <c r="K16" s="85" t="str">
        <f t="shared" si="10"/>
        <v>@case_width-path_wide-z11-(gr-hc)</v>
      </c>
      <c r="L16" s="84">
        <f t="shared" si="11"/>
        <v>0</v>
      </c>
      <c r="M16" s="78"/>
      <c r="N16" s="89" t="str">
        <f t="shared" si="12"/>
        <v>@case_width-path_wide-z11-(wnt)</v>
      </c>
      <c r="O16" s="90" t="str">
        <f t="shared" si="1"/>
        <v>0.5</v>
      </c>
      <c r="P16" s="88" t="s">
        <v>161</v>
      </c>
      <c r="Q16" s="91" t="str">
        <f t="shared" si="13"/>
        <v>@case_width-path_wide-z11-(wnt-hc)</v>
      </c>
      <c r="R16" s="90">
        <f t="shared" si="14"/>
        <v>0</v>
      </c>
      <c r="S16" s="92"/>
      <c r="T16" s="82"/>
      <c r="U16" s="69" t="s">
        <v>144</v>
      </c>
      <c r="V16" s="82" t="str">
        <f t="shared" si="2"/>
        <v>-</v>
      </c>
      <c r="W16" s="69" t="s">
        <v>137</v>
      </c>
      <c r="X16" s="82" t="str">
        <f t="shared" si="15"/>
        <v>_</v>
      </c>
      <c r="Y16" s="69" t="s">
        <v>143</v>
      </c>
      <c r="Z16" s="82" t="str">
        <f t="shared" si="3"/>
        <v/>
      </c>
      <c r="AA16" s="82"/>
      <c r="AB16" s="82" t="str">
        <f t="shared" si="4"/>
        <v>-</v>
      </c>
      <c r="AC16" s="69" t="s">
        <v>136</v>
      </c>
    </row>
    <row r="17" spans="1:29" s="87" customFormat="1" x14ac:dyDescent="0.25">
      <c r="A17" s="82"/>
      <c r="B17" s="83" t="str">
        <f t="shared" si="5"/>
        <v>@case_width-path_wide-z12-(mtb)</v>
      </c>
      <c r="C17" s="84" t="str">
        <f t="shared" si="6"/>
        <v>2.4</v>
      </c>
      <c r="D17" s="71" t="s">
        <v>165</v>
      </c>
      <c r="E17" s="85" t="str">
        <f t="shared" si="7"/>
        <v>@case_width-path_wide-z12-(mtb-hc)</v>
      </c>
      <c r="F17" s="84" t="str">
        <f t="shared" si="0"/>
        <v>4.8</v>
      </c>
      <c r="G17" s="78" t="s">
        <v>179</v>
      </c>
      <c r="H17" s="83" t="str">
        <f t="shared" si="8"/>
        <v>@case_width-path_wide-z12-(gr)</v>
      </c>
      <c r="I17" s="84" t="str">
        <f t="shared" si="9"/>
        <v>1.5</v>
      </c>
      <c r="J17" s="71" t="s">
        <v>150</v>
      </c>
      <c r="K17" s="85" t="str">
        <f t="shared" si="10"/>
        <v>@case_width-path_wide-z12-(gr-hc)</v>
      </c>
      <c r="L17" s="84">
        <f t="shared" si="11"/>
        <v>0</v>
      </c>
      <c r="M17" s="78"/>
      <c r="N17" s="89" t="str">
        <f t="shared" si="12"/>
        <v>@case_width-path_wide-z12-(wnt)</v>
      </c>
      <c r="O17" s="90" t="str">
        <f t="shared" si="1"/>
        <v>0.6</v>
      </c>
      <c r="P17" s="88" t="s">
        <v>188</v>
      </c>
      <c r="Q17" s="91" t="str">
        <f t="shared" si="13"/>
        <v>@case_width-path_wide-z12-(wnt-hc)</v>
      </c>
      <c r="R17" s="90">
        <f t="shared" si="14"/>
        <v>0</v>
      </c>
      <c r="S17" s="92"/>
      <c r="T17" s="82"/>
      <c r="U17" s="69" t="s">
        <v>144</v>
      </c>
      <c r="V17" s="82" t="str">
        <f t="shared" si="2"/>
        <v>-</v>
      </c>
      <c r="W17" s="69" t="s">
        <v>137</v>
      </c>
      <c r="X17" s="82" t="str">
        <f t="shared" si="15"/>
        <v>_</v>
      </c>
      <c r="Y17" s="69" t="s">
        <v>143</v>
      </c>
      <c r="Z17" s="82" t="str">
        <f t="shared" si="3"/>
        <v/>
      </c>
      <c r="AA17" s="82"/>
      <c r="AB17" s="82" t="str">
        <f t="shared" si="4"/>
        <v>-</v>
      </c>
      <c r="AC17" s="69" t="s">
        <v>175</v>
      </c>
    </row>
    <row r="18" spans="1:29" s="87" customFormat="1" x14ac:dyDescent="0.25">
      <c r="A18" s="82"/>
      <c r="B18" s="83" t="str">
        <f>_xlfn.CONCAT("@",U18,V18,W18,X18,Y18,Z18,AA18,AB18,AC18,"-(",B$3,")")</f>
        <v>@case_width-path_wide-z14-(mtb)</v>
      </c>
      <c r="C18" s="84" t="str">
        <f>D18</f>
        <v>3.0</v>
      </c>
      <c r="D18" s="71" t="s">
        <v>154</v>
      </c>
      <c r="E18" s="85" t="str">
        <f>_xlfn.CONCAT("@",U18,V18,W18,X18,Y18,Z18,AA18,AB18,AC18,"-(",E$3,")")</f>
        <v>@case_width-path_wide-z14-(mtb-hc)</v>
      </c>
      <c r="F18" s="84" t="str">
        <f t="shared" si="0"/>
        <v>6.0</v>
      </c>
      <c r="G18" s="78" t="s">
        <v>152</v>
      </c>
      <c r="H18" s="83" t="str">
        <f>_xlfn.CONCAT("@",U18,V18,W18,X18,Y18,Z18,AA18,AB18,AC18,"-(",H$3,")")</f>
        <v>@case_width-path_wide-z14-(gr)</v>
      </c>
      <c r="I18" s="84" t="str">
        <f t="shared" si="9"/>
        <v>1.6</v>
      </c>
      <c r="J18" s="71" t="s">
        <v>164</v>
      </c>
      <c r="K18" s="85" t="str">
        <f t="shared" si="10"/>
        <v>@case_width-path_wide-z14-(gr-hc)</v>
      </c>
      <c r="L18" s="84">
        <f t="shared" si="11"/>
        <v>0</v>
      </c>
      <c r="M18" s="78"/>
      <c r="N18" s="89" t="str">
        <f t="shared" si="12"/>
        <v>@case_width-path_wide-z14-(wnt)</v>
      </c>
      <c r="O18" s="90" t="str">
        <f t="shared" si="1"/>
        <v>1.0</v>
      </c>
      <c r="P18" s="88" t="s">
        <v>146</v>
      </c>
      <c r="Q18" s="91" t="str">
        <f t="shared" si="13"/>
        <v>@case_width-path_wide-z14-(wnt-hc)</v>
      </c>
      <c r="R18" s="90">
        <f t="shared" si="14"/>
        <v>0</v>
      </c>
      <c r="S18" s="92"/>
      <c r="T18" s="82"/>
      <c r="U18" s="69" t="s">
        <v>144</v>
      </c>
      <c r="V18" s="82" t="str">
        <f t="shared" si="2"/>
        <v>-</v>
      </c>
      <c r="W18" s="69" t="s">
        <v>137</v>
      </c>
      <c r="X18" s="82" t="str">
        <f t="shared" si="15"/>
        <v>_</v>
      </c>
      <c r="Y18" s="69" t="s">
        <v>143</v>
      </c>
      <c r="Z18" s="82" t="str">
        <f t="shared" si="3"/>
        <v/>
      </c>
      <c r="AA18" s="82"/>
      <c r="AB18" s="82" t="str">
        <f t="shared" si="4"/>
        <v>-</v>
      </c>
      <c r="AC18" s="69" t="s">
        <v>140</v>
      </c>
    </row>
    <row r="19" spans="1:29" s="87" customFormat="1" x14ac:dyDescent="0.25">
      <c r="A19" s="82"/>
      <c r="B19" s="83" t="str">
        <f>_xlfn.CONCAT("@",U19,V19,W19,X19,Y19,Z19,AA19,AB19,AC19,"-(",B$3,")")</f>
        <v>@case_width-path_wide-z16-(mtb)</v>
      </c>
      <c r="C19" s="84" t="str">
        <f t="shared" ref="C19:C20" si="16">D19</f>
        <v>9.0</v>
      </c>
      <c r="D19" s="71" t="s">
        <v>153</v>
      </c>
      <c r="E19" s="85" t="str">
        <f>_xlfn.CONCAT("@",U19,V19,W19,X19,Y19,Z19,AA19,AB19,AC19,"-(",E$3,")")</f>
        <v>@case_width-path_wide-z16-(mtb-hc)</v>
      </c>
      <c r="F19" s="84" t="str">
        <f>G19</f>
        <v>9.0</v>
      </c>
      <c r="G19" s="78" t="s">
        <v>153</v>
      </c>
      <c r="H19" s="83" t="str">
        <f>_xlfn.CONCAT("@",U19,V19,W19,X19,Y19,Z19,AA19,AB19,AC19,"-(",H$3,")")</f>
        <v>@case_width-path_wide-z16-(gr)</v>
      </c>
      <c r="I19" s="84" t="str">
        <f t="shared" ref="I19:I20" si="17">J19</f>
        <v>2.4</v>
      </c>
      <c r="J19" s="71" t="s">
        <v>165</v>
      </c>
      <c r="K19" s="85" t="str">
        <f t="shared" si="10"/>
        <v>@case_width-path_wide-z16-(gr-hc)</v>
      </c>
      <c r="L19" s="84">
        <f t="shared" ref="L19:L20" si="18">M19</f>
        <v>0</v>
      </c>
      <c r="M19" s="78"/>
      <c r="N19" s="89" t="str">
        <f t="shared" si="12"/>
        <v>@case_width-path_wide-z16-(wnt)</v>
      </c>
      <c r="O19" s="90" t="str">
        <f t="shared" si="1"/>
        <v>1.8</v>
      </c>
      <c r="P19" s="88" t="s">
        <v>189</v>
      </c>
      <c r="Q19" s="91" t="str">
        <f t="shared" si="13"/>
        <v>@case_width-path_wide-z16-(wnt-hc)</v>
      </c>
      <c r="R19" s="90">
        <f t="shared" si="14"/>
        <v>0</v>
      </c>
      <c r="S19" s="92"/>
      <c r="T19" s="82"/>
      <c r="U19" s="69" t="s">
        <v>144</v>
      </c>
      <c r="V19" s="82" t="str">
        <f t="shared" si="2"/>
        <v>-</v>
      </c>
      <c r="W19" s="69" t="s">
        <v>137</v>
      </c>
      <c r="X19" s="82" t="str">
        <f t="shared" si="15"/>
        <v>_</v>
      </c>
      <c r="Y19" s="69" t="s">
        <v>143</v>
      </c>
      <c r="Z19" s="82" t="str">
        <f t="shared" si="3"/>
        <v/>
      </c>
      <c r="AA19" s="82"/>
      <c r="AB19" s="82" t="str">
        <f t="shared" si="4"/>
        <v>-</v>
      </c>
      <c r="AC19" s="69" t="s">
        <v>141</v>
      </c>
    </row>
    <row r="20" spans="1:29" s="87" customFormat="1" x14ac:dyDescent="0.25">
      <c r="A20" s="82"/>
      <c r="B20" s="83" t="str">
        <f>_xlfn.CONCAT("@",U20,V20,W20,X20,Y20,Z20,AA20,AB20,AC20,"-(",B$3,")")</f>
        <v>@case_width-path_wide-z18-(mtb)</v>
      </c>
      <c r="C20" s="84" t="str">
        <f t="shared" si="16"/>
        <v>15.0</v>
      </c>
      <c r="D20" s="71" t="s">
        <v>155</v>
      </c>
      <c r="E20" s="85" t="str">
        <f>_xlfn.CONCAT("@",U20,V20,W20,X20,Y20,Z20,AA20,AB20,AC20,"-(",E$3,")")</f>
        <v>@case_width-path_wide-z18-(mtb-hc)</v>
      </c>
      <c r="F20" s="84" t="str">
        <f>G20</f>
        <v>22.5</v>
      </c>
      <c r="G20" s="78" t="s">
        <v>160</v>
      </c>
      <c r="H20" s="83" t="str">
        <f>_xlfn.CONCAT("@",U20,V20,W20,X20,Y20,Z20,AA20,AB20,AC20,"-(",H$3,")")</f>
        <v>@case_width-path_wide-z18-(gr)</v>
      </c>
      <c r="I20" s="84" t="str">
        <f t="shared" si="17"/>
        <v>3.6</v>
      </c>
      <c r="J20" s="71" t="s">
        <v>166</v>
      </c>
      <c r="K20" s="85" t="str">
        <f t="shared" si="10"/>
        <v>@case_width-path_wide-z18-(gr-hc)</v>
      </c>
      <c r="L20" s="84">
        <f t="shared" si="18"/>
        <v>0</v>
      </c>
      <c r="M20" s="78"/>
      <c r="N20" s="89" t="str">
        <f t="shared" si="12"/>
        <v>@case_width-path_wide-z18-(wnt)</v>
      </c>
      <c r="O20" s="90" t="str">
        <f t="shared" si="1"/>
        <v>2.4</v>
      </c>
      <c r="P20" s="88" t="s">
        <v>165</v>
      </c>
      <c r="Q20" s="91" t="str">
        <f t="shared" si="13"/>
        <v>@case_width-path_wide-z18-(wnt-hc)</v>
      </c>
      <c r="R20" s="90">
        <f t="shared" ref="R20" si="19">S20</f>
        <v>0</v>
      </c>
      <c r="S20" s="92"/>
      <c r="T20" s="82"/>
      <c r="U20" s="69" t="s">
        <v>144</v>
      </c>
      <c r="V20" s="82" t="str">
        <f t="shared" si="2"/>
        <v>-</v>
      </c>
      <c r="W20" s="69" t="s">
        <v>137</v>
      </c>
      <c r="X20" s="82" t="str">
        <f t="shared" ref="X20" si="20">IF(NOT(ISBLANK(Y20)),"_","")</f>
        <v>_</v>
      </c>
      <c r="Y20" s="69" t="s">
        <v>143</v>
      </c>
      <c r="Z20" s="82" t="str">
        <f t="shared" si="3"/>
        <v/>
      </c>
      <c r="AA20" s="82"/>
      <c r="AB20" s="82" t="str">
        <f t="shared" si="4"/>
        <v>-</v>
      </c>
      <c r="AC20" s="69" t="s">
        <v>142</v>
      </c>
    </row>
    <row r="21" spans="1:29" x14ac:dyDescent="0.25">
      <c r="A21" s="70" t="s">
        <v>184</v>
      </c>
      <c r="B21" s="79"/>
      <c r="C21" s="70"/>
      <c r="D21" s="72"/>
      <c r="E21" s="81"/>
      <c r="F21" s="70"/>
      <c r="G21" s="80"/>
      <c r="H21" s="79"/>
      <c r="I21" s="70"/>
      <c r="J21" s="72"/>
      <c r="K21" s="81"/>
      <c r="L21" s="70"/>
      <c r="M21" s="80"/>
      <c r="N21" s="79"/>
      <c r="O21" s="70"/>
      <c r="P21" s="72"/>
      <c r="Q21" s="81"/>
      <c r="R21" s="70"/>
      <c r="S21" s="80"/>
      <c r="T21" s="76"/>
      <c r="U21" s="70"/>
      <c r="V21" s="76"/>
      <c r="W21" s="70"/>
      <c r="X21" s="76"/>
      <c r="Y21" s="70"/>
      <c r="Z21" s="76"/>
      <c r="AA21" s="76"/>
      <c r="AB21" s="76"/>
      <c r="AC21" s="70"/>
    </row>
    <row r="22" spans="1:29" x14ac:dyDescent="0.25">
      <c r="B22" s="83" t="str">
        <f>_xlfn.CONCAT("@",U22,V22,W22,X22,Y22,Z22,AA22,AB22,AC22,"-(",B$3,")")</f>
        <v>@line_width-path_narrow-z11-(mtb)</v>
      </c>
      <c r="C22" s="84" t="str">
        <f>D22</f>
        <v>0.3</v>
      </c>
      <c r="D22" s="71" t="s">
        <v>190</v>
      </c>
      <c r="E22" s="85" t="str">
        <f>_xlfn.CONCAT("@",U22,V22,W22,X22,Y22,Z22,AA22,AB22,AC22,"-(",E$3,")")</f>
        <v>@line_width-path_narrow-z11-(mtb-hc)</v>
      </c>
      <c r="F22" s="84" t="str">
        <f t="shared" ref="F22:F34" si="21">G22</f>
        <v>0.5</v>
      </c>
      <c r="G22" s="78" t="s">
        <v>161</v>
      </c>
      <c r="H22" s="83" t="str">
        <f>_xlfn.CONCAT("@",U22,V22,W22,X22,Y22,Z22,AA22,AB22,AC22,"-(",H$3,")")</f>
        <v>@line_width-path_narrow-z11-(gr)</v>
      </c>
      <c r="I22" s="84" t="str">
        <f>J22</f>
        <v>0.3</v>
      </c>
      <c r="J22" s="71" t="s">
        <v>190</v>
      </c>
      <c r="K22" s="85" t="str">
        <f>_xlfn.CONCAT("@",U22,V22,W22,X22,Y22,Z22,AA22,AB22,AC22,"-(",K$3,")")</f>
        <v>@line_width-path_narrow-z11-(gr-hc)</v>
      </c>
      <c r="L22" s="84">
        <f>M22</f>
        <v>0</v>
      </c>
      <c r="M22" s="78"/>
      <c r="N22" s="89" t="str">
        <f>_xlfn.CONCAT("@",U22,V22,W22,X22,Y22,Z22,AA22,AB22,AC22,"-(",N$3,")")</f>
        <v>@line_width-path_narrow-z11-(wnt)</v>
      </c>
      <c r="O22" s="90" t="str">
        <f t="shared" ref="O22:O36" si="22">P22</f>
        <v>0.5</v>
      </c>
      <c r="P22" s="88" t="s">
        <v>161</v>
      </c>
      <c r="Q22" s="91" t="str">
        <f>_xlfn.CONCAT("@",U22,V22,W22,X22,Y22,Z22,AA22,AB22,AC22,"-(",Q$3,")")</f>
        <v>@line_width-path_narrow-z11-(wnt-hc)</v>
      </c>
      <c r="R22" s="90" t="str">
        <f>S22</f>
        <v>0.5</v>
      </c>
      <c r="S22" s="96" t="str">
        <f t="shared" ref="S22:S26" si="23">G22</f>
        <v>0.5</v>
      </c>
      <c r="T22" s="82"/>
      <c r="U22" s="69" t="s">
        <v>185</v>
      </c>
      <c r="V22" s="82" t="str">
        <f t="shared" ref="V22:V36" si="24">IF(NOT(ISBLANK(W22)),"-","")</f>
        <v>-</v>
      </c>
      <c r="W22" s="69" t="s">
        <v>137</v>
      </c>
      <c r="X22" s="82" t="str">
        <f>IF(NOT(ISBLANK(Y22)),"_","")</f>
        <v>_</v>
      </c>
      <c r="Y22" s="69" t="s">
        <v>138</v>
      </c>
      <c r="Z22" s="82" t="str">
        <f t="shared" ref="Z22:Z36" si="25">IF(NOT(ISBLANK(AA22)),"_","")</f>
        <v/>
      </c>
      <c r="AA22" s="82"/>
      <c r="AB22" s="82" t="str">
        <f t="shared" ref="AB22:AB36" si="26">IF(NOT(ISBLANK(AC22)),"-","")</f>
        <v>-</v>
      </c>
      <c r="AC22" s="69" t="s">
        <v>136</v>
      </c>
    </row>
    <row r="23" spans="1:29" x14ac:dyDescent="0.25">
      <c r="B23" s="83" t="str">
        <f t="shared" ref="B23:B33" si="27">_xlfn.CONCAT("@",U23,V23,W23,X23,Y23,Z23,AA23,AB23,AC23,"-(",B$3,")")</f>
        <v>@line_width-path_narrow-z12-(mtb)</v>
      </c>
      <c r="C23" s="84" t="str">
        <f t="shared" ref="C23:C33" si="28">D23</f>
        <v>0.4</v>
      </c>
      <c r="D23" s="71" t="s">
        <v>186</v>
      </c>
      <c r="E23" s="85" t="str">
        <f t="shared" ref="E23:E33" si="29">_xlfn.CONCAT("@",U23,V23,W23,X23,Y23,Z23,AA23,AB23,AC23,"-(",E$3,")")</f>
        <v>@line_width-path_narrow-z12-(mtb-hc)</v>
      </c>
      <c r="F23" s="84" t="str">
        <f t="shared" si="21"/>
        <v>0.6</v>
      </c>
      <c r="G23" s="78" t="s">
        <v>188</v>
      </c>
      <c r="H23" s="83" t="str">
        <f t="shared" ref="H23:H33" si="30">_xlfn.CONCAT("@",U23,V23,W23,X23,Y23,Z23,AA23,AB23,AC23,"-(",H$3,")")</f>
        <v>@line_width-path_narrow-z12-(gr)</v>
      </c>
      <c r="I23" s="84" t="str">
        <f t="shared" ref="I23:I36" si="31">J23</f>
        <v>0.4</v>
      </c>
      <c r="J23" s="71" t="s">
        <v>186</v>
      </c>
      <c r="K23" s="85" t="str">
        <f t="shared" ref="K23:K36" si="32">_xlfn.CONCAT("@",U23,V23,W23,X23,Y23,Z23,AA23,AB23,AC23,"-(",K$3,")")</f>
        <v>@line_width-path_narrow-z12-(gr-hc)</v>
      </c>
      <c r="L23" s="84">
        <f t="shared" ref="L23:L36" si="33">M23</f>
        <v>0</v>
      </c>
      <c r="M23" s="78"/>
      <c r="N23" s="89" t="str">
        <f t="shared" ref="N23:N36" si="34">_xlfn.CONCAT("@",U23,V23,W23,X23,Y23,Z23,AA23,AB23,AC23,"-(",N$3,")")</f>
        <v>@line_width-path_narrow-z12-(wnt)</v>
      </c>
      <c r="O23" s="90" t="str">
        <f t="shared" si="22"/>
        <v>0.6</v>
      </c>
      <c r="P23" s="88" t="s">
        <v>188</v>
      </c>
      <c r="Q23" s="91" t="str">
        <f t="shared" ref="Q23:Q36" si="35">_xlfn.CONCAT("@",U23,V23,W23,X23,Y23,Z23,AA23,AB23,AC23,"-(",Q$3,")")</f>
        <v>@line_width-path_narrow-z12-(wnt-hc)</v>
      </c>
      <c r="R23" s="90" t="str">
        <f t="shared" ref="R23:R36" si="36">S23</f>
        <v>0.6</v>
      </c>
      <c r="S23" s="96" t="str">
        <f t="shared" si="23"/>
        <v>0.6</v>
      </c>
      <c r="T23" s="82"/>
      <c r="U23" s="69" t="s">
        <v>185</v>
      </c>
      <c r="V23" s="82" t="str">
        <f t="shared" si="24"/>
        <v>-</v>
      </c>
      <c r="W23" s="69" t="s">
        <v>137</v>
      </c>
      <c r="X23" s="82" t="str">
        <f t="shared" ref="X23:X36" si="37">IF(NOT(ISBLANK(Y23)),"_","")</f>
        <v>_</v>
      </c>
      <c r="Y23" s="69" t="s">
        <v>138</v>
      </c>
      <c r="Z23" s="82" t="str">
        <f t="shared" si="25"/>
        <v/>
      </c>
      <c r="AA23" s="82"/>
      <c r="AB23" s="82" t="str">
        <f t="shared" si="26"/>
        <v>-</v>
      </c>
      <c r="AC23" s="69" t="s">
        <v>175</v>
      </c>
    </row>
    <row r="24" spans="1:29" x14ac:dyDescent="0.25">
      <c r="B24" s="83" t="str">
        <f t="shared" si="27"/>
        <v>@line_width-path_narrow-z14-(mtb)</v>
      </c>
      <c r="C24" s="84" t="str">
        <f t="shared" si="28"/>
        <v>0.7</v>
      </c>
      <c r="D24" s="71" t="s">
        <v>181</v>
      </c>
      <c r="E24" s="85" t="str">
        <f t="shared" si="29"/>
        <v>@line_width-path_narrow-z14-(mtb-hc)</v>
      </c>
      <c r="F24" s="84" t="str">
        <f t="shared" si="21"/>
        <v>1.2</v>
      </c>
      <c r="G24" s="78" t="s">
        <v>163</v>
      </c>
      <c r="H24" s="83" t="str">
        <f t="shared" si="30"/>
        <v>@line_width-path_narrow-z14-(gr)</v>
      </c>
      <c r="I24" s="84" t="str">
        <f t="shared" si="31"/>
        <v>0.5</v>
      </c>
      <c r="J24" s="71" t="s">
        <v>161</v>
      </c>
      <c r="K24" s="85" t="str">
        <f t="shared" si="32"/>
        <v>@line_width-path_narrow-z14-(gr-hc)</v>
      </c>
      <c r="L24" s="84">
        <f t="shared" si="33"/>
        <v>0</v>
      </c>
      <c r="M24" s="78"/>
      <c r="N24" s="89" t="str">
        <f t="shared" si="34"/>
        <v>@line_width-path_narrow-z14-(wnt)</v>
      </c>
      <c r="O24" s="90" t="str">
        <f t="shared" si="22"/>
        <v>1.0</v>
      </c>
      <c r="P24" s="88" t="s">
        <v>146</v>
      </c>
      <c r="Q24" s="91" t="str">
        <f t="shared" si="35"/>
        <v>@line_width-path_narrow-z14-(wnt-hc)</v>
      </c>
      <c r="R24" s="90" t="str">
        <f t="shared" si="36"/>
        <v>1.2</v>
      </c>
      <c r="S24" s="96" t="str">
        <f t="shared" si="23"/>
        <v>1.2</v>
      </c>
      <c r="T24" s="82"/>
      <c r="U24" s="69" t="s">
        <v>185</v>
      </c>
      <c r="V24" s="82" t="str">
        <f t="shared" si="24"/>
        <v>-</v>
      </c>
      <c r="W24" s="69" t="s">
        <v>137</v>
      </c>
      <c r="X24" s="82" t="str">
        <f t="shared" si="37"/>
        <v>_</v>
      </c>
      <c r="Y24" s="69" t="s">
        <v>138</v>
      </c>
      <c r="Z24" s="82" t="str">
        <f t="shared" si="25"/>
        <v/>
      </c>
      <c r="AA24" s="82"/>
      <c r="AB24" s="82" t="str">
        <f t="shared" si="26"/>
        <v>-</v>
      </c>
      <c r="AC24" s="69" t="s">
        <v>140</v>
      </c>
    </row>
    <row r="25" spans="1:29" x14ac:dyDescent="0.25">
      <c r="B25" s="83" t="str">
        <f t="shared" si="27"/>
        <v>@line_width-path_narrow-z16-(mtb)</v>
      </c>
      <c r="C25" s="84" t="str">
        <f t="shared" si="28"/>
        <v>1.2</v>
      </c>
      <c r="D25" s="71" t="s">
        <v>163</v>
      </c>
      <c r="E25" s="85" t="str">
        <f t="shared" si="29"/>
        <v>@line_width-path_narrow-z16-(mtb-hc)</v>
      </c>
      <c r="F25" s="84" t="str">
        <f t="shared" si="21"/>
        <v>1.5</v>
      </c>
      <c r="G25" s="78" t="s">
        <v>150</v>
      </c>
      <c r="H25" s="83" t="str">
        <f t="shared" si="30"/>
        <v>@line_width-path_narrow-z16-(gr)</v>
      </c>
      <c r="I25" s="84" t="str">
        <f t="shared" si="31"/>
        <v>1.0</v>
      </c>
      <c r="J25" s="71" t="s">
        <v>146</v>
      </c>
      <c r="K25" s="85" t="str">
        <f t="shared" si="32"/>
        <v>@line_width-path_narrow-z16-(gr-hc)</v>
      </c>
      <c r="L25" s="84">
        <f t="shared" si="33"/>
        <v>0</v>
      </c>
      <c r="M25" s="78"/>
      <c r="N25" s="89" t="str">
        <f t="shared" si="34"/>
        <v>@line_width-path_narrow-z16-(wnt)</v>
      </c>
      <c r="O25" s="90" t="str">
        <f t="shared" si="22"/>
        <v>1.8</v>
      </c>
      <c r="P25" s="88" t="s">
        <v>189</v>
      </c>
      <c r="Q25" s="91" t="str">
        <f t="shared" si="35"/>
        <v>@line_width-path_narrow-z16-(wnt-hc)</v>
      </c>
      <c r="R25" s="90" t="str">
        <f t="shared" si="36"/>
        <v>1.5</v>
      </c>
      <c r="S25" s="96" t="str">
        <f t="shared" si="23"/>
        <v>1.5</v>
      </c>
      <c r="T25" s="82"/>
      <c r="U25" s="69" t="s">
        <v>185</v>
      </c>
      <c r="V25" s="82" t="str">
        <f t="shared" si="24"/>
        <v>-</v>
      </c>
      <c r="W25" s="69" t="s">
        <v>137</v>
      </c>
      <c r="X25" s="82" t="str">
        <f t="shared" si="37"/>
        <v>_</v>
      </c>
      <c r="Y25" s="69" t="s">
        <v>138</v>
      </c>
      <c r="Z25" s="82" t="str">
        <f t="shared" si="25"/>
        <v/>
      </c>
      <c r="AA25" s="82"/>
      <c r="AB25" s="82" t="str">
        <f t="shared" si="26"/>
        <v>-</v>
      </c>
      <c r="AC25" s="69" t="s">
        <v>141</v>
      </c>
    </row>
    <row r="26" spans="1:29" x14ac:dyDescent="0.25">
      <c r="B26" s="83" t="str">
        <f t="shared" si="27"/>
        <v>@line_width-path_narrow-z18-(mtb)</v>
      </c>
      <c r="C26" s="84" t="str">
        <f t="shared" si="28"/>
        <v>2.3</v>
      </c>
      <c r="D26" s="71" t="s">
        <v>187</v>
      </c>
      <c r="E26" s="85" t="str">
        <f t="shared" si="29"/>
        <v>@line_width-path_narrow-z18-(mtb-hc)</v>
      </c>
      <c r="F26" s="84" t="str">
        <f t="shared" si="21"/>
        <v>3.0</v>
      </c>
      <c r="G26" s="78" t="s">
        <v>154</v>
      </c>
      <c r="H26" s="83" t="str">
        <f t="shared" si="30"/>
        <v>@line_width-path_narrow-z18-(gr)</v>
      </c>
      <c r="I26" s="84" t="str">
        <f t="shared" si="31"/>
        <v>1.0</v>
      </c>
      <c r="J26" s="71" t="s">
        <v>146</v>
      </c>
      <c r="K26" s="85" t="str">
        <f t="shared" si="32"/>
        <v>@line_width-path_narrow-z18-(gr-hc)</v>
      </c>
      <c r="L26" s="84">
        <f t="shared" si="33"/>
        <v>0</v>
      </c>
      <c r="M26" s="78"/>
      <c r="N26" s="89" t="str">
        <f t="shared" si="34"/>
        <v>@line_width-path_narrow-z18-(wnt)</v>
      </c>
      <c r="O26" s="90" t="str">
        <f t="shared" si="22"/>
        <v>2.4</v>
      </c>
      <c r="P26" s="88" t="s">
        <v>165</v>
      </c>
      <c r="Q26" s="91" t="str">
        <f t="shared" si="35"/>
        <v>@line_width-path_narrow-z18-(wnt-hc)</v>
      </c>
      <c r="R26" s="90" t="str">
        <f t="shared" si="36"/>
        <v>3.0</v>
      </c>
      <c r="S26" s="96" t="str">
        <f t="shared" si="23"/>
        <v>3.0</v>
      </c>
      <c r="T26" s="82"/>
      <c r="U26" s="69" t="s">
        <v>185</v>
      </c>
      <c r="V26" s="82" t="str">
        <f t="shared" si="24"/>
        <v>-</v>
      </c>
      <c r="W26" s="69" t="s">
        <v>137</v>
      </c>
      <c r="X26" s="82" t="str">
        <f t="shared" si="37"/>
        <v>_</v>
      </c>
      <c r="Y26" s="69" t="s">
        <v>138</v>
      </c>
      <c r="Z26" s="82" t="str">
        <f t="shared" si="25"/>
        <v/>
      </c>
      <c r="AA26" s="82"/>
      <c r="AB26" s="82" t="str">
        <f t="shared" si="26"/>
        <v>-</v>
      </c>
      <c r="AC26" s="69" t="s">
        <v>142</v>
      </c>
    </row>
    <row r="27" spans="1:29" x14ac:dyDescent="0.25">
      <c r="B27" s="83" t="str">
        <f t="shared" si="27"/>
        <v>@line_width-path_medium-z11-(mtb)</v>
      </c>
      <c r="C27" s="84" t="str">
        <f t="shared" si="28"/>
        <v>0.5</v>
      </c>
      <c r="D27" s="71" t="s">
        <v>161</v>
      </c>
      <c r="E27" s="85" t="str">
        <f t="shared" si="29"/>
        <v>@line_width-path_medium-z11-(mtb-hc)</v>
      </c>
      <c r="F27" s="84" t="str">
        <f t="shared" si="21"/>
        <v>0.7</v>
      </c>
      <c r="G27" s="78" t="s">
        <v>181</v>
      </c>
      <c r="H27" s="83" t="str">
        <f t="shared" si="30"/>
        <v>@line_width-path_medium-z11-(gr)</v>
      </c>
      <c r="I27" s="84" t="str">
        <f t="shared" si="31"/>
        <v>0.5</v>
      </c>
      <c r="J27" s="71" t="s">
        <v>161</v>
      </c>
      <c r="K27" s="85" t="str">
        <f t="shared" si="32"/>
        <v>@line_width-path_medium-z11-(gr-hc)</v>
      </c>
      <c r="L27" s="84">
        <f t="shared" si="33"/>
        <v>0</v>
      </c>
      <c r="M27" s="78"/>
      <c r="N27" s="83" t="str">
        <f t="shared" si="34"/>
        <v>@line_width-path_medium-z11-(wnt)</v>
      </c>
      <c r="O27" s="84" t="str">
        <f t="shared" si="22"/>
        <v>0.5</v>
      </c>
      <c r="P27" s="84" t="str">
        <f t="shared" ref="P27:P31" si="38">D27</f>
        <v>0.5</v>
      </c>
      <c r="Q27" s="85" t="str">
        <f t="shared" si="35"/>
        <v>@line_width-path_medium-z11-(wnt-hc)</v>
      </c>
      <c r="R27" s="84" t="str">
        <f t="shared" si="36"/>
        <v>0.7</v>
      </c>
      <c r="S27" s="86" t="str">
        <f t="shared" ref="S27:S36" si="39">G27</f>
        <v>0.7</v>
      </c>
      <c r="T27" s="82"/>
      <c r="U27" s="69" t="s">
        <v>185</v>
      </c>
      <c r="V27" s="82" t="str">
        <f t="shared" si="24"/>
        <v>-</v>
      </c>
      <c r="W27" s="69" t="s">
        <v>137</v>
      </c>
      <c r="X27" s="82" t="str">
        <f t="shared" si="37"/>
        <v>_</v>
      </c>
      <c r="Y27" s="69" t="s">
        <v>145</v>
      </c>
      <c r="Z27" s="82" t="str">
        <f t="shared" si="25"/>
        <v/>
      </c>
      <c r="AA27" s="82"/>
      <c r="AB27" s="82" t="str">
        <f t="shared" si="26"/>
        <v>-</v>
      </c>
      <c r="AC27" s="69" t="s">
        <v>136</v>
      </c>
    </row>
    <row r="28" spans="1:29" x14ac:dyDescent="0.25">
      <c r="B28" s="83" t="str">
        <f t="shared" si="27"/>
        <v>@line_width-path_medium-z12-(mtb)</v>
      </c>
      <c r="C28" s="84" t="str">
        <f t="shared" si="28"/>
        <v>0.6</v>
      </c>
      <c r="D28" s="71" t="s">
        <v>188</v>
      </c>
      <c r="E28" s="85" t="str">
        <f t="shared" si="29"/>
        <v>@line_width-path_medium-z12-(mtb-hc)</v>
      </c>
      <c r="F28" s="84" t="str">
        <f t="shared" si="21"/>
        <v>0.9</v>
      </c>
      <c r="G28" s="78" t="s">
        <v>182</v>
      </c>
      <c r="H28" s="83" t="str">
        <f t="shared" si="30"/>
        <v>@line_width-path_medium-z12-(gr)</v>
      </c>
      <c r="I28" s="84" t="str">
        <f t="shared" si="31"/>
        <v>0.6</v>
      </c>
      <c r="J28" s="71" t="s">
        <v>188</v>
      </c>
      <c r="K28" s="85" t="str">
        <f t="shared" si="32"/>
        <v>@line_width-path_medium-z12-(gr-hc)</v>
      </c>
      <c r="L28" s="84">
        <f t="shared" si="33"/>
        <v>0</v>
      </c>
      <c r="M28" s="78"/>
      <c r="N28" s="83" t="str">
        <f t="shared" si="34"/>
        <v>@line_width-path_medium-z12-(wnt)</v>
      </c>
      <c r="O28" s="84" t="str">
        <f t="shared" si="22"/>
        <v>0.6</v>
      </c>
      <c r="P28" s="84" t="str">
        <f t="shared" si="38"/>
        <v>0.6</v>
      </c>
      <c r="Q28" s="85" t="str">
        <f t="shared" si="35"/>
        <v>@line_width-path_medium-z12-(wnt-hc)</v>
      </c>
      <c r="R28" s="84" t="str">
        <f t="shared" si="36"/>
        <v>0.9</v>
      </c>
      <c r="S28" s="86" t="str">
        <f t="shared" si="39"/>
        <v>0.9</v>
      </c>
      <c r="T28" s="82"/>
      <c r="U28" s="69" t="s">
        <v>185</v>
      </c>
      <c r="V28" s="82" t="str">
        <f t="shared" si="24"/>
        <v>-</v>
      </c>
      <c r="W28" s="69" t="s">
        <v>137</v>
      </c>
      <c r="X28" s="82" t="str">
        <f t="shared" si="37"/>
        <v>_</v>
      </c>
      <c r="Y28" s="69" t="s">
        <v>145</v>
      </c>
      <c r="Z28" s="82" t="str">
        <f t="shared" si="25"/>
        <v/>
      </c>
      <c r="AA28" s="82"/>
      <c r="AB28" s="82" t="str">
        <f t="shared" si="26"/>
        <v>-</v>
      </c>
      <c r="AC28" s="69" t="s">
        <v>175</v>
      </c>
    </row>
    <row r="29" spans="1:29" x14ac:dyDescent="0.25">
      <c r="B29" s="83" t="str">
        <f t="shared" si="27"/>
        <v>@line_width-path_medium-z14-(mtb)</v>
      </c>
      <c r="C29" s="84" t="str">
        <f t="shared" si="28"/>
        <v>1.0</v>
      </c>
      <c r="D29" s="71" t="s">
        <v>146</v>
      </c>
      <c r="E29" s="85" t="str">
        <f t="shared" si="29"/>
        <v>@line_width-path_medium-z14-(mtb-hc)</v>
      </c>
      <c r="F29" s="84" t="str">
        <f t="shared" si="21"/>
        <v>1.5</v>
      </c>
      <c r="G29" s="78" t="s">
        <v>150</v>
      </c>
      <c r="H29" s="83" t="str">
        <f t="shared" si="30"/>
        <v>@line_width-path_medium-z14-(gr)</v>
      </c>
      <c r="I29" s="84" t="str">
        <f t="shared" si="31"/>
        <v>0.8</v>
      </c>
      <c r="J29" s="71" t="s">
        <v>162</v>
      </c>
      <c r="K29" s="85" t="str">
        <f t="shared" si="32"/>
        <v>@line_width-path_medium-z14-(gr-hc)</v>
      </c>
      <c r="L29" s="84">
        <f t="shared" si="33"/>
        <v>0</v>
      </c>
      <c r="M29" s="78"/>
      <c r="N29" s="83" t="str">
        <f t="shared" si="34"/>
        <v>@line_width-path_medium-z14-(wnt)</v>
      </c>
      <c r="O29" s="84" t="str">
        <f t="shared" si="22"/>
        <v>1.0</v>
      </c>
      <c r="P29" s="84" t="str">
        <f t="shared" si="38"/>
        <v>1.0</v>
      </c>
      <c r="Q29" s="85" t="str">
        <f t="shared" si="35"/>
        <v>@line_width-path_medium-z14-(wnt-hc)</v>
      </c>
      <c r="R29" s="84" t="str">
        <f t="shared" si="36"/>
        <v>1.5</v>
      </c>
      <c r="S29" s="86" t="str">
        <f t="shared" si="39"/>
        <v>1.5</v>
      </c>
      <c r="T29" s="82"/>
      <c r="U29" s="69" t="s">
        <v>185</v>
      </c>
      <c r="V29" s="82" t="str">
        <f t="shared" si="24"/>
        <v>-</v>
      </c>
      <c r="W29" s="69" t="s">
        <v>137</v>
      </c>
      <c r="X29" s="82" t="str">
        <f t="shared" si="37"/>
        <v>_</v>
      </c>
      <c r="Y29" s="69" t="s">
        <v>145</v>
      </c>
      <c r="Z29" s="82" t="str">
        <f t="shared" si="25"/>
        <v/>
      </c>
      <c r="AA29" s="82"/>
      <c r="AB29" s="82" t="str">
        <f t="shared" si="26"/>
        <v>-</v>
      </c>
      <c r="AC29" s="69" t="s">
        <v>140</v>
      </c>
    </row>
    <row r="30" spans="1:29" x14ac:dyDescent="0.25">
      <c r="B30" s="83" t="str">
        <f t="shared" si="27"/>
        <v>@line_width-path_medium-z16-(mtb)</v>
      </c>
      <c r="C30" s="84" t="str">
        <f t="shared" si="28"/>
        <v>1.8</v>
      </c>
      <c r="D30" s="71" t="s">
        <v>189</v>
      </c>
      <c r="E30" s="85" t="str">
        <f t="shared" si="29"/>
        <v>@line_width-path_medium-z16-(mtb-hc)</v>
      </c>
      <c r="F30" s="84" t="str">
        <f t="shared" si="21"/>
        <v>2.7</v>
      </c>
      <c r="G30" s="78" t="s">
        <v>192</v>
      </c>
      <c r="H30" s="83" t="str">
        <f t="shared" si="30"/>
        <v>@line_width-path_medium-z16-(gr)</v>
      </c>
      <c r="I30" s="84" t="str">
        <f t="shared" si="31"/>
        <v>1.2</v>
      </c>
      <c r="J30" s="71" t="s">
        <v>163</v>
      </c>
      <c r="K30" s="85" t="str">
        <f t="shared" si="32"/>
        <v>@line_width-path_medium-z16-(gr-hc)</v>
      </c>
      <c r="L30" s="84">
        <f t="shared" si="33"/>
        <v>0</v>
      </c>
      <c r="M30" s="78"/>
      <c r="N30" s="83" t="str">
        <f t="shared" si="34"/>
        <v>@line_width-path_medium-z16-(wnt)</v>
      </c>
      <c r="O30" s="84" t="str">
        <f t="shared" si="22"/>
        <v>1.8</v>
      </c>
      <c r="P30" s="84" t="str">
        <f t="shared" si="38"/>
        <v>1.8</v>
      </c>
      <c r="Q30" s="85" t="str">
        <f t="shared" si="35"/>
        <v>@line_width-path_medium-z16-(wnt-hc)</v>
      </c>
      <c r="R30" s="84" t="str">
        <f t="shared" si="36"/>
        <v>2.7</v>
      </c>
      <c r="S30" s="86" t="str">
        <f t="shared" si="39"/>
        <v>2.7</v>
      </c>
      <c r="T30" s="82"/>
      <c r="U30" s="69" t="s">
        <v>185</v>
      </c>
      <c r="V30" s="82" t="str">
        <f t="shared" si="24"/>
        <v>-</v>
      </c>
      <c r="W30" s="69" t="s">
        <v>137</v>
      </c>
      <c r="X30" s="82" t="str">
        <f t="shared" si="37"/>
        <v>_</v>
      </c>
      <c r="Y30" s="69" t="s">
        <v>145</v>
      </c>
      <c r="Z30" s="82" t="str">
        <f t="shared" si="25"/>
        <v/>
      </c>
      <c r="AA30" s="82"/>
      <c r="AB30" s="82" t="str">
        <f t="shared" si="26"/>
        <v>-</v>
      </c>
      <c r="AC30" s="69" t="s">
        <v>141</v>
      </c>
    </row>
    <row r="31" spans="1:29" x14ac:dyDescent="0.25">
      <c r="B31" s="83" t="str">
        <f t="shared" si="27"/>
        <v>@line_width-path_medium-z18-(mtb)</v>
      </c>
      <c r="C31" s="84" t="str">
        <f t="shared" si="28"/>
        <v>3.5</v>
      </c>
      <c r="D31" s="71" t="s">
        <v>148</v>
      </c>
      <c r="E31" s="85" t="str">
        <f t="shared" si="29"/>
        <v>@line_width-path_medium-z18-(mtb-hc)</v>
      </c>
      <c r="F31" s="84" t="str">
        <f t="shared" si="21"/>
        <v>5.2</v>
      </c>
      <c r="G31" s="78" t="s">
        <v>193</v>
      </c>
      <c r="H31" s="83" t="str">
        <f t="shared" si="30"/>
        <v>@line_width-path_medium-z18-(gr)</v>
      </c>
      <c r="I31" s="84" t="str">
        <f t="shared" si="31"/>
        <v>1.6</v>
      </c>
      <c r="J31" s="71" t="s">
        <v>164</v>
      </c>
      <c r="K31" s="85" t="str">
        <f t="shared" si="32"/>
        <v>@line_width-path_medium-z18-(gr-hc)</v>
      </c>
      <c r="L31" s="84">
        <f t="shared" si="33"/>
        <v>0</v>
      </c>
      <c r="M31" s="78"/>
      <c r="N31" s="83" t="str">
        <f t="shared" si="34"/>
        <v>@line_width-path_medium-z18-(wnt)</v>
      </c>
      <c r="O31" s="84" t="str">
        <f t="shared" si="22"/>
        <v>3.5</v>
      </c>
      <c r="P31" s="84" t="str">
        <f t="shared" si="38"/>
        <v>3.5</v>
      </c>
      <c r="Q31" s="85" t="str">
        <f t="shared" si="35"/>
        <v>@line_width-path_medium-z18-(wnt-hc)</v>
      </c>
      <c r="R31" s="84" t="str">
        <f t="shared" si="36"/>
        <v>5.2</v>
      </c>
      <c r="S31" s="86" t="str">
        <f t="shared" si="39"/>
        <v>5.2</v>
      </c>
      <c r="T31" s="82"/>
      <c r="U31" s="69" t="s">
        <v>185</v>
      </c>
      <c r="V31" s="82" t="str">
        <f t="shared" si="24"/>
        <v>-</v>
      </c>
      <c r="W31" s="69" t="s">
        <v>137</v>
      </c>
      <c r="X31" s="82" t="str">
        <f t="shared" si="37"/>
        <v>_</v>
      </c>
      <c r="Y31" s="69" t="s">
        <v>145</v>
      </c>
      <c r="Z31" s="82" t="str">
        <f t="shared" si="25"/>
        <v/>
      </c>
      <c r="AA31" s="82"/>
      <c r="AB31" s="82" t="str">
        <f t="shared" si="26"/>
        <v>-</v>
      </c>
      <c r="AC31" s="69" t="s">
        <v>142</v>
      </c>
    </row>
    <row r="32" spans="1:29" x14ac:dyDescent="0.25">
      <c r="B32" s="83" t="str">
        <f t="shared" si="27"/>
        <v>@line_width-path_wide-z11-(mtb)</v>
      </c>
      <c r="C32" s="84" t="str">
        <f t="shared" si="28"/>
        <v>0.7</v>
      </c>
      <c r="D32" s="71" t="s">
        <v>181</v>
      </c>
      <c r="E32" s="85" t="str">
        <f t="shared" si="29"/>
        <v>@line_width-path_wide-z11-(mtb-hc)</v>
      </c>
      <c r="F32" s="84" t="str">
        <f t="shared" si="21"/>
        <v>1.5</v>
      </c>
      <c r="G32" s="78" t="s">
        <v>150</v>
      </c>
      <c r="H32" s="83" t="str">
        <f t="shared" si="30"/>
        <v>@line_width-path_wide-z11-(gr)</v>
      </c>
      <c r="I32" s="84" t="str">
        <f t="shared" si="31"/>
        <v>1.0</v>
      </c>
      <c r="J32" s="71" t="s">
        <v>146</v>
      </c>
      <c r="K32" s="85" t="str">
        <f t="shared" si="32"/>
        <v>@line_width-path_wide-z11-(gr-hc)</v>
      </c>
      <c r="L32" s="84">
        <f t="shared" si="33"/>
        <v>0</v>
      </c>
      <c r="M32" s="78"/>
      <c r="N32" s="89" t="str">
        <f t="shared" si="34"/>
        <v>@line_width-path_wide-z11-(wnt)</v>
      </c>
      <c r="O32" s="90" t="str">
        <f t="shared" si="22"/>
        <v>0.5</v>
      </c>
      <c r="P32" s="88" t="s">
        <v>161</v>
      </c>
      <c r="Q32" s="91" t="str">
        <f t="shared" si="35"/>
        <v>@line_width-path_wide-z11-(wnt-hc)</v>
      </c>
      <c r="R32" s="90" t="str">
        <f t="shared" si="36"/>
        <v>1.5</v>
      </c>
      <c r="S32" s="96" t="str">
        <f t="shared" si="39"/>
        <v>1.5</v>
      </c>
      <c r="T32" s="82"/>
      <c r="U32" s="69" t="s">
        <v>185</v>
      </c>
      <c r="V32" s="82" t="str">
        <f t="shared" si="24"/>
        <v>-</v>
      </c>
      <c r="W32" s="69" t="s">
        <v>137</v>
      </c>
      <c r="X32" s="82" t="str">
        <f t="shared" si="37"/>
        <v>_</v>
      </c>
      <c r="Y32" s="69" t="s">
        <v>143</v>
      </c>
      <c r="Z32" s="82" t="str">
        <f t="shared" si="25"/>
        <v/>
      </c>
      <c r="AA32" s="82"/>
      <c r="AB32" s="82" t="str">
        <f t="shared" si="26"/>
        <v>-</v>
      </c>
      <c r="AC32" s="69" t="s">
        <v>136</v>
      </c>
    </row>
    <row r="33" spans="1:29" x14ac:dyDescent="0.25">
      <c r="B33" s="83" t="str">
        <f t="shared" si="27"/>
        <v>@line_width-path_wide-z12-(mtb)</v>
      </c>
      <c r="C33" s="84" t="str">
        <f t="shared" si="28"/>
        <v>1.0</v>
      </c>
      <c r="D33" s="71" t="s">
        <v>146</v>
      </c>
      <c r="E33" s="85" t="str">
        <f t="shared" si="29"/>
        <v>@line_width-path_wide-z12-(mtb-hc)</v>
      </c>
      <c r="F33" s="84" t="str">
        <f t="shared" si="21"/>
        <v>1.8</v>
      </c>
      <c r="G33" s="78" t="s">
        <v>189</v>
      </c>
      <c r="H33" s="83" t="str">
        <f t="shared" si="30"/>
        <v>@line_width-path_wide-z12-(gr)</v>
      </c>
      <c r="I33" s="84" t="str">
        <f t="shared" si="31"/>
        <v>1.2</v>
      </c>
      <c r="J33" s="71" t="s">
        <v>163</v>
      </c>
      <c r="K33" s="85" t="str">
        <f t="shared" si="32"/>
        <v>@line_width-path_wide-z12-(gr-hc)</v>
      </c>
      <c r="L33" s="84">
        <f t="shared" si="33"/>
        <v>0</v>
      </c>
      <c r="M33" s="78"/>
      <c r="N33" s="89" t="str">
        <f t="shared" si="34"/>
        <v>@line_width-path_wide-z12-(wnt)</v>
      </c>
      <c r="O33" s="90" t="str">
        <f t="shared" si="22"/>
        <v>0.6</v>
      </c>
      <c r="P33" s="88" t="s">
        <v>188</v>
      </c>
      <c r="Q33" s="91" t="str">
        <f t="shared" si="35"/>
        <v>@line_width-path_wide-z12-(wnt-hc)</v>
      </c>
      <c r="R33" s="90" t="str">
        <f t="shared" si="36"/>
        <v>1.8</v>
      </c>
      <c r="S33" s="96" t="str">
        <f t="shared" si="39"/>
        <v>1.8</v>
      </c>
      <c r="T33" s="82"/>
      <c r="U33" s="69" t="s">
        <v>185</v>
      </c>
      <c r="V33" s="82" t="str">
        <f t="shared" si="24"/>
        <v>-</v>
      </c>
      <c r="W33" s="69" t="s">
        <v>137</v>
      </c>
      <c r="X33" s="82" t="str">
        <f t="shared" si="37"/>
        <v>_</v>
      </c>
      <c r="Y33" s="69" t="s">
        <v>143</v>
      </c>
      <c r="Z33" s="82" t="str">
        <f t="shared" si="25"/>
        <v/>
      </c>
      <c r="AA33" s="82"/>
      <c r="AB33" s="82" t="str">
        <f t="shared" si="26"/>
        <v>-</v>
      </c>
      <c r="AC33" s="69" t="s">
        <v>175</v>
      </c>
    </row>
    <row r="34" spans="1:29" x14ac:dyDescent="0.25">
      <c r="B34" s="83" t="str">
        <f>_xlfn.CONCAT("@",U34,V34,W34,X34,Y34,Z34,AA34,AB34,AC34,"-(",B$3,")")</f>
        <v>@line_width-path_wide-z14-(mtb)</v>
      </c>
      <c r="C34" s="84" t="str">
        <f>D34</f>
        <v>1.7</v>
      </c>
      <c r="D34" s="71" t="s">
        <v>177</v>
      </c>
      <c r="E34" s="85" t="str">
        <f>_xlfn.CONCAT("@",U34,V34,W34,X34,Y34,Z34,AA34,AB34,AC34,"-(",E$3,")")</f>
        <v>@line_width-path_wide-z14-(mtb-hc)</v>
      </c>
      <c r="F34" s="84" t="str">
        <f t="shared" si="21"/>
        <v>2.7</v>
      </c>
      <c r="G34" s="78" t="s">
        <v>192</v>
      </c>
      <c r="H34" s="83" t="str">
        <f>_xlfn.CONCAT("@",U34,V34,W34,X34,Y34,Z34,AA34,AB34,AC34,"-(",H$3,")")</f>
        <v>@line_width-path_wide-z14-(gr)</v>
      </c>
      <c r="I34" s="84" t="str">
        <f t="shared" si="31"/>
        <v>1.5</v>
      </c>
      <c r="J34" s="71" t="s">
        <v>150</v>
      </c>
      <c r="K34" s="85" t="str">
        <f t="shared" si="32"/>
        <v>@line_width-path_wide-z14-(gr-hc)</v>
      </c>
      <c r="L34" s="84">
        <f t="shared" si="33"/>
        <v>0</v>
      </c>
      <c r="M34" s="78"/>
      <c r="N34" s="89" t="str">
        <f t="shared" si="34"/>
        <v>@line_width-path_wide-z14-(wnt)</v>
      </c>
      <c r="O34" s="90" t="str">
        <f t="shared" si="22"/>
        <v>1.0</v>
      </c>
      <c r="P34" s="88" t="s">
        <v>146</v>
      </c>
      <c r="Q34" s="91" t="str">
        <f t="shared" si="35"/>
        <v>@line_width-path_wide-z14-(wnt-hc)</v>
      </c>
      <c r="R34" s="90" t="str">
        <f t="shared" si="36"/>
        <v>2.7</v>
      </c>
      <c r="S34" s="96" t="str">
        <f t="shared" si="39"/>
        <v>2.7</v>
      </c>
      <c r="T34" s="82"/>
      <c r="U34" s="69" t="s">
        <v>185</v>
      </c>
      <c r="V34" s="82" t="str">
        <f t="shared" si="24"/>
        <v>-</v>
      </c>
      <c r="W34" s="69" t="s">
        <v>137</v>
      </c>
      <c r="X34" s="82" t="str">
        <f t="shared" si="37"/>
        <v>_</v>
      </c>
      <c r="Y34" s="69" t="s">
        <v>143</v>
      </c>
      <c r="Z34" s="82" t="str">
        <f t="shared" si="25"/>
        <v/>
      </c>
      <c r="AA34" s="82"/>
      <c r="AB34" s="82" t="str">
        <f t="shared" si="26"/>
        <v>-</v>
      </c>
      <c r="AC34" s="69" t="s">
        <v>140</v>
      </c>
    </row>
    <row r="35" spans="1:29" x14ac:dyDescent="0.25">
      <c r="B35" s="83" t="str">
        <f>_xlfn.CONCAT("@",U35,V35,W35,X35,Y35,Z35,AA35,AB35,AC35,"-(",B$3,")")</f>
        <v>@line_width-path_wide-z16-(mtb)</v>
      </c>
      <c r="C35" s="84" t="str">
        <f t="shared" ref="C35:C36" si="40">D35</f>
        <v>3.1</v>
      </c>
      <c r="D35" s="71" t="s">
        <v>191</v>
      </c>
      <c r="E35" s="85" t="str">
        <f>_xlfn.CONCAT("@",U35,V35,W35,X35,Y35,Z35,AA35,AB35,AC35,"-(",E$3,")")</f>
        <v>@line_width-path_wide-z16-(mtb-hc)</v>
      </c>
      <c r="F35" s="84" t="str">
        <f>G35</f>
        <v>4.5</v>
      </c>
      <c r="G35" s="78" t="s">
        <v>194</v>
      </c>
      <c r="H35" s="83" t="str">
        <f>_xlfn.CONCAT("@",U35,V35,W35,X35,Y35,Z35,AA35,AB35,AC35,"-(",H$3,")")</f>
        <v>@line_width-path_wide-z16-(gr)</v>
      </c>
      <c r="I35" s="84" t="str">
        <f t="shared" si="31"/>
        <v>1.6</v>
      </c>
      <c r="J35" s="71" t="s">
        <v>164</v>
      </c>
      <c r="K35" s="85" t="str">
        <f t="shared" si="32"/>
        <v>@line_width-path_wide-z16-(gr-hc)</v>
      </c>
      <c r="L35" s="84">
        <f t="shared" si="33"/>
        <v>0</v>
      </c>
      <c r="M35" s="78"/>
      <c r="N35" s="89" t="str">
        <f t="shared" si="34"/>
        <v>@line_width-path_wide-z16-(wnt)</v>
      </c>
      <c r="O35" s="90" t="str">
        <f t="shared" si="22"/>
        <v>1.8</v>
      </c>
      <c r="P35" s="88" t="s">
        <v>189</v>
      </c>
      <c r="Q35" s="91" t="str">
        <f t="shared" si="35"/>
        <v>@line_width-path_wide-z16-(wnt-hc)</v>
      </c>
      <c r="R35" s="90" t="str">
        <f t="shared" si="36"/>
        <v>4.5</v>
      </c>
      <c r="S35" s="96" t="str">
        <f t="shared" si="39"/>
        <v>4.5</v>
      </c>
      <c r="T35" s="82"/>
      <c r="U35" s="69" t="s">
        <v>185</v>
      </c>
      <c r="V35" s="82" t="str">
        <f t="shared" si="24"/>
        <v>-</v>
      </c>
      <c r="W35" s="69" t="s">
        <v>137</v>
      </c>
      <c r="X35" s="82" t="str">
        <f t="shared" si="37"/>
        <v>_</v>
      </c>
      <c r="Y35" s="69" t="s">
        <v>143</v>
      </c>
      <c r="Z35" s="82" t="str">
        <f t="shared" si="25"/>
        <v/>
      </c>
      <c r="AA35" s="82"/>
      <c r="AB35" s="82" t="str">
        <f t="shared" si="26"/>
        <v>-</v>
      </c>
      <c r="AC35" s="69" t="s">
        <v>141</v>
      </c>
    </row>
    <row r="36" spans="1:29" x14ac:dyDescent="0.25">
      <c r="B36" s="83" t="str">
        <f>_xlfn.CONCAT("@",U36,V36,W36,X36,Y36,Z36,AA36,AB36,AC36,"-(",B$3,")")</f>
        <v>@line_width-path_wide-z18-(mtb)</v>
      </c>
      <c r="C36" s="84" t="str">
        <f t="shared" si="40"/>
        <v>6.0</v>
      </c>
      <c r="D36" s="71" t="s">
        <v>152</v>
      </c>
      <c r="E36" s="85" t="str">
        <f>_xlfn.CONCAT("@",U36,V36,W36,X36,Y36,Z36,AA36,AB36,AC36,"-(",E$3,")")</f>
        <v>@line_width-path_wide-z18-(mtb-hc)</v>
      </c>
      <c r="F36" s="84" t="str">
        <f>G36</f>
        <v>8.2</v>
      </c>
      <c r="G36" s="78" t="s">
        <v>195</v>
      </c>
      <c r="H36" s="83" t="str">
        <f>_xlfn.CONCAT("@",U36,V36,W36,X36,Y36,Z36,AA36,AB36,AC36,"-(",H$3,")")</f>
        <v>@line_width-path_wide-z18-(gr)</v>
      </c>
      <c r="I36" s="84" t="str">
        <f t="shared" si="31"/>
        <v>2.4</v>
      </c>
      <c r="J36" s="71" t="s">
        <v>165</v>
      </c>
      <c r="K36" s="85" t="str">
        <f t="shared" si="32"/>
        <v>@line_width-path_wide-z18-(gr-hc)</v>
      </c>
      <c r="L36" s="84">
        <f t="shared" si="33"/>
        <v>0</v>
      </c>
      <c r="M36" s="78"/>
      <c r="N36" s="89" t="str">
        <f t="shared" si="34"/>
        <v>@line_width-path_wide-z18-(wnt)</v>
      </c>
      <c r="O36" s="90" t="str">
        <f t="shared" si="22"/>
        <v>2.4</v>
      </c>
      <c r="P36" s="88" t="s">
        <v>165</v>
      </c>
      <c r="Q36" s="91" t="str">
        <f t="shared" si="35"/>
        <v>@line_width-path_wide-z18-(wnt-hc)</v>
      </c>
      <c r="R36" s="90" t="str">
        <f t="shared" si="36"/>
        <v>8.2</v>
      </c>
      <c r="S36" s="96" t="str">
        <f t="shared" si="39"/>
        <v>8.2</v>
      </c>
      <c r="T36" s="82"/>
      <c r="U36" s="69" t="s">
        <v>185</v>
      </c>
      <c r="V36" s="82" t="str">
        <f t="shared" si="24"/>
        <v>-</v>
      </c>
      <c r="W36" s="69" t="s">
        <v>137</v>
      </c>
      <c r="X36" s="82" t="str">
        <f t="shared" si="37"/>
        <v>_</v>
      </c>
      <c r="Y36" s="69" t="s">
        <v>143</v>
      </c>
      <c r="Z36" s="82" t="str">
        <f t="shared" si="25"/>
        <v/>
      </c>
      <c r="AA36" s="82"/>
      <c r="AB36" s="82" t="str">
        <f t="shared" si="26"/>
        <v>-</v>
      </c>
      <c r="AC36" s="69" t="s">
        <v>142</v>
      </c>
    </row>
    <row r="37" spans="1:29" x14ac:dyDescent="0.25">
      <c r="A37" s="70" t="s">
        <v>196</v>
      </c>
      <c r="B37" s="79"/>
      <c r="C37" s="70"/>
      <c r="D37" s="72"/>
      <c r="E37" s="81"/>
      <c r="F37" s="70"/>
      <c r="G37" s="80"/>
      <c r="H37" s="79"/>
      <c r="I37" s="70"/>
      <c r="J37" s="72"/>
      <c r="K37" s="81"/>
      <c r="L37" s="70"/>
      <c r="M37" s="80"/>
      <c r="N37" s="79"/>
      <c r="O37" s="70"/>
      <c r="P37" s="72"/>
      <c r="Q37" s="81"/>
      <c r="R37" s="70"/>
      <c r="S37" s="80"/>
      <c r="T37" s="76"/>
      <c r="U37" s="70"/>
      <c r="V37" s="76"/>
      <c r="W37" s="70"/>
      <c r="X37" s="76"/>
      <c r="Y37" s="70"/>
      <c r="Z37" s="76"/>
      <c r="AA37" s="76"/>
      <c r="AB37" s="76"/>
      <c r="AC37" s="70"/>
    </row>
    <row r="38" spans="1:29" s="87" customFormat="1" x14ac:dyDescent="0.25">
      <c r="A38" s="82"/>
      <c r="B38" s="83" t="str">
        <f>_xlfn.CONCAT("@",U38,V38,W38,X38,Y38,Z38,AA38,AB38,AC38,"-(",B$3,")")</f>
        <v>@case_width-track-z10-(mtb)</v>
      </c>
      <c r="C38" s="84" t="str">
        <f>D38</f>
        <v>2.0</v>
      </c>
      <c r="D38" s="71" t="s">
        <v>151</v>
      </c>
      <c r="E38" s="85" t="str">
        <f>_xlfn.CONCAT("@",U38,V38,W38,X38,Y38,Z38,AA38,AB38,AC38,"-(",E$3,")")</f>
        <v>@case_width-track-z10-(mtb-hc)</v>
      </c>
      <c r="F38" s="84" t="str">
        <f t="shared" ref="F38:F43" si="41">G38</f>
        <v>4.0</v>
      </c>
      <c r="G38" s="78" t="s">
        <v>158</v>
      </c>
      <c r="H38" s="83" t="str">
        <f>_xlfn.CONCAT("@",U38,V38,W38,X38,Y38,Z38,AA38,AB38,AC38,"-(",H$3,")")</f>
        <v>@case_width-track-z10-(gr)</v>
      </c>
      <c r="I38" s="84" t="str">
        <f>J38</f>
        <v>2.0</v>
      </c>
      <c r="J38" s="71" t="s">
        <v>151</v>
      </c>
      <c r="K38" s="85" t="str">
        <f>_xlfn.CONCAT("@",U38,V38,W38,X38,Y38,Z38,AA38,AB38,AC38,"-(",K$3,")")</f>
        <v>@case_width-track-z10-(gr-hc)</v>
      </c>
      <c r="L38" s="84">
        <f>M38</f>
        <v>0</v>
      </c>
      <c r="M38" s="78"/>
      <c r="N38" s="83" t="str">
        <f>_xlfn.CONCAT("@",U38,V38,W38,X38,Y38,Z38,AA38,AB38,AC38,"-(",N$3,")")</f>
        <v>@case_width-track-z10-(wnt)</v>
      </c>
      <c r="O38" s="84" t="str">
        <f t="shared" ref="O38:O43" si="42">P38</f>
        <v>2.0</v>
      </c>
      <c r="P38" s="84" t="str">
        <f>D38</f>
        <v>2.0</v>
      </c>
      <c r="Q38" s="85" t="str">
        <f>_xlfn.CONCAT("@",U38,V38,W38,X38,Y38,Z38,AA38,AB38,AC38,"-(",Q$3,")")</f>
        <v>@case_width-track-z10-(wnt-hc)</v>
      </c>
      <c r="R38" s="84" t="str">
        <f>S38</f>
        <v>4.0</v>
      </c>
      <c r="S38" s="86" t="str">
        <f>G38</f>
        <v>4.0</v>
      </c>
      <c r="T38" s="82"/>
      <c r="U38" s="69" t="s">
        <v>144</v>
      </c>
      <c r="V38" s="82" t="str">
        <f t="shared" ref="V38" si="43">IF(NOT(ISBLANK(W38)),"-","")</f>
        <v>-</v>
      </c>
      <c r="W38" s="69" t="s">
        <v>168</v>
      </c>
      <c r="X38" s="82" t="str">
        <f>IF(NOT(ISBLANK(Y38)),"_","")</f>
        <v/>
      </c>
      <c r="Y38" s="69"/>
      <c r="Z38" s="82" t="str">
        <f t="shared" ref="Z38" si="44">IF(NOT(ISBLANK(AA38)),"_","")</f>
        <v/>
      </c>
      <c r="AA38" s="82"/>
      <c r="AB38" s="82" t="str">
        <f t="shared" ref="AB38" si="45">IF(NOT(ISBLANK(AC38)),"-","")</f>
        <v>-</v>
      </c>
      <c r="AC38" s="69" t="s">
        <v>169</v>
      </c>
    </row>
    <row r="39" spans="1:29" s="87" customFormat="1" x14ac:dyDescent="0.25">
      <c r="A39" s="82"/>
      <c r="B39" s="83" t="str">
        <f>_xlfn.CONCAT("@",U39,V39,W39,X39,Y39,Z39,AA39,AB39,AC39,"-(",B$3,")")</f>
        <v>@case_width-track-z11-(mtb)</v>
      </c>
      <c r="C39" s="84" t="str">
        <f>D39</f>
        <v>3.0</v>
      </c>
      <c r="D39" s="71" t="s">
        <v>154</v>
      </c>
      <c r="E39" s="85" t="str">
        <f>_xlfn.CONCAT("@",U39,V39,W39,X39,Y39,Z39,AA39,AB39,AC39,"-(",E$3,")")</f>
        <v>@case_width-track-z11-(mtb-hc)</v>
      </c>
      <c r="F39" s="84" t="str">
        <f t="shared" si="41"/>
        <v>4.0</v>
      </c>
      <c r="G39" s="78" t="s">
        <v>158</v>
      </c>
      <c r="H39" s="83" t="str">
        <f>_xlfn.CONCAT("@",U39,V39,W39,X39,Y39,Z39,AA39,AB39,AC39,"-(",H$3,")")</f>
        <v>@case_width-track-z11-(gr)</v>
      </c>
      <c r="I39" s="84" t="str">
        <f>J39</f>
        <v>3.0</v>
      </c>
      <c r="J39" s="71" t="s">
        <v>154</v>
      </c>
      <c r="K39" s="85" t="str">
        <f>_xlfn.CONCAT("@",U39,V39,W39,X39,Y39,Z39,AA39,AB39,AC39,"-(",K$3,")")</f>
        <v>@case_width-track-z11-(gr-hc)</v>
      </c>
      <c r="L39" s="84">
        <f>M39</f>
        <v>0</v>
      </c>
      <c r="M39" s="78"/>
      <c r="N39" s="83" t="str">
        <f>_xlfn.CONCAT("@",U39,V39,W39,X39,Y39,Z39,AA39,AB39,AC39,"-(",N$3,")")</f>
        <v>@case_width-track-z11-(wnt)</v>
      </c>
      <c r="O39" s="84" t="str">
        <f t="shared" si="42"/>
        <v>3.0</v>
      </c>
      <c r="P39" s="84" t="str">
        <f t="shared" ref="P39:P43" si="46">D39</f>
        <v>3.0</v>
      </c>
      <c r="Q39" s="85" t="str">
        <f>_xlfn.CONCAT("@",U39,V39,W39,X39,Y39,Z39,AA39,AB39,AC39,"-(",Q$3,")")</f>
        <v>@case_width-track-z11-(wnt-hc)</v>
      </c>
      <c r="R39" s="84" t="str">
        <f>S39</f>
        <v>4.0</v>
      </c>
      <c r="S39" s="86" t="str">
        <f t="shared" ref="S39:S43" si="47">G39</f>
        <v>4.0</v>
      </c>
      <c r="T39" s="82"/>
      <c r="U39" s="69" t="s">
        <v>144</v>
      </c>
      <c r="V39" s="82" t="str">
        <f t="shared" ref="V39:V43" si="48">IF(NOT(ISBLANK(W39)),"-","")</f>
        <v>-</v>
      </c>
      <c r="W39" s="69" t="s">
        <v>168</v>
      </c>
      <c r="X39" s="82" t="str">
        <f>IF(NOT(ISBLANK(Y39)),"_","")</f>
        <v/>
      </c>
      <c r="Y39" s="69"/>
      <c r="Z39" s="82" t="str">
        <f t="shared" ref="Z39:Z43" si="49">IF(NOT(ISBLANK(AA39)),"_","")</f>
        <v/>
      </c>
      <c r="AA39" s="82"/>
      <c r="AB39" s="82" t="str">
        <f t="shared" ref="AB39:AB43" si="50">IF(NOT(ISBLANK(AC39)),"-","")</f>
        <v>-</v>
      </c>
      <c r="AC39" s="69" t="s">
        <v>136</v>
      </c>
    </row>
    <row r="40" spans="1:29" s="87" customFormat="1" x14ac:dyDescent="0.25">
      <c r="A40" s="82"/>
      <c r="B40" s="83" t="str">
        <f t="shared" ref="B40:B43" si="51">_xlfn.CONCAT("@",U40,V40,W40,X40,Y40,Z40,AA40,AB40,AC40,"-(",B$3,")")</f>
        <v>@case_width-track-z12-(mtb)</v>
      </c>
      <c r="C40" s="84" t="str">
        <f t="shared" ref="C40:C43" si="52">D40</f>
        <v>3.2</v>
      </c>
      <c r="D40" s="71" t="s">
        <v>197</v>
      </c>
      <c r="E40" s="85" t="str">
        <f t="shared" ref="E40:E43" si="53">_xlfn.CONCAT("@",U40,V40,W40,X40,Y40,Z40,AA40,AB40,AC40,"-(",E$3,")")</f>
        <v>@case_width-track-z12-(mtb-hc)</v>
      </c>
      <c r="F40" s="84" t="str">
        <f t="shared" si="41"/>
        <v>4.4</v>
      </c>
      <c r="G40" s="78" t="s">
        <v>198</v>
      </c>
      <c r="H40" s="83" t="str">
        <f t="shared" ref="H40:H43" si="54">_xlfn.CONCAT("@",U40,V40,W40,X40,Y40,Z40,AA40,AB40,AC40,"-(",H$3,")")</f>
        <v>@case_width-track-z12-(gr)</v>
      </c>
      <c r="I40" s="84" t="str">
        <f t="shared" ref="I40:I43" si="55">J40</f>
        <v>3.2</v>
      </c>
      <c r="J40" s="71" t="s">
        <v>197</v>
      </c>
      <c r="K40" s="85" t="str">
        <f t="shared" ref="K40:K43" si="56">_xlfn.CONCAT("@",U40,V40,W40,X40,Y40,Z40,AA40,AB40,AC40,"-(",K$3,")")</f>
        <v>@case_width-track-z12-(gr-hc)</v>
      </c>
      <c r="L40" s="84">
        <f t="shared" ref="L40:L43" si="57">M40</f>
        <v>0</v>
      </c>
      <c r="M40" s="78"/>
      <c r="N40" s="83" t="str">
        <f t="shared" ref="N40:N43" si="58">_xlfn.CONCAT("@",U40,V40,W40,X40,Y40,Z40,AA40,AB40,AC40,"-(",N$3,")")</f>
        <v>@case_width-track-z12-(wnt)</v>
      </c>
      <c r="O40" s="84" t="str">
        <f t="shared" si="42"/>
        <v>3.2</v>
      </c>
      <c r="P40" s="84" t="str">
        <f t="shared" si="46"/>
        <v>3.2</v>
      </c>
      <c r="Q40" s="85" t="str">
        <f t="shared" ref="Q40:Q43" si="59">_xlfn.CONCAT("@",U40,V40,W40,X40,Y40,Z40,AA40,AB40,AC40,"-(",Q$3,")")</f>
        <v>@case_width-track-z12-(wnt-hc)</v>
      </c>
      <c r="R40" s="84" t="str">
        <f t="shared" ref="R40:R43" si="60">S40</f>
        <v>4.4</v>
      </c>
      <c r="S40" s="86" t="str">
        <f t="shared" si="47"/>
        <v>4.4</v>
      </c>
      <c r="T40" s="82"/>
      <c r="U40" s="69" t="s">
        <v>144</v>
      </c>
      <c r="V40" s="82" t="str">
        <f t="shared" si="48"/>
        <v>-</v>
      </c>
      <c r="W40" s="69" t="s">
        <v>168</v>
      </c>
      <c r="X40" s="82" t="str">
        <f t="shared" ref="X40:X43" si="61">IF(NOT(ISBLANK(Y40)),"_","")</f>
        <v/>
      </c>
      <c r="Y40" s="69"/>
      <c r="Z40" s="82" t="str">
        <f t="shared" si="49"/>
        <v/>
      </c>
      <c r="AA40" s="82"/>
      <c r="AB40" s="82" t="str">
        <f t="shared" si="50"/>
        <v>-</v>
      </c>
      <c r="AC40" s="69" t="s">
        <v>175</v>
      </c>
    </row>
    <row r="41" spans="1:29" s="87" customFormat="1" x14ac:dyDescent="0.25">
      <c r="A41" s="82"/>
      <c r="B41" s="83" t="str">
        <f t="shared" si="51"/>
        <v>@case_width-track-z14-(mtb)</v>
      </c>
      <c r="C41" s="84" t="str">
        <f t="shared" si="52"/>
        <v>4.0</v>
      </c>
      <c r="D41" s="71" t="s">
        <v>158</v>
      </c>
      <c r="E41" s="85" t="str">
        <f t="shared" si="53"/>
        <v>@case_width-track-z14-(mtb-hc)</v>
      </c>
      <c r="F41" s="84" t="str">
        <f t="shared" si="41"/>
        <v>6.0</v>
      </c>
      <c r="G41" s="78" t="s">
        <v>152</v>
      </c>
      <c r="H41" s="83" t="str">
        <f t="shared" si="54"/>
        <v>@case_width-track-z14-(gr)</v>
      </c>
      <c r="I41" s="84" t="str">
        <f t="shared" si="55"/>
        <v>4.0</v>
      </c>
      <c r="J41" s="71" t="s">
        <v>158</v>
      </c>
      <c r="K41" s="85" t="str">
        <f t="shared" si="56"/>
        <v>@case_width-track-z14-(gr-hc)</v>
      </c>
      <c r="L41" s="84">
        <f t="shared" si="57"/>
        <v>0</v>
      </c>
      <c r="M41" s="78"/>
      <c r="N41" s="83" t="str">
        <f t="shared" si="58"/>
        <v>@case_width-track-z14-(wnt)</v>
      </c>
      <c r="O41" s="84" t="str">
        <f t="shared" si="42"/>
        <v>4.0</v>
      </c>
      <c r="P41" s="84" t="str">
        <f t="shared" si="46"/>
        <v>4.0</v>
      </c>
      <c r="Q41" s="85" t="str">
        <f t="shared" si="59"/>
        <v>@case_width-track-z14-(wnt-hc)</v>
      </c>
      <c r="R41" s="84" t="str">
        <f t="shared" si="60"/>
        <v>6.0</v>
      </c>
      <c r="S41" s="86" t="str">
        <f t="shared" si="47"/>
        <v>6.0</v>
      </c>
      <c r="T41" s="82"/>
      <c r="U41" s="69" t="s">
        <v>144</v>
      </c>
      <c r="V41" s="82" t="str">
        <f t="shared" si="48"/>
        <v>-</v>
      </c>
      <c r="W41" s="69" t="s">
        <v>168</v>
      </c>
      <c r="X41" s="82" t="str">
        <f t="shared" si="61"/>
        <v/>
      </c>
      <c r="Y41" s="69"/>
      <c r="Z41" s="82" t="str">
        <f t="shared" si="49"/>
        <v/>
      </c>
      <c r="AA41" s="82"/>
      <c r="AB41" s="82" t="str">
        <f t="shared" si="50"/>
        <v>-</v>
      </c>
      <c r="AC41" s="69" t="s">
        <v>140</v>
      </c>
    </row>
    <row r="42" spans="1:29" s="87" customFormat="1" x14ac:dyDescent="0.25">
      <c r="A42" s="82"/>
      <c r="B42" s="83" t="str">
        <f t="shared" si="51"/>
        <v>@case_width-track-z16-(mtb)</v>
      </c>
      <c r="C42" s="84" t="str">
        <f t="shared" si="52"/>
        <v>9.0</v>
      </c>
      <c r="D42" s="71" t="s">
        <v>153</v>
      </c>
      <c r="E42" s="85" t="str">
        <f t="shared" si="53"/>
        <v>@case_width-track-z16-(mtb-hc)</v>
      </c>
      <c r="F42" s="84" t="str">
        <f t="shared" si="41"/>
        <v>13.5</v>
      </c>
      <c r="G42" s="78" t="s">
        <v>159</v>
      </c>
      <c r="H42" s="83" t="str">
        <f t="shared" si="54"/>
        <v>@case_width-track-z16-(gr)</v>
      </c>
      <c r="I42" s="84" t="str">
        <f t="shared" si="55"/>
        <v>9.0</v>
      </c>
      <c r="J42" s="71" t="s">
        <v>153</v>
      </c>
      <c r="K42" s="85" t="str">
        <f t="shared" si="56"/>
        <v>@case_width-track-z16-(gr-hc)</v>
      </c>
      <c r="L42" s="84">
        <f t="shared" si="57"/>
        <v>0</v>
      </c>
      <c r="M42" s="78"/>
      <c r="N42" s="83" t="str">
        <f t="shared" si="58"/>
        <v>@case_width-track-z16-(wnt)</v>
      </c>
      <c r="O42" s="84" t="str">
        <f t="shared" si="42"/>
        <v>9.0</v>
      </c>
      <c r="P42" s="84" t="str">
        <f t="shared" si="46"/>
        <v>9.0</v>
      </c>
      <c r="Q42" s="85" t="str">
        <f t="shared" si="59"/>
        <v>@case_width-track-z16-(wnt-hc)</v>
      </c>
      <c r="R42" s="84" t="str">
        <f t="shared" si="60"/>
        <v>13.5</v>
      </c>
      <c r="S42" s="86" t="str">
        <f t="shared" si="47"/>
        <v>13.5</v>
      </c>
      <c r="T42" s="82"/>
      <c r="U42" s="69" t="s">
        <v>144</v>
      </c>
      <c r="V42" s="82" t="str">
        <f t="shared" si="48"/>
        <v>-</v>
      </c>
      <c r="W42" s="69" t="s">
        <v>168</v>
      </c>
      <c r="X42" s="82" t="str">
        <f t="shared" si="61"/>
        <v/>
      </c>
      <c r="Y42" s="69"/>
      <c r="Z42" s="82" t="str">
        <f t="shared" si="49"/>
        <v/>
      </c>
      <c r="AA42" s="82"/>
      <c r="AB42" s="82" t="str">
        <f t="shared" si="50"/>
        <v>-</v>
      </c>
      <c r="AC42" s="69" t="s">
        <v>141</v>
      </c>
    </row>
    <row r="43" spans="1:29" s="87" customFormat="1" x14ac:dyDescent="0.25">
      <c r="A43" s="82"/>
      <c r="B43" s="83" t="str">
        <f t="shared" si="51"/>
        <v>@case_width-track-z18-(mtb)</v>
      </c>
      <c r="C43" s="84" t="str">
        <f t="shared" si="52"/>
        <v>15.0</v>
      </c>
      <c r="D43" s="71" t="s">
        <v>155</v>
      </c>
      <c r="E43" s="85" t="str">
        <f t="shared" si="53"/>
        <v>@case_width-track-z18-(mtb-hc)</v>
      </c>
      <c r="F43" s="84" t="str">
        <f t="shared" si="41"/>
        <v>22.5</v>
      </c>
      <c r="G43" s="78" t="s">
        <v>160</v>
      </c>
      <c r="H43" s="83" t="str">
        <f t="shared" si="54"/>
        <v>@case_width-track-z18-(gr)</v>
      </c>
      <c r="I43" s="84" t="str">
        <f t="shared" si="55"/>
        <v>15.0</v>
      </c>
      <c r="J43" s="71" t="s">
        <v>155</v>
      </c>
      <c r="K43" s="85" t="str">
        <f t="shared" si="56"/>
        <v>@case_width-track-z18-(gr-hc)</v>
      </c>
      <c r="L43" s="84">
        <f t="shared" si="57"/>
        <v>0</v>
      </c>
      <c r="M43" s="78"/>
      <c r="N43" s="83" t="str">
        <f t="shared" si="58"/>
        <v>@case_width-track-z18-(wnt)</v>
      </c>
      <c r="O43" s="84" t="str">
        <f t="shared" si="42"/>
        <v>15.0</v>
      </c>
      <c r="P43" s="84" t="str">
        <f t="shared" si="46"/>
        <v>15.0</v>
      </c>
      <c r="Q43" s="85" t="str">
        <f t="shared" si="59"/>
        <v>@case_width-track-z18-(wnt-hc)</v>
      </c>
      <c r="R43" s="84" t="str">
        <f t="shared" si="60"/>
        <v>22.5</v>
      </c>
      <c r="S43" s="86" t="str">
        <f t="shared" si="47"/>
        <v>22.5</v>
      </c>
      <c r="T43" s="82"/>
      <c r="U43" s="69" t="s">
        <v>144</v>
      </c>
      <c r="V43" s="82" t="str">
        <f t="shared" si="48"/>
        <v>-</v>
      </c>
      <c r="W43" s="69" t="s">
        <v>168</v>
      </c>
      <c r="X43" s="82" t="str">
        <f t="shared" si="61"/>
        <v/>
      </c>
      <c r="Y43" s="69"/>
      <c r="Z43" s="82" t="str">
        <f t="shared" si="49"/>
        <v/>
      </c>
      <c r="AA43" s="82"/>
      <c r="AB43" s="82" t="str">
        <f t="shared" si="50"/>
        <v>-</v>
      </c>
      <c r="AC43" s="69" t="s">
        <v>142</v>
      </c>
    </row>
    <row r="44" spans="1:29" x14ac:dyDescent="0.25">
      <c r="A44" s="70" t="s">
        <v>199</v>
      </c>
      <c r="B44" s="79"/>
      <c r="C44" s="70"/>
      <c r="D44" s="72"/>
      <c r="E44" s="81"/>
      <c r="F44" s="70"/>
      <c r="G44" s="80"/>
      <c r="H44" s="79"/>
      <c r="I44" s="70"/>
      <c r="J44" s="72"/>
      <c r="K44" s="81"/>
      <c r="L44" s="70"/>
      <c r="M44" s="80"/>
      <c r="N44" s="79"/>
      <c r="O44" s="70"/>
      <c r="P44" s="72"/>
      <c r="Q44" s="81"/>
      <c r="R44" s="70"/>
      <c r="S44" s="80"/>
      <c r="T44" s="76"/>
      <c r="U44" s="70"/>
      <c r="V44" s="76"/>
      <c r="W44" s="70"/>
      <c r="X44" s="76"/>
      <c r="Y44" s="70"/>
      <c r="Z44" s="76"/>
      <c r="AA44" s="76"/>
      <c r="AB44" s="76"/>
      <c r="AC44" s="70"/>
    </row>
    <row r="45" spans="1:29" x14ac:dyDescent="0.25">
      <c r="B45" s="83" t="str">
        <f>_xlfn.CONCAT("@",U45,V45,W45,X45,Y45,Z45,AA45,AB45,AC45,"-(",B$3,")")</f>
        <v>@line_width-track-z10-(mtb)</v>
      </c>
      <c r="C45" s="84" t="str">
        <f>D45</f>
        <v>0.5</v>
      </c>
      <c r="D45" s="71" t="s">
        <v>161</v>
      </c>
      <c r="E45" s="85" t="str">
        <f>_xlfn.CONCAT("@",U45,V45,W45,X45,Y45,Z45,AA45,AB45,AC45,"-(",E$3,")")</f>
        <v>@line_width-track-z10-(mtb-hc)</v>
      </c>
      <c r="F45" s="84" t="str">
        <f t="shared" ref="F45:F71" si="62">G45</f>
        <v>1.3</v>
      </c>
      <c r="G45" s="78" t="s">
        <v>147</v>
      </c>
      <c r="H45" s="83" t="str">
        <f>_xlfn.CONCAT("@",U45,V45,W45,X45,Y45,Z45,AA45,AB45,AC45,"-(",H$3,")")</f>
        <v>@line_width-track-z10-(gr)</v>
      </c>
      <c r="I45" s="84" t="str">
        <f>J45</f>
        <v>0.8</v>
      </c>
      <c r="J45" s="71" t="s">
        <v>162</v>
      </c>
      <c r="K45" s="85" t="str">
        <f>_xlfn.CONCAT("@",U45,V45,W45,X45,Y45,Z45,AA45,AB45,AC45,"-(",K$3,")")</f>
        <v>@line_width-track-z10-(gr-hc)</v>
      </c>
      <c r="L45" s="84">
        <f>M45</f>
        <v>0</v>
      </c>
      <c r="M45" s="78"/>
      <c r="N45" s="93" t="str">
        <f>_xlfn.CONCAT("@",U45,V45,W45,X45,Y45,Z45,AA45,AB45,AC45,"-(",N$3,")")</f>
        <v>@line_width-track-z10-(wnt)</v>
      </c>
      <c r="O45" s="94" t="str">
        <f t="shared" ref="O45:O71" si="63">P45</f>
        <v>0.5</v>
      </c>
      <c r="P45" s="84" t="str">
        <f t="shared" ref="P45:P50" si="64">D45</f>
        <v>0.5</v>
      </c>
      <c r="Q45" s="95" t="str">
        <f>_xlfn.CONCAT("@",U45,V45,W45,X45,Y45,Z45,AA45,AB45,AC45,"-(",Q$3,")")</f>
        <v>@line_width-track-z10-(wnt-hc)</v>
      </c>
      <c r="R45" s="94" t="str">
        <f>S45</f>
        <v>1.3</v>
      </c>
      <c r="S45" s="86" t="str">
        <f t="shared" ref="S45:S50" si="65">G45</f>
        <v>1.3</v>
      </c>
      <c r="T45" s="82"/>
      <c r="U45" s="69" t="s">
        <v>185</v>
      </c>
      <c r="V45" s="82" t="str">
        <f t="shared" ref="V45" si="66">IF(NOT(ISBLANK(W45)),"-","")</f>
        <v>-</v>
      </c>
      <c r="W45" s="69" t="s">
        <v>168</v>
      </c>
      <c r="X45" s="82"/>
      <c r="Y45" s="69"/>
      <c r="Z45" s="82" t="str">
        <f t="shared" ref="Z45" si="67">IF(NOT(ISBLANK(AA45)),"_","")</f>
        <v/>
      </c>
      <c r="AA45" s="82"/>
      <c r="AB45" s="82" t="str">
        <f t="shared" ref="AB45" si="68">IF(NOT(ISBLANK(AC45)),"-","")</f>
        <v>-</v>
      </c>
      <c r="AC45" s="69" t="s">
        <v>169</v>
      </c>
    </row>
    <row r="46" spans="1:29" x14ac:dyDescent="0.25">
      <c r="B46" s="83" t="str">
        <f t="shared" ref="B46:B50" si="69">_xlfn.CONCAT("@",U46,V46,W46,X46,Y46,Z46,AA46,AB46,AC46,"-(",B$3,")")</f>
        <v>@line_width-track-z11-(mtb)</v>
      </c>
      <c r="C46" s="84" t="str">
        <f t="shared" ref="C46:C50" si="70">D46</f>
        <v>0.6</v>
      </c>
      <c r="D46" s="71" t="s">
        <v>188</v>
      </c>
      <c r="E46" s="85" t="str">
        <f t="shared" ref="E46:E50" si="71">_xlfn.CONCAT("@",U46,V46,W46,X46,Y46,Z46,AA46,AB46,AC46,"-(",E$3,")")</f>
        <v>@line_width-track-z11-(mtb-hc)</v>
      </c>
      <c r="F46" s="84" t="str">
        <f t="shared" si="62"/>
        <v>1.5</v>
      </c>
      <c r="G46" s="78" t="s">
        <v>150</v>
      </c>
      <c r="H46" s="83" t="str">
        <f t="shared" ref="H46:H50" si="72">_xlfn.CONCAT("@",U46,V46,W46,X46,Y46,Z46,AA46,AB46,AC46,"-(",H$3,")")</f>
        <v>@line_width-track-z11-(gr)</v>
      </c>
      <c r="I46" s="84" t="str">
        <f t="shared" ref="I46:I50" si="73">J46</f>
        <v>0.9</v>
      </c>
      <c r="J46" s="71" t="s">
        <v>182</v>
      </c>
      <c r="K46" s="85" t="str">
        <f t="shared" ref="K46:K50" si="74">_xlfn.CONCAT("@",U46,V46,W46,X46,Y46,Z46,AA46,AB46,AC46,"-(",K$3,")")</f>
        <v>@line_width-track-z11-(gr-hc)</v>
      </c>
      <c r="L46" s="84">
        <f t="shared" ref="L46:L50" si="75">M46</f>
        <v>0</v>
      </c>
      <c r="M46" s="78"/>
      <c r="N46" s="93" t="str">
        <f t="shared" ref="N46:N50" si="76">_xlfn.CONCAT("@",U46,V46,W46,X46,Y46,Z46,AA46,AB46,AC46,"-(",N$3,")")</f>
        <v>@line_width-track-z11-(wnt)</v>
      </c>
      <c r="O46" s="94" t="str">
        <f t="shared" si="63"/>
        <v>0.6</v>
      </c>
      <c r="P46" s="84" t="str">
        <f t="shared" si="64"/>
        <v>0.6</v>
      </c>
      <c r="Q46" s="95" t="str">
        <f t="shared" ref="Q46:Q50" si="77">_xlfn.CONCAT("@",U46,V46,W46,X46,Y46,Z46,AA46,AB46,AC46,"-(",Q$3,")")</f>
        <v>@line_width-track-z11-(wnt-hc)</v>
      </c>
      <c r="R46" s="94" t="str">
        <f t="shared" ref="R46:R50" si="78">S46</f>
        <v>1.5</v>
      </c>
      <c r="S46" s="86" t="str">
        <f t="shared" si="65"/>
        <v>1.5</v>
      </c>
      <c r="T46" s="82"/>
      <c r="U46" s="69" t="s">
        <v>185</v>
      </c>
      <c r="V46" s="82" t="str">
        <f t="shared" ref="V46:V50" si="79">IF(NOT(ISBLANK(W46)),"-","")</f>
        <v>-</v>
      </c>
      <c r="W46" s="69" t="s">
        <v>168</v>
      </c>
      <c r="X46" s="82"/>
      <c r="Y46" s="69"/>
      <c r="Z46" s="82" t="str">
        <f t="shared" ref="Z46:Z50" si="80">IF(NOT(ISBLANK(AA46)),"_","")</f>
        <v/>
      </c>
      <c r="AA46" s="82"/>
      <c r="AB46" s="82" t="str">
        <f t="shared" ref="AB46:AB50" si="81">IF(NOT(ISBLANK(AC46)),"-","")</f>
        <v>-</v>
      </c>
      <c r="AC46" s="69" t="s">
        <v>136</v>
      </c>
    </row>
    <row r="47" spans="1:29" x14ac:dyDescent="0.25">
      <c r="B47" s="83" t="str">
        <f t="shared" si="69"/>
        <v>@line_width-track-z12-(mtb)</v>
      </c>
      <c r="C47" s="84" t="str">
        <f t="shared" si="70"/>
        <v>0.9</v>
      </c>
      <c r="D47" s="71" t="s">
        <v>182</v>
      </c>
      <c r="E47" s="85" t="str">
        <f t="shared" si="71"/>
        <v>@line_width-track-z12-(mtb-hc)</v>
      </c>
      <c r="F47" s="84" t="str">
        <f t="shared" si="62"/>
        <v>1.7</v>
      </c>
      <c r="G47" s="78" t="s">
        <v>177</v>
      </c>
      <c r="H47" s="83" t="str">
        <f t="shared" si="72"/>
        <v>@line_width-track-z12-(gr)</v>
      </c>
      <c r="I47" s="84" t="str">
        <f t="shared" si="73"/>
        <v>1.2</v>
      </c>
      <c r="J47" s="71" t="s">
        <v>163</v>
      </c>
      <c r="K47" s="85" t="str">
        <f t="shared" si="74"/>
        <v>@line_width-track-z12-(gr-hc)</v>
      </c>
      <c r="L47" s="84">
        <f t="shared" si="75"/>
        <v>0</v>
      </c>
      <c r="M47" s="78"/>
      <c r="N47" s="93" t="str">
        <f t="shared" si="76"/>
        <v>@line_width-track-z12-(wnt)</v>
      </c>
      <c r="O47" s="94" t="str">
        <f t="shared" si="63"/>
        <v>0.9</v>
      </c>
      <c r="P47" s="84" t="str">
        <f t="shared" si="64"/>
        <v>0.9</v>
      </c>
      <c r="Q47" s="95" t="str">
        <f t="shared" si="77"/>
        <v>@line_width-track-z12-(wnt-hc)</v>
      </c>
      <c r="R47" s="94" t="str">
        <f t="shared" si="78"/>
        <v>1.7</v>
      </c>
      <c r="S47" s="86" t="str">
        <f t="shared" si="65"/>
        <v>1.7</v>
      </c>
      <c r="T47" s="82"/>
      <c r="U47" s="69" t="s">
        <v>185</v>
      </c>
      <c r="V47" s="82" t="str">
        <f t="shared" si="79"/>
        <v>-</v>
      </c>
      <c r="W47" s="69" t="s">
        <v>168</v>
      </c>
      <c r="X47" s="82"/>
      <c r="Y47" s="69"/>
      <c r="Z47" s="82" t="str">
        <f t="shared" si="80"/>
        <v/>
      </c>
      <c r="AA47" s="82"/>
      <c r="AB47" s="82" t="str">
        <f t="shared" si="81"/>
        <v>-</v>
      </c>
      <c r="AC47" s="69" t="s">
        <v>175</v>
      </c>
    </row>
    <row r="48" spans="1:29" x14ac:dyDescent="0.25">
      <c r="B48" s="83" t="str">
        <f t="shared" si="69"/>
        <v>@line_width-track-z14-(mtb)</v>
      </c>
      <c r="C48" s="84" t="str">
        <f t="shared" si="70"/>
        <v>1.3</v>
      </c>
      <c r="D48" s="71" t="s">
        <v>147</v>
      </c>
      <c r="E48" s="85" t="str">
        <f t="shared" si="71"/>
        <v>@line_width-track-z14-(mtb-hc)</v>
      </c>
      <c r="F48" s="84" t="str">
        <f t="shared" si="62"/>
        <v>2.0</v>
      </c>
      <c r="G48" s="78" t="s">
        <v>151</v>
      </c>
      <c r="H48" s="83" t="str">
        <f t="shared" si="72"/>
        <v>@line_width-track-z14-(gr)</v>
      </c>
      <c r="I48" s="84" t="str">
        <f t="shared" si="73"/>
        <v>1.6</v>
      </c>
      <c r="J48" s="71" t="s">
        <v>164</v>
      </c>
      <c r="K48" s="85" t="str">
        <f t="shared" si="74"/>
        <v>@line_width-track-z14-(gr-hc)</v>
      </c>
      <c r="L48" s="84">
        <f t="shared" si="75"/>
        <v>0</v>
      </c>
      <c r="M48" s="78"/>
      <c r="N48" s="93" t="str">
        <f t="shared" si="76"/>
        <v>@line_width-track-z14-(wnt)</v>
      </c>
      <c r="O48" s="94" t="str">
        <f t="shared" si="63"/>
        <v>1.3</v>
      </c>
      <c r="P48" s="84" t="str">
        <f t="shared" si="64"/>
        <v>1.3</v>
      </c>
      <c r="Q48" s="95" t="str">
        <f t="shared" si="77"/>
        <v>@line_width-track-z14-(wnt-hc)</v>
      </c>
      <c r="R48" s="94" t="str">
        <f t="shared" si="78"/>
        <v>2.0</v>
      </c>
      <c r="S48" s="86" t="str">
        <f t="shared" si="65"/>
        <v>2.0</v>
      </c>
      <c r="T48" s="82"/>
      <c r="U48" s="69" t="s">
        <v>185</v>
      </c>
      <c r="V48" s="82" t="str">
        <f t="shared" si="79"/>
        <v>-</v>
      </c>
      <c r="W48" s="69" t="s">
        <v>168</v>
      </c>
      <c r="X48" s="82"/>
      <c r="Y48" s="69"/>
      <c r="Z48" s="82" t="str">
        <f t="shared" si="80"/>
        <v/>
      </c>
      <c r="AA48" s="82"/>
      <c r="AB48" s="82" t="str">
        <f t="shared" si="81"/>
        <v>-</v>
      </c>
      <c r="AC48" s="69" t="s">
        <v>140</v>
      </c>
    </row>
    <row r="49" spans="1:29" x14ac:dyDescent="0.25">
      <c r="B49" s="83" t="str">
        <f t="shared" si="69"/>
        <v>@line_width-track-z16-(mtb)</v>
      </c>
      <c r="C49" s="84" t="str">
        <f t="shared" si="70"/>
        <v>3.5</v>
      </c>
      <c r="D49" s="71" t="s">
        <v>148</v>
      </c>
      <c r="E49" s="85" t="str">
        <f t="shared" si="71"/>
        <v>@line_width-track-z16-(mtb-hc)</v>
      </c>
      <c r="F49" s="84" t="str">
        <f t="shared" si="62"/>
        <v>5.2</v>
      </c>
      <c r="G49" s="78" t="s">
        <v>193</v>
      </c>
      <c r="H49" s="83" t="str">
        <f t="shared" si="72"/>
        <v>@line_width-track-z16-(gr)</v>
      </c>
      <c r="I49" s="84" t="str">
        <f t="shared" si="73"/>
        <v>4.0</v>
      </c>
      <c r="J49" s="71" t="s">
        <v>158</v>
      </c>
      <c r="K49" s="85" t="str">
        <f t="shared" si="74"/>
        <v>@line_width-track-z16-(gr-hc)</v>
      </c>
      <c r="L49" s="84">
        <f t="shared" si="75"/>
        <v>0</v>
      </c>
      <c r="M49" s="78"/>
      <c r="N49" s="93" t="str">
        <f t="shared" si="76"/>
        <v>@line_width-track-z16-(wnt)</v>
      </c>
      <c r="O49" s="94" t="str">
        <f t="shared" si="63"/>
        <v>3.5</v>
      </c>
      <c r="P49" s="84" t="str">
        <f t="shared" si="64"/>
        <v>3.5</v>
      </c>
      <c r="Q49" s="95" t="str">
        <f t="shared" si="77"/>
        <v>@line_width-track-z16-(wnt-hc)</v>
      </c>
      <c r="R49" s="94" t="str">
        <f t="shared" si="78"/>
        <v>5.2</v>
      </c>
      <c r="S49" s="86" t="str">
        <f t="shared" si="65"/>
        <v>5.2</v>
      </c>
      <c r="T49" s="82"/>
      <c r="U49" s="69" t="s">
        <v>185</v>
      </c>
      <c r="V49" s="82" t="str">
        <f t="shared" si="79"/>
        <v>-</v>
      </c>
      <c r="W49" s="69" t="s">
        <v>168</v>
      </c>
      <c r="X49" s="82"/>
      <c r="Y49" s="69"/>
      <c r="Z49" s="82" t="str">
        <f t="shared" si="80"/>
        <v/>
      </c>
      <c r="AA49" s="82"/>
      <c r="AB49" s="82" t="str">
        <f t="shared" si="81"/>
        <v>-</v>
      </c>
      <c r="AC49" s="69" t="s">
        <v>141</v>
      </c>
    </row>
    <row r="50" spans="1:29" x14ac:dyDescent="0.25">
      <c r="B50" s="83" t="str">
        <f t="shared" si="69"/>
        <v>@line_width-track-z18-(mtb)</v>
      </c>
      <c r="C50" s="84" t="str">
        <f t="shared" si="70"/>
        <v>7.0</v>
      </c>
      <c r="D50" s="71" t="s">
        <v>200</v>
      </c>
      <c r="E50" s="85" t="str">
        <f t="shared" si="71"/>
        <v>@line_width-track-z18-(mtb-hc)</v>
      </c>
      <c r="F50" s="84" t="str">
        <f t="shared" si="62"/>
        <v>10.5</v>
      </c>
      <c r="G50" s="78" t="s">
        <v>201</v>
      </c>
      <c r="H50" s="83" t="str">
        <f t="shared" si="72"/>
        <v>@line_width-track-z18-(gr)</v>
      </c>
      <c r="I50" s="84" t="str">
        <f t="shared" si="73"/>
        <v>5.0</v>
      </c>
      <c r="J50" s="71" t="s">
        <v>149</v>
      </c>
      <c r="K50" s="85" t="str">
        <f t="shared" si="74"/>
        <v>@line_width-track-z18-(gr-hc)</v>
      </c>
      <c r="L50" s="84">
        <f t="shared" si="75"/>
        <v>0</v>
      </c>
      <c r="M50" s="78"/>
      <c r="N50" s="93" t="str">
        <f t="shared" si="76"/>
        <v>@line_width-track-z18-(wnt)</v>
      </c>
      <c r="O50" s="94" t="str">
        <f t="shared" si="63"/>
        <v>7.0</v>
      </c>
      <c r="P50" s="84" t="str">
        <f t="shared" si="64"/>
        <v>7.0</v>
      </c>
      <c r="Q50" s="95" t="str">
        <f t="shared" si="77"/>
        <v>@line_width-track-z18-(wnt-hc)</v>
      </c>
      <c r="R50" s="94" t="str">
        <f t="shared" si="78"/>
        <v>10.5</v>
      </c>
      <c r="S50" s="86" t="str">
        <f t="shared" si="65"/>
        <v>10.5</v>
      </c>
      <c r="T50" s="82"/>
      <c r="U50" s="69" t="s">
        <v>185</v>
      </c>
      <c r="V50" s="82" t="str">
        <f t="shared" si="79"/>
        <v>-</v>
      </c>
      <c r="W50" s="69" t="s">
        <v>168</v>
      </c>
      <c r="X50" s="82"/>
      <c r="Y50" s="69"/>
      <c r="Z50" s="82" t="str">
        <f t="shared" si="80"/>
        <v/>
      </c>
      <c r="AA50" s="82"/>
      <c r="AB50" s="82" t="str">
        <f t="shared" si="81"/>
        <v>-</v>
      </c>
      <c r="AC50" s="69" t="s">
        <v>142</v>
      </c>
    </row>
    <row r="51" spans="1:29" x14ac:dyDescent="0.25">
      <c r="A51" s="70" t="s">
        <v>202</v>
      </c>
      <c r="B51" s="79"/>
      <c r="C51" s="70"/>
      <c r="D51" s="72"/>
      <c r="E51" s="81"/>
      <c r="F51" s="70"/>
      <c r="G51" s="80"/>
      <c r="H51" s="79"/>
      <c r="I51" s="70"/>
      <c r="J51" s="72"/>
      <c r="K51" s="81"/>
      <c r="L51" s="70"/>
      <c r="M51" s="80"/>
      <c r="N51" s="79"/>
      <c r="O51" s="70"/>
      <c r="P51" s="72"/>
      <c r="Q51" s="81"/>
      <c r="R51" s="70"/>
      <c r="S51" s="80"/>
      <c r="T51" s="76"/>
      <c r="U51" s="70"/>
      <c r="V51" s="76"/>
      <c r="W51" s="70"/>
      <c r="X51" s="76"/>
      <c r="Y51" s="70"/>
      <c r="Z51" s="76"/>
      <c r="AA51" s="76"/>
      <c r="AB51" s="76"/>
      <c r="AC51" s="70"/>
    </row>
    <row r="52" spans="1:29" x14ac:dyDescent="0.25">
      <c r="B52" s="83" t="str">
        <f>_xlfn.CONCAT("@",U52,V52,W52,X52,Y52,Z52,AA52,AB52,AC52,"-(",B$3,")")</f>
        <v>@case_width-motorway-z5-(mtb)</v>
      </c>
      <c r="C52" s="84" t="str">
        <f>D52</f>
        <v>1.0</v>
      </c>
      <c r="D52" s="71" t="s">
        <v>146</v>
      </c>
      <c r="E52" s="85" t="str">
        <f>_xlfn.CONCAT("@",U52,V52,W52,X52,Y52,Z52,AA52,AB52,AC52,"-(",E$3,")")</f>
        <v>@case_width-motorway-z5-(mtb-hc)</v>
      </c>
      <c r="F52" s="84" t="str">
        <f t="shared" si="62"/>
        <v>1.0</v>
      </c>
      <c r="G52" s="78" t="s">
        <v>146</v>
      </c>
      <c r="H52" s="83" t="str">
        <f>_xlfn.CONCAT("@",U52,V52,W52,X52,Y52,Z52,AA52,AB52,AC52,"-(",H$3,")")</f>
        <v>@case_width-motorway-z5-(gr)</v>
      </c>
      <c r="I52" s="84" t="str">
        <f>J52</f>
        <v>1.0</v>
      </c>
      <c r="J52" s="84" t="str">
        <f>D52</f>
        <v>1.0</v>
      </c>
      <c r="K52" s="85" t="str">
        <f>_xlfn.CONCAT("@",U52,V52,W52,X52,Y52,Z52,AA52,AB52,AC52,"-(",K$3,")")</f>
        <v>@case_width-motorway-z5-(gr-hc)</v>
      </c>
      <c r="L52" s="84" t="str">
        <f>M52</f>
        <v>1.0</v>
      </c>
      <c r="M52" s="86" t="str">
        <f>G52</f>
        <v>1.0</v>
      </c>
      <c r="N52" s="93" t="str">
        <f>_xlfn.CONCAT("@",U52,V52,W52,X52,Y52,Z52,AA52,AB52,AC52,"-(",N$3,")")</f>
        <v>@case_width-motorway-z5-(wnt)</v>
      </c>
      <c r="O52" s="94" t="str">
        <f t="shared" si="63"/>
        <v>1.0</v>
      </c>
      <c r="P52" s="84" t="str">
        <f t="shared" ref="P52:P61" si="82">D52</f>
        <v>1.0</v>
      </c>
      <c r="Q52" s="95" t="str">
        <f>_xlfn.CONCAT("@",U52,V52,W52,X52,Y52,Z52,AA52,AB52,AC52,"-(",Q$3,")")</f>
        <v>@case_width-motorway-z5-(wnt-hc)</v>
      </c>
      <c r="R52" s="94" t="str">
        <f>S52</f>
        <v>1.0</v>
      </c>
      <c r="S52" s="86" t="str">
        <f t="shared" ref="S52:S61" si="83">G52</f>
        <v>1.0</v>
      </c>
      <c r="U52" s="69" t="s">
        <v>144</v>
      </c>
      <c r="V52" s="82" t="str">
        <f t="shared" ref="V52" si="84">IF(NOT(ISBLANK(W52)),"-","")</f>
        <v>-</v>
      </c>
      <c r="W52" s="69" t="s">
        <v>35</v>
      </c>
      <c r="X52" s="82"/>
      <c r="Y52" s="69"/>
      <c r="Z52" s="82" t="str">
        <f t="shared" ref="Z52" si="85">IF(NOT(ISBLANK(AA52)),"_","")</f>
        <v/>
      </c>
      <c r="AA52" s="82"/>
      <c r="AB52" s="82" t="str">
        <f t="shared" ref="AB52" si="86">IF(NOT(ISBLANK(AC52)),"-","")</f>
        <v>-</v>
      </c>
      <c r="AC52" s="69" t="s">
        <v>203</v>
      </c>
    </row>
    <row r="53" spans="1:29" x14ac:dyDescent="0.25">
      <c r="B53" s="83" t="str">
        <f t="shared" ref="B53:B55" si="87">_xlfn.CONCAT("@",U53,V53,W53,X53,Y53,Z53,AA53,AB53,AC53,"-(",B$3,")")</f>
        <v>@case_width-motorway-z6-(mtb)</v>
      </c>
      <c r="C53" s="84" t="str">
        <f t="shared" ref="C53:C55" si="88">D53</f>
        <v>2.4</v>
      </c>
      <c r="D53" s="71" t="s">
        <v>165</v>
      </c>
      <c r="E53" s="85" t="str">
        <f t="shared" ref="E53:E55" si="89">_xlfn.CONCAT("@",U53,V53,W53,X53,Y53,Z53,AA53,AB53,AC53,"-(",E$3,")")</f>
        <v>@case_width-motorway-z6-(mtb-hc)</v>
      </c>
      <c r="F53" s="84" t="str">
        <f t="shared" si="62"/>
        <v>2.4</v>
      </c>
      <c r="G53" s="78" t="s">
        <v>165</v>
      </c>
      <c r="H53" s="83" t="str">
        <f t="shared" ref="H53:H55" si="90">_xlfn.CONCAT("@",U53,V53,W53,X53,Y53,Z53,AA53,AB53,AC53,"-(",H$3,")")</f>
        <v>@case_width-motorway-z6-(gr)</v>
      </c>
      <c r="I53" s="84" t="str">
        <f t="shared" ref="I53:I55" si="91">J53</f>
        <v>2.4</v>
      </c>
      <c r="J53" s="84" t="str">
        <f t="shared" ref="J53:J55" si="92">D53</f>
        <v>2.4</v>
      </c>
      <c r="K53" s="85" t="str">
        <f t="shared" ref="K53:K55" si="93">_xlfn.CONCAT("@",U53,V53,W53,X53,Y53,Z53,AA53,AB53,AC53,"-(",K$3,")")</f>
        <v>@case_width-motorway-z6-(gr-hc)</v>
      </c>
      <c r="L53" s="84" t="str">
        <f t="shared" ref="L53:L55" si="94">M53</f>
        <v>2.4</v>
      </c>
      <c r="M53" s="86" t="str">
        <f t="shared" ref="M53:M55" si="95">G53</f>
        <v>2.4</v>
      </c>
      <c r="N53" s="93" t="str">
        <f t="shared" ref="N53:N55" si="96">_xlfn.CONCAT("@",U53,V53,W53,X53,Y53,Z53,AA53,AB53,AC53,"-(",N$3,")")</f>
        <v>@case_width-motorway-z6-(wnt)</v>
      </c>
      <c r="O53" s="94" t="str">
        <f t="shared" si="63"/>
        <v>2.4</v>
      </c>
      <c r="P53" s="84" t="str">
        <f t="shared" si="82"/>
        <v>2.4</v>
      </c>
      <c r="Q53" s="95" t="str">
        <f t="shared" ref="Q53:Q55" si="97">_xlfn.CONCAT("@",U53,V53,W53,X53,Y53,Z53,AA53,AB53,AC53,"-(",Q$3,")")</f>
        <v>@case_width-motorway-z6-(wnt-hc)</v>
      </c>
      <c r="R53" s="94" t="str">
        <f t="shared" ref="R53:R55" si="98">S53</f>
        <v>2.4</v>
      </c>
      <c r="S53" s="86" t="str">
        <f t="shared" si="83"/>
        <v>2.4</v>
      </c>
      <c r="U53" s="69" t="s">
        <v>144</v>
      </c>
      <c r="V53" s="82" t="str">
        <f t="shared" ref="V53:V55" si="99">IF(NOT(ISBLANK(W53)),"-","")</f>
        <v>-</v>
      </c>
      <c r="W53" s="69" t="s">
        <v>35</v>
      </c>
      <c r="X53" s="82"/>
      <c r="Y53" s="69"/>
      <c r="Z53" s="82" t="str">
        <f t="shared" ref="Z53:Z55" si="100">IF(NOT(ISBLANK(AA53)),"_","")</f>
        <v/>
      </c>
      <c r="AA53" s="82"/>
      <c r="AB53" s="82" t="str">
        <f t="shared" ref="AB53:AB55" si="101">IF(NOT(ISBLANK(AC53)),"-","")</f>
        <v>-</v>
      </c>
      <c r="AC53" s="69" t="s">
        <v>204</v>
      </c>
    </row>
    <row r="54" spans="1:29" x14ac:dyDescent="0.25">
      <c r="B54" s="83" t="str">
        <f t="shared" si="87"/>
        <v>@case_width-motorway-z10-(mtb)</v>
      </c>
      <c r="C54" s="84" t="str">
        <f t="shared" si="88"/>
        <v>4.5</v>
      </c>
      <c r="D54" s="71" t="s">
        <v>194</v>
      </c>
      <c r="E54" s="85" t="str">
        <f t="shared" si="89"/>
        <v>@case_width-motorway-z10-(mtb-hc)</v>
      </c>
      <c r="F54" s="84" t="str">
        <f t="shared" si="62"/>
        <v>4.5</v>
      </c>
      <c r="G54" s="78" t="s">
        <v>194</v>
      </c>
      <c r="H54" s="83" t="str">
        <f t="shared" si="90"/>
        <v>@case_width-motorway-z10-(gr)</v>
      </c>
      <c r="I54" s="84" t="str">
        <f t="shared" si="91"/>
        <v>4.5</v>
      </c>
      <c r="J54" s="84" t="str">
        <f t="shared" si="92"/>
        <v>4.5</v>
      </c>
      <c r="K54" s="85" t="str">
        <f t="shared" si="93"/>
        <v>@case_width-motorway-z10-(gr-hc)</v>
      </c>
      <c r="L54" s="84" t="str">
        <f t="shared" si="94"/>
        <v>4.5</v>
      </c>
      <c r="M54" s="86" t="str">
        <f t="shared" si="95"/>
        <v>4.5</v>
      </c>
      <c r="N54" s="93" t="str">
        <f t="shared" si="96"/>
        <v>@case_width-motorway-z10-(wnt)</v>
      </c>
      <c r="O54" s="94" t="str">
        <f t="shared" si="63"/>
        <v>4.5</v>
      </c>
      <c r="P54" s="84" t="str">
        <f t="shared" si="82"/>
        <v>4.5</v>
      </c>
      <c r="Q54" s="95" t="str">
        <f t="shared" si="97"/>
        <v>@case_width-motorway-z10-(wnt-hc)</v>
      </c>
      <c r="R54" s="94" t="str">
        <f t="shared" si="98"/>
        <v>4.5</v>
      </c>
      <c r="S54" s="86" t="str">
        <f t="shared" si="83"/>
        <v>4.5</v>
      </c>
      <c r="U54" s="69" t="s">
        <v>144</v>
      </c>
      <c r="V54" s="82" t="str">
        <f t="shared" si="99"/>
        <v>-</v>
      </c>
      <c r="W54" s="69" t="s">
        <v>35</v>
      </c>
      <c r="X54" s="82"/>
      <c r="Y54" s="69"/>
      <c r="Z54" s="82" t="str">
        <f t="shared" si="100"/>
        <v/>
      </c>
      <c r="AA54" s="82"/>
      <c r="AB54" s="82" t="str">
        <f t="shared" si="101"/>
        <v>-</v>
      </c>
      <c r="AC54" s="69" t="s">
        <v>169</v>
      </c>
    </row>
    <row r="55" spans="1:29" x14ac:dyDescent="0.25">
      <c r="B55" s="83" t="str">
        <f t="shared" si="87"/>
        <v>@case_width-motorway-z20-(mtb)</v>
      </c>
      <c r="C55" s="84" t="str">
        <f t="shared" si="88"/>
        <v>22.0</v>
      </c>
      <c r="D55" s="71" t="s">
        <v>207</v>
      </c>
      <c r="E55" s="85" t="str">
        <f t="shared" si="89"/>
        <v>@case_width-motorway-z20-(mtb-hc)</v>
      </c>
      <c r="F55" s="84" t="str">
        <f t="shared" si="62"/>
        <v>36.0</v>
      </c>
      <c r="G55" s="78" t="s">
        <v>208</v>
      </c>
      <c r="H55" s="83" t="str">
        <f t="shared" si="90"/>
        <v>@case_width-motorway-z20-(gr)</v>
      </c>
      <c r="I55" s="84" t="str">
        <f t="shared" si="91"/>
        <v>22.0</v>
      </c>
      <c r="J55" s="84" t="str">
        <f t="shared" si="92"/>
        <v>22.0</v>
      </c>
      <c r="K55" s="85" t="str">
        <f t="shared" si="93"/>
        <v>@case_width-motorway-z20-(gr-hc)</v>
      </c>
      <c r="L55" s="84" t="str">
        <f t="shared" si="94"/>
        <v>36.0</v>
      </c>
      <c r="M55" s="86" t="str">
        <f t="shared" si="95"/>
        <v>36.0</v>
      </c>
      <c r="N55" s="93" t="str">
        <f t="shared" si="96"/>
        <v>@case_width-motorway-z20-(wnt)</v>
      </c>
      <c r="O55" s="94" t="str">
        <f t="shared" si="63"/>
        <v>22.0</v>
      </c>
      <c r="P55" s="84" t="str">
        <f t="shared" si="82"/>
        <v>22.0</v>
      </c>
      <c r="Q55" s="95" t="str">
        <f t="shared" si="97"/>
        <v>@case_width-motorway-z20-(wnt-hc)</v>
      </c>
      <c r="R55" s="94" t="str">
        <f t="shared" si="98"/>
        <v>36.0</v>
      </c>
      <c r="S55" s="86" t="str">
        <f t="shared" si="83"/>
        <v>36.0</v>
      </c>
      <c r="U55" s="69" t="s">
        <v>144</v>
      </c>
      <c r="V55" s="82" t="str">
        <f t="shared" si="99"/>
        <v>-</v>
      </c>
      <c r="W55" s="69" t="s">
        <v>35</v>
      </c>
      <c r="X55" s="82"/>
      <c r="Y55" s="69"/>
      <c r="Z55" s="82" t="str">
        <f t="shared" si="100"/>
        <v/>
      </c>
      <c r="AA55" s="82"/>
      <c r="AB55" s="82" t="str">
        <f t="shared" si="101"/>
        <v>-</v>
      </c>
      <c r="AC55" s="69" t="s">
        <v>205</v>
      </c>
    </row>
    <row r="56" spans="1:29" x14ac:dyDescent="0.25">
      <c r="A56" s="70" t="s">
        <v>209</v>
      </c>
      <c r="B56" s="79"/>
      <c r="C56" s="70"/>
      <c r="D56" s="72"/>
      <c r="E56" s="81"/>
      <c r="F56" s="70"/>
      <c r="G56" s="80"/>
      <c r="H56" s="79"/>
      <c r="I56" s="70"/>
      <c r="J56" s="72"/>
      <c r="K56" s="81"/>
      <c r="L56" s="70"/>
      <c r="M56" s="80"/>
      <c r="N56" s="79"/>
      <c r="O56" s="70"/>
      <c r="P56" s="72"/>
      <c r="Q56" s="81"/>
      <c r="R56" s="70"/>
      <c r="S56" s="80"/>
      <c r="T56" s="76"/>
      <c r="U56" s="70"/>
      <c r="V56" s="76"/>
      <c r="W56" s="70"/>
      <c r="X56" s="76"/>
      <c r="Y56" s="70"/>
      <c r="Z56" s="76"/>
      <c r="AA56" s="76"/>
      <c r="AB56" s="76"/>
      <c r="AC56" s="70"/>
    </row>
    <row r="57" spans="1:29" x14ac:dyDescent="0.25">
      <c r="B57" s="83" t="str">
        <f>_xlfn.CONCAT("@",U57,V57,W57,X57,Y57,Z57,AA57,AB57,AC57,"-(",B$3,")")</f>
        <v>@line_width-motorway-z7-(mtb)</v>
      </c>
      <c r="C57" s="84" t="str">
        <f>D57</f>
        <v>0.5</v>
      </c>
      <c r="D57" s="71" t="s">
        <v>161</v>
      </c>
      <c r="E57" s="85" t="str">
        <f>_xlfn.CONCAT("@",U57,V57,W57,X57,Y57,Z57,AA57,AB57,AC57,"-(",E$3,")")</f>
        <v>@line_width-motorway-z7-(mtb-hc)</v>
      </c>
      <c r="F57" s="84" t="str">
        <f t="shared" si="62"/>
        <v>0.5</v>
      </c>
      <c r="G57" s="78" t="s">
        <v>161</v>
      </c>
      <c r="H57" s="83" t="str">
        <f>_xlfn.CONCAT("@",U57,V57,W57,X57,Y57,Z57,AA57,AB57,AC57,"-(",H$3,")")</f>
        <v>@line_width-motorway-z7-(gr)</v>
      </c>
      <c r="I57" s="84" t="str">
        <f>J57</f>
        <v>0.5</v>
      </c>
      <c r="J57" s="84" t="str">
        <f t="shared" ref="J57:J61" si="102">D57</f>
        <v>0.5</v>
      </c>
      <c r="K57" s="85" t="str">
        <f>_xlfn.CONCAT("@",U57,V57,W57,X57,Y57,Z57,AA57,AB57,AC57,"-(",K$3,")")</f>
        <v>@line_width-motorway-z7-(gr-hc)</v>
      </c>
      <c r="L57" s="84" t="str">
        <f>M57</f>
        <v>0.5</v>
      </c>
      <c r="M57" s="86" t="str">
        <f t="shared" ref="M57:M61" si="103">G57</f>
        <v>0.5</v>
      </c>
      <c r="N57" s="93" t="str">
        <f>_xlfn.CONCAT("@",U57,V57,W57,X57,Y57,Z57,AA57,AB57,AC57,"-(",N$3,")")</f>
        <v>@line_width-motorway-z7-(wnt)</v>
      </c>
      <c r="O57" s="94" t="str">
        <f t="shared" si="63"/>
        <v>0.5</v>
      </c>
      <c r="P57" s="84" t="str">
        <f t="shared" si="82"/>
        <v>0.5</v>
      </c>
      <c r="Q57" s="95" t="str">
        <f>_xlfn.CONCAT("@",U57,V57,W57,X57,Y57,Z57,AA57,AB57,AC57,"-(",Q$3,")")</f>
        <v>@line_width-motorway-z7-(wnt-hc)</v>
      </c>
      <c r="R57" s="94" t="str">
        <f>S57</f>
        <v>0.5</v>
      </c>
      <c r="S57" s="86" t="str">
        <f t="shared" si="83"/>
        <v>0.5</v>
      </c>
      <c r="U57" s="69" t="s">
        <v>185</v>
      </c>
      <c r="V57" s="82" t="str">
        <f t="shared" ref="V57:V60" si="104">IF(NOT(ISBLANK(W57)),"-","")</f>
        <v>-</v>
      </c>
      <c r="W57" s="69" t="s">
        <v>35</v>
      </c>
      <c r="X57" s="82"/>
      <c r="Y57" s="69"/>
      <c r="Z57" s="82" t="str">
        <f t="shared" ref="Z57:Z60" si="105">IF(NOT(ISBLANK(AA57)),"_","")</f>
        <v/>
      </c>
      <c r="AA57" s="82"/>
      <c r="AB57" s="82" t="str">
        <f t="shared" ref="AB57:AB60" si="106">IF(NOT(ISBLANK(AC57)),"-","")</f>
        <v>-</v>
      </c>
      <c r="AC57" s="69" t="s">
        <v>210</v>
      </c>
    </row>
    <row r="58" spans="1:29" x14ac:dyDescent="0.25">
      <c r="B58" s="83" t="str">
        <f t="shared" ref="B58:B60" si="107">_xlfn.CONCAT("@",U58,V58,W58,X58,Y58,Z58,AA58,AB58,AC58,"-(",B$3,")")</f>
        <v>@line_width-motorway-z10-(mtb)</v>
      </c>
      <c r="C58" s="84" t="str">
        <f t="shared" ref="C58:C61" si="108">D58</f>
        <v>1.5</v>
      </c>
      <c r="D58" s="71" t="s">
        <v>150</v>
      </c>
      <c r="E58" s="85" t="str">
        <f t="shared" ref="E58:E60" si="109">_xlfn.CONCAT("@",U58,V58,W58,X58,Y58,Z58,AA58,AB58,AC58,"-(",E$3,")")</f>
        <v>@line_width-motorway-z10-(mtb-hc)</v>
      </c>
      <c r="F58" s="84" t="str">
        <f t="shared" si="62"/>
        <v>2.5</v>
      </c>
      <c r="G58" s="78" t="s">
        <v>156</v>
      </c>
      <c r="H58" s="83" t="str">
        <f t="shared" ref="H58:H60" si="110">_xlfn.CONCAT("@",U58,V58,W58,X58,Y58,Z58,AA58,AB58,AC58,"-(",H$3,")")</f>
        <v>@line_width-motorway-z10-(gr)</v>
      </c>
      <c r="I58" s="84" t="str">
        <f t="shared" ref="I58:I61" si="111">J58</f>
        <v>1.5</v>
      </c>
      <c r="J58" s="84" t="str">
        <f t="shared" si="102"/>
        <v>1.5</v>
      </c>
      <c r="K58" s="85" t="str">
        <f t="shared" ref="K58:K60" si="112">_xlfn.CONCAT("@",U58,V58,W58,X58,Y58,Z58,AA58,AB58,AC58,"-(",K$3,")")</f>
        <v>@line_width-motorway-z10-(gr-hc)</v>
      </c>
      <c r="L58" s="84" t="str">
        <f t="shared" ref="L58:L61" si="113">M58</f>
        <v>2.5</v>
      </c>
      <c r="M58" s="86" t="str">
        <f t="shared" si="103"/>
        <v>2.5</v>
      </c>
      <c r="N58" s="93" t="str">
        <f t="shared" ref="N58:N60" si="114">_xlfn.CONCAT("@",U58,V58,W58,X58,Y58,Z58,AA58,AB58,AC58,"-(",N$3,")")</f>
        <v>@line_width-motorway-z10-(wnt)</v>
      </c>
      <c r="O58" s="94" t="str">
        <f t="shared" si="63"/>
        <v>1.5</v>
      </c>
      <c r="P58" s="84" t="str">
        <f t="shared" si="82"/>
        <v>1.5</v>
      </c>
      <c r="Q58" s="95" t="str">
        <f t="shared" ref="Q58:Q60" si="115">_xlfn.CONCAT("@",U58,V58,W58,X58,Y58,Z58,AA58,AB58,AC58,"-(",Q$3,")")</f>
        <v>@line_width-motorway-z10-(wnt-hc)</v>
      </c>
      <c r="R58" s="94" t="str">
        <f t="shared" ref="R58:R61" si="116">S58</f>
        <v>2.5</v>
      </c>
      <c r="S58" s="86" t="str">
        <f t="shared" si="83"/>
        <v>2.5</v>
      </c>
      <c r="U58" s="69" t="s">
        <v>185</v>
      </c>
      <c r="V58" s="82" t="str">
        <f t="shared" si="104"/>
        <v>-</v>
      </c>
      <c r="W58" s="69" t="s">
        <v>35</v>
      </c>
      <c r="X58" s="82"/>
      <c r="Y58" s="69"/>
      <c r="Z58" s="82" t="str">
        <f t="shared" si="105"/>
        <v/>
      </c>
      <c r="AA58" s="82"/>
      <c r="AB58" s="82" t="str">
        <f t="shared" si="106"/>
        <v>-</v>
      </c>
      <c r="AC58" s="69" t="s">
        <v>169</v>
      </c>
    </row>
    <row r="59" spans="1:29" x14ac:dyDescent="0.25">
      <c r="B59" s="83" t="str">
        <f t="shared" si="107"/>
        <v>@line_width-motorway-z12-(mtb)</v>
      </c>
      <c r="C59" s="84" t="str">
        <f t="shared" si="108"/>
        <v>3.0</v>
      </c>
      <c r="D59" s="71" t="s">
        <v>154</v>
      </c>
      <c r="E59" s="85" t="str">
        <f t="shared" si="109"/>
        <v>@line_width-motorway-z12-(mtb-hc)</v>
      </c>
      <c r="F59" s="84" t="str">
        <f t="shared" si="62"/>
        <v>4.5</v>
      </c>
      <c r="G59" s="78" t="s">
        <v>194</v>
      </c>
      <c r="H59" s="83" t="str">
        <f t="shared" si="110"/>
        <v>@line_width-motorway-z12-(gr)</v>
      </c>
      <c r="I59" s="84" t="str">
        <f t="shared" si="111"/>
        <v>3.0</v>
      </c>
      <c r="J59" s="84" t="str">
        <f t="shared" si="102"/>
        <v>3.0</v>
      </c>
      <c r="K59" s="85" t="str">
        <f t="shared" si="112"/>
        <v>@line_width-motorway-z12-(gr-hc)</v>
      </c>
      <c r="L59" s="84" t="str">
        <f t="shared" si="113"/>
        <v>4.5</v>
      </c>
      <c r="M59" s="86" t="str">
        <f t="shared" si="103"/>
        <v>4.5</v>
      </c>
      <c r="N59" s="93" t="str">
        <f t="shared" si="114"/>
        <v>@line_width-motorway-z12-(wnt)</v>
      </c>
      <c r="O59" s="94" t="str">
        <f t="shared" si="63"/>
        <v>3.0</v>
      </c>
      <c r="P59" s="84" t="str">
        <f t="shared" si="82"/>
        <v>3.0</v>
      </c>
      <c r="Q59" s="95" t="str">
        <f t="shared" si="115"/>
        <v>@line_width-motorway-z12-(wnt-hc)</v>
      </c>
      <c r="R59" s="94" t="str">
        <f t="shared" si="116"/>
        <v>4.5</v>
      </c>
      <c r="S59" s="86" t="str">
        <f t="shared" si="83"/>
        <v>4.5</v>
      </c>
      <c r="U59" s="69" t="s">
        <v>185</v>
      </c>
      <c r="V59" s="82" t="str">
        <f t="shared" si="104"/>
        <v>-</v>
      </c>
      <c r="W59" s="69" t="s">
        <v>35</v>
      </c>
      <c r="X59" s="82"/>
      <c r="Y59" s="69"/>
      <c r="Z59" s="82" t="str">
        <f t="shared" si="105"/>
        <v/>
      </c>
      <c r="AA59" s="82"/>
      <c r="AB59" s="82" t="str">
        <f t="shared" si="106"/>
        <v>-</v>
      </c>
      <c r="AC59" s="69" t="s">
        <v>175</v>
      </c>
    </row>
    <row r="60" spans="1:29" x14ac:dyDescent="0.25">
      <c r="B60" s="83" t="str">
        <f t="shared" si="107"/>
        <v>@line_width-motorway-z14-(mtb)</v>
      </c>
      <c r="C60" s="84" t="str">
        <f t="shared" si="108"/>
        <v>4.0</v>
      </c>
      <c r="D60" s="71" t="s">
        <v>158</v>
      </c>
      <c r="E60" s="85" t="str">
        <f t="shared" si="109"/>
        <v>@line_width-motorway-z14-(mtb-hc)</v>
      </c>
      <c r="F60" s="84" t="str">
        <f t="shared" si="62"/>
        <v>7.0</v>
      </c>
      <c r="G60" s="78" t="s">
        <v>200</v>
      </c>
      <c r="H60" s="83" t="str">
        <f t="shared" si="110"/>
        <v>@line_width-motorway-z14-(gr)</v>
      </c>
      <c r="I60" s="84" t="str">
        <f t="shared" si="111"/>
        <v>4.0</v>
      </c>
      <c r="J60" s="84" t="str">
        <f t="shared" si="102"/>
        <v>4.0</v>
      </c>
      <c r="K60" s="85" t="str">
        <f t="shared" si="112"/>
        <v>@line_width-motorway-z14-(gr-hc)</v>
      </c>
      <c r="L60" s="84" t="str">
        <f t="shared" si="113"/>
        <v>7.0</v>
      </c>
      <c r="M60" s="86" t="str">
        <f t="shared" si="103"/>
        <v>7.0</v>
      </c>
      <c r="N60" s="93" t="str">
        <f t="shared" si="114"/>
        <v>@line_width-motorway-z14-(wnt)</v>
      </c>
      <c r="O60" s="94" t="str">
        <f t="shared" si="63"/>
        <v>4.0</v>
      </c>
      <c r="P60" s="84" t="str">
        <f t="shared" si="82"/>
        <v>4.0</v>
      </c>
      <c r="Q60" s="95" t="str">
        <f t="shared" si="115"/>
        <v>@line_width-motorway-z14-(wnt-hc)</v>
      </c>
      <c r="R60" s="94" t="str">
        <f t="shared" si="116"/>
        <v>7.0</v>
      </c>
      <c r="S60" s="86" t="str">
        <f t="shared" si="83"/>
        <v>7.0</v>
      </c>
      <c r="U60" s="69" t="s">
        <v>185</v>
      </c>
      <c r="V60" s="82" t="str">
        <f t="shared" si="104"/>
        <v>-</v>
      </c>
      <c r="W60" s="69" t="s">
        <v>35</v>
      </c>
      <c r="X60" s="82"/>
      <c r="Y60" s="69"/>
      <c r="Z60" s="82" t="str">
        <f t="shared" si="105"/>
        <v/>
      </c>
      <c r="AA60" s="82"/>
      <c r="AB60" s="82" t="str">
        <f t="shared" si="106"/>
        <v>-</v>
      </c>
      <c r="AC60" s="69" t="s">
        <v>140</v>
      </c>
    </row>
    <row r="61" spans="1:29" x14ac:dyDescent="0.25">
      <c r="B61" s="83" t="str">
        <f t="shared" ref="B61" si="117">_xlfn.CONCAT("@",U61,V61,W61,X61,Y61,Z61,AA61,AB61,AC61,"-(",B$3,")")</f>
        <v>@line_width-motorway-z20-(mtb)</v>
      </c>
      <c r="C61" s="84" t="str">
        <f t="shared" si="108"/>
        <v>18.0</v>
      </c>
      <c r="D61" s="71" t="s">
        <v>211</v>
      </c>
      <c r="E61" s="85" t="str">
        <f t="shared" ref="E61" si="118">_xlfn.CONCAT("@",U61,V61,W61,X61,Y61,Z61,AA61,AB61,AC61,"-(",E$3,")")</f>
        <v>@line_width-motorway-z20-(mtb-hc)</v>
      </c>
      <c r="F61" s="84" t="str">
        <f t="shared" si="62"/>
        <v>24.0</v>
      </c>
      <c r="G61" s="78" t="s">
        <v>212</v>
      </c>
      <c r="H61" s="83" t="str">
        <f t="shared" ref="H61" si="119">_xlfn.CONCAT("@",U61,V61,W61,X61,Y61,Z61,AA61,AB61,AC61,"-(",H$3,")")</f>
        <v>@line_width-motorway-z20-(gr)</v>
      </c>
      <c r="I61" s="84" t="str">
        <f t="shared" si="111"/>
        <v>18.0</v>
      </c>
      <c r="J61" s="84" t="str">
        <f t="shared" si="102"/>
        <v>18.0</v>
      </c>
      <c r="K61" s="85" t="str">
        <f t="shared" ref="K61" si="120">_xlfn.CONCAT("@",U61,V61,W61,X61,Y61,Z61,AA61,AB61,AC61,"-(",K$3,")")</f>
        <v>@line_width-motorway-z20-(gr-hc)</v>
      </c>
      <c r="L61" s="84" t="str">
        <f t="shared" si="113"/>
        <v>24.0</v>
      </c>
      <c r="M61" s="86" t="str">
        <f t="shared" si="103"/>
        <v>24.0</v>
      </c>
      <c r="N61" s="93" t="str">
        <f t="shared" ref="N61" si="121">_xlfn.CONCAT("@",U61,V61,W61,X61,Y61,Z61,AA61,AB61,AC61,"-(",N$3,")")</f>
        <v>@line_width-motorway-z20-(wnt)</v>
      </c>
      <c r="O61" s="94" t="str">
        <f t="shared" si="63"/>
        <v>18.0</v>
      </c>
      <c r="P61" s="84" t="str">
        <f t="shared" si="82"/>
        <v>18.0</v>
      </c>
      <c r="Q61" s="95" t="str">
        <f t="shared" ref="Q61" si="122">_xlfn.CONCAT("@",U61,V61,W61,X61,Y61,Z61,AA61,AB61,AC61,"-(",Q$3,")")</f>
        <v>@line_width-motorway-z20-(wnt-hc)</v>
      </c>
      <c r="R61" s="94" t="str">
        <f t="shared" si="116"/>
        <v>24.0</v>
      </c>
      <c r="S61" s="86" t="str">
        <f t="shared" si="83"/>
        <v>24.0</v>
      </c>
      <c r="U61" s="69" t="s">
        <v>185</v>
      </c>
      <c r="V61" s="82" t="str">
        <f t="shared" ref="V61" si="123">IF(NOT(ISBLANK(W61)),"-","")</f>
        <v>-</v>
      </c>
      <c r="W61" s="69" t="s">
        <v>35</v>
      </c>
      <c r="X61" s="82"/>
      <c r="Y61" s="69"/>
      <c r="Z61" s="82" t="str">
        <f t="shared" ref="Z61" si="124">IF(NOT(ISBLANK(AA61)),"_","")</f>
        <v/>
      </c>
      <c r="AA61" s="82"/>
      <c r="AB61" s="82" t="str">
        <f t="shared" ref="AB61" si="125">IF(NOT(ISBLANK(AC61)),"-","")</f>
        <v>-</v>
      </c>
      <c r="AC61" s="69" t="s">
        <v>205</v>
      </c>
    </row>
    <row r="62" spans="1:29" x14ac:dyDescent="0.25">
      <c r="A62" s="70" t="s">
        <v>213</v>
      </c>
      <c r="B62" s="79"/>
      <c r="C62" s="70"/>
      <c r="D62" s="72"/>
      <c r="E62" s="81"/>
      <c r="F62" s="70"/>
      <c r="G62" s="80"/>
      <c r="H62" s="79"/>
      <c r="I62" s="70"/>
      <c r="J62" s="72"/>
      <c r="K62" s="81"/>
      <c r="L62" s="70"/>
      <c r="M62" s="80"/>
      <c r="N62" s="79"/>
      <c r="O62" s="70"/>
      <c r="P62" s="72"/>
      <c r="Q62" s="81"/>
      <c r="R62" s="70"/>
      <c r="S62" s="80"/>
      <c r="T62" s="76"/>
      <c r="U62" s="70"/>
      <c r="V62" s="76"/>
      <c r="W62" s="70"/>
      <c r="X62" s="76"/>
      <c r="Y62" s="70"/>
      <c r="Z62" s="76"/>
      <c r="AA62" s="76"/>
      <c r="AB62" s="76"/>
      <c r="AC62" s="70"/>
    </row>
    <row r="63" spans="1:29" x14ac:dyDescent="0.25">
      <c r="B63" s="83" t="str">
        <f>_xlfn.CONCAT("@",U63,V63,W63,X63,Y63,Z63,AA63,AB63,AC63,"-(",B$3,")")</f>
        <v>@case_width-trunk-z6-(mtb)</v>
      </c>
      <c r="C63" s="84" t="str">
        <f>D63</f>
        <v>2.5</v>
      </c>
      <c r="D63" s="71" t="s">
        <v>156</v>
      </c>
      <c r="E63" s="85" t="str">
        <f>_xlfn.CONCAT("@",U63,V63,W63,X63,Y63,Z63,AA63,AB63,AC63,"-(",E$3,")")</f>
        <v>@case_width-trunk-z6-(mtb-hc)</v>
      </c>
      <c r="F63" s="84" t="str">
        <f t="shared" si="62"/>
        <v>2.5</v>
      </c>
      <c r="G63" s="86" t="str">
        <f>D63</f>
        <v>2.5</v>
      </c>
      <c r="H63" s="83" t="str">
        <f>_xlfn.CONCAT("@",U63,V63,W63,X63,Y63,Z63,AA63,AB63,AC63,"-(",H$3,")")</f>
        <v>@case_width-trunk-z6-(gr)</v>
      </c>
      <c r="I63" s="84" t="str">
        <f>J63</f>
        <v>2.5</v>
      </c>
      <c r="J63" s="84" t="str">
        <f>D63</f>
        <v>2.5</v>
      </c>
      <c r="K63" s="85" t="str">
        <f>_xlfn.CONCAT("@",U63,V63,W63,X63,Y63,Z63,AA63,AB63,AC63,"-(",K$3,")")</f>
        <v>@case_width-trunk-z6-(gr-hc)</v>
      </c>
      <c r="L63" s="84" t="str">
        <f>M63</f>
        <v>2.5</v>
      </c>
      <c r="M63" s="86" t="str">
        <f>G63</f>
        <v>2.5</v>
      </c>
      <c r="N63" s="93" t="str">
        <f>_xlfn.CONCAT("@",U63,V63,W63,X63,Y63,Z63,AA63,AB63,AC63,"-(",N$3,")")</f>
        <v>@case_width-trunk-z6-(wnt)</v>
      </c>
      <c r="O63" s="94" t="str">
        <f t="shared" si="63"/>
        <v>2.5</v>
      </c>
      <c r="P63" s="84" t="str">
        <f t="shared" ref="P63:P65" si="126">D63</f>
        <v>2.5</v>
      </c>
      <c r="Q63" s="95" t="str">
        <f>_xlfn.CONCAT("@",U63,V63,W63,X63,Y63,Z63,AA63,AB63,AC63,"-(",Q$3,")")</f>
        <v>@case_width-trunk-z6-(wnt-hc)</v>
      </c>
      <c r="R63" s="94" t="str">
        <f>S63</f>
        <v>2.5</v>
      </c>
      <c r="S63" s="86" t="str">
        <f t="shared" ref="S63:S65" si="127">G63</f>
        <v>2.5</v>
      </c>
      <c r="U63" s="69" t="s">
        <v>144</v>
      </c>
      <c r="V63" s="82" t="str">
        <f t="shared" ref="V63:V65" si="128">IF(NOT(ISBLANK(W63)),"-","")</f>
        <v>-</v>
      </c>
      <c r="W63" s="69" t="s">
        <v>42</v>
      </c>
      <c r="X63" s="82"/>
      <c r="Y63" s="69"/>
      <c r="Z63" s="82" t="str">
        <f t="shared" ref="Z63:Z65" si="129">IF(NOT(ISBLANK(AA63)),"_","")</f>
        <v/>
      </c>
      <c r="AA63" s="82"/>
      <c r="AB63" s="82" t="str">
        <f t="shared" ref="AB63:AB65" si="130">IF(NOT(ISBLANK(AC63)),"-","")</f>
        <v>-</v>
      </c>
      <c r="AC63" s="69" t="s">
        <v>204</v>
      </c>
    </row>
    <row r="64" spans="1:29" x14ac:dyDescent="0.25">
      <c r="B64" s="83" t="str">
        <f t="shared" ref="B64:B65" si="131">_xlfn.CONCAT("@",U64,V64,W64,X64,Y64,Z64,AA64,AB64,AC64,"-(",B$3,")")</f>
        <v>@case_width-trunk-z10-(mtb)</v>
      </c>
      <c r="C64" s="84" t="str">
        <f t="shared" ref="C64:C65" si="132">D64</f>
        <v>4.0</v>
      </c>
      <c r="D64" s="71" t="s">
        <v>158</v>
      </c>
      <c r="E64" s="85" t="str">
        <f t="shared" ref="E64:E65" si="133">_xlfn.CONCAT("@",U64,V64,W64,X64,Y64,Z64,AA64,AB64,AC64,"-(",E$3,")")</f>
        <v>@case_width-trunk-z10-(mtb-hc)</v>
      </c>
      <c r="F64" s="84" t="str">
        <f t="shared" si="62"/>
        <v>4.0</v>
      </c>
      <c r="G64" s="86" t="str">
        <f t="shared" ref="G64:G65" si="134">D64</f>
        <v>4.0</v>
      </c>
      <c r="H64" s="83" t="str">
        <f t="shared" ref="H64:H65" si="135">_xlfn.CONCAT("@",U64,V64,W64,X64,Y64,Z64,AA64,AB64,AC64,"-(",H$3,")")</f>
        <v>@case_width-trunk-z10-(gr)</v>
      </c>
      <c r="I64" s="84" t="str">
        <f t="shared" ref="I64:I65" si="136">J64</f>
        <v>4.0</v>
      </c>
      <c r="J64" s="84" t="str">
        <f t="shared" ref="J64:J65" si="137">D64</f>
        <v>4.0</v>
      </c>
      <c r="K64" s="85" t="str">
        <f t="shared" ref="K64:K65" si="138">_xlfn.CONCAT("@",U64,V64,W64,X64,Y64,Z64,AA64,AB64,AC64,"-(",K$3,")")</f>
        <v>@case_width-trunk-z10-(gr-hc)</v>
      </c>
      <c r="L64" s="84" t="str">
        <f t="shared" ref="L64:L65" si="139">M64</f>
        <v>4.0</v>
      </c>
      <c r="M64" s="86" t="str">
        <f t="shared" ref="M64:M65" si="140">G64</f>
        <v>4.0</v>
      </c>
      <c r="N64" s="93" t="str">
        <f t="shared" ref="N64:N65" si="141">_xlfn.CONCAT("@",U64,V64,W64,X64,Y64,Z64,AA64,AB64,AC64,"-(",N$3,")")</f>
        <v>@case_width-trunk-z10-(wnt)</v>
      </c>
      <c r="O64" s="94" t="str">
        <f t="shared" si="63"/>
        <v>4.0</v>
      </c>
      <c r="P64" s="84" t="str">
        <f t="shared" si="126"/>
        <v>4.0</v>
      </c>
      <c r="Q64" s="95" t="str">
        <f t="shared" ref="Q64:Q65" si="142">_xlfn.CONCAT("@",U64,V64,W64,X64,Y64,Z64,AA64,AB64,AC64,"-(",Q$3,")")</f>
        <v>@case_width-trunk-z10-(wnt-hc)</v>
      </c>
      <c r="R64" s="94" t="str">
        <f t="shared" ref="R64:R65" si="143">S64</f>
        <v>4.0</v>
      </c>
      <c r="S64" s="86" t="str">
        <f t="shared" si="127"/>
        <v>4.0</v>
      </c>
      <c r="U64" s="69" t="s">
        <v>144</v>
      </c>
      <c r="V64" s="82" t="str">
        <f t="shared" si="128"/>
        <v>-</v>
      </c>
      <c r="W64" s="69" t="s">
        <v>42</v>
      </c>
      <c r="X64" s="82"/>
      <c r="Y64" s="69"/>
      <c r="Z64" s="82" t="str">
        <f t="shared" si="129"/>
        <v/>
      </c>
      <c r="AA64" s="82"/>
      <c r="AB64" s="82" t="str">
        <f t="shared" si="130"/>
        <v>-</v>
      </c>
      <c r="AC64" s="69" t="s">
        <v>169</v>
      </c>
    </row>
    <row r="65" spans="1:29" x14ac:dyDescent="0.25">
      <c r="B65" s="83" t="str">
        <f t="shared" si="131"/>
        <v>@case_width-trunk-z20-(mtb)</v>
      </c>
      <c r="C65" s="84" t="str">
        <f t="shared" si="132"/>
        <v>22.0</v>
      </c>
      <c r="D65" s="71" t="s">
        <v>207</v>
      </c>
      <c r="E65" s="85" t="str">
        <f t="shared" si="133"/>
        <v>@case_width-trunk-z20-(mtb-hc)</v>
      </c>
      <c r="F65" s="84" t="str">
        <f t="shared" si="62"/>
        <v>22.0</v>
      </c>
      <c r="G65" s="86" t="str">
        <f t="shared" si="134"/>
        <v>22.0</v>
      </c>
      <c r="H65" s="83" t="str">
        <f t="shared" si="135"/>
        <v>@case_width-trunk-z20-(gr)</v>
      </c>
      <c r="I65" s="84" t="str">
        <f t="shared" si="136"/>
        <v>22.0</v>
      </c>
      <c r="J65" s="84" t="str">
        <f t="shared" si="137"/>
        <v>22.0</v>
      </c>
      <c r="K65" s="85" t="str">
        <f t="shared" si="138"/>
        <v>@case_width-trunk-z20-(gr-hc)</v>
      </c>
      <c r="L65" s="84" t="str">
        <f t="shared" si="139"/>
        <v>22.0</v>
      </c>
      <c r="M65" s="86" t="str">
        <f t="shared" si="140"/>
        <v>22.0</v>
      </c>
      <c r="N65" s="93" t="str">
        <f t="shared" si="141"/>
        <v>@case_width-trunk-z20-(wnt)</v>
      </c>
      <c r="O65" s="94" t="str">
        <f t="shared" si="63"/>
        <v>22.0</v>
      </c>
      <c r="P65" s="84" t="str">
        <f t="shared" si="126"/>
        <v>22.0</v>
      </c>
      <c r="Q65" s="95" t="str">
        <f t="shared" si="142"/>
        <v>@case_width-trunk-z20-(wnt-hc)</v>
      </c>
      <c r="R65" s="94" t="str">
        <f t="shared" si="143"/>
        <v>22.0</v>
      </c>
      <c r="S65" s="86" t="str">
        <f t="shared" si="127"/>
        <v>22.0</v>
      </c>
      <c r="U65" s="69" t="s">
        <v>144</v>
      </c>
      <c r="V65" s="82" t="str">
        <f t="shared" si="128"/>
        <v>-</v>
      </c>
      <c r="W65" s="69" t="s">
        <v>42</v>
      </c>
      <c r="X65" s="82"/>
      <c r="Y65" s="69"/>
      <c r="Z65" s="82" t="str">
        <f t="shared" si="129"/>
        <v/>
      </c>
      <c r="AA65" s="82"/>
      <c r="AB65" s="82" t="str">
        <f t="shared" si="130"/>
        <v>-</v>
      </c>
      <c r="AC65" s="69" t="s">
        <v>205</v>
      </c>
    </row>
    <row r="66" spans="1:29" x14ac:dyDescent="0.25">
      <c r="A66" s="70" t="s">
        <v>214</v>
      </c>
      <c r="B66" s="79"/>
      <c r="C66" s="70"/>
      <c r="D66" s="72"/>
      <c r="E66" s="81"/>
      <c r="F66" s="70"/>
      <c r="G66" s="80"/>
      <c r="H66" s="79"/>
      <c r="I66" s="70"/>
      <c r="J66" s="72"/>
      <c r="K66" s="81"/>
      <c r="L66" s="70"/>
      <c r="M66" s="80"/>
      <c r="N66" s="79"/>
      <c r="O66" s="70"/>
      <c r="P66" s="72"/>
      <c r="Q66" s="81"/>
      <c r="R66" s="70"/>
      <c r="S66" s="80"/>
      <c r="T66" s="76"/>
      <c r="U66" s="70"/>
      <c r="V66" s="76"/>
      <c r="W66" s="70"/>
      <c r="X66" s="76"/>
      <c r="Y66" s="70"/>
      <c r="Z66" s="76"/>
      <c r="AA66" s="76"/>
      <c r="AB66" s="76"/>
      <c r="AC66" s="70"/>
    </row>
    <row r="67" spans="1:29" x14ac:dyDescent="0.25">
      <c r="B67" s="83" t="str">
        <f>_xlfn.CONCAT("@",U67,V67,W67,X67,Y67,Z67,AA67,AB67,AC67,"-(",B$3,")")</f>
        <v>@line_width-trunk-z7-(mtb)</v>
      </c>
      <c r="C67" s="84" t="str">
        <f>D67</f>
        <v>0.5</v>
      </c>
      <c r="D67" s="71" t="s">
        <v>161</v>
      </c>
      <c r="E67" s="85" t="str">
        <f>_xlfn.CONCAT("@",U67,V67,W67,X67,Y67,Z67,AA67,AB67,AC67,"-(",E$3,")")</f>
        <v>@line_width-trunk-z7-(mtb-hc)</v>
      </c>
      <c r="F67" s="84" t="str">
        <f t="shared" si="62"/>
        <v>0.5</v>
      </c>
      <c r="G67" s="86" t="str">
        <f t="shared" ref="G67:G71" si="144">D67</f>
        <v>0.5</v>
      </c>
      <c r="H67" s="83" t="str">
        <f>_xlfn.CONCAT("@",U67,V67,W67,X67,Y67,Z67,AA67,AB67,AC67,"-(",H$3,")")</f>
        <v>@line_width-trunk-z7-(gr)</v>
      </c>
      <c r="I67" s="84" t="str">
        <f>J67</f>
        <v>0.5</v>
      </c>
      <c r="J67" s="84" t="str">
        <f t="shared" ref="J67:J71" si="145">D67</f>
        <v>0.5</v>
      </c>
      <c r="K67" s="85" t="str">
        <f>_xlfn.CONCAT("@",U67,V67,W67,X67,Y67,Z67,AA67,AB67,AC67,"-(",K$3,")")</f>
        <v>@line_width-trunk-z7-(gr-hc)</v>
      </c>
      <c r="L67" s="84" t="str">
        <f>M67</f>
        <v>0.5</v>
      </c>
      <c r="M67" s="86" t="str">
        <f t="shared" ref="M67:M71" si="146">G67</f>
        <v>0.5</v>
      </c>
      <c r="N67" s="93" t="str">
        <f>_xlfn.CONCAT("@",U67,V67,W67,X67,Y67,Z67,AA67,AB67,AC67,"-(",N$3,")")</f>
        <v>@line_width-trunk-z7-(wnt)</v>
      </c>
      <c r="O67" s="94" t="str">
        <f t="shared" si="63"/>
        <v>0.5</v>
      </c>
      <c r="P67" s="84" t="str">
        <f t="shared" ref="P67:P71" si="147">D67</f>
        <v>0.5</v>
      </c>
      <c r="Q67" s="95" t="str">
        <f>_xlfn.CONCAT("@",U67,V67,W67,X67,Y67,Z67,AA67,AB67,AC67,"-(",Q$3,")")</f>
        <v>@line_width-trunk-z7-(wnt-hc)</v>
      </c>
      <c r="R67" s="94" t="str">
        <f>S67</f>
        <v>0.5</v>
      </c>
      <c r="S67" s="86" t="str">
        <f t="shared" ref="S67:S71" si="148">G67</f>
        <v>0.5</v>
      </c>
      <c r="U67" s="69" t="s">
        <v>185</v>
      </c>
      <c r="V67" s="82" t="str">
        <f t="shared" ref="V67:V71" si="149">IF(NOT(ISBLANK(W67)),"-","")</f>
        <v>-</v>
      </c>
      <c r="W67" s="69" t="s">
        <v>42</v>
      </c>
      <c r="X67" s="82"/>
      <c r="Y67" s="69"/>
      <c r="Z67" s="82" t="str">
        <f t="shared" ref="Z67:Z71" si="150">IF(NOT(ISBLANK(AA67)),"_","")</f>
        <v/>
      </c>
      <c r="AA67" s="82"/>
      <c r="AB67" s="82" t="str">
        <f t="shared" ref="AB67:AB71" si="151">IF(NOT(ISBLANK(AC67)),"-","")</f>
        <v>-</v>
      </c>
      <c r="AC67" s="69" t="s">
        <v>210</v>
      </c>
    </row>
    <row r="68" spans="1:29" x14ac:dyDescent="0.25">
      <c r="B68" s="83" t="str">
        <f t="shared" ref="B68:B71" si="152">_xlfn.CONCAT("@",U68,V68,W68,X68,Y68,Z68,AA68,AB68,AC68,"-(",B$3,")")</f>
        <v>@line_width-trunk-z10-(mtb)</v>
      </c>
      <c r="C68" s="84" t="str">
        <f t="shared" ref="C68:C71" si="153">D68</f>
        <v>2.0</v>
      </c>
      <c r="D68" s="71" t="s">
        <v>151</v>
      </c>
      <c r="E68" s="85" t="str">
        <f t="shared" ref="E68:E71" si="154">_xlfn.CONCAT("@",U68,V68,W68,X68,Y68,Z68,AA68,AB68,AC68,"-(",E$3,")")</f>
        <v>@line_width-trunk-z10-(mtb-hc)</v>
      </c>
      <c r="F68" s="84" t="str">
        <f t="shared" si="62"/>
        <v>2.0</v>
      </c>
      <c r="G68" s="86" t="str">
        <f t="shared" si="144"/>
        <v>2.0</v>
      </c>
      <c r="H68" s="83" t="str">
        <f t="shared" ref="H68:H71" si="155">_xlfn.CONCAT("@",U68,V68,W68,X68,Y68,Z68,AA68,AB68,AC68,"-(",H$3,")")</f>
        <v>@line_width-trunk-z10-(gr)</v>
      </c>
      <c r="I68" s="84" t="str">
        <f t="shared" ref="I68:I71" si="156">J68</f>
        <v>2.0</v>
      </c>
      <c r="J68" s="84" t="str">
        <f t="shared" si="145"/>
        <v>2.0</v>
      </c>
      <c r="K68" s="85" t="str">
        <f t="shared" ref="K68:K71" si="157">_xlfn.CONCAT("@",U68,V68,W68,X68,Y68,Z68,AA68,AB68,AC68,"-(",K$3,")")</f>
        <v>@line_width-trunk-z10-(gr-hc)</v>
      </c>
      <c r="L68" s="84" t="str">
        <f t="shared" ref="L68:L71" si="158">M68</f>
        <v>2.0</v>
      </c>
      <c r="M68" s="86" t="str">
        <f t="shared" si="146"/>
        <v>2.0</v>
      </c>
      <c r="N68" s="93" t="str">
        <f t="shared" ref="N68:N71" si="159">_xlfn.CONCAT("@",U68,V68,W68,X68,Y68,Z68,AA68,AB68,AC68,"-(",N$3,")")</f>
        <v>@line_width-trunk-z10-(wnt)</v>
      </c>
      <c r="O68" s="94" t="str">
        <f t="shared" si="63"/>
        <v>2.0</v>
      </c>
      <c r="P68" s="84" t="str">
        <f t="shared" si="147"/>
        <v>2.0</v>
      </c>
      <c r="Q68" s="95" t="str">
        <f t="shared" ref="Q68:Q71" si="160">_xlfn.CONCAT("@",U68,V68,W68,X68,Y68,Z68,AA68,AB68,AC68,"-(",Q$3,")")</f>
        <v>@line_width-trunk-z10-(wnt-hc)</v>
      </c>
      <c r="R68" s="94" t="str">
        <f t="shared" ref="R68:R71" si="161">S68</f>
        <v>2.0</v>
      </c>
      <c r="S68" s="86" t="str">
        <f t="shared" si="148"/>
        <v>2.0</v>
      </c>
      <c r="U68" s="69" t="s">
        <v>185</v>
      </c>
      <c r="V68" s="82" t="str">
        <f t="shared" si="149"/>
        <v>-</v>
      </c>
      <c r="W68" s="69" t="s">
        <v>42</v>
      </c>
      <c r="X68" s="82"/>
      <c r="Y68" s="69"/>
      <c r="Z68" s="82" t="str">
        <f t="shared" si="150"/>
        <v/>
      </c>
      <c r="AA68" s="82"/>
      <c r="AB68" s="82" t="str">
        <f t="shared" si="151"/>
        <v>-</v>
      </c>
      <c r="AC68" s="69" t="s">
        <v>169</v>
      </c>
    </row>
    <row r="69" spans="1:29" x14ac:dyDescent="0.25">
      <c r="B69" s="83" t="str">
        <f t="shared" si="152"/>
        <v>@line_width-trunk-z12-(mtb)</v>
      </c>
      <c r="C69" s="84" t="str">
        <f t="shared" si="153"/>
        <v>3.4</v>
      </c>
      <c r="D69" s="71" t="s">
        <v>180</v>
      </c>
      <c r="E69" s="85" t="str">
        <f t="shared" si="154"/>
        <v>@line_width-trunk-z12-(mtb-hc)</v>
      </c>
      <c r="F69" s="84" t="str">
        <f t="shared" si="62"/>
        <v>3.4</v>
      </c>
      <c r="G69" s="86" t="str">
        <f t="shared" si="144"/>
        <v>3.4</v>
      </c>
      <c r="H69" s="83" t="str">
        <f t="shared" si="155"/>
        <v>@line_width-trunk-z12-(gr)</v>
      </c>
      <c r="I69" s="84" t="str">
        <f t="shared" si="156"/>
        <v>3.4</v>
      </c>
      <c r="J69" s="84" t="str">
        <f t="shared" si="145"/>
        <v>3.4</v>
      </c>
      <c r="K69" s="85" t="str">
        <f t="shared" si="157"/>
        <v>@line_width-trunk-z12-(gr-hc)</v>
      </c>
      <c r="L69" s="84" t="str">
        <f t="shared" si="158"/>
        <v>3.4</v>
      </c>
      <c r="M69" s="86" t="str">
        <f t="shared" si="146"/>
        <v>3.4</v>
      </c>
      <c r="N69" s="93" t="str">
        <f t="shared" si="159"/>
        <v>@line_width-trunk-z12-(wnt)</v>
      </c>
      <c r="O69" s="94" t="str">
        <f t="shared" si="63"/>
        <v>3.4</v>
      </c>
      <c r="P69" s="84" t="str">
        <f t="shared" si="147"/>
        <v>3.4</v>
      </c>
      <c r="Q69" s="95" t="str">
        <f t="shared" si="160"/>
        <v>@line_width-trunk-z12-(wnt-hc)</v>
      </c>
      <c r="R69" s="94" t="str">
        <f t="shared" si="161"/>
        <v>3.4</v>
      </c>
      <c r="S69" s="86" t="str">
        <f t="shared" si="148"/>
        <v>3.4</v>
      </c>
      <c r="U69" s="69" t="s">
        <v>185</v>
      </c>
      <c r="V69" s="82" t="str">
        <f t="shared" si="149"/>
        <v>-</v>
      </c>
      <c r="W69" s="69" t="s">
        <v>42</v>
      </c>
      <c r="X69" s="82"/>
      <c r="Y69" s="69"/>
      <c r="Z69" s="82" t="str">
        <f t="shared" si="150"/>
        <v/>
      </c>
      <c r="AA69" s="82"/>
      <c r="AB69" s="82" t="str">
        <f t="shared" si="151"/>
        <v>-</v>
      </c>
      <c r="AC69" s="69" t="s">
        <v>175</v>
      </c>
    </row>
    <row r="70" spans="1:29" x14ac:dyDescent="0.25">
      <c r="B70" s="83" t="str">
        <f t="shared" si="152"/>
        <v>@line_width-trunk-z14-(mtb)</v>
      </c>
      <c r="C70" s="84" t="str">
        <f t="shared" si="153"/>
        <v>4.6</v>
      </c>
      <c r="D70" s="71" t="s">
        <v>215</v>
      </c>
      <c r="E70" s="85" t="str">
        <f t="shared" si="154"/>
        <v>@line_width-trunk-z14-(mtb-hc)</v>
      </c>
      <c r="F70" s="84" t="str">
        <f t="shared" si="62"/>
        <v>4.6</v>
      </c>
      <c r="G70" s="86" t="str">
        <f t="shared" si="144"/>
        <v>4.6</v>
      </c>
      <c r="H70" s="83" t="str">
        <f t="shared" si="155"/>
        <v>@line_width-trunk-z14-(gr)</v>
      </c>
      <c r="I70" s="84" t="str">
        <f t="shared" si="156"/>
        <v>4.6</v>
      </c>
      <c r="J70" s="84" t="str">
        <f t="shared" si="145"/>
        <v>4.6</v>
      </c>
      <c r="K70" s="85" t="str">
        <f t="shared" si="157"/>
        <v>@line_width-trunk-z14-(gr-hc)</v>
      </c>
      <c r="L70" s="84" t="str">
        <f t="shared" si="158"/>
        <v>4.6</v>
      </c>
      <c r="M70" s="86" t="str">
        <f t="shared" si="146"/>
        <v>4.6</v>
      </c>
      <c r="N70" s="93" t="str">
        <f t="shared" si="159"/>
        <v>@line_width-trunk-z14-(wnt)</v>
      </c>
      <c r="O70" s="94" t="str">
        <f t="shared" si="63"/>
        <v>4.6</v>
      </c>
      <c r="P70" s="84" t="str">
        <f t="shared" si="147"/>
        <v>4.6</v>
      </c>
      <c r="Q70" s="95" t="str">
        <f t="shared" si="160"/>
        <v>@line_width-trunk-z14-(wnt-hc)</v>
      </c>
      <c r="R70" s="94" t="str">
        <f t="shared" si="161"/>
        <v>4.6</v>
      </c>
      <c r="S70" s="86" t="str">
        <f t="shared" si="148"/>
        <v>4.6</v>
      </c>
      <c r="U70" s="69" t="s">
        <v>185</v>
      </c>
      <c r="V70" s="82" t="str">
        <f t="shared" si="149"/>
        <v>-</v>
      </c>
      <c r="W70" s="69" t="s">
        <v>42</v>
      </c>
      <c r="X70" s="82"/>
      <c r="Y70" s="69"/>
      <c r="Z70" s="82" t="str">
        <f t="shared" si="150"/>
        <v/>
      </c>
      <c r="AA70" s="82"/>
      <c r="AB70" s="82" t="str">
        <f t="shared" si="151"/>
        <v>-</v>
      </c>
      <c r="AC70" s="69" t="s">
        <v>140</v>
      </c>
    </row>
    <row r="71" spans="1:29" x14ac:dyDescent="0.25">
      <c r="B71" s="83" t="str">
        <f t="shared" si="152"/>
        <v>@line_width-trunk-z20-(mtb)</v>
      </c>
      <c r="C71" s="84" t="str">
        <f t="shared" si="153"/>
        <v>18.0</v>
      </c>
      <c r="D71" s="71" t="s">
        <v>211</v>
      </c>
      <c r="E71" s="85" t="str">
        <f t="shared" si="154"/>
        <v>@line_width-trunk-z20-(mtb-hc)</v>
      </c>
      <c r="F71" s="84" t="str">
        <f t="shared" si="62"/>
        <v>18.0</v>
      </c>
      <c r="G71" s="86" t="str">
        <f t="shared" si="144"/>
        <v>18.0</v>
      </c>
      <c r="H71" s="83" t="str">
        <f t="shared" si="155"/>
        <v>@line_width-trunk-z20-(gr)</v>
      </c>
      <c r="I71" s="84" t="str">
        <f t="shared" si="156"/>
        <v>18.0</v>
      </c>
      <c r="J71" s="84" t="str">
        <f t="shared" si="145"/>
        <v>18.0</v>
      </c>
      <c r="K71" s="85" t="str">
        <f t="shared" si="157"/>
        <v>@line_width-trunk-z20-(gr-hc)</v>
      </c>
      <c r="L71" s="84" t="str">
        <f t="shared" si="158"/>
        <v>18.0</v>
      </c>
      <c r="M71" s="86" t="str">
        <f t="shared" si="146"/>
        <v>18.0</v>
      </c>
      <c r="N71" s="93" t="str">
        <f t="shared" si="159"/>
        <v>@line_width-trunk-z20-(wnt)</v>
      </c>
      <c r="O71" s="94" t="str">
        <f t="shared" si="63"/>
        <v>18.0</v>
      </c>
      <c r="P71" s="84" t="str">
        <f t="shared" si="147"/>
        <v>18.0</v>
      </c>
      <c r="Q71" s="95" t="str">
        <f t="shared" si="160"/>
        <v>@line_width-trunk-z20-(wnt-hc)</v>
      </c>
      <c r="R71" s="94" t="str">
        <f t="shared" si="161"/>
        <v>18.0</v>
      </c>
      <c r="S71" s="86" t="str">
        <f t="shared" si="148"/>
        <v>18.0</v>
      </c>
      <c r="U71" s="69" t="s">
        <v>185</v>
      </c>
      <c r="V71" s="82" t="str">
        <f t="shared" si="149"/>
        <v>-</v>
      </c>
      <c r="W71" s="69" t="s">
        <v>42</v>
      </c>
      <c r="X71" s="82"/>
      <c r="Y71" s="69"/>
      <c r="Z71" s="82" t="str">
        <f t="shared" si="150"/>
        <v/>
      </c>
      <c r="AA71" s="82"/>
      <c r="AB71" s="82" t="str">
        <f t="shared" si="151"/>
        <v>-</v>
      </c>
      <c r="AC71" s="69" t="s">
        <v>205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zoomScale="85" zoomScaleNormal="85" workbookViewId="0">
      <selection activeCell="F73" sqref="F73"/>
    </sheetView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6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65" t="s">
        <v>34</v>
      </c>
      <c r="E2" s="1"/>
      <c r="F2" s="1" t="s">
        <v>18</v>
      </c>
      <c r="G2" s="1"/>
      <c r="H2" s="1" t="s">
        <v>17</v>
      </c>
      <c r="I2" s="1"/>
      <c r="J2" s="1" t="s">
        <v>23</v>
      </c>
      <c r="K2" s="1"/>
      <c r="L2" s="1" t="s">
        <v>139</v>
      </c>
      <c r="M2" s="1"/>
      <c r="N2" s="1" t="s">
        <v>135</v>
      </c>
      <c r="O2" s="1"/>
      <c r="P2" s="1" t="s">
        <v>19</v>
      </c>
      <c r="Q2" s="1"/>
      <c r="R2" s="1" t="s">
        <v>20</v>
      </c>
    </row>
    <row r="3" spans="1:18" x14ac:dyDescent="0.25">
      <c r="A3" s="44" t="s">
        <v>134</v>
      </c>
      <c r="B3" s="44"/>
      <c r="C3" s="44"/>
      <c r="D3" s="66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</row>
    <row r="4" spans="1:18" x14ac:dyDescent="0.25">
      <c r="B4" s="1" t="str">
        <f>_xlfn.CONCAT("@",F4,G4,H4,I4,J4,K4,L4,M4,N4,O4,"(",P4,Q4,R4,")")</f>
        <v>@case_width-path_narrow-z11-(def)</v>
      </c>
      <c r="C4" s="65" t="str">
        <f>D4</f>
        <v>1.0</v>
      </c>
      <c r="D4" s="67" t="s">
        <v>146</v>
      </c>
      <c r="F4" s="2" t="s">
        <v>144</v>
      </c>
      <c r="G4" s="2" t="str">
        <f t="shared" ref="G4" si="0">IF(NOT(ISBLANK(H4)),"-","")</f>
        <v>-</v>
      </c>
      <c r="H4" s="2" t="s">
        <v>137</v>
      </c>
      <c r="I4" s="2" t="str">
        <f>IF(NOT(ISBLANK(J4)),"_","")</f>
        <v>_</v>
      </c>
      <c r="J4" s="2" t="s">
        <v>138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136</v>
      </c>
      <c r="O4" s="2" t="str">
        <f t="shared" si="2"/>
        <v>-</v>
      </c>
      <c r="P4" s="2" t="s">
        <v>25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65" t="str">
        <f t="shared" ref="C5:C28" si="4">D5</f>
        <v>1.3</v>
      </c>
      <c r="D5" s="67" t="s">
        <v>147</v>
      </c>
      <c r="F5" s="2" t="s">
        <v>144</v>
      </c>
      <c r="G5" s="2" t="str">
        <f t="shared" ref="G5:G6" si="5">IF(NOT(ISBLANK(H5)),"-","")</f>
        <v>-</v>
      </c>
      <c r="H5" s="2" t="s">
        <v>137</v>
      </c>
      <c r="I5" s="2" t="str">
        <f t="shared" ref="I5:I28" si="6">IF(NOT(ISBLANK(J5)),"_","")</f>
        <v>_</v>
      </c>
      <c r="J5" s="2" t="s">
        <v>138</v>
      </c>
      <c r="K5" s="2" t="str">
        <f t="shared" si="1"/>
        <v/>
      </c>
      <c r="M5" s="2" t="str">
        <f t="shared" si="2"/>
        <v>-</v>
      </c>
      <c r="N5" s="2" t="s">
        <v>140</v>
      </c>
      <c r="O5" s="2" t="str">
        <f t="shared" si="2"/>
        <v>-</v>
      </c>
      <c r="P5" s="2" t="s">
        <v>25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65" t="str">
        <f t="shared" si="4"/>
        <v>3.5</v>
      </c>
      <c r="D6" s="67" t="s">
        <v>148</v>
      </c>
      <c r="F6" s="2" t="s">
        <v>144</v>
      </c>
      <c r="G6" s="2" t="str">
        <f t="shared" si="5"/>
        <v>-</v>
      </c>
      <c r="H6" s="2" t="s">
        <v>137</v>
      </c>
      <c r="I6" s="2" t="str">
        <f t="shared" si="6"/>
        <v>_</v>
      </c>
      <c r="J6" s="2" t="s">
        <v>138</v>
      </c>
      <c r="K6" s="2" t="str">
        <f t="shared" si="1"/>
        <v/>
      </c>
      <c r="M6" s="2" t="str">
        <f t="shared" si="2"/>
        <v>-</v>
      </c>
      <c r="N6" s="2" t="s">
        <v>141</v>
      </c>
      <c r="O6" s="2" t="str">
        <f t="shared" si="2"/>
        <v>-</v>
      </c>
      <c r="P6" s="2" t="s">
        <v>25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65" t="str">
        <f t="shared" si="4"/>
        <v>5.0</v>
      </c>
      <c r="D7" s="67" t="s">
        <v>149</v>
      </c>
      <c r="F7" s="2" t="s">
        <v>144</v>
      </c>
      <c r="G7" s="2" t="str">
        <f t="shared" ref="G7:G19" si="7">IF(NOT(ISBLANK(H7)),"-","")</f>
        <v>-</v>
      </c>
      <c r="H7" s="2" t="s">
        <v>137</v>
      </c>
      <c r="I7" s="2" t="str">
        <f t="shared" si="6"/>
        <v>_</v>
      </c>
      <c r="J7" s="2" t="s">
        <v>138</v>
      </c>
      <c r="K7" s="2" t="str">
        <f t="shared" si="1"/>
        <v/>
      </c>
      <c r="M7" s="2" t="str">
        <f t="shared" si="2"/>
        <v>-</v>
      </c>
      <c r="N7" s="2" t="s">
        <v>142</v>
      </c>
      <c r="O7" s="2" t="str">
        <f t="shared" si="2"/>
        <v>-</v>
      </c>
      <c r="P7" s="2" t="s">
        <v>25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65" t="str">
        <f t="shared" si="4"/>
        <v>1.5</v>
      </c>
      <c r="D8" s="67" t="s">
        <v>150</v>
      </c>
      <c r="F8" s="2" t="s">
        <v>144</v>
      </c>
      <c r="G8" s="2" t="str">
        <f t="shared" si="7"/>
        <v>-</v>
      </c>
      <c r="H8" s="2" t="s">
        <v>137</v>
      </c>
      <c r="I8" s="2" t="str">
        <f t="shared" si="6"/>
        <v>_</v>
      </c>
      <c r="J8" s="2" t="s">
        <v>145</v>
      </c>
      <c r="K8" s="2" t="str">
        <f t="shared" si="1"/>
        <v/>
      </c>
      <c r="M8" s="2" t="str">
        <f t="shared" si="2"/>
        <v>-</v>
      </c>
      <c r="N8" s="2" t="s">
        <v>136</v>
      </c>
      <c r="O8" s="2" t="str">
        <f t="shared" si="2"/>
        <v>-</v>
      </c>
      <c r="P8" s="2" t="s">
        <v>25</v>
      </c>
    </row>
    <row r="9" spans="1:18" x14ac:dyDescent="0.25">
      <c r="B9" s="1" t="str">
        <f t="shared" si="8"/>
        <v>@case_width-path_medium-z14-(def)</v>
      </c>
      <c r="C9" s="65" t="str">
        <f t="shared" si="4"/>
        <v>2.0</v>
      </c>
      <c r="D9" s="67" t="s">
        <v>151</v>
      </c>
      <c r="F9" s="2" t="s">
        <v>144</v>
      </c>
      <c r="G9" s="2" t="str">
        <f t="shared" si="7"/>
        <v>-</v>
      </c>
      <c r="H9" s="2" t="s">
        <v>137</v>
      </c>
      <c r="I9" s="2" t="str">
        <f t="shared" si="6"/>
        <v>_</v>
      </c>
      <c r="J9" s="2" t="s">
        <v>145</v>
      </c>
      <c r="K9" s="2" t="str">
        <f t="shared" si="1"/>
        <v/>
      </c>
      <c r="M9" s="2" t="str">
        <f t="shared" si="2"/>
        <v>-</v>
      </c>
      <c r="N9" s="2" t="s">
        <v>140</v>
      </c>
      <c r="O9" s="2" t="str">
        <f t="shared" si="2"/>
        <v>-</v>
      </c>
      <c r="P9" s="2" t="s">
        <v>25</v>
      </c>
    </row>
    <row r="10" spans="1:18" x14ac:dyDescent="0.25">
      <c r="B10" s="1" t="str">
        <f t="shared" si="8"/>
        <v>@case_width-path_medium-z16-(def)</v>
      </c>
      <c r="C10" s="65" t="str">
        <f t="shared" si="4"/>
        <v>6.0</v>
      </c>
      <c r="D10" s="67" t="s">
        <v>152</v>
      </c>
      <c r="F10" s="2" t="s">
        <v>144</v>
      </c>
      <c r="G10" s="2" t="str">
        <f t="shared" si="7"/>
        <v>-</v>
      </c>
      <c r="H10" s="2" t="s">
        <v>137</v>
      </c>
      <c r="I10" s="2" t="str">
        <f t="shared" si="6"/>
        <v>_</v>
      </c>
      <c r="J10" s="2" t="s">
        <v>145</v>
      </c>
      <c r="K10" s="2" t="str">
        <f t="shared" si="1"/>
        <v/>
      </c>
      <c r="M10" s="2" t="str">
        <f t="shared" si="2"/>
        <v>-</v>
      </c>
      <c r="N10" s="2" t="s">
        <v>141</v>
      </c>
      <c r="O10" s="2" t="str">
        <f t="shared" si="2"/>
        <v>-</v>
      </c>
      <c r="P10" s="2" t="s">
        <v>25</v>
      </c>
    </row>
    <row r="11" spans="1:18" x14ac:dyDescent="0.25">
      <c r="B11" s="1" t="str">
        <f t="shared" si="8"/>
        <v>@case_width-path_medium-z18-(def)</v>
      </c>
      <c r="C11" s="65" t="str">
        <f t="shared" si="4"/>
        <v>9.0</v>
      </c>
      <c r="D11" s="67" t="s">
        <v>153</v>
      </c>
      <c r="F11" s="2" t="s">
        <v>144</v>
      </c>
      <c r="G11" s="2" t="str">
        <f t="shared" si="7"/>
        <v>-</v>
      </c>
      <c r="H11" s="2" t="s">
        <v>137</v>
      </c>
      <c r="I11" s="2" t="str">
        <f t="shared" si="6"/>
        <v>_</v>
      </c>
      <c r="J11" s="2" t="s">
        <v>145</v>
      </c>
      <c r="K11" s="2" t="str">
        <f t="shared" si="1"/>
        <v/>
      </c>
      <c r="M11" s="2" t="str">
        <f t="shared" si="2"/>
        <v>-</v>
      </c>
      <c r="N11" s="2" t="s">
        <v>142</v>
      </c>
      <c r="O11" s="2" t="str">
        <f t="shared" si="2"/>
        <v>-</v>
      </c>
      <c r="P11" s="2" t="s">
        <v>25</v>
      </c>
    </row>
    <row r="12" spans="1:18" x14ac:dyDescent="0.25">
      <c r="B12" s="1" t="str">
        <f t="shared" si="8"/>
        <v>@case_width-path_wide-z11-(def)</v>
      </c>
      <c r="C12" s="65" t="str">
        <f t="shared" si="4"/>
        <v>2.0</v>
      </c>
      <c r="D12" s="67" t="s">
        <v>151</v>
      </c>
      <c r="F12" s="2" t="s">
        <v>144</v>
      </c>
      <c r="G12" s="2" t="str">
        <f t="shared" si="7"/>
        <v>-</v>
      </c>
      <c r="H12" s="2" t="s">
        <v>137</v>
      </c>
      <c r="I12" s="2" t="str">
        <f t="shared" si="6"/>
        <v>_</v>
      </c>
      <c r="J12" s="2" t="s">
        <v>143</v>
      </c>
      <c r="K12" s="2" t="str">
        <f t="shared" si="1"/>
        <v/>
      </c>
      <c r="M12" s="2" t="str">
        <f t="shared" si="2"/>
        <v>-</v>
      </c>
      <c r="N12" s="2" t="s">
        <v>136</v>
      </c>
      <c r="O12" s="2" t="str">
        <f t="shared" si="2"/>
        <v>-</v>
      </c>
      <c r="P12" s="2" t="s">
        <v>25</v>
      </c>
    </row>
    <row r="13" spans="1:18" x14ac:dyDescent="0.25">
      <c r="B13" s="1" t="str">
        <f t="shared" si="8"/>
        <v>@case_width-path_wide-z14-(def)</v>
      </c>
      <c r="C13" s="65" t="str">
        <f t="shared" si="4"/>
        <v>3.0</v>
      </c>
      <c r="D13" s="67" t="s">
        <v>154</v>
      </c>
      <c r="F13" s="2" t="s">
        <v>144</v>
      </c>
      <c r="G13" s="2" t="str">
        <f t="shared" si="7"/>
        <v>-</v>
      </c>
      <c r="H13" s="2" t="s">
        <v>137</v>
      </c>
      <c r="I13" s="2" t="str">
        <f t="shared" si="6"/>
        <v>_</v>
      </c>
      <c r="J13" s="2" t="s">
        <v>143</v>
      </c>
      <c r="K13" s="2" t="str">
        <f t="shared" si="1"/>
        <v/>
      </c>
      <c r="M13" s="2" t="str">
        <f t="shared" si="2"/>
        <v>-</v>
      </c>
      <c r="N13" s="2" t="s">
        <v>140</v>
      </c>
      <c r="O13" s="2" t="str">
        <f t="shared" si="2"/>
        <v>-</v>
      </c>
      <c r="P13" s="2" t="s">
        <v>25</v>
      </c>
    </row>
    <row r="14" spans="1:18" x14ac:dyDescent="0.25">
      <c r="B14" s="1" t="str">
        <f t="shared" si="8"/>
        <v>@case_width-path_wide-z16-(def)</v>
      </c>
      <c r="C14" s="65" t="str">
        <f t="shared" si="4"/>
        <v>9.0</v>
      </c>
      <c r="D14" s="67" t="s">
        <v>153</v>
      </c>
      <c r="F14" s="2" t="s">
        <v>144</v>
      </c>
      <c r="G14" s="2" t="str">
        <f t="shared" si="7"/>
        <v>-</v>
      </c>
      <c r="H14" s="2" t="s">
        <v>137</v>
      </c>
      <c r="I14" s="2" t="str">
        <f t="shared" si="6"/>
        <v>_</v>
      </c>
      <c r="J14" s="2" t="s">
        <v>143</v>
      </c>
      <c r="K14" s="2" t="str">
        <f t="shared" si="1"/>
        <v/>
      </c>
      <c r="M14" s="2" t="str">
        <f t="shared" si="2"/>
        <v>-</v>
      </c>
      <c r="N14" s="2" t="s">
        <v>141</v>
      </c>
      <c r="O14" s="2" t="str">
        <f t="shared" si="2"/>
        <v>-</v>
      </c>
      <c r="P14" s="2" t="s">
        <v>25</v>
      </c>
    </row>
    <row r="15" spans="1:18" x14ac:dyDescent="0.25">
      <c r="B15" s="1" t="str">
        <f t="shared" si="8"/>
        <v>@case_width-path_wide-z18-(def)</v>
      </c>
      <c r="C15" s="65" t="str">
        <f t="shared" si="4"/>
        <v>15.0</v>
      </c>
      <c r="D15" s="67" t="s">
        <v>155</v>
      </c>
      <c r="F15" s="2" t="s">
        <v>144</v>
      </c>
      <c r="G15" s="2" t="str">
        <f t="shared" si="7"/>
        <v>-</v>
      </c>
      <c r="H15" s="2" t="s">
        <v>137</v>
      </c>
      <c r="I15" s="2" t="str">
        <f t="shared" si="6"/>
        <v>_</v>
      </c>
      <c r="J15" s="2" t="s">
        <v>143</v>
      </c>
      <c r="K15" s="2" t="str">
        <f t="shared" si="1"/>
        <v/>
      </c>
      <c r="M15" s="2" t="str">
        <f t="shared" si="2"/>
        <v>-</v>
      </c>
      <c r="N15" s="2" t="s">
        <v>142</v>
      </c>
      <c r="O15" s="2" t="str">
        <f t="shared" si="2"/>
        <v>-</v>
      </c>
      <c r="P15" s="2" t="s">
        <v>25</v>
      </c>
    </row>
    <row r="16" spans="1:18" x14ac:dyDescent="0.25">
      <c r="B16" s="1"/>
      <c r="C16" s="65"/>
    </row>
    <row r="17" spans="2:18" x14ac:dyDescent="0.25">
      <c r="B17" s="1" t="str">
        <f>_xlfn.CONCAT("@",F17,G17,H17,I17,J17,K17,L17,M17,N17,O17,"(",P17,Q17,R17,")")</f>
        <v>@case_width-path_narrow-z11-(def-hc)</v>
      </c>
      <c r="C17" s="65" t="str">
        <f>D17</f>
        <v>2.0</v>
      </c>
      <c r="D17" s="67" t="s">
        <v>151</v>
      </c>
      <c r="F17" s="2" t="s">
        <v>144</v>
      </c>
      <c r="G17" s="2" t="str">
        <f t="shared" si="7"/>
        <v>-</v>
      </c>
      <c r="H17" s="2" t="s">
        <v>137</v>
      </c>
      <c r="I17" s="2" t="str">
        <f t="shared" si="6"/>
        <v>_</v>
      </c>
      <c r="J17" s="2" t="s">
        <v>138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136</v>
      </c>
      <c r="O17" s="2" t="str">
        <f t="shared" ref="O17:O28" si="10">IF(NOT(ISBLANK(P17)),"-","")</f>
        <v>-</v>
      </c>
      <c r="P17" s="2" t="s">
        <v>25</v>
      </c>
      <c r="Q17" s="2" t="str">
        <f t="shared" ref="Q17:Q28" si="11">IF(NOT(ISBLANK(R17)),"-","")</f>
        <v>-</v>
      </c>
      <c r="R17" s="2" t="s">
        <v>26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65" t="str">
        <f t="shared" si="4"/>
        <v>2.5</v>
      </c>
      <c r="D18" s="67" t="s">
        <v>156</v>
      </c>
      <c r="F18" s="2" t="s">
        <v>144</v>
      </c>
      <c r="G18" s="2" t="str">
        <f t="shared" si="7"/>
        <v>-</v>
      </c>
      <c r="H18" s="2" t="s">
        <v>137</v>
      </c>
      <c r="I18" s="2" t="str">
        <f t="shared" si="6"/>
        <v>_</v>
      </c>
      <c r="J18" s="2" t="s">
        <v>138</v>
      </c>
      <c r="K18" s="2" t="str">
        <f t="shared" si="1"/>
        <v/>
      </c>
      <c r="M18" s="2" t="str">
        <f t="shared" si="9"/>
        <v>-</v>
      </c>
      <c r="N18" s="2" t="s">
        <v>140</v>
      </c>
      <c r="O18" s="2" t="str">
        <f t="shared" si="10"/>
        <v>-</v>
      </c>
      <c r="P18" s="2" t="s">
        <v>25</v>
      </c>
      <c r="Q18" s="2" t="str">
        <f t="shared" si="11"/>
        <v>-</v>
      </c>
      <c r="R18" s="2" t="s">
        <v>26</v>
      </c>
    </row>
    <row r="19" spans="2:18" x14ac:dyDescent="0.25">
      <c r="B19" s="1" t="str">
        <f t="shared" si="12"/>
        <v>@case_width-path_narrow-z16-(def-hc)</v>
      </c>
      <c r="C19" s="65" t="str">
        <f t="shared" si="4"/>
        <v>3.0</v>
      </c>
      <c r="D19" s="67" t="s">
        <v>154</v>
      </c>
      <c r="F19" s="2" t="s">
        <v>144</v>
      </c>
      <c r="G19" s="2" t="str">
        <f t="shared" si="7"/>
        <v>-</v>
      </c>
      <c r="H19" s="2" t="s">
        <v>137</v>
      </c>
      <c r="I19" s="2" t="str">
        <f t="shared" si="6"/>
        <v>_</v>
      </c>
      <c r="J19" s="2" t="s">
        <v>138</v>
      </c>
      <c r="K19" s="2" t="str">
        <f t="shared" si="1"/>
        <v/>
      </c>
      <c r="M19" s="2" t="str">
        <f t="shared" si="9"/>
        <v>-</v>
      </c>
      <c r="N19" s="2" t="s">
        <v>141</v>
      </c>
      <c r="O19" s="2" t="str">
        <f t="shared" si="10"/>
        <v>-</v>
      </c>
      <c r="P19" s="2" t="s">
        <v>25</v>
      </c>
      <c r="Q19" s="2" t="str">
        <f t="shared" si="11"/>
        <v>-</v>
      </c>
      <c r="R19" s="2" t="s">
        <v>26</v>
      </c>
    </row>
    <row r="20" spans="2:18" x14ac:dyDescent="0.25">
      <c r="B20" s="1" t="str">
        <f t="shared" si="12"/>
        <v>@case_width-path_narrow-z18-(def-hc)</v>
      </c>
      <c r="C20" s="65" t="str">
        <f t="shared" si="4"/>
        <v>7.5</v>
      </c>
      <c r="D20" s="67" t="s">
        <v>157</v>
      </c>
      <c r="F20" s="2" t="s">
        <v>144</v>
      </c>
      <c r="G20" s="2" t="str">
        <f t="shared" ref="G20:G28" si="13">IF(NOT(ISBLANK(H20)),"-","")</f>
        <v>-</v>
      </c>
      <c r="H20" s="2" t="s">
        <v>137</v>
      </c>
      <c r="I20" s="2" t="str">
        <f t="shared" si="6"/>
        <v>_</v>
      </c>
      <c r="J20" s="2" t="s">
        <v>138</v>
      </c>
      <c r="K20" s="2" t="str">
        <f t="shared" si="1"/>
        <v/>
      </c>
      <c r="M20" s="2" t="str">
        <f t="shared" si="9"/>
        <v>-</v>
      </c>
      <c r="N20" s="2" t="s">
        <v>142</v>
      </c>
      <c r="O20" s="2" t="str">
        <f t="shared" si="10"/>
        <v>-</v>
      </c>
      <c r="P20" s="2" t="s">
        <v>25</v>
      </c>
      <c r="Q20" s="2" t="str">
        <f t="shared" si="11"/>
        <v>-</v>
      </c>
      <c r="R20" s="2" t="s">
        <v>26</v>
      </c>
    </row>
    <row r="21" spans="2:18" x14ac:dyDescent="0.25">
      <c r="B21" s="1" t="str">
        <f t="shared" si="12"/>
        <v>@case_width-path_medium-z11-(def-hc)</v>
      </c>
      <c r="C21" s="65" t="str">
        <f t="shared" si="4"/>
        <v>3.0</v>
      </c>
      <c r="D21" s="67" t="s">
        <v>154</v>
      </c>
      <c r="F21" s="2" t="s">
        <v>144</v>
      </c>
      <c r="G21" s="2" t="str">
        <f t="shared" si="13"/>
        <v>-</v>
      </c>
      <c r="H21" s="2" t="s">
        <v>137</v>
      </c>
      <c r="I21" s="2" t="str">
        <f t="shared" si="6"/>
        <v>_</v>
      </c>
      <c r="J21" s="2" t="s">
        <v>145</v>
      </c>
      <c r="K21" s="2" t="str">
        <f t="shared" si="1"/>
        <v/>
      </c>
      <c r="M21" s="2" t="str">
        <f t="shared" si="9"/>
        <v>-</v>
      </c>
      <c r="N21" s="2" t="s">
        <v>136</v>
      </c>
      <c r="O21" s="2" t="str">
        <f t="shared" si="10"/>
        <v>-</v>
      </c>
      <c r="P21" s="2" t="s">
        <v>25</v>
      </c>
      <c r="Q21" s="2" t="str">
        <f t="shared" si="11"/>
        <v>-</v>
      </c>
      <c r="R21" s="2" t="s">
        <v>26</v>
      </c>
    </row>
    <row r="22" spans="2:18" x14ac:dyDescent="0.25">
      <c r="B22" s="1" t="str">
        <f t="shared" si="12"/>
        <v>@case_width-path_medium-z14-(def-hc)</v>
      </c>
      <c r="C22" s="65" t="str">
        <f t="shared" si="4"/>
        <v>4.0</v>
      </c>
      <c r="D22" s="67" t="s">
        <v>158</v>
      </c>
      <c r="F22" s="2" t="s">
        <v>144</v>
      </c>
      <c r="G22" s="2" t="str">
        <f t="shared" si="13"/>
        <v>-</v>
      </c>
      <c r="H22" s="2" t="s">
        <v>137</v>
      </c>
      <c r="I22" s="2" t="str">
        <f t="shared" si="6"/>
        <v>_</v>
      </c>
      <c r="J22" s="2" t="s">
        <v>145</v>
      </c>
      <c r="K22" s="2" t="str">
        <f t="shared" si="1"/>
        <v/>
      </c>
      <c r="M22" s="2" t="str">
        <f t="shared" si="9"/>
        <v>-</v>
      </c>
      <c r="N22" s="2" t="s">
        <v>140</v>
      </c>
      <c r="O22" s="2" t="str">
        <f t="shared" si="10"/>
        <v>-</v>
      </c>
      <c r="P22" s="2" t="s">
        <v>25</v>
      </c>
      <c r="Q22" s="2" t="str">
        <f t="shared" si="11"/>
        <v>-</v>
      </c>
      <c r="R22" s="2" t="s">
        <v>26</v>
      </c>
    </row>
    <row r="23" spans="2:18" x14ac:dyDescent="0.25">
      <c r="B23" s="1" t="str">
        <f t="shared" si="12"/>
        <v>@case_width-path_medium-z16-(def-hc)</v>
      </c>
      <c r="C23" s="65" t="str">
        <f t="shared" si="4"/>
        <v>6.0</v>
      </c>
      <c r="D23" s="67" t="s">
        <v>152</v>
      </c>
      <c r="F23" s="2" t="s">
        <v>144</v>
      </c>
      <c r="G23" s="2" t="str">
        <f t="shared" si="13"/>
        <v>-</v>
      </c>
      <c r="H23" s="2" t="s">
        <v>137</v>
      </c>
      <c r="I23" s="2" t="str">
        <f t="shared" si="6"/>
        <v>_</v>
      </c>
      <c r="J23" s="2" t="s">
        <v>145</v>
      </c>
      <c r="K23" s="2" t="str">
        <f t="shared" si="1"/>
        <v/>
      </c>
      <c r="M23" s="2" t="str">
        <f t="shared" si="9"/>
        <v>-</v>
      </c>
      <c r="N23" s="2" t="s">
        <v>141</v>
      </c>
      <c r="O23" s="2" t="str">
        <f t="shared" si="10"/>
        <v>-</v>
      </c>
      <c r="P23" s="2" t="s">
        <v>25</v>
      </c>
      <c r="Q23" s="2" t="str">
        <f t="shared" si="11"/>
        <v>-</v>
      </c>
      <c r="R23" s="2" t="s">
        <v>26</v>
      </c>
    </row>
    <row r="24" spans="2:18" x14ac:dyDescent="0.25">
      <c r="B24" s="1" t="str">
        <f t="shared" si="12"/>
        <v>@case_width-path_medium-z18-(def-hc)</v>
      </c>
      <c r="C24" s="65" t="str">
        <f t="shared" si="4"/>
        <v>13.5</v>
      </c>
      <c r="D24" s="67" t="s">
        <v>159</v>
      </c>
      <c r="F24" s="2" t="s">
        <v>144</v>
      </c>
      <c r="G24" s="2" t="str">
        <f t="shared" si="13"/>
        <v>-</v>
      </c>
      <c r="H24" s="2" t="s">
        <v>137</v>
      </c>
      <c r="I24" s="2" t="str">
        <f t="shared" si="6"/>
        <v>_</v>
      </c>
      <c r="J24" s="2" t="s">
        <v>145</v>
      </c>
      <c r="K24" s="2" t="str">
        <f t="shared" si="1"/>
        <v/>
      </c>
      <c r="M24" s="2" t="str">
        <f t="shared" si="9"/>
        <v>-</v>
      </c>
      <c r="N24" s="2" t="s">
        <v>142</v>
      </c>
      <c r="O24" s="2" t="str">
        <f t="shared" si="10"/>
        <v>-</v>
      </c>
      <c r="P24" s="2" t="s">
        <v>25</v>
      </c>
      <c r="Q24" s="2" t="str">
        <f t="shared" si="11"/>
        <v>-</v>
      </c>
      <c r="R24" s="2" t="s">
        <v>26</v>
      </c>
    </row>
    <row r="25" spans="2:18" x14ac:dyDescent="0.25">
      <c r="B25" s="1" t="str">
        <f t="shared" si="12"/>
        <v>@case_width-path_wide-z11-(def-hc)</v>
      </c>
      <c r="C25" s="65" t="str">
        <f t="shared" si="4"/>
        <v>4.0</v>
      </c>
      <c r="D25" s="67" t="s">
        <v>158</v>
      </c>
      <c r="F25" s="2" t="s">
        <v>144</v>
      </c>
      <c r="G25" s="2" t="str">
        <f t="shared" si="13"/>
        <v>-</v>
      </c>
      <c r="H25" s="2" t="s">
        <v>137</v>
      </c>
      <c r="I25" s="2" t="str">
        <f t="shared" si="6"/>
        <v>_</v>
      </c>
      <c r="J25" s="2" t="s">
        <v>143</v>
      </c>
      <c r="K25" s="2" t="str">
        <f t="shared" si="1"/>
        <v/>
      </c>
      <c r="M25" s="2" t="str">
        <f t="shared" si="9"/>
        <v>-</v>
      </c>
      <c r="N25" s="2" t="s">
        <v>136</v>
      </c>
      <c r="O25" s="2" t="str">
        <f t="shared" si="10"/>
        <v>-</v>
      </c>
      <c r="P25" s="2" t="s">
        <v>25</v>
      </c>
      <c r="Q25" s="2" t="str">
        <f t="shared" si="11"/>
        <v>-</v>
      </c>
      <c r="R25" s="2" t="s">
        <v>26</v>
      </c>
    </row>
    <row r="26" spans="2:18" x14ac:dyDescent="0.25">
      <c r="B26" s="1" t="str">
        <f t="shared" si="12"/>
        <v>@case_width-path_wide-z14-(def-hc)</v>
      </c>
      <c r="C26" s="65" t="str">
        <f t="shared" si="4"/>
        <v>6.0</v>
      </c>
      <c r="D26" s="67" t="s">
        <v>152</v>
      </c>
      <c r="F26" s="2" t="s">
        <v>144</v>
      </c>
      <c r="G26" s="2" t="str">
        <f t="shared" si="13"/>
        <v>-</v>
      </c>
      <c r="H26" s="2" t="s">
        <v>137</v>
      </c>
      <c r="I26" s="2" t="str">
        <f t="shared" si="6"/>
        <v>_</v>
      </c>
      <c r="J26" s="2" t="s">
        <v>143</v>
      </c>
      <c r="K26" s="2" t="str">
        <f t="shared" si="1"/>
        <v/>
      </c>
      <c r="M26" s="2" t="str">
        <f t="shared" si="9"/>
        <v>-</v>
      </c>
      <c r="N26" s="2" t="s">
        <v>140</v>
      </c>
      <c r="O26" s="2" t="str">
        <f t="shared" si="10"/>
        <v>-</v>
      </c>
      <c r="P26" s="2" t="s">
        <v>25</v>
      </c>
      <c r="Q26" s="2" t="str">
        <f t="shared" si="11"/>
        <v>-</v>
      </c>
      <c r="R26" s="2" t="s">
        <v>26</v>
      </c>
    </row>
    <row r="27" spans="2:18" x14ac:dyDescent="0.25">
      <c r="B27" s="1" t="str">
        <f t="shared" si="12"/>
        <v>@case_width-path_wide-z16-(def-hc)</v>
      </c>
      <c r="C27" s="65" t="str">
        <f t="shared" si="4"/>
        <v>9.0</v>
      </c>
      <c r="D27" s="67" t="s">
        <v>153</v>
      </c>
      <c r="F27" s="2" t="s">
        <v>144</v>
      </c>
      <c r="G27" s="2" t="str">
        <f t="shared" si="13"/>
        <v>-</v>
      </c>
      <c r="H27" s="2" t="s">
        <v>137</v>
      </c>
      <c r="I27" s="2" t="str">
        <f t="shared" si="6"/>
        <v>_</v>
      </c>
      <c r="J27" s="2" t="s">
        <v>143</v>
      </c>
      <c r="K27" s="2" t="str">
        <f t="shared" si="1"/>
        <v/>
      </c>
      <c r="M27" s="2" t="str">
        <f t="shared" si="9"/>
        <v>-</v>
      </c>
      <c r="N27" s="2" t="s">
        <v>141</v>
      </c>
      <c r="O27" s="2" t="str">
        <f t="shared" si="10"/>
        <v>-</v>
      </c>
      <c r="P27" s="2" t="s">
        <v>25</v>
      </c>
      <c r="Q27" s="2" t="str">
        <f t="shared" si="11"/>
        <v>-</v>
      </c>
      <c r="R27" s="2" t="s">
        <v>26</v>
      </c>
    </row>
    <row r="28" spans="2:18" x14ac:dyDescent="0.25">
      <c r="B28" s="1" t="str">
        <f t="shared" si="12"/>
        <v>@case_width-path_wide-z18-(def-hc)</v>
      </c>
      <c r="C28" s="65" t="str">
        <f t="shared" si="4"/>
        <v>22.5</v>
      </c>
      <c r="D28" s="67" t="s">
        <v>160</v>
      </c>
      <c r="F28" s="2" t="s">
        <v>144</v>
      </c>
      <c r="G28" s="2" t="str">
        <f t="shared" si="13"/>
        <v>-</v>
      </c>
      <c r="H28" s="2" t="s">
        <v>137</v>
      </c>
      <c r="I28" s="2" t="str">
        <f t="shared" si="6"/>
        <v>_</v>
      </c>
      <c r="J28" s="2" t="s">
        <v>143</v>
      </c>
      <c r="K28" s="2" t="str">
        <f t="shared" si="1"/>
        <v/>
      </c>
      <c r="M28" s="2" t="str">
        <f t="shared" si="9"/>
        <v>-</v>
      </c>
      <c r="N28" s="2" t="s">
        <v>142</v>
      </c>
      <c r="O28" s="2" t="str">
        <f t="shared" si="10"/>
        <v>-</v>
      </c>
      <c r="P28" s="2" t="s">
        <v>25</v>
      </c>
      <c r="Q28" s="2" t="str">
        <f t="shared" si="11"/>
        <v>-</v>
      </c>
      <c r="R28" s="2" t="s">
        <v>26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65" t="str">
        <f>D30</f>
        <v>0.5</v>
      </c>
      <c r="D30" s="67" t="s">
        <v>161</v>
      </c>
      <c r="F30" s="2" t="s">
        <v>144</v>
      </c>
      <c r="G30" s="2" t="str">
        <f t="shared" ref="G30:G41" si="14">IF(NOT(ISBLANK(H30)),"-","")</f>
        <v>-</v>
      </c>
      <c r="H30" s="2" t="s">
        <v>137</v>
      </c>
      <c r="I30" s="2" t="str">
        <f>IF(NOT(ISBLANK(J30)),"_","")</f>
        <v>_</v>
      </c>
      <c r="J30" s="2" t="s">
        <v>138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136</v>
      </c>
      <c r="O30" s="2" t="str">
        <f t="shared" ref="O30:O41" si="16">IF(NOT(ISBLANK(P30)),"-","")</f>
        <v>-</v>
      </c>
      <c r="P30" s="2" t="s">
        <v>48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65" t="str">
        <f t="shared" ref="C31:C41" si="19">D31</f>
        <v>1.0</v>
      </c>
      <c r="D31" s="67" t="s">
        <v>146</v>
      </c>
      <c r="F31" s="2" t="s">
        <v>144</v>
      </c>
      <c r="G31" s="2" t="str">
        <f t="shared" si="14"/>
        <v>-</v>
      </c>
      <c r="H31" s="2" t="s">
        <v>137</v>
      </c>
      <c r="I31" s="2" t="str">
        <f t="shared" ref="I31:I41" si="20">IF(NOT(ISBLANK(J31)),"_","")</f>
        <v>_</v>
      </c>
      <c r="J31" s="2" t="s">
        <v>138</v>
      </c>
      <c r="K31" s="2" t="str">
        <f t="shared" si="1"/>
        <v/>
      </c>
      <c r="M31" s="2" t="str">
        <f t="shared" si="15"/>
        <v>-</v>
      </c>
      <c r="N31" s="2" t="s">
        <v>140</v>
      </c>
      <c r="O31" s="2" t="str">
        <f t="shared" si="16"/>
        <v>-</v>
      </c>
      <c r="P31" s="2" t="s">
        <v>48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65" t="str">
        <f t="shared" si="19"/>
        <v>1.0</v>
      </c>
      <c r="D32" s="67" t="s">
        <v>146</v>
      </c>
      <c r="F32" s="2" t="s">
        <v>144</v>
      </c>
      <c r="G32" s="2" t="str">
        <f t="shared" si="14"/>
        <v>-</v>
      </c>
      <c r="H32" s="2" t="s">
        <v>137</v>
      </c>
      <c r="I32" s="2" t="str">
        <f t="shared" si="20"/>
        <v>_</v>
      </c>
      <c r="J32" s="2" t="s">
        <v>138</v>
      </c>
      <c r="K32" s="2" t="str">
        <f t="shared" si="1"/>
        <v/>
      </c>
      <c r="M32" s="2" t="str">
        <f t="shared" si="15"/>
        <v>-</v>
      </c>
      <c r="N32" s="2" t="s">
        <v>141</v>
      </c>
      <c r="O32" s="2" t="str">
        <f t="shared" si="16"/>
        <v>-</v>
      </c>
      <c r="P32" s="2" t="s">
        <v>48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65" t="str">
        <f t="shared" si="19"/>
        <v>1.5</v>
      </c>
      <c r="D33" s="67" t="s">
        <v>150</v>
      </c>
      <c r="F33" s="2" t="s">
        <v>144</v>
      </c>
      <c r="G33" s="2" t="str">
        <f t="shared" si="14"/>
        <v>-</v>
      </c>
      <c r="H33" s="2" t="s">
        <v>137</v>
      </c>
      <c r="I33" s="2" t="str">
        <f t="shared" si="20"/>
        <v>_</v>
      </c>
      <c r="J33" s="2" t="s">
        <v>138</v>
      </c>
      <c r="K33" s="2" t="str">
        <f t="shared" si="1"/>
        <v/>
      </c>
      <c r="M33" s="2" t="str">
        <f t="shared" si="15"/>
        <v>-</v>
      </c>
      <c r="N33" s="2" t="s">
        <v>142</v>
      </c>
      <c r="O33" s="2" t="str">
        <f t="shared" si="16"/>
        <v>-</v>
      </c>
      <c r="P33" s="2" t="s">
        <v>48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65" t="str">
        <f t="shared" si="19"/>
        <v>0.8</v>
      </c>
      <c r="D34" s="67" t="s">
        <v>162</v>
      </c>
      <c r="F34" s="2" t="s">
        <v>144</v>
      </c>
      <c r="G34" s="2" t="str">
        <f t="shared" si="14"/>
        <v>-</v>
      </c>
      <c r="H34" s="2" t="s">
        <v>137</v>
      </c>
      <c r="I34" s="2" t="str">
        <f t="shared" si="20"/>
        <v>_</v>
      </c>
      <c r="J34" s="2" t="s">
        <v>145</v>
      </c>
      <c r="K34" s="2" t="str">
        <f t="shared" si="1"/>
        <v/>
      </c>
      <c r="M34" s="2" t="str">
        <f t="shared" si="15"/>
        <v>-</v>
      </c>
      <c r="N34" s="2" t="s">
        <v>136</v>
      </c>
      <c r="O34" s="2" t="str">
        <f t="shared" si="16"/>
        <v>-</v>
      </c>
      <c r="P34" s="2" t="s">
        <v>48</v>
      </c>
    </row>
    <row r="35" spans="1:18" x14ac:dyDescent="0.25">
      <c r="B35" s="1" t="str">
        <f t="shared" si="18"/>
        <v>@case_width-path_medium-z14-(gr)</v>
      </c>
      <c r="C35" s="65" t="str">
        <f t="shared" si="19"/>
        <v>1.2</v>
      </c>
      <c r="D35" s="67" t="s">
        <v>163</v>
      </c>
      <c r="F35" s="2" t="s">
        <v>144</v>
      </c>
      <c r="G35" s="2" t="str">
        <f t="shared" si="14"/>
        <v>-</v>
      </c>
      <c r="H35" s="2" t="s">
        <v>137</v>
      </c>
      <c r="I35" s="2" t="str">
        <f t="shared" si="20"/>
        <v>_</v>
      </c>
      <c r="J35" s="2" t="s">
        <v>145</v>
      </c>
      <c r="K35" s="2" t="str">
        <f t="shared" si="1"/>
        <v/>
      </c>
      <c r="M35" s="2" t="str">
        <f t="shared" si="15"/>
        <v>-</v>
      </c>
      <c r="N35" s="2" t="s">
        <v>140</v>
      </c>
      <c r="O35" s="2" t="str">
        <f t="shared" si="16"/>
        <v>-</v>
      </c>
      <c r="P35" s="2" t="s">
        <v>48</v>
      </c>
    </row>
    <row r="36" spans="1:18" x14ac:dyDescent="0.25">
      <c r="B36" s="1" t="str">
        <f t="shared" si="18"/>
        <v>@case_width-path_medium-z16-(gr)</v>
      </c>
      <c r="C36" s="65" t="str">
        <f t="shared" si="19"/>
        <v>1.6</v>
      </c>
      <c r="D36" s="67" t="s">
        <v>164</v>
      </c>
      <c r="F36" s="2" t="s">
        <v>144</v>
      </c>
      <c r="G36" s="2" t="str">
        <f t="shared" si="14"/>
        <v>-</v>
      </c>
      <c r="H36" s="2" t="s">
        <v>137</v>
      </c>
      <c r="I36" s="2" t="str">
        <f t="shared" si="20"/>
        <v>_</v>
      </c>
      <c r="J36" s="2" t="s">
        <v>145</v>
      </c>
      <c r="K36" s="2" t="str">
        <f t="shared" si="1"/>
        <v/>
      </c>
      <c r="M36" s="2" t="str">
        <f t="shared" si="15"/>
        <v>-</v>
      </c>
      <c r="N36" s="2" t="s">
        <v>141</v>
      </c>
      <c r="O36" s="2" t="str">
        <f t="shared" si="16"/>
        <v>-</v>
      </c>
      <c r="P36" s="2" t="s">
        <v>48</v>
      </c>
    </row>
    <row r="37" spans="1:18" x14ac:dyDescent="0.25">
      <c r="B37" s="1" t="str">
        <f t="shared" si="18"/>
        <v>@case_width-path_medium-z18-(gr)</v>
      </c>
      <c r="C37" s="65" t="str">
        <f t="shared" si="19"/>
        <v>2.4</v>
      </c>
      <c r="D37" s="67" t="s">
        <v>165</v>
      </c>
      <c r="F37" s="2" t="s">
        <v>144</v>
      </c>
      <c r="G37" s="2" t="str">
        <f t="shared" si="14"/>
        <v>-</v>
      </c>
      <c r="H37" s="2" t="s">
        <v>137</v>
      </c>
      <c r="I37" s="2" t="str">
        <f t="shared" si="20"/>
        <v>_</v>
      </c>
      <c r="J37" s="2" t="s">
        <v>145</v>
      </c>
      <c r="K37" s="2" t="str">
        <f t="shared" si="1"/>
        <v/>
      </c>
      <c r="M37" s="2" t="str">
        <f t="shared" si="15"/>
        <v>-</v>
      </c>
      <c r="N37" s="2" t="s">
        <v>142</v>
      </c>
      <c r="O37" s="2" t="str">
        <f t="shared" si="16"/>
        <v>-</v>
      </c>
      <c r="P37" s="2" t="s">
        <v>48</v>
      </c>
    </row>
    <row r="38" spans="1:18" x14ac:dyDescent="0.25">
      <c r="B38" s="1" t="str">
        <f t="shared" si="18"/>
        <v>@case_width-path_wide-z11-(gr)</v>
      </c>
      <c r="C38" s="65" t="str">
        <f t="shared" si="19"/>
        <v>1.5</v>
      </c>
      <c r="D38" s="67" t="s">
        <v>150</v>
      </c>
      <c r="F38" s="2" t="s">
        <v>144</v>
      </c>
      <c r="G38" s="2" t="str">
        <f t="shared" si="14"/>
        <v>-</v>
      </c>
      <c r="H38" s="2" t="s">
        <v>137</v>
      </c>
      <c r="I38" s="2" t="str">
        <f t="shared" si="20"/>
        <v>_</v>
      </c>
      <c r="J38" s="2" t="s">
        <v>143</v>
      </c>
      <c r="K38" s="2" t="str">
        <f t="shared" si="1"/>
        <v/>
      </c>
      <c r="M38" s="2" t="str">
        <f t="shared" si="15"/>
        <v>-</v>
      </c>
      <c r="N38" s="2" t="s">
        <v>136</v>
      </c>
      <c r="O38" s="2" t="str">
        <f t="shared" si="16"/>
        <v>-</v>
      </c>
      <c r="P38" s="2" t="s">
        <v>48</v>
      </c>
    </row>
    <row r="39" spans="1:18" x14ac:dyDescent="0.25">
      <c r="B39" s="1" t="str">
        <f t="shared" si="18"/>
        <v>@case_width-path_wide-z14-(gr)</v>
      </c>
      <c r="C39" s="65" t="str">
        <f t="shared" si="19"/>
        <v>1.6</v>
      </c>
      <c r="D39" s="67" t="s">
        <v>164</v>
      </c>
      <c r="F39" s="2" t="s">
        <v>144</v>
      </c>
      <c r="G39" s="2" t="str">
        <f t="shared" si="14"/>
        <v>-</v>
      </c>
      <c r="H39" s="2" t="s">
        <v>137</v>
      </c>
      <c r="I39" s="2" t="str">
        <f t="shared" si="20"/>
        <v>_</v>
      </c>
      <c r="J39" s="2" t="s">
        <v>143</v>
      </c>
      <c r="K39" s="2" t="str">
        <f t="shared" si="1"/>
        <v/>
      </c>
      <c r="M39" s="2" t="str">
        <f t="shared" si="15"/>
        <v>-</v>
      </c>
      <c r="N39" s="2" t="s">
        <v>140</v>
      </c>
      <c r="O39" s="2" t="str">
        <f t="shared" si="16"/>
        <v>-</v>
      </c>
      <c r="P39" s="2" t="s">
        <v>48</v>
      </c>
    </row>
    <row r="40" spans="1:18" x14ac:dyDescent="0.25">
      <c r="B40" s="1" t="str">
        <f t="shared" si="18"/>
        <v>@case_width-path_wide-z16-(gr)</v>
      </c>
      <c r="C40" s="65" t="str">
        <f t="shared" si="19"/>
        <v>2.4</v>
      </c>
      <c r="D40" s="67" t="s">
        <v>165</v>
      </c>
      <c r="F40" s="2" t="s">
        <v>144</v>
      </c>
      <c r="G40" s="2" t="str">
        <f t="shared" si="14"/>
        <v>-</v>
      </c>
      <c r="H40" s="2" t="s">
        <v>137</v>
      </c>
      <c r="I40" s="2" t="str">
        <f t="shared" si="20"/>
        <v>_</v>
      </c>
      <c r="J40" s="2" t="s">
        <v>143</v>
      </c>
      <c r="K40" s="2" t="str">
        <f t="shared" si="1"/>
        <v/>
      </c>
      <c r="M40" s="2" t="str">
        <f t="shared" si="15"/>
        <v>-</v>
      </c>
      <c r="N40" s="2" t="s">
        <v>141</v>
      </c>
      <c r="O40" s="2" t="str">
        <f t="shared" si="16"/>
        <v>-</v>
      </c>
      <c r="P40" s="2" t="s">
        <v>48</v>
      </c>
    </row>
    <row r="41" spans="1:18" x14ac:dyDescent="0.25">
      <c r="B41" s="1" t="str">
        <f t="shared" si="18"/>
        <v>@case_width-path_wide-z18-(gr)</v>
      </c>
      <c r="C41" s="65" t="str">
        <f t="shared" si="19"/>
        <v>3.6</v>
      </c>
      <c r="D41" s="67" t="s">
        <v>166</v>
      </c>
      <c r="F41" s="2" t="s">
        <v>144</v>
      </c>
      <c r="G41" s="2" t="str">
        <f t="shared" si="14"/>
        <v>-</v>
      </c>
      <c r="H41" s="2" t="s">
        <v>137</v>
      </c>
      <c r="I41" s="2" t="str">
        <f t="shared" si="20"/>
        <v>_</v>
      </c>
      <c r="J41" s="2" t="s">
        <v>143</v>
      </c>
      <c r="K41" s="2" t="str">
        <f t="shared" si="1"/>
        <v/>
      </c>
      <c r="M41" s="2" t="str">
        <f t="shared" si="15"/>
        <v>-</v>
      </c>
      <c r="N41" s="2" t="s">
        <v>142</v>
      </c>
      <c r="O41" s="2" t="str">
        <f t="shared" si="16"/>
        <v>-</v>
      </c>
      <c r="P41" s="2" t="s">
        <v>48</v>
      </c>
    </row>
    <row r="43" spans="1:18" x14ac:dyDescent="0.25">
      <c r="A43" s="44" t="s">
        <v>167</v>
      </c>
      <c r="B43" s="44"/>
      <c r="C43" s="44"/>
      <c r="D43" s="66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</row>
    <row r="44" spans="1:18" x14ac:dyDescent="0.25">
      <c r="B44" s="1" t="str">
        <f>_xlfn.CONCAT("@",F44,G44,H44,I44,J44,K44,L44,M44,N44,O44,"(",P44,Q44,R44,")")</f>
        <v>@case_width-track-z10-(def)</v>
      </c>
      <c r="C44" s="65" t="str">
        <f>D44</f>
        <v>2.0</v>
      </c>
      <c r="D44" s="67" t="s">
        <v>151</v>
      </c>
      <c r="F44" s="2" t="s">
        <v>144</v>
      </c>
      <c r="G44" s="2" t="str">
        <f t="shared" ref="G44" si="21">IF(NOT(ISBLANK(H44)),"-","")</f>
        <v>-</v>
      </c>
      <c r="H44" s="2" t="s">
        <v>168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169</v>
      </c>
      <c r="O44" s="2" t="str">
        <f t="shared" ref="O44" si="24">IF(NOT(ISBLANK(P44)),"-","")</f>
        <v>-</v>
      </c>
      <c r="P44" s="2" t="s">
        <v>25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65" t="str">
        <f>D45</f>
        <v>3.0</v>
      </c>
      <c r="D45" s="67" t="s">
        <v>154</v>
      </c>
      <c r="F45" s="2" t="s">
        <v>144</v>
      </c>
      <c r="G45" s="2" t="str">
        <f t="shared" ref="G45:G50" si="26">IF(NOT(ISBLANK(H45)),"-","")</f>
        <v>-</v>
      </c>
      <c r="H45" s="2" t="s">
        <v>168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136</v>
      </c>
      <c r="O45" s="2" t="str">
        <f t="shared" ref="O45:O50" si="28">IF(NOT(ISBLANK(P45)),"-","")</f>
        <v>-</v>
      </c>
      <c r="P45" s="2" t="s">
        <v>25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65" t="str">
        <f t="shared" ref="C46:C48" si="31">D46</f>
        <v>4.0</v>
      </c>
      <c r="D46" s="67" t="s">
        <v>158</v>
      </c>
      <c r="F46" s="2" t="s">
        <v>144</v>
      </c>
      <c r="G46" s="2" t="str">
        <f t="shared" si="26"/>
        <v>-</v>
      </c>
      <c r="H46" s="2" t="s">
        <v>168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140</v>
      </c>
      <c r="O46" s="2" t="str">
        <f t="shared" si="28"/>
        <v>-</v>
      </c>
      <c r="P46" s="2" t="s">
        <v>25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65" t="str">
        <f t="shared" si="31"/>
        <v>9.0</v>
      </c>
      <c r="D47" s="67" t="s">
        <v>153</v>
      </c>
      <c r="F47" s="2" t="s">
        <v>144</v>
      </c>
      <c r="G47" s="2" t="str">
        <f t="shared" si="26"/>
        <v>-</v>
      </c>
      <c r="H47" s="2" t="s">
        <v>168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141</v>
      </c>
      <c r="O47" s="2" t="str">
        <f t="shared" si="28"/>
        <v>-</v>
      </c>
      <c r="P47" s="2" t="s">
        <v>25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65" t="str">
        <f t="shared" si="31"/>
        <v>15.0</v>
      </c>
      <c r="D48" s="67" t="s">
        <v>155</v>
      </c>
      <c r="F48" s="2" t="s">
        <v>144</v>
      </c>
      <c r="G48" s="2" t="str">
        <f t="shared" si="26"/>
        <v>-</v>
      </c>
      <c r="H48" s="2" t="s">
        <v>168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142</v>
      </c>
      <c r="O48" s="2" t="str">
        <f t="shared" si="28"/>
        <v>-</v>
      </c>
      <c r="P48" s="2" t="s">
        <v>25</v>
      </c>
      <c r="Q48" s="2" t="str">
        <f t="shared" si="29"/>
        <v/>
      </c>
    </row>
    <row r="49" spans="2:18" x14ac:dyDescent="0.25">
      <c r="B49" s="1"/>
      <c r="C49" s="65"/>
    </row>
    <row r="50" spans="2:18" x14ac:dyDescent="0.25">
      <c r="B50" s="1" t="str">
        <f>_xlfn.CONCAT("@",F50,G50,H50,I50,J50,K50,L50,M50,N50,O50,"(",P50,Q50,R50,")")</f>
        <v>@case_width-track-z10-(def-hc)</v>
      </c>
      <c r="C50" s="65" t="str">
        <f>D50</f>
        <v>4.0</v>
      </c>
      <c r="D50" s="67" t="s">
        <v>158</v>
      </c>
      <c r="F50" s="2" t="s">
        <v>144</v>
      </c>
      <c r="G50" s="2" t="str">
        <f t="shared" si="26"/>
        <v>-</v>
      </c>
      <c r="H50" s="2" t="s">
        <v>168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169</v>
      </c>
      <c r="O50" s="2" t="str">
        <f t="shared" si="28"/>
        <v>-</v>
      </c>
      <c r="P50" s="2" t="s">
        <v>25</v>
      </c>
      <c r="Q50" s="2" t="str">
        <f t="shared" si="29"/>
        <v>-</v>
      </c>
      <c r="R50" s="2" t="s">
        <v>26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65" t="str">
        <f>D51</f>
        <v>4.0</v>
      </c>
      <c r="D51" s="67" t="s">
        <v>158</v>
      </c>
      <c r="F51" s="2" t="s">
        <v>144</v>
      </c>
      <c r="G51" s="2" t="str">
        <f t="shared" ref="G51:G54" si="33">IF(NOT(ISBLANK(H51)),"-","")</f>
        <v>-</v>
      </c>
      <c r="H51" s="2" t="s">
        <v>168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136</v>
      </c>
      <c r="O51" s="2" t="str">
        <f t="shared" ref="O51:O54" si="35">IF(NOT(ISBLANK(P51)),"-","")</f>
        <v>-</v>
      </c>
      <c r="P51" s="2" t="s">
        <v>25</v>
      </c>
      <c r="Q51" s="2" t="str">
        <f t="shared" ref="Q51:Q54" si="36">IF(NOT(ISBLANK(R51)),"-","")</f>
        <v>-</v>
      </c>
      <c r="R51" s="2" t="s">
        <v>26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65" t="str">
        <f t="shared" ref="C52:C54" si="38">D52</f>
        <v>6.0</v>
      </c>
      <c r="D52" s="67" t="s">
        <v>152</v>
      </c>
      <c r="F52" s="2" t="s">
        <v>144</v>
      </c>
      <c r="G52" s="2" t="str">
        <f t="shared" si="33"/>
        <v>-</v>
      </c>
      <c r="H52" s="2" t="s">
        <v>168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140</v>
      </c>
      <c r="O52" s="2" t="str">
        <f t="shared" si="35"/>
        <v>-</v>
      </c>
      <c r="P52" s="2" t="s">
        <v>25</v>
      </c>
      <c r="Q52" s="2" t="str">
        <f t="shared" si="36"/>
        <v>-</v>
      </c>
      <c r="R52" s="2" t="s">
        <v>26</v>
      </c>
    </row>
    <row r="53" spans="2:18" x14ac:dyDescent="0.25">
      <c r="B53" s="1" t="str">
        <f t="shared" si="37"/>
        <v>@case_width-track-z16-(def-hc)</v>
      </c>
      <c r="C53" s="65" t="str">
        <f t="shared" si="38"/>
        <v>13.5</v>
      </c>
      <c r="D53" s="67" t="s">
        <v>159</v>
      </c>
      <c r="F53" s="2" t="s">
        <v>144</v>
      </c>
      <c r="G53" s="2" t="str">
        <f t="shared" si="33"/>
        <v>-</v>
      </c>
      <c r="H53" s="2" t="s">
        <v>168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141</v>
      </c>
      <c r="O53" s="2" t="str">
        <f t="shared" si="35"/>
        <v>-</v>
      </c>
      <c r="P53" s="2" t="s">
        <v>25</v>
      </c>
      <c r="Q53" s="2" t="str">
        <f t="shared" si="36"/>
        <v>-</v>
      </c>
      <c r="R53" s="2" t="s">
        <v>26</v>
      </c>
    </row>
    <row r="54" spans="2:18" x14ac:dyDescent="0.25">
      <c r="B54" s="1" t="str">
        <f t="shared" si="37"/>
        <v>@case_width-track-z18-(def-hc)</v>
      </c>
      <c r="C54" s="65" t="str">
        <f t="shared" si="38"/>
        <v>22.5</v>
      </c>
      <c r="D54" s="67" t="s">
        <v>160</v>
      </c>
      <c r="F54" s="2" t="s">
        <v>144</v>
      </c>
      <c r="G54" s="2" t="str">
        <f t="shared" si="33"/>
        <v>-</v>
      </c>
      <c r="H54" s="2" t="s">
        <v>168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142</v>
      </c>
      <c r="O54" s="2" t="str">
        <f t="shared" si="35"/>
        <v>-</v>
      </c>
      <c r="P54" s="2" t="s">
        <v>25</v>
      </c>
      <c r="Q54" s="2" t="str">
        <f t="shared" si="36"/>
        <v>-</v>
      </c>
      <c r="R54" s="2" t="s">
        <v>26</v>
      </c>
    </row>
    <row r="56" spans="2:18" x14ac:dyDescent="0.25">
      <c r="B56" s="1" t="str">
        <f>_xlfn.CONCAT("@",F56,G56,H56,I56,J56,K56,L56,M56,N56,O56,"(",P56,Q56,R56,")")</f>
        <v>@case_width-track-z10-(gr)</v>
      </c>
      <c r="C56" s="65" t="str">
        <f>D56</f>
        <v>2.0</v>
      </c>
      <c r="D56" s="67" t="s">
        <v>151</v>
      </c>
      <c r="F56" s="2" t="s">
        <v>144</v>
      </c>
      <c r="G56" s="2" t="str">
        <f t="shared" ref="G56:G60" si="40">IF(NOT(ISBLANK(H56)),"-","")</f>
        <v>-</v>
      </c>
      <c r="H56" s="2" t="s">
        <v>168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169</v>
      </c>
      <c r="O56" s="2" t="str">
        <f t="shared" ref="O56:O60" si="42">IF(NOT(ISBLANK(P56)),"-","")</f>
        <v>-</v>
      </c>
      <c r="P56" s="2" t="s">
        <v>48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65" t="str">
        <f>D57</f>
        <v>3.0</v>
      </c>
      <c r="D57" s="67" t="s">
        <v>154</v>
      </c>
      <c r="F57" s="2" t="s">
        <v>144</v>
      </c>
      <c r="G57" s="2" t="str">
        <f t="shared" si="40"/>
        <v>-</v>
      </c>
      <c r="H57" s="2" t="s">
        <v>168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136</v>
      </c>
      <c r="O57" s="2" t="str">
        <f t="shared" si="42"/>
        <v>-</v>
      </c>
      <c r="P57" s="2" t="s">
        <v>48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65" t="str">
        <f t="shared" ref="C58:C60" si="45">D58</f>
        <v>4.0</v>
      </c>
      <c r="D58" s="67" t="s">
        <v>158</v>
      </c>
      <c r="F58" s="2" t="s">
        <v>144</v>
      </c>
      <c r="G58" s="2" t="str">
        <f t="shared" si="40"/>
        <v>-</v>
      </c>
      <c r="H58" s="2" t="s">
        <v>168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140</v>
      </c>
      <c r="O58" s="2" t="str">
        <f t="shared" si="42"/>
        <v>-</v>
      </c>
      <c r="P58" s="2" t="s">
        <v>48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65" t="str">
        <f t="shared" si="45"/>
        <v>9.0</v>
      </c>
      <c r="D59" s="67" t="s">
        <v>153</v>
      </c>
      <c r="F59" s="2" t="s">
        <v>144</v>
      </c>
      <c r="G59" s="2" t="str">
        <f t="shared" si="40"/>
        <v>-</v>
      </c>
      <c r="H59" s="2" t="s">
        <v>168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141</v>
      </c>
      <c r="O59" s="2" t="str">
        <f t="shared" si="42"/>
        <v>-</v>
      </c>
      <c r="P59" s="2" t="s">
        <v>48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65" t="str">
        <f t="shared" si="45"/>
        <v>15.0</v>
      </c>
      <c r="D60" s="67" t="s">
        <v>155</v>
      </c>
      <c r="F60" s="2" t="s">
        <v>144</v>
      </c>
      <c r="G60" s="2" t="str">
        <f t="shared" si="40"/>
        <v>-</v>
      </c>
      <c r="H60" s="2" t="s">
        <v>168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142</v>
      </c>
      <c r="O60" s="2" t="str">
        <f t="shared" si="42"/>
        <v>-</v>
      </c>
      <c r="P60" s="2" t="s">
        <v>48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65" t="str">
        <f>D62</f>
        <v>2.0</v>
      </c>
      <c r="D62" s="67" t="s">
        <v>151</v>
      </c>
      <c r="F62" s="2" t="s">
        <v>144</v>
      </c>
      <c r="G62" s="2" t="str">
        <f t="shared" ref="G62:G66" si="47">IF(NOT(ISBLANK(H62)),"-","")</f>
        <v>-</v>
      </c>
      <c r="H62" s="2" t="s">
        <v>168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169</v>
      </c>
      <c r="O62" s="2" t="str">
        <f t="shared" ref="O62:O66" si="50">IF(NOT(ISBLANK(P62)),"-","")</f>
        <v>-</v>
      </c>
      <c r="P62" s="2" t="s">
        <v>48</v>
      </c>
      <c r="Q62" s="2" t="str">
        <f t="shared" ref="Q62:Q66" si="51">IF(NOT(ISBLANK(R62)),"-","")</f>
        <v>-</v>
      </c>
      <c r="R62" s="2" t="s">
        <v>26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65" t="str">
        <f>D63</f>
        <v>3.0</v>
      </c>
      <c r="D63" s="67" t="s">
        <v>154</v>
      </c>
      <c r="F63" s="2" t="s">
        <v>144</v>
      </c>
      <c r="G63" s="2" t="str">
        <f t="shared" si="47"/>
        <v>-</v>
      </c>
      <c r="H63" s="2" t="s">
        <v>168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136</v>
      </c>
      <c r="O63" s="2" t="str">
        <f t="shared" si="50"/>
        <v>-</v>
      </c>
      <c r="P63" s="2" t="s">
        <v>48</v>
      </c>
      <c r="Q63" s="2" t="str">
        <f t="shared" si="51"/>
        <v>-</v>
      </c>
      <c r="R63" s="2" t="s">
        <v>26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65" t="str">
        <f t="shared" ref="C64:C66" si="53">D64</f>
        <v>4.0</v>
      </c>
      <c r="D64" s="67" t="s">
        <v>158</v>
      </c>
      <c r="F64" s="2" t="s">
        <v>144</v>
      </c>
      <c r="G64" s="2" t="str">
        <f t="shared" si="47"/>
        <v>-</v>
      </c>
      <c r="H64" s="2" t="s">
        <v>168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140</v>
      </c>
      <c r="O64" s="2" t="str">
        <f t="shared" si="50"/>
        <v>-</v>
      </c>
      <c r="P64" s="2" t="s">
        <v>48</v>
      </c>
      <c r="Q64" s="2" t="str">
        <f t="shared" si="51"/>
        <v>-</v>
      </c>
      <c r="R64" s="2" t="s">
        <v>26</v>
      </c>
    </row>
    <row r="65" spans="2:18" x14ac:dyDescent="0.25">
      <c r="B65" s="1" t="str">
        <f t="shared" si="52"/>
        <v>@case_width-track-z16-(gr-hc)</v>
      </c>
      <c r="C65" s="65" t="str">
        <f t="shared" si="53"/>
        <v>9.0</v>
      </c>
      <c r="D65" s="67" t="s">
        <v>153</v>
      </c>
      <c r="F65" s="2" t="s">
        <v>144</v>
      </c>
      <c r="G65" s="2" t="str">
        <f t="shared" si="47"/>
        <v>-</v>
      </c>
      <c r="H65" s="2" t="s">
        <v>168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141</v>
      </c>
      <c r="O65" s="2" t="str">
        <f t="shared" si="50"/>
        <v>-</v>
      </c>
      <c r="P65" s="2" t="s">
        <v>48</v>
      </c>
      <c r="Q65" s="2" t="str">
        <f t="shared" si="51"/>
        <v>-</v>
      </c>
      <c r="R65" s="2" t="s">
        <v>26</v>
      </c>
    </row>
    <row r="66" spans="2:18" x14ac:dyDescent="0.25">
      <c r="B66" s="1" t="str">
        <f t="shared" si="52"/>
        <v>@case_width-track-z18-(gr-hc)</v>
      </c>
      <c r="C66" s="65" t="str">
        <f t="shared" si="53"/>
        <v>15.0</v>
      </c>
      <c r="D66" s="67" t="s">
        <v>155</v>
      </c>
      <c r="F66" s="2" t="s">
        <v>144</v>
      </c>
      <c r="G66" s="2" t="str">
        <f t="shared" si="47"/>
        <v>-</v>
      </c>
      <c r="H66" s="2" t="s">
        <v>168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142</v>
      </c>
      <c r="O66" s="2" t="str">
        <f t="shared" si="50"/>
        <v>-</v>
      </c>
      <c r="P66" s="2" t="s">
        <v>48</v>
      </c>
      <c r="Q66" s="2" t="str">
        <f t="shared" si="51"/>
        <v>-</v>
      </c>
      <c r="R66" s="2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style_variables_color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2024-10-30T15:16:20Z</dcterms:modified>
</cp:coreProperties>
</file>