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E608A85D-91D2-4D69-9CA8-4C41C3657D81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04" i="5" l="1"/>
  <c r="AF104" i="5"/>
  <c r="AD104" i="5"/>
  <c r="AB104" i="5"/>
  <c r="B104" i="5"/>
  <c r="AH107" i="5"/>
  <c r="AF107" i="5"/>
  <c r="AD107" i="5"/>
  <c r="AB107" i="5"/>
  <c r="B107" i="5"/>
  <c r="AH106" i="5"/>
  <c r="AF106" i="5"/>
  <c r="AD106" i="5"/>
  <c r="AB106" i="5"/>
  <c r="B106" i="5"/>
  <c r="AH105" i="5"/>
  <c r="AF105" i="5"/>
  <c r="AD105" i="5"/>
  <c r="AB105" i="5"/>
  <c r="B105" i="5"/>
  <c r="AF100" i="5"/>
  <c r="AF99" i="5"/>
  <c r="AF98" i="5"/>
  <c r="AH100" i="5"/>
  <c r="AD100" i="5"/>
  <c r="AB100" i="5"/>
  <c r="B100" i="5"/>
  <c r="AH99" i="5"/>
  <c r="AD99" i="5"/>
  <c r="AB99" i="5"/>
  <c r="AH98" i="5"/>
  <c r="AD98" i="5"/>
  <c r="AB98" i="5"/>
  <c r="B98" i="5"/>
  <c r="AH60" i="5"/>
  <c r="AF60" i="5"/>
  <c r="AD60" i="5"/>
  <c r="AB60" i="5"/>
  <c r="B60" i="5" s="1"/>
  <c r="AH59" i="5"/>
  <c r="AF59" i="5"/>
  <c r="AD59" i="5"/>
  <c r="AB59" i="5"/>
  <c r="AH58" i="5"/>
  <c r="AF58" i="5"/>
  <c r="AD58" i="5"/>
  <c r="AB58" i="5"/>
  <c r="B58" i="5"/>
  <c r="AH50" i="5"/>
  <c r="AF50" i="5"/>
  <c r="AD50" i="5"/>
  <c r="AB50" i="5"/>
  <c r="B50" i="5"/>
  <c r="AH54" i="5"/>
  <c r="AF54" i="5"/>
  <c r="AD54" i="5"/>
  <c r="AB54" i="5"/>
  <c r="B54" i="5"/>
  <c r="AH53" i="5"/>
  <c r="AF53" i="5"/>
  <c r="AD53" i="5"/>
  <c r="AB53" i="5"/>
  <c r="B53" i="5"/>
  <c r="AH52" i="5"/>
  <c r="AF52" i="5"/>
  <c r="AD52" i="5"/>
  <c r="AB52" i="5"/>
  <c r="AH51" i="5"/>
  <c r="AF51" i="5"/>
  <c r="AD51" i="5"/>
  <c r="AB51" i="5"/>
  <c r="B51" i="5"/>
  <c r="AH43" i="5"/>
  <c r="AF43" i="5"/>
  <c r="AD43" i="5"/>
  <c r="AB43" i="5"/>
  <c r="B43" i="5"/>
  <c r="AH46" i="5"/>
  <c r="AF46" i="5"/>
  <c r="AD46" i="5"/>
  <c r="AB46" i="5"/>
  <c r="AH45" i="5"/>
  <c r="AF45" i="5"/>
  <c r="AD45" i="5"/>
  <c r="AB45" i="5"/>
  <c r="B45" i="5"/>
  <c r="AH44" i="5"/>
  <c r="AF44" i="5"/>
  <c r="AD44" i="5"/>
  <c r="AB44" i="5"/>
  <c r="B44" i="5"/>
  <c r="AH39" i="5"/>
  <c r="AF39" i="5"/>
  <c r="AD39" i="5"/>
  <c r="AB39" i="5"/>
  <c r="B39" i="5"/>
  <c r="AH38" i="5"/>
  <c r="AF38" i="5"/>
  <c r="AD38" i="5"/>
  <c r="AB38" i="5"/>
  <c r="B38" i="5"/>
  <c r="AH37" i="5"/>
  <c r="AF37" i="5"/>
  <c r="AD37" i="5"/>
  <c r="AB37" i="5"/>
  <c r="B37" i="5"/>
  <c r="AH33" i="5"/>
  <c r="AF33" i="5"/>
  <c r="AD33" i="5"/>
  <c r="AB33" i="5"/>
  <c r="B33" i="5"/>
  <c r="AH32" i="5"/>
  <c r="AF32" i="5"/>
  <c r="AD32" i="5"/>
  <c r="AB32" i="5"/>
  <c r="B32" i="5"/>
  <c r="AH31" i="5"/>
  <c r="AF31" i="5"/>
  <c r="AD31" i="5"/>
  <c r="AB31" i="5"/>
  <c r="B31" i="5"/>
  <c r="AH27" i="5"/>
  <c r="AF27" i="5"/>
  <c r="AD27" i="5"/>
  <c r="AB27" i="5"/>
  <c r="AH26" i="5"/>
  <c r="AF26" i="5"/>
  <c r="AD26" i="5"/>
  <c r="AB26" i="5"/>
  <c r="B26" i="5"/>
  <c r="AF25" i="5"/>
  <c r="AD25" i="5"/>
  <c r="AH25" i="5"/>
  <c r="AB25" i="5"/>
  <c r="B25" i="5"/>
  <c r="AH212" i="5"/>
  <c r="AF212" i="5"/>
  <c r="AD212" i="5"/>
  <c r="AB212" i="5"/>
  <c r="B212" i="5"/>
  <c r="AH211" i="5"/>
  <c r="AF211" i="5"/>
  <c r="AD211" i="5"/>
  <c r="AB211" i="5"/>
  <c r="AH210" i="5"/>
  <c r="AF210" i="5"/>
  <c r="AD210" i="5"/>
  <c r="AB210" i="5"/>
  <c r="B210" i="5" s="1"/>
  <c r="AH209" i="5"/>
  <c r="AF209" i="5"/>
  <c r="AD209" i="5"/>
  <c r="AB209" i="5"/>
  <c r="B209" i="5" s="1"/>
  <c r="AH208" i="5"/>
  <c r="AF208" i="5"/>
  <c r="AD208" i="5"/>
  <c r="AB208" i="5"/>
  <c r="AH207" i="5"/>
  <c r="AF207" i="5"/>
  <c r="AD207" i="5"/>
  <c r="AB207" i="5"/>
  <c r="B207" i="5"/>
  <c r="AH206" i="5"/>
  <c r="AF206" i="5"/>
  <c r="AD206" i="5"/>
  <c r="AB206" i="5"/>
  <c r="B206" i="5"/>
  <c r="AH205" i="5"/>
  <c r="AF205" i="5"/>
  <c r="AD205" i="5"/>
  <c r="AB205" i="5"/>
  <c r="B205" i="5"/>
  <c r="AH204" i="5"/>
  <c r="AF204" i="5"/>
  <c r="AD204" i="5"/>
  <c r="AB204" i="5"/>
  <c r="AH203" i="5"/>
  <c r="AF203" i="5"/>
  <c r="AD203" i="5"/>
  <c r="AB203" i="5"/>
  <c r="AH202" i="5"/>
  <c r="AF202" i="5"/>
  <c r="AD202" i="5"/>
  <c r="AB202" i="5"/>
  <c r="B202" i="5" s="1"/>
  <c r="AH201" i="5"/>
  <c r="AF201" i="5"/>
  <c r="AD201" i="5"/>
  <c r="AB201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B198" i="5"/>
  <c r="AH197" i="5"/>
  <c r="AF197" i="5"/>
  <c r="AD197" i="5"/>
  <c r="AB197" i="5"/>
  <c r="B197" i="5"/>
  <c r="AB214" i="5"/>
  <c r="AD214" i="5"/>
  <c r="AF214" i="5"/>
  <c r="AH214" i="5"/>
  <c r="AB215" i="5"/>
  <c r="AD215" i="5"/>
  <c r="AF215" i="5"/>
  <c r="AH215" i="5"/>
  <c r="AB216" i="5"/>
  <c r="AD216" i="5"/>
  <c r="AF216" i="5"/>
  <c r="AH216" i="5"/>
  <c r="AB217" i="5"/>
  <c r="AD217" i="5"/>
  <c r="AF217" i="5"/>
  <c r="AH217" i="5"/>
  <c r="AH229" i="5"/>
  <c r="AF229" i="5"/>
  <c r="AD229" i="5"/>
  <c r="AB229" i="5"/>
  <c r="B229" i="5"/>
  <c r="AH228" i="5"/>
  <c r="AF228" i="5"/>
  <c r="AD228" i="5"/>
  <c r="AB228" i="5"/>
  <c r="AH227" i="5"/>
  <c r="AF227" i="5"/>
  <c r="AD227" i="5"/>
  <c r="AB227" i="5"/>
  <c r="AH226" i="5"/>
  <c r="AF226" i="5"/>
  <c r="AD226" i="5"/>
  <c r="AB226" i="5"/>
  <c r="AH225" i="5"/>
  <c r="AF225" i="5"/>
  <c r="AD225" i="5"/>
  <c r="AB225" i="5"/>
  <c r="AH224" i="5"/>
  <c r="AF224" i="5"/>
  <c r="AD224" i="5"/>
  <c r="AB224" i="5"/>
  <c r="B224" i="5"/>
  <c r="AH223" i="5"/>
  <c r="AF223" i="5"/>
  <c r="AD223" i="5"/>
  <c r="AB223" i="5"/>
  <c r="AH222" i="5"/>
  <c r="AF222" i="5"/>
  <c r="AD222" i="5"/>
  <c r="AB222" i="5"/>
  <c r="B222" i="5"/>
  <c r="AH221" i="5"/>
  <c r="AF221" i="5"/>
  <c r="AD221" i="5"/>
  <c r="AB221" i="5"/>
  <c r="B221" i="5"/>
  <c r="AH220" i="5"/>
  <c r="AF220" i="5"/>
  <c r="AD220" i="5"/>
  <c r="AB220" i="5"/>
  <c r="AH219" i="5"/>
  <c r="AF219" i="5"/>
  <c r="AD219" i="5"/>
  <c r="AB219" i="5"/>
  <c r="AH218" i="5"/>
  <c r="AF218" i="5"/>
  <c r="AD218" i="5"/>
  <c r="AB218" i="5"/>
  <c r="AH132" i="5"/>
  <c r="AF132" i="5"/>
  <c r="AD132" i="5"/>
  <c r="AB132" i="5"/>
  <c r="AH131" i="5"/>
  <c r="AF131" i="5"/>
  <c r="AD131" i="5"/>
  <c r="AB131" i="5"/>
  <c r="AH15" i="5"/>
  <c r="AF15" i="5"/>
  <c r="AD15" i="5"/>
  <c r="AB15" i="5"/>
  <c r="AH14" i="5"/>
  <c r="AF14" i="5"/>
  <c r="AD14" i="5"/>
  <c r="AB14" i="5"/>
  <c r="AH13" i="5"/>
  <c r="AF13" i="5"/>
  <c r="AD13" i="5"/>
  <c r="AB13" i="5"/>
  <c r="AH12" i="5"/>
  <c r="AF12" i="5"/>
  <c r="AD12" i="5"/>
  <c r="AB12" i="5"/>
  <c r="AH11" i="5"/>
  <c r="AF11" i="5"/>
  <c r="AD11" i="5"/>
  <c r="AB11" i="5"/>
  <c r="B11" i="5" s="1"/>
  <c r="AH89" i="5"/>
  <c r="AF89" i="5"/>
  <c r="AD89" i="5"/>
  <c r="AB89" i="5"/>
  <c r="AH88" i="5"/>
  <c r="AF88" i="5"/>
  <c r="AD88" i="5"/>
  <c r="AB88" i="5"/>
  <c r="AH87" i="5"/>
  <c r="AF87" i="5"/>
  <c r="AD87" i="5"/>
  <c r="AB87" i="5"/>
  <c r="AH86" i="5"/>
  <c r="AF86" i="5"/>
  <c r="AD86" i="5"/>
  <c r="AB86" i="5"/>
  <c r="AH85" i="5"/>
  <c r="AF85" i="5"/>
  <c r="AD85" i="5"/>
  <c r="AB85" i="5"/>
  <c r="AH84" i="5"/>
  <c r="AF84" i="5"/>
  <c r="AD84" i="5"/>
  <c r="AB84" i="5"/>
  <c r="AH19" i="5"/>
  <c r="AF19" i="5"/>
  <c r="AD19" i="5"/>
  <c r="AB19" i="5"/>
  <c r="AF112" i="5"/>
  <c r="AH112" i="5"/>
  <c r="AD112" i="5"/>
  <c r="AB112" i="5"/>
  <c r="AH111" i="5"/>
  <c r="AF111" i="5"/>
  <c r="AD111" i="5"/>
  <c r="AB111" i="5"/>
  <c r="AH125" i="5"/>
  <c r="AF125" i="5"/>
  <c r="AD125" i="5"/>
  <c r="AB125" i="5"/>
  <c r="AH249" i="5"/>
  <c r="AF249" i="5"/>
  <c r="AD249" i="5"/>
  <c r="AB249" i="5"/>
  <c r="AH250" i="5"/>
  <c r="AF250" i="5"/>
  <c r="AD250" i="5"/>
  <c r="AB250" i="5"/>
  <c r="B250" i="5" s="1"/>
  <c r="AH248" i="5"/>
  <c r="AF248" i="5"/>
  <c r="AD248" i="5"/>
  <c r="AB248" i="5"/>
  <c r="AH247" i="5"/>
  <c r="AF247" i="5"/>
  <c r="AD247" i="5"/>
  <c r="AB247" i="5"/>
  <c r="AH301" i="5"/>
  <c r="AF301" i="5"/>
  <c r="AD301" i="5"/>
  <c r="AB301" i="5"/>
  <c r="AH300" i="5"/>
  <c r="AF300" i="5"/>
  <c r="AD300" i="5"/>
  <c r="AB300" i="5"/>
  <c r="AH299" i="5"/>
  <c r="AF299" i="5"/>
  <c r="AD299" i="5"/>
  <c r="AB299" i="5"/>
  <c r="AH298" i="5"/>
  <c r="AF298" i="5"/>
  <c r="AD298" i="5"/>
  <c r="AB298" i="5"/>
  <c r="AF297" i="5"/>
  <c r="AD297" i="5"/>
  <c r="AB297" i="5"/>
  <c r="AH297" i="5"/>
  <c r="AH296" i="5"/>
  <c r="AF296" i="5"/>
  <c r="AD296" i="5"/>
  <c r="AB296" i="5"/>
  <c r="Y393" i="5"/>
  <c r="V393" i="5"/>
  <c r="Y404" i="5"/>
  <c r="V404" i="5"/>
  <c r="Y414" i="5"/>
  <c r="V414" i="5"/>
  <c r="Y424" i="5"/>
  <c r="V424" i="5"/>
  <c r="Y505" i="5"/>
  <c r="V505" i="5"/>
  <c r="Y492" i="5"/>
  <c r="V492" i="5"/>
  <c r="Y479" i="5"/>
  <c r="V479" i="5"/>
  <c r="V480" i="5"/>
  <c r="Y480" i="5"/>
  <c r="Y466" i="5"/>
  <c r="V466" i="5"/>
  <c r="Y453" i="5"/>
  <c r="V453" i="5"/>
  <c r="Y440" i="5"/>
  <c r="V440" i="5"/>
  <c r="AH244" i="5"/>
  <c r="AF244" i="5"/>
  <c r="AD244" i="5"/>
  <c r="AB244" i="5"/>
  <c r="AH243" i="5"/>
  <c r="AF243" i="5"/>
  <c r="AD243" i="5"/>
  <c r="AB243" i="5"/>
  <c r="AH242" i="5"/>
  <c r="AF242" i="5"/>
  <c r="AD242" i="5"/>
  <c r="AB242" i="5"/>
  <c r="AH241" i="5"/>
  <c r="AF241" i="5"/>
  <c r="AD241" i="5"/>
  <c r="AB241" i="5"/>
  <c r="AH240" i="5"/>
  <c r="AF240" i="5"/>
  <c r="AD240" i="5"/>
  <c r="AB240" i="5"/>
  <c r="AH239" i="5"/>
  <c r="AF239" i="5"/>
  <c r="AD239" i="5"/>
  <c r="AB239" i="5"/>
  <c r="AH235" i="5"/>
  <c r="AF235" i="5"/>
  <c r="AD235" i="5"/>
  <c r="AB235" i="5"/>
  <c r="AH234" i="5"/>
  <c r="AF234" i="5"/>
  <c r="AD234" i="5"/>
  <c r="AB234" i="5"/>
  <c r="AH172" i="5"/>
  <c r="AF172" i="5"/>
  <c r="AD172" i="5"/>
  <c r="AB172" i="5"/>
  <c r="AH238" i="5"/>
  <c r="AF238" i="5"/>
  <c r="AD238" i="5"/>
  <c r="AB238" i="5"/>
  <c r="AH237" i="5"/>
  <c r="AF237" i="5"/>
  <c r="AD237" i="5"/>
  <c r="AB237" i="5"/>
  <c r="AH233" i="5"/>
  <c r="AF233" i="5"/>
  <c r="AD233" i="5"/>
  <c r="AB233" i="5"/>
  <c r="AH232" i="5"/>
  <c r="AF232" i="5"/>
  <c r="AD232" i="5"/>
  <c r="AB232" i="5"/>
  <c r="Y506" i="5"/>
  <c r="V506" i="5"/>
  <c r="Y493" i="5"/>
  <c r="V493" i="5"/>
  <c r="Y467" i="5"/>
  <c r="V467" i="5"/>
  <c r="Y454" i="5"/>
  <c r="V454" i="5"/>
  <c r="Y441" i="5"/>
  <c r="V441" i="5"/>
  <c r="Y425" i="5"/>
  <c r="V425" i="5"/>
  <c r="Y415" i="5"/>
  <c r="V415" i="5"/>
  <c r="Y405" i="5"/>
  <c r="V405" i="5"/>
  <c r="Y394" i="5"/>
  <c r="V394" i="5"/>
  <c r="Y313" i="5"/>
  <c r="V313" i="5"/>
  <c r="Y307" i="5"/>
  <c r="V307" i="5"/>
  <c r="Y306" i="5"/>
  <c r="V306" i="5"/>
  <c r="Y305" i="5"/>
  <c r="V305" i="5"/>
  <c r="Y304" i="5"/>
  <c r="V304" i="5"/>
  <c r="Y269" i="5"/>
  <c r="V269" i="5"/>
  <c r="Y268" i="5"/>
  <c r="V268" i="5"/>
  <c r="AH129" i="5"/>
  <c r="AF129" i="5"/>
  <c r="AD129" i="5"/>
  <c r="AB129" i="5"/>
  <c r="AH498" i="5"/>
  <c r="AF498" i="5"/>
  <c r="AD498" i="5"/>
  <c r="AB498" i="5"/>
  <c r="AH497" i="5"/>
  <c r="AF497" i="5"/>
  <c r="AD497" i="5"/>
  <c r="AB497" i="5"/>
  <c r="AH496" i="5"/>
  <c r="AF496" i="5"/>
  <c r="AD496" i="5"/>
  <c r="AB496" i="5"/>
  <c r="AH495" i="5"/>
  <c r="AF495" i="5"/>
  <c r="AD495" i="5"/>
  <c r="AB495" i="5"/>
  <c r="AH430" i="5"/>
  <c r="AF430" i="5"/>
  <c r="AD430" i="5"/>
  <c r="AB430" i="5"/>
  <c r="B430" i="5" s="1"/>
  <c r="AH429" i="5"/>
  <c r="AF429" i="5"/>
  <c r="AD429" i="5"/>
  <c r="AB429" i="5"/>
  <c r="AH428" i="5"/>
  <c r="AF428" i="5"/>
  <c r="AD428" i="5"/>
  <c r="AB428" i="5"/>
  <c r="AH427" i="5"/>
  <c r="AF427" i="5"/>
  <c r="AD427" i="5"/>
  <c r="AB427" i="5"/>
  <c r="AH434" i="5"/>
  <c r="AF434" i="5"/>
  <c r="AD434" i="5"/>
  <c r="AB434" i="5"/>
  <c r="AH433" i="5"/>
  <c r="AF433" i="5"/>
  <c r="AD433" i="5"/>
  <c r="AB433" i="5"/>
  <c r="AH446" i="5"/>
  <c r="AF446" i="5"/>
  <c r="AD446" i="5"/>
  <c r="AB446" i="5"/>
  <c r="B446" i="5"/>
  <c r="AH445" i="5"/>
  <c r="AF445" i="5"/>
  <c r="AD445" i="5"/>
  <c r="AB445" i="5"/>
  <c r="AH444" i="5"/>
  <c r="AF444" i="5"/>
  <c r="AD444" i="5"/>
  <c r="AB444" i="5"/>
  <c r="AH443" i="5"/>
  <c r="AF443" i="5"/>
  <c r="AD443" i="5"/>
  <c r="AB443" i="5"/>
  <c r="AH472" i="5"/>
  <c r="AF472" i="5"/>
  <c r="AD472" i="5"/>
  <c r="AB472" i="5"/>
  <c r="AH471" i="5"/>
  <c r="AF471" i="5"/>
  <c r="AD471" i="5"/>
  <c r="AB471" i="5"/>
  <c r="AH470" i="5"/>
  <c r="AF470" i="5"/>
  <c r="AD470" i="5"/>
  <c r="AB470" i="5"/>
  <c r="AH469" i="5"/>
  <c r="AF469" i="5"/>
  <c r="AD469" i="5"/>
  <c r="AB469" i="5"/>
  <c r="AH459" i="5"/>
  <c r="AF459" i="5"/>
  <c r="AD459" i="5"/>
  <c r="AB459" i="5"/>
  <c r="AH458" i="5"/>
  <c r="AF458" i="5"/>
  <c r="AD458" i="5"/>
  <c r="AB458" i="5"/>
  <c r="AH457" i="5"/>
  <c r="AF457" i="5"/>
  <c r="AD457" i="5"/>
  <c r="AB457" i="5"/>
  <c r="AH456" i="5"/>
  <c r="AF456" i="5"/>
  <c r="AD456" i="5"/>
  <c r="AB456" i="5"/>
  <c r="AH483" i="5"/>
  <c r="AF483" i="5"/>
  <c r="AD483" i="5"/>
  <c r="AB483" i="5"/>
  <c r="AH482" i="5"/>
  <c r="AF482" i="5"/>
  <c r="AD482" i="5"/>
  <c r="AB482" i="5"/>
  <c r="AH485" i="5"/>
  <c r="AF485" i="5"/>
  <c r="AD485" i="5"/>
  <c r="AB485" i="5"/>
  <c r="AH484" i="5"/>
  <c r="AF484" i="5"/>
  <c r="AD484" i="5"/>
  <c r="AB484" i="5"/>
  <c r="AB18" i="5"/>
  <c r="AD18" i="5"/>
  <c r="AB20" i="5"/>
  <c r="AD20" i="5"/>
  <c r="AB21" i="5"/>
  <c r="AD21" i="5"/>
  <c r="AB23" i="5"/>
  <c r="AD23" i="5"/>
  <c r="AB24" i="5"/>
  <c r="AD24" i="5"/>
  <c r="AB29" i="5"/>
  <c r="AD29" i="5"/>
  <c r="AB30" i="5"/>
  <c r="AD30" i="5"/>
  <c r="AB35" i="5"/>
  <c r="AD35" i="5"/>
  <c r="AB36" i="5"/>
  <c r="AD36" i="5"/>
  <c r="AB41" i="5"/>
  <c r="AD41" i="5"/>
  <c r="AB42" i="5"/>
  <c r="AD42" i="5"/>
  <c r="AB48" i="5"/>
  <c r="AD48" i="5"/>
  <c r="AB49" i="5"/>
  <c r="AD49" i="5"/>
  <c r="AB56" i="5"/>
  <c r="AD56" i="5"/>
  <c r="AB57" i="5"/>
  <c r="AD57" i="5"/>
  <c r="AB62" i="5"/>
  <c r="AD62" i="5"/>
  <c r="AB63" i="5"/>
  <c r="AD63" i="5"/>
  <c r="AB65" i="5"/>
  <c r="AD65" i="5"/>
  <c r="AB66" i="5"/>
  <c r="AD66" i="5"/>
  <c r="AB68" i="5"/>
  <c r="AD68" i="5"/>
  <c r="AB69" i="5"/>
  <c r="AD69" i="5"/>
  <c r="AB71" i="5"/>
  <c r="AD71" i="5"/>
  <c r="AB72" i="5"/>
  <c r="AD72" i="5"/>
  <c r="AB74" i="5"/>
  <c r="AD74" i="5"/>
  <c r="AB75" i="5"/>
  <c r="AD75" i="5"/>
  <c r="AB77" i="5"/>
  <c r="AD77" i="5"/>
  <c r="AB78" i="5"/>
  <c r="AD78" i="5"/>
  <c r="AB80" i="5"/>
  <c r="AD80" i="5"/>
  <c r="AB81" i="5"/>
  <c r="AD81" i="5"/>
  <c r="AB82" i="5"/>
  <c r="AD82" i="5"/>
  <c r="AB92" i="5"/>
  <c r="AD92" i="5"/>
  <c r="AB93" i="5"/>
  <c r="AD93" i="5"/>
  <c r="AB94" i="5"/>
  <c r="AD94" i="5"/>
  <c r="AB96" i="5"/>
  <c r="AD96" i="5"/>
  <c r="AB97" i="5"/>
  <c r="AD97" i="5"/>
  <c r="AB102" i="5"/>
  <c r="AD102" i="5"/>
  <c r="AB103" i="5"/>
  <c r="AD103" i="5"/>
  <c r="AB109" i="5"/>
  <c r="AD109" i="5"/>
  <c r="AB110" i="5"/>
  <c r="AD110" i="5"/>
  <c r="AH376" i="5"/>
  <c r="AF376" i="5"/>
  <c r="AD376" i="5"/>
  <c r="AB376" i="5"/>
  <c r="B376" i="5"/>
  <c r="AH375" i="5"/>
  <c r="AF375" i="5"/>
  <c r="AD375" i="5"/>
  <c r="AB375" i="5"/>
  <c r="B375" i="5" s="1"/>
  <c r="AH371" i="5"/>
  <c r="AF371" i="5"/>
  <c r="AD371" i="5"/>
  <c r="AB371" i="5"/>
  <c r="AH370" i="5"/>
  <c r="AF370" i="5"/>
  <c r="AD370" i="5"/>
  <c r="AB370" i="5"/>
  <c r="AH369" i="5"/>
  <c r="AF369" i="5"/>
  <c r="AD369" i="5"/>
  <c r="AB369" i="5"/>
  <c r="B369" i="5" s="1"/>
  <c r="AH368" i="5"/>
  <c r="AF368" i="5"/>
  <c r="AD368" i="5"/>
  <c r="AB368" i="5"/>
  <c r="AH378" i="5"/>
  <c r="AF378" i="5"/>
  <c r="AD378" i="5"/>
  <c r="AB378" i="5"/>
  <c r="AH377" i="5"/>
  <c r="AF377" i="5"/>
  <c r="AD377" i="5"/>
  <c r="AB377" i="5"/>
  <c r="AH374" i="5"/>
  <c r="AF374" i="5"/>
  <c r="AD374" i="5"/>
  <c r="AB374" i="5"/>
  <c r="AH372" i="5"/>
  <c r="AF372" i="5"/>
  <c r="AD372" i="5"/>
  <c r="AB372" i="5"/>
  <c r="AH367" i="5"/>
  <c r="AF367" i="5"/>
  <c r="AD367" i="5"/>
  <c r="AB367" i="5"/>
  <c r="AH366" i="5"/>
  <c r="AF366" i="5"/>
  <c r="AD366" i="5"/>
  <c r="AB366" i="5"/>
  <c r="M506" i="5"/>
  <c r="M505" i="5"/>
  <c r="M493" i="5"/>
  <c r="M492" i="5"/>
  <c r="M480" i="5"/>
  <c r="M479" i="5"/>
  <c r="M467" i="5"/>
  <c r="M466" i="5"/>
  <c r="M454" i="5"/>
  <c r="M453" i="5"/>
  <c r="M441" i="5"/>
  <c r="M440" i="5"/>
  <c r="M425" i="5"/>
  <c r="M424" i="5"/>
  <c r="M415" i="5"/>
  <c r="M414" i="5"/>
  <c r="M405" i="5"/>
  <c r="M404" i="5"/>
  <c r="M394" i="5"/>
  <c r="M393" i="5"/>
  <c r="AH474" i="5"/>
  <c r="AF474" i="5"/>
  <c r="AD474" i="5"/>
  <c r="AB474" i="5"/>
  <c r="AH467" i="5"/>
  <c r="AF467" i="5"/>
  <c r="AD467" i="5"/>
  <c r="AB467" i="5"/>
  <c r="B467" i="5" s="1"/>
  <c r="J467" i="5"/>
  <c r="G467" i="5"/>
  <c r="D467" i="5"/>
  <c r="AH466" i="5"/>
  <c r="AF466" i="5"/>
  <c r="AD466" i="5"/>
  <c r="AB466" i="5"/>
  <c r="B466" i="5" s="1"/>
  <c r="J466" i="5"/>
  <c r="G466" i="5"/>
  <c r="D466" i="5"/>
  <c r="AH465" i="5"/>
  <c r="AF465" i="5"/>
  <c r="AD465" i="5"/>
  <c r="AB465" i="5"/>
  <c r="J465" i="5"/>
  <c r="I465" i="5"/>
  <c r="AH464" i="5"/>
  <c r="AF464" i="5"/>
  <c r="AD464" i="5"/>
  <c r="AB464" i="5"/>
  <c r="J464" i="5"/>
  <c r="I464" i="5"/>
  <c r="AH463" i="5"/>
  <c r="AF463" i="5"/>
  <c r="AD463" i="5"/>
  <c r="AB463" i="5"/>
  <c r="J463" i="5"/>
  <c r="I463" i="5"/>
  <c r="AH462" i="5"/>
  <c r="AF462" i="5"/>
  <c r="AD462" i="5"/>
  <c r="AB462" i="5"/>
  <c r="J462" i="5"/>
  <c r="I462" i="5"/>
  <c r="G480" i="5"/>
  <c r="G479" i="5"/>
  <c r="G493" i="5"/>
  <c r="G492" i="5"/>
  <c r="G454" i="5"/>
  <c r="G453" i="5"/>
  <c r="G441" i="5"/>
  <c r="G440" i="5"/>
  <c r="J454" i="5"/>
  <c r="J453" i="5"/>
  <c r="J507" i="5"/>
  <c r="I507" i="5"/>
  <c r="AH511" i="5"/>
  <c r="AF511" i="5"/>
  <c r="AD511" i="5"/>
  <c r="AB511" i="5"/>
  <c r="AH509" i="5"/>
  <c r="AF509" i="5"/>
  <c r="AD509" i="5"/>
  <c r="AB509" i="5"/>
  <c r="AH507" i="5"/>
  <c r="AF507" i="5"/>
  <c r="AD507" i="5"/>
  <c r="AB507" i="5"/>
  <c r="J508" i="5"/>
  <c r="I508" i="5"/>
  <c r="J506" i="5"/>
  <c r="G506" i="5"/>
  <c r="D506" i="5"/>
  <c r="J505" i="5"/>
  <c r="G505" i="5"/>
  <c r="D505" i="5"/>
  <c r="J504" i="5"/>
  <c r="I504" i="5"/>
  <c r="AH503" i="5"/>
  <c r="AF503" i="5"/>
  <c r="AD503" i="5"/>
  <c r="AB503" i="5"/>
  <c r="AH512" i="5"/>
  <c r="AF512" i="5"/>
  <c r="AD512" i="5"/>
  <c r="AB512" i="5"/>
  <c r="AH510" i="5"/>
  <c r="AF510" i="5"/>
  <c r="AD510" i="5"/>
  <c r="AB510" i="5"/>
  <c r="AH508" i="5"/>
  <c r="AF508" i="5"/>
  <c r="AD508" i="5"/>
  <c r="AB508" i="5"/>
  <c r="AH438" i="5"/>
  <c r="AF438" i="5"/>
  <c r="AD438" i="5"/>
  <c r="AB438" i="5"/>
  <c r="J438" i="5"/>
  <c r="I438" i="5"/>
  <c r="AH436" i="5"/>
  <c r="AF436" i="5"/>
  <c r="AD436" i="5"/>
  <c r="AB436" i="5"/>
  <c r="J436" i="5"/>
  <c r="I436" i="5"/>
  <c r="AH294" i="5"/>
  <c r="AF294" i="5"/>
  <c r="AD294" i="5"/>
  <c r="AB294" i="5"/>
  <c r="AH293" i="5"/>
  <c r="AF293" i="5"/>
  <c r="AD293" i="5"/>
  <c r="AB293" i="5"/>
  <c r="AH292" i="5"/>
  <c r="AF292" i="5"/>
  <c r="AD292" i="5"/>
  <c r="AB292" i="5"/>
  <c r="AH291" i="5"/>
  <c r="AF291" i="5"/>
  <c r="AD291" i="5"/>
  <c r="AB291" i="5"/>
  <c r="AH289" i="5"/>
  <c r="AF289" i="5"/>
  <c r="AD289" i="5"/>
  <c r="AB289" i="5"/>
  <c r="AH288" i="5"/>
  <c r="AF288" i="5"/>
  <c r="AD288" i="5"/>
  <c r="AB288" i="5"/>
  <c r="AH287" i="5"/>
  <c r="AF287" i="5"/>
  <c r="AD287" i="5"/>
  <c r="AB287" i="5"/>
  <c r="AH286" i="5"/>
  <c r="AF286" i="5"/>
  <c r="AD286" i="5"/>
  <c r="AB286" i="5"/>
  <c r="AH284" i="5"/>
  <c r="AF284" i="5"/>
  <c r="AD284" i="5"/>
  <c r="AB284" i="5"/>
  <c r="AH283" i="5"/>
  <c r="AF283" i="5"/>
  <c r="AD283" i="5"/>
  <c r="AB283" i="5"/>
  <c r="AH282" i="5"/>
  <c r="AF282" i="5"/>
  <c r="AD282" i="5"/>
  <c r="AB282" i="5"/>
  <c r="AH281" i="5"/>
  <c r="AF281" i="5"/>
  <c r="AD281" i="5"/>
  <c r="AB281" i="5"/>
  <c r="AH194" i="5"/>
  <c r="AF194" i="5"/>
  <c r="AD194" i="5"/>
  <c r="AB194" i="5"/>
  <c r="AH193" i="5"/>
  <c r="AF193" i="5"/>
  <c r="AD193" i="5"/>
  <c r="AB193" i="5"/>
  <c r="AH192" i="5"/>
  <c r="AF192" i="5"/>
  <c r="AD192" i="5"/>
  <c r="AB192" i="5"/>
  <c r="AH191" i="5"/>
  <c r="AF191" i="5"/>
  <c r="AD191" i="5"/>
  <c r="AB191" i="5"/>
  <c r="AH190" i="5"/>
  <c r="AF190" i="5"/>
  <c r="AD190" i="5"/>
  <c r="AB190" i="5"/>
  <c r="AH168" i="5"/>
  <c r="AF168" i="5"/>
  <c r="AD168" i="5"/>
  <c r="AB168" i="5"/>
  <c r="B168" i="5" s="1"/>
  <c r="AH167" i="5"/>
  <c r="AF167" i="5"/>
  <c r="AD167" i="5"/>
  <c r="AB167" i="5"/>
  <c r="AH166" i="5"/>
  <c r="AF166" i="5"/>
  <c r="AD166" i="5"/>
  <c r="AB166" i="5"/>
  <c r="AH165" i="5"/>
  <c r="AF165" i="5"/>
  <c r="AD165" i="5"/>
  <c r="AB165" i="5"/>
  <c r="AH169" i="5"/>
  <c r="AF169" i="5"/>
  <c r="AD169" i="5"/>
  <c r="AB169" i="5"/>
  <c r="AH279" i="5"/>
  <c r="AF279" i="5"/>
  <c r="AD279" i="5"/>
  <c r="AB279" i="5"/>
  <c r="AH278" i="5"/>
  <c r="AF278" i="5"/>
  <c r="AD278" i="5"/>
  <c r="AB278" i="5"/>
  <c r="B278" i="5"/>
  <c r="AH277" i="5"/>
  <c r="AF277" i="5"/>
  <c r="AD277" i="5"/>
  <c r="AB277" i="5"/>
  <c r="AH276" i="5"/>
  <c r="AF276" i="5"/>
  <c r="AD276" i="5"/>
  <c r="AB276" i="5"/>
  <c r="M313" i="5"/>
  <c r="J313" i="5"/>
  <c r="M307" i="5"/>
  <c r="J307" i="5"/>
  <c r="M306" i="5"/>
  <c r="J306" i="5"/>
  <c r="M305" i="5"/>
  <c r="J305" i="5"/>
  <c r="M304" i="5"/>
  <c r="J304" i="5"/>
  <c r="M269" i="5"/>
  <c r="M268" i="5"/>
  <c r="J269" i="5"/>
  <c r="J268" i="5"/>
  <c r="AH274" i="5"/>
  <c r="AF274" i="5"/>
  <c r="AD274" i="5"/>
  <c r="AB274" i="5"/>
  <c r="AH273" i="5"/>
  <c r="AF273" i="5"/>
  <c r="AD273" i="5"/>
  <c r="AB273" i="5"/>
  <c r="AH272" i="5"/>
  <c r="AF272" i="5"/>
  <c r="AD272" i="5"/>
  <c r="AB272" i="5"/>
  <c r="AH151" i="5"/>
  <c r="AF151" i="5"/>
  <c r="AD151" i="5"/>
  <c r="AB151" i="5"/>
  <c r="AH150" i="5"/>
  <c r="AF150" i="5"/>
  <c r="AD150" i="5"/>
  <c r="AB150" i="5"/>
  <c r="AH163" i="5"/>
  <c r="AF163" i="5"/>
  <c r="AD163" i="5"/>
  <c r="AB163" i="5"/>
  <c r="AH162" i="5"/>
  <c r="AF162" i="5"/>
  <c r="AD162" i="5"/>
  <c r="AB162" i="5"/>
  <c r="AH161" i="5"/>
  <c r="AF161" i="5"/>
  <c r="AD161" i="5"/>
  <c r="AB161" i="5"/>
  <c r="AH160" i="5"/>
  <c r="AF160" i="5"/>
  <c r="AD160" i="5"/>
  <c r="AB160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AH154" i="5"/>
  <c r="AF154" i="5"/>
  <c r="AD154" i="5"/>
  <c r="AB154" i="5"/>
  <c r="AH153" i="5"/>
  <c r="AF153" i="5"/>
  <c r="AD153" i="5"/>
  <c r="AB153" i="5"/>
  <c r="AH159" i="5"/>
  <c r="AF159" i="5"/>
  <c r="AD159" i="5"/>
  <c r="AB159" i="5"/>
  <c r="AH261" i="5"/>
  <c r="AF261" i="5"/>
  <c r="AD261" i="5"/>
  <c r="AB261" i="5"/>
  <c r="AH265" i="5"/>
  <c r="AF265" i="5"/>
  <c r="AD265" i="5"/>
  <c r="AB265" i="5"/>
  <c r="AH264" i="5"/>
  <c r="AF264" i="5"/>
  <c r="AD264" i="5"/>
  <c r="AB264" i="5"/>
  <c r="AH263" i="5"/>
  <c r="AF263" i="5"/>
  <c r="AD263" i="5"/>
  <c r="AB263" i="5"/>
  <c r="AH262" i="5"/>
  <c r="AF262" i="5"/>
  <c r="AD262" i="5"/>
  <c r="AB262" i="5"/>
  <c r="AH271" i="5"/>
  <c r="AF271" i="5"/>
  <c r="AD271" i="5"/>
  <c r="AB271" i="5"/>
  <c r="AH337" i="5"/>
  <c r="AF337" i="5"/>
  <c r="AD337" i="5"/>
  <c r="AB337" i="5"/>
  <c r="AH336" i="5"/>
  <c r="AF336" i="5"/>
  <c r="AD336" i="5"/>
  <c r="AB336" i="5"/>
  <c r="AH334" i="5"/>
  <c r="AF334" i="5"/>
  <c r="AD334" i="5"/>
  <c r="AB334" i="5"/>
  <c r="AH333" i="5"/>
  <c r="AF333" i="5"/>
  <c r="AD333" i="5"/>
  <c r="AB333" i="5"/>
  <c r="AH332" i="5"/>
  <c r="AF332" i="5"/>
  <c r="AD332" i="5"/>
  <c r="AB332" i="5"/>
  <c r="AH330" i="5"/>
  <c r="AF330" i="5"/>
  <c r="AD330" i="5"/>
  <c r="AB330" i="5"/>
  <c r="AH329" i="5"/>
  <c r="AF329" i="5"/>
  <c r="AD329" i="5"/>
  <c r="AB329" i="5"/>
  <c r="AH328" i="5"/>
  <c r="AF328" i="5"/>
  <c r="AD328" i="5"/>
  <c r="AB328" i="5"/>
  <c r="AH327" i="5"/>
  <c r="AF327" i="5"/>
  <c r="AD327" i="5"/>
  <c r="AB327" i="5"/>
  <c r="AH325" i="5"/>
  <c r="AH324" i="5"/>
  <c r="AH323" i="5"/>
  <c r="AH322" i="5"/>
  <c r="AH321" i="5"/>
  <c r="AH320" i="5"/>
  <c r="AH319" i="5"/>
  <c r="AH318" i="5"/>
  <c r="AH317" i="5"/>
  <c r="AH316" i="5"/>
  <c r="AF325" i="5"/>
  <c r="AF324" i="5"/>
  <c r="AF323" i="5"/>
  <c r="AF322" i="5"/>
  <c r="AF321" i="5"/>
  <c r="AF320" i="5"/>
  <c r="AF319" i="5"/>
  <c r="AF318" i="5"/>
  <c r="AD325" i="5"/>
  <c r="AD324" i="5"/>
  <c r="AD323" i="5"/>
  <c r="AD322" i="5"/>
  <c r="AB325" i="5"/>
  <c r="AB324" i="5"/>
  <c r="AB323" i="5"/>
  <c r="AB322" i="5"/>
  <c r="AD318" i="5"/>
  <c r="AB318" i="5"/>
  <c r="AD319" i="5"/>
  <c r="AB319" i="5"/>
  <c r="AF317" i="5"/>
  <c r="AD317" i="5"/>
  <c r="AB317" i="5"/>
  <c r="AF316" i="5"/>
  <c r="AD316" i="5"/>
  <c r="AB316" i="5"/>
  <c r="AH315" i="5"/>
  <c r="AF315" i="5"/>
  <c r="AD315" i="5"/>
  <c r="AB315" i="5"/>
  <c r="AH314" i="5"/>
  <c r="AF314" i="5"/>
  <c r="AD314" i="5"/>
  <c r="AB314" i="5"/>
  <c r="G268" i="5"/>
  <c r="G269" i="5"/>
  <c r="G307" i="5"/>
  <c r="G306" i="5"/>
  <c r="G305" i="5"/>
  <c r="G304" i="5"/>
  <c r="G313" i="5"/>
  <c r="AH188" i="5"/>
  <c r="AF188" i="5"/>
  <c r="AD188" i="5"/>
  <c r="AB188" i="5"/>
  <c r="AH187" i="5"/>
  <c r="AF187" i="5"/>
  <c r="AD187" i="5"/>
  <c r="AB187" i="5"/>
  <c r="AH186" i="5"/>
  <c r="AF186" i="5"/>
  <c r="AD186" i="5"/>
  <c r="AB186" i="5"/>
  <c r="AH185" i="5"/>
  <c r="AF185" i="5"/>
  <c r="AD185" i="5"/>
  <c r="AB185" i="5"/>
  <c r="AH184" i="5"/>
  <c r="AF184" i="5"/>
  <c r="AD184" i="5"/>
  <c r="AB184" i="5"/>
  <c r="AH183" i="5"/>
  <c r="AF183" i="5"/>
  <c r="AD183" i="5"/>
  <c r="AB183" i="5"/>
  <c r="AH182" i="5"/>
  <c r="AF182" i="5"/>
  <c r="AD182" i="5"/>
  <c r="AB182" i="5"/>
  <c r="AH181" i="5"/>
  <c r="AF181" i="5"/>
  <c r="AD181" i="5"/>
  <c r="AB181" i="5"/>
  <c r="AH180" i="5"/>
  <c r="AF180" i="5"/>
  <c r="AD180" i="5"/>
  <c r="AB180" i="5"/>
  <c r="AH179" i="5"/>
  <c r="AF179" i="5"/>
  <c r="AD179" i="5"/>
  <c r="AB179" i="5"/>
  <c r="AH178" i="5"/>
  <c r="AF178" i="5"/>
  <c r="AD178" i="5"/>
  <c r="AB178" i="5"/>
  <c r="AH177" i="5"/>
  <c r="AF177" i="5"/>
  <c r="AD177" i="5"/>
  <c r="AB177" i="5"/>
  <c r="AH176" i="5"/>
  <c r="AF176" i="5"/>
  <c r="AD176" i="5"/>
  <c r="AB176" i="5"/>
  <c r="AH175" i="5"/>
  <c r="AF175" i="5"/>
  <c r="AD175" i="5"/>
  <c r="AB175" i="5"/>
  <c r="AH174" i="5"/>
  <c r="AF174" i="5"/>
  <c r="AD174" i="5"/>
  <c r="AB174" i="5"/>
  <c r="AH173" i="5"/>
  <c r="AF173" i="5"/>
  <c r="AD173" i="5"/>
  <c r="AB173" i="5"/>
  <c r="AH425" i="5"/>
  <c r="AH424" i="5"/>
  <c r="AH423" i="5"/>
  <c r="AH422" i="5"/>
  <c r="AH421" i="5"/>
  <c r="AH420" i="5"/>
  <c r="AH419" i="5"/>
  <c r="AH418" i="5"/>
  <c r="AH417" i="5"/>
  <c r="AH415" i="5"/>
  <c r="AH414" i="5"/>
  <c r="AH412" i="5"/>
  <c r="AH411" i="5"/>
  <c r="AH410" i="5"/>
  <c r="AH409" i="5"/>
  <c r="AH408" i="5"/>
  <c r="AH407" i="5"/>
  <c r="AH405" i="5"/>
  <c r="AH404" i="5"/>
  <c r="AH402" i="5"/>
  <c r="AH401" i="5"/>
  <c r="AH400" i="5"/>
  <c r="AH399" i="5"/>
  <c r="AH398" i="5"/>
  <c r="AH397" i="5"/>
  <c r="AH65" i="5"/>
  <c r="B531" i="5"/>
  <c r="B530" i="5"/>
  <c r="B529" i="5"/>
  <c r="B528" i="5"/>
  <c r="B527" i="5"/>
  <c r="B526" i="5"/>
  <c r="B525" i="5"/>
  <c r="B524" i="5"/>
  <c r="B523" i="5"/>
  <c r="B522" i="5"/>
  <c r="B521" i="5"/>
  <c r="B520" i="5"/>
  <c r="B519" i="5"/>
  <c r="B518" i="5"/>
  <c r="B517" i="5"/>
  <c r="B516" i="5"/>
  <c r="B515" i="5"/>
  <c r="B514" i="5"/>
  <c r="B513" i="5"/>
  <c r="AH506" i="5"/>
  <c r="AH505" i="5"/>
  <c r="AH504" i="5"/>
  <c r="AH502" i="5"/>
  <c r="AH501" i="5"/>
  <c r="AH500" i="5"/>
  <c r="AH499" i="5"/>
  <c r="AH493" i="5"/>
  <c r="AH492" i="5"/>
  <c r="AH491" i="5"/>
  <c r="AH490" i="5"/>
  <c r="AH489" i="5"/>
  <c r="AH488" i="5"/>
  <c r="AH487" i="5"/>
  <c r="AH480" i="5"/>
  <c r="AH479" i="5"/>
  <c r="AH478" i="5"/>
  <c r="AH477" i="5"/>
  <c r="AH476" i="5"/>
  <c r="AH475" i="5"/>
  <c r="AH461" i="5"/>
  <c r="AH454" i="5"/>
  <c r="AH453" i="5"/>
  <c r="AH452" i="5"/>
  <c r="AH451" i="5"/>
  <c r="AH450" i="5"/>
  <c r="AH449" i="5"/>
  <c r="AH448" i="5"/>
  <c r="AH441" i="5"/>
  <c r="AH440" i="5"/>
  <c r="AH439" i="5"/>
  <c r="AH437" i="5"/>
  <c r="AH432" i="5"/>
  <c r="AH431" i="5"/>
  <c r="AH416" i="5"/>
  <c r="AH413" i="5"/>
  <c r="AH406" i="5"/>
  <c r="AH403" i="5"/>
  <c r="AH396" i="5"/>
  <c r="AH395" i="5"/>
  <c r="AH394" i="5"/>
  <c r="AH393" i="5"/>
  <c r="AH392" i="5"/>
  <c r="AH391" i="5"/>
  <c r="AH390" i="5"/>
  <c r="AH389" i="5"/>
  <c r="AH388" i="5"/>
  <c r="AH387" i="5"/>
  <c r="AH386" i="5"/>
  <c r="AH385" i="5"/>
  <c r="AH384" i="5"/>
  <c r="AH383" i="5"/>
  <c r="AH382" i="5"/>
  <c r="AH381" i="5"/>
  <c r="AH380" i="5"/>
  <c r="AH373" i="5"/>
  <c r="AH365" i="5"/>
  <c r="AH364" i="5"/>
  <c r="AH363" i="5"/>
  <c r="AH362" i="5"/>
  <c r="AH361" i="5"/>
  <c r="AH360" i="5"/>
  <c r="AH359" i="5"/>
  <c r="AH358" i="5"/>
  <c r="AH357" i="5"/>
  <c r="AH356" i="5"/>
  <c r="AH355" i="5"/>
  <c r="AH354" i="5"/>
  <c r="AH353" i="5"/>
  <c r="AH352" i="5"/>
  <c r="AH351" i="5"/>
  <c r="AH350" i="5"/>
  <c r="AH349" i="5"/>
  <c r="AH348" i="5"/>
  <c r="AH347" i="5"/>
  <c r="AH346" i="5"/>
  <c r="AH345" i="5"/>
  <c r="AH344" i="5"/>
  <c r="AH343" i="5"/>
  <c r="AH342" i="5"/>
  <c r="AH341" i="5"/>
  <c r="AH340" i="5"/>
  <c r="AH313" i="5"/>
  <c r="AH312" i="5"/>
  <c r="AH311" i="5"/>
  <c r="AH310" i="5"/>
  <c r="AH309" i="5"/>
  <c r="AH308" i="5"/>
  <c r="AH307" i="5"/>
  <c r="AH306" i="5"/>
  <c r="AH305" i="5"/>
  <c r="AH304" i="5"/>
  <c r="AH303" i="5"/>
  <c r="AH270" i="5"/>
  <c r="AH269" i="5"/>
  <c r="AH259" i="5"/>
  <c r="AH268" i="5"/>
  <c r="AH258" i="5"/>
  <c r="AH257" i="5"/>
  <c r="AH148" i="5"/>
  <c r="AH147" i="5"/>
  <c r="AH146" i="5"/>
  <c r="AH145" i="5"/>
  <c r="AH144" i="5"/>
  <c r="AH143" i="5"/>
  <c r="AH142" i="5"/>
  <c r="AH141" i="5"/>
  <c r="AH140" i="5"/>
  <c r="AH139" i="5"/>
  <c r="AH138" i="5"/>
  <c r="AH137" i="5"/>
  <c r="AH136" i="5"/>
  <c r="AH135" i="5"/>
  <c r="AH134" i="5"/>
  <c r="AH133" i="5"/>
  <c r="AH128" i="5"/>
  <c r="AH127" i="5"/>
  <c r="AH126" i="5"/>
  <c r="AH124" i="5"/>
  <c r="AH123" i="5"/>
  <c r="AH122" i="5"/>
  <c r="AH121" i="5"/>
  <c r="AH120" i="5"/>
  <c r="AH119" i="5"/>
  <c r="AH118" i="5"/>
  <c r="AH117" i="5"/>
  <c r="AH116" i="5"/>
  <c r="AH115" i="5"/>
  <c r="AH110" i="5"/>
  <c r="AH109" i="5"/>
  <c r="AH103" i="5"/>
  <c r="AH102" i="5"/>
  <c r="AH97" i="5"/>
  <c r="AH96" i="5"/>
  <c r="AH94" i="5"/>
  <c r="AH93" i="5"/>
  <c r="AH92" i="5"/>
  <c r="AH82" i="5"/>
  <c r="AH81" i="5"/>
  <c r="AH80" i="5"/>
  <c r="AH78" i="5"/>
  <c r="AH77" i="5"/>
  <c r="AH75" i="5"/>
  <c r="AH74" i="5"/>
  <c r="AH72" i="5"/>
  <c r="AH71" i="5"/>
  <c r="AH69" i="5"/>
  <c r="AH68" i="5"/>
  <c r="AH66" i="5"/>
  <c r="AH63" i="5"/>
  <c r="AH62" i="5"/>
  <c r="AH57" i="5"/>
  <c r="AH56" i="5"/>
  <c r="AH49" i="5"/>
  <c r="AH48" i="5"/>
  <c r="AH42" i="5"/>
  <c r="AH41" i="5"/>
  <c r="AH36" i="5"/>
  <c r="AH35" i="5"/>
  <c r="AH30" i="5"/>
  <c r="AH29" i="5"/>
  <c r="AH24" i="5"/>
  <c r="AH23" i="5"/>
  <c r="AH21" i="5"/>
  <c r="AH20" i="5"/>
  <c r="AH18" i="5"/>
  <c r="AF92" i="5"/>
  <c r="AF94" i="5"/>
  <c r="AF81" i="5"/>
  <c r="AF82" i="5"/>
  <c r="AF80" i="5"/>
  <c r="AF418" i="5"/>
  <c r="AD418" i="5"/>
  <c r="AB418" i="5"/>
  <c r="J418" i="5"/>
  <c r="I418" i="5"/>
  <c r="AF408" i="5"/>
  <c r="AD408" i="5"/>
  <c r="AB408" i="5"/>
  <c r="J408" i="5"/>
  <c r="I408" i="5"/>
  <c r="AF398" i="5"/>
  <c r="AD398" i="5"/>
  <c r="AB398" i="5"/>
  <c r="J398" i="5"/>
  <c r="I398" i="5"/>
  <c r="AF387" i="5"/>
  <c r="AD387" i="5"/>
  <c r="AB387" i="5"/>
  <c r="J387" i="5"/>
  <c r="I387" i="5"/>
  <c r="AF75" i="5"/>
  <c r="AF74" i="5"/>
  <c r="AF72" i="5"/>
  <c r="AF71" i="5"/>
  <c r="AF69" i="5"/>
  <c r="AF68" i="5"/>
  <c r="AF66" i="5"/>
  <c r="AF65" i="5"/>
  <c r="AF63" i="5"/>
  <c r="AF62" i="5"/>
  <c r="AF78" i="5"/>
  <c r="AF77" i="5"/>
  <c r="AF123" i="5"/>
  <c r="AD123" i="5"/>
  <c r="AB123" i="5"/>
  <c r="AF148" i="5"/>
  <c r="AD148" i="5"/>
  <c r="AB148" i="5"/>
  <c r="AF144" i="5"/>
  <c r="AD144" i="5"/>
  <c r="AB144" i="5"/>
  <c r="AF140" i="5"/>
  <c r="AD140" i="5"/>
  <c r="AB140" i="5"/>
  <c r="AF136" i="5"/>
  <c r="AD136" i="5"/>
  <c r="AB136" i="5"/>
  <c r="AF147" i="5"/>
  <c r="AD147" i="5"/>
  <c r="AB147" i="5"/>
  <c r="AF146" i="5"/>
  <c r="AD146" i="5"/>
  <c r="AB146" i="5"/>
  <c r="AF145" i="5"/>
  <c r="AD145" i="5"/>
  <c r="AB145" i="5"/>
  <c r="AF143" i="5"/>
  <c r="AD143" i="5"/>
  <c r="AB143" i="5"/>
  <c r="AF142" i="5"/>
  <c r="AD142" i="5"/>
  <c r="AB142" i="5"/>
  <c r="AF141" i="5"/>
  <c r="AD141" i="5"/>
  <c r="AB141" i="5"/>
  <c r="AF139" i="5"/>
  <c r="AD139" i="5"/>
  <c r="AB139" i="5"/>
  <c r="AF138" i="5"/>
  <c r="AD138" i="5"/>
  <c r="AB138" i="5"/>
  <c r="AF137" i="5"/>
  <c r="AD137" i="5"/>
  <c r="AB137" i="5"/>
  <c r="AF135" i="5"/>
  <c r="AD135" i="5"/>
  <c r="AB135" i="5"/>
  <c r="AF134" i="5"/>
  <c r="AD134" i="5"/>
  <c r="AB134" i="5"/>
  <c r="AF133" i="5"/>
  <c r="AD133" i="5"/>
  <c r="AB133" i="5"/>
  <c r="AF110" i="5"/>
  <c r="AF109" i="5"/>
  <c r="AF103" i="5"/>
  <c r="AF102" i="5"/>
  <c r="AF97" i="5"/>
  <c r="AF96" i="5"/>
  <c r="AF93" i="5"/>
  <c r="AF57" i="5"/>
  <c r="AF56" i="5"/>
  <c r="AF49" i="5"/>
  <c r="AF48" i="5"/>
  <c r="AF42" i="5"/>
  <c r="AF41" i="5"/>
  <c r="AF36" i="5"/>
  <c r="AF35" i="5"/>
  <c r="AF30" i="5"/>
  <c r="AF29" i="5"/>
  <c r="AF24" i="5"/>
  <c r="AF23" i="5"/>
  <c r="AF21" i="5"/>
  <c r="AF20" i="5"/>
  <c r="AF18" i="5"/>
  <c r="AD320" i="5"/>
  <c r="AB320" i="5"/>
  <c r="AF363" i="5"/>
  <c r="AD363" i="5"/>
  <c r="AB363" i="5"/>
  <c r="G425" i="5"/>
  <c r="G424" i="5"/>
  <c r="G415" i="5"/>
  <c r="G414" i="5"/>
  <c r="G405" i="5"/>
  <c r="G404" i="5"/>
  <c r="G394" i="5"/>
  <c r="G393" i="5"/>
  <c r="D425" i="5"/>
  <c r="D424" i="5"/>
  <c r="D415" i="5"/>
  <c r="D414" i="5"/>
  <c r="D405" i="5"/>
  <c r="D404" i="5"/>
  <c r="D394" i="5"/>
  <c r="D393" i="5"/>
  <c r="AF386" i="5"/>
  <c r="AD386" i="5"/>
  <c r="AB386" i="5"/>
  <c r="J386" i="5"/>
  <c r="I386" i="5"/>
  <c r="AF259" i="5"/>
  <c r="AD259" i="5"/>
  <c r="AB259" i="5"/>
  <c r="AF258" i="5"/>
  <c r="AD258" i="5"/>
  <c r="AB258" i="5"/>
  <c r="AF365" i="5"/>
  <c r="AD365" i="5"/>
  <c r="AB365" i="5"/>
  <c r="AF312" i="5"/>
  <c r="AD312" i="5"/>
  <c r="AB312" i="5"/>
  <c r="AF311" i="5"/>
  <c r="AD311" i="5"/>
  <c r="AB311" i="5"/>
  <c r="AF310" i="5"/>
  <c r="AD310" i="5"/>
  <c r="AB310" i="5"/>
  <c r="AF309" i="5"/>
  <c r="AD309" i="5"/>
  <c r="AB309" i="5"/>
  <c r="AF308" i="5"/>
  <c r="AD308" i="5"/>
  <c r="AB308" i="5"/>
  <c r="AF364" i="5"/>
  <c r="AD364" i="5"/>
  <c r="AB364" i="5"/>
  <c r="AF362" i="5"/>
  <c r="AD362" i="5"/>
  <c r="AB362" i="5"/>
  <c r="J392" i="5"/>
  <c r="I392" i="5"/>
  <c r="J403" i="5"/>
  <c r="J413" i="5"/>
  <c r="J423" i="5"/>
  <c r="J417" i="5"/>
  <c r="J407" i="5"/>
  <c r="AF390" i="5"/>
  <c r="AD390" i="5"/>
  <c r="AB390" i="5"/>
  <c r="AF388" i="5"/>
  <c r="AD388" i="5"/>
  <c r="AB388" i="5"/>
  <c r="J397" i="5"/>
  <c r="J383" i="5"/>
  <c r="I383" i="5"/>
  <c r="I382" i="5"/>
  <c r="I381" i="5"/>
  <c r="J394" i="5"/>
  <c r="J393" i="5"/>
  <c r="J405" i="5"/>
  <c r="J404" i="5"/>
  <c r="J414" i="5"/>
  <c r="J415" i="5"/>
  <c r="J424" i="5"/>
  <c r="J425" i="5"/>
  <c r="AF454" i="5"/>
  <c r="AD454" i="5"/>
  <c r="AB454" i="5"/>
  <c r="D454" i="5"/>
  <c r="AF453" i="5"/>
  <c r="AD453" i="5"/>
  <c r="AB453" i="5"/>
  <c r="D453" i="5"/>
  <c r="AF452" i="5"/>
  <c r="AD452" i="5"/>
  <c r="AB452" i="5"/>
  <c r="J452" i="5"/>
  <c r="I452" i="5"/>
  <c r="AF451" i="5"/>
  <c r="AD451" i="5"/>
  <c r="AB451" i="5"/>
  <c r="J451" i="5"/>
  <c r="I451" i="5"/>
  <c r="AF450" i="5"/>
  <c r="AD450" i="5"/>
  <c r="AB450" i="5"/>
  <c r="J450" i="5"/>
  <c r="I450" i="5"/>
  <c r="AF449" i="5"/>
  <c r="AD449" i="5"/>
  <c r="AB449" i="5"/>
  <c r="J449" i="5"/>
  <c r="I449" i="5"/>
  <c r="AF448" i="5"/>
  <c r="AD448" i="5"/>
  <c r="AB448" i="5"/>
  <c r="AF480" i="5"/>
  <c r="AD480" i="5"/>
  <c r="AB480" i="5"/>
  <c r="J480" i="5"/>
  <c r="I480" i="5"/>
  <c r="D480" i="5"/>
  <c r="AF479" i="5"/>
  <c r="AD479" i="5"/>
  <c r="AB479" i="5"/>
  <c r="J479" i="5"/>
  <c r="I479" i="5"/>
  <c r="D479" i="5"/>
  <c r="AF478" i="5"/>
  <c r="AD478" i="5"/>
  <c r="AB478" i="5"/>
  <c r="J478" i="5"/>
  <c r="I478" i="5"/>
  <c r="AF477" i="5"/>
  <c r="AD477" i="5"/>
  <c r="AB477" i="5"/>
  <c r="J477" i="5"/>
  <c r="I477" i="5"/>
  <c r="AF476" i="5"/>
  <c r="AD476" i="5"/>
  <c r="AB476" i="5"/>
  <c r="J476" i="5"/>
  <c r="I476" i="5"/>
  <c r="AF475" i="5"/>
  <c r="AD475" i="5"/>
  <c r="AB475" i="5"/>
  <c r="J475" i="5"/>
  <c r="I475" i="5"/>
  <c r="AF461" i="5"/>
  <c r="AD461" i="5"/>
  <c r="AB461" i="5"/>
  <c r="J491" i="5"/>
  <c r="J490" i="5"/>
  <c r="I491" i="5"/>
  <c r="I490" i="5"/>
  <c r="J489" i="5"/>
  <c r="J488" i="5"/>
  <c r="I489" i="5"/>
  <c r="I488" i="5"/>
  <c r="AF490" i="5"/>
  <c r="AD490" i="5"/>
  <c r="AB490" i="5"/>
  <c r="AF488" i="5"/>
  <c r="AD488" i="5"/>
  <c r="AB488" i="5"/>
  <c r="AF491" i="5"/>
  <c r="AD491" i="5"/>
  <c r="AB491" i="5"/>
  <c r="AF489" i="5"/>
  <c r="AD489" i="5"/>
  <c r="AB489" i="5"/>
  <c r="J439" i="5"/>
  <c r="J437" i="5"/>
  <c r="I437" i="5"/>
  <c r="I439" i="5"/>
  <c r="AF439" i="5"/>
  <c r="AD439" i="5"/>
  <c r="AB439" i="5"/>
  <c r="AF437" i="5"/>
  <c r="AD437" i="5"/>
  <c r="AB437" i="5"/>
  <c r="J493" i="5"/>
  <c r="J492" i="5"/>
  <c r="J441" i="5"/>
  <c r="D493" i="5"/>
  <c r="D492" i="5"/>
  <c r="D441" i="5"/>
  <c r="J440" i="5"/>
  <c r="D440" i="5"/>
  <c r="AF403" i="5"/>
  <c r="AD403" i="5"/>
  <c r="AB403" i="5"/>
  <c r="I403" i="5"/>
  <c r="AF413" i="5"/>
  <c r="AD413" i="5"/>
  <c r="AB413" i="5"/>
  <c r="I413" i="5"/>
  <c r="I423" i="5"/>
  <c r="AF423" i="5"/>
  <c r="AD423" i="5"/>
  <c r="AB423" i="5"/>
  <c r="AF401" i="5"/>
  <c r="AD401" i="5"/>
  <c r="AB401" i="5"/>
  <c r="AF399" i="5"/>
  <c r="AD399" i="5"/>
  <c r="AB399" i="5"/>
  <c r="AF397" i="5"/>
  <c r="AD397" i="5"/>
  <c r="AB397" i="5"/>
  <c r="I397" i="5"/>
  <c r="AF415" i="5"/>
  <c r="AD415" i="5"/>
  <c r="AB415" i="5"/>
  <c r="AF414" i="5"/>
  <c r="AD414" i="5"/>
  <c r="AB414" i="5"/>
  <c r="AF412" i="5"/>
  <c r="AD412" i="5"/>
  <c r="AB412" i="5"/>
  <c r="AF411" i="5"/>
  <c r="AD411" i="5"/>
  <c r="AB411" i="5"/>
  <c r="AF410" i="5"/>
  <c r="AD410" i="5"/>
  <c r="AB410" i="5"/>
  <c r="AF409" i="5"/>
  <c r="AD409" i="5"/>
  <c r="AB409" i="5"/>
  <c r="AF407" i="5"/>
  <c r="AD407" i="5"/>
  <c r="AB407" i="5"/>
  <c r="I407" i="5"/>
  <c r="AF406" i="5"/>
  <c r="AF421" i="5"/>
  <c r="AD421" i="5"/>
  <c r="AB421" i="5"/>
  <c r="AF419" i="5"/>
  <c r="AD419" i="5"/>
  <c r="AB419" i="5"/>
  <c r="I417" i="5"/>
  <c r="AF417" i="5"/>
  <c r="AD417" i="5"/>
  <c r="AB417" i="5"/>
  <c r="AF425" i="5"/>
  <c r="AF424" i="5"/>
  <c r="AF422" i="5"/>
  <c r="AF420" i="5"/>
  <c r="AF416" i="5"/>
  <c r="AD425" i="5"/>
  <c r="AB425" i="5"/>
  <c r="AD424" i="5"/>
  <c r="AB424" i="5"/>
  <c r="AD422" i="5"/>
  <c r="AB422" i="5"/>
  <c r="AD420" i="5"/>
  <c r="AB420" i="5"/>
  <c r="AF128" i="5"/>
  <c r="AD128" i="5"/>
  <c r="AB128" i="5"/>
  <c r="AF127" i="5"/>
  <c r="AD127" i="5"/>
  <c r="AB127" i="5"/>
  <c r="AF126" i="5"/>
  <c r="AD126" i="5"/>
  <c r="AB126" i="5"/>
  <c r="AF506" i="5"/>
  <c r="AF505" i="5"/>
  <c r="AF504" i="5"/>
  <c r="AF502" i="5"/>
  <c r="AF501" i="5"/>
  <c r="AF500" i="5"/>
  <c r="AF499" i="5"/>
  <c r="AF493" i="5"/>
  <c r="AF492" i="5"/>
  <c r="AF487" i="5"/>
  <c r="AF441" i="5"/>
  <c r="AF440" i="5"/>
  <c r="AF432" i="5"/>
  <c r="AF431" i="5"/>
  <c r="AF405" i="5"/>
  <c r="AF404" i="5"/>
  <c r="AD506" i="5"/>
  <c r="AD505" i="5"/>
  <c r="AD504" i="5"/>
  <c r="AD502" i="5"/>
  <c r="AD501" i="5"/>
  <c r="AD500" i="5"/>
  <c r="AD499" i="5"/>
  <c r="AD493" i="5"/>
  <c r="AD492" i="5"/>
  <c r="AD487" i="5"/>
  <c r="AD441" i="5"/>
  <c r="AD440" i="5"/>
  <c r="AD432" i="5"/>
  <c r="AD431" i="5"/>
  <c r="AD405" i="5"/>
  <c r="AD404" i="5"/>
  <c r="AB506" i="5"/>
  <c r="AB505" i="5"/>
  <c r="AB504" i="5"/>
  <c r="AB502" i="5"/>
  <c r="AB501" i="5"/>
  <c r="AB500" i="5"/>
  <c r="AB499" i="5"/>
  <c r="AB493" i="5"/>
  <c r="AB492" i="5"/>
  <c r="AB487" i="5"/>
  <c r="AB441" i="5"/>
  <c r="AB440" i="5"/>
  <c r="AB432" i="5"/>
  <c r="AB431" i="5"/>
  <c r="AB405" i="5"/>
  <c r="I493" i="5"/>
  <c r="I492" i="5"/>
  <c r="I441" i="5"/>
  <c r="I440" i="5"/>
  <c r="AF402" i="5"/>
  <c r="AF400" i="5"/>
  <c r="AD402" i="5"/>
  <c r="AD400" i="5"/>
  <c r="AB404" i="5"/>
  <c r="AB402" i="5"/>
  <c r="AB400" i="5"/>
  <c r="AF396" i="5"/>
  <c r="AF395" i="5"/>
  <c r="AF394" i="5"/>
  <c r="AF393" i="5"/>
  <c r="AF392" i="5"/>
  <c r="AF391" i="5"/>
  <c r="AF389" i="5"/>
  <c r="AF385" i="5"/>
  <c r="AF384" i="5"/>
  <c r="AF383" i="5"/>
  <c r="AF382" i="5"/>
  <c r="AF381" i="5"/>
  <c r="AF380" i="5"/>
  <c r="AF373" i="5"/>
  <c r="AF361" i="5"/>
  <c r="AF360" i="5"/>
  <c r="AF359" i="5"/>
  <c r="AF358" i="5"/>
  <c r="AF357" i="5"/>
  <c r="AF356" i="5"/>
  <c r="AF355" i="5"/>
  <c r="AF354" i="5"/>
  <c r="AF353" i="5"/>
  <c r="AF352" i="5"/>
  <c r="AF351" i="5"/>
  <c r="AF350" i="5"/>
  <c r="AF349" i="5"/>
  <c r="AF348" i="5"/>
  <c r="AF347" i="5"/>
  <c r="AF346" i="5"/>
  <c r="AF345" i="5"/>
  <c r="AF344" i="5"/>
  <c r="AF343" i="5"/>
  <c r="AF342" i="5"/>
  <c r="AF341" i="5"/>
  <c r="AF340" i="5"/>
  <c r="AF313" i="5"/>
  <c r="AF307" i="5"/>
  <c r="AF306" i="5"/>
  <c r="AF305" i="5"/>
  <c r="AF304" i="5"/>
  <c r="AF303" i="5"/>
  <c r="AF270" i="5"/>
  <c r="AF269" i="5"/>
  <c r="AF268" i="5"/>
  <c r="AF257" i="5"/>
  <c r="AF124" i="5"/>
  <c r="AF122" i="5"/>
  <c r="AF121" i="5"/>
  <c r="AF120" i="5"/>
  <c r="AF119" i="5"/>
  <c r="AF118" i="5"/>
  <c r="AF117" i="5"/>
  <c r="AF116" i="5"/>
  <c r="AF115" i="5"/>
  <c r="AD396" i="5"/>
  <c r="AD395" i="5"/>
  <c r="AD394" i="5"/>
  <c r="AD393" i="5"/>
  <c r="AD392" i="5"/>
  <c r="AD391" i="5"/>
  <c r="AD389" i="5"/>
  <c r="AD385" i="5"/>
  <c r="AD384" i="5"/>
  <c r="AD383" i="5"/>
  <c r="AD382" i="5"/>
  <c r="AD381" i="5"/>
  <c r="AD380" i="5"/>
  <c r="AD373" i="5"/>
  <c r="AD361" i="5"/>
  <c r="AD360" i="5"/>
  <c r="AD359" i="5"/>
  <c r="AD358" i="5"/>
  <c r="AD357" i="5"/>
  <c r="AD356" i="5"/>
  <c r="AD355" i="5"/>
  <c r="AD354" i="5"/>
  <c r="AD353" i="5"/>
  <c r="AD352" i="5"/>
  <c r="AD351" i="5"/>
  <c r="AD350" i="5"/>
  <c r="AD349" i="5"/>
  <c r="AD348" i="5"/>
  <c r="AD347" i="5"/>
  <c r="AD346" i="5"/>
  <c r="AD345" i="5"/>
  <c r="AD344" i="5"/>
  <c r="AD343" i="5"/>
  <c r="AD342" i="5"/>
  <c r="AD341" i="5"/>
  <c r="AD340" i="5"/>
  <c r="AD321" i="5"/>
  <c r="AD313" i="5"/>
  <c r="AD307" i="5"/>
  <c r="AD306" i="5"/>
  <c r="AD305" i="5"/>
  <c r="AD304" i="5"/>
  <c r="AD303" i="5"/>
  <c r="AD270" i="5"/>
  <c r="AD269" i="5"/>
  <c r="AD268" i="5"/>
  <c r="AD257" i="5"/>
  <c r="AD124" i="5"/>
  <c r="AD122" i="5"/>
  <c r="AD121" i="5"/>
  <c r="AD120" i="5"/>
  <c r="AD119" i="5"/>
  <c r="AD118" i="5"/>
  <c r="AD117" i="5"/>
  <c r="AD116" i="5"/>
  <c r="AB396" i="5"/>
  <c r="AB395" i="5"/>
  <c r="AB394" i="5"/>
  <c r="AB393" i="5"/>
  <c r="AB392" i="5"/>
  <c r="AB391" i="5"/>
  <c r="AB389" i="5"/>
  <c r="AB385" i="5"/>
  <c r="AB384" i="5"/>
  <c r="AB383" i="5"/>
  <c r="AB382" i="5"/>
  <c r="AB381" i="5"/>
  <c r="AB380" i="5"/>
  <c r="AB373" i="5"/>
  <c r="AB361" i="5"/>
  <c r="AB360" i="5"/>
  <c r="AB359" i="5"/>
  <c r="AB358" i="5"/>
  <c r="AB357" i="5"/>
  <c r="AB356" i="5"/>
  <c r="AB355" i="5"/>
  <c r="AB354" i="5"/>
  <c r="AB353" i="5"/>
  <c r="AB352" i="5"/>
  <c r="AB351" i="5"/>
  <c r="AB350" i="5"/>
  <c r="AB349" i="5"/>
  <c r="AB348" i="5"/>
  <c r="AB347" i="5"/>
  <c r="AB346" i="5"/>
  <c r="AB345" i="5"/>
  <c r="AB344" i="5"/>
  <c r="AB343" i="5"/>
  <c r="AB342" i="5"/>
  <c r="AB341" i="5"/>
  <c r="AB340" i="5"/>
  <c r="AB321" i="5"/>
  <c r="AB313" i="5"/>
  <c r="AB307" i="5"/>
  <c r="AB306" i="5"/>
  <c r="AB305" i="5"/>
  <c r="AB304" i="5"/>
  <c r="AB303" i="5"/>
  <c r="AB270" i="5"/>
  <c r="AB269" i="5"/>
  <c r="AB268" i="5"/>
  <c r="AB257" i="5"/>
  <c r="AB124" i="5"/>
  <c r="AB122" i="5"/>
  <c r="AB121" i="5"/>
  <c r="AB120" i="5"/>
  <c r="AB119" i="5"/>
  <c r="AB118" i="5"/>
  <c r="AB117" i="5"/>
  <c r="AB116" i="5"/>
  <c r="AB115" i="5"/>
  <c r="D307" i="5"/>
  <c r="D313" i="5"/>
  <c r="D306" i="5"/>
  <c r="D305" i="5"/>
  <c r="D304" i="5"/>
  <c r="D269" i="5"/>
  <c r="D268" i="5"/>
  <c r="AD115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46" i="5" l="1"/>
  <c r="B220" i="5"/>
  <c r="B99" i="5"/>
  <c r="B131" i="5"/>
  <c r="B59" i="5"/>
  <c r="B203" i="5"/>
  <c r="B52" i="5"/>
  <c r="B485" i="5"/>
  <c r="B12" i="5"/>
  <c r="B88" i="5"/>
  <c r="B204" i="5"/>
  <c r="B27" i="5"/>
  <c r="B15" i="5"/>
  <c r="B282" i="5"/>
  <c r="B223" i="5"/>
  <c r="B14" i="5"/>
  <c r="B247" i="5"/>
  <c r="B296" i="5"/>
  <c r="B19" i="5"/>
  <c r="B227" i="5"/>
  <c r="B294" i="5"/>
  <c r="B201" i="5"/>
  <c r="B219" i="5"/>
  <c r="B211" i="5"/>
  <c r="B153" i="5"/>
  <c r="B208" i="5"/>
  <c r="B200" i="5"/>
  <c r="B199" i="5"/>
  <c r="B225" i="5"/>
  <c r="B241" i="5"/>
  <c r="B172" i="5"/>
  <c r="B370" i="5"/>
  <c r="B214" i="5"/>
  <c r="B215" i="5"/>
  <c r="B216" i="5"/>
  <c r="B217" i="5"/>
  <c r="B84" i="5"/>
  <c r="B111" i="5"/>
  <c r="B228" i="5"/>
  <c r="B226" i="5"/>
  <c r="B218" i="5"/>
  <c r="B374" i="5"/>
  <c r="B112" i="5"/>
  <c r="B87" i="5"/>
  <c r="B301" i="5"/>
  <c r="B13" i="5"/>
  <c r="B371" i="5"/>
  <c r="B85" i="5"/>
  <c r="B89" i="5"/>
  <c r="B86" i="5"/>
  <c r="B125" i="5"/>
  <c r="B244" i="5"/>
  <c r="B249" i="5"/>
  <c r="B299" i="5"/>
  <c r="B472" i="5"/>
  <c r="B248" i="5"/>
  <c r="B263" i="5"/>
  <c r="B238" i="5"/>
  <c r="B469" i="5"/>
  <c r="B433" i="5"/>
  <c r="B300" i="5"/>
  <c r="B298" i="5"/>
  <c r="B243" i="5"/>
  <c r="B239" i="5"/>
  <c r="B233" i="5"/>
  <c r="B427" i="5"/>
  <c r="B242" i="5"/>
  <c r="B297" i="5"/>
  <c r="B464" i="5"/>
  <c r="B507" i="5"/>
  <c r="B484" i="5"/>
  <c r="B235" i="5"/>
  <c r="B428" i="5"/>
  <c r="B240" i="5"/>
  <c r="B429" i="5"/>
  <c r="B459" i="5"/>
  <c r="B234" i="5"/>
  <c r="B497" i="5"/>
  <c r="B445" i="5"/>
  <c r="B237" i="5"/>
  <c r="B291" i="5"/>
  <c r="B232" i="5"/>
  <c r="B457" i="5"/>
  <c r="B456" i="5"/>
  <c r="B498" i="5"/>
  <c r="B496" i="5"/>
  <c r="B289" i="5"/>
  <c r="B483" i="5"/>
  <c r="B129" i="5"/>
  <c r="B434" i="5"/>
  <c r="B443" i="5"/>
  <c r="B495" i="5"/>
  <c r="B166" i="5"/>
  <c r="B482" i="5"/>
  <c r="B444" i="5"/>
  <c r="B470" i="5"/>
  <c r="B471" i="5"/>
  <c r="B458" i="5"/>
  <c r="B463" i="5"/>
  <c r="B377" i="5"/>
  <c r="B157" i="5"/>
  <c r="B156" i="5"/>
  <c r="B372" i="5"/>
  <c r="B368" i="5"/>
  <c r="B378" i="5"/>
  <c r="B438" i="5"/>
  <c r="B194" i="5"/>
  <c r="B192" i="5"/>
  <c r="B373" i="5"/>
  <c r="B511" i="5"/>
  <c r="B465" i="5"/>
  <c r="B462" i="5"/>
  <c r="B287" i="5"/>
  <c r="B279" i="5"/>
  <c r="B187" i="5"/>
  <c r="B512" i="5"/>
  <c r="B281" i="5"/>
  <c r="B509" i="5"/>
  <c r="B286" i="5"/>
  <c r="B508" i="5"/>
  <c r="B163" i="5"/>
  <c r="B193" i="5"/>
  <c r="B510" i="5"/>
  <c r="B190" i="5"/>
  <c r="B284" i="5"/>
  <c r="B436" i="5"/>
  <c r="B293" i="5"/>
  <c r="B292" i="5"/>
  <c r="B191" i="5"/>
  <c r="B288" i="5"/>
  <c r="B154" i="5"/>
  <c r="B283" i="5"/>
  <c r="B150" i="5"/>
  <c r="B274" i="5"/>
  <c r="B167" i="5"/>
  <c r="B169" i="5"/>
  <c r="B165" i="5"/>
  <c r="B325" i="5"/>
  <c r="B324" i="5"/>
  <c r="B273" i="5"/>
  <c r="B272" i="5"/>
  <c r="B160" i="5"/>
  <c r="B265" i="5"/>
  <c r="B276" i="5"/>
  <c r="B277" i="5"/>
  <c r="B159" i="5"/>
  <c r="B151" i="5"/>
  <c r="B161" i="5"/>
  <c r="B162" i="5"/>
  <c r="B261" i="5"/>
  <c r="B155" i="5"/>
  <c r="B336" i="5"/>
  <c r="B264" i="5"/>
  <c r="B262" i="5"/>
  <c r="B318" i="5"/>
  <c r="B271" i="5"/>
  <c r="B332" i="5"/>
  <c r="B404" i="5"/>
  <c r="B184" i="5"/>
  <c r="B92" i="5"/>
  <c r="B333" i="5"/>
  <c r="B317" i="5"/>
  <c r="B186" i="5"/>
  <c r="B337" i="5"/>
  <c r="B330" i="5"/>
  <c r="B328" i="5"/>
  <c r="B319" i="5"/>
  <c r="B329" i="5"/>
  <c r="B334" i="5"/>
  <c r="B315" i="5"/>
  <c r="B81" i="5"/>
  <c r="B82" i="5"/>
  <c r="B80" i="5"/>
  <c r="B23" i="5"/>
  <c r="B21" i="5"/>
  <c r="B20" i="5"/>
  <c r="B363" i="5"/>
  <c r="B314" i="5"/>
  <c r="B327" i="5"/>
  <c r="B322" i="5"/>
  <c r="B323" i="5"/>
  <c r="B42" i="5"/>
  <c r="B41" i="5"/>
  <c r="B36" i="5"/>
  <c r="B35" i="5"/>
  <c r="B30" i="5"/>
  <c r="B29" i="5"/>
  <c r="B24" i="5"/>
  <c r="B405" i="5"/>
  <c r="B320" i="5"/>
  <c r="B408" i="5"/>
  <c r="B398" i="5"/>
  <c r="B176" i="5"/>
  <c r="B174" i="5"/>
  <c r="B93" i="5"/>
  <c r="B362" i="5"/>
  <c r="B506" i="5"/>
  <c r="B505" i="5"/>
  <c r="B504" i="5"/>
  <c r="B502" i="5"/>
  <c r="B501" i="5"/>
  <c r="B492" i="5"/>
  <c r="B441" i="5"/>
  <c r="B440" i="5"/>
  <c r="B183" i="5"/>
  <c r="B96" i="5"/>
  <c r="B188" i="5"/>
  <c r="B185" i="5"/>
  <c r="B182" i="5"/>
  <c r="B177" i="5"/>
  <c r="B179" i="5"/>
  <c r="B97" i="5"/>
  <c r="B181" i="5"/>
  <c r="B178" i="5"/>
  <c r="B139" i="5"/>
  <c r="B138" i="5"/>
  <c r="B137" i="5"/>
  <c r="B316" i="5"/>
  <c r="B141" i="5"/>
  <c r="B142" i="5"/>
  <c r="B397" i="5"/>
  <c r="B415" i="5"/>
  <c r="B414" i="5"/>
  <c r="B412" i="5"/>
  <c r="B410" i="5"/>
  <c r="B409" i="5"/>
  <c r="B407" i="5"/>
  <c r="B417" i="5"/>
  <c r="B180" i="5"/>
  <c r="B18" i="5"/>
  <c r="B143" i="5"/>
  <c r="B493" i="5"/>
  <c r="B147" i="5"/>
  <c r="B146" i="5"/>
  <c r="B145" i="5"/>
  <c r="B365" i="5"/>
  <c r="B419" i="5"/>
  <c r="B478" i="5"/>
  <c r="B476" i="5"/>
  <c r="B439" i="5"/>
  <c r="B437" i="5"/>
  <c r="B175" i="5"/>
  <c r="B173" i="5"/>
  <c r="B364" i="5"/>
  <c r="B403" i="5"/>
  <c r="B413" i="5"/>
  <c r="B120" i="5"/>
  <c r="B119" i="5"/>
  <c r="B118" i="5"/>
  <c r="B117" i="5"/>
  <c r="B116" i="5"/>
  <c r="B418" i="5"/>
  <c r="B102" i="5"/>
  <c r="B480" i="5"/>
  <c r="B479" i="5"/>
  <c r="B344" i="5"/>
  <c r="B343" i="5"/>
  <c r="B342" i="5"/>
  <c r="B341" i="5"/>
  <c r="B313" i="5"/>
  <c r="B307" i="5"/>
  <c r="B306" i="5"/>
  <c r="B305" i="5"/>
  <c r="B304" i="5"/>
  <c r="B269" i="5"/>
  <c r="B268" i="5"/>
  <c r="B122" i="5"/>
  <c r="B121" i="5"/>
  <c r="B312" i="5"/>
  <c r="B148" i="5"/>
  <c r="B140" i="5"/>
  <c r="B135" i="5"/>
  <c r="B115" i="5"/>
  <c r="B78" i="5"/>
  <c r="B77" i="5"/>
  <c r="B74" i="5"/>
  <c r="B72" i="5"/>
  <c r="B71" i="5"/>
  <c r="B69" i="5"/>
  <c r="B68" i="5"/>
  <c r="B63" i="5"/>
  <c r="B62" i="5"/>
  <c r="B94" i="5"/>
  <c r="B134" i="5"/>
  <c r="B133" i="5"/>
  <c r="B110" i="5"/>
  <c r="B109" i="5"/>
  <c r="B103" i="5"/>
  <c r="B57" i="5"/>
  <c r="B56" i="5"/>
  <c r="B49" i="5"/>
  <c r="B48" i="5"/>
  <c r="B454" i="5"/>
  <c r="B453" i="5"/>
  <c r="B452" i="5"/>
  <c r="B450" i="5"/>
  <c r="B411" i="5"/>
  <c r="B128" i="5"/>
  <c r="B127" i="5"/>
  <c r="B126" i="5"/>
  <c r="B392" i="5"/>
  <c r="B383" i="5"/>
  <c r="B382" i="5"/>
  <c r="B381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10" i="5"/>
  <c r="B123" i="5"/>
  <c r="B259" i="5"/>
  <c r="B136" i="5"/>
  <c r="B311" i="5"/>
  <c r="B258" i="5"/>
  <c r="B144" i="5"/>
  <c r="B66" i="5"/>
  <c r="B386" i="5"/>
  <c r="B423" i="5"/>
  <c r="B401" i="5"/>
  <c r="B399" i="5"/>
  <c r="B421" i="5"/>
  <c r="B425" i="5"/>
  <c r="B424" i="5"/>
  <c r="B422" i="5"/>
  <c r="B420" i="5"/>
  <c r="B402" i="5"/>
  <c r="B400" i="5"/>
  <c r="B491" i="5"/>
  <c r="B490" i="5"/>
  <c r="B489" i="5"/>
  <c r="B488" i="5"/>
  <c r="B451" i="5"/>
  <c r="B449" i="5"/>
  <c r="B475" i="5"/>
  <c r="B477" i="5"/>
  <c r="B394" i="5"/>
  <c r="B393" i="5"/>
  <c r="B391" i="5"/>
  <c r="B390" i="5"/>
  <c r="B389" i="5"/>
  <c r="B388" i="5"/>
  <c r="B387" i="5"/>
  <c r="B75" i="5"/>
  <c r="B65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<sst xmlns="http://schemas.openxmlformats.org/spreadsheetml/2006/main" count="7246" uniqueCount="458">
  <si>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</si>
  <si>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</si>
  <si>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</si>
  <si>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</si>
  <si>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</si>
  <si>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</si>
  <si>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</si>
  <si>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</si>
  <si>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</si>
  <si>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</si>
  <si>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</si>
  <si>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</si>
  <si>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</si>
  <si>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</si>
  <si>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</si>
  <si>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</si>
  <si>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</si>
  <si>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</si>
  <si>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</si>
  <si>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</si>
  <si>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</si>
  <si>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</si>
  <si>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</si>
  <si>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</si>
  <si>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</si>
  <si>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</si>
  <si>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</si>
  <si>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</si>
  <si>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</si>
  <si>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</si>
  <si>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</si>
  <si>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</si>
  <si>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</si>
  <si>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</si>
  <si>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</si>
  <si>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</si>
  <si>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</si>
  <si>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</si>
  <si>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</si>
  <si>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</si>
  <si>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</si>
  <si>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</si>
  <si>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</si>
  <si>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</si>
  <si>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</si>
  <si>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</si>
  <si>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</si>
  <si>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</si>
  <si>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</si>
  <si>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</si>
  <si>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</si>
  <si>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</si>
  <si>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</si>
  <si>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</si>
  <si>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</si>
  <si>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</si>
  <si>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</si>
  <si>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</si>
  <si>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</si>
  <si>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</si>
  <si>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</si>
  <si>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</si>
  <si>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</si>
  <si>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</si>
  <si>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</si>
  <si>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</si>
  <si>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</si>
  <si>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</si>
  <si>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</si>
  <si>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</si>
  <si>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</si>
  <si>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</si>
  <si>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</si>
  <si>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</si>
  <si>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</si>
  <si>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</si>
  <si>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</si>
  <si>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</si>
  <si>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</si>
  <si>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</si>
  <si>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</si>
  <si>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</si>
  <si>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</si>
  <si>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</si>
  <si>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</si>
  <si>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</si>
  <si>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</si>
  <si>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</si>
  <si>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</si>
  <si>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</si>
  <si>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</si>
  <si>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</si>
  <si>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</si>
  <si>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</si>
  <si>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</si>
  <si>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</si>
  <si>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</si>
  <si>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</si>
  <si>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</si>
  <si>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</si>
  <si>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</si>
  <si>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</si>
  <si>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</si>
  <si>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</si>
  <si>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</si>
  <si>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</si>
  <si>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</si>
  <si>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</si>
  <si>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</si>
  <si>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</si>
  <si>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</si>
  <si>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</si>
  <si>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</si>
  <si>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</si>
  <si>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</si>
  <si>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</si>
  <si>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</si>
  <si>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</si>
  <si>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</si>
  <si>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</si>
  <si>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</si>
  <si>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</si>
  <si>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</si>
  <si>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</si>
  <si>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</si>
  <si>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</si>
  <si>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</si>
  <si>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</si>
  <si>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</si>
  <si>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</si>
  <si>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</si>
  <si>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</si>
  <si>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</si>
  <si>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</si>
  <si>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</si>
  <si>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</si>
  <si>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</si>
  <si>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</si>
  <si>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</si>
  <si>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</si>
  <si>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</si>
  <si>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</si>
  <si>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</si>
  <si>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</si>
  <si>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</si>
  <si>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</si>
  <si>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</si>
  <si>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</si>
  <si>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</si>
  <si>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</si>
  <si>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</si>
  <si>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</si>
  <si>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</si>
  <si>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</si>
  <si>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</si>
  <si>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</si>
  <si>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</si>
  <si>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</si>
  <si>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</si>
  <si>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</si>
  <si>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</si>
  <si>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</si>
  <si>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</si>
  <si>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</si>
  <si>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</si>
  <si>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</si>
  <si>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</si>
  <si>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</si>
  <si>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</si>
  <si>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</si>
  <si>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</si>
  <si>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</si>
  <si>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</si>
  <si>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</si>
  <si>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</si>
  <si>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</si>
  <si>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</si>
  <si>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</si>
  <si>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</si>
  <si>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</si>
  <si>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</si>
  <si>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</si>
  <si>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</si>
  <si>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</si>
  <si>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</si>
  <si>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</si>
  <si>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</si>
  <si>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</si>
  <si>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</si>
  <si>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</si>
  <si>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</si>
  <si>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</si>
  <si>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</si>
  <si>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</si>
  <si>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</si>
  <si>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</si>
  <si>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</si>
  <si>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</si>
  <si>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</si>
  <si>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</si>
  <si>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</si>
  <si>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</si>
  <si>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</si>
  <si>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</si>
  <si>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</si>
  <si>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</si>
  <si>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</si>
  <si>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</si>
  <si>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</si>
  <si>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</si>
  <si>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</si>
  <si>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</si>
  <si>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</si>
  <si>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</si>
  <si>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</si>
  <si>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</si>
  <si>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</si>
  <si>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</si>
  <si>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</si>
  <si>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</si>
  <si>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</si>
  <si>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</si>
  <si>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</si>
  <si>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</si>
  <si>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</si>
  <si>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</si>
  <si>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</si>
  <si>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</si>
  <si>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</si>
  <si>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</si>
  <si>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</si>
  <si>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</si>
  <si>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</si>
  <si>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</si>
  <si>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</si>
  <si>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</si>
  <si>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</si>
  <si>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</si>
  <si>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</si>
  <si>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</si>
  <si>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</si>
  <si>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</si>
  <si>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</si>
  <si>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</si>
  <si>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</si>
  <si>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</si>
  <si>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</si>
  <si>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</si>
  <si>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</si>
  <si>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</si>
  <si>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</si>
  <si>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</si>
  <si>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</si>
  <si>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</si>
  <si>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</si>
  <si>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</si>
  <si>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</si>
  <si>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</si>
  <si>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</si>
  <si>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</si>
  <si>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</si>
  <si>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</si>
  <si>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</si>
  <si>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</si>
  <si>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</si>
  <si>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</si>
  <si>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</si>
  <si>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</si>
  <si>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</si>
  <si>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</si>
  <si>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</si>
  <si>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</si>
  <si>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</si>
  <si>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</si>
  <si>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</si>
  <si>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</si>
  <si>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</si>
  <si>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</si>
  <si>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</si>
  <si>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</si>
  <si>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</si>
  <si>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</si>
  <si>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</si>
  <si>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</si>
  <si>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</si>
  <si>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</si>
  <si>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</si>
  <si>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</si>
  <si>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</si>
  <si>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</si>
  <si>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</si>
  <si>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</si>
  <si>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</si>
  <si>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</si>
  <si>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</si>
  <si>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</si>
  <si>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</si>
  <si>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</si>
  <si>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</si>
  <si>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</si>
  <si>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</si>
  <si>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</si>
  <si>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</si>
  <si>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</si>
  <si>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</si>
  <si>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</si>
  <si>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</si>
  <si>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</si>
  <si>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</si>
  <si>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</si>
  <si>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</si>
  <si>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</si>
  <si>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</si>
  <si>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</si>
  <si>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</si>
  <si>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</si>
  <si>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</si>
  <si>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</si>
  <si>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</si>
  <si>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</si>
  <si>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</si>
  <si>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</si>
  <si>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</si>
  <si>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</si>
  <si>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</si>
  <si>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</si>
  <si>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</si>
  <si>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</si>
  <si>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</si>
  <si>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</si>
  <si>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</si>
  <si>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</si>
  <si>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</si>
  <si>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</si>
  <si>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</si>
  <si>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</si>
  <si>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</si>
  <si>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</si>
  <si>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</si>
  <si>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</si>
  <si>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</si>
  <si>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</si>
  <si>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</si>
  <si>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</si>
  <si>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</si>
  <si>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</si>
  <si>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</si>
  <si>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</si>
  <si>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</si>
  <si>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</si>
  <si>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</si>
  <si>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</si>
  <si>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</si>
  <si>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</si>
  <si>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</si>
  <si>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</si>
  <si>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</si>
  <si>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</si>
  <si>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</si>
  <si>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</si>
  <si>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</si>
  <si>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</si>
  <si>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</si>
  <si>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</si>
  <si>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</si>
  <si>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</si>
  <si>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</si>
  <si>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</si>
  <si>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</si>
  <si>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</si>
  <si>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</si>
  <si>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</si>
  <si>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</si>
  <si>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</si>
  <si>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</si>
  <si>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</si>
  <si>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</si>
  <si>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</si>
  <si>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</si>
  <si>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</si>
  <si>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</si>
  <si>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</si>
  <si>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</si>
  <si>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</si>
  <si>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</si>
  <si>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</si>
  <si>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</si>
  <si>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</si>
  <si>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</si>
  <si>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</si>
  <si>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</si>
  <si>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</si>
  <si>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</si>
  <si>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</si>
  <si>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</si>
  <si>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</si>
  <si>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</si>
  <si>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</si>
  <si>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</si>
  <si>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</si>
  <si>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</si>
  <si>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</si>
  <si>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</si>
  <si>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</si>
  <si>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</si>
  <si>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</si>
  <si>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</si>
  <si>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</si>
  <si>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</si>
  <si>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</si>
  <si>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</si>
  <si>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</si>
  <si>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</si>
  <si>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</si>
  <si>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</si>
  <si>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</si>
  <si>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</si>
  <si>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</si>
  <si>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</si>
  <si>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</si>
  <si>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</si>
  <si>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</si>
  <si>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</si>
  <si>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</si>
  <si>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</si>
  <si>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</si>
  <si>
    <t>DEFAULT VISIBILITIES</t>
  </si>
  <si>
    <t>landcover-wood</t>
  </si>
  <si>
    <t>default_visibility</t>
  </si>
  <si>
    <t>"visible"</t>
  </si>
  <si>
    <t>"none"</t>
  </si>
  <si>
    <t>landcover-scrub-nowoods</t>
  </si>
  <si>
    <t>landcover-wetland-nowoods</t>
  </si>
  <si>
    <t>landcover-wetland-default</t>
  </si>
  <si>
    <t>landcover-scrub-default</t>
  </si>
  <si>
    <t>path_track</t>
  </si>
  <si>
    <t>noexit</t>
  </si>
  <si>
    <t>19.5</t>
  </si>
  <si>
    <t>27.0</t>
  </si>
  <si>
    <t>-0.8</t>
  </si>
  <si>
    <t>-2.5</t>
  </si>
  <si>
    <t>-1.0</t>
  </si>
  <si>
    <t>-6.0</t>
  </si>
  <si>
    <t>-2.4</t>
  </si>
  <si>
    <t>-5.0</t>
  </si>
  <si>
    <t>-9.0</t>
  </si>
  <si>
    <t>-13.5</t>
  </si>
  <si>
    <t>-15.0</t>
  </si>
  <si>
    <t>-14.0</t>
  </si>
  <si>
    <t>-19.5</t>
  </si>
  <si>
    <t>-27.0</t>
  </si>
  <si>
    <t>text_size</t>
  </si>
  <si>
    <t>z8</t>
  </si>
  <si>
    <t>20.0</t>
  </si>
  <si>
    <t>z4</t>
  </si>
  <si>
    <t>28.0</t>
  </si>
  <si>
    <t>26.0</t>
  </si>
  <si>
    <t>30.0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</si>
</sst>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25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83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49" fontId="1" fillId="110" borderId="0" xfId="0" applyNumberFormat="1" applyFont="1" applyFill="1" applyAlignment="1">
      <alignment horizontal="left"/>
    </xf>
    <xf numFmtId="49" fontId="0" fillId="110" borderId="0" xfId="0" applyNumberFormat="1" applyFill="1" applyAlignment="1">
      <alignment horizontal="left"/>
    </xf>
    <xf numFmtId="0" fontId="0" fillId="110" borderId="0" xfId="0" applyFill="1" applyAlignment="1">
      <alignment horizontal="left"/>
    </xf>
    <xf numFmtId="49" fontId="1" fillId="111" borderId="0" xfId="0" applyNumberFormat="1" applyFont="1" applyFill="1"/>
    <xf numFmtId="49" fontId="1" fillId="112" borderId="0" xfId="0" applyNumberFormat="1" applyFont="1" applyFill="1"/>
    <xf numFmtId="49" fontId="0" fillId="119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24" borderId="0" xfId="0" applyNumberFormat="1" applyFill="1"/>
    <xf numFmtId="49" fontId="0" fillId="17" borderId="0" xfId="0" applyNumberFormat="1" applyFill="1"/>
    <xf numFmtId="49" fontId="0" fillId="51" borderId="0" xfId="0" applyNumberFormat="1" applyFill="1"/>
    <xf numFmtId="49" fontId="0" fillId="18" borderId="0" xfId="0" applyNumberFormat="1" applyFill="1"/>
    <xf numFmtId="49" fontId="0" fillId="19" borderId="0" xfId="0" applyNumberFormat="1" applyFill="1"/>
    <xf numFmtId="49" fontId="0" fillId="62" borderId="0" xfId="0" applyNumberFormat="1" applyFill="1"/>
    <xf numFmtId="49" fontId="0" fillId="113" borderId="0" xfId="0" applyNumberFormat="1" applyFill="1"/>
    <xf numFmtId="49" fontId="0" fillId="35" borderId="0" xfId="0" applyNumberFormat="1" applyFill="1"/>
    <xf numFmtId="49" fontId="0" fillId="37" borderId="0" xfId="0" applyNumberFormat="1" applyFill="1"/>
    <xf numFmtId="49" fontId="0" fillId="65" borderId="0" xfId="0" applyNumberFormat="1" applyFill="1"/>
    <xf numFmtId="49" fontId="0" fillId="108" borderId="0" xfId="0" applyNumberFormat="1" applyFill="1"/>
    <xf numFmtId="49" fontId="0" fillId="114" borderId="0" xfId="0" applyNumberFormat="1" applyFill="1"/>
    <xf numFmtId="49" fontId="0" fillId="115" borderId="0" xfId="0" applyNumberFormat="1" applyFill="1"/>
    <xf numFmtId="49" fontId="0" fillId="36" borderId="0" xfId="0" applyNumberFormat="1" applyFill="1"/>
    <xf numFmtId="49" fontId="0" fillId="38" borderId="0" xfId="0" applyNumberFormat="1" applyFill="1"/>
    <xf numFmtId="49" fontId="0" fillId="64" borderId="0" xfId="0" applyNumberFormat="1" applyFill="1"/>
    <xf numFmtId="49" fontId="0" fillId="109" borderId="0" xfId="0" applyNumberFormat="1" applyFill="1"/>
    <xf numFmtId="49" fontId="0" fillId="116" borderId="0" xfId="0" applyNumberFormat="1" applyFill="1"/>
    <xf numFmtId="49" fontId="0" fillId="117" borderId="0" xfId="0" applyNumberFormat="1" applyFill="1"/>
    <xf numFmtId="49" fontId="0" fillId="120" borderId="0" xfId="0" applyNumberFormat="1" applyFill="1"/>
    <xf numFmtId="49" fontId="0" fillId="39" borderId="0" xfId="0" applyNumberFormat="1" applyFill="1"/>
    <xf numFmtId="49" fontId="0" fillId="67" borderId="0" xfId="0" applyNumberFormat="1" applyFill="1"/>
    <xf numFmtId="49" fontId="0" fillId="40" borderId="0" xfId="0" applyNumberFormat="1" applyFill="1"/>
    <xf numFmtId="49" fontId="0" fillId="68" borderId="0" xfId="0" applyNumberFormat="1" applyFill="1"/>
    <xf numFmtId="49" fontId="0" fillId="118" borderId="0" xfId="0" applyNumberFormat="1" applyFill="1"/>
    <xf numFmtId="49" fontId="0" fillId="41" borderId="0" xfId="0" applyNumberFormat="1" applyFill="1"/>
    <xf numFmtId="49" fontId="0" fillId="69" borderId="0" xfId="0" applyNumberFormat="1" applyFill="1"/>
    <xf numFmtId="49" fontId="0" fillId="42" borderId="0" xfId="0" applyNumberFormat="1" applyFill="1"/>
    <xf numFmtId="49" fontId="0" fillId="70" borderId="0" xfId="0" applyNumberFormat="1" applyFill="1"/>
    <xf numFmtId="49" fontId="0" fillId="43" borderId="0" xfId="0" applyNumberFormat="1" applyFill="1"/>
    <xf numFmtId="49" fontId="0" fillId="84" borderId="0" xfId="0" applyNumberFormat="1" applyFill="1"/>
    <xf numFmtId="49" fontId="0" fillId="45" borderId="0" xfId="0" applyNumberFormat="1" applyFill="1"/>
    <xf numFmtId="49" fontId="0" fillId="71" borderId="0" xfId="0" applyNumberFormat="1" applyFill="1"/>
    <xf numFmtId="49" fontId="0" fillId="44" borderId="0" xfId="0" applyNumberFormat="1" applyFill="1"/>
    <xf numFmtId="49" fontId="0" fillId="80" borderId="0" xfId="0" applyNumberFormat="1" applyFill="1"/>
    <xf numFmtId="49" fontId="0" fillId="46" borderId="0" xfId="0" applyNumberFormat="1" applyFill="1"/>
    <xf numFmtId="49" fontId="0" fillId="63" borderId="0" xfId="0" applyNumberFormat="1" applyFill="1"/>
    <xf numFmtId="49" fontId="0" fillId="47" borderId="0" xfId="0" applyNumberFormat="1" applyFill="1"/>
    <xf numFmtId="49" fontId="0" fillId="72" borderId="0" xfId="0" applyNumberFormat="1" applyFill="1"/>
    <xf numFmtId="49" fontId="0" fillId="48" borderId="0" xfId="0" applyNumberFormat="1" applyFill="1"/>
    <xf numFmtId="49" fontId="0" fillId="73" borderId="0" xfId="0" applyNumberFormat="1" applyFill="1"/>
    <xf numFmtId="49" fontId="0" fillId="49" borderId="0" xfId="0" applyNumberFormat="1" applyFill="1"/>
    <xf numFmtId="49" fontId="0" fillId="50" borderId="0" xfId="0" applyNumberFormat="1" applyFill="1"/>
    <xf numFmtId="49" fontId="0" fillId="74" borderId="0" xfId="0" applyNumberFormat="1" applyFill="1"/>
    <xf numFmtId="49" fontId="0" fillId="75" borderId="0" xfId="0" applyNumberFormat="1" applyFill="1"/>
    <xf numFmtId="49" fontId="0" fillId="66" borderId="0" xfId="0" applyNumberFormat="1" applyFill="1"/>
    <xf numFmtId="49" fontId="0" fillId="76" borderId="0" xfId="0" applyNumberFormat="1" applyFill="1"/>
    <xf numFmtId="49" fontId="0" fillId="81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531"/>
  <sheetViews>
    <sheetView tabSelected="1" topLeftCell="A3" zoomScale="85" zoomScaleNormal="85" workbookViewId="0">
      <pane ySplit="4" topLeftCell="A28" activePane="bottomLeft" state="frozen"/>
      <selection activeCell="A3" sqref="A3"/>
      <selection pane="bottomLeft" activeCell="R120" sqref="R120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426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@default_visibility-landcover-wood</v>
      </c>
      <c r="C11" s="28" t="s">
        <v>429</v>
      </c>
      <c r="D11" s="28" t="s">
        <v>430</v>
      </c>
      <c r="F11" s="28" t="s">
        <v>429</v>
      </c>
      <c r="G11" s="28" t="s">
        <v>430</v>
      </c>
      <c r="I11" s="28" t="s">
        <v>429</v>
      </c>
      <c r="J11" s="28" t="s">
        <v>430</v>
      </c>
      <c r="L11" s="28" t="s">
        <v>429</v>
      </c>
      <c r="M11" s="28" t="s">
        <v>430</v>
      </c>
      <c r="U11" s="28" t="s">
        <v>429</v>
      </c>
      <c r="V11" s="28" t="s">
        <v>430</v>
      </c>
      <c r="X11" s="28" t="s">
        <v>429</v>
      </c>
      <c r="Y11" s="28" t="s">
        <v>430</v>
      </c>
      <c r="AA11" s="2" t="s">
        <v>428</v>
      </c>
      <c r="AB11" s="2" t="str">
        <f t="shared" ref="AB11" si="0">IF(NOT(ISBLANK(AC11)),"-","")</f>
        <v>-</v>
      </c>
      <c r="AC11" s="2" t="s">
        <v>427</v>
      </c>
      <c r="AD11" s="2" t="str">
        <f t="shared" ref="AD11" si="1">IF(NOT(ISBLANK(AE11)),"_","")</f>
        <v/>
      </c>
      <c r="AE11" s="2"/>
      <c r="AF11" s="2" t="str">
        <f t="shared" ref="AF11" si="2">IF(NOT(ISBLANK(AG11)),"_","")</f>
        <v/>
      </c>
      <c r="AG11" s="2"/>
      <c r="AH11" s="2" t="str">
        <f t="shared" ref="AH11" si="3">IF(NOT(ISBLANK(AI11)),"_","")</f>
        <v/>
      </c>
      <c r="AI11" s="2"/>
    </row>
    <row r="12" spans="1:35" x14ac:dyDescent="0.25">
      <c r="B12" s="2" t="str">
        <f>_xlfn.CONCAT("@",AA12,AB12,AC12,AD12,AE12,AF12,AG12,AH12,AI12)</f>
        <v>@default_visibility-landcover-scrub-default</v>
      </c>
      <c r="C12" s="28" t="s">
        <v>429</v>
      </c>
      <c r="D12" s="28" t="s">
        <v>430</v>
      </c>
      <c r="F12" s="28" t="s">
        <v>429</v>
      </c>
      <c r="G12" s="28" t="s">
        <v>430</v>
      </c>
      <c r="I12" s="28" t="s">
        <v>429</v>
      </c>
      <c r="J12" s="28" t="s">
        <v>430</v>
      </c>
      <c r="L12" s="28" t="s">
        <v>429</v>
      </c>
      <c r="M12" s="28" t="s">
        <v>430</v>
      </c>
      <c r="U12" s="28" t="s">
        <v>429</v>
      </c>
      <c r="V12" s="28" t="s">
        <v>430</v>
      </c>
      <c r="X12" s="28" t="s">
        <v>429</v>
      </c>
      <c r="Y12" s="28" t="s">
        <v>430</v>
      </c>
      <c r="AA12" s="2" t="s">
        <v>428</v>
      </c>
      <c r="AB12" s="2" t="str">
        <f t="shared" ref="AB12" si="4">IF(NOT(ISBLANK(AC12)),"-","")</f>
        <v>-</v>
      </c>
      <c r="AC12" s="2" t="s">
        <v>434</v>
      </c>
      <c r="AD12" s="2" t="str">
        <f t="shared" ref="AD12" si="5">IF(NOT(ISBLANK(AE12)),"_","")</f>
        <v/>
      </c>
      <c r="AE12" s="2"/>
      <c r="AF12" s="2" t="str">
        <f t="shared" ref="AF12" si="6">IF(NOT(ISBLANK(AG12)),"_","")</f>
        <v/>
      </c>
      <c r="AG12" s="2"/>
      <c r="AH12" s="2" t="str">
        <f t="shared" ref="AH12" si="7">IF(NOT(ISBLANK(AI12)),"_","")</f>
        <v/>
      </c>
      <c r="AI12" s="2"/>
    </row>
    <row r="13" spans="1:35" x14ac:dyDescent="0.25">
      <c r="B13" s="2" t="str">
        <f>_xlfn.CONCAT("@",AA13,AB13,AC13,AD13,AE13,AF13,AG13,AH13,AI13)</f>
        <v>@default_visibility-landcover-scrub-nowoods</v>
      </c>
      <c r="C13" s="28" t="s">
        <v>430</v>
      </c>
      <c r="D13" s="28" t="s">
        <v>429</v>
      </c>
      <c r="F13" s="28" t="s">
        <v>430</v>
      </c>
      <c r="G13" s="28" t="s">
        <v>429</v>
      </c>
      <c r="I13" s="28" t="s">
        <v>430</v>
      </c>
      <c r="J13" s="28" t="s">
        <v>429</v>
      </c>
      <c r="L13" s="28" t="s">
        <v>430</v>
      </c>
      <c r="M13" s="28" t="s">
        <v>429</v>
      </c>
      <c r="U13" s="28" t="s">
        <v>430</v>
      </c>
      <c r="V13" s="28" t="s">
        <v>429</v>
      </c>
      <c r="X13" s="28" t="s">
        <v>430</v>
      </c>
      <c r="Y13" s="28" t="s">
        <v>429</v>
      </c>
      <c r="AA13" s="2" t="s">
        <v>428</v>
      </c>
      <c r="AB13" s="2" t="str">
        <f t="shared" ref="AB13:AB14" si="8">IF(NOT(ISBLANK(AC13)),"-","")</f>
        <v>-</v>
      </c>
      <c r="AC13" s="2" t="s">
        <v>431</v>
      </c>
      <c r="AD13" s="2" t="str">
        <f t="shared" ref="AD13:AD14" si="9">IF(NOT(ISBLANK(AE13)),"_","")</f>
        <v/>
      </c>
      <c r="AE13" s="2"/>
      <c r="AF13" s="2" t="str">
        <f t="shared" ref="AF13:AF14" si="10">IF(NOT(ISBLANK(AG13)),"_","")</f>
        <v/>
      </c>
      <c r="AG13" s="2"/>
      <c r="AH13" s="2" t="str">
        <f t="shared" ref="AH13:AH14" si="11">IF(NOT(ISBLANK(AI13)),"_","")</f>
        <v/>
      </c>
      <c r="AI13" s="2"/>
    </row>
    <row r="14" spans="1:35" x14ac:dyDescent="0.25">
      <c r="B14" s="2" t="str">
        <f>_xlfn.CONCAT("@",AA14,AB14,AC14,AD14,AE14,AF14,AG14,AH14,AI14)</f>
        <v>@default_visibility-landcover-wetland-default</v>
      </c>
      <c r="C14" s="28" t="s">
        <v>429</v>
      </c>
      <c r="D14" s="28" t="s">
        <v>430</v>
      </c>
      <c r="F14" s="28" t="s">
        <v>429</v>
      </c>
      <c r="G14" s="28" t="s">
        <v>430</v>
      </c>
      <c r="I14" s="28" t="s">
        <v>429</v>
      </c>
      <c r="J14" s="28" t="s">
        <v>430</v>
      </c>
      <c r="L14" s="28" t="s">
        <v>429</v>
      </c>
      <c r="M14" s="28" t="s">
        <v>430</v>
      </c>
      <c r="U14" s="28" t="s">
        <v>429</v>
      </c>
      <c r="V14" s="28" t="s">
        <v>430</v>
      </c>
      <c r="X14" s="28" t="s">
        <v>429</v>
      </c>
      <c r="Y14" s="28" t="s">
        <v>430</v>
      </c>
      <c r="AA14" s="2" t="s">
        <v>428</v>
      </c>
      <c r="AB14" s="2" t="str">
        <f t="shared" si="8"/>
        <v>-</v>
      </c>
      <c r="AC14" s="2" t="s">
        <v>433</v>
      </c>
      <c r="AD14" s="2" t="str">
        <f t="shared" si="9"/>
        <v/>
      </c>
      <c r="AE14" s="2"/>
      <c r="AF14" s="2" t="str">
        <f t="shared" si="10"/>
        <v/>
      </c>
      <c r="AG14" s="2"/>
      <c r="AH14" s="2" t="str">
        <f t="shared" si="11"/>
        <v/>
      </c>
      <c r="AI14" s="2"/>
    </row>
    <row r="15" spans="1:35" x14ac:dyDescent="0.25">
      <c r="B15" s="2" t="str">
        <f>_xlfn.CONCAT("@",AA15,AB15,AC15,AD15,AE15,AF15,AG15,AH15,AI15)</f>
        <v>@default_visibility-landcover-wetland-nowoods</v>
      </c>
      <c r="C15" s="28" t="s">
        <v>430</v>
      </c>
      <c r="D15" s="28" t="s">
        <v>429</v>
      </c>
      <c r="F15" s="28" t="s">
        <v>430</v>
      </c>
      <c r="G15" s="28" t="s">
        <v>429</v>
      </c>
      <c r="I15" s="28" t="s">
        <v>430</v>
      </c>
      <c r="J15" s="28" t="s">
        <v>429</v>
      </c>
      <c r="L15" s="28" t="s">
        <v>430</v>
      </c>
      <c r="M15" s="28" t="s">
        <v>429</v>
      </c>
      <c r="U15" s="28" t="s">
        <v>430</v>
      </c>
      <c r="V15" s="28" t="s">
        <v>429</v>
      </c>
      <c r="X15" s="28" t="s">
        <v>430</v>
      </c>
      <c r="Y15" s="28" t="s">
        <v>429</v>
      </c>
      <c r="AA15" s="2" t="s">
        <v>428</v>
      </c>
      <c r="AB15" s="2" t="str">
        <f t="shared" ref="AB15" si="12">IF(NOT(ISBLANK(AC15)),"-","")</f>
        <v>-</v>
      </c>
      <c r="AC15" s="2" t="s">
        <v>432</v>
      </c>
      <c r="AD15" s="2" t="str">
        <f t="shared" ref="AD15" si="13">IF(NOT(ISBLANK(AE15)),"_","")</f>
        <v/>
      </c>
      <c r="AE15" s="2"/>
      <c r="AF15" s="2" t="str">
        <f t="shared" ref="AF15" si="14">IF(NOT(ISBLANK(AG15)),"_","")</f>
        <v/>
      </c>
      <c r="AG15" s="2"/>
      <c r="AH15" s="2" t="str">
        <f t="shared" ref="AH15" si="15">IF(NOT(ISBLANK(AI15)),"_","")</f>
        <v/>
      </c>
      <c r="AI15" s="2"/>
    </row>
    <row r="16" spans="1:35" s="26" customFormat="1" x14ac:dyDescent="0.25">
      <c r="AA16" s="1"/>
      <c r="AB16" s="1"/>
      <c r="AC16" s="1"/>
      <c r="AD16" s="1"/>
      <c r="AE16" s="1"/>
      <c r="AF16" s="1"/>
      <c r="AG16" s="1"/>
      <c r="AH16" s="1"/>
      <c r="AI16" s="1"/>
    </row>
    <row r="17" spans="1:35" s="5" customFormat="1" x14ac:dyDescent="0.25">
      <c r="A17" s="27" t="s">
        <v>288</v>
      </c>
      <c r="B17" s="27"/>
      <c r="C17" s="27"/>
      <c r="D17" s="27"/>
      <c r="F17" s="27"/>
      <c r="G17" s="27"/>
      <c r="I17" s="27"/>
      <c r="J17" s="27"/>
      <c r="L17" s="27"/>
      <c r="M17" s="27"/>
      <c r="O17" s="27"/>
      <c r="P17" s="27"/>
      <c r="R17" s="27"/>
      <c r="S17" s="27"/>
      <c r="U17" s="27"/>
      <c r="V17" s="27"/>
      <c r="X17" s="27"/>
      <c r="Y17" s="27"/>
      <c r="AA17" s="27"/>
      <c r="AB17" s="27"/>
      <c r="AC17" s="27"/>
      <c r="AD17" s="27"/>
      <c r="AE17" s="27"/>
      <c r="AF17" s="27"/>
      <c r="AG17" s="27"/>
      <c r="AH17" s="27"/>
      <c r="AI17" s="27"/>
    </row>
    <row r="18" spans="1:35" x14ac:dyDescent="0.25">
      <c r="B18" s="2" t="str">
        <f>_xlfn.CONCAT("@",AA18,AB18,AC18,AD18,AE18,AF18,AG18,AH18,AI18)</f>
        <v>@color-label_parking_default</v>
      </c>
      <c r="C18" s="37" t="s">
        <v>214</v>
      </c>
      <c r="D18" s="37" t="s">
        <v>214</v>
      </c>
      <c r="F18" s="38" t="s">
        <v>222</v>
      </c>
      <c r="G18" s="38" t="s">
        <v>222</v>
      </c>
      <c r="I18" s="37" t="s">
        <v>214</v>
      </c>
      <c r="J18" s="37" t="s">
        <v>214</v>
      </c>
      <c r="L18" s="38" t="s">
        <v>222</v>
      </c>
      <c r="M18" s="38" t="s">
        <v>222</v>
      </c>
      <c r="U18" s="37" t="s">
        <v>214</v>
      </c>
      <c r="V18" s="37" t="s">
        <v>214</v>
      </c>
      <c r="X18" s="38" t="s">
        <v>222</v>
      </c>
      <c r="Y18" s="38" t="s">
        <v>222</v>
      </c>
      <c r="AA18" s="2" t="s">
        <v>6</v>
      </c>
      <c r="AB18" s="2" t="str">
        <f t="shared" ref="AB18" si="16">IF(NOT(ISBLANK(AC18)),"-","")</f>
        <v>-</v>
      </c>
      <c r="AC18" s="2" t="s">
        <v>271</v>
      </c>
      <c r="AD18" s="2" t="str">
        <f t="shared" ref="AD18" si="17">IF(NOT(ISBLANK(AE18)),"_","")</f>
        <v>_</v>
      </c>
      <c r="AE18" s="2" t="s">
        <v>272</v>
      </c>
      <c r="AF18" s="2" t="str">
        <f t="shared" ref="AF18" si="18">IF(NOT(ISBLANK(AG18)),"_","")</f>
        <v>_</v>
      </c>
      <c r="AG18" s="2" t="s">
        <v>262</v>
      </c>
      <c r="AH18" s="2" t="str">
        <f t="shared" ref="AH18:AH82" si="19">IF(NOT(ISBLANK(AI18)),"_","")</f>
        <v/>
      </c>
      <c r="AI18" s="2"/>
    </row>
    <row r="19" spans="1:35" x14ac:dyDescent="0.25">
      <c r="B19" s="2" t="str">
        <f>_xlfn.CONCAT("@",AA19,AB19,AC19,AD19,AE19,AF19,AG19,AH19,AI19)</f>
        <v>@color-label_halo_parking</v>
      </c>
      <c r="C19" s="38" t="s">
        <v>222</v>
      </c>
      <c r="D19" s="38" t="s">
        <v>222</v>
      </c>
      <c r="F19" s="37" t="s">
        <v>214</v>
      </c>
      <c r="G19" s="37" t="s">
        <v>214</v>
      </c>
      <c r="I19" s="38" t="s">
        <v>222</v>
      </c>
      <c r="J19" s="38" t="s">
        <v>222</v>
      </c>
      <c r="L19" s="37" t="s">
        <v>214</v>
      </c>
      <c r="M19" s="37" t="s">
        <v>214</v>
      </c>
      <c r="U19" s="38" t="s">
        <v>222</v>
      </c>
      <c r="V19" s="38" t="s">
        <v>222</v>
      </c>
      <c r="X19" s="37" t="s">
        <v>214</v>
      </c>
      <c r="Y19" s="37" t="s">
        <v>214</v>
      </c>
      <c r="AA19" s="2" t="s">
        <v>6</v>
      </c>
      <c r="AB19" s="2" t="str">
        <f t="shared" ref="AB19" si="20">IF(NOT(ISBLANK(AC19)),"-","")</f>
        <v>-</v>
      </c>
      <c r="AC19" s="2" t="s">
        <v>280</v>
      </c>
      <c r="AD19" s="2" t="str">
        <f t="shared" ref="AD19" si="21">IF(NOT(ISBLANK(AE19)),"_","")</f>
        <v>_</v>
      </c>
      <c r="AE19" s="2" t="s">
        <v>272</v>
      </c>
      <c r="AF19" s="2" t="str">
        <f t="shared" ref="AF19" si="22">IF(NOT(ISBLANK(AG19)),"_","")</f>
        <v/>
      </c>
      <c r="AG19" s="2"/>
      <c r="AH19" s="2" t="str">
        <f t="shared" ref="AH19" si="23">IF(NOT(ISBLANK(AI19)),"_","")</f>
        <v/>
      </c>
      <c r="AI19" s="2"/>
    </row>
    <row r="20" spans="1:35" x14ac:dyDescent="0.25">
      <c r="B20" s="2" t="str">
        <f t="shared" ref="B20:B82" si="24">_xlfn.CONCAT("@",AA20,AB20,AC20,AD20,AE20,AF20,AG20,AH20,AI20)</f>
        <v>@color-label_parking_yes</v>
      </c>
      <c r="C20" s="38" t="s">
        <v>222</v>
      </c>
      <c r="D20" s="38" t="s">
        <v>222</v>
      </c>
      <c r="F20" s="37" t="s">
        <v>214</v>
      </c>
      <c r="G20" s="37" t="s">
        <v>214</v>
      </c>
      <c r="I20" s="38" t="s">
        <v>222</v>
      </c>
      <c r="J20" s="38" t="s">
        <v>222</v>
      </c>
      <c r="L20" s="37" t="s">
        <v>214</v>
      </c>
      <c r="M20" s="37" t="s">
        <v>214</v>
      </c>
      <c r="U20" s="38" t="s">
        <v>222</v>
      </c>
      <c r="V20" s="38" t="s">
        <v>222</v>
      </c>
      <c r="X20" s="37" t="s">
        <v>214</v>
      </c>
      <c r="Y20" s="37" t="s">
        <v>214</v>
      </c>
      <c r="AA20" s="2" t="s">
        <v>6</v>
      </c>
      <c r="AB20" s="2" t="str">
        <f t="shared" ref="AB20" si="25">IF(NOT(ISBLANK(AC20)),"-","")</f>
        <v>-</v>
      </c>
      <c r="AC20" s="2" t="s">
        <v>271</v>
      </c>
      <c r="AD20" s="2" t="str">
        <f t="shared" ref="AD20" si="26">IF(NOT(ISBLANK(AE20)),"_","")</f>
        <v>_</v>
      </c>
      <c r="AE20" s="2" t="s">
        <v>272</v>
      </c>
      <c r="AF20" s="2" t="str">
        <f t="shared" ref="AF20" si="27">IF(NOT(ISBLANK(AG20)),"_","")</f>
        <v>_</v>
      </c>
      <c r="AG20" s="2" t="s">
        <v>273</v>
      </c>
      <c r="AH20" s="2" t="str">
        <f t="shared" si="19"/>
        <v/>
      </c>
      <c r="AI20" s="2"/>
    </row>
    <row r="21" spans="1:35" x14ac:dyDescent="0.25">
      <c r="B21" s="2" t="str">
        <f t="shared" si="24"/>
        <v>@color-label_parking_no</v>
      </c>
      <c r="C21" s="39" t="s">
        <v>274</v>
      </c>
      <c r="D21" s="39" t="s">
        <v>274</v>
      </c>
      <c r="F21" s="39" t="s">
        <v>274</v>
      </c>
      <c r="G21" s="39" t="s">
        <v>274</v>
      </c>
      <c r="I21" s="39" t="s">
        <v>274</v>
      </c>
      <c r="J21" s="39" t="s">
        <v>274</v>
      </c>
      <c r="L21" s="39" t="s">
        <v>274</v>
      </c>
      <c r="M21" s="39" t="s">
        <v>274</v>
      </c>
      <c r="U21" s="39" t="s">
        <v>274</v>
      </c>
      <c r="V21" s="39" t="s">
        <v>274</v>
      </c>
      <c r="X21" s="39" t="s">
        <v>274</v>
      </c>
      <c r="Y21" s="39" t="s">
        <v>274</v>
      </c>
      <c r="AA21" s="2" t="s">
        <v>6</v>
      </c>
      <c r="AB21" s="2" t="str">
        <f t="shared" ref="AB21:AB23" si="28">IF(NOT(ISBLANK(AC21)),"-","")</f>
        <v>-</v>
      </c>
      <c r="AC21" s="2" t="s">
        <v>271</v>
      </c>
      <c r="AD21" s="2" t="str">
        <f t="shared" ref="AD21:AD23" si="29">IF(NOT(ISBLANK(AE21)),"_","")</f>
        <v>_</v>
      </c>
      <c r="AE21" s="2" t="s">
        <v>272</v>
      </c>
      <c r="AF21" s="2" t="str">
        <f t="shared" ref="AF21:AF23" si="30">IF(NOT(ISBLANK(AG21)),"_","")</f>
        <v>_</v>
      </c>
      <c r="AG21" s="2" t="s">
        <v>41</v>
      </c>
      <c r="AH21" s="2" t="str">
        <f t="shared" si="19"/>
        <v/>
      </c>
      <c r="AI21" s="2"/>
    </row>
    <row r="22" spans="1:35" x14ac:dyDescent="0.25">
      <c r="AA22" s="2"/>
      <c r="AB22" s="2"/>
      <c r="AC22" s="2"/>
      <c r="AD22" s="2"/>
      <c r="AE22" s="2"/>
      <c r="AF22" s="2"/>
      <c r="AG22" s="2"/>
      <c r="AH22" s="2"/>
      <c r="AI22" s="2"/>
    </row>
    <row r="23" spans="1:35" x14ac:dyDescent="0.25">
      <c r="B23" s="2" t="str">
        <f t="shared" si="24"/>
        <v>@color-label_place_other</v>
      </c>
      <c r="C23" s="29" t="s">
        <v>278</v>
      </c>
      <c r="D23" s="47" t="s">
        <v>214</v>
      </c>
      <c r="F23" s="30" t="s">
        <v>279</v>
      </c>
      <c r="G23" s="38" t="s">
        <v>222</v>
      </c>
      <c r="I23" s="29" t="s">
        <v>278</v>
      </c>
      <c r="J23" s="47" t="s">
        <v>214</v>
      </c>
      <c r="L23" s="30" t="s">
        <v>279</v>
      </c>
      <c r="M23" s="38" t="s">
        <v>222</v>
      </c>
      <c r="U23" s="29" t="s">
        <v>278</v>
      </c>
      <c r="V23" s="47" t="s">
        <v>214</v>
      </c>
      <c r="X23" s="30" t="s">
        <v>279</v>
      </c>
      <c r="Y23" s="38" t="s">
        <v>222</v>
      </c>
      <c r="AA23" s="2" t="s">
        <v>6</v>
      </c>
      <c r="AB23" s="2" t="str">
        <f t="shared" si="28"/>
        <v>-</v>
      </c>
      <c r="AC23" s="2" t="s">
        <v>271</v>
      </c>
      <c r="AD23" s="2" t="str">
        <f t="shared" si="29"/>
        <v>_</v>
      </c>
      <c r="AE23" s="2" t="s">
        <v>276</v>
      </c>
      <c r="AF23" s="2" t="str">
        <f t="shared" si="30"/>
        <v>_</v>
      </c>
      <c r="AG23" s="2" t="s">
        <v>277</v>
      </c>
      <c r="AH23" s="2" t="str">
        <f t="shared" si="19"/>
        <v/>
      </c>
      <c r="AI23" s="2"/>
    </row>
    <row r="24" spans="1:35" x14ac:dyDescent="0.25">
      <c r="B24" s="2" t="str">
        <f t="shared" si="24"/>
        <v>@color-label_halo_place_other</v>
      </c>
      <c r="C24" s="31" t="s">
        <v>281</v>
      </c>
      <c r="D24" s="38" t="s">
        <v>222</v>
      </c>
      <c r="F24" s="32" t="s">
        <v>282</v>
      </c>
      <c r="G24" s="37" t="s">
        <v>214</v>
      </c>
      <c r="I24" s="31" t="s">
        <v>281</v>
      </c>
      <c r="J24" s="38" t="s">
        <v>222</v>
      </c>
      <c r="L24" s="32" t="s">
        <v>282</v>
      </c>
      <c r="M24" s="37" t="s">
        <v>214</v>
      </c>
      <c r="U24" s="31" t="s">
        <v>281</v>
      </c>
      <c r="V24" s="38" t="s">
        <v>222</v>
      </c>
      <c r="X24" s="32" t="s">
        <v>282</v>
      </c>
      <c r="Y24" s="37" t="s">
        <v>214</v>
      </c>
      <c r="AA24" s="2" t="s">
        <v>6</v>
      </c>
      <c r="AB24" s="2" t="str">
        <f t="shared" ref="AB24:AB29" si="31">IF(NOT(ISBLANK(AC24)),"-","")</f>
        <v>-</v>
      </c>
      <c r="AC24" s="2" t="s">
        <v>280</v>
      </c>
      <c r="AD24" s="2" t="str">
        <f t="shared" ref="AD24:AD29" si="32">IF(NOT(ISBLANK(AE24)),"_","")</f>
        <v>_</v>
      </c>
      <c r="AE24" s="2" t="s">
        <v>276</v>
      </c>
      <c r="AF24" s="2" t="str">
        <f t="shared" ref="AF24:AF29" si="33">IF(NOT(ISBLANK(AG24)),"_","")</f>
        <v>_</v>
      </c>
      <c r="AG24" s="2" t="s">
        <v>277</v>
      </c>
      <c r="AH24" s="2" t="str">
        <f t="shared" si="19"/>
        <v/>
      </c>
      <c r="AI24" s="2"/>
    </row>
    <row r="25" spans="1:35" x14ac:dyDescent="0.25">
      <c r="B25" s="2" t="str">
        <f>_xlfn.CONCAT("@",AA25,AB25,AC25,AD25,AE25,AF25,AG25,AH25,AI25)</f>
        <v>@text_size-label_place_other_z8</v>
      </c>
      <c r="C25" s="28" t="s">
        <v>327</v>
      </c>
      <c r="D25" s="28" t="s">
        <v>87</v>
      </c>
      <c r="F25" s="28" t="s">
        <v>327</v>
      </c>
      <c r="G25" s="28" t="s">
        <v>87</v>
      </c>
      <c r="I25" s="28" t="s">
        <v>327</v>
      </c>
      <c r="J25" s="28" t="s">
        <v>87</v>
      </c>
      <c r="L25" s="28" t="s">
        <v>327</v>
      </c>
      <c r="M25" s="28" t="s">
        <v>87</v>
      </c>
      <c r="U25" s="28" t="s">
        <v>327</v>
      </c>
      <c r="V25" s="28" t="s">
        <v>87</v>
      </c>
      <c r="X25" s="28" t="s">
        <v>327</v>
      </c>
      <c r="Y25" s="28" t="s">
        <v>87</v>
      </c>
      <c r="AA25" s="2" t="s">
        <v>451</v>
      </c>
      <c r="AB25" s="2" t="str">
        <f t="shared" si="31"/>
        <v>-</v>
      </c>
      <c r="AC25" s="2" t="s">
        <v>271</v>
      </c>
      <c r="AD25" s="2" t="str">
        <f t="shared" si="32"/>
        <v>_</v>
      </c>
      <c r="AE25" s="2" t="s">
        <v>276</v>
      </c>
      <c r="AF25" s="2" t="str">
        <f t="shared" si="33"/>
        <v>_</v>
      </c>
      <c r="AG25" s="2" t="s">
        <v>277</v>
      </c>
      <c r="AH25" s="2" t="str">
        <f t="shared" si="19"/>
        <v>_</v>
      </c>
      <c r="AI25" s="2" t="s">
        <v>452</v>
      </c>
    </row>
    <row r="26" spans="1:35" x14ac:dyDescent="0.25">
      <c r="B26" s="2" t="str">
        <f>_xlfn.CONCAT("@",AA26,AB26,AC26,AD26,AE26,AF26,AG26,AH26,AI26)</f>
        <v>@text_size-label_place_other_z10</v>
      </c>
      <c r="C26" s="28" t="s">
        <v>87</v>
      </c>
      <c r="D26" s="28" t="s">
        <v>341</v>
      </c>
      <c r="F26" s="28" t="s">
        <v>87</v>
      </c>
      <c r="G26" s="28" t="s">
        <v>341</v>
      </c>
      <c r="I26" s="28" t="s">
        <v>87</v>
      </c>
      <c r="J26" s="28" t="s">
        <v>341</v>
      </c>
      <c r="L26" s="28" t="s">
        <v>87</v>
      </c>
      <c r="M26" s="28" t="s">
        <v>341</v>
      </c>
      <c r="U26" s="28" t="s">
        <v>87</v>
      </c>
      <c r="V26" s="28" t="s">
        <v>341</v>
      </c>
      <c r="X26" s="28" t="s">
        <v>87</v>
      </c>
      <c r="Y26" s="28" t="s">
        <v>341</v>
      </c>
      <c r="AA26" s="2" t="s">
        <v>451</v>
      </c>
      <c r="AB26" s="2" t="str">
        <f t="shared" ref="AB26" si="34">IF(NOT(ISBLANK(AC26)),"-","")</f>
        <v>-</v>
      </c>
      <c r="AC26" s="2" t="s">
        <v>271</v>
      </c>
      <c r="AD26" s="2" t="str">
        <f t="shared" ref="AD26" si="35">IF(NOT(ISBLANK(AE26)),"_","")</f>
        <v>_</v>
      </c>
      <c r="AE26" s="2" t="s">
        <v>276</v>
      </c>
      <c r="AF26" s="2" t="str">
        <f t="shared" ref="AF26" si="36">IF(NOT(ISBLANK(AG26)),"_","")</f>
        <v>_</v>
      </c>
      <c r="AG26" s="2" t="s">
        <v>277</v>
      </c>
      <c r="AH26" s="2" t="str">
        <f t="shared" ref="AH26" si="37">IF(NOT(ISBLANK(AI26)),"_","")</f>
        <v>_</v>
      </c>
      <c r="AI26" s="2" t="s">
        <v>103</v>
      </c>
    </row>
    <row r="27" spans="1:35" x14ac:dyDescent="0.25">
      <c r="B27" s="2" t="str">
        <f>_xlfn.CONCAT("@",AA27,AB27,AC27,AD27,AE27,AF27,AG27,AH27,AI27)</f>
        <v>@text_size-label_place_other_z14</v>
      </c>
      <c r="C27" s="28" t="s">
        <v>328</v>
      </c>
      <c r="D27" s="28" t="s">
        <v>339</v>
      </c>
      <c r="F27" s="28" t="s">
        <v>328</v>
      </c>
      <c r="G27" s="28" t="s">
        <v>339</v>
      </c>
      <c r="I27" s="28" t="s">
        <v>328</v>
      </c>
      <c r="J27" s="28" t="s">
        <v>339</v>
      </c>
      <c r="L27" s="28" t="s">
        <v>328</v>
      </c>
      <c r="M27" s="28" t="s">
        <v>339</v>
      </c>
      <c r="U27" s="28" t="s">
        <v>328</v>
      </c>
      <c r="V27" s="28" t="s">
        <v>339</v>
      </c>
      <c r="X27" s="28" t="s">
        <v>328</v>
      </c>
      <c r="Y27" s="28" t="s">
        <v>339</v>
      </c>
      <c r="AA27" s="2" t="s">
        <v>451</v>
      </c>
      <c r="AB27" s="2" t="str">
        <f t="shared" ref="AB27" si="38">IF(NOT(ISBLANK(AC27)),"-","")</f>
        <v>-</v>
      </c>
      <c r="AC27" s="2" t="s">
        <v>271</v>
      </c>
      <c r="AD27" s="2" t="str">
        <f t="shared" ref="AD27" si="39">IF(NOT(ISBLANK(AE27)),"_","")</f>
        <v>_</v>
      </c>
      <c r="AE27" s="2" t="s">
        <v>276</v>
      </c>
      <c r="AF27" s="2" t="str">
        <f t="shared" ref="AF27" si="40">IF(NOT(ISBLANK(AG27)),"_","")</f>
        <v>_</v>
      </c>
      <c r="AG27" s="2" t="s">
        <v>277</v>
      </c>
      <c r="AH27" s="2" t="str">
        <f t="shared" ref="AH27" si="41">IF(NOT(ISBLANK(AI27)),"_","")</f>
        <v>_</v>
      </c>
      <c r="AI27" s="2" t="s">
        <v>74</v>
      </c>
    </row>
    <row r="28" spans="1:35" x14ac:dyDescent="0.25">
      <c r="AA28" s="2"/>
      <c r="AB28" s="2"/>
      <c r="AC28" s="2"/>
      <c r="AD28" s="2"/>
      <c r="AE28" s="2"/>
      <c r="AF28" s="2"/>
      <c r="AG28" s="2"/>
      <c r="AH28" s="2"/>
      <c r="AI28" s="2"/>
    </row>
    <row r="29" spans="1:35" x14ac:dyDescent="0.25">
      <c r="B29" s="2" t="str">
        <f t="shared" si="24"/>
        <v>@color-label_place_suburb_hamlet</v>
      </c>
      <c r="C29" s="29" t="s">
        <v>278</v>
      </c>
      <c r="D29" s="37" t="s">
        <v>214</v>
      </c>
      <c r="F29" s="30" t="s">
        <v>279</v>
      </c>
      <c r="G29" s="38" t="s">
        <v>222</v>
      </c>
      <c r="I29" s="29" t="s">
        <v>278</v>
      </c>
      <c r="J29" s="37" t="s">
        <v>214</v>
      </c>
      <c r="L29" s="30" t="s">
        <v>279</v>
      </c>
      <c r="M29" s="38" t="s">
        <v>222</v>
      </c>
      <c r="U29" s="29" t="s">
        <v>278</v>
      </c>
      <c r="V29" s="37" t="s">
        <v>214</v>
      </c>
      <c r="X29" s="30" t="s">
        <v>279</v>
      </c>
      <c r="Y29" s="38" t="s">
        <v>222</v>
      </c>
      <c r="AA29" s="2" t="s">
        <v>6</v>
      </c>
      <c r="AB29" s="2" t="str">
        <f t="shared" si="31"/>
        <v>-</v>
      </c>
      <c r="AC29" s="2" t="s">
        <v>271</v>
      </c>
      <c r="AD29" s="2" t="str">
        <f t="shared" si="32"/>
        <v>_</v>
      </c>
      <c r="AE29" s="2" t="s">
        <v>276</v>
      </c>
      <c r="AF29" s="2" t="str">
        <f t="shared" si="33"/>
        <v>_</v>
      </c>
      <c r="AG29" s="2" t="s">
        <v>283</v>
      </c>
      <c r="AH29" s="2" t="str">
        <f t="shared" si="19"/>
        <v/>
      </c>
      <c r="AI29" s="2"/>
    </row>
    <row r="30" spans="1:35" x14ac:dyDescent="0.25">
      <c r="B30" s="2" t="str">
        <f t="shared" si="24"/>
        <v>@color-label_halo_place_suburb_hamlet</v>
      </c>
      <c r="C30" s="31" t="s">
        <v>281</v>
      </c>
      <c r="D30" s="38" t="s">
        <v>222</v>
      </c>
      <c r="F30" s="32" t="s">
        <v>282</v>
      </c>
      <c r="G30" s="37" t="s">
        <v>214</v>
      </c>
      <c r="I30" s="31" t="s">
        <v>281</v>
      </c>
      <c r="J30" s="38" t="s">
        <v>222</v>
      </c>
      <c r="L30" s="32" t="s">
        <v>282</v>
      </c>
      <c r="M30" s="37" t="s">
        <v>214</v>
      </c>
      <c r="U30" s="31" t="s">
        <v>281</v>
      </c>
      <c r="V30" s="38" t="s">
        <v>222</v>
      </c>
      <c r="X30" s="32" t="s">
        <v>282</v>
      </c>
      <c r="Y30" s="37" t="s">
        <v>214</v>
      </c>
      <c r="AA30" s="2" t="s">
        <v>6</v>
      </c>
      <c r="AB30" s="2" t="str">
        <f t="shared" ref="AB30:AB35" si="42">IF(NOT(ISBLANK(AC30)),"-","")</f>
        <v>-</v>
      </c>
      <c r="AC30" s="2" t="s">
        <v>280</v>
      </c>
      <c r="AD30" s="2" t="str">
        <f t="shared" ref="AD30:AD35" si="43">IF(NOT(ISBLANK(AE30)),"_","")</f>
        <v>_</v>
      </c>
      <c r="AE30" s="2" t="s">
        <v>276</v>
      </c>
      <c r="AF30" s="2" t="str">
        <f t="shared" ref="AF30:AF35" si="44">IF(NOT(ISBLANK(AG30)),"_","")</f>
        <v>_</v>
      </c>
      <c r="AG30" s="2" t="s">
        <v>283</v>
      </c>
      <c r="AH30" s="2" t="str">
        <f t="shared" si="19"/>
        <v/>
      </c>
      <c r="AI30" s="2"/>
    </row>
    <row r="31" spans="1:35" x14ac:dyDescent="0.25">
      <c r="B31" s="2" t="str">
        <f>_xlfn.CONCAT("@",AA31,AB31,AC31,AD31,AE31,AF31,AG31,AH31,AI31)</f>
        <v>@text_size-label_place_suburb_hamlet_z8</v>
      </c>
      <c r="C31" s="28" t="s">
        <v>87</v>
      </c>
      <c r="D31" s="28" t="s">
        <v>341</v>
      </c>
      <c r="F31" s="28" t="s">
        <v>87</v>
      </c>
      <c r="G31" s="28" t="s">
        <v>341</v>
      </c>
      <c r="I31" s="28" t="s">
        <v>87</v>
      </c>
      <c r="J31" s="28" t="s">
        <v>341</v>
      </c>
      <c r="L31" s="28" t="s">
        <v>87</v>
      </c>
      <c r="M31" s="28" t="s">
        <v>341</v>
      </c>
      <c r="U31" s="28" t="s">
        <v>87</v>
      </c>
      <c r="V31" s="28" t="s">
        <v>341</v>
      </c>
      <c r="X31" s="28" t="s">
        <v>87</v>
      </c>
      <c r="Y31" s="28" t="s">
        <v>341</v>
      </c>
      <c r="AA31" s="2" t="s">
        <v>451</v>
      </c>
      <c r="AB31" s="2" t="str">
        <f t="shared" si="42"/>
        <v>-</v>
      </c>
      <c r="AC31" s="2" t="s">
        <v>271</v>
      </c>
      <c r="AD31" s="2" t="str">
        <f t="shared" si="43"/>
        <v>_</v>
      </c>
      <c r="AE31" s="2" t="s">
        <v>276</v>
      </c>
      <c r="AF31" s="2" t="str">
        <f t="shared" si="44"/>
        <v>_</v>
      </c>
      <c r="AG31" s="2" t="s">
        <v>283</v>
      </c>
      <c r="AH31" s="2" t="str">
        <f t="shared" ref="AH31:AH33" si="45">IF(NOT(ISBLANK(AI31)),"_","")</f>
        <v>_</v>
      </c>
      <c r="AI31" s="2" t="s">
        <v>452</v>
      </c>
    </row>
    <row r="32" spans="1:35" x14ac:dyDescent="0.25">
      <c r="B32" s="2" t="str">
        <f>_xlfn.CONCAT("@",AA32,AB32,AC32,AD32,AE32,AF32,AG32,AH32,AI32)</f>
        <v>@text_size-label_place_suburb_hamlet_z10</v>
      </c>
      <c r="C32" s="28" t="s">
        <v>341</v>
      </c>
      <c r="D32" s="28" t="s">
        <v>332</v>
      </c>
      <c r="F32" s="28" t="s">
        <v>341</v>
      </c>
      <c r="G32" s="28" t="s">
        <v>332</v>
      </c>
      <c r="I32" s="28" t="s">
        <v>341</v>
      </c>
      <c r="J32" s="28" t="s">
        <v>332</v>
      </c>
      <c r="L32" s="28" t="s">
        <v>341</v>
      </c>
      <c r="M32" s="28" t="s">
        <v>332</v>
      </c>
      <c r="U32" s="28" t="s">
        <v>341</v>
      </c>
      <c r="V32" s="28" t="s">
        <v>332</v>
      </c>
      <c r="X32" s="28" t="s">
        <v>341</v>
      </c>
      <c r="Y32" s="28" t="s">
        <v>332</v>
      </c>
      <c r="AA32" s="2" t="s">
        <v>451</v>
      </c>
      <c r="AB32" s="2" t="str">
        <f t="shared" si="42"/>
        <v>-</v>
      </c>
      <c r="AC32" s="2" t="s">
        <v>271</v>
      </c>
      <c r="AD32" s="2" t="str">
        <f t="shared" si="43"/>
        <v>_</v>
      </c>
      <c r="AE32" s="2" t="s">
        <v>276</v>
      </c>
      <c r="AF32" s="2" t="str">
        <f t="shared" si="44"/>
        <v>_</v>
      </c>
      <c r="AG32" s="2" t="s">
        <v>283</v>
      </c>
      <c r="AH32" s="2" t="str">
        <f t="shared" si="45"/>
        <v>_</v>
      </c>
      <c r="AI32" s="2" t="s">
        <v>103</v>
      </c>
    </row>
    <row r="33" spans="2:35" x14ac:dyDescent="0.25">
      <c r="B33" s="2" t="str">
        <f>_xlfn.CONCAT("@",AA33,AB33,AC33,AD33,AE33,AF33,AG33,AH33,AI33)</f>
        <v>@text_size-label_place_suburb_hamlet_z14</v>
      </c>
      <c r="C33" s="28" t="s">
        <v>339</v>
      </c>
      <c r="D33" s="28" t="s">
        <v>145</v>
      </c>
      <c r="F33" s="28" t="s">
        <v>339</v>
      </c>
      <c r="G33" s="28" t="s">
        <v>145</v>
      </c>
      <c r="I33" s="28" t="s">
        <v>339</v>
      </c>
      <c r="J33" s="28" t="s">
        <v>145</v>
      </c>
      <c r="L33" s="28" t="s">
        <v>339</v>
      </c>
      <c r="M33" s="28" t="s">
        <v>145</v>
      </c>
      <c r="U33" s="28" t="s">
        <v>339</v>
      </c>
      <c r="V33" s="28" t="s">
        <v>145</v>
      </c>
      <c r="X33" s="28" t="s">
        <v>339</v>
      </c>
      <c r="Y33" s="28" t="s">
        <v>145</v>
      </c>
      <c r="AA33" s="2" t="s">
        <v>451</v>
      </c>
      <c r="AB33" s="2" t="str">
        <f t="shared" si="42"/>
        <v>-</v>
      </c>
      <c r="AC33" s="2" t="s">
        <v>271</v>
      </c>
      <c r="AD33" s="2" t="str">
        <f t="shared" si="43"/>
        <v>_</v>
      </c>
      <c r="AE33" s="2" t="s">
        <v>276</v>
      </c>
      <c r="AF33" s="2" t="str">
        <f t="shared" si="44"/>
        <v>_</v>
      </c>
      <c r="AG33" s="2" t="s">
        <v>283</v>
      </c>
      <c r="AH33" s="2" t="str">
        <f t="shared" si="45"/>
        <v>_</v>
      </c>
      <c r="AI33" s="2" t="s">
        <v>74</v>
      </c>
    </row>
    <row r="34" spans="2:35" x14ac:dyDescent="0.25">
      <c r="AA34" s="2"/>
      <c r="AB34" s="2"/>
      <c r="AC34" s="2"/>
      <c r="AD34" s="2"/>
      <c r="AE34" s="2"/>
      <c r="AF34" s="2"/>
      <c r="AG34" s="2"/>
      <c r="AH34" s="2"/>
      <c r="AI34" s="2"/>
    </row>
    <row r="35" spans="2:35" x14ac:dyDescent="0.25">
      <c r="B35" s="2" t="str">
        <f t="shared" si="24"/>
        <v>@color-label_place_village</v>
      </c>
      <c r="C35" s="29" t="s">
        <v>278</v>
      </c>
      <c r="D35" s="37" t="s">
        <v>214</v>
      </c>
      <c r="F35" s="30" t="s">
        <v>279</v>
      </c>
      <c r="G35" s="38" t="s">
        <v>222</v>
      </c>
      <c r="I35" s="29" t="s">
        <v>278</v>
      </c>
      <c r="J35" s="37" t="s">
        <v>214</v>
      </c>
      <c r="L35" s="30" t="s">
        <v>279</v>
      </c>
      <c r="M35" s="38" t="s">
        <v>222</v>
      </c>
      <c r="U35" s="29" t="s">
        <v>278</v>
      </c>
      <c r="V35" s="37" t="s">
        <v>214</v>
      </c>
      <c r="X35" s="30" t="s">
        <v>279</v>
      </c>
      <c r="Y35" s="38" t="s">
        <v>222</v>
      </c>
      <c r="AA35" s="2" t="s">
        <v>6</v>
      </c>
      <c r="AB35" s="2" t="str">
        <f t="shared" si="42"/>
        <v>-</v>
      </c>
      <c r="AC35" s="2" t="s">
        <v>271</v>
      </c>
      <c r="AD35" s="2" t="str">
        <f t="shared" si="43"/>
        <v>_</v>
      </c>
      <c r="AE35" s="2" t="s">
        <v>276</v>
      </c>
      <c r="AF35" s="2" t="str">
        <f t="shared" si="44"/>
        <v>_</v>
      </c>
      <c r="AG35" s="2" t="s">
        <v>284</v>
      </c>
      <c r="AH35" s="2" t="str">
        <f t="shared" si="19"/>
        <v/>
      </c>
      <c r="AI35" s="2"/>
    </row>
    <row r="36" spans="2:35" x14ac:dyDescent="0.25">
      <c r="B36" s="2" t="str">
        <f t="shared" si="24"/>
        <v>@color-label_halo_place_village</v>
      </c>
      <c r="C36" s="31" t="s">
        <v>281</v>
      </c>
      <c r="D36" s="38" t="s">
        <v>222</v>
      </c>
      <c r="F36" s="32" t="s">
        <v>282</v>
      </c>
      <c r="G36" s="37" t="s">
        <v>214</v>
      </c>
      <c r="I36" s="31" t="s">
        <v>281</v>
      </c>
      <c r="J36" s="38" t="s">
        <v>222</v>
      </c>
      <c r="L36" s="32" t="s">
        <v>282</v>
      </c>
      <c r="M36" s="37" t="s">
        <v>214</v>
      </c>
      <c r="U36" s="31" t="s">
        <v>281</v>
      </c>
      <c r="V36" s="38" t="s">
        <v>222</v>
      </c>
      <c r="X36" s="32" t="s">
        <v>282</v>
      </c>
      <c r="Y36" s="37" t="s">
        <v>214</v>
      </c>
      <c r="AA36" s="2" t="s">
        <v>6</v>
      </c>
      <c r="AB36" s="2" t="str">
        <f t="shared" ref="AB36:AB41" si="46">IF(NOT(ISBLANK(AC36)),"-","")</f>
        <v>-</v>
      </c>
      <c r="AC36" s="2" t="s">
        <v>280</v>
      </c>
      <c r="AD36" s="2" t="str">
        <f t="shared" ref="AD36:AD41" si="47">IF(NOT(ISBLANK(AE36)),"_","")</f>
        <v>_</v>
      </c>
      <c r="AE36" s="2" t="s">
        <v>276</v>
      </c>
      <c r="AF36" s="2" t="str">
        <f t="shared" ref="AF36:AF41" si="48">IF(NOT(ISBLANK(AG36)),"_","")</f>
        <v>_</v>
      </c>
      <c r="AG36" s="2" t="s">
        <v>284</v>
      </c>
      <c r="AH36" s="2" t="str">
        <f t="shared" si="19"/>
        <v/>
      </c>
      <c r="AI36" s="2"/>
    </row>
    <row r="37" spans="2:35" x14ac:dyDescent="0.25">
      <c r="B37" s="2" t="str">
        <f>_xlfn.CONCAT("@",AA37,AB37,AC37,AD37,AE37,AF37,AG37,AH37,AI37)</f>
        <v>@text_size-label_place_village_z8</v>
      </c>
      <c r="C37" s="28" t="s">
        <v>366</v>
      </c>
      <c r="D37" s="28" t="s">
        <v>332</v>
      </c>
      <c r="F37" s="28" t="s">
        <v>366</v>
      </c>
      <c r="G37" s="28" t="s">
        <v>332</v>
      </c>
      <c r="I37" s="28" t="s">
        <v>366</v>
      </c>
      <c r="J37" s="28" t="s">
        <v>332</v>
      </c>
      <c r="L37" s="28" t="s">
        <v>366</v>
      </c>
      <c r="M37" s="28" t="s">
        <v>332</v>
      </c>
      <c r="U37" s="28" t="s">
        <v>366</v>
      </c>
      <c r="V37" s="28" t="s">
        <v>332</v>
      </c>
      <c r="X37" s="28" t="s">
        <v>366</v>
      </c>
      <c r="Y37" s="28" t="s">
        <v>332</v>
      </c>
      <c r="AA37" s="2" t="s">
        <v>451</v>
      </c>
      <c r="AB37" s="2" t="str">
        <f t="shared" si="46"/>
        <v>-</v>
      </c>
      <c r="AC37" s="2" t="s">
        <v>271</v>
      </c>
      <c r="AD37" s="2" t="str">
        <f t="shared" si="47"/>
        <v>_</v>
      </c>
      <c r="AE37" s="2" t="s">
        <v>276</v>
      </c>
      <c r="AF37" s="2" t="str">
        <f t="shared" si="48"/>
        <v>_</v>
      </c>
      <c r="AG37" s="2" t="s">
        <v>284</v>
      </c>
      <c r="AH37" s="2" t="str">
        <f t="shared" si="19"/>
        <v>_</v>
      </c>
      <c r="AI37" s="2" t="s">
        <v>452</v>
      </c>
    </row>
    <row r="38" spans="2:35" x14ac:dyDescent="0.25">
      <c r="B38" s="2" t="str">
        <f>_xlfn.CONCAT("@",AA38,AB38,AC38,AD38,AE38,AF38,AG38,AH38,AI38)</f>
        <v>@text_size-label_place_village_z10</v>
      </c>
      <c r="C38" s="28" t="s">
        <v>332</v>
      </c>
      <c r="D38" s="28" t="s">
        <v>328</v>
      </c>
      <c r="F38" s="28" t="s">
        <v>332</v>
      </c>
      <c r="G38" s="28" t="s">
        <v>328</v>
      </c>
      <c r="I38" s="28" t="s">
        <v>332</v>
      </c>
      <c r="J38" s="28" t="s">
        <v>328</v>
      </c>
      <c r="L38" s="28" t="s">
        <v>332</v>
      </c>
      <c r="M38" s="28" t="s">
        <v>328</v>
      </c>
      <c r="U38" s="28" t="s">
        <v>332</v>
      </c>
      <c r="V38" s="28" t="s">
        <v>328</v>
      </c>
      <c r="X38" s="28" t="s">
        <v>332</v>
      </c>
      <c r="Y38" s="28" t="s">
        <v>328</v>
      </c>
      <c r="AA38" s="2" t="s">
        <v>451</v>
      </c>
      <c r="AB38" s="2" t="str">
        <f t="shared" si="46"/>
        <v>-</v>
      </c>
      <c r="AC38" s="2" t="s">
        <v>271</v>
      </c>
      <c r="AD38" s="2" t="str">
        <f t="shared" si="47"/>
        <v>_</v>
      </c>
      <c r="AE38" s="2" t="s">
        <v>276</v>
      </c>
      <c r="AF38" s="2" t="str">
        <f t="shared" si="48"/>
        <v>_</v>
      </c>
      <c r="AG38" s="2" t="s">
        <v>284</v>
      </c>
      <c r="AH38" s="2" t="str">
        <f t="shared" si="19"/>
        <v>_</v>
      </c>
      <c r="AI38" s="2" t="s">
        <v>103</v>
      </c>
    </row>
    <row r="39" spans="2:35" x14ac:dyDescent="0.25">
      <c r="B39" s="2" t="str">
        <f>_xlfn.CONCAT("@",AA39,AB39,AC39,AD39,AE39,AF39,AG39,AH39,AI39)</f>
        <v>@text_size-label_place_village_z14</v>
      </c>
      <c r="C39" s="28" t="s">
        <v>339</v>
      </c>
      <c r="D39" s="28" t="s">
        <v>453</v>
      </c>
      <c r="F39" s="28" t="s">
        <v>339</v>
      </c>
      <c r="G39" s="28" t="s">
        <v>453</v>
      </c>
      <c r="I39" s="28" t="s">
        <v>339</v>
      </c>
      <c r="J39" s="28" t="s">
        <v>453</v>
      </c>
      <c r="L39" s="28" t="s">
        <v>339</v>
      </c>
      <c r="M39" s="28" t="s">
        <v>453</v>
      </c>
      <c r="U39" s="28" t="s">
        <v>339</v>
      </c>
      <c r="V39" s="28" t="s">
        <v>453</v>
      </c>
      <c r="X39" s="28" t="s">
        <v>339</v>
      </c>
      <c r="Y39" s="28" t="s">
        <v>453</v>
      </c>
      <c r="AA39" s="2" t="s">
        <v>451</v>
      </c>
      <c r="AB39" s="2" t="str">
        <f t="shared" si="46"/>
        <v>-</v>
      </c>
      <c r="AC39" s="2" t="s">
        <v>271</v>
      </c>
      <c r="AD39" s="2" t="str">
        <f t="shared" si="47"/>
        <v>_</v>
      </c>
      <c r="AE39" s="2" t="s">
        <v>276</v>
      </c>
      <c r="AF39" s="2" t="str">
        <f t="shared" si="48"/>
        <v>_</v>
      </c>
      <c r="AG39" s="2" t="s">
        <v>284</v>
      </c>
      <c r="AH39" s="2" t="str">
        <f t="shared" si="19"/>
        <v>_</v>
      </c>
      <c r="AI39" s="2" t="s">
        <v>74</v>
      </c>
    </row>
    <row r="40" spans="2:35" x14ac:dyDescent="0.25">
      <c r="AA40" s="2"/>
      <c r="AB40" s="2"/>
      <c r="AC40" s="2"/>
      <c r="AD40" s="2"/>
      <c r="AE40" s="2"/>
      <c r="AF40" s="2"/>
      <c r="AG40" s="2"/>
      <c r="AH40" s="2"/>
      <c r="AI40" s="2"/>
    </row>
    <row r="41" spans="2:35" x14ac:dyDescent="0.25">
      <c r="B41" s="2" t="str">
        <f t="shared" si="24"/>
        <v>@color-label_place_town</v>
      </c>
      <c r="C41" s="29" t="s">
        <v>278</v>
      </c>
      <c r="D41" s="37" t="s">
        <v>214</v>
      </c>
      <c r="F41" s="30" t="s">
        <v>279</v>
      </c>
      <c r="G41" s="38" t="s">
        <v>222</v>
      </c>
      <c r="I41" s="29" t="s">
        <v>278</v>
      </c>
      <c r="J41" s="37" t="s">
        <v>214</v>
      </c>
      <c r="L41" s="30" t="s">
        <v>279</v>
      </c>
      <c r="M41" s="38" t="s">
        <v>222</v>
      </c>
      <c r="U41" s="29" t="s">
        <v>278</v>
      </c>
      <c r="V41" s="37" t="s">
        <v>214</v>
      </c>
      <c r="X41" s="30" t="s">
        <v>279</v>
      </c>
      <c r="Y41" s="38" t="s">
        <v>222</v>
      </c>
      <c r="AA41" s="2" t="s">
        <v>6</v>
      </c>
      <c r="AB41" s="2" t="str">
        <f t="shared" si="46"/>
        <v>-</v>
      </c>
      <c r="AC41" s="2" t="s">
        <v>271</v>
      </c>
      <c r="AD41" s="2" t="str">
        <f t="shared" si="47"/>
        <v>_</v>
      </c>
      <c r="AE41" s="2" t="s">
        <v>276</v>
      </c>
      <c r="AF41" s="2" t="str">
        <f t="shared" si="48"/>
        <v>_</v>
      </c>
      <c r="AG41" s="2" t="s">
        <v>285</v>
      </c>
      <c r="AH41" s="2" t="str">
        <f t="shared" si="19"/>
        <v/>
      </c>
      <c r="AI41" s="2"/>
    </row>
    <row r="42" spans="2:35" x14ac:dyDescent="0.25">
      <c r="B42" s="2" t="str">
        <f t="shared" si="24"/>
        <v>@color-label_halo_place_town</v>
      </c>
      <c r="C42" s="31" t="s">
        <v>281</v>
      </c>
      <c r="D42" s="38" t="s">
        <v>222</v>
      </c>
      <c r="F42" s="32" t="s">
        <v>282</v>
      </c>
      <c r="G42" s="37" t="s">
        <v>214</v>
      </c>
      <c r="I42" s="31" t="s">
        <v>281</v>
      </c>
      <c r="J42" s="38" t="s">
        <v>222</v>
      </c>
      <c r="L42" s="32" t="s">
        <v>282</v>
      </c>
      <c r="M42" s="37" t="s">
        <v>214</v>
      </c>
      <c r="U42" s="31" t="s">
        <v>281</v>
      </c>
      <c r="V42" s="38" t="s">
        <v>222</v>
      </c>
      <c r="X42" s="32" t="s">
        <v>282</v>
      </c>
      <c r="Y42" s="37" t="s">
        <v>214</v>
      </c>
      <c r="AA42" s="2" t="s">
        <v>6</v>
      </c>
      <c r="AB42" s="2" t="str">
        <f t="shared" ref="AB42:AB48" si="49">IF(NOT(ISBLANK(AC42)),"-","")</f>
        <v>-</v>
      </c>
      <c r="AC42" s="2" t="s">
        <v>280</v>
      </c>
      <c r="AD42" s="2" t="str">
        <f t="shared" ref="AD42:AD48" si="50">IF(NOT(ISBLANK(AE42)),"_","")</f>
        <v>_</v>
      </c>
      <c r="AE42" s="2" t="s">
        <v>276</v>
      </c>
      <c r="AF42" s="2" t="str">
        <f t="shared" ref="AF42:AF48" si="51">IF(NOT(ISBLANK(AG42)),"_","")</f>
        <v>_</v>
      </c>
      <c r="AG42" s="2" t="s">
        <v>285</v>
      </c>
      <c r="AH42" s="2" t="str">
        <f t="shared" si="19"/>
        <v/>
      </c>
      <c r="AI42" s="2"/>
    </row>
    <row r="43" spans="2:35" x14ac:dyDescent="0.25">
      <c r="B43" s="2" t="str">
        <f>_xlfn.CONCAT("@",AA43,AB43,AC43,AD43,AE43,AF43,AG43,AH43,AI43)</f>
        <v>@text_size-label_place_town_z6</v>
      </c>
      <c r="C43" s="28" t="s">
        <v>341</v>
      </c>
      <c r="D43" s="28" t="s">
        <v>366</v>
      </c>
      <c r="F43" s="28" t="s">
        <v>341</v>
      </c>
      <c r="G43" s="28" t="s">
        <v>366</v>
      </c>
      <c r="I43" s="28" t="s">
        <v>341</v>
      </c>
      <c r="J43" s="28" t="s">
        <v>366</v>
      </c>
      <c r="L43" s="28" t="s">
        <v>341</v>
      </c>
      <c r="M43" s="28" t="s">
        <v>366</v>
      </c>
      <c r="U43" s="28" t="s">
        <v>341</v>
      </c>
      <c r="V43" s="28" t="s">
        <v>366</v>
      </c>
      <c r="X43" s="28" t="s">
        <v>341</v>
      </c>
      <c r="Y43" s="28" t="s">
        <v>366</v>
      </c>
      <c r="AA43" s="2" t="s">
        <v>451</v>
      </c>
      <c r="AB43" s="2" t="str">
        <f t="shared" ref="AB43" si="52">IF(NOT(ISBLANK(AC43)),"-","")</f>
        <v>-</v>
      </c>
      <c r="AC43" s="2" t="s">
        <v>271</v>
      </c>
      <c r="AD43" s="2" t="str">
        <f t="shared" ref="AD43" si="53">IF(NOT(ISBLANK(AE43)),"_","")</f>
        <v>_</v>
      </c>
      <c r="AE43" s="2" t="s">
        <v>276</v>
      </c>
      <c r="AF43" s="2" t="str">
        <f t="shared" ref="AF43" si="54">IF(NOT(ISBLANK(AG43)),"_","")</f>
        <v>_</v>
      </c>
      <c r="AG43" s="2" t="s">
        <v>285</v>
      </c>
      <c r="AH43" s="2" t="str">
        <f t="shared" si="19"/>
        <v>_</v>
      </c>
      <c r="AI43" s="2" t="s">
        <v>138</v>
      </c>
    </row>
    <row r="44" spans="2:35" x14ac:dyDescent="0.25">
      <c r="B44" s="2" t="str">
        <f>_xlfn.CONCAT("@",AA44,AB44,AC44,AD44,AE44,AF44,AG44,AH44,AI44)</f>
        <v>@text_size-label_place_town_z8</v>
      </c>
      <c r="C44" s="28" t="s">
        <v>332</v>
      </c>
      <c r="D44" s="28" t="s">
        <v>328</v>
      </c>
      <c r="F44" s="28" t="s">
        <v>332</v>
      </c>
      <c r="G44" s="28" t="s">
        <v>328</v>
      </c>
      <c r="I44" s="28" t="s">
        <v>332</v>
      </c>
      <c r="J44" s="28" t="s">
        <v>328</v>
      </c>
      <c r="L44" s="28" t="s">
        <v>332</v>
      </c>
      <c r="M44" s="28" t="s">
        <v>328</v>
      </c>
      <c r="U44" s="28" t="s">
        <v>332</v>
      </c>
      <c r="V44" s="28" t="s">
        <v>328</v>
      </c>
      <c r="X44" s="28" t="s">
        <v>332</v>
      </c>
      <c r="Y44" s="28" t="s">
        <v>328</v>
      </c>
      <c r="AA44" s="2" t="s">
        <v>451</v>
      </c>
      <c r="AB44" s="2" t="str">
        <f t="shared" si="49"/>
        <v>-</v>
      </c>
      <c r="AC44" s="2" t="s">
        <v>271</v>
      </c>
      <c r="AD44" s="2" t="str">
        <f t="shared" si="50"/>
        <v>_</v>
      </c>
      <c r="AE44" s="2" t="s">
        <v>276</v>
      </c>
      <c r="AF44" s="2" t="str">
        <f t="shared" si="51"/>
        <v>_</v>
      </c>
      <c r="AG44" s="2" t="s">
        <v>285</v>
      </c>
      <c r="AH44" s="2" t="str">
        <f t="shared" ref="AH44:AH46" si="55">IF(NOT(ISBLANK(AI44)),"_","")</f>
        <v>_</v>
      </c>
      <c r="AI44" s="2" t="s">
        <v>452</v>
      </c>
    </row>
    <row r="45" spans="2:35" x14ac:dyDescent="0.25">
      <c r="B45" s="2" t="str">
        <f>_xlfn.CONCAT("@",AA45,AB45,AC45,AD45,AE45,AF45,AG45,AH45,AI45)</f>
        <v>@text_size-label_place_town_z10</v>
      </c>
      <c r="C45" s="28" t="s">
        <v>338</v>
      </c>
      <c r="D45" s="28" t="s">
        <v>339</v>
      </c>
      <c r="F45" s="28" t="s">
        <v>338</v>
      </c>
      <c r="G45" s="28" t="s">
        <v>339</v>
      </c>
      <c r="I45" s="28" t="s">
        <v>338</v>
      </c>
      <c r="J45" s="28" t="s">
        <v>339</v>
      </c>
      <c r="L45" s="28" t="s">
        <v>338</v>
      </c>
      <c r="M45" s="28" t="s">
        <v>339</v>
      </c>
      <c r="U45" s="28" t="s">
        <v>338</v>
      </c>
      <c r="V45" s="28" t="s">
        <v>339</v>
      </c>
      <c r="X45" s="28" t="s">
        <v>338</v>
      </c>
      <c r="Y45" s="28" t="s">
        <v>339</v>
      </c>
      <c r="AA45" s="2" t="s">
        <v>451</v>
      </c>
      <c r="AB45" s="2" t="str">
        <f t="shared" si="49"/>
        <v>-</v>
      </c>
      <c r="AC45" s="2" t="s">
        <v>271</v>
      </c>
      <c r="AD45" s="2" t="str">
        <f t="shared" si="50"/>
        <v>_</v>
      </c>
      <c r="AE45" s="2" t="s">
        <v>276</v>
      </c>
      <c r="AF45" s="2" t="str">
        <f t="shared" si="51"/>
        <v>_</v>
      </c>
      <c r="AG45" s="2" t="s">
        <v>285</v>
      </c>
      <c r="AH45" s="2" t="str">
        <f t="shared" si="55"/>
        <v>_</v>
      </c>
      <c r="AI45" s="2" t="s">
        <v>103</v>
      </c>
    </row>
    <row r="46" spans="2:35" x14ac:dyDescent="0.25">
      <c r="B46" s="2" t="str">
        <f>_xlfn.CONCAT("@",AA46,AB46,AC46,AD46,AE46,AF46,AG46,AH46,AI46)</f>
        <v>@text_size-label_place_town_z14</v>
      </c>
      <c r="C46" s="28" t="s">
        <v>453</v>
      </c>
      <c r="D46" s="28" t="s">
        <v>146</v>
      </c>
      <c r="F46" s="28" t="s">
        <v>453</v>
      </c>
      <c r="G46" s="28" t="s">
        <v>146</v>
      </c>
      <c r="I46" s="28" t="s">
        <v>453</v>
      </c>
      <c r="J46" s="28" t="s">
        <v>146</v>
      </c>
      <c r="L46" s="28" t="s">
        <v>453</v>
      </c>
      <c r="M46" s="28" t="s">
        <v>146</v>
      </c>
      <c r="U46" s="28" t="s">
        <v>453</v>
      </c>
      <c r="V46" s="28" t="s">
        <v>146</v>
      </c>
      <c r="X46" s="28" t="s">
        <v>453</v>
      </c>
      <c r="Y46" s="28" t="s">
        <v>146</v>
      </c>
      <c r="AA46" s="2" t="s">
        <v>451</v>
      </c>
      <c r="AB46" s="2" t="str">
        <f t="shared" si="49"/>
        <v>-</v>
      </c>
      <c r="AC46" s="2" t="s">
        <v>271</v>
      </c>
      <c r="AD46" s="2" t="str">
        <f t="shared" si="50"/>
        <v>_</v>
      </c>
      <c r="AE46" s="2" t="s">
        <v>276</v>
      </c>
      <c r="AF46" s="2" t="str">
        <f t="shared" si="51"/>
        <v>_</v>
      </c>
      <c r="AG46" s="2" t="s">
        <v>285</v>
      </c>
      <c r="AH46" s="2" t="str">
        <f t="shared" si="55"/>
        <v>_</v>
      </c>
      <c r="AI46" s="2" t="s">
        <v>74</v>
      </c>
    </row>
    <row r="47" spans="2:35" x14ac:dyDescent="0.25">
      <c r="AA47" s="2"/>
      <c r="AB47" s="2"/>
      <c r="AC47" s="2"/>
      <c r="AD47" s="2"/>
      <c r="AE47" s="2"/>
      <c r="AF47" s="2"/>
      <c r="AG47" s="2"/>
      <c r="AH47" s="2"/>
      <c r="AI47" s="2"/>
    </row>
    <row r="48" spans="2:35" x14ac:dyDescent="0.25">
      <c r="B48" s="2" t="str">
        <f t="shared" si="24"/>
        <v>@color-label_place_city</v>
      </c>
      <c r="C48" s="29" t="s">
        <v>278</v>
      </c>
      <c r="D48" s="37" t="s">
        <v>214</v>
      </c>
      <c r="F48" s="30" t="s">
        <v>279</v>
      </c>
      <c r="G48" s="38" t="s">
        <v>222</v>
      </c>
      <c r="I48" s="29" t="s">
        <v>278</v>
      </c>
      <c r="J48" s="37" t="s">
        <v>214</v>
      </c>
      <c r="L48" s="30" t="s">
        <v>279</v>
      </c>
      <c r="M48" s="38" t="s">
        <v>222</v>
      </c>
      <c r="U48" s="29" t="s">
        <v>278</v>
      </c>
      <c r="V48" s="37" t="s">
        <v>214</v>
      </c>
      <c r="X48" s="30" t="s">
        <v>279</v>
      </c>
      <c r="Y48" s="38" t="s">
        <v>222</v>
      </c>
      <c r="AA48" s="2" t="s">
        <v>6</v>
      </c>
      <c r="AB48" s="2" t="str">
        <f t="shared" si="49"/>
        <v>-</v>
      </c>
      <c r="AC48" s="2" t="s">
        <v>271</v>
      </c>
      <c r="AD48" s="2" t="str">
        <f t="shared" si="50"/>
        <v>_</v>
      </c>
      <c r="AE48" s="2" t="s">
        <v>276</v>
      </c>
      <c r="AF48" s="2" t="str">
        <f t="shared" si="51"/>
        <v>_</v>
      </c>
      <c r="AG48" s="2" t="s">
        <v>286</v>
      </c>
      <c r="AH48" s="2" t="str">
        <f t="shared" si="19"/>
        <v/>
      </c>
      <c r="AI48" s="2"/>
    </row>
    <row r="49" spans="2:35" x14ac:dyDescent="0.25">
      <c r="B49" s="2" t="str">
        <f t="shared" si="24"/>
        <v>@color-label_halo_place_city</v>
      </c>
      <c r="C49" s="31" t="s">
        <v>281</v>
      </c>
      <c r="D49" s="38" t="s">
        <v>222</v>
      </c>
      <c r="F49" s="32" t="s">
        <v>282</v>
      </c>
      <c r="G49" s="37" t="s">
        <v>214</v>
      </c>
      <c r="I49" s="31" t="s">
        <v>281</v>
      </c>
      <c r="J49" s="38" t="s">
        <v>222</v>
      </c>
      <c r="L49" s="32" t="s">
        <v>282</v>
      </c>
      <c r="M49" s="37" t="s">
        <v>214</v>
      </c>
      <c r="U49" s="31" t="s">
        <v>281</v>
      </c>
      <c r="V49" s="38" t="s">
        <v>222</v>
      </c>
      <c r="X49" s="32" t="s">
        <v>282</v>
      </c>
      <c r="Y49" s="37" t="s">
        <v>214</v>
      </c>
      <c r="AA49" s="2" t="s">
        <v>6</v>
      </c>
      <c r="AB49" s="2" t="str">
        <f t="shared" ref="AB49:AB56" si="56">IF(NOT(ISBLANK(AC49)),"-","")</f>
        <v>-</v>
      </c>
      <c r="AC49" s="2" t="s">
        <v>280</v>
      </c>
      <c r="AD49" s="2" t="str">
        <f t="shared" ref="AD49:AD56" si="57">IF(NOT(ISBLANK(AE49)),"_","")</f>
        <v>_</v>
      </c>
      <c r="AE49" s="2" t="s">
        <v>276</v>
      </c>
      <c r="AF49" s="2" t="str">
        <f t="shared" ref="AF49:AF56" si="58">IF(NOT(ISBLANK(AG49)),"_","")</f>
        <v>_</v>
      </c>
      <c r="AG49" s="2" t="s">
        <v>286</v>
      </c>
      <c r="AH49" s="2" t="str">
        <f t="shared" si="19"/>
        <v/>
      </c>
      <c r="AI49" s="2"/>
    </row>
    <row r="50" spans="2:35" x14ac:dyDescent="0.25">
      <c r="B50" s="2" t="str">
        <f>_xlfn.CONCAT("@",AA50,AB50,AC50,AD50,AE50,AF50,AG50,AH50,AI50)</f>
        <v>@text_size-label_place_city_z4</v>
      </c>
      <c r="C50" s="28" t="s">
        <v>327</v>
      </c>
      <c r="D50" s="28" t="s">
        <v>87</v>
      </c>
      <c r="F50" s="28" t="s">
        <v>327</v>
      </c>
      <c r="G50" s="28" t="s">
        <v>87</v>
      </c>
      <c r="I50" s="28" t="s">
        <v>327</v>
      </c>
      <c r="J50" s="28" t="s">
        <v>87</v>
      </c>
      <c r="L50" s="28" t="s">
        <v>327</v>
      </c>
      <c r="M50" s="28" t="s">
        <v>87</v>
      </c>
      <c r="U50" s="28" t="s">
        <v>327</v>
      </c>
      <c r="V50" s="28" t="s">
        <v>87</v>
      </c>
      <c r="X50" s="28" t="s">
        <v>327</v>
      </c>
      <c r="Y50" s="28" t="s">
        <v>87</v>
      </c>
      <c r="AA50" s="2" t="s">
        <v>451</v>
      </c>
      <c r="AB50" s="2" t="str">
        <f t="shared" ref="AB50" si="59">IF(NOT(ISBLANK(AC50)),"-","")</f>
        <v>-</v>
      </c>
      <c r="AC50" s="2" t="s">
        <v>271</v>
      </c>
      <c r="AD50" s="2" t="str">
        <f t="shared" ref="AD50" si="60">IF(NOT(ISBLANK(AE50)),"_","")</f>
        <v>_</v>
      </c>
      <c r="AE50" s="2" t="s">
        <v>276</v>
      </c>
      <c r="AF50" s="2" t="str">
        <f t="shared" ref="AF50" si="61">IF(NOT(ISBLANK(AG50)),"_","")</f>
        <v>_</v>
      </c>
      <c r="AG50" s="2" t="s">
        <v>286</v>
      </c>
      <c r="AH50" s="2" t="str">
        <f t="shared" si="19"/>
        <v>_</v>
      </c>
      <c r="AI50" s="2" t="s">
        <v>454</v>
      </c>
    </row>
    <row r="51" spans="2:35" x14ac:dyDescent="0.25">
      <c r="B51" s="2" t="str">
        <f>_xlfn.CONCAT("@",AA51,AB51,AC51,AD51,AE51,AF51,AG51,AH51,AI51)</f>
        <v>@text_size-label_place_city_z6</v>
      </c>
      <c r="C51" s="28" t="s">
        <v>341</v>
      </c>
      <c r="D51" s="28" t="s">
        <v>366</v>
      </c>
      <c r="F51" s="28" t="s">
        <v>341</v>
      </c>
      <c r="G51" s="28" t="s">
        <v>366</v>
      </c>
      <c r="I51" s="28" t="s">
        <v>341</v>
      </c>
      <c r="J51" s="28" t="s">
        <v>366</v>
      </c>
      <c r="L51" s="28" t="s">
        <v>341</v>
      </c>
      <c r="M51" s="28" t="s">
        <v>366</v>
      </c>
      <c r="U51" s="28" t="s">
        <v>341</v>
      </c>
      <c r="V51" s="28" t="s">
        <v>366</v>
      </c>
      <c r="X51" s="28" t="s">
        <v>341</v>
      </c>
      <c r="Y51" s="28" t="s">
        <v>366</v>
      </c>
      <c r="AA51" s="2" t="s">
        <v>451</v>
      </c>
      <c r="AB51" s="2" t="str">
        <f t="shared" si="56"/>
        <v>-</v>
      </c>
      <c r="AC51" s="2" t="s">
        <v>271</v>
      </c>
      <c r="AD51" s="2" t="str">
        <f t="shared" si="57"/>
        <v>_</v>
      </c>
      <c r="AE51" s="2" t="s">
        <v>276</v>
      </c>
      <c r="AF51" s="2" t="str">
        <f t="shared" si="58"/>
        <v>_</v>
      </c>
      <c r="AG51" s="2" t="s">
        <v>286</v>
      </c>
      <c r="AH51" s="2" t="str">
        <f t="shared" ref="AH51:AH54" si="62">IF(NOT(ISBLANK(AI51)),"_","")</f>
        <v>_</v>
      </c>
      <c r="AI51" s="2" t="s">
        <v>138</v>
      </c>
    </row>
    <row r="52" spans="2:35" x14ac:dyDescent="0.25">
      <c r="B52" s="2" t="str">
        <f>_xlfn.CONCAT("@",AA52,AB52,AC52,AD52,AE52,AF52,AG52,AH52,AI52)</f>
        <v>@text_size-label_place_city_z8</v>
      </c>
      <c r="C52" s="28" t="s">
        <v>338</v>
      </c>
      <c r="D52" s="28" t="s">
        <v>339</v>
      </c>
      <c r="F52" s="28" t="s">
        <v>338</v>
      </c>
      <c r="G52" s="28" t="s">
        <v>339</v>
      </c>
      <c r="I52" s="28" t="s">
        <v>338</v>
      </c>
      <c r="J52" s="28" t="s">
        <v>339</v>
      </c>
      <c r="L52" s="28" t="s">
        <v>338</v>
      </c>
      <c r="M52" s="28" t="s">
        <v>339</v>
      </c>
      <c r="U52" s="28" t="s">
        <v>338</v>
      </c>
      <c r="V52" s="28" t="s">
        <v>339</v>
      </c>
      <c r="X52" s="28" t="s">
        <v>338</v>
      </c>
      <c r="Y52" s="28" t="s">
        <v>339</v>
      </c>
      <c r="AA52" s="2" t="s">
        <v>451</v>
      </c>
      <c r="AB52" s="2" t="str">
        <f t="shared" si="56"/>
        <v>-</v>
      </c>
      <c r="AC52" s="2" t="s">
        <v>271</v>
      </c>
      <c r="AD52" s="2" t="str">
        <f t="shared" si="57"/>
        <v>_</v>
      </c>
      <c r="AE52" s="2" t="s">
        <v>276</v>
      </c>
      <c r="AF52" s="2" t="str">
        <f t="shared" si="58"/>
        <v>_</v>
      </c>
      <c r="AG52" s="2" t="s">
        <v>286</v>
      </c>
      <c r="AH52" s="2" t="str">
        <f t="shared" si="62"/>
        <v>_</v>
      </c>
      <c r="AI52" s="2" t="s">
        <v>452</v>
      </c>
    </row>
    <row r="53" spans="2:35" x14ac:dyDescent="0.25">
      <c r="B53" s="2" t="str">
        <f>_xlfn.CONCAT("@",AA53,AB53,AC53,AD53,AE53,AF53,AG53,AH53,AI53)</f>
        <v>@text_size-label_place_city_z10</v>
      </c>
      <c r="C53" s="28" t="s">
        <v>89</v>
      </c>
      <c r="D53" s="28" t="s">
        <v>145</v>
      </c>
      <c r="F53" s="28" t="s">
        <v>89</v>
      </c>
      <c r="G53" s="28" t="s">
        <v>145</v>
      </c>
      <c r="I53" s="28" t="s">
        <v>89</v>
      </c>
      <c r="J53" s="28" t="s">
        <v>145</v>
      </c>
      <c r="L53" s="28" t="s">
        <v>89</v>
      </c>
      <c r="M53" s="28" t="s">
        <v>145</v>
      </c>
      <c r="U53" s="28" t="s">
        <v>89</v>
      </c>
      <c r="V53" s="28" t="s">
        <v>145</v>
      </c>
      <c r="X53" s="28" t="s">
        <v>89</v>
      </c>
      <c r="Y53" s="28" t="s">
        <v>145</v>
      </c>
      <c r="AA53" s="2" t="s">
        <v>451</v>
      </c>
      <c r="AB53" s="2" t="str">
        <f t="shared" si="56"/>
        <v>-</v>
      </c>
      <c r="AC53" s="2" t="s">
        <v>271</v>
      </c>
      <c r="AD53" s="2" t="str">
        <f t="shared" si="57"/>
        <v>_</v>
      </c>
      <c r="AE53" s="2" t="s">
        <v>276</v>
      </c>
      <c r="AF53" s="2" t="str">
        <f t="shared" si="58"/>
        <v>_</v>
      </c>
      <c r="AG53" s="2" t="s">
        <v>286</v>
      </c>
      <c r="AH53" s="2" t="str">
        <f t="shared" si="62"/>
        <v>_</v>
      </c>
      <c r="AI53" s="2" t="s">
        <v>103</v>
      </c>
    </row>
    <row r="54" spans="2:35" x14ac:dyDescent="0.25">
      <c r="B54" s="2" t="str">
        <f>_xlfn.CONCAT("@",AA54,AB54,AC54,AD54,AE54,AF54,AG54,AH54,AI54)</f>
        <v>@text_size-label_place_city_z14</v>
      </c>
      <c r="C54" s="28" t="s">
        <v>146</v>
      </c>
      <c r="D54" s="28" t="s">
        <v>455</v>
      </c>
      <c r="F54" s="28" t="s">
        <v>146</v>
      </c>
      <c r="G54" s="28" t="s">
        <v>455</v>
      </c>
      <c r="I54" s="28" t="s">
        <v>146</v>
      </c>
      <c r="J54" s="28" t="s">
        <v>455</v>
      </c>
      <c r="L54" s="28" t="s">
        <v>146</v>
      </c>
      <c r="M54" s="28" t="s">
        <v>455</v>
      </c>
      <c r="U54" s="28" t="s">
        <v>146</v>
      </c>
      <c r="V54" s="28" t="s">
        <v>455</v>
      </c>
      <c r="X54" s="28" t="s">
        <v>146</v>
      </c>
      <c r="Y54" s="28" t="s">
        <v>455</v>
      </c>
      <c r="AA54" s="2" t="s">
        <v>451</v>
      </c>
      <c r="AB54" s="2" t="str">
        <f t="shared" si="56"/>
        <v>-</v>
      </c>
      <c r="AC54" s="2" t="s">
        <v>271</v>
      </c>
      <c r="AD54" s="2" t="str">
        <f t="shared" si="57"/>
        <v>_</v>
      </c>
      <c r="AE54" s="2" t="s">
        <v>276</v>
      </c>
      <c r="AF54" s="2" t="str">
        <f t="shared" si="58"/>
        <v>_</v>
      </c>
      <c r="AG54" s="2" t="s">
        <v>286</v>
      </c>
      <c r="AH54" s="2" t="str">
        <f t="shared" si="62"/>
        <v>_</v>
      </c>
      <c r="AI54" s="2" t="s">
        <v>74</v>
      </c>
    </row>
    <row r="55" spans="2:35" x14ac:dyDescent="0.25">
      <c r="AA55" s="2"/>
      <c r="AB55" s="2"/>
      <c r="AC55" s="2"/>
      <c r="AD55" s="2"/>
      <c r="AE55" s="2"/>
      <c r="AF55" s="2"/>
      <c r="AG55" s="2"/>
      <c r="AH55" s="2"/>
      <c r="AI55" s="2"/>
    </row>
    <row r="56" spans="2:35" x14ac:dyDescent="0.25">
      <c r="B56" s="2" t="str">
        <f t="shared" si="24"/>
        <v>@color-label_place_capital</v>
      </c>
      <c r="C56" s="29" t="s">
        <v>278</v>
      </c>
      <c r="D56" s="37" t="s">
        <v>214</v>
      </c>
      <c r="F56" s="30" t="s">
        <v>279</v>
      </c>
      <c r="G56" s="38" t="s">
        <v>222</v>
      </c>
      <c r="I56" s="29" t="s">
        <v>278</v>
      </c>
      <c r="J56" s="37" t="s">
        <v>214</v>
      </c>
      <c r="L56" s="30" t="s">
        <v>279</v>
      </c>
      <c r="M56" s="38" t="s">
        <v>222</v>
      </c>
      <c r="U56" s="29" t="s">
        <v>278</v>
      </c>
      <c r="V56" s="37" t="s">
        <v>214</v>
      </c>
      <c r="X56" s="30" t="s">
        <v>279</v>
      </c>
      <c r="Y56" s="38" t="s">
        <v>222</v>
      </c>
      <c r="AA56" s="2" t="s">
        <v>6</v>
      </c>
      <c r="AB56" s="2" t="str">
        <f t="shared" si="56"/>
        <v>-</v>
      </c>
      <c r="AC56" s="2" t="s">
        <v>271</v>
      </c>
      <c r="AD56" s="2" t="str">
        <f t="shared" si="57"/>
        <v>_</v>
      </c>
      <c r="AE56" s="2" t="s">
        <v>276</v>
      </c>
      <c r="AF56" s="2" t="str">
        <f t="shared" si="58"/>
        <v>_</v>
      </c>
      <c r="AG56" s="2" t="s">
        <v>287</v>
      </c>
      <c r="AH56" s="2" t="str">
        <f t="shared" si="19"/>
        <v/>
      </c>
      <c r="AI56" s="2"/>
    </row>
    <row r="57" spans="2:35" x14ac:dyDescent="0.25">
      <c r="B57" s="2" t="str">
        <f t="shared" si="24"/>
        <v>@color-label_halo_place_capital</v>
      </c>
      <c r="C57" s="31" t="s">
        <v>281</v>
      </c>
      <c r="D57" s="38" t="s">
        <v>222</v>
      </c>
      <c r="F57" s="32" t="s">
        <v>282</v>
      </c>
      <c r="G57" s="37" t="s">
        <v>214</v>
      </c>
      <c r="I57" s="31" t="s">
        <v>281</v>
      </c>
      <c r="J57" s="38" t="s">
        <v>222</v>
      </c>
      <c r="L57" s="32" t="s">
        <v>282</v>
      </c>
      <c r="M57" s="37" t="s">
        <v>214</v>
      </c>
      <c r="U57" s="31" t="s">
        <v>281</v>
      </c>
      <c r="V57" s="38" t="s">
        <v>222</v>
      </c>
      <c r="X57" s="32" t="s">
        <v>282</v>
      </c>
      <c r="Y57" s="37" t="s">
        <v>214</v>
      </c>
      <c r="AA57" s="2" t="s">
        <v>6</v>
      </c>
      <c r="AB57" s="2" t="str">
        <f t="shared" ref="AB57:AB93" si="63">IF(NOT(ISBLANK(AC57)),"-","")</f>
        <v>-</v>
      </c>
      <c r="AC57" s="2" t="s">
        <v>280</v>
      </c>
      <c r="AD57" s="2" t="str">
        <f t="shared" ref="AD57:AD93" si="64">IF(NOT(ISBLANK(AE57)),"_","")</f>
        <v>_</v>
      </c>
      <c r="AE57" s="2" t="s">
        <v>276</v>
      </c>
      <c r="AF57" s="2" t="str">
        <f t="shared" ref="AF57:AF93" si="65">IF(NOT(ISBLANK(AG57)),"_","")</f>
        <v>_</v>
      </c>
      <c r="AG57" s="2" t="s">
        <v>287</v>
      </c>
      <c r="AH57" s="2" t="str">
        <f t="shared" si="19"/>
        <v/>
      </c>
      <c r="AI57" s="2"/>
    </row>
    <row r="58" spans="2:35" x14ac:dyDescent="0.25">
      <c r="B58" s="2" t="str">
        <f>_xlfn.CONCAT("@",AA58,AB58,AC58,AD58,AE58,AF58,AG58,AH58,AI58)</f>
        <v>@text_size-label_place_capital_z5</v>
      </c>
      <c r="C58" s="28" t="s">
        <v>332</v>
      </c>
      <c r="D58" s="28" t="s">
        <v>328</v>
      </c>
      <c r="F58" s="28" t="s">
        <v>332</v>
      </c>
      <c r="G58" s="28" t="s">
        <v>328</v>
      </c>
      <c r="I58" s="28" t="s">
        <v>332</v>
      </c>
      <c r="J58" s="28" t="s">
        <v>328</v>
      </c>
      <c r="L58" s="28" t="s">
        <v>332</v>
      </c>
      <c r="M58" s="28" t="s">
        <v>328</v>
      </c>
      <c r="U58" s="28" t="s">
        <v>332</v>
      </c>
      <c r="V58" s="28" t="s">
        <v>328</v>
      </c>
      <c r="X58" s="28" t="s">
        <v>332</v>
      </c>
      <c r="Y58" s="28" t="s">
        <v>328</v>
      </c>
      <c r="AA58" s="2" t="s">
        <v>451</v>
      </c>
      <c r="AB58" s="2" t="str">
        <f t="shared" si="63"/>
        <v>-</v>
      </c>
      <c r="AC58" s="2" t="s">
        <v>271</v>
      </c>
      <c r="AD58" s="2" t="str">
        <f t="shared" si="64"/>
        <v>_</v>
      </c>
      <c r="AE58" s="2" t="s">
        <v>276</v>
      </c>
      <c r="AF58" s="2" t="str">
        <f t="shared" si="65"/>
        <v>_</v>
      </c>
      <c r="AG58" s="2" t="s">
        <v>287</v>
      </c>
      <c r="AH58" s="2" t="str">
        <f t="shared" ref="AH58:AH60" si="66">IF(NOT(ISBLANK(AI58)),"_","")</f>
        <v>_</v>
      </c>
      <c r="AI58" s="2" t="s">
        <v>137</v>
      </c>
    </row>
    <row r="59" spans="2:35" x14ac:dyDescent="0.25">
      <c r="B59" s="2" t="str">
        <f>_xlfn.CONCAT("@",AA59,AB59,AC59,AD59,AE59,AF59,AG59,AH59,AI59)</f>
        <v>@text_size-label_place_capital_z7</v>
      </c>
      <c r="C59" s="28" t="s">
        <v>328</v>
      </c>
      <c r="D59" s="28" t="s">
        <v>145</v>
      </c>
      <c r="F59" s="28" t="s">
        <v>328</v>
      </c>
      <c r="G59" s="28" t="s">
        <v>145</v>
      </c>
      <c r="I59" s="28" t="s">
        <v>328</v>
      </c>
      <c r="J59" s="28" t="s">
        <v>145</v>
      </c>
      <c r="L59" s="28" t="s">
        <v>328</v>
      </c>
      <c r="M59" s="28" t="s">
        <v>145</v>
      </c>
      <c r="U59" s="28" t="s">
        <v>328</v>
      </c>
      <c r="V59" s="28" t="s">
        <v>145</v>
      </c>
      <c r="X59" s="28" t="s">
        <v>328</v>
      </c>
      <c r="Y59" s="28" t="s">
        <v>145</v>
      </c>
      <c r="AA59" s="2" t="s">
        <v>451</v>
      </c>
      <c r="AB59" s="2" t="str">
        <f t="shared" si="63"/>
        <v>-</v>
      </c>
      <c r="AC59" s="2" t="s">
        <v>271</v>
      </c>
      <c r="AD59" s="2" t="str">
        <f t="shared" si="64"/>
        <v>_</v>
      </c>
      <c r="AE59" s="2" t="s">
        <v>276</v>
      </c>
      <c r="AF59" s="2" t="str">
        <f t="shared" si="65"/>
        <v>_</v>
      </c>
      <c r="AG59" s="2" t="s">
        <v>287</v>
      </c>
      <c r="AH59" s="2" t="str">
        <f t="shared" si="66"/>
        <v>_</v>
      </c>
      <c r="AI59" s="2" t="s">
        <v>144</v>
      </c>
    </row>
    <row r="60" spans="2:35" x14ac:dyDescent="0.25">
      <c r="B60" s="2" t="str">
        <f>_xlfn.CONCAT("@",AA60,AB60,AC60,AD60,AE60,AF60,AG60,AH60,AI60)</f>
        <v>@text_size-label_place_capital_z11</v>
      </c>
      <c r="C60" s="28" t="s">
        <v>146</v>
      </c>
      <c r="D60" s="28" t="s">
        <v>455</v>
      </c>
      <c r="F60" s="28" t="s">
        <v>146</v>
      </c>
      <c r="G60" s="28" t="s">
        <v>455</v>
      </c>
      <c r="I60" s="28" t="s">
        <v>146</v>
      </c>
      <c r="J60" s="28" t="s">
        <v>455</v>
      </c>
      <c r="L60" s="28" t="s">
        <v>146</v>
      </c>
      <c r="M60" s="28" t="s">
        <v>455</v>
      </c>
      <c r="U60" s="28" t="s">
        <v>146</v>
      </c>
      <c r="V60" s="28" t="s">
        <v>455</v>
      </c>
      <c r="X60" s="28" t="s">
        <v>146</v>
      </c>
      <c r="Y60" s="28" t="s">
        <v>455</v>
      </c>
      <c r="AA60" s="2" t="s">
        <v>451</v>
      </c>
      <c r="AB60" s="2" t="str">
        <f t="shared" si="63"/>
        <v>-</v>
      </c>
      <c r="AC60" s="2" t="s">
        <v>271</v>
      </c>
      <c r="AD60" s="2" t="str">
        <f t="shared" si="64"/>
        <v>_</v>
      </c>
      <c r="AE60" s="2" t="s">
        <v>276</v>
      </c>
      <c r="AF60" s="2" t="str">
        <f t="shared" si="65"/>
        <v>_</v>
      </c>
      <c r="AG60" s="2" t="s">
        <v>287</v>
      </c>
      <c r="AH60" s="2" t="str">
        <f t="shared" si="66"/>
        <v>_</v>
      </c>
      <c r="AI60" s="2" t="s">
        <v>70</v>
      </c>
    </row>
    <row r="61" spans="2:35" x14ac:dyDescent="0.25">
      <c r="AA61" s="2"/>
      <c r="AB61" s="2"/>
      <c r="AC61" s="2"/>
      <c r="AD61" s="2"/>
      <c r="AE61" s="2"/>
      <c r="AF61" s="2"/>
      <c r="AG61" s="2"/>
      <c r="AH61" s="2"/>
      <c r="AI61" s="2"/>
    </row>
    <row r="62" spans="2:35" x14ac:dyDescent="0.25">
      <c r="B62" s="2" t="str">
        <f t="shared" si="24"/>
        <v>@color-label_place_state</v>
      </c>
      <c r="C62" s="97" t="s">
        <v>302</v>
      </c>
      <c r="D62" s="37" t="s">
        <v>214</v>
      </c>
      <c r="F62" s="98" t="s">
        <v>303</v>
      </c>
      <c r="G62" s="38" t="s">
        <v>222</v>
      </c>
      <c r="I62" s="97" t="s">
        <v>302</v>
      </c>
      <c r="J62" s="37" t="s">
        <v>214</v>
      </c>
      <c r="L62" s="98" t="s">
        <v>303</v>
      </c>
      <c r="M62" s="38" t="s">
        <v>222</v>
      </c>
      <c r="U62" s="97" t="s">
        <v>302</v>
      </c>
      <c r="V62" s="37" t="s">
        <v>214</v>
      </c>
      <c r="X62" s="98" t="s">
        <v>303</v>
      </c>
      <c r="Y62" s="38" t="s">
        <v>222</v>
      </c>
      <c r="AA62" s="2" t="s">
        <v>6</v>
      </c>
      <c r="AB62" s="2" t="str">
        <f t="shared" si="63"/>
        <v>-</v>
      </c>
      <c r="AC62" s="2" t="s">
        <v>271</v>
      </c>
      <c r="AD62" s="2" t="str">
        <f t="shared" si="64"/>
        <v>_</v>
      </c>
      <c r="AE62" s="2" t="s">
        <v>276</v>
      </c>
      <c r="AF62" s="2" t="str">
        <f t="shared" si="65"/>
        <v>_</v>
      </c>
      <c r="AG62" s="2" t="s">
        <v>301</v>
      </c>
      <c r="AH62" s="2" t="str">
        <f t="shared" si="19"/>
        <v/>
      </c>
      <c r="AI62" s="2"/>
    </row>
    <row r="63" spans="2:35" x14ac:dyDescent="0.25">
      <c r="B63" s="2" t="str">
        <f t="shared" si="24"/>
        <v>@color-label_halo_place_state</v>
      </c>
      <c r="C63" s="31" t="s">
        <v>281</v>
      </c>
      <c r="D63" s="38" t="s">
        <v>222</v>
      </c>
      <c r="F63" s="32" t="s">
        <v>282</v>
      </c>
      <c r="G63" s="37" t="s">
        <v>214</v>
      </c>
      <c r="I63" s="31" t="s">
        <v>281</v>
      </c>
      <c r="J63" s="38" t="s">
        <v>222</v>
      </c>
      <c r="L63" s="32" t="s">
        <v>282</v>
      </c>
      <c r="M63" s="37" t="s">
        <v>214</v>
      </c>
      <c r="U63" s="31" t="s">
        <v>281</v>
      </c>
      <c r="V63" s="38" t="s">
        <v>222</v>
      </c>
      <c r="X63" s="32" t="s">
        <v>282</v>
      </c>
      <c r="Y63" s="37" t="s">
        <v>214</v>
      </c>
      <c r="AA63" s="2" t="s">
        <v>6</v>
      </c>
      <c r="AB63" s="2" t="str">
        <f t="shared" ref="AB63:AB65" si="67">IF(NOT(ISBLANK(AC63)),"-","")</f>
        <v>-</v>
      </c>
      <c r="AC63" s="2" t="s">
        <v>280</v>
      </c>
      <c r="AD63" s="2" t="str">
        <f t="shared" ref="AD63:AD65" si="68">IF(NOT(ISBLANK(AE63)),"_","")</f>
        <v>_</v>
      </c>
      <c r="AE63" s="2" t="s">
        <v>276</v>
      </c>
      <c r="AF63" s="2" t="str">
        <f t="shared" ref="AF63:AF65" si="69">IF(NOT(ISBLANK(AG63)),"_","")</f>
        <v>_</v>
      </c>
      <c r="AG63" s="2" t="s">
        <v>301</v>
      </c>
      <c r="AH63" s="2" t="str">
        <f t="shared" si="19"/>
        <v/>
      </c>
      <c r="AI63" s="2"/>
    </row>
    <row r="64" spans="2:35" x14ac:dyDescent="0.25">
      <c r="AA64" s="2"/>
      <c r="AB64" s="2"/>
      <c r="AC64" s="2"/>
      <c r="AD64" s="2"/>
      <c r="AE64" s="2"/>
      <c r="AF64" s="2"/>
      <c r="AG64" s="2"/>
      <c r="AH64" s="2"/>
      <c r="AI64" s="2"/>
    </row>
    <row r="65" spans="2:35" x14ac:dyDescent="0.25">
      <c r="B65" s="2" t="str">
        <f t="shared" si="24"/>
        <v>@color-label_place_country_other</v>
      </c>
      <c r="C65" s="99" t="s">
        <v>304</v>
      </c>
      <c r="D65" s="37" t="s">
        <v>214</v>
      </c>
      <c r="F65" s="100" t="s">
        <v>305</v>
      </c>
      <c r="G65" s="38" t="s">
        <v>222</v>
      </c>
      <c r="I65" s="99" t="s">
        <v>304</v>
      </c>
      <c r="J65" s="37" t="s">
        <v>214</v>
      </c>
      <c r="L65" s="100" t="s">
        <v>305</v>
      </c>
      <c r="M65" s="38" t="s">
        <v>222</v>
      </c>
      <c r="U65" s="99" t="s">
        <v>304</v>
      </c>
      <c r="V65" s="37" t="s">
        <v>214</v>
      </c>
      <c r="X65" s="100" t="s">
        <v>305</v>
      </c>
      <c r="Y65" s="38" t="s">
        <v>222</v>
      </c>
      <c r="AA65" s="2" t="s">
        <v>6</v>
      </c>
      <c r="AB65" s="2" t="str">
        <f t="shared" si="67"/>
        <v>-</v>
      </c>
      <c r="AC65" s="2" t="s">
        <v>271</v>
      </c>
      <c r="AD65" s="2" t="str">
        <f t="shared" si="68"/>
        <v>_</v>
      </c>
      <c r="AE65" s="2" t="s">
        <v>276</v>
      </c>
      <c r="AF65" s="2" t="str">
        <f t="shared" si="69"/>
        <v>_</v>
      </c>
      <c r="AG65" s="2" t="s">
        <v>312</v>
      </c>
      <c r="AH65" s="2" t="str">
        <f t="shared" si="19"/>
        <v>_</v>
      </c>
      <c r="AI65" s="2" t="s">
        <v>277</v>
      </c>
    </row>
    <row r="66" spans="2:35" x14ac:dyDescent="0.25">
      <c r="B66" s="2" t="str">
        <f t="shared" si="24"/>
        <v>@color-label_halo_place_country_other</v>
      </c>
      <c r="C66" s="31" t="s">
        <v>281</v>
      </c>
      <c r="D66" s="38" t="s">
        <v>222</v>
      </c>
      <c r="F66" s="32" t="s">
        <v>282</v>
      </c>
      <c r="G66" s="37" t="s">
        <v>214</v>
      </c>
      <c r="I66" s="31" t="s">
        <v>281</v>
      </c>
      <c r="J66" s="38" t="s">
        <v>222</v>
      </c>
      <c r="L66" s="32" t="s">
        <v>282</v>
      </c>
      <c r="M66" s="37" t="s">
        <v>214</v>
      </c>
      <c r="U66" s="31" t="s">
        <v>281</v>
      </c>
      <c r="V66" s="38" t="s">
        <v>222</v>
      </c>
      <c r="X66" s="32" t="s">
        <v>282</v>
      </c>
      <c r="Y66" s="37" t="s">
        <v>214</v>
      </c>
      <c r="AA66" s="2" t="s">
        <v>6</v>
      </c>
      <c r="AB66" s="2" t="str">
        <f t="shared" ref="AB66:AB68" si="70">IF(NOT(ISBLANK(AC66)),"-","")</f>
        <v>-</v>
      </c>
      <c r="AC66" s="2" t="s">
        <v>280</v>
      </c>
      <c r="AD66" s="2" t="str">
        <f t="shared" ref="AD66:AD68" si="71">IF(NOT(ISBLANK(AE66)),"_","")</f>
        <v>_</v>
      </c>
      <c r="AE66" s="2" t="s">
        <v>276</v>
      </c>
      <c r="AF66" s="2" t="str">
        <f t="shared" ref="AF66:AF68" si="72">IF(NOT(ISBLANK(AG66)),"_","")</f>
        <v>_</v>
      </c>
      <c r="AG66" s="2" t="s">
        <v>312</v>
      </c>
      <c r="AH66" s="2" t="str">
        <f t="shared" si="19"/>
        <v>_</v>
      </c>
      <c r="AI66" s="2" t="s">
        <v>277</v>
      </c>
    </row>
    <row r="67" spans="2:35" x14ac:dyDescent="0.25">
      <c r="AA67" s="2"/>
      <c r="AB67" s="2"/>
      <c r="AC67" s="2"/>
      <c r="AD67" s="2"/>
      <c r="AE67" s="2"/>
      <c r="AF67" s="2"/>
      <c r="AG67" s="2"/>
      <c r="AH67" s="2"/>
      <c r="AI67" s="2"/>
    </row>
    <row r="68" spans="2:35" x14ac:dyDescent="0.25">
      <c r="B68" s="2" t="str">
        <f t="shared" si="24"/>
        <v>@color-label_place_country_minor</v>
      </c>
      <c r="C68" s="99" t="s">
        <v>304</v>
      </c>
      <c r="D68" s="37" t="s">
        <v>214</v>
      </c>
      <c r="F68" s="100" t="s">
        <v>305</v>
      </c>
      <c r="G68" s="38" t="s">
        <v>222</v>
      </c>
      <c r="I68" s="99" t="s">
        <v>304</v>
      </c>
      <c r="J68" s="37" t="s">
        <v>214</v>
      </c>
      <c r="L68" s="100" t="s">
        <v>305</v>
      </c>
      <c r="M68" s="38" t="s">
        <v>222</v>
      </c>
      <c r="U68" s="99" t="s">
        <v>304</v>
      </c>
      <c r="V68" s="37" t="s">
        <v>214</v>
      </c>
      <c r="X68" s="100" t="s">
        <v>305</v>
      </c>
      <c r="Y68" s="38" t="s">
        <v>222</v>
      </c>
      <c r="AA68" s="2" t="s">
        <v>6</v>
      </c>
      <c r="AB68" s="2" t="str">
        <f t="shared" si="70"/>
        <v>-</v>
      </c>
      <c r="AC68" s="2" t="s">
        <v>271</v>
      </c>
      <c r="AD68" s="2" t="str">
        <f t="shared" si="71"/>
        <v>_</v>
      </c>
      <c r="AE68" s="2" t="s">
        <v>276</v>
      </c>
      <c r="AF68" s="2" t="str">
        <f t="shared" si="72"/>
        <v>_</v>
      </c>
      <c r="AG68" s="2" t="s">
        <v>312</v>
      </c>
      <c r="AH68" s="2" t="str">
        <f t="shared" si="19"/>
        <v>_</v>
      </c>
      <c r="AI68" s="2" t="s">
        <v>31</v>
      </c>
    </row>
    <row r="69" spans="2:35" x14ac:dyDescent="0.25">
      <c r="B69" s="2" t="str">
        <f t="shared" si="24"/>
        <v>@color-label_halo_place_country_minor</v>
      </c>
      <c r="C69" s="31" t="s">
        <v>281</v>
      </c>
      <c r="D69" s="38" t="s">
        <v>222</v>
      </c>
      <c r="F69" s="32" t="s">
        <v>282</v>
      </c>
      <c r="G69" s="37" t="s">
        <v>214</v>
      </c>
      <c r="I69" s="31" t="s">
        <v>281</v>
      </c>
      <c r="J69" s="38" t="s">
        <v>222</v>
      </c>
      <c r="L69" s="32" t="s">
        <v>282</v>
      </c>
      <c r="M69" s="37" t="s">
        <v>214</v>
      </c>
      <c r="U69" s="31" t="s">
        <v>281</v>
      </c>
      <c r="V69" s="38" t="s">
        <v>222</v>
      </c>
      <c r="X69" s="32" t="s">
        <v>282</v>
      </c>
      <c r="Y69" s="37" t="s">
        <v>214</v>
      </c>
      <c r="AA69" s="2" t="s">
        <v>6</v>
      </c>
      <c r="AB69" s="2" t="str">
        <f t="shared" ref="AB69:AB71" si="73">IF(NOT(ISBLANK(AC69)),"-","")</f>
        <v>-</v>
      </c>
      <c r="AC69" s="2" t="s">
        <v>280</v>
      </c>
      <c r="AD69" s="2" t="str">
        <f t="shared" ref="AD69:AD71" si="74">IF(NOT(ISBLANK(AE69)),"_","")</f>
        <v>_</v>
      </c>
      <c r="AE69" s="2" t="s">
        <v>276</v>
      </c>
      <c r="AF69" s="2" t="str">
        <f t="shared" ref="AF69:AF71" si="75">IF(NOT(ISBLANK(AG69)),"_","")</f>
        <v>_</v>
      </c>
      <c r="AG69" s="2" t="s">
        <v>312</v>
      </c>
      <c r="AH69" s="2" t="str">
        <f t="shared" si="19"/>
        <v>_</v>
      </c>
      <c r="AI69" s="2" t="s">
        <v>31</v>
      </c>
    </row>
    <row r="70" spans="2:35" x14ac:dyDescent="0.25">
      <c r="AA70" s="2"/>
      <c r="AB70" s="2"/>
      <c r="AC70" s="2"/>
      <c r="AD70" s="2"/>
      <c r="AE70" s="2"/>
      <c r="AF70" s="2"/>
      <c r="AG70" s="2"/>
      <c r="AH70" s="2"/>
      <c r="AI70" s="2"/>
    </row>
    <row r="71" spans="2:35" x14ac:dyDescent="0.25">
      <c r="B71" s="2" t="str">
        <f t="shared" si="24"/>
        <v>@color-label_place_country_medium</v>
      </c>
      <c r="C71" s="99" t="s">
        <v>304</v>
      </c>
      <c r="D71" s="37" t="s">
        <v>214</v>
      </c>
      <c r="F71" s="100" t="s">
        <v>305</v>
      </c>
      <c r="G71" s="38" t="s">
        <v>222</v>
      </c>
      <c r="I71" s="99" t="s">
        <v>304</v>
      </c>
      <c r="J71" s="37" t="s">
        <v>214</v>
      </c>
      <c r="L71" s="100" t="s">
        <v>305</v>
      </c>
      <c r="M71" s="38" t="s">
        <v>222</v>
      </c>
      <c r="U71" s="99" t="s">
        <v>304</v>
      </c>
      <c r="V71" s="37" t="s">
        <v>214</v>
      </c>
      <c r="X71" s="100" t="s">
        <v>305</v>
      </c>
      <c r="Y71" s="38" t="s">
        <v>222</v>
      </c>
      <c r="AA71" s="2" t="s">
        <v>6</v>
      </c>
      <c r="AB71" s="2" t="str">
        <f t="shared" si="73"/>
        <v>-</v>
      </c>
      <c r="AC71" s="2" t="s">
        <v>271</v>
      </c>
      <c r="AD71" s="2" t="str">
        <f t="shared" si="74"/>
        <v>_</v>
      </c>
      <c r="AE71" s="2" t="s">
        <v>276</v>
      </c>
      <c r="AF71" s="2" t="str">
        <f t="shared" si="75"/>
        <v>_</v>
      </c>
      <c r="AG71" s="2" t="s">
        <v>312</v>
      </c>
      <c r="AH71" s="2" t="str">
        <f t="shared" si="19"/>
        <v>_</v>
      </c>
      <c r="AI71" s="2" t="s">
        <v>79</v>
      </c>
    </row>
    <row r="72" spans="2:35" x14ac:dyDescent="0.25">
      <c r="B72" s="2" t="str">
        <f t="shared" si="24"/>
        <v>@color-label_halo_place_country_medium</v>
      </c>
      <c r="C72" s="31" t="s">
        <v>281</v>
      </c>
      <c r="D72" s="38" t="s">
        <v>222</v>
      </c>
      <c r="F72" s="32" t="s">
        <v>282</v>
      </c>
      <c r="G72" s="37" t="s">
        <v>214</v>
      </c>
      <c r="I72" s="31" t="s">
        <v>281</v>
      </c>
      <c r="J72" s="38" t="s">
        <v>222</v>
      </c>
      <c r="L72" s="32" t="s">
        <v>282</v>
      </c>
      <c r="M72" s="37" t="s">
        <v>214</v>
      </c>
      <c r="U72" s="31" t="s">
        <v>281</v>
      </c>
      <c r="V72" s="38" t="s">
        <v>222</v>
      </c>
      <c r="X72" s="32" t="s">
        <v>282</v>
      </c>
      <c r="Y72" s="37" t="s">
        <v>214</v>
      </c>
      <c r="AA72" s="2" t="s">
        <v>6</v>
      </c>
      <c r="AB72" s="2" t="str">
        <f t="shared" ref="AB72:AB74" si="76">IF(NOT(ISBLANK(AC72)),"-","")</f>
        <v>-</v>
      </c>
      <c r="AC72" s="2" t="s">
        <v>280</v>
      </c>
      <c r="AD72" s="2" t="str">
        <f t="shared" ref="AD72:AD74" si="77">IF(NOT(ISBLANK(AE72)),"_","")</f>
        <v>_</v>
      </c>
      <c r="AE72" s="2" t="s">
        <v>276</v>
      </c>
      <c r="AF72" s="2" t="str">
        <f t="shared" ref="AF72:AF74" si="78">IF(NOT(ISBLANK(AG72)),"_","")</f>
        <v>_</v>
      </c>
      <c r="AG72" s="2" t="s">
        <v>312</v>
      </c>
      <c r="AH72" s="2" t="str">
        <f t="shared" si="19"/>
        <v>_</v>
      </c>
      <c r="AI72" s="2" t="s">
        <v>79</v>
      </c>
    </row>
    <row r="73" spans="2:35" x14ac:dyDescent="0.25">
      <c r="AA73" s="2"/>
      <c r="AB73" s="2"/>
      <c r="AC73" s="2"/>
      <c r="AD73" s="2"/>
      <c r="AE73" s="2"/>
      <c r="AF73" s="2"/>
      <c r="AG73" s="2"/>
      <c r="AH73" s="2"/>
      <c r="AI73" s="2"/>
    </row>
    <row r="74" spans="2:35" x14ac:dyDescent="0.25">
      <c r="B74" s="2" t="str">
        <f t="shared" si="24"/>
        <v>@color-label_place_country_major</v>
      </c>
      <c r="C74" s="99" t="s">
        <v>304</v>
      </c>
      <c r="D74" s="37" t="s">
        <v>214</v>
      </c>
      <c r="F74" s="100" t="s">
        <v>305</v>
      </c>
      <c r="G74" s="38" t="s">
        <v>222</v>
      </c>
      <c r="I74" s="99" t="s">
        <v>304</v>
      </c>
      <c r="J74" s="37" t="s">
        <v>214</v>
      </c>
      <c r="L74" s="100" t="s">
        <v>305</v>
      </c>
      <c r="M74" s="38" t="s">
        <v>222</v>
      </c>
      <c r="U74" s="99" t="s">
        <v>304</v>
      </c>
      <c r="V74" s="37" t="s">
        <v>214</v>
      </c>
      <c r="X74" s="100" t="s">
        <v>305</v>
      </c>
      <c r="Y74" s="38" t="s">
        <v>222</v>
      </c>
      <c r="AA74" s="2" t="s">
        <v>6</v>
      </c>
      <c r="AB74" s="2" t="str">
        <f t="shared" si="76"/>
        <v>-</v>
      </c>
      <c r="AC74" s="2" t="s">
        <v>271</v>
      </c>
      <c r="AD74" s="2" t="str">
        <f t="shared" si="77"/>
        <v>_</v>
      </c>
      <c r="AE74" s="2" t="s">
        <v>276</v>
      </c>
      <c r="AF74" s="2" t="str">
        <f t="shared" si="78"/>
        <v>_</v>
      </c>
      <c r="AG74" s="2" t="s">
        <v>312</v>
      </c>
      <c r="AH74" s="2" t="str">
        <f t="shared" si="19"/>
        <v>_</v>
      </c>
      <c r="AI74" s="2" t="s">
        <v>311</v>
      </c>
    </row>
    <row r="75" spans="2:35" x14ac:dyDescent="0.25">
      <c r="B75" s="2" t="str">
        <f t="shared" si="24"/>
        <v>@color-label_halo_place_country_major</v>
      </c>
      <c r="C75" s="31" t="s">
        <v>281</v>
      </c>
      <c r="D75" s="38" t="s">
        <v>222</v>
      </c>
      <c r="F75" s="32" t="s">
        <v>282</v>
      </c>
      <c r="G75" s="37" t="s">
        <v>214</v>
      </c>
      <c r="I75" s="31" t="s">
        <v>281</v>
      </c>
      <c r="J75" s="38" t="s">
        <v>222</v>
      </c>
      <c r="L75" s="32" t="s">
        <v>282</v>
      </c>
      <c r="M75" s="37" t="s">
        <v>214</v>
      </c>
      <c r="U75" s="31" t="s">
        <v>281</v>
      </c>
      <c r="V75" s="38" t="s">
        <v>222</v>
      </c>
      <c r="X75" s="32" t="s">
        <v>282</v>
      </c>
      <c r="Y75" s="37" t="s">
        <v>214</v>
      </c>
      <c r="AA75" s="2" t="s">
        <v>6</v>
      </c>
      <c r="AB75" s="2" t="str">
        <f t="shared" ref="AB75" si="79">IF(NOT(ISBLANK(AC75)),"-","")</f>
        <v>-</v>
      </c>
      <c r="AC75" s="2" t="s">
        <v>280</v>
      </c>
      <c r="AD75" s="2" t="str">
        <f t="shared" ref="AD75" si="80">IF(NOT(ISBLANK(AE75)),"_","")</f>
        <v>_</v>
      </c>
      <c r="AE75" s="2" t="s">
        <v>276</v>
      </c>
      <c r="AF75" s="2" t="str">
        <f t="shared" ref="AF75" si="81">IF(NOT(ISBLANK(AG75)),"_","")</f>
        <v>_</v>
      </c>
      <c r="AG75" s="2" t="s">
        <v>312</v>
      </c>
      <c r="AH75" s="2" t="str">
        <f t="shared" si="19"/>
        <v>_</v>
      </c>
      <c r="AI75" s="2" t="s">
        <v>311</v>
      </c>
    </row>
    <row r="76" spans="2:35" x14ac:dyDescent="0.25">
      <c r="AA76" s="2"/>
      <c r="AB76" s="2"/>
      <c r="AC76" s="2"/>
      <c r="AD76" s="2"/>
      <c r="AE76" s="2"/>
      <c r="AF76" s="2"/>
      <c r="AG76" s="2"/>
      <c r="AH76" s="2"/>
      <c r="AI76" s="2"/>
    </row>
    <row r="77" spans="2:35" x14ac:dyDescent="0.25">
      <c r="B77" s="2" t="str">
        <f t="shared" si="24"/>
        <v>@color-label_place_protected_area</v>
      </c>
      <c r="C77" s="95" t="s">
        <v>299</v>
      </c>
      <c r="D77" s="37" t="s">
        <v>214</v>
      </c>
      <c r="F77" s="96" t="s">
        <v>300</v>
      </c>
      <c r="G77" s="38" t="s">
        <v>222</v>
      </c>
      <c r="I77" s="95" t="s">
        <v>299</v>
      </c>
      <c r="J77" s="37" t="s">
        <v>214</v>
      </c>
      <c r="L77" s="96" t="s">
        <v>300</v>
      </c>
      <c r="M77" s="38" t="s">
        <v>222</v>
      </c>
      <c r="U77" s="95" t="s">
        <v>299</v>
      </c>
      <c r="V77" s="37" t="s">
        <v>214</v>
      </c>
      <c r="X77" s="96" t="s">
        <v>300</v>
      </c>
      <c r="Y77" s="38" t="s">
        <v>222</v>
      </c>
      <c r="AA77" s="2" t="s">
        <v>6</v>
      </c>
      <c r="AB77" s="2" t="str">
        <f t="shared" si="63"/>
        <v>-</v>
      </c>
      <c r="AC77" s="2" t="s">
        <v>271</v>
      </c>
      <c r="AD77" s="2" t="str">
        <f t="shared" si="64"/>
        <v>_</v>
      </c>
      <c r="AE77" s="2" t="s">
        <v>276</v>
      </c>
      <c r="AF77" s="2" t="str">
        <f t="shared" si="65"/>
        <v>_</v>
      </c>
      <c r="AG77" s="2" t="s">
        <v>298</v>
      </c>
      <c r="AH77" s="2" t="str">
        <f t="shared" si="19"/>
        <v/>
      </c>
      <c r="AI77" s="2"/>
    </row>
    <row r="78" spans="2:35" x14ac:dyDescent="0.25">
      <c r="B78" s="2" t="str">
        <f t="shared" si="24"/>
        <v>@color-label_halo_place_protected_area</v>
      </c>
      <c r="C78" s="38" t="s">
        <v>222</v>
      </c>
      <c r="D78" s="38" t="s">
        <v>222</v>
      </c>
      <c r="F78" s="37" t="s">
        <v>214</v>
      </c>
      <c r="G78" s="37" t="s">
        <v>214</v>
      </c>
      <c r="I78" s="38" t="s">
        <v>222</v>
      </c>
      <c r="J78" s="38" t="s">
        <v>222</v>
      </c>
      <c r="L78" s="37" t="s">
        <v>214</v>
      </c>
      <c r="M78" s="37" t="s">
        <v>214</v>
      </c>
      <c r="U78" s="38" t="s">
        <v>222</v>
      </c>
      <c r="V78" s="38" t="s">
        <v>222</v>
      </c>
      <c r="X78" s="37" t="s">
        <v>214</v>
      </c>
      <c r="Y78" s="37" t="s">
        <v>214</v>
      </c>
      <c r="AA78" s="2" t="s">
        <v>6</v>
      </c>
      <c r="AB78" s="2" t="str">
        <f t="shared" ref="AB78:AB80" si="82">IF(NOT(ISBLANK(AC78)),"-","")</f>
        <v>-</v>
      </c>
      <c r="AC78" s="2" t="s">
        <v>280</v>
      </c>
      <c r="AD78" s="2" t="str">
        <f t="shared" ref="AD78:AD80" si="83">IF(NOT(ISBLANK(AE78)),"_","")</f>
        <v>_</v>
      </c>
      <c r="AE78" s="2" t="s">
        <v>276</v>
      </c>
      <c r="AF78" s="2" t="str">
        <f t="shared" ref="AF78:AF80" si="84">IF(NOT(ISBLANK(AG78)),"_","")</f>
        <v>_</v>
      </c>
      <c r="AG78" s="2" t="s">
        <v>298</v>
      </c>
      <c r="AH78" s="2" t="str">
        <f t="shared" si="19"/>
        <v/>
      </c>
      <c r="AI78" s="2"/>
    </row>
    <row r="79" spans="2:35" x14ac:dyDescent="0.25">
      <c r="AA79" s="2"/>
      <c r="AB79" s="2"/>
      <c r="AC79" s="2"/>
      <c r="AD79" s="2"/>
      <c r="AE79" s="2"/>
      <c r="AF79" s="2"/>
      <c r="AG79" s="2"/>
      <c r="AH79" s="2"/>
      <c r="AI79" s="2"/>
    </row>
    <row r="80" spans="2:35" x14ac:dyDescent="0.25">
      <c r="B80" s="2" t="str">
        <f t="shared" si="24"/>
        <v>@color-label_place_poi-level_123_and_additions_farzoom</v>
      </c>
      <c r="C80" s="95" t="s">
        <v>299</v>
      </c>
      <c r="D80" s="37" t="s">
        <v>214</v>
      </c>
      <c r="F80" s="96" t="s">
        <v>300</v>
      </c>
      <c r="G80" s="38" t="s">
        <v>222</v>
      </c>
      <c r="I80" s="95" t="s">
        <v>299</v>
      </c>
      <c r="J80" s="37" t="s">
        <v>214</v>
      </c>
      <c r="L80" s="96" t="s">
        <v>300</v>
      </c>
      <c r="M80" s="38" t="s">
        <v>222</v>
      </c>
      <c r="U80" s="95" t="s">
        <v>299</v>
      </c>
      <c r="V80" s="37" t="s">
        <v>214</v>
      </c>
      <c r="X80" s="96" t="s">
        <v>300</v>
      </c>
      <c r="Y80" s="38" t="s">
        <v>222</v>
      </c>
      <c r="AA80" s="2" t="s">
        <v>6</v>
      </c>
      <c r="AB80" s="2" t="str">
        <f t="shared" si="82"/>
        <v>-</v>
      </c>
      <c r="AC80" s="2" t="s">
        <v>271</v>
      </c>
      <c r="AD80" s="2" t="str">
        <f t="shared" si="83"/>
        <v>_</v>
      </c>
      <c r="AE80" s="2" t="s">
        <v>276</v>
      </c>
      <c r="AF80" s="2" t="str">
        <f t="shared" si="84"/>
        <v>_</v>
      </c>
      <c r="AG80" s="2" t="s">
        <v>306</v>
      </c>
      <c r="AH80" s="2" t="str">
        <f t="shared" si="19"/>
        <v/>
      </c>
      <c r="AI80" s="2"/>
    </row>
    <row r="81" spans="2:35" x14ac:dyDescent="0.25">
      <c r="B81" s="2" t="str">
        <f t="shared" si="24"/>
        <v>@color-label_place_poi-level_123_and_additions_default</v>
      </c>
      <c r="C81" s="35" t="s">
        <v>294</v>
      </c>
      <c r="D81" s="35" t="s">
        <v>294</v>
      </c>
      <c r="F81" s="36" t="s">
        <v>295</v>
      </c>
      <c r="G81" s="38" t="s">
        <v>222</v>
      </c>
      <c r="I81" s="35" t="s">
        <v>294</v>
      </c>
      <c r="J81" s="35" t="s">
        <v>294</v>
      </c>
      <c r="L81" s="36" t="s">
        <v>295</v>
      </c>
      <c r="M81" s="38" t="s">
        <v>222</v>
      </c>
      <c r="U81" s="35" t="s">
        <v>294</v>
      </c>
      <c r="V81" s="35" t="s">
        <v>294</v>
      </c>
      <c r="X81" s="36" t="s">
        <v>295</v>
      </c>
      <c r="Y81" s="38" t="s">
        <v>222</v>
      </c>
      <c r="AA81" s="2" t="s">
        <v>6</v>
      </c>
      <c r="AB81" s="2" t="str">
        <f t="shared" ref="AB81" si="85">IF(NOT(ISBLANK(AC81)),"-","")</f>
        <v>-</v>
      </c>
      <c r="AC81" s="2" t="s">
        <v>271</v>
      </c>
      <c r="AD81" s="2" t="str">
        <f t="shared" ref="AD81" si="86">IF(NOT(ISBLANK(AE81)),"_","")</f>
        <v>_</v>
      </c>
      <c r="AE81" s="2" t="s">
        <v>276</v>
      </c>
      <c r="AF81" s="2" t="str">
        <f t="shared" ref="AF81" si="87">IF(NOT(ISBLANK(AG81)),"_","")</f>
        <v>_</v>
      </c>
      <c r="AG81" s="2" t="s">
        <v>307</v>
      </c>
      <c r="AH81" s="2" t="str">
        <f t="shared" si="19"/>
        <v/>
      </c>
      <c r="AI81" s="2"/>
    </row>
    <row r="82" spans="2:35" x14ac:dyDescent="0.25">
      <c r="B82" s="2" t="str">
        <f t="shared" si="24"/>
        <v>@color-label_halo_place_poi-level_123_and_additions</v>
      </c>
      <c r="C82" s="38" t="s">
        <v>222</v>
      </c>
      <c r="D82" s="38" t="s">
        <v>222</v>
      </c>
      <c r="F82" s="37" t="s">
        <v>214</v>
      </c>
      <c r="G82" s="37" t="s">
        <v>214</v>
      </c>
      <c r="I82" s="38" t="s">
        <v>222</v>
      </c>
      <c r="J82" s="38" t="s">
        <v>222</v>
      </c>
      <c r="L82" s="37" t="s">
        <v>214</v>
      </c>
      <c r="M82" s="37" t="s">
        <v>214</v>
      </c>
      <c r="U82" s="38" t="s">
        <v>222</v>
      </c>
      <c r="V82" s="38" t="s">
        <v>222</v>
      </c>
      <c r="X82" s="37" t="s">
        <v>214</v>
      </c>
      <c r="Y82" s="37" t="s">
        <v>214</v>
      </c>
      <c r="AA82" s="2" t="s">
        <v>6</v>
      </c>
      <c r="AB82" s="2" t="str">
        <f t="shared" ref="AB82" si="88">IF(NOT(ISBLANK(AC82)),"-","")</f>
        <v>-</v>
      </c>
      <c r="AC82" s="2" t="s">
        <v>280</v>
      </c>
      <c r="AD82" s="2" t="str">
        <f t="shared" ref="AD82" si="89">IF(NOT(ISBLANK(AE82)),"_","")</f>
        <v>_</v>
      </c>
      <c r="AE82" s="2" t="s">
        <v>276</v>
      </c>
      <c r="AF82" s="2" t="str">
        <f t="shared" ref="AF82" si="90">IF(NOT(ISBLANK(AG82)),"_","")</f>
        <v>_</v>
      </c>
      <c r="AG82" s="2" t="s">
        <v>308</v>
      </c>
      <c r="AH82" s="2" t="str">
        <f t="shared" si="19"/>
        <v/>
      </c>
      <c r="AI82" s="2"/>
    </row>
    <row r="83" spans="2:35" x14ac:dyDescent="0.25">
      <c r="AA83" s="2"/>
      <c r="AB83" s="2"/>
      <c r="AC83" s="2"/>
      <c r="AD83" s="2"/>
      <c r="AE83" s="2"/>
      <c r="AF83" s="2"/>
      <c r="AG83" s="2"/>
      <c r="AH83" s="2"/>
      <c r="AI83" s="2"/>
    </row>
    <row r="84" spans="2:35" x14ac:dyDescent="0.25">
      <c r="B84" s="2" t="str">
        <f t="shared" ref="B84" si="91">_xlfn.CONCAT("@",AA84,AB84,AC84,AD84,AE84,AF84,AG84,AH84,AI84)</f>
        <v>@color-label_waterway</v>
      </c>
      <c r="C84" s="132" t="s">
        <v>420</v>
      </c>
      <c r="D84" s="37" t="s">
        <v>214</v>
      </c>
      <c r="F84" s="133" t="s">
        <v>421</v>
      </c>
      <c r="G84" s="38" t="s">
        <v>222</v>
      </c>
      <c r="I84" s="132" t="s">
        <v>420</v>
      </c>
      <c r="J84" s="37" t="s">
        <v>214</v>
      </c>
      <c r="L84" s="133" t="s">
        <v>421</v>
      </c>
      <c r="M84" s="38" t="s">
        <v>222</v>
      </c>
      <c r="U84" s="132" t="s">
        <v>420</v>
      </c>
      <c r="V84" s="37" t="s">
        <v>214</v>
      </c>
      <c r="X84" s="133" t="s">
        <v>421</v>
      </c>
      <c r="Y84" s="38" t="s">
        <v>222</v>
      </c>
      <c r="AA84" s="2" t="s">
        <v>6</v>
      </c>
      <c r="AB84" s="2" t="str">
        <f t="shared" ref="AB84" si="92">IF(NOT(ISBLANK(AC84)),"-","")</f>
        <v>-</v>
      </c>
      <c r="AC84" s="2" t="s">
        <v>271</v>
      </c>
      <c r="AD84" s="2" t="str">
        <f t="shared" ref="AD84" si="93">IF(NOT(ISBLANK(AE84)),"_","")</f>
        <v>_</v>
      </c>
      <c r="AE84" s="2" t="s">
        <v>419</v>
      </c>
      <c r="AF84" s="2" t="str">
        <f t="shared" ref="AF84" si="94">IF(NOT(ISBLANK(AG84)),"_","")</f>
        <v/>
      </c>
      <c r="AG84" s="2"/>
      <c r="AH84" s="2" t="str">
        <f t="shared" ref="AH84" si="95">IF(NOT(ISBLANK(AI84)),"_","")</f>
        <v/>
      </c>
      <c r="AI84" s="2"/>
    </row>
    <row r="85" spans="2:35" x14ac:dyDescent="0.25">
      <c r="B85" s="2" t="str">
        <f t="shared" ref="B85:B86" si="96">_xlfn.CONCAT("@",AA85,AB85,AC85,AD85,AE85,AF85,AG85,AH85,AI85)</f>
        <v>@opacity-label_waterway</v>
      </c>
      <c r="C85" s="28" t="s">
        <v>122</v>
      </c>
      <c r="D85" s="28" t="s">
        <v>80</v>
      </c>
      <c r="F85" s="28" t="s">
        <v>122</v>
      </c>
      <c r="G85" s="28" t="s">
        <v>80</v>
      </c>
      <c r="I85" s="28" t="s">
        <v>122</v>
      </c>
      <c r="J85" s="28" t="s">
        <v>80</v>
      </c>
      <c r="L85" s="28" t="s">
        <v>122</v>
      </c>
      <c r="M85" s="28" t="s">
        <v>80</v>
      </c>
      <c r="U85" s="28" t="s">
        <v>122</v>
      </c>
      <c r="V85" s="28" t="s">
        <v>80</v>
      </c>
      <c r="X85" s="28" t="s">
        <v>122</v>
      </c>
      <c r="Y85" s="28" t="s">
        <v>80</v>
      </c>
      <c r="AA85" s="2" t="s">
        <v>392</v>
      </c>
      <c r="AB85" s="2" t="str">
        <f t="shared" ref="AB85:AB86" si="97">IF(NOT(ISBLANK(AC85)),"-","")</f>
        <v>-</v>
      </c>
      <c r="AC85" s="2" t="s">
        <v>271</v>
      </c>
      <c r="AD85" s="2" t="str">
        <f t="shared" ref="AD85:AD86" si="98">IF(NOT(ISBLANK(AE85)),"_","")</f>
        <v>_</v>
      </c>
      <c r="AE85" s="2" t="s">
        <v>419</v>
      </c>
      <c r="AF85" s="2" t="str">
        <f t="shared" ref="AF85:AF86" si="99">IF(NOT(ISBLANK(AG85)),"_","")</f>
        <v/>
      </c>
      <c r="AG85" s="2"/>
      <c r="AH85" s="2" t="str">
        <f t="shared" ref="AH85:AH86" si="100">IF(NOT(ISBLANK(AI85)),"_","")</f>
        <v/>
      </c>
      <c r="AI85" s="2"/>
    </row>
    <row r="86" spans="2:35" x14ac:dyDescent="0.25">
      <c r="B86" s="2" t="str">
        <f t="shared" si="96"/>
        <v>@color-label_lake_etc</v>
      </c>
      <c r="C86" s="132" t="s">
        <v>420</v>
      </c>
      <c r="D86" s="37" t="s">
        <v>214</v>
      </c>
      <c r="F86" s="133" t="s">
        <v>421</v>
      </c>
      <c r="G86" s="38" t="s">
        <v>222</v>
      </c>
      <c r="I86" s="132" t="s">
        <v>420</v>
      </c>
      <c r="J86" s="37" t="s">
        <v>214</v>
      </c>
      <c r="L86" s="133" t="s">
        <v>421</v>
      </c>
      <c r="M86" s="38" t="s">
        <v>222</v>
      </c>
      <c r="U86" s="132" t="s">
        <v>420</v>
      </c>
      <c r="V86" s="37" t="s">
        <v>214</v>
      </c>
      <c r="X86" s="133" t="s">
        <v>421</v>
      </c>
      <c r="Y86" s="38" t="s">
        <v>222</v>
      </c>
      <c r="AA86" s="2" t="s">
        <v>6</v>
      </c>
      <c r="AB86" s="2" t="str">
        <f t="shared" si="97"/>
        <v>-</v>
      </c>
      <c r="AC86" s="2" t="s">
        <v>271</v>
      </c>
      <c r="AD86" s="2" t="str">
        <f t="shared" si="98"/>
        <v>_</v>
      </c>
      <c r="AE86" s="2" t="s">
        <v>422</v>
      </c>
      <c r="AF86" s="2" t="str">
        <f t="shared" si="99"/>
        <v/>
      </c>
      <c r="AG86" s="2"/>
      <c r="AH86" s="2" t="str">
        <f t="shared" si="100"/>
        <v/>
      </c>
      <c r="AI86" s="2"/>
    </row>
    <row r="87" spans="2:35" x14ac:dyDescent="0.25">
      <c r="B87" s="2" t="str">
        <f t="shared" ref="B87:B88" si="101">_xlfn.CONCAT("@",AA87,AB87,AC87,AD87,AE87,AF87,AG87,AH87,AI87)</f>
        <v>@opacity-label_lake_etc</v>
      </c>
      <c r="C87" s="28" t="s">
        <v>80</v>
      </c>
      <c r="D87" s="28" t="s">
        <v>80</v>
      </c>
      <c r="F87" s="28" t="s">
        <v>80</v>
      </c>
      <c r="G87" s="28" t="s">
        <v>80</v>
      </c>
      <c r="I87" s="28" t="s">
        <v>80</v>
      </c>
      <c r="J87" s="28" t="s">
        <v>80</v>
      </c>
      <c r="L87" s="28" t="s">
        <v>80</v>
      </c>
      <c r="M87" s="28" t="s">
        <v>80</v>
      </c>
      <c r="U87" s="28" t="s">
        <v>80</v>
      </c>
      <c r="V87" s="28" t="s">
        <v>80</v>
      </c>
      <c r="X87" s="28" t="s">
        <v>80</v>
      </c>
      <c r="Y87" s="28" t="s">
        <v>80</v>
      </c>
      <c r="AA87" s="2" t="s">
        <v>392</v>
      </c>
      <c r="AB87" s="2" t="str">
        <f t="shared" ref="AB87:AB88" si="102">IF(NOT(ISBLANK(AC87)),"-","")</f>
        <v>-</v>
      </c>
      <c r="AC87" s="2" t="s">
        <v>271</v>
      </c>
      <c r="AD87" s="2" t="str">
        <f t="shared" ref="AD87:AD88" si="103">IF(NOT(ISBLANK(AE87)),"_","")</f>
        <v>_</v>
      </c>
      <c r="AE87" s="2" t="s">
        <v>422</v>
      </c>
      <c r="AF87" s="2" t="str">
        <f t="shared" ref="AF87:AF88" si="104">IF(NOT(ISBLANK(AG87)),"_","")</f>
        <v/>
      </c>
      <c r="AG87" s="2"/>
      <c r="AH87" s="2" t="str">
        <f t="shared" ref="AH87:AH88" si="105">IF(NOT(ISBLANK(AI87)),"_","")</f>
        <v/>
      </c>
      <c r="AI87" s="2"/>
    </row>
    <row r="88" spans="2:35" x14ac:dyDescent="0.25">
      <c r="B88" s="2" t="str">
        <f t="shared" si="101"/>
        <v>@color-label_ocean</v>
      </c>
      <c r="C88" s="134" t="s">
        <v>424</v>
      </c>
      <c r="D88" s="37" t="s">
        <v>214</v>
      </c>
      <c r="F88" s="135" t="s">
        <v>425</v>
      </c>
      <c r="G88" s="38" t="s">
        <v>222</v>
      </c>
      <c r="I88" s="134" t="s">
        <v>424</v>
      </c>
      <c r="J88" s="37" t="s">
        <v>214</v>
      </c>
      <c r="L88" s="135" t="s">
        <v>425</v>
      </c>
      <c r="M88" s="38" t="s">
        <v>222</v>
      </c>
      <c r="U88" s="134" t="s">
        <v>424</v>
      </c>
      <c r="V88" s="37" t="s">
        <v>214</v>
      </c>
      <c r="X88" s="135" t="s">
        <v>425</v>
      </c>
      <c r="Y88" s="38" t="s">
        <v>222</v>
      </c>
      <c r="AA88" s="2" t="s">
        <v>6</v>
      </c>
      <c r="AB88" s="2" t="str">
        <f t="shared" si="102"/>
        <v>-</v>
      </c>
      <c r="AC88" s="2" t="s">
        <v>271</v>
      </c>
      <c r="AD88" s="2" t="str">
        <f t="shared" si="103"/>
        <v>_</v>
      </c>
      <c r="AE88" s="2" t="s">
        <v>423</v>
      </c>
      <c r="AF88" s="2" t="str">
        <f t="shared" si="104"/>
        <v/>
      </c>
      <c r="AG88" s="2"/>
      <c r="AH88" s="2" t="str">
        <f t="shared" si="105"/>
        <v/>
      </c>
      <c r="AI88" s="2"/>
    </row>
    <row r="89" spans="2:35" x14ac:dyDescent="0.25">
      <c r="B89" s="2" t="str">
        <f t="shared" ref="B89" si="106">_xlfn.CONCAT("@",AA89,AB89,AC89,AD89,AE89,AF89,AG89,AH89,AI89)</f>
        <v>@opacity-label_ocean</v>
      </c>
      <c r="C89" s="28" t="s">
        <v>80</v>
      </c>
      <c r="D89" s="28" t="s">
        <v>80</v>
      </c>
      <c r="F89" s="28" t="s">
        <v>80</v>
      </c>
      <c r="G89" s="28" t="s">
        <v>80</v>
      </c>
      <c r="I89" s="28" t="s">
        <v>80</v>
      </c>
      <c r="J89" s="28" t="s">
        <v>80</v>
      </c>
      <c r="L89" s="28" t="s">
        <v>80</v>
      </c>
      <c r="M89" s="28" t="s">
        <v>80</v>
      </c>
      <c r="U89" s="28" t="s">
        <v>80</v>
      </c>
      <c r="V89" s="28" t="s">
        <v>80</v>
      </c>
      <c r="X89" s="28" t="s">
        <v>80</v>
      </c>
      <c r="Y89" s="28" t="s">
        <v>80</v>
      </c>
      <c r="AA89" s="2" t="s">
        <v>392</v>
      </c>
      <c r="AB89" s="2" t="str">
        <f t="shared" ref="AB89" si="107">IF(NOT(ISBLANK(AC89)),"-","")</f>
        <v>-</v>
      </c>
      <c r="AC89" s="2" t="s">
        <v>271</v>
      </c>
      <c r="AD89" s="2" t="str">
        <f t="shared" ref="AD89" si="108">IF(NOT(ISBLANK(AE89)),"_","")</f>
        <v>_</v>
      </c>
      <c r="AE89" s="2" t="s">
        <v>423</v>
      </c>
      <c r="AF89" s="2" t="str">
        <f t="shared" ref="AF89" si="109">IF(NOT(ISBLANK(AG89)),"_","")</f>
        <v/>
      </c>
      <c r="AG89" s="2"/>
      <c r="AH89" s="2" t="str">
        <f t="shared" ref="AH89" si="110">IF(NOT(ISBLANK(AI89)),"_","")</f>
        <v/>
      </c>
      <c r="AI89" s="2"/>
    </row>
    <row r="90" spans="2:35" x14ac:dyDescent="0.25">
      <c r="AA90" s="2"/>
      <c r="AB90" s="2"/>
      <c r="AC90" s="2"/>
      <c r="AD90" s="2"/>
      <c r="AE90" s="2"/>
      <c r="AF90" s="2"/>
      <c r="AG90" s="2"/>
      <c r="AH90" s="2"/>
      <c r="AI90" s="2"/>
    </row>
    <row r="91" spans="2:35" x14ac:dyDescent="0.25">
      <c r="AA91" s="2"/>
      <c r="AB91" s="2"/>
      <c r="AC91" s="2"/>
      <c r="AD91" s="2"/>
      <c r="AE91" s="2"/>
      <c r="AF91" s="2"/>
      <c r="AG91" s="2"/>
      <c r="AH91" s="2"/>
      <c r="AI91" s="2"/>
    </row>
    <row r="92" spans="2:35" x14ac:dyDescent="0.25">
      <c r="B92" s="2" t="str">
        <f t="shared" ref="B92:B94" si="111">_xlfn.CONCAT("@",AA92,AB92,AC92,AD92,AE92,AF92,AG92,AH92,AI92)</f>
        <v>@textsize-label_highway_path</v>
      </c>
      <c r="C92" s="33" t="s">
        <v>290</v>
      </c>
      <c r="D92" s="37" t="s">
        <v>214</v>
      </c>
      <c r="F92" s="34" t="s">
        <v>291</v>
      </c>
      <c r="G92" s="38" t="s">
        <v>222</v>
      </c>
      <c r="I92" s="33" t="s">
        <v>290</v>
      </c>
      <c r="J92" s="37" t="s">
        <v>214</v>
      </c>
      <c r="L92" s="34" t="s">
        <v>291</v>
      </c>
      <c r="M92" s="38" t="s">
        <v>222</v>
      </c>
      <c r="U92" s="33" t="s">
        <v>290</v>
      </c>
      <c r="V92" s="37" t="s">
        <v>214</v>
      </c>
      <c r="X92" s="34" t="s">
        <v>291</v>
      </c>
      <c r="Y92" s="38" t="s">
        <v>222</v>
      </c>
      <c r="AA92" s="2" t="s">
        <v>309</v>
      </c>
      <c r="AB92" s="2" t="str">
        <f t="shared" ref="AB92" si="112">IF(NOT(ISBLANK(AC92)),"-","")</f>
        <v>-</v>
      </c>
      <c r="AC92" s="2" t="s">
        <v>271</v>
      </c>
      <c r="AD92" s="2" t="str">
        <f t="shared" ref="AD92" si="113">IF(NOT(ISBLANK(AE92)),"_","")</f>
        <v>_</v>
      </c>
      <c r="AE92" s="2" t="s">
        <v>289</v>
      </c>
      <c r="AF92" s="2" t="str">
        <f t="shared" ref="AF92" si="114">IF(NOT(ISBLANK(AG92)),"_","")</f>
        <v>_</v>
      </c>
      <c r="AG92" s="2" t="s">
        <v>71</v>
      </c>
      <c r="AH92" s="2" t="str">
        <f t="shared" ref="AH92:AH94" si="115">IF(NOT(ISBLANK(AI92)),"_","")</f>
        <v/>
      </c>
      <c r="AI92" s="2"/>
    </row>
    <row r="93" spans="2:35" x14ac:dyDescent="0.25">
      <c r="B93" s="2" t="str">
        <f t="shared" si="111"/>
        <v>@color-label_highway_path</v>
      </c>
      <c r="C93" s="33" t="s">
        <v>290</v>
      </c>
      <c r="D93" s="37" t="s">
        <v>214</v>
      </c>
      <c r="F93" s="34" t="s">
        <v>291</v>
      </c>
      <c r="G93" s="38" t="s">
        <v>222</v>
      </c>
      <c r="I93" s="33" t="s">
        <v>290</v>
      </c>
      <c r="J93" s="37" t="s">
        <v>214</v>
      </c>
      <c r="L93" s="34" t="s">
        <v>291</v>
      </c>
      <c r="M93" s="38" t="s">
        <v>222</v>
      </c>
      <c r="U93" s="33" t="s">
        <v>290</v>
      </c>
      <c r="V93" s="37" t="s">
        <v>214</v>
      </c>
      <c r="X93" s="34" t="s">
        <v>291</v>
      </c>
      <c r="Y93" s="38" t="s">
        <v>222</v>
      </c>
      <c r="AA93" s="2" t="s">
        <v>6</v>
      </c>
      <c r="AB93" s="2" t="str">
        <f t="shared" si="63"/>
        <v>-</v>
      </c>
      <c r="AC93" s="2" t="s">
        <v>271</v>
      </c>
      <c r="AD93" s="2" t="str">
        <f t="shared" si="64"/>
        <v>_</v>
      </c>
      <c r="AE93" s="2" t="s">
        <v>289</v>
      </c>
      <c r="AF93" s="2" t="str">
        <f t="shared" si="65"/>
        <v>_</v>
      </c>
      <c r="AG93" s="2" t="s">
        <v>71</v>
      </c>
      <c r="AH93" s="2" t="str">
        <f t="shared" si="115"/>
        <v/>
      </c>
      <c r="AI93" s="2"/>
    </row>
    <row r="94" spans="2:35" x14ac:dyDescent="0.25">
      <c r="B94" s="2" t="str">
        <f t="shared" si="111"/>
        <v>@color-label_halo_highway_path</v>
      </c>
      <c r="C94" s="38" t="s">
        <v>222</v>
      </c>
      <c r="D94" s="38" t="s">
        <v>222</v>
      </c>
      <c r="F94" s="37" t="s">
        <v>214</v>
      </c>
      <c r="G94" s="37" t="s">
        <v>214</v>
      </c>
      <c r="I94" s="38" t="s">
        <v>222</v>
      </c>
      <c r="J94" s="38" t="s">
        <v>222</v>
      </c>
      <c r="L94" s="37" t="s">
        <v>214</v>
      </c>
      <c r="M94" s="37" t="s">
        <v>214</v>
      </c>
      <c r="U94" s="38" t="s">
        <v>222</v>
      </c>
      <c r="V94" s="38" t="s">
        <v>222</v>
      </c>
      <c r="X94" s="37" t="s">
        <v>214</v>
      </c>
      <c r="Y94" s="37" t="s">
        <v>214</v>
      </c>
      <c r="AA94" s="2" t="s">
        <v>6</v>
      </c>
      <c r="AB94" s="2" t="str">
        <f t="shared" ref="AB94:AB96" si="116">IF(NOT(ISBLANK(AC94)),"-","")</f>
        <v>-</v>
      </c>
      <c r="AC94" s="2" t="s">
        <v>280</v>
      </c>
      <c r="AD94" s="2" t="str">
        <f t="shared" ref="AD94:AD96" si="117">IF(NOT(ISBLANK(AE94)),"_","")</f>
        <v>_</v>
      </c>
      <c r="AE94" s="2" t="s">
        <v>289</v>
      </c>
      <c r="AF94" s="2" t="str">
        <f t="shared" ref="AF94:AF96" si="118">IF(NOT(ISBLANK(AG94)),"_","")</f>
        <v>_</v>
      </c>
      <c r="AG94" s="2" t="s">
        <v>71</v>
      </c>
      <c r="AH94" s="2" t="str">
        <f t="shared" si="115"/>
        <v/>
      </c>
      <c r="AI94" s="2"/>
    </row>
    <row r="95" spans="2:35" x14ac:dyDescent="0.25">
      <c r="AA95" s="2"/>
      <c r="AB95" s="2"/>
      <c r="AC95" s="2"/>
      <c r="AD95" s="2"/>
      <c r="AE95" s="2"/>
      <c r="AF95" s="2"/>
      <c r="AG95" s="2"/>
      <c r="AH95" s="2"/>
      <c r="AI95" s="2"/>
    </row>
    <row r="96" spans="2:35" x14ac:dyDescent="0.25">
      <c r="B96" s="2" t="str">
        <f t="shared" ref="B96:B110" si="119">_xlfn.CONCAT("@",AA96,AB96,AC96,AD96,AE96,AF96,AG96,AH96,AI96)</f>
        <v>@color-label_highway_minor</v>
      </c>
      <c r="C96" s="33" t="s">
        <v>290</v>
      </c>
      <c r="D96" s="37" t="s">
        <v>214</v>
      </c>
      <c r="F96" s="34" t="s">
        <v>291</v>
      </c>
      <c r="G96" s="38" t="s">
        <v>222</v>
      </c>
      <c r="I96" s="33" t="s">
        <v>290</v>
      </c>
      <c r="J96" s="37" t="s">
        <v>214</v>
      </c>
      <c r="L96" s="34" t="s">
        <v>291</v>
      </c>
      <c r="M96" s="38" t="s">
        <v>222</v>
      </c>
      <c r="U96" s="33" t="s">
        <v>290</v>
      </c>
      <c r="V96" s="37" t="s">
        <v>214</v>
      </c>
      <c r="X96" s="34" t="s">
        <v>291</v>
      </c>
      <c r="Y96" s="38" t="s">
        <v>222</v>
      </c>
      <c r="AA96" s="2" t="s">
        <v>6</v>
      </c>
      <c r="AB96" s="2" t="str">
        <f t="shared" si="116"/>
        <v>-</v>
      </c>
      <c r="AC96" s="2" t="s">
        <v>271</v>
      </c>
      <c r="AD96" s="2" t="str">
        <f t="shared" si="117"/>
        <v>_</v>
      </c>
      <c r="AE96" s="2" t="s">
        <v>289</v>
      </c>
      <c r="AF96" s="2" t="str">
        <f t="shared" si="118"/>
        <v>_</v>
      </c>
      <c r="AG96" s="2" t="s">
        <v>31</v>
      </c>
      <c r="AH96" s="2" t="str">
        <f t="shared" ref="AH96:AH110" si="120">IF(NOT(ISBLANK(AI96)),"_","")</f>
        <v/>
      </c>
      <c r="AI96" s="2"/>
    </row>
    <row r="97" spans="2:35" x14ac:dyDescent="0.25">
      <c r="B97" s="2" t="str">
        <f t="shared" si="119"/>
        <v>@color-label_halo_highway_minor</v>
      </c>
      <c r="C97" s="38" t="s">
        <v>222</v>
      </c>
      <c r="D97" s="38" t="s">
        <v>222</v>
      </c>
      <c r="F97" s="37" t="s">
        <v>214</v>
      </c>
      <c r="G97" s="37" t="s">
        <v>214</v>
      </c>
      <c r="I97" s="38" t="s">
        <v>222</v>
      </c>
      <c r="J97" s="38" t="s">
        <v>222</v>
      </c>
      <c r="L97" s="37" t="s">
        <v>214</v>
      </c>
      <c r="M97" s="37" t="s">
        <v>214</v>
      </c>
      <c r="U97" s="38" t="s">
        <v>222</v>
      </c>
      <c r="V97" s="38" t="s">
        <v>222</v>
      </c>
      <c r="X97" s="37" t="s">
        <v>214</v>
      </c>
      <c r="Y97" s="37" t="s">
        <v>214</v>
      </c>
      <c r="AA97" s="2" t="s">
        <v>6</v>
      </c>
      <c r="AB97" s="2" t="str">
        <f t="shared" ref="AB97:AB102" si="121">IF(NOT(ISBLANK(AC97)),"-","")</f>
        <v>-</v>
      </c>
      <c r="AC97" s="2" t="s">
        <v>280</v>
      </c>
      <c r="AD97" s="2" t="str">
        <f t="shared" ref="AD97:AD102" si="122">IF(NOT(ISBLANK(AE97)),"_","")</f>
        <v>_</v>
      </c>
      <c r="AE97" s="2" t="s">
        <v>289</v>
      </c>
      <c r="AF97" s="2" t="str">
        <f t="shared" ref="AF97:AF102" si="123">IF(NOT(ISBLANK(AG97)),"_","")</f>
        <v>_</v>
      </c>
      <c r="AG97" s="2" t="s">
        <v>31</v>
      </c>
      <c r="AH97" s="2" t="str">
        <f t="shared" si="120"/>
        <v/>
      </c>
      <c r="AI97" s="2"/>
    </row>
    <row r="98" spans="2:35" x14ac:dyDescent="0.25">
      <c r="B98" s="2" t="str">
        <f>_xlfn.CONCAT("@",AA98,AB98,AC98,AD98,AE98,AF98,AG98,AH98,AI98)</f>
        <v>@text_size-label_highway_minor_z14</v>
      </c>
      <c r="C98" s="28" t="s">
        <v>341</v>
      </c>
      <c r="D98" s="28" t="s">
        <v>332</v>
      </c>
      <c r="F98" s="28" t="s">
        <v>341</v>
      </c>
      <c r="G98" s="28" t="s">
        <v>332</v>
      </c>
      <c r="I98" s="28" t="s">
        <v>341</v>
      </c>
      <c r="J98" s="28" t="s">
        <v>332</v>
      </c>
      <c r="L98" s="28" t="s">
        <v>341</v>
      </c>
      <c r="M98" s="28" t="s">
        <v>332</v>
      </c>
      <c r="U98" s="28" t="s">
        <v>341</v>
      </c>
      <c r="V98" s="28" t="s">
        <v>332</v>
      </c>
      <c r="X98" s="28" t="s">
        <v>341</v>
      </c>
      <c r="Y98" s="28" t="s">
        <v>332</v>
      </c>
      <c r="AA98" s="2" t="s">
        <v>451</v>
      </c>
      <c r="AB98" s="2" t="str">
        <f t="shared" si="121"/>
        <v>-</v>
      </c>
      <c r="AC98" s="2" t="s">
        <v>271</v>
      </c>
      <c r="AD98" s="2" t="str">
        <f t="shared" si="122"/>
        <v>_</v>
      </c>
      <c r="AE98" s="2" t="s">
        <v>289</v>
      </c>
      <c r="AF98" s="2" t="str">
        <f t="shared" si="123"/>
        <v>_</v>
      </c>
      <c r="AG98" s="2" t="s">
        <v>31</v>
      </c>
      <c r="AH98" s="2" t="str">
        <f t="shared" si="120"/>
        <v>_</v>
      </c>
      <c r="AI98" s="2" t="s">
        <v>74</v>
      </c>
    </row>
    <row r="99" spans="2:35" x14ac:dyDescent="0.25">
      <c r="B99" s="2" t="str">
        <f>_xlfn.CONCAT("@",AA99,AB99,AC99,AD99,AE99,AF99,AG99,AH99,AI99)</f>
        <v>@text_size-label_highway_minor_z16</v>
      </c>
      <c r="C99" s="28" t="s">
        <v>338</v>
      </c>
      <c r="D99" s="28" t="s">
        <v>89</v>
      </c>
      <c r="F99" s="28" t="s">
        <v>338</v>
      </c>
      <c r="G99" s="28" t="s">
        <v>89</v>
      </c>
      <c r="I99" s="28" t="s">
        <v>338</v>
      </c>
      <c r="J99" s="28" t="s">
        <v>89</v>
      </c>
      <c r="L99" s="28" t="s">
        <v>338</v>
      </c>
      <c r="M99" s="28" t="s">
        <v>89</v>
      </c>
      <c r="U99" s="28" t="s">
        <v>338</v>
      </c>
      <c r="V99" s="28" t="s">
        <v>89</v>
      </c>
      <c r="X99" s="28" t="s">
        <v>338</v>
      </c>
      <c r="Y99" s="28" t="s">
        <v>89</v>
      </c>
      <c r="AA99" s="2" t="s">
        <v>451</v>
      </c>
      <c r="AB99" s="2" t="str">
        <f t="shared" si="121"/>
        <v>-</v>
      </c>
      <c r="AC99" s="2" t="s">
        <v>271</v>
      </c>
      <c r="AD99" s="2" t="str">
        <f t="shared" si="122"/>
        <v>_</v>
      </c>
      <c r="AE99" s="2" t="s">
        <v>289</v>
      </c>
      <c r="AF99" s="2" t="str">
        <f t="shared" si="123"/>
        <v>_</v>
      </c>
      <c r="AG99" s="2" t="s">
        <v>31</v>
      </c>
      <c r="AH99" s="2" t="str">
        <f t="shared" si="120"/>
        <v>_</v>
      </c>
      <c r="AI99" s="2" t="s">
        <v>75</v>
      </c>
    </row>
    <row r="100" spans="2:35" x14ac:dyDescent="0.25">
      <c r="B100" s="2" t="str">
        <f>_xlfn.CONCAT("@",AA100,AB100,AC100,AD100,AE100,AF100,AG100,AH100,AI100)</f>
        <v>@text_size-label_highway_minor_z18</v>
      </c>
      <c r="C100" s="28" t="s">
        <v>141</v>
      </c>
      <c r="D100" s="28" t="s">
        <v>456</v>
      </c>
      <c r="F100" s="28" t="s">
        <v>141</v>
      </c>
      <c r="G100" s="28" t="s">
        <v>456</v>
      </c>
      <c r="I100" s="28" t="s">
        <v>141</v>
      </c>
      <c r="J100" s="28" t="s">
        <v>456</v>
      </c>
      <c r="L100" s="28" t="s">
        <v>141</v>
      </c>
      <c r="M100" s="28" t="s">
        <v>456</v>
      </c>
      <c r="U100" s="28" t="s">
        <v>141</v>
      </c>
      <c r="V100" s="28" t="s">
        <v>456</v>
      </c>
      <c r="X100" s="28" t="s">
        <v>141</v>
      </c>
      <c r="Y100" s="28" t="s">
        <v>456</v>
      </c>
      <c r="AA100" s="2" t="s">
        <v>451</v>
      </c>
      <c r="AB100" s="2" t="str">
        <f t="shared" si="121"/>
        <v>-</v>
      </c>
      <c r="AC100" s="2" t="s">
        <v>271</v>
      </c>
      <c r="AD100" s="2" t="str">
        <f t="shared" si="122"/>
        <v>_</v>
      </c>
      <c r="AE100" s="2" t="s">
        <v>289</v>
      </c>
      <c r="AF100" s="2" t="str">
        <f t="shared" si="123"/>
        <v>_</v>
      </c>
      <c r="AG100" s="2" t="s">
        <v>31</v>
      </c>
      <c r="AH100" s="2" t="str">
        <f t="shared" si="120"/>
        <v>_</v>
      </c>
      <c r="AI100" s="2" t="s">
        <v>76</v>
      </c>
    </row>
    <row r="101" spans="2:35" x14ac:dyDescent="0.25">
      <c r="AA101" s="2"/>
      <c r="AB101" s="2"/>
      <c r="AC101" s="2"/>
      <c r="AD101" s="2"/>
      <c r="AE101" s="2"/>
      <c r="AF101" s="2"/>
      <c r="AG101" s="2"/>
      <c r="AH101" s="2"/>
      <c r="AI101" s="2"/>
    </row>
    <row r="102" spans="2:35" x14ac:dyDescent="0.25">
      <c r="B102" s="2" t="str">
        <f t="shared" si="119"/>
        <v>@color-label_highway_trunk_primary_secondary_tertiary</v>
      </c>
      <c r="C102" s="33" t="s">
        <v>290</v>
      </c>
      <c r="D102" s="37" t="s">
        <v>214</v>
      </c>
      <c r="F102" s="34" t="s">
        <v>291</v>
      </c>
      <c r="G102" s="38" t="s">
        <v>222</v>
      </c>
      <c r="I102" s="33" t="s">
        <v>290</v>
      </c>
      <c r="J102" s="37" t="s">
        <v>214</v>
      </c>
      <c r="L102" s="34" t="s">
        <v>291</v>
      </c>
      <c r="M102" s="38" t="s">
        <v>222</v>
      </c>
      <c r="U102" s="33" t="s">
        <v>290</v>
      </c>
      <c r="V102" s="37" t="s">
        <v>214</v>
      </c>
      <c r="X102" s="34" t="s">
        <v>291</v>
      </c>
      <c r="Y102" s="38" t="s">
        <v>222</v>
      </c>
      <c r="AA102" s="2" t="s">
        <v>6</v>
      </c>
      <c r="AB102" s="2" t="str">
        <f t="shared" si="121"/>
        <v>-</v>
      </c>
      <c r="AC102" s="2" t="s">
        <v>271</v>
      </c>
      <c r="AD102" s="2" t="str">
        <f t="shared" si="122"/>
        <v>_</v>
      </c>
      <c r="AE102" s="2" t="s">
        <v>289</v>
      </c>
      <c r="AF102" s="2" t="str">
        <f t="shared" si="123"/>
        <v>_</v>
      </c>
      <c r="AG102" s="2" t="s">
        <v>292</v>
      </c>
      <c r="AH102" s="2" t="str">
        <f t="shared" si="120"/>
        <v/>
      </c>
      <c r="AI102" s="2"/>
    </row>
    <row r="103" spans="2:35" x14ac:dyDescent="0.25">
      <c r="B103" s="2" t="str">
        <f t="shared" si="119"/>
        <v>@color-label_halo_highway_trunk_primary_secondary_tertiary</v>
      </c>
      <c r="C103" s="38" t="s">
        <v>222</v>
      </c>
      <c r="D103" s="38" t="s">
        <v>222</v>
      </c>
      <c r="F103" s="37" t="s">
        <v>214</v>
      </c>
      <c r="G103" s="37" t="s">
        <v>214</v>
      </c>
      <c r="I103" s="38" t="s">
        <v>222</v>
      </c>
      <c r="J103" s="38" t="s">
        <v>222</v>
      </c>
      <c r="L103" s="37" t="s">
        <v>214</v>
      </c>
      <c r="M103" s="37" t="s">
        <v>214</v>
      </c>
      <c r="U103" s="38" t="s">
        <v>222</v>
      </c>
      <c r="V103" s="38" t="s">
        <v>222</v>
      </c>
      <c r="X103" s="37" t="s">
        <v>214</v>
      </c>
      <c r="Y103" s="37" t="s">
        <v>214</v>
      </c>
      <c r="AA103" s="2" t="s">
        <v>6</v>
      </c>
      <c r="AB103" s="2" t="str">
        <f t="shared" ref="AB103:AB110" si="124">IF(NOT(ISBLANK(AC103)),"-","")</f>
        <v>-</v>
      </c>
      <c r="AC103" s="2" t="s">
        <v>280</v>
      </c>
      <c r="AD103" s="2" t="str">
        <f t="shared" ref="AD103:AD110" si="125">IF(NOT(ISBLANK(AE103)),"_","")</f>
        <v>_</v>
      </c>
      <c r="AE103" s="2" t="s">
        <v>289</v>
      </c>
      <c r="AF103" s="2" t="str">
        <f t="shared" ref="AF103:AF110" si="126">IF(NOT(ISBLANK(AG103)),"_","")</f>
        <v>_</v>
      </c>
      <c r="AG103" s="2" t="s">
        <v>292</v>
      </c>
      <c r="AH103" s="2" t="str">
        <f t="shared" si="120"/>
        <v/>
      </c>
      <c r="AI103" s="2"/>
    </row>
    <row r="104" spans="2:35" x14ac:dyDescent="0.25">
      <c r="B104" s="2" t="str">
        <f>_xlfn.CONCAT("@",AA104,AB104,AC104,AD104,AE104,AF104,AG104,AH104,AI104)</f>
        <v>@text_size-label_highway_trunk_primary_secondary_tertiary_z13</v>
      </c>
      <c r="C104" s="28" t="s">
        <v>341</v>
      </c>
      <c r="D104" s="28" t="s">
        <v>332</v>
      </c>
      <c r="F104" s="28" t="s">
        <v>341</v>
      </c>
      <c r="G104" s="28" t="s">
        <v>332</v>
      </c>
      <c r="I104" s="28" t="s">
        <v>341</v>
      </c>
      <c r="J104" s="28" t="s">
        <v>332</v>
      </c>
      <c r="L104" s="28" t="s">
        <v>341</v>
      </c>
      <c r="M104" s="28" t="s">
        <v>332</v>
      </c>
      <c r="U104" s="28" t="s">
        <v>341</v>
      </c>
      <c r="V104" s="28" t="s">
        <v>332</v>
      </c>
      <c r="X104" s="28" t="s">
        <v>341</v>
      </c>
      <c r="Y104" s="28" t="s">
        <v>332</v>
      </c>
      <c r="AA104" s="2" t="s">
        <v>451</v>
      </c>
      <c r="AB104" s="2" t="str">
        <f t="shared" ref="AB104" si="127">IF(NOT(ISBLANK(AC104)),"-","")</f>
        <v>-</v>
      </c>
      <c r="AC104" s="2" t="s">
        <v>271</v>
      </c>
      <c r="AD104" s="2" t="str">
        <f t="shared" ref="AD104" si="128">IF(NOT(ISBLANK(AE104)),"_","")</f>
        <v>_</v>
      </c>
      <c r="AE104" s="2" t="s">
        <v>289</v>
      </c>
      <c r="AF104" s="2" t="str">
        <f t="shared" ref="AF104" si="129">IF(NOT(ISBLANK(AG104)),"_","")</f>
        <v>_</v>
      </c>
      <c r="AG104" s="2" t="s">
        <v>292</v>
      </c>
      <c r="AH104" s="2" t="str">
        <f t="shared" si="120"/>
        <v>_</v>
      </c>
      <c r="AI104" s="2" t="s">
        <v>330</v>
      </c>
    </row>
    <row r="105" spans="2:35" x14ac:dyDescent="0.25">
      <c r="B105" s="2" t="str">
        <f>_xlfn.CONCAT("@",AA105,AB105,AC105,AD105,AE105,AF105,AG105,AH105,AI105)</f>
        <v>@text_size-label_highway_trunk_primary_secondary_tertiary_z14</v>
      </c>
      <c r="C105" s="28" t="s">
        <v>366</v>
      </c>
      <c r="D105" s="28" t="s">
        <v>328</v>
      </c>
      <c r="F105" s="28" t="s">
        <v>366</v>
      </c>
      <c r="G105" s="28" t="s">
        <v>328</v>
      </c>
      <c r="I105" s="28" t="s">
        <v>366</v>
      </c>
      <c r="J105" s="28" t="s">
        <v>328</v>
      </c>
      <c r="L105" s="28" t="s">
        <v>366</v>
      </c>
      <c r="M105" s="28" t="s">
        <v>328</v>
      </c>
      <c r="U105" s="28" t="s">
        <v>366</v>
      </c>
      <c r="V105" s="28" t="s">
        <v>328</v>
      </c>
      <c r="X105" s="28" t="s">
        <v>366</v>
      </c>
      <c r="Y105" s="28" t="s">
        <v>328</v>
      </c>
      <c r="AA105" s="2" t="s">
        <v>451</v>
      </c>
      <c r="AB105" s="2" t="str">
        <f t="shared" si="124"/>
        <v>-</v>
      </c>
      <c r="AC105" s="2" t="s">
        <v>271</v>
      </c>
      <c r="AD105" s="2" t="str">
        <f t="shared" si="125"/>
        <v>_</v>
      </c>
      <c r="AE105" s="2" t="s">
        <v>289</v>
      </c>
      <c r="AF105" s="2" t="str">
        <f t="shared" si="126"/>
        <v>_</v>
      </c>
      <c r="AG105" s="2" t="s">
        <v>292</v>
      </c>
      <c r="AH105" s="2" t="str">
        <f t="shared" ref="AH105:AH108" si="130">IF(NOT(ISBLANK(AI105)),"_","")</f>
        <v>_</v>
      </c>
      <c r="AI105" s="2" t="s">
        <v>74</v>
      </c>
    </row>
    <row r="106" spans="2:35" x14ac:dyDescent="0.25">
      <c r="B106" s="2" t="str">
        <f>_xlfn.CONCAT("@",AA106,AB106,AC106,AD106,AE106,AF106,AG106,AH106,AI106)</f>
        <v>@text_size-label_highway_trunk_primary_secondary_tertiary_z16</v>
      </c>
      <c r="C106" s="28" t="s">
        <v>328</v>
      </c>
      <c r="D106" s="28" t="s">
        <v>145</v>
      </c>
      <c r="F106" s="28" t="s">
        <v>328</v>
      </c>
      <c r="G106" s="28" t="s">
        <v>145</v>
      </c>
      <c r="I106" s="28" t="s">
        <v>328</v>
      </c>
      <c r="J106" s="28" t="s">
        <v>145</v>
      </c>
      <c r="L106" s="28" t="s">
        <v>328</v>
      </c>
      <c r="M106" s="28" t="s">
        <v>145</v>
      </c>
      <c r="U106" s="28" t="s">
        <v>328</v>
      </c>
      <c r="V106" s="28" t="s">
        <v>145</v>
      </c>
      <c r="X106" s="28" t="s">
        <v>328</v>
      </c>
      <c r="Y106" s="28" t="s">
        <v>145</v>
      </c>
      <c r="AA106" s="2" t="s">
        <v>451</v>
      </c>
      <c r="AB106" s="2" t="str">
        <f t="shared" si="124"/>
        <v>-</v>
      </c>
      <c r="AC106" s="2" t="s">
        <v>271</v>
      </c>
      <c r="AD106" s="2" t="str">
        <f t="shared" si="125"/>
        <v>_</v>
      </c>
      <c r="AE106" s="2" t="s">
        <v>289</v>
      </c>
      <c r="AF106" s="2" t="str">
        <f t="shared" si="126"/>
        <v>_</v>
      </c>
      <c r="AG106" s="2" t="s">
        <v>292</v>
      </c>
      <c r="AH106" s="2" t="str">
        <f t="shared" si="130"/>
        <v>_</v>
      </c>
      <c r="AI106" s="2" t="s">
        <v>75</v>
      </c>
    </row>
    <row r="107" spans="2:35" x14ac:dyDescent="0.25">
      <c r="B107" s="2" t="str">
        <f>_xlfn.CONCAT("@",AA107,AB107,AC107,AD107,AE107,AF107,AG107,AH107,AI107)</f>
        <v>@text_size-label_highway_trunk_primary_secondary_tertiary_z18</v>
      </c>
      <c r="C107" s="28" t="s">
        <v>456</v>
      </c>
      <c r="D107" s="28" t="s">
        <v>457</v>
      </c>
      <c r="F107" s="28" t="s">
        <v>456</v>
      </c>
      <c r="G107" s="28" t="s">
        <v>457</v>
      </c>
      <c r="I107" s="28" t="s">
        <v>456</v>
      </c>
      <c r="J107" s="28" t="s">
        <v>457</v>
      </c>
      <c r="L107" s="28" t="s">
        <v>456</v>
      </c>
      <c r="M107" s="28" t="s">
        <v>457</v>
      </c>
      <c r="U107" s="28" t="s">
        <v>456</v>
      </c>
      <c r="V107" s="28" t="s">
        <v>457</v>
      </c>
      <c r="X107" s="28" t="s">
        <v>456</v>
      </c>
      <c r="Y107" s="28" t="s">
        <v>457</v>
      </c>
      <c r="AA107" s="2" t="s">
        <v>451</v>
      </c>
      <c r="AB107" s="2" t="str">
        <f t="shared" si="124"/>
        <v>-</v>
      </c>
      <c r="AC107" s="2" t="s">
        <v>271</v>
      </c>
      <c r="AD107" s="2" t="str">
        <f t="shared" si="125"/>
        <v>_</v>
      </c>
      <c r="AE107" s="2" t="s">
        <v>289</v>
      </c>
      <c r="AF107" s="2" t="str">
        <f t="shared" si="126"/>
        <v>_</v>
      </c>
      <c r="AG107" s="2" t="s">
        <v>292</v>
      </c>
      <c r="AH107" s="2" t="str">
        <f t="shared" si="130"/>
        <v>_</v>
      </c>
      <c r="AI107" s="2" t="s">
        <v>76</v>
      </c>
    </row>
    <row r="108" spans="2:35" x14ac:dyDescent="0.25"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2:35" x14ac:dyDescent="0.25">
      <c r="B109" s="2" t="str">
        <f t="shared" si="119"/>
        <v>@color-label_peak</v>
      </c>
      <c r="C109" s="35" t="s">
        <v>294</v>
      </c>
      <c r="D109" s="37" t="s">
        <v>214</v>
      </c>
      <c r="F109" s="36" t="s">
        <v>295</v>
      </c>
      <c r="G109" s="38" t="s">
        <v>222</v>
      </c>
      <c r="I109" s="35" t="s">
        <v>294</v>
      </c>
      <c r="J109" s="37" t="s">
        <v>214</v>
      </c>
      <c r="L109" s="36" t="s">
        <v>295</v>
      </c>
      <c r="M109" s="38" t="s">
        <v>222</v>
      </c>
      <c r="U109" s="35" t="s">
        <v>294</v>
      </c>
      <c r="V109" s="37" t="s">
        <v>214</v>
      </c>
      <c r="X109" s="36" t="s">
        <v>295</v>
      </c>
      <c r="Y109" s="38" t="s">
        <v>222</v>
      </c>
      <c r="AA109" s="2" t="s">
        <v>6</v>
      </c>
      <c r="AB109" s="2" t="str">
        <f t="shared" si="124"/>
        <v>-</v>
      </c>
      <c r="AC109" s="2" t="s">
        <v>271</v>
      </c>
      <c r="AD109" s="2" t="str">
        <f t="shared" si="125"/>
        <v>_</v>
      </c>
      <c r="AE109" s="2" t="s">
        <v>293</v>
      </c>
      <c r="AF109" s="2" t="str">
        <f t="shared" si="126"/>
        <v/>
      </c>
      <c r="AG109" s="2"/>
      <c r="AH109" s="2" t="str">
        <f t="shared" si="120"/>
        <v/>
      </c>
      <c r="AI109" s="2"/>
    </row>
    <row r="110" spans="2:35" x14ac:dyDescent="0.25">
      <c r="B110" s="2" t="str">
        <f t="shared" si="119"/>
        <v>@color-label_halo_peak</v>
      </c>
      <c r="C110" s="38" t="s">
        <v>222</v>
      </c>
      <c r="D110" s="38" t="s">
        <v>222</v>
      </c>
      <c r="F110" s="37" t="s">
        <v>214</v>
      </c>
      <c r="G110" s="37" t="s">
        <v>214</v>
      </c>
      <c r="I110" s="38" t="s">
        <v>222</v>
      </c>
      <c r="J110" s="38" t="s">
        <v>222</v>
      </c>
      <c r="L110" s="37" t="s">
        <v>214</v>
      </c>
      <c r="M110" s="37" t="s">
        <v>214</v>
      </c>
      <c r="U110" s="38" t="s">
        <v>222</v>
      </c>
      <c r="V110" s="38" t="s">
        <v>222</v>
      </c>
      <c r="X110" s="37" t="s">
        <v>214</v>
      </c>
      <c r="Y110" s="37" t="s">
        <v>214</v>
      </c>
      <c r="AA110" s="2" t="s">
        <v>6</v>
      </c>
      <c r="AB110" s="2" t="str">
        <f t="shared" si="124"/>
        <v>-</v>
      </c>
      <c r="AC110" s="2" t="s">
        <v>280</v>
      </c>
      <c r="AD110" s="2" t="str">
        <f t="shared" si="125"/>
        <v>_</v>
      </c>
      <c r="AE110" s="2" t="s">
        <v>293</v>
      </c>
      <c r="AF110" s="2" t="str">
        <f t="shared" si="126"/>
        <v/>
      </c>
      <c r="AG110" s="2"/>
      <c r="AH110" s="2" t="str">
        <f t="shared" si="120"/>
        <v/>
      </c>
      <c r="AI110" s="2"/>
    </row>
    <row r="111" spans="2:35" x14ac:dyDescent="0.25">
      <c r="B111" s="2" t="str">
        <f t="shared" ref="B111:B112" si="131">_xlfn.CONCAT("@",AA111,AB111,AC111,AD111,AE111,AF111,AG111,AH111,AI111)</f>
        <v>@color-label_airport_major</v>
      </c>
      <c r="C111" s="95" t="s">
        <v>299</v>
      </c>
      <c r="D111" s="37" t="s">
        <v>214</v>
      </c>
      <c r="F111" s="96" t="s">
        <v>300</v>
      </c>
      <c r="G111" s="38" t="s">
        <v>222</v>
      </c>
      <c r="I111" s="95" t="s">
        <v>299</v>
      </c>
      <c r="J111" s="37" t="s">
        <v>214</v>
      </c>
      <c r="L111" s="96" t="s">
        <v>300</v>
      </c>
      <c r="M111" s="38" t="s">
        <v>222</v>
      </c>
      <c r="U111" s="95" t="s">
        <v>299</v>
      </c>
      <c r="V111" s="37" t="s">
        <v>214</v>
      </c>
      <c r="X111" s="96" t="s">
        <v>300</v>
      </c>
      <c r="Y111" s="38" t="s">
        <v>222</v>
      </c>
      <c r="AA111" s="2" t="s">
        <v>6</v>
      </c>
      <c r="AB111" s="2" t="str">
        <f t="shared" ref="AB111:AB112" si="132">IF(NOT(ISBLANK(AC111)),"-","")</f>
        <v>-</v>
      </c>
      <c r="AC111" s="2" t="s">
        <v>271</v>
      </c>
      <c r="AD111" s="2" t="str">
        <f t="shared" ref="AD111:AD112" si="133">IF(NOT(ISBLANK(AE111)),"_","")</f>
        <v>_</v>
      </c>
      <c r="AE111" s="2" t="s">
        <v>410</v>
      </c>
      <c r="AF111" s="2" t="str">
        <f t="shared" ref="AF111" si="134">IF(NOT(ISBLANK(AG111)),"_","")</f>
        <v>_</v>
      </c>
      <c r="AG111" s="2" t="s">
        <v>311</v>
      </c>
      <c r="AH111" s="2" t="str">
        <f t="shared" ref="AH111:AH112" si="135">IF(NOT(ISBLANK(AI111)),"_","")</f>
        <v/>
      </c>
      <c r="AI111" s="2"/>
    </row>
    <row r="112" spans="2:35" x14ac:dyDescent="0.25">
      <c r="B112" s="2" t="str">
        <f t="shared" si="131"/>
        <v>@color-label_halo_airport_major</v>
      </c>
      <c r="C112" s="38" t="s">
        <v>222</v>
      </c>
      <c r="D112" s="38" t="s">
        <v>222</v>
      </c>
      <c r="F112" s="37" t="s">
        <v>214</v>
      </c>
      <c r="G112" s="37" t="s">
        <v>214</v>
      </c>
      <c r="I112" s="38" t="s">
        <v>222</v>
      </c>
      <c r="J112" s="38" t="s">
        <v>222</v>
      </c>
      <c r="L112" s="37" t="s">
        <v>214</v>
      </c>
      <c r="M112" s="37" t="s">
        <v>214</v>
      </c>
      <c r="U112" s="38" t="s">
        <v>222</v>
      </c>
      <c r="V112" s="38" t="s">
        <v>222</v>
      </c>
      <c r="X112" s="37" t="s">
        <v>214</v>
      </c>
      <c r="Y112" s="37" t="s">
        <v>214</v>
      </c>
      <c r="AA112" s="2" t="s">
        <v>6</v>
      </c>
      <c r="AB112" s="2" t="str">
        <f t="shared" si="132"/>
        <v>-</v>
      </c>
      <c r="AC112" s="2" t="s">
        <v>280</v>
      </c>
      <c r="AD112" s="2" t="str">
        <f t="shared" si="133"/>
        <v>_</v>
      </c>
      <c r="AE112" s="2" t="s">
        <v>410</v>
      </c>
      <c r="AF112" s="2" t="str">
        <f t="shared" ref="AF112" si="136">IF(NOT(ISBLANK(AG112)),"_","")</f>
        <v>_</v>
      </c>
      <c r="AG112" s="2" t="s">
        <v>311</v>
      </c>
      <c r="AH112" s="2" t="str">
        <f t="shared" si="135"/>
        <v/>
      </c>
      <c r="AI112" s="2"/>
    </row>
    <row r="113" spans="1:35" x14ac:dyDescent="0.25"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1:35" s="5" customFormat="1" x14ac:dyDescent="0.25">
      <c r="A114" s="27" t="s">
        <v>333</v>
      </c>
      <c r="B114" s="27"/>
      <c r="C114" s="27"/>
      <c r="D114" s="27"/>
      <c r="F114" s="27"/>
      <c r="G114" s="27"/>
      <c r="I114" s="27"/>
      <c r="J114" s="27"/>
      <c r="L114" s="27"/>
      <c r="M114" s="27"/>
      <c r="O114" s="27"/>
      <c r="P114" s="27"/>
      <c r="R114" s="27"/>
      <c r="S114" s="27"/>
      <c r="U114" s="27"/>
      <c r="V114" s="27"/>
      <c r="X114" s="27"/>
      <c r="Y114" s="27"/>
      <c r="AA114" s="27"/>
      <c r="AB114" s="27"/>
      <c r="AC114" s="27"/>
      <c r="AD114" s="27"/>
      <c r="AE114" s="27"/>
      <c r="AF114" s="27"/>
      <c r="AG114" s="27"/>
      <c r="AH114" s="27"/>
      <c r="AI114" s="27"/>
    </row>
    <row r="115" spans="1:35" x14ac:dyDescent="0.25">
      <c r="B115" s="2" t="str">
        <f t="shared" ref="B115:B123" si="137">_xlfn.CONCAT("@",AA115,AB115,AC115,AD115,AE115,AF115,AG115,AH115,AI115)</f>
        <v>@color-mtb:scale_0-</v>
      </c>
      <c r="C115" s="111" t="s">
        <v>170</v>
      </c>
      <c r="D115" s="112" t="s">
        <v>178</v>
      </c>
      <c r="F115" s="111" t="s">
        <v>170</v>
      </c>
      <c r="G115" s="112" t="s">
        <v>178</v>
      </c>
      <c r="I115" s="111" t="s">
        <v>170</v>
      </c>
      <c r="J115" s="112" t="s">
        <v>178</v>
      </c>
      <c r="L115" s="111" t="s">
        <v>170</v>
      </c>
      <c r="M115" s="112" t="s">
        <v>178</v>
      </c>
      <c r="U115" s="110" t="s">
        <v>297</v>
      </c>
      <c r="V115" s="110" t="s">
        <v>297</v>
      </c>
      <c r="X115" s="110" t="s">
        <v>297</v>
      </c>
      <c r="Y115" s="110" t="s">
        <v>297</v>
      </c>
      <c r="AA115" s="2" t="s">
        <v>6</v>
      </c>
      <c r="AB115" s="2" t="str">
        <f t="shared" ref="AB115:AB122" si="138">IF(NOT(ISBLANK(AC115)),"-","")</f>
        <v>-</v>
      </c>
      <c r="AC115" s="2" t="s">
        <v>7</v>
      </c>
      <c r="AD115" s="2" t="str">
        <f t="shared" ref="AD115:AD122" si="139">IF(NOT(ISBLANK(AE115)),"_","")</f>
        <v>_</v>
      </c>
      <c r="AE115" s="2" t="s">
        <v>9</v>
      </c>
      <c r="AF115" s="2" t="str">
        <f t="shared" ref="AF115:AF122" si="140">IF(NOT(ISBLANK(AG115)),"_","")</f>
        <v/>
      </c>
      <c r="AG115" s="2"/>
      <c r="AH115" s="2" t="str">
        <f t="shared" ref="AH115:AH128" si="141">IF(NOT(ISBLANK(AI115)),"_","")</f>
        <v/>
      </c>
      <c r="AI115" s="2"/>
    </row>
    <row r="116" spans="1:35" x14ac:dyDescent="0.25">
      <c r="B116" s="2" t="str">
        <f t="shared" si="137"/>
        <v>@color-mtb:scale_0</v>
      </c>
      <c r="C116" s="113" t="s">
        <v>171</v>
      </c>
      <c r="D116" s="114" t="s">
        <v>179</v>
      </c>
      <c r="F116" s="113" t="s">
        <v>171</v>
      </c>
      <c r="G116" s="114" t="s">
        <v>179</v>
      </c>
      <c r="I116" s="113" t="s">
        <v>171</v>
      </c>
      <c r="J116" s="114" t="s">
        <v>179</v>
      </c>
      <c r="L116" s="113" t="s">
        <v>171</v>
      </c>
      <c r="M116" s="114" t="s">
        <v>179</v>
      </c>
      <c r="U116" s="110" t="s">
        <v>297</v>
      </c>
      <c r="V116" s="110" t="s">
        <v>297</v>
      </c>
      <c r="X116" s="110" t="s">
        <v>297</v>
      </c>
      <c r="Y116" s="110" t="s">
        <v>297</v>
      </c>
      <c r="AA116" s="2" t="s">
        <v>6</v>
      </c>
      <c r="AB116" s="2" t="str">
        <f t="shared" si="138"/>
        <v>-</v>
      </c>
      <c r="AC116" s="2" t="s">
        <v>7</v>
      </c>
      <c r="AD116" s="2" t="str">
        <f t="shared" si="139"/>
        <v>_</v>
      </c>
      <c r="AE116" s="2">
        <v>0</v>
      </c>
      <c r="AF116" s="2" t="str">
        <f t="shared" si="140"/>
        <v/>
      </c>
      <c r="AH116" s="2" t="str">
        <f t="shared" si="141"/>
        <v/>
      </c>
    </row>
    <row r="117" spans="1:35" x14ac:dyDescent="0.25">
      <c r="B117" s="2" t="str">
        <f t="shared" si="137"/>
        <v>@color-mtb:scale_1</v>
      </c>
      <c r="C117" s="115" t="s">
        <v>172</v>
      </c>
      <c r="D117" s="116" t="s">
        <v>180</v>
      </c>
      <c r="F117" s="115" t="s">
        <v>172</v>
      </c>
      <c r="G117" s="116" t="s">
        <v>180</v>
      </c>
      <c r="I117" s="115" t="s">
        <v>172</v>
      </c>
      <c r="J117" s="116" t="s">
        <v>180</v>
      </c>
      <c r="L117" s="115" t="s">
        <v>172</v>
      </c>
      <c r="M117" s="116" t="s">
        <v>180</v>
      </c>
      <c r="U117" s="110" t="s">
        <v>297</v>
      </c>
      <c r="V117" s="110" t="s">
        <v>297</v>
      </c>
      <c r="X117" s="110" t="s">
        <v>297</v>
      </c>
      <c r="Y117" s="110" t="s">
        <v>297</v>
      </c>
      <c r="AA117" s="2" t="s">
        <v>6</v>
      </c>
      <c r="AB117" s="2" t="str">
        <f t="shared" si="138"/>
        <v>-</v>
      </c>
      <c r="AC117" s="2" t="s">
        <v>7</v>
      </c>
      <c r="AD117" s="2" t="str">
        <f t="shared" si="139"/>
        <v>_</v>
      </c>
      <c r="AE117" s="2">
        <v>1</v>
      </c>
      <c r="AF117" s="2" t="str">
        <f t="shared" si="140"/>
        <v/>
      </c>
      <c r="AH117" s="2" t="str">
        <f t="shared" si="141"/>
        <v/>
      </c>
    </row>
    <row r="118" spans="1:35" x14ac:dyDescent="0.25">
      <c r="B118" s="2" t="str">
        <f t="shared" si="137"/>
        <v>@color-mtb:scale_2</v>
      </c>
      <c r="C118" s="117" t="s">
        <v>173</v>
      </c>
      <c r="D118" s="118" t="s">
        <v>181</v>
      </c>
      <c r="F118" s="117" t="s">
        <v>173</v>
      </c>
      <c r="G118" s="118" t="s">
        <v>181</v>
      </c>
      <c r="I118" s="117" t="s">
        <v>173</v>
      </c>
      <c r="J118" s="118" t="s">
        <v>181</v>
      </c>
      <c r="L118" s="117" t="s">
        <v>173</v>
      </c>
      <c r="M118" s="118" t="s">
        <v>181</v>
      </c>
      <c r="U118" s="110" t="s">
        <v>297</v>
      </c>
      <c r="V118" s="110" t="s">
        <v>297</v>
      </c>
      <c r="X118" s="110" t="s">
        <v>297</v>
      </c>
      <c r="Y118" s="110" t="s">
        <v>297</v>
      </c>
      <c r="AA118" s="2" t="s">
        <v>6</v>
      </c>
      <c r="AB118" s="2" t="str">
        <f t="shared" si="138"/>
        <v>-</v>
      </c>
      <c r="AC118" s="2" t="s">
        <v>7</v>
      </c>
      <c r="AD118" s="2" t="str">
        <f t="shared" si="139"/>
        <v>_</v>
      </c>
      <c r="AE118" s="2">
        <v>2</v>
      </c>
      <c r="AF118" s="2" t="str">
        <f t="shared" si="140"/>
        <v/>
      </c>
      <c r="AH118" s="2" t="str">
        <f t="shared" si="141"/>
        <v/>
      </c>
    </row>
    <row r="119" spans="1:35" x14ac:dyDescent="0.25">
      <c r="B119" s="2" t="str">
        <f t="shared" si="137"/>
        <v>@color-mtb:scale_3</v>
      </c>
      <c r="C119" s="119" t="s">
        <v>174</v>
      </c>
      <c r="D119" s="119" t="s">
        <v>174</v>
      </c>
      <c r="F119" s="119" t="s">
        <v>174</v>
      </c>
      <c r="G119" s="119" t="s">
        <v>174</v>
      </c>
      <c r="I119" s="119" t="s">
        <v>174</v>
      </c>
      <c r="J119" s="119" t="s">
        <v>174</v>
      </c>
      <c r="L119" s="119" t="s">
        <v>174</v>
      </c>
      <c r="M119" s="119" t="s">
        <v>174</v>
      </c>
      <c r="U119" s="110" t="s">
        <v>297</v>
      </c>
      <c r="V119" s="110" t="s">
        <v>297</v>
      </c>
      <c r="X119" s="110" t="s">
        <v>297</v>
      </c>
      <c r="Y119" s="110" t="s">
        <v>297</v>
      </c>
      <c r="AA119" s="2" t="s">
        <v>6</v>
      </c>
      <c r="AB119" s="2" t="str">
        <f t="shared" si="138"/>
        <v>-</v>
      </c>
      <c r="AC119" s="2" t="s">
        <v>7</v>
      </c>
      <c r="AD119" s="2" t="str">
        <f t="shared" si="139"/>
        <v>_</v>
      </c>
      <c r="AE119" s="2">
        <v>3</v>
      </c>
      <c r="AF119" s="2" t="str">
        <f t="shared" si="140"/>
        <v/>
      </c>
      <c r="AH119" s="2" t="str">
        <f t="shared" si="141"/>
        <v/>
      </c>
    </row>
    <row r="120" spans="1:35" x14ac:dyDescent="0.25">
      <c r="B120" s="2" t="str">
        <f t="shared" si="137"/>
        <v>@color-mtb:scale_4</v>
      </c>
      <c r="C120" s="120" t="s">
        <v>175</v>
      </c>
      <c r="D120" s="121" t="s">
        <v>182</v>
      </c>
      <c r="F120" s="120" t="s">
        <v>175</v>
      </c>
      <c r="G120" s="121" t="s">
        <v>182</v>
      </c>
      <c r="I120" s="120" t="s">
        <v>175</v>
      </c>
      <c r="J120" s="121" t="s">
        <v>182</v>
      </c>
      <c r="L120" s="120" t="s">
        <v>175</v>
      </c>
      <c r="M120" s="121" t="s">
        <v>182</v>
      </c>
      <c r="U120" s="110" t="s">
        <v>297</v>
      </c>
      <c r="V120" s="110" t="s">
        <v>297</v>
      </c>
      <c r="X120" s="110" t="s">
        <v>297</v>
      </c>
      <c r="Y120" s="110" t="s">
        <v>297</v>
      </c>
      <c r="AA120" s="2" t="s">
        <v>6</v>
      </c>
      <c r="AB120" s="2" t="str">
        <f t="shared" si="138"/>
        <v>-</v>
      </c>
      <c r="AC120" s="2" t="s">
        <v>7</v>
      </c>
      <c r="AD120" s="2" t="str">
        <f t="shared" si="139"/>
        <v>_</v>
      </c>
      <c r="AE120" s="2">
        <v>4</v>
      </c>
      <c r="AF120" s="2" t="str">
        <f t="shared" si="140"/>
        <v/>
      </c>
      <c r="AH120" s="2" t="str">
        <f t="shared" si="141"/>
        <v/>
      </c>
    </row>
    <row r="121" spans="1:35" x14ac:dyDescent="0.25">
      <c r="B121" s="2" t="str">
        <f t="shared" si="137"/>
        <v>@color-mtb:scale_5</v>
      </c>
      <c r="C121" s="122" t="s">
        <v>176</v>
      </c>
      <c r="D121" s="123" t="s">
        <v>183</v>
      </c>
      <c r="F121" s="122" t="s">
        <v>176</v>
      </c>
      <c r="G121" s="123" t="s">
        <v>183</v>
      </c>
      <c r="I121" s="122" t="s">
        <v>176</v>
      </c>
      <c r="J121" s="123" t="s">
        <v>183</v>
      </c>
      <c r="L121" s="122" t="s">
        <v>176</v>
      </c>
      <c r="M121" s="123" t="s">
        <v>183</v>
      </c>
      <c r="U121" s="110" t="s">
        <v>297</v>
      </c>
      <c r="V121" s="110" t="s">
        <v>297</v>
      </c>
      <c r="X121" s="110" t="s">
        <v>297</v>
      </c>
      <c r="Y121" s="110" t="s">
        <v>297</v>
      </c>
      <c r="AA121" s="2" t="s">
        <v>6</v>
      </c>
      <c r="AB121" s="2" t="str">
        <f t="shared" si="138"/>
        <v>-</v>
      </c>
      <c r="AC121" s="2" t="s">
        <v>7</v>
      </c>
      <c r="AD121" s="2" t="str">
        <f t="shared" si="139"/>
        <v>_</v>
      </c>
      <c r="AE121" s="2">
        <v>5</v>
      </c>
      <c r="AF121" s="2" t="str">
        <f t="shared" si="140"/>
        <v/>
      </c>
      <c r="AH121" s="2" t="str">
        <f t="shared" si="141"/>
        <v/>
      </c>
    </row>
    <row r="122" spans="1:35" x14ac:dyDescent="0.25">
      <c r="B122" s="2" t="str">
        <f t="shared" si="137"/>
        <v>@color-mtb:scale_6</v>
      </c>
      <c r="C122" s="124" t="s">
        <v>177</v>
      </c>
      <c r="D122" s="125" t="s">
        <v>184</v>
      </c>
      <c r="F122" s="124" t="s">
        <v>177</v>
      </c>
      <c r="G122" s="125" t="s">
        <v>184</v>
      </c>
      <c r="I122" s="124" t="s">
        <v>177</v>
      </c>
      <c r="J122" s="125" t="s">
        <v>184</v>
      </c>
      <c r="L122" s="124" t="s">
        <v>177</v>
      </c>
      <c r="M122" s="125" t="s">
        <v>184</v>
      </c>
      <c r="U122" s="110" t="s">
        <v>297</v>
      </c>
      <c r="V122" s="110" t="s">
        <v>297</v>
      </c>
      <c r="X122" s="110" t="s">
        <v>297</v>
      </c>
      <c r="Y122" s="110" t="s">
        <v>297</v>
      </c>
      <c r="AA122" s="2" t="s">
        <v>6</v>
      </c>
      <c r="AB122" s="2" t="str">
        <f t="shared" si="138"/>
        <v>-</v>
      </c>
      <c r="AC122" s="2" t="s">
        <v>7</v>
      </c>
      <c r="AD122" s="2" t="str">
        <f t="shared" si="139"/>
        <v>_</v>
      </c>
      <c r="AE122" s="2">
        <v>6</v>
      </c>
      <c r="AF122" s="2" t="str">
        <f t="shared" si="140"/>
        <v/>
      </c>
      <c r="AH122" s="2" t="str">
        <f t="shared" si="141"/>
        <v/>
      </c>
    </row>
    <row r="123" spans="1:35" x14ac:dyDescent="0.25">
      <c r="B123" s="2" t="str">
        <f t="shared" si="137"/>
        <v>@color-mtb:scale_null</v>
      </c>
      <c r="C123" s="38" t="s">
        <v>222</v>
      </c>
      <c r="D123" s="38" t="s">
        <v>222</v>
      </c>
      <c r="F123" s="31" t="s">
        <v>281</v>
      </c>
      <c r="G123" s="31" t="s">
        <v>281</v>
      </c>
      <c r="I123" s="38" t="s">
        <v>222</v>
      </c>
      <c r="J123" s="38" t="s">
        <v>222</v>
      </c>
      <c r="L123" s="31" t="s">
        <v>281</v>
      </c>
      <c r="M123" s="31" t="s">
        <v>281</v>
      </c>
      <c r="U123" s="110" t="s">
        <v>297</v>
      </c>
      <c r="V123" s="110" t="s">
        <v>297</v>
      </c>
      <c r="X123" s="110" t="s">
        <v>297</v>
      </c>
      <c r="Y123" s="110" t="s">
        <v>297</v>
      </c>
      <c r="AA123" s="2" t="s">
        <v>6</v>
      </c>
      <c r="AB123" s="2" t="str">
        <f t="shared" ref="AB123" si="142">IF(NOT(ISBLANK(AC123)),"-","")</f>
        <v>-</v>
      </c>
      <c r="AC123" s="2" t="s">
        <v>7</v>
      </c>
      <c r="AD123" s="2" t="str">
        <f t="shared" ref="AD123" si="143">IF(NOT(ISBLANK(AE123)),"_","")</f>
        <v>_</v>
      </c>
      <c r="AE123" s="2" t="s">
        <v>297</v>
      </c>
      <c r="AF123" s="2" t="str">
        <f t="shared" ref="AF123" si="144">IF(NOT(ISBLANK(AG123)),"_","")</f>
        <v/>
      </c>
      <c r="AH123" s="2" t="str">
        <f t="shared" si="141"/>
        <v/>
      </c>
    </row>
    <row r="124" spans="1:35" x14ac:dyDescent="0.25">
      <c r="B124" s="2"/>
      <c r="AA124" s="2"/>
      <c r="AB124" s="2" t="str">
        <f>IF(NOT(ISBLANK(AC124)),"-","")</f>
        <v/>
      </c>
      <c r="AC124" s="2"/>
      <c r="AD124" s="2" t="str">
        <f>IF(NOT(ISBLANK(AE124)),"_","")</f>
        <v/>
      </c>
      <c r="AE124" s="2"/>
      <c r="AF124" s="28" t="str">
        <f>IF(NOT(ISBLANK(AG124)),"_","")</f>
        <v/>
      </c>
      <c r="AH124" s="28" t="str">
        <f t="shared" si="141"/>
        <v/>
      </c>
    </row>
    <row r="125" spans="1:35" x14ac:dyDescent="0.25">
      <c r="B125" s="2" t="str">
        <f>_xlfn.CONCAT("@",AA125,AB125,AC125,AD125,AE125,AF125,AG125,AH125,AI125)</f>
        <v>@color-mtb:winter_groomed</v>
      </c>
      <c r="C125" s="110" t="s">
        <v>297</v>
      </c>
      <c r="D125" s="110" t="s">
        <v>297</v>
      </c>
      <c r="F125" s="110" t="s">
        <v>297</v>
      </c>
      <c r="G125" s="110" t="s">
        <v>297</v>
      </c>
      <c r="I125" s="110" t="s">
        <v>297</v>
      </c>
      <c r="J125" s="110" t="s">
        <v>297</v>
      </c>
      <c r="L125" s="110" t="s">
        <v>297</v>
      </c>
      <c r="M125" s="110" t="s">
        <v>297</v>
      </c>
      <c r="O125" s="110" t="s">
        <v>297</v>
      </c>
      <c r="P125" s="110" t="s">
        <v>297</v>
      </c>
      <c r="R125" s="110" t="s">
        <v>297</v>
      </c>
      <c r="S125" s="110" t="s">
        <v>297</v>
      </c>
      <c r="U125" s="111" t="s">
        <v>170</v>
      </c>
      <c r="V125" s="112" t="s">
        <v>178</v>
      </c>
      <c r="X125" s="111" t="s">
        <v>170</v>
      </c>
      <c r="Y125" s="112" t="s">
        <v>178</v>
      </c>
      <c r="AA125" s="2" t="s">
        <v>6</v>
      </c>
      <c r="AB125" s="2" t="str">
        <f t="shared" ref="AB125" si="145">IF(NOT(ISBLANK(AC125)),"-","")</f>
        <v>-</v>
      </c>
      <c r="AC125" s="2" t="s">
        <v>225</v>
      </c>
      <c r="AD125" s="2" t="str">
        <f t="shared" ref="AD125" si="146">IF(NOT(ISBLANK(AE125)),"_","")</f>
        <v>_</v>
      </c>
      <c r="AE125" s="2" t="s">
        <v>409</v>
      </c>
      <c r="AF125" s="2" t="str">
        <f t="shared" ref="AF125" si="147">IF(NOT(ISBLANK(AG125)),"_","")</f>
        <v/>
      </c>
      <c r="AH125" s="2" t="str">
        <f t="shared" ref="AH125" si="148">IF(NOT(ISBLANK(AI125)),"_","")</f>
        <v/>
      </c>
    </row>
    <row r="126" spans="1:35" x14ac:dyDescent="0.25">
      <c r="B126" s="2" t="str">
        <f>_xlfn.CONCAT("@",AA126,AB126,AC126,AD126,AE126,AF126,AG126,AH126,AI126)</f>
        <v>@color-mtb:winter_1</v>
      </c>
      <c r="C126" s="110" t="s">
        <v>297</v>
      </c>
      <c r="D126" s="110" t="s">
        <v>297</v>
      </c>
      <c r="F126" s="110" t="s">
        <v>297</v>
      </c>
      <c r="G126" s="110" t="s">
        <v>297</v>
      </c>
      <c r="I126" s="110" t="s">
        <v>297</v>
      </c>
      <c r="J126" s="110" t="s">
        <v>297</v>
      </c>
      <c r="L126" s="110" t="s">
        <v>297</v>
      </c>
      <c r="M126" s="110" t="s">
        <v>297</v>
      </c>
      <c r="O126" s="110" t="s">
        <v>297</v>
      </c>
      <c r="P126" s="110" t="s">
        <v>297</v>
      </c>
      <c r="R126" s="110" t="s">
        <v>297</v>
      </c>
      <c r="S126" s="110" t="s">
        <v>297</v>
      </c>
      <c r="U126" s="40" t="s">
        <v>171</v>
      </c>
      <c r="V126" s="41" t="s">
        <v>179</v>
      </c>
      <c r="X126" s="40" t="s">
        <v>171</v>
      </c>
      <c r="Y126" s="41" t="s">
        <v>179</v>
      </c>
      <c r="AA126" s="2" t="s">
        <v>6</v>
      </c>
      <c r="AB126" s="2" t="str">
        <f t="shared" ref="AB126" si="149">IF(NOT(ISBLANK(AC126)),"-","")</f>
        <v>-</v>
      </c>
      <c r="AC126" s="2" t="s">
        <v>225</v>
      </c>
      <c r="AD126" s="2" t="str">
        <f t="shared" ref="AD126" si="150">IF(NOT(ISBLANK(AE126)),"_","")</f>
        <v>_</v>
      </c>
      <c r="AE126" s="2">
        <v>1</v>
      </c>
      <c r="AF126" s="2" t="str">
        <f t="shared" ref="AF126" si="151">IF(NOT(ISBLANK(AG126)),"_","")</f>
        <v/>
      </c>
      <c r="AH126" s="2" t="str">
        <f t="shared" si="141"/>
        <v/>
      </c>
    </row>
    <row r="127" spans="1:35" x14ac:dyDescent="0.25">
      <c r="B127" s="2" t="str">
        <f t="shared" ref="B127:B128" si="152">_xlfn.CONCAT("@",AA127,AB127,AC127,AD127,AE127,AF127,AG127,AH127,AI127)</f>
        <v>@color-mtb:winter_2</v>
      </c>
      <c r="C127" s="110" t="s">
        <v>297</v>
      </c>
      <c r="D127" s="110" t="s">
        <v>297</v>
      </c>
      <c r="F127" s="110" t="s">
        <v>297</v>
      </c>
      <c r="G127" s="110" t="s">
        <v>297</v>
      </c>
      <c r="I127" s="110" t="s">
        <v>297</v>
      </c>
      <c r="J127" s="110" t="s">
        <v>297</v>
      </c>
      <c r="L127" s="110" t="s">
        <v>297</v>
      </c>
      <c r="M127" s="110" t="s">
        <v>297</v>
      </c>
      <c r="O127" s="110" t="s">
        <v>297</v>
      </c>
      <c r="P127" s="110" t="s">
        <v>297</v>
      </c>
      <c r="R127" s="110" t="s">
        <v>297</v>
      </c>
      <c r="S127" s="110" t="s">
        <v>297</v>
      </c>
      <c r="U127" s="42" t="s">
        <v>172</v>
      </c>
      <c r="V127" s="43" t="s">
        <v>180</v>
      </c>
      <c r="X127" s="42" t="s">
        <v>172</v>
      </c>
      <c r="Y127" s="43" t="s">
        <v>180</v>
      </c>
      <c r="AA127" s="2" t="s">
        <v>6</v>
      </c>
      <c r="AB127" s="2" t="str">
        <f t="shared" ref="AB127:AB128" si="153">IF(NOT(ISBLANK(AC127)),"-","")</f>
        <v>-</v>
      </c>
      <c r="AC127" s="2" t="s">
        <v>225</v>
      </c>
      <c r="AD127" s="2" t="str">
        <f>IF(NOT(ISBLANK(AE127)),"_","")</f>
        <v>_</v>
      </c>
      <c r="AE127" s="2">
        <v>2</v>
      </c>
      <c r="AF127" s="2" t="str">
        <f>IF(NOT(ISBLANK(AG127)),"_","")</f>
        <v/>
      </c>
      <c r="AH127" s="2" t="str">
        <f t="shared" si="141"/>
        <v/>
      </c>
    </row>
    <row r="128" spans="1:35" x14ac:dyDescent="0.25">
      <c r="B128" s="2" t="str">
        <f t="shared" si="152"/>
        <v>@color-mtb:winter_3</v>
      </c>
      <c r="C128" s="110" t="s">
        <v>297</v>
      </c>
      <c r="D128" s="110" t="s">
        <v>297</v>
      </c>
      <c r="F128" s="110" t="s">
        <v>297</v>
      </c>
      <c r="G128" s="110" t="s">
        <v>297</v>
      </c>
      <c r="I128" s="110" t="s">
        <v>297</v>
      </c>
      <c r="J128" s="110" t="s">
        <v>297</v>
      </c>
      <c r="L128" s="110" t="s">
        <v>297</v>
      </c>
      <c r="M128" s="110" t="s">
        <v>297</v>
      </c>
      <c r="O128" s="110" t="s">
        <v>297</v>
      </c>
      <c r="P128" s="110" t="s">
        <v>297</v>
      </c>
      <c r="R128" s="110" t="s">
        <v>297</v>
      </c>
      <c r="S128" s="110" t="s">
        <v>297</v>
      </c>
      <c r="U128" s="44" t="s">
        <v>173</v>
      </c>
      <c r="V128" s="45" t="s">
        <v>181</v>
      </c>
      <c r="X128" s="44" t="s">
        <v>173</v>
      </c>
      <c r="Y128" s="45" t="s">
        <v>181</v>
      </c>
      <c r="AA128" s="2" t="s">
        <v>6</v>
      </c>
      <c r="AB128" s="2" t="str">
        <f t="shared" si="153"/>
        <v>-</v>
      </c>
      <c r="AC128" s="2" t="s">
        <v>225</v>
      </c>
      <c r="AD128" s="2" t="str">
        <f>IF(NOT(ISBLANK(AE128)),"_","")</f>
        <v>_</v>
      </c>
      <c r="AE128" s="2">
        <v>3</v>
      </c>
      <c r="AF128" s="2" t="str">
        <f>IF(NOT(ISBLANK(AG128)),"_","")</f>
        <v/>
      </c>
      <c r="AH128" s="2" t="str">
        <f t="shared" si="141"/>
        <v/>
      </c>
    </row>
    <row r="129" spans="2:34" x14ac:dyDescent="0.25">
      <c r="B129" s="2" t="str">
        <f t="shared" ref="B129" si="154">_xlfn.CONCAT("@",AA129,AB129,AC129,AD129,AE129,AF129,AG129,AH129,AI129)</f>
        <v>@color-mtb:winter_null</v>
      </c>
      <c r="C129" s="110" t="s">
        <v>297</v>
      </c>
      <c r="D129" s="110" t="s">
        <v>297</v>
      </c>
      <c r="F129" s="110" t="s">
        <v>297</v>
      </c>
      <c r="G129" s="110" t="s">
        <v>297</v>
      </c>
      <c r="I129" s="110" t="s">
        <v>297</v>
      </c>
      <c r="J129" s="110" t="s">
        <v>297</v>
      </c>
      <c r="L129" s="110" t="s">
        <v>297</v>
      </c>
      <c r="M129" s="110" t="s">
        <v>297</v>
      </c>
      <c r="O129" s="110" t="s">
        <v>297</v>
      </c>
      <c r="P129" s="110" t="s">
        <v>297</v>
      </c>
      <c r="R129" s="110" t="s">
        <v>297</v>
      </c>
      <c r="S129" s="110" t="s">
        <v>297</v>
      </c>
      <c r="U129" s="38" t="s">
        <v>222</v>
      </c>
      <c r="V129" s="38" t="s">
        <v>222</v>
      </c>
      <c r="X129" s="131" t="s">
        <v>417</v>
      </c>
      <c r="Y129" s="131" t="s">
        <v>417</v>
      </c>
      <c r="AA129" s="2" t="s">
        <v>6</v>
      </c>
      <c r="AB129" s="2" t="str">
        <f t="shared" ref="AB129" si="155">IF(NOT(ISBLANK(AC129)),"-","")</f>
        <v>-</v>
      </c>
      <c r="AC129" s="2" t="s">
        <v>225</v>
      </c>
      <c r="AD129" s="2" t="str">
        <f>IF(NOT(ISBLANK(AE129)),"_","")</f>
        <v>_</v>
      </c>
      <c r="AE129" s="2" t="s">
        <v>297</v>
      </c>
      <c r="AF129" s="2" t="str">
        <f>IF(NOT(ISBLANK(AG129)),"_","")</f>
        <v/>
      </c>
      <c r="AH129" s="2" t="str">
        <f t="shared" ref="AH129" si="156">IF(NOT(ISBLANK(AI129)),"_","")</f>
        <v/>
      </c>
    </row>
    <row r="130" spans="2:34" x14ac:dyDescent="0.25">
      <c r="B130" s="2"/>
      <c r="AA130" s="2"/>
      <c r="AB130" s="2"/>
      <c r="AC130" s="2"/>
      <c r="AD130" s="2"/>
      <c r="AE130" s="2"/>
    </row>
    <row r="131" spans="2:34" x14ac:dyDescent="0.25">
      <c r="B131" s="2" t="str">
        <f t="shared" ref="B131" si="157">_xlfn.CONCAT("@",AA131,AB131,AC131,AD131,AE131,AF131,AG131,AH131,AI131)</f>
        <v>@color-path_track_noexit</v>
      </c>
      <c r="C131" s="38" t="s">
        <v>222</v>
      </c>
      <c r="D131" s="38" t="s">
        <v>222</v>
      </c>
      <c r="F131" s="31" t="s">
        <v>281</v>
      </c>
      <c r="G131" s="31" t="s">
        <v>281</v>
      </c>
      <c r="I131" s="38" t="s">
        <v>222</v>
      </c>
      <c r="J131" s="38" t="s">
        <v>222</v>
      </c>
      <c r="L131" s="31" t="s">
        <v>281</v>
      </c>
      <c r="M131" s="31" t="s">
        <v>281</v>
      </c>
      <c r="U131" s="38" t="s">
        <v>222</v>
      </c>
      <c r="V131" s="38" t="s">
        <v>222</v>
      </c>
      <c r="X131" s="131" t="s">
        <v>417</v>
      </c>
      <c r="Y131" s="131" t="s">
        <v>417</v>
      </c>
      <c r="AA131" s="2" t="s">
        <v>6</v>
      </c>
      <c r="AB131" s="2" t="str">
        <f t="shared" ref="AB131" si="158">IF(NOT(ISBLANK(AC131)),"-","")</f>
        <v>-</v>
      </c>
      <c r="AC131" s="2" t="s">
        <v>435</v>
      </c>
      <c r="AD131" s="2" t="str">
        <f t="shared" ref="AD131" si="159">IF(NOT(ISBLANK(AE131)),"_","")</f>
        <v>_</v>
      </c>
      <c r="AE131" s="2" t="s">
        <v>436</v>
      </c>
      <c r="AF131" s="2" t="str">
        <f t="shared" ref="AF131" si="160">IF(NOT(ISBLANK(AG131)),"_","")</f>
        <v/>
      </c>
      <c r="AH131" s="2" t="str">
        <f t="shared" ref="AH131:AH132" si="161">IF(NOT(ISBLANK(AI131)),"_","")</f>
        <v/>
      </c>
    </row>
    <row r="132" spans="2:34" x14ac:dyDescent="0.25">
      <c r="B132" s="2"/>
      <c r="AA132" s="2"/>
      <c r="AB132" s="2" t="str">
        <f>IF(NOT(ISBLANK(AC132)),"-","")</f>
        <v/>
      </c>
      <c r="AC132" s="2"/>
      <c r="AD132" s="2" t="str">
        <f>IF(NOT(ISBLANK(AE132)),"_","")</f>
        <v/>
      </c>
      <c r="AE132" s="2"/>
      <c r="AF132" s="28" t="str">
        <f>IF(NOT(ISBLANK(AG132)),"_","")</f>
        <v/>
      </c>
      <c r="AH132" s="28" t="str">
        <f t="shared" si="161"/>
        <v/>
      </c>
    </row>
    <row r="133" spans="2:34" x14ac:dyDescent="0.25">
      <c r="B133" s="2" t="str">
        <f t="shared" ref="B133:B148" si="162">_xlfn.CONCAT("@",AA133,AB133,AC133,AD133,AE133,AF133,AG133,AH133,AI133)</f>
        <v>@case_width-path_narrow_z11</v>
      </c>
      <c r="C133" s="28" t="s">
        <v>80</v>
      </c>
      <c r="D133" s="28" t="s">
        <v>85</v>
      </c>
      <c r="F133" s="28" t="s">
        <v>80</v>
      </c>
      <c r="G133" s="28" t="s">
        <v>85</v>
      </c>
      <c r="I133" s="28" t="s">
        <v>95</v>
      </c>
      <c r="L133" s="28" t="s">
        <v>95</v>
      </c>
      <c r="U133" s="28" t="s">
        <v>84</v>
      </c>
      <c r="V133" s="28" t="s">
        <v>88</v>
      </c>
      <c r="X133" s="28" t="s">
        <v>84</v>
      </c>
      <c r="Y133" s="28" t="s">
        <v>88</v>
      </c>
      <c r="AA133" s="2" t="s">
        <v>78</v>
      </c>
      <c r="AB133" s="2" t="str">
        <f t="shared" ref="AB133" si="163">IF(NOT(ISBLANK(AC133)),"-","")</f>
        <v>-</v>
      </c>
      <c r="AC133" s="2" t="s">
        <v>71</v>
      </c>
      <c r="AD133" s="2" t="str">
        <f t="shared" ref="AD133" si="164">IF(NOT(ISBLANK(AE133)),"_","")</f>
        <v>_</v>
      </c>
      <c r="AE133" s="2" t="s">
        <v>72</v>
      </c>
      <c r="AF133" s="2" t="str">
        <f t="shared" ref="AF133" si="165">IF(NOT(ISBLANK(AG133)),"_","")</f>
        <v>_</v>
      </c>
      <c r="AG133" s="28" t="s">
        <v>70</v>
      </c>
      <c r="AH133" s="2" t="str">
        <f t="shared" ref="AH133:AH148" si="166">IF(NOT(ISBLANK(AI133)),"_","")</f>
        <v/>
      </c>
    </row>
    <row r="134" spans="2:34" x14ac:dyDescent="0.25">
      <c r="B134" s="2" t="str">
        <f t="shared" si="162"/>
        <v>@case_width-path_medium_z11</v>
      </c>
      <c r="C134" s="28" t="s">
        <v>84</v>
      </c>
      <c r="D134" s="28" t="s">
        <v>88</v>
      </c>
      <c r="F134" s="28" t="s">
        <v>84</v>
      </c>
      <c r="G134" s="28" t="s">
        <v>88</v>
      </c>
      <c r="I134" s="28" t="s">
        <v>96</v>
      </c>
      <c r="L134" s="28" t="s">
        <v>96</v>
      </c>
      <c r="U134" s="28" t="s">
        <v>84</v>
      </c>
      <c r="V134" s="28" t="s">
        <v>88</v>
      </c>
      <c r="X134" s="28" t="s">
        <v>84</v>
      </c>
      <c r="Y134" s="28" t="s">
        <v>88</v>
      </c>
      <c r="AA134" s="2" t="s">
        <v>78</v>
      </c>
      <c r="AB134" s="2" t="str">
        <f t="shared" ref="AB134" si="167">IF(NOT(ISBLANK(AC134)),"-","")</f>
        <v>-</v>
      </c>
      <c r="AC134" s="2" t="s">
        <v>71</v>
      </c>
      <c r="AD134" s="2" t="str">
        <f t="shared" ref="AD134" si="168">IF(NOT(ISBLANK(AE134)),"_","")</f>
        <v>_</v>
      </c>
      <c r="AE134" s="2" t="s">
        <v>79</v>
      </c>
      <c r="AF134" s="2" t="str">
        <f t="shared" ref="AF134" si="169">IF(NOT(ISBLANK(AG134)),"_","")</f>
        <v>_</v>
      </c>
      <c r="AG134" s="28" t="s">
        <v>70</v>
      </c>
      <c r="AH134" s="2" t="str">
        <f t="shared" si="166"/>
        <v/>
      </c>
    </row>
    <row r="135" spans="2:34" x14ac:dyDescent="0.25">
      <c r="B135" s="2" t="str">
        <f t="shared" si="162"/>
        <v>@case_width-path_wide_z11</v>
      </c>
      <c r="C135" s="28" t="s">
        <v>85</v>
      </c>
      <c r="D135" s="28" t="s">
        <v>92</v>
      </c>
      <c r="F135" s="28" t="s">
        <v>85</v>
      </c>
      <c r="G135" s="28" t="s">
        <v>92</v>
      </c>
      <c r="I135" s="28" t="s">
        <v>84</v>
      </c>
      <c r="L135" s="28" t="s">
        <v>84</v>
      </c>
      <c r="U135" s="28" t="s">
        <v>84</v>
      </c>
      <c r="V135" s="28" t="s">
        <v>88</v>
      </c>
      <c r="X135" s="28" t="s">
        <v>84</v>
      </c>
      <c r="Y135" s="28" t="s">
        <v>88</v>
      </c>
      <c r="AA135" s="2" t="s">
        <v>78</v>
      </c>
      <c r="AB135" s="2" t="str">
        <f t="shared" ref="AB135:AB138" si="170">IF(NOT(ISBLANK(AC135)),"-","")</f>
        <v>-</v>
      </c>
      <c r="AC135" s="2" t="s">
        <v>71</v>
      </c>
      <c r="AD135" s="2" t="str">
        <f t="shared" ref="AD135:AD138" si="171">IF(NOT(ISBLANK(AE135)),"_","")</f>
        <v>_</v>
      </c>
      <c r="AE135" s="2" t="s">
        <v>77</v>
      </c>
      <c r="AF135" s="2" t="str">
        <f t="shared" ref="AF135:AF138" si="172">IF(NOT(ISBLANK(AG135)),"_","")</f>
        <v>_</v>
      </c>
      <c r="AG135" s="28" t="s">
        <v>70</v>
      </c>
      <c r="AH135" s="2" t="str">
        <f t="shared" si="166"/>
        <v/>
      </c>
    </row>
    <row r="136" spans="2:34" x14ac:dyDescent="0.25">
      <c r="B136" s="2" t="str">
        <f t="shared" si="162"/>
        <v>@case_width-path_widest_z11</v>
      </c>
      <c r="C136" s="28" t="s">
        <v>85</v>
      </c>
      <c r="D136" s="28" t="s">
        <v>92</v>
      </c>
      <c r="F136" s="28" t="s">
        <v>85</v>
      </c>
      <c r="G136" s="28" t="s">
        <v>92</v>
      </c>
      <c r="I136" s="28" t="s">
        <v>84</v>
      </c>
      <c r="L136" s="28" t="s">
        <v>84</v>
      </c>
      <c r="U136" s="28" t="s">
        <v>84</v>
      </c>
      <c r="V136" s="28" t="s">
        <v>88</v>
      </c>
      <c r="X136" s="28" t="s">
        <v>84</v>
      </c>
      <c r="Y136" s="28" t="s">
        <v>88</v>
      </c>
      <c r="AA136" s="2" t="s">
        <v>78</v>
      </c>
      <c r="AB136" s="2" t="str">
        <f t="shared" ref="AB136" si="173">IF(NOT(ISBLANK(AC136)),"-","")</f>
        <v>-</v>
      </c>
      <c r="AC136" s="2" t="s">
        <v>71</v>
      </c>
      <c r="AD136" s="2" t="str">
        <f t="shared" ref="AD136" si="174">IF(NOT(ISBLANK(AE136)),"_","")</f>
        <v>_</v>
      </c>
      <c r="AE136" s="2" t="s">
        <v>296</v>
      </c>
      <c r="AF136" s="2" t="str">
        <f t="shared" ref="AF136" si="175">IF(NOT(ISBLANK(AG136)),"_","")</f>
        <v>_</v>
      </c>
      <c r="AG136" s="28" t="s">
        <v>70</v>
      </c>
      <c r="AH136" s="2" t="str">
        <f t="shared" si="166"/>
        <v/>
      </c>
    </row>
    <row r="137" spans="2:34" x14ac:dyDescent="0.25">
      <c r="B137" s="2" t="str">
        <f t="shared" si="162"/>
        <v>@case_width-path_narrow_z14</v>
      </c>
      <c r="C137" s="28" t="s">
        <v>81</v>
      </c>
      <c r="D137" s="28" t="s">
        <v>90</v>
      </c>
      <c r="F137" s="28" t="s">
        <v>81</v>
      </c>
      <c r="G137" s="28" t="s">
        <v>90</v>
      </c>
      <c r="I137" s="28" t="s">
        <v>80</v>
      </c>
      <c r="L137" s="28" t="s">
        <v>80</v>
      </c>
      <c r="U137" s="28" t="s">
        <v>85</v>
      </c>
      <c r="V137" s="28" t="s">
        <v>92</v>
      </c>
      <c r="X137" s="28" t="s">
        <v>85</v>
      </c>
      <c r="Y137" s="28" t="s">
        <v>92</v>
      </c>
      <c r="AA137" s="2" t="s">
        <v>78</v>
      </c>
      <c r="AB137" s="2" t="str">
        <f t="shared" si="170"/>
        <v>-</v>
      </c>
      <c r="AC137" s="2" t="s">
        <v>71</v>
      </c>
      <c r="AD137" s="2" t="str">
        <f t="shared" si="171"/>
        <v>_</v>
      </c>
      <c r="AE137" s="2" t="s">
        <v>72</v>
      </c>
      <c r="AF137" s="2" t="str">
        <f t="shared" si="172"/>
        <v>_</v>
      </c>
      <c r="AG137" s="28" t="s">
        <v>74</v>
      </c>
      <c r="AH137" s="2" t="str">
        <f t="shared" si="166"/>
        <v/>
      </c>
    </row>
    <row r="138" spans="2:34" x14ac:dyDescent="0.25">
      <c r="B138" s="2" t="str">
        <f t="shared" si="162"/>
        <v>@case_width-path_medium_z14</v>
      </c>
      <c r="C138" s="28" t="s">
        <v>85</v>
      </c>
      <c r="D138" s="28" t="s">
        <v>92</v>
      </c>
      <c r="F138" s="28" t="s">
        <v>85</v>
      </c>
      <c r="G138" s="28" t="s">
        <v>92</v>
      </c>
      <c r="I138" s="28" t="s">
        <v>97</v>
      </c>
      <c r="L138" s="28" t="s">
        <v>97</v>
      </c>
      <c r="U138" s="28" t="s">
        <v>85</v>
      </c>
      <c r="V138" s="28" t="s">
        <v>92</v>
      </c>
      <c r="X138" s="28" t="s">
        <v>85</v>
      </c>
      <c r="Y138" s="28" t="s">
        <v>92</v>
      </c>
      <c r="AA138" s="2" t="s">
        <v>78</v>
      </c>
      <c r="AB138" s="2" t="str">
        <f t="shared" si="170"/>
        <v>-</v>
      </c>
      <c r="AC138" s="2" t="s">
        <v>71</v>
      </c>
      <c r="AD138" s="2" t="str">
        <f t="shared" si="171"/>
        <v>_</v>
      </c>
      <c r="AE138" s="2" t="s">
        <v>79</v>
      </c>
      <c r="AF138" s="2" t="str">
        <f t="shared" si="172"/>
        <v>_</v>
      </c>
      <c r="AG138" s="28" t="s">
        <v>74</v>
      </c>
      <c r="AH138" s="2" t="str">
        <f t="shared" si="166"/>
        <v/>
      </c>
    </row>
    <row r="139" spans="2:34" x14ac:dyDescent="0.25">
      <c r="B139" s="2" t="str">
        <f t="shared" si="162"/>
        <v>@case_width-path_wide_z14</v>
      </c>
      <c r="C139" s="28" t="s">
        <v>88</v>
      </c>
      <c r="D139" s="28" t="s">
        <v>86</v>
      </c>
      <c r="F139" s="28" t="s">
        <v>88</v>
      </c>
      <c r="G139" s="28" t="s">
        <v>86</v>
      </c>
      <c r="I139" s="28" t="s">
        <v>98</v>
      </c>
      <c r="L139" s="28" t="s">
        <v>98</v>
      </c>
      <c r="U139" s="28" t="s">
        <v>85</v>
      </c>
      <c r="V139" s="28" t="s">
        <v>92</v>
      </c>
      <c r="X139" s="28" t="s">
        <v>85</v>
      </c>
      <c r="Y139" s="28" t="s">
        <v>92</v>
      </c>
      <c r="AA139" s="2" t="s">
        <v>78</v>
      </c>
      <c r="AB139" s="2" t="str">
        <f t="shared" ref="AB139:AB142" si="176">IF(NOT(ISBLANK(AC139)),"-","")</f>
        <v>-</v>
      </c>
      <c r="AC139" s="2" t="s">
        <v>71</v>
      </c>
      <c r="AD139" s="2" t="str">
        <f t="shared" ref="AD139:AD142" si="177">IF(NOT(ISBLANK(AE139)),"_","")</f>
        <v>_</v>
      </c>
      <c r="AE139" s="2" t="s">
        <v>77</v>
      </c>
      <c r="AF139" s="2" t="str">
        <f t="shared" ref="AF139:AF142" si="178">IF(NOT(ISBLANK(AG139)),"_","")</f>
        <v>_</v>
      </c>
      <c r="AG139" s="28" t="s">
        <v>74</v>
      </c>
      <c r="AH139" s="2" t="str">
        <f t="shared" si="166"/>
        <v/>
      </c>
    </row>
    <row r="140" spans="2:34" x14ac:dyDescent="0.25">
      <c r="B140" s="2" t="str">
        <f t="shared" si="162"/>
        <v>@case_width-path_widest_z14</v>
      </c>
      <c r="C140" s="28" t="s">
        <v>92</v>
      </c>
      <c r="D140" s="28" t="s">
        <v>86</v>
      </c>
      <c r="F140" s="28" t="s">
        <v>92</v>
      </c>
      <c r="G140" s="28" t="s">
        <v>86</v>
      </c>
      <c r="I140" s="28" t="s">
        <v>92</v>
      </c>
      <c r="J140" s="28" t="s">
        <v>86</v>
      </c>
      <c r="L140" s="28" t="s">
        <v>92</v>
      </c>
      <c r="M140" s="28" t="s">
        <v>86</v>
      </c>
      <c r="U140" s="28" t="s">
        <v>92</v>
      </c>
      <c r="V140" s="28" t="s">
        <v>86</v>
      </c>
      <c r="X140" s="28" t="s">
        <v>92</v>
      </c>
      <c r="Y140" s="28" t="s">
        <v>86</v>
      </c>
      <c r="AA140" s="2" t="s">
        <v>78</v>
      </c>
      <c r="AB140" s="2" t="str">
        <f t="shared" ref="AB140" si="179">IF(NOT(ISBLANK(AC140)),"-","")</f>
        <v>-</v>
      </c>
      <c r="AC140" s="2" t="s">
        <v>71</v>
      </c>
      <c r="AD140" s="2" t="str">
        <f t="shared" ref="AD140" si="180">IF(NOT(ISBLANK(AE140)),"_","")</f>
        <v>_</v>
      </c>
      <c r="AE140" s="2" t="s">
        <v>296</v>
      </c>
      <c r="AF140" s="2" t="str">
        <f t="shared" ref="AF140" si="181">IF(NOT(ISBLANK(AG140)),"_","")</f>
        <v>_</v>
      </c>
      <c r="AG140" s="28" t="s">
        <v>74</v>
      </c>
      <c r="AH140" s="2" t="str">
        <f t="shared" si="166"/>
        <v/>
      </c>
    </row>
    <row r="141" spans="2:34" x14ac:dyDescent="0.25">
      <c r="B141" s="2" t="str">
        <f t="shared" si="162"/>
        <v>@case_width-path_narrow_z16</v>
      </c>
      <c r="C141" s="28" t="s">
        <v>88</v>
      </c>
      <c r="D141" s="28" t="s">
        <v>88</v>
      </c>
      <c r="F141" s="28" t="s">
        <v>88</v>
      </c>
      <c r="G141" s="28" t="s">
        <v>88</v>
      </c>
      <c r="I141" s="28" t="s">
        <v>80</v>
      </c>
      <c r="L141" s="28" t="s">
        <v>80</v>
      </c>
      <c r="U141" s="28" t="s">
        <v>86</v>
      </c>
      <c r="V141" s="28" t="s">
        <v>86</v>
      </c>
      <c r="X141" s="28" t="s">
        <v>86</v>
      </c>
      <c r="Y141" s="28" t="s">
        <v>86</v>
      </c>
      <c r="AA141" s="2" t="s">
        <v>78</v>
      </c>
      <c r="AB141" s="2" t="str">
        <f t="shared" si="176"/>
        <v>-</v>
      </c>
      <c r="AC141" s="2" t="s">
        <v>71</v>
      </c>
      <c r="AD141" s="2" t="str">
        <f t="shared" si="177"/>
        <v>_</v>
      </c>
      <c r="AE141" s="2" t="s">
        <v>72</v>
      </c>
      <c r="AF141" s="2" t="str">
        <f t="shared" si="178"/>
        <v>_</v>
      </c>
      <c r="AG141" s="28" t="s">
        <v>75</v>
      </c>
      <c r="AH141" s="2" t="str">
        <f t="shared" si="166"/>
        <v/>
      </c>
    </row>
    <row r="142" spans="2:34" x14ac:dyDescent="0.25">
      <c r="B142" s="2" t="str">
        <f t="shared" si="162"/>
        <v>@case_width-path_medium_z16</v>
      </c>
      <c r="C142" s="28" t="s">
        <v>86</v>
      </c>
      <c r="D142" s="28" t="s">
        <v>86</v>
      </c>
      <c r="F142" s="28" t="s">
        <v>86</v>
      </c>
      <c r="G142" s="28" t="s">
        <v>86</v>
      </c>
      <c r="I142" s="28" t="s">
        <v>98</v>
      </c>
      <c r="L142" s="28" t="s">
        <v>98</v>
      </c>
      <c r="U142" s="28" t="s">
        <v>86</v>
      </c>
      <c r="V142" s="28" t="s">
        <v>86</v>
      </c>
      <c r="X142" s="28" t="s">
        <v>86</v>
      </c>
      <c r="Y142" s="28" t="s">
        <v>86</v>
      </c>
      <c r="AA142" s="2" t="s">
        <v>78</v>
      </c>
      <c r="AB142" s="2" t="str">
        <f t="shared" si="176"/>
        <v>-</v>
      </c>
      <c r="AC142" s="2" t="s">
        <v>71</v>
      </c>
      <c r="AD142" s="2" t="str">
        <f t="shared" si="177"/>
        <v>_</v>
      </c>
      <c r="AE142" s="2" t="s">
        <v>79</v>
      </c>
      <c r="AF142" s="2" t="str">
        <f t="shared" si="178"/>
        <v>_</v>
      </c>
      <c r="AG142" s="28" t="s">
        <v>75</v>
      </c>
      <c r="AH142" s="2" t="str">
        <f t="shared" si="166"/>
        <v/>
      </c>
    </row>
    <row r="143" spans="2:34" x14ac:dyDescent="0.25">
      <c r="B143" s="2" t="str">
        <f t="shared" si="162"/>
        <v>@case_width-path_wide_z16</v>
      </c>
      <c r="C143" s="28" t="s">
        <v>87</v>
      </c>
      <c r="D143" s="28" t="s">
        <v>87</v>
      </c>
      <c r="F143" s="28" t="s">
        <v>87</v>
      </c>
      <c r="G143" s="28" t="s">
        <v>87</v>
      </c>
      <c r="I143" s="28" t="s">
        <v>99</v>
      </c>
      <c r="L143" s="28" t="s">
        <v>99</v>
      </c>
      <c r="U143" s="28" t="s">
        <v>86</v>
      </c>
      <c r="V143" s="28" t="s">
        <v>86</v>
      </c>
      <c r="X143" s="28" t="s">
        <v>86</v>
      </c>
      <c r="Y143" s="28" t="s">
        <v>86</v>
      </c>
      <c r="AA143" s="2" t="s">
        <v>78</v>
      </c>
      <c r="AB143" s="2" t="str">
        <f t="shared" ref="AB143:AB146" si="182">IF(NOT(ISBLANK(AC143)),"-","")</f>
        <v>-</v>
      </c>
      <c r="AC143" s="2" t="s">
        <v>71</v>
      </c>
      <c r="AD143" s="2" t="str">
        <f t="shared" ref="AD143:AD146" si="183">IF(NOT(ISBLANK(AE143)),"_","")</f>
        <v>_</v>
      </c>
      <c r="AE143" s="2" t="s">
        <v>77</v>
      </c>
      <c r="AF143" s="2" t="str">
        <f t="shared" ref="AF143:AF146" si="184">IF(NOT(ISBLANK(AG143)),"_","")</f>
        <v>_</v>
      </c>
      <c r="AG143" s="28" t="s">
        <v>75</v>
      </c>
      <c r="AH143" s="2" t="str">
        <f t="shared" si="166"/>
        <v/>
      </c>
    </row>
    <row r="144" spans="2:34" x14ac:dyDescent="0.25">
      <c r="B144" s="2" t="str">
        <f t="shared" si="162"/>
        <v>@case_width-path_widest_z16</v>
      </c>
      <c r="C144" s="28" t="s">
        <v>87</v>
      </c>
      <c r="D144" s="28" t="s">
        <v>87</v>
      </c>
      <c r="F144" s="28" t="s">
        <v>87</v>
      </c>
      <c r="G144" s="28" t="s">
        <v>87</v>
      </c>
      <c r="I144" s="28" t="s">
        <v>87</v>
      </c>
      <c r="J144" s="28" t="s">
        <v>87</v>
      </c>
      <c r="L144" s="28" t="s">
        <v>87</v>
      </c>
      <c r="M144" s="28" t="s">
        <v>87</v>
      </c>
      <c r="U144" s="28" t="s">
        <v>87</v>
      </c>
      <c r="V144" s="28" t="s">
        <v>87</v>
      </c>
      <c r="X144" s="28" t="s">
        <v>87</v>
      </c>
      <c r="Y144" s="28" t="s">
        <v>87</v>
      </c>
      <c r="AA144" s="2" t="s">
        <v>78</v>
      </c>
      <c r="AB144" s="2" t="str">
        <f t="shared" ref="AB144" si="185">IF(NOT(ISBLANK(AC144)),"-","")</f>
        <v>-</v>
      </c>
      <c r="AC144" s="2" t="s">
        <v>71</v>
      </c>
      <c r="AD144" s="2" t="str">
        <f t="shared" ref="AD144" si="186">IF(NOT(ISBLANK(AE144)),"_","")</f>
        <v>_</v>
      </c>
      <c r="AE144" s="2" t="s">
        <v>296</v>
      </c>
      <c r="AF144" s="2" t="str">
        <f t="shared" ref="AF144" si="187">IF(NOT(ISBLANK(AG144)),"_","")</f>
        <v>_</v>
      </c>
      <c r="AG144" s="28" t="s">
        <v>75</v>
      </c>
      <c r="AH144" s="2" t="str">
        <f t="shared" si="166"/>
        <v/>
      </c>
    </row>
    <row r="145" spans="2:34" x14ac:dyDescent="0.25">
      <c r="B145" s="2" t="str">
        <f t="shared" si="162"/>
        <v>@case_width-path_narrow_z18</v>
      </c>
      <c r="C145" s="28" t="s">
        <v>83</v>
      </c>
      <c r="D145" s="28" t="s">
        <v>91</v>
      </c>
      <c r="F145" s="28" t="s">
        <v>83</v>
      </c>
      <c r="G145" s="28" t="s">
        <v>91</v>
      </c>
      <c r="I145" s="28" t="s">
        <v>84</v>
      </c>
      <c r="L145" s="28" t="s">
        <v>84</v>
      </c>
      <c r="U145" s="28" t="s">
        <v>87</v>
      </c>
      <c r="V145" s="28" t="s">
        <v>93</v>
      </c>
      <c r="X145" s="28" t="s">
        <v>87</v>
      </c>
      <c r="Y145" s="28" t="s">
        <v>93</v>
      </c>
      <c r="AA145" s="2" t="s">
        <v>78</v>
      </c>
      <c r="AB145" s="2" t="str">
        <f t="shared" si="182"/>
        <v>-</v>
      </c>
      <c r="AC145" s="2" t="s">
        <v>71</v>
      </c>
      <c r="AD145" s="2" t="str">
        <f t="shared" si="183"/>
        <v>_</v>
      </c>
      <c r="AE145" s="2" t="s">
        <v>72</v>
      </c>
      <c r="AF145" s="2" t="str">
        <f t="shared" si="184"/>
        <v>_</v>
      </c>
      <c r="AG145" s="28" t="s">
        <v>76</v>
      </c>
      <c r="AH145" s="2" t="str">
        <f t="shared" si="166"/>
        <v/>
      </c>
    </row>
    <row r="146" spans="2:34" x14ac:dyDescent="0.25">
      <c r="B146" s="2" t="str">
        <f t="shared" si="162"/>
        <v>@case_width-path_medium_z18</v>
      </c>
      <c r="C146" s="28" t="s">
        <v>87</v>
      </c>
      <c r="D146" s="28" t="s">
        <v>93</v>
      </c>
      <c r="F146" s="28" t="s">
        <v>87</v>
      </c>
      <c r="G146" s="28" t="s">
        <v>93</v>
      </c>
      <c r="I146" s="28" t="s">
        <v>99</v>
      </c>
      <c r="L146" s="28" t="s">
        <v>99</v>
      </c>
      <c r="U146" s="28" t="s">
        <v>87</v>
      </c>
      <c r="V146" s="28" t="s">
        <v>93</v>
      </c>
      <c r="X146" s="28" t="s">
        <v>87</v>
      </c>
      <c r="Y146" s="28" t="s">
        <v>93</v>
      </c>
      <c r="AA146" s="2" t="s">
        <v>78</v>
      </c>
      <c r="AB146" s="2" t="str">
        <f t="shared" si="182"/>
        <v>-</v>
      </c>
      <c r="AC146" s="2" t="s">
        <v>71</v>
      </c>
      <c r="AD146" s="2" t="str">
        <f t="shared" si="183"/>
        <v>_</v>
      </c>
      <c r="AE146" s="2" t="s">
        <v>79</v>
      </c>
      <c r="AF146" s="2" t="str">
        <f t="shared" si="184"/>
        <v>_</v>
      </c>
      <c r="AG146" s="28" t="s">
        <v>76</v>
      </c>
      <c r="AH146" s="2" t="str">
        <f t="shared" si="166"/>
        <v/>
      </c>
    </row>
    <row r="147" spans="2:34" x14ac:dyDescent="0.25">
      <c r="B147" s="2" t="str">
        <f t="shared" si="162"/>
        <v>@case_width-path_wide_z18</v>
      </c>
      <c r="C147" s="28" t="s">
        <v>89</v>
      </c>
      <c r="D147" s="28" t="s">
        <v>94</v>
      </c>
      <c r="F147" s="28" t="s">
        <v>89</v>
      </c>
      <c r="G147" s="28" t="s">
        <v>94</v>
      </c>
      <c r="I147" s="28" t="s">
        <v>100</v>
      </c>
      <c r="L147" s="28" t="s">
        <v>100</v>
      </c>
      <c r="U147" s="28" t="s">
        <v>87</v>
      </c>
      <c r="V147" s="28" t="s">
        <v>93</v>
      </c>
      <c r="X147" s="28" t="s">
        <v>87</v>
      </c>
      <c r="Y147" s="28" t="s">
        <v>93</v>
      </c>
      <c r="AA147" s="2" t="s">
        <v>78</v>
      </c>
      <c r="AB147" s="2" t="str">
        <f t="shared" ref="AB147" si="188">IF(NOT(ISBLANK(AC147)),"-","")</f>
        <v>-</v>
      </c>
      <c r="AC147" s="2" t="s">
        <v>71</v>
      </c>
      <c r="AD147" s="2" t="str">
        <f t="shared" ref="AD147" si="189">IF(NOT(ISBLANK(AE147)),"_","")</f>
        <v>_</v>
      </c>
      <c r="AE147" s="2" t="s">
        <v>77</v>
      </c>
      <c r="AF147" s="2" t="str">
        <f t="shared" ref="AF147" si="190">IF(NOT(ISBLANK(AG147)),"_","")</f>
        <v>_</v>
      </c>
      <c r="AG147" s="28" t="s">
        <v>76</v>
      </c>
      <c r="AH147" s="2" t="str">
        <f t="shared" si="166"/>
        <v/>
      </c>
    </row>
    <row r="148" spans="2:34" x14ac:dyDescent="0.25">
      <c r="B148" s="2" t="str">
        <f t="shared" si="162"/>
        <v>@case_width-path_widest_z18</v>
      </c>
      <c r="C148" s="28" t="s">
        <v>89</v>
      </c>
      <c r="D148" s="28" t="s">
        <v>94</v>
      </c>
      <c r="F148" s="28" t="s">
        <v>89</v>
      </c>
      <c r="G148" s="28" t="s">
        <v>94</v>
      </c>
      <c r="I148" s="28" t="s">
        <v>89</v>
      </c>
      <c r="J148" s="28" t="s">
        <v>94</v>
      </c>
      <c r="L148" s="28" t="s">
        <v>89</v>
      </c>
      <c r="M148" s="28" t="s">
        <v>94</v>
      </c>
      <c r="U148" s="28" t="s">
        <v>89</v>
      </c>
      <c r="V148" s="28" t="s">
        <v>94</v>
      </c>
      <c r="X148" s="28" t="s">
        <v>89</v>
      </c>
      <c r="Y148" s="28" t="s">
        <v>94</v>
      </c>
      <c r="AA148" s="2" t="s">
        <v>78</v>
      </c>
      <c r="AB148" s="2" t="str">
        <f t="shared" ref="AB148" si="191">IF(NOT(ISBLANK(AC148)),"-","")</f>
        <v>-</v>
      </c>
      <c r="AC148" s="2" t="s">
        <v>71</v>
      </c>
      <c r="AD148" s="2" t="str">
        <f t="shared" ref="AD148" si="192">IF(NOT(ISBLANK(AE148)),"_","")</f>
        <v>_</v>
      </c>
      <c r="AE148" s="2" t="s">
        <v>296</v>
      </c>
      <c r="AF148" s="2" t="str">
        <f t="shared" ref="AF148" si="193">IF(NOT(ISBLANK(AG148)),"_","")</f>
        <v>_</v>
      </c>
      <c r="AG148" s="28" t="s">
        <v>76</v>
      </c>
      <c r="AH148" s="2" t="str">
        <f t="shared" si="166"/>
        <v/>
      </c>
    </row>
    <row r="149" spans="2:34" x14ac:dyDescent="0.25">
      <c r="B149" s="2"/>
      <c r="AA149" s="2"/>
      <c r="AB149" s="2"/>
      <c r="AC149" s="2"/>
      <c r="AD149" s="2"/>
      <c r="AE149" s="2"/>
      <c r="AF149" s="2"/>
      <c r="AH149" s="2"/>
    </row>
    <row r="150" spans="2:34" x14ac:dyDescent="0.25">
      <c r="B150" s="2" t="str">
        <f t="shared" ref="B150" si="194">_xlfn.CONCAT("@",AA150,AB150,AC150,AD150,AE150,AF150,AG150,AH150,AI150)</f>
        <v>@color-path_track_footway_cycleway_railings</v>
      </c>
      <c r="C150" s="47" t="s">
        <v>214</v>
      </c>
      <c r="D150" s="47" t="s">
        <v>214</v>
      </c>
      <c r="F150" s="31" t="s">
        <v>281</v>
      </c>
      <c r="G150" s="31" t="s">
        <v>281</v>
      </c>
      <c r="I150" s="47" t="s">
        <v>214</v>
      </c>
      <c r="J150" s="47" t="s">
        <v>214</v>
      </c>
      <c r="L150" s="31" t="s">
        <v>281</v>
      </c>
      <c r="M150" s="31" t="s">
        <v>281</v>
      </c>
      <c r="U150" s="47" t="s">
        <v>214</v>
      </c>
      <c r="V150" s="47" t="s">
        <v>214</v>
      </c>
      <c r="X150" s="31" t="s">
        <v>281</v>
      </c>
      <c r="Y150" s="31" t="s">
        <v>281</v>
      </c>
      <c r="AA150" s="2" t="s">
        <v>6</v>
      </c>
      <c r="AB150" s="2" t="str">
        <f t="shared" ref="AB150" si="195">IF(NOT(ISBLANK(AC150)),"-","")</f>
        <v>-</v>
      </c>
      <c r="AC150" s="2" t="s">
        <v>349</v>
      </c>
      <c r="AD150" s="2" t="str">
        <f t="shared" ref="AD150" si="196">IF(NOT(ISBLANK(AE150)),"_","")</f>
        <v>_</v>
      </c>
      <c r="AE150" s="2" t="s">
        <v>342</v>
      </c>
      <c r="AF150" s="2" t="str">
        <f t="shared" ref="AF150" si="197">IF(NOT(ISBLANK(AG150)),"_","")</f>
        <v/>
      </c>
      <c r="AH150" s="2" t="str">
        <f t="shared" ref="AH150" si="198">IF(NOT(ISBLANK(AI150)),"_","")</f>
        <v/>
      </c>
    </row>
    <row r="151" spans="2:34" x14ac:dyDescent="0.25">
      <c r="B151" s="2" t="str">
        <f t="shared" ref="B151" si="199">_xlfn.CONCAT("@",AA151,AB151,AC151,AD151,AE151,AF151,AG151,AH151,AI151)</f>
        <v>@color-path_track_footway_cycleway_floor</v>
      </c>
      <c r="C151" s="46" t="s">
        <v>222</v>
      </c>
      <c r="D151" s="46" t="s">
        <v>222</v>
      </c>
      <c r="F151" s="47" t="s">
        <v>214</v>
      </c>
      <c r="G151" s="47" t="s">
        <v>214</v>
      </c>
      <c r="I151" s="46" t="s">
        <v>222</v>
      </c>
      <c r="J151" s="46" t="s">
        <v>222</v>
      </c>
      <c r="L151" s="47" t="s">
        <v>214</v>
      </c>
      <c r="M151" s="47" t="s">
        <v>214</v>
      </c>
      <c r="U151" s="46" t="s">
        <v>222</v>
      </c>
      <c r="V151" s="46" t="s">
        <v>222</v>
      </c>
      <c r="X151" s="47" t="s">
        <v>214</v>
      </c>
      <c r="Y151" s="47" t="s">
        <v>214</v>
      </c>
      <c r="AA151" s="2" t="s">
        <v>6</v>
      </c>
      <c r="AB151" s="2" t="str">
        <f t="shared" ref="AB151" si="200">IF(NOT(ISBLANK(AC151)),"-","")</f>
        <v>-</v>
      </c>
      <c r="AC151" s="2" t="s">
        <v>349</v>
      </c>
      <c r="AD151" s="2" t="str">
        <f t="shared" ref="AD151" si="201">IF(NOT(ISBLANK(AE151)),"_","")</f>
        <v>_</v>
      </c>
      <c r="AE151" s="2" t="s">
        <v>343</v>
      </c>
      <c r="AF151" s="2" t="str">
        <f t="shared" ref="AF151" si="202">IF(NOT(ISBLANK(AG151)),"_","")</f>
        <v/>
      </c>
      <c r="AH151" s="2" t="str">
        <f t="shared" ref="AH151" si="203">IF(NOT(ISBLANK(AI151)),"_","")</f>
        <v/>
      </c>
    </row>
    <row r="152" spans="2:34" x14ac:dyDescent="0.25">
      <c r="B152" s="2"/>
      <c r="AA152" s="2"/>
      <c r="AB152" s="2"/>
      <c r="AC152" s="2"/>
      <c r="AD152" s="2"/>
      <c r="AE152" s="2"/>
      <c r="AF152" s="2"/>
      <c r="AH152" s="2"/>
    </row>
    <row r="153" spans="2:34" x14ac:dyDescent="0.25">
      <c r="B153" s="2" t="str">
        <f t="shared" ref="B153" si="204">_xlfn.CONCAT("@",AA153,AB153,AC153,AD153,AE153,AF153,AG153,AH153,AI153)</f>
        <v>@case_width-path_track_footway_cycleway_railings_z12</v>
      </c>
      <c r="C153" s="28" t="s">
        <v>131</v>
      </c>
      <c r="D153" s="28" t="s">
        <v>131</v>
      </c>
      <c r="F153" s="28" t="s">
        <v>131</v>
      </c>
      <c r="G153" s="28" t="s">
        <v>131</v>
      </c>
      <c r="I153" s="28" t="s">
        <v>131</v>
      </c>
      <c r="J153" s="28" t="s">
        <v>82</v>
      </c>
      <c r="L153" s="28" t="s">
        <v>131</v>
      </c>
      <c r="M153" s="28" t="s">
        <v>82</v>
      </c>
      <c r="U153" s="28" t="s">
        <v>131</v>
      </c>
      <c r="V153" s="28" t="s">
        <v>131</v>
      </c>
      <c r="X153" s="28" t="s">
        <v>131</v>
      </c>
      <c r="Y153" s="28" t="s">
        <v>131</v>
      </c>
      <c r="AA153" s="2" t="s">
        <v>78</v>
      </c>
      <c r="AB153" s="2" t="str">
        <f t="shared" ref="AB153" si="205">IF(NOT(ISBLANK(AC153)),"-","")</f>
        <v>-</v>
      </c>
      <c r="AC153" s="2" t="s">
        <v>349</v>
      </c>
      <c r="AD153" s="2" t="str">
        <f t="shared" ref="AD153" si="206">IF(NOT(ISBLANK(AE153)),"_","")</f>
        <v>_</v>
      </c>
      <c r="AE153" s="2" t="s">
        <v>342</v>
      </c>
      <c r="AF153" s="2" t="str">
        <f t="shared" ref="AF153" si="207">IF(NOT(ISBLANK(AG153)),"_","")</f>
        <v>_</v>
      </c>
      <c r="AG153" s="28" t="s">
        <v>109</v>
      </c>
      <c r="AH153" s="2" t="str">
        <f t="shared" ref="AH153" si="208">IF(NOT(ISBLANK(AI153)),"_","")</f>
        <v/>
      </c>
    </row>
    <row r="154" spans="2:34" x14ac:dyDescent="0.25">
      <c r="B154" s="2" t="str">
        <f t="shared" ref="B154" si="209">_xlfn.CONCAT("@",AA154,AB154,AC154,AD154,AE154,AF154,AG154,AH154,AI154)</f>
        <v>@case_width-path_track_footway_cycleway_railings_z14</v>
      </c>
      <c r="C154" s="28" t="s">
        <v>344</v>
      </c>
      <c r="D154" s="28" t="s">
        <v>344</v>
      </c>
      <c r="F154" s="28" t="s">
        <v>344</v>
      </c>
      <c r="G154" s="28" t="s">
        <v>344</v>
      </c>
      <c r="I154" s="28" t="s">
        <v>86</v>
      </c>
      <c r="J154" s="28" t="s">
        <v>134</v>
      </c>
      <c r="L154" s="28" t="s">
        <v>86</v>
      </c>
      <c r="M154" s="28" t="s">
        <v>134</v>
      </c>
      <c r="U154" s="28" t="s">
        <v>344</v>
      </c>
      <c r="V154" s="28" t="s">
        <v>344</v>
      </c>
      <c r="X154" s="28" t="s">
        <v>344</v>
      </c>
      <c r="Y154" s="28" t="s">
        <v>344</v>
      </c>
      <c r="AA154" s="2" t="s">
        <v>78</v>
      </c>
      <c r="AB154" s="2" t="str">
        <f t="shared" ref="AB154" si="210">IF(NOT(ISBLANK(AC154)),"-","")</f>
        <v>-</v>
      </c>
      <c r="AC154" s="2" t="s">
        <v>349</v>
      </c>
      <c r="AD154" s="2" t="str">
        <f t="shared" ref="AD154" si="211">IF(NOT(ISBLANK(AE154)),"_","")</f>
        <v>_</v>
      </c>
      <c r="AE154" s="2" t="s">
        <v>342</v>
      </c>
      <c r="AF154" s="2" t="str">
        <f t="shared" ref="AF154" si="212">IF(NOT(ISBLANK(AG154)),"_","")</f>
        <v>_</v>
      </c>
      <c r="AG154" s="28" t="s">
        <v>74</v>
      </c>
      <c r="AH154" s="2" t="str">
        <f t="shared" ref="AH154" si="213">IF(NOT(ISBLANK(AI154)),"_","")</f>
        <v/>
      </c>
    </row>
    <row r="155" spans="2:34" x14ac:dyDescent="0.25">
      <c r="B155" s="2" t="str">
        <f t="shared" ref="B155" si="214">_xlfn.CONCAT("@",AA155,AB155,AC155,AD155,AE155,AF155,AG155,AH155,AI155)</f>
        <v>@case_width-path_track_footway_cycleway_railings_z15</v>
      </c>
      <c r="C155" s="28" t="s">
        <v>128</v>
      </c>
      <c r="D155" s="28" t="s">
        <v>313</v>
      </c>
      <c r="F155" s="28" t="s">
        <v>128</v>
      </c>
      <c r="G155" s="28" t="s">
        <v>86</v>
      </c>
      <c r="I155" s="28" t="s">
        <v>134</v>
      </c>
      <c r="J155" s="28" t="s">
        <v>327</v>
      </c>
      <c r="L155" s="28" t="s">
        <v>134</v>
      </c>
      <c r="M155" s="28" t="s">
        <v>327</v>
      </c>
      <c r="U155" s="28" t="s">
        <v>128</v>
      </c>
      <c r="V155" s="28" t="s">
        <v>313</v>
      </c>
      <c r="X155" s="28" t="s">
        <v>128</v>
      </c>
      <c r="Y155" s="28" t="s">
        <v>86</v>
      </c>
      <c r="AA155" s="2" t="s">
        <v>78</v>
      </c>
      <c r="AB155" s="2" t="str">
        <f t="shared" ref="AB155" si="215">IF(NOT(ISBLANK(AC155)),"-","")</f>
        <v>-</v>
      </c>
      <c r="AC155" s="2" t="s">
        <v>349</v>
      </c>
      <c r="AD155" s="2" t="str">
        <f t="shared" ref="AD155" si="216">IF(NOT(ISBLANK(AE155)),"_","")</f>
        <v>_</v>
      </c>
      <c r="AE155" s="2" t="s">
        <v>342</v>
      </c>
      <c r="AF155" s="2" t="str">
        <f t="shared" ref="AF155" si="217">IF(NOT(ISBLANK(AG155)),"_","")</f>
        <v>_</v>
      </c>
      <c r="AG155" s="28" t="s">
        <v>337</v>
      </c>
      <c r="AH155" s="2" t="str">
        <f t="shared" ref="AH155" si="218">IF(NOT(ISBLANK(AI155)),"_","")</f>
        <v/>
      </c>
    </row>
    <row r="156" spans="2:34" x14ac:dyDescent="0.25">
      <c r="B156" s="2" t="str">
        <f t="shared" ref="B156" si="219">_xlfn.CONCAT("@",AA156,AB156,AC156,AD156,AE156,AF156,AG156,AH156,AI156)</f>
        <v>@case_width-path_track_footway_cycleway_railings_z16</v>
      </c>
      <c r="C156" s="28" t="s">
        <v>340</v>
      </c>
      <c r="D156" s="28" t="s">
        <v>345</v>
      </c>
      <c r="F156" s="28" t="s">
        <v>340</v>
      </c>
      <c r="G156" s="28" t="s">
        <v>345</v>
      </c>
      <c r="I156" s="28" t="s">
        <v>135</v>
      </c>
      <c r="J156" s="28" t="s">
        <v>347</v>
      </c>
      <c r="L156" s="28" t="s">
        <v>135</v>
      </c>
      <c r="M156" s="28" t="s">
        <v>347</v>
      </c>
      <c r="U156" s="28" t="s">
        <v>340</v>
      </c>
      <c r="V156" s="28" t="s">
        <v>345</v>
      </c>
      <c r="X156" s="28" t="s">
        <v>340</v>
      </c>
      <c r="Y156" s="28" t="s">
        <v>345</v>
      </c>
      <c r="AA156" s="2" t="s">
        <v>78</v>
      </c>
      <c r="AB156" s="2" t="str">
        <f t="shared" ref="AB156" si="220">IF(NOT(ISBLANK(AC156)),"-","")</f>
        <v>-</v>
      </c>
      <c r="AC156" s="2" t="s">
        <v>349</v>
      </c>
      <c r="AD156" s="2" t="str">
        <f t="shared" ref="AD156" si="221">IF(NOT(ISBLANK(AE156)),"_","")</f>
        <v>_</v>
      </c>
      <c r="AE156" s="2" t="s">
        <v>342</v>
      </c>
      <c r="AF156" s="2" t="str">
        <f t="shared" ref="AF156" si="222">IF(NOT(ISBLANK(AG156)),"_","")</f>
        <v>_</v>
      </c>
      <c r="AG156" s="28" t="s">
        <v>75</v>
      </c>
      <c r="AH156" s="2" t="str">
        <f t="shared" ref="AH156" si="223">IF(NOT(ISBLANK(AI156)),"_","")</f>
        <v/>
      </c>
    </row>
    <row r="157" spans="2:34" x14ac:dyDescent="0.25">
      <c r="B157" s="2" t="str">
        <f t="shared" ref="B157" si="224">_xlfn.CONCAT("@",AA157,AB157,AC157,AD157,AE157,AF157,AG157,AH157,AI157)</f>
        <v>@case_width-path_track_footway_cycleway_railings_z18</v>
      </c>
      <c r="C157" s="28" t="s">
        <v>89</v>
      </c>
      <c r="D157" s="28" t="s">
        <v>339</v>
      </c>
      <c r="F157" s="28" t="s">
        <v>89</v>
      </c>
      <c r="G157" s="28" t="s">
        <v>339</v>
      </c>
      <c r="I157" s="28" t="s">
        <v>346</v>
      </c>
      <c r="J157" s="28" t="s">
        <v>348</v>
      </c>
      <c r="L157" s="28" t="s">
        <v>346</v>
      </c>
      <c r="M157" s="28" t="s">
        <v>348</v>
      </c>
      <c r="U157" s="28" t="s">
        <v>89</v>
      </c>
      <c r="V157" s="28" t="s">
        <v>339</v>
      </c>
      <c r="X157" s="28" t="s">
        <v>89</v>
      </c>
      <c r="Y157" s="28" t="s">
        <v>339</v>
      </c>
      <c r="AA157" s="2" t="s">
        <v>78</v>
      </c>
      <c r="AB157" s="2" t="str">
        <f t="shared" ref="AB157" si="225">IF(NOT(ISBLANK(AC157)),"-","")</f>
        <v>-</v>
      </c>
      <c r="AC157" s="2" t="s">
        <v>349</v>
      </c>
      <c r="AD157" s="2" t="str">
        <f t="shared" ref="AD157" si="226">IF(NOT(ISBLANK(AE157)),"_","")</f>
        <v>_</v>
      </c>
      <c r="AE157" s="2" t="s">
        <v>342</v>
      </c>
      <c r="AF157" s="2" t="str">
        <f t="shared" ref="AF157" si="227">IF(NOT(ISBLANK(AG157)),"_","")</f>
        <v>_</v>
      </c>
      <c r="AG157" s="28" t="s">
        <v>76</v>
      </c>
      <c r="AH157" s="2" t="str">
        <f t="shared" ref="AH157" si="228">IF(NOT(ISBLANK(AI157)),"_","")</f>
        <v/>
      </c>
    </row>
    <row r="158" spans="2:34" x14ac:dyDescent="0.25">
      <c r="B158" s="2"/>
      <c r="AA158" s="2"/>
      <c r="AB158" s="2"/>
      <c r="AC158" s="2"/>
      <c r="AD158" s="2"/>
      <c r="AE158" s="2"/>
      <c r="AF158" s="2"/>
      <c r="AH158" s="2"/>
    </row>
    <row r="159" spans="2:34" x14ac:dyDescent="0.25">
      <c r="B159" s="2" t="str">
        <f t="shared" ref="B159" si="229">_xlfn.CONCAT("@",AA159,AB159,AC159,AD159,AE159,AF159,AG159,AH159,AI159)</f>
        <v>@case_width-path_track_footway_cycleway_floor_z12</v>
      </c>
      <c r="C159" s="28" t="s">
        <v>112</v>
      </c>
      <c r="D159" s="28" t="s">
        <v>112</v>
      </c>
      <c r="F159" s="28" t="s">
        <v>112</v>
      </c>
      <c r="G159" s="28" t="s">
        <v>112</v>
      </c>
      <c r="I159" s="28" t="s">
        <v>112</v>
      </c>
      <c r="J159" s="28" t="s">
        <v>90</v>
      </c>
      <c r="L159" s="28" t="s">
        <v>112</v>
      </c>
      <c r="M159" s="28" t="s">
        <v>90</v>
      </c>
      <c r="U159" s="28" t="s">
        <v>112</v>
      </c>
      <c r="V159" s="28" t="s">
        <v>112</v>
      </c>
      <c r="X159" s="28" t="s">
        <v>112</v>
      </c>
      <c r="Y159" s="28" t="s">
        <v>112</v>
      </c>
      <c r="AA159" s="2" t="s">
        <v>78</v>
      </c>
      <c r="AB159" s="2" t="str">
        <f t="shared" ref="AB159" si="230">IF(NOT(ISBLANK(AC159)),"-","")</f>
        <v>-</v>
      </c>
      <c r="AC159" s="2" t="s">
        <v>349</v>
      </c>
      <c r="AD159" s="2" t="str">
        <f t="shared" ref="AD159" si="231">IF(NOT(ISBLANK(AE159)),"_","")</f>
        <v>_</v>
      </c>
      <c r="AE159" s="2" t="s">
        <v>343</v>
      </c>
      <c r="AF159" s="2" t="str">
        <f t="shared" ref="AF159" si="232">IF(NOT(ISBLANK(AG159)),"_","")</f>
        <v>_</v>
      </c>
      <c r="AG159" s="28" t="s">
        <v>109</v>
      </c>
      <c r="AH159" s="2" t="str">
        <f t="shared" ref="AH159" si="233">IF(NOT(ISBLANK(AI159)),"_","")</f>
        <v/>
      </c>
    </row>
    <row r="160" spans="2:34" x14ac:dyDescent="0.25">
      <c r="B160" s="2" t="str">
        <f t="shared" ref="B160" si="234">_xlfn.CONCAT("@",AA160,AB160,AC160,AD160,AE160,AF160,AG160,AH160,AI160)</f>
        <v>@case_width-path_track_footway_cycleway_floor_z14</v>
      </c>
      <c r="C160" s="28" t="s">
        <v>112</v>
      </c>
      <c r="D160" s="28" t="s">
        <v>112</v>
      </c>
      <c r="F160" s="28" t="s">
        <v>112</v>
      </c>
      <c r="G160" s="28" t="s">
        <v>112</v>
      </c>
      <c r="I160" s="28" t="s">
        <v>128</v>
      </c>
      <c r="J160" s="28" t="s">
        <v>313</v>
      </c>
      <c r="L160" s="28" t="s">
        <v>128</v>
      </c>
      <c r="M160" s="28" t="s">
        <v>313</v>
      </c>
      <c r="U160" s="28" t="s">
        <v>112</v>
      </c>
      <c r="V160" s="28" t="s">
        <v>112</v>
      </c>
      <c r="X160" s="28" t="s">
        <v>112</v>
      </c>
      <c r="Y160" s="28" t="s">
        <v>112</v>
      </c>
      <c r="AA160" s="2" t="s">
        <v>78</v>
      </c>
      <c r="AB160" s="2" t="str">
        <f t="shared" ref="AB160" si="235">IF(NOT(ISBLANK(AC160)),"-","")</f>
        <v>-</v>
      </c>
      <c r="AC160" s="2" t="s">
        <v>349</v>
      </c>
      <c r="AD160" s="2" t="str">
        <f t="shared" ref="AD160" si="236">IF(NOT(ISBLANK(AE160)),"_","")</f>
        <v>_</v>
      </c>
      <c r="AE160" s="2" t="s">
        <v>343</v>
      </c>
      <c r="AF160" s="2" t="str">
        <f t="shared" ref="AF160" si="237">IF(NOT(ISBLANK(AG160)),"_","")</f>
        <v>_</v>
      </c>
      <c r="AG160" s="28" t="s">
        <v>74</v>
      </c>
      <c r="AH160" s="2" t="str">
        <f t="shared" ref="AH160" si="238">IF(NOT(ISBLANK(AI160)),"_","")</f>
        <v/>
      </c>
    </row>
    <row r="161" spans="1:35" x14ac:dyDescent="0.25">
      <c r="B161" s="2" t="str">
        <f t="shared" ref="B161:B162" si="239">_xlfn.CONCAT("@",AA161,AB161,AC161,AD161,AE161,AF161,AG161,AH161,AI161)</f>
        <v>@case_width-path_track_footway_cycleway_floor_z15</v>
      </c>
      <c r="C161" s="28" t="s">
        <v>88</v>
      </c>
      <c r="D161" s="28" t="s">
        <v>92</v>
      </c>
      <c r="F161" s="28" t="s">
        <v>88</v>
      </c>
      <c r="G161" s="28" t="s">
        <v>92</v>
      </c>
      <c r="I161" s="28" t="s">
        <v>83</v>
      </c>
      <c r="J161" s="28" t="s">
        <v>86</v>
      </c>
      <c r="L161" s="28" t="s">
        <v>83</v>
      </c>
      <c r="M161" s="28" t="s">
        <v>86</v>
      </c>
      <c r="U161" s="28" t="s">
        <v>88</v>
      </c>
      <c r="V161" s="28" t="s">
        <v>92</v>
      </c>
      <c r="X161" s="28" t="s">
        <v>88</v>
      </c>
      <c r="Y161" s="28" t="s">
        <v>92</v>
      </c>
      <c r="AA161" s="2" t="s">
        <v>78</v>
      </c>
      <c r="AB161" s="2" t="str">
        <f t="shared" ref="AB161:AB162" si="240">IF(NOT(ISBLANK(AC161)),"-","")</f>
        <v>-</v>
      </c>
      <c r="AC161" s="2" t="s">
        <v>349</v>
      </c>
      <c r="AD161" s="2" t="str">
        <f t="shared" ref="AD161:AD162" si="241">IF(NOT(ISBLANK(AE161)),"_","")</f>
        <v>_</v>
      </c>
      <c r="AE161" s="2" t="s">
        <v>343</v>
      </c>
      <c r="AF161" s="2" t="str">
        <f t="shared" ref="AF161:AF162" si="242">IF(NOT(ISBLANK(AG161)),"_","")</f>
        <v>_</v>
      </c>
      <c r="AG161" s="28" t="s">
        <v>337</v>
      </c>
      <c r="AH161" s="2" t="str">
        <f t="shared" ref="AH161:AH162" si="243">IF(NOT(ISBLANK(AI161)),"_","")</f>
        <v/>
      </c>
    </row>
    <row r="162" spans="1:35" x14ac:dyDescent="0.25">
      <c r="B162" s="2" t="str">
        <f t="shared" si="239"/>
        <v>@case_width-path_track_footway_cycleway_floor_z16</v>
      </c>
      <c r="C162" s="28" t="s">
        <v>86</v>
      </c>
      <c r="D162" s="28" t="s">
        <v>134</v>
      </c>
      <c r="F162" s="28" t="s">
        <v>86</v>
      </c>
      <c r="G162" s="28" t="s">
        <v>134</v>
      </c>
      <c r="I162" s="28" t="s">
        <v>327</v>
      </c>
      <c r="J162" s="28" t="s">
        <v>341</v>
      </c>
      <c r="L162" s="28" t="s">
        <v>327</v>
      </c>
      <c r="M162" s="28" t="s">
        <v>341</v>
      </c>
      <c r="U162" s="28" t="s">
        <v>86</v>
      </c>
      <c r="V162" s="28" t="s">
        <v>134</v>
      </c>
      <c r="X162" s="28" t="s">
        <v>86</v>
      </c>
      <c r="Y162" s="28" t="s">
        <v>134</v>
      </c>
      <c r="AA162" s="2" t="s">
        <v>78</v>
      </c>
      <c r="AB162" s="2" t="str">
        <f t="shared" si="240"/>
        <v>-</v>
      </c>
      <c r="AC162" s="2" t="s">
        <v>349</v>
      </c>
      <c r="AD162" s="2" t="str">
        <f t="shared" si="241"/>
        <v>_</v>
      </c>
      <c r="AE162" s="2" t="s">
        <v>343</v>
      </c>
      <c r="AF162" s="2" t="str">
        <f t="shared" si="242"/>
        <v>_</v>
      </c>
      <c r="AG162" s="28" t="s">
        <v>75</v>
      </c>
      <c r="AH162" s="2" t="str">
        <f t="shared" si="243"/>
        <v/>
      </c>
    </row>
    <row r="163" spans="1:35" x14ac:dyDescent="0.25">
      <c r="B163" s="2" t="str">
        <f t="shared" ref="B163" si="244">_xlfn.CONCAT("@",AA163,AB163,AC163,AD163,AE163,AF163,AG163,AH163,AI163)</f>
        <v>@case_width-path_track_footway_cycleway_floor_z18</v>
      </c>
      <c r="C163" s="28" t="s">
        <v>332</v>
      </c>
      <c r="D163" s="28" t="s">
        <v>338</v>
      </c>
      <c r="F163" s="28" t="s">
        <v>332</v>
      </c>
      <c r="G163" s="28" t="s">
        <v>338</v>
      </c>
      <c r="I163" s="28" t="s">
        <v>339</v>
      </c>
      <c r="J163" s="28" t="s">
        <v>145</v>
      </c>
      <c r="L163" s="28" t="s">
        <v>339</v>
      </c>
      <c r="M163" s="28" t="s">
        <v>145</v>
      </c>
      <c r="U163" s="28" t="s">
        <v>332</v>
      </c>
      <c r="V163" s="28" t="s">
        <v>338</v>
      </c>
      <c r="X163" s="28" t="s">
        <v>332</v>
      </c>
      <c r="Y163" s="28" t="s">
        <v>338</v>
      </c>
      <c r="AA163" s="2" t="s">
        <v>78</v>
      </c>
      <c r="AB163" s="2" t="str">
        <f t="shared" ref="AB163" si="245">IF(NOT(ISBLANK(AC163)),"-","")</f>
        <v>-</v>
      </c>
      <c r="AC163" s="2" t="s">
        <v>349</v>
      </c>
      <c r="AD163" s="2" t="str">
        <f t="shared" ref="AD163" si="246">IF(NOT(ISBLANK(AE163)),"_","")</f>
        <v>_</v>
      </c>
      <c r="AE163" s="2" t="s">
        <v>343</v>
      </c>
      <c r="AF163" s="2" t="str">
        <f t="shared" ref="AF163" si="247">IF(NOT(ISBLANK(AG163)),"_","")</f>
        <v>_</v>
      </c>
      <c r="AG163" s="28" t="s">
        <v>76</v>
      </c>
      <c r="AH163" s="2" t="str">
        <f t="shared" ref="AH163" si="248">IF(NOT(ISBLANK(AI163)),"_","")</f>
        <v/>
      </c>
    </row>
    <row r="164" spans="1:35" x14ac:dyDescent="0.25">
      <c r="B164" s="2"/>
      <c r="AA164" s="2"/>
      <c r="AB164" s="2"/>
      <c r="AC164" s="2"/>
      <c r="AD164" s="2"/>
      <c r="AE164" s="2"/>
    </row>
    <row r="165" spans="1:35" x14ac:dyDescent="0.25">
      <c r="B165" s="2" t="str">
        <f>_xlfn.CONCAT("@",AA165,AB165,AC165,AD165,AE165,AF165,AG165,AH165,AI165)</f>
        <v>@case_width-track_default_z10</v>
      </c>
      <c r="C165" s="28" t="s">
        <v>85</v>
      </c>
      <c r="D165" s="28" t="s">
        <v>354</v>
      </c>
      <c r="F165" s="28" t="s">
        <v>85</v>
      </c>
      <c r="G165" s="28" t="s">
        <v>354</v>
      </c>
      <c r="I165" s="28" t="s">
        <v>85</v>
      </c>
      <c r="J165" s="28" t="s">
        <v>354</v>
      </c>
      <c r="L165" s="28" t="s">
        <v>85</v>
      </c>
      <c r="M165" s="28" t="s">
        <v>354</v>
      </c>
      <c r="U165" s="28" t="s">
        <v>85</v>
      </c>
      <c r="V165" s="28" t="s">
        <v>354</v>
      </c>
      <c r="X165" s="28" t="s">
        <v>85</v>
      </c>
      <c r="Y165" s="28" t="s">
        <v>354</v>
      </c>
      <c r="AA165" s="2" t="s">
        <v>78</v>
      </c>
      <c r="AB165" s="2" t="str">
        <f>IF(NOT(ISBLANK(AC165)),"-","")</f>
        <v>-</v>
      </c>
      <c r="AC165" s="2" t="s">
        <v>102</v>
      </c>
      <c r="AD165" s="2" t="str">
        <f>IF(NOT(ISBLANK(AE165)),"_","")</f>
        <v>_</v>
      </c>
      <c r="AE165" s="2" t="s">
        <v>262</v>
      </c>
      <c r="AF165" s="2" t="str">
        <f>IF(NOT(ISBLANK(AG165)),"_","")</f>
        <v>_</v>
      </c>
      <c r="AG165" s="28" t="s">
        <v>103</v>
      </c>
      <c r="AH165" s="2" t="str">
        <f>IF(NOT(ISBLANK(AI165)),"_","")</f>
        <v/>
      </c>
    </row>
    <row r="166" spans="1:35" x14ac:dyDescent="0.25">
      <c r="B166" s="2" t="str">
        <f>_xlfn.CONCAT("@",AA166,AB166,AC166,AD166,AE166,AF166,AG166,AH166,AI166)</f>
        <v>@case_width-track_default_z12</v>
      </c>
      <c r="C166" s="28" t="s">
        <v>82</v>
      </c>
      <c r="D166" s="28" t="s">
        <v>83</v>
      </c>
      <c r="F166" s="28" t="s">
        <v>82</v>
      </c>
      <c r="G166" s="28" t="s">
        <v>83</v>
      </c>
      <c r="I166" s="28" t="s">
        <v>82</v>
      </c>
      <c r="J166" s="28" t="s">
        <v>83</v>
      </c>
      <c r="L166" s="28" t="s">
        <v>82</v>
      </c>
      <c r="M166" s="28" t="s">
        <v>83</v>
      </c>
      <c r="U166" s="28" t="s">
        <v>82</v>
      </c>
      <c r="V166" s="28" t="s">
        <v>83</v>
      </c>
      <c r="X166" s="28" t="s">
        <v>82</v>
      </c>
      <c r="Y166" s="28" t="s">
        <v>83</v>
      </c>
      <c r="AA166" s="2" t="s">
        <v>78</v>
      </c>
      <c r="AB166" s="2" t="str">
        <f>IF(NOT(ISBLANK(AC166)),"-","")</f>
        <v>-</v>
      </c>
      <c r="AC166" s="2" t="s">
        <v>102</v>
      </c>
      <c r="AD166" s="2" t="str">
        <f>IF(NOT(ISBLANK(AE166)),"_","")</f>
        <v>_</v>
      </c>
      <c r="AE166" s="2" t="s">
        <v>262</v>
      </c>
      <c r="AF166" s="2" t="str">
        <f>IF(NOT(ISBLANK(AG166)),"_","")</f>
        <v>_</v>
      </c>
      <c r="AG166" s="28" t="s">
        <v>109</v>
      </c>
      <c r="AH166" s="2" t="str">
        <f>IF(NOT(ISBLANK(AI166)),"_","")</f>
        <v/>
      </c>
    </row>
    <row r="167" spans="1:35" x14ac:dyDescent="0.25">
      <c r="B167" s="2" t="str">
        <f>_xlfn.CONCAT("@",AA167,AB167,AC167,AD167,AE167,AF167,AG167,AH167,AI167)</f>
        <v>@case_width-track_default_z14</v>
      </c>
      <c r="C167" s="28" t="s">
        <v>92</v>
      </c>
      <c r="D167" s="28" t="s">
        <v>86</v>
      </c>
      <c r="F167" s="28" t="s">
        <v>92</v>
      </c>
      <c r="G167" s="28" t="s">
        <v>86</v>
      </c>
      <c r="I167" s="28" t="s">
        <v>92</v>
      </c>
      <c r="J167" s="28" t="s">
        <v>86</v>
      </c>
      <c r="L167" s="28" t="s">
        <v>92</v>
      </c>
      <c r="M167" s="28" t="s">
        <v>86</v>
      </c>
      <c r="U167" s="28" t="s">
        <v>92</v>
      </c>
      <c r="V167" s="28" t="s">
        <v>86</v>
      </c>
      <c r="X167" s="28" t="s">
        <v>92</v>
      </c>
      <c r="Y167" s="28" t="s">
        <v>86</v>
      </c>
      <c r="AA167" s="2" t="s">
        <v>78</v>
      </c>
      <c r="AB167" s="2" t="str">
        <f>IF(NOT(ISBLANK(AC167)),"-","")</f>
        <v>-</v>
      </c>
      <c r="AC167" s="2" t="s">
        <v>102</v>
      </c>
      <c r="AD167" s="2" t="str">
        <f>IF(NOT(ISBLANK(AE167)),"_","")</f>
        <v>_</v>
      </c>
      <c r="AE167" s="2" t="s">
        <v>262</v>
      </c>
      <c r="AF167" s="2" t="str">
        <f>IF(NOT(ISBLANK(AG167)),"_","")</f>
        <v>_</v>
      </c>
      <c r="AG167" s="28" t="s">
        <v>74</v>
      </c>
      <c r="AH167" s="2" t="str">
        <f>IF(NOT(ISBLANK(AI167)),"_","")</f>
        <v/>
      </c>
    </row>
    <row r="168" spans="1:35" x14ac:dyDescent="0.25">
      <c r="B168" s="2" t="str">
        <f>_xlfn.CONCAT("@",AA168,AB168,AC168,AD168,AE168,AF168,AG168,AH168,AI168)</f>
        <v>@case_width-track_default_z16</v>
      </c>
      <c r="C168" s="28" t="s">
        <v>87</v>
      </c>
      <c r="D168" s="28" t="s">
        <v>87</v>
      </c>
      <c r="F168" s="28" t="s">
        <v>87</v>
      </c>
      <c r="G168" s="28" t="s">
        <v>87</v>
      </c>
      <c r="I168" s="28" t="s">
        <v>87</v>
      </c>
      <c r="J168" s="28" t="s">
        <v>87</v>
      </c>
      <c r="L168" s="28" t="s">
        <v>87</v>
      </c>
      <c r="M168" s="28" t="s">
        <v>87</v>
      </c>
      <c r="U168" s="28" t="s">
        <v>87</v>
      </c>
      <c r="V168" s="28" t="s">
        <v>87</v>
      </c>
      <c r="X168" s="28" t="s">
        <v>87</v>
      </c>
      <c r="Y168" s="28" t="s">
        <v>87</v>
      </c>
      <c r="AA168" s="2" t="s">
        <v>78</v>
      </c>
      <c r="AB168" s="2" t="str">
        <f>IF(NOT(ISBLANK(AC168)),"-","")</f>
        <v>-</v>
      </c>
      <c r="AC168" s="2" t="s">
        <v>102</v>
      </c>
      <c r="AD168" s="2" t="str">
        <f>IF(NOT(ISBLANK(AE168)),"_","")</f>
        <v>_</v>
      </c>
      <c r="AE168" s="2" t="s">
        <v>262</v>
      </c>
      <c r="AF168" s="2" t="str">
        <f>IF(NOT(ISBLANK(AG168)),"_","")</f>
        <v>_</v>
      </c>
      <c r="AG168" s="28" t="s">
        <v>75</v>
      </c>
      <c r="AH168" s="2" t="str">
        <f>IF(NOT(ISBLANK(AI168)),"_","")</f>
        <v/>
      </c>
    </row>
    <row r="169" spans="1:35" x14ac:dyDescent="0.25">
      <c r="B169" s="2" t="str">
        <f>_xlfn.CONCAT("@",AA169,AB169,AC169,AD169,AE169,AF169,AG169,AH169,AI169)</f>
        <v>@case_width-track_default_z18</v>
      </c>
      <c r="C169" s="28" t="s">
        <v>89</v>
      </c>
      <c r="D169" s="28" t="s">
        <v>94</v>
      </c>
      <c r="F169" s="28" t="s">
        <v>89</v>
      </c>
      <c r="G169" s="28" t="s">
        <v>94</v>
      </c>
      <c r="I169" s="28" t="s">
        <v>89</v>
      </c>
      <c r="J169" s="28" t="s">
        <v>94</v>
      </c>
      <c r="L169" s="28" t="s">
        <v>89</v>
      </c>
      <c r="M169" s="28" t="s">
        <v>94</v>
      </c>
      <c r="U169" s="28" t="s">
        <v>89</v>
      </c>
      <c r="V169" s="28" t="s">
        <v>94</v>
      </c>
      <c r="X169" s="28" t="s">
        <v>89</v>
      </c>
      <c r="Y169" s="28" t="s">
        <v>94</v>
      </c>
      <c r="AA169" s="2" t="s">
        <v>78</v>
      </c>
      <c r="AB169" s="2" t="str">
        <f>IF(NOT(ISBLANK(AC169)),"-","")</f>
        <v>-</v>
      </c>
      <c r="AC169" s="2" t="s">
        <v>102</v>
      </c>
      <c r="AD169" s="2" t="str">
        <f>IF(NOT(ISBLANK(AE169)),"_","")</f>
        <v>_</v>
      </c>
      <c r="AE169" s="2" t="s">
        <v>262</v>
      </c>
      <c r="AF169" s="2" t="str">
        <f>IF(NOT(ISBLANK(AG169)),"_","")</f>
        <v>_</v>
      </c>
      <c r="AG169" s="28" t="s">
        <v>76</v>
      </c>
      <c r="AH169" s="2" t="str">
        <f>IF(NOT(ISBLANK(AI169)),"_","")</f>
        <v/>
      </c>
    </row>
    <row r="170" spans="1:35" x14ac:dyDescent="0.25">
      <c r="B170" s="2"/>
      <c r="AA170" s="2"/>
      <c r="AB170" s="2"/>
      <c r="AC170" s="2"/>
      <c r="AD170" s="2"/>
      <c r="AE170" s="2"/>
    </row>
    <row r="171" spans="1:35" s="5" customFormat="1" x14ac:dyDescent="0.25">
      <c r="A171" s="27" t="s">
        <v>334</v>
      </c>
      <c r="B171" s="27"/>
      <c r="C171" s="27"/>
      <c r="D171" s="27"/>
      <c r="F171" s="27"/>
      <c r="G171" s="27"/>
      <c r="I171" s="27"/>
      <c r="J171" s="27"/>
      <c r="L171" s="27"/>
      <c r="M171" s="27"/>
      <c r="O171" s="27"/>
      <c r="P171" s="27"/>
      <c r="R171" s="27"/>
      <c r="S171" s="27"/>
      <c r="U171" s="27"/>
      <c r="V171" s="27"/>
      <c r="X171" s="27"/>
      <c r="Y171" s="27"/>
      <c r="AA171" s="27"/>
      <c r="AB171" s="27"/>
      <c r="AC171" s="27"/>
      <c r="AD171" s="27"/>
      <c r="AE171" s="27"/>
      <c r="AF171" s="27"/>
      <c r="AG171" s="27"/>
      <c r="AH171" s="27"/>
      <c r="AI171" s="27"/>
    </row>
    <row r="172" spans="1:35" x14ac:dyDescent="0.25">
      <c r="B172" s="2" t="str">
        <f t="shared" ref="B172" si="249">_xlfn.CONCAT("@",AA172,AB172,AC172,AD172,AE172,AF172,AG172,AH172,AI172)</f>
        <v>@line_width-path_default_farzoom</v>
      </c>
      <c r="C172" s="28" t="s">
        <v>122</v>
      </c>
      <c r="D172" s="28" t="s">
        <v>122</v>
      </c>
      <c r="F172" s="28" t="s">
        <v>122</v>
      </c>
      <c r="G172" s="28" t="s">
        <v>122</v>
      </c>
      <c r="I172" s="28" t="s">
        <v>122</v>
      </c>
      <c r="J172" s="28" t="s">
        <v>122</v>
      </c>
      <c r="L172" s="28" t="s">
        <v>122</v>
      </c>
      <c r="M172" s="28" t="s">
        <v>122</v>
      </c>
      <c r="U172" s="28" t="s">
        <v>122</v>
      </c>
      <c r="V172" s="28" t="s">
        <v>122</v>
      </c>
      <c r="X172" s="28" t="s">
        <v>122</v>
      </c>
      <c r="Y172" s="28" t="s">
        <v>122</v>
      </c>
      <c r="AA172" s="2" t="s">
        <v>119</v>
      </c>
      <c r="AB172" s="2" t="str">
        <f t="shared" ref="AB172" si="250">IF(NOT(ISBLANK(AC172)),"-","")</f>
        <v>-</v>
      </c>
      <c r="AC172" s="2" t="s">
        <v>71</v>
      </c>
      <c r="AD172" s="2" t="str">
        <f t="shared" ref="AD172" si="251">IF(NOT(ISBLANK(AE172)),"_","")</f>
        <v>_</v>
      </c>
      <c r="AE172" s="2" t="s">
        <v>262</v>
      </c>
      <c r="AF172" s="2" t="str">
        <f t="shared" ref="AF172" si="252">IF(NOT(ISBLANK(AG172)),"_","")</f>
        <v>_</v>
      </c>
      <c r="AG172" s="28" t="s">
        <v>20</v>
      </c>
      <c r="AH172" s="2" t="str">
        <f t="shared" ref="AH172" si="253">IF(NOT(ISBLANK(AI172)),"_","")</f>
        <v/>
      </c>
    </row>
    <row r="173" spans="1:35" x14ac:dyDescent="0.25">
      <c r="B173" s="2" t="str">
        <f t="shared" ref="B173:B188" si="254">_xlfn.CONCAT("@",AA173,AB173,AC173,AD173,AE173,AF173,AG173,AH173,AI173)</f>
        <v>@line_width-path_narrow_z12</v>
      </c>
      <c r="C173" s="28" t="s">
        <v>120</v>
      </c>
      <c r="D173" s="28" t="s">
        <v>122</v>
      </c>
      <c r="F173" s="28" t="s">
        <v>120</v>
      </c>
      <c r="G173" s="28" t="s">
        <v>122</v>
      </c>
      <c r="I173" s="28" t="s">
        <v>120</v>
      </c>
      <c r="J173" s="28" t="s">
        <v>122</v>
      </c>
      <c r="L173" s="28" t="s">
        <v>120</v>
      </c>
      <c r="M173" s="28" t="s">
        <v>122</v>
      </c>
      <c r="U173" s="28" t="s">
        <v>122</v>
      </c>
      <c r="V173" s="28" t="s">
        <v>116</v>
      </c>
      <c r="X173" s="28" t="s">
        <v>122</v>
      </c>
      <c r="Y173" s="28" t="s">
        <v>116</v>
      </c>
      <c r="AA173" s="2" t="s">
        <v>119</v>
      </c>
      <c r="AB173" s="2" t="str">
        <f t="shared" ref="AB173:AB188" si="255">IF(NOT(ISBLANK(AC173)),"-","")</f>
        <v>-</v>
      </c>
      <c r="AC173" s="2" t="s">
        <v>71</v>
      </c>
      <c r="AD173" s="2" t="str">
        <f t="shared" ref="AD173:AD188" si="256">IF(NOT(ISBLANK(AE173)),"_","")</f>
        <v>_</v>
      </c>
      <c r="AE173" s="2" t="s">
        <v>72</v>
      </c>
      <c r="AF173" s="2" t="str">
        <f t="shared" ref="AF173:AF188" si="257">IF(NOT(ISBLANK(AG173)),"_","")</f>
        <v>_</v>
      </c>
      <c r="AG173" s="28" t="s">
        <v>109</v>
      </c>
      <c r="AH173" s="2" t="str">
        <f t="shared" ref="AH173:AH188" si="258">IF(NOT(ISBLANK(AI173)),"_","")</f>
        <v/>
      </c>
    </row>
    <row r="174" spans="1:35" x14ac:dyDescent="0.25">
      <c r="B174" s="2" t="str">
        <f t="shared" si="254"/>
        <v>@line_width-path_medium_z12</v>
      </c>
      <c r="C174" s="28" t="s">
        <v>122</v>
      </c>
      <c r="D174" s="28" t="s">
        <v>116</v>
      </c>
      <c r="F174" s="28" t="s">
        <v>122</v>
      </c>
      <c r="G174" s="28" t="s">
        <v>116</v>
      </c>
      <c r="I174" s="28" t="s">
        <v>122</v>
      </c>
      <c r="J174" s="28" t="s">
        <v>116</v>
      </c>
      <c r="L174" s="28" t="s">
        <v>122</v>
      </c>
      <c r="M174" s="28" t="s">
        <v>116</v>
      </c>
      <c r="U174" s="28" t="s">
        <v>122</v>
      </c>
      <c r="V174" s="28" t="s">
        <v>116</v>
      </c>
      <c r="X174" s="28" t="s">
        <v>122</v>
      </c>
      <c r="Y174" s="28" t="s">
        <v>116</v>
      </c>
      <c r="AA174" s="2" t="s">
        <v>119</v>
      </c>
      <c r="AB174" s="2" t="str">
        <f t="shared" si="255"/>
        <v>-</v>
      </c>
      <c r="AC174" s="2" t="s">
        <v>71</v>
      </c>
      <c r="AD174" s="2" t="str">
        <f t="shared" si="256"/>
        <v>_</v>
      </c>
      <c r="AE174" s="2" t="s">
        <v>79</v>
      </c>
      <c r="AF174" s="2" t="str">
        <f t="shared" si="257"/>
        <v>_</v>
      </c>
      <c r="AG174" s="28" t="s">
        <v>109</v>
      </c>
      <c r="AH174" s="2" t="str">
        <f t="shared" si="258"/>
        <v/>
      </c>
    </row>
    <row r="175" spans="1:35" x14ac:dyDescent="0.25">
      <c r="B175" s="2" t="str">
        <f t="shared" si="254"/>
        <v>@line_width-path_wide_z12</v>
      </c>
      <c r="C175" s="28" t="s">
        <v>97</v>
      </c>
      <c r="D175" s="28" t="s">
        <v>123</v>
      </c>
      <c r="F175" s="28" t="s">
        <v>97</v>
      </c>
      <c r="G175" s="28" t="s">
        <v>123</v>
      </c>
      <c r="I175" s="28" t="s">
        <v>97</v>
      </c>
      <c r="J175" s="28" t="s">
        <v>123</v>
      </c>
      <c r="L175" s="28" t="s">
        <v>97</v>
      </c>
      <c r="M175" s="28" t="s">
        <v>123</v>
      </c>
      <c r="U175" s="28" t="s">
        <v>122</v>
      </c>
      <c r="V175" s="28" t="s">
        <v>116</v>
      </c>
      <c r="X175" s="28" t="s">
        <v>122</v>
      </c>
      <c r="Y175" s="28" t="s">
        <v>116</v>
      </c>
      <c r="AA175" s="2" t="s">
        <v>119</v>
      </c>
      <c r="AB175" s="2" t="str">
        <f t="shared" si="255"/>
        <v>-</v>
      </c>
      <c r="AC175" s="2" t="s">
        <v>71</v>
      </c>
      <c r="AD175" s="2" t="str">
        <f t="shared" si="256"/>
        <v>_</v>
      </c>
      <c r="AE175" s="2" t="s">
        <v>77</v>
      </c>
      <c r="AF175" s="2" t="str">
        <f t="shared" si="257"/>
        <v>_</v>
      </c>
      <c r="AG175" s="28" t="s">
        <v>109</v>
      </c>
      <c r="AH175" s="2" t="str">
        <f t="shared" si="258"/>
        <v/>
      </c>
    </row>
    <row r="176" spans="1:35" x14ac:dyDescent="0.25">
      <c r="B176" s="2" t="str">
        <f t="shared" si="254"/>
        <v>@line_width-path_widest_z12</v>
      </c>
      <c r="C176" s="28" t="s">
        <v>97</v>
      </c>
      <c r="D176" s="28" t="s">
        <v>123</v>
      </c>
      <c r="F176" s="28" t="s">
        <v>97</v>
      </c>
      <c r="G176" s="28" t="s">
        <v>123</v>
      </c>
      <c r="I176" s="28" t="s">
        <v>97</v>
      </c>
      <c r="J176" s="28" t="s">
        <v>123</v>
      </c>
      <c r="L176" s="28" t="s">
        <v>97</v>
      </c>
      <c r="M176" s="28" t="s">
        <v>123</v>
      </c>
      <c r="U176" s="28" t="s">
        <v>122</v>
      </c>
      <c r="V176" s="28" t="s">
        <v>116</v>
      </c>
      <c r="X176" s="28" t="s">
        <v>122</v>
      </c>
      <c r="Y176" s="28" t="s">
        <v>116</v>
      </c>
      <c r="AA176" s="2" t="s">
        <v>119</v>
      </c>
      <c r="AB176" s="2" t="str">
        <f t="shared" si="255"/>
        <v>-</v>
      </c>
      <c r="AC176" s="2" t="s">
        <v>71</v>
      </c>
      <c r="AD176" s="2" t="str">
        <f t="shared" si="256"/>
        <v>_</v>
      </c>
      <c r="AE176" s="2" t="s">
        <v>296</v>
      </c>
      <c r="AF176" s="2" t="str">
        <f t="shared" si="257"/>
        <v>_</v>
      </c>
      <c r="AG176" s="28" t="s">
        <v>109</v>
      </c>
      <c r="AH176" s="2" t="str">
        <f t="shared" si="258"/>
        <v/>
      </c>
    </row>
    <row r="177" spans="2:34" x14ac:dyDescent="0.25">
      <c r="B177" s="2" t="str">
        <f t="shared" si="254"/>
        <v>@line_width-path_narrow_z14</v>
      </c>
      <c r="C177" s="28" t="s">
        <v>96</v>
      </c>
      <c r="D177" s="28" t="s">
        <v>97</v>
      </c>
      <c r="F177" s="28" t="s">
        <v>96</v>
      </c>
      <c r="G177" s="28" t="s">
        <v>97</v>
      </c>
      <c r="I177" s="28" t="s">
        <v>95</v>
      </c>
      <c r="J177" s="28" t="s">
        <v>115</v>
      </c>
      <c r="L177" s="28" t="s">
        <v>95</v>
      </c>
      <c r="M177" s="28" t="s">
        <v>115</v>
      </c>
      <c r="U177" s="28" t="s">
        <v>80</v>
      </c>
      <c r="V177" s="28" t="s">
        <v>84</v>
      </c>
      <c r="X177" s="28" t="s">
        <v>80</v>
      </c>
      <c r="Y177" s="28" t="s">
        <v>84</v>
      </c>
      <c r="AA177" s="2" t="s">
        <v>119</v>
      </c>
      <c r="AB177" s="2" t="str">
        <f t="shared" si="255"/>
        <v>-</v>
      </c>
      <c r="AC177" s="2" t="s">
        <v>71</v>
      </c>
      <c r="AD177" s="2" t="str">
        <f t="shared" si="256"/>
        <v>_</v>
      </c>
      <c r="AE177" s="2" t="s">
        <v>72</v>
      </c>
      <c r="AF177" s="2" t="str">
        <f t="shared" si="257"/>
        <v>_</v>
      </c>
      <c r="AG177" s="28" t="s">
        <v>74</v>
      </c>
      <c r="AH177" s="2" t="str">
        <f t="shared" si="258"/>
        <v/>
      </c>
    </row>
    <row r="178" spans="2:34" x14ac:dyDescent="0.25">
      <c r="B178" s="2" t="str">
        <f t="shared" si="254"/>
        <v>@line_width-path_medium_z14</v>
      </c>
      <c r="C178" s="28" t="s">
        <v>80</v>
      </c>
      <c r="D178" s="28" t="s">
        <v>84</v>
      </c>
      <c r="F178" s="28" t="s">
        <v>80</v>
      </c>
      <c r="G178" s="28" t="s">
        <v>84</v>
      </c>
      <c r="I178" s="28" t="s">
        <v>96</v>
      </c>
      <c r="J178" s="28" t="s">
        <v>97</v>
      </c>
      <c r="L178" s="28" t="s">
        <v>96</v>
      </c>
      <c r="M178" s="28" t="s">
        <v>97</v>
      </c>
      <c r="U178" s="28" t="s">
        <v>80</v>
      </c>
      <c r="V178" s="28" t="s">
        <v>84</v>
      </c>
      <c r="X178" s="28" t="s">
        <v>80</v>
      </c>
      <c r="Y178" s="28" t="s">
        <v>84</v>
      </c>
      <c r="AA178" s="2" t="s">
        <v>119</v>
      </c>
      <c r="AB178" s="2" t="str">
        <f t="shared" si="255"/>
        <v>-</v>
      </c>
      <c r="AC178" s="2" t="s">
        <v>71</v>
      </c>
      <c r="AD178" s="2" t="str">
        <f t="shared" si="256"/>
        <v>_</v>
      </c>
      <c r="AE178" s="2" t="s">
        <v>79</v>
      </c>
      <c r="AF178" s="2" t="str">
        <f t="shared" si="257"/>
        <v>_</v>
      </c>
      <c r="AG178" s="28" t="s">
        <v>74</v>
      </c>
      <c r="AH178" s="2" t="str">
        <f t="shared" si="258"/>
        <v/>
      </c>
    </row>
    <row r="179" spans="2:34" x14ac:dyDescent="0.25">
      <c r="B179" s="2" t="str">
        <f t="shared" si="254"/>
        <v>@line_width-path_wide_z14</v>
      </c>
      <c r="C179" s="28" t="s">
        <v>123</v>
      </c>
      <c r="D179" s="28" t="s">
        <v>126</v>
      </c>
      <c r="F179" s="28" t="s">
        <v>123</v>
      </c>
      <c r="G179" s="28" t="s">
        <v>126</v>
      </c>
      <c r="I179" s="28" t="s">
        <v>84</v>
      </c>
      <c r="J179" s="28" t="s">
        <v>112</v>
      </c>
      <c r="L179" s="28" t="s">
        <v>84</v>
      </c>
      <c r="M179" s="28" t="s">
        <v>112</v>
      </c>
      <c r="U179" s="28" t="s">
        <v>80</v>
      </c>
      <c r="V179" s="28" t="s">
        <v>84</v>
      </c>
      <c r="X179" s="28" t="s">
        <v>80</v>
      </c>
      <c r="Y179" s="28" t="s">
        <v>84</v>
      </c>
      <c r="AA179" s="2" t="s">
        <v>119</v>
      </c>
      <c r="AB179" s="2" t="str">
        <f t="shared" si="255"/>
        <v>-</v>
      </c>
      <c r="AC179" s="2" t="s">
        <v>71</v>
      </c>
      <c r="AD179" s="2" t="str">
        <f t="shared" si="256"/>
        <v>_</v>
      </c>
      <c r="AE179" s="2" t="s">
        <v>77</v>
      </c>
      <c r="AF179" s="2" t="str">
        <f t="shared" si="257"/>
        <v>_</v>
      </c>
      <c r="AG179" s="28" t="s">
        <v>74</v>
      </c>
      <c r="AH179" s="2" t="str">
        <f t="shared" si="258"/>
        <v/>
      </c>
    </row>
    <row r="180" spans="2:34" x14ac:dyDescent="0.25">
      <c r="B180" s="2" t="str">
        <f t="shared" si="254"/>
        <v>@line_width-path_widest_z14</v>
      </c>
      <c r="C180" s="28" t="s">
        <v>123</v>
      </c>
      <c r="D180" s="28" t="s">
        <v>126</v>
      </c>
      <c r="F180" s="28" t="s">
        <v>123</v>
      </c>
      <c r="G180" s="28" t="s">
        <v>126</v>
      </c>
      <c r="I180" s="28" t="s">
        <v>84</v>
      </c>
      <c r="J180" s="28" t="s">
        <v>112</v>
      </c>
      <c r="L180" s="28" t="s">
        <v>84</v>
      </c>
      <c r="M180" s="28" t="s">
        <v>112</v>
      </c>
      <c r="U180" s="28" t="s">
        <v>80</v>
      </c>
      <c r="V180" s="28" t="s">
        <v>84</v>
      </c>
      <c r="X180" s="28" t="s">
        <v>80</v>
      </c>
      <c r="Y180" s="28" t="s">
        <v>84</v>
      </c>
      <c r="AA180" s="2" t="s">
        <v>119</v>
      </c>
      <c r="AB180" s="2" t="str">
        <f t="shared" si="255"/>
        <v>-</v>
      </c>
      <c r="AC180" s="2" t="s">
        <v>71</v>
      </c>
      <c r="AD180" s="2" t="str">
        <f t="shared" si="256"/>
        <v>_</v>
      </c>
      <c r="AE180" s="2" t="s">
        <v>296</v>
      </c>
      <c r="AF180" s="2" t="str">
        <f t="shared" si="257"/>
        <v>_</v>
      </c>
      <c r="AG180" s="28" t="s">
        <v>74</v>
      </c>
      <c r="AH180" s="2" t="str">
        <f t="shared" si="258"/>
        <v/>
      </c>
    </row>
    <row r="181" spans="2:34" x14ac:dyDescent="0.25">
      <c r="B181" s="2" t="str">
        <f t="shared" si="254"/>
        <v>@line_width-path_narrow_z16</v>
      </c>
      <c r="C181" s="28" t="s">
        <v>80</v>
      </c>
      <c r="D181" s="28" t="s">
        <v>85</v>
      </c>
      <c r="F181" s="28" t="s">
        <v>80</v>
      </c>
      <c r="G181" s="28" t="s">
        <v>85</v>
      </c>
      <c r="I181" s="28" t="s">
        <v>80</v>
      </c>
      <c r="J181" s="28" t="s">
        <v>84</v>
      </c>
      <c r="L181" s="28" t="s">
        <v>80</v>
      </c>
      <c r="M181" s="28" t="s">
        <v>84</v>
      </c>
      <c r="U181" s="28" t="s">
        <v>123</v>
      </c>
      <c r="V181" s="28" t="s">
        <v>126</v>
      </c>
      <c r="X181" s="28" t="s">
        <v>123</v>
      </c>
      <c r="Y181" s="28" t="s">
        <v>126</v>
      </c>
      <c r="AA181" s="2" t="s">
        <v>119</v>
      </c>
      <c r="AB181" s="2" t="str">
        <f t="shared" si="255"/>
        <v>-</v>
      </c>
      <c r="AC181" s="2" t="s">
        <v>71</v>
      </c>
      <c r="AD181" s="2" t="str">
        <f t="shared" si="256"/>
        <v>_</v>
      </c>
      <c r="AE181" s="2" t="s">
        <v>72</v>
      </c>
      <c r="AF181" s="2" t="str">
        <f t="shared" si="257"/>
        <v>_</v>
      </c>
      <c r="AG181" s="28" t="s">
        <v>75</v>
      </c>
      <c r="AH181" s="2" t="str">
        <f t="shared" si="258"/>
        <v/>
      </c>
    </row>
    <row r="182" spans="2:34" x14ac:dyDescent="0.25">
      <c r="B182" s="2" t="str">
        <f t="shared" si="254"/>
        <v>@line_width-path_medium_z16</v>
      </c>
      <c r="C182" s="28" t="s">
        <v>123</v>
      </c>
      <c r="D182" s="28" t="s">
        <v>126</v>
      </c>
      <c r="F182" s="28" t="s">
        <v>123</v>
      </c>
      <c r="G182" s="28" t="s">
        <v>126</v>
      </c>
      <c r="I182" s="28" t="s">
        <v>97</v>
      </c>
      <c r="J182" s="28" t="s">
        <v>123</v>
      </c>
      <c r="L182" s="28" t="s">
        <v>97</v>
      </c>
      <c r="M182" s="28" t="s">
        <v>123</v>
      </c>
      <c r="U182" s="28" t="s">
        <v>123</v>
      </c>
      <c r="V182" s="28" t="s">
        <v>126</v>
      </c>
      <c r="X182" s="28" t="s">
        <v>123</v>
      </c>
      <c r="Y182" s="28" t="s">
        <v>126</v>
      </c>
      <c r="AA182" s="2" t="s">
        <v>119</v>
      </c>
      <c r="AB182" s="2" t="str">
        <f t="shared" si="255"/>
        <v>-</v>
      </c>
      <c r="AC182" s="2" t="s">
        <v>71</v>
      </c>
      <c r="AD182" s="2" t="str">
        <f t="shared" si="256"/>
        <v>_</v>
      </c>
      <c r="AE182" s="2" t="s">
        <v>79</v>
      </c>
      <c r="AF182" s="2" t="str">
        <f t="shared" si="257"/>
        <v>_</v>
      </c>
      <c r="AG182" s="28" t="s">
        <v>75</v>
      </c>
      <c r="AH182" s="2" t="str">
        <f t="shared" si="258"/>
        <v/>
      </c>
    </row>
    <row r="183" spans="2:34" x14ac:dyDescent="0.25">
      <c r="B183" s="2" t="str">
        <f t="shared" si="254"/>
        <v>@line_width-path_wide_z16</v>
      </c>
      <c r="C183" s="28" t="s">
        <v>88</v>
      </c>
      <c r="D183" s="28" t="s">
        <v>128</v>
      </c>
      <c r="F183" s="28" t="s">
        <v>88</v>
      </c>
      <c r="G183" s="28" t="s">
        <v>128</v>
      </c>
      <c r="I183" s="28" t="s">
        <v>98</v>
      </c>
      <c r="J183" s="28" t="s">
        <v>99</v>
      </c>
      <c r="L183" s="28" t="s">
        <v>98</v>
      </c>
      <c r="M183" s="28" t="s">
        <v>99</v>
      </c>
      <c r="U183" s="28" t="s">
        <v>123</v>
      </c>
      <c r="V183" s="28" t="s">
        <v>126</v>
      </c>
      <c r="X183" s="28" t="s">
        <v>123</v>
      </c>
      <c r="Y183" s="28" t="s">
        <v>126</v>
      </c>
      <c r="AA183" s="2" t="s">
        <v>119</v>
      </c>
      <c r="AB183" s="2" t="str">
        <f t="shared" si="255"/>
        <v>-</v>
      </c>
      <c r="AC183" s="2" t="s">
        <v>71</v>
      </c>
      <c r="AD183" s="2" t="str">
        <f t="shared" si="256"/>
        <v>_</v>
      </c>
      <c r="AE183" s="2" t="s">
        <v>77</v>
      </c>
      <c r="AF183" s="2" t="str">
        <f t="shared" si="257"/>
        <v>_</v>
      </c>
      <c r="AG183" s="28" t="s">
        <v>75</v>
      </c>
      <c r="AH183" s="2" t="str">
        <f t="shared" si="258"/>
        <v/>
      </c>
    </row>
    <row r="184" spans="2:34" x14ac:dyDescent="0.25">
      <c r="B184" s="2" t="str">
        <f t="shared" si="254"/>
        <v>@line_width-path_widest_z16</v>
      </c>
      <c r="C184" s="28" t="s">
        <v>88</v>
      </c>
      <c r="D184" s="28" t="s">
        <v>128</v>
      </c>
      <c r="F184" s="28" t="s">
        <v>88</v>
      </c>
      <c r="G184" s="28" t="s">
        <v>128</v>
      </c>
      <c r="I184" s="28" t="s">
        <v>98</v>
      </c>
      <c r="J184" s="28" t="s">
        <v>99</v>
      </c>
      <c r="L184" s="28" t="s">
        <v>98</v>
      </c>
      <c r="M184" s="28" t="s">
        <v>99</v>
      </c>
      <c r="U184" s="28" t="s">
        <v>123</v>
      </c>
      <c r="V184" s="28" t="s">
        <v>126</v>
      </c>
      <c r="X184" s="28" t="s">
        <v>123</v>
      </c>
      <c r="Y184" s="28" t="s">
        <v>126</v>
      </c>
      <c r="AA184" s="2" t="s">
        <v>119</v>
      </c>
      <c r="AB184" s="2" t="str">
        <f t="shared" si="255"/>
        <v>-</v>
      </c>
      <c r="AC184" s="2" t="s">
        <v>71</v>
      </c>
      <c r="AD184" s="2" t="str">
        <f t="shared" si="256"/>
        <v>_</v>
      </c>
      <c r="AE184" s="2" t="s">
        <v>296</v>
      </c>
      <c r="AF184" s="2" t="str">
        <f t="shared" si="257"/>
        <v>_</v>
      </c>
      <c r="AG184" s="28" t="s">
        <v>75</v>
      </c>
      <c r="AH184" s="2" t="str">
        <f t="shared" si="258"/>
        <v/>
      </c>
    </row>
    <row r="185" spans="2:34" x14ac:dyDescent="0.25">
      <c r="B185" s="2" t="str">
        <f t="shared" si="254"/>
        <v>@line_width-path_narrow_z18</v>
      </c>
      <c r="C185" s="28" t="s">
        <v>85</v>
      </c>
      <c r="D185" s="28" t="s">
        <v>88</v>
      </c>
      <c r="F185" s="28" t="s">
        <v>85</v>
      </c>
      <c r="G185" s="28" t="s">
        <v>88</v>
      </c>
      <c r="I185" s="28" t="s">
        <v>80</v>
      </c>
      <c r="J185" s="28" t="s">
        <v>84</v>
      </c>
      <c r="L185" s="28" t="s">
        <v>80</v>
      </c>
      <c r="M185" s="28" t="s">
        <v>84</v>
      </c>
      <c r="U185" s="28" t="s">
        <v>82</v>
      </c>
      <c r="V185" s="28" t="s">
        <v>127</v>
      </c>
      <c r="X185" s="28" t="s">
        <v>82</v>
      </c>
      <c r="Y185" s="28" t="s">
        <v>127</v>
      </c>
      <c r="AA185" s="2" t="s">
        <v>119</v>
      </c>
      <c r="AB185" s="2" t="str">
        <f t="shared" si="255"/>
        <v>-</v>
      </c>
      <c r="AC185" s="2" t="s">
        <v>71</v>
      </c>
      <c r="AD185" s="2" t="str">
        <f t="shared" si="256"/>
        <v>_</v>
      </c>
      <c r="AE185" s="2" t="s">
        <v>72</v>
      </c>
      <c r="AF185" s="2" t="str">
        <f t="shared" si="257"/>
        <v>_</v>
      </c>
      <c r="AG185" s="28" t="s">
        <v>76</v>
      </c>
      <c r="AH185" s="2" t="str">
        <f t="shared" si="258"/>
        <v/>
      </c>
    </row>
    <row r="186" spans="2:34" x14ac:dyDescent="0.25">
      <c r="B186" s="2" t="str">
        <f t="shared" si="254"/>
        <v>@line_width-path_medium_z18</v>
      </c>
      <c r="C186" s="28" t="s">
        <v>82</v>
      </c>
      <c r="D186" s="28" t="s">
        <v>127</v>
      </c>
      <c r="F186" s="28" t="s">
        <v>82</v>
      </c>
      <c r="G186" s="28" t="s">
        <v>127</v>
      </c>
      <c r="I186" s="28" t="s">
        <v>98</v>
      </c>
      <c r="J186" s="28" t="s">
        <v>99</v>
      </c>
      <c r="L186" s="28" t="s">
        <v>98</v>
      </c>
      <c r="M186" s="28" t="s">
        <v>99</v>
      </c>
      <c r="U186" s="28" t="s">
        <v>82</v>
      </c>
      <c r="V186" s="28" t="s">
        <v>127</v>
      </c>
      <c r="X186" s="28" t="s">
        <v>82</v>
      </c>
      <c r="Y186" s="28" t="s">
        <v>127</v>
      </c>
      <c r="AA186" s="2" t="s">
        <v>119</v>
      </c>
      <c r="AB186" s="2" t="str">
        <f t="shared" si="255"/>
        <v>-</v>
      </c>
      <c r="AC186" s="2" t="s">
        <v>71</v>
      </c>
      <c r="AD186" s="2" t="str">
        <f t="shared" si="256"/>
        <v>_</v>
      </c>
      <c r="AE186" s="2" t="s">
        <v>79</v>
      </c>
      <c r="AF186" s="2" t="str">
        <f t="shared" si="257"/>
        <v>_</v>
      </c>
      <c r="AG186" s="28" t="s">
        <v>76</v>
      </c>
      <c r="AH186" s="2" t="str">
        <f t="shared" si="258"/>
        <v/>
      </c>
    </row>
    <row r="187" spans="2:34" x14ac:dyDescent="0.25">
      <c r="B187" s="2" t="str">
        <f t="shared" si="254"/>
        <v>@line_width-path_wide_z18</v>
      </c>
      <c r="C187" s="28" t="s">
        <v>313</v>
      </c>
      <c r="D187" s="28" t="s">
        <v>129</v>
      </c>
      <c r="F187" s="28" t="s">
        <v>313</v>
      </c>
      <c r="G187" s="28" t="s">
        <v>129</v>
      </c>
      <c r="I187" s="28" t="s">
        <v>99</v>
      </c>
      <c r="J187" s="28" t="s">
        <v>100</v>
      </c>
      <c r="L187" s="28" t="s">
        <v>99</v>
      </c>
      <c r="M187" s="28" t="s">
        <v>100</v>
      </c>
      <c r="U187" s="28" t="s">
        <v>82</v>
      </c>
      <c r="V187" s="28" t="s">
        <v>127</v>
      </c>
      <c r="X187" s="28" t="s">
        <v>82</v>
      </c>
      <c r="Y187" s="28" t="s">
        <v>127</v>
      </c>
      <c r="AA187" s="2" t="s">
        <v>119</v>
      </c>
      <c r="AB187" s="2" t="str">
        <f t="shared" si="255"/>
        <v>-</v>
      </c>
      <c r="AC187" s="2" t="s">
        <v>71</v>
      </c>
      <c r="AD187" s="2" t="str">
        <f t="shared" si="256"/>
        <v>_</v>
      </c>
      <c r="AE187" s="2" t="s">
        <v>77</v>
      </c>
      <c r="AF187" s="2" t="str">
        <f t="shared" si="257"/>
        <v>_</v>
      </c>
      <c r="AG187" s="28" t="s">
        <v>76</v>
      </c>
      <c r="AH187" s="2" t="str">
        <f t="shared" si="258"/>
        <v/>
      </c>
    </row>
    <row r="188" spans="2:34" x14ac:dyDescent="0.25">
      <c r="B188" s="2" t="str">
        <f t="shared" si="254"/>
        <v>@line_width-path_widest_z18</v>
      </c>
      <c r="C188" s="28" t="s">
        <v>313</v>
      </c>
      <c r="D188" s="28" t="s">
        <v>129</v>
      </c>
      <c r="F188" s="28" t="s">
        <v>313</v>
      </c>
      <c r="G188" s="28" t="s">
        <v>129</v>
      </c>
      <c r="I188" s="28" t="s">
        <v>99</v>
      </c>
      <c r="J188" s="28" t="s">
        <v>100</v>
      </c>
      <c r="L188" s="28" t="s">
        <v>99</v>
      </c>
      <c r="M188" s="28" t="s">
        <v>100</v>
      </c>
      <c r="U188" s="28" t="s">
        <v>82</v>
      </c>
      <c r="V188" s="28" t="s">
        <v>127</v>
      </c>
      <c r="X188" s="28" t="s">
        <v>82</v>
      </c>
      <c r="Y188" s="28" t="s">
        <v>127</v>
      </c>
      <c r="AA188" s="2" t="s">
        <v>119</v>
      </c>
      <c r="AB188" s="2" t="str">
        <f t="shared" si="255"/>
        <v>-</v>
      </c>
      <c r="AC188" s="2" t="s">
        <v>71</v>
      </c>
      <c r="AD188" s="2" t="str">
        <f t="shared" si="256"/>
        <v>_</v>
      </c>
      <c r="AE188" s="2" t="s">
        <v>296</v>
      </c>
      <c r="AF188" s="2" t="str">
        <f t="shared" si="257"/>
        <v>_</v>
      </c>
      <c r="AG188" s="28" t="s">
        <v>76</v>
      </c>
      <c r="AH188" s="2" t="str">
        <f t="shared" si="258"/>
        <v/>
      </c>
    </row>
    <row r="189" spans="2:34" x14ac:dyDescent="0.25">
      <c r="B189" s="2"/>
      <c r="AA189" s="2"/>
      <c r="AB189" s="2"/>
      <c r="AC189" s="2"/>
      <c r="AD189" s="2"/>
      <c r="AE189" s="2"/>
      <c r="AF189" s="2"/>
      <c r="AH189" s="2"/>
    </row>
    <row r="190" spans="2:34" x14ac:dyDescent="0.25">
      <c r="B190" s="2" t="str">
        <f>_xlfn.CONCAT("@",AA190,AB190,AC190,AD190,AE190,AF190,AG190,AH190,AI190)</f>
        <v>@line_width-track_default_z10</v>
      </c>
      <c r="C190" s="28" t="s">
        <v>120</v>
      </c>
      <c r="D190" s="28" t="s">
        <v>81</v>
      </c>
      <c r="F190" s="28" t="s">
        <v>120</v>
      </c>
      <c r="G190" s="28" t="s">
        <v>81</v>
      </c>
      <c r="I190" s="28" t="s">
        <v>96</v>
      </c>
      <c r="J190" s="28" t="s">
        <v>353</v>
      </c>
      <c r="L190" s="28" t="s">
        <v>96</v>
      </c>
      <c r="M190" s="28" t="s">
        <v>353</v>
      </c>
      <c r="U190" s="28" t="s">
        <v>120</v>
      </c>
      <c r="V190" s="28" t="s">
        <v>81</v>
      </c>
      <c r="X190" s="28" t="s">
        <v>120</v>
      </c>
      <c r="Y190" s="28" t="s">
        <v>81</v>
      </c>
      <c r="AA190" s="2" t="s">
        <v>119</v>
      </c>
      <c r="AB190" s="2" t="str">
        <f t="shared" ref="AB190:AB194" si="259">IF(NOT(ISBLANK(AC190)),"-","")</f>
        <v>-</v>
      </c>
      <c r="AC190" s="2" t="s">
        <v>102</v>
      </c>
      <c r="AD190" s="2" t="str">
        <f t="shared" ref="AD190:AD194" si="260">IF(NOT(ISBLANK(AE190)),"_","")</f>
        <v>_</v>
      </c>
      <c r="AE190" s="2" t="s">
        <v>262</v>
      </c>
      <c r="AF190" s="2" t="str">
        <f t="shared" ref="AF190:AF194" si="261">IF(NOT(ISBLANK(AG190)),"_","")</f>
        <v>_</v>
      </c>
      <c r="AG190" s="28" t="s">
        <v>103</v>
      </c>
      <c r="AH190" s="2" t="str">
        <f t="shared" ref="AH190:AH194" si="262">IF(NOT(ISBLANK(AI190)),"_","")</f>
        <v/>
      </c>
    </row>
    <row r="191" spans="2:34" x14ac:dyDescent="0.25">
      <c r="B191" s="2" t="str">
        <f>_xlfn.CONCAT("@",AA191,AB191,AC191,AD191,AE191,AF191,AG191,AH191,AI191)</f>
        <v>@line_width-track_default_z12</v>
      </c>
      <c r="C191" s="28" t="s">
        <v>96</v>
      </c>
      <c r="D191" s="28" t="s">
        <v>98</v>
      </c>
      <c r="F191" s="28" t="s">
        <v>96</v>
      </c>
      <c r="G191" s="28" t="s">
        <v>98</v>
      </c>
      <c r="I191" s="28" t="s">
        <v>97</v>
      </c>
      <c r="J191" s="28" t="s">
        <v>123</v>
      </c>
      <c r="L191" s="28" t="s">
        <v>97</v>
      </c>
      <c r="M191" s="28" t="s">
        <v>123</v>
      </c>
      <c r="U191" s="28" t="s">
        <v>96</v>
      </c>
      <c r="V191" s="28" t="s">
        <v>98</v>
      </c>
      <c r="X191" s="28" t="s">
        <v>96</v>
      </c>
      <c r="Y191" s="28" t="s">
        <v>98</v>
      </c>
      <c r="AA191" s="2" t="s">
        <v>119</v>
      </c>
      <c r="AB191" s="2" t="str">
        <f t="shared" si="259"/>
        <v>-</v>
      </c>
      <c r="AC191" s="2" t="s">
        <v>102</v>
      </c>
      <c r="AD191" s="2" t="str">
        <f t="shared" si="260"/>
        <v>_</v>
      </c>
      <c r="AE191" s="2" t="s">
        <v>262</v>
      </c>
      <c r="AF191" s="2" t="str">
        <f t="shared" si="261"/>
        <v>_</v>
      </c>
      <c r="AG191" s="28" t="s">
        <v>109</v>
      </c>
      <c r="AH191" s="2" t="str">
        <f t="shared" si="262"/>
        <v/>
      </c>
    </row>
    <row r="192" spans="2:34" x14ac:dyDescent="0.25">
      <c r="B192" s="2" t="str">
        <f>_xlfn.CONCAT("@",AA192,AB192,AC192,AD192,AE192,AF192,AG192,AH192,AI192)</f>
        <v>@line_width-track_default_z14</v>
      </c>
      <c r="C192" s="28" t="s">
        <v>81</v>
      </c>
      <c r="D192" s="28" t="s">
        <v>85</v>
      </c>
      <c r="F192" s="28" t="s">
        <v>81</v>
      </c>
      <c r="G192" s="28" t="s">
        <v>85</v>
      </c>
      <c r="I192" s="28" t="s">
        <v>98</v>
      </c>
      <c r="J192" s="28" t="s">
        <v>99</v>
      </c>
      <c r="L192" s="28" t="s">
        <v>98</v>
      </c>
      <c r="M192" s="28" t="s">
        <v>99</v>
      </c>
      <c r="U192" s="28" t="s">
        <v>81</v>
      </c>
      <c r="V192" s="28" t="s">
        <v>85</v>
      </c>
      <c r="X192" s="28" t="s">
        <v>81</v>
      </c>
      <c r="Y192" s="28" t="s">
        <v>85</v>
      </c>
      <c r="AA192" s="2" t="s">
        <v>119</v>
      </c>
      <c r="AB192" s="2" t="str">
        <f t="shared" si="259"/>
        <v>-</v>
      </c>
      <c r="AC192" s="2" t="s">
        <v>102</v>
      </c>
      <c r="AD192" s="2" t="str">
        <f t="shared" si="260"/>
        <v>_</v>
      </c>
      <c r="AE192" s="2" t="s">
        <v>262</v>
      </c>
      <c r="AF192" s="2" t="str">
        <f t="shared" si="261"/>
        <v>_</v>
      </c>
      <c r="AG192" s="28" t="s">
        <v>74</v>
      </c>
      <c r="AH192" s="2" t="str">
        <f t="shared" si="262"/>
        <v/>
      </c>
    </row>
    <row r="193" spans="2:35" x14ac:dyDescent="0.25">
      <c r="B193" s="2" t="str">
        <f>_xlfn.CONCAT("@",AA193,AB193,AC193,AD193,AE193,AF193,AG193,AH193,AI193)</f>
        <v>@line_width-track_default_z16</v>
      </c>
      <c r="C193" s="28" t="s">
        <v>82</v>
      </c>
      <c r="D193" s="28" t="s">
        <v>127</v>
      </c>
      <c r="F193" s="28" t="s">
        <v>82</v>
      </c>
      <c r="G193" s="28" t="s">
        <v>127</v>
      </c>
      <c r="I193" s="28" t="s">
        <v>92</v>
      </c>
      <c r="J193" s="28" t="s">
        <v>86</v>
      </c>
      <c r="L193" s="28" t="s">
        <v>92</v>
      </c>
      <c r="M193" s="28" t="s">
        <v>86</v>
      </c>
      <c r="U193" s="28" t="s">
        <v>82</v>
      </c>
      <c r="V193" s="28" t="s">
        <v>127</v>
      </c>
      <c r="X193" s="28" t="s">
        <v>82</v>
      </c>
      <c r="Y193" s="28" t="s">
        <v>127</v>
      </c>
      <c r="AA193" s="2" t="s">
        <v>119</v>
      </c>
      <c r="AB193" s="2" t="str">
        <f t="shared" si="259"/>
        <v>-</v>
      </c>
      <c r="AC193" s="2" t="s">
        <v>102</v>
      </c>
      <c r="AD193" s="2" t="str">
        <f t="shared" si="260"/>
        <v>_</v>
      </c>
      <c r="AE193" s="2" t="s">
        <v>262</v>
      </c>
      <c r="AF193" s="2" t="str">
        <f t="shared" si="261"/>
        <v>_</v>
      </c>
      <c r="AG193" s="28" t="s">
        <v>75</v>
      </c>
      <c r="AH193" s="2" t="str">
        <f t="shared" si="262"/>
        <v/>
      </c>
    </row>
    <row r="194" spans="2:35" x14ac:dyDescent="0.25">
      <c r="B194" s="2" t="str">
        <f>_xlfn.CONCAT("@",AA194,AB194,AC194,AD194,AE194,AF194,AG194,AH194,AI194)</f>
        <v>@line_width-track_default_z18</v>
      </c>
      <c r="C194" s="28" t="s">
        <v>134</v>
      </c>
      <c r="D194" s="28" t="s">
        <v>135</v>
      </c>
      <c r="F194" s="28" t="s">
        <v>134</v>
      </c>
      <c r="G194" s="28" t="s">
        <v>135</v>
      </c>
      <c r="I194" s="28" t="s">
        <v>327</v>
      </c>
      <c r="J194" s="28" t="s">
        <v>332</v>
      </c>
      <c r="L194" s="28" t="s">
        <v>327</v>
      </c>
      <c r="M194" s="28" t="s">
        <v>332</v>
      </c>
      <c r="U194" s="28" t="s">
        <v>134</v>
      </c>
      <c r="V194" s="28" t="s">
        <v>135</v>
      </c>
      <c r="X194" s="28" t="s">
        <v>134</v>
      </c>
      <c r="Y194" s="28" t="s">
        <v>135</v>
      </c>
      <c r="AA194" s="2" t="s">
        <v>119</v>
      </c>
      <c r="AB194" s="2" t="str">
        <f t="shared" si="259"/>
        <v>-</v>
      </c>
      <c r="AC194" s="2" t="s">
        <v>102</v>
      </c>
      <c r="AD194" s="2" t="str">
        <f t="shared" si="260"/>
        <v>_</v>
      </c>
      <c r="AE194" s="2" t="s">
        <v>262</v>
      </c>
      <c r="AF194" s="2" t="str">
        <f t="shared" si="261"/>
        <v>_</v>
      </c>
      <c r="AG194" s="28" t="s">
        <v>76</v>
      </c>
      <c r="AH194" s="2" t="str">
        <f t="shared" si="262"/>
        <v/>
      </c>
    </row>
    <row r="195" spans="2:35" x14ac:dyDescent="0.25">
      <c r="B195" s="2"/>
      <c r="AA195" s="2"/>
      <c r="AB195" s="2"/>
      <c r="AC195" s="2"/>
      <c r="AD195" s="2"/>
      <c r="AE195" s="2"/>
      <c r="AF195" s="2"/>
      <c r="AH195" s="2"/>
    </row>
    <row r="196" spans="2:35" x14ac:dyDescent="0.25">
      <c r="B196" s="2"/>
      <c r="AA196" s="2"/>
      <c r="AB196" s="2"/>
      <c r="AC196" s="2"/>
      <c r="AD196" s="2"/>
      <c r="AE196" s="2"/>
      <c r="AF196" s="2"/>
      <c r="AH196" s="2"/>
    </row>
    <row r="197" spans="2:35" x14ac:dyDescent="0.25">
      <c r="B197" s="2" t="str">
        <f t="shared" ref="B197:B212" si="263">_xlfn.CONCAT("@",AA197,AB197,AC197,AD197,AE197,AF197,AG197,AH197,AI197)</f>
        <v>@line_offset-path_narrow_vegetation_z12</v>
      </c>
      <c r="C197" s="28" t="s">
        <v>439</v>
      </c>
      <c r="D197" s="28" t="s">
        <v>443</v>
      </c>
      <c r="F197" s="28" t="s">
        <v>439</v>
      </c>
      <c r="G197" s="28" t="s">
        <v>443</v>
      </c>
      <c r="I197" s="28" t="s">
        <v>439</v>
      </c>
      <c r="J197" s="28" t="s">
        <v>443</v>
      </c>
      <c r="L197" s="28" t="s">
        <v>439</v>
      </c>
      <c r="M197" s="28" t="s">
        <v>443</v>
      </c>
      <c r="U197" s="28" t="s">
        <v>364</v>
      </c>
      <c r="V197" s="28" t="s">
        <v>359</v>
      </c>
      <c r="X197" s="28" t="s">
        <v>364</v>
      </c>
      <c r="Y197" s="28" t="s">
        <v>359</v>
      </c>
      <c r="AA197" s="2" t="s">
        <v>355</v>
      </c>
      <c r="AB197" s="2" t="str">
        <f t="shared" ref="AB197:AB212" si="264">IF(NOT(ISBLANK(AC197)),"-","")</f>
        <v>-</v>
      </c>
      <c r="AC197" s="2" t="s">
        <v>71</v>
      </c>
      <c r="AD197" s="2" t="str">
        <f t="shared" ref="AD197:AD212" si="265">IF(NOT(ISBLANK(AE197)),"_","")</f>
        <v>_</v>
      </c>
      <c r="AE197" s="2" t="s">
        <v>72</v>
      </c>
      <c r="AF197" s="2" t="str">
        <f t="shared" ref="AF197:AF212" si="266">IF(NOT(ISBLANK(AG197)),"_","")</f>
        <v>_</v>
      </c>
      <c r="AG197" s="28" t="s">
        <v>36</v>
      </c>
      <c r="AH197" s="2" t="str">
        <f t="shared" ref="AH197:AH212" si="267">IF(NOT(ISBLANK(AI197)),"_","")</f>
        <v>_</v>
      </c>
      <c r="AI197" s="28" t="s">
        <v>109</v>
      </c>
    </row>
    <row r="198" spans="2:35" x14ac:dyDescent="0.25">
      <c r="B198" s="2" t="str">
        <f t="shared" si="263"/>
        <v>@line_offset-path_medium_vegetation_z12</v>
      </c>
      <c r="C198" s="28" t="s">
        <v>364</v>
      </c>
      <c r="D198" s="28" t="s">
        <v>359</v>
      </c>
      <c r="F198" s="28" t="s">
        <v>364</v>
      </c>
      <c r="G198" s="28" t="s">
        <v>359</v>
      </c>
      <c r="I198" s="28" t="s">
        <v>364</v>
      </c>
      <c r="J198" s="28" t="s">
        <v>359</v>
      </c>
      <c r="L198" s="28" t="s">
        <v>364</v>
      </c>
      <c r="M198" s="28" t="s">
        <v>359</v>
      </c>
      <c r="U198" s="28" t="s">
        <v>364</v>
      </c>
      <c r="V198" s="28" t="s">
        <v>359</v>
      </c>
      <c r="X198" s="28" t="s">
        <v>364</v>
      </c>
      <c r="Y198" s="28" t="s">
        <v>359</v>
      </c>
      <c r="AA198" s="2" t="s">
        <v>355</v>
      </c>
      <c r="AB198" s="2" t="str">
        <f t="shared" si="264"/>
        <v>-</v>
      </c>
      <c r="AC198" s="2" t="s">
        <v>71</v>
      </c>
      <c r="AD198" s="2" t="str">
        <f t="shared" si="265"/>
        <v>_</v>
      </c>
      <c r="AE198" s="2" t="s">
        <v>79</v>
      </c>
      <c r="AF198" s="2" t="str">
        <f t="shared" si="266"/>
        <v>_</v>
      </c>
      <c r="AG198" s="28" t="s">
        <v>36</v>
      </c>
      <c r="AH198" s="2" t="str">
        <f t="shared" si="267"/>
        <v>_</v>
      </c>
      <c r="AI198" s="28" t="s">
        <v>109</v>
      </c>
    </row>
    <row r="199" spans="2:35" x14ac:dyDescent="0.25">
      <c r="B199" s="2" t="str">
        <f t="shared" si="263"/>
        <v>@line_offset-path_wide_vegetation_z12</v>
      </c>
      <c r="C199" s="28" t="s">
        <v>440</v>
      </c>
      <c r="D199" s="28" t="s">
        <v>360</v>
      </c>
      <c r="F199" s="28" t="s">
        <v>440</v>
      </c>
      <c r="G199" s="28" t="s">
        <v>360</v>
      </c>
      <c r="I199" s="28" t="s">
        <v>440</v>
      </c>
      <c r="J199" s="28" t="s">
        <v>360</v>
      </c>
      <c r="L199" s="28" t="s">
        <v>440</v>
      </c>
      <c r="M199" s="28" t="s">
        <v>360</v>
      </c>
      <c r="U199" s="28" t="s">
        <v>364</v>
      </c>
      <c r="V199" s="28" t="s">
        <v>359</v>
      </c>
      <c r="X199" s="28" t="s">
        <v>364</v>
      </c>
      <c r="Y199" s="28" t="s">
        <v>359</v>
      </c>
      <c r="AA199" s="2" t="s">
        <v>355</v>
      </c>
      <c r="AB199" s="2" t="str">
        <f t="shared" si="264"/>
        <v>-</v>
      </c>
      <c r="AC199" s="2" t="s">
        <v>71</v>
      </c>
      <c r="AD199" s="2" t="str">
        <f t="shared" si="265"/>
        <v>_</v>
      </c>
      <c r="AE199" s="2" t="s">
        <v>77</v>
      </c>
      <c r="AF199" s="2" t="str">
        <f t="shared" si="266"/>
        <v>_</v>
      </c>
      <c r="AG199" s="28" t="s">
        <v>36</v>
      </c>
      <c r="AH199" s="2" t="str">
        <f t="shared" si="267"/>
        <v>_</v>
      </c>
      <c r="AI199" s="28" t="s">
        <v>109</v>
      </c>
    </row>
    <row r="200" spans="2:35" x14ac:dyDescent="0.25">
      <c r="B200" s="2" t="str">
        <f t="shared" si="263"/>
        <v>@line_offset-path_widest_vegetation_z12</v>
      </c>
      <c r="C200" s="28" t="s">
        <v>440</v>
      </c>
      <c r="D200" s="28" t="s">
        <v>360</v>
      </c>
      <c r="F200" s="28" t="s">
        <v>440</v>
      </c>
      <c r="G200" s="28" t="s">
        <v>360</v>
      </c>
      <c r="I200" s="28" t="s">
        <v>440</v>
      </c>
      <c r="J200" s="28" t="s">
        <v>360</v>
      </c>
      <c r="L200" s="28" t="s">
        <v>440</v>
      </c>
      <c r="M200" s="28" t="s">
        <v>360</v>
      </c>
      <c r="U200" s="28" t="s">
        <v>364</v>
      </c>
      <c r="V200" s="28" t="s">
        <v>359</v>
      </c>
      <c r="X200" s="28" t="s">
        <v>364</v>
      </c>
      <c r="Y200" s="28" t="s">
        <v>359</v>
      </c>
      <c r="AA200" s="2" t="s">
        <v>355</v>
      </c>
      <c r="AB200" s="2" t="str">
        <f t="shared" si="264"/>
        <v>-</v>
      </c>
      <c r="AC200" s="2" t="s">
        <v>71</v>
      </c>
      <c r="AD200" s="2" t="str">
        <f t="shared" si="265"/>
        <v>_</v>
      </c>
      <c r="AE200" s="2" t="s">
        <v>296</v>
      </c>
      <c r="AF200" s="2" t="str">
        <f t="shared" si="266"/>
        <v>_</v>
      </c>
      <c r="AG200" s="28" t="s">
        <v>36</v>
      </c>
      <c r="AH200" s="2" t="str">
        <f t="shared" si="267"/>
        <v>_</v>
      </c>
      <c r="AI200" s="28" t="s">
        <v>109</v>
      </c>
    </row>
    <row r="201" spans="2:35" x14ac:dyDescent="0.25">
      <c r="B201" s="2" t="str">
        <f t="shared" si="263"/>
        <v>@line_offset-path_narrow_vegetation_z14</v>
      </c>
      <c r="C201" s="28" t="s">
        <v>441</v>
      </c>
      <c r="D201" s="28" t="s">
        <v>359</v>
      </c>
      <c r="F201" s="28" t="s">
        <v>441</v>
      </c>
      <c r="G201" s="28" t="s">
        <v>359</v>
      </c>
      <c r="I201" s="28" t="s">
        <v>441</v>
      </c>
      <c r="J201" s="28" t="s">
        <v>359</v>
      </c>
      <c r="L201" s="28" t="s">
        <v>441</v>
      </c>
      <c r="M201" s="28" t="s">
        <v>359</v>
      </c>
      <c r="U201" s="28" t="s">
        <v>440</v>
      </c>
      <c r="V201" s="28" t="s">
        <v>360</v>
      </c>
      <c r="X201" s="28" t="s">
        <v>440</v>
      </c>
      <c r="Y201" s="28" t="s">
        <v>360</v>
      </c>
      <c r="AA201" s="2" t="s">
        <v>355</v>
      </c>
      <c r="AB201" s="2" t="str">
        <f t="shared" si="264"/>
        <v>-</v>
      </c>
      <c r="AC201" s="2" t="s">
        <v>71</v>
      </c>
      <c r="AD201" s="2" t="str">
        <f t="shared" si="265"/>
        <v>_</v>
      </c>
      <c r="AE201" s="2" t="s">
        <v>72</v>
      </c>
      <c r="AF201" s="2" t="str">
        <f t="shared" si="266"/>
        <v>_</v>
      </c>
      <c r="AG201" s="28" t="s">
        <v>36</v>
      </c>
      <c r="AH201" s="2" t="str">
        <f t="shared" si="267"/>
        <v>_</v>
      </c>
      <c r="AI201" s="28" t="s">
        <v>74</v>
      </c>
    </row>
    <row r="202" spans="2:35" x14ac:dyDescent="0.25">
      <c r="B202" s="2" t="str">
        <f t="shared" si="263"/>
        <v>@line_offset-path_medium_vegetation_z14</v>
      </c>
      <c r="C202" s="28" t="s">
        <v>440</v>
      </c>
      <c r="D202" s="28" t="s">
        <v>360</v>
      </c>
      <c r="F202" s="28" t="s">
        <v>440</v>
      </c>
      <c r="G202" s="28" t="s">
        <v>360</v>
      </c>
      <c r="I202" s="28" t="s">
        <v>440</v>
      </c>
      <c r="J202" s="28" t="s">
        <v>360</v>
      </c>
      <c r="L202" s="28" t="s">
        <v>440</v>
      </c>
      <c r="M202" s="28" t="s">
        <v>360</v>
      </c>
      <c r="U202" s="28" t="s">
        <v>440</v>
      </c>
      <c r="V202" s="28" t="s">
        <v>360</v>
      </c>
      <c r="X202" s="28" t="s">
        <v>440</v>
      </c>
      <c r="Y202" s="28" t="s">
        <v>360</v>
      </c>
      <c r="AA202" s="2" t="s">
        <v>355</v>
      </c>
      <c r="AB202" s="2" t="str">
        <f t="shared" si="264"/>
        <v>-</v>
      </c>
      <c r="AC202" s="2" t="s">
        <v>71</v>
      </c>
      <c r="AD202" s="2" t="str">
        <f t="shared" si="265"/>
        <v>_</v>
      </c>
      <c r="AE202" s="2" t="s">
        <v>79</v>
      </c>
      <c r="AF202" s="2" t="str">
        <f t="shared" si="266"/>
        <v>_</v>
      </c>
      <c r="AG202" s="28" t="s">
        <v>36</v>
      </c>
      <c r="AH202" s="2" t="str">
        <f t="shared" si="267"/>
        <v>_</v>
      </c>
      <c r="AI202" s="28" t="s">
        <v>74</v>
      </c>
    </row>
    <row r="203" spans="2:35" x14ac:dyDescent="0.25">
      <c r="B203" s="2" t="str">
        <f t="shared" si="263"/>
        <v>@line_offset-path_wide_vegetation_z14</v>
      </c>
      <c r="C203" s="28" t="s">
        <v>359</v>
      </c>
      <c r="D203" s="28" t="s">
        <v>444</v>
      </c>
      <c r="F203" s="28" t="s">
        <v>359</v>
      </c>
      <c r="G203" s="28" t="s">
        <v>444</v>
      </c>
      <c r="I203" s="28" t="s">
        <v>359</v>
      </c>
      <c r="J203" s="28" t="s">
        <v>444</v>
      </c>
      <c r="L203" s="28" t="s">
        <v>359</v>
      </c>
      <c r="M203" s="28" t="s">
        <v>444</v>
      </c>
      <c r="U203" s="28" t="s">
        <v>440</v>
      </c>
      <c r="V203" s="28" t="s">
        <v>360</v>
      </c>
      <c r="X203" s="28" t="s">
        <v>440</v>
      </c>
      <c r="Y203" s="28" t="s">
        <v>360</v>
      </c>
      <c r="AA203" s="2" t="s">
        <v>355</v>
      </c>
      <c r="AB203" s="2" t="str">
        <f t="shared" si="264"/>
        <v>-</v>
      </c>
      <c r="AC203" s="2" t="s">
        <v>71</v>
      </c>
      <c r="AD203" s="2" t="str">
        <f t="shared" si="265"/>
        <v>_</v>
      </c>
      <c r="AE203" s="2" t="s">
        <v>77</v>
      </c>
      <c r="AF203" s="2" t="str">
        <f t="shared" si="266"/>
        <v>_</v>
      </c>
      <c r="AG203" s="28" t="s">
        <v>36</v>
      </c>
      <c r="AH203" s="2" t="str">
        <f t="shared" si="267"/>
        <v>_</v>
      </c>
      <c r="AI203" s="28" t="s">
        <v>74</v>
      </c>
    </row>
    <row r="204" spans="2:35" x14ac:dyDescent="0.25">
      <c r="B204" s="2" t="str">
        <f t="shared" si="263"/>
        <v>@line_offset-path_widest_vegetation_z14</v>
      </c>
      <c r="C204" s="28" t="s">
        <v>359</v>
      </c>
      <c r="D204" s="28" t="s">
        <v>444</v>
      </c>
      <c r="F204" s="28" t="s">
        <v>359</v>
      </c>
      <c r="G204" s="28" t="s">
        <v>444</v>
      </c>
      <c r="I204" s="28" t="s">
        <v>359</v>
      </c>
      <c r="J204" s="28" t="s">
        <v>444</v>
      </c>
      <c r="L204" s="28" t="s">
        <v>359</v>
      </c>
      <c r="M204" s="28" t="s">
        <v>444</v>
      </c>
      <c r="U204" s="28" t="s">
        <v>440</v>
      </c>
      <c r="V204" s="28" t="s">
        <v>360</v>
      </c>
      <c r="X204" s="28" t="s">
        <v>440</v>
      </c>
      <c r="Y204" s="28" t="s">
        <v>360</v>
      </c>
      <c r="AA204" s="2" t="s">
        <v>355</v>
      </c>
      <c r="AB204" s="2" t="str">
        <f t="shared" si="264"/>
        <v>-</v>
      </c>
      <c r="AC204" s="2" t="s">
        <v>71</v>
      </c>
      <c r="AD204" s="2" t="str">
        <f t="shared" si="265"/>
        <v>_</v>
      </c>
      <c r="AE204" s="2" t="s">
        <v>296</v>
      </c>
      <c r="AF204" s="2" t="str">
        <f t="shared" si="266"/>
        <v>_</v>
      </c>
      <c r="AG204" s="28" t="s">
        <v>36</v>
      </c>
      <c r="AH204" s="2" t="str">
        <f t="shared" si="267"/>
        <v>_</v>
      </c>
      <c r="AI204" s="28" t="s">
        <v>74</v>
      </c>
    </row>
    <row r="205" spans="2:35" x14ac:dyDescent="0.25">
      <c r="B205" s="2" t="str">
        <f t="shared" si="263"/>
        <v>@line_offset-path_narrow_vegetation_z16</v>
      </c>
      <c r="C205" s="28" t="s">
        <v>360</v>
      </c>
      <c r="D205" s="28" t="s">
        <v>445</v>
      </c>
      <c r="F205" s="28" t="s">
        <v>360</v>
      </c>
      <c r="G205" s="28" t="s">
        <v>445</v>
      </c>
      <c r="I205" s="28" t="s">
        <v>360</v>
      </c>
      <c r="J205" s="28" t="s">
        <v>445</v>
      </c>
      <c r="L205" s="28" t="s">
        <v>360</v>
      </c>
      <c r="M205" s="28" t="s">
        <v>445</v>
      </c>
      <c r="U205" s="28" t="s">
        <v>442</v>
      </c>
      <c r="V205" s="28" t="s">
        <v>446</v>
      </c>
      <c r="X205" s="28" t="s">
        <v>442</v>
      </c>
      <c r="Y205" s="28" t="s">
        <v>446</v>
      </c>
      <c r="AA205" s="2" t="s">
        <v>355</v>
      </c>
      <c r="AB205" s="2" t="str">
        <f t="shared" si="264"/>
        <v>-</v>
      </c>
      <c r="AC205" s="2" t="s">
        <v>71</v>
      </c>
      <c r="AD205" s="2" t="str">
        <f t="shared" si="265"/>
        <v>_</v>
      </c>
      <c r="AE205" s="2" t="s">
        <v>72</v>
      </c>
      <c r="AF205" s="2" t="str">
        <f t="shared" si="266"/>
        <v>_</v>
      </c>
      <c r="AG205" s="28" t="s">
        <v>36</v>
      </c>
      <c r="AH205" s="2" t="str">
        <f t="shared" si="267"/>
        <v>_</v>
      </c>
      <c r="AI205" s="28" t="s">
        <v>75</v>
      </c>
    </row>
    <row r="206" spans="2:35" x14ac:dyDescent="0.25">
      <c r="B206" s="2" t="str">
        <f t="shared" si="263"/>
        <v>@line_offset-path_medium_vegetation_z16</v>
      </c>
      <c r="C206" s="28" t="s">
        <v>442</v>
      </c>
      <c r="D206" s="28" t="s">
        <v>446</v>
      </c>
      <c r="F206" s="28" t="s">
        <v>442</v>
      </c>
      <c r="G206" s="28" t="s">
        <v>446</v>
      </c>
      <c r="I206" s="28" t="s">
        <v>442</v>
      </c>
      <c r="J206" s="28" t="s">
        <v>446</v>
      </c>
      <c r="L206" s="28" t="s">
        <v>442</v>
      </c>
      <c r="M206" s="28" t="s">
        <v>446</v>
      </c>
      <c r="U206" s="28" t="s">
        <v>442</v>
      </c>
      <c r="V206" s="28" t="s">
        <v>446</v>
      </c>
      <c r="X206" s="28" t="s">
        <v>442</v>
      </c>
      <c r="Y206" s="28" t="s">
        <v>446</v>
      </c>
      <c r="AA206" s="2" t="s">
        <v>355</v>
      </c>
      <c r="AB206" s="2" t="str">
        <f t="shared" si="264"/>
        <v>-</v>
      </c>
      <c r="AC206" s="2" t="s">
        <v>71</v>
      </c>
      <c r="AD206" s="2" t="str">
        <f t="shared" si="265"/>
        <v>_</v>
      </c>
      <c r="AE206" s="2" t="s">
        <v>79</v>
      </c>
      <c r="AF206" s="2" t="str">
        <f t="shared" si="266"/>
        <v>_</v>
      </c>
      <c r="AG206" s="28" t="s">
        <v>36</v>
      </c>
      <c r="AH206" s="2" t="str">
        <f t="shared" si="267"/>
        <v>_</v>
      </c>
      <c r="AI206" s="28" t="s">
        <v>75</v>
      </c>
    </row>
    <row r="207" spans="2:35" x14ac:dyDescent="0.25">
      <c r="B207" s="2" t="str">
        <f t="shared" si="263"/>
        <v>@line_offset-path_wide_vegetation_z16</v>
      </c>
      <c r="C207" s="28" t="s">
        <v>361</v>
      </c>
      <c r="D207" s="28" t="s">
        <v>447</v>
      </c>
      <c r="F207" s="28" t="s">
        <v>361</v>
      </c>
      <c r="G207" s="28" t="s">
        <v>447</v>
      </c>
      <c r="I207" s="28" t="s">
        <v>361</v>
      </c>
      <c r="J207" s="28" t="s">
        <v>447</v>
      </c>
      <c r="L207" s="28" t="s">
        <v>361</v>
      </c>
      <c r="M207" s="28" t="s">
        <v>447</v>
      </c>
      <c r="U207" s="28" t="s">
        <v>442</v>
      </c>
      <c r="V207" s="28" t="s">
        <v>446</v>
      </c>
      <c r="X207" s="28" t="s">
        <v>442</v>
      </c>
      <c r="Y207" s="28" t="s">
        <v>446</v>
      </c>
      <c r="AA207" s="2" t="s">
        <v>355</v>
      </c>
      <c r="AB207" s="2" t="str">
        <f t="shared" si="264"/>
        <v>-</v>
      </c>
      <c r="AC207" s="2" t="s">
        <v>71</v>
      </c>
      <c r="AD207" s="2" t="str">
        <f t="shared" si="265"/>
        <v>_</v>
      </c>
      <c r="AE207" s="2" t="s">
        <v>77</v>
      </c>
      <c r="AF207" s="2" t="str">
        <f t="shared" si="266"/>
        <v>_</v>
      </c>
      <c r="AG207" s="28" t="s">
        <v>36</v>
      </c>
      <c r="AH207" s="2" t="str">
        <f t="shared" si="267"/>
        <v>_</v>
      </c>
      <c r="AI207" s="28" t="s">
        <v>75</v>
      </c>
    </row>
    <row r="208" spans="2:35" x14ac:dyDescent="0.25">
      <c r="B208" s="2" t="str">
        <f t="shared" si="263"/>
        <v>@line_offset-path_widest_vegetation_z16</v>
      </c>
      <c r="C208" s="28" t="s">
        <v>361</v>
      </c>
      <c r="D208" s="28" t="s">
        <v>447</v>
      </c>
      <c r="F208" s="28" t="s">
        <v>361</v>
      </c>
      <c r="G208" s="28" t="s">
        <v>447</v>
      </c>
      <c r="I208" s="28" t="s">
        <v>361</v>
      </c>
      <c r="J208" s="28" t="s">
        <v>447</v>
      </c>
      <c r="L208" s="28" t="s">
        <v>361</v>
      </c>
      <c r="M208" s="28" t="s">
        <v>447</v>
      </c>
      <c r="U208" s="28" t="s">
        <v>442</v>
      </c>
      <c r="V208" s="28" t="s">
        <v>446</v>
      </c>
      <c r="X208" s="28" t="s">
        <v>442</v>
      </c>
      <c r="Y208" s="28" t="s">
        <v>446</v>
      </c>
      <c r="AA208" s="2" t="s">
        <v>355</v>
      </c>
      <c r="AB208" s="2" t="str">
        <f t="shared" si="264"/>
        <v>-</v>
      </c>
      <c r="AC208" s="2" t="s">
        <v>71</v>
      </c>
      <c r="AD208" s="2" t="str">
        <f t="shared" si="265"/>
        <v>_</v>
      </c>
      <c r="AE208" s="2" t="s">
        <v>296</v>
      </c>
      <c r="AF208" s="2" t="str">
        <f t="shared" si="266"/>
        <v>_</v>
      </c>
      <c r="AG208" s="28" t="s">
        <v>36</v>
      </c>
      <c r="AH208" s="2" t="str">
        <f t="shared" si="267"/>
        <v>_</v>
      </c>
      <c r="AI208" s="28" t="s">
        <v>75</v>
      </c>
    </row>
    <row r="209" spans="2:35" x14ac:dyDescent="0.25">
      <c r="B209" s="2" t="str">
        <f t="shared" si="263"/>
        <v>@line_offset-path_narrow_vegetation_z18</v>
      </c>
      <c r="C209" s="28" t="s">
        <v>442</v>
      </c>
      <c r="D209" s="28" t="s">
        <v>448</v>
      </c>
      <c r="F209" s="28" t="s">
        <v>442</v>
      </c>
      <c r="G209" s="28" t="s">
        <v>448</v>
      </c>
      <c r="I209" s="28" t="s">
        <v>442</v>
      </c>
      <c r="J209" s="28" t="s">
        <v>448</v>
      </c>
      <c r="L209" s="28" t="s">
        <v>442</v>
      </c>
      <c r="M209" s="28" t="s">
        <v>448</v>
      </c>
      <c r="U209" s="28" t="s">
        <v>357</v>
      </c>
      <c r="V209" s="28" t="s">
        <v>449</v>
      </c>
      <c r="X209" s="28" t="s">
        <v>357</v>
      </c>
      <c r="Y209" s="28" t="s">
        <v>449</v>
      </c>
      <c r="AA209" s="2" t="s">
        <v>355</v>
      </c>
      <c r="AB209" s="2" t="str">
        <f t="shared" si="264"/>
        <v>-</v>
      </c>
      <c r="AC209" s="2" t="s">
        <v>71</v>
      </c>
      <c r="AD209" s="2" t="str">
        <f t="shared" si="265"/>
        <v>_</v>
      </c>
      <c r="AE209" s="2" t="s">
        <v>72</v>
      </c>
      <c r="AF209" s="2" t="str">
        <f t="shared" si="266"/>
        <v>_</v>
      </c>
      <c r="AG209" s="28" t="s">
        <v>36</v>
      </c>
      <c r="AH209" s="2" t="str">
        <f t="shared" si="267"/>
        <v>_</v>
      </c>
      <c r="AI209" s="28" t="s">
        <v>76</v>
      </c>
    </row>
    <row r="210" spans="2:35" x14ac:dyDescent="0.25">
      <c r="B210" s="2" t="str">
        <f t="shared" si="263"/>
        <v>@line_offset-path_medium_vegetation_z18</v>
      </c>
      <c r="C210" s="28" t="s">
        <v>357</v>
      </c>
      <c r="D210" s="28" t="s">
        <v>449</v>
      </c>
      <c r="F210" s="28" t="s">
        <v>357</v>
      </c>
      <c r="G210" s="28" t="s">
        <v>449</v>
      </c>
      <c r="I210" s="28" t="s">
        <v>357</v>
      </c>
      <c r="J210" s="28" t="s">
        <v>449</v>
      </c>
      <c r="L210" s="28" t="s">
        <v>357</v>
      </c>
      <c r="M210" s="28" t="s">
        <v>449</v>
      </c>
      <c r="U210" s="28" t="s">
        <v>357</v>
      </c>
      <c r="V210" s="28" t="s">
        <v>449</v>
      </c>
      <c r="X210" s="28" t="s">
        <v>357</v>
      </c>
      <c r="Y210" s="28" t="s">
        <v>449</v>
      </c>
      <c r="AA210" s="2" t="s">
        <v>355</v>
      </c>
      <c r="AB210" s="2" t="str">
        <f t="shared" si="264"/>
        <v>-</v>
      </c>
      <c r="AC210" s="2" t="s">
        <v>71</v>
      </c>
      <c r="AD210" s="2" t="str">
        <f t="shared" si="265"/>
        <v>_</v>
      </c>
      <c r="AE210" s="2" t="s">
        <v>79</v>
      </c>
      <c r="AF210" s="2" t="str">
        <f t="shared" si="266"/>
        <v>_</v>
      </c>
      <c r="AG210" s="28" t="s">
        <v>36</v>
      </c>
      <c r="AH210" s="2" t="str">
        <f t="shared" si="267"/>
        <v>_</v>
      </c>
      <c r="AI210" s="28" t="s">
        <v>76</v>
      </c>
    </row>
    <row r="211" spans="2:35" x14ac:dyDescent="0.25">
      <c r="B211" s="2" t="str">
        <f t="shared" si="263"/>
        <v>@line_offset-path_wide_vegetation_z18</v>
      </c>
      <c r="C211" s="28" t="s">
        <v>362</v>
      </c>
      <c r="D211" s="28" t="s">
        <v>450</v>
      </c>
      <c r="F211" s="28" t="s">
        <v>362</v>
      </c>
      <c r="G211" s="28" t="s">
        <v>450</v>
      </c>
      <c r="I211" s="28" t="s">
        <v>362</v>
      </c>
      <c r="J211" s="28" t="s">
        <v>450</v>
      </c>
      <c r="L211" s="28" t="s">
        <v>362</v>
      </c>
      <c r="M211" s="28" t="s">
        <v>450</v>
      </c>
      <c r="U211" s="28" t="s">
        <v>357</v>
      </c>
      <c r="V211" s="28" t="s">
        <v>449</v>
      </c>
      <c r="X211" s="28" t="s">
        <v>357</v>
      </c>
      <c r="Y211" s="28" t="s">
        <v>449</v>
      </c>
      <c r="AA211" s="2" t="s">
        <v>355</v>
      </c>
      <c r="AB211" s="2" t="str">
        <f t="shared" si="264"/>
        <v>-</v>
      </c>
      <c r="AC211" s="2" t="s">
        <v>71</v>
      </c>
      <c r="AD211" s="2" t="str">
        <f t="shared" si="265"/>
        <v>_</v>
      </c>
      <c r="AE211" s="2" t="s">
        <v>77</v>
      </c>
      <c r="AF211" s="2" t="str">
        <f t="shared" si="266"/>
        <v>_</v>
      </c>
      <c r="AG211" s="28" t="s">
        <v>36</v>
      </c>
      <c r="AH211" s="2" t="str">
        <f t="shared" si="267"/>
        <v>_</v>
      </c>
      <c r="AI211" s="28" t="s">
        <v>76</v>
      </c>
    </row>
    <row r="212" spans="2:35" x14ac:dyDescent="0.25">
      <c r="B212" s="2" t="str">
        <f t="shared" si="263"/>
        <v>@line_offset-path_widest_vegetation_z18</v>
      </c>
      <c r="C212" s="28" t="s">
        <v>357</v>
      </c>
      <c r="D212" s="28" t="s">
        <v>450</v>
      </c>
      <c r="F212" s="28" t="s">
        <v>357</v>
      </c>
      <c r="G212" s="28" t="s">
        <v>450</v>
      </c>
      <c r="I212" s="28" t="s">
        <v>357</v>
      </c>
      <c r="J212" s="28" t="s">
        <v>450</v>
      </c>
      <c r="L212" s="28" t="s">
        <v>357</v>
      </c>
      <c r="M212" s="28" t="s">
        <v>450</v>
      </c>
      <c r="U212" s="28" t="s">
        <v>357</v>
      </c>
      <c r="V212" s="28" t="s">
        <v>449</v>
      </c>
      <c r="X212" s="28" t="s">
        <v>357</v>
      </c>
      <c r="Y212" s="28" t="s">
        <v>449</v>
      </c>
      <c r="AA212" s="2" t="s">
        <v>355</v>
      </c>
      <c r="AB212" s="2" t="str">
        <f t="shared" si="264"/>
        <v>-</v>
      </c>
      <c r="AC212" s="2" t="s">
        <v>71</v>
      </c>
      <c r="AD212" s="2" t="str">
        <f t="shared" si="265"/>
        <v>_</v>
      </c>
      <c r="AE212" s="2" t="s">
        <v>296</v>
      </c>
      <c r="AF212" s="2" t="str">
        <f t="shared" si="266"/>
        <v>_</v>
      </c>
      <c r="AG212" s="28" t="s">
        <v>36</v>
      </c>
      <c r="AH212" s="2" t="str">
        <f t="shared" si="267"/>
        <v>_</v>
      </c>
      <c r="AI212" s="28" t="s">
        <v>76</v>
      </c>
    </row>
    <row r="213" spans="2:35" x14ac:dyDescent="0.25">
      <c r="B213" s="2"/>
      <c r="AA213" s="2"/>
      <c r="AB213" s="2"/>
      <c r="AC213" s="2"/>
      <c r="AD213" s="2"/>
      <c r="AE213" s="2"/>
      <c r="AF213" s="2"/>
      <c r="AH213" s="2"/>
    </row>
    <row r="214" spans="2:35" x14ac:dyDescent="0.25">
      <c r="B214" s="2" t="str">
        <f t="shared" ref="B214:B229" si="268">_xlfn.CONCAT("@",AA214,AB214,AC214,AD214,AE214,AF214,AG214,AH214,AI214)</f>
        <v>@line_offset-path_narrow_mud_z12</v>
      </c>
      <c r="C214" s="28" t="s">
        <v>96</v>
      </c>
      <c r="D214" s="28" t="s">
        <v>99</v>
      </c>
      <c r="F214" s="28" t="s">
        <v>96</v>
      </c>
      <c r="G214" s="28" t="s">
        <v>99</v>
      </c>
      <c r="I214" s="28" t="s">
        <v>96</v>
      </c>
      <c r="J214" s="28" t="s">
        <v>99</v>
      </c>
      <c r="L214" s="28" t="s">
        <v>96</v>
      </c>
      <c r="M214" s="28" t="s">
        <v>99</v>
      </c>
      <c r="U214" s="28" t="s">
        <v>85</v>
      </c>
      <c r="V214" s="28" t="s">
        <v>88</v>
      </c>
      <c r="X214" s="28" t="s">
        <v>85</v>
      </c>
      <c r="Y214" s="28" t="s">
        <v>88</v>
      </c>
      <c r="AA214" s="2" t="s">
        <v>355</v>
      </c>
      <c r="AB214" s="2" t="str">
        <f t="shared" ref="AB214:AB229" si="269">IF(NOT(ISBLANK(AC214)),"-","")</f>
        <v>-</v>
      </c>
      <c r="AC214" s="2" t="s">
        <v>71</v>
      </c>
      <c r="AD214" s="2" t="str">
        <f t="shared" ref="AD214:AD229" si="270">IF(NOT(ISBLANK(AE214)),"_","")</f>
        <v>_</v>
      </c>
      <c r="AE214" s="2" t="s">
        <v>72</v>
      </c>
      <c r="AF214" s="2" t="str">
        <f t="shared" ref="AF214:AF229" si="271">IF(NOT(ISBLANK(AG214)),"_","")</f>
        <v>_</v>
      </c>
      <c r="AG214" s="28" t="s">
        <v>38</v>
      </c>
      <c r="AH214" s="2" t="str">
        <f t="shared" ref="AH214:AH229" si="272">IF(NOT(ISBLANK(AI214)),"_","")</f>
        <v>_</v>
      </c>
      <c r="AI214" s="28" t="s">
        <v>109</v>
      </c>
    </row>
    <row r="215" spans="2:35" x14ac:dyDescent="0.25">
      <c r="B215" s="2" t="str">
        <f t="shared" si="268"/>
        <v>@line_offset-path_medium_mud_z12</v>
      </c>
      <c r="C215" s="28" t="s">
        <v>85</v>
      </c>
      <c r="D215" s="28" t="s">
        <v>88</v>
      </c>
      <c r="F215" s="28" t="s">
        <v>85</v>
      </c>
      <c r="G215" s="28" t="s">
        <v>88</v>
      </c>
      <c r="I215" s="28" t="s">
        <v>85</v>
      </c>
      <c r="J215" s="28" t="s">
        <v>88</v>
      </c>
      <c r="L215" s="28" t="s">
        <v>85</v>
      </c>
      <c r="M215" s="28" t="s">
        <v>88</v>
      </c>
      <c r="U215" s="28" t="s">
        <v>85</v>
      </c>
      <c r="V215" s="28" t="s">
        <v>88</v>
      </c>
      <c r="X215" s="28" t="s">
        <v>85</v>
      </c>
      <c r="Y215" s="28" t="s">
        <v>88</v>
      </c>
      <c r="AA215" s="2" t="s">
        <v>355</v>
      </c>
      <c r="AB215" s="2" t="str">
        <f t="shared" si="269"/>
        <v>-</v>
      </c>
      <c r="AC215" s="2" t="s">
        <v>71</v>
      </c>
      <c r="AD215" s="2" t="str">
        <f t="shared" si="270"/>
        <v>_</v>
      </c>
      <c r="AE215" s="2" t="s">
        <v>79</v>
      </c>
      <c r="AF215" s="2" t="str">
        <f t="shared" si="271"/>
        <v>_</v>
      </c>
      <c r="AG215" s="28" t="s">
        <v>38</v>
      </c>
      <c r="AH215" s="2" t="str">
        <f t="shared" si="272"/>
        <v>_</v>
      </c>
      <c r="AI215" s="28" t="s">
        <v>109</v>
      </c>
    </row>
    <row r="216" spans="2:35" x14ac:dyDescent="0.25">
      <c r="B216" s="2" t="str">
        <f t="shared" si="268"/>
        <v>@line_offset-path_wide_mud_z12</v>
      </c>
      <c r="C216" s="28" t="s">
        <v>90</v>
      </c>
      <c r="D216" s="28" t="s">
        <v>92</v>
      </c>
      <c r="F216" s="28" t="s">
        <v>90</v>
      </c>
      <c r="G216" s="28" t="s">
        <v>92</v>
      </c>
      <c r="I216" s="28" t="s">
        <v>90</v>
      </c>
      <c r="J216" s="28" t="s">
        <v>92</v>
      </c>
      <c r="L216" s="28" t="s">
        <v>90</v>
      </c>
      <c r="M216" s="28" t="s">
        <v>92</v>
      </c>
      <c r="U216" s="28" t="s">
        <v>85</v>
      </c>
      <c r="V216" s="28" t="s">
        <v>88</v>
      </c>
      <c r="X216" s="28" t="s">
        <v>85</v>
      </c>
      <c r="Y216" s="28" t="s">
        <v>88</v>
      </c>
      <c r="AA216" s="2" t="s">
        <v>355</v>
      </c>
      <c r="AB216" s="2" t="str">
        <f t="shared" si="269"/>
        <v>-</v>
      </c>
      <c r="AC216" s="2" t="s">
        <v>71</v>
      </c>
      <c r="AD216" s="2" t="str">
        <f t="shared" si="270"/>
        <v>_</v>
      </c>
      <c r="AE216" s="2" t="s">
        <v>77</v>
      </c>
      <c r="AF216" s="2" t="str">
        <f t="shared" si="271"/>
        <v>_</v>
      </c>
      <c r="AG216" s="28" t="s">
        <v>38</v>
      </c>
      <c r="AH216" s="2" t="str">
        <f t="shared" si="272"/>
        <v>_</v>
      </c>
      <c r="AI216" s="28" t="s">
        <v>109</v>
      </c>
    </row>
    <row r="217" spans="2:35" x14ac:dyDescent="0.25">
      <c r="B217" s="2" t="str">
        <f t="shared" si="268"/>
        <v>@line_offset-path_widest_mud_z12</v>
      </c>
      <c r="C217" s="28" t="s">
        <v>90</v>
      </c>
      <c r="D217" s="28" t="s">
        <v>92</v>
      </c>
      <c r="F217" s="28" t="s">
        <v>90</v>
      </c>
      <c r="G217" s="28" t="s">
        <v>92</v>
      </c>
      <c r="I217" s="28" t="s">
        <v>90</v>
      </c>
      <c r="J217" s="28" t="s">
        <v>92</v>
      </c>
      <c r="L217" s="28" t="s">
        <v>90</v>
      </c>
      <c r="M217" s="28" t="s">
        <v>92</v>
      </c>
      <c r="U217" s="28" t="s">
        <v>85</v>
      </c>
      <c r="V217" s="28" t="s">
        <v>88</v>
      </c>
      <c r="X217" s="28" t="s">
        <v>85</v>
      </c>
      <c r="Y217" s="28" t="s">
        <v>88</v>
      </c>
      <c r="AA217" s="2" t="s">
        <v>355</v>
      </c>
      <c r="AB217" s="2" t="str">
        <f t="shared" si="269"/>
        <v>-</v>
      </c>
      <c r="AC217" s="2" t="s">
        <v>71</v>
      </c>
      <c r="AD217" s="2" t="str">
        <f t="shared" si="270"/>
        <v>_</v>
      </c>
      <c r="AE217" s="2" t="s">
        <v>296</v>
      </c>
      <c r="AF217" s="2" t="str">
        <f t="shared" si="271"/>
        <v>_</v>
      </c>
      <c r="AG217" s="28" t="s">
        <v>38</v>
      </c>
      <c r="AH217" s="2" t="str">
        <f t="shared" si="272"/>
        <v>_</v>
      </c>
      <c r="AI217" s="28" t="s">
        <v>109</v>
      </c>
    </row>
    <row r="218" spans="2:35" x14ac:dyDescent="0.25">
      <c r="B218" s="2" t="str">
        <f t="shared" si="268"/>
        <v>@line_offset-path_narrow_mud_z14</v>
      </c>
      <c r="C218" s="28" t="s">
        <v>80</v>
      </c>
      <c r="D218" s="28" t="s">
        <v>88</v>
      </c>
      <c r="F218" s="28" t="s">
        <v>80</v>
      </c>
      <c r="G218" s="28" t="s">
        <v>88</v>
      </c>
      <c r="I218" s="28" t="s">
        <v>80</v>
      </c>
      <c r="J218" s="28" t="s">
        <v>88</v>
      </c>
      <c r="L218" s="28" t="s">
        <v>80</v>
      </c>
      <c r="M218" s="28" t="s">
        <v>88</v>
      </c>
      <c r="U218" s="28" t="s">
        <v>90</v>
      </c>
      <c r="V218" s="28" t="s">
        <v>92</v>
      </c>
      <c r="X218" s="28" t="s">
        <v>90</v>
      </c>
      <c r="Y218" s="28" t="s">
        <v>92</v>
      </c>
      <c r="AA218" s="2" t="s">
        <v>355</v>
      </c>
      <c r="AB218" s="2" t="str">
        <f t="shared" si="269"/>
        <v>-</v>
      </c>
      <c r="AC218" s="2" t="s">
        <v>71</v>
      </c>
      <c r="AD218" s="2" t="str">
        <f t="shared" si="270"/>
        <v>_</v>
      </c>
      <c r="AE218" s="2" t="s">
        <v>72</v>
      </c>
      <c r="AF218" s="2" t="str">
        <f t="shared" si="271"/>
        <v>_</v>
      </c>
      <c r="AG218" s="28" t="s">
        <v>38</v>
      </c>
      <c r="AH218" s="2" t="str">
        <f t="shared" si="272"/>
        <v>_</v>
      </c>
      <c r="AI218" s="28" t="s">
        <v>74</v>
      </c>
    </row>
    <row r="219" spans="2:35" x14ac:dyDescent="0.25">
      <c r="B219" s="2" t="str">
        <f t="shared" si="268"/>
        <v>@line_offset-path_medium_mud_z14</v>
      </c>
      <c r="C219" s="28" t="s">
        <v>90</v>
      </c>
      <c r="D219" s="28" t="s">
        <v>92</v>
      </c>
      <c r="F219" s="28" t="s">
        <v>90</v>
      </c>
      <c r="G219" s="28" t="s">
        <v>92</v>
      </c>
      <c r="I219" s="28" t="s">
        <v>90</v>
      </c>
      <c r="J219" s="28" t="s">
        <v>92</v>
      </c>
      <c r="L219" s="28" t="s">
        <v>90</v>
      </c>
      <c r="M219" s="28" t="s">
        <v>92</v>
      </c>
      <c r="U219" s="28" t="s">
        <v>90</v>
      </c>
      <c r="V219" s="28" t="s">
        <v>92</v>
      </c>
      <c r="X219" s="28" t="s">
        <v>90</v>
      </c>
      <c r="Y219" s="28" t="s">
        <v>92</v>
      </c>
      <c r="AA219" s="2" t="s">
        <v>355</v>
      </c>
      <c r="AB219" s="2" t="str">
        <f t="shared" si="269"/>
        <v>-</v>
      </c>
      <c r="AC219" s="2" t="s">
        <v>71</v>
      </c>
      <c r="AD219" s="2" t="str">
        <f t="shared" si="270"/>
        <v>_</v>
      </c>
      <c r="AE219" s="2" t="s">
        <v>79</v>
      </c>
      <c r="AF219" s="2" t="str">
        <f t="shared" si="271"/>
        <v>_</v>
      </c>
      <c r="AG219" s="28" t="s">
        <v>38</v>
      </c>
      <c r="AH219" s="2" t="str">
        <f t="shared" si="272"/>
        <v>_</v>
      </c>
      <c r="AI219" s="28" t="s">
        <v>74</v>
      </c>
    </row>
    <row r="220" spans="2:35" x14ac:dyDescent="0.25">
      <c r="B220" s="2" t="str">
        <f t="shared" si="268"/>
        <v>@line_offset-path_wide_mud_z14</v>
      </c>
      <c r="C220" s="28" t="s">
        <v>88</v>
      </c>
      <c r="D220" s="28" t="s">
        <v>83</v>
      </c>
      <c r="F220" s="28" t="s">
        <v>88</v>
      </c>
      <c r="G220" s="28" t="s">
        <v>83</v>
      </c>
      <c r="I220" s="28" t="s">
        <v>88</v>
      </c>
      <c r="J220" s="28" t="s">
        <v>83</v>
      </c>
      <c r="L220" s="28" t="s">
        <v>88</v>
      </c>
      <c r="M220" s="28" t="s">
        <v>83</v>
      </c>
      <c r="U220" s="28" t="s">
        <v>90</v>
      </c>
      <c r="V220" s="28" t="s">
        <v>92</v>
      </c>
      <c r="X220" s="28" t="s">
        <v>90</v>
      </c>
      <c r="Y220" s="28" t="s">
        <v>92</v>
      </c>
      <c r="AA220" s="2" t="s">
        <v>355</v>
      </c>
      <c r="AB220" s="2" t="str">
        <f t="shared" si="269"/>
        <v>-</v>
      </c>
      <c r="AC220" s="2" t="s">
        <v>71</v>
      </c>
      <c r="AD220" s="2" t="str">
        <f t="shared" si="270"/>
        <v>_</v>
      </c>
      <c r="AE220" s="2" t="s">
        <v>77</v>
      </c>
      <c r="AF220" s="2" t="str">
        <f t="shared" si="271"/>
        <v>_</v>
      </c>
      <c r="AG220" s="28" t="s">
        <v>38</v>
      </c>
      <c r="AH220" s="2" t="str">
        <f t="shared" si="272"/>
        <v>_</v>
      </c>
      <c r="AI220" s="28" t="s">
        <v>74</v>
      </c>
    </row>
    <row r="221" spans="2:35" x14ac:dyDescent="0.25">
      <c r="B221" s="2" t="str">
        <f t="shared" si="268"/>
        <v>@line_offset-path_widest_mud_z14</v>
      </c>
      <c r="C221" s="28" t="s">
        <v>88</v>
      </c>
      <c r="D221" s="28" t="s">
        <v>83</v>
      </c>
      <c r="F221" s="28" t="s">
        <v>88</v>
      </c>
      <c r="G221" s="28" t="s">
        <v>83</v>
      </c>
      <c r="I221" s="28" t="s">
        <v>88</v>
      </c>
      <c r="J221" s="28" t="s">
        <v>83</v>
      </c>
      <c r="L221" s="28" t="s">
        <v>88</v>
      </c>
      <c r="M221" s="28" t="s">
        <v>83</v>
      </c>
      <c r="U221" s="28" t="s">
        <v>90</v>
      </c>
      <c r="V221" s="28" t="s">
        <v>92</v>
      </c>
      <c r="X221" s="28" t="s">
        <v>90</v>
      </c>
      <c r="Y221" s="28" t="s">
        <v>92</v>
      </c>
      <c r="AA221" s="2" t="s">
        <v>355</v>
      </c>
      <c r="AB221" s="2" t="str">
        <f t="shared" si="269"/>
        <v>-</v>
      </c>
      <c r="AC221" s="2" t="s">
        <v>71</v>
      </c>
      <c r="AD221" s="2" t="str">
        <f t="shared" si="270"/>
        <v>_</v>
      </c>
      <c r="AE221" s="2" t="s">
        <v>296</v>
      </c>
      <c r="AF221" s="2" t="str">
        <f t="shared" si="271"/>
        <v>_</v>
      </c>
      <c r="AG221" s="28" t="s">
        <v>38</v>
      </c>
      <c r="AH221" s="2" t="str">
        <f t="shared" si="272"/>
        <v>_</v>
      </c>
      <c r="AI221" s="28" t="s">
        <v>74</v>
      </c>
    </row>
    <row r="222" spans="2:35" x14ac:dyDescent="0.25">
      <c r="B222" s="2" t="str">
        <f t="shared" si="268"/>
        <v>@line_offset-path_narrow_mud_z16</v>
      </c>
      <c r="C222" s="28" t="s">
        <v>92</v>
      </c>
      <c r="D222" s="28" t="s">
        <v>87</v>
      </c>
      <c r="F222" s="28" t="s">
        <v>92</v>
      </c>
      <c r="G222" s="28" t="s">
        <v>87</v>
      </c>
      <c r="I222" s="28" t="s">
        <v>92</v>
      </c>
      <c r="J222" s="28" t="s">
        <v>87</v>
      </c>
      <c r="L222" s="28" t="s">
        <v>92</v>
      </c>
      <c r="M222" s="28" t="s">
        <v>87</v>
      </c>
      <c r="U222" s="28" t="s">
        <v>86</v>
      </c>
      <c r="V222" s="28" t="s">
        <v>93</v>
      </c>
      <c r="X222" s="28" t="s">
        <v>86</v>
      </c>
      <c r="Y222" s="28" t="s">
        <v>93</v>
      </c>
      <c r="AA222" s="2" t="s">
        <v>355</v>
      </c>
      <c r="AB222" s="2" t="str">
        <f t="shared" si="269"/>
        <v>-</v>
      </c>
      <c r="AC222" s="2" t="s">
        <v>71</v>
      </c>
      <c r="AD222" s="2" t="str">
        <f t="shared" si="270"/>
        <v>_</v>
      </c>
      <c r="AE222" s="2" t="s">
        <v>72</v>
      </c>
      <c r="AF222" s="2" t="str">
        <f t="shared" si="271"/>
        <v>_</v>
      </c>
      <c r="AG222" s="28" t="s">
        <v>38</v>
      </c>
      <c r="AH222" s="2" t="str">
        <f t="shared" si="272"/>
        <v>_</v>
      </c>
      <c r="AI222" s="28" t="s">
        <v>75</v>
      </c>
    </row>
    <row r="223" spans="2:35" x14ac:dyDescent="0.25">
      <c r="B223" s="2" t="str">
        <f t="shared" si="268"/>
        <v>@line_offset-path_medium_mud_z16</v>
      </c>
      <c r="C223" s="28" t="s">
        <v>86</v>
      </c>
      <c r="D223" s="28" t="s">
        <v>93</v>
      </c>
      <c r="F223" s="28" t="s">
        <v>86</v>
      </c>
      <c r="G223" s="28" t="s">
        <v>93</v>
      </c>
      <c r="I223" s="28" t="s">
        <v>86</v>
      </c>
      <c r="J223" s="28" t="s">
        <v>93</v>
      </c>
      <c r="L223" s="28" t="s">
        <v>86</v>
      </c>
      <c r="M223" s="28" t="s">
        <v>93</v>
      </c>
      <c r="U223" s="28" t="s">
        <v>86</v>
      </c>
      <c r="V223" s="28" t="s">
        <v>93</v>
      </c>
      <c r="X223" s="28" t="s">
        <v>86</v>
      </c>
      <c r="Y223" s="28" t="s">
        <v>93</v>
      </c>
      <c r="AA223" s="2" t="s">
        <v>355</v>
      </c>
      <c r="AB223" s="2" t="str">
        <f t="shared" si="269"/>
        <v>-</v>
      </c>
      <c r="AC223" s="2" t="s">
        <v>71</v>
      </c>
      <c r="AD223" s="2" t="str">
        <f t="shared" si="270"/>
        <v>_</v>
      </c>
      <c r="AE223" s="2" t="s">
        <v>79</v>
      </c>
      <c r="AF223" s="2" t="str">
        <f t="shared" si="271"/>
        <v>_</v>
      </c>
      <c r="AG223" s="28" t="s">
        <v>38</v>
      </c>
      <c r="AH223" s="2" t="str">
        <f t="shared" si="272"/>
        <v>_</v>
      </c>
      <c r="AI223" s="28" t="s">
        <v>75</v>
      </c>
    </row>
    <row r="224" spans="2:35" x14ac:dyDescent="0.25">
      <c r="B224" s="2" t="str">
        <f t="shared" si="268"/>
        <v>@line_offset-path_wide_mud_z16</v>
      </c>
      <c r="C224" s="28" t="s">
        <v>327</v>
      </c>
      <c r="D224" s="28" t="s">
        <v>89</v>
      </c>
      <c r="F224" s="28" t="s">
        <v>327</v>
      </c>
      <c r="G224" s="28" t="s">
        <v>89</v>
      </c>
      <c r="I224" s="28" t="s">
        <v>327</v>
      </c>
      <c r="J224" s="28" t="s">
        <v>89</v>
      </c>
      <c r="L224" s="28" t="s">
        <v>327</v>
      </c>
      <c r="M224" s="28" t="s">
        <v>89</v>
      </c>
      <c r="U224" s="28" t="s">
        <v>86</v>
      </c>
      <c r="V224" s="28" t="s">
        <v>93</v>
      </c>
      <c r="X224" s="28" t="s">
        <v>86</v>
      </c>
      <c r="Y224" s="28" t="s">
        <v>93</v>
      </c>
      <c r="AA224" s="2" t="s">
        <v>355</v>
      </c>
      <c r="AB224" s="2" t="str">
        <f t="shared" si="269"/>
        <v>-</v>
      </c>
      <c r="AC224" s="2" t="s">
        <v>71</v>
      </c>
      <c r="AD224" s="2" t="str">
        <f t="shared" si="270"/>
        <v>_</v>
      </c>
      <c r="AE224" s="2" t="s">
        <v>77</v>
      </c>
      <c r="AF224" s="2" t="str">
        <f t="shared" si="271"/>
        <v>_</v>
      </c>
      <c r="AG224" s="28" t="s">
        <v>38</v>
      </c>
      <c r="AH224" s="2" t="str">
        <f t="shared" si="272"/>
        <v>_</v>
      </c>
      <c r="AI224" s="28" t="s">
        <v>75</v>
      </c>
    </row>
    <row r="225" spans="2:35" x14ac:dyDescent="0.25">
      <c r="B225" s="2" t="str">
        <f t="shared" si="268"/>
        <v>@line_offset-path_widest_mud_z16</v>
      </c>
      <c r="C225" s="28" t="s">
        <v>327</v>
      </c>
      <c r="D225" s="28" t="s">
        <v>89</v>
      </c>
      <c r="F225" s="28" t="s">
        <v>327</v>
      </c>
      <c r="G225" s="28" t="s">
        <v>89</v>
      </c>
      <c r="I225" s="28" t="s">
        <v>327</v>
      </c>
      <c r="J225" s="28" t="s">
        <v>89</v>
      </c>
      <c r="L225" s="28" t="s">
        <v>327</v>
      </c>
      <c r="M225" s="28" t="s">
        <v>89</v>
      </c>
      <c r="U225" s="28" t="s">
        <v>86</v>
      </c>
      <c r="V225" s="28" t="s">
        <v>93</v>
      </c>
      <c r="X225" s="28" t="s">
        <v>86</v>
      </c>
      <c r="Y225" s="28" t="s">
        <v>93</v>
      </c>
      <c r="AA225" s="2" t="s">
        <v>355</v>
      </c>
      <c r="AB225" s="2" t="str">
        <f t="shared" si="269"/>
        <v>-</v>
      </c>
      <c r="AC225" s="2" t="s">
        <v>71</v>
      </c>
      <c r="AD225" s="2" t="str">
        <f t="shared" si="270"/>
        <v>_</v>
      </c>
      <c r="AE225" s="2" t="s">
        <v>296</v>
      </c>
      <c r="AF225" s="2" t="str">
        <f t="shared" si="271"/>
        <v>_</v>
      </c>
      <c r="AG225" s="28" t="s">
        <v>38</v>
      </c>
      <c r="AH225" s="2" t="str">
        <f t="shared" si="272"/>
        <v>_</v>
      </c>
      <c r="AI225" s="28" t="s">
        <v>75</v>
      </c>
    </row>
    <row r="226" spans="2:35" x14ac:dyDescent="0.25">
      <c r="B226" s="2" t="str">
        <f t="shared" si="268"/>
        <v>@line_offset-path_narrow_mud_z18</v>
      </c>
      <c r="C226" s="28" t="s">
        <v>86</v>
      </c>
      <c r="D226" s="28" t="s">
        <v>328</v>
      </c>
      <c r="F226" s="28" t="s">
        <v>86</v>
      </c>
      <c r="G226" s="28" t="s">
        <v>328</v>
      </c>
      <c r="I226" s="28" t="s">
        <v>86</v>
      </c>
      <c r="J226" s="28" t="s">
        <v>328</v>
      </c>
      <c r="L226" s="28" t="s">
        <v>86</v>
      </c>
      <c r="M226" s="28" t="s">
        <v>328</v>
      </c>
      <c r="U226" s="28" t="s">
        <v>366</v>
      </c>
      <c r="V226" s="28" t="s">
        <v>437</v>
      </c>
      <c r="X226" s="28" t="s">
        <v>366</v>
      </c>
      <c r="Y226" s="28" t="s">
        <v>437</v>
      </c>
      <c r="AA226" s="2" t="s">
        <v>355</v>
      </c>
      <c r="AB226" s="2" t="str">
        <f t="shared" si="269"/>
        <v>-</v>
      </c>
      <c r="AC226" s="2" t="s">
        <v>71</v>
      </c>
      <c r="AD226" s="2" t="str">
        <f t="shared" si="270"/>
        <v>_</v>
      </c>
      <c r="AE226" s="2" t="s">
        <v>72</v>
      </c>
      <c r="AF226" s="2" t="str">
        <f t="shared" si="271"/>
        <v>_</v>
      </c>
      <c r="AG226" s="28" t="s">
        <v>38</v>
      </c>
      <c r="AH226" s="2" t="str">
        <f t="shared" si="272"/>
        <v>_</v>
      </c>
      <c r="AI226" s="28" t="s">
        <v>76</v>
      </c>
    </row>
    <row r="227" spans="2:35" x14ac:dyDescent="0.25">
      <c r="B227" s="2" t="str">
        <f t="shared" si="268"/>
        <v>@line_offset-path_medium_mud_z18</v>
      </c>
      <c r="C227" s="28" t="s">
        <v>366</v>
      </c>
      <c r="D227" s="28" t="s">
        <v>437</v>
      </c>
      <c r="F227" s="28" t="s">
        <v>366</v>
      </c>
      <c r="G227" s="28" t="s">
        <v>437</v>
      </c>
      <c r="I227" s="28" t="s">
        <v>366</v>
      </c>
      <c r="J227" s="28" t="s">
        <v>437</v>
      </c>
      <c r="L227" s="28" t="s">
        <v>366</v>
      </c>
      <c r="M227" s="28" t="s">
        <v>437</v>
      </c>
      <c r="U227" s="28" t="s">
        <v>366</v>
      </c>
      <c r="V227" s="28" t="s">
        <v>437</v>
      </c>
      <c r="X227" s="28" t="s">
        <v>366</v>
      </c>
      <c r="Y227" s="28" t="s">
        <v>437</v>
      </c>
      <c r="AA227" s="2" t="s">
        <v>355</v>
      </c>
      <c r="AB227" s="2" t="str">
        <f t="shared" si="269"/>
        <v>-</v>
      </c>
      <c r="AC227" s="2" t="s">
        <v>71</v>
      </c>
      <c r="AD227" s="2" t="str">
        <f t="shared" si="270"/>
        <v>_</v>
      </c>
      <c r="AE227" s="2" t="s">
        <v>79</v>
      </c>
      <c r="AF227" s="2" t="str">
        <f t="shared" si="271"/>
        <v>_</v>
      </c>
      <c r="AG227" s="28" t="s">
        <v>38</v>
      </c>
      <c r="AH227" s="2" t="str">
        <f t="shared" si="272"/>
        <v>_</v>
      </c>
      <c r="AI227" s="28" t="s">
        <v>76</v>
      </c>
    </row>
    <row r="228" spans="2:35" x14ac:dyDescent="0.25">
      <c r="B228" s="2" t="str">
        <f t="shared" si="268"/>
        <v>@line_offset-path_wide_mud_z18</v>
      </c>
      <c r="C228" s="28" t="s">
        <v>339</v>
      </c>
      <c r="D228" s="28" t="s">
        <v>438</v>
      </c>
      <c r="F228" s="28" t="s">
        <v>339</v>
      </c>
      <c r="G228" s="28" t="s">
        <v>438</v>
      </c>
      <c r="I228" s="28" t="s">
        <v>339</v>
      </c>
      <c r="J228" s="28" t="s">
        <v>438</v>
      </c>
      <c r="L228" s="28" t="s">
        <v>339</v>
      </c>
      <c r="M228" s="28" t="s">
        <v>438</v>
      </c>
      <c r="U228" s="28" t="s">
        <v>366</v>
      </c>
      <c r="V228" s="28" t="s">
        <v>437</v>
      </c>
      <c r="X228" s="28" t="s">
        <v>366</v>
      </c>
      <c r="Y228" s="28" t="s">
        <v>437</v>
      </c>
      <c r="AA228" s="2" t="s">
        <v>355</v>
      </c>
      <c r="AB228" s="2" t="str">
        <f t="shared" si="269"/>
        <v>-</v>
      </c>
      <c r="AC228" s="2" t="s">
        <v>71</v>
      </c>
      <c r="AD228" s="2" t="str">
        <f t="shared" si="270"/>
        <v>_</v>
      </c>
      <c r="AE228" s="2" t="s">
        <v>77</v>
      </c>
      <c r="AF228" s="2" t="str">
        <f t="shared" si="271"/>
        <v>_</v>
      </c>
      <c r="AG228" s="28" t="s">
        <v>38</v>
      </c>
      <c r="AH228" s="2" t="str">
        <f t="shared" si="272"/>
        <v>_</v>
      </c>
      <c r="AI228" s="28" t="s">
        <v>76</v>
      </c>
    </row>
    <row r="229" spans="2:35" x14ac:dyDescent="0.25">
      <c r="B229" s="2" t="str">
        <f t="shared" si="268"/>
        <v>@line_offset-path_widest_mud_z18</v>
      </c>
      <c r="C229" s="28" t="s">
        <v>366</v>
      </c>
      <c r="D229" s="28" t="s">
        <v>438</v>
      </c>
      <c r="F229" s="28" t="s">
        <v>366</v>
      </c>
      <c r="G229" s="28" t="s">
        <v>438</v>
      </c>
      <c r="I229" s="28" t="s">
        <v>366</v>
      </c>
      <c r="J229" s="28" t="s">
        <v>438</v>
      </c>
      <c r="L229" s="28" t="s">
        <v>366</v>
      </c>
      <c r="M229" s="28" t="s">
        <v>438</v>
      </c>
      <c r="U229" s="28" t="s">
        <v>366</v>
      </c>
      <c r="V229" s="28" t="s">
        <v>437</v>
      </c>
      <c r="X229" s="28" t="s">
        <v>366</v>
      </c>
      <c r="Y229" s="28" t="s">
        <v>437</v>
      </c>
      <c r="AA229" s="2" t="s">
        <v>355</v>
      </c>
      <c r="AB229" s="2" t="str">
        <f t="shared" si="269"/>
        <v>-</v>
      </c>
      <c r="AC229" s="2" t="s">
        <v>71</v>
      </c>
      <c r="AD229" s="2" t="str">
        <f t="shared" si="270"/>
        <v>_</v>
      </c>
      <c r="AE229" s="2" t="s">
        <v>296</v>
      </c>
      <c r="AF229" s="2" t="str">
        <f t="shared" si="271"/>
        <v>_</v>
      </c>
      <c r="AG229" s="28" t="s">
        <v>38</v>
      </c>
      <c r="AH229" s="2" t="str">
        <f t="shared" si="272"/>
        <v>_</v>
      </c>
      <c r="AI229" s="28" t="s">
        <v>76</v>
      </c>
    </row>
    <row r="230" spans="2:35" x14ac:dyDescent="0.25">
      <c r="B230" s="2"/>
      <c r="AA230" s="2"/>
      <c r="AB230" s="2"/>
      <c r="AC230" s="2"/>
      <c r="AD230" s="2"/>
      <c r="AE230" s="2"/>
      <c r="AF230" s="2"/>
      <c r="AH230" s="2"/>
    </row>
    <row r="231" spans="2:35" x14ac:dyDescent="0.25">
      <c r="B231" s="2"/>
      <c r="AA231" s="2"/>
      <c r="AB231" s="2"/>
      <c r="AC231" s="2"/>
      <c r="AD231" s="2"/>
      <c r="AE231" s="2"/>
    </row>
    <row r="232" spans="2:35" x14ac:dyDescent="0.25">
      <c r="B232" s="2" t="str">
        <f>_xlfn.CONCAT("@",AA232,AB232,AC232,AD232,AE232,AF232,AG232,AH232,AI232)</f>
        <v>@dasharray-path_badvis_farzoom_dash</v>
      </c>
      <c r="C232" s="28" t="s">
        <v>96</v>
      </c>
      <c r="D232" s="28" t="s">
        <v>96</v>
      </c>
      <c r="F232" s="28" t="s">
        <v>96</v>
      </c>
      <c r="G232" s="28" t="s">
        <v>96</v>
      </c>
      <c r="I232" s="28" t="s">
        <v>96</v>
      </c>
      <c r="J232" s="28" t="s">
        <v>96</v>
      </c>
      <c r="L232" s="28" t="s">
        <v>96</v>
      </c>
      <c r="M232" s="28" t="s">
        <v>96</v>
      </c>
      <c r="U232" s="28" t="s">
        <v>90</v>
      </c>
      <c r="V232" s="28" t="s">
        <v>90</v>
      </c>
      <c r="X232" s="28" t="s">
        <v>90</v>
      </c>
      <c r="Y232" s="28" t="s">
        <v>90</v>
      </c>
      <c r="AA232" s="2" t="s">
        <v>385</v>
      </c>
      <c r="AB232" s="2" t="str">
        <f t="shared" ref="AB232" si="273">IF(NOT(ISBLANK(AC232)),"-","")</f>
        <v>-</v>
      </c>
      <c r="AC232" s="2" t="s">
        <v>71</v>
      </c>
      <c r="AD232" s="2" t="str">
        <f t="shared" ref="AD232" si="274">IF(NOT(ISBLANK(AE232)),"_","")</f>
        <v>_</v>
      </c>
      <c r="AE232" s="2" t="s">
        <v>393</v>
      </c>
      <c r="AF232" s="2" t="str">
        <f t="shared" ref="AF232" si="275">IF(NOT(ISBLANK(AG232)),"_","")</f>
        <v>_</v>
      </c>
      <c r="AG232" s="28" t="s">
        <v>20</v>
      </c>
      <c r="AH232" s="2" t="str">
        <f t="shared" ref="AH232" si="276">IF(NOT(ISBLANK(AI232)),"_","")</f>
        <v>_</v>
      </c>
      <c r="AI232" s="28" t="s">
        <v>387</v>
      </c>
    </row>
    <row r="233" spans="2:35" x14ac:dyDescent="0.25">
      <c r="B233" s="2" t="str">
        <f>_xlfn.CONCAT("@",AA233,AB233,AC233,AD233,AE233,AF233,AG233,AH233,AI233)</f>
        <v>@dasharray-path_badvis_farzoom_gap</v>
      </c>
      <c r="C233" s="28" t="s">
        <v>84</v>
      </c>
      <c r="D233" s="28" t="s">
        <v>84</v>
      </c>
      <c r="F233" s="28" t="s">
        <v>84</v>
      </c>
      <c r="G233" s="28" t="s">
        <v>84</v>
      </c>
      <c r="I233" s="28" t="s">
        <v>84</v>
      </c>
      <c r="J233" s="28" t="s">
        <v>84</v>
      </c>
      <c r="L233" s="28" t="s">
        <v>84</v>
      </c>
      <c r="M233" s="28" t="s">
        <v>84</v>
      </c>
      <c r="U233" s="28" t="s">
        <v>85</v>
      </c>
      <c r="V233" s="28" t="s">
        <v>85</v>
      </c>
      <c r="X233" s="28" t="s">
        <v>85</v>
      </c>
      <c r="Y233" s="28" t="s">
        <v>85</v>
      </c>
      <c r="AA233" s="2" t="s">
        <v>385</v>
      </c>
      <c r="AB233" s="2" t="str">
        <f t="shared" ref="AB233:AB234" si="277">IF(NOT(ISBLANK(AC233)),"-","")</f>
        <v>-</v>
      </c>
      <c r="AC233" s="2" t="s">
        <v>71</v>
      </c>
      <c r="AD233" s="2" t="str">
        <f t="shared" ref="AD233:AD234" si="278">IF(NOT(ISBLANK(AE233)),"_","")</f>
        <v>_</v>
      </c>
      <c r="AE233" s="2" t="s">
        <v>393</v>
      </c>
      <c r="AF233" s="2" t="str">
        <f t="shared" ref="AF233:AF234" si="279">IF(NOT(ISBLANK(AG233)),"_","")</f>
        <v>_</v>
      </c>
      <c r="AG233" s="28" t="s">
        <v>20</v>
      </c>
      <c r="AH233" s="2" t="str">
        <f t="shared" ref="AH233:AH234" si="280">IF(NOT(ISBLANK(AI233)),"_","")</f>
        <v>_</v>
      </c>
      <c r="AI233" s="28" t="s">
        <v>388</v>
      </c>
    </row>
    <row r="234" spans="2:35" x14ac:dyDescent="0.25">
      <c r="B234" s="2" t="str">
        <f>_xlfn.CONCAT("@",AA234,AB234,AC234,AD234,AE234,AF234,AG234,AH234,AI234)</f>
        <v>@dasharray-path_badvis_default_dash</v>
      </c>
      <c r="C234" s="28" t="s">
        <v>96</v>
      </c>
      <c r="D234" s="28" t="s">
        <v>96</v>
      </c>
      <c r="F234" s="28" t="s">
        <v>96</v>
      </c>
      <c r="G234" s="28" t="s">
        <v>96</v>
      </c>
      <c r="I234" s="28" t="s">
        <v>96</v>
      </c>
      <c r="J234" s="28" t="s">
        <v>96</v>
      </c>
      <c r="L234" s="28" t="s">
        <v>96</v>
      </c>
      <c r="M234" s="28" t="s">
        <v>96</v>
      </c>
      <c r="U234" s="28" t="s">
        <v>90</v>
      </c>
      <c r="V234" s="28" t="s">
        <v>90</v>
      </c>
      <c r="X234" s="28" t="s">
        <v>90</v>
      </c>
      <c r="Y234" s="28" t="s">
        <v>90</v>
      </c>
      <c r="AA234" s="2" t="s">
        <v>385</v>
      </c>
      <c r="AB234" s="2" t="str">
        <f t="shared" si="277"/>
        <v>-</v>
      </c>
      <c r="AC234" s="2" t="s">
        <v>71</v>
      </c>
      <c r="AD234" s="2" t="str">
        <f t="shared" si="278"/>
        <v>_</v>
      </c>
      <c r="AE234" s="2" t="s">
        <v>393</v>
      </c>
      <c r="AF234" s="2" t="str">
        <f t="shared" si="279"/>
        <v>_</v>
      </c>
      <c r="AG234" s="2" t="s">
        <v>262</v>
      </c>
      <c r="AH234" s="2" t="str">
        <f t="shared" si="280"/>
        <v>_</v>
      </c>
      <c r="AI234" s="28" t="s">
        <v>387</v>
      </c>
    </row>
    <row r="235" spans="2:35" x14ac:dyDescent="0.25">
      <c r="B235" s="2" t="str">
        <f>_xlfn.CONCAT("@",AA235,AB235,AC235,AD235,AE235,AF235,AG235,AH235,AI235)</f>
        <v>@dasharray-path_badvis_default_gap</v>
      </c>
      <c r="C235" s="28" t="s">
        <v>84</v>
      </c>
      <c r="D235" s="28" t="s">
        <v>84</v>
      </c>
      <c r="F235" s="28" t="s">
        <v>84</v>
      </c>
      <c r="G235" s="28" t="s">
        <v>84</v>
      </c>
      <c r="I235" s="28" t="s">
        <v>84</v>
      </c>
      <c r="J235" s="28" t="s">
        <v>84</v>
      </c>
      <c r="L235" s="28" t="s">
        <v>84</v>
      </c>
      <c r="M235" s="28" t="s">
        <v>84</v>
      </c>
      <c r="U235" s="28" t="s">
        <v>85</v>
      </c>
      <c r="V235" s="28" t="s">
        <v>85</v>
      </c>
      <c r="X235" s="28" t="s">
        <v>85</v>
      </c>
      <c r="Y235" s="28" t="s">
        <v>85</v>
      </c>
      <c r="AA235" s="2" t="s">
        <v>385</v>
      </c>
      <c r="AB235" s="2" t="str">
        <f t="shared" ref="AB235" si="281">IF(NOT(ISBLANK(AC235)),"-","")</f>
        <v>-</v>
      </c>
      <c r="AC235" s="2" t="s">
        <v>71</v>
      </c>
      <c r="AD235" s="2" t="str">
        <f t="shared" ref="AD235" si="282">IF(NOT(ISBLANK(AE235)),"_","")</f>
        <v>_</v>
      </c>
      <c r="AE235" s="2" t="s">
        <v>393</v>
      </c>
      <c r="AF235" s="2" t="str">
        <f t="shared" ref="AF235" si="283">IF(NOT(ISBLANK(AG235)),"_","")</f>
        <v>_</v>
      </c>
      <c r="AG235" s="2" t="s">
        <v>262</v>
      </c>
      <c r="AH235" s="2" t="str">
        <f t="shared" ref="AH235" si="284">IF(NOT(ISBLANK(AI235)),"_","")</f>
        <v>_</v>
      </c>
      <c r="AI235" s="28" t="s">
        <v>388</v>
      </c>
    </row>
    <row r="236" spans="2:35" x14ac:dyDescent="0.25">
      <c r="B236" s="2"/>
      <c r="AA236" s="2"/>
      <c r="AB236" s="2"/>
      <c r="AC236" s="2"/>
      <c r="AD236" s="2"/>
      <c r="AE236" s="2"/>
    </row>
    <row r="237" spans="2:35" x14ac:dyDescent="0.25">
      <c r="B237" s="2" t="str">
        <f t="shared" ref="B237:B244" si="285">_xlfn.CONCAT("@",AA237,AB237,AC237,AD237,AE237,AF237,AG237,AH237,AI237)</f>
        <v>@dasharray-path_goodvis_farzoom_dash</v>
      </c>
      <c r="C237" s="28" t="s">
        <v>90</v>
      </c>
      <c r="D237" s="28" t="s">
        <v>90</v>
      </c>
      <c r="F237" s="28" t="s">
        <v>90</v>
      </c>
      <c r="G237" s="28" t="s">
        <v>90</v>
      </c>
      <c r="I237" s="28" t="s">
        <v>90</v>
      </c>
      <c r="J237" s="28" t="s">
        <v>90</v>
      </c>
      <c r="L237" s="28" t="s">
        <v>90</v>
      </c>
      <c r="M237" s="28" t="s">
        <v>90</v>
      </c>
      <c r="U237" s="28" t="s">
        <v>90</v>
      </c>
      <c r="V237" s="28" t="s">
        <v>85</v>
      </c>
      <c r="X237" s="28" t="s">
        <v>90</v>
      </c>
      <c r="Y237" s="28" t="s">
        <v>90</v>
      </c>
      <c r="AA237" s="2" t="s">
        <v>385</v>
      </c>
      <c r="AB237" s="2" t="str">
        <f t="shared" ref="AB237:AB238" si="286">IF(NOT(ISBLANK(AC237)),"-","")</f>
        <v>-</v>
      </c>
      <c r="AC237" s="2" t="s">
        <v>71</v>
      </c>
      <c r="AD237" s="2" t="str">
        <f t="shared" ref="AD237:AD238" si="287">IF(NOT(ISBLANK(AE237)),"_","")</f>
        <v>_</v>
      </c>
      <c r="AE237" s="2" t="s">
        <v>394</v>
      </c>
      <c r="AF237" s="2" t="str">
        <f t="shared" ref="AF237:AF238" si="288">IF(NOT(ISBLANK(AG237)),"_","")</f>
        <v>_</v>
      </c>
      <c r="AG237" s="28" t="s">
        <v>20</v>
      </c>
      <c r="AH237" s="2" t="str">
        <f t="shared" ref="AH237:AH238" si="289">IF(NOT(ISBLANK(AI237)),"_","")</f>
        <v>_</v>
      </c>
      <c r="AI237" s="28" t="s">
        <v>387</v>
      </c>
    </row>
    <row r="238" spans="2:35" x14ac:dyDescent="0.25">
      <c r="B238" s="2" t="str">
        <f t="shared" si="285"/>
        <v>@dasharray-path_goodvis_farzoom_gap</v>
      </c>
      <c r="C238" s="28" t="s">
        <v>85</v>
      </c>
      <c r="D238" s="28" t="s">
        <v>85</v>
      </c>
      <c r="F238" s="28" t="s">
        <v>85</v>
      </c>
      <c r="G238" s="28" t="s">
        <v>85</v>
      </c>
      <c r="I238" s="28" t="s">
        <v>85</v>
      </c>
      <c r="J238" s="28" t="s">
        <v>85</v>
      </c>
      <c r="L238" s="28" t="s">
        <v>85</v>
      </c>
      <c r="M238" s="28" t="s">
        <v>85</v>
      </c>
      <c r="U238" s="28" t="s">
        <v>85</v>
      </c>
      <c r="V238" s="28" t="s">
        <v>85</v>
      </c>
      <c r="X238" s="28" t="s">
        <v>85</v>
      </c>
      <c r="Y238" s="28" t="s">
        <v>85</v>
      </c>
      <c r="AA238" s="2" t="s">
        <v>385</v>
      </c>
      <c r="AB238" s="2" t="str">
        <f t="shared" si="286"/>
        <v>-</v>
      </c>
      <c r="AC238" s="2" t="s">
        <v>71</v>
      </c>
      <c r="AD238" s="2" t="str">
        <f t="shared" si="287"/>
        <v>_</v>
      </c>
      <c r="AE238" s="2" t="s">
        <v>394</v>
      </c>
      <c r="AF238" s="2" t="str">
        <f t="shared" si="288"/>
        <v>_</v>
      </c>
      <c r="AG238" s="28" t="s">
        <v>20</v>
      </c>
      <c r="AH238" s="2" t="str">
        <f t="shared" si="289"/>
        <v>_</v>
      </c>
      <c r="AI238" s="28" t="s">
        <v>388</v>
      </c>
    </row>
    <row r="239" spans="2:35" x14ac:dyDescent="0.25">
      <c r="B239" s="2" t="str">
        <f t="shared" si="285"/>
        <v>@dasharray-path_goodvis_narrow_dash</v>
      </c>
      <c r="C239" s="28" t="s">
        <v>395</v>
      </c>
      <c r="D239" s="28" t="s">
        <v>395</v>
      </c>
      <c r="F239" s="28" t="s">
        <v>395</v>
      </c>
      <c r="G239" s="28" t="s">
        <v>395</v>
      </c>
      <c r="I239" s="28" t="s">
        <v>395</v>
      </c>
      <c r="J239" s="28" t="s">
        <v>395</v>
      </c>
      <c r="L239" s="28" t="s">
        <v>395</v>
      </c>
      <c r="M239" s="28" t="s">
        <v>395</v>
      </c>
      <c r="U239" s="28" t="s">
        <v>82</v>
      </c>
      <c r="V239" s="28" t="s">
        <v>90</v>
      </c>
      <c r="X239" s="28" t="s">
        <v>82</v>
      </c>
      <c r="Y239" s="28" t="s">
        <v>82</v>
      </c>
      <c r="AA239" s="2" t="s">
        <v>385</v>
      </c>
      <c r="AB239" s="2" t="str">
        <f t="shared" ref="AB239:AB240" si="290">IF(NOT(ISBLANK(AC239)),"-","")</f>
        <v>-</v>
      </c>
      <c r="AC239" s="2" t="s">
        <v>71</v>
      </c>
      <c r="AD239" s="2" t="str">
        <f t="shared" ref="AD239:AD240" si="291">IF(NOT(ISBLANK(AE239)),"_","")</f>
        <v>_</v>
      </c>
      <c r="AE239" s="2" t="s">
        <v>394</v>
      </c>
      <c r="AF239" s="2" t="str">
        <f t="shared" ref="AF239:AF240" si="292">IF(NOT(ISBLANK(AG239)),"_","")</f>
        <v>_</v>
      </c>
      <c r="AG239" s="28" t="s">
        <v>72</v>
      </c>
      <c r="AH239" s="2" t="str">
        <f t="shared" ref="AH239:AH240" si="293">IF(NOT(ISBLANK(AI239)),"_","")</f>
        <v>_</v>
      </c>
      <c r="AI239" s="28" t="s">
        <v>387</v>
      </c>
    </row>
    <row r="240" spans="2:35" x14ac:dyDescent="0.25">
      <c r="B240" s="2" t="str">
        <f t="shared" si="285"/>
        <v>@dasharray-path_goodvis_narrow_gap</v>
      </c>
      <c r="C240" s="28" t="s">
        <v>396</v>
      </c>
      <c r="D240" s="28" t="s">
        <v>396</v>
      </c>
      <c r="F240" s="28" t="s">
        <v>396</v>
      </c>
      <c r="G240" s="28" t="s">
        <v>396</v>
      </c>
      <c r="I240" s="28" t="s">
        <v>396</v>
      </c>
      <c r="J240" s="28" t="s">
        <v>396</v>
      </c>
      <c r="L240" s="28" t="s">
        <v>396</v>
      </c>
      <c r="M240" s="28" t="s">
        <v>396</v>
      </c>
      <c r="U240" s="28" t="s">
        <v>90</v>
      </c>
      <c r="V240" s="28" t="s">
        <v>90</v>
      </c>
      <c r="X240" s="28" t="s">
        <v>90</v>
      </c>
      <c r="Y240" s="28" t="s">
        <v>90</v>
      </c>
      <c r="AA240" s="2" t="s">
        <v>385</v>
      </c>
      <c r="AB240" s="2" t="str">
        <f t="shared" si="290"/>
        <v>-</v>
      </c>
      <c r="AC240" s="2" t="s">
        <v>71</v>
      </c>
      <c r="AD240" s="2" t="str">
        <f t="shared" si="291"/>
        <v>_</v>
      </c>
      <c r="AE240" s="2" t="s">
        <v>394</v>
      </c>
      <c r="AF240" s="2" t="str">
        <f t="shared" si="292"/>
        <v>_</v>
      </c>
      <c r="AG240" s="28" t="s">
        <v>72</v>
      </c>
      <c r="AH240" s="2" t="str">
        <f t="shared" si="293"/>
        <v>_</v>
      </c>
      <c r="AI240" s="28" t="s">
        <v>388</v>
      </c>
    </row>
    <row r="241" spans="1:35" x14ac:dyDescent="0.25">
      <c r="B241" s="2" t="str">
        <f t="shared" si="285"/>
        <v>@dasharray-path_goodvis_medium_dash</v>
      </c>
      <c r="C241" s="28" t="s">
        <v>82</v>
      </c>
      <c r="D241" s="28" t="s">
        <v>82</v>
      </c>
      <c r="F241" s="28" t="s">
        <v>82</v>
      </c>
      <c r="G241" s="28" t="s">
        <v>82</v>
      </c>
      <c r="I241" s="28" t="s">
        <v>82</v>
      </c>
      <c r="J241" s="28" t="s">
        <v>82</v>
      </c>
      <c r="L241" s="28" t="s">
        <v>82</v>
      </c>
      <c r="M241" s="28" t="s">
        <v>82</v>
      </c>
      <c r="U241" s="28" t="s">
        <v>82</v>
      </c>
      <c r="V241" s="28" t="s">
        <v>90</v>
      </c>
      <c r="X241" s="28" t="s">
        <v>82</v>
      </c>
      <c r="Y241" s="28" t="s">
        <v>82</v>
      </c>
      <c r="AA241" s="2" t="s">
        <v>385</v>
      </c>
      <c r="AB241" s="2" t="str">
        <f t="shared" ref="AB241:AB242" si="294">IF(NOT(ISBLANK(AC241)),"-","")</f>
        <v>-</v>
      </c>
      <c r="AC241" s="2" t="s">
        <v>71</v>
      </c>
      <c r="AD241" s="2" t="str">
        <f t="shared" ref="AD241:AD242" si="295">IF(NOT(ISBLANK(AE241)),"_","")</f>
        <v>_</v>
      </c>
      <c r="AE241" s="2" t="s">
        <v>394</v>
      </c>
      <c r="AF241" s="2" t="str">
        <f t="shared" ref="AF241:AF242" si="296">IF(NOT(ISBLANK(AG241)),"_","")</f>
        <v>_</v>
      </c>
      <c r="AG241" s="28" t="s">
        <v>79</v>
      </c>
      <c r="AH241" s="2" t="str">
        <f t="shared" ref="AH241:AH242" si="297">IF(NOT(ISBLANK(AI241)),"_","")</f>
        <v>_</v>
      </c>
      <c r="AI241" s="28" t="s">
        <v>387</v>
      </c>
    </row>
    <row r="242" spans="1:35" x14ac:dyDescent="0.25">
      <c r="B242" s="2" t="str">
        <f t="shared" si="285"/>
        <v>@dasharray-path_goodvis_medium_gap</v>
      </c>
      <c r="C242" s="28" t="s">
        <v>90</v>
      </c>
      <c r="D242" s="28" t="s">
        <v>90</v>
      </c>
      <c r="F242" s="28" t="s">
        <v>90</v>
      </c>
      <c r="G242" s="28" t="s">
        <v>90</v>
      </c>
      <c r="I242" s="28" t="s">
        <v>90</v>
      </c>
      <c r="J242" s="28" t="s">
        <v>90</v>
      </c>
      <c r="L242" s="28" t="s">
        <v>90</v>
      </c>
      <c r="M242" s="28" t="s">
        <v>90</v>
      </c>
      <c r="U242" s="28" t="s">
        <v>90</v>
      </c>
      <c r="V242" s="28" t="s">
        <v>90</v>
      </c>
      <c r="X242" s="28" t="s">
        <v>90</v>
      </c>
      <c r="Y242" s="28" t="s">
        <v>90</v>
      </c>
      <c r="AA242" s="2" t="s">
        <v>385</v>
      </c>
      <c r="AB242" s="2" t="str">
        <f t="shared" si="294"/>
        <v>-</v>
      </c>
      <c r="AC242" s="2" t="s">
        <v>71</v>
      </c>
      <c r="AD242" s="2" t="str">
        <f t="shared" si="295"/>
        <v>_</v>
      </c>
      <c r="AE242" s="2" t="s">
        <v>394</v>
      </c>
      <c r="AF242" s="2" t="str">
        <f t="shared" si="296"/>
        <v>_</v>
      </c>
      <c r="AG242" s="28" t="s">
        <v>79</v>
      </c>
      <c r="AH242" s="2" t="str">
        <f t="shared" si="297"/>
        <v>_</v>
      </c>
      <c r="AI242" s="28" t="s">
        <v>388</v>
      </c>
    </row>
    <row r="243" spans="1:35" x14ac:dyDescent="0.25">
      <c r="B243" s="2" t="str">
        <f t="shared" si="285"/>
        <v>@dasharray-path_goodvis_wide_dash</v>
      </c>
      <c r="C243" s="28" t="s">
        <v>397</v>
      </c>
      <c r="D243" s="28" t="s">
        <v>397</v>
      </c>
      <c r="F243" s="28" t="s">
        <v>397</v>
      </c>
      <c r="G243" s="28" t="s">
        <v>397</v>
      </c>
      <c r="I243" s="28" t="s">
        <v>397</v>
      </c>
      <c r="J243" s="28" t="s">
        <v>397</v>
      </c>
      <c r="L243" s="28" t="s">
        <v>397</v>
      </c>
      <c r="M243" s="28" t="s">
        <v>397</v>
      </c>
      <c r="U243" s="28" t="s">
        <v>82</v>
      </c>
      <c r="V243" s="28" t="s">
        <v>90</v>
      </c>
      <c r="X243" s="28" t="s">
        <v>82</v>
      </c>
      <c r="Y243" s="28" t="s">
        <v>82</v>
      </c>
      <c r="AA243" s="2" t="s">
        <v>385</v>
      </c>
      <c r="AB243" s="2" t="str">
        <f t="shared" ref="AB243:AB244" si="298">IF(NOT(ISBLANK(AC243)),"-","")</f>
        <v>-</v>
      </c>
      <c r="AC243" s="2" t="s">
        <v>71</v>
      </c>
      <c r="AD243" s="2" t="str">
        <f t="shared" ref="AD243:AD244" si="299">IF(NOT(ISBLANK(AE243)),"_","")</f>
        <v>_</v>
      </c>
      <c r="AE243" s="2" t="s">
        <v>394</v>
      </c>
      <c r="AF243" s="2" t="str">
        <f t="shared" ref="AF243:AF244" si="300">IF(NOT(ISBLANK(AG243)),"_","")</f>
        <v>_</v>
      </c>
      <c r="AG243" s="28" t="s">
        <v>77</v>
      </c>
      <c r="AH243" s="2" t="str">
        <f t="shared" ref="AH243:AH244" si="301">IF(NOT(ISBLANK(AI243)),"_","")</f>
        <v>_</v>
      </c>
      <c r="AI243" s="28" t="s">
        <v>387</v>
      </c>
    </row>
    <row r="244" spans="1:35" x14ac:dyDescent="0.25">
      <c r="B244" s="2" t="str">
        <f t="shared" si="285"/>
        <v>@dasharray-path_goodvis_wide_gap</v>
      </c>
      <c r="C244" s="28" t="s">
        <v>84</v>
      </c>
      <c r="D244" s="28" t="s">
        <v>84</v>
      </c>
      <c r="F244" s="28" t="s">
        <v>84</v>
      </c>
      <c r="G244" s="28" t="s">
        <v>84</v>
      </c>
      <c r="I244" s="28" t="s">
        <v>84</v>
      </c>
      <c r="J244" s="28" t="s">
        <v>84</v>
      </c>
      <c r="L244" s="28" t="s">
        <v>84</v>
      </c>
      <c r="M244" s="28" t="s">
        <v>84</v>
      </c>
      <c r="U244" s="28" t="s">
        <v>90</v>
      </c>
      <c r="V244" s="28" t="s">
        <v>90</v>
      </c>
      <c r="X244" s="28" t="s">
        <v>90</v>
      </c>
      <c r="Y244" s="28" t="s">
        <v>90</v>
      </c>
      <c r="AA244" s="2" t="s">
        <v>385</v>
      </c>
      <c r="AB244" s="2" t="str">
        <f t="shared" si="298"/>
        <v>-</v>
      </c>
      <c r="AC244" s="2" t="s">
        <v>71</v>
      </c>
      <c r="AD244" s="2" t="str">
        <f t="shared" si="299"/>
        <v>_</v>
      </c>
      <c r="AE244" s="2" t="s">
        <v>394</v>
      </c>
      <c r="AF244" s="2" t="str">
        <f t="shared" si="300"/>
        <v>_</v>
      </c>
      <c r="AG244" s="28" t="s">
        <v>77</v>
      </c>
      <c r="AH244" s="2" t="str">
        <f t="shared" si="301"/>
        <v>_</v>
      </c>
      <c r="AI244" s="28" t="s">
        <v>388</v>
      </c>
    </row>
    <row r="245" spans="1:35" x14ac:dyDescent="0.25">
      <c r="B245" s="2"/>
      <c r="AA245" s="2"/>
      <c r="AB245" s="2"/>
      <c r="AC245" s="2"/>
      <c r="AD245" s="2"/>
      <c r="AE245" s="2"/>
    </row>
    <row r="246" spans="1:35" s="2" customFormat="1" x14ac:dyDescent="0.25">
      <c r="A246" s="3" t="s">
        <v>401</v>
      </c>
      <c r="B246" s="27"/>
      <c r="C246" s="27"/>
      <c r="D246" s="6"/>
      <c r="E246" s="7"/>
      <c r="F246" s="6"/>
      <c r="G246" s="6"/>
      <c r="H246" s="7"/>
      <c r="I246" s="6"/>
      <c r="J246" s="6"/>
      <c r="K246" s="7"/>
      <c r="L246" s="6"/>
      <c r="M246" s="6"/>
      <c r="N246" s="7"/>
      <c r="O246" s="6"/>
      <c r="P246" s="6"/>
      <c r="Q246" s="7"/>
      <c r="R246" s="6"/>
      <c r="S246" s="6"/>
      <c r="T246" s="7"/>
      <c r="U246" s="6"/>
      <c r="V246" s="6"/>
      <c r="W246" s="7"/>
      <c r="X246" s="6"/>
      <c r="Y246" s="6"/>
      <c r="AA246" s="128"/>
      <c r="AB246" s="128"/>
      <c r="AC246" s="128"/>
      <c r="AD246" s="128"/>
      <c r="AE246" s="128"/>
      <c r="AF246" s="128"/>
      <c r="AG246" s="128"/>
      <c r="AH246" s="128"/>
      <c r="AI246" s="128"/>
    </row>
    <row r="247" spans="1:35" x14ac:dyDescent="0.25">
      <c r="B247" s="2" t="str">
        <f t="shared" ref="B247" si="302">_xlfn.CONCAT("@",AA247,AB247,AC247,AD247,AE247,AF247,AG247,AH247,AI247)</f>
        <v>@color-piste_trail_ski_case</v>
      </c>
      <c r="C247" s="110" t="s">
        <v>297</v>
      </c>
      <c r="D247" s="110" t="s">
        <v>297</v>
      </c>
      <c r="F247" s="110" t="s">
        <v>297</v>
      </c>
      <c r="G247" s="110" t="s">
        <v>297</v>
      </c>
      <c r="I247" s="110" t="s">
        <v>297</v>
      </c>
      <c r="J247" s="110" t="s">
        <v>297</v>
      </c>
      <c r="L247" s="110" t="s">
        <v>297</v>
      </c>
      <c r="M247" s="110" t="s">
        <v>297</v>
      </c>
      <c r="U247" s="46" t="s">
        <v>222</v>
      </c>
      <c r="V247" s="46" t="s">
        <v>222</v>
      </c>
      <c r="X247" s="31" t="s">
        <v>281</v>
      </c>
      <c r="Y247" s="31" t="s">
        <v>281</v>
      </c>
      <c r="AA247" s="2" t="s">
        <v>6</v>
      </c>
      <c r="AB247" s="2" t="str">
        <f t="shared" ref="AB247" si="303">IF(NOT(ISBLANK(AC247)),"-","")</f>
        <v>-</v>
      </c>
      <c r="AC247" s="2" t="s">
        <v>402</v>
      </c>
      <c r="AD247" s="2" t="str">
        <f t="shared" ref="AD247" si="304">IF(NOT(ISBLANK(AE247)),"_","")</f>
        <v>_</v>
      </c>
      <c r="AE247" s="2" t="s">
        <v>403</v>
      </c>
      <c r="AF247" s="2" t="str">
        <f t="shared" ref="AF247" si="305">IF(NOT(ISBLANK(AG247)),"_","")</f>
        <v>_</v>
      </c>
      <c r="AG247" s="28" t="s">
        <v>17</v>
      </c>
      <c r="AH247" s="2" t="str">
        <f t="shared" ref="AH247" si="306">IF(NOT(ISBLANK(AI247)),"_","")</f>
        <v/>
      </c>
    </row>
    <row r="248" spans="1:35" x14ac:dyDescent="0.25">
      <c r="B248" s="2" t="str">
        <f t="shared" ref="B248" si="307">_xlfn.CONCAT("@",AA248,AB248,AC248,AD248,AE248,AF248,AG248,AH248,AI248)</f>
        <v>@color-piste_trail_ski_line_osm</v>
      </c>
      <c r="C248" s="110" t="s">
        <v>297</v>
      </c>
      <c r="D248" s="110" t="s">
        <v>297</v>
      </c>
      <c r="F248" s="110" t="s">
        <v>297</v>
      </c>
      <c r="G248" s="110" t="s">
        <v>297</v>
      </c>
      <c r="I248" s="110" t="s">
        <v>297</v>
      </c>
      <c r="J248" s="110" t="s">
        <v>297</v>
      </c>
      <c r="L248" s="110" t="s">
        <v>297</v>
      </c>
      <c r="M248" s="110" t="s">
        <v>297</v>
      </c>
      <c r="U248" s="129" t="s">
        <v>406</v>
      </c>
      <c r="V248" s="129" t="s">
        <v>406</v>
      </c>
      <c r="X248" s="129" t="s">
        <v>406</v>
      </c>
      <c r="Y248" s="129" t="s">
        <v>406</v>
      </c>
      <c r="AA248" s="2" t="s">
        <v>6</v>
      </c>
      <c r="AB248" s="2" t="str">
        <f t="shared" ref="AB248" si="308">IF(NOT(ISBLANK(AC248)),"-","")</f>
        <v>-</v>
      </c>
      <c r="AC248" s="2" t="s">
        <v>402</v>
      </c>
      <c r="AD248" s="2" t="str">
        <f t="shared" ref="AD248" si="309">IF(NOT(ISBLANK(AE248)),"_","")</f>
        <v>_</v>
      </c>
      <c r="AE248" s="2" t="s">
        <v>403</v>
      </c>
      <c r="AF248" s="2" t="str">
        <f t="shared" ref="AF248" si="310">IF(NOT(ISBLANK(AG248)),"_","")</f>
        <v>_</v>
      </c>
      <c r="AG248" s="28" t="s">
        <v>13</v>
      </c>
      <c r="AH248" s="2" t="str">
        <f t="shared" ref="AH248" si="311">IF(NOT(ISBLANK(AI248)),"_","")</f>
        <v>_</v>
      </c>
      <c r="AI248" s="28" t="s">
        <v>405</v>
      </c>
    </row>
    <row r="249" spans="1:35" x14ac:dyDescent="0.25">
      <c r="B249" s="2" t="str">
        <f t="shared" ref="B249" si="312">_xlfn.CONCAT("@",AA249,AB249,AC249,AD249,AE249,AF249,AG249,AH249,AI249)</f>
        <v>@color-piste_trail_ski_line_lipas</v>
      </c>
      <c r="C249" s="110" t="s">
        <v>297</v>
      </c>
      <c r="D249" s="110" t="s">
        <v>297</v>
      </c>
      <c r="F249" s="110" t="s">
        <v>297</v>
      </c>
      <c r="G249" s="110" t="s">
        <v>297</v>
      </c>
      <c r="I249" s="110" t="s">
        <v>297</v>
      </c>
      <c r="J249" s="110" t="s">
        <v>297</v>
      </c>
      <c r="L249" s="110" t="s">
        <v>297</v>
      </c>
      <c r="M249" s="110" t="s">
        <v>297</v>
      </c>
      <c r="U249" s="130" t="s">
        <v>408</v>
      </c>
      <c r="V249" s="130" t="s">
        <v>408</v>
      </c>
      <c r="X249" s="130" t="s">
        <v>408</v>
      </c>
      <c r="Y249" s="130" t="s">
        <v>408</v>
      </c>
      <c r="AA249" s="2" t="s">
        <v>6</v>
      </c>
      <c r="AB249" s="2" t="str">
        <f t="shared" ref="AB249" si="313">IF(NOT(ISBLANK(AC249)),"-","")</f>
        <v>-</v>
      </c>
      <c r="AC249" s="2" t="s">
        <v>402</v>
      </c>
      <c r="AD249" s="2" t="str">
        <f t="shared" ref="AD249" si="314">IF(NOT(ISBLANK(AE249)),"_","")</f>
        <v>_</v>
      </c>
      <c r="AE249" s="2" t="s">
        <v>403</v>
      </c>
      <c r="AF249" s="2" t="str">
        <f t="shared" ref="AF249" si="315">IF(NOT(ISBLANK(AG249)),"_","")</f>
        <v>_</v>
      </c>
      <c r="AG249" s="28" t="s">
        <v>13</v>
      </c>
      <c r="AH249" s="2" t="str">
        <f t="shared" ref="AH249" si="316">IF(NOT(ISBLANK(AI249)),"_","")</f>
        <v>_</v>
      </c>
      <c r="AI249" s="28" t="s">
        <v>407</v>
      </c>
    </row>
    <row r="250" spans="1:35" x14ac:dyDescent="0.25">
      <c r="B250" s="2" t="str">
        <f t="shared" ref="B250" si="317">_xlfn.CONCAT("@",AA250,AB250,AC250,AD250,AE250,AF250,AG250,AH250,AI250)</f>
        <v>@color-piste_trail_ski_center</v>
      </c>
      <c r="C250" s="110" t="s">
        <v>297</v>
      </c>
      <c r="D250" s="110" t="s">
        <v>297</v>
      </c>
      <c r="F250" s="110" t="s">
        <v>297</v>
      </c>
      <c r="G250" s="110" t="s">
        <v>297</v>
      </c>
      <c r="I250" s="110" t="s">
        <v>297</v>
      </c>
      <c r="J250" s="110" t="s">
        <v>297</v>
      </c>
      <c r="L250" s="110" t="s">
        <v>297</v>
      </c>
      <c r="M250" s="110" t="s">
        <v>297</v>
      </c>
      <c r="U250" s="46" t="s">
        <v>222</v>
      </c>
      <c r="V250" s="46" t="s">
        <v>222</v>
      </c>
      <c r="X250" s="31" t="s">
        <v>281</v>
      </c>
      <c r="Y250" s="31" t="s">
        <v>281</v>
      </c>
      <c r="AA250" s="2" t="s">
        <v>6</v>
      </c>
      <c r="AB250" s="2" t="str">
        <f t="shared" ref="AB250" si="318">IF(NOT(ISBLANK(AC250)),"-","")</f>
        <v>-</v>
      </c>
      <c r="AC250" s="2" t="s">
        <v>402</v>
      </c>
      <c r="AD250" s="2" t="str">
        <f t="shared" ref="AD250" si="319">IF(NOT(ISBLANK(AE250)),"_","")</f>
        <v>_</v>
      </c>
      <c r="AE250" s="2" t="s">
        <v>403</v>
      </c>
      <c r="AF250" s="2" t="str">
        <f t="shared" ref="AF250" si="320">IF(NOT(ISBLANK(AG250)),"_","")</f>
        <v>_</v>
      </c>
      <c r="AG250" s="28" t="s">
        <v>404</v>
      </c>
      <c r="AH250" s="2" t="str">
        <f t="shared" ref="AH250" si="321">IF(NOT(ISBLANK(AI250)),"_","")</f>
        <v/>
      </c>
    </row>
    <row r="251" spans="1:35" x14ac:dyDescent="0.25">
      <c r="B251" s="2"/>
      <c r="AA251" s="2"/>
      <c r="AB251" s="2"/>
      <c r="AC251" s="2"/>
      <c r="AD251" s="2"/>
      <c r="AE251" s="2"/>
    </row>
    <row r="252" spans="1:35" x14ac:dyDescent="0.25">
      <c r="B252" s="2"/>
      <c r="AA252" s="2"/>
      <c r="AB252" s="2"/>
      <c r="AC252" s="2"/>
      <c r="AD252" s="2"/>
      <c r="AE252" s="2"/>
    </row>
    <row r="253" spans="1:35" x14ac:dyDescent="0.25">
      <c r="B253" s="2"/>
      <c r="AA253" s="2"/>
      <c r="AB253" s="2"/>
      <c r="AC253" s="2"/>
      <c r="AD253" s="2"/>
      <c r="AE253" s="2"/>
    </row>
    <row r="254" spans="1:35" x14ac:dyDescent="0.25">
      <c r="B254" s="2"/>
      <c r="AA254" s="2"/>
      <c r="AB254" s="2"/>
      <c r="AC254" s="2"/>
      <c r="AD254" s="2"/>
      <c r="AE254" s="2"/>
    </row>
    <row r="255" spans="1:35" x14ac:dyDescent="0.25">
      <c r="B255" s="2"/>
      <c r="AA255" s="2"/>
      <c r="AB255" s="2"/>
      <c r="AC255" s="2"/>
      <c r="AD255" s="2"/>
      <c r="AE255" s="2"/>
    </row>
    <row r="256" spans="1:35" s="2" customFormat="1" x14ac:dyDescent="0.25">
      <c r="A256" s="3" t="s">
        <v>400</v>
      </c>
      <c r="B256" s="27"/>
      <c r="C256" s="27"/>
      <c r="D256" s="6"/>
      <c r="E256" s="7"/>
      <c r="F256" s="6"/>
      <c r="G256" s="6"/>
      <c r="H256" s="7"/>
      <c r="I256" s="6"/>
      <c r="J256" s="6"/>
      <c r="K256" s="7"/>
      <c r="L256" s="6"/>
      <c r="M256" s="6"/>
      <c r="N256" s="7"/>
      <c r="O256" s="6"/>
      <c r="P256" s="6"/>
      <c r="Q256" s="7"/>
      <c r="R256" s="6"/>
      <c r="S256" s="6"/>
      <c r="T256" s="7"/>
      <c r="U256" s="6"/>
      <c r="V256" s="6"/>
      <c r="W256" s="7"/>
      <c r="X256" s="6"/>
      <c r="Y256" s="6"/>
      <c r="AA256" s="128"/>
      <c r="AB256" s="128"/>
      <c r="AC256" s="128"/>
      <c r="AD256" s="128"/>
      <c r="AE256" s="128"/>
      <c r="AF256" s="128"/>
      <c r="AG256" s="128"/>
      <c r="AH256" s="128"/>
      <c r="AI256" s="128"/>
    </row>
    <row r="257" spans="1:35" s="2" customFormat="1" x14ac:dyDescent="0.25">
      <c r="A257" s="1"/>
      <c r="B257" s="126" t="s">
        <v>336</v>
      </c>
      <c r="C257" s="126"/>
      <c r="D257" s="127"/>
      <c r="E257" s="7"/>
      <c r="F257" s="127"/>
      <c r="G257" s="127"/>
      <c r="H257" s="7"/>
      <c r="I257" s="127"/>
      <c r="J257" s="127"/>
      <c r="K257" s="7"/>
      <c r="L257" s="127"/>
      <c r="M257" s="127"/>
      <c r="N257" s="7"/>
      <c r="O257" s="127"/>
      <c r="P257" s="127"/>
      <c r="Q257" s="7"/>
      <c r="R257" s="127"/>
      <c r="S257" s="127"/>
      <c r="T257" s="7"/>
      <c r="U257" s="127"/>
      <c r="V257" s="127"/>
      <c r="W257" s="7"/>
      <c r="X257" s="6"/>
      <c r="Y257" s="6"/>
      <c r="AA257" s="128"/>
      <c r="AB257" s="128" t="str">
        <f t="shared" ref="AB257:AB396" si="322">IF(NOT(ISBLANK(AC257)),"-","")</f>
        <v/>
      </c>
      <c r="AC257" s="128"/>
      <c r="AD257" s="128" t="str">
        <f t="shared" ref="AD257:AD400" si="323">IF(NOT(ISBLANK(AE257)),"_","")</f>
        <v/>
      </c>
      <c r="AE257" s="128"/>
      <c r="AF257" s="128" t="str">
        <f t="shared" ref="AF257:AF400" si="324">IF(NOT(ISBLANK(AG257)),"_","")</f>
        <v/>
      </c>
      <c r="AG257" s="128"/>
      <c r="AH257" s="128" t="str">
        <f t="shared" ref="AH257:AH312" si="325">IF(NOT(ISBLANK(AI257)),"_","")</f>
        <v/>
      </c>
      <c r="AI257" s="128"/>
    </row>
    <row r="258" spans="1:35" x14ac:dyDescent="0.25">
      <c r="B258" s="2" t="str">
        <f t="shared" ref="B258" si="326">_xlfn.CONCAT("@",AA258,AB258,AC258,AD258,AE258,AF258,AG258,AH258,AI258)</f>
        <v>@color-cycleway_case</v>
      </c>
      <c r="C258" s="38" t="s">
        <v>222</v>
      </c>
      <c r="D258" s="38" t="s">
        <v>222</v>
      </c>
      <c r="F258" s="37" t="s">
        <v>214</v>
      </c>
      <c r="G258" s="37" t="s">
        <v>214</v>
      </c>
      <c r="I258" s="38" t="s">
        <v>222</v>
      </c>
      <c r="J258" s="38" t="s">
        <v>222</v>
      </c>
      <c r="L258" s="37" t="s">
        <v>214</v>
      </c>
      <c r="M258" s="37" t="s">
        <v>214</v>
      </c>
      <c r="U258" s="38" t="s">
        <v>222</v>
      </c>
      <c r="V258" s="38" t="s">
        <v>222</v>
      </c>
      <c r="X258" s="37" t="s">
        <v>214</v>
      </c>
      <c r="Y258" s="37" t="s">
        <v>214</v>
      </c>
      <c r="AA258" s="2" t="s">
        <v>6</v>
      </c>
      <c r="AB258" s="2" t="str">
        <f t="shared" ref="AB258" si="327">IF(NOT(ISBLANK(AC258)),"-","")</f>
        <v>-</v>
      </c>
      <c r="AC258" s="2" t="s">
        <v>12</v>
      </c>
      <c r="AD258" s="2" t="str">
        <f t="shared" ref="AD258" si="328">IF(NOT(ISBLANK(AE258)),"_","")</f>
        <v>_</v>
      </c>
      <c r="AE258" s="2" t="s">
        <v>17</v>
      </c>
      <c r="AF258" s="2" t="str">
        <f t="shared" ref="AF258" si="329">IF(NOT(ISBLANK(AG258)),"_","")</f>
        <v/>
      </c>
      <c r="AH258" s="2" t="str">
        <f t="shared" si="325"/>
        <v/>
      </c>
    </row>
    <row r="259" spans="1:35" x14ac:dyDescent="0.25">
      <c r="B259" s="2" t="str">
        <f>_xlfn.CONCAT("@",AA259,AB259,AC259,AD259,AE259,AF259,AG259,AH259,AI259)</f>
        <v>@color-footway_case</v>
      </c>
      <c r="C259" s="38" t="s">
        <v>222</v>
      </c>
      <c r="D259" s="38" t="s">
        <v>222</v>
      </c>
      <c r="F259" s="37" t="s">
        <v>214</v>
      </c>
      <c r="G259" s="37" t="s">
        <v>214</v>
      </c>
      <c r="I259" s="38" t="s">
        <v>222</v>
      </c>
      <c r="J259" s="38" t="s">
        <v>222</v>
      </c>
      <c r="L259" s="37" t="s">
        <v>214</v>
      </c>
      <c r="M259" s="37" t="s">
        <v>214</v>
      </c>
      <c r="U259" s="38" t="s">
        <v>222</v>
      </c>
      <c r="V259" s="38" t="s">
        <v>222</v>
      </c>
      <c r="X259" s="37" t="s">
        <v>214</v>
      </c>
      <c r="Y259" s="37" t="s">
        <v>214</v>
      </c>
      <c r="AA259" s="2" t="s">
        <v>6</v>
      </c>
      <c r="AB259" s="2" t="str">
        <f t="shared" ref="AB259:AB262" si="330">IF(NOT(ISBLANK(AC259)),"-","")</f>
        <v>-</v>
      </c>
      <c r="AC259" s="2" t="s">
        <v>34</v>
      </c>
      <c r="AD259" s="2" t="str">
        <f t="shared" ref="AD259:AD262" si="331">IF(NOT(ISBLANK(AE259)),"_","")</f>
        <v>_</v>
      </c>
      <c r="AE259" s="2" t="s">
        <v>17</v>
      </c>
      <c r="AF259" s="2" t="str">
        <f t="shared" ref="AF259:AF262" si="332">IF(NOT(ISBLANK(AG259)),"_","")</f>
        <v/>
      </c>
      <c r="AG259" s="2"/>
      <c r="AH259" s="2" t="str">
        <f>IF(NOT(ISBLANK(AI259)),"_","")</f>
        <v/>
      </c>
      <c r="AI259" s="2"/>
    </row>
    <row r="260" spans="1:35" x14ac:dyDescent="0.25">
      <c r="B260" s="2"/>
      <c r="AA260" s="2"/>
      <c r="AB260" s="2"/>
      <c r="AC260" s="2"/>
      <c r="AD260" s="2"/>
      <c r="AE260" s="2"/>
    </row>
    <row r="261" spans="1:35" x14ac:dyDescent="0.25">
      <c r="B261" s="2" t="str">
        <f t="shared" ref="B261" si="333">_xlfn.CONCAT("@",AA261,AB261,AC261,AD261,AE261,AF261,AG261,AH261,AI261)</f>
        <v>@case_width-cycleway_default_z12</v>
      </c>
      <c r="C261" s="28" t="s">
        <v>112</v>
      </c>
      <c r="D261" s="28" t="s">
        <v>112</v>
      </c>
      <c r="F261" s="28" t="s">
        <v>112</v>
      </c>
      <c r="G261" s="28" t="s">
        <v>112</v>
      </c>
      <c r="I261" s="28" t="s">
        <v>112</v>
      </c>
      <c r="J261" s="28" t="s">
        <v>90</v>
      </c>
      <c r="L261" s="28" t="s">
        <v>112</v>
      </c>
      <c r="M261" s="28" t="s">
        <v>90</v>
      </c>
      <c r="U261" s="28" t="s">
        <v>112</v>
      </c>
      <c r="V261" s="28" t="s">
        <v>112</v>
      </c>
      <c r="X261" s="28" t="s">
        <v>112</v>
      </c>
      <c r="Y261" s="28" t="s">
        <v>112</v>
      </c>
      <c r="AA261" s="2" t="s">
        <v>78</v>
      </c>
      <c r="AB261" s="2" t="str">
        <f t="shared" ref="AB261" si="334">IF(NOT(ISBLANK(AC261)),"-","")</f>
        <v>-</v>
      </c>
      <c r="AC261" s="2" t="s">
        <v>12</v>
      </c>
      <c r="AD261" s="2" t="str">
        <f t="shared" ref="AD261" si="335">IF(NOT(ISBLANK(AE261)),"_","")</f>
        <v>_</v>
      </c>
      <c r="AE261" s="2" t="s">
        <v>262</v>
      </c>
      <c r="AF261" s="2" t="str">
        <f t="shared" ref="AF261" si="336">IF(NOT(ISBLANK(AG261)),"_","")</f>
        <v>_</v>
      </c>
      <c r="AG261" s="28" t="s">
        <v>109</v>
      </c>
      <c r="AH261" s="2" t="str">
        <f t="shared" ref="AH261" si="337">IF(NOT(ISBLANK(AI261)),"_","")</f>
        <v/>
      </c>
    </row>
    <row r="262" spans="1:35" x14ac:dyDescent="0.25">
      <c r="B262" s="2" t="str">
        <f t="shared" ref="B262" si="338">_xlfn.CONCAT("@",AA262,AB262,AC262,AD262,AE262,AF262,AG262,AH262,AI262)</f>
        <v>@case_width-cycleway_default_z14</v>
      </c>
      <c r="C262" s="28" t="s">
        <v>112</v>
      </c>
      <c r="D262" s="28" t="s">
        <v>112</v>
      </c>
      <c r="F262" s="28" t="s">
        <v>112</v>
      </c>
      <c r="G262" s="28" t="s">
        <v>112</v>
      </c>
      <c r="I262" s="28" t="s">
        <v>128</v>
      </c>
      <c r="J262" s="28" t="s">
        <v>313</v>
      </c>
      <c r="L262" s="28" t="s">
        <v>128</v>
      </c>
      <c r="M262" s="28" t="s">
        <v>313</v>
      </c>
      <c r="U262" s="28" t="s">
        <v>112</v>
      </c>
      <c r="V262" s="28" t="s">
        <v>112</v>
      </c>
      <c r="X262" s="28" t="s">
        <v>112</v>
      </c>
      <c r="Y262" s="28" t="s">
        <v>112</v>
      </c>
      <c r="AA262" s="2" t="s">
        <v>78</v>
      </c>
      <c r="AB262" s="2" t="str">
        <f t="shared" si="330"/>
        <v>-</v>
      </c>
      <c r="AC262" s="2" t="s">
        <v>12</v>
      </c>
      <c r="AD262" s="2" t="str">
        <f t="shared" si="331"/>
        <v>_</v>
      </c>
      <c r="AE262" s="2" t="s">
        <v>262</v>
      </c>
      <c r="AF262" s="2" t="str">
        <f t="shared" si="332"/>
        <v>_</v>
      </c>
      <c r="AG262" s="28" t="s">
        <v>74</v>
      </c>
      <c r="AH262" s="2" t="str">
        <f t="shared" ref="AH262" si="339">IF(NOT(ISBLANK(AI262)),"_","")</f>
        <v/>
      </c>
    </row>
    <row r="263" spans="1:35" x14ac:dyDescent="0.25">
      <c r="B263" s="2" t="str">
        <f t="shared" ref="B263" si="340">_xlfn.CONCAT("@",AA263,AB263,AC263,AD263,AE263,AF263,AG263,AH263,AI263)</f>
        <v>@case_width-cycleway_default_z15</v>
      </c>
      <c r="C263" s="28" t="s">
        <v>88</v>
      </c>
      <c r="D263" s="28" t="s">
        <v>92</v>
      </c>
      <c r="F263" s="28" t="s">
        <v>88</v>
      </c>
      <c r="G263" s="28" t="s">
        <v>92</v>
      </c>
      <c r="I263" s="28" t="s">
        <v>83</v>
      </c>
      <c r="J263" s="28" t="s">
        <v>86</v>
      </c>
      <c r="L263" s="28" t="s">
        <v>83</v>
      </c>
      <c r="M263" s="28" t="s">
        <v>86</v>
      </c>
      <c r="U263" s="28" t="s">
        <v>88</v>
      </c>
      <c r="V263" s="28" t="s">
        <v>92</v>
      </c>
      <c r="X263" s="28" t="s">
        <v>88</v>
      </c>
      <c r="Y263" s="28" t="s">
        <v>92</v>
      </c>
      <c r="AA263" s="2" t="s">
        <v>78</v>
      </c>
      <c r="AB263" s="2" t="str">
        <f t="shared" ref="AB263" si="341">IF(NOT(ISBLANK(AC263)),"-","")</f>
        <v>-</v>
      </c>
      <c r="AC263" s="2" t="s">
        <v>12</v>
      </c>
      <c r="AD263" s="2" t="str">
        <f t="shared" ref="AD263" si="342">IF(NOT(ISBLANK(AE263)),"_","")</f>
        <v>_</v>
      </c>
      <c r="AE263" s="2" t="s">
        <v>262</v>
      </c>
      <c r="AF263" s="2" t="str">
        <f t="shared" ref="AF263" si="343">IF(NOT(ISBLANK(AG263)),"_","")</f>
        <v>_</v>
      </c>
      <c r="AG263" s="28" t="s">
        <v>337</v>
      </c>
      <c r="AH263" s="2" t="str">
        <f t="shared" ref="AH263" si="344">IF(NOT(ISBLANK(AI263)),"_","")</f>
        <v/>
      </c>
    </row>
    <row r="264" spans="1:35" x14ac:dyDescent="0.25">
      <c r="B264" s="2" t="str">
        <f t="shared" ref="B264" si="345">_xlfn.CONCAT("@",AA264,AB264,AC264,AD264,AE264,AF264,AG264,AH264,AI264)</f>
        <v>@case_width-cycleway_default_z16</v>
      </c>
      <c r="C264" s="28" t="s">
        <v>86</v>
      </c>
      <c r="D264" s="28" t="s">
        <v>134</v>
      </c>
      <c r="F264" s="28" t="s">
        <v>86</v>
      </c>
      <c r="G264" s="28" t="s">
        <v>134</v>
      </c>
      <c r="I264" s="28" t="s">
        <v>327</v>
      </c>
      <c r="J264" s="28" t="s">
        <v>341</v>
      </c>
      <c r="L264" s="28" t="s">
        <v>327</v>
      </c>
      <c r="M264" s="28" t="s">
        <v>341</v>
      </c>
      <c r="U264" s="28" t="s">
        <v>86</v>
      </c>
      <c r="V264" s="28" t="s">
        <v>134</v>
      </c>
      <c r="X264" s="28" t="s">
        <v>86</v>
      </c>
      <c r="Y264" s="28" t="s">
        <v>134</v>
      </c>
      <c r="AA264" s="2" t="s">
        <v>78</v>
      </c>
      <c r="AB264" s="2" t="str">
        <f t="shared" ref="AB264" si="346">IF(NOT(ISBLANK(AC264)),"-","")</f>
        <v>-</v>
      </c>
      <c r="AC264" s="2" t="s">
        <v>12</v>
      </c>
      <c r="AD264" s="2" t="str">
        <f t="shared" ref="AD264" si="347">IF(NOT(ISBLANK(AE264)),"_","")</f>
        <v>_</v>
      </c>
      <c r="AE264" s="2" t="s">
        <v>262</v>
      </c>
      <c r="AF264" s="2" t="str">
        <f t="shared" ref="AF264" si="348">IF(NOT(ISBLANK(AG264)),"_","")</f>
        <v>_</v>
      </c>
      <c r="AG264" s="28" t="s">
        <v>75</v>
      </c>
      <c r="AH264" s="2" t="str">
        <f t="shared" ref="AH264" si="349">IF(NOT(ISBLANK(AI264)),"_","")</f>
        <v/>
      </c>
    </row>
    <row r="265" spans="1:35" x14ac:dyDescent="0.25">
      <c r="B265" s="2" t="str">
        <f t="shared" ref="B265" si="350">_xlfn.CONCAT("@",AA265,AB265,AC265,AD265,AE265,AF265,AG265,AH265,AI265)</f>
        <v>@case_width-cycleway_default_z18</v>
      </c>
      <c r="C265" s="28" t="s">
        <v>332</v>
      </c>
      <c r="D265" s="28" t="s">
        <v>338</v>
      </c>
      <c r="F265" s="28" t="s">
        <v>332</v>
      </c>
      <c r="G265" s="28" t="s">
        <v>338</v>
      </c>
      <c r="I265" s="28" t="s">
        <v>339</v>
      </c>
      <c r="J265" s="28" t="s">
        <v>145</v>
      </c>
      <c r="L265" s="28" t="s">
        <v>339</v>
      </c>
      <c r="M265" s="28" t="s">
        <v>145</v>
      </c>
      <c r="U265" s="28" t="s">
        <v>332</v>
      </c>
      <c r="V265" s="28" t="s">
        <v>338</v>
      </c>
      <c r="X265" s="28" t="s">
        <v>332</v>
      </c>
      <c r="Y265" s="28" t="s">
        <v>338</v>
      </c>
      <c r="AA265" s="2" t="s">
        <v>78</v>
      </c>
      <c r="AB265" s="2" t="str">
        <f t="shared" ref="AB265" si="351">IF(NOT(ISBLANK(AC265)),"-","")</f>
        <v>-</v>
      </c>
      <c r="AC265" s="2" t="s">
        <v>12</v>
      </c>
      <c r="AD265" s="2" t="str">
        <f t="shared" ref="AD265" si="352">IF(NOT(ISBLANK(AE265)),"_","")</f>
        <v>_</v>
      </c>
      <c r="AE265" s="2" t="s">
        <v>262</v>
      </c>
      <c r="AF265" s="2" t="str">
        <f t="shared" ref="AF265" si="353">IF(NOT(ISBLANK(AG265)),"_","")</f>
        <v>_</v>
      </c>
      <c r="AG265" s="28" t="s">
        <v>76</v>
      </c>
      <c r="AH265" s="2" t="str">
        <f t="shared" ref="AH265" si="354">IF(NOT(ISBLANK(AI265)),"_","")</f>
        <v/>
      </c>
    </row>
    <row r="266" spans="1:35" x14ac:dyDescent="0.25">
      <c r="B266" s="2"/>
      <c r="AA266" s="2"/>
      <c r="AB266" s="2"/>
      <c r="AC266" s="2"/>
      <c r="AD266" s="2"/>
      <c r="AE266" s="2"/>
    </row>
    <row r="267" spans="1:35" s="2" customFormat="1" x14ac:dyDescent="0.25">
      <c r="A267" s="1"/>
      <c r="B267" s="126" t="s">
        <v>335</v>
      </c>
      <c r="C267" s="126"/>
      <c r="D267" s="127"/>
      <c r="E267" s="7"/>
      <c r="F267" s="127"/>
      <c r="G267" s="127"/>
      <c r="H267" s="7"/>
      <c r="I267" s="127"/>
      <c r="J267" s="127"/>
      <c r="K267" s="7"/>
      <c r="L267" s="127"/>
      <c r="M267" s="127"/>
      <c r="N267" s="7"/>
      <c r="O267" s="127"/>
      <c r="P267" s="127"/>
      <c r="Q267" s="7"/>
      <c r="R267" s="127"/>
      <c r="S267" s="127"/>
      <c r="T267" s="7"/>
      <c r="U267" s="127"/>
      <c r="V267" s="127"/>
      <c r="W267" s="7"/>
      <c r="X267" s="6"/>
      <c r="Y267" s="6"/>
      <c r="AA267" s="128"/>
      <c r="AB267" s="128"/>
      <c r="AC267" s="128"/>
      <c r="AD267" s="128"/>
      <c r="AE267" s="128"/>
      <c r="AF267" s="128"/>
      <c r="AG267" s="128"/>
      <c r="AH267" s="128"/>
      <c r="AI267" s="128"/>
    </row>
    <row r="268" spans="1:35" x14ac:dyDescent="0.25">
      <c r="B268" s="2" t="str">
        <f>_xlfn.CONCAT("@",AA268,AB268,AC268,AD268,AE268,AF268,AG268,AH268,AI268)</f>
        <v>@color-cycleway_line</v>
      </c>
      <c r="C268" s="136" t="s">
        <v>185</v>
      </c>
      <c r="D268" s="136" t="str">
        <f>C268</f>
        <v>"#3046d7"</v>
      </c>
      <c r="F268" s="136" t="s">
        <v>185</v>
      </c>
      <c r="G268" s="136" t="str">
        <f>F268</f>
        <v>"#3046d7"</v>
      </c>
      <c r="I268" s="136" t="s">
        <v>185</v>
      </c>
      <c r="J268" s="136" t="str">
        <f>I268</f>
        <v>"#3046d7"</v>
      </c>
      <c r="L268" s="136" t="s">
        <v>185</v>
      </c>
      <c r="M268" s="136" t="str">
        <f>L268</f>
        <v>"#3046d7"</v>
      </c>
      <c r="U268" s="136" t="s">
        <v>185</v>
      </c>
      <c r="V268" s="136" t="str">
        <f>U268</f>
        <v>"#3046d7"</v>
      </c>
      <c r="X268" s="136" t="s">
        <v>185</v>
      </c>
      <c r="Y268" s="136" t="str">
        <f>X268</f>
        <v>"#3046d7"</v>
      </c>
      <c r="AA268" s="2" t="s">
        <v>6</v>
      </c>
      <c r="AB268" s="2" t="str">
        <f>IF(NOT(ISBLANK(AC268)),"-","")</f>
        <v>-</v>
      </c>
      <c r="AC268" s="2" t="s">
        <v>12</v>
      </c>
      <c r="AD268" s="2" t="str">
        <f>IF(NOT(ISBLANK(AE268)),"_","")</f>
        <v>_</v>
      </c>
      <c r="AE268" s="2" t="s">
        <v>13</v>
      </c>
      <c r="AF268" s="2" t="str">
        <f>IF(NOT(ISBLANK(AG268)),"_","")</f>
        <v/>
      </c>
      <c r="AH268" s="2" t="str">
        <f>IF(NOT(ISBLANK(AI268)),"_","")</f>
        <v/>
      </c>
    </row>
    <row r="269" spans="1:35" x14ac:dyDescent="0.25">
      <c r="B269" s="2" t="str">
        <f>_xlfn.CONCAT("@",AA269,AB269,AC269,AD269,AE269,AF269,AG269,AH269,AI269)</f>
        <v>@color-footway_line</v>
      </c>
      <c r="C269" s="48" t="s">
        <v>186</v>
      </c>
      <c r="D269" s="49" t="str">
        <f>C269</f>
        <v>"#a43820"</v>
      </c>
      <c r="F269" s="48" t="s">
        <v>186</v>
      </c>
      <c r="G269" s="49" t="str">
        <f>F269</f>
        <v>"#a43820"</v>
      </c>
      <c r="I269" s="48" t="s">
        <v>186</v>
      </c>
      <c r="J269" s="49" t="str">
        <f>I269</f>
        <v>"#a43820"</v>
      </c>
      <c r="L269" s="48" t="s">
        <v>186</v>
      </c>
      <c r="M269" s="49" t="str">
        <f>L269</f>
        <v>"#a43820"</v>
      </c>
      <c r="U269" s="48" t="s">
        <v>186</v>
      </c>
      <c r="V269" s="49" t="str">
        <f>U269</f>
        <v>"#a43820"</v>
      </c>
      <c r="X269" s="48" t="s">
        <v>186</v>
      </c>
      <c r="Y269" s="49" t="str">
        <f>X269</f>
        <v>"#a43820"</v>
      </c>
      <c r="AA269" s="2" t="s">
        <v>6</v>
      </c>
      <c r="AB269" s="2" t="str">
        <f>IF(NOT(ISBLANK(AC269)),"-","")</f>
        <v>-</v>
      </c>
      <c r="AC269" s="2" t="s">
        <v>34</v>
      </c>
      <c r="AD269" s="2" t="str">
        <f>IF(NOT(ISBLANK(AE269)),"_","")</f>
        <v>_</v>
      </c>
      <c r="AE269" s="2" t="s">
        <v>13</v>
      </c>
      <c r="AF269" s="2" t="str">
        <f>IF(NOT(ISBLANK(AG269)),"_","")</f>
        <v/>
      </c>
      <c r="AG269" s="2"/>
      <c r="AH269" s="2" t="str">
        <f>IF(NOT(ISBLANK(AI269)),"_","")</f>
        <v/>
      </c>
      <c r="AI269" s="2"/>
    </row>
    <row r="270" spans="1:35" x14ac:dyDescent="0.25">
      <c r="AA270" s="2"/>
      <c r="AB270" s="2" t="str">
        <f t="shared" si="322"/>
        <v/>
      </c>
      <c r="AC270" s="2"/>
      <c r="AD270" s="2" t="str">
        <f t="shared" si="323"/>
        <v/>
      </c>
      <c r="AE270" s="2"/>
      <c r="AF270" s="28" t="str">
        <f t="shared" si="324"/>
        <v/>
      </c>
      <c r="AH270" s="28" t="str">
        <f t="shared" si="325"/>
        <v/>
      </c>
    </row>
    <row r="271" spans="1:35" x14ac:dyDescent="0.25">
      <c r="B271" s="2" t="str">
        <f t="shared" ref="B271" si="355">_xlfn.CONCAT("@",AA271,AB271,AC271,AD271,AE271,AF271,AG271,AH271,AI271)</f>
        <v>@line_width-cycleway_paved_or_uk_z12</v>
      </c>
      <c r="C271" s="28" t="s">
        <v>84</v>
      </c>
      <c r="D271" s="28" t="s">
        <v>84</v>
      </c>
      <c r="F271" s="28" t="s">
        <v>84</v>
      </c>
      <c r="G271" s="28" t="s">
        <v>84</v>
      </c>
      <c r="I271" s="28" t="s">
        <v>123</v>
      </c>
      <c r="J271" s="28" t="s">
        <v>123</v>
      </c>
      <c r="L271" s="28" t="s">
        <v>123</v>
      </c>
      <c r="M271" s="28" t="s">
        <v>123</v>
      </c>
      <c r="U271" s="28" t="s">
        <v>84</v>
      </c>
      <c r="V271" s="28" t="s">
        <v>84</v>
      </c>
      <c r="X271" s="28" t="s">
        <v>84</v>
      </c>
      <c r="Y271" s="28" t="s">
        <v>84</v>
      </c>
      <c r="AA271" s="2" t="s">
        <v>119</v>
      </c>
      <c r="AB271" s="2" t="str">
        <f t="shared" ref="AB271" si="356">IF(NOT(ISBLANK(AC271)),"-","")</f>
        <v>-</v>
      </c>
      <c r="AC271" s="2" t="s">
        <v>12</v>
      </c>
      <c r="AD271" s="2" t="str">
        <f t="shared" ref="AD271" si="357">IF(NOT(ISBLANK(AE271)),"_","")</f>
        <v>_</v>
      </c>
      <c r="AE271" s="2" t="s">
        <v>24</v>
      </c>
      <c r="AF271" s="2" t="str">
        <f t="shared" ref="AF271" si="358">IF(NOT(ISBLANK(AG271)),"_","")</f>
        <v>_</v>
      </c>
      <c r="AG271" s="28" t="s">
        <v>109</v>
      </c>
      <c r="AH271" s="2" t="str">
        <f t="shared" ref="AH271" si="359">IF(NOT(ISBLANK(AI271)),"_","")</f>
        <v/>
      </c>
    </row>
    <row r="272" spans="1:35" x14ac:dyDescent="0.25">
      <c r="B272" s="2" t="str">
        <f t="shared" ref="B272" si="360">_xlfn.CONCAT("@",AA272,AB272,AC272,AD272,AE272,AF272,AG272,AH272,AI272)</f>
        <v>@line_width-cycleway_paved_or_uk_z14</v>
      </c>
      <c r="C272" s="28" t="s">
        <v>123</v>
      </c>
      <c r="D272" s="28" t="s">
        <v>90</v>
      </c>
      <c r="F272" s="28" t="s">
        <v>123</v>
      </c>
      <c r="G272" s="28" t="s">
        <v>90</v>
      </c>
      <c r="I272" s="28" t="s">
        <v>112</v>
      </c>
      <c r="J272" s="28" t="s">
        <v>350</v>
      </c>
      <c r="L272" s="28" t="s">
        <v>112</v>
      </c>
      <c r="M272" s="28" t="s">
        <v>350</v>
      </c>
      <c r="U272" s="28" t="s">
        <v>123</v>
      </c>
      <c r="V272" s="28" t="s">
        <v>90</v>
      </c>
      <c r="X272" s="28" t="s">
        <v>123</v>
      </c>
      <c r="Y272" s="28" t="s">
        <v>90</v>
      </c>
      <c r="AA272" s="2" t="s">
        <v>119</v>
      </c>
      <c r="AB272" s="2" t="str">
        <f t="shared" ref="AB272" si="361">IF(NOT(ISBLANK(AC272)),"-","")</f>
        <v>-</v>
      </c>
      <c r="AC272" s="2" t="s">
        <v>12</v>
      </c>
      <c r="AD272" s="2" t="str">
        <f t="shared" ref="AD272" si="362">IF(NOT(ISBLANK(AE272)),"_","")</f>
        <v>_</v>
      </c>
      <c r="AE272" s="2" t="s">
        <v>24</v>
      </c>
      <c r="AF272" s="2" t="str">
        <f t="shared" ref="AF272" si="363">IF(NOT(ISBLANK(AG272)),"_","")</f>
        <v>_</v>
      </c>
      <c r="AG272" s="28" t="s">
        <v>74</v>
      </c>
      <c r="AH272" s="2" t="str">
        <f t="shared" ref="AH272" si="364">IF(NOT(ISBLANK(AI272)),"_","")</f>
        <v/>
      </c>
    </row>
    <row r="273" spans="2:34" x14ac:dyDescent="0.25">
      <c r="B273" s="2" t="str">
        <f t="shared" ref="B273" si="365">_xlfn.CONCAT("@",AA273,AB273,AC273,AD273,AE273,AF273,AG273,AH273,AI273)</f>
        <v>@line_width-cycleway_paved_or_uk_z16</v>
      </c>
      <c r="C273" s="28" t="s">
        <v>88</v>
      </c>
      <c r="D273" s="28" t="s">
        <v>92</v>
      </c>
      <c r="F273" s="28" t="s">
        <v>88</v>
      </c>
      <c r="G273" s="28" t="s">
        <v>92</v>
      </c>
      <c r="I273" s="28" t="s">
        <v>82</v>
      </c>
      <c r="J273" s="28" t="s">
        <v>83</v>
      </c>
      <c r="L273" s="28" t="s">
        <v>82</v>
      </c>
      <c r="M273" s="28" t="s">
        <v>83</v>
      </c>
      <c r="U273" s="28" t="s">
        <v>88</v>
      </c>
      <c r="V273" s="28" t="s">
        <v>92</v>
      </c>
      <c r="X273" s="28" t="s">
        <v>88</v>
      </c>
      <c r="Y273" s="28" t="s">
        <v>92</v>
      </c>
      <c r="AA273" s="2" t="s">
        <v>119</v>
      </c>
      <c r="AB273" s="2" t="str">
        <f t="shared" ref="AB273" si="366">IF(NOT(ISBLANK(AC273)),"-","")</f>
        <v>-</v>
      </c>
      <c r="AC273" s="2" t="s">
        <v>12</v>
      </c>
      <c r="AD273" s="2" t="str">
        <f t="shared" ref="AD273" si="367">IF(NOT(ISBLANK(AE273)),"_","")</f>
        <v>_</v>
      </c>
      <c r="AE273" s="2" t="s">
        <v>24</v>
      </c>
      <c r="AF273" s="2" t="str">
        <f t="shared" ref="AF273" si="368">IF(NOT(ISBLANK(AG273)),"_","")</f>
        <v>_</v>
      </c>
      <c r="AG273" s="28" t="s">
        <v>75</v>
      </c>
      <c r="AH273" s="2" t="str">
        <f t="shared" ref="AH273" si="369">IF(NOT(ISBLANK(AI273)),"_","")</f>
        <v/>
      </c>
    </row>
    <row r="274" spans="2:34" x14ac:dyDescent="0.25">
      <c r="B274" s="2" t="str">
        <f t="shared" ref="B274" si="370">_xlfn.CONCAT("@",AA274,AB274,AC274,AD274,AE274,AF274,AG274,AH274,AI274)</f>
        <v>@line_width-cycleway_paved_or_uk_z18</v>
      </c>
      <c r="C274" s="28" t="s">
        <v>86</v>
      </c>
      <c r="D274" s="28" t="s">
        <v>341</v>
      </c>
      <c r="F274" s="28" t="s">
        <v>86</v>
      </c>
      <c r="G274" s="28" t="s">
        <v>341</v>
      </c>
      <c r="I274" s="28" t="s">
        <v>134</v>
      </c>
      <c r="J274" s="28" t="s">
        <v>332</v>
      </c>
      <c r="L274" s="28" t="s">
        <v>134</v>
      </c>
      <c r="M274" s="28" t="s">
        <v>332</v>
      </c>
      <c r="U274" s="28" t="s">
        <v>86</v>
      </c>
      <c r="V274" s="28" t="s">
        <v>341</v>
      </c>
      <c r="X274" s="28" t="s">
        <v>86</v>
      </c>
      <c r="Y274" s="28" t="s">
        <v>341</v>
      </c>
      <c r="AA274" s="2" t="s">
        <v>119</v>
      </c>
      <c r="AB274" s="2" t="str">
        <f t="shared" ref="AB274" si="371">IF(NOT(ISBLANK(AC274)),"-","")</f>
        <v>-</v>
      </c>
      <c r="AC274" s="2" t="s">
        <v>12</v>
      </c>
      <c r="AD274" s="2" t="str">
        <f t="shared" ref="AD274" si="372">IF(NOT(ISBLANK(AE274)),"_","")</f>
        <v>_</v>
      </c>
      <c r="AE274" s="2" t="s">
        <v>24</v>
      </c>
      <c r="AF274" s="2" t="str">
        <f t="shared" ref="AF274" si="373">IF(NOT(ISBLANK(AG274)),"_","")</f>
        <v>_</v>
      </c>
      <c r="AG274" s="28" t="s">
        <v>76</v>
      </c>
      <c r="AH274" s="2" t="str">
        <f t="shared" ref="AH274" si="374">IF(NOT(ISBLANK(AI274)),"_","")</f>
        <v/>
      </c>
    </row>
    <row r="275" spans="2:34" x14ac:dyDescent="0.25">
      <c r="AA275" s="2"/>
      <c r="AB275" s="2"/>
      <c r="AC275" s="2"/>
      <c r="AD275" s="2"/>
      <c r="AE275" s="2"/>
    </row>
    <row r="276" spans="2:34" x14ac:dyDescent="0.25">
      <c r="B276" s="2" t="str">
        <f t="shared" ref="B276:B279" si="375">_xlfn.CONCAT("@",AA276,AB276,AC276,AD276,AE276,AF276,AG276,AH276,AI276)</f>
        <v>@line_width-cycleway_unpaved_z12</v>
      </c>
      <c r="C276" s="28" t="s">
        <v>112</v>
      </c>
      <c r="D276" s="28" t="s">
        <v>112</v>
      </c>
      <c r="F276" s="28" t="s">
        <v>112</v>
      </c>
      <c r="G276" s="28" t="s">
        <v>112</v>
      </c>
      <c r="I276" s="28" t="s">
        <v>126</v>
      </c>
      <c r="J276" s="28" t="s">
        <v>126</v>
      </c>
      <c r="L276" s="28" t="s">
        <v>126</v>
      </c>
      <c r="M276" s="28" t="s">
        <v>126</v>
      </c>
      <c r="U276" s="28" t="s">
        <v>84</v>
      </c>
      <c r="V276" s="28" t="s">
        <v>84</v>
      </c>
      <c r="X276" s="28" t="s">
        <v>84</v>
      </c>
      <c r="Y276" s="28" t="s">
        <v>84</v>
      </c>
      <c r="AA276" s="2" t="s">
        <v>119</v>
      </c>
      <c r="AB276" s="2" t="str">
        <f t="shared" ref="AB276:AB279" si="376">IF(NOT(ISBLANK(AC276)),"-","")</f>
        <v>-</v>
      </c>
      <c r="AC276" s="2" t="s">
        <v>12</v>
      </c>
      <c r="AD276" s="2" t="str">
        <f t="shared" ref="AD276:AD279" si="377">IF(NOT(ISBLANK(AE276)),"_","")</f>
        <v>_</v>
      </c>
      <c r="AE276" s="2" t="s">
        <v>21</v>
      </c>
      <c r="AF276" s="2" t="str">
        <f t="shared" ref="AF276:AF279" si="378">IF(NOT(ISBLANK(AG276)),"_","")</f>
        <v>_</v>
      </c>
      <c r="AG276" s="28" t="s">
        <v>109</v>
      </c>
      <c r="AH276" s="2" t="str">
        <f t="shared" ref="AH276:AH279" si="379">IF(NOT(ISBLANK(AI276)),"_","")</f>
        <v/>
      </c>
    </row>
    <row r="277" spans="2:34" x14ac:dyDescent="0.25">
      <c r="B277" s="2" t="str">
        <f t="shared" si="375"/>
        <v>@line_width-cycleway_unpaved_z14</v>
      </c>
      <c r="C277" s="28" t="s">
        <v>126</v>
      </c>
      <c r="D277" s="28" t="s">
        <v>344</v>
      </c>
      <c r="F277" s="28" t="s">
        <v>126</v>
      </c>
      <c r="G277" s="28" t="s">
        <v>344</v>
      </c>
      <c r="I277" s="28" t="s">
        <v>351</v>
      </c>
      <c r="J277" s="28" t="s">
        <v>352</v>
      </c>
      <c r="L277" s="28" t="s">
        <v>351</v>
      </c>
      <c r="M277" s="28" t="s">
        <v>352</v>
      </c>
      <c r="U277" s="28" t="s">
        <v>123</v>
      </c>
      <c r="V277" s="28" t="s">
        <v>90</v>
      </c>
      <c r="X277" s="28" t="s">
        <v>123</v>
      </c>
      <c r="Y277" s="28" t="s">
        <v>90</v>
      </c>
      <c r="AA277" s="2" t="s">
        <v>119</v>
      </c>
      <c r="AB277" s="2" t="str">
        <f t="shared" si="376"/>
        <v>-</v>
      </c>
      <c r="AC277" s="2" t="s">
        <v>12</v>
      </c>
      <c r="AD277" s="2" t="str">
        <f t="shared" si="377"/>
        <v>_</v>
      </c>
      <c r="AE277" s="2" t="s">
        <v>21</v>
      </c>
      <c r="AF277" s="2" t="str">
        <f t="shared" si="378"/>
        <v>_</v>
      </c>
      <c r="AG277" s="28" t="s">
        <v>74</v>
      </c>
      <c r="AH277" s="2" t="str">
        <f t="shared" si="379"/>
        <v/>
      </c>
    </row>
    <row r="278" spans="2:34" x14ac:dyDescent="0.25">
      <c r="B278" s="2" t="str">
        <f t="shared" si="375"/>
        <v>@line_width-cycleway_unpaved_z16</v>
      </c>
      <c r="C278" s="28" t="s">
        <v>128</v>
      </c>
      <c r="D278" s="28" t="s">
        <v>86</v>
      </c>
      <c r="F278" s="28" t="s">
        <v>128</v>
      </c>
      <c r="G278" s="28" t="s">
        <v>86</v>
      </c>
      <c r="I278" s="28" t="s">
        <v>127</v>
      </c>
      <c r="J278" s="28" t="s">
        <v>91</v>
      </c>
      <c r="L278" s="28" t="s">
        <v>127</v>
      </c>
      <c r="M278" s="28" t="s">
        <v>91</v>
      </c>
      <c r="U278" s="28" t="s">
        <v>88</v>
      </c>
      <c r="V278" s="28" t="s">
        <v>92</v>
      </c>
      <c r="X278" s="28" t="s">
        <v>88</v>
      </c>
      <c r="Y278" s="28" t="s">
        <v>92</v>
      </c>
      <c r="AA278" s="2" t="s">
        <v>119</v>
      </c>
      <c r="AB278" s="2" t="str">
        <f t="shared" si="376"/>
        <v>-</v>
      </c>
      <c r="AC278" s="2" t="s">
        <v>12</v>
      </c>
      <c r="AD278" s="2" t="str">
        <f t="shared" si="377"/>
        <v>_</v>
      </c>
      <c r="AE278" s="2" t="s">
        <v>21</v>
      </c>
      <c r="AF278" s="2" t="str">
        <f t="shared" si="378"/>
        <v>_</v>
      </c>
      <c r="AG278" s="28" t="s">
        <v>75</v>
      </c>
      <c r="AH278" s="2" t="str">
        <f t="shared" si="379"/>
        <v/>
      </c>
    </row>
    <row r="279" spans="2:34" x14ac:dyDescent="0.25">
      <c r="B279" s="2" t="str">
        <f t="shared" si="375"/>
        <v>@line_width-cycleway_unpaved_z18</v>
      </c>
      <c r="C279" s="28" t="s">
        <v>87</v>
      </c>
      <c r="D279" s="28" t="s">
        <v>89</v>
      </c>
      <c r="F279" s="28" t="s">
        <v>87</v>
      </c>
      <c r="G279" s="28" t="s">
        <v>89</v>
      </c>
      <c r="I279" s="28" t="s">
        <v>135</v>
      </c>
      <c r="J279" s="28" t="s">
        <v>145</v>
      </c>
      <c r="L279" s="28" t="s">
        <v>135</v>
      </c>
      <c r="M279" s="28" t="s">
        <v>145</v>
      </c>
      <c r="U279" s="28" t="s">
        <v>86</v>
      </c>
      <c r="V279" s="28" t="s">
        <v>341</v>
      </c>
      <c r="X279" s="28" t="s">
        <v>86</v>
      </c>
      <c r="Y279" s="28" t="s">
        <v>341</v>
      </c>
      <c r="AA279" s="2" t="s">
        <v>119</v>
      </c>
      <c r="AB279" s="2" t="str">
        <f t="shared" si="376"/>
        <v>-</v>
      </c>
      <c r="AC279" s="2" t="s">
        <v>12</v>
      </c>
      <c r="AD279" s="2" t="str">
        <f t="shared" si="377"/>
        <v>_</v>
      </c>
      <c r="AE279" s="2" t="s">
        <v>21</v>
      </c>
      <c r="AF279" s="2" t="str">
        <f t="shared" si="378"/>
        <v>_</v>
      </c>
      <c r="AG279" s="28" t="s">
        <v>76</v>
      </c>
      <c r="AH279" s="2" t="str">
        <f t="shared" si="379"/>
        <v/>
      </c>
    </row>
    <row r="280" spans="2:34" x14ac:dyDescent="0.25">
      <c r="AA280" s="2"/>
      <c r="AB280" s="2"/>
      <c r="AC280" s="2"/>
      <c r="AD280" s="2"/>
      <c r="AE280" s="2"/>
    </row>
    <row r="281" spans="2:34" x14ac:dyDescent="0.25">
      <c r="B281" s="2" t="str">
        <f t="shared" ref="B281:B284" si="380">_xlfn.CONCAT("@",AA281,AB281,AC281,AD281,AE281,AF281,AG281,AH281,AI281)</f>
        <v>@line_width-footway_default_z12</v>
      </c>
      <c r="C281" s="28" t="s">
        <v>96</v>
      </c>
      <c r="D281" s="28" t="s">
        <v>116</v>
      </c>
      <c r="F281" s="28" t="s">
        <v>96</v>
      </c>
      <c r="G281" s="28" t="s">
        <v>116</v>
      </c>
      <c r="I281" s="28" t="s">
        <v>96</v>
      </c>
      <c r="J281" s="28" t="s">
        <v>116</v>
      </c>
      <c r="L281" s="28" t="s">
        <v>96</v>
      </c>
      <c r="M281" s="28" t="s">
        <v>116</v>
      </c>
      <c r="U281" s="28" t="s">
        <v>96</v>
      </c>
      <c r="V281" s="28" t="s">
        <v>116</v>
      </c>
      <c r="X281" s="28" t="s">
        <v>96</v>
      </c>
      <c r="Y281" s="28" t="s">
        <v>116</v>
      </c>
      <c r="AA281" s="2" t="s">
        <v>119</v>
      </c>
      <c r="AB281" s="2" t="str">
        <f t="shared" ref="AB281:AB284" si="381">IF(NOT(ISBLANK(AC281)),"-","")</f>
        <v>-</v>
      </c>
      <c r="AC281" s="2" t="s">
        <v>34</v>
      </c>
      <c r="AD281" s="2" t="str">
        <f t="shared" ref="AD281:AD284" si="382">IF(NOT(ISBLANK(AE281)),"_","")</f>
        <v>_</v>
      </c>
      <c r="AE281" s="2" t="s">
        <v>262</v>
      </c>
      <c r="AF281" s="2" t="str">
        <f t="shared" ref="AF281:AF284" si="383">IF(NOT(ISBLANK(AG281)),"_","")</f>
        <v>_</v>
      </c>
      <c r="AG281" s="28" t="s">
        <v>109</v>
      </c>
      <c r="AH281" s="2" t="str">
        <f t="shared" ref="AH281:AH284" si="384">IF(NOT(ISBLANK(AI281)),"_","")</f>
        <v/>
      </c>
    </row>
    <row r="282" spans="2:34" x14ac:dyDescent="0.25">
      <c r="B282" s="2" t="str">
        <f t="shared" si="380"/>
        <v>@line_width-footway_default_z14</v>
      </c>
      <c r="C282" s="28" t="s">
        <v>84</v>
      </c>
      <c r="D282" s="28" t="s">
        <v>90</v>
      </c>
      <c r="F282" s="28" t="s">
        <v>84</v>
      </c>
      <c r="G282" s="28" t="s">
        <v>90</v>
      </c>
      <c r="I282" s="28" t="s">
        <v>84</v>
      </c>
      <c r="J282" s="28" t="s">
        <v>90</v>
      </c>
      <c r="L282" s="28" t="s">
        <v>84</v>
      </c>
      <c r="M282" s="28" t="s">
        <v>90</v>
      </c>
      <c r="U282" s="28" t="s">
        <v>84</v>
      </c>
      <c r="V282" s="28" t="s">
        <v>90</v>
      </c>
      <c r="X282" s="28" t="s">
        <v>84</v>
      </c>
      <c r="Y282" s="28" t="s">
        <v>90</v>
      </c>
      <c r="AA282" s="2" t="s">
        <v>119</v>
      </c>
      <c r="AB282" s="2" t="str">
        <f t="shared" si="381"/>
        <v>-</v>
      </c>
      <c r="AC282" s="2" t="s">
        <v>34</v>
      </c>
      <c r="AD282" s="2" t="str">
        <f t="shared" si="382"/>
        <v>_</v>
      </c>
      <c r="AE282" s="2" t="s">
        <v>262</v>
      </c>
      <c r="AF282" s="2" t="str">
        <f t="shared" si="383"/>
        <v>_</v>
      </c>
      <c r="AG282" s="28" t="s">
        <v>74</v>
      </c>
      <c r="AH282" s="2" t="str">
        <f t="shared" si="384"/>
        <v/>
      </c>
    </row>
    <row r="283" spans="2:34" x14ac:dyDescent="0.25">
      <c r="B283" s="2" t="str">
        <f t="shared" si="380"/>
        <v>@line_width-footway_default_z16</v>
      </c>
      <c r="C283" s="28" t="s">
        <v>90</v>
      </c>
      <c r="D283" s="28" t="s">
        <v>92</v>
      </c>
      <c r="F283" s="28" t="s">
        <v>90</v>
      </c>
      <c r="G283" s="28" t="s">
        <v>92</v>
      </c>
      <c r="I283" s="28" t="s">
        <v>90</v>
      </c>
      <c r="J283" s="28" t="s">
        <v>92</v>
      </c>
      <c r="L283" s="28" t="s">
        <v>90</v>
      </c>
      <c r="M283" s="28" t="s">
        <v>92</v>
      </c>
      <c r="U283" s="28" t="s">
        <v>90</v>
      </c>
      <c r="V283" s="28" t="s">
        <v>92</v>
      </c>
      <c r="X283" s="28" t="s">
        <v>90</v>
      </c>
      <c r="Y283" s="28" t="s">
        <v>92</v>
      </c>
      <c r="AA283" s="2" t="s">
        <v>119</v>
      </c>
      <c r="AB283" s="2" t="str">
        <f t="shared" si="381"/>
        <v>-</v>
      </c>
      <c r="AC283" s="2" t="s">
        <v>34</v>
      </c>
      <c r="AD283" s="2" t="str">
        <f t="shared" si="382"/>
        <v>_</v>
      </c>
      <c r="AE283" s="2" t="s">
        <v>262</v>
      </c>
      <c r="AF283" s="2" t="str">
        <f t="shared" si="383"/>
        <v>_</v>
      </c>
      <c r="AG283" s="28" t="s">
        <v>75</v>
      </c>
      <c r="AH283" s="2" t="str">
        <f t="shared" si="384"/>
        <v/>
      </c>
    </row>
    <row r="284" spans="2:34" x14ac:dyDescent="0.25">
      <c r="B284" s="2" t="str">
        <f t="shared" si="380"/>
        <v>@line_width-footway_default_z18</v>
      </c>
      <c r="C284" s="28" t="s">
        <v>92</v>
      </c>
      <c r="D284" s="28" t="s">
        <v>86</v>
      </c>
      <c r="F284" s="28" t="s">
        <v>92</v>
      </c>
      <c r="G284" s="28" t="s">
        <v>86</v>
      </c>
      <c r="I284" s="28" t="s">
        <v>92</v>
      </c>
      <c r="J284" s="28" t="s">
        <v>86</v>
      </c>
      <c r="L284" s="28" t="s">
        <v>92</v>
      </c>
      <c r="M284" s="28" t="s">
        <v>86</v>
      </c>
      <c r="U284" s="28" t="s">
        <v>92</v>
      </c>
      <c r="V284" s="28" t="s">
        <v>86</v>
      </c>
      <c r="X284" s="28" t="s">
        <v>92</v>
      </c>
      <c r="Y284" s="28" t="s">
        <v>86</v>
      </c>
      <c r="AA284" s="2" t="s">
        <v>119</v>
      </c>
      <c r="AB284" s="2" t="str">
        <f t="shared" si="381"/>
        <v>-</v>
      </c>
      <c r="AC284" s="2" t="s">
        <v>34</v>
      </c>
      <c r="AD284" s="2" t="str">
        <f t="shared" si="382"/>
        <v>_</v>
      </c>
      <c r="AE284" s="2" t="s">
        <v>262</v>
      </c>
      <c r="AF284" s="2" t="str">
        <f t="shared" si="383"/>
        <v>_</v>
      </c>
      <c r="AG284" s="28" t="s">
        <v>76</v>
      </c>
      <c r="AH284" s="2" t="str">
        <f t="shared" si="384"/>
        <v/>
      </c>
    </row>
    <row r="285" spans="2:34" x14ac:dyDescent="0.25">
      <c r="AA285" s="2"/>
      <c r="AB285" s="2"/>
      <c r="AC285" s="2"/>
      <c r="AD285" s="2"/>
      <c r="AE285" s="2"/>
    </row>
    <row r="286" spans="2:34" x14ac:dyDescent="0.25">
      <c r="B286" s="2" t="str">
        <f t="shared" ref="B286:B289" si="385">_xlfn.CONCAT("@",AA286,AB286,AC286,AD286,AE286,AF286,AG286,AH286,AI286)</f>
        <v>@line_offset-footway_left_z12</v>
      </c>
      <c r="C286" s="28" t="s">
        <v>363</v>
      </c>
      <c r="D286" s="28" t="s">
        <v>364</v>
      </c>
      <c r="F286" s="28" t="s">
        <v>363</v>
      </c>
      <c r="G286" s="28" t="s">
        <v>364</v>
      </c>
      <c r="I286" s="28" t="s">
        <v>363</v>
      </c>
      <c r="J286" s="28" t="s">
        <v>364</v>
      </c>
      <c r="L286" s="28" t="s">
        <v>363</v>
      </c>
      <c r="M286" s="28" t="s">
        <v>364</v>
      </c>
      <c r="U286" s="28" t="s">
        <v>363</v>
      </c>
      <c r="V286" s="28" t="s">
        <v>364</v>
      </c>
      <c r="X286" s="28" t="s">
        <v>363</v>
      </c>
      <c r="Y286" s="28" t="s">
        <v>364</v>
      </c>
      <c r="AA286" s="2" t="s">
        <v>355</v>
      </c>
      <c r="AB286" s="2" t="str">
        <f t="shared" ref="AB286:AB289" si="386">IF(NOT(ISBLANK(AC286)),"-","")</f>
        <v>-</v>
      </c>
      <c r="AC286" s="2" t="s">
        <v>34</v>
      </c>
      <c r="AD286" s="2" t="str">
        <f t="shared" ref="AD286:AD289" si="387">IF(NOT(ISBLANK(AE286)),"_","")</f>
        <v>_</v>
      </c>
      <c r="AE286" s="2" t="s">
        <v>356</v>
      </c>
      <c r="AF286" s="2" t="str">
        <f t="shared" ref="AF286:AF289" si="388">IF(NOT(ISBLANK(AG286)),"_","")</f>
        <v>_</v>
      </c>
      <c r="AG286" s="28" t="s">
        <v>109</v>
      </c>
      <c r="AH286" s="2" t="str">
        <f t="shared" ref="AH286:AH289" si="389">IF(NOT(ISBLANK(AI286)),"_","")</f>
        <v/>
      </c>
    </row>
    <row r="287" spans="2:34" x14ac:dyDescent="0.25">
      <c r="B287" s="2" t="str">
        <f t="shared" si="385"/>
        <v>@line_offset-footway_left_z14</v>
      </c>
      <c r="C287" s="28" t="s">
        <v>359</v>
      </c>
      <c r="D287" s="28" t="s">
        <v>360</v>
      </c>
      <c r="F287" s="28" t="s">
        <v>359</v>
      </c>
      <c r="G287" s="28" t="s">
        <v>360</v>
      </c>
      <c r="I287" s="28" t="s">
        <v>359</v>
      </c>
      <c r="J287" s="28" t="s">
        <v>360</v>
      </c>
      <c r="L287" s="28" t="s">
        <v>359</v>
      </c>
      <c r="M287" s="28" t="s">
        <v>360</v>
      </c>
      <c r="U287" s="28" t="s">
        <v>359</v>
      </c>
      <c r="V287" s="28" t="s">
        <v>360</v>
      </c>
      <c r="X287" s="28" t="s">
        <v>359</v>
      </c>
      <c r="Y287" s="28" t="s">
        <v>360</v>
      </c>
      <c r="AA287" s="2" t="s">
        <v>355</v>
      </c>
      <c r="AB287" s="2" t="str">
        <f t="shared" si="386"/>
        <v>-</v>
      </c>
      <c r="AC287" s="2" t="s">
        <v>34</v>
      </c>
      <c r="AD287" s="2" t="str">
        <f t="shared" si="387"/>
        <v>_</v>
      </c>
      <c r="AE287" s="2" t="s">
        <v>356</v>
      </c>
      <c r="AF287" s="2" t="str">
        <f t="shared" si="388"/>
        <v>_</v>
      </c>
      <c r="AG287" s="28" t="s">
        <v>74</v>
      </c>
      <c r="AH287" s="2" t="str">
        <f t="shared" si="389"/>
        <v/>
      </c>
    </row>
    <row r="288" spans="2:34" x14ac:dyDescent="0.25">
      <c r="B288" s="2" t="str">
        <f t="shared" si="385"/>
        <v>@line_offset-footway_left_z16</v>
      </c>
      <c r="C288" s="28" t="s">
        <v>358</v>
      </c>
      <c r="D288" s="28" t="s">
        <v>361</v>
      </c>
      <c r="F288" s="28" t="s">
        <v>358</v>
      </c>
      <c r="G288" s="28" t="s">
        <v>361</v>
      </c>
      <c r="I288" s="28" t="s">
        <v>358</v>
      </c>
      <c r="J288" s="28" t="s">
        <v>361</v>
      </c>
      <c r="L288" s="28" t="s">
        <v>358</v>
      </c>
      <c r="M288" s="28" t="s">
        <v>361</v>
      </c>
      <c r="U288" s="28" t="s">
        <v>358</v>
      </c>
      <c r="V288" s="28" t="s">
        <v>361</v>
      </c>
      <c r="X288" s="28" t="s">
        <v>358</v>
      </c>
      <c r="Y288" s="28" t="s">
        <v>361</v>
      </c>
      <c r="AA288" s="2" t="s">
        <v>355</v>
      </c>
      <c r="AB288" s="2" t="str">
        <f t="shared" si="386"/>
        <v>-</v>
      </c>
      <c r="AC288" s="2" t="s">
        <v>34</v>
      </c>
      <c r="AD288" s="2" t="str">
        <f t="shared" si="387"/>
        <v>_</v>
      </c>
      <c r="AE288" s="2" t="s">
        <v>356</v>
      </c>
      <c r="AF288" s="2" t="str">
        <f t="shared" si="388"/>
        <v>_</v>
      </c>
      <c r="AG288" s="28" t="s">
        <v>75</v>
      </c>
      <c r="AH288" s="2" t="str">
        <f t="shared" si="389"/>
        <v/>
      </c>
    </row>
    <row r="289" spans="1:39" x14ac:dyDescent="0.25">
      <c r="B289" s="2" t="str">
        <f t="shared" si="385"/>
        <v>@line_offset-footway_left_z18</v>
      </c>
      <c r="C289" s="28" t="s">
        <v>357</v>
      </c>
      <c r="D289" s="28" t="s">
        <v>362</v>
      </c>
      <c r="F289" s="28" t="s">
        <v>357</v>
      </c>
      <c r="G289" s="28" t="s">
        <v>362</v>
      </c>
      <c r="I289" s="28" t="s">
        <v>357</v>
      </c>
      <c r="J289" s="28" t="s">
        <v>362</v>
      </c>
      <c r="L289" s="28" t="s">
        <v>357</v>
      </c>
      <c r="M289" s="28" t="s">
        <v>362</v>
      </c>
      <c r="U289" s="28" t="s">
        <v>357</v>
      </c>
      <c r="V289" s="28" t="s">
        <v>362</v>
      </c>
      <c r="X289" s="28" t="s">
        <v>357</v>
      </c>
      <c r="Y289" s="28" t="s">
        <v>362</v>
      </c>
      <c r="AA289" s="2" t="s">
        <v>355</v>
      </c>
      <c r="AB289" s="2" t="str">
        <f t="shared" si="386"/>
        <v>-</v>
      </c>
      <c r="AC289" s="2" t="s">
        <v>34</v>
      </c>
      <c r="AD289" s="2" t="str">
        <f t="shared" si="387"/>
        <v>_</v>
      </c>
      <c r="AE289" s="2" t="s">
        <v>356</v>
      </c>
      <c r="AF289" s="2" t="str">
        <f t="shared" si="388"/>
        <v>_</v>
      </c>
      <c r="AG289" s="28" t="s">
        <v>76</v>
      </c>
      <c r="AH289" s="2" t="str">
        <f t="shared" si="389"/>
        <v/>
      </c>
    </row>
    <row r="290" spans="1:39" x14ac:dyDescent="0.25">
      <c r="AA290" s="2"/>
      <c r="AB290" s="2"/>
      <c r="AC290" s="2"/>
      <c r="AD290" s="2"/>
      <c r="AE290" s="2"/>
    </row>
    <row r="291" spans="1:39" x14ac:dyDescent="0.25">
      <c r="B291" s="2" t="str">
        <f t="shared" ref="B291:B294" si="390">_xlfn.CONCAT("@",AA291,AB291,AC291,AD291,AE291,AF291,AG291,AH291,AI291)</f>
        <v>@line_offset-footway_right_z12</v>
      </c>
      <c r="C291" s="28" t="s">
        <v>84</v>
      </c>
      <c r="D291" s="28" t="s">
        <v>85</v>
      </c>
      <c r="F291" s="28" t="s">
        <v>363</v>
      </c>
      <c r="G291" s="28" t="s">
        <v>364</v>
      </c>
      <c r="I291" s="28" t="s">
        <v>363</v>
      </c>
      <c r="J291" s="28" t="s">
        <v>364</v>
      </c>
      <c r="L291" s="28" t="s">
        <v>363</v>
      </c>
      <c r="M291" s="28" t="s">
        <v>364</v>
      </c>
      <c r="U291" s="28" t="s">
        <v>84</v>
      </c>
      <c r="V291" s="28" t="s">
        <v>85</v>
      </c>
      <c r="X291" s="28" t="s">
        <v>363</v>
      </c>
      <c r="Y291" s="28" t="s">
        <v>364</v>
      </c>
      <c r="AA291" s="2" t="s">
        <v>355</v>
      </c>
      <c r="AB291" s="2" t="str">
        <f t="shared" ref="AB291:AB294" si="391">IF(NOT(ISBLANK(AC291)),"-","")</f>
        <v>-</v>
      </c>
      <c r="AC291" s="2" t="s">
        <v>34</v>
      </c>
      <c r="AD291" s="2" t="str">
        <f t="shared" ref="AD291:AD294" si="392">IF(NOT(ISBLANK(AE291)),"_","")</f>
        <v>_</v>
      </c>
      <c r="AE291" s="2" t="s">
        <v>365</v>
      </c>
      <c r="AF291" s="2" t="str">
        <f t="shared" ref="AF291:AF294" si="393">IF(NOT(ISBLANK(AG291)),"_","")</f>
        <v>_</v>
      </c>
      <c r="AG291" s="28" t="s">
        <v>109</v>
      </c>
      <c r="AH291" s="2" t="str">
        <f t="shared" ref="AH291:AH294" si="394">IF(NOT(ISBLANK(AI291)),"_","")</f>
        <v/>
      </c>
    </row>
    <row r="292" spans="1:39" x14ac:dyDescent="0.25">
      <c r="B292" s="2" t="str">
        <f t="shared" si="390"/>
        <v>@line_offset-footway_right_z14</v>
      </c>
      <c r="C292" s="28" t="s">
        <v>88</v>
      </c>
      <c r="D292" s="28" t="s">
        <v>92</v>
      </c>
      <c r="F292" s="28" t="s">
        <v>359</v>
      </c>
      <c r="G292" s="28" t="s">
        <v>360</v>
      </c>
      <c r="I292" s="28" t="s">
        <v>359</v>
      </c>
      <c r="J292" s="28" t="s">
        <v>360</v>
      </c>
      <c r="L292" s="28" t="s">
        <v>359</v>
      </c>
      <c r="M292" s="28" t="s">
        <v>360</v>
      </c>
      <c r="U292" s="28" t="s">
        <v>88</v>
      </c>
      <c r="V292" s="28" t="s">
        <v>92</v>
      </c>
      <c r="X292" s="28" t="s">
        <v>359</v>
      </c>
      <c r="Y292" s="28" t="s">
        <v>360</v>
      </c>
      <c r="AA292" s="2" t="s">
        <v>355</v>
      </c>
      <c r="AB292" s="2" t="str">
        <f t="shared" si="391"/>
        <v>-</v>
      </c>
      <c r="AC292" s="2" t="s">
        <v>34</v>
      </c>
      <c r="AD292" s="2" t="str">
        <f t="shared" si="392"/>
        <v>_</v>
      </c>
      <c r="AE292" s="2" t="s">
        <v>365</v>
      </c>
      <c r="AF292" s="2" t="str">
        <f t="shared" si="393"/>
        <v>_</v>
      </c>
      <c r="AG292" s="28" t="s">
        <v>74</v>
      </c>
      <c r="AH292" s="2" t="str">
        <f t="shared" si="394"/>
        <v/>
      </c>
    </row>
    <row r="293" spans="1:39" x14ac:dyDescent="0.25">
      <c r="B293" s="2" t="str">
        <f t="shared" si="390"/>
        <v>@line_offset-footway_right_z16</v>
      </c>
      <c r="C293" s="28" t="s">
        <v>134</v>
      </c>
      <c r="D293" s="28" t="s">
        <v>327</v>
      </c>
      <c r="F293" s="28" t="s">
        <v>358</v>
      </c>
      <c r="G293" s="28" t="s">
        <v>361</v>
      </c>
      <c r="I293" s="28" t="s">
        <v>358</v>
      </c>
      <c r="J293" s="28" t="s">
        <v>361</v>
      </c>
      <c r="L293" s="28" t="s">
        <v>358</v>
      </c>
      <c r="M293" s="28" t="s">
        <v>361</v>
      </c>
      <c r="U293" s="28" t="s">
        <v>134</v>
      </c>
      <c r="V293" s="28" t="s">
        <v>327</v>
      </c>
      <c r="X293" s="28" t="s">
        <v>358</v>
      </c>
      <c r="Y293" s="28" t="s">
        <v>361</v>
      </c>
      <c r="AA293" s="2" t="s">
        <v>355</v>
      </c>
      <c r="AB293" s="2" t="str">
        <f t="shared" si="391"/>
        <v>-</v>
      </c>
      <c r="AC293" s="2" t="s">
        <v>34</v>
      </c>
      <c r="AD293" s="2" t="str">
        <f t="shared" si="392"/>
        <v>_</v>
      </c>
      <c r="AE293" s="2" t="s">
        <v>365</v>
      </c>
      <c r="AF293" s="2" t="str">
        <f t="shared" si="393"/>
        <v>_</v>
      </c>
      <c r="AG293" s="28" t="s">
        <v>75</v>
      </c>
      <c r="AH293" s="2" t="str">
        <f t="shared" si="394"/>
        <v/>
      </c>
    </row>
    <row r="294" spans="1:39" x14ac:dyDescent="0.25">
      <c r="B294" s="2" t="str">
        <f t="shared" si="390"/>
        <v>@line_offset-footway_right_z18</v>
      </c>
      <c r="C294" s="28" t="s">
        <v>366</v>
      </c>
      <c r="D294" s="28" t="s">
        <v>339</v>
      </c>
      <c r="F294" s="28" t="s">
        <v>357</v>
      </c>
      <c r="G294" s="28" t="s">
        <v>362</v>
      </c>
      <c r="I294" s="28" t="s">
        <v>357</v>
      </c>
      <c r="J294" s="28" t="s">
        <v>362</v>
      </c>
      <c r="L294" s="28" t="s">
        <v>357</v>
      </c>
      <c r="M294" s="28" t="s">
        <v>362</v>
      </c>
      <c r="U294" s="28" t="s">
        <v>366</v>
      </c>
      <c r="V294" s="28" t="s">
        <v>339</v>
      </c>
      <c r="X294" s="28" t="s">
        <v>357</v>
      </c>
      <c r="Y294" s="28" t="s">
        <v>362</v>
      </c>
      <c r="AA294" s="2" t="s">
        <v>355</v>
      </c>
      <c r="AB294" s="2" t="str">
        <f t="shared" si="391"/>
        <v>-</v>
      </c>
      <c r="AC294" s="2" t="s">
        <v>34</v>
      </c>
      <c r="AD294" s="2" t="str">
        <f t="shared" si="392"/>
        <v>_</v>
      </c>
      <c r="AE294" s="2" t="s">
        <v>365</v>
      </c>
      <c r="AF294" s="2" t="str">
        <f t="shared" si="393"/>
        <v>_</v>
      </c>
      <c r="AG294" s="28" t="s">
        <v>76</v>
      </c>
      <c r="AH294" s="2" t="str">
        <f t="shared" si="394"/>
        <v/>
      </c>
    </row>
    <row r="295" spans="1:39" x14ac:dyDescent="0.25">
      <c r="B295" s="2"/>
      <c r="AA295" s="2"/>
      <c r="AB295" s="2"/>
      <c r="AC295" s="2"/>
      <c r="AD295" s="2"/>
      <c r="AE295" s="2"/>
    </row>
    <row r="296" spans="1:39" x14ac:dyDescent="0.25">
      <c r="B296" s="2" t="str">
        <f t="shared" ref="B296:B297" si="395">_xlfn.CONCAT("@",AA296,AB296,AC296,AD296,AE296,AF296,AG296,AH296,AI296)</f>
        <v>@dasharray-cycleway_paved_default_dash</v>
      </c>
      <c r="C296" s="28" t="s">
        <v>86</v>
      </c>
      <c r="D296" s="28" t="s">
        <v>86</v>
      </c>
      <c r="F296" s="28" t="s">
        <v>86</v>
      </c>
      <c r="G296" s="28" t="s">
        <v>86</v>
      </c>
      <c r="I296" s="28" t="s">
        <v>86</v>
      </c>
      <c r="J296" s="28" t="s">
        <v>86</v>
      </c>
      <c r="L296" s="28" t="s">
        <v>86</v>
      </c>
      <c r="M296" s="28" t="s">
        <v>86</v>
      </c>
      <c r="U296" s="28" t="s">
        <v>86</v>
      </c>
      <c r="V296" s="28" t="s">
        <v>86</v>
      </c>
      <c r="X296" s="28" t="s">
        <v>86</v>
      </c>
      <c r="Y296" s="28" t="s">
        <v>86</v>
      </c>
      <c r="AA296" s="2" t="s">
        <v>385</v>
      </c>
      <c r="AB296" s="2" t="str">
        <f t="shared" ref="AB296" si="396">IF(NOT(ISBLANK(AC296)),"-","")</f>
        <v>-</v>
      </c>
      <c r="AC296" s="2" t="s">
        <v>12</v>
      </c>
      <c r="AD296" s="2" t="str">
        <f t="shared" ref="AD296" si="397">IF(NOT(ISBLANK(AE296)),"_","")</f>
        <v>_</v>
      </c>
      <c r="AE296" s="2" t="s">
        <v>398</v>
      </c>
      <c r="AF296" s="2" t="str">
        <f t="shared" ref="AF296" si="398">IF(NOT(ISBLANK(AG296)),"_","")</f>
        <v>_</v>
      </c>
      <c r="AG296" s="28" t="s">
        <v>262</v>
      </c>
      <c r="AH296" s="2" t="str">
        <f t="shared" ref="AH296:AH297" si="399">IF(NOT(ISBLANK(AI296)),"_","")</f>
        <v>_</v>
      </c>
      <c r="AI296" s="28" t="s">
        <v>387</v>
      </c>
    </row>
    <row r="297" spans="1:39" x14ac:dyDescent="0.25">
      <c r="B297" s="2" t="str">
        <f t="shared" si="395"/>
        <v>@dasharray-cycleway_paved_default_gap</v>
      </c>
      <c r="C297" s="28" t="s">
        <v>84</v>
      </c>
      <c r="D297" s="28" t="s">
        <v>84</v>
      </c>
      <c r="F297" s="28" t="s">
        <v>84</v>
      </c>
      <c r="G297" s="28" t="s">
        <v>84</v>
      </c>
      <c r="I297" s="28" t="s">
        <v>84</v>
      </c>
      <c r="J297" s="28" t="s">
        <v>84</v>
      </c>
      <c r="L297" s="28" t="s">
        <v>84</v>
      </c>
      <c r="M297" s="28" t="s">
        <v>84</v>
      </c>
      <c r="U297" s="28" t="s">
        <v>84</v>
      </c>
      <c r="V297" s="28" t="s">
        <v>84</v>
      </c>
      <c r="X297" s="28" t="s">
        <v>84</v>
      </c>
      <c r="Y297" s="28" t="s">
        <v>84</v>
      </c>
      <c r="AA297" s="2" t="s">
        <v>385</v>
      </c>
      <c r="AB297" s="2" t="str">
        <f t="shared" ref="AB297:AB298" si="400">IF(NOT(ISBLANK(AC297)),"-","")</f>
        <v>-</v>
      </c>
      <c r="AC297" s="2" t="s">
        <v>12</v>
      </c>
      <c r="AD297" s="2" t="str">
        <f t="shared" ref="AD297:AD298" si="401">IF(NOT(ISBLANK(AE297)),"_","")</f>
        <v>_</v>
      </c>
      <c r="AE297" s="2" t="s">
        <v>398</v>
      </c>
      <c r="AF297" s="2" t="str">
        <f t="shared" ref="AF297:AF298" si="402">IF(NOT(ISBLANK(AG297)),"_","")</f>
        <v>_</v>
      </c>
      <c r="AG297" s="28" t="s">
        <v>262</v>
      </c>
      <c r="AH297" s="2" t="str">
        <f t="shared" si="399"/>
        <v>_</v>
      </c>
      <c r="AI297" s="28" t="s">
        <v>388</v>
      </c>
    </row>
    <row r="298" spans="1:39" x14ac:dyDescent="0.25">
      <c r="B298" s="2" t="str">
        <f t="shared" ref="B298:B299" si="403">_xlfn.CONCAT("@",AA298,AB298,AC298,AD298,AE298,AF298,AG298,AH298,AI298)</f>
        <v>@dasharray-cycleway_unpaved_default_dash</v>
      </c>
      <c r="C298" s="28" t="s">
        <v>80</v>
      </c>
      <c r="D298" s="28" t="s">
        <v>80</v>
      </c>
      <c r="F298" s="28" t="s">
        <v>80</v>
      </c>
      <c r="G298" s="28" t="s">
        <v>80</v>
      </c>
      <c r="I298" s="28" t="s">
        <v>80</v>
      </c>
      <c r="J298" s="28" t="s">
        <v>80</v>
      </c>
      <c r="L298" s="28" t="s">
        <v>80</v>
      </c>
      <c r="M298" s="28" t="s">
        <v>80</v>
      </c>
      <c r="U298" s="28" t="s">
        <v>86</v>
      </c>
      <c r="V298" s="28" t="s">
        <v>86</v>
      </c>
      <c r="X298" s="28" t="s">
        <v>86</v>
      </c>
      <c r="Y298" s="28" t="s">
        <v>86</v>
      </c>
      <c r="AA298" s="2" t="s">
        <v>385</v>
      </c>
      <c r="AB298" s="2" t="str">
        <f t="shared" si="400"/>
        <v>-</v>
      </c>
      <c r="AC298" s="2" t="s">
        <v>12</v>
      </c>
      <c r="AD298" s="2" t="str">
        <f t="shared" si="401"/>
        <v>_</v>
      </c>
      <c r="AE298" s="2" t="s">
        <v>21</v>
      </c>
      <c r="AF298" s="2" t="str">
        <f t="shared" si="402"/>
        <v>_</v>
      </c>
      <c r="AG298" s="28" t="s">
        <v>262</v>
      </c>
      <c r="AH298" s="2" t="str">
        <f t="shared" ref="AH298:AH299" si="404">IF(NOT(ISBLANK(AI298)),"_","")</f>
        <v>_</v>
      </c>
      <c r="AI298" s="28" t="s">
        <v>387</v>
      </c>
    </row>
    <row r="299" spans="1:39" x14ac:dyDescent="0.25">
      <c r="B299" s="2" t="str">
        <f t="shared" si="403"/>
        <v>@dasharray-cycleway_unpaved_default_gap</v>
      </c>
      <c r="C299" s="28" t="s">
        <v>95</v>
      </c>
      <c r="D299" s="28" t="s">
        <v>95</v>
      </c>
      <c r="F299" s="28" t="s">
        <v>95</v>
      </c>
      <c r="G299" s="28" t="s">
        <v>95</v>
      </c>
      <c r="I299" s="28" t="s">
        <v>95</v>
      </c>
      <c r="J299" s="28" t="s">
        <v>95</v>
      </c>
      <c r="L299" s="28" t="s">
        <v>95</v>
      </c>
      <c r="M299" s="28" t="s">
        <v>95</v>
      </c>
      <c r="U299" s="28" t="s">
        <v>84</v>
      </c>
      <c r="V299" s="28" t="s">
        <v>84</v>
      </c>
      <c r="X299" s="28" t="s">
        <v>84</v>
      </c>
      <c r="Y299" s="28" t="s">
        <v>84</v>
      </c>
      <c r="AA299" s="2" t="s">
        <v>385</v>
      </c>
      <c r="AB299" s="2" t="str">
        <f t="shared" ref="AB299:AB300" si="405">IF(NOT(ISBLANK(AC299)),"-","")</f>
        <v>-</v>
      </c>
      <c r="AC299" s="2" t="s">
        <v>12</v>
      </c>
      <c r="AD299" s="2" t="str">
        <f t="shared" ref="AD299:AD300" si="406">IF(NOT(ISBLANK(AE299)),"_","")</f>
        <v>_</v>
      </c>
      <c r="AE299" s="2" t="s">
        <v>21</v>
      </c>
      <c r="AF299" s="2" t="str">
        <f t="shared" ref="AF299:AF300" si="407">IF(NOT(ISBLANK(AG299)),"_","")</f>
        <v>_</v>
      </c>
      <c r="AG299" s="28" t="s">
        <v>262</v>
      </c>
      <c r="AH299" s="2" t="str">
        <f t="shared" si="404"/>
        <v>_</v>
      </c>
      <c r="AI299" s="28" t="s">
        <v>388</v>
      </c>
    </row>
    <row r="300" spans="1:39" x14ac:dyDescent="0.25">
      <c r="B300" s="2" t="str">
        <f t="shared" ref="B300:B301" si="408">_xlfn.CONCAT("@",AA300,AB300,AC300,AD300,AE300,AF300,AG300,AH300,AI300)</f>
        <v>@dasharray-cycleway_unknown_default_dash</v>
      </c>
      <c r="C300" s="28" t="s">
        <v>90</v>
      </c>
      <c r="D300" s="28" t="s">
        <v>90</v>
      </c>
      <c r="F300" s="28" t="s">
        <v>90</v>
      </c>
      <c r="G300" s="28" t="s">
        <v>90</v>
      </c>
      <c r="I300" s="28" t="s">
        <v>90</v>
      </c>
      <c r="J300" s="28" t="s">
        <v>90</v>
      </c>
      <c r="L300" s="28" t="s">
        <v>90</v>
      </c>
      <c r="M300" s="28" t="s">
        <v>90</v>
      </c>
      <c r="U300" s="28" t="s">
        <v>86</v>
      </c>
      <c r="V300" s="28" t="s">
        <v>86</v>
      </c>
      <c r="X300" s="28" t="s">
        <v>86</v>
      </c>
      <c r="Y300" s="28" t="s">
        <v>86</v>
      </c>
      <c r="AA300" s="2" t="s">
        <v>385</v>
      </c>
      <c r="AB300" s="2" t="str">
        <f t="shared" si="405"/>
        <v>-</v>
      </c>
      <c r="AC300" s="2" t="s">
        <v>12</v>
      </c>
      <c r="AD300" s="2" t="str">
        <f t="shared" si="406"/>
        <v>_</v>
      </c>
      <c r="AE300" s="2" t="s">
        <v>399</v>
      </c>
      <c r="AF300" s="2" t="str">
        <f t="shared" si="407"/>
        <v>_</v>
      </c>
      <c r="AG300" s="28" t="s">
        <v>262</v>
      </c>
      <c r="AH300" s="2" t="str">
        <f t="shared" ref="AH300:AH301" si="409">IF(NOT(ISBLANK(AI300)),"_","")</f>
        <v>_</v>
      </c>
      <c r="AI300" s="28" t="s">
        <v>387</v>
      </c>
    </row>
    <row r="301" spans="1:39" x14ac:dyDescent="0.25">
      <c r="B301" s="2" t="str">
        <f t="shared" si="408"/>
        <v>@dasharray-cycleway_unknown_default_gap</v>
      </c>
      <c r="C301" s="28" t="s">
        <v>84</v>
      </c>
      <c r="D301" s="28" t="s">
        <v>84</v>
      </c>
      <c r="F301" s="28" t="s">
        <v>84</v>
      </c>
      <c r="G301" s="28" t="s">
        <v>84</v>
      </c>
      <c r="I301" s="28" t="s">
        <v>84</v>
      </c>
      <c r="J301" s="28" t="s">
        <v>84</v>
      </c>
      <c r="L301" s="28" t="s">
        <v>84</v>
      </c>
      <c r="M301" s="28" t="s">
        <v>84</v>
      </c>
      <c r="U301" s="28" t="s">
        <v>84</v>
      </c>
      <c r="V301" s="28" t="s">
        <v>84</v>
      </c>
      <c r="X301" s="28" t="s">
        <v>84</v>
      </c>
      <c r="Y301" s="28" t="s">
        <v>84</v>
      </c>
      <c r="AA301" s="2" t="s">
        <v>385</v>
      </c>
      <c r="AB301" s="2" t="str">
        <f t="shared" ref="AB301" si="410">IF(NOT(ISBLANK(AC301)),"-","")</f>
        <v>-</v>
      </c>
      <c r="AC301" s="2" t="s">
        <v>12</v>
      </c>
      <c r="AD301" s="2" t="str">
        <f t="shared" ref="AD301" si="411">IF(NOT(ISBLANK(AE301)),"_","")</f>
        <v>_</v>
      </c>
      <c r="AE301" s="2" t="s">
        <v>399</v>
      </c>
      <c r="AF301" s="2" t="str">
        <f t="shared" ref="AF301" si="412">IF(NOT(ISBLANK(AG301)),"_","")</f>
        <v>_</v>
      </c>
      <c r="AG301" s="28" t="s">
        <v>262</v>
      </c>
      <c r="AH301" s="2" t="str">
        <f t="shared" si="409"/>
        <v>_</v>
      </c>
      <c r="AI301" s="28" t="s">
        <v>388</v>
      </c>
    </row>
    <row r="302" spans="1:39" x14ac:dyDescent="0.25">
      <c r="AA302" s="2"/>
      <c r="AB302" s="2"/>
      <c r="AC302" s="2"/>
      <c r="AD302" s="2"/>
      <c r="AE302" s="2"/>
    </row>
    <row r="303" spans="1:39" s="2" customFormat="1" x14ac:dyDescent="0.25">
      <c r="A303" s="3" t="s">
        <v>39</v>
      </c>
      <c r="B303" s="3"/>
      <c r="C303" s="27"/>
      <c r="D303" s="6"/>
      <c r="E303" s="7"/>
      <c r="F303" s="6"/>
      <c r="G303" s="6"/>
      <c r="H303" s="7"/>
      <c r="I303" s="6"/>
      <c r="J303" s="6"/>
      <c r="K303" s="7"/>
      <c r="L303" s="6"/>
      <c r="M303" s="6"/>
      <c r="N303" s="7"/>
      <c r="O303" s="6"/>
      <c r="P303" s="6"/>
      <c r="Q303" s="7"/>
      <c r="R303" s="6"/>
      <c r="S303" s="6"/>
      <c r="T303" s="7"/>
      <c r="U303" s="6"/>
      <c r="V303" s="6"/>
      <c r="W303" s="7"/>
      <c r="X303" s="6"/>
      <c r="Y303" s="6"/>
      <c r="AA303" s="4"/>
      <c r="AB303" s="4" t="str">
        <f t="shared" si="322"/>
        <v/>
      </c>
      <c r="AC303" s="4"/>
      <c r="AD303" s="4" t="str">
        <f t="shared" si="323"/>
        <v/>
      </c>
      <c r="AE303" s="4"/>
      <c r="AF303" s="4" t="str">
        <f t="shared" si="324"/>
        <v/>
      </c>
      <c r="AG303" s="4"/>
      <c r="AH303" s="4" t="str">
        <f t="shared" si="325"/>
        <v/>
      </c>
      <c r="AI303" s="4"/>
    </row>
    <row r="304" spans="1:39" x14ac:dyDescent="0.25">
      <c r="B304" s="2" t="str">
        <f t="shared" ref="B304:B307" si="413">_xlfn.CONCAT("@",AA304,AB304,AC304,AD304,AE304,AF304,AG304,AH304,AI304)</f>
        <v>@color-obstacle_vegetation</v>
      </c>
      <c r="C304" s="50" t="s">
        <v>187</v>
      </c>
      <c r="D304" s="51" t="str">
        <f>C304</f>
        <v>"#4a9100"</v>
      </c>
      <c r="F304" s="50" t="s">
        <v>187</v>
      </c>
      <c r="G304" s="51" t="str">
        <f>F304</f>
        <v>"#4a9100"</v>
      </c>
      <c r="I304" s="50" t="s">
        <v>187</v>
      </c>
      <c r="J304" s="51" t="str">
        <f>I304</f>
        <v>"#4a9100"</v>
      </c>
      <c r="L304" s="50" t="s">
        <v>187</v>
      </c>
      <c r="M304" s="51" t="str">
        <f>L304</f>
        <v>"#4a9100"</v>
      </c>
      <c r="U304" s="50" t="s">
        <v>187</v>
      </c>
      <c r="V304" s="51" t="str">
        <f>U304</f>
        <v>"#4a9100"</v>
      </c>
      <c r="X304" s="50" t="s">
        <v>187</v>
      </c>
      <c r="Y304" s="51" t="str">
        <f>X304</f>
        <v>"#4a9100"</v>
      </c>
      <c r="AA304" s="2" t="s">
        <v>6</v>
      </c>
      <c r="AB304" s="2" t="str">
        <f t="shared" si="322"/>
        <v>-</v>
      </c>
      <c r="AC304" s="2" t="s">
        <v>35</v>
      </c>
      <c r="AD304" s="2" t="str">
        <f t="shared" si="323"/>
        <v>_</v>
      </c>
      <c r="AE304" s="2" t="s">
        <v>36</v>
      </c>
      <c r="AF304" s="2" t="str">
        <f t="shared" si="324"/>
        <v/>
      </c>
      <c r="AG304" s="2"/>
      <c r="AH304" s="2" t="str">
        <f t="shared" si="325"/>
        <v/>
      </c>
      <c r="AI304" s="2"/>
      <c r="AJ304" s="2"/>
      <c r="AK304" s="2"/>
      <c r="AL304" s="2"/>
      <c r="AM304" s="2"/>
    </row>
    <row r="305" spans="1:35" x14ac:dyDescent="0.25">
      <c r="B305" s="2" t="str">
        <f t="shared" si="413"/>
        <v>@color-surface_mud</v>
      </c>
      <c r="C305" s="52" t="s">
        <v>188</v>
      </c>
      <c r="D305" s="53" t="str">
        <f>C305</f>
        <v>"#0e84ed"</v>
      </c>
      <c r="F305" s="52" t="s">
        <v>188</v>
      </c>
      <c r="G305" s="53" t="str">
        <f>F305</f>
        <v>"#0e84ed"</v>
      </c>
      <c r="I305" s="52" t="s">
        <v>188</v>
      </c>
      <c r="J305" s="53" t="str">
        <f>I305</f>
        <v>"#0e84ed"</v>
      </c>
      <c r="L305" s="52" t="s">
        <v>188</v>
      </c>
      <c r="M305" s="53" t="str">
        <f>L305</f>
        <v>"#0e84ed"</v>
      </c>
      <c r="U305" s="52" t="s">
        <v>188</v>
      </c>
      <c r="V305" s="53" t="str">
        <f>U305</f>
        <v>"#0e84ed"</v>
      </c>
      <c r="X305" s="52" t="s">
        <v>188</v>
      </c>
      <c r="Y305" s="53" t="str">
        <f>X305</f>
        <v>"#0e84ed"</v>
      </c>
      <c r="AA305" s="2" t="s">
        <v>6</v>
      </c>
      <c r="AB305" s="2" t="str">
        <f t="shared" si="322"/>
        <v>-</v>
      </c>
      <c r="AC305" s="2" t="s">
        <v>37</v>
      </c>
      <c r="AD305" s="2" t="str">
        <f t="shared" si="323"/>
        <v>_</v>
      </c>
      <c r="AE305" s="2" t="s">
        <v>38</v>
      </c>
      <c r="AF305" s="2" t="str">
        <f t="shared" si="324"/>
        <v/>
      </c>
      <c r="AG305" s="2"/>
      <c r="AH305" s="2" t="str">
        <f t="shared" si="325"/>
        <v/>
      </c>
      <c r="AI305" s="2"/>
    </row>
    <row r="306" spans="1:35" x14ac:dyDescent="0.25">
      <c r="B306" s="2" t="str">
        <f t="shared" si="413"/>
        <v>@color-access_no</v>
      </c>
      <c r="C306" s="54" t="s">
        <v>189</v>
      </c>
      <c r="D306" s="55" t="str">
        <f>C306</f>
        <v>"#ff003d"</v>
      </c>
      <c r="F306" s="54" t="s">
        <v>189</v>
      </c>
      <c r="G306" s="55" t="str">
        <f>F306</f>
        <v>"#ff003d"</v>
      </c>
      <c r="I306" s="54" t="s">
        <v>189</v>
      </c>
      <c r="J306" s="55" t="str">
        <f>I306</f>
        <v>"#ff003d"</v>
      </c>
      <c r="L306" s="54" t="s">
        <v>189</v>
      </c>
      <c r="M306" s="55" t="str">
        <f>L306</f>
        <v>"#ff003d"</v>
      </c>
      <c r="U306" s="54" t="s">
        <v>189</v>
      </c>
      <c r="V306" s="55" t="str">
        <f>U306</f>
        <v>"#ff003d"</v>
      </c>
      <c r="X306" s="54" t="s">
        <v>189</v>
      </c>
      <c r="Y306" s="55" t="str">
        <f>X306</f>
        <v>"#ff003d"</v>
      </c>
      <c r="AA306" s="2" t="s">
        <v>6</v>
      </c>
      <c r="AB306" s="2" t="str">
        <f t="shared" si="322"/>
        <v>-</v>
      </c>
      <c r="AC306" s="2" t="s">
        <v>40</v>
      </c>
      <c r="AD306" s="2" t="str">
        <f t="shared" si="323"/>
        <v>_</v>
      </c>
      <c r="AE306" s="2" t="s">
        <v>41</v>
      </c>
      <c r="AF306" s="2" t="str">
        <f t="shared" si="324"/>
        <v/>
      </c>
      <c r="AG306" s="2"/>
      <c r="AH306" s="2" t="str">
        <f t="shared" si="325"/>
        <v/>
      </c>
      <c r="AI306" s="2"/>
    </row>
    <row r="307" spans="1:35" x14ac:dyDescent="0.25">
      <c r="B307" s="2" t="str">
        <f t="shared" si="413"/>
        <v>@color-access_discouraged</v>
      </c>
      <c r="C307" s="56" t="s">
        <v>190</v>
      </c>
      <c r="D307" s="57" t="str">
        <f>C307</f>
        <v>"#ff6a00"</v>
      </c>
      <c r="F307" s="56" t="s">
        <v>190</v>
      </c>
      <c r="G307" s="57" t="str">
        <f>F307</f>
        <v>"#ff6a00"</v>
      </c>
      <c r="I307" s="56" t="s">
        <v>190</v>
      </c>
      <c r="J307" s="57" t="str">
        <f>I307</f>
        <v>"#ff6a00"</v>
      </c>
      <c r="L307" s="56" t="s">
        <v>190</v>
      </c>
      <c r="M307" s="57" t="str">
        <f>L307</f>
        <v>"#ff6a00"</v>
      </c>
      <c r="U307" s="56" t="s">
        <v>190</v>
      </c>
      <c r="V307" s="57" t="str">
        <f>U307</f>
        <v>"#ff6a00"</v>
      </c>
      <c r="X307" s="56" t="s">
        <v>190</v>
      </c>
      <c r="Y307" s="57" t="str">
        <f>X307</f>
        <v>"#ff6a00"</v>
      </c>
      <c r="AA307" s="2" t="s">
        <v>6</v>
      </c>
      <c r="AB307" s="2" t="str">
        <f t="shared" si="322"/>
        <v>-</v>
      </c>
      <c r="AC307" s="2" t="s">
        <v>40</v>
      </c>
      <c r="AD307" s="2" t="str">
        <f t="shared" si="323"/>
        <v>_</v>
      </c>
      <c r="AE307" s="2" t="s">
        <v>42</v>
      </c>
      <c r="AF307" s="2" t="str">
        <f t="shared" si="324"/>
        <v/>
      </c>
      <c r="AG307" s="2"/>
      <c r="AH307" s="2" t="str">
        <f t="shared" si="325"/>
        <v/>
      </c>
      <c r="AI307" s="2"/>
    </row>
    <row r="308" spans="1:35" x14ac:dyDescent="0.25">
      <c r="AB308" s="28" t="str">
        <f t="shared" ref="AB308:AB310" si="414">IF(NOT(ISBLANK(AC308)),"-","")</f>
        <v/>
      </c>
      <c r="AD308" s="28" t="str">
        <f t="shared" ref="AD308:AD310" si="415">IF(NOT(ISBLANK(AE308)),"_","")</f>
        <v/>
      </c>
      <c r="AF308" s="28" t="str">
        <f t="shared" ref="AF308:AF310" si="416">IF(NOT(ISBLANK(AG308)),"_","")</f>
        <v/>
      </c>
      <c r="AH308" s="28" t="str">
        <f t="shared" si="325"/>
        <v/>
      </c>
    </row>
    <row r="309" spans="1:35" s="2" customFormat="1" x14ac:dyDescent="0.25">
      <c r="A309" s="3" t="s">
        <v>268</v>
      </c>
      <c r="B309" s="3"/>
      <c r="C309" s="27"/>
      <c r="D309" s="6"/>
      <c r="E309" s="7"/>
      <c r="F309" s="6"/>
      <c r="G309" s="6"/>
      <c r="H309" s="7"/>
      <c r="I309" s="27"/>
      <c r="J309" s="6"/>
      <c r="K309" s="7"/>
      <c r="L309" s="6"/>
      <c r="M309" s="6"/>
      <c r="N309" s="7"/>
      <c r="O309" s="6"/>
      <c r="P309" s="6"/>
      <c r="Q309" s="7"/>
      <c r="R309" s="6"/>
      <c r="S309" s="6"/>
      <c r="T309" s="7"/>
      <c r="U309" s="6"/>
      <c r="V309" s="6"/>
      <c r="W309" s="7"/>
      <c r="X309" s="6"/>
      <c r="Y309" s="6"/>
      <c r="AA309" s="4"/>
      <c r="AB309" s="4" t="str">
        <f t="shared" si="414"/>
        <v/>
      </c>
      <c r="AC309" s="4"/>
      <c r="AD309" s="4" t="str">
        <f t="shared" si="415"/>
        <v/>
      </c>
      <c r="AE309" s="4"/>
      <c r="AF309" s="4" t="str">
        <f t="shared" si="416"/>
        <v/>
      </c>
      <c r="AG309" s="4"/>
      <c r="AH309" s="4" t="str">
        <f t="shared" si="325"/>
        <v/>
      </c>
      <c r="AI309" s="4"/>
    </row>
    <row r="310" spans="1:35" x14ac:dyDescent="0.25">
      <c r="B310" s="2" t="str">
        <f t="shared" ref="B310:B325" si="417">_xlfn.CONCAT("@",AA310,AB310,AC310,AD310,AE310,AF310,AG310,AH310,AI310)</f>
        <v>@color-building_area_residential</v>
      </c>
      <c r="C310" s="58" t="s">
        <v>257</v>
      </c>
      <c r="D310" s="58" t="s">
        <v>257</v>
      </c>
      <c r="F310" s="59" t="s">
        <v>247</v>
      </c>
      <c r="G310" s="78" t="s">
        <v>228</v>
      </c>
      <c r="I310" s="58" t="s">
        <v>257</v>
      </c>
      <c r="J310" s="58" t="s">
        <v>257</v>
      </c>
      <c r="L310" s="59" t="s">
        <v>247</v>
      </c>
      <c r="M310" s="78" t="s">
        <v>228</v>
      </c>
      <c r="U310" s="58" t="s">
        <v>257</v>
      </c>
      <c r="V310" s="58" t="s">
        <v>257</v>
      </c>
      <c r="X310" s="59" t="s">
        <v>247</v>
      </c>
      <c r="Y310" s="78" t="s">
        <v>228</v>
      </c>
      <c r="AA310" s="2" t="s">
        <v>6</v>
      </c>
      <c r="AB310" s="2" t="str">
        <f t="shared" si="414"/>
        <v>-</v>
      </c>
      <c r="AC310" s="2" t="s">
        <v>253</v>
      </c>
      <c r="AD310" s="2" t="str">
        <f t="shared" si="415"/>
        <v>_</v>
      </c>
      <c r="AE310" s="2" t="s">
        <v>259</v>
      </c>
      <c r="AF310" s="2" t="str">
        <f t="shared" si="416"/>
        <v>_</v>
      </c>
      <c r="AG310" s="2" t="s">
        <v>64</v>
      </c>
      <c r="AH310" s="2" t="str">
        <f t="shared" si="325"/>
        <v/>
      </c>
      <c r="AI310" s="2"/>
    </row>
    <row r="311" spans="1:35" x14ac:dyDescent="0.25">
      <c r="B311" s="2" t="str">
        <f t="shared" si="417"/>
        <v>@color-building_area_generic</v>
      </c>
      <c r="C311" s="60" t="s">
        <v>256</v>
      </c>
      <c r="D311" s="60" t="s">
        <v>256</v>
      </c>
      <c r="F311" s="61" t="s">
        <v>254</v>
      </c>
      <c r="G311" s="109" t="s">
        <v>367</v>
      </c>
      <c r="I311" s="60" t="s">
        <v>256</v>
      </c>
      <c r="J311" s="60" t="s">
        <v>256</v>
      </c>
      <c r="L311" s="61" t="s">
        <v>254</v>
      </c>
      <c r="M311" s="109" t="s">
        <v>367</v>
      </c>
      <c r="U311" s="60" t="s">
        <v>256</v>
      </c>
      <c r="V311" s="60" t="s">
        <v>256</v>
      </c>
      <c r="X311" s="61" t="s">
        <v>254</v>
      </c>
      <c r="Y311" s="109" t="s">
        <v>367</v>
      </c>
      <c r="AA311" s="2" t="s">
        <v>6</v>
      </c>
      <c r="AB311" s="2" t="str">
        <f t="shared" ref="AB311" si="418">IF(NOT(ISBLANK(AC311)),"-","")</f>
        <v>-</v>
      </c>
      <c r="AC311" s="2" t="s">
        <v>253</v>
      </c>
      <c r="AD311" s="2" t="str">
        <f t="shared" ref="AD311" si="419">IF(NOT(ISBLANK(AE311)),"_","")</f>
        <v>_</v>
      </c>
      <c r="AE311" s="2" t="s">
        <v>259</v>
      </c>
      <c r="AF311" s="2" t="str">
        <f t="shared" ref="AF311" si="420">IF(NOT(ISBLANK(AG311)),"_","")</f>
        <v>_</v>
      </c>
      <c r="AG311" s="2" t="s">
        <v>255</v>
      </c>
      <c r="AH311" s="2" t="str">
        <f t="shared" si="325"/>
        <v/>
      </c>
      <c r="AI311" s="2"/>
    </row>
    <row r="312" spans="1:35" x14ac:dyDescent="0.25">
      <c r="B312" s="2" t="str">
        <f t="shared" si="417"/>
        <v>@color-building_line_top</v>
      </c>
      <c r="C312" s="60" t="s">
        <v>256</v>
      </c>
      <c r="D312" s="60" t="s">
        <v>256</v>
      </c>
      <c r="F312" s="61" t="s">
        <v>254</v>
      </c>
      <c r="G312" s="109" t="s">
        <v>367</v>
      </c>
      <c r="I312" s="60" t="s">
        <v>256</v>
      </c>
      <c r="J312" s="60" t="s">
        <v>256</v>
      </c>
      <c r="L312" s="61" t="s">
        <v>254</v>
      </c>
      <c r="M312" s="109" t="s">
        <v>367</v>
      </c>
      <c r="U312" s="60" t="s">
        <v>256</v>
      </c>
      <c r="V312" s="60" t="s">
        <v>256</v>
      </c>
      <c r="X312" s="61" t="s">
        <v>254</v>
      </c>
      <c r="Y312" s="109" t="s">
        <v>367</v>
      </c>
      <c r="AA312" s="2" t="s">
        <v>6</v>
      </c>
      <c r="AB312" s="2" t="str">
        <f t="shared" ref="AB312" si="421">IF(NOT(ISBLANK(AC312)),"-","")</f>
        <v>-</v>
      </c>
      <c r="AC312" s="2" t="s">
        <v>253</v>
      </c>
      <c r="AD312" s="2" t="str">
        <f t="shared" ref="AD312" si="422">IF(NOT(ISBLANK(AE312)),"_","")</f>
        <v>_</v>
      </c>
      <c r="AE312" s="2" t="s">
        <v>13</v>
      </c>
      <c r="AF312" s="2" t="str">
        <f t="shared" ref="AF312" si="423">IF(NOT(ISBLANK(AG312)),"_","")</f>
        <v>_</v>
      </c>
      <c r="AG312" s="2" t="s">
        <v>258</v>
      </c>
      <c r="AH312" s="2" t="str">
        <f t="shared" si="325"/>
        <v/>
      </c>
      <c r="AI312" s="2"/>
    </row>
    <row r="313" spans="1:35" x14ac:dyDescent="0.25">
      <c r="B313" s="2" t="str">
        <f t="shared" si="417"/>
        <v>@color-contours_line</v>
      </c>
      <c r="C313" s="62" t="s">
        <v>191</v>
      </c>
      <c r="D313" s="63" t="str">
        <f>C313</f>
        <v>"#916f4c"</v>
      </c>
      <c r="F313" s="64" t="s">
        <v>269</v>
      </c>
      <c r="G313" s="64" t="str">
        <f>F313</f>
        <v>"#5f472f"</v>
      </c>
      <c r="I313" s="62" t="s">
        <v>191</v>
      </c>
      <c r="J313" s="63" t="str">
        <f>I313</f>
        <v>"#916f4c"</v>
      </c>
      <c r="L313" s="64" t="s">
        <v>269</v>
      </c>
      <c r="M313" s="64" t="str">
        <f>L313</f>
        <v>"#5f472f"</v>
      </c>
      <c r="U313" s="62" t="s">
        <v>191</v>
      </c>
      <c r="V313" s="63" t="str">
        <f>U313</f>
        <v>"#916f4c"</v>
      </c>
      <c r="X313" s="64" t="s">
        <v>269</v>
      </c>
      <c r="Y313" s="64" t="str">
        <f>X313</f>
        <v>"#5f472f"</v>
      </c>
      <c r="AA313" s="2" t="s">
        <v>6</v>
      </c>
      <c r="AB313" s="2" t="str">
        <f t="shared" ref="AB313:AB320" si="424">IF(NOT(ISBLANK(AC313)),"-","")</f>
        <v>-</v>
      </c>
      <c r="AC313" s="2" t="s">
        <v>67</v>
      </c>
      <c r="AD313" s="2" t="str">
        <f t="shared" ref="AD313:AD320" si="425">IF(NOT(ISBLANK(AE313)),"_","")</f>
        <v>_</v>
      </c>
      <c r="AE313" s="2" t="s">
        <v>13</v>
      </c>
      <c r="AF313" s="2" t="str">
        <f>IF(NOT(ISBLANK(AG313)),"_","")</f>
        <v/>
      </c>
      <c r="AG313" s="2"/>
      <c r="AH313" s="2" t="str">
        <f>IF(NOT(ISBLANK(AI313)),"_","")</f>
        <v/>
      </c>
      <c r="AI313" s="2"/>
    </row>
    <row r="314" spans="1:35" x14ac:dyDescent="0.25">
      <c r="B314" s="2" t="str">
        <f t="shared" ref="B314" si="426">_xlfn.CONCAT("@",AA314,AB314,AC314,AD314,AE314,AF314,AG314,AH314,AI314)</f>
        <v>@color-water_contours_line_1500</v>
      </c>
      <c r="C314" s="101" t="s">
        <v>315</v>
      </c>
      <c r="D314" s="105" t="s">
        <v>320</v>
      </c>
      <c r="F314" s="102" t="s">
        <v>316</v>
      </c>
      <c r="G314" s="102" t="s">
        <v>316</v>
      </c>
      <c r="I314" s="101" t="s">
        <v>315</v>
      </c>
      <c r="J314" s="105" t="s">
        <v>320</v>
      </c>
      <c r="L314" s="102" t="s">
        <v>316</v>
      </c>
      <c r="M314" s="102" t="s">
        <v>316</v>
      </c>
      <c r="U314" s="101" t="s">
        <v>315</v>
      </c>
      <c r="V314" s="105" t="s">
        <v>320</v>
      </c>
      <c r="X314" s="102" t="s">
        <v>316</v>
      </c>
      <c r="Y314" s="102" t="s">
        <v>316</v>
      </c>
      <c r="AA314" s="2" t="s">
        <v>6</v>
      </c>
      <c r="AB314" s="2" t="str">
        <f t="shared" si="424"/>
        <v>-</v>
      </c>
      <c r="AC314" s="2" t="s">
        <v>314</v>
      </c>
      <c r="AD314" s="2" t="str">
        <f t="shared" si="425"/>
        <v>_</v>
      </c>
      <c r="AE314" s="2" t="s">
        <v>13</v>
      </c>
      <c r="AF314" s="2" t="str">
        <f>IF(NOT(ISBLANK(AG314)),"_","")</f>
        <v>_</v>
      </c>
      <c r="AG314" s="2">
        <v>1500</v>
      </c>
      <c r="AH314" s="2" t="str">
        <f>IF(NOT(ISBLANK(AI314)),"_","")</f>
        <v/>
      </c>
      <c r="AI314" s="2"/>
    </row>
    <row r="315" spans="1:35" x14ac:dyDescent="0.25">
      <c r="B315" s="2" t="str">
        <f t="shared" ref="B315" si="427">_xlfn.CONCAT("@",AA315,AB315,AC315,AD315,AE315,AF315,AG315,AH315,AI315)</f>
        <v>@color-water_contours_line_3000</v>
      </c>
      <c r="C315" s="103" t="s">
        <v>318</v>
      </c>
      <c r="D315" s="106" t="s">
        <v>321</v>
      </c>
      <c r="F315" s="102" t="s">
        <v>316</v>
      </c>
      <c r="G315" s="102" t="s">
        <v>316</v>
      </c>
      <c r="I315" s="103" t="s">
        <v>318</v>
      </c>
      <c r="J315" s="106" t="s">
        <v>321</v>
      </c>
      <c r="L315" s="102" t="s">
        <v>316</v>
      </c>
      <c r="M315" s="102" t="s">
        <v>316</v>
      </c>
      <c r="U315" s="103" t="s">
        <v>318</v>
      </c>
      <c r="V315" s="106" t="s">
        <v>321</v>
      </c>
      <c r="X315" s="102" t="s">
        <v>316</v>
      </c>
      <c r="Y315" s="102" t="s">
        <v>316</v>
      </c>
      <c r="AA315" s="2" t="s">
        <v>6</v>
      </c>
      <c r="AB315" s="2" t="str">
        <f t="shared" si="424"/>
        <v>-</v>
      </c>
      <c r="AC315" s="2" t="s">
        <v>314</v>
      </c>
      <c r="AD315" s="2" t="str">
        <f t="shared" si="425"/>
        <v>_</v>
      </c>
      <c r="AE315" s="2" t="s">
        <v>13</v>
      </c>
      <c r="AF315" s="2" t="str">
        <f>IF(NOT(ISBLANK(AG315)),"_","")</f>
        <v>_</v>
      </c>
      <c r="AG315" s="2">
        <v>3000</v>
      </c>
      <c r="AH315" s="2" t="str">
        <f>IF(NOT(ISBLANK(AI315)),"_","")</f>
        <v/>
      </c>
      <c r="AI315" s="2"/>
    </row>
    <row r="316" spans="1:35" x14ac:dyDescent="0.25">
      <c r="B316" s="2" t="str">
        <f t="shared" ref="B316" si="428">_xlfn.CONCAT("@",AA316,AB316,AC316,AD316,AE316,AF316,AG316,AH316,AI316)</f>
        <v>@color-water_contours_line_6000</v>
      </c>
      <c r="C316" s="104" t="s">
        <v>319</v>
      </c>
      <c r="D316" s="107" t="s">
        <v>322</v>
      </c>
      <c r="F316" s="102" t="s">
        <v>316</v>
      </c>
      <c r="G316" s="102" t="s">
        <v>316</v>
      </c>
      <c r="I316" s="104" t="s">
        <v>319</v>
      </c>
      <c r="J316" s="107" t="s">
        <v>322</v>
      </c>
      <c r="L316" s="102" t="s">
        <v>316</v>
      </c>
      <c r="M316" s="102" t="s">
        <v>316</v>
      </c>
      <c r="U316" s="104" t="s">
        <v>319</v>
      </c>
      <c r="V316" s="107" t="s">
        <v>322</v>
      </c>
      <c r="X316" s="102" t="s">
        <v>316</v>
      </c>
      <c r="Y316" s="102" t="s">
        <v>316</v>
      </c>
      <c r="AA316" s="2" t="s">
        <v>6</v>
      </c>
      <c r="AB316" s="2" t="str">
        <f t="shared" si="424"/>
        <v>-</v>
      </c>
      <c r="AC316" s="2" t="s">
        <v>314</v>
      </c>
      <c r="AD316" s="2" t="str">
        <f t="shared" si="425"/>
        <v>_</v>
      </c>
      <c r="AE316" s="2" t="s">
        <v>13</v>
      </c>
      <c r="AF316" s="2" t="str">
        <f>IF(NOT(ISBLANK(AG316)),"_","")</f>
        <v>_</v>
      </c>
      <c r="AG316" s="2">
        <v>6000</v>
      </c>
      <c r="AH316" s="2" t="str">
        <f t="shared" ref="AH316:AH337" si="429">IF(NOT(ISBLANK(AI316)),"_","")</f>
        <v/>
      </c>
      <c r="AI316" s="2"/>
    </row>
    <row r="317" spans="1:35" x14ac:dyDescent="0.25">
      <c r="B317" s="2" t="str">
        <f t="shared" ref="B317:B318" si="430">_xlfn.CONCAT("@",AA317,AB317,AC317,AD317,AE317,AF317,AG317,AH317,AI317)</f>
        <v>@color-water_contours_line_over6000</v>
      </c>
      <c r="C317" s="105" t="s">
        <v>320</v>
      </c>
      <c r="D317" s="108" t="s">
        <v>323</v>
      </c>
      <c r="F317" s="102" t="s">
        <v>316</v>
      </c>
      <c r="G317" s="102" t="s">
        <v>316</v>
      </c>
      <c r="I317" s="105" t="s">
        <v>320</v>
      </c>
      <c r="J317" s="108" t="s">
        <v>323</v>
      </c>
      <c r="L317" s="102" t="s">
        <v>316</v>
      </c>
      <c r="M317" s="102" t="s">
        <v>316</v>
      </c>
      <c r="U317" s="105" t="s">
        <v>320</v>
      </c>
      <c r="V317" s="108" t="s">
        <v>323</v>
      </c>
      <c r="X317" s="102" t="s">
        <v>316</v>
      </c>
      <c r="Y317" s="102" t="s">
        <v>316</v>
      </c>
      <c r="AA317" s="2" t="s">
        <v>6</v>
      </c>
      <c r="AB317" s="2" t="str">
        <f t="shared" si="424"/>
        <v>-</v>
      </c>
      <c r="AC317" s="2" t="s">
        <v>314</v>
      </c>
      <c r="AD317" s="2" t="str">
        <f t="shared" si="425"/>
        <v>_</v>
      </c>
      <c r="AE317" s="2" t="s">
        <v>13</v>
      </c>
      <c r="AF317" s="2" t="str">
        <f>IF(NOT(ISBLANK(AG317)),"_","")</f>
        <v>_</v>
      </c>
      <c r="AG317" s="2" t="s">
        <v>317</v>
      </c>
      <c r="AH317" s="2" t="str">
        <f t="shared" si="429"/>
        <v/>
      </c>
      <c r="AI317" s="2"/>
    </row>
    <row r="318" spans="1:35" x14ac:dyDescent="0.25">
      <c r="B318" s="2" t="str">
        <f t="shared" si="430"/>
        <v>@color-water_contours_label</v>
      </c>
      <c r="C318" s="104" t="s">
        <v>319</v>
      </c>
      <c r="D318" s="107" t="s">
        <v>322</v>
      </c>
      <c r="F318" s="102" t="s">
        <v>316</v>
      </c>
      <c r="G318" s="102" t="s">
        <v>316</v>
      </c>
      <c r="I318" s="104" t="s">
        <v>319</v>
      </c>
      <c r="J318" s="107" t="s">
        <v>322</v>
      </c>
      <c r="L318" s="102" t="s">
        <v>316</v>
      </c>
      <c r="M318" s="102" t="s">
        <v>316</v>
      </c>
      <c r="U318" s="104" t="s">
        <v>319</v>
      </c>
      <c r="V318" s="107" t="s">
        <v>322</v>
      </c>
      <c r="X318" s="102" t="s">
        <v>316</v>
      </c>
      <c r="Y318" s="102" t="s">
        <v>316</v>
      </c>
      <c r="AA318" s="2" t="s">
        <v>6</v>
      </c>
      <c r="AB318" s="2" t="str">
        <f t="shared" si="424"/>
        <v>-</v>
      </c>
      <c r="AC318" s="2" t="s">
        <v>314</v>
      </c>
      <c r="AD318" s="2" t="str">
        <f t="shared" si="425"/>
        <v>_</v>
      </c>
      <c r="AE318" s="2" t="s">
        <v>271</v>
      </c>
      <c r="AF318" s="2" t="str">
        <f t="shared" ref="AF318:AF337" si="431">IF(NOT(ISBLANK(AG318)),"_","")</f>
        <v/>
      </c>
      <c r="AG318" s="2"/>
      <c r="AH318" s="2" t="str">
        <f t="shared" si="429"/>
        <v/>
      </c>
      <c r="AI318" s="2"/>
    </row>
    <row r="319" spans="1:35" x14ac:dyDescent="0.25">
      <c r="B319" s="2" t="str">
        <f t="shared" ref="B319" si="432">_xlfn.CONCAT("@",AA319,AB319,AC319,AD319,AE319,AF319,AG319,AH319,AI319)</f>
        <v>@color-water_shipping_lane</v>
      </c>
      <c r="C319" s="47" t="s">
        <v>214</v>
      </c>
      <c r="D319" s="47" t="s">
        <v>214</v>
      </c>
      <c r="F319" s="46" t="s">
        <v>222</v>
      </c>
      <c r="G319" s="46" t="s">
        <v>222</v>
      </c>
      <c r="I319" s="47" t="s">
        <v>214</v>
      </c>
      <c r="J319" s="47" t="s">
        <v>214</v>
      </c>
      <c r="L319" s="46" t="s">
        <v>222</v>
      </c>
      <c r="M319" s="46" t="s">
        <v>222</v>
      </c>
      <c r="U319" s="47" t="s">
        <v>214</v>
      </c>
      <c r="V319" s="47" t="s">
        <v>214</v>
      </c>
      <c r="X319" s="46" t="s">
        <v>222</v>
      </c>
      <c r="Y319" s="46" t="s">
        <v>222</v>
      </c>
      <c r="AA319" s="2" t="s">
        <v>6</v>
      </c>
      <c r="AB319" s="2" t="str">
        <f t="shared" si="424"/>
        <v>-</v>
      </c>
      <c r="AC319" s="2" t="s">
        <v>324</v>
      </c>
      <c r="AD319" s="2" t="str">
        <f t="shared" si="425"/>
        <v/>
      </c>
      <c r="AE319" s="2"/>
      <c r="AF319" s="2" t="str">
        <f t="shared" si="431"/>
        <v/>
      </c>
      <c r="AG319" s="2"/>
      <c r="AH319" s="2" t="str">
        <f t="shared" si="429"/>
        <v/>
      </c>
      <c r="AI319" s="2"/>
    </row>
    <row r="320" spans="1:35" x14ac:dyDescent="0.25">
      <c r="B320" s="2" t="str">
        <f t="shared" si="417"/>
        <v>@color-cliff_line</v>
      </c>
      <c r="C320" s="47" t="s">
        <v>214</v>
      </c>
      <c r="D320" s="47" t="s">
        <v>214</v>
      </c>
      <c r="F320" s="46" t="s">
        <v>222</v>
      </c>
      <c r="G320" s="46" t="s">
        <v>222</v>
      </c>
      <c r="I320" s="47" t="s">
        <v>214</v>
      </c>
      <c r="J320" s="47" t="s">
        <v>214</v>
      </c>
      <c r="L320" s="46" t="s">
        <v>222</v>
      </c>
      <c r="M320" s="46" t="s">
        <v>222</v>
      </c>
      <c r="U320" s="47" t="s">
        <v>214</v>
      </c>
      <c r="V320" s="47" t="s">
        <v>214</v>
      </c>
      <c r="X320" s="46" t="s">
        <v>222</v>
      </c>
      <c r="Y320" s="46" t="s">
        <v>222</v>
      </c>
      <c r="AA320" s="2" t="s">
        <v>6</v>
      </c>
      <c r="AB320" s="2" t="str">
        <f t="shared" si="424"/>
        <v>-</v>
      </c>
      <c r="AC320" s="2" t="s">
        <v>270</v>
      </c>
      <c r="AD320" s="2" t="str">
        <f t="shared" si="425"/>
        <v>_</v>
      </c>
      <c r="AE320" s="2" t="s">
        <v>13</v>
      </c>
      <c r="AF320" s="2" t="str">
        <f t="shared" si="431"/>
        <v/>
      </c>
      <c r="AG320" s="2"/>
      <c r="AH320" s="2" t="str">
        <f t="shared" si="429"/>
        <v/>
      </c>
      <c r="AI320" s="2"/>
    </row>
    <row r="321" spans="2:34" x14ac:dyDescent="0.25">
      <c r="AB321" s="28" t="str">
        <f t="shared" si="322"/>
        <v/>
      </c>
      <c r="AD321" s="28" t="str">
        <f t="shared" si="323"/>
        <v/>
      </c>
      <c r="AF321" s="2" t="str">
        <f t="shared" si="431"/>
        <v/>
      </c>
      <c r="AH321" s="2" t="str">
        <f t="shared" si="429"/>
        <v/>
      </c>
    </row>
    <row r="322" spans="2:34" x14ac:dyDescent="0.25">
      <c r="B322" s="2" t="str">
        <f t="shared" si="417"/>
        <v>@line_width-ditch_z12</v>
      </c>
      <c r="C322" s="28" t="s">
        <v>95</v>
      </c>
      <c r="D322" s="28" t="s">
        <v>80</v>
      </c>
      <c r="F322" s="28" t="s">
        <v>95</v>
      </c>
      <c r="G322" s="28" t="s">
        <v>80</v>
      </c>
      <c r="I322" s="28" t="s">
        <v>95</v>
      </c>
      <c r="J322" s="28" t="s">
        <v>80</v>
      </c>
      <c r="L322" s="28" t="s">
        <v>95</v>
      </c>
      <c r="M322" s="28" t="s">
        <v>80</v>
      </c>
      <c r="O322" s="28" t="s">
        <v>95</v>
      </c>
      <c r="P322" s="28" t="s">
        <v>80</v>
      </c>
      <c r="R322" s="28" t="s">
        <v>95</v>
      </c>
      <c r="S322" s="28" t="s">
        <v>80</v>
      </c>
      <c r="U322" s="28" t="s">
        <v>95</v>
      </c>
      <c r="V322" s="28" t="s">
        <v>80</v>
      </c>
      <c r="X322" s="28" t="s">
        <v>95</v>
      </c>
      <c r="Y322" s="28" t="s">
        <v>80</v>
      </c>
      <c r="AA322" s="2" t="s">
        <v>119</v>
      </c>
      <c r="AB322" s="2" t="str">
        <f t="shared" si="322"/>
        <v>-</v>
      </c>
      <c r="AC322" s="28" t="s">
        <v>325</v>
      </c>
      <c r="AD322" s="2" t="str">
        <f t="shared" si="323"/>
        <v>_</v>
      </c>
      <c r="AE322" s="28" t="s">
        <v>109</v>
      </c>
      <c r="AF322" s="2" t="str">
        <f t="shared" si="431"/>
        <v/>
      </c>
      <c r="AH322" s="2" t="str">
        <f t="shared" si="429"/>
        <v/>
      </c>
    </row>
    <row r="323" spans="2:34" x14ac:dyDescent="0.25">
      <c r="B323" s="2" t="str">
        <f t="shared" si="417"/>
        <v>@line_width-ditch_z14</v>
      </c>
      <c r="C323" s="28" t="s">
        <v>84</v>
      </c>
      <c r="D323" s="28" t="s">
        <v>85</v>
      </c>
      <c r="F323" s="28" t="s">
        <v>84</v>
      </c>
      <c r="G323" s="28" t="s">
        <v>85</v>
      </c>
      <c r="I323" s="28" t="s">
        <v>84</v>
      </c>
      <c r="J323" s="28" t="s">
        <v>85</v>
      </c>
      <c r="L323" s="28" t="s">
        <v>84</v>
      </c>
      <c r="M323" s="28" t="s">
        <v>85</v>
      </c>
      <c r="O323" s="28" t="s">
        <v>84</v>
      </c>
      <c r="P323" s="28" t="s">
        <v>85</v>
      </c>
      <c r="R323" s="28" t="s">
        <v>84</v>
      </c>
      <c r="S323" s="28" t="s">
        <v>85</v>
      </c>
      <c r="U323" s="28" t="s">
        <v>84</v>
      </c>
      <c r="V323" s="28" t="s">
        <v>85</v>
      </c>
      <c r="X323" s="28" t="s">
        <v>84</v>
      </c>
      <c r="Y323" s="28" t="s">
        <v>85</v>
      </c>
      <c r="AA323" s="2" t="s">
        <v>119</v>
      </c>
      <c r="AB323" s="2" t="str">
        <f t="shared" si="322"/>
        <v>-</v>
      </c>
      <c r="AC323" s="28" t="s">
        <v>325</v>
      </c>
      <c r="AD323" s="2" t="str">
        <f t="shared" si="323"/>
        <v>_</v>
      </c>
      <c r="AE323" s="28" t="s">
        <v>74</v>
      </c>
      <c r="AF323" s="2" t="str">
        <f t="shared" si="431"/>
        <v/>
      </c>
      <c r="AH323" s="2" t="str">
        <f t="shared" si="429"/>
        <v/>
      </c>
    </row>
    <row r="324" spans="2:34" x14ac:dyDescent="0.25">
      <c r="B324" s="2" t="str">
        <f t="shared" si="417"/>
        <v>@line_width-ditch_z16</v>
      </c>
      <c r="C324" s="28" t="s">
        <v>92</v>
      </c>
      <c r="D324" s="28" t="s">
        <v>92</v>
      </c>
      <c r="F324" s="28" t="s">
        <v>92</v>
      </c>
      <c r="G324" s="28" t="s">
        <v>92</v>
      </c>
      <c r="I324" s="28" t="s">
        <v>92</v>
      </c>
      <c r="J324" s="28" t="s">
        <v>92</v>
      </c>
      <c r="L324" s="28" t="s">
        <v>92</v>
      </c>
      <c r="M324" s="28" t="s">
        <v>92</v>
      </c>
      <c r="O324" s="28" t="s">
        <v>92</v>
      </c>
      <c r="P324" s="28" t="s">
        <v>92</v>
      </c>
      <c r="R324" s="28" t="s">
        <v>92</v>
      </c>
      <c r="S324" s="28" t="s">
        <v>92</v>
      </c>
      <c r="U324" s="28" t="s">
        <v>92</v>
      </c>
      <c r="V324" s="28" t="s">
        <v>92</v>
      </c>
      <c r="X324" s="28" t="s">
        <v>92</v>
      </c>
      <c r="Y324" s="28" t="s">
        <v>92</v>
      </c>
      <c r="AA324" s="2" t="s">
        <v>119</v>
      </c>
      <c r="AB324" s="2" t="str">
        <f t="shared" si="322"/>
        <v>-</v>
      </c>
      <c r="AC324" s="28" t="s">
        <v>325</v>
      </c>
      <c r="AD324" s="2" t="str">
        <f t="shared" si="323"/>
        <v>_</v>
      </c>
      <c r="AE324" s="28" t="s">
        <v>75</v>
      </c>
      <c r="AF324" s="2" t="str">
        <f t="shared" si="431"/>
        <v/>
      </c>
      <c r="AH324" s="2" t="str">
        <f t="shared" si="429"/>
        <v/>
      </c>
    </row>
    <row r="325" spans="2:34" x14ac:dyDescent="0.25">
      <c r="B325" s="2" t="str">
        <f t="shared" si="417"/>
        <v>@line_width-ditch_z18</v>
      </c>
      <c r="C325" s="28" t="s">
        <v>327</v>
      </c>
      <c r="D325" s="28" t="s">
        <v>327</v>
      </c>
      <c r="F325" s="28" t="s">
        <v>327</v>
      </c>
      <c r="G325" s="28" t="s">
        <v>327</v>
      </c>
      <c r="I325" s="28" t="s">
        <v>327</v>
      </c>
      <c r="J325" s="28" t="s">
        <v>327</v>
      </c>
      <c r="L325" s="28" t="s">
        <v>327</v>
      </c>
      <c r="M325" s="28" t="s">
        <v>327</v>
      </c>
      <c r="O325" s="28" t="s">
        <v>327</v>
      </c>
      <c r="P325" s="28" t="s">
        <v>327</v>
      </c>
      <c r="R325" s="28" t="s">
        <v>327</v>
      </c>
      <c r="S325" s="28" t="s">
        <v>327</v>
      </c>
      <c r="U325" s="28" t="s">
        <v>327</v>
      </c>
      <c r="V325" s="28" t="s">
        <v>327</v>
      </c>
      <c r="X325" s="28" t="s">
        <v>327</v>
      </c>
      <c r="Y325" s="28" t="s">
        <v>327</v>
      </c>
      <c r="AA325" s="2" t="s">
        <v>119</v>
      </c>
      <c r="AB325" s="2" t="str">
        <f t="shared" si="322"/>
        <v>-</v>
      </c>
      <c r="AC325" s="28" t="s">
        <v>325</v>
      </c>
      <c r="AD325" s="2" t="str">
        <f t="shared" si="323"/>
        <v>_</v>
      </c>
      <c r="AE325" s="28" t="s">
        <v>76</v>
      </c>
      <c r="AF325" s="2" t="str">
        <f t="shared" si="431"/>
        <v/>
      </c>
      <c r="AH325" s="2" t="str">
        <f t="shared" si="429"/>
        <v/>
      </c>
    </row>
    <row r="326" spans="2:34" x14ac:dyDescent="0.25">
      <c r="B326" s="2"/>
      <c r="AA326" s="2"/>
      <c r="AB326" s="2"/>
      <c r="AD326" s="2"/>
      <c r="AF326" s="2"/>
      <c r="AH326" s="2"/>
    </row>
    <row r="327" spans="2:34" x14ac:dyDescent="0.25">
      <c r="B327" s="2" t="str">
        <f t="shared" ref="B327:B330" si="433">_xlfn.CONCAT("@",AA327,AB327,AC327,AD327,AE327,AF327,AG327,AH327,AI327)</f>
        <v>@line_width-stream_z12</v>
      </c>
      <c r="C327" s="28" t="s">
        <v>80</v>
      </c>
      <c r="D327" s="28" t="s">
        <v>85</v>
      </c>
      <c r="F327" s="28" t="s">
        <v>80</v>
      </c>
      <c r="G327" s="28" t="s">
        <v>85</v>
      </c>
      <c r="I327" s="28" t="s">
        <v>80</v>
      </c>
      <c r="J327" s="28" t="s">
        <v>85</v>
      </c>
      <c r="L327" s="28" t="s">
        <v>80</v>
      </c>
      <c r="M327" s="28" t="s">
        <v>85</v>
      </c>
      <c r="O327" s="28" t="s">
        <v>80</v>
      </c>
      <c r="P327" s="28" t="s">
        <v>85</v>
      </c>
      <c r="R327" s="28" t="s">
        <v>80</v>
      </c>
      <c r="S327" s="28" t="s">
        <v>85</v>
      </c>
      <c r="U327" s="28" t="s">
        <v>80</v>
      </c>
      <c r="V327" s="28" t="s">
        <v>85</v>
      </c>
      <c r="X327" s="28" t="s">
        <v>80</v>
      </c>
      <c r="Y327" s="28" t="s">
        <v>85</v>
      </c>
      <c r="AA327" s="2" t="s">
        <v>119</v>
      </c>
      <c r="AB327" s="2" t="str">
        <f t="shared" ref="AB327:AB330" si="434">IF(NOT(ISBLANK(AC327)),"-","")</f>
        <v>-</v>
      </c>
      <c r="AC327" s="28" t="s">
        <v>326</v>
      </c>
      <c r="AD327" s="2" t="str">
        <f t="shared" ref="AD327:AD330" si="435">IF(NOT(ISBLANK(AE327)),"_","")</f>
        <v>_</v>
      </c>
      <c r="AE327" s="28" t="s">
        <v>109</v>
      </c>
      <c r="AF327" s="2" t="str">
        <f t="shared" si="431"/>
        <v/>
      </c>
      <c r="AH327" s="2" t="str">
        <f t="shared" si="429"/>
        <v/>
      </c>
    </row>
    <row r="328" spans="2:34" x14ac:dyDescent="0.25">
      <c r="B328" s="2" t="str">
        <f t="shared" si="433"/>
        <v>@line_width-stream_z14</v>
      </c>
      <c r="C328" s="28" t="s">
        <v>90</v>
      </c>
      <c r="D328" s="28" t="s">
        <v>88</v>
      </c>
      <c r="F328" s="28" t="s">
        <v>90</v>
      </c>
      <c r="G328" s="28" t="s">
        <v>88</v>
      </c>
      <c r="I328" s="28" t="s">
        <v>90</v>
      </c>
      <c r="J328" s="28" t="s">
        <v>88</v>
      </c>
      <c r="L328" s="28" t="s">
        <v>90</v>
      </c>
      <c r="M328" s="28" t="s">
        <v>88</v>
      </c>
      <c r="O328" s="28" t="s">
        <v>90</v>
      </c>
      <c r="P328" s="28" t="s">
        <v>88</v>
      </c>
      <c r="R328" s="28" t="s">
        <v>90</v>
      </c>
      <c r="S328" s="28" t="s">
        <v>88</v>
      </c>
      <c r="U328" s="28" t="s">
        <v>90</v>
      </c>
      <c r="V328" s="28" t="s">
        <v>88</v>
      </c>
      <c r="X328" s="28" t="s">
        <v>90</v>
      </c>
      <c r="Y328" s="28" t="s">
        <v>88</v>
      </c>
      <c r="AA328" s="2" t="s">
        <v>119</v>
      </c>
      <c r="AB328" s="2" t="str">
        <f t="shared" si="434"/>
        <v>-</v>
      </c>
      <c r="AC328" s="28" t="s">
        <v>326</v>
      </c>
      <c r="AD328" s="2" t="str">
        <f t="shared" si="435"/>
        <v>_</v>
      </c>
      <c r="AE328" s="28" t="s">
        <v>74</v>
      </c>
      <c r="AF328" s="2" t="str">
        <f t="shared" si="431"/>
        <v/>
      </c>
      <c r="AH328" s="2" t="str">
        <f t="shared" si="429"/>
        <v/>
      </c>
    </row>
    <row r="329" spans="2:34" x14ac:dyDescent="0.25">
      <c r="B329" s="2" t="str">
        <f t="shared" si="433"/>
        <v>@line_width-stream_z16</v>
      </c>
      <c r="C329" s="28" t="s">
        <v>86</v>
      </c>
      <c r="D329" s="28" t="s">
        <v>86</v>
      </c>
      <c r="F329" s="28" t="s">
        <v>86</v>
      </c>
      <c r="G329" s="28" t="s">
        <v>86</v>
      </c>
      <c r="I329" s="28" t="s">
        <v>86</v>
      </c>
      <c r="J329" s="28" t="s">
        <v>86</v>
      </c>
      <c r="L329" s="28" t="s">
        <v>86</v>
      </c>
      <c r="M329" s="28" t="s">
        <v>86</v>
      </c>
      <c r="O329" s="28" t="s">
        <v>86</v>
      </c>
      <c r="P329" s="28" t="s">
        <v>86</v>
      </c>
      <c r="R329" s="28" t="s">
        <v>86</v>
      </c>
      <c r="S329" s="28" t="s">
        <v>86</v>
      </c>
      <c r="U329" s="28" t="s">
        <v>86</v>
      </c>
      <c r="V329" s="28" t="s">
        <v>86</v>
      </c>
      <c r="X329" s="28" t="s">
        <v>86</v>
      </c>
      <c r="Y329" s="28" t="s">
        <v>86</v>
      </c>
      <c r="AA329" s="2" t="s">
        <v>119</v>
      </c>
      <c r="AB329" s="2" t="str">
        <f t="shared" si="434"/>
        <v>-</v>
      </c>
      <c r="AC329" s="28" t="s">
        <v>326</v>
      </c>
      <c r="AD329" s="2" t="str">
        <f t="shared" si="435"/>
        <v>_</v>
      </c>
      <c r="AE329" s="28" t="s">
        <v>75</v>
      </c>
      <c r="AF329" s="2" t="str">
        <f t="shared" si="431"/>
        <v/>
      </c>
      <c r="AH329" s="2" t="str">
        <f t="shared" si="429"/>
        <v/>
      </c>
    </row>
    <row r="330" spans="2:34" x14ac:dyDescent="0.25">
      <c r="B330" s="2" t="str">
        <f t="shared" si="433"/>
        <v>@line_width-stream_z18</v>
      </c>
      <c r="C330" s="28" t="s">
        <v>328</v>
      </c>
      <c r="D330" s="28" t="s">
        <v>328</v>
      </c>
      <c r="F330" s="28" t="s">
        <v>328</v>
      </c>
      <c r="G330" s="28" t="s">
        <v>328</v>
      </c>
      <c r="I330" s="28" t="s">
        <v>328</v>
      </c>
      <c r="J330" s="28" t="s">
        <v>328</v>
      </c>
      <c r="L330" s="28" t="s">
        <v>328</v>
      </c>
      <c r="M330" s="28" t="s">
        <v>328</v>
      </c>
      <c r="O330" s="28" t="s">
        <v>328</v>
      </c>
      <c r="P330" s="28" t="s">
        <v>328</v>
      </c>
      <c r="R330" s="28" t="s">
        <v>328</v>
      </c>
      <c r="S330" s="28" t="s">
        <v>328</v>
      </c>
      <c r="U330" s="28" t="s">
        <v>328</v>
      </c>
      <c r="V330" s="28" t="s">
        <v>328</v>
      </c>
      <c r="X330" s="28" t="s">
        <v>328</v>
      </c>
      <c r="Y330" s="28" t="s">
        <v>328</v>
      </c>
      <c r="AA330" s="2" t="s">
        <v>119</v>
      </c>
      <c r="AB330" s="2" t="str">
        <f t="shared" si="434"/>
        <v>-</v>
      </c>
      <c r="AC330" s="28" t="s">
        <v>326</v>
      </c>
      <c r="AD330" s="2" t="str">
        <f t="shared" si="435"/>
        <v>_</v>
      </c>
      <c r="AE330" s="28" t="s">
        <v>76</v>
      </c>
      <c r="AF330" s="2" t="str">
        <f t="shared" si="431"/>
        <v/>
      </c>
      <c r="AH330" s="2" t="str">
        <f t="shared" si="429"/>
        <v/>
      </c>
    </row>
    <row r="331" spans="2:34" x14ac:dyDescent="0.25">
      <c r="B331" s="2"/>
      <c r="AA331" s="2"/>
      <c r="AB331" s="2"/>
      <c r="AD331" s="2"/>
      <c r="AF331" s="2"/>
      <c r="AH331" s="2"/>
    </row>
    <row r="332" spans="2:34" x14ac:dyDescent="0.25">
      <c r="B332" s="2" t="str">
        <f t="shared" ref="B332:B334" si="436">_xlfn.CONCAT("@",AA332,AB332,AC332,AD332,AE332,AF332,AG332,AH332,AI332)</f>
        <v>@line_width-canal_z13</v>
      </c>
      <c r="C332" s="28" t="s">
        <v>95</v>
      </c>
      <c r="D332" s="28" t="s">
        <v>80</v>
      </c>
      <c r="F332" s="28" t="s">
        <v>95</v>
      </c>
      <c r="G332" s="28" t="s">
        <v>80</v>
      </c>
      <c r="I332" s="28" t="s">
        <v>95</v>
      </c>
      <c r="J332" s="28" t="s">
        <v>80</v>
      </c>
      <c r="L332" s="28" t="s">
        <v>95</v>
      </c>
      <c r="M332" s="28" t="s">
        <v>80</v>
      </c>
      <c r="O332" s="28" t="s">
        <v>95</v>
      </c>
      <c r="P332" s="28" t="s">
        <v>80</v>
      </c>
      <c r="R332" s="28" t="s">
        <v>95</v>
      </c>
      <c r="S332" s="28" t="s">
        <v>80</v>
      </c>
      <c r="U332" s="28" t="s">
        <v>95</v>
      </c>
      <c r="V332" s="28" t="s">
        <v>80</v>
      </c>
      <c r="X332" s="28" t="s">
        <v>95</v>
      </c>
      <c r="Y332" s="28" t="s">
        <v>80</v>
      </c>
      <c r="AA332" s="2" t="s">
        <v>119</v>
      </c>
      <c r="AB332" s="2" t="str">
        <f t="shared" ref="AB332:AB334" si="437">IF(NOT(ISBLANK(AC332)),"-","")</f>
        <v>-</v>
      </c>
      <c r="AC332" s="28" t="s">
        <v>329</v>
      </c>
      <c r="AD332" s="2" t="str">
        <f t="shared" ref="AD332:AD334" si="438">IF(NOT(ISBLANK(AE332)),"_","")</f>
        <v>_</v>
      </c>
      <c r="AE332" s="28" t="s">
        <v>330</v>
      </c>
      <c r="AF332" s="2" t="str">
        <f t="shared" si="431"/>
        <v/>
      </c>
      <c r="AH332" s="2" t="str">
        <f t="shared" si="429"/>
        <v/>
      </c>
    </row>
    <row r="333" spans="2:34" x14ac:dyDescent="0.25">
      <c r="B333" s="2" t="str">
        <f t="shared" si="436"/>
        <v>@line_width-canal_z16</v>
      </c>
      <c r="C333" s="28" t="s">
        <v>128</v>
      </c>
      <c r="D333" s="28" t="s">
        <v>86</v>
      </c>
      <c r="F333" s="28" t="s">
        <v>128</v>
      </c>
      <c r="G333" s="28" t="s">
        <v>86</v>
      </c>
      <c r="I333" s="28" t="s">
        <v>128</v>
      </c>
      <c r="J333" s="28" t="s">
        <v>86</v>
      </c>
      <c r="L333" s="28" t="s">
        <v>128</v>
      </c>
      <c r="M333" s="28" t="s">
        <v>86</v>
      </c>
      <c r="O333" s="28" t="s">
        <v>128</v>
      </c>
      <c r="P333" s="28" t="s">
        <v>86</v>
      </c>
      <c r="R333" s="28" t="s">
        <v>128</v>
      </c>
      <c r="S333" s="28" t="s">
        <v>86</v>
      </c>
      <c r="U333" s="28" t="s">
        <v>128</v>
      </c>
      <c r="V333" s="28" t="s">
        <v>86</v>
      </c>
      <c r="X333" s="28" t="s">
        <v>128</v>
      </c>
      <c r="Y333" s="28" t="s">
        <v>86</v>
      </c>
      <c r="AA333" s="2" t="s">
        <v>119</v>
      </c>
      <c r="AB333" s="2" t="str">
        <f t="shared" si="437"/>
        <v>-</v>
      </c>
      <c r="AC333" s="28" t="s">
        <v>329</v>
      </c>
      <c r="AD333" s="2" t="str">
        <f t="shared" si="438"/>
        <v>_</v>
      </c>
      <c r="AE333" s="28" t="s">
        <v>75</v>
      </c>
      <c r="AF333" s="2" t="str">
        <f t="shared" si="431"/>
        <v/>
      </c>
      <c r="AH333" s="2" t="str">
        <f t="shared" si="429"/>
        <v/>
      </c>
    </row>
    <row r="334" spans="2:34" x14ac:dyDescent="0.25">
      <c r="B334" s="2" t="str">
        <f t="shared" si="436"/>
        <v>@line_width-canal_z20</v>
      </c>
      <c r="C334" s="28" t="s">
        <v>86</v>
      </c>
      <c r="D334" s="28" t="s">
        <v>87</v>
      </c>
      <c r="F334" s="28" t="s">
        <v>86</v>
      </c>
      <c r="G334" s="28" t="s">
        <v>87</v>
      </c>
      <c r="I334" s="28" t="s">
        <v>86</v>
      </c>
      <c r="J334" s="28" t="s">
        <v>87</v>
      </c>
      <c r="L334" s="28" t="s">
        <v>86</v>
      </c>
      <c r="M334" s="28" t="s">
        <v>87</v>
      </c>
      <c r="O334" s="28" t="s">
        <v>86</v>
      </c>
      <c r="P334" s="28" t="s">
        <v>87</v>
      </c>
      <c r="R334" s="28" t="s">
        <v>86</v>
      </c>
      <c r="S334" s="28" t="s">
        <v>87</v>
      </c>
      <c r="U334" s="28" t="s">
        <v>86</v>
      </c>
      <c r="V334" s="28" t="s">
        <v>87</v>
      </c>
      <c r="X334" s="28" t="s">
        <v>86</v>
      </c>
      <c r="Y334" s="28" t="s">
        <v>87</v>
      </c>
      <c r="AA334" s="2" t="s">
        <v>119</v>
      </c>
      <c r="AB334" s="2" t="str">
        <f t="shared" si="437"/>
        <v>-</v>
      </c>
      <c r="AC334" s="28" t="s">
        <v>329</v>
      </c>
      <c r="AD334" s="2" t="str">
        <f t="shared" si="438"/>
        <v>_</v>
      </c>
      <c r="AE334" s="28" t="s">
        <v>139</v>
      </c>
      <c r="AF334" s="2" t="str">
        <f t="shared" si="431"/>
        <v/>
      </c>
      <c r="AH334" s="2" t="str">
        <f t="shared" si="429"/>
        <v/>
      </c>
    </row>
    <row r="335" spans="2:34" x14ac:dyDescent="0.25">
      <c r="B335" s="2"/>
      <c r="AA335" s="2"/>
      <c r="AB335" s="2"/>
      <c r="AD335" s="2"/>
      <c r="AF335" s="2"/>
      <c r="AH335" s="2"/>
    </row>
    <row r="336" spans="2:34" x14ac:dyDescent="0.25">
      <c r="B336" s="2" t="str">
        <f t="shared" ref="B336:B337" si="439">_xlfn.CONCAT("@",AA336,AB336,AC336,AD336,AE336,AF336,AG336,AH336,AI336)</f>
        <v>@line_width-river_z10</v>
      </c>
      <c r="C336" s="28" t="s">
        <v>96</v>
      </c>
      <c r="D336" s="28" t="s">
        <v>97</v>
      </c>
      <c r="F336" s="28" t="s">
        <v>96</v>
      </c>
      <c r="G336" s="28" t="s">
        <v>97</v>
      </c>
      <c r="I336" s="28" t="s">
        <v>96</v>
      </c>
      <c r="J336" s="28" t="s">
        <v>97</v>
      </c>
      <c r="L336" s="28" t="s">
        <v>96</v>
      </c>
      <c r="M336" s="28" t="s">
        <v>97</v>
      </c>
      <c r="O336" s="28" t="s">
        <v>96</v>
      </c>
      <c r="P336" s="28" t="s">
        <v>97</v>
      </c>
      <c r="R336" s="28" t="s">
        <v>96</v>
      </c>
      <c r="S336" s="28" t="s">
        <v>97</v>
      </c>
      <c r="U336" s="28" t="s">
        <v>96</v>
      </c>
      <c r="V336" s="28" t="s">
        <v>97</v>
      </c>
      <c r="X336" s="28" t="s">
        <v>96</v>
      </c>
      <c r="Y336" s="28" t="s">
        <v>97</v>
      </c>
      <c r="AA336" s="2" t="s">
        <v>119</v>
      </c>
      <c r="AB336" s="2" t="str">
        <f t="shared" ref="AB336:AB337" si="440">IF(NOT(ISBLANK(AC336)),"-","")</f>
        <v>-</v>
      </c>
      <c r="AC336" s="28" t="s">
        <v>331</v>
      </c>
      <c r="AD336" s="2" t="str">
        <f t="shared" ref="AD336:AD337" si="441">IF(NOT(ISBLANK(AE336)),"_","")</f>
        <v>_</v>
      </c>
      <c r="AE336" s="28" t="s">
        <v>103</v>
      </c>
      <c r="AF336" s="2" t="str">
        <f t="shared" si="431"/>
        <v/>
      </c>
      <c r="AH336" s="2" t="str">
        <f t="shared" si="429"/>
        <v/>
      </c>
    </row>
    <row r="337" spans="1:35" x14ac:dyDescent="0.25">
      <c r="B337" s="2" t="str">
        <f t="shared" si="439"/>
        <v>@line_width-river_z20</v>
      </c>
      <c r="C337" s="28" t="s">
        <v>86</v>
      </c>
      <c r="D337" s="28" t="s">
        <v>332</v>
      </c>
      <c r="F337" s="28" t="s">
        <v>86</v>
      </c>
      <c r="G337" s="28" t="s">
        <v>332</v>
      </c>
      <c r="I337" s="28" t="s">
        <v>86</v>
      </c>
      <c r="J337" s="28" t="s">
        <v>332</v>
      </c>
      <c r="L337" s="28" t="s">
        <v>86</v>
      </c>
      <c r="M337" s="28" t="s">
        <v>332</v>
      </c>
      <c r="O337" s="28" t="s">
        <v>86</v>
      </c>
      <c r="P337" s="28" t="s">
        <v>332</v>
      </c>
      <c r="R337" s="28" t="s">
        <v>86</v>
      </c>
      <c r="S337" s="28" t="s">
        <v>332</v>
      </c>
      <c r="U337" s="28" t="s">
        <v>86</v>
      </c>
      <c r="V337" s="28" t="s">
        <v>332</v>
      </c>
      <c r="X337" s="28" t="s">
        <v>86</v>
      </c>
      <c r="Y337" s="28" t="s">
        <v>332</v>
      </c>
      <c r="AA337" s="2" t="s">
        <v>119</v>
      </c>
      <c r="AB337" s="2" t="str">
        <f t="shared" si="440"/>
        <v>-</v>
      </c>
      <c r="AC337" s="28" t="s">
        <v>331</v>
      </c>
      <c r="AD337" s="2" t="str">
        <f t="shared" si="441"/>
        <v>_</v>
      </c>
      <c r="AE337" s="28" t="s">
        <v>139</v>
      </c>
      <c r="AF337" s="2" t="str">
        <f t="shared" si="431"/>
        <v/>
      </c>
      <c r="AH337" s="2" t="str">
        <f t="shared" si="429"/>
        <v/>
      </c>
    </row>
    <row r="338" spans="1:35" x14ac:dyDescent="0.25">
      <c r="B338" s="2"/>
      <c r="AA338" s="2"/>
      <c r="AB338" s="2"/>
      <c r="AD338" s="2"/>
      <c r="AF338" s="2"/>
      <c r="AH338" s="2"/>
    </row>
    <row r="339" spans="1:35" x14ac:dyDescent="0.25">
      <c r="AA339" s="2"/>
    </row>
    <row r="340" spans="1:35" s="2" customFormat="1" x14ac:dyDescent="0.25">
      <c r="A340" s="3" t="s">
        <v>252</v>
      </c>
      <c r="B340" s="3"/>
      <c r="C340" s="27"/>
      <c r="D340" s="6"/>
      <c r="E340" s="7"/>
      <c r="F340" s="6"/>
      <c r="G340" s="6"/>
      <c r="H340" s="7"/>
      <c r="I340" s="6"/>
      <c r="J340" s="6"/>
      <c r="K340" s="7"/>
      <c r="L340" s="6"/>
      <c r="M340" s="6"/>
      <c r="N340" s="7"/>
      <c r="O340" s="6"/>
      <c r="P340" s="6"/>
      <c r="Q340" s="7"/>
      <c r="R340" s="6"/>
      <c r="S340" s="6"/>
      <c r="T340" s="7"/>
      <c r="U340" s="6"/>
      <c r="V340" s="6"/>
      <c r="W340" s="7"/>
      <c r="X340" s="6"/>
      <c r="Y340" s="6"/>
      <c r="AA340" s="4"/>
      <c r="AB340" s="4" t="str">
        <f t="shared" si="322"/>
        <v/>
      </c>
      <c r="AC340" s="4"/>
      <c r="AD340" s="4" t="str">
        <f t="shared" si="323"/>
        <v/>
      </c>
      <c r="AE340" s="4"/>
      <c r="AF340" s="4" t="str">
        <f t="shared" si="324"/>
        <v/>
      </c>
      <c r="AG340" s="4"/>
      <c r="AH340" s="4" t="str">
        <f t="shared" ref="AH340:AH387" si="442">IF(NOT(ISBLANK(AI340)),"_","")</f>
        <v/>
      </c>
      <c r="AI340" s="4"/>
    </row>
    <row r="341" spans="1:35" x14ac:dyDescent="0.25">
      <c r="B341" s="2" t="str">
        <f t="shared" ref="B341:B365" si="443">_xlfn.CONCAT("@",AA341,AB341,AC341,AD341,AE341,AF341,AG341,AH341,AI341)</f>
        <v>@color-background</v>
      </c>
      <c r="C341" s="137" t="s">
        <v>192</v>
      </c>
      <c r="D341" s="38" t="s">
        <v>222</v>
      </c>
      <c r="F341" s="37" t="s">
        <v>214</v>
      </c>
      <c r="G341" s="37" t="s">
        <v>214</v>
      </c>
      <c r="I341" s="137" t="s">
        <v>192</v>
      </c>
      <c r="J341" s="38" t="s">
        <v>222</v>
      </c>
      <c r="L341" s="37" t="s">
        <v>214</v>
      </c>
      <c r="M341" s="37" t="s">
        <v>214</v>
      </c>
      <c r="U341" s="137" t="s">
        <v>192</v>
      </c>
      <c r="V341" s="38" t="s">
        <v>222</v>
      </c>
      <c r="X341" s="37" t="s">
        <v>214</v>
      </c>
      <c r="Y341" s="37" t="s">
        <v>214</v>
      </c>
      <c r="AA341" s="2" t="s">
        <v>6</v>
      </c>
      <c r="AB341" s="2" t="str">
        <f t="shared" si="322"/>
        <v>-</v>
      </c>
      <c r="AC341" s="2" t="s">
        <v>66</v>
      </c>
      <c r="AD341" s="2" t="str">
        <f t="shared" si="323"/>
        <v/>
      </c>
      <c r="AE341" s="2"/>
      <c r="AF341" s="2" t="str">
        <f t="shared" si="324"/>
        <v/>
      </c>
      <c r="AG341" s="2"/>
      <c r="AH341" s="2" t="str">
        <f t="shared" si="442"/>
        <v/>
      </c>
      <c r="AI341" s="2"/>
    </row>
    <row r="342" spans="1:35" x14ac:dyDescent="0.25">
      <c r="B342" s="2" t="str">
        <f t="shared" si="443"/>
        <v>@color-water</v>
      </c>
      <c r="C342" s="138" t="s">
        <v>193</v>
      </c>
      <c r="D342" s="139" t="s">
        <v>194</v>
      </c>
      <c r="F342" s="140" t="s">
        <v>235</v>
      </c>
      <c r="G342" s="140" t="s">
        <v>235</v>
      </c>
      <c r="I342" s="138" t="s">
        <v>193</v>
      </c>
      <c r="J342" s="139" t="s">
        <v>194</v>
      </c>
      <c r="L342" s="140" t="s">
        <v>235</v>
      </c>
      <c r="M342" s="140" t="s">
        <v>235</v>
      </c>
      <c r="U342" s="141" t="s">
        <v>411</v>
      </c>
      <c r="V342" s="139" t="s">
        <v>194</v>
      </c>
      <c r="X342" s="140" t="s">
        <v>235</v>
      </c>
      <c r="Y342" s="140" t="s">
        <v>235</v>
      </c>
      <c r="AA342" s="2" t="s">
        <v>6</v>
      </c>
      <c r="AB342" s="2" t="str">
        <f t="shared" si="322"/>
        <v>-</v>
      </c>
      <c r="AC342" s="2" t="s">
        <v>14</v>
      </c>
      <c r="AD342" s="2" t="str">
        <f t="shared" si="323"/>
        <v/>
      </c>
      <c r="AE342" s="2"/>
      <c r="AF342" s="2" t="str">
        <f t="shared" si="324"/>
        <v/>
      </c>
      <c r="AG342" s="2"/>
      <c r="AH342" s="2" t="str">
        <f t="shared" si="442"/>
        <v/>
      </c>
      <c r="AI342" s="2"/>
    </row>
    <row r="343" spans="1:35" x14ac:dyDescent="0.25">
      <c r="B343" s="2" t="str">
        <f t="shared" si="443"/>
        <v>@color-landcover_field</v>
      </c>
      <c r="C343" s="142" t="s">
        <v>195</v>
      </c>
      <c r="D343" s="143" t="s">
        <v>196</v>
      </c>
      <c r="F343" s="144" t="s">
        <v>238</v>
      </c>
      <c r="G343" s="144" t="s">
        <v>238</v>
      </c>
      <c r="I343" s="145" t="s">
        <v>368</v>
      </c>
      <c r="J343" s="143" t="s">
        <v>196</v>
      </c>
      <c r="L343" s="144" t="s">
        <v>238</v>
      </c>
      <c r="M343" s="144" t="s">
        <v>238</v>
      </c>
      <c r="U343" s="146" t="s">
        <v>412</v>
      </c>
      <c r="V343" s="147" t="s">
        <v>413</v>
      </c>
      <c r="X343" s="144" t="s">
        <v>238</v>
      </c>
      <c r="Y343" s="144" t="s">
        <v>238</v>
      </c>
      <c r="AA343" s="2" t="s">
        <v>6</v>
      </c>
      <c r="AB343" s="2" t="str">
        <f t="shared" si="322"/>
        <v>-</v>
      </c>
      <c r="AC343" s="2" t="s">
        <v>51</v>
      </c>
      <c r="AD343" s="2" t="str">
        <f t="shared" si="323"/>
        <v>_</v>
      </c>
      <c r="AE343" s="2" t="s">
        <v>46</v>
      </c>
      <c r="AF343" s="2" t="str">
        <f t="shared" si="324"/>
        <v/>
      </c>
      <c r="AG343" s="2"/>
      <c r="AH343" s="2" t="str">
        <f t="shared" si="442"/>
        <v/>
      </c>
      <c r="AI343" s="2"/>
    </row>
    <row r="344" spans="1:35" x14ac:dyDescent="0.25">
      <c r="B344" s="2" t="str">
        <f t="shared" si="443"/>
        <v>@color-landcover_meadow</v>
      </c>
      <c r="C344" s="148" t="s">
        <v>197</v>
      </c>
      <c r="D344" s="149" t="s">
        <v>198</v>
      </c>
      <c r="F344" s="150" t="s">
        <v>237</v>
      </c>
      <c r="G344" s="150" t="s">
        <v>237</v>
      </c>
      <c r="I344" s="151" t="s">
        <v>369</v>
      </c>
      <c r="J344" s="149" t="s">
        <v>198</v>
      </c>
      <c r="L344" s="150" t="s">
        <v>237</v>
      </c>
      <c r="M344" s="150" t="s">
        <v>237</v>
      </c>
      <c r="U344" s="152" t="s">
        <v>414</v>
      </c>
      <c r="V344" s="153" t="s">
        <v>415</v>
      </c>
      <c r="X344" s="154" t="s">
        <v>418</v>
      </c>
      <c r="Y344" s="154" t="s">
        <v>418</v>
      </c>
      <c r="AA344" s="2" t="s">
        <v>6</v>
      </c>
      <c r="AB344" s="2" t="str">
        <f t="shared" si="322"/>
        <v>-</v>
      </c>
      <c r="AC344" s="2" t="s">
        <v>51</v>
      </c>
      <c r="AD344" s="2" t="str">
        <f t="shared" si="323"/>
        <v>_</v>
      </c>
      <c r="AE344" s="2" t="s">
        <v>47</v>
      </c>
      <c r="AF344" s="2" t="str">
        <f t="shared" si="324"/>
        <v/>
      </c>
      <c r="AG344" s="2"/>
      <c r="AH344" s="2" t="str">
        <f t="shared" si="442"/>
        <v/>
      </c>
      <c r="AI344" s="2"/>
    </row>
    <row r="345" spans="1:35" x14ac:dyDescent="0.25">
      <c r="B345" s="2" t="str">
        <f t="shared" si="443"/>
        <v>@color-landcover_bare_rock</v>
      </c>
      <c r="C345" s="155" t="s">
        <v>199</v>
      </c>
      <c r="D345" s="155" t="s">
        <v>199</v>
      </c>
      <c r="F345" s="156" t="s">
        <v>242</v>
      </c>
      <c r="G345" s="156" t="s">
        <v>242</v>
      </c>
      <c r="I345" s="155" t="s">
        <v>199</v>
      </c>
      <c r="J345" s="155" t="s">
        <v>199</v>
      </c>
      <c r="L345" s="156" t="s">
        <v>242</v>
      </c>
      <c r="M345" s="156" t="s">
        <v>242</v>
      </c>
      <c r="U345" s="155" t="s">
        <v>199</v>
      </c>
      <c r="V345" s="155" t="s">
        <v>199</v>
      </c>
      <c r="X345" s="156" t="s">
        <v>242</v>
      </c>
      <c r="Y345" s="156" t="s">
        <v>242</v>
      </c>
      <c r="AA345" s="2" t="s">
        <v>6</v>
      </c>
      <c r="AB345" s="2" t="str">
        <f t="shared" si="322"/>
        <v>-</v>
      </c>
      <c r="AC345" s="2" t="s">
        <v>51</v>
      </c>
      <c r="AD345" s="2" t="str">
        <f t="shared" si="323"/>
        <v>_</v>
      </c>
      <c r="AE345" s="2" t="s">
        <v>48</v>
      </c>
      <c r="AF345" s="2" t="str">
        <f t="shared" si="324"/>
        <v/>
      </c>
      <c r="AG345" s="2"/>
      <c r="AH345" s="2" t="str">
        <f t="shared" si="442"/>
        <v/>
      </c>
      <c r="AI345" s="2"/>
    </row>
    <row r="346" spans="1:35" x14ac:dyDescent="0.25">
      <c r="B346" s="2" t="str">
        <f t="shared" si="443"/>
        <v>@color-landcover_sand</v>
      </c>
      <c r="C346" s="157" t="s">
        <v>200</v>
      </c>
      <c r="D346" s="38" t="s">
        <v>222</v>
      </c>
      <c r="F346" s="158" t="s">
        <v>243</v>
      </c>
      <c r="G346" s="37" t="s">
        <v>214</v>
      </c>
      <c r="I346" s="157" t="s">
        <v>200</v>
      </c>
      <c r="J346" s="38" t="s">
        <v>222</v>
      </c>
      <c r="L346" s="158" t="s">
        <v>243</v>
      </c>
      <c r="M346" s="37" t="s">
        <v>214</v>
      </c>
      <c r="U346" s="159" t="s">
        <v>416</v>
      </c>
      <c r="V346" s="38" t="s">
        <v>222</v>
      </c>
      <c r="X346" s="158" t="s">
        <v>243</v>
      </c>
      <c r="Y346" s="37" t="s">
        <v>214</v>
      </c>
      <c r="AA346" s="2" t="s">
        <v>6</v>
      </c>
      <c r="AB346" s="2" t="str">
        <f t="shared" si="322"/>
        <v>-</v>
      </c>
      <c r="AC346" s="2" t="s">
        <v>51</v>
      </c>
      <c r="AD346" s="2" t="str">
        <f t="shared" si="323"/>
        <v>_</v>
      </c>
      <c r="AE346" s="2" t="s">
        <v>49</v>
      </c>
      <c r="AF346" s="2" t="str">
        <f t="shared" si="324"/>
        <v/>
      </c>
      <c r="AG346" s="2"/>
      <c r="AH346" s="2" t="str">
        <f t="shared" si="442"/>
        <v/>
      </c>
      <c r="AI346" s="2"/>
    </row>
    <row r="347" spans="1:35" x14ac:dyDescent="0.25">
      <c r="B347" s="2" t="str">
        <f t="shared" si="443"/>
        <v>@color-landcover_allotments</v>
      </c>
      <c r="C347" s="160" t="s">
        <v>201</v>
      </c>
      <c r="D347" s="160" t="s">
        <v>201</v>
      </c>
      <c r="F347" s="161" t="s">
        <v>244</v>
      </c>
      <c r="G347" s="161" t="s">
        <v>244</v>
      </c>
      <c r="I347" s="160" t="s">
        <v>201</v>
      </c>
      <c r="J347" s="160" t="s">
        <v>201</v>
      </c>
      <c r="L347" s="161" t="s">
        <v>244</v>
      </c>
      <c r="M347" s="161" t="s">
        <v>244</v>
      </c>
      <c r="U347" s="160" t="s">
        <v>201</v>
      </c>
      <c r="V347" s="160" t="s">
        <v>201</v>
      </c>
      <c r="X347" s="161" t="s">
        <v>244</v>
      </c>
      <c r="Y347" s="161" t="s">
        <v>244</v>
      </c>
      <c r="AA347" s="2" t="s">
        <v>6</v>
      </c>
      <c r="AB347" s="2" t="str">
        <f t="shared" si="322"/>
        <v>-</v>
      </c>
      <c r="AC347" s="2" t="s">
        <v>51</v>
      </c>
      <c r="AD347" s="2" t="str">
        <f t="shared" si="323"/>
        <v>_</v>
      </c>
      <c r="AE347" s="2" t="s">
        <v>50</v>
      </c>
      <c r="AF347" s="2" t="str">
        <f t="shared" si="324"/>
        <v/>
      </c>
      <c r="AG347" s="2"/>
      <c r="AH347" s="2" t="str">
        <f t="shared" si="442"/>
        <v/>
      </c>
      <c r="AI347" s="2"/>
    </row>
    <row r="348" spans="1:35" x14ac:dyDescent="0.25">
      <c r="B348" s="2" t="str">
        <f t="shared" si="443"/>
        <v>@color-landcover_heath_fell</v>
      </c>
      <c r="C348" s="162" t="s">
        <v>202</v>
      </c>
      <c r="D348" s="38" t="s">
        <v>222</v>
      </c>
      <c r="F348" s="163" t="s">
        <v>245</v>
      </c>
      <c r="G348" s="37" t="s">
        <v>214</v>
      </c>
      <c r="I348" s="162" t="s">
        <v>202</v>
      </c>
      <c r="J348" s="38" t="s">
        <v>222</v>
      </c>
      <c r="L348" s="163" t="s">
        <v>245</v>
      </c>
      <c r="M348" s="37" t="s">
        <v>214</v>
      </c>
      <c r="U348" s="162" t="s">
        <v>202</v>
      </c>
      <c r="V348" s="38" t="s">
        <v>222</v>
      </c>
      <c r="X348" s="163" t="s">
        <v>245</v>
      </c>
      <c r="Y348" s="37" t="s">
        <v>214</v>
      </c>
      <c r="AA348" s="2" t="s">
        <v>6</v>
      </c>
      <c r="AB348" s="2" t="str">
        <f t="shared" si="322"/>
        <v>-</v>
      </c>
      <c r="AC348" s="2" t="s">
        <v>51</v>
      </c>
      <c r="AD348" s="2" t="str">
        <f t="shared" si="323"/>
        <v>_</v>
      </c>
      <c r="AE348" s="2" t="s">
        <v>52</v>
      </c>
      <c r="AF348" s="2" t="str">
        <f t="shared" si="324"/>
        <v/>
      </c>
      <c r="AG348" s="2"/>
      <c r="AH348" s="2" t="str">
        <f t="shared" si="442"/>
        <v/>
      </c>
      <c r="AI348" s="2"/>
    </row>
    <row r="349" spans="1:35" x14ac:dyDescent="0.25">
      <c r="B349" s="2" t="str">
        <f t="shared" si="443"/>
        <v>@color-landcover_grass</v>
      </c>
      <c r="C349" s="164" t="s">
        <v>203</v>
      </c>
      <c r="D349" s="38" t="s">
        <v>222</v>
      </c>
      <c r="F349" s="165" t="s">
        <v>275</v>
      </c>
      <c r="G349" s="37" t="s">
        <v>214</v>
      </c>
      <c r="I349" s="164" t="s">
        <v>203</v>
      </c>
      <c r="J349" s="38" t="s">
        <v>222</v>
      </c>
      <c r="L349" s="165" t="s">
        <v>275</v>
      </c>
      <c r="M349" s="37" t="s">
        <v>214</v>
      </c>
      <c r="U349" s="164" t="s">
        <v>203</v>
      </c>
      <c r="V349" s="38" t="s">
        <v>222</v>
      </c>
      <c r="X349" s="165" t="s">
        <v>275</v>
      </c>
      <c r="Y349" s="37" t="s">
        <v>214</v>
      </c>
      <c r="AA349" s="2" t="s">
        <v>6</v>
      </c>
      <c r="AB349" s="2" t="str">
        <f t="shared" si="322"/>
        <v>-</v>
      </c>
      <c r="AC349" s="2" t="s">
        <v>51</v>
      </c>
      <c r="AD349" s="2" t="str">
        <f t="shared" si="323"/>
        <v>_</v>
      </c>
      <c r="AE349" s="2" t="s">
        <v>53</v>
      </c>
      <c r="AF349" s="2" t="str">
        <f t="shared" si="324"/>
        <v/>
      </c>
      <c r="AG349" s="2"/>
      <c r="AH349" s="2" t="str">
        <f t="shared" si="442"/>
        <v/>
      </c>
      <c r="AI349" s="2"/>
    </row>
    <row r="350" spans="1:35" x14ac:dyDescent="0.25">
      <c r="B350" s="2" t="str">
        <f t="shared" si="443"/>
        <v>@color-landcover_quarry</v>
      </c>
      <c r="C350" s="166" t="s">
        <v>204</v>
      </c>
      <c r="D350" s="166" t="s">
        <v>204</v>
      </c>
      <c r="F350" s="167" t="s">
        <v>246</v>
      </c>
      <c r="G350" s="167" t="s">
        <v>246</v>
      </c>
      <c r="I350" s="166" t="s">
        <v>204</v>
      </c>
      <c r="J350" s="166" t="s">
        <v>204</v>
      </c>
      <c r="L350" s="167" t="s">
        <v>246</v>
      </c>
      <c r="M350" s="167" t="s">
        <v>246</v>
      </c>
      <c r="U350" s="166" t="s">
        <v>204</v>
      </c>
      <c r="V350" s="166" t="s">
        <v>204</v>
      </c>
      <c r="X350" s="167" t="s">
        <v>246</v>
      </c>
      <c r="Y350" s="167" t="s">
        <v>246</v>
      </c>
      <c r="AA350" s="2" t="s">
        <v>6</v>
      </c>
      <c r="AB350" s="2" t="str">
        <f t="shared" si="322"/>
        <v>-</v>
      </c>
      <c r="AC350" s="2" t="s">
        <v>51</v>
      </c>
      <c r="AD350" s="2" t="str">
        <f t="shared" si="323"/>
        <v>_</v>
      </c>
      <c r="AE350" s="2" t="s">
        <v>54</v>
      </c>
      <c r="AF350" s="2" t="str">
        <f t="shared" si="324"/>
        <v/>
      </c>
      <c r="AG350" s="2"/>
      <c r="AH350" s="2" t="str">
        <f t="shared" si="442"/>
        <v/>
      </c>
      <c r="AI350" s="2"/>
    </row>
    <row r="351" spans="1:35" x14ac:dyDescent="0.25">
      <c r="B351" s="2" t="str">
        <f t="shared" si="443"/>
        <v>@color-landcover_storage</v>
      </c>
      <c r="C351" s="168" t="s">
        <v>205</v>
      </c>
      <c r="D351" s="168" t="s">
        <v>205</v>
      </c>
      <c r="F351" s="169" t="s">
        <v>260</v>
      </c>
      <c r="G351" s="169" t="s">
        <v>260</v>
      </c>
      <c r="I351" s="168" t="s">
        <v>205</v>
      </c>
      <c r="J351" s="168" t="s">
        <v>205</v>
      </c>
      <c r="L351" s="169" t="s">
        <v>260</v>
      </c>
      <c r="M351" s="169" t="s">
        <v>260</v>
      </c>
      <c r="U351" s="168" t="s">
        <v>205</v>
      </c>
      <c r="V351" s="168" t="s">
        <v>205</v>
      </c>
      <c r="X351" s="169" t="s">
        <v>260</v>
      </c>
      <c r="Y351" s="169" t="s">
        <v>260</v>
      </c>
      <c r="AA351" s="2" t="s">
        <v>6</v>
      </c>
      <c r="AB351" s="2" t="str">
        <f t="shared" si="322"/>
        <v>-</v>
      </c>
      <c r="AC351" s="2" t="s">
        <v>51</v>
      </c>
      <c r="AD351" s="2" t="str">
        <f t="shared" si="323"/>
        <v>_</v>
      </c>
      <c r="AE351" s="2" t="s">
        <v>55</v>
      </c>
      <c r="AF351" s="2" t="str">
        <f t="shared" si="324"/>
        <v/>
      </c>
      <c r="AG351" s="2"/>
      <c r="AH351" s="2" t="str">
        <f t="shared" si="442"/>
        <v/>
      </c>
      <c r="AI351" s="2"/>
    </row>
    <row r="352" spans="1:35" x14ac:dyDescent="0.25">
      <c r="B352" s="2" t="str">
        <f t="shared" si="443"/>
        <v>@color-landcover_wood</v>
      </c>
      <c r="C352" s="170" t="s">
        <v>206</v>
      </c>
      <c r="D352" s="170" t="s">
        <v>206</v>
      </c>
      <c r="F352" s="171" t="s">
        <v>236</v>
      </c>
      <c r="G352" s="171" t="s">
        <v>236</v>
      </c>
      <c r="I352" s="170" t="s">
        <v>206</v>
      </c>
      <c r="J352" s="170" t="s">
        <v>206</v>
      </c>
      <c r="L352" s="171" t="s">
        <v>236</v>
      </c>
      <c r="M352" s="171" t="s">
        <v>236</v>
      </c>
      <c r="U352" s="170" t="s">
        <v>206</v>
      </c>
      <c r="V352" s="170" t="s">
        <v>206</v>
      </c>
      <c r="X352" s="171" t="s">
        <v>236</v>
      </c>
      <c r="Y352" s="171" t="s">
        <v>236</v>
      </c>
      <c r="AA352" s="2" t="s">
        <v>6</v>
      </c>
      <c r="AB352" s="2" t="str">
        <f t="shared" si="322"/>
        <v>-</v>
      </c>
      <c r="AC352" s="2" t="s">
        <v>51</v>
      </c>
      <c r="AD352" s="2" t="str">
        <f t="shared" si="323"/>
        <v>_</v>
      </c>
      <c r="AE352" s="2" t="s">
        <v>56</v>
      </c>
      <c r="AF352" s="2" t="str">
        <f t="shared" si="324"/>
        <v/>
      </c>
      <c r="AG352" s="2"/>
      <c r="AH352" s="2" t="str">
        <f t="shared" si="442"/>
        <v/>
      </c>
      <c r="AI352" s="2"/>
    </row>
    <row r="353" spans="1:35" x14ac:dyDescent="0.25">
      <c r="B353" s="2" t="str">
        <f t="shared" si="443"/>
        <v>@color-landcover_parking_area</v>
      </c>
      <c r="C353" s="172" t="s">
        <v>207</v>
      </c>
      <c r="D353" s="172" t="s">
        <v>207</v>
      </c>
      <c r="F353" s="173" t="s">
        <v>247</v>
      </c>
      <c r="G353" s="173" t="s">
        <v>247</v>
      </c>
      <c r="I353" s="172" t="s">
        <v>207</v>
      </c>
      <c r="J353" s="172" t="s">
        <v>207</v>
      </c>
      <c r="L353" s="173" t="s">
        <v>247</v>
      </c>
      <c r="M353" s="173" t="s">
        <v>247</v>
      </c>
      <c r="U353" s="172" t="s">
        <v>207</v>
      </c>
      <c r="V353" s="172" t="s">
        <v>207</v>
      </c>
      <c r="X353" s="173" t="s">
        <v>247</v>
      </c>
      <c r="Y353" s="173" t="s">
        <v>247</v>
      </c>
      <c r="AA353" s="2" t="s">
        <v>6</v>
      </c>
      <c r="AB353" s="2" t="str">
        <f t="shared" si="322"/>
        <v>-</v>
      </c>
      <c r="AC353" s="2" t="s">
        <v>51</v>
      </c>
      <c r="AD353" s="2" t="str">
        <f t="shared" si="323"/>
        <v>_</v>
      </c>
      <c r="AE353" s="2" t="s">
        <v>57</v>
      </c>
      <c r="AF353" s="2" t="str">
        <f t="shared" si="324"/>
        <v/>
      </c>
      <c r="AG353" s="2"/>
      <c r="AH353" s="2" t="str">
        <f t="shared" si="442"/>
        <v/>
      </c>
      <c r="AI353" s="2"/>
    </row>
    <row r="354" spans="1:35" x14ac:dyDescent="0.25">
      <c r="B354" s="2" t="str">
        <f t="shared" si="443"/>
        <v>@color-landcover_railway</v>
      </c>
      <c r="C354" s="174" t="s">
        <v>208</v>
      </c>
      <c r="D354" s="174" t="s">
        <v>208</v>
      </c>
      <c r="F354" s="175" t="s">
        <v>248</v>
      </c>
      <c r="G354" s="175" t="s">
        <v>248</v>
      </c>
      <c r="I354" s="174" t="s">
        <v>208</v>
      </c>
      <c r="J354" s="174" t="s">
        <v>208</v>
      </c>
      <c r="L354" s="175" t="s">
        <v>248</v>
      </c>
      <c r="M354" s="175" t="s">
        <v>248</v>
      </c>
      <c r="U354" s="174" t="s">
        <v>208</v>
      </c>
      <c r="V354" s="174" t="s">
        <v>208</v>
      </c>
      <c r="X354" s="175" t="s">
        <v>248</v>
      </c>
      <c r="Y354" s="175" t="s">
        <v>248</v>
      </c>
      <c r="AA354" s="2" t="s">
        <v>6</v>
      </c>
      <c r="AB354" s="2" t="str">
        <f t="shared" si="322"/>
        <v>-</v>
      </c>
      <c r="AC354" s="2" t="s">
        <v>51</v>
      </c>
      <c r="AD354" s="2" t="str">
        <f t="shared" si="323"/>
        <v>_</v>
      </c>
      <c r="AE354" s="2" t="s">
        <v>58</v>
      </c>
      <c r="AF354" s="2" t="str">
        <f t="shared" si="324"/>
        <v/>
      </c>
      <c r="AG354" s="2"/>
      <c r="AH354" s="2" t="str">
        <f t="shared" si="442"/>
        <v/>
      </c>
      <c r="AI354" s="2"/>
    </row>
    <row r="355" spans="1:35" x14ac:dyDescent="0.25">
      <c r="B355" s="2" t="str">
        <f t="shared" si="443"/>
        <v>@color-landcover_school</v>
      </c>
      <c r="C355" s="176" t="s">
        <v>210</v>
      </c>
      <c r="D355" s="176" t="s">
        <v>210</v>
      </c>
      <c r="F355" s="169" t="s">
        <v>260</v>
      </c>
      <c r="G355" s="169" t="s">
        <v>260</v>
      </c>
      <c r="I355" s="176" t="s">
        <v>210</v>
      </c>
      <c r="J355" s="176" t="s">
        <v>210</v>
      </c>
      <c r="L355" s="169" t="s">
        <v>260</v>
      </c>
      <c r="M355" s="169" t="s">
        <v>260</v>
      </c>
      <c r="U355" s="176" t="s">
        <v>210</v>
      </c>
      <c r="V355" s="176" t="s">
        <v>210</v>
      </c>
      <c r="X355" s="169" t="s">
        <v>260</v>
      </c>
      <c r="Y355" s="169" t="s">
        <v>260</v>
      </c>
      <c r="AA355" s="2" t="s">
        <v>6</v>
      </c>
      <c r="AB355" s="2" t="str">
        <f t="shared" si="322"/>
        <v>-</v>
      </c>
      <c r="AC355" s="2" t="s">
        <v>51</v>
      </c>
      <c r="AD355" s="2" t="str">
        <f t="shared" si="323"/>
        <v>_</v>
      </c>
      <c r="AE355" s="2" t="s">
        <v>59</v>
      </c>
      <c r="AF355" s="2" t="str">
        <f t="shared" si="324"/>
        <v/>
      </c>
      <c r="AG355" s="2"/>
      <c r="AH355" s="2" t="str">
        <f t="shared" si="442"/>
        <v/>
      </c>
      <c r="AI355" s="2"/>
    </row>
    <row r="356" spans="1:35" x14ac:dyDescent="0.25">
      <c r="B356" s="2" t="str">
        <f t="shared" si="443"/>
        <v>@color-landcover_cemetery</v>
      </c>
      <c r="C356" s="177" t="s">
        <v>209</v>
      </c>
      <c r="D356" s="177" t="s">
        <v>209</v>
      </c>
      <c r="F356" s="178" t="s">
        <v>249</v>
      </c>
      <c r="G356" s="178" t="s">
        <v>249</v>
      </c>
      <c r="I356" s="177" t="s">
        <v>209</v>
      </c>
      <c r="J356" s="177" t="s">
        <v>209</v>
      </c>
      <c r="L356" s="178" t="s">
        <v>249</v>
      </c>
      <c r="M356" s="178" t="s">
        <v>249</v>
      </c>
      <c r="U356" s="177" t="s">
        <v>209</v>
      </c>
      <c r="V356" s="177" t="s">
        <v>209</v>
      </c>
      <c r="X356" s="178" t="s">
        <v>249</v>
      </c>
      <c r="Y356" s="178" t="s">
        <v>249</v>
      </c>
      <c r="AA356" s="2" t="s">
        <v>6</v>
      </c>
      <c r="AB356" s="2" t="str">
        <f t="shared" si="322"/>
        <v>-</v>
      </c>
      <c r="AC356" s="2" t="s">
        <v>51</v>
      </c>
      <c r="AD356" s="2" t="str">
        <f t="shared" si="323"/>
        <v>_</v>
      </c>
      <c r="AE356" s="2" t="s">
        <v>61</v>
      </c>
      <c r="AF356" s="2" t="str">
        <f t="shared" si="324"/>
        <v/>
      </c>
      <c r="AG356" s="2"/>
      <c r="AH356" s="2" t="str">
        <f t="shared" si="442"/>
        <v/>
      </c>
      <c r="AI356" s="2"/>
    </row>
    <row r="357" spans="1:35" x14ac:dyDescent="0.25">
      <c r="B357" s="2" t="str">
        <f t="shared" si="443"/>
        <v>@color-landcover_hospital</v>
      </c>
      <c r="C357" s="176" t="s">
        <v>210</v>
      </c>
      <c r="D357" s="176" t="s">
        <v>210</v>
      </c>
      <c r="F357" s="169" t="s">
        <v>260</v>
      </c>
      <c r="G357" s="169" t="s">
        <v>260</v>
      </c>
      <c r="I357" s="176" t="s">
        <v>210</v>
      </c>
      <c r="J357" s="176" t="s">
        <v>210</v>
      </c>
      <c r="L357" s="169" t="s">
        <v>260</v>
      </c>
      <c r="M357" s="169" t="s">
        <v>260</v>
      </c>
      <c r="U357" s="176" t="s">
        <v>210</v>
      </c>
      <c r="V357" s="176" t="s">
        <v>210</v>
      </c>
      <c r="X357" s="169" t="s">
        <v>260</v>
      </c>
      <c r="Y357" s="169" t="s">
        <v>260</v>
      </c>
      <c r="AA357" s="2" t="s">
        <v>6</v>
      </c>
      <c r="AB357" s="2" t="str">
        <f t="shared" si="322"/>
        <v>-</v>
      </c>
      <c r="AC357" s="2" t="s">
        <v>51</v>
      </c>
      <c r="AD357" s="2" t="str">
        <f t="shared" si="323"/>
        <v>_</v>
      </c>
      <c r="AE357" s="2" t="s">
        <v>60</v>
      </c>
      <c r="AF357" s="2" t="str">
        <f t="shared" si="324"/>
        <v/>
      </c>
      <c r="AG357" s="2"/>
      <c r="AH357" s="2" t="str">
        <f t="shared" si="442"/>
        <v/>
      </c>
      <c r="AI357" s="2"/>
    </row>
    <row r="358" spans="1:35" x14ac:dyDescent="0.25">
      <c r="B358" s="2" t="str">
        <f t="shared" si="443"/>
        <v>@color-landcover_industrial</v>
      </c>
      <c r="C358" s="176" t="s">
        <v>210</v>
      </c>
      <c r="D358" s="176" t="s">
        <v>210</v>
      </c>
      <c r="F358" s="169" t="s">
        <v>260</v>
      </c>
      <c r="G358" s="169" t="s">
        <v>260</v>
      </c>
      <c r="I358" s="176" t="s">
        <v>210</v>
      </c>
      <c r="J358" s="176" t="s">
        <v>210</v>
      </c>
      <c r="L358" s="169" t="s">
        <v>260</v>
      </c>
      <c r="M358" s="169" t="s">
        <v>260</v>
      </c>
      <c r="U358" s="176" t="s">
        <v>210</v>
      </c>
      <c r="V358" s="176" t="s">
        <v>210</v>
      </c>
      <c r="X358" s="169" t="s">
        <v>260</v>
      </c>
      <c r="Y358" s="169" t="s">
        <v>260</v>
      </c>
      <c r="AA358" s="2" t="s">
        <v>6</v>
      </c>
      <c r="AB358" s="2" t="str">
        <f t="shared" si="322"/>
        <v>-</v>
      </c>
      <c r="AC358" s="2" t="s">
        <v>51</v>
      </c>
      <c r="AD358" s="2" t="str">
        <f t="shared" si="323"/>
        <v>_</v>
      </c>
      <c r="AE358" s="2" t="s">
        <v>62</v>
      </c>
      <c r="AF358" s="2" t="str">
        <f t="shared" si="324"/>
        <v/>
      </c>
      <c r="AG358" s="2"/>
      <c r="AH358" s="2" t="str">
        <f t="shared" si="442"/>
        <v/>
      </c>
      <c r="AI358" s="2"/>
    </row>
    <row r="359" spans="1:35" x14ac:dyDescent="0.25">
      <c r="B359" s="2" t="str">
        <f t="shared" si="443"/>
        <v>@color-landcover_commercial</v>
      </c>
      <c r="C359" s="176" t="s">
        <v>210</v>
      </c>
      <c r="D359" s="176" t="s">
        <v>210</v>
      </c>
      <c r="F359" s="169" t="s">
        <v>260</v>
      </c>
      <c r="G359" s="169" t="s">
        <v>260</v>
      </c>
      <c r="I359" s="176" t="s">
        <v>210</v>
      </c>
      <c r="J359" s="176" t="s">
        <v>210</v>
      </c>
      <c r="L359" s="169" t="s">
        <v>260</v>
      </c>
      <c r="M359" s="169" t="s">
        <v>260</v>
      </c>
      <c r="U359" s="176" t="s">
        <v>210</v>
      </c>
      <c r="V359" s="176" t="s">
        <v>210</v>
      </c>
      <c r="X359" s="169" t="s">
        <v>260</v>
      </c>
      <c r="Y359" s="169" t="s">
        <v>260</v>
      </c>
      <c r="AA359" s="2" t="s">
        <v>6</v>
      </c>
      <c r="AB359" s="2" t="str">
        <f t="shared" si="322"/>
        <v>-</v>
      </c>
      <c r="AC359" s="2" t="s">
        <v>51</v>
      </c>
      <c r="AD359" s="2" t="str">
        <f t="shared" si="323"/>
        <v>_</v>
      </c>
      <c r="AE359" s="2" t="s">
        <v>63</v>
      </c>
      <c r="AF359" s="2" t="str">
        <f t="shared" si="324"/>
        <v/>
      </c>
      <c r="AG359" s="2"/>
      <c r="AH359" s="2" t="str">
        <f t="shared" si="442"/>
        <v/>
      </c>
      <c r="AI359" s="2"/>
    </row>
    <row r="360" spans="1:35" x14ac:dyDescent="0.25">
      <c r="B360" s="2" t="str">
        <f t="shared" si="443"/>
        <v>@color-landcover_residential</v>
      </c>
      <c r="C360" s="176" t="s">
        <v>210</v>
      </c>
      <c r="D360" s="176" t="s">
        <v>210</v>
      </c>
      <c r="F360" s="169" t="s">
        <v>260</v>
      </c>
      <c r="G360" s="169" t="s">
        <v>260</v>
      </c>
      <c r="I360" s="176" t="s">
        <v>210</v>
      </c>
      <c r="J360" s="176" t="s">
        <v>210</v>
      </c>
      <c r="L360" s="169" t="s">
        <v>260</v>
      </c>
      <c r="M360" s="169" t="s">
        <v>260</v>
      </c>
      <c r="U360" s="176" t="s">
        <v>210</v>
      </c>
      <c r="V360" s="176" t="s">
        <v>210</v>
      </c>
      <c r="X360" s="169" t="s">
        <v>260</v>
      </c>
      <c r="Y360" s="169" t="s">
        <v>260</v>
      </c>
      <c r="AA360" s="2" t="s">
        <v>6</v>
      </c>
      <c r="AB360" s="2" t="str">
        <f t="shared" si="322"/>
        <v>-</v>
      </c>
      <c r="AC360" s="2" t="s">
        <v>51</v>
      </c>
      <c r="AD360" s="2" t="str">
        <f t="shared" si="323"/>
        <v>_</v>
      </c>
      <c r="AE360" s="2" t="s">
        <v>64</v>
      </c>
      <c r="AF360" s="2" t="str">
        <f t="shared" si="324"/>
        <v/>
      </c>
      <c r="AG360" s="2"/>
      <c r="AH360" s="2" t="str">
        <f t="shared" si="442"/>
        <v/>
      </c>
      <c r="AI360" s="2"/>
    </row>
    <row r="361" spans="1:35" x14ac:dyDescent="0.25">
      <c r="B361" s="2" t="str">
        <f t="shared" si="443"/>
        <v>@color-landcover_built-up</v>
      </c>
      <c r="C361" s="176" t="s">
        <v>210</v>
      </c>
      <c r="D361" s="176" t="s">
        <v>210</v>
      </c>
      <c r="F361" s="169" t="s">
        <v>260</v>
      </c>
      <c r="G361" s="169" t="s">
        <v>260</v>
      </c>
      <c r="I361" s="176" t="s">
        <v>210</v>
      </c>
      <c r="J361" s="176" t="s">
        <v>210</v>
      </c>
      <c r="L361" s="169" t="s">
        <v>260</v>
      </c>
      <c r="M361" s="169" t="s">
        <v>260</v>
      </c>
      <c r="U361" s="176" t="s">
        <v>210</v>
      </c>
      <c r="V361" s="176" t="s">
        <v>210</v>
      </c>
      <c r="X361" s="169" t="s">
        <v>260</v>
      </c>
      <c r="Y361" s="169" t="s">
        <v>260</v>
      </c>
      <c r="AA361" s="2" t="s">
        <v>6</v>
      </c>
      <c r="AB361" s="2" t="str">
        <f t="shared" si="322"/>
        <v>-</v>
      </c>
      <c r="AC361" s="2" t="s">
        <v>51</v>
      </c>
      <c r="AD361" s="2" t="str">
        <f t="shared" si="323"/>
        <v>_</v>
      </c>
      <c r="AE361" s="2" t="s">
        <v>65</v>
      </c>
      <c r="AF361" s="2" t="str">
        <f t="shared" si="324"/>
        <v/>
      </c>
      <c r="AG361" s="2"/>
      <c r="AH361" s="2" t="str">
        <f t="shared" si="442"/>
        <v/>
      </c>
      <c r="AI361" s="2"/>
    </row>
    <row r="362" spans="1:35" x14ac:dyDescent="0.25">
      <c r="B362" s="2" t="str">
        <f t="shared" si="443"/>
        <v>@color-landcover_ice_shelf</v>
      </c>
      <c r="C362" s="137" t="s">
        <v>192</v>
      </c>
      <c r="D362" s="137" t="s">
        <v>192</v>
      </c>
      <c r="F362" s="179" t="s">
        <v>250</v>
      </c>
      <c r="G362" s="179" t="s">
        <v>250</v>
      </c>
      <c r="I362" s="137" t="s">
        <v>192</v>
      </c>
      <c r="J362" s="137" t="s">
        <v>192</v>
      </c>
      <c r="L362" s="179" t="s">
        <v>250</v>
      </c>
      <c r="M362" s="179" t="s">
        <v>250</v>
      </c>
      <c r="U362" s="137" t="s">
        <v>192</v>
      </c>
      <c r="V362" s="137" t="s">
        <v>192</v>
      </c>
      <c r="X362" s="179" t="s">
        <v>250</v>
      </c>
      <c r="Y362" s="179" t="s">
        <v>250</v>
      </c>
      <c r="AA362" s="2" t="s">
        <v>6</v>
      </c>
      <c r="AB362" s="2" t="str">
        <f t="shared" ref="AB362:AB372" si="444">IF(NOT(ISBLANK(AC362)),"-","")</f>
        <v>-</v>
      </c>
      <c r="AC362" s="2" t="s">
        <v>51</v>
      </c>
      <c r="AD362" s="2" t="str">
        <f t="shared" ref="AD362:AD372" si="445">IF(NOT(ISBLANK(AE362)),"_","")</f>
        <v>_</v>
      </c>
      <c r="AE362" s="2" t="s">
        <v>239</v>
      </c>
      <c r="AF362" s="2" t="str">
        <f t="shared" ref="AF362:AF372" si="446">IF(NOT(ISBLANK(AG362)),"_","")</f>
        <v/>
      </c>
      <c r="AG362" s="2"/>
      <c r="AH362" s="2" t="str">
        <f t="shared" si="442"/>
        <v/>
      </c>
      <c r="AI362" s="2"/>
    </row>
    <row r="363" spans="1:35" x14ac:dyDescent="0.25">
      <c r="B363" s="2" t="str">
        <f t="shared" si="443"/>
        <v>@color-landcover_glacier</v>
      </c>
      <c r="C363" s="137" t="s">
        <v>192</v>
      </c>
      <c r="D363" s="137" t="s">
        <v>192</v>
      </c>
      <c r="F363" s="179" t="s">
        <v>250</v>
      </c>
      <c r="G363" s="179" t="s">
        <v>250</v>
      </c>
      <c r="I363" s="137" t="s">
        <v>192</v>
      </c>
      <c r="J363" s="137" t="s">
        <v>192</v>
      </c>
      <c r="L363" s="179" t="s">
        <v>250</v>
      </c>
      <c r="M363" s="179" t="s">
        <v>250</v>
      </c>
      <c r="U363" s="137" t="s">
        <v>192</v>
      </c>
      <c r="V363" s="137" t="s">
        <v>192</v>
      </c>
      <c r="X363" s="179" t="s">
        <v>250</v>
      </c>
      <c r="Y363" s="179" t="s">
        <v>250</v>
      </c>
      <c r="AA363" s="2" t="s">
        <v>6</v>
      </c>
      <c r="AB363" s="2" t="str">
        <f t="shared" ref="AB363" si="447">IF(NOT(ISBLANK(AC363)),"-","")</f>
        <v>-</v>
      </c>
      <c r="AC363" s="2" t="s">
        <v>51</v>
      </c>
      <c r="AD363" s="2" t="str">
        <f t="shared" ref="AD363" si="448">IF(NOT(ISBLANK(AE363)),"_","")</f>
        <v>_</v>
      </c>
      <c r="AE363" s="2" t="s">
        <v>263</v>
      </c>
      <c r="AF363" s="2" t="str">
        <f t="shared" ref="AF363" si="449">IF(NOT(ISBLANK(AG363)),"_","")</f>
        <v/>
      </c>
      <c r="AG363" s="2"/>
      <c r="AH363" s="2" t="str">
        <f t="shared" si="442"/>
        <v/>
      </c>
      <c r="AI363" s="2"/>
    </row>
    <row r="364" spans="1:35" x14ac:dyDescent="0.25">
      <c r="B364" s="2" t="str">
        <f t="shared" si="443"/>
        <v>@color-landcover_sport_play</v>
      </c>
      <c r="C364" s="180" t="s">
        <v>241</v>
      </c>
      <c r="D364" s="180" t="s">
        <v>241</v>
      </c>
      <c r="F364" s="181" t="s">
        <v>251</v>
      </c>
      <c r="G364" s="181" t="s">
        <v>251</v>
      </c>
      <c r="I364" s="180" t="s">
        <v>241</v>
      </c>
      <c r="J364" s="180" t="s">
        <v>241</v>
      </c>
      <c r="L364" s="181" t="s">
        <v>251</v>
      </c>
      <c r="M364" s="181" t="s">
        <v>251</v>
      </c>
      <c r="U364" s="180" t="s">
        <v>241</v>
      </c>
      <c r="V364" s="180" t="s">
        <v>241</v>
      </c>
      <c r="X364" s="181" t="s">
        <v>251</v>
      </c>
      <c r="Y364" s="181" t="s">
        <v>251</v>
      </c>
      <c r="AA364" s="2" t="s">
        <v>6</v>
      </c>
      <c r="AB364" s="2" t="str">
        <f t="shared" si="444"/>
        <v>-</v>
      </c>
      <c r="AC364" s="2" t="s">
        <v>51</v>
      </c>
      <c r="AD364" s="2" t="str">
        <f t="shared" si="445"/>
        <v>_</v>
      </c>
      <c r="AE364" s="2" t="s">
        <v>240</v>
      </c>
      <c r="AF364" s="2" t="str">
        <f t="shared" si="446"/>
        <v/>
      </c>
      <c r="AG364" s="2"/>
      <c r="AH364" s="2" t="str">
        <f t="shared" si="442"/>
        <v/>
      </c>
      <c r="AI364" s="2"/>
    </row>
    <row r="365" spans="1:35" x14ac:dyDescent="0.25">
      <c r="B365" s="2" t="str">
        <f t="shared" si="443"/>
        <v>@color-landcover_line_generic</v>
      </c>
      <c r="C365" s="182" t="s">
        <v>261</v>
      </c>
      <c r="D365" s="182" t="s">
        <v>261</v>
      </c>
      <c r="F365" s="169" t="s">
        <v>260</v>
      </c>
      <c r="G365" s="169" t="s">
        <v>260</v>
      </c>
      <c r="I365" s="182" t="s">
        <v>261</v>
      </c>
      <c r="J365" s="182" t="s">
        <v>261</v>
      </c>
      <c r="L365" s="169" t="s">
        <v>260</v>
      </c>
      <c r="M365" s="169" t="s">
        <v>260</v>
      </c>
      <c r="U365" s="182" t="s">
        <v>261</v>
      </c>
      <c r="V365" s="182" t="s">
        <v>261</v>
      </c>
      <c r="X365" s="169" t="s">
        <v>260</v>
      </c>
      <c r="Y365" s="169" t="s">
        <v>260</v>
      </c>
      <c r="AA365" s="2" t="s">
        <v>6</v>
      </c>
      <c r="AB365" s="2" t="str">
        <f t="shared" si="444"/>
        <v>-</v>
      </c>
      <c r="AC365" s="2" t="s">
        <v>51</v>
      </c>
      <c r="AD365" s="2" t="str">
        <f t="shared" si="445"/>
        <v>_</v>
      </c>
      <c r="AE365" s="2" t="s">
        <v>13</v>
      </c>
      <c r="AF365" s="2" t="str">
        <f t="shared" si="446"/>
        <v>_</v>
      </c>
      <c r="AG365" s="2" t="s">
        <v>255</v>
      </c>
      <c r="AH365" s="2" t="str">
        <f t="shared" si="442"/>
        <v/>
      </c>
      <c r="AI365" s="2"/>
    </row>
    <row r="366" spans="1:35" x14ac:dyDescent="0.25">
      <c r="AB366" s="28" t="str">
        <f t="shared" si="444"/>
        <v/>
      </c>
      <c r="AD366" s="28" t="str">
        <f t="shared" si="445"/>
        <v/>
      </c>
      <c r="AF366" s="28" t="str">
        <f t="shared" si="446"/>
        <v/>
      </c>
      <c r="AH366" s="28" t="str">
        <f t="shared" ref="AH366:AH372" si="450">IF(NOT(ISBLANK(AI366)),"_","")</f>
        <v/>
      </c>
    </row>
    <row r="367" spans="1:35" s="2" customFormat="1" x14ac:dyDescent="0.25">
      <c r="A367" s="3" t="s">
        <v>371</v>
      </c>
      <c r="B367" s="3"/>
      <c r="C367" s="27"/>
      <c r="D367" s="6"/>
      <c r="E367" s="7"/>
      <c r="F367" s="6"/>
      <c r="G367" s="6"/>
      <c r="H367" s="7"/>
      <c r="I367" s="6"/>
      <c r="J367" s="6"/>
      <c r="K367" s="7"/>
      <c r="L367" s="6"/>
      <c r="M367" s="6"/>
      <c r="N367" s="7"/>
      <c r="O367" s="6"/>
      <c r="P367" s="6"/>
      <c r="Q367" s="7"/>
      <c r="R367" s="6"/>
      <c r="S367" s="6"/>
      <c r="T367" s="7"/>
      <c r="U367" s="6"/>
      <c r="V367" s="6"/>
      <c r="W367" s="7"/>
      <c r="X367" s="6"/>
      <c r="Y367" s="6"/>
      <c r="AA367" s="4"/>
      <c r="AB367" s="4" t="str">
        <f t="shared" si="444"/>
        <v/>
      </c>
      <c r="AC367" s="4"/>
      <c r="AD367" s="4" t="str">
        <f t="shared" si="445"/>
        <v/>
      </c>
      <c r="AE367" s="4"/>
      <c r="AF367" s="4" t="str">
        <f t="shared" si="446"/>
        <v/>
      </c>
      <c r="AG367" s="4"/>
      <c r="AH367" s="4" t="str">
        <f t="shared" si="450"/>
        <v/>
      </c>
      <c r="AI367" s="4"/>
    </row>
    <row r="368" spans="1:35" x14ac:dyDescent="0.25">
      <c r="B368" s="2" t="str">
        <f t="shared" ref="B368:B371" si="451">_xlfn.CONCAT("@",AA368,AB368,AC368,AD368,AE368,AF368,AG368,AH368,AI368)</f>
        <v>@opacity-landcover_clearcut_mid</v>
      </c>
      <c r="C368" s="28" t="s">
        <v>95</v>
      </c>
      <c r="D368" s="28" t="s">
        <v>95</v>
      </c>
      <c r="F368" s="28" t="s">
        <v>95</v>
      </c>
      <c r="G368" s="28" t="s">
        <v>95</v>
      </c>
      <c r="I368" s="28" t="s">
        <v>375</v>
      </c>
      <c r="J368" s="28" t="s">
        <v>375</v>
      </c>
      <c r="L368" s="28" t="s">
        <v>375</v>
      </c>
      <c r="M368" s="28" t="s">
        <v>375</v>
      </c>
      <c r="O368" s="28" t="s">
        <v>376</v>
      </c>
      <c r="P368" s="28" t="s">
        <v>376</v>
      </c>
      <c r="R368" s="28" t="s">
        <v>376</v>
      </c>
      <c r="S368" s="28" t="s">
        <v>376</v>
      </c>
      <c r="U368" s="28" t="s">
        <v>376</v>
      </c>
      <c r="V368" s="28" t="s">
        <v>376</v>
      </c>
      <c r="X368" s="28" t="s">
        <v>376</v>
      </c>
      <c r="Y368" s="28" t="s">
        <v>376</v>
      </c>
      <c r="AA368" s="28" t="s">
        <v>392</v>
      </c>
      <c r="AB368" s="28" t="str">
        <f t="shared" ref="AB368:AB371" si="452">IF(NOT(ISBLANK(AC368)),"-","")</f>
        <v>-</v>
      </c>
      <c r="AC368" s="28" t="s">
        <v>51</v>
      </c>
      <c r="AD368" s="28" t="str">
        <f t="shared" ref="AD368:AD371" si="453">IF(NOT(ISBLANK(AE368)),"_","")</f>
        <v>_</v>
      </c>
      <c r="AE368" s="28" t="s">
        <v>383</v>
      </c>
      <c r="AF368" s="28" t="str">
        <f t="shared" ref="AF368:AF371" si="454">IF(NOT(ISBLANK(AG368)),"_","")</f>
        <v>_</v>
      </c>
      <c r="AG368" s="28" t="s">
        <v>374</v>
      </c>
      <c r="AH368" s="28" t="str">
        <f t="shared" ref="AH368:AH371" si="455">IF(NOT(ISBLANK(AI368)),"_","")</f>
        <v/>
      </c>
    </row>
    <row r="369" spans="1:35" x14ac:dyDescent="0.25">
      <c r="B369" s="2" t="str">
        <f t="shared" si="451"/>
        <v>@opacity-landcover_clearcut_full</v>
      </c>
      <c r="C369" s="28" t="s">
        <v>80</v>
      </c>
      <c r="D369" s="28" t="s">
        <v>80</v>
      </c>
      <c r="F369" s="28" t="s">
        <v>80</v>
      </c>
      <c r="G369" s="28" t="s">
        <v>80</v>
      </c>
      <c r="I369" s="28" t="s">
        <v>95</v>
      </c>
      <c r="J369" s="28" t="s">
        <v>95</v>
      </c>
      <c r="L369" s="28" t="s">
        <v>95</v>
      </c>
      <c r="M369" s="28" t="s">
        <v>95</v>
      </c>
      <c r="O369" s="28" t="s">
        <v>124</v>
      </c>
      <c r="P369" s="28" t="s">
        <v>124</v>
      </c>
      <c r="R369" s="28" t="s">
        <v>124</v>
      </c>
      <c r="S369" s="28" t="s">
        <v>124</v>
      </c>
      <c r="U369" s="28" t="s">
        <v>124</v>
      </c>
      <c r="V369" s="28" t="s">
        <v>124</v>
      </c>
      <c r="X369" s="28" t="s">
        <v>124</v>
      </c>
      <c r="Y369" s="28" t="s">
        <v>124</v>
      </c>
      <c r="AA369" s="28" t="s">
        <v>392</v>
      </c>
      <c r="AB369" s="28" t="str">
        <f t="shared" si="452"/>
        <v>-</v>
      </c>
      <c r="AC369" s="28" t="s">
        <v>51</v>
      </c>
      <c r="AD369" s="28" t="str">
        <f t="shared" si="453"/>
        <v>_</v>
      </c>
      <c r="AE369" s="28" t="s">
        <v>383</v>
      </c>
      <c r="AF369" s="28" t="str">
        <f t="shared" si="454"/>
        <v>_</v>
      </c>
      <c r="AG369" s="28" t="s">
        <v>373</v>
      </c>
      <c r="AH369" s="28" t="str">
        <f t="shared" si="455"/>
        <v/>
      </c>
    </row>
    <row r="370" spans="1:35" x14ac:dyDescent="0.25">
      <c r="B370" s="2" t="str">
        <f t="shared" si="451"/>
        <v>@opacity-landcover_field_mid</v>
      </c>
      <c r="C370" s="28" t="s">
        <v>95</v>
      </c>
      <c r="D370" s="28" t="s">
        <v>95</v>
      </c>
      <c r="F370" s="28" t="s">
        <v>95</v>
      </c>
      <c r="G370" s="28" t="s">
        <v>95</v>
      </c>
      <c r="I370" s="28" t="s">
        <v>95</v>
      </c>
      <c r="J370" s="28" t="s">
        <v>95</v>
      </c>
      <c r="L370" s="28" t="s">
        <v>95</v>
      </c>
      <c r="M370" s="28" t="s">
        <v>95</v>
      </c>
      <c r="O370" s="28" t="s">
        <v>95</v>
      </c>
      <c r="P370" s="28" t="s">
        <v>95</v>
      </c>
      <c r="R370" s="28" t="s">
        <v>95</v>
      </c>
      <c r="S370" s="28" t="s">
        <v>95</v>
      </c>
      <c r="U370" s="28" t="s">
        <v>95</v>
      </c>
      <c r="V370" s="28" t="s">
        <v>95</v>
      </c>
      <c r="X370" s="28" t="s">
        <v>95</v>
      </c>
      <c r="Y370" s="28" t="s">
        <v>95</v>
      </c>
      <c r="AA370" s="28" t="s">
        <v>392</v>
      </c>
      <c r="AB370" s="28" t="str">
        <f t="shared" si="452"/>
        <v>-</v>
      </c>
      <c r="AC370" s="28" t="s">
        <v>51</v>
      </c>
      <c r="AD370" s="28" t="str">
        <f t="shared" si="453"/>
        <v>_</v>
      </c>
      <c r="AE370" s="28" t="s">
        <v>46</v>
      </c>
      <c r="AF370" s="28" t="str">
        <f t="shared" si="454"/>
        <v>_</v>
      </c>
      <c r="AG370" s="28" t="s">
        <v>374</v>
      </c>
      <c r="AH370" s="28" t="str">
        <f t="shared" si="455"/>
        <v/>
      </c>
    </row>
    <row r="371" spans="1:35" x14ac:dyDescent="0.25">
      <c r="B371" s="2" t="str">
        <f t="shared" si="451"/>
        <v>@opacity-landcover_field_full</v>
      </c>
      <c r="C371" s="28" t="s">
        <v>80</v>
      </c>
      <c r="D371" s="28" t="s">
        <v>80</v>
      </c>
      <c r="F371" s="28" t="s">
        <v>80</v>
      </c>
      <c r="G371" s="28" t="s">
        <v>80</v>
      </c>
      <c r="I371" s="28" t="s">
        <v>80</v>
      </c>
      <c r="J371" s="28" t="s">
        <v>80</v>
      </c>
      <c r="L371" s="28" t="s">
        <v>80</v>
      </c>
      <c r="M371" s="28" t="s">
        <v>80</v>
      </c>
      <c r="O371" s="28" t="s">
        <v>80</v>
      </c>
      <c r="P371" s="28" t="s">
        <v>80</v>
      </c>
      <c r="R371" s="28" t="s">
        <v>80</v>
      </c>
      <c r="S371" s="28" t="s">
        <v>80</v>
      </c>
      <c r="U371" s="28" t="s">
        <v>80</v>
      </c>
      <c r="V371" s="28" t="s">
        <v>80</v>
      </c>
      <c r="X371" s="28" t="s">
        <v>80</v>
      </c>
      <c r="Y371" s="28" t="s">
        <v>80</v>
      </c>
      <c r="AA371" s="28" t="s">
        <v>392</v>
      </c>
      <c r="AB371" s="28" t="str">
        <f t="shared" si="452"/>
        <v>-</v>
      </c>
      <c r="AC371" s="28" t="s">
        <v>51</v>
      </c>
      <c r="AD371" s="28" t="str">
        <f t="shared" si="453"/>
        <v>_</v>
      </c>
      <c r="AE371" s="28" t="s">
        <v>46</v>
      </c>
      <c r="AF371" s="28" t="str">
        <f t="shared" si="454"/>
        <v>_</v>
      </c>
      <c r="AG371" s="28" t="s">
        <v>373</v>
      </c>
      <c r="AH371" s="28" t="str">
        <f t="shared" si="455"/>
        <v/>
      </c>
    </row>
    <row r="372" spans="1:35" x14ac:dyDescent="0.25">
      <c r="B372" s="2" t="str">
        <f t="shared" ref="B372" si="456">_xlfn.CONCAT("@",AA372,AB372,AC372,AD372,AE372,AF372,AG372,AH372,AI372)</f>
        <v>@opacity-landcover_scrub_mid</v>
      </c>
      <c r="C372" s="28" t="s">
        <v>95</v>
      </c>
      <c r="D372" s="28" t="s">
        <v>95</v>
      </c>
      <c r="F372" s="28" t="s">
        <v>95</v>
      </c>
      <c r="G372" s="28" t="s">
        <v>95</v>
      </c>
      <c r="I372" s="28" t="s">
        <v>375</v>
      </c>
      <c r="J372" s="28" t="s">
        <v>375</v>
      </c>
      <c r="L372" s="28" t="s">
        <v>375</v>
      </c>
      <c r="M372" s="28" t="s">
        <v>375</v>
      </c>
      <c r="O372" s="28" t="s">
        <v>376</v>
      </c>
      <c r="P372" s="28" t="s">
        <v>376</v>
      </c>
      <c r="R372" s="28" t="s">
        <v>376</v>
      </c>
      <c r="S372" s="28" t="s">
        <v>376</v>
      </c>
      <c r="U372" s="28" t="s">
        <v>376</v>
      </c>
      <c r="V372" s="28" t="s">
        <v>376</v>
      </c>
      <c r="X372" s="28" t="s">
        <v>376</v>
      </c>
      <c r="Y372" s="28" t="s">
        <v>376</v>
      </c>
      <c r="AA372" s="28" t="s">
        <v>392</v>
      </c>
      <c r="AB372" s="28" t="str">
        <f t="shared" si="444"/>
        <v>-</v>
      </c>
      <c r="AC372" s="28" t="s">
        <v>51</v>
      </c>
      <c r="AD372" s="28" t="str">
        <f t="shared" si="445"/>
        <v>_</v>
      </c>
      <c r="AE372" s="28" t="s">
        <v>372</v>
      </c>
      <c r="AF372" s="28" t="str">
        <f t="shared" si="446"/>
        <v>_</v>
      </c>
      <c r="AG372" s="28" t="s">
        <v>374</v>
      </c>
      <c r="AH372" s="28" t="str">
        <f t="shared" si="450"/>
        <v/>
      </c>
    </row>
    <row r="373" spans="1:35" x14ac:dyDescent="0.25">
      <c r="B373" s="2" t="str">
        <f t="shared" ref="B373" si="457">_xlfn.CONCAT("@",AA373,AB373,AC373,AD373,AE373,AF373,AG373,AH373,AI373)</f>
        <v>@opacity-landcover_scrub_full</v>
      </c>
      <c r="C373" s="28" t="s">
        <v>80</v>
      </c>
      <c r="D373" s="28" t="s">
        <v>80</v>
      </c>
      <c r="F373" s="28" t="s">
        <v>80</v>
      </c>
      <c r="G373" s="28" t="s">
        <v>80</v>
      </c>
      <c r="I373" s="28" t="s">
        <v>95</v>
      </c>
      <c r="J373" s="28" t="s">
        <v>95</v>
      </c>
      <c r="L373" s="28" t="s">
        <v>95</v>
      </c>
      <c r="M373" s="28" t="s">
        <v>95</v>
      </c>
      <c r="O373" s="28" t="s">
        <v>124</v>
      </c>
      <c r="P373" s="28" t="s">
        <v>124</v>
      </c>
      <c r="R373" s="28" t="s">
        <v>124</v>
      </c>
      <c r="S373" s="28" t="s">
        <v>124</v>
      </c>
      <c r="U373" s="28" t="s">
        <v>124</v>
      </c>
      <c r="V373" s="28" t="s">
        <v>124</v>
      </c>
      <c r="X373" s="28" t="s">
        <v>124</v>
      </c>
      <c r="Y373" s="28" t="s">
        <v>124</v>
      </c>
      <c r="AA373" s="28" t="s">
        <v>392</v>
      </c>
      <c r="AB373" s="28" t="str">
        <f t="shared" si="322"/>
        <v>-</v>
      </c>
      <c r="AC373" s="28" t="s">
        <v>51</v>
      </c>
      <c r="AD373" s="28" t="str">
        <f t="shared" si="323"/>
        <v>_</v>
      </c>
      <c r="AE373" s="28" t="s">
        <v>372</v>
      </c>
      <c r="AF373" s="28" t="str">
        <f t="shared" si="324"/>
        <v>_</v>
      </c>
      <c r="AG373" s="28" t="s">
        <v>373</v>
      </c>
      <c r="AH373" s="28" t="str">
        <f t="shared" si="442"/>
        <v/>
      </c>
    </row>
    <row r="374" spans="1:35" x14ac:dyDescent="0.25">
      <c r="B374" s="2" t="str">
        <f t="shared" ref="B374:B376" si="458">_xlfn.CONCAT("@",AA374,AB374,AC374,AD374,AE374,AF374,AG374,AH374,AI374)</f>
        <v>@opacity-landcover_wetland_full</v>
      </c>
      <c r="C374" s="28" t="s">
        <v>80</v>
      </c>
      <c r="D374" s="28" t="s">
        <v>80</v>
      </c>
      <c r="F374" s="28" t="s">
        <v>80</v>
      </c>
      <c r="G374" s="28" t="s">
        <v>80</v>
      </c>
      <c r="I374" s="28" t="s">
        <v>95</v>
      </c>
      <c r="J374" s="28" t="s">
        <v>95</v>
      </c>
      <c r="L374" s="28" t="s">
        <v>80</v>
      </c>
      <c r="M374" s="28" t="s">
        <v>95</v>
      </c>
      <c r="O374" s="28" t="s">
        <v>124</v>
      </c>
      <c r="P374" s="28" t="s">
        <v>124</v>
      </c>
      <c r="R374" s="28" t="s">
        <v>124</v>
      </c>
      <c r="S374" s="28" t="s">
        <v>124</v>
      </c>
      <c r="U374" s="28" t="s">
        <v>95</v>
      </c>
      <c r="V374" s="28" t="s">
        <v>95</v>
      </c>
      <c r="X374" s="28" t="s">
        <v>80</v>
      </c>
      <c r="Y374" s="28" t="s">
        <v>95</v>
      </c>
      <c r="AA374" s="28" t="s">
        <v>392</v>
      </c>
      <c r="AB374" s="28" t="str">
        <f t="shared" ref="AB374:AB376" si="459">IF(NOT(ISBLANK(AC374)),"-","")</f>
        <v>-</v>
      </c>
      <c r="AC374" s="28" t="s">
        <v>51</v>
      </c>
      <c r="AD374" s="28" t="str">
        <f t="shared" ref="AD374:AD376" si="460">IF(NOT(ISBLANK(AE374)),"_","")</f>
        <v>_</v>
      </c>
      <c r="AE374" s="28" t="s">
        <v>377</v>
      </c>
      <c r="AF374" s="28" t="str">
        <f t="shared" ref="AF374:AF376" si="461">IF(NOT(ISBLANK(AG374)),"_","")</f>
        <v>_</v>
      </c>
      <c r="AG374" s="28" t="s">
        <v>373</v>
      </c>
      <c r="AH374" s="28" t="str">
        <f t="shared" ref="AH374:AH376" si="462">IF(NOT(ISBLANK(AI374)),"_","")</f>
        <v/>
      </c>
    </row>
    <row r="375" spans="1:35" x14ac:dyDescent="0.25">
      <c r="B375" s="2" t="str">
        <f t="shared" si="458"/>
        <v>@opacity-landuse_sport_play_mid</v>
      </c>
      <c r="C375" s="28" t="s">
        <v>95</v>
      </c>
      <c r="D375" s="28" t="s">
        <v>95</v>
      </c>
      <c r="F375" s="28" t="s">
        <v>95</v>
      </c>
      <c r="G375" s="28" t="s">
        <v>95</v>
      </c>
      <c r="I375" s="28" t="s">
        <v>95</v>
      </c>
      <c r="J375" s="28" t="s">
        <v>95</v>
      </c>
      <c r="L375" s="28" t="s">
        <v>95</v>
      </c>
      <c r="M375" s="28" t="s">
        <v>95</v>
      </c>
      <c r="O375" s="28" t="s">
        <v>95</v>
      </c>
      <c r="P375" s="28" t="s">
        <v>95</v>
      </c>
      <c r="R375" s="28" t="s">
        <v>95</v>
      </c>
      <c r="S375" s="28" t="s">
        <v>95</v>
      </c>
      <c r="U375" s="28" t="s">
        <v>95</v>
      </c>
      <c r="V375" s="28" t="s">
        <v>95</v>
      </c>
      <c r="X375" s="28" t="s">
        <v>95</v>
      </c>
      <c r="Y375" s="28" t="s">
        <v>95</v>
      </c>
      <c r="AA375" s="28" t="s">
        <v>392</v>
      </c>
      <c r="AB375" s="28" t="str">
        <f t="shared" si="459"/>
        <v>-</v>
      </c>
      <c r="AC375" s="28" t="s">
        <v>384</v>
      </c>
      <c r="AD375" s="28" t="str">
        <f t="shared" si="460"/>
        <v>_</v>
      </c>
      <c r="AE375" s="28" t="s">
        <v>240</v>
      </c>
      <c r="AF375" s="28" t="str">
        <f t="shared" si="461"/>
        <v>_</v>
      </c>
      <c r="AG375" s="28" t="s">
        <v>374</v>
      </c>
      <c r="AH375" s="28" t="str">
        <f t="shared" si="462"/>
        <v/>
      </c>
    </row>
    <row r="376" spans="1:35" x14ac:dyDescent="0.25">
      <c r="B376" s="2" t="str">
        <f t="shared" si="458"/>
        <v>@opacity-landuse_sport_play_full</v>
      </c>
      <c r="C376" s="28" t="s">
        <v>80</v>
      </c>
      <c r="D376" s="28" t="s">
        <v>80</v>
      </c>
      <c r="F376" s="28" t="s">
        <v>80</v>
      </c>
      <c r="G376" s="28" t="s">
        <v>80</v>
      </c>
      <c r="I376" s="28" t="s">
        <v>80</v>
      </c>
      <c r="J376" s="28" t="s">
        <v>80</v>
      </c>
      <c r="L376" s="28" t="s">
        <v>80</v>
      </c>
      <c r="M376" s="28" t="s">
        <v>80</v>
      </c>
      <c r="O376" s="28" t="s">
        <v>80</v>
      </c>
      <c r="P376" s="28" t="s">
        <v>80</v>
      </c>
      <c r="R376" s="28" t="s">
        <v>80</v>
      </c>
      <c r="S376" s="28" t="s">
        <v>80</v>
      </c>
      <c r="U376" s="28" t="s">
        <v>80</v>
      </c>
      <c r="V376" s="28" t="s">
        <v>80</v>
      </c>
      <c r="X376" s="28" t="s">
        <v>80</v>
      </c>
      <c r="Y376" s="28" t="s">
        <v>80</v>
      </c>
      <c r="AA376" s="28" t="s">
        <v>392</v>
      </c>
      <c r="AB376" s="28" t="str">
        <f t="shared" si="459"/>
        <v>-</v>
      </c>
      <c r="AC376" s="28" t="s">
        <v>384</v>
      </c>
      <c r="AD376" s="28" t="str">
        <f t="shared" si="460"/>
        <v>_</v>
      </c>
      <c r="AE376" s="28" t="s">
        <v>240</v>
      </c>
      <c r="AF376" s="28" t="str">
        <f t="shared" si="461"/>
        <v>_</v>
      </c>
      <c r="AG376" s="28" t="s">
        <v>373</v>
      </c>
      <c r="AH376" s="28" t="str">
        <f t="shared" si="462"/>
        <v/>
      </c>
    </row>
    <row r="377" spans="1:35" x14ac:dyDescent="0.25">
      <c r="B377" s="2" t="str">
        <f t="shared" ref="B377" si="463">_xlfn.CONCAT("@",AA377,AB377,AC377,AD377,AE377,AF377,AG377,AH377,AI377)</f>
        <v>@opacity-portected_area_outline-inner_full</v>
      </c>
      <c r="C377" s="28" t="s">
        <v>120</v>
      </c>
      <c r="D377" s="28" t="s">
        <v>120</v>
      </c>
      <c r="F377" s="28" t="s">
        <v>380</v>
      </c>
      <c r="G377" s="28" t="s">
        <v>380</v>
      </c>
      <c r="I377" s="28" t="s">
        <v>380</v>
      </c>
      <c r="J377" s="28" t="s">
        <v>380</v>
      </c>
      <c r="L377" s="28" t="s">
        <v>381</v>
      </c>
      <c r="M377" s="28" t="s">
        <v>381</v>
      </c>
      <c r="O377" s="28" t="s">
        <v>380</v>
      </c>
      <c r="P377" s="28" t="s">
        <v>380</v>
      </c>
      <c r="R377" s="28" t="s">
        <v>381</v>
      </c>
      <c r="S377" s="28" t="s">
        <v>381</v>
      </c>
      <c r="U377" s="28" t="s">
        <v>120</v>
      </c>
      <c r="V377" s="28" t="s">
        <v>120</v>
      </c>
      <c r="X377" s="28" t="s">
        <v>120</v>
      </c>
      <c r="Y377" s="28" t="s">
        <v>120</v>
      </c>
      <c r="AA377" s="28" t="s">
        <v>392</v>
      </c>
      <c r="AB377" s="28" t="str">
        <f t="shared" ref="AB377" si="464">IF(NOT(ISBLANK(AC377)),"-","")</f>
        <v>-</v>
      </c>
      <c r="AC377" s="28" t="s">
        <v>378</v>
      </c>
      <c r="AD377" s="28" t="str">
        <f t="shared" ref="AD377" si="465">IF(NOT(ISBLANK(AE377)),"_","")</f>
        <v>_</v>
      </c>
      <c r="AE377" s="28" t="s">
        <v>379</v>
      </c>
      <c r="AF377" s="28" t="str">
        <f t="shared" ref="AF377" si="466">IF(NOT(ISBLANK(AG377)),"_","")</f>
        <v>_</v>
      </c>
      <c r="AG377" s="28" t="s">
        <v>373</v>
      </c>
      <c r="AH377" s="28" t="str">
        <f t="shared" ref="AH377" si="467">IF(NOT(ISBLANK(AI377)),"_","")</f>
        <v/>
      </c>
    </row>
    <row r="378" spans="1:35" x14ac:dyDescent="0.25">
      <c r="B378" s="2" t="str">
        <f t="shared" ref="B378" si="468">_xlfn.CONCAT("@",AA378,AB378,AC378,AD378,AE378,AF378,AG378,AH378,AI378)</f>
        <v>@opacity-portected_area_outline-outer_full</v>
      </c>
      <c r="C378" s="28" t="s">
        <v>80</v>
      </c>
      <c r="D378" s="28" t="s">
        <v>80</v>
      </c>
      <c r="F378" s="28" t="s">
        <v>122</v>
      </c>
      <c r="G378" s="28" t="s">
        <v>122</v>
      </c>
      <c r="I378" s="28" t="s">
        <v>95</v>
      </c>
      <c r="J378" s="28" t="s">
        <v>95</v>
      </c>
      <c r="L378" s="28" t="s">
        <v>375</v>
      </c>
      <c r="M378" s="28" t="s">
        <v>375</v>
      </c>
      <c r="O378" s="28" t="s">
        <v>124</v>
      </c>
      <c r="P378" s="28" t="s">
        <v>124</v>
      </c>
      <c r="R378" s="28" t="s">
        <v>376</v>
      </c>
      <c r="S378" s="28" t="s">
        <v>376</v>
      </c>
      <c r="U378" s="28" t="s">
        <v>80</v>
      </c>
      <c r="V378" s="28" t="s">
        <v>80</v>
      </c>
      <c r="X378" s="28" t="s">
        <v>122</v>
      </c>
      <c r="Y378" s="28" t="s">
        <v>122</v>
      </c>
      <c r="AA378" s="28" t="s">
        <v>392</v>
      </c>
      <c r="AB378" s="28" t="str">
        <f t="shared" ref="AB378" si="469">IF(NOT(ISBLANK(AC378)),"-","")</f>
        <v>-</v>
      </c>
      <c r="AC378" s="28" t="s">
        <v>378</v>
      </c>
      <c r="AD378" s="28" t="str">
        <f t="shared" ref="AD378" si="470">IF(NOT(ISBLANK(AE378)),"_","")</f>
        <v>_</v>
      </c>
      <c r="AE378" s="28" t="s">
        <v>382</v>
      </c>
      <c r="AF378" s="28" t="str">
        <f t="shared" ref="AF378" si="471">IF(NOT(ISBLANK(AG378)),"_","")</f>
        <v>_</v>
      </c>
      <c r="AG378" s="28" t="s">
        <v>373</v>
      </c>
      <c r="AH378" s="28" t="str">
        <f t="shared" ref="AH378" si="472">IF(NOT(ISBLANK(AI378)),"_","")</f>
        <v/>
      </c>
    </row>
    <row r="380" spans="1:35" s="2" customFormat="1" x14ac:dyDescent="0.25">
      <c r="A380" s="3" t="s">
        <v>43</v>
      </c>
      <c r="B380" s="3"/>
      <c r="C380" s="27"/>
      <c r="D380" s="6"/>
      <c r="E380" s="7"/>
      <c r="F380" s="6"/>
      <c r="G380" s="6"/>
      <c r="H380" s="7"/>
      <c r="I380" s="6"/>
      <c r="J380" s="6"/>
      <c r="K380" s="7"/>
      <c r="L380" s="6"/>
      <c r="M380" s="6"/>
      <c r="N380" s="7"/>
      <c r="O380" s="6"/>
      <c r="P380" s="6"/>
      <c r="Q380" s="7"/>
      <c r="R380" s="6"/>
      <c r="S380" s="6"/>
      <c r="T380" s="7"/>
      <c r="U380" s="6"/>
      <c r="V380" s="6"/>
      <c r="W380" s="7"/>
      <c r="X380" s="6"/>
      <c r="Y380" s="6"/>
      <c r="AA380" s="4"/>
      <c r="AB380" s="4" t="str">
        <f t="shared" si="322"/>
        <v/>
      </c>
      <c r="AC380" s="4"/>
      <c r="AD380" s="4" t="str">
        <f t="shared" si="323"/>
        <v/>
      </c>
      <c r="AE380" s="4"/>
      <c r="AF380" s="4" t="str">
        <f t="shared" si="324"/>
        <v/>
      </c>
      <c r="AG380" s="4"/>
      <c r="AH380" s="4" t="str">
        <f t="shared" si="442"/>
        <v/>
      </c>
      <c r="AI380" s="4"/>
    </row>
    <row r="381" spans="1:35" x14ac:dyDescent="0.25">
      <c r="B381" s="2" t="str">
        <f t="shared" ref="B381:B383" si="473">_xlfn.CONCAT("@",AA381,AB381,AC381,AD381,AE381,AF381,AG381,AH381,AI381)</f>
        <v>@color-motorway_case_farzoom</v>
      </c>
      <c r="C381" s="65" t="s">
        <v>211</v>
      </c>
      <c r="D381" s="47" t="s">
        <v>214</v>
      </c>
      <c r="F381" s="65" t="s">
        <v>211</v>
      </c>
      <c r="G381" s="65" t="s">
        <v>211</v>
      </c>
      <c r="I381" s="66" t="str">
        <f>C381</f>
        <v>"#bf440f"</v>
      </c>
      <c r="J381" s="47" t="s">
        <v>214</v>
      </c>
      <c r="L381" s="65" t="s">
        <v>211</v>
      </c>
      <c r="M381" s="65" t="s">
        <v>211</v>
      </c>
      <c r="U381" s="65" t="s">
        <v>211</v>
      </c>
      <c r="V381" s="47" t="s">
        <v>214</v>
      </c>
      <c r="X381" s="65" t="s">
        <v>211</v>
      </c>
      <c r="Y381" s="65" t="s">
        <v>211</v>
      </c>
      <c r="AA381" s="2" t="s">
        <v>6</v>
      </c>
      <c r="AB381" s="2" t="str">
        <f t="shared" si="322"/>
        <v>-</v>
      </c>
      <c r="AC381" s="2" t="s">
        <v>16</v>
      </c>
      <c r="AD381" s="2" t="str">
        <f t="shared" si="323"/>
        <v>_</v>
      </c>
      <c r="AE381" s="2" t="s">
        <v>17</v>
      </c>
      <c r="AF381" s="2" t="str">
        <f t="shared" si="324"/>
        <v>_</v>
      </c>
      <c r="AG381" s="2" t="s">
        <v>20</v>
      </c>
      <c r="AH381" s="2" t="str">
        <f t="shared" si="442"/>
        <v/>
      </c>
      <c r="AI381" s="2"/>
    </row>
    <row r="382" spans="1:35" x14ac:dyDescent="0.25">
      <c r="B382" s="2" t="str">
        <f t="shared" si="473"/>
        <v>@color-motorway_case_default</v>
      </c>
      <c r="C382" s="67" t="s">
        <v>212</v>
      </c>
      <c r="D382" s="47" t="s">
        <v>214</v>
      </c>
      <c r="F382" s="47" t="s">
        <v>214</v>
      </c>
      <c r="G382" s="47" t="s">
        <v>214</v>
      </c>
      <c r="I382" s="68" t="str">
        <f>C382</f>
        <v>"#a15412"</v>
      </c>
      <c r="J382" s="47" t="s">
        <v>214</v>
      </c>
      <c r="L382" s="47" t="s">
        <v>214</v>
      </c>
      <c r="M382" s="47" t="s">
        <v>214</v>
      </c>
      <c r="U382" s="67" t="s">
        <v>212</v>
      </c>
      <c r="V382" s="47" t="s">
        <v>214</v>
      </c>
      <c r="X382" s="47" t="s">
        <v>214</v>
      </c>
      <c r="Y382" s="47" t="s">
        <v>214</v>
      </c>
      <c r="AA382" s="2" t="s">
        <v>6</v>
      </c>
      <c r="AB382" s="2" t="str">
        <f t="shared" si="322"/>
        <v>-</v>
      </c>
      <c r="AC382" s="2" t="s">
        <v>16</v>
      </c>
      <c r="AD382" s="2" t="str">
        <f t="shared" si="323"/>
        <v>_</v>
      </c>
      <c r="AE382" s="2" t="s">
        <v>17</v>
      </c>
      <c r="AF382" s="2" t="str">
        <f t="shared" si="324"/>
        <v>_</v>
      </c>
      <c r="AG382" s="2" t="s">
        <v>262</v>
      </c>
      <c r="AH382" s="2" t="str">
        <f t="shared" si="442"/>
        <v/>
      </c>
      <c r="AI382" s="2"/>
    </row>
    <row r="383" spans="1:35" x14ac:dyDescent="0.25">
      <c r="B383" s="2" t="str">
        <f t="shared" si="473"/>
        <v>@color-motorway_line_default</v>
      </c>
      <c r="C383" s="69" t="s">
        <v>213</v>
      </c>
      <c r="D383" s="70" t="s">
        <v>215</v>
      </c>
      <c r="F383" s="70" t="s">
        <v>215</v>
      </c>
      <c r="G383" s="70" t="s">
        <v>215</v>
      </c>
      <c r="I383" s="71" t="str">
        <f>C383</f>
        <v>"#ffcc88"</v>
      </c>
      <c r="J383" s="72" t="str">
        <f>D383</f>
        <v>"#d6771e"</v>
      </c>
      <c r="L383" s="70" t="s">
        <v>215</v>
      </c>
      <c r="M383" s="70" t="s">
        <v>215</v>
      </c>
      <c r="U383" s="69" t="s">
        <v>213</v>
      </c>
      <c r="V383" s="70" t="s">
        <v>215</v>
      </c>
      <c r="X383" s="70" t="s">
        <v>215</v>
      </c>
      <c r="Y383" s="70" t="s">
        <v>215</v>
      </c>
      <c r="AA383" s="2" t="s">
        <v>6</v>
      </c>
      <c r="AB383" s="2" t="str">
        <f t="shared" si="322"/>
        <v>-</v>
      </c>
      <c r="AC383" s="2" t="s">
        <v>16</v>
      </c>
      <c r="AD383" s="2" t="str">
        <f t="shared" si="323"/>
        <v>_</v>
      </c>
      <c r="AE383" s="2" t="s">
        <v>13</v>
      </c>
      <c r="AF383" s="2" t="str">
        <f t="shared" si="324"/>
        <v>_</v>
      </c>
      <c r="AG383" s="2" t="s">
        <v>262</v>
      </c>
      <c r="AH383" s="2" t="str">
        <f t="shared" si="442"/>
        <v/>
      </c>
      <c r="AI383" s="2"/>
    </row>
    <row r="384" spans="1:35" x14ac:dyDescent="0.25">
      <c r="AB384" s="28" t="str">
        <f t="shared" si="322"/>
        <v/>
      </c>
      <c r="AD384" s="28" t="str">
        <f t="shared" si="323"/>
        <v/>
      </c>
      <c r="AF384" s="28" t="str">
        <f t="shared" si="324"/>
        <v/>
      </c>
      <c r="AH384" s="28" t="str">
        <f t="shared" si="442"/>
        <v/>
      </c>
    </row>
    <row r="385" spans="1:35" s="2" customFormat="1" x14ac:dyDescent="0.25">
      <c r="A385" s="3" t="s">
        <v>45</v>
      </c>
      <c r="B385" s="3"/>
      <c r="C385" s="27"/>
      <c r="D385" s="6"/>
      <c r="E385" s="7"/>
      <c r="F385" s="6"/>
      <c r="G385" s="6"/>
      <c r="H385" s="7"/>
      <c r="I385" s="6"/>
      <c r="J385" s="6"/>
      <c r="K385" s="7"/>
      <c r="L385" s="6"/>
      <c r="M385" s="6"/>
      <c r="N385" s="7"/>
      <c r="O385" s="6"/>
      <c r="P385" s="6"/>
      <c r="Q385" s="7"/>
      <c r="R385" s="6"/>
      <c r="S385" s="6"/>
      <c r="T385" s="7"/>
      <c r="U385" s="27"/>
      <c r="V385" s="6"/>
      <c r="W385" s="7"/>
      <c r="X385" s="6"/>
      <c r="Y385" s="6"/>
      <c r="AA385" s="4"/>
      <c r="AB385" s="4" t="str">
        <f t="shared" si="322"/>
        <v/>
      </c>
      <c r="AC385" s="4"/>
      <c r="AD385" s="4" t="str">
        <f t="shared" si="323"/>
        <v/>
      </c>
      <c r="AE385" s="4"/>
      <c r="AF385" s="4" t="str">
        <f t="shared" si="324"/>
        <v/>
      </c>
      <c r="AG385" s="4"/>
      <c r="AH385" s="4" t="str">
        <f t="shared" si="442"/>
        <v/>
      </c>
      <c r="AI385" s="4"/>
    </row>
    <row r="386" spans="1:35" x14ac:dyDescent="0.25">
      <c r="B386" s="2" t="str">
        <f t="shared" ref="B386:B394" si="474">_xlfn.CONCAT("@",AA386,AB386,AC386,AD386,AE386,AF386,AG386,AH386,AI386)</f>
        <v>@color-trunk_case_bicycle_no_default</v>
      </c>
      <c r="C386" s="73" t="s">
        <v>226</v>
      </c>
      <c r="D386" s="47" t="s">
        <v>214</v>
      </c>
      <c r="F386" s="47" t="s">
        <v>214</v>
      </c>
      <c r="G386" s="47" t="s">
        <v>214</v>
      </c>
      <c r="I386" s="74" t="str">
        <f>C386</f>
        <v>"#bd430f"</v>
      </c>
      <c r="J386" s="37" t="str">
        <f>D386</f>
        <v>"#000000"</v>
      </c>
      <c r="L386" s="47" t="s">
        <v>214</v>
      </c>
      <c r="M386" s="47" t="s">
        <v>214</v>
      </c>
      <c r="U386" s="73" t="s">
        <v>226</v>
      </c>
      <c r="V386" s="47" t="s">
        <v>214</v>
      </c>
      <c r="X386" s="47" t="s">
        <v>214</v>
      </c>
      <c r="Y386" s="47" t="s">
        <v>214</v>
      </c>
      <c r="AA386" s="28" t="s">
        <v>6</v>
      </c>
      <c r="AB386" s="2" t="str">
        <f t="shared" si="322"/>
        <v>-</v>
      </c>
      <c r="AC386" s="2" t="s">
        <v>18</v>
      </c>
      <c r="AD386" s="2" t="str">
        <f t="shared" ref="AD386" si="475">IF(NOT(ISBLANK(AE386)),"_","")</f>
        <v>_</v>
      </c>
      <c r="AE386" s="28" t="s">
        <v>17</v>
      </c>
      <c r="AF386" s="2" t="str">
        <f t="shared" ref="AF386" si="476">IF(NOT(ISBLANK(AG386)),"_","")</f>
        <v>_</v>
      </c>
      <c r="AG386" s="28" t="s">
        <v>23</v>
      </c>
      <c r="AH386" s="2" t="str">
        <f t="shared" si="442"/>
        <v>_</v>
      </c>
      <c r="AI386" s="28" t="s">
        <v>262</v>
      </c>
    </row>
    <row r="387" spans="1:35" x14ac:dyDescent="0.25">
      <c r="B387" s="2" t="str">
        <f t="shared" si="474"/>
        <v>@color-trunk_case_bicycle_no_farzoom</v>
      </c>
      <c r="C387" s="73" t="s">
        <v>226</v>
      </c>
      <c r="D387" s="47" t="s">
        <v>214</v>
      </c>
      <c r="F387" s="73" t="s">
        <v>226</v>
      </c>
      <c r="G387" s="73" t="s">
        <v>226</v>
      </c>
      <c r="I387" s="74" t="str">
        <f>C387</f>
        <v>"#bd430f"</v>
      </c>
      <c r="J387" s="37" t="str">
        <f>D387</f>
        <v>"#000000"</v>
      </c>
      <c r="L387" s="73" t="s">
        <v>226</v>
      </c>
      <c r="M387" s="73" t="s">
        <v>226</v>
      </c>
      <c r="U387" s="73" t="s">
        <v>226</v>
      </c>
      <c r="V387" s="47" t="s">
        <v>214</v>
      </c>
      <c r="X387" s="73" t="s">
        <v>226</v>
      </c>
      <c r="Y387" s="73" t="s">
        <v>226</v>
      </c>
      <c r="AA387" s="28" t="s">
        <v>6</v>
      </c>
      <c r="AB387" s="2" t="str">
        <f t="shared" ref="AB387" si="477">IF(NOT(ISBLANK(AC387)),"-","")</f>
        <v>-</v>
      </c>
      <c r="AC387" s="2" t="s">
        <v>18</v>
      </c>
      <c r="AD387" s="2" t="str">
        <f t="shared" ref="AD387" si="478">IF(NOT(ISBLANK(AE387)),"_","")</f>
        <v>_</v>
      </c>
      <c r="AE387" s="28" t="s">
        <v>17</v>
      </c>
      <c r="AF387" s="2" t="str">
        <f t="shared" ref="AF387" si="479">IF(NOT(ISBLANK(AG387)),"_","")</f>
        <v>_</v>
      </c>
      <c r="AG387" s="28" t="s">
        <v>23</v>
      </c>
      <c r="AH387" s="2" t="str">
        <f t="shared" si="442"/>
        <v>_</v>
      </c>
      <c r="AI387" s="28" t="s">
        <v>20</v>
      </c>
    </row>
    <row r="388" spans="1:35" x14ac:dyDescent="0.25">
      <c r="B388" s="2" t="str">
        <f t="shared" si="474"/>
        <v>@color-trunk_case_unpaved_farzoom</v>
      </c>
      <c r="C388" s="75" t="s">
        <v>227</v>
      </c>
      <c r="D388" s="76" t="s">
        <v>229</v>
      </c>
      <c r="F388" s="76" t="s">
        <v>229</v>
      </c>
      <c r="G388" s="75" t="s">
        <v>227</v>
      </c>
      <c r="I388" s="75" t="s">
        <v>227</v>
      </c>
      <c r="J388" s="76" t="s">
        <v>229</v>
      </c>
      <c r="L388" s="76" t="s">
        <v>229</v>
      </c>
      <c r="M388" s="75" t="s">
        <v>227</v>
      </c>
      <c r="U388" s="78" t="s">
        <v>228</v>
      </c>
      <c r="V388" s="47" t="s">
        <v>214</v>
      </c>
      <c r="X388" s="78" t="s">
        <v>228</v>
      </c>
      <c r="Y388" s="78" t="s">
        <v>228</v>
      </c>
      <c r="AA388" s="28" t="s">
        <v>6</v>
      </c>
      <c r="AB388" s="2" t="str">
        <f>IF(NOT(ISBLANK(AC388)),"-","")</f>
        <v>-</v>
      </c>
      <c r="AC388" s="2" t="s">
        <v>18</v>
      </c>
      <c r="AD388" s="2" t="str">
        <f>IF(NOT(ISBLANK(AE388)),"_","")</f>
        <v>_</v>
      </c>
      <c r="AE388" s="28" t="s">
        <v>17</v>
      </c>
      <c r="AF388" s="2" t="str">
        <f>IF(NOT(ISBLANK(AG388)),"_","")</f>
        <v>_</v>
      </c>
      <c r="AG388" s="28" t="s">
        <v>21</v>
      </c>
      <c r="AH388" s="2" t="str">
        <f>IF(NOT(ISBLANK(AI388)),"_","")</f>
        <v>_</v>
      </c>
      <c r="AI388" s="28" t="s">
        <v>20</v>
      </c>
    </row>
    <row r="389" spans="1:35" x14ac:dyDescent="0.25">
      <c r="B389" s="2" t="str">
        <f t="shared" si="474"/>
        <v>@color-trunk_case_unpaved_default</v>
      </c>
      <c r="C389" s="77" t="s">
        <v>217</v>
      </c>
      <c r="D389" s="47" t="s">
        <v>214</v>
      </c>
      <c r="F389" s="47" t="s">
        <v>214</v>
      </c>
      <c r="G389" s="47" t="s">
        <v>214</v>
      </c>
      <c r="I389" s="77" t="s">
        <v>217</v>
      </c>
      <c r="J389" s="47" t="s">
        <v>214</v>
      </c>
      <c r="L389" s="47" t="s">
        <v>214</v>
      </c>
      <c r="M389" s="47" t="s">
        <v>214</v>
      </c>
      <c r="U389" s="79" t="s">
        <v>218</v>
      </c>
      <c r="V389" s="47" t="s">
        <v>214</v>
      </c>
      <c r="X389" s="47" t="s">
        <v>214</v>
      </c>
      <c r="Y389" s="47" t="s">
        <v>214</v>
      </c>
      <c r="AA389" s="28" t="s">
        <v>6</v>
      </c>
      <c r="AB389" s="28" t="str">
        <f t="shared" si="322"/>
        <v>-</v>
      </c>
      <c r="AC389" s="2" t="s">
        <v>18</v>
      </c>
      <c r="AD389" s="28" t="str">
        <f t="shared" si="323"/>
        <v>_</v>
      </c>
      <c r="AE389" s="28" t="s">
        <v>17</v>
      </c>
      <c r="AF389" s="28" t="str">
        <f t="shared" si="324"/>
        <v>_</v>
      </c>
      <c r="AG389" s="28" t="s">
        <v>21</v>
      </c>
      <c r="AH389" s="28" t="str">
        <f t="shared" ref="AH389:AH398" si="480">IF(NOT(ISBLANK(AI389)),"_","")</f>
        <v>_</v>
      </c>
      <c r="AI389" s="28" t="s">
        <v>262</v>
      </c>
    </row>
    <row r="390" spans="1:35" x14ac:dyDescent="0.25">
      <c r="B390" s="2" t="str">
        <f t="shared" si="474"/>
        <v>@color-trunk_case_paved_or_uk_farzoom</v>
      </c>
      <c r="C390" s="78" t="s">
        <v>228</v>
      </c>
      <c r="D390" s="47" t="s">
        <v>214</v>
      </c>
      <c r="F390" s="78" t="s">
        <v>228</v>
      </c>
      <c r="G390" s="78" t="s">
        <v>228</v>
      </c>
      <c r="I390" s="78" t="s">
        <v>228</v>
      </c>
      <c r="J390" s="47" t="s">
        <v>214</v>
      </c>
      <c r="L390" s="78" t="s">
        <v>228</v>
      </c>
      <c r="M390" s="78" t="s">
        <v>228</v>
      </c>
      <c r="U390" s="78" t="s">
        <v>228</v>
      </c>
      <c r="V390" s="47" t="s">
        <v>214</v>
      </c>
      <c r="X390" s="78" t="s">
        <v>228</v>
      </c>
      <c r="Y390" s="78" t="s">
        <v>228</v>
      </c>
      <c r="AA390" s="2" t="s">
        <v>6</v>
      </c>
      <c r="AB390" s="2" t="str">
        <f t="shared" si="322"/>
        <v>-</v>
      </c>
      <c r="AC390" s="2" t="s">
        <v>18</v>
      </c>
      <c r="AD390" s="2" t="str">
        <f t="shared" si="323"/>
        <v>_</v>
      </c>
      <c r="AE390" s="2" t="s">
        <v>17</v>
      </c>
      <c r="AF390" s="2" t="str">
        <f t="shared" si="324"/>
        <v>_</v>
      </c>
      <c r="AG390" s="2" t="s">
        <v>24</v>
      </c>
      <c r="AH390" s="2" t="str">
        <f t="shared" si="480"/>
        <v>_</v>
      </c>
      <c r="AI390" s="28" t="s">
        <v>20</v>
      </c>
    </row>
    <row r="391" spans="1:35" x14ac:dyDescent="0.25">
      <c r="B391" s="2" t="str">
        <f t="shared" si="474"/>
        <v>@color-trunk_case_paved_or_uk_default</v>
      </c>
      <c r="C391" s="79" t="s">
        <v>218</v>
      </c>
      <c r="D391" s="47" t="s">
        <v>214</v>
      </c>
      <c r="F391" s="47" t="s">
        <v>214</v>
      </c>
      <c r="G391" s="47" t="s">
        <v>214</v>
      </c>
      <c r="I391" s="79" t="s">
        <v>218</v>
      </c>
      <c r="J391" s="47" t="s">
        <v>214</v>
      </c>
      <c r="L391" s="47" t="s">
        <v>214</v>
      </c>
      <c r="M391" s="47" t="s">
        <v>214</v>
      </c>
      <c r="U391" s="79" t="s">
        <v>218</v>
      </c>
      <c r="V391" s="47" t="s">
        <v>214</v>
      </c>
      <c r="X391" s="47" t="s">
        <v>214</v>
      </c>
      <c r="Y391" s="47" t="s">
        <v>214</v>
      </c>
      <c r="AA391" s="2" t="s">
        <v>6</v>
      </c>
      <c r="AB391" s="2" t="str">
        <f t="shared" si="322"/>
        <v>-</v>
      </c>
      <c r="AC391" s="2" t="s">
        <v>18</v>
      </c>
      <c r="AD391" s="2" t="str">
        <f t="shared" si="323"/>
        <v>_</v>
      </c>
      <c r="AE391" s="2" t="s">
        <v>17</v>
      </c>
      <c r="AF391" s="2" t="str">
        <f t="shared" si="324"/>
        <v>_</v>
      </c>
      <c r="AG391" s="2" t="s">
        <v>24</v>
      </c>
      <c r="AH391" s="2" t="str">
        <f t="shared" si="480"/>
        <v>_</v>
      </c>
      <c r="AI391" s="28" t="s">
        <v>262</v>
      </c>
    </row>
    <row r="392" spans="1:35" x14ac:dyDescent="0.25">
      <c r="B392" s="2" t="str">
        <f t="shared" si="474"/>
        <v>@color-trunk_line_bicycle_no</v>
      </c>
      <c r="C392" s="69" t="s">
        <v>213</v>
      </c>
      <c r="D392" s="70" t="s">
        <v>215</v>
      </c>
      <c r="F392" s="69" t="s">
        <v>213</v>
      </c>
      <c r="G392" s="70" t="s">
        <v>215</v>
      </c>
      <c r="I392" s="71" t="str">
        <f>C392</f>
        <v>"#ffcc88"</v>
      </c>
      <c r="J392" s="72" t="str">
        <f>D392</f>
        <v>"#d6771e"</v>
      </c>
      <c r="L392" s="69" t="s">
        <v>213</v>
      </c>
      <c r="M392" s="70" t="s">
        <v>215</v>
      </c>
      <c r="U392" s="69" t="s">
        <v>213</v>
      </c>
      <c r="V392" s="70" t="s">
        <v>215</v>
      </c>
      <c r="X392" s="69" t="s">
        <v>213</v>
      </c>
      <c r="Y392" s="70" t="s">
        <v>215</v>
      </c>
      <c r="AA392" s="2" t="s">
        <v>6</v>
      </c>
      <c r="AB392" s="2" t="str">
        <f t="shared" si="322"/>
        <v>-</v>
      </c>
      <c r="AC392" s="2" t="s">
        <v>18</v>
      </c>
      <c r="AD392" s="2" t="str">
        <f t="shared" si="323"/>
        <v>_</v>
      </c>
      <c r="AE392" s="2" t="s">
        <v>13</v>
      </c>
      <c r="AF392" s="2" t="str">
        <f t="shared" si="324"/>
        <v>_</v>
      </c>
      <c r="AG392" s="2" t="s">
        <v>23</v>
      </c>
      <c r="AH392" s="2" t="str">
        <f t="shared" si="480"/>
        <v/>
      </c>
      <c r="AI392" s="2"/>
    </row>
    <row r="393" spans="1:35" x14ac:dyDescent="0.25">
      <c r="B393" s="2" t="str">
        <f t="shared" si="474"/>
        <v>@color-trunk_line_unpaved_default</v>
      </c>
      <c r="C393" s="80" t="s">
        <v>221</v>
      </c>
      <c r="D393" s="81" t="str">
        <f>C393</f>
        <v>"#eddfca"</v>
      </c>
      <c r="F393" s="80" t="s">
        <v>221</v>
      </c>
      <c r="G393" s="81" t="str">
        <f>F393</f>
        <v>"#eddfca"</v>
      </c>
      <c r="I393" s="80" t="s">
        <v>221</v>
      </c>
      <c r="J393" s="81" t="str">
        <f>I393</f>
        <v>"#eddfca"</v>
      </c>
      <c r="L393" s="80" t="s">
        <v>221</v>
      </c>
      <c r="M393" s="81" t="str">
        <f>L393</f>
        <v>"#eddfca"</v>
      </c>
      <c r="U393" s="46" t="s">
        <v>222</v>
      </c>
      <c r="V393" s="38" t="str">
        <f>U393</f>
        <v>"#ffffff"</v>
      </c>
      <c r="X393" s="46" t="s">
        <v>222</v>
      </c>
      <c r="Y393" s="38" t="str">
        <f>X393</f>
        <v>"#ffffff"</v>
      </c>
      <c r="AA393" s="2" t="s">
        <v>6</v>
      </c>
      <c r="AB393" s="2" t="str">
        <f t="shared" si="322"/>
        <v>-</v>
      </c>
      <c r="AC393" s="2" t="s">
        <v>18</v>
      </c>
      <c r="AD393" s="2" t="str">
        <f t="shared" si="323"/>
        <v>_</v>
      </c>
      <c r="AE393" s="2" t="s">
        <v>13</v>
      </c>
      <c r="AF393" s="2" t="str">
        <f t="shared" si="324"/>
        <v>_</v>
      </c>
      <c r="AG393" s="2" t="s">
        <v>21</v>
      </c>
      <c r="AH393" s="2" t="str">
        <f t="shared" si="480"/>
        <v>_</v>
      </c>
      <c r="AI393" s="28" t="s">
        <v>262</v>
      </c>
    </row>
    <row r="394" spans="1:35" x14ac:dyDescent="0.25">
      <c r="B394" s="2" t="str">
        <f t="shared" si="474"/>
        <v>@color-trunk_line_paved_or_uk_default</v>
      </c>
      <c r="C394" s="46" t="s">
        <v>222</v>
      </c>
      <c r="D394" s="38" t="str">
        <f>C394</f>
        <v>"#ffffff"</v>
      </c>
      <c r="F394" s="46" t="s">
        <v>222</v>
      </c>
      <c r="G394" s="38" t="str">
        <f>F394</f>
        <v>"#ffffff"</v>
      </c>
      <c r="I394" s="46" t="s">
        <v>222</v>
      </c>
      <c r="J394" s="38" t="str">
        <f>I394</f>
        <v>"#ffffff"</v>
      </c>
      <c r="L394" s="46" t="s">
        <v>222</v>
      </c>
      <c r="M394" s="38" t="str">
        <f>L394</f>
        <v>"#ffffff"</v>
      </c>
      <c r="U394" s="46" t="s">
        <v>222</v>
      </c>
      <c r="V394" s="38" t="str">
        <f>U394</f>
        <v>"#ffffff"</v>
      </c>
      <c r="X394" s="46" t="s">
        <v>222</v>
      </c>
      <c r="Y394" s="38" t="str">
        <f>X394</f>
        <v>"#ffffff"</v>
      </c>
      <c r="AA394" s="28" t="s">
        <v>6</v>
      </c>
      <c r="AB394" s="28" t="str">
        <f t="shared" si="322"/>
        <v>-</v>
      </c>
      <c r="AC394" s="28" t="s">
        <v>18</v>
      </c>
      <c r="AD394" s="28" t="str">
        <f t="shared" si="323"/>
        <v>_</v>
      </c>
      <c r="AE394" s="28" t="s">
        <v>13</v>
      </c>
      <c r="AF394" s="28" t="str">
        <f t="shared" si="324"/>
        <v>_</v>
      </c>
      <c r="AG394" s="28" t="s">
        <v>24</v>
      </c>
      <c r="AH394" s="28" t="str">
        <f t="shared" si="480"/>
        <v>_</v>
      </c>
      <c r="AI394" s="28" t="s">
        <v>262</v>
      </c>
    </row>
    <row r="395" spans="1:35" x14ac:dyDescent="0.25">
      <c r="B395" s="2"/>
      <c r="AB395" s="28" t="str">
        <f t="shared" si="322"/>
        <v/>
      </c>
      <c r="AD395" s="28" t="str">
        <f t="shared" si="323"/>
        <v/>
      </c>
      <c r="AF395" s="28" t="str">
        <f t="shared" si="324"/>
        <v/>
      </c>
      <c r="AH395" s="28" t="str">
        <f t="shared" si="480"/>
        <v/>
      </c>
    </row>
    <row r="396" spans="1:35" s="2" customFormat="1" x14ac:dyDescent="0.25">
      <c r="A396" s="3" t="s">
        <v>44</v>
      </c>
      <c r="B396" s="3"/>
      <c r="C396" s="27"/>
      <c r="D396" s="6"/>
      <c r="E396" s="7"/>
      <c r="F396" s="6"/>
      <c r="G396" s="6"/>
      <c r="H396" s="7"/>
      <c r="I396" s="6"/>
      <c r="J396" s="6"/>
      <c r="K396" s="7"/>
      <c r="L396" s="6"/>
      <c r="M396" s="6"/>
      <c r="N396" s="7"/>
      <c r="O396" s="6"/>
      <c r="P396" s="6"/>
      <c r="Q396" s="7"/>
      <c r="R396" s="6"/>
      <c r="S396" s="6"/>
      <c r="T396" s="7"/>
      <c r="U396" s="27"/>
      <c r="V396" s="6"/>
      <c r="W396" s="7"/>
      <c r="X396" s="6"/>
      <c r="Y396" s="6"/>
      <c r="AA396" s="4"/>
      <c r="AB396" s="4" t="str">
        <f t="shared" si="322"/>
        <v/>
      </c>
      <c r="AC396" s="4"/>
      <c r="AD396" s="4" t="str">
        <f t="shared" si="323"/>
        <v/>
      </c>
      <c r="AE396" s="4"/>
      <c r="AF396" s="4" t="str">
        <f t="shared" si="324"/>
        <v/>
      </c>
      <c r="AG396" s="4"/>
      <c r="AH396" s="4" t="str">
        <f t="shared" si="480"/>
        <v/>
      </c>
      <c r="AI396" s="4"/>
    </row>
    <row r="397" spans="1:35" x14ac:dyDescent="0.25">
      <c r="B397" s="2" t="str">
        <f t="shared" ref="B397:B405" si="481">_xlfn.CONCAT("@",AA397,AB397,AC397,AD397,AE397,AF397,AG397,AH397,AI397)</f>
        <v>@color-primary_case_bicycle_no_default</v>
      </c>
      <c r="C397" s="73" t="s">
        <v>226</v>
      </c>
      <c r="D397" s="47" t="s">
        <v>214</v>
      </c>
      <c r="F397" s="47" t="s">
        <v>214</v>
      </c>
      <c r="G397" s="47" t="s">
        <v>214</v>
      </c>
      <c r="I397" s="74" t="str">
        <f>C397</f>
        <v>"#bd430f"</v>
      </c>
      <c r="J397" s="37" t="str">
        <f>D397</f>
        <v>"#000000"</v>
      </c>
      <c r="L397" s="47" t="s">
        <v>214</v>
      </c>
      <c r="M397" s="47" t="s">
        <v>214</v>
      </c>
      <c r="U397" s="73" t="s">
        <v>226</v>
      </c>
      <c r="V397" s="47" t="s">
        <v>214</v>
      </c>
      <c r="X397" s="47" t="s">
        <v>214</v>
      </c>
      <c r="Y397" s="47" t="s">
        <v>214</v>
      </c>
      <c r="AA397" s="28" t="s">
        <v>6</v>
      </c>
      <c r="AB397" s="2" t="str">
        <f t="shared" ref="AB397:AB506" si="482">IF(NOT(ISBLANK(AC397)),"-","")</f>
        <v>-</v>
      </c>
      <c r="AC397" s="2" t="s">
        <v>25</v>
      </c>
      <c r="AD397" s="2" t="str">
        <f t="shared" si="323"/>
        <v>_</v>
      </c>
      <c r="AE397" s="28" t="s">
        <v>17</v>
      </c>
      <c r="AF397" s="2" t="str">
        <f t="shared" si="324"/>
        <v>_</v>
      </c>
      <c r="AG397" s="28" t="s">
        <v>23</v>
      </c>
      <c r="AH397" s="2" t="str">
        <f t="shared" si="480"/>
        <v>_</v>
      </c>
      <c r="AI397" s="28" t="s">
        <v>262</v>
      </c>
    </row>
    <row r="398" spans="1:35" x14ac:dyDescent="0.25">
      <c r="B398" s="2" t="str">
        <f t="shared" si="481"/>
        <v>@color-primary_case_bicycle_no_farzoom</v>
      </c>
      <c r="C398" s="73" t="s">
        <v>226</v>
      </c>
      <c r="D398" s="47" t="s">
        <v>214</v>
      </c>
      <c r="F398" s="73" t="s">
        <v>226</v>
      </c>
      <c r="G398" s="73" t="s">
        <v>226</v>
      </c>
      <c r="I398" s="74" t="str">
        <f>C398</f>
        <v>"#bd430f"</v>
      </c>
      <c r="J398" s="37" t="str">
        <f>D398</f>
        <v>"#000000"</v>
      </c>
      <c r="L398" s="73" t="s">
        <v>226</v>
      </c>
      <c r="M398" s="73" t="s">
        <v>226</v>
      </c>
      <c r="U398" s="73" t="s">
        <v>226</v>
      </c>
      <c r="V398" s="47" t="s">
        <v>214</v>
      </c>
      <c r="X398" s="73" t="s">
        <v>226</v>
      </c>
      <c r="Y398" s="73" t="s">
        <v>226</v>
      </c>
      <c r="AA398" s="28" t="s">
        <v>6</v>
      </c>
      <c r="AB398" s="2" t="str">
        <f t="shared" ref="AB398" si="483">IF(NOT(ISBLANK(AC398)),"-","")</f>
        <v>-</v>
      </c>
      <c r="AC398" s="2" t="s">
        <v>25</v>
      </c>
      <c r="AD398" s="2" t="str">
        <f t="shared" ref="AD398" si="484">IF(NOT(ISBLANK(AE398)),"_","")</f>
        <v>_</v>
      </c>
      <c r="AE398" s="28" t="s">
        <v>17</v>
      </c>
      <c r="AF398" s="2" t="str">
        <f t="shared" ref="AF398" si="485">IF(NOT(ISBLANK(AG398)),"_","")</f>
        <v>_</v>
      </c>
      <c r="AG398" s="28" t="s">
        <v>23</v>
      </c>
      <c r="AH398" s="2" t="str">
        <f t="shared" si="480"/>
        <v>_</v>
      </c>
      <c r="AI398" s="28" t="s">
        <v>20</v>
      </c>
    </row>
    <row r="399" spans="1:35" x14ac:dyDescent="0.25">
      <c r="B399" s="2" t="str">
        <f t="shared" si="481"/>
        <v>@color-primary_case_unpaved_farzoom</v>
      </c>
      <c r="C399" s="75" t="s">
        <v>227</v>
      </c>
      <c r="D399" s="76" t="s">
        <v>229</v>
      </c>
      <c r="F399" s="76" t="s">
        <v>229</v>
      </c>
      <c r="G399" s="75" t="s">
        <v>227</v>
      </c>
      <c r="I399" s="75" t="s">
        <v>227</v>
      </c>
      <c r="J399" s="76" t="s">
        <v>229</v>
      </c>
      <c r="L399" s="76" t="s">
        <v>229</v>
      </c>
      <c r="M399" s="75" t="s">
        <v>227</v>
      </c>
      <c r="U399" s="78" t="s">
        <v>228</v>
      </c>
      <c r="V399" s="47" t="s">
        <v>214</v>
      </c>
      <c r="X399" s="78" t="s">
        <v>228</v>
      </c>
      <c r="Y399" s="78" t="s">
        <v>228</v>
      </c>
      <c r="AA399" s="28" t="s">
        <v>6</v>
      </c>
      <c r="AB399" s="2" t="str">
        <f>IF(NOT(ISBLANK(AC399)),"-","")</f>
        <v>-</v>
      </c>
      <c r="AC399" s="2" t="s">
        <v>25</v>
      </c>
      <c r="AD399" s="2" t="str">
        <f>IF(NOT(ISBLANK(AE399)),"_","")</f>
        <v>_</v>
      </c>
      <c r="AE399" s="28" t="s">
        <v>17</v>
      </c>
      <c r="AF399" s="2" t="str">
        <f>IF(NOT(ISBLANK(AG399)),"_","")</f>
        <v>_</v>
      </c>
      <c r="AG399" s="28" t="s">
        <v>21</v>
      </c>
      <c r="AH399" s="2" t="str">
        <f>IF(NOT(ISBLANK(AI399)),"_","")</f>
        <v>_</v>
      </c>
      <c r="AI399" s="28" t="s">
        <v>20</v>
      </c>
    </row>
    <row r="400" spans="1:35" x14ac:dyDescent="0.25">
      <c r="B400" s="2" t="str">
        <f t="shared" si="481"/>
        <v>@color-primary_case_unpaved_default</v>
      </c>
      <c r="C400" s="77" t="s">
        <v>217</v>
      </c>
      <c r="D400" s="76" t="s">
        <v>229</v>
      </c>
      <c r="F400" s="47" t="s">
        <v>214</v>
      </c>
      <c r="G400" s="47" t="s">
        <v>214</v>
      </c>
      <c r="I400" s="77" t="s">
        <v>217</v>
      </c>
      <c r="J400" s="76" t="s">
        <v>229</v>
      </c>
      <c r="L400" s="47" t="s">
        <v>214</v>
      </c>
      <c r="M400" s="47" t="s">
        <v>214</v>
      </c>
      <c r="U400" s="79" t="s">
        <v>218</v>
      </c>
      <c r="V400" s="47" t="s">
        <v>214</v>
      </c>
      <c r="X400" s="47" t="s">
        <v>214</v>
      </c>
      <c r="Y400" s="47" t="s">
        <v>214</v>
      </c>
      <c r="AA400" s="28" t="s">
        <v>6</v>
      </c>
      <c r="AB400" s="2" t="str">
        <f t="shared" si="482"/>
        <v>-</v>
      </c>
      <c r="AC400" s="2" t="s">
        <v>25</v>
      </c>
      <c r="AD400" s="2" t="str">
        <f t="shared" si="323"/>
        <v>_</v>
      </c>
      <c r="AE400" s="28" t="s">
        <v>17</v>
      </c>
      <c r="AF400" s="2" t="str">
        <f t="shared" si="324"/>
        <v>_</v>
      </c>
      <c r="AG400" s="28" t="s">
        <v>21</v>
      </c>
      <c r="AH400" s="28" t="str">
        <f t="shared" ref="AH400:AH402" si="486">IF(NOT(ISBLANK(AI400)),"_","")</f>
        <v>_</v>
      </c>
      <c r="AI400" s="28" t="s">
        <v>262</v>
      </c>
    </row>
    <row r="401" spans="2:35" x14ac:dyDescent="0.25">
      <c r="B401" s="2" t="str">
        <f t="shared" si="481"/>
        <v>@color-primary_case_paved_or_uk_farzoom</v>
      </c>
      <c r="C401" s="78" t="s">
        <v>228</v>
      </c>
      <c r="D401" s="47" t="s">
        <v>214</v>
      </c>
      <c r="F401" s="78" t="s">
        <v>228</v>
      </c>
      <c r="G401" s="78" t="s">
        <v>228</v>
      </c>
      <c r="I401" s="78" t="s">
        <v>228</v>
      </c>
      <c r="J401" s="47" t="s">
        <v>214</v>
      </c>
      <c r="L401" s="78" t="s">
        <v>228</v>
      </c>
      <c r="M401" s="78" t="s">
        <v>228</v>
      </c>
      <c r="U401" s="78" t="s">
        <v>228</v>
      </c>
      <c r="V401" s="47" t="s">
        <v>214</v>
      </c>
      <c r="X401" s="78" t="s">
        <v>228</v>
      </c>
      <c r="Y401" s="78" t="s">
        <v>228</v>
      </c>
      <c r="AA401" s="2" t="s">
        <v>6</v>
      </c>
      <c r="AB401" s="2" t="str">
        <f t="shared" si="482"/>
        <v>-</v>
      </c>
      <c r="AC401" s="2" t="s">
        <v>25</v>
      </c>
      <c r="AD401" s="2" t="str">
        <f t="shared" ref="AD401" si="487">IF(NOT(ISBLANK(AE401)),"_","")</f>
        <v>_</v>
      </c>
      <c r="AE401" s="2" t="s">
        <v>17</v>
      </c>
      <c r="AF401" s="2" t="str">
        <f t="shared" ref="AF401" si="488">IF(NOT(ISBLANK(AG401)),"_","")</f>
        <v>_</v>
      </c>
      <c r="AG401" s="2" t="s">
        <v>24</v>
      </c>
      <c r="AH401" s="2" t="str">
        <f t="shared" si="486"/>
        <v>_</v>
      </c>
      <c r="AI401" s="28" t="s">
        <v>20</v>
      </c>
    </row>
    <row r="402" spans="2:35" x14ac:dyDescent="0.25">
      <c r="B402" s="2" t="str">
        <f t="shared" si="481"/>
        <v>@color-primary_case_paved_or_uk_default</v>
      </c>
      <c r="C402" s="79" t="s">
        <v>218</v>
      </c>
      <c r="D402" s="47" t="s">
        <v>214</v>
      </c>
      <c r="F402" s="47" t="s">
        <v>214</v>
      </c>
      <c r="G402" s="47" t="s">
        <v>214</v>
      </c>
      <c r="I402" s="79" t="s">
        <v>218</v>
      </c>
      <c r="J402" s="47" t="s">
        <v>214</v>
      </c>
      <c r="L402" s="47" t="s">
        <v>214</v>
      </c>
      <c r="M402" s="47" t="s">
        <v>214</v>
      </c>
      <c r="U402" s="79" t="s">
        <v>218</v>
      </c>
      <c r="V402" s="47" t="s">
        <v>214</v>
      </c>
      <c r="X402" s="47" t="s">
        <v>214</v>
      </c>
      <c r="Y402" s="47" t="s">
        <v>214</v>
      </c>
      <c r="AA402" s="2" t="s">
        <v>6</v>
      </c>
      <c r="AB402" s="2" t="str">
        <f t="shared" si="482"/>
        <v>-</v>
      </c>
      <c r="AC402" s="28" t="s">
        <v>25</v>
      </c>
      <c r="AD402" s="2" t="str">
        <f t="shared" ref="AD402:AD506" si="489">IF(NOT(ISBLANK(AE402)),"_","")</f>
        <v>_</v>
      </c>
      <c r="AE402" s="2" t="s">
        <v>17</v>
      </c>
      <c r="AF402" s="2" t="str">
        <f t="shared" ref="AF402:AF506" si="490">IF(NOT(ISBLANK(AG402)),"_","")</f>
        <v>_</v>
      </c>
      <c r="AG402" s="2" t="s">
        <v>24</v>
      </c>
      <c r="AH402" s="2" t="str">
        <f t="shared" si="486"/>
        <v>_</v>
      </c>
      <c r="AI402" s="28" t="s">
        <v>262</v>
      </c>
    </row>
    <row r="403" spans="2:35" x14ac:dyDescent="0.25">
      <c r="B403" s="2" t="str">
        <f t="shared" si="481"/>
        <v>@color-primary_line_bicycle_no</v>
      </c>
      <c r="C403" s="82" t="s">
        <v>231</v>
      </c>
      <c r="D403" s="70" t="s">
        <v>215</v>
      </c>
      <c r="F403" s="82" t="s">
        <v>231</v>
      </c>
      <c r="G403" s="70" t="s">
        <v>215</v>
      </c>
      <c r="I403" s="83" t="str">
        <f>C403</f>
        <v>"#ffcc8a"</v>
      </c>
      <c r="J403" s="72" t="str">
        <f>D403</f>
        <v>"#d6771e"</v>
      </c>
      <c r="L403" s="82" t="s">
        <v>231</v>
      </c>
      <c r="M403" s="70" t="s">
        <v>215</v>
      </c>
      <c r="U403" s="82" t="s">
        <v>231</v>
      </c>
      <c r="V403" s="70" t="s">
        <v>215</v>
      </c>
      <c r="X403" s="82" t="s">
        <v>231</v>
      </c>
      <c r="Y403" s="70" t="s">
        <v>215</v>
      </c>
      <c r="AA403" s="28" t="s">
        <v>6</v>
      </c>
      <c r="AB403" s="2" t="str">
        <f t="shared" si="482"/>
        <v>-</v>
      </c>
      <c r="AC403" s="28" t="s">
        <v>25</v>
      </c>
      <c r="AD403" s="2" t="str">
        <f t="shared" si="489"/>
        <v>_</v>
      </c>
      <c r="AE403" s="28" t="s">
        <v>13</v>
      </c>
      <c r="AF403" s="2" t="str">
        <f t="shared" si="490"/>
        <v>_</v>
      </c>
      <c r="AG403" s="28" t="s">
        <v>23</v>
      </c>
      <c r="AH403" s="2" t="str">
        <f t="shared" ref="AH403:AH408" si="491">IF(NOT(ISBLANK(AI403)),"_","")</f>
        <v/>
      </c>
    </row>
    <row r="404" spans="2:35" x14ac:dyDescent="0.25">
      <c r="B404" s="2" t="str">
        <f t="shared" si="481"/>
        <v>@color-primary_line_unpaved_default</v>
      </c>
      <c r="C404" s="80" t="s">
        <v>221</v>
      </c>
      <c r="D404" s="81" t="str">
        <f>C404</f>
        <v>"#eddfca"</v>
      </c>
      <c r="F404" s="80" t="s">
        <v>221</v>
      </c>
      <c r="G404" s="81" t="str">
        <f>F404</f>
        <v>"#eddfca"</v>
      </c>
      <c r="I404" s="80" t="s">
        <v>221</v>
      </c>
      <c r="J404" s="81" t="str">
        <f>I404</f>
        <v>"#eddfca"</v>
      </c>
      <c r="L404" s="80" t="s">
        <v>221</v>
      </c>
      <c r="M404" s="81" t="str">
        <f>L404</f>
        <v>"#eddfca"</v>
      </c>
      <c r="U404" s="46" t="s">
        <v>222</v>
      </c>
      <c r="V404" s="38" t="str">
        <f>U404</f>
        <v>"#ffffff"</v>
      </c>
      <c r="X404" s="46" t="s">
        <v>222</v>
      </c>
      <c r="Y404" s="38" t="str">
        <f>X404</f>
        <v>"#ffffff"</v>
      </c>
      <c r="AA404" s="2" t="s">
        <v>6</v>
      </c>
      <c r="AB404" s="2" t="str">
        <f t="shared" si="482"/>
        <v>-</v>
      </c>
      <c r="AC404" s="2" t="s">
        <v>25</v>
      </c>
      <c r="AD404" s="2" t="str">
        <f t="shared" si="489"/>
        <v>_</v>
      </c>
      <c r="AE404" s="2" t="s">
        <v>13</v>
      </c>
      <c r="AF404" s="2" t="str">
        <f t="shared" si="490"/>
        <v>_</v>
      </c>
      <c r="AG404" s="2" t="s">
        <v>21</v>
      </c>
      <c r="AH404" s="2" t="str">
        <f t="shared" si="491"/>
        <v>_</v>
      </c>
      <c r="AI404" s="28" t="s">
        <v>262</v>
      </c>
    </row>
    <row r="405" spans="2:35" x14ac:dyDescent="0.25">
      <c r="B405" s="2" t="str">
        <f t="shared" si="481"/>
        <v>@color-primary_line_paved_or_uk_default</v>
      </c>
      <c r="C405" s="46" t="s">
        <v>222</v>
      </c>
      <c r="D405" s="38" t="str">
        <f>C405</f>
        <v>"#ffffff"</v>
      </c>
      <c r="F405" s="46" t="s">
        <v>222</v>
      </c>
      <c r="G405" s="38" t="str">
        <f>F405</f>
        <v>"#ffffff"</v>
      </c>
      <c r="I405" s="46" t="s">
        <v>222</v>
      </c>
      <c r="J405" s="38" t="str">
        <f>I405</f>
        <v>"#ffffff"</v>
      </c>
      <c r="L405" s="46" t="s">
        <v>222</v>
      </c>
      <c r="M405" s="38" t="str">
        <f>L405</f>
        <v>"#ffffff"</v>
      </c>
      <c r="U405" s="46" t="s">
        <v>222</v>
      </c>
      <c r="V405" s="38" t="str">
        <f>U405</f>
        <v>"#ffffff"</v>
      </c>
      <c r="X405" s="46" t="s">
        <v>222</v>
      </c>
      <c r="Y405" s="38" t="str">
        <f>X405</f>
        <v>"#ffffff"</v>
      </c>
      <c r="AA405" s="2" t="s">
        <v>6</v>
      </c>
      <c r="AB405" s="2" t="str">
        <f t="shared" si="482"/>
        <v>-</v>
      </c>
      <c r="AC405" s="2" t="s">
        <v>25</v>
      </c>
      <c r="AD405" s="2" t="str">
        <f t="shared" si="489"/>
        <v>_</v>
      </c>
      <c r="AE405" s="2" t="s">
        <v>13</v>
      </c>
      <c r="AF405" s="2" t="str">
        <f t="shared" si="490"/>
        <v>_</v>
      </c>
      <c r="AG405" s="28" t="s">
        <v>24</v>
      </c>
      <c r="AH405" s="28" t="str">
        <f t="shared" si="491"/>
        <v>_</v>
      </c>
      <c r="AI405" s="28" t="s">
        <v>262</v>
      </c>
    </row>
    <row r="406" spans="2:35" x14ac:dyDescent="0.25">
      <c r="B406" s="2"/>
      <c r="C406" s="26"/>
      <c r="D406" s="26"/>
      <c r="I406" s="26"/>
      <c r="U406" s="26"/>
      <c r="V406" s="26"/>
      <c r="AB406" s="2"/>
      <c r="AD406" s="2"/>
      <c r="AF406" s="2" t="str">
        <f t="shared" ref="AF406:AF415" si="492">IF(NOT(ISBLANK(AG406)),"_","")</f>
        <v/>
      </c>
      <c r="AH406" s="2" t="str">
        <f t="shared" si="491"/>
        <v/>
      </c>
    </row>
    <row r="407" spans="2:35" x14ac:dyDescent="0.25">
      <c r="B407" s="2" t="str">
        <f t="shared" ref="B407:B415" si="493">_xlfn.CONCAT("@",AA407,AB407,AC407,AD407,AE407,AF407,AG407,AH407,AI407)</f>
        <v>@color-secondary_case_bicycle_no_default</v>
      </c>
      <c r="C407" s="73" t="s">
        <v>226</v>
      </c>
      <c r="D407" s="47" t="s">
        <v>214</v>
      </c>
      <c r="F407" s="47" t="s">
        <v>214</v>
      </c>
      <c r="G407" s="47" t="s">
        <v>214</v>
      </c>
      <c r="I407" s="74" t="str">
        <f>C407</f>
        <v>"#bd430f"</v>
      </c>
      <c r="J407" s="37" t="str">
        <f>D407</f>
        <v>"#000000"</v>
      </c>
      <c r="L407" s="47" t="s">
        <v>214</v>
      </c>
      <c r="M407" s="47" t="s">
        <v>214</v>
      </c>
      <c r="U407" s="73" t="s">
        <v>226</v>
      </c>
      <c r="V407" s="47" t="s">
        <v>214</v>
      </c>
      <c r="X407" s="47" t="s">
        <v>214</v>
      </c>
      <c r="Y407" s="47" t="s">
        <v>214</v>
      </c>
      <c r="AA407" s="28" t="s">
        <v>6</v>
      </c>
      <c r="AB407" s="2" t="str">
        <f t="shared" ref="AB407:AB415" si="494">IF(NOT(ISBLANK(AC407)),"-","")</f>
        <v>-</v>
      </c>
      <c r="AC407" s="2" t="s">
        <v>27</v>
      </c>
      <c r="AD407" s="2" t="str">
        <f t="shared" ref="AD407:AD415" si="495">IF(NOT(ISBLANK(AE407)),"_","")</f>
        <v>_</v>
      </c>
      <c r="AE407" s="28" t="s">
        <v>17</v>
      </c>
      <c r="AF407" s="2" t="str">
        <f t="shared" si="492"/>
        <v>_</v>
      </c>
      <c r="AG407" s="28" t="s">
        <v>23</v>
      </c>
      <c r="AH407" s="2" t="str">
        <f t="shared" si="491"/>
        <v>_</v>
      </c>
      <c r="AI407" s="28" t="s">
        <v>262</v>
      </c>
    </row>
    <row r="408" spans="2:35" x14ac:dyDescent="0.25">
      <c r="B408" s="2" t="str">
        <f t="shared" si="493"/>
        <v>@color-secondary_case_bicycle_no_farzoom</v>
      </c>
      <c r="C408" s="73" t="s">
        <v>226</v>
      </c>
      <c r="D408" s="47" t="s">
        <v>214</v>
      </c>
      <c r="F408" s="73" t="s">
        <v>226</v>
      </c>
      <c r="G408" s="73" t="s">
        <v>226</v>
      </c>
      <c r="I408" s="74" t="str">
        <f>C408</f>
        <v>"#bd430f"</v>
      </c>
      <c r="J408" s="37" t="str">
        <f>D408</f>
        <v>"#000000"</v>
      </c>
      <c r="L408" s="73" t="s">
        <v>226</v>
      </c>
      <c r="M408" s="73" t="s">
        <v>226</v>
      </c>
      <c r="U408" s="73" t="s">
        <v>226</v>
      </c>
      <c r="V408" s="47" t="s">
        <v>214</v>
      </c>
      <c r="X408" s="73" t="s">
        <v>226</v>
      </c>
      <c r="Y408" s="73" t="s">
        <v>226</v>
      </c>
      <c r="AA408" s="28" t="s">
        <v>6</v>
      </c>
      <c r="AB408" s="2" t="str">
        <f t="shared" ref="AB408" si="496">IF(NOT(ISBLANK(AC408)),"-","")</f>
        <v>-</v>
      </c>
      <c r="AC408" s="2" t="s">
        <v>27</v>
      </c>
      <c r="AD408" s="2" t="str">
        <f t="shared" ref="AD408" si="497">IF(NOT(ISBLANK(AE408)),"_","")</f>
        <v>_</v>
      </c>
      <c r="AE408" s="28" t="s">
        <v>17</v>
      </c>
      <c r="AF408" s="2" t="str">
        <f t="shared" ref="AF408" si="498">IF(NOT(ISBLANK(AG408)),"_","")</f>
        <v>_</v>
      </c>
      <c r="AG408" s="28" t="s">
        <v>23</v>
      </c>
      <c r="AH408" s="2" t="str">
        <f t="shared" si="491"/>
        <v>_</v>
      </c>
      <c r="AI408" s="28" t="s">
        <v>20</v>
      </c>
    </row>
    <row r="409" spans="2:35" x14ac:dyDescent="0.25">
      <c r="B409" s="2" t="str">
        <f t="shared" si="493"/>
        <v>@color-secondary_case_unpaved_farzoom</v>
      </c>
      <c r="C409" s="75" t="s">
        <v>227</v>
      </c>
      <c r="D409" s="76" t="s">
        <v>229</v>
      </c>
      <c r="F409" s="76" t="s">
        <v>229</v>
      </c>
      <c r="G409" s="75" t="s">
        <v>227</v>
      </c>
      <c r="I409" s="75" t="s">
        <v>227</v>
      </c>
      <c r="J409" s="76" t="s">
        <v>229</v>
      </c>
      <c r="L409" s="76" t="s">
        <v>229</v>
      </c>
      <c r="M409" s="75" t="s">
        <v>227</v>
      </c>
      <c r="U409" s="78" t="s">
        <v>228</v>
      </c>
      <c r="V409" s="47" t="s">
        <v>214</v>
      </c>
      <c r="X409" s="78" t="s">
        <v>228</v>
      </c>
      <c r="Y409" s="78" t="s">
        <v>228</v>
      </c>
      <c r="AA409" s="28" t="s">
        <v>6</v>
      </c>
      <c r="AB409" s="2" t="str">
        <f>IF(NOT(ISBLANK(AC409)),"-","")</f>
        <v>-</v>
      </c>
      <c r="AC409" s="2" t="s">
        <v>27</v>
      </c>
      <c r="AD409" s="2" t="str">
        <f>IF(NOT(ISBLANK(AE409)),"_","")</f>
        <v>_</v>
      </c>
      <c r="AE409" s="28" t="s">
        <v>17</v>
      </c>
      <c r="AF409" s="2" t="str">
        <f>IF(NOT(ISBLANK(AG409)),"_","")</f>
        <v>_</v>
      </c>
      <c r="AG409" s="28" t="s">
        <v>21</v>
      </c>
      <c r="AH409" s="2" t="str">
        <f>IF(NOT(ISBLANK(AI409)),"_","")</f>
        <v>_</v>
      </c>
      <c r="AI409" s="28" t="s">
        <v>20</v>
      </c>
    </row>
    <row r="410" spans="2:35" x14ac:dyDescent="0.25">
      <c r="B410" s="2" t="str">
        <f t="shared" si="493"/>
        <v>@color-secondary_case_unpaved_default</v>
      </c>
      <c r="C410" s="76" t="s">
        <v>229</v>
      </c>
      <c r="D410" s="76" t="s">
        <v>229</v>
      </c>
      <c r="F410" s="47" t="s">
        <v>214</v>
      </c>
      <c r="G410" s="47" t="s">
        <v>214</v>
      </c>
      <c r="I410" s="76" t="s">
        <v>229</v>
      </c>
      <c r="J410" s="76" t="s">
        <v>229</v>
      </c>
      <c r="L410" s="47" t="s">
        <v>214</v>
      </c>
      <c r="M410" s="47" t="s">
        <v>214</v>
      </c>
      <c r="U410" s="84" t="s">
        <v>230</v>
      </c>
      <c r="V410" s="47" t="s">
        <v>214</v>
      </c>
      <c r="X410" s="47" t="s">
        <v>214</v>
      </c>
      <c r="Y410" s="47" t="s">
        <v>214</v>
      </c>
      <c r="AA410" s="28" t="s">
        <v>6</v>
      </c>
      <c r="AB410" s="2" t="str">
        <f t="shared" si="494"/>
        <v>-</v>
      </c>
      <c r="AC410" s="2" t="s">
        <v>27</v>
      </c>
      <c r="AD410" s="2" t="str">
        <f t="shared" si="495"/>
        <v>_</v>
      </c>
      <c r="AE410" s="28" t="s">
        <v>17</v>
      </c>
      <c r="AF410" s="2" t="str">
        <f t="shared" si="492"/>
        <v>_</v>
      </c>
      <c r="AG410" s="28" t="s">
        <v>21</v>
      </c>
      <c r="AH410" s="28" t="str">
        <f t="shared" ref="AH410:AH412" si="499">IF(NOT(ISBLANK(AI410)),"_","")</f>
        <v>_</v>
      </c>
      <c r="AI410" s="28" t="s">
        <v>262</v>
      </c>
    </row>
    <row r="411" spans="2:35" x14ac:dyDescent="0.25">
      <c r="B411" s="2" t="str">
        <f t="shared" si="493"/>
        <v>@color-secondary_case_paved_or_uk_farzoom</v>
      </c>
      <c r="C411" s="78" t="s">
        <v>228</v>
      </c>
      <c r="D411" s="47" t="s">
        <v>214</v>
      </c>
      <c r="F411" s="78" t="s">
        <v>228</v>
      </c>
      <c r="G411" s="78" t="s">
        <v>228</v>
      </c>
      <c r="I411" s="78" t="s">
        <v>228</v>
      </c>
      <c r="J411" s="47" t="s">
        <v>214</v>
      </c>
      <c r="L411" s="78" t="s">
        <v>228</v>
      </c>
      <c r="M411" s="78" t="s">
        <v>228</v>
      </c>
      <c r="U411" s="78" t="s">
        <v>228</v>
      </c>
      <c r="V411" s="47" t="s">
        <v>214</v>
      </c>
      <c r="X411" s="78" t="s">
        <v>228</v>
      </c>
      <c r="Y411" s="78" t="s">
        <v>228</v>
      </c>
      <c r="AA411" s="2" t="s">
        <v>6</v>
      </c>
      <c r="AB411" s="2" t="str">
        <f t="shared" si="494"/>
        <v>-</v>
      </c>
      <c r="AC411" s="2" t="s">
        <v>27</v>
      </c>
      <c r="AD411" s="2" t="str">
        <f t="shared" si="495"/>
        <v>_</v>
      </c>
      <c r="AE411" s="2" t="s">
        <v>17</v>
      </c>
      <c r="AF411" s="2" t="str">
        <f t="shared" si="492"/>
        <v>_</v>
      </c>
      <c r="AG411" s="2" t="s">
        <v>24</v>
      </c>
      <c r="AH411" s="2" t="str">
        <f t="shared" si="499"/>
        <v>_</v>
      </c>
      <c r="AI411" s="28" t="s">
        <v>20</v>
      </c>
    </row>
    <row r="412" spans="2:35" x14ac:dyDescent="0.25">
      <c r="B412" s="2" t="str">
        <f t="shared" si="493"/>
        <v>@color-secondary_case_paved_or_uk_default</v>
      </c>
      <c r="C412" s="84" t="s">
        <v>230</v>
      </c>
      <c r="D412" s="47" t="s">
        <v>214</v>
      </c>
      <c r="F412" s="47" t="s">
        <v>214</v>
      </c>
      <c r="G412" s="47" t="s">
        <v>214</v>
      </c>
      <c r="I412" s="84" t="s">
        <v>230</v>
      </c>
      <c r="J412" s="47" t="s">
        <v>214</v>
      </c>
      <c r="L412" s="47" t="s">
        <v>214</v>
      </c>
      <c r="M412" s="47" t="s">
        <v>214</v>
      </c>
      <c r="U412" s="84" t="s">
        <v>230</v>
      </c>
      <c r="V412" s="47" t="s">
        <v>214</v>
      </c>
      <c r="X412" s="47" t="s">
        <v>214</v>
      </c>
      <c r="Y412" s="47" t="s">
        <v>214</v>
      </c>
      <c r="AA412" s="2" t="s">
        <v>6</v>
      </c>
      <c r="AB412" s="2" t="str">
        <f t="shared" si="494"/>
        <v>-</v>
      </c>
      <c r="AC412" s="2" t="s">
        <v>27</v>
      </c>
      <c r="AD412" s="2" t="str">
        <f t="shared" si="495"/>
        <v>_</v>
      </c>
      <c r="AE412" s="2" t="s">
        <v>17</v>
      </c>
      <c r="AF412" s="2" t="str">
        <f t="shared" si="492"/>
        <v>_</v>
      </c>
      <c r="AG412" s="2" t="s">
        <v>24</v>
      </c>
      <c r="AH412" s="2" t="str">
        <f t="shared" si="499"/>
        <v>_</v>
      </c>
      <c r="AI412" s="28" t="s">
        <v>262</v>
      </c>
    </row>
    <row r="413" spans="2:35" x14ac:dyDescent="0.25">
      <c r="B413" s="2" t="str">
        <f t="shared" si="493"/>
        <v>@color-secondary_line_bicycle_no</v>
      </c>
      <c r="C413" s="82" t="s">
        <v>231</v>
      </c>
      <c r="D413" s="70" t="s">
        <v>215</v>
      </c>
      <c r="F413" s="82" t="s">
        <v>231</v>
      </c>
      <c r="G413" s="70" t="s">
        <v>215</v>
      </c>
      <c r="I413" s="83" t="str">
        <f>C413</f>
        <v>"#ffcc8a"</v>
      </c>
      <c r="J413" s="72" t="str">
        <f>D413</f>
        <v>"#d6771e"</v>
      </c>
      <c r="L413" s="82" t="s">
        <v>231</v>
      </c>
      <c r="M413" s="70" t="s">
        <v>215</v>
      </c>
      <c r="U413" s="82" t="s">
        <v>231</v>
      </c>
      <c r="V413" s="70" t="s">
        <v>215</v>
      </c>
      <c r="X413" s="82" t="s">
        <v>231</v>
      </c>
      <c r="Y413" s="70" t="s">
        <v>215</v>
      </c>
      <c r="AA413" s="28" t="s">
        <v>6</v>
      </c>
      <c r="AB413" s="2" t="str">
        <f t="shared" si="494"/>
        <v>-</v>
      </c>
      <c r="AC413" s="2" t="s">
        <v>27</v>
      </c>
      <c r="AD413" s="2" t="str">
        <f t="shared" si="495"/>
        <v>_</v>
      </c>
      <c r="AE413" s="28" t="s">
        <v>13</v>
      </c>
      <c r="AF413" s="2" t="str">
        <f t="shared" si="492"/>
        <v>_</v>
      </c>
      <c r="AG413" s="28" t="s">
        <v>23</v>
      </c>
      <c r="AH413" s="2" t="str">
        <f t="shared" ref="AH413:AH507" si="500">IF(NOT(ISBLANK(AI413)),"_","")</f>
        <v/>
      </c>
    </row>
    <row r="414" spans="2:35" x14ac:dyDescent="0.25">
      <c r="B414" s="2" t="str">
        <f t="shared" si="493"/>
        <v>@color-secondary_line_unpaved_default</v>
      </c>
      <c r="C414" s="80" t="s">
        <v>221</v>
      </c>
      <c r="D414" s="81" t="str">
        <f>C414</f>
        <v>"#eddfca"</v>
      </c>
      <c r="F414" s="80" t="s">
        <v>221</v>
      </c>
      <c r="G414" s="81" t="str">
        <f>F414</f>
        <v>"#eddfca"</v>
      </c>
      <c r="I414" s="80" t="s">
        <v>221</v>
      </c>
      <c r="J414" s="81" t="str">
        <f>I414</f>
        <v>"#eddfca"</v>
      </c>
      <c r="L414" s="80" t="s">
        <v>221</v>
      </c>
      <c r="M414" s="81" t="str">
        <f>L414</f>
        <v>"#eddfca"</v>
      </c>
      <c r="U414" s="46" t="s">
        <v>222</v>
      </c>
      <c r="V414" s="38" t="str">
        <f>U414</f>
        <v>"#ffffff"</v>
      </c>
      <c r="X414" s="46" t="s">
        <v>222</v>
      </c>
      <c r="Y414" s="38" t="str">
        <f>X414</f>
        <v>"#ffffff"</v>
      </c>
      <c r="AA414" s="2" t="s">
        <v>6</v>
      </c>
      <c r="AB414" s="2" t="str">
        <f t="shared" si="494"/>
        <v>-</v>
      </c>
      <c r="AC414" s="2" t="s">
        <v>27</v>
      </c>
      <c r="AD414" s="2" t="str">
        <f t="shared" si="495"/>
        <v>_</v>
      </c>
      <c r="AE414" s="2" t="s">
        <v>13</v>
      </c>
      <c r="AF414" s="2" t="str">
        <f t="shared" si="492"/>
        <v>_</v>
      </c>
      <c r="AG414" s="2" t="s">
        <v>21</v>
      </c>
      <c r="AH414" s="2" t="str">
        <f t="shared" si="500"/>
        <v>_</v>
      </c>
      <c r="AI414" s="28" t="s">
        <v>262</v>
      </c>
    </row>
    <row r="415" spans="2:35" x14ac:dyDescent="0.25">
      <c r="B415" s="2" t="str">
        <f t="shared" si="493"/>
        <v>@color-secondary_line_paved_or_uk_default</v>
      </c>
      <c r="C415" s="46" t="s">
        <v>222</v>
      </c>
      <c r="D415" s="38" t="str">
        <f>C415</f>
        <v>"#ffffff"</v>
      </c>
      <c r="F415" s="46" t="s">
        <v>222</v>
      </c>
      <c r="G415" s="38" t="str">
        <f>F415</f>
        <v>"#ffffff"</v>
      </c>
      <c r="I415" s="46" t="s">
        <v>222</v>
      </c>
      <c r="J415" s="38" t="str">
        <f>I415</f>
        <v>"#ffffff"</v>
      </c>
      <c r="L415" s="46" t="s">
        <v>222</v>
      </c>
      <c r="M415" s="38" t="str">
        <f>L415</f>
        <v>"#ffffff"</v>
      </c>
      <c r="U415" s="46" t="s">
        <v>222</v>
      </c>
      <c r="V415" s="38" t="str">
        <f>U415</f>
        <v>"#ffffff"</v>
      </c>
      <c r="X415" s="46" t="s">
        <v>222</v>
      </c>
      <c r="Y415" s="38" t="str">
        <f>X415</f>
        <v>"#ffffff"</v>
      </c>
      <c r="AA415" s="2" t="s">
        <v>6</v>
      </c>
      <c r="AB415" s="2" t="str">
        <f t="shared" si="494"/>
        <v>-</v>
      </c>
      <c r="AC415" s="2" t="s">
        <v>27</v>
      </c>
      <c r="AD415" s="2" t="str">
        <f t="shared" si="495"/>
        <v>_</v>
      </c>
      <c r="AE415" s="2" t="s">
        <v>13</v>
      </c>
      <c r="AF415" s="2" t="str">
        <f t="shared" si="492"/>
        <v>_</v>
      </c>
      <c r="AG415" s="28" t="s">
        <v>24</v>
      </c>
      <c r="AH415" s="28" t="str">
        <f t="shared" si="500"/>
        <v>_</v>
      </c>
      <c r="AI415" s="28" t="s">
        <v>262</v>
      </c>
    </row>
    <row r="416" spans="2:35" x14ac:dyDescent="0.25">
      <c r="B416" s="2"/>
      <c r="C416" s="26"/>
      <c r="D416" s="26"/>
      <c r="I416" s="26"/>
      <c r="U416" s="26"/>
      <c r="V416" s="26"/>
      <c r="AB416" s="2"/>
      <c r="AD416" s="2"/>
      <c r="AF416" s="2" t="str">
        <f t="shared" si="490"/>
        <v/>
      </c>
      <c r="AH416" s="2" t="str">
        <f t="shared" si="500"/>
        <v/>
      </c>
    </row>
    <row r="417" spans="1:35" x14ac:dyDescent="0.25">
      <c r="B417" s="2" t="str">
        <f t="shared" ref="B417:B425" si="501">_xlfn.CONCAT("@",AA417,AB417,AC417,AD417,AE417,AF417,AG417,AH417,AI417)</f>
        <v>@color-tertiary_case_bicycle_no_default</v>
      </c>
      <c r="C417" s="73" t="s">
        <v>226</v>
      </c>
      <c r="D417" s="47" t="s">
        <v>214</v>
      </c>
      <c r="F417" s="47" t="s">
        <v>214</v>
      </c>
      <c r="G417" s="47" t="s">
        <v>214</v>
      </c>
      <c r="I417" s="74" t="str">
        <f>C417</f>
        <v>"#bd430f"</v>
      </c>
      <c r="J417" s="37" t="str">
        <f>D417</f>
        <v>"#000000"</v>
      </c>
      <c r="L417" s="47" t="s">
        <v>214</v>
      </c>
      <c r="M417" s="47" t="s">
        <v>214</v>
      </c>
      <c r="U417" s="73" t="s">
        <v>226</v>
      </c>
      <c r="V417" s="47" t="s">
        <v>214</v>
      </c>
      <c r="X417" s="47" t="s">
        <v>214</v>
      </c>
      <c r="Y417" s="47" t="s">
        <v>214</v>
      </c>
      <c r="AA417" s="28" t="s">
        <v>6</v>
      </c>
      <c r="AB417" s="2" t="str">
        <f t="shared" ref="AB417:AB419" si="502">IF(NOT(ISBLANK(AC417)),"-","")</f>
        <v>-</v>
      </c>
      <c r="AC417" s="2" t="s">
        <v>26</v>
      </c>
      <c r="AD417" s="2" t="str">
        <f t="shared" ref="AD417:AD419" si="503">IF(NOT(ISBLANK(AE417)),"_","")</f>
        <v>_</v>
      </c>
      <c r="AE417" s="28" t="s">
        <v>17</v>
      </c>
      <c r="AF417" s="2" t="str">
        <f t="shared" ref="AF417:AF419" si="504">IF(NOT(ISBLANK(AG417)),"_","")</f>
        <v>_</v>
      </c>
      <c r="AG417" s="28" t="s">
        <v>23</v>
      </c>
      <c r="AH417" s="2" t="str">
        <f t="shared" si="500"/>
        <v>_</v>
      </c>
      <c r="AI417" s="28" t="s">
        <v>262</v>
      </c>
    </row>
    <row r="418" spans="1:35" x14ac:dyDescent="0.25">
      <c r="B418" s="2" t="str">
        <f t="shared" si="501"/>
        <v>@color-tertiary_case_bicycle_no_farzoom</v>
      </c>
      <c r="C418" s="73" t="s">
        <v>226</v>
      </c>
      <c r="D418" s="47" t="s">
        <v>214</v>
      </c>
      <c r="F418" s="73" t="s">
        <v>226</v>
      </c>
      <c r="G418" s="73" t="s">
        <v>226</v>
      </c>
      <c r="I418" s="74" t="str">
        <f>C418</f>
        <v>"#bd430f"</v>
      </c>
      <c r="J418" s="37" t="str">
        <f>D418</f>
        <v>"#000000"</v>
      </c>
      <c r="L418" s="73" t="s">
        <v>226</v>
      </c>
      <c r="M418" s="73" t="s">
        <v>226</v>
      </c>
      <c r="U418" s="73" t="s">
        <v>226</v>
      </c>
      <c r="V418" s="47" t="s">
        <v>214</v>
      </c>
      <c r="X418" s="73" t="s">
        <v>226</v>
      </c>
      <c r="Y418" s="73" t="s">
        <v>226</v>
      </c>
      <c r="AA418" s="28" t="s">
        <v>6</v>
      </c>
      <c r="AB418" s="2" t="str">
        <f t="shared" ref="AB418" si="505">IF(NOT(ISBLANK(AC418)),"-","")</f>
        <v>-</v>
      </c>
      <c r="AC418" s="2" t="s">
        <v>26</v>
      </c>
      <c r="AD418" s="2" t="str">
        <f t="shared" ref="AD418" si="506">IF(NOT(ISBLANK(AE418)),"_","")</f>
        <v>_</v>
      </c>
      <c r="AE418" s="28" t="s">
        <v>17</v>
      </c>
      <c r="AF418" s="2" t="str">
        <f t="shared" ref="AF418" si="507">IF(NOT(ISBLANK(AG418)),"_","")</f>
        <v>_</v>
      </c>
      <c r="AG418" s="28" t="s">
        <v>23</v>
      </c>
      <c r="AH418" s="2" t="str">
        <f t="shared" si="500"/>
        <v>_</v>
      </c>
      <c r="AI418" s="28" t="s">
        <v>20</v>
      </c>
    </row>
    <row r="419" spans="1:35" x14ac:dyDescent="0.25">
      <c r="B419" s="2" t="str">
        <f t="shared" si="501"/>
        <v>@color-tertiary_case_unpaved_farzoom</v>
      </c>
      <c r="C419" s="75" t="s">
        <v>227</v>
      </c>
      <c r="D419" s="76" t="s">
        <v>229</v>
      </c>
      <c r="F419" s="76" t="s">
        <v>229</v>
      </c>
      <c r="G419" s="75" t="s">
        <v>227</v>
      </c>
      <c r="I419" s="75" t="s">
        <v>227</v>
      </c>
      <c r="J419" s="76" t="s">
        <v>229</v>
      </c>
      <c r="L419" s="76" t="s">
        <v>229</v>
      </c>
      <c r="M419" s="75" t="s">
        <v>227</v>
      </c>
      <c r="U419" s="78" t="s">
        <v>228</v>
      </c>
      <c r="V419" s="47" t="s">
        <v>214</v>
      </c>
      <c r="X419" s="78" t="s">
        <v>228</v>
      </c>
      <c r="Y419" s="78" t="s">
        <v>228</v>
      </c>
      <c r="AA419" s="28" t="s">
        <v>6</v>
      </c>
      <c r="AB419" s="2" t="str">
        <f t="shared" si="502"/>
        <v>-</v>
      </c>
      <c r="AC419" s="2" t="s">
        <v>26</v>
      </c>
      <c r="AD419" s="2" t="str">
        <f t="shared" si="503"/>
        <v>_</v>
      </c>
      <c r="AE419" s="28" t="s">
        <v>17</v>
      </c>
      <c r="AF419" s="2" t="str">
        <f t="shared" si="504"/>
        <v>_</v>
      </c>
      <c r="AG419" s="28" t="s">
        <v>21</v>
      </c>
      <c r="AH419" s="2" t="str">
        <f>IF(NOT(ISBLANK(AI419)),"_","")</f>
        <v>_</v>
      </c>
      <c r="AI419" s="28" t="s">
        <v>20</v>
      </c>
    </row>
    <row r="420" spans="1:35" x14ac:dyDescent="0.25">
      <c r="B420" s="2" t="str">
        <f t="shared" si="501"/>
        <v>@color-tertiary_case_unpaved_default</v>
      </c>
      <c r="C420" s="76" t="s">
        <v>229</v>
      </c>
      <c r="D420" s="76" t="s">
        <v>229</v>
      </c>
      <c r="F420" s="47" t="s">
        <v>214</v>
      </c>
      <c r="G420" s="47" t="s">
        <v>214</v>
      </c>
      <c r="I420" s="76" t="s">
        <v>229</v>
      </c>
      <c r="J420" s="76" t="s">
        <v>229</v>
      </c>
      <c r="L420" s="47" t="s">
        <v>214</v>
      </c>
      <c r="M420" s="47" t="s">
        <v>214</v>
      </c>
      <c r="U420" s="84" t="s">
        <v>230</v>
      </c>
      <c r="V420" s="47" t="s">
        <v>214</v>
      </c>
      <c r="X420" s="47" t="s">
        <v>214</v>
      </c>
      <c r="Y420" s="47" t="s">
        <v>214</v>
      </c>
      <c r="AA420" s="28" t="s">
        <v>6</v>
      </c>
      <c r="AB420" s="2" t="str">
        <f t="shared" ref="AB420:AB425" si="508">IF(NOT(ISBLANK(AC420)),"-","")</f>
        <v>-</v>
      </c>
      <c r="AC420" s="2" t="s">
        <v>26</v>
      </c>
      <c r="AD420" s="2" t="str">
        <f t="shared" ref="AD420:AD425" si="509">IF(NOT(ISBLANK(AE420)),"_","")</f>
        <v>_</v>
      </c>
      <c r="AE420" s="28" t="s">
        <v>17</v>
      </c>
      <c r="AF420" s="2" t="str">
        <f t="shared" si="490"/>
        <v>_</v>
      </c>
      <c r="AG420" s="28" t="s">
        <v>21</v>
      </c>
      <c r="AH420" s="28" t="str">
        <f t="shared" ref="AH420:AH425" si="510">IF(NOT(ISBLANK(AI420)),"_","")</f>
        <v>_</v>
      </c>
      <c r="AI420" s="28" t="s">
        <v>262</v>
      </c>
    </row>
    <row r="421" spans="1:35" x14ac:dyDescent="0.25">
      <c r="B421" s="2" t="str">
        <f t="shared" si="501"/>
        <v>@color-tertiary_case_paved_or_uk_farzoom</v>
      </c>
      <c r="C421" s="78" t="s">
        <v>228</v>
      </c>
      <c r="D421" s="47" t="s">
        <v>214</v>
      </c>
      <c r="F421" s="78" t="s">
        <v>228</v>
      </c>
      <c r="G421" s="78" t="s">
        <v>228</v>
      </c>
      <c r="I421" s="78" t="s">
        <v>228</v>
      </c>
      <c r="J421" s="47" t="s">
        <v>214</v>
      </c>
      <c r="L421" s="78" t="s">
        <v>228</v>
      </c>
      <c r="M421" s="78" t="s">
        <v>228</v>
      </c>
      <c r="U421" s="78" t="s">
        <v>228</v>
      </c>
      <c r="V421" s="47" t="s">
        <v>214</v>
      </c>
      <c r="X421" s="78" t="s">
        <v>228</v>
      </c>
      <c r="Y421" s="78" t="s">
        <v>228</v>
      </c>
      <c r="AA421" s="2" t="s">
        <v>6</v>
      </c>
      <c r="AB421" s="2" t="str">
        <f t="shared" ref="AB421" si="511">IF(NOT(ISBLANK(AC421)),"-","")</f>
        <v>-</v>
      </c>
      <c r="AC421" s="2" t="s">
        <v>26</v>
      </c>
      <c r="AD421" s="2" t="str">
        <f t="shared" ref="AD421" si="512">IF(NOT(ISBLANK(AE421)),"_","")</f>
        <v>_</v>
      </c>
      <c r="AE421" s="2" t="s">
        <v>17</v>
      </c>
      <c r="AF421" s="2" t="str">
        <f t="shared" ref="AF421" si="513">IF(NOT(ISBLANK(AG421)),"_","")</f>
        <v>_</v>
      </c>
      <c r="AG421" s="2" t="s">
        <v>24</v>
      </c>
      <c r="AH421" s="2" t="str">
        <f t="shared" si="510"/>
        <v>_</v>
      </c>
      <c r="AI421" s="28" t="s">
        <v>20</v>
      </c>
    </row>
    <row r="422" spans="1:35" x14ac:dyDescent="0.25">
      <c r="B422" s="2" t="str">
        <f t="shared" si="501"/>
        <v>@color-tertiary_case_paved_or_uk_default</v>
      </c>
      <c r="C422" s="84" t="s">
        <v>230</v>
      </c>
      <c r="D422" s="47" t="s">
        <v>214</v>
      </c>
      <c r="F422" s="47" t="s">
        <v>214</v>
      </c>
      <c r="G422" s="47" t="s">
        <v>214</v>
      </c>
      <c r="I422" s="84" t="s">
        <v>230</v>
      </c>
      <c r="J422" s="47" t="s">
        <v>214</v>
      </c>
      <c r="L422" s="47" t="s">
        <v>214</v>
      </c>
      <c r="M422" s="47" t="s">
        <v>214</v>
      </c>
      <c r="U422" s="84" t="s">
        <v>230</v>
      </c>
      <c r="V422" s="47" t="s">
        <v>214</v>
      </c>
      <c r="X422" s="47" t="s">
        <v>214</v>
      </c>
      <c r="Y422" s="47" t="s">
        <v>214</v>
      </c>
      <c r="AA422" s="2" t="s">
        <v>6</v>
      </c>
      <c r="AB422" s="2" t="str">
        <f t="shared" si="508"/>
        <v>-</v>
      </c>
      <c r="AC422" s="2" t="s">
        <v>26</v>
      </c>
      <c r="AD422" s="2" t="str">
        <f t="shared" si="509"/>
        <v>_</v>
      </c>
      <c r="AE422" s="2" t="s">
        <v>17</v>
      </c>
      <c r="AF422" s="2" t="str">
        <f t="shared" si="490"/>
        <v>_</v>
      </c>
      <c r="AG422" s="2" t="s">
        <v>24</v>
      </c>
      <c r="AH422" s="2" t="str">
        <f t="shared" si="510"/>
        <v>_</v>
      </c>
      <c r="AI422" s="28" t="s">
        <v>262</v>
      </c>
    </row>
    <row r="423" spans="1:35" x14ac:dyDescent="0.25">
      <c r="B423" s="2" t="str">
        <f t="shared" si="501"/>
        <v>@color-tertiary_line_bicycle_no</v>
      </c>
      <c r="C423" s="82" t="s">
        <v>231</v>
      </c>
      <c r="D423" s="70" t="s">
        <v>215</v>
      </c>
      <c r="F423" s="82" t="s">
        <v>231</v>
      </c>
      <c r="G423" s="70" t="s">
        <v>215</v>
      </c>
      <c r="I423" s="83" t="str">
        <f>C423</f>
        <v>"#ffcc8a"</v>
      </c>
      <c r="J423" s="72" t="str">
        <f>D423</f>
        <v>"#d6771e"</v>
      </c>
      <c r="L423" s="82" t="s">
        <v>231</v>
      </c>
      <c r="M423" s="70" t="s">
        <v>215</v>
      </c>
      <c r="U423" s="82" t="s">
        <v>231</v>
      </c>
      <c r="V423" s="70" t="s">
        <v>215</v>
      </c>
      <c r="X423" s="82" t="s">
        <v>231</v>
      </c>
      <c r="Y423" s="70" t="s">
        <v>215</v>
      </c>
      <c r="AA423" s="28" t="s">
        <v>6</v>
      </c>
      <c r="AB423" s="2" t="str">
        <f t="shared" si="508"/>
        <v>-</v>
      </c>
      <c r="AC423" s="2" t="s">
        <v>26</v>
      </c>
      <c r="AD423" s="2" t="str">
        <f t="shared" si="509"/>
        <v>_</v>
      </c>
      <c r="AE423" s="28" t="s">
        <v>13</v>
      </c>
      <c r="AF423" s="2" t="str">
        <f t="shared" si="490"/>
        <v>_</v>
      </c>
      <c r="AG423" s="28" t="s">
        <v>23</v>
      </c>
      <c r="AH423" s="2" t="str">
        <f t="shared" si="510"/>
        <v/>
      </c>
    </row>
    <row r="424" spans="1:35" x14ac:dyDescent="0.25">
      <c r="B424" s="2" t="str">
        <f t="shared" si="501"/>
        <v>@color-tertiary_line_unpaved_default</v>
      </c>
      <c r="C424" s="80" t="s">
        <v>221</v>
      </c>
      <c r="D424" s="81" t="str">
        <f>C424</f>
        <v>"#eddfca"</v>
      </c>
      <c r="F424" s="80" t="s">
        <v>221</v>
      </c>
      <c r="G424" s="81" t="str">
        <f>F424</f>
        <v>"#eddfca"</v>
      </c>
      <c r="I424" s="80" t="s">
        <v>221</v>
      </c>
      <c r="J424" s="81" t="str">
        <f>I424</f>
        <v>"#eddfca"</v>
      </c>
      <c r="L424" s="80" t="s">
        <v>221</v>
      </c>
      <c r="M424" s="81" t="str">
        <f>L424</f>
        <v>"#eddfca"</v>
      </c>
      <c r="U424" s="46" t="s">
        <v>222</v>
      </c>
      <c r="V424" s="38" t="str">
        <f>U424</f>
        <v>"#ffffff"</v>
      </c>
      <c r="X424" s="46" t="s">
        <v>222</v>
      </c>
      <c r="Y424" s="38" t="str">
        <f>X424</f>
        <v>"#ffffff"</v>
      </c>
      <c r="AA424" s="2" t="s">
        <v>6</v>
      </c>
      <c r="AB424" s="2" t="str">
        <f t="shared" si="508"/>
        <v>-</v>
      </c>
      <c r="AC424" s="2" t="s">
        <v>26</v>
      </c>
      <c r="AD424" s="2" t="str">
        <f t="shared" si="509"/>
        <v>_</v>
      </c>
      <c r="AE424" s="2" t="s">
        <v>13</v>
      </c>
      <c r="AF424" s="2" t="str">
        <f t="shared" si="490"/>
        <v>_</v>
      </c>
      <c r="AG424" s="2" t="s">
        <v>21</v>
      </c>
      <c r="AH424" s="2" t="str">
        <f t="shared" si="510"/>
        <v>_</v>
      </c>
      <c r="AI424" s="28" t="s">
        <v>262</v>
      </c>
    </row>
    <row r="425" spans="1:35" x14ac:dyDescent="0.25">
      <c r="B425" s="2" t="str">
        <f t="shared" si="501"/>
        <v>@color-tertiary_line_paved_or_uk_default</v>
      </c>
      <c r="C425" s="46" t="s">
        <v>222</v>
      </c>
      <c r="D425" s="38" t="str">
        <f>C425</f>
        <v>"#ffffff"</v>
      </c>
      <c r="F425" s="46" t="s">
        <v>222</v>
      </c>
      <c r="G425" s="38" t="str">
        <f>F425</f>
        <v>"#ffffff"</v>
      </c>
      <c r="I425" s="46" t="s">
        <v>222</v>
      </c>
      <c r="J425" s="38" t="str">
        <f>I425</f>
        <v>"#ffffff"</v>
      </c>
      <c r="L425" s="46" t="s">
        <v>222</v>
      </c>
      <c r="M425" s="38" t="str">
        <f>L425</f>
        <v>"#ffffff"</v>
      </c>
      <c r="U425" s="46" t="s">
        <v>222</v>
      </c>
      <c r="V425" s="38" t="str">
        <f>U425</f>
        <v>"#ffffff"</v>
      </c>
      <c r="X425" s="46" t="s">
        <v>222</v>
      </c>
      <c r="Y425" s="38" t="str">
        <f>X425</f>
        <v>"#ffffff"</v>
      </c>
      <c r="AA425" s="2" t="s">
        <v>6</v>
      </c>
      <c r="AB425" s="2" t="str">
        <f t="shared" si="508"/>
        <v>-</v>
      </c>
      <c r="AC425" s="2" t="s">
        <v>26</v>
      </c>
      <c r="AD425" s="2" t="str">
        <f t="shared" si="509"/>
        <v>_</v>
      </c>
      <c r="AE425" s="2" t="s">
        <v>13</v>
      </c>
      <c r="AF425" s="2" t="str">
        <f t="shared" si="490"/>
        <v>_</v>
      </c>
      <c r="AG425" s="28" t="s">
        <v>24</v>
      </c>
      <c r="AH425" s="28" t="str">
        <f t="shared" si="510"/>
        <v>_</v>
      </c>
      <c r="AI425" s="28" t="s">
        <v>262</v>
      </c>
    </row>
    <row r="426" spans="1:35" x14ac:dyDescent="0.25">
      <c r="B426" s="2"/>
      <c r="C426" s="26"/>
      <c r="F426" s="26"/>
      <c r="L426" s="26"/>
      <c r="AA426" s="2"/>
      <c r="AB426" s="2"/>
      <c r="AC426" s="2"/>
      <c r="AD426" s="2"/>
      <c r="AE426" s="2"/>
      <c r="AF426" s="2"/>
      <c r="AG426" s="2"/>
      <c r="AH426" s="2"/>
      <c r="AI426" s="2"/>
    </row>
    <row r="427" spans="1:35" x14ac:dyDescent="0.25">
      <c r="B427" s="2" t="str">
        <f t="shared" ref="B427:B430" si="514">_xlfn.CONCAT("@",AA427,AB427,AC427,AD427,AE427,AF427,AG427,AH427,AI427)</f>
        <v>@dasharray-tertiary_case_medium_dash</v>
      </c>
      <c r="C427" s="28" t="s">
        <v>341</v>
      </c>
      <c r="D427" s="28" t="s">
        <v>341</v>
      </c>
      <c r="F427" s="28" t="s">
        <v>341</v>
      </c>
      <c r="G427" s="28" t="s">
        <v>341</v>
      </c>
      <c r="I427" s="28" t="s">
        <v>131</v>
      </c>
      <c r="J427" s="28" t="s">
        <v>131</v>
      </c>
      <c r="L427" s="28" t="s">
        <v>131</v>
      </c>
      <c r="M427" s="28" t="s">
        <v>131</v>
      </c>
      <c r="U427" s="28" t="s">
        <v>341</v>
      </c>
      <c r="V427" s="28" t="s">
        <v>341</v>
      </c>
      <c r="X427" s="28" t="s">
        <v>341</v>
      </c>
      <c r="Y427" s="28" t="s">
        <v>341</v>
      </c>
      <c r="AA427" s="2" t="s">
        <v>385</v>
      </c>
      <c r="AB427" s="2" t="str">
        <f t="shared" ref="AB427:AB430" si="515">IF(NOT(ISBLANK(AC427)),"-","")</f>
        <v>-</v>
      </c>
      <c r="AC427" s="2" t="s">
        <v>26</v>
      </c>
      <c r="AD427" s="2" t="str">
        <f t="shared" ref="AD427:AD430" si="516">IF(NOT(ISBLANK(AE427)),"_","")</f>
        <v>_</v>
      </c>
      <c r="AE427" s="2" t="s">
        <v>17</v>
      </c>
      <c r="AF427" s="2" t="str">
        <f t="shared" ref="AF427:AF430" si="517">IF(NOT(ISBLANK(AG427)),"_","")</f>
        <v>_</v>
      </c>
      <c r="AG427" s="2" t="s">
        <v>79</v>
      </c>
      <c r="AH427" s="2" t="str">
        <f t="shared" ref="AH427:AH430" si="518">IF(NOT(ISBLANK(AI427)),"_","")</f>
        <v>_</v>
      </c>
      <c r="AI427" s="2" t="s">
        <v>387</v>
      </c>
    </row>
    <row r="428" spans="1:35" x14ac:dyDescent="0.25">
      <c r="B428" s="2" t="str">
        <f t="shared" si="514"/>
        <v>@dasharray-tertiary_case_medium_gap</v>
      </c>
      <c r="C428" s="28" t="s">
        <v>389</v>
      </c>
      <c r="D428" s="28" t="s">
        <v>389</v>
      </c>
      <c r="F428" s="28" t="s">
        <v>389</v>
      </c>
      <c r="G428" s="28" t="s">
        <v>389</v>
      </c>
      <c r="I428" s="28" t="s">
        <v>98</v>
      </c>
      <c r="J428" s="28" t="s">
        <v>98</v>
      </c>
      <c r="L428" s="28" t="s">
        <v>98</v>
      </c>
      <c r="M428" s="28" t="s">
        <v>98</v>
      </c>
      <c r="U428" s="28" t="s">
        <v>389</v>
      </c>
      <c r="V428" s="28" t="s">
        <v>389</v>
      </c>
      <c r="X428" s="28" t="s">
        <v>389</v>
      </c>
      <c r="Y428" s="28" t="s">
        <v>389</v>
      </c>
      <c r="AA428" s="2" t="s">
        <v>385</v>
      </c>
      <c r="AB428" s="2" t="str">
        <f t="shared" si="515"/>
        <v>-</v>
      </c>
      <c r="AC428" s="2" t="s">
        <v>26</v>
      </c>
      <c r="AD428" s="2" t="str">
        <f t="shared" si="516"/>
        <v>_</v>
      </c>
      <c r="AE428" s="2" t="s">
        <v>17</v>
      </c>
      <c r="AF428" s="2" t="str">
        <f t="shared" si="517"/>
        <v>_</v>
      </c>
      <c r="AG428" s="2" t="s">
        <v>79</v>
      </c>
      <c r="AH428" s="2" t="str">
        <f t="shared" si="518"/>
        <v>_</v>
      </c>
      <c r="AI428" s="2" t="s">
        <v>388</v>
      </c>
    </row>
    <row r="429" spans="1:35" x14ac:dyDescent="0.25">
      <c r="B429" s="2" t="str">
        <f t="shared" si="514"/>
        <v>@dasharray-tertiary_case_rough_dash</v>
      </c>
      <c r="C429" s="28" t="s">
        <v>341</v>
      </c>
      <c r="D429" s="28" t="s">
        <v>341</v>
      </c>
      <c r="F429" s="28" t="s">
        <v>341</v>
      </c>
      <c r="G429" s="28" t="s">
        <v>341</v>
      </c>
      <c r="I429" s="28" t="s">
        <v>96</v>
      </c>
      <c r="J429" s="28" t="s">
        <v>96</v>
      </c>
      <c r="L429" s="28" t="s">
        <v>96</v>
      </c>
      <c r="M429" s="28" t="s">
        <v>96</v>
      </c>
      <c r="U429" s="28" t="s">
        <v>341</v>
      </c>
      <c r="V429" s="28" t="s">
        <v>341</v>
      </c>
      <c r="X429" s="28" t="s">
        <v>341</v>
      </c>
      <c r="Y429" s="28" t="s">
        <v>341</v>
      </c>
      <c r="AA429" s="2" t="s">
        <v>385</v>
      </c>
      <c r="AB429" s="2" t="str">
        <f t="shared" si="515"/>
        <v>-</v>
      </c>
      <c r="AC429" s="2" t="s">
        <v>26</v>
      </c>
      <c r="AD429" s="2" t="str">
        <f t="shared" si="516"/>
        <v>_</v>
      </c>
      <c r="AE429" s="2" t="s">
        <v>17</v>
      </c>
      <c r="AF429" s="2" t="str">
        <f t="shared" si="517"/>
        <v>_</v>
      </c>
      <c r="AG429" s="2" t="s">
        <v>386</v>
      </c>
      <c r="AH429" s="2" t="str">
        <f t="shared" si="518"/>
        <v>_</v>
      </c>
      <c r="AI429" s="2" t="s">
        <v>387</v>
      </c>
    </row>
    <row r="430" spans="1:35" x14ac:dyDescent="0.25">
      <c r="B430" s="2" t="str">
        <f t="shared" si="514"/>
        <v>@dasharray-tertiary_case_rough_gap</v>
      </c>
      <c r="C430" s="28" t="s">
        <v>389</v>
      </c>
      <c r="D430" s="28" t="s">
        <v>389</v>
      </c>
      <c r="F430" s="28" t="s">
        <v>389</v>
      </c>
      <c r="G430" s="28" t="s">
        <v>389</v>
      </c>
      <c r="I430" s="28" t="s">
        <v>98</v>
      </c>
      <c r="J430" s="28" t="s">
        <v>98</v>
      </c>
      <c r="L430" s="28" t="s">
        <v>98</v>
      </c>
      <c r="M430" s="28" t="s">
        <v>98</v>
      </c>
      <c r="U430" s="28" t="s">
        <v>389</v>
      </c>
      <c r="V430" s="28" t="s">
        <v>389</v>
      </c>
      <c r="X430" s="28" t="s">
        <v>389</v>
      </c>
      <c r="Y430" s="28" t="s">
        <v>389</v>
      </c>
      <c r="AA430" s="2" t="s">
        <v>385</v>
      </c>
      <c r="AB430" s="2" t="str">
        <f t="shared" si="515"/>
        <v>-</v>
      </c>
      <c r="AC430" s="2" t="s">
        <v>26</v>
      </c>
      <c r="AD430" s="2" t="str">
        <f t="shared" si="516"/>
        <v>_</v>
      </c>
      <c r="AE430" s="2" t="s">
        <v>17</v>
      </c>
      <c r="AF430" s="2" t="str">
        <f t="shared" si="517"/>
        <v>_</v>
      </c>
      <c r="AG430" s="2" t="s">
        <v>386</v>
      </c>
      <c r="AH430" s="2" t="str">
        <f t="shared" si="518"/>
        <v>_</v>
      </c>
      <c r="AI430" s="2" t="s">
        <v>388</v>
      </c>
    </row>
    <row r="431" spans="1:35" x14ac:dyDescent="0.25">
      <c r="B431" s="2"/>
      <c r="AB431" s="28" t="str">
        <f t="shared" si="482"/>
        <v/>
      </c>
      <c r="AD431" s="28" t="str">
        <f t="shared" si="489"/>
        <v/>
      </c>
      <c r="AF431" s="28" t="str">
        <f t="shared" si="490"/>
        <v/>
      </c>
      <c r="AH431" s="28" t="str">
        <f t="shared" si="500"/>
        <v/>
      </c>
    </row>
    <row r="432" spans="1:35" s="2" customFormat="1" x14ac:dyDescent="0.25">
      <c r="A432" s="3" t="s">
        <v>223</v>
      </c>
      <c r="B432" s="3"/>
      <c r="C432" s="27"/>
      <c r="D432" s="6"/>
      <c r="E432" s="7"/>
      <c r="F432" s="6"/>
      <c r="G432" s="6"/>
      <c r="H432" s="7"/>
      <c r="I432" s="6"/>
      <c r="J432" s="6"/>
      <c r="K432" s="7"/>
      <c r="L432" s="6"/>
      <c r="M432" s="6"/>
      <c r="N432" s="7"/>
      <c r="O432" s="6"/>
      <c r="P432" s="6"/>
      <c r="Q432" s="7"/>
      <c r="R432" s="6"/>
      <c r="S432" s="6"/>
      <c r="T432" s="7"/>
      <c r="U432" s="6"/>
      <c r="V432" s="6"/>
      <c r="W432" s="7"/>
      <c r="X432" s="6"/>
      <c r="Y432" s="6"/>
      <c r="AA432" s="4"/>
      <c r="AB432" s="4" t="str">
        <f t="shared" si="482"/>
        <v/>
      </c>
      <c r="AC432" s="4"/>
      <c r="AD432" s="4" t="str">
        <f t="shared" si="489"/>
        <v/>
      </c>
      <c r="AE432" s="4"/>
      <c r="AF432" s="4" t="str">
        <f t="shared" si="490"/>
        <v/>
      </c>
      <c r="AG432" s="4"/>
      <c r="AH432" s="4" t="str">
        <f t="shared" si="500"/>
        <v/>
      </c>
      <c r="AI432" s="4"/>
    </row>
    <row r="433" spans="2:35" x14ac:dyDescent="0.25">
      <c r="B433" s="2" t="str">
        <f t="shared" ref="B433:B434" si="519">_xlfn.CONCAT("@",AA433,AB433,AC433,AD433,AE433,AF433,AG433,AH433,AI433)</f>
        <v>@color-parking_aisle_line_unpaved</v>
      </c>
      <c r="C433" s="85" t="s">
        <v>232</v>
      </c>
      <c r="D433" s="76" t="s">
        <v>229</v>
      </c>
      <c r="F433" s="85" t="s">
        <v>232</v>
      </c>
      <c r="G433" s="75" t="s">
        <v>227</v>
      </c>
      <c r="I433" s="85" t="s">
        <v>232</v>
      </c>
      <c r="J433" s="76" t="s">
        <v>229</v>
      </c>
      <c r="L433" s="85" t="s">
        <v>232</v>
      </c>
      <c r="M433" s="75" t="s">
        <v>227</v>
      </c>
      <c r="U433" s="88" t="s">
        <v>233</v>
      </c>
      <c r="V433" s="89" t="s">
        <v>234</v>
      </c>
      <c r="X433" s="88" t="s">
        <v>233</v>
      </c>
      <c r="Y433" s="88" t="s">
        <v>233</v>
      </c>
      <c r="AA433" s="2" t="s">
        <v>6</v>
      </c>
      <c r="AB433" s="2" t="str">
        <f t="shared" ref="AB433:AB434" si="520">IF(NOT(ISBLANK(AC433)),"-","")</f>
        <v>-</v>
      </c>
      <c r="AC433" s="2" t="s">
        <v>391</v>
      </c>
      <c r="AD433" s="2" t="str">
        <f t="shared" ref="AD433:AD434" si="521">IF(NOT(ISBLANK(AE433)),"_","")</f>
        <v>_</v>
      </c>
      <c r="AE433" s="2" t="s">
        <v>13</v>
      </c>
      <c r="AF433" s="2" t="str">
        <f t="shared" ref="AF433:AF434" si="522">IF(NOT(ISBLANK(AG433)),"_","")</f>
        <v>_</v>
      </c>
      <c r="AG433" s="2" t="s">
        <v>21</v>
      </c>
      <c r="AH433" s="2" t="str">
        <f t="shared" ref="AH433:AH434" si="523">IF(NOT(ISBLANK(AI433)),"_","")</f>
        <v/>
      </c>
      <c r="AI433" s="2"/>
    </row>
    <row r="434" spans="2:35" x14ac:dyDescent="0.25">
      <c r="B434" s="2" t="str">
        <f t="shared" si="519"/>
        <v>@color-parking_aisle_line_paved_or_uk</v>
      </c>
      <c r="C434" s="88" t="s">
        <v>233</v>
      </c>
      <c r="D434" s="89" t="s">
        <v>234</v>
      </c>
      <c r="F434" s="88" t="s">
        <v>233</v>
      </c>
      <c r="G434" s="88" t="s">
        <v>233</v>
      </c>
      <c r="I434" s="88" t="s">
        <v>233</v>
      </c>
      <c r="J434" s="89" t="s">
        <v>234</v>
      </c>
      <c r="L434" s="88" t="s">
        <v>233</v>
      </c>
      <c r="M434" s="88" t="s">
        <v>233</v>
      </c>
      <c r="U434" s="88" t="s">
        <v>233</v>
      </c>
      <c r="V434" s="89" t="s">
        <v>234</v>
      </c>
      <c r="X434" s="88" t="s">
        <v>233</v>
      </c>
      <c r="Y434" s="88" t="s">
        <v>233</v>
      </c>
      <c r="AA434" s="2" t="s">
        <v>6</v>
      </c>
      <c r="AB434" s="2" t="str">
        <f t="shared" si="520"/>
        <v>-</v>
      </c>
      <c r="AC434" s="2" t="s">
        <v>391</v>
      </c>
      <c r="AD434" s="2" t="str">
        <f t="shared" si="521"/>
        <v>_</v>
      </c>
      <c r="AE434" s="2" t="s">
        <v>13</v>
      </c>
      <c r="AF434" s="2" t="str">
        <f t="shared" si="522"/>
        <v>_</v>
      </c>
      <c r="AG434" s="2" t="s">
        <v>24</v>
      </c>
      <c r="AH434" s="2" t="str">
        <f t="shared" si="523"/>
        <v/>
      </c>
      <c r="AI434" s="2"/>
    </row>
    <row r="435" spans="2:35" x14ac:dyDescent="0.25">
      <c r="B435" s="2"/>
      <c r="C435" s="26"/>
      <c r="D435" s="38"/>
      <c r="F435" s="46"/>
      <c r="G435" s="38"/>
      <c r="I435" s="38"/>
      <c r="J435" s="38"/>
      <c r="L435" s="46"/>
      <c r="M435" s="38"/>
      <c r="U435" s="26"/>
      <c r="V435" s="38"/>
      <c r="X435" s="46"/>
      <c r="Y435" s="38"/>
      <c r="AA435" s="2"/>
      <c r="AB435" s="2"/>
      <c r="AC435" s="2"/>
      <c r="AD435" s="2"/>
      <c r="AE435" s="2"/>
      <c r="AF435" s="2"/>
      <c r="AG435" s="2"/>
      <c r="AH435" s="2"/>
      <c r="AI435" s="2"/>
    </row>
    <row r="436" spans="2:35" x14ac:dyDescent="0.25">
      <c r="B436" s="2" t="str">
        <f t="shared" ref="B436:B441" si="524">_xlfn.CONCAT("@",AA436,AB436,AC436,AD436,AE436,AF436,AG436,AH436,AI436)</f>
        <v>@color-raceway_case_unpaved_farzoom</v>
      </c>
      <c r="C436" s="75" t="s">
        <v>227</v>
      </c>
      <c r="D436" s="76" t="s">
        <v>229</v>
      </c>
      <c r="F436" s="76" t="s">
        <v>229</v>
      </c>
      <c r="G436" s="75" t="s">
        <v>227</v>
      </c>
      <c r="I436" s="92" t="str">
        <f t="shared" ref="I436" si="525">C436</f>
        <v>"#b99346"</v>
      </c>
      <c r="J436" s="87" t="str">
        <f t="shared" ref="J436" si="526">D436</f>
        <v>"#644507"</v>
      </c>
      <c r="L436" s="76" t="s">
        <v>229</v>
      </c>
      <c r="M436" s="75" t="s">
        <v>227</v>
      </c>
      <c r="U436" s="78" t="s">
        <v>228</v>
      </c>
      <c r="V436" s="47" t="s">
        <v>214</v>
      </c>
      <c r="X436" s="78" t="s">
        <v>228</v>
      </c>
      <c r="Y436" s="78" t="s">
        <v>228</v>
      </c>
      <c r="AA436" s="2" t="s">
        <v>6</v>
      </c>
      <c r="AB436" s="2" t="str">
        <f t="shared" ref="AB436" si="527">IF(NOT(ISBLANK(AC436)),"-","")</f>
        <v>-</v>
      </c>
      <c r="AC436" s="2" t="s">
        <v>28</v>
      </c>
      <c r="AD436" s="2" t="str">
        <f t="shared" ref="AD436" si="528">IF(NOT(ISBLANK(AE436)),"_","")</f>
        <v>_</v>
      </c>
      <c r="AE436" s="2" t="s">
        <v>17</v>
      </c>
      <c r="AF436" s="2" t="str">
        <f t="shared" ref="AF436" si="529">IF(NOT(ISBLANK(AG436)),"_","")</f>
        <v>_</v>
      </c>
      <c r="AG436" s="2" t="s">
        <v>21</v>
      </c>
      <c r="AH436" s="2" t="str">
        <f t="shared" ref="AH436" si="530">IF(NOT(ISBLANK(AI436)),"_","")</f>
        <v>_</v>
      </c>
      <c r="AI436" s="28" t="s">
        <v>20</v>
      </c>
    </row>
    <row r="437" spans="2:35" x14ac:dyDescent="0.25">
      <c r="B437" s="2" t="str">
        <f t="shared" si="524"/>
        <v>@color-raceway_case_unpaved_default</v>
      </c>
      <c r="C437" s="85" t="s">
        <v>232</v>
      </c>
      <c r="D437" s="76" t="s">
        <v>229</v>
      </c>
      <c r="F437" s="47" t="s">
        <v>214</v>
      </c>
      <c r="G437" s="47" t="s">
        <v>214</v>
      </c>
      <c r="I437" s="86" t="str">
        <f>C437</f>
        <v>"#af9564"</v>
      </c>
      <c r="J437" s="87" t="str">
        <f>D437</f>
        <v>"#644507"</v>
      </c>
      <c r="L437" s="47" t="s">
        <v>214</v>
      </c>
      <c r="M437" s="47" t="s">
        <v>214</v>
      </c>
      <c r="U437" s="88" t="s">
        <v>233</v>
      </c>
      <c r="V437" s="89" t="s">
        <v>234</v>
      </c>
      <c r="X437" s="47" t="s">
        <v>214</v>
      </c>
      <c r="Y437" s="47" t="s">
        <v>214</v>
      </c>
      <c r="AA437" s="2" t="s">
        <v>6</v>
      </c>
      <c r="AB437" s="2" t="str">
        <f t="shared" ref="AB437:AB439" si="531">IF(NOT(ISBLANK(AC437)),"-","")</f>
        <v>-</v>
      </c>
      <c r="AC437" s="2" t="s">
        <v>28</v>
      </c>
      <c r="AD437" s="2" t="str">
        <f t="shared" ref="AD437:AD439" si="532">IF(NOT(ISBLANK(AE437)),"_","")</f>
        <v>_</v>
      </c>
      <c r="AE437" s="2" t="s">
        <v>17</v>
      </c>
      <c r="AF437" s="2" t="str">
        <f t="shared" ref="AF437:AF439" si="533">IF(NOT(ISBLANK(AG437)),"_","")</f>
        <v>_</v>
      </c>
      <c r="AG437" s="2" t="s">
        <v>21</v>
      </c>
      <c r="AH437" s="2" t="str">
        <f t="shared" si="500"/>
        <v>_</v>
      </c>
      <c r="AI437" s="2" t="s">
        <v>262</v>
      </c>
    </row>
    <row r="438" spans="2:35" x14ac:dyDescent="0.25">
      <c r="B438" s="2" t="str">
        <f t="shared" si="524"/>
        <v>@color-raceway_case_paved_or_uk_farzoom</v>
      </c>
      <c r="C438" s="78" t="s">
        <v>228</v>
      </c>
      <c r="D438" s="47" t="s">
        <v>214</v>
      </c>
      <c r="F438" s="78" t="s">
        <v>228</v>
      </c>
      <c r="G438" s="78" t="s">
        <v>228</v>
      </c>
      <c r="I438" s="93" t="str">
        <f t="shared" ref="I438" si="534">C438</f>
        <v>"#808080"</v>
      </c>
      <c r="J438" s="37" t="str">
        <f t="shared" ref="J438" si="535">D438</f>
        <v>"#000000"</v>
      </c>
      <c r="L438" s="78" t="s">
        <v>228</v>
      </c>
      <c r="M438" s="78" t="s">
        <v>228</v>
      </c>
      <c r="U438" s="78" t="s">
        <v>228</v>
      </c>
      <c r="V438" s="47" t="s">
        <v>214</v>
      </c>
      <c r="X438" s="78" t="s">
        <v>228</v>
      </c>
      <c r="Y438" s="78" t="s">
        <v>228</v>
      </c>
      <c r="AA438" s="2" t="s">
        <v>6</v>
      </c>
      <c r="AB438" s="2" t="str">
        <f t="shared" si="531"/>
        <v>-</v>
      </c>
      <c r="AC438" s="2" t="s">
        <v>28</v>
      </c>
      <c r="AD438" s="2" t="str">
        <f t="shared" si="532"/>
        <v>_</v>
      </c>
      <c r="AE438" s="2" t="s">
        <v>17</v>
      </c>
      <c r="AF438" s="2" t="str">
        <f t="shared" si="533"/>
        <v>_</v>
      </c>
      <c r="AG438" s="2" t="s">
        <v>24</v>
      </c>
      <c r="AH438" s="2" t="str">
        <f t="shared" ref="AH438" si="536">IF(NOT(ISBLANK(AI438)),"_","")</f>
        <v>_</v>
      </c>
      <c r="AI438" s="28" t="s">
        <v>20</v>
      </c>
    </row>
    <row r="439" spans="2:35" x14ac:dyDescent="0.25">
      <c r="B439" s="2" t="str">
        <f t="shared" si="524"/>
        <v>@color-raceway_case_paved_or_uk_default</v>
      </c>
      <c r="C439" s="88" t="s">
        <v>233</v>
      </c>
      <c r="D439" s="89" t="s">
        <v>234</v>
      </c>
      <c r="F439" s="47" t="s">
        <v>214</v>
      </c>
      <c r="G439" s="47" t="s">
        <v>214</v>
      </c>
      <c r="I439" s="90" t="str">
        <f>C439</f>
        <v>"#a8a6a4"</v>
      </c>
      <c r="J439" s="91" t="str">
        <f>D439</f>
        <v>"#4a4a4a"</v>
      </c>
      <c r="L439" s="47" t="s">
        <v>214</v>
      </c>
      <c r="M439" s="47" t="s">
        <v>214</v>
      </c>
      <c r="U439" s="88" t="s">
        <v>233</v>
      </c>
      <c r="V439" s="89" t="s">
        <v>234</v>
      </c>
      <c r="X439" s="47" t="s">
        <v>214</v>
      </c>
      <c r="Y439" s="47" t="s">
        <v>214</v>
      </c>
      <c r="AA439" s="2" t="s">
        <v>6</v>
      </c>
      <c r="AB439" s="2" t="str">
        <f t="shared" si="531"/>
        <v>-</v>
      </c>
      <c r="AC439" s="2" t="s">
        <v>28</v>
      </c>
      <c r="AD439" s="2" t="str">
        <f t="shared" si="532"/>
        <v>_</v>
      </c>
      <c r="AE439" s="2" t="s">
        <v>17</v>
      </c>
      <c r="AF439" s="2" t="str">
        <f t="shared" si="533"/>
        <v>_</v>
      </c>
      <c r="AG439" s="2" t="s">
        <v>24</v>
      </c>
      <c r="AH439" s="2" t="str">
        <f t="shared" si="500"/>
        <v>_</v>
      </c>
      <c r="AI439" s="2" t="s">
        <v>262</v>
      </c>
    </row>
    <row r="440" spans="2:35" x14ac:dyDescent="0.25">
      <c r="B440" s="2" t="str">
        <f t="shared" si="524"/>
        <v>@color-raceway_line_unpaved</v>
      </c>
      <c r="C440" s="80" t="s">
        <v>221</v>
      </c>
      <c r="D440" s="81" t="str">
        <f>C440</f>
        <v>"#eddfca"</v>
      </c>
      <c r="F440" s="80" t="s">
        <v>221</v>
      </c>
      <c r="G440" s="38" t="str">
        <f t="shared" ref="G440:G441" si="537">F440</f>
        <v>"#eddfca"</v>
      </c>
      <c r="I440" s="81" t="str">
        <f>C440</f>
        <v>"#eddfca"</v>
      </c>
      <c r="J440" s="81" t="str">
        <f>C440</f>
        <v>"#eddfca"</v>
      </c>
      <c r="L440" s="80" t="s">
        <v>221</v>
      </c>
      <c r="M440" s="38" t="str">
        <f t="shared" ref="M440:M441" si="538">L440</f>
        <v>"#eddfca"</v>
      </c>
      <c r="U440" s="26" t="s">
        <v>222</v>
      </c>
      <c r="V440" s="38" t="str">
        <f>U440</f>
        <v>"#ffffff"</v>
      </c>
      <c r="X440" s="46" t="s">
        <v>222</v>
      </c>
      <c r="Y440" s="38" t="str">
        <f t="shared" ref="Y440" si="539">X440</f>
        <v>"#ffffff"</v>
      </c>
      <c r="AA440" s="2" t="s">
        <v>6</v>
      </c>
      <c r="AB440" s="2" t="str">
        <f t="shared" si="482"/>
        <v>-</v>
      </c>
      <c r="AC440" s="2" t="s">
        <v>28</v>
      </c>
      <c r="AD440" s="2" t="str">
        <f t="shared" si="489"/>
        <v>_</v>
      </c>
      <c r="AE440" s="2" t="s">
        <v>13</v>
      </c>
      <c r="AF440" s="2" t="str">
        <f t="shared" si="490"/>
        <v>_</v>
      </c>
      <c r="AG440" s="2" t="s">
        <v>21</v>
      </c>
      <c r="AH440" s="2" t="str">
        <f t="shared" si="500"/>
        <v/>
      </c>
      <c r="AI440" s="2"/>
    </row>
    <row r="441" spans="2:35" x14ac:dyDescent="0.25">
      <c r="B441" s="2" t="str">
        <f t="shared" si="524"/>
        <v>@color-raceway_line_paved_or_uk</v>
      </c>
      <c r="C441" s="26" t="s">
        <v>222</v>
      </c>
      <c r="D441" s="38" t="str">
        <f>C441</f>
        <v>"#ffffff"</v>
      </c>
      <c r="F441" s="46" t="s">
        <v>222</v>
      </c>
      <c r="G441" s="38" t="str">
        <f t="shared" si="537"/>
        <v>"#ffffff"</v>
      </c>
      <c r="I441" s="38" t="str">
        <f>C441</f>
        <v>"#ffffff"</v>
      </c>
      <c r="J441" s="38" t="str">
        <f>C441</f>
        <v>"#ffffff"</v>
      </c>
      <c r="L441" s="46" t="s">
        <v>222</v>
      </c>
      <c r="M441" s="38" t="str">
        <f t="shared" si="538"/>
        <v>"#ffffff"</v>
      </c>
      <c r="U441" s="26" t="s">
        <v>222</v>
      </c>
      <c r="V441" s="38" t="str">
        <f>U441</f>
        <v>"#ffffff"</v>
      </c>
      <c r="X441" s="46" t="s">
        <v>222</v>
      </c>
      <c r="Y441" s="38" t="str">
        <f t="shared" ref="Y441" si="540">X441</f>
        <v>"#ffffff"</v>
      </c>
      <c r="AA441" s="2" t="s">
        <v>6</v>
      </c>
      <c r="AB441" s="2" t="str">
        <f t="shared" si="482"/>
        <v>-</v>
      </c>
      <c r="AC441" s="2" t="s">
        <v>28</v>
      </c>
      <c r="AD441" s="2" t="str">
        <f t="shared" si="489"/>
        <v>_</v>
      </c>
      <c r="AE441" s="2" t="s">
        <v>13</v>
      </c>
      <c r="AF441" s="2" t="str">
        <f t="shared" si="490"/>
        <v>_</v>
      </c>
      <c r="AG441" s="2" t="s">
        <v>24</v>
      </c>
      <c r="AH441" s="2" t="str">
        <f t="shared" si="500"/>
        <v/>
      </c>
      <c r="AI441" s="2"/>
    </row>
    <row r="442" spans="2:35" x14ac:dyDescent="0.25">
      <c r="B442" s="2"/>
      <c r="C442" s="26"/>
      <c r="F442" s="26"/>
      <c r="L442" s="26"/>
      <c r="U442" s="26"/>
      <c r="X442" s="26"/>
      <c r="AA442" s="2"/>
      <c r="AB442" s="2"/>
      <c r="AC442" s="2"/>
      <c r="AD442" s="2"/>
      <c r="AE442" s="2"/>
      <c r="AF442" s="2"/>
      <c r="AG442" s="2"/>
      <c r="AH442" s="2"/>
      <c r="AI442" s="2"/>
    </row>
    <row r="443" spans="2:35" x14ac:dyDescent="0.25">
      <c r="B443" s="2" t="str">
        <f t="shared" ref="B443:B446" si="541">_xlfn.CONCAT("@",AA443,AB443,AC443,AD443,AE443,AF443,AG443,AH443,AI443)</f>
        <v>@dasharray-raceway_case_medium_dash</v>
      </c>
      <c r="C443" s="28" t="s">
        <v>341</v>
      </c>
      <c r="D443" s="28" t="s">
        <v>341</v>
      </c>
      <c r="F443" s="28" t="s">
        <v>341</v>
      </c>
      <c r="G443" s="28" t="s">
        <v>341</v>
      </c>
      <c r="I443" s="28" t="s">
        <v>131</v>
      </c>
      <c r="J443" s="28" t="s">
        <v>131</v>
      </c>
      <c r="L443" s="28" t="s">
        <v>131</v>
      </c>
      <c r="M443" s="28" t="s">
        <v>131</v>
      </c>
      <c r="U443" s="28" t="s">
        <v>341</v>
      </c>
      <c r="V443" s="28" t="s">
        <v>341</v>
      </c>
      <c r="X443" s="28" t="s">
        <v>341</v>
      </c>
      <c r="Y443" s="28" t="s">
        <v>341</v>
      </c>
      <c r="AA443" s="2" t="s">
        <v>385</v>
      </c>
      <c r="AB443" s="2" t="str">
        <f t="shared" ref="AB443:AB446" si="542">IF(NOT(ISBLANK(AC443)),"-","")</f>
        <v>-</v>
      </c>
      <c r="AC443" s="2" t="s">
        <v>28</v>
      </c>
      <c r="AD443" s="2" t="str">
        <f t="shared" ref="AD443:AD446" si="543">IF(NOT(ISBLANK(AE443)),"_","")</f>
        <v>_</v>
      </c>
      <c r="AE443" s="2" t="s">
        <v>17</v>
      </c>
      <c r="AF443" s="2" t="str">
        <f t="shared" ref="AF443:AF446" si="544">IF(NOT(ISBLANK(AG443)),"_","")</f>
        <v>_</v>
      </c>
      <c r="AG443" s="2" t="s">
        <v>79</v>
      </c>
      <c r="AH443" s="2" t="str">
        <f t="shared" ref="AH443:AH446" si="545">IF(NOT(ISBLANK(AI443)),"_","")</f>
        <v>_</v>
      </c>
      <c r="AI443" s="2" t="s">
        <v>387</v>
      </c>
    </row>
    <row r="444" spans="2:35" x14ac:dyDescent="0.25">
      <c r="B444" s="2" t="str">
        <f t="shared" si="541"/>
        <v>@dasharray-raceway_case_medium_gap</v>
      </c>
      <c r="C444" s="28" t="s">
        <v>389</v>
      </c>
      <c r="D444" s="28" t="s">
        <v>389</v>
      </c>
      <c r="F444" s="28" t="s">
        <v>389</v>
      </c>
      <c r="G444" s="28" t="s">
        <v>389</v>
      </c>
      <c r="I444" s="28" t="s">
        <v>98</v>
      </c>
      <c r="J444" s="28" t="s">
        <v>98</v>
      </c>
      <c r="L444" s="28" t="s">
        <v>98</v>
      </c>
      <c r="M444" s="28" t="s">
        <v>98</v>
      </c>
      <c r="U444" s="28" t="s">
        <v>389</v>
      </c>
      <c r="V444" s="28" t="s">
        <v>389</v>
      </c>
      <c r="X444" s="28" t="s">
        <v>389</v>
      </c>
      <c r="Y444" s="28" t="s">
        <v>389</v>
      </c>
      <c r="AA444" s="2" t="s">
        <v>385</v>
      </c>
      <c r="AB444" s="2" t="str">
        <f t="shared" si="542"/>
        <v>-</v>
      </c>
      <c r="AC444" s="2" t="s">
        <v>28</v>
      </c>
      <c r="AD444" s="2" t="str">
        <f t="shared" si="543"/>
        <v>_</v>
      </c>
      <c r="AE444" s="2" t="s">
        <v>17</v>
      </c>
      <c r="AF444" s="2" t="str">
        <f t="shared" si="544"/>
        <v>_</v>
      </c>
      <c r="AG444" s="2" t="s">
        <v>79</v>
      </c>
      <c r="AH444" s="2" t="str">
        <f t="shared" si="545"/>
        <v>_</v>
      </c>
      <c r="AI444" s="2" t="s">
        <v>388</v>
      </c>
    </row>
    <row r="445" spans="2:35" x14ac:dyDescent="0.25">
      <c r="B445" s="2" t="str">
        <f t="shared" si="541"/>
        <v>@dasharray-raceway_case_rough_dash</v>
      </c>
      <c r="C445" s="28" t="s">
        <v>341</v>
      </c>
      <c r="D445" s="28" t="s">
        <v>341</v>
      </c>
      <c r="F445" s="28" t="s">
        <v>341</v>
      </c>
      <c r="G445" s="28" t="s">
        <v>341</v>
      </c>
      <c r="I445" s="28" t="s">
        <v>96</v>
      </c>
      <c r="J445" s="28" t="s">
        <v>96</v>
      </c>
      <c r="L445" s="28" t="s">
        <v>96</v>
      </c>
      <c r="M445" s="28" t="s">
        <v>96</v>
      </c>
      <c r="U445" s="28" t="s">
        <v>341</v>
      </c>
      <c r="V445" s="28" t="s">
        <v>341</v>
      </c>
      <c r="X445" s="28" t="s">
        <v>341</v>
      </c>
      <c r="Y445" s="28" t="s">
        <v>341</v>
      </c>
      <c r="AA445" s="2" t="s">
        <v>385</v>
      </c>
      <c r="AB445" s="2" t="str">
        <f t="shared" si="542"/>
        <v>-</v>
      </c>
      <c r="AC445" s="2" t="s">
        <v>28</v>
      </c>
      <c r="AD445" s="2" t="str">
        <f t="shared" si="543"/>
        <v>_</v>
      </c>
      <c r="AE445" s="2" t="s">
        <v>17</v>
      </c>
      <c r="AF445" s="2" t="str">
        <f t="shared" si="544"/>
        <v>_</v>
      </c>
      <c r="AG445" s="2" t="s">
        <v>386</v>
      </c>
      <c r="AH445" s="2" t="str">
        <f t="shared" si="545"/>
        <v>_</v>
      </c>
      <c r="AI445" s="2" t="s">
        <v>387</v>
      </c>
    </row>
    <row r="446" spans="2:35" x14ac:dyDescent="0.25">
      <c r="B446" s="2" t="str">
        <f t="shared" si="541"/>
        <v>@dasharray-raceway_case_rough_gap</v>
      </c>
      <c r="C446" s="28" t="s">
        <v>389</v>
      </c>
      <c r="D446" s="28" t="s">
        <v>389</v>
      </c>
      <c r="F446" s="28" t="s">
        <v>389</v>
      </c>
      <c r="G446" s="28" t="s">
        <v>389</v>
      </c>
      <c r="I446" s="28" t="s">
        <v>98</v>
      </c>
      <c r="J446" s="28" t="s">
        <v>98</v>
      </c>
      <c r="L446" s="28" t="s">
        <v>98</v>
      </c>
      <c r="M446" s="28" t="s">
        <v>98</v>
      </c>
      <c r="U446" s="28" t="s">
        <v>389</v>
      </c>
      <c r="V446" s="28" t="s">
        <v>389</v>
      </c>
      <c r="X446" s="28" t="s">
        <v>389</v>
      </c>
      <c r="Y446" s="28" t="s">
        <v>389</v>
      </c>
      <c r="AA446" s="2" t="s">
        <v>385</v>
      </c>
      <c r="AB446" s="2" t="str">
        <f t="shared" si="542"/>
        <v>-</v>
      </c>
      <c r="AC446" s="2" t="s">
        <v>28</v>
      </c>
      <c r="AD446" s="2" t="str">
        <f t="shared" si="543"/>
        <v>_</v>
      </c>
      <c r="AE446" s="2" t="s">
        <v>17</v>
      </c>
      <c r="AF446" s="2" t="str">
        <f t="shared" si="544"/>
        <v>_</v>
      </c>
      <c r="AG446" s="2" t="s">
        <v>386</v>
      </c>
      <c r="AH446" s="2" t="str">
        <f t="shared" si="545"/>
        <v>_</v>
      </c>
      <c r="AI446" s="2" t="s">
        <v>388</v>
      </c>
    </row>
    <row r="447" spans="2:35" x14ac:dyDescent="0.25">
      <c r="B447" s="2"/>
      <c r="C447" s="26"/>
      <c r="F447" s="26"/>
      <c r="L447" s="26"/>
      <c r="U447" s="26"/>
      <c r="X447" s="26"/>
      <c r="AA447" s="2"/>
      <c r="AB447" s="2"/>
      <c r="AC447" s="2"/>
      <c r="AD447" s="2"/>
      <c r="AE447" s="2"/>
      <c r="AF447" s="2"/>
      <c r="AG447" s="2"/>
      <c r="AH447" s="2"/>
      <c r="AI447" s="2"/>
    </row>
    <row r="448" spans="2:35" x14ac:dyDescent="0.25">
      <c r="B448" s="2"/>
      <c r="AB448" s="28" t="str">
        <f t="shared" si="482"/>
        <v/>
      </c>
      <c r="AD448" s="28" t="str">
        <f t="shared" si="489"/>
        <v/>
      </c>
      <c r="AF448" s="28" t="str">
        <f t="shared" si="490"/>
        <v/>
      </c>
      <c r="AH448" s="28" t="str">
        <f t="shared" si="500"/>
        <v/>
      </c>
    </row>
    <row r="449" spans="2:35" x14ac:dyDescent="0.25">
      <c r="B449" s="2" t="str">
        <f t="shared" ref="B449:B454" si="546">_xlfn.CONCAT("@",AA449,AB449,AC449,AD449,AE449,AF449,AG449,AH449,AI449)</f>
        <v>@color-driveway_case_unpaved_farzoom</v>
      </c>
      <c r="C449" s="75" t="s">
        <v>227</v>
      </c>
      <c r="D449" s="76" t="s">
        <v>229</v>
      </c>
      <c r="F449" s="76" t="s">
        <v>229</v>
      </c>
      <c r="G449" s="75" t="s">
        <v>227</v>
      </c>
      <c r="I449" s="92" t="str">
        <f t="shared" ref="I449:J452" si="547">C449</f>
        <v>"#b99346"</v>
      </c>
      <c r="J449" s="87" t="str">
        <f t="shared" si="547"/>
        <v>"#644507"</v>
      </c>
      <c r="L449" s="76" t="s">
        <v>229</v>
      </c>
      <c r="M449" s="75" t="s">
        <v>227</v>
      </c>
      <c r="U449" s="78" t="s">
        <v>228</v>
      </c>
      <c r="V449" s="47" t="s">
        <v>214</v>
      </c>
      <c r="X449" s="78" t="s">
        <v>228</v>
      </c>
      <c r="Y449" s="78" t="s">
        <v>228</v>
      </c>
      <c r="AA449" s="2" t="s">
        <v>6</v>
      </c>
      <c r="AB449" s="2" t="str">
        <f t="shared" si="482"/>
        <v>-</v>
      </c>
      <c r="AC449" s="2" t="s">
        <v>29</v>
      </c>
      <c r="AD449" s="2" t="str">
        <f t="shared" si="489"/>
        <v>_</v>
      </c>
      <c r="AE449" s="2" t="s">
        <v>17</v>
      </c>
      <c r="AF449" s="2" t="str">
        <f t="shared" si="490"/>
        <v>_</v>
      </c>
      <c r="AG449" s="2" t="s">
        <v>21</v>
      </c>
      <c r="AH449" s="2" t="str">
        <f t="shared" si="500"/>
        <v>_</v>
      </c>
      <c r="AI449" s="28" t="s">
        <v>20</v>
      </c>
    </row>
    <row r="450" spans="2:35" x14ac:dyDescent="0.25">
      <c r="B450" s="2" t="str">
        <f t="shared" si="546"/>
        <v>@color-driveway_case_unpaved_default</v>
      </c>
      <c r="C450" s="76" t="s">
        <v>229</v>
      </c>
      <c r="D450" s="76" t="s">
        <v>229</v>
      </c>
      <c r="F450" s="47" t="s">
        <v>214</v>
      </c>
      <c r="G450" s="47" t="s">
        <v>214</v>
      </c>
      <c r="I450" s="87" t="str">
        <f t="shared" si="547"/>
        <v>"#644507"</v>
      </c>
      <c r="J450" s="87" t="str">
        <f t="shared" si="547"/>
        <v>"#644507"</v>
      </c>
      <c r="L450" s="47" t="s">
        <v>214</v>
      </c>
      <c r="M450" s="47" t="s">
        <v>214</v>
      </c>
      <c r="U450" s="79" t="s">
        <v>218</v>
      </c>
      <c r="V450" s="47" t="s">
        <v>214</v>
      </c>
      <c r="X450" s="47" t="s">
        <v>214</v>
      </c>
      <c r="Y450" s="47" t="s">
        <v>214</v>
      </c>
      <c r="AA450" s="2" t="s">
        <v>6</v>
      </c>
      <c r="AB450" s="2" t="str">
        <f t="shared" si="482"/>
        <v>-</v>
      </c>
      <c r="AC450" s="2" t="s">
        <v>29</v>
      </c>
      <c r="AD450" s="2" t="str">
        <f t="shared" si="489"/>
        <v>_</v>
      </c>
      <c r="AE450" s="2" t="s">
        <v>17</v>
      </c>
      <c r="AF450" s="2" t="str">
        <f t="shared" si="490"/>
        <v>_</v>
      </c>
      <c r="AG450" s="2" t="s">
        <v>21</v>
      </c>
      <c r="AH450" s="2" t="str">
        <f t="shared" si="500"/>
        <v>_</v>
      </c>
      <c r="AI450" s="2" t="s">
        <v>262</v>
      </c>
    </row>
    <row r="451" spans="2:35" x14ac:dyDescent="0.25">
      <c r="B451" s="2" t="str">
        <f t="shared" si="546"/>
        <v>@color-driveway_case_paved_or_uk_farzoom</v>
      </c>
      <c r="C451" s="78" t="s">
        <v>228</v>
      </c>
      <c r="D451" s="47" t="s">
        <v>214</v>
      </c>
      <c r="F451" s="78" t="s">
        <v>228</v>
      </c>
      <c r="G451" s="78" t="s">
        <v>228</v>
      </c>
      <c r="I451" s="93" t="str">
        <f t="shared" si="547"/>
        <v>"#808080"</v>
      </c>
      <c r="J451" s="37" t="str">
        <f t="shared" si="547"/>
        <v>"#000000"</v>
      </c>
      <c r="L451" s="78" t="s">
        <v>228</v>
      </c>
      <c r="M451" s="78" t="s">
        <v>228</v>
      </c>
      <c r="U451" s="78" t="s">
        <v>228</v>
      </c>
      <c r="V451" s="47" t="s">
        <v>214</v>
      </c>
      <c r="X451" s="78" t="s">
        <v>228</v>
      </c>
      <c r="Y451" s="78" t="s">
        <v>228</v>
      </c>
      <c r="AA451" s="2" t="s">
        <v>6</v>
      </c>
      <c r="AB451" s="2" t="str">
        <f t="shared" si="482"/>
        <v>-</v>
      </c>
      <c r="AC451" s="2" t="s">
        <v>29</v>
      </c>
      <c r="AD451" s="2" t="str">
        <f t="shared" si="489"/>
        <v>_</v>
      </c>
      <c r="AE451" s="2" t="s">
        <v>17</v>
      </c>
      <c r="AF451" s="2" t="str">
        <f t="shared" si="490"/>
        <v>_</v>
      </c>
      <c r="AG451" s="2" t="s">
        <v>24</v>
      </c>
      <c r="AH451" s="2" t="str">
        <f t="shared" si="500"/>
        <v>_</v>
      </c>
      <c r="AI451" s="28" t="s">
        <v>20</v>
      </c>
    </row>
    <row r="452" spans="2:35" x14ac:dyDescent="0.25">
      <c r="B452" s="2" t="str">
        <f t="shared" si="546"/>
        <v>@color-driveway_case_paved_or_uk_default</v>
      </c>
      <c r="C452" s="79" t="s">
        <v>218</v>
      </c>
      <c r="D452" s="47" t="s">
        <v>214</v>
      </c>
      <c r="F452" s="47" t="s">
        <v>214</v>
      </c>
      <c r="G452" s="47" t="s">
        <v>214</v>
      </c>
      <c r="I452" s="94" t="str">
        <f t="shared" si="547"/>
        <v>"#404040"</v>
      </c>
      <c r="J452" s="37" t="str">
        <f t="shared" si="547"/>
        <v>"#000000"</v>
      </c>
      <c r="L452" s="47" t="s">
        <v>214</v>
      </c>
      <c r="M452" s="47" t="s">
        <v>214</v>
      </c>
      <c r="Q452" s="7"/>
      <c r="U452" s="79" t="s">
        <v>218</v>
      </c>
      <c r="V452" s="47" t="s">
        <v>214</v>
      </c>
      <c r="X452" s="47" t="s">
        <v>214</v>
      </c>
      <c r="Y452" s="47" t="s">
        <v>214</v>
      </c>
      <c r="AA452" s="2" t="s">
        <v>6</v>
      </c>
      <c r="AB452" s="2" t="str">
        <f t="shared" si="482"/>
        <v>-</v>
      </c>
      <c r="AC452" s="2" t="s">
        <v>29</v>
      </c>
      <c r="AD452" s="2" t="str">
        <f t="shared" si="489"/>
        <v>_</v>
      </c>
      <c r="AE452" s="2" t="s">
        <v>17</v>
      </c>
      <c r="AF452" s="2" t="str">
        <f t="shared" si="490"/>
        <v>_</v>
      </c>
      <c r="AG452" s="2" t="s">
        <v>24</v>
      </c>
      <c r="AH452" s="2" t="str">
        <f t="shared" si="500"/>
        <v>_</v>
      </c>
      <c r="AI452" s="2" t="s">
        <v>262</v>
      </c>
    </row>
    <row r="453" spans="2:35" x14ac:dyDescent="0.25">
      <c r="B453" s="2" t="str">
        <f t="shared" si="546"/>
        <v>@color-driveway_line_unpaved</v>
      </c>
      <c r="C453" s="80" t="s">
        <v>221</v>
      </c>
      <c r="D453" s="38" t="str">
        <f t="shared" ref="D453:D454" si="548">C453</f>
        <v>"#eddfca"</v>
      </c>
      <c r="F453" s="80" t="s">
        <v>221</v>
      </c>
      <c r="G453" s="38" t="str">
        <f t="shared" ref="G453:G454" si="549">F453</f>
        <v>"#eddfca"</v>
      </c>
      <c r="I453" s="80" t="s">
        <v>221</v>
      </c>
      <c r="J453" s="38" t="str">
        <f t="shared" ref="J453:J454" si="550">I453</f>
        <v>"#eddfca"</v>
      </c>
      <c r="L453" s="80" t="s">
        <v>221</v>
      </c>
      <c r="M453" s="38" t="str">
        <f t="shared" ref="M453:M454" si="551">L453</f>
        <v>"#eddfca"</v>
      </c>
      <c r="U453" s="46" t="s">
        <v>222</v>
      </c>
      <c r="V453" s="38" t="str">
        <f t="shared" ref="V453" si="552">U453</f>
        <v>"#ffffff"</v>
      </c>
      <c r="X453" s="46" t="s">
        <v>222</v>
      </c>
      <c r="Y453" s="38" t="str">
        <f t="shared" ref="Y453" si="553">X453</f>
        <v>"#ffffff"</v>
      </c>
      <c r="AA453" s="2" t="s">
        <v>6</v>
      </c>
      <c r="AB453" s="2" t="str">
        <f t="shared" si="482"/>
        <v>-</v>
      </c>
      <c r="AC453" s="2" t="s">
        <v>29</v>
      </c>
      <c r="AD453" s="2" t="str">
        <f t="shared" si="489"/>
        <v>_</v>
      </c>
      <c r="AE453" s="2" t="s">
        <v>13</v>
      </c>
      <c r="AF453" s="2" t="str">
        <f t="shared" si="490"/>
        <v>_</v>
      </c>
      <c r="AG453" s="2" t="s">
        <v>21</v>
      </c>
      <c r="AH453" s="2" t="str">
        <f t="shared" si="500"/>
        <v/>
      </c>
      <c r="AI453" s="2"/>
    </row>
    <row r="454" spans="2:35" x14ac:dyDescent="0.25">
      <c r="B454" s="2" t="str">
        <f t="shared" si="546"/>
        <v>@color-driveway_line_paved_or_uk</v>
      </c>
      <c r="C454" s="46" t="s">
        <v>222</v>
      </c>
      <c r="D454" s="38" t="str">
        <f t="shared" si="548"/>
        <v>"#ffffff"</v>
      </c>
      <c r="F454" s="46" t="s">
        <v>222</v>
      </c>
      <c r="G454" s="38" t="str">
        <f t="shared" si="549"/>
        <v>"#ffffff"</v>
      </c>
      <c r="I454" s="46" t="s">
        <v>222</v>
      </c>
      <c r="J454" s="38" t="str">
        <f t="shared" si="550"/>
        <v>"#ffffff"</v>
      </c>
      <c r="L454" s="46" t="s">
        <v>222</v>
      </c>
      <c r="M454" s="38" t="str">
        <f t="shared" si="551"/>
        <v>"#ffffff"</v>
      </c>
      <c r="U454" s="46" t="s">
        <v>222</v>
      </c>
      <c r="V454" s="38" t="str">
        <f t="shared" ref="V454" si="554">U454</f>
        <v>"#ffffff"</v>
      </c>
      <c r="X454" s="46" t="s">
        <v>222</v>
      </c>
      <c r="Y454" s="38" t="str">
        <f t="shared" ref="Y454" si="555">X454</f>
        <v>"#ffffff"</v>
      </c>
      <c r="AA454" s="2" t="s">
        <v>6</v>
      </c>
      <c r="AB454" s="2" t="str">
        <f t="shared" si="482"/>
        <v>-</v>
      </c>
      <c r="AC454" s="2" t="s">
        <v>29</v>
      </c>
      <c r="AD454" s="2" t="str">
        <f t="shared" si="489"/>
        <v>_</v>
      </c>
      <c r="AE454" s="2" t="s">
        <v>13</v>
      </c>
      <c r="AF454" s="2" t="str">
        <f t="shared" si="490"/>
        <v>_</v>
      </c>
      <c r="AG454" s="2" t="s">
        <v>24</v>
      </c>
      <c r="AH454" s="2" t="str">
        <f t="shared" si="500"/>
        <v/>
      </c>
      <c r="AI454" s="2"/>
    </row>
    <row r="455" spans="2:35" x14ac:dyDescent="0.25">
      <c r="B455" s="2"/>
      <c r="C455" s="26"/>
      <c r="F455" s="26"/>
      <c r="L455" s="26"/>
      <c r="U455" s="26"/>
      <c r="X455" s="26"/>
      <c r="AA455" s="2"/>
      <c r="AB455" s="2"/>
      <c r="AC455" s="2"/>
      <c r="AD455" s="2"/>
      <c r="AE455" s="2"/>
      <c r="AF455" s="2"/>
      <c r="AG455" s="2"/>
      <c r="AH455" s="2"/>
      <c r="AI455" s="2"/>
    </row>
    <row r="456" spans="2:35" x14ac:dyDescent="0.25">
      <c r="B456" s="2" t="str">
        <f t="shared" ref="B456:B459" si="556">_xlfn.CONCAT("@",AA456,AB456,AC456,AD456,AE456,AF456,AG456,AH456,AI456)</f>
        <v>@dasharray-driveway_case_medium_dash</v>
      </c>
      <c r="C456" s="28" t="s">
        <v>341</v>
      </c>
      <c r="D456" s="28" t="s">
        <v>341</v>
      </c>
      <c r="F456" s="28" t="s">
        <v>341</v>
      </c>
      <c r="G456" s="28" t="s">
        <v>341</v>
      </c>
      <c r="I456" s="28" t="s">
        <v>131</v>
      </c>
      <c r="J456" s="28" t="s">
        <v>131</v>
      </c>
      <c r="L456" s="28" t="s">
        <v>131</v>
      </c>
      <c r="M456" s="28" t="s">
        <v>131</v>
      </c>
      <c r="U456" s="28" t="s">
        <v>341</v>
      </c>
      <c r="V456" s="28" t="s">
        <v>341</v>
      </c>
      <c r="X456" s="28" t="s">
        <v>341</v>
      </c>
      <c r="Y456" s="28" t="s">
        <v>341</v>
      </c>
      <c r="AA456" s="2" t="s">
        <v>385</v>
      </c>
      <c r="AB456" s="2" t="str">
        <f t="shared" ref="AB456:AB459" si="557">IF(NOT(ISBLANK(AC456)),"-","")</f>
        <v>-</v>
      </c>
      <c r="AC456" s="2" t="s">
        <v>29</v>
      </c>
      <c r="AD456" s="2" t="str">
        <f t="shared" ref="AD456:AD459" si="558">IF(NOT(ISBLANK(AE456)),"_","")</f>
        <v>_</v>
      </c>
      <c r="AE456" s="2" t="s">
        <v>17</v>
      </c>
      <c r="AF456" s="2" t="str">
        <f t="shared" ref="AF456:AF459" si="559">IF(NOT(ISBLANK(AG456)),"_","")</f>
        <v>_</v>
      </c>
      <c r="AG456" s="2" t="s">
        <v>79</v>
      </c>
      <c r="AH456" s="2" t="str">
        <f t="shared" ref="AH456:AH459" si="560">IF(NOT(ISBLANK(AI456)),"_","")</f>
        <v>_</v>
      </c>
      <c r="AI456" s="2" t="s">
        <v>387</v>
      </c>
    </row>
    <row r="457" spans="2:35" x14ac:dyDescent="0.25">
      <c r="B457" s="2" t="str">
        <f t="shared" si="556"/>
        <v>@dasharray-driveway_case_medium_gap</v>
      </c>
      <c r="C457" s="28" t="s">
        <v>389</v>
      </c>
      <c r="D457" s="28" t="s">
        <v>389</v>
      </c>
      <c r="F457" s="28" t="s">
        <v>389</v>
      </c>
      <c r="G457" s="28" t="s">
        <v>389</v>
      </c>
      <c r="I457" s="28" t="s">
        <v>98</v>
      </c>
      <c r="J457" s="28" t="s">
        <v>98</v>
      </c>
      <c r="L457" s="28" t="s">
        <v>98</v>
      </c>
      <c r="M457" s="28" t="s">
        <v>98</v>
      </c>
      <c r="U457" s="28" t="s">
        <v>389</v>
      </c>
      <c r="V457" s="28" t="s">
        <v>389</v>
      </c>
      <c r="X457" s="28" t="s">
        <v>389</v>
      </c>
      <c r="Y457" s="28" t="s">
        <v>389</v>
      </c>
      <c r="AA457" s="2" t="s">
        <v>385</v>
      </c>
      <c r="AB457" s="2" t="str">
        <f t="shared" si="557"/>
        <v>-</v>
      </c>
      <c r="AC457" s="2" t="s">
        <v>29</v>
      </c>
      <c r="AD457" s="2" t="str">
        <f t="shared" si="558"/>
        <v>_</v>
      </c>
      <c r="AE457" s="2" t="s">
        <v>17</v>
      </c>
      <c r="AF457" s="2" t="str">
        <f t="shared" si="559"/>
        <v>_</v>
      </c>
      <c r="AG457" s="2" t="s">
        <v>79</v>
      </c>
      <c r="AH457" s="2" t="str">
        <f t="shared" si="560"/>
        <v>_</v>
      </c>
      <c r="AI457" s="2" t="s">
        <v>388</v>
      </c>
    </row>
    <row r="458" spans="2:35" x14ac:dyDescent="0.25">
      <c r="B458" s="2" t="str">
        <f t="shared" si="556"/>
        <v>@dasharray-driveway_case_rough_dash</v>
      </c>
      <c r="C458" s="28" t="s">
        <v>341</v>
      </c>
      <c r="D458" s="28" t="s">
        <v>341</v>
      </c>
      <c r="F458" s="28" t="s">
        <v>341</v>
      </c>
      <c r="G458" s="28" t="s">
        <v>341</v>
      </c>
      <c r="I458" s="28" t="s">
        <v>96</v>
      </c>
      <c r="J458" s="28" t="s">
        <v>96</v>
      </c>
      <c r="L458" s="28" t="s">
        <v>96</v>
      </c>
      <c r="M458" s="28" t="s">
        <v>96</v>
      </c>
      <c r="U458" s="28" t="s">
        <v>341</v>
      </c>
      <c r="V458" s="28" t="s">
        <v>341</v>
      </c>
      <c r="X458" s="28" t="s">
        <v>341</v>
      </c>
      <c r="Y458" s="28" t="s">
        <v>341</v>
      </c>
      <c r="AA458" s="2" t="s">
        <v>385</v>
      </c>
      <c r="AB458" s="2" t="str">
        <f t="shared" si="557"/>
        <v>-</v>
      </c>
      <c r="AC458" s="2" t="s">
        <v>29</v>
      </c>
      <c r="AD458" s="2" t="str">
        <f t="shared" si="558"/>
        <v>_</v>
      </c>
      <c r="AE458" s="2" t="s">
        <v>17</v>
      </c>
      <c r="AF458" s="2" t="str">
        <f t="shared" si="559"/>
        <v>_</v>
      </c>
      <c r="AG458" s="2" t="s">
        <v>386</v>
      </c>
      <c r="AH458" s="2" t="str">
        <f t="shared" si="560"/>
        <v>_</v>
      </c>
      <c r="AI458" s="2" t="s">
        <v>387</v>
      </c>
    </row>
    <row r="459" spans="2:35" x14ac:dyDescent="0.25">
      <c r="B459" s="2" t="str">
        <f t="shared" si="556"/>
        <v>@dasharray-driveway_case_rough_gap</v>
      </c>
      <c r="C459" s="28" t="s">
        <v>389</v>
      </c>
      <c r="D459" s="28" t="s">
        <v>389</v>
      </c>
      <c r="F459" s="28" t="s">
        <v>389</v>
      </c>
      <c r="G459" s="28" t="s">
        <v>389</v>
      </c>
      <c r="I459" s="28" t="s">
        <v>98</v>
      </c>
      <c r="J459" s="28" t="s">
        <v>98</v>
      </c>
      <c r="L459" s="28" t="s">
        <v>98</v>
      </c>
      <c r="M459" s="28" t="s">
        <v>98</v>
      </c>
      <c r="U459" s="28" t="s">
        <v>389</v>
      </c>
      <c r="V459" s="28" t="s">
        <v>389</v>
      </c>
      <c r="X459" s="28" t="s">
        <v>389</v>
      </c>
      <c r="Y459" s="28" t="s">
        <v>389</v>
      </c>
      <c r="AA459" s="2" t="s">
        <v>385</v>
      </c>
      <c r="AB459" s="2" t="str">
        <f t="shared" si="557"/>
        <v>-</v>
      </c>
      <c r="AC459" s="2" t="s">
        <v>29</v>
      </c>
      <c r="AD459" s="2" t="str">
        <f t="shared" si="558"/>
        <v>_</v>
      </c>
      <c r="AE459" s="2" t="s">
        <v>17</v>
      </c>
      <c r="AF459" s="2" t="str">
        <f t="shared" si="559"/>
        <v>_</v>
      </c>
      <c r="AG459" s="2" t="s">
        <v>386</v>
      </c>
      <c r="AH459" s="2" t="str">
        <f t="shared" si="560"/>
        <v>_</v>
      </c>
      <c r="AI459" s="2" t="s">
        <v>388</v>
      </c>
    </row>
    <row r="460" spans="2:35" x14ac:dyDescent="0.25">
      <c r="B460" s="2"/>
      <c r="C460" s="26"/>
      <c r="F460" s="26"/>
      <c r="I460" s="26"/>
      <c r="J460" s="26"/>
      <c r="L460" s="26"/>
      <c r="M460" s="26"/>
      <c r="U460" s="26"/>
      <c r="X460" s="26"/>
      <c r="AA460" s="2"/>
      <c r="AB460" s="2"/>
      <c r="AC460" s="2"/>
      <c r="AD460" s="2"/>
      <c r="AE460" s="2"/>
      <c r="AF460" s="2"/>
      <c r="AG460" s="2"/>
      <c r="AH460" s="2"/>
      <c r="AI460" s="2"/>
    </row>
    <row r="461" spans="2:35" x14ac:dyDescent="0.25">
      <c r="B461" s="2"/>
      <c r="AB461" s="28" t="str">
        <f t="shared" ref="AB461:AB480" si="561">IF(NOT(ISBLANK(AC461)),"-","")</f>
        <v/>
      </c>
      <c r="AD461" s="28" t="str">
        <f t="shared" ref="AD461:AD480" si="562">IF(NOT(ISBLANK(AE461)),"_","")</f>
        <v/>
      </c>
      <c r="AF461" s="28" t="str">
        <f t="shared" ref="AF461:AF480" si="563">IF(NOT(ISBLANK(AG461)),"_","")</f>
        <v/>
      </c>
      <c r="AH461" s="28" t="str">
        <f t="shared" si="500"/>
        <v/>
      </c>
    </row>
    <row r="462" spans="2:35" x14ac:dyDescent="0.25">
      <c r="B462" s="2" t="str">
        <f t="shared" ref="B462:B467" si="564">_xlfn.CONCAT("@",AA462,AB462,AC462,AD462,AE462,AF462,AG462,AH462,AI462)</f>
        <v>@color-busway_case_unpaved_farzoom</v>
      </c>
      <c r="C462" s="75" t="s">
        <v>227</v>
      </c>
      <c r="D462" s="76" t="s">
        <v>229</v>
      </c>
      <c r="F462" s="76" t="s">
        <v>229</v>
      </c>
      <c r="G462" s="75" t="s">
        <v>227</v>
      </c>
      <c r="I462" s="92" t="str">
        <f t="shared" ref="I462:I465" si="565">C462</f>
        <v>"#b99346"</v>
      </c>
      <c r="J462" s="87" t="str">
        <f t="shared" ref="J462:J465" si="566">D462</f>
        <v>"#644507"</v>
      </c>
      <c r="L462" s="76" t="s">
        <v>229</v>
      </c>
      <c r="M462" s="75" t="s">
        <v>227</v>
      </c>
      <c r="U462" s="78" t="s">
        <v>228</v>
      </c>
      <c r="V462" s="47" t="s">
        <v>214</v>
      </c>
      <c r="X462" s="78" t="s">
        <v>228</v>
      </c>
      <c r="Y462" s="78" t="s">
        <v>228</v>
      </c>
      <c r="AA462" s="2" t="s">
        <v>6</v>
      </c>
      <c r="AB462" s="2" t="str">
        <f t="shared" si="561"/>
        <v>-</v>
      </c>
      <c r="AC462" s="2" t="s">
        <v>370</v>
      </c>
      <c r="AD462" s="2" t="str">
        <f t="shared" si="562"/>
        <v>_</v>
      </c>
      <c r="AE462" s="2" t="s">
        <v>17</v>
      </c>
      <c r="AF462" s="2" t="str">
        <f t="shared" si="563"/>
        <v>_</v>
      </c>
      <c r="AG462" s="2" t="s">
        <v>21</v>
      </c>
      <c r="AH462" s="2" t="str">
        <f t="shared" ref="AH462:AH474" si="567">IF(NOT(ISBLANK(AI462)),"_","")</f>
        <v>_</v>
      </c>
      <c r="AI462" s="28" t="s">
        <v>20</v>
      </c>
    </row>
    <row r="463" spans="2:35" x14ac:dyDescent="0.25">
      <c r="B463" s="2" t="str">
        <f t="shared" si="564"/>
        <v>@color-busway_case_unpaved_default</v>
      </c>
      <c r="C463" s="76" t="s">
        <v>229</v>
      </c>
      <c r="D463" s="76" t="s">
        <v>229</v>
      </c>
      <c r="F463" s="47" t="s">
        <v>214</v>
      </c>
      <c r="G463" s="47" t="s">
        <v>214</v>
      </c>
      <c r="I463" s="87" t="str">
        <f t="shared" si="565"/>
        <v>"#644507"</v>
      </c>
      <c r="J463" s="87" t="str">
        <f t="shared" si="566"/>
        <v>"#644507"</v>
      </c>
      <c r="L463" s="47" t="s">
        <v>214</v>
      </c>
      <c r="M463" s="47" t="s">
        <v>214</v>
      </c>
      <c r="U463" s="79" t="s">
        <v>218</v>
      </c>
      <c r="V463" s="47" t="s">
        <v>214</v>
      </c>
      <c r="X463" s="47" t="s">
        <v>214</v>
      </c>
      <c r="Y463" s="47" t="s">
        <v>214</v>
      </c>
      <c r="AA463" s="2" t="s">
        <v>6</v>
      </c>
      <c r="AB463" s="2" t="str">
        <f t="shared" si="561"/>
        <v>-</v>
      </c>
      <c r="AC463" s="2" t="s">
        <v>370</v>
      </c>
      <c r="AD463" s="2" t="str">
        <f t="shared" si="562"/>
        <v>_</v>
      </c>
      <c r="AE463" s="2" t="s">
        <v>17</v>
      </c>
      <c r="AF463" s="2" t="str">
        <f t="shared" si="563"/>
        <v>_</v>
      </c>
      <c r="AG463" s="2" t="s">
        <v>21</v>
      </c>
      <c r="AH463" s="2" t="str">
        <f t="shared" si="567"/>
        <v>_</v>
      </c>
      <c r="AI463" s="2" t="s">
        <v>262</v>
      </c>
    </row>
    <row r="464" spans="2:35" x14ac:dyDescent="0.25">
      <c r="B464" s="2" t="str">
        <f t="shared" si="564"/>
        <v>@color-busway_case_paved_or_uk_farzoom</v>
      </c>
      <c r="C464" s="78" t="s">
        <v>228</v>
      </c>
      <c r="D464" s="47" t="s">
        <v>214</v>
      </c>
      <c r="F464" s="78" t="s">
        <v>228</v>
      </c>
      <c r="G464" s="78" t="s">
        <v>228</v>
      </c>
      <c r="I464" s="93" t="str">
        <f t="shared" si="565"/>
        <v>"#808080"</v>
      </c>
      <c r="J464" s="37" t="str">
        <f t="shared" si="566"/>
        <v>"#000000"</v>
      </c>
      <c r="L464" s="78" t="s">
        <v>228</v>
      </c>
      <c r="M464" s="78" t="s">
        <v>228</v>
      </c>
      <c r="U464" s="78" t="s">
        <v>228</v>
      </c>
      <c r="V464" s="47" t="s">
        <v>214</v>
      </c>
      <c r="X464" s="78" t="s">
        <v>228</v>
      </c>
      <c r="Y464" s="78" t="s">
        <v>228</v>
      </c>
      <c r="AA464" s="2" t="s">
        <v>6</v>
      </c>
      <c r="AB464" s="2" t="str">
        <f t="shared" si="561"/>
        <v>-</v>
      </c>
      <c r="AC464" s="2" t="s">
        <v>370</v>
      </c>
      <c r="AD464" s="2" t="str">
        <f t="shared" si="562"/>
        <v>_</v>
      </c>
      <c r="AE464" s="2" t="s">
        <v>17</v>
      </c>
      <c r="AF464" s="2" t="str">
        <f t="shared" si="563"/>
        <v>_</v>
      </c>
      <c r="AG464" s="2" t="s">
        <v>24</v>
      </c>
      <c r="AH464" s="2" t="str">
        <f t="shared" si="567"/>
        <v>_</v>
      </c>
      <c r="AI464" s="28" t="s">
        <v>20</v>
      </c>
    </row>
    <row r="465" spans="2:35" x14ac:dyDescent="0.25">
      <c r="B465" s="2" t="str">
        <f t="shared" si="564"/>
        <v>@color-busway_case_paved_or_uk_default</v>
      </c>
      <c r="C465" s="79" t="s">
        <v>218</v>
      </c>
      <c r="D465" s="47" t="s">
        <v>214</v>
      </c>
      <c r="F465" s="47" t="s">
        <v>214</v>
      </c>
      <c r="G465" s="47" t="s">
        <v>214</v>
      </c>
      <c r="I465" s="94" t="str">
        <f t="shared" si="565"/>
        <v>"#404040"</v>
      </c>
      <c r="J465" s="37" t="str">
        <f t="shared" si="566"/>
        <v>"#000000"</v>
      </c>
      <c r="L465" s="47" t="s">
        <v>214</v>
      </c>
      <c r="M465" s="47" t="s">
        <v>214</v>
      </c>
      <c r="Q465" s="7"/>
      <c r="U465" s="79" t="s">
        <v>218</v>
      </c>
      <c r="V465" s="47" t="s">
        <v>214</v>
      </c>
      <c r="X465" s="47" t="s">
        <v>214</v>
      </c>
      <c r="Y465" s="47" t="s">
        <v>214</v>
      </c>
      <c r="AA465" s="2" t="s">
        <v>6</v>
      </c>
      <c r="AB465" s="2" t="str">
        <f t="shared" si="561"/>
        <v>-</v>
      </c>
      <c r="AC465" s="2" t="s">
        <v>370</v>
      </c>
      <c r="AD465" s="2" t="str">
        <f t="shared" si="562"/>
        <v>_</v>
      </c>
      <c r="AE465" s="2" t="s">
        <v>17</v>
      </c>
      <c r="AF465" s="2" t="str">
        <f t="shared" si="563"/>
        <v>_</v>
      </c>
      <c r="AG465" s="2" t="s">
        <v>24</v>
      </c>
      <c r="AH465" s="2" t="str">
        <f t="shared" si="567"/>
        <v>_</v>
      </c>
      <c r="AI465" s="2" t="s">
        <v>262</v>
      </c>
    </row>
    <row r="466" spans="2:35" x14ac:dyDescent="0.25">
      <c r="B466" s="2" t="str">
        <f t="shared" si="564"/>
        <v>@color-busway_line_unpaved</v>
      </c>
      <c r="C466" s="80" t="s">
        <v>221</v>
      </c>
      <c r="D466" s="38" t="str">
        <f t="shared" ref="D466:D467" si="568">C466</f>
        <v>"#eddfca"</v>
      </c>
      <c r="F466" s="80" t="s">
        <v>221</v>
      </c>
      <c r="G466" s="38" t="str">
        <f t="shared" ref="G466:G467" si="569">F466</f>
        <v>"#eddfca"</v>
      </c>
      <c r="I466" s="80" t="s">
        <v>221</v>
      </c>
      <c r="J466" s="38" t="str">
        <f t="shared" ref="J466:J467" si="570">I466</f>
        <v>"#eddfca"</v>
      </c>
      <c r="L466" s="80" t="s">
        <v>221</v>
      </c>
      <c r="M466" s="38" t="str">
        <f t="shared" ref="M466:M467" si="571">L466</f>
        <v>"#eddfca"</v>
      </c>
      <c r="U466" s="46" t="s">
        <v>222</v>
      </c>
      <c r="V466" s="38" t="str">
        <f t="shared" ref="V466" si="572">U466</f>
        <v>"#ffffff"</v>
      </c>
      <c r="X466" s="46" t="s">
        <v>222</v>
      </c>
      <c r="Y466" s="38" t="str">
        <f t="shared" ref="Y466" si="573">X466</f>
        <v>"#ffffff"</v>
      </c>
      <c r="AA466" s="2" t="s">
        <v>6</v>
      </c>
      <c r="AB466" s="2" t="str">
        <f t="shared" si="561"/>
        <v>-</v>
      </c>
      <c r="AC466" s="2" t="s">
        <v>370</v>
      </c>
      <c r="AD466" s="2" t="str">
        <f t="shared" si="562"/>
        <v>_</v>
      </c>
      <c r="AE466" s="2" t="s">
        <v>13</v>
      </c>
      <c r="AF466" s="2" t="str">
        <f t="shared" si="563"/>
        <v>_</v>
      </c>
      <c r="AG466" s="2" t="s">
        <v>21</v>
      </c>
      <c r="AH466" s="2" t="str">
        <f t="shared" si="567"/>
        <v/>
      </c>
      <c r="AI466" s="2"/>
    </row>
    <row r="467" spans="2:35" x14ac:dyDescent="0.25">
      <c r="B467" s="2" t="str">
        <f t="shared" si="564"/>
        <v>@color-busway_line_paved_or_uk</v>
      </c>
      <c r="C467" s="46" t="s">
        <v>222</v>
      </c>
      <c r="D467" s="38" t="str">
        <f t="shared" si="568"/>
        <v>"#ffffff"</v>
      </c>
      <c r="F467" s="46" t="s">
        <v>222</v>
      </c>
      <c r="G467" s="38" t="str">
        <f t="shared" si="569"/>
        <v>"#ffffff"</v>
      </c>
      <c r="I467" s="46" t="s">
        <v>222</v>
      </c>
      <c r="J467" s="38" t="str">
        <f t="shared" si="570"/>
        <v>"#ffffff"</v>
      </c>
      <c r="L467" s="46" t="s">
        <v>222</v>
      </c>
      <c r="M467" s="38" t="str">
        <f t="shared" si="571"/>
        <v>"#ffffff"</v>
      </c>
      <c r="U467" s="46" t="s">
        <v>222</v>
      </c>
      <c r="V467" s="38" t="str">
        <f t="shared" ref="V467" si="574">U467</f>
        <v>"#ffffff"</v>
      </c>
      <c r="X467" s="46" t="s">
        <v>222</v>
      </c>
      <c r="Y467" s="38" t="str">
        <f t="shared" ref="Y467" si="575">X467</f>
        <v>"#ffffff"</v>
      </c>
      <c r="AA467" s="2" t="s">
        <v>6</v>
      </c>
      <c r="AB467" s="2" t="str">
        <f t="shared" si="561"/>
        <v>-</v>
      </c>
      <c r="AC467" s="2" t="s">
        <v>370</v>
      </c>
      <c r="AD467" s="2" t="str">
        <f t="shared" si="562"/>
        <v>_</v>
      </c>
      <c r="AE467" s="2" t="s">
        <v>13</v>
      </c>
      <c r="AF467" s="2" t="str">
        <f t="shared" si="563"/>
        <v>_</v>
      </c>
      <c r="AG467" s="2" t="s">
        <v>24</v>
      </c>
      <c r="AH467" s="2" t="str">
        <f t="shared" si="567"/>
        <v/>
      </c>
      <c r="AI467" s="2"/>
    </row>
    <row r="468" spans="2:35" x14ac:dyDescent="0.25">
      <c r="B468" s="2"/>
      <c r="C468" s="26"/>
      <c r="F468" s="26"/>
      <c r="L468" s="26"/>
      <c r="U468" s="26"/>
      <c r="X468" s="26"/>
      <c r="AA468" s="2"/>
      <c r="AB468" s="2"/>
      <c r="AC468" s="2"/>
      <c r="AD468" s="2"/>
      <c r="AE468" s="2"/>
      <c r="AF468" s="2"/>
      <c r="AG468" s="2"/>
      <c r="AH468" s="2"/>
      <c r="AI468" s="2"/>
    </row>
    <row r="469" spans="2:35" x14ac:dyDescent="0.25">
      <c r="B469" s="2" t="str">
        <f t="shared" ref="B469:B472" si="576">_xlfn.CONCAT("@",AA469,AB469,AC469,AD469,AE469,AF469,AG469,AH469,AI469)</f>
        <v>@dasharray-busway_case_medium_dash</v>
      </c>
      <c r="C469" s="28" t="s">
        <v>341</v>
      </c>
      <c r="D469" s="28" t="s">
        <v>341</v>
      </c>
      <c r="F469" s="28" t="s">
        <v>341</v>
      </c>
      <c r="G469" s="28" t="s">
        <v>341</v>
      </c>
      <c r="I469" s="28" t="s">
        <v>131</v>
      </c>
      <c r="J469" s="28" t="s">
        <v>131</v>
      </c>
      <c r="L469" s="28" t="s">
        <v>131</v>
      </c>
      <c r="M469" s="28" t="s">
        <v>131</v>
      </c>
      <c r="U469" s="28" t="s">
        <v>341</v>
      </c>
      <c r="V469" s="28" t="s">
        <v>341</v>
      </c>
      <c r="X469" s="28" t="s">
        <v>341</v>
      </c>
      <c r="Y469" s="28" t="s">
        <v>341</v>
      </c>
      <c r="AA469" s="2" t="s">
        <v>385</v>
      </c>
      <c r="AB469" s="2" t="str">
        <f t="shared" ref="AB469:AB472" si="577">IF(NOT(ISBLANK(AC469)),"-","")</f>
        <v>-</v>
      </c>
      <c r="AC469" s="2" t="s">
        <v>370</v>
      </c>
      <c r="AD469" s="2" t="str">
        <f t="shared" ref="AD469:AD472" si="578">IF(NOT(ISBLANK(AE469)),"_","")</f>
        <v>_</v>
      </c>
      <c r="AE469" s="2" t="s">
        <v>17</v>
      </c>
      <c r="AF469" s="2" t="str">
        <f t="shared" ref="AF469:AF472" si="579">IF(NOT(ISBLANK(AG469)),"_","")</f>
        <v>_</v>
      </c>
      <c r="AG469" s="2" t="s">
        <v>79</v>
      </c>
      <c r="AH469" s="2" t="str">
        <f t="shared" ref="AH469:AH472" si="580">IF(NOT(ISBLANK(AI469)),"_","")</f>
        <v>_</v>
      </c>
      <c r="AI469" s="2" t="s">
        <v>387</v>
      </c>
    </row>
    <row r="470" spans="2:35" x14ac:dyDescent="0.25">
      <c r="B470" s="2" t="str">
        <f t="shared" si="576"/>
        <v>@dasharray-busway_case_medium_gap</v>
      </c>
      <c r="C470" s="28" t="s">
        <v>389</v>
      </c>
      <c r="D470" s="28" t="s">
        <v>389</v>
      </c>
      <c r="F470" s="28" t="s">
        <v>389</v>
      </c>
      <c r="G470" s="28" t="s">
        <v>389</v>
      </c>
      <c r="I470" s="28" t="s">
        <v>98</v>
      </c>
      <c r="J470" s="28" t="s">
        <v>98</v>
      </c>
      <c r="L470" s="28" t="s">
        <v>98</v>
      </c>
      <c r="M470" s="28" t="s">
        <v>98</v>
      </c>
      <c r="U470" s="28" t="s">
        <v>389</v>
      </c>
      <c r="V470" s="28" t="s">
        <v>389</v>
      </c>
      <c r="X470" s="28" t="s">
        <v>389</v>
      </c>
      <c r="Y470" s="28" t="s">
        <v>389</v>
      </c>
      <c r="AA470" s="2" t="s">
        <v>385</v>
      </c>
      <c r="AB470" s="2" t="str">
        <f t="shared" si="577"/>
        <v>-</v>
      </c>
      <c r="AC470" s="2" t="s">
        <v>370</v>
      </c>
      <c r="AD470" s="2" t="str">
        <f t="shared" si="578"/>
        <v>_</v>
      </c>
      <c r="AE470" s="2" t="s">
        <v>17</v>
      </c>
      <c r="AF470" s="2" t="str">
        <f t="shared" si="579"/>
        <v>_</v>
      </c>
      <c r="AG470" s="2" t="s">
        <v>79</v>
      </c>
      <c r="AH470" s="2" t="str">
        <f t="shared" si="580"/>
        <v>_</v>
      </c>
      <c r="AI470" s="2" t="s">
        <v>388</v>
      </c>
    </row>
    <row r="471" spans="2:35" x14ac:dyDescent="0.25">
      <c r="B471" s="2" t="str">
        <f t="shared" si="576"/>
        <v>@dasharray-busway_case_rough_dash</v>
      </c>
      <c r="C471" s="28" t="s">
        <v>341</v>
      </c>
      <c r="D471" s="28" t="s">
        <v>341</v>
      </c>
      <c r="F471" s="28" t="s">
        <v>341</v>
      </c>
      <c r="G471" s="28" t="s">
        <v>341</v>
      </c>
      <c r="I471" s="28" t="s">
        <v>96</v>
      </c>
      <c r="J471" s="28" t="s">
        <v>96</v>
      </c>
      <c r="L471" s="28" t="s">
        <v>96</v>
      </c>
      <c r="M471" s="28" t="s">
        <v>96</v>
      </c>
      <c r="U471" s="28" t="s">
        <v>341</v>
      </c>
      <c r="V471" s="28" t="s">
        <v>341</v>
      </c>
      <c r="X471" s="28" t="s">
        <v>341</v>
      </c>
      <c r="Y471" s="28" t="s">
        <v>341</v>
      </c>
      <c r="AA471" s="2" t="s">
        <v>385</v>
      </c>
      <c r="AB471" s="2" t="str">
        <f t="shared" si="577"/>
        <v>-</v>
      </c>
      <c r="AC471" s="2" t="s">
        <v>370</v>
      </c>
      <c r="AD471" s="2" t="str">
        <f t="shared" si="578"/>
        <v>_</v>
      </c>
      <c r="AE471" s="2" t="s">
        <v>17</v>
      </c>
      <c r="AF471" s="2" t="str">
        <f t="shared" si="579"/>
        <v>_</v>
      </c>
      <c r="AG471" s="2" t="s">
        <v>386</v>
      </c>
      <c r="AH471" s="2" t="str">
        <f t="shared" si="580"/>
        <v>_</v>
      </c>
      <c r="AI471" s="2" t="s">
        <v>387</v>
      </c>
    </row>
    <row r="472" spans="2:35" x14ac:dyDescent="0.25">
      <c r="B472" s="2" t="str">
        <f t="shared" si="576"/>
        <v>@dasharray-busway_case_rough_gap</v>
      </c>
      <c r="C472" s="28" t="s">
        <v>389</v>
      </c>
      <c r="D472" s="28" t="s">
        <v>389</v>
      </c>
      <c r="F472" s="28" t="s">
        <v>389</v>
      </c>
      <c r="G472" s="28" t="s">
        <v>389</v>
      </c>
      <c r="I472" s="28" t="s">
        <v>98</v>
      </c>
      <c r="J472" s="28" t="s">
        <v>98</v>
      </c>
      <c r="L472" s="28" t="s">
        <v>98</v>
      </c>
      <c r="M472" s="28" t="s">
        <v>98</v>
      </c>
      <c r="U472" s="28" t="s">
        <v>389</v>
      </c>
      <c r="V472" s="28" t="s">
        <v>389</v>
      </c>
      <c r="X472" s="28" t="s">
        <v>389</v>
      </c>
      <c r="Y472" s="28" t="s">
        <v>389</v>
      </c>
      <c r="AA472" s="2" t="s">
        <v>385</v>
      </c>
      <c r="AB472" s="2" t="str">
        <f t="shared" si="577"/>
        <v>-</v>
      </c>
      <c r="AC472" s="2" t="s">
        <v>370</v>
      </c>
      <c r="AD472" s="2" t="str">
        <f t="shared" si="578"/>
        <v>_</v>
      </c>
      <c r="AE472" s="2" t="s">
        <v>17</v>
      </c>
      <c r="AF472" s="2" t="str">
        <f t="shared" si="579"/>
        <v>_</v>
      </c>
      <c r="AG472" s="2" t="s">
        <v>386</v>
      </c>
      <c r="AH472" s="2" t="str">
        <f t="shared" si="580"/>
        <v>_</v>
      </c>
      <c r="AI472" s="2" t="s">
        <v>388</v>
      </c>
    </row>
    <row r="473" spans="2:35" x14ac:dyDescent="0.25">
      <c r="B473" s="2"/>
      <c r="C473" s="26"/>
      <c r="F473" s="26"/>
      <c r="I473" s="26"/>
      <c r="L473" s="26"/>
      <c r="U473" s="26"/>
      <c r="X473" s="26"/>
      <c r="AA473" s="2"/>
      <c r="AB473" s="2"/>
      <c r="AC473" s="2"/>
      <c r="AD473" s="2"/>
      <c r="AE473" s="2"/>
      <c r="AF473" s="2"/>
      <c r="AG473" s="2"/>
      <c r="AH473" s="2"/>
      <c r="AI473" s="2"/>
    </row>
    <row r="474" spans="2:35" x14ac:dyDescent="0.25">
      <c r="B474" s="2"/>
      <c r="AB474" s="28" t="str">
        <f t="shared" ref="AB474" si="581">IF(NOT(ISBLANK(AC474)),"-","")</f>
        <v/>
      </c>
      <c r="AD474" s="28" t="str">
        <f t="shared" ref="AD474" si="582">IF(NOT(ISBLANK(AE474)),"_","")</f>
        <v/>
      </c>
      <c r="AF474" s="28" t="str">
        <f t="shared" ref="AF474" si="583">IF(NOT(ISBLANK(AG474)),"_","")</f>
        <v/>
      </c>
      <c r="AH474" s="28" t="str">
        <f t="shared" si="567"/>
        <v/>
      </c>
    </row>
    <row r="475" spans="2:35" x14ac:dyDescent="0.25">
      <c r="B475" s="2" t="str">
        <f t="shared" ref="B475:B480" si="584">_xlfn.CONCAT("@",AA475,AB475,AC475,AD475,AE475,AF475,AG475,AH475,AI475)</f>
        <v>@color-service_case_unpaved_farzoom</v>
      </c>
      <c r="C475" s="75" t="s">
        <v>227</v>
      </c>
      <c r="D475" s="76" t="s">
        <v>229</v>
      </c>
      <c r="F475" s="76" t="s">
        <v>229</v>
      </c>
      <c r="G475" s="75" t="s">
        <v>227</v>
      </c>
      <c r="I475" s="92" t="str">
        <f t="shared" ref="I475:J478" si="585">C475</f>
        <v>"#b99346"</v>
      </c>
      <c r="J475" s="87" t="str">
        <f t="shared" si="585"/>
        <v>"#644507"</v>
      </c>
      <c r="L475" s="76" t="s">
        <v>229</v>
      </c>
      <c r="M475" s="75" t="s">
        <v>227</v>
      </c>
      <c r="U475" s="78" t="s">
        <v>228</v>
      </c>
      <c r="V475" s="47" t="s">
        <v>214</v>
      </c>
      <c r="X475" s="47" t="s">
        <v>214</v>
      </c>
      <c r="Y475" s="47" t="s">
        <v>214</v>
      </c>
      <c r="AA475" s="2" t="s">
        <v>6</v>
      </c>
      <c r="AB475" s="2" t="str">
        <f t="shared" si="561"/>
        <v>-</v>
      </c>
      <c r="AC475" s="2" t="s">
        <v>30</v>
      </c>
      <c r="AD475" s="2" t="str">
        <f t="shared" si="562"/>
        <v>_</v>
      </c>
      <c r="AE475" s="2" t="s">
        <v>17</v>
      </c>
      <c r="AF475" s="2" t="str">
        <f t="shared" si="563"/>
        <v>_</v>
      </c>
      <c r="AG475" s="2" t="s">
        <v>21</v>
      </c>
      <c r="AH475" s="2" t="str">
        <f t="shared" si="500"/>
        <v>_</v>
      </c>
      <c r="AI475" s="28" t="s">
        <v>20</v>
      </c>
    </row>
    <row r="476" spans="2:35" x14ac:dyDescent="0.25">
      <c r="B476" s="2" t="str">
        <f t="shared" si="584"/>
        <v>@color-service_case_unpaved_default</v>
      </c>
      <c r="C476" s="76" t="s">
        <v>229</v>
      </c>
      <c r="D476" s="76" t="s">
        <v>229</v>
      </c>
      <c r="F476" s="47" t="s">
        <v>214</v>
      </c>
      <c r="G476" s="47" t="s">
        <v>214</v>
      </c>
      <c r="I476" s="87" t="str">
        <f t="shared" si="585"/>
        <v>"#644507"</v>
      </c>
      <c r="J476" s="87" t="str">
        <f t="shared" si="585"/>
        <v>"#644507"</v>
      </c>
      <c r="L476" s="47" t="s">
        <v>214</v>
      </c>
      <c r="M476" s="47" t="s">
        <v>214</v>
      </c>
      <c r="U476" s="79" t="s">
        <v>218</v>
      </c>
      <c r="V476" s="47" t="s">
        <v>214</v>
      </c>
      <c r="X476" s="47" t="s">
        <v>214</v>
      </c>
      <c r="Y476" s="47" t="s">
        <v>214</v>
      </c>
      <c r="AA476" s="2" t="s">
        <v>6</v>
      </c>
      <c r="AB476" s="2" t="str">
        <f t="shared" si="561"/>
        <v>-</v>
      </c>
      <c r="AC476" s="2" t="s">
        <v>30</v>
      </c>
      <c r="AD476" s="2" t="str">
        <f t="shared" si="562"/>
        <v>_</v>
      </c>
      <c r="AE476" s="2" t="s">
        <v>17</v>
      </c>
      <c r="AF476" s="2" t="str">
        <f t="shared" si="563"/>
        <v>_</v>
      </c>
      <c r="AG476" s="2" t="s">
        <v>21</v>
      </c>
      <c r="AH476" s="2" t="str">
        <f t="shared" si="500"/>
        <v>_</v>
      </c>
      <c r="AI476" s="2" t="s">
        <v>262</v>
      </c>
    </row>
    <row r="477" spans="2:35" x14ac:dyDescent="0.25">
      <c r="B477" s="2" t="str">
        <f t="shared" si="584"/>
        <v>@color-service_case_paved_or_uk_farzoom</v>
      </c>
      <c r="C477" s="78" t="s">
        <v>228</v>
      </c>
      <c r="D477" s="47" t="s">
        <v>214</v>
      </c>
      <c r="F477" s="47" t="s">
        <v>214</v>
      </c>
      <c r="G477" s="47" t="s">
        <v>214</v>
      </c>
      <c r="I477" s="93" t="str">
        <f t="shared" si="585"/>
        <v>"#808080"</v>
      </c>
      <c r="J477" s="37" t="str">
        <f t="shared" si="585"/>
        <v>"#000000"</v>
      </c>
      <c r="L477" s="47" t="s">
        <v>214</v>
      </c>
      <c r="M477" s="47" t="s">
        <v>214</v>
      </c>
      <c r="U477" s="78" t="s">
        <v>228</v>
      </c>
      <c r="V477" s="47" t="s">
        <v>214</v>
      </c>
      <c r="X477" s="47" t="s">
        <v>214</v>
      </c>
      <c r="Y477" s="47" t="s">
        <v>214</v>
      </c>
      <c r="AA477" s="2" t="s">
        <v>6</v>
      </c>
      <c r="AB477" s="2" t="str">
        <f t="shared" si="561"/>
        <v>-</v>
      </c>
      <c r="AC477" s="2" t="s">
        <v>30</v>
      </c>
      <c r="AD477" s="2" t="str">
        <f t="shared" si="562"/>
        <v>_</v>
      </c>
      <c r="AE477" s="2" t="s">
        <v>17</v>
      </c>
      <c r="AF477" s="2" t="str">
        <f t="shared" si="563"/>
        <v>_</v>
      </c>
      <c r="AG477" s="2" t="s">
        <v>24</v>
      </c>
      <c r="AH477" s="2" t="str">
        <f t="shared" si="500"/>
        <v>_</v>
      </c>
      <c r="AI477" s="28" t="s">
        <v>20</v>
      </c>
    </row>
    <row r="478" spans="2:35" x14ac:dyDescent="0.25">
      <c r="B478" s="2" t="str">
        <f t="shared" si="584"/>
        <v>@color-service_case_paved_or_uk_default</v>
      </c>
      <c r="C478" s="79" t="s">
        <v>218</v>
      </c>
      <c r="D478" s="47" t="s">
        <v>214</v>
      </c>
      <c r="F478" s="47" t="s">
        <v>214</v>
      </c>
      <c r="G478" s="47" t="s">
        <v>214</v>
      </c>
      <c r="I478" s="94" t="str">
        <f t="shared" si="585"/>
        <v>"#404040"</v>
      </c>
      <c r="J478" s="37" t="str">
        <f t="shared" si="585"/>
        <v>"#000000"</v>
      </c>
      <c r="L478" s="47" t="s">
        <v>214</v>
      </c>
      <c r="M478" s="47" t="s">
        <v>214</v>
      </c>
      <c r="Q478" s="7"/>
      <c r="U478" s="79" t="s">
        <v>218</v>
      </c>
      <c r="V478" s="47" t="s">
        <v>214</v>
      </c>
      <c r="X478" s="47" t="s">
        <v>214</v>
      </c>
      <c r="Y478" s="47" t="s">
        <v>214</v>
      </c>
      <c r="AA478" s="2" t="s">
        <v>6</v>
      </c>
      <c r="AB478" s="2" t="str">
        <f t="shared" si="561"/>
        <v>-</v>
      </c>
      <c r="AC478" s="2" t="s">
        <v>30</v>
      </c>
      <c r="AD478" s="2" t="str">
        <f t="shared" si="562"/>
        <v>_</v>
      </c>
      <c r="AE478" s="2" t="s">
        <v>17</v>
      </c>
      <c r="AF478" s="2" t="str">
        <f t="shared" si="563"/>
        <v>_</v>
      </c>
      <c r="AG478" s="2" t="s">
        <v>24</v>
      </c>
      <c r="AH478" s="2" t="str">
        <f t="shared" si="500"/>
        <v>_</v>
      </c>
      <c r="AI478" s="2" t="s">
        <v>262</v>
      </c>
    </row>
    <row r="479" spans="2:35" x14ac:dyDescent="0.25">
      <c r="B479" s="2" t="str">
        <f t="shared" si="584"/>
        <v>@color-service_line_unpaved</v>
      </c>
      <c r="C479" s="80" t="s">
        <v>221</v>
      </c>
      <c r="D479" s="38" t="str">
        <f t="shared" ref="D479:D480" si="586">C479</f>
        <v>"#eddfca"</v>
      </c>
      <c r="F479" s="80" t="s">
        <v>221</v>
      </c>
      <c r="G479" s="38" t="str">
        <f t="shared" ref="G479:G480" si="587">F479</f>
        <v>"#eddfca"</v>
      </c>
      <c r="I479" s="81" t="str">
        <f>C479</f>
        <v>"#eddfca"</v>
      </c>
      <c r="J479" s="38" t="str">
        <f t="shared" ref="J479:J480" si="588">C479</f>
        <v>"#eddfca"</v>
      </c>
      <c r="L479" s="80" t="s">
        <v>221</v>
      </c>
      <c r="M479" s="38" t="str">
        <f t="shared" ref="M479:M480" si="589">L479</f>
        <v>"#eddfca"</v>
      </c>
      <c r="U479" s="46" t="s">
        <v>222</v>
      </c>
      <c r="V479" s="38" t="str">
        <f t="shared" ref="V479" si="590">U479</f>
        <v>"#ffffff"</v>
      </c>
      <c r="X479" s="46" t="s">
        <v>222</v>
      </c>
      <c r="Y479" s="38" t="str">
        <f t="shared" ref="Y479" si="591">X479</f>
        <v>"#ffffff"</v>
      </c>
      <c r="AA479" s="2" t="s">
        <v>6</v>
      </c>
      <c r="AB479" s="2" t="str">
        <f t="shared" si="561"/>
        <v>-</v>
      </c>
      <c r="AC479" s="2" t="s">
        <v>30</v>
      </c>
      <c r="AD479" s="2" t="str">
        <f t="shared" si="562"/>
        <v>_</v>
      </c>
      <c r="AE479" s="2" t="s">
        <v>13</v>
      </c>
      <c r="AF479" s="2" t="str">
        <f t="shared" si="563"/>
        <v>_</v>
      </c>
      <c r="AG479" s="2" t="s">
        <v>21</v>
      </c>
      <c r="AH479" s="2" t="str">
        <f t="shared" si="500"/>
        <v/>
      </c>
      <c r="AI479" s="2"/>
    </row>
    <row r="480" spans="2:35" x14ac:dyDescent="0.25">
      <c r="B480" s="2" t="str">
        <f t="shared" si="584"/>
        <v>@color-service_line_paved_or_uk</v>
      </c>
      <c r="C480" s="46" t="s">
        <v>222</v>
      </c>
      <c r="D480" s="38" t="str">
        <f t="shared" si="586"/>
        <v>"#ffffff"</v>
      </c>
      <c r="F480" s="46" t="s">
        <v>222</v>
      </c>
      <c r="G480" s="38" t="str">
        <f t="shared" si="587"/>
        <v>"#ffffff"</v>
      </c>
      <c r="I480" s="38" t="str">
        <f>C480</f>
        <v>"#ffffff"</v>
      </c>
      <c r="J480" s="38" t="str">
        <f t="shared" si="588"/>
        <v>"#ffffff"</v>
      </c>
      <c r="L480" s="46" t="s">
        <v>222</v>
      </c>
      <c r="M480" s="38" t="str">
        <f t="shared" si="589"/>
        <v>"#ffffff"</v>
      </c>
      <c r="U480" s="46" t="s">
        <v>222</v>
      </c>
      <c r="V480" s="38" t="str">
        <f t="shared" ref="V480" si="592">U480</f>
        <v>"#ffffff"</v>
      </c>
      <c r="X480" s="46" t="s">
        <v>222</v>
      </c>
      <c r="Y480" s="38" t="str">
        <f t="shared" ref="Y480" si="593">X480</f>
        <v>"#ffffff"</v>
      </c>
      <c r="AA480" s="2" t="s">
        <v>6</v>
      </c>
      <c r="AB480" s="2" t="str">
        <f t="shared" si="561"/>
        <v>-</v>
      </c>
      <c r="AC480" s="2" t="s">
        <v>30</v>
      </c>
      <c r="AD480" s="2" t="str">
        <f t="shared" si="562"/>
        <v>_</v>
      </c>
      <c r="AE480" s="2" t="s">
        <v>13</v>
      </c>
      <c r="AF480" s="2" t="str">
        <f t="shared" si="563"/>
        <v>_</v>
      </c>
      <c r="AG480" s="2" t="s">
        <v>24</v>
      </c>
      <c r="AH480" s="2" t="str">
        <f t="shared" si="500"/>
        <v/>
      </c>
      <c r="AI480" s="2"/>
    </row>
    <row r="481" spans="2:35" x14ac:dyDescent="0.25">
      <c r="B481" s="2"/>
      <c r="C481" s="26"/>
      <c r="F481" s="26"/>
      <c r="L481" s="26"/>
      <c r="U481" s="26"/>
      <c r="X481" s="26"/>
      <c r="AA481" s="2"/>
      <c r="AB481" s="2"/>
      <c r="AC481" s="2"/>
      <c r="AD481" s="2"/>
      <c r="AE481" s="2"/>
      <c r="AF481" s="2"/>
      <c r="AG481" s="2"/>
      <c r="AH481" s="2"/>
      <c r="AI481" s="2"/>
    </row>
    <row r="482" spans="2:35" x14ac:dyDescent="0.25">
      <c r="B482" s="2" t="str">
        <f t="shared" ref="B482:B483" si="594">_xlfn.CONCAT("@",AA482,AB482,AC482,AD482,AE482,AF482,AG482,AH482,AI482)</f>
        <v>@dasharray-service_case_medium_dash</v>
      </c>
      <c r="C482" s="28" t="s">
        <v>341</v>
      </c>
      <c r="D482" s="28" t="s">
        <v>341</v>
      </c>
      <c r="F482" s="28" t="s">
        <v>341</v>
      </c>
      <c r="G482" s="28" t="s">
        <v>341</v>
      </c>
      <c r="I482" s="28" t="s">
        <v>131</v>
      </c>
      <c r="J482" s="28" t="s">
        <v>131</v>
      </c>
      <c r="L482" s="28" t="s">
        <v>131</v>
      </c>
      <c r="M482" s="28" t="s">
        <v>131</v>
      </c>
      <c r="U482" s="28" t="s">
        <v>341</v>
      </c>
      <c r="V482" s="28" t="s">
        <v>341</v>
      </c>
      <c r="X482" s="28" t="s">
        <v>341</v>
      </c>
      <c r="Y482" s="28" t="s">
        <v>341</v>
      </c>
      <c r="AA482" s="2" t="s">
        <v>385</v>
      </c>
      <c r="AB482" s="2" t="str">
        <f t="shared" ref="AB482:AB483" si="595">IF(NOT(ISBLANK(AC482)),"-","")</f>
        <v>-</v>
      </c>
      <c r="AC482" s="2" t="s">
        <v>30</v>
      </c>
      <c r="AD482" s="2" t="str">
        <f t="shared" ref="AD482:AD483" si="596">IF(NOT(ISBLANK(AE482)),"_","")</f>
        <v>_</v>
      </c>
      <c r="AE482" s="2" t="s">
        <v>17</v>
      </c>
      <c r="AF482" s="2" t="str">
        <f t="shared" ref="AF482:AF483" si="597">IF(NOT(ISBLANK(AG482)),"_","")</f>
        <v>_</v>
      </c>
      <c r="AG482" s="2" t="s">
        <v>79</v>
      </c>
      <c r="AH482" s="2" t="str">
        <f t="shared" ref="AH482:AH483" si="598">IF(NOT(ISBLANK(AI482)),"_","")</f>
        <v>_</v>
      </c>
      <c r="AI482" s="2" t="s">
        <v>387</v>
      </c>
    </row>
    <row r="483" spans="2:35" x14ac:dyDescent="0.25">
      <c r="B483" s="2" t="str">
        <f t="shared" si="594"/>
        <v>@dasharray-service_case_medium_gap</v>
      </c>
      <c r="C483" s="28" t="s">
        <v>389</v>
      </c>
      <c r="D483" s="28" t="s">
        <v>389</v>
      </c>
      <c r="F483" s="28" t="s">
        <v>389</v>
      </c>
      <c r="G483" s="28" t="s">
        <v>389</v>
      </c>
      <c r="I483" s="28" t="s">
        <v>98</v>
      </c>
      <c r="J483" s="28" t="s">
        <v>98</v>
      </c>
      <c r="L483" s="28" t="s">
        <v>98</v>
      </c>
      <c r="M483" s="28" t="s">
        <v>98</v>
      </c>
      <c r="U483" s="28" t="s">
        <v>389</v>
      </c>
      <c r="V483" s="28" t="s">
        <v>389</v>
      </c>
      <c r="X483" s="28" t="s">
        <v>389</v>
      </c>
      <c r="Y483" s="28" t="s">
        <v>389</v>
      </c>
      <c r="AA483" s="2" t="s">
        <v>385</v>
      </c>
      <c r="AB483" s="2" t="str">
        <f t="shared" si="595"/>
        <v>-</v>
      </c>
      <c r="AC483" s="2" t="s">
        <v>30</v>
      </c>
      <c r="AD483" s="2" t="str">
        <f t="shared" si="596"/>
        <v>_</v>
      </c>
      <c r="AE483" s="2" t="s">
        <v>17</v>
      </c>
      <c r="AF483" s="2" t="str">
        <f t="shared" si="597"/>
        <v>_</v>
      </c>
      <c r="AG483" s="2" t="s">
        <v>79</v>
      </c>
      <c r="AH483" s="2" t="str">
        <f t="shared" si="598"/>
        <v>_</v>
      </c>
      <c r="AI483" s="2" t="s">
        <v>388</v>
      </c>
    </row>
    <row r="484" spans="2:35" x14ac:dyDescent="0.25">
      <c r="B484" s="2" t="str">
        <f t="shared" ref="B484" si="599">_xlfn.CONCAT("@",AA484,AB484,AC484,AD484,AE484,AF484,AG484,AH484,AI484)</f>
        <v>@dasharray-service_case_rough_dash</v>
      </c>
      <c r="C484" s="28" t="s">
        <v>341</v>
      </c>
      <c r="D484" s="28" t="s">
        <v>341</v>
      </c>
      <c r="F484" s="28" t="s">
        <v>341</v>
      </c>
      <c r="G484" s="28" t="s">
        <v>341</v>
      </c>
      <c r="I484" s="28" t="s">
        <v>96</v>
      </c>
      <c r="J484" s="28" t="s">
        <v>96</v>
      </c>
      <c r="L484" s="28" t="s">
        <v>96</v>
      </c>
      <c r="M484" s="28" t="s">
        <v>96</v>
      </c>
      <c r="U484" s="28" t="s">
        <v>341</v>
      </c>
      <c r="V484" s="28" t="s">
        <v>341</v>
      </c>
      <c r="X484" s="28" t="s">
        <v>341</v>
      </c>
      <c r="Y484" s="28" t="s">
        <v>341</v>
      </c>
      <c r="AA484" s="2" t="s">
        <v>385</v>
      </c>
      <c r="AB484" s="2" t="str">
        <f t="shared" ref="AB484" si="600">IF(NOT(ISBLANK(AC484)),"-","")</f>
        <v>-</v>
      </c>
      <c r="AC484" s="2" t="s">
        <v>30</v>
      </c>
      <c r="AD484" s="2" t="str">
        <f t="shared" ref="AD484" si="601">IF(NOT(ISBLANK(AE484)),"_","")</f>
        <v>_</v>
      </c>
      <c r="AE484" s="2" t="s">
        <v>17</v>
      </c>
      <c r="AF484" s="2" t="str">
        <f t="shared" ref="AF484" si="602">IF(NOT(ISBLANK(AG484)),"_","")</f>
        <v>_</v>
      </c>
      <c r="AG484" s="2" t="s">
        <v>386</v>
      </c>
      <c r="AH484" s="2" t="str">
        <f t="shared" ref="AH484" si="603">IF(NOT(ISBLANK(AI484)),"_","")</f>
        <v>_</v>
      </c>
      <c r="AI484" s="2" t="s">
        <v>387</v>
      </c>
    </row>
    <row r="485" spans="2:35" x14ac:dyDescent="0.25">
      <c r="B485" s="2" t="str">
        <f t="shared" ref="B485" si="604">_xlfn.CONCAT("@",AA485,AB485,AC485,AD485,AE485,AF485,AG485,AH485,AI485)</f>
        <v>@dasharray-service_case_rough_gap</v>
      </c>
      <c r="C485" s="28" t="s">
        <v>389</v>
      </c>
      <c r="D485" s="28" t="s">
        <v>389</v>
      </c>
      <c r="F485" s="28" t="s">
        <v>389</v>
      </c>
      <c r="G485" s="28" t="s">
        <v>389</v>
      </c>
      <c r="I485" s="28" t="s">
        <v>98</v>
      </c>
      <c r="J485" s="28" t="s">
        <v>98</v>
      </c>
      <c r="L485" s="28" t="s">
        <v>98</v>
      </c>
      <c r="M485" s="28" t="s">
        <v>98</v>
      </c>
      <c r="U485" s="28" t="s">
        <v>389</v>
      </c>
      <c r="V485" s="28" t="s">
        <v>389</v>
      </c>
      <c r="X485" s="28" t="s">
        <v>389</v>
      </c>
      <c r="Y485" s="28" t="s">
        <v>389</v>
      </c>
      <c r="AA485" s="2" t="s">
        <v>385</v>
      </c>
      <c r="AB485" s="2" t="str">
        <f t="shared" ref="AB485" si="605">IF(NOT(ISBLANK(AC485)),"-","")</f>
        <v>-</v>
      </c>
      <c r="AC485" s="2" t="s">
        <v>30</v>
      </c>
      <c r="AD485" s="2" t="str">
        <f t="shared" ref="AD485" si="606">IF(NOT(ISBLANK(AE485)),"_","")</f>
        <v>_</v>
      </c>
      <c r="AE485" s="2" t="s">
        <v>17</v>
      </c>
      <c r="AF485" s="2" t="str">
        <f t="shared" ref="AF485" si="607">IF(NOT(ISBLANK(AG485)),"_","")</f>
        <v>_</v>
      </c>
      <c r="AG485" s="2" t="s">
        <v>386</v>
      </c>
      <c r="AH485" s="2" t="str">
        <f t="shared" ref="AH485" si="608">IF(NOT(ISBLANK(AI485)),"_","")</f>
        <v>_</v>
      </c>
      <c r="AI485" s="2" t="s">
        <v>388</v>
      </c>
    </row>
    <row r="486" spans="2:35" x14ac:dyDescent="0.25">
      <c r="B486" s="2"/>
      <c r="C486" s="110" t="s">
        <v>390</v>
      </c>
      <c r="U486" s="110" t="s">
        <v>390</v>
      </c>
      <c r="AA486" s="2"/>
      <c r="AB486" s="2"/>
      <c r="AC486" s="2"/>
      <c r="AD486" s="2"/>
      <c r="AE486" s="2"/>
      <c r="AF486" s="2"/>
      <c r="AG486" s="2"/>
      <c r="AH486" s="2"/>
      <c r="AI486" s="2"/>
    </row>
    <row r="487" spans="2:35" x14ac:dyDescent="0.25">
      <c r="B487" s="2"/>
      <c r="AB487" s="28" t="str">
        <f t="shared" si="482"/>
        <v/>
      </c>
      <c r="AD487" s="28" t="str">
        <f t="shared" si="489"/>
        <v/>
      </c>
      <c r="AF487" s="28" t="str">
        <f t="shared" si="490"/>
        <v/>
      </c>
      <c r="AH487" s="28" t="str">
        <f t="shared" si="500"/>
        <v/>
      </c>
    </row>
    <row r="488" spans="2:35" x14ac:dyDescent="0.25">
      <c r="B488" s="2" t="str">
        <f t="shared" ref="B488:B493" si="609">_xlfn.CONCAT("@",AA488,AB488,AC488,AD488,AE488,AF488,AG488,AH488,AI488)</f>
        <v>@color-minor_case_unpaved_farzoom</v>
      </c>
      <c r="C488" s="75" t="s">
        <v>227</v>
      </c>
      <c r="D488" s="76" t="s">
        <v>229</v>
      </c>
      <c r="F488" s="76" t="s">
        <v>229</v>
      </c>
      <c r="G488" s="75" t="s">
        <v>227</v>
      </c>
      <c r="I488" s="92" t="str">
        <f t="shared" ref="I488:J491" si="610">C488</f>
        <v>"#b99346"</v>
      </c>
      <c r="J488" s="87" t="str">
        <f t="shared" si="610"/>
        <v>"#644507"</v>
      </c>
      <c r="L488" s="76" t="s">
        <v>229</v>
      </c>
      <c r="M488" s="75" t="s">
        <v>227</v>
      </c>
      <c r="U488" s="78" t="s">
        <v>228</v>
      </c>
      <c r="V488" s="47" t="s">
        <v>214</v>
      </c>
      <c r="X488" s="78" t="s">
        <v>228</v>
      </c>
      <c r="Y488" s="78" t="s">
        <v>228</v>
      </c>
      <c r="AA488" s="2" t="s">
        <v>6</v>
      </c>
      <c r="AB488" s="2" t="str">
        <f t="shared" ref="AB488" si="611">IF(NOT(ISBLANK(AC488)),"-","")</f>
        <v>-</v>
      </c>
      <c r="AC488" s="2" t="s">
        <v>31</v>
      </c>
      <c r="AD488" s="2" t="str">
        <f t="shared" ref="AD488" si="612">IF(NOT(ISBLANK(AE488)),"_","")</f>
        <v>_</v>
      </c>
      <c r="AE488" s="2" t="s">
        <v>17</v>
      </c>
      <c r="AF488" s="2" t="str">
        <f t="shared" ref="AF488" si="613">IF(NOT(ISBLANK(AG488)),"_","")</f>
        <v>_</v>
      </c>
      <c r="AG488" s="2" t="s">
        <v>21</v>
      </c>
      <c r="AH488" s="2" t="str">
        <f t="shared" si="500"/>
        <v>_</v>
      </c>
      <c r="AI488" s="28" t="s">
        <v>20</v>
      </c>
    </row>
    <row r="489" spans="2:35" x14ac:dyDescent="0.25">
      <c r="B489" s="2" t="str">
        <f t="shared" si="609"/>
        <v>@color-minor_case_unpaved_default</v>
      </c>
      <c r="C489" s="76" t="s">
        <v>229</v>
      </c>
      <c r="D489" s="76" t="s">
        <v>229</v>
      </c>
      <c r="F489" s="47" t="s">
        <v>214</v>
      </c>
      <c r="G489" s="47" t="s">
        <v>214</v>
      </c>
      <c r="I489" s="87" t="str">
        <f t="shared" si="610"/>
        <v>"#644507"</v>
      </c>
      <c r="J489" s="87" t="str">
        <f t="shared" si="610"/>
        <v>"#644507"</v>
      </c>
      <c r="L489" s="47" t="s">
        <v>214</v>
      </c>
      <c r="M489" s="47" t="s">
        <v>214</v>
      </c>
      <c r="U489" s="79" t="s">
        <v>218</v>
      </c>
      <c r="V489" s="47" t="s">
        <v>214</v>
      </c>
      <c r="X489" s="47" t="s">
        <v>214</v>
      </c>
      <c r="Y489" s="47" t="s">
        <v>214</v>
      </c>
      <c r="AA489" s="2" t="s">
        <v>6</v>
      </c>
      <c r="AB489" s="2" t="str">
        <f t="shared" si="482"/>
        <v>-</v>
      </c>
      <c r="AC489" s="2" t="s">
        <v>31</v>
      </c>
      <c r="AD489" s="2" t="str">
        <f t="shared" si="489"/>
        <v>_</v>
      </c>
      <c r="AE489" s="2" t="s">
        <v>17</v>
      </c>
      <c r="AF489" s="2" t="str">
        <f t="shared" si="490"/>
        <v>_</v>
      </c>
      <c r="AG489" s="2" t="s">
        <v>21</v>
      </c>
      <c r="AH489" s="2" t="str">
        <f t="shared" si="500"/>
        <v>_</v>
      </c>
      <c r="AI489" s="28" t="s">
        <v>262</v>
      </c>
    </row>
    <row r="490" spans="2:35" x14ac:dyDescent="0.25">
      <c r="B490" s="2" t="str">
        <f t="shared" si="609"/>
        <v>@color-minor_case_paved_or_uk_farzoom</v>
      </c>
      <c r="C490" s="78" t="s">
        <v>228</v>
      </c>
      <c r="D490" s="47" t="s">
        <v>214</v>
      </c>
      <c r="F490" s="78" t="s">
        <v>228</v>
      </c>
      <c r="G490" s="78" t="s">
        <v>228</v>
      </c>
      <c r="I490" s="93" t="str">
        <f t="shared" si="610"/>
        <v>"#808080"</v>
      </c>
      <c r="J490" s="37" t="str">
        <f t="shared" si="610"/>
        <v>"#000000"</v>
      </c>
      <c r="L490" s="78" t="s">
        <v>228</v>
      </c>
      <c r="M490" s="78" t="s">
        <v>228</v>
      </c>
      <c r="U490" s="78" t="s">
        <v>228</v>
      </c>
      <c r="V490" s="47" t="s">
        <v>214</v>
      </c>
      <c r="X490" s="78" t="s">
        <v>228</v>
      </c>
      <c r="Y490" s="78" t="s">
        <v>228</v>
      </c>
      <c r="AA490" s="2" t="s">
        <v>6</v>
      </c>
      <c r="AB490" s="2" t="str">
        <f t="shared" ref="AB490" si="614">IF(NOT(ISBLANK(AC490)),"-","")</f>
        <v>-</v>
      </c>
      <c r="AC490" s="2" t="s">
        <v>31</v>
      </c>
      <c r="AD490" s="2" t="str">
        <f t="shared" ref="AD490" si="615">IF(NOT(ISBLANK(AE490)),"_","")</f>
        <v>_</v>
      </c>
      <c r="AE490" s="2" t="s">
        <v>17</v>
      </c>
      <c r="AF490" s="2" t="str">
        <f t="shared" ref="AF490" si="616">IF(NOT(ISBLANK(AG490)),"_","")</f>
        <v>_</v>
      </c>
      <c r="AG490" s="2" t="s">
        <v>24</v>
      </c>
      <c r="AH490" s="2" t="str">
        <f t="shared" si="500"/>
        <v>_</v>
      </c>
      <c r="AI490" s="28" t="s">
        <v>20</v>
      </c>
    </row>
    <row r="491" spans="2:35" x14ac:dyDescent="0.25">
      <c r="B491" s="2" t="str">
        <f t="shared" si="609"/>
        <v>@color-minor_case_paved_or_uk_default</v>
      </c>
      <c r="C491" s="79" t="s">
        <v>218</v>
      </c>
      <c r="D491" s="47" t="s">
        <v>214</v>
      </c>
      <c r="F491" s="47" t="s">
        <v>214</v>
      </c>
      <c r="G491" s="47" t="s">
        <v>214</v>
      </c>
      <c r="I491" s="94" t="str">
        <f t="shared" si="610"/>
        <v>"#404040"</v>
      </c>
      <c r="J491" s="37" t="str">
        <f t="shared" si="610"/>
        <v>"#000000"</v>
      </c>
      <c r="L491" s="47" t="s">
        <v>214</v>
      </c>
      <c r="M491" s="47" t="s">
        <v>214</v>
      </c>
      <c r="U491" s="79" t="s">
        <v>218</v>
      </c>
      <c r="V491" s="47" t="s">
        <v>214</v>
      </c>
      <c r="X491" s="47" t="s">
        <v>214</v>
      </c>
      <c r="Y491" s="47" t="s">
        <v>214</v>
      </c>
      <c r="AA491" s="2" t="s">
        <v>6</v>
      </c>
      <c r="AB491" s="2" t="str">
        <f t="shared" si="482"/>
        <v>-</v>
      </c>
      <c r="AC491" s="2" t="s">
        <v>31</v>
      </c>
      <c r="AD491" s="2" t="str">
        <f t="shared" si="489"/>
        <v>_</v>
      </c>
      <c r="AE491" s="2" t="s">
        <v>17</v>
      </c>
      <c r="AF491" s="2" t="str">
        <f t="shared" si="490"/>
        <v>_</v>
      </c>
      <c r="AG491" s="2" t="s">
        <v>24</v>
      </c>
      <c r="AH491" s="2" t="str">
        <f t="shared" si="500"/>
        <v>_</v>
      </c>
      <c r="AI491" s="28" t="s">
        <v>262</v>
      </c>
    </row>
    <row r="492" spans="2:35" x14ac:dyDescent="0.25">
      <c r="B492" s="2" t="str">
        <f t="shared" si="609"/>
        <v>@color-minor_line_unpaved</v>
      </c>
      <c r="C492" s="80" t="s">
        <v>221</v>
      </c>
      <c r="D492" s="38" t="str">
        <f t="shared" ref="D492:D493" si="617">C492</f>
        <v>"#eddfca"</v>
      </c>
      <c r="F492" s="80" t="s">
        <v>221</v>
      </c>
      <c r="G492" s="38" t="str">
        <f t="shared" ref="G492:G493" si="618">F492</f>
        <v>"#eddfca"</v>
      </c>
      <c r="I492" s="81" t="str">
        <f>C492</f>
        <v>"#eddfca"</v>
      </c>
      <c r="J492" s="38" t="str">
        <f t="shared" ref="J492:J493" si="619">C492</f>
        <v>"#eddfca"</v>
      </c>
      <c r="L492" s="80" t="s">
        <v>221</v>
      </c>
      <c r="M492" s="38" t="str">
        <f t="shared" ref="M492:M493" si="620">L492</f>
        <v>"#eddfca"</v>
      </c>
      <c r="U492" s="46" t="s">
        <v>222</v>
      </c>
      <c r="V492" s="38" t="str">
        <f t="shared" ref="V492" si="621">U492</f>
        <v>"#ffffff"</v>
      </c>
      <c r="X492" s="46" t="s">
        <v>222</v>
      </c>
      <c r="Y492" s="38" t="str">
        <f t="shared" ref="Y492" si="622">X492</f>
        <v>"#ffffff"</v>
      </c>
      <c r="AA492" s="2" t="s">
        <v>6</v>
      </c>
      <c r="AB492" s="2" t="str">
        <f t="shared" si="482"/>
        <v>-</v>
      </c>
      <c r="AC492" s="2" t="s">
        <v>31</v>
      </c>
      <c r="AD492" s="2" t="str">
        <f t="shared" si="489"/>
        <v>_</v>
      </c>
      <c r="AE492" s="2" t="s">
        <v>13</v>
      </c>
      <c r="AF492" s="2" t="str">
        <f t="shared" si="490"/>
        <v>_</v>
      </c>
      <c r="AG492" s="2" t="s">
        <v>21</v>
      </c>
      <c r="AH492" s="2" t="str">
        <f t="shared" si="500"/>
        <v/>
      </c>
      <c r="AI492" s="2"/>
    </row>
    <row r="493" spans="2:35" x14ac:dyDescent="0.25">
      <c r="B493" s="2" t="str">
        <f t="shared" si="609"/>
        <v>@color-minor_line_paved_or_uk</v>
      </c>
      <c r="C493" s="46" t="s">
        <v>222</v>
      </c>
      <c r="D493" s="38" t="str">
        <f t="shared" si="617"/>
        <v>"#ffffff"</v>
      </c>
      <c r="F493" s="46" t="s">
        <v>222</v>
      </c>
      <c r="G493" s="38" t="str">
        <f t="shared" si="618"/>
        <v>"#ffffff"</v>
      </c>
      <c r="I493" s="38" t="str">
        <f>C493</f>
        <v>"#ffffff"</v>
      </c>
      <c r="J493" s="38" t="str">
        <f t="shared" si="619"/>
        <v>"#ffffff"</v>
      </c>
      <c r="L493" s="46" t="s">
        <v>222</v>
      </c>
      <c r="M493" s="38" t="str">
        <f t="shared" si="620"/>
        <v>"#ffffff"</v>
      </c>
      <c r="U493" s="46" t="s">
        <v>222</v>
      </c>
      <c r="V493" s="38" t="str">
        <f t="shared" ref="V493" si="623">U493</f>
        <v>"#ffffff"</v>
      </c>
      <c r="X493" s="46" t="s">
        <v>222</v>
      </c>
      <c r="Y493" s="38" t="str">
        <f t="shared" ref="Y493" si="624">X493</f>
        <v>"#ffffff"</v>
      </c>
      <c r="AA493" s="2" t="s">
        <v>6</v>
      </c>
      <c r="AB493" s="2" t="str">
        <f t="shared" si="482"/>
        <v>-</v>
      </c>
      <c r="AC493" s="2" t="s">
        <v>31</v>
      </c>
      <c r="AD493" s="2" t="str">
        <f t="shared" si="489"/>
        <v>_</v>
      </c>
      <c r="AE493" s="2" t="s">
        <v>13</v>
      </c>
      <c r="AF493" s="2" t="str">
        <f t="shared" si="490"/>
        <v>_</v>
      </c>
      <c r="AG493" s="2" t="s">
        <v>24</v>
      </c>
      <c r="AH493" s="2" t="str">
        <f t="shared" si="500"/>
        <v/>
      </c>
      <c r="AI493" s="2"/>
    </row>
    <row r="494" spans="2:35" x14ac:dyDescent="0.25">
      <c r="B494" s="2"/>
      <c r="C494" s="26"/>
      <c r="F494" s="26"/>
      <c r="L494" s="26"/>
      <c r="U494" s="26"/>
      <c r="X494" s="26"/>
      <c r="AA494" s="2"/>
      <c r="AB494" s="2"/>
      <c r="AC494" s="2"/>
      <c r="AD494" s="2"/>
      <c r="AE494" s="2"/>
      <c r="AF494" s="2"/>
      <c r="AG494" s="2"/>
      <c r="AH494" s="2"/>
      <c r="AI494" s="2"/>
    </row>
    <row r="495" spans="2:35" x14ac:dyDescent="0.25">
      <c r="B495" s="2" t="str">
        <f t="shared" ref="B495:B498" si="625">_xlfn.CONCAT("@",AA495,AB495,AC495,AD495,AE495,AF495,AG495,AH495,AI495)</f>
        <v>@dasharray-minor_case_medium_dash</v>
      </c>
      <c r="C495" s="28" t="s">
        <v>341</v>
      </c>
      <c r="D495" s="28" t="s">
        <v>341</v>
      </c>
      <c r="F495" s="28" t="s">
        <v>341</v>
      </c>
      <c r="G495" s="28" t="s">
        <v>341</v>
      </c>
      <c r="I495" s="28" t="s">
        <v>131</v>
      </c>
      <c r="J495" s="28" t="s">
        <v>131</v>
      </c>
      <c r="L495" s="28" t="s">
        <v>131</v>
      </c>
      <c r="M495" s="28" t="s">
        <v>131</v>
      </c>
      <c r="U495" s="28" t="s">
        <v>341</v>
      </c>
      <c r="V495" s="28" t="s">
        <v>341</v>
      </c>
      <c r="X495" s="28" t="s">
        <v>341</v>
      </c>
      <c r="Y495" s="28" t="s">
        <v>341</v>
      </c>
      <c r="AA495" s="2" t="s">
        <v>385</v>
      </c>
      <c r="AB495" s="2" t="str">
        <f t="shared" ref="AB495:AB498" si="626">IF(NOT(ISBLANK(AC495)),"-","")</f>
        <v>-</v>
      </c>
      <c r="AC495" s="2" t="s">
        <v>31</v>
      </c>
      <c r="AD495" s="2" t="str">
        <f t="shared" ref="AD495:AD498" si="627">IF(NOT(ISBLANK(AE495)),"_","")</f>
        <v>_</v>
      </c>
      <c r="AE495" s="2" t="s">
        <v>17</v>
      </c>
      <c r="AF495" s="2" t="str">
        <f t="shared" ref="AF495:AF498" si="628">IF(NOT(ISBLANK(AG495)),"_","")</f>
        <v>_</v>
      </c>
      <c r="AG495" s="2" t="s">
        <v>79</v>
      </c>
      <c r="AH495" s="2" t="str">
        <f t="shared" ref="AH495:AH498" si="629">IF(NOT(ISBLANK(AI495)),"_","")</f>
        <v>_</v>
      </c>
      <c r="AI495" s="2" t="s">
        <v>387</v>
      </c>
    </row>
    <row r="496" spans="2:35" x14ac:dyDescent="0.25">
      <c r="B496" s="2" t="str">
        <f t="shared" si="625"/>
        <v>@dasharray-minor_case_medium_gap</v>
      </c>
      <c r="C496" s="28" t="s">
        <v>389</v>
      </c>
      <c r="D496" s="28" t="s">
        <v>389</v>
      </c>
      <c r="F496" s="28" t="s">
        <v>389</v>
      </c>
      <c r="G496" s="28" t="s">
        <v>389</v>
      </c>
      <c r="I496" s="28" t="s">
        <v>98</v>
      </c>
      <c r="J496" s="28" t="s">
        <v>98</v>
      </c>
      <c r="L496" s="28" t="s">
        <v>98</v>
      </c>
      <c r="M496" s="28" t="s">
        <v>98</v>
      </c>
      <c r="U496" s="28" t="s">
        <v>389</v>
      </c>
      <c r="V496" s="28" t="s">
        <v>389</v>
      </c>
      <c r="X496" s="28" t="s">
        <v>389</v>
      </c>
      <c r="Y496" s="28" t="s">
        <v>389</v>
      </c>
      <c r="AA496" s="2" t="s">
        <v>385</v>
      </c>
      <c r="AB496" s="2" t="str">
        <f t="shared" si="626"/>
        <v>-</v>
      </c>
      <c r="AC496" s="2" t="s">
        <v>31</v>
      </c>
      <c r="AD496" s="2" t="str">
        <f t="shared" si="627"/>
        <v>_</v>
      </c>
      <c r="AE496" s="2" t="s">
        <v>17</v>
      </c>
      <c r="AF496" s="2" t="str">
        <f t="shared" si="628"/>
        <v>_</v>
      </c>
      <c r="AG496" s="2" t="s">
        <v>79</v>
      </c>
      <c r="AH496" s="2" t="str">
        <f t="shared" si="629"/>
        <v>_</v>
      </c>
      <c r="AI496" s="2" t="s">
        <v>388</v>
      </c>
    </row>
    <row r="497" spans="1:35" x14ac:dyDescent="0.25">
      <c r="B497" s="2" t="str">
        <f t="shared" si="625"/>
        <v>@dasharray-minor_case_rough_dash</v>
      </c>
      <c r="C497" s="28" t="s">
        <v>341</v>
      </c>
      <c r="D497" s="28" t="s">
        <v>341</v>
      </c>
      <c r="F497" s="28" t="s">
        <v>341</v>
      </c>
      <c r="G497" s="28" t="s">
        <v>341</v>
      </c>
      <c r="I497" s="28" t="s">
        <v>96</v>
      </c>
      <c r="J497" s="28" t="s">
        <v>96</v>
      </c>
      <c r="L497" s="28" t="s">
        <v>96</v>
      </c>
      <c r="M497" s="28" t="s">
        <v>96</v>
      </c>
      <c r="U497" s="28" t="s">
        <v>341</v>
      </c>
      <c r="V497" s="28" t="s">
        <v>341</v>
      </c>
      <c r="X497" s="28" t="s">
        <v>341</v>
      </c>
      <c r="Y497" s="28" t="s">
        <v>341</v>
      </c>
      <c r="AA497" s="2" t="s">
        <v>385</v>
      </c>
      <c r="AB497" s="2" t="str">
        <f t="shared" si="626"/>
        <v>-</v>
      </c>
      <c r="AC497" s="2" t="s">
        <v>31</v>
      </c>
      <c r="AD497" s="2" t="str">
        <f t="shared" si="627"/>
        <v>_</v>
      </c>
      <c r="AE497" s="2" t="s">
        <v>17</v>
      </c>
      <c r="AF497" s="2" t="str">
        <f t="shared" si="628"/>
        <v>_</v>
      </c>
      <c r="AG497" s="2" t="s">
        <v>386</v>
      </c>
      <c r="AH497" s="2" t="str">
        <f t="shared" si="629"/>
        <v>_</v>
      </c>
      <c r="AI497" s="2" t="s">
        <v>387</v>
      </c>
    </row>
    <row r="498" spans="1:35" x14ac:dyDescent="0.25">
      <c r="B498" s="2" t="str">
        <f t="shared" si="625"/>
        <v>@dasharray-minor_case_rough_gap</v>
      </c>
      <c r="C498" s="28" t="s">
        <v>389</v>
      </c>
      <c r="D498" s="28" t="s">
        <v>389</v>
      </c>
      <c r="F498" s="28" t="s">
        <v>389</v>
      </c>
      <c r="G498" s="28" t="s">
        <v>389</v>
      </c>
      <c r="I498" s="28" t="s">
        <v>98</v>
      </c>
      <c r="J498" s="28" t="s">
        <v>98</v>
      </c>
      <c r="L498" s="28" t="s">
        <v>98</v>
      </c>
      <c r="M498" s="28" t="s">
        <v>98</v>
      </c>
      <c r="U498" s="28" t="s">
        <v>389</v>
      </c>
      <c r="V498" s="28" t="s">
        <v>389</v>
      </c>
      <c r="X498" s="28" t="s">
        <v>389</v>
      </c>
      <c r="Y498" s="28" t="s">
        <v>389</v>
      </c>
      <c r="AA498" s="2" t="s">
        <v>385</v>
      </c>
      <c r="AB498" s="2" t="str">
        <f t="shared" si="626"/>
        <v>-</v>
      </c>
      <c r="AC498" s="2" t="s">
        <v>31</v>
      </c>
      <c r="AD498" s="2" t="str">
        <f t="shared" si="627"/>
        <v>_</v>
      </c>
      <c r="AE498" s="2" t="s">
        <v>17</v>
      </c>
      <c r="AF498" s="2" t="str">
        <f t="shared" si="628"/>
        <v>_</v>
      </c>
      <c r="AG498" s="2" t="s">
        <v>386</v>
      </c>
      <c r="AH498" s="2" t="str">
        <f t="shared" si="629"/>
        <v>_</v>
      </c>
      <c r="AI498" s="2" t="s">
        <v>388</v>
      </c>
    </row>
    <row r="499" spans="1:35" x14ac:dyDescent="0.25">
      <c r="B499" s="2"/>
      <c r="AB499" s="28" t="str">
        <f t="shared" si="482"/>
        <v/>
      </c>
      <c r="AD499" s="28" t="str">
        <f t="shared" si="489"/>
        <v/>
      </c>
      <c r="AF499" s="28" t="str">
        <f t="shared" si="490"/>
        <v/>
      </c>
      <c r="AH499" s="28" t="str">
        <f t="shared" si="500"/>
        <v/>
      </c>
    </row>
    <row r="500" spans="1:35" s="2" customFormat="1" x14ac:dyDescent="0.25">
      <c r="A500" s="3" t="s">
        <v>224</v>
      </c>
      <c r="B500" s="3"/>
      <c r="C500" s="27"/>
      <c r="D500" s="6"/>
      <c r="E500" s="7"/>
      <c r="F500" s="6"/>
      <c r="G500" s="6"/>
      <c r="H500" s="7"/>
      <c r="I500" s="6"/>
      <c r="J500" s="6"/>
      <c r="K500" s="7"/>
      <c r="L500" s="6"/>
      <c r="M500" s="6"/>
      <c r="N500" s="7"/>
      <c r="O500" s="6"/>
      <c r="P500" s="6"/>
      <c r="Q500" s="7"/>
      <c r="R500" s="6"/>
      <c r="S500" s="6"/>
      <c r="T500" s="7"/>
      <c r="U500" s="6"/>
      <c r="V500" s="6"/>
      <c r="W500" s="7"/>
      <c r="X500" s="6"/>
      <c r="Y500" s="6"/>
      <c r="AA500" s="4"/>
      <c r="AB500" s="4" t="str">
        <f t="shared" si="482"/>
        <v/>
      </c>
      <c r="AC500" s="4"/>
      <c r="AD500" s="4" t="str">
        <f t="shared" si="489"/>
        <v/>
      </c>
      <c r="AE500" s="4"/>
      <c r="AF500" s="4" t="str">
        <f t="shared" si="490"/>
        <v/>
      </c>
      <c r="AG500" s="4"/>
      <c r="AH500" s="4" t="str">
        <f t="shared" si="500"/>
        <v/>
      </c>
      <c r="AI500" s="4"/>
    </row>
    <row r="501" spans="1:35" x14ac:dyDescent="0.25">
      <c r="B501" s="2" t="str">
        <f t="shared" ref="B501:B531" si="630">_xlfn.CONCAT("@",AA501,AB501,AC501,AD501,AE501,AF501,AG501,AH501,AI501)</f>
        <v>@color-motorway_link_line</v>
      </c>
      <c r="C501" s="71" t="s">
        <v>213</v>
      </c>
      <c r="D501" s="72" t="s">
        <v>215</v>
      </c>
      <c r="F501" s="70" t="s">
        <v>215</v>
      </c>
      <c r="G501" s="70" t="s">
        <v>215</v>
      </c>
      <c r="I501" s="71" t="s">
        <v>213</v>
      </c>
      <c r="J501" s="72" t="s">
        <v>215</v>
      </c>
      <c r="L501" s="70" t="s">
        <v>215</v>
      </c>
      <c r="M501" s="70" t="s">
        <v>215</v>
      </c>
      <c r="O501" s="71" t="s">
        <v>213</v>
      </c>
      <c r="P501" s="72" t="s">
        <v>215</v>
      </c>
      <c r="R501" s="70" t="s">
        <v>215</v>
      </c>
      <c r="S501" s="70" t="s">
        <v>215</v>
      </c>
      <c r="U501" s="71" t="s">
        <v>213</v>
      </c>
      <c r="V501" s="72" t="s">
        <v>215</v>
      </c>
      <c r="X501" s="70" t="s">
        <v>215</v>
      </c>
      <c r="Y501" s="70" t="s">
        <v>215</v>
      </c>
      <c r="AA501" s="2" t="s">
        <v>6</v>
      </c>
      <c r="AB501" s="2" t="str">
        <f t="shared" si="482"/>
        <v>-</v>
      </c>
      <c r="AC501" s="2" t="s">
        <v>33</v>
      </c>
      <c r="AD501" s="2" t="str">
        <f t="shared" si="489"/>
        <v>_</v>
      </c>
      <c r="AE501" s="2" t="s">
        <v>13</v>
      </c>
      <c r="AF501" s="2" t="str">
        <f t="shared" si="490"/>
        <v/>
      </c>
      <c r="AG501" s="2"/>
      <c r="AH501" s="2" t="str">
        <f t="shared" si="500"/>
        <v/>
      </c>
      <c r="AI501" s="2"/>
    </row>
    <row r="502" spans="1:35" x14ac:dyDescent="0.25">
      <c r="B502" s="2" t="str">
        <f t="shared" si="630"/>
        <v>@color-motorway_link_case</v>
      </c>
      <c r="C502" s="68" t="s">
        <v>212</v>
      </c>
      <c r="D502" s="37" t="s">
        <v>214</v>
      </c>
      <c r="F502" s="47" t="s">
        <v>214</v>
      </c>
      <c r="G502" s="47" t="s">
        <v>214</v>
      </c>
      <c r="I502" s="68" t="s">
        <v>212</v>
      </c>
      <c r="J502" s="37" t="s">
        <v>214</v>
      </c>
      <c r="L502" s="47" t="s">
        <v>214</v>
      </c>
      <c r="M502" s="47" t="s">
        <v>214</v>
      </c>
      <c r="O502" s="68" t="s">
        <v>212</v>
      </c>
      <c r="P502" s="37" t="s">
        <v>214</v>
      </c>
      <c r="R502" s="47" t="s">
        <v>214</v>
      </c>
      <c r="S502" s="47" t="s">
        <v>214</v>
      </c>
      <c r="U502" s="68" t="s">
        <v>212</v>
      </c>
      <c r="V502" s="37" t="s">
        <v>214</v>
      </c>
      <c r="X502" s="47" t="s">
        <v>214</v>
      </c>
      <c r="Y502" s="47" t="s">
        <v>214</v>
      </c>
      <c r="AA502" s="2" t="s">
        <v>6</v>
      </c>
      <c r="AB502" s="2" t="str">
        <f t="shared" si="482"/>
        <v>-</v>
      </c>
      <c r="AC502" s="2" t="s">
        <v>33</v>
      </c>
      <c r="AD502" s="2" t="str">
        <f t="shared" si="489"/>
        <v>_</v>
      </c>
      <c r="AE502" s="2" t="s">
        <v>17</v>
      </c>
      <c r="AF502" s="2" t="str">
        <f t="shared" si="490"/>
        <v/>
      </c>
      <c r="AG502" s="2"/>
      <c r="AH502" s="2" t="str">
        <f t="shared" si="500"/>
        <v/>
      </c>
      <c r="AI502" s="2"/>
    </row>
    <row r="503" spans="1:35" x14ac:dyDescent="0.25">
      <c r="B503" s="2"/>
      <c r="AB503" s="28" t="str">
        <f t="shared" ref="AB503" si="631">IF(NOT(ISBLANK(AC503)),"-","")</f>
        <v/>
      </c>
      <c r="AD503" s="28" t="str">
        <f t="shared" ref="AD503" si="632">IF(NOT(ISBLANK(AE503)),"_","")</f>
        <v/>
      </c>
      <c r="AF503" s="28" t="str">
        <f t="shared" ref="AF503" si="633">IF(NOT(ISBLANK(AG503)),"_","")</f>
        <v/>
      </c>
      <c r="AH503" s="28" t="str">
        <f t="shared" ref="AH503" si="634">IF(NOT(ISBLANK(AI503)),"_","")</f>
        <v/>
      </c>
    </row>
    <row r="504" spans="1:35" x14ac:dyDescent="0.25">
      <c r="B504" s="2" t="str">
        <f t="shared" si="630"/>
        <v>@color-trunk_primary_secondary_tertiary_link_line_bicycle_no</v>
      </c>
      <c r="C504" s="82" t="s">
        <v>231</v>
      </c>
      <c r="D504" s="70" t="s">
        <v>215</v>
      </c>
      <c r="F504" s="82" t="s">
        <v>231</v>
      </c>
      <c r="G504" s="70" t="s">
        <v>215</v>
      </c>
      <c r="I504" s="83" t="str">
        <f>C504</f>
        <v>"#ffcc8a"</v>
      </c>
      <c r="J504" s="72" t="str">
        <f>D504</f>
        <v>"#d6771e"</v>
      </c>
      <c r="L504" s="82" t="s">
        <v>231</v>
      </c>
      <c r="M504" s="70" t="s">
        <v>215</v>
      </c>
      <c r="U504" s="82" t="s">
        <v>231</v>
      </c>
      <c r="V504" s="70" t="s">
        <v>215</v>
      </c>
      <c r="X504" s="82" t="s">
        <v>231</v>
      </c>
      <c r="Y504" s="70" t="s">
        <v>215</v>
      </c>
      <c r="AA504" s="2" t="s">
        <v>6</v>
      </c>
      <c r="AB504" s="2" t="str">
        <f t="shared" si="482"/>
        <v>-</v>
      </c>
      <c r="AC504" s="2" t="s">
        <v>32</v>
      </c>
      <c r="AD504" s="2" t="str">
        <f t="shared" si="489"/>
        <v>_</v>
      </c>
      <c r="AE504" s="2" t="s">
        <v>13</v>
      </c>
      <c r="AF504" s="2" t="str">
        <f t="shared" si="490"/>
        <v>_</v>
      </c>
      <c r="AG504" s="2" t="s">
        <v>23</v>
      </c>
      <c r="AH504" s="2" t="str">
        <f t="shared" si="500"/>
        <v/>
      </c>
      <c r="AI504" s="2"/>
    </row>
    <row r="505" spans="1:35" x14ac:dyDescent="0.25">
      <c r="B505" s="2" t="str">
        <f t="shared" si="630"/>
        <v>@color-trunk_primary_secondary_tertiary_link_line_unpaved</v>
      </c>
      <c r="C505" s="81" t="s">
        <v>221</v>
      </c>
      <c r="D505" s="81" t="str">
        <f>C505</f>
        <v>"#eddfca"</v>
      </c>
      <c r="F505" s="81" t="s">
        <v>221</v>
      </c>
      <c r="G505" s="81" t="str">
        <f>F505</f>
        <v>"#eddfca"</v>
      </c>
      <c r="I505" s="81" t="s">
        <v>221</v>
      </c>
      <c r="J505" s="81" t="str">
        <f>I505</f>
        <v>"#eddfca"</v>
      </c>
      <c r="L505" s="81" t="s">
        <v>221</v>
      </c>
      <c r="M505" s="81" t="str">
        <f>L505</f>
        <v>"#eddfca"</v>
      </c>
      <c r="U505" s="46" t="s">
        <v>222</v>
      </c>
      <c r="V505" s="38" t="str">
        <f>U505</f>
        <v>"#ffffff"</v>
      </c>
      <c r="X505" s="46" t="s">
        <v>222</v>
      </c>
      <c r="Y505" s="38" t="str">
        <f>X505</f>
        <v>"#ffffff"</v>
      </c>
      <c r="AA505" s="2" t="s">
        <v>6</v>
      </c>
      <c r="AB505" s="2" t="str">
        <f t="shared" si="482"/>
        <v>-</v>
      </c>
      <c r="AC505" s="2" t="s">
        <v>32</v>
      </c>
      <c r="AD505" s="2" t="str">
        <f t="shared" si="489"/>
        <v>_</v>
      </c>
      <c r="AE505" s="2" t="s">
        <v>13</v>
      </c>
      <c r="AF505" s="2" t="str">
        <f t="shared" si="490"/>
        <v>_</v>
      </c>
      <c r="AG505" s="2" t="s">
        <v>21</v>
      </c>
      <c r="AH505" s="2" t="str">
        <f t="shared" si="500"/>
        <v/>
      </c>
      <c r="AI505" s="2"/>
    </row>
    <row r="506" spans="1:35" x14ac:dyDescent="0.25">
      <c r="B506" s="2" t="str">
        <f t="shared" si="630"/>
        <v>@color-trunk_primary_secondary_tertiary_link_line_paved_or_uk</v>
      </c>
      <c r="C506" s="46" t="s">
        <v>222</v>
      </c>
      <c r="D506" s="38" t="str">
        <f>C506</f>
        <v>"#ffffff"</v>
      </c>
      <c r="F506" s="46" t="s">
        <v>222</v>
      </c>
      <c r="G506" s="38" t="str">
        <f>F506</f>
        <v>"#ffffff"</v>
      </c>
      <c r="I506" s="46" t="s">
        <v>222</v>
      </c>
      <c r="J506" s="38" t="str">
        <f>I506</f>
        <v>"#ffffff"</v>
      </c>
      <c r="L506" s="46" t="s">
        <v>222</v>
      </c>
      <c r="M506" s="38" t="str">
        <f>L506</f>
        <v>"#ffffff"</v>
      </c>
      <c r="U506" s="46" t="s">
        <v>222</v>
      </c>
      <c r="V506" s="38" t="str">
        <f>U506</f>
        <v>"#ffffff"</v>
      </c>
      <c r="X506" s="46" t="s">
        <v>222</v>
      </c>
      <c r="Y506" s="38" t="str">
        <f>X506</f>
        <v>"#ffffff"</v>
      </c>
      <c r="AA506" s="2" t="s">
        <v>6</v>
      </c>
      <c r="AB506" s="2" t="str">
        <f t="shared" si="482"/>
        <v>-</v>
      </c>
      <c r="AC506" s="2" t="s">
        <v>32</v>
      </c>
      <c r="AD506" s="2" t="str">
        <f t="shared" si="489"/>
        <v>_</v>
      </c>
      <c r="AE506" s="2" t="s">
        <v>13</v>
      </c>
      <c r="AF506" s="2" t="str">
        <f t="shared" si="490"/>
        <v>_</v>
      </c>
      <c r="AG506" s="2" t="s">
        <v>24</v>
      </c>
      <c r="AH506" s="2" t="str">
        <f t="shared" si="500"/>
        <v/>
      </c>
      <c r="AI506" s="2"/>
    </row>
    <row r="507" spans="1:35" x14ac:dyDescent="0.25">
      <c r="B507" s="2" t="str">
        <f t="shared" si="630"/>
        <v>@color-trunk_primary_secondary_tertiary_link_case_bicycle_no_farzoom</v>
      </c>
      <c r="C507" s="73" t="s">
        <v>226</v>
      </c>
      <c r="D507" s="47" t="s">
        <v>214</v>
      </c>
      <c r="F507" s="73" t="s">
        <v>226</v>
      </c>
      <c r="G507" s="73" t="s">
        <v>226</v>
      </c>
      <c r="I507" s="74" t="str">
        <f>C507</f>
        <v>"#bd430f"</v>
      </c>
      <c r="J507" s="37" t="str">
        <f>D507</f>
        <v>"#000000"</v>
      </c>
      <c r="L507" s="73" t="s">
        <v>226</v>
      </c>
      <c r="M507" s="73" t="s">
        <v>226</v>
      </c>
      <c r="U507" s="73" t="s">
        <v>226</v>
      </c>
      <c r="V507" s="47" t="s">
        <v>214</v>
      </c>
      <c r="X507" s="73" t="s">
        <v>226</v>
      </c>
      <c r="Y507" s="73" t="s">
        <v>226</v>
      </c>
      <c r="AA507" s="2" t="s">
        <v>6</v>
      </c>
      <c r="AB507" s="2" t="str">
        <f t="shared" ref="AB507" si="635">IF(NOT(ISBLANK(AC507)),"-","")</f>
        <v>-</v>
      </c>
      <c r="AC507" s="2" t="s">
        <v>32</v>
      </c>
      <c r="AD507" s="2" t="str">
        <f t="shared" ref="AD507" si="636">IF(NOT(ISBLANK(AE507)),"_","")</f>
        <v>_</v>
      </c>
      <c r="AE507" s="2" t="s">
        <v>17</v>
      </c>
      <c r="AF507" s="2" t="str">
        <f t="shared" ref="AF507" si="637">IF(NOT(ISBLANK(AG507)),"_","")</f>
        <v>_</v>
      </c>
      <c r="AG507" s="2" t="s">
        <v>23</v>
      </c>
      <c r="AH507" s="2" t="str">
        <f t="shared" si="500"/>
        <v>_</v>
      </c>
      <c r="AI507" s="2" t="s">
        <v>20</v>
      </c>
    </row>
    <row r="508" spans="1:35" x14ac:dyDescent="0.25">
      <c r="B508" s="2" t="str">
        <f t="shared" ref="B508:B512" si="638">_xlfn.CONCAT("@",AA508,AB508,AC508,AD508,AE508,AF508,AG508,AH508,AI508)</f>
        <v>@color-trunk_primary_secondary_tertiary_link_case_bicycle_no_default</v>
      </c>
      <c r="C508" s="73" t="s">
        <v>226</v>
      </c>
      <c r="D508" s="47" t="s">
        <v>214</v>
      </c>
      <c r="F508" s="47" t="s">
        <v>214</v>
      </c>
      <c r="G508" s="47" t="s">
        <v>214</v>
      </c>
      <c r="I508" s="74" t="str">
        <f>C508</f>
        <v>"#bd430f"</v>
      </c>
      <c r="J508" s="37" t="str">
        <f>D508</f>
        <v>"#000000"</v>
      </c>
      <c r="L508" s="47" t="s">
        <v>214</v>
      </c>
      <c r="M508" s="47" t="s">
        <v>214</v>
      </c>
      <c r="U508" s="73" t="s">
        <v>226</v>
      </c>
      <c r="V508" s="47" t="s">
        <v>214</v>
      </c>
      <c r="X508" s="47" t="s">
        <v>214</v>
      </c>
      <c r="Y508" s="47" t="s">
        <v>214</v>
      </c>
      <c r="AA508" s="2" t="s">
        <v>6</v>
      </c>
      <c r="AB508" s="2" t="str">
        <f t="shared" ref="AB508:AB512" si="639">IF(NOT(ISBLANK(AC508)),"-","")</f>
        <v>-</v>
      </c>
      <c r="AC508" s="2" t="s">
        <v>32</v>
      </c>
      <c r="AD508" s="2" t="str">
        <f t="shared" ref="AD508:AD512" si="640">IF(NOT(ISBLANK(AE508)),"_","")</f>
        <v>_</v>
      </c>
      <c r="AE508" s="2" t="s">
        <v>17</v>
      </c>
      <c r="AF508" s="2" t="str">
        <f t="shared" ref="AF508:AF512" si="641">IF(NOT(ISBLANK(AG508)),"_","")</f>
        <v>_</v>
      </c>
      <c r="AG508" s="2" t="s">
        <v>23</v>
      </c>
      <c r="AH508" s="2" t="str">
        <f t="shared" ref="AH508:AH512" si="642">IF(NOT(ISBLANK(AI508)),"_","")</f>
        <v>_</v>
      </c>
      <c r="AI508" s="2" t="s">
        <v>262</v>
      </c>
    </row>
    <row r="509" spans="1:35" x14ac:dyDescent="0.25">
      <c r="B509" s="2" t="str">
        <f t="shared" ref="B509" si="643">_xlfn.CONCAT("@",AA509,AB509,AC509,AD509,AE509,AF509,AG509,AH509,AI509)</f>
        <v>@color-trunk_primary_secondary_tertiary_link_case_unpaved_farzoom</v>
      </c>
      <c r="C509" s="75" t="s">
        <v>227</v>
      </c>
      <c r="D509" s="76" t="s">
        <v>229</v>
      </c>
      <c r="F509" s="76" t="s">
        <v>229</v>
      </c>
      <c r="G509" s="75" t="s">
        <v>227</v>
      </c>
      <c r="I509" s="75" t="s">
        <v>227</v>
      </c>
      <c r="J509" s="76" t="s">
        <v>229</v>
      </c>
      <c r="L509" s="76" t="s">
        <v>229</v>
      </c>
      <c r="M509" s="75" t="s">
        <v>227</v>
      </c>
      <c r="U509" s="78" t="s">
        <v>228</v>
      </c>
      <c r="V509" s="47" t="s">
        <v>214</v>
      </c>
      <c r="X509" s="78" t="s">
        <v>228</v>
      </c>
      <c r="Y509" s="78" t="s">
        <v>228</v>
      </c>
      <c r="AA509" s="2" t="s">
        <v>6</v>
      </c>
      <c r="AB509" s="2" t="str">
        <f t="shared" ref="AB509" si="644">IF(NOT(ISBLANK(AC509)),"-","")</f>
        <v>-</v>
      </c>
      <c r="AC509" s="2" t="s">
        <v>32</v>
      </c>
      <c r="AD509" s="2" t="str">
        <f t="shared" ref="AD509" si="645">IF(NOT(ISBLANK(AE509)),"_","")</f>
        <v>_</v>
      </c>
      <c r="AE509" s="2" t="s">
        <v>17</v>
      </c>
      <c r="AF509" s="2" t="str">
        <f t="shared" ref="AF509" si="646">IF(NOT(ISBLANK(AG509)),"_","")</f>
        <v>_</v>
      </c>
      <c r="AG509" s="2" t="s">
        <v>21</v>
      </c>
      <c r="AH509" s="2" t="str">
        <f t="shared" ref="AH509" si="647">IF(NOT(ISBLANK(AI509)),"_","")</f>
        <v>_</v>
      </c>
      <c r="AI509" s="2" t="s">
        <v>20</v>
      </c>
    </row>
    <row r="510" spans="1:35" x14ac:dyDescent="0.25">
      <c r="B510" s="2" t="str">
        <f t="shared" si="638"/>
        <v>@color-trunk_primary_secondary_tertiary_link_case_unpaved_default</v>
      </c>
      <c r="C510" s="76" t="s">
        <v>229</v>
      </c>
      <c r="D510" s="76" t="s">
        <v>229</v>
      </c>
      <c r="F510" s="47" t="s">
        <v>214</v>
      </c>
      <c r="G510" s="47" t="s">
        <v>214</v>
      </c>
      <c r="I510" s="76" t="s">
        <v>229</v>
      </c>
      <c r="J510" s="76" t="s">
        <v>229</v>
      </c>
      <c r="L510" s="47" t="s">
        <v>214</v>
      </c>
      <c r="M510" s="47" t="s">
        <v>214</v>
      </c>
      <c r="U510" s="84" t="s">
        <v>230</v>
      </c>
      <c r="V510" s="47" t="s">
        <v>214</v>
      </c>
      <c r="X510" s="47" t="s">
        <v>214</v>
      </c>
      <c r="Y510" s="47" t="s">
        <v>214</v>
      </c>
      <c r="AA510" s="2" t="s">
        <v>6</v>
      </c>
      <c r="AB510" s="2" t="str">
        <f t="shared" si="639"/>
        <v>-</v>
      </c>
      <c r="AC510" s="2" t="s">
        <v>32</v>
      </c>
      <c r="AD510" s="2" t="str">
        <f t="shared" si="640"/>
        <v>_</v>
      </c>
      <c r="AE510" s="2" t="s">
        <v>17</v>
      </c>
      <c r="AF510" s="2" t="str">
        <f t="shared" si="641"/>
        <v>_</v>
      </c>
      <c r="AG510" s="2" t="s">
        <v>21</v>
      </c>
      <c r="AH510" s="2" t="str">
        <f t="shared" si="642"/>
        <v>_</v>
      </c>
      <c r="AI510" s="2" t="s">
        <v>262</v>
      </c>
    </row>
    <row r="511" spans="1:35" x14ac:dyDescent="0.25">
      <c r="B511" s="2" t="str">
        <f t="shared" ref="B511" si="648">_xlfn.CONCAT("@",AA511,AB511,AC511,AD511,AE511,AF511,AG511,AH511,AI511)</f>
        <v>@color-trunk_primary_secondary_tertiary_link_case_paved_or_uk_farzoom</v>
      </c>
      <c r="C511" s="78" t="s">
        <v>228</v>
      </c>
      <c r="D511" s="47" t="s">
        <v>214</v>
      </c>
      <c r="F511" s="78" t="s">
        <v>228</v>
      </c>
      <c r="G511" s="78" t="s">
        <v>228</v>
      </c>
      <c r="I511" s="78" t="s">
        <v>228</v>
      </c>
      <c r="J511" s="47" t="s">
        <v>214</v>
      </c>
      <c r="L511" s="78" t="s">
        <v>228</v>
      </c>
      <c r="M511" s="78" t="s">
        <v>228</v>
      </c>
      <c r="U511" s="78" t="s">
        <v>228</v>
      </c>
      <c r="V511" s="47" t="s">
        <v>214</v>
      </c>
      <c r="X511" s="78" t="s">
        <v>228</v>
      </c>
      <c r="Y511" s="78" t="s">
        <v>228</v>
      </c>
      <c r="AA511" s="2" t="s">
        <v>6</v>
      </c>
      <c r="AB511" s="2" t="str">
        <f t="shared" ref="AB511" si="649">IF(NOT(ISBLANK(AC511)),"-","")</f>
        <v>-</v>
      </c>
      <c r="AC511" s="2" t="s">
        <v>32</v>
      </c>
      <c r="AD511" s="2" t="str">
        <f t="shared" ref="AD511" si="650">IF(NOT(ISBLANK(AE511)),"_","")</f>
        <v>_</v>
      </c>
      <c r="AE511" s="2" t="s">
        <v>17</v>
      </c>
      <c r="AF511" s="2" t="str">
        <f t="shared" ref="AF511" si="651">IF(NOT(ISBLANK(AG511)),"_","")</f>
        <v>_</v>
      </c>
      <c r="AG511" s="2" t="s">
        <v>24</v>
      </c>
      <c r="AH511" s="2" t="str">
        <f t="shared" ref="AH511" si="652">IF(NOT(ISBLANK(AI511)),"_","")</f>
        <v>_</v>
      </c>
      <c r="AI511" s="2" t="s">
        <v>20</v>
      </c>
    </row>
    <row r="512" spans="1:35" x14ac:dyDescent="0.25">
      <c r="B512" s="2" t="str">
        <f t="shared" si="638"/>
        <v>@color-trunk_primary_secondary_tertiary_link_case_paved_or_uk_default</v>
      </c>
      <c r="C512" s="84" t="s">
        <v>230</v>
      </c>
      <c r="D512" s="47" t="s">
        <v>214</v>
      </c>
      <c r="F512" s="47" t="s">
        <v>214</v>
      </c>
      <c r="G512" s="47" t="s">
        <v>214</v>
      </c>
      <c r="I512" s="84" t="s">
        <v>230</v>
      </c>
      <c r="J512" s="47" t="s">
        <v>214</v>
      </c>
      <c r="L512" s="47" t="s">
        <v>214</v>
      </c>
      <c r="M512" s="47" t="s">
        <v>214</v>
      </c>
      <c r="U512" s="84" t="s">
        <v>230</v>
      </c>
      <c r="V512" s="47" t="s">
        <v>214</v>
      </c>
      <c r="X512" s="47" t="s">
        <v>214</v>
      </c>
      <c r="Y512" s="47" t="s">
        <v>214</v>
      </c>
      <c r="AA512" s="2" t="s">
        <v>6</v>
      </c>
      <c r="AB512" s="2" t="str">
        <f t="shared" si="639"/>
        <v>-</v>
      </c>
      <c r="AC512" s="2" t="s">
        <v>32</v>
      </c>
      <c r="AD512" s="2" t="str">
        <f t="shared" si="640"/>
        <v>_</v>
      </c>
      <c r="AE512" s="2" t="s">
        <v>17</v>
      </c>
      <c r="AF512" s="2" t="str">
        <f t="shared" si="641"/>
        <v>_</v>
      </c>
      <c r="AG512" s="2" t="s">
        <v>24</v>
      </c>
      <c r="AH512" s="2" t="str">
        <f t="shared" si="642"/>
        <v>_</v>
      </c>
      <c r="AI512" s="2" t="s">
        <v>262</v>
      </c>
    </row>
    <row r="513" spans="2:2" x14ac:dyDescent="0.25">
      <c r="B513" s="2" t="str">
        <f t="shared" si="630"/>
        <v>@</v>
      </c>
    </row>
    <row r="514" spans="2:2" x14ac:dyDescent="0.25">
      <c r="B514" s="2" t="str">
        <f t="shared" si="630"/>
        <v>@</v>
      </c>
    </row>
    <row r="515" spans="2:2" x14ac:dyDescent="0.25">
      <c r="B515" s="2" t="str">
        <f t="shared" si="630"/>
        <v>@</v>
      </c>
    </row>
    <row r="516" spans="2:2" x14ac:dyDescent="0.25">
      <c r="B516" s="2" t="str">
        <f t="shared" si="630"/>
        <v>@</v>
      </c>
    </row>
    <row r="517" spans="2:2" x14ac:dyDescent="0.25">
      <c r="B517" s="2" t="str">
        <f t="shared" si="630"/>
        <v>@</v>
      </c>
    </row>
    <row r="518" spans="2:2" x14ac:dyDescent="0.25">
      <c r="B518" s="2" t="str">
        <f t="shared" si="630"/>
        <v>@</v>
      </c>
    </row>
    <row r="519" spans="2:2" x14ac:dyDescent="0.25">
      <c r="B519" s="2" t="str">
        <f t="shared" si="630"/>
        <v>@</v>
      </c>
    </row>
    <row r="520" spans="2:2" x14ac:dyDescent="0.25">
      <c r="B520" s="2" t="str">
        <f t="shared" si="630"/>
        <v>@</v>
      </c>
    </row>
    <row r="521" spans="2:2" x14ac:dyDescent="0.25">
      <c r="B521" s="2" t="str">
        <f t="shared" si="630"/>
        <v>@</v>
      </c>
    </row>
    <row r="522" spans="2:2" x14ac:dyDescent="0.25">
      <c r="B522" s="2" t="str">
        <f t="shared" si="630"/>
        <v>@</v>
      </c>
    </row>
    <row r="523" spans="2:2" x14ac:dyDescent="0.25">
      <c r="B523" s="2" t="str">
        <f t="shared" si="630"/>
        <v>@</v>
      </c>
    </row>
    <row r="524" spans="2:2" x14ac:dyDescent="0.25">
      <c r="B524" s="2" t="str">
        <f t="shared" si="630"/>
        <v>@</v>
      </c>
    </row>
    <row r="525" spans="2:2" x14ac:dyDescent="0.25">
      <c r="B525" s="2" t="str">
        <f t="shared" si="630"/>
        <v>@</v>
      </c>
    </row>
    <row r="526" spans="2:2" x14ac:dyDescent="0.25">
      <c r="B526" s="2" t="str">
        <f t="shared" si="630"/>
        <v>@</v>
      </c>
    </row>
    <row r="527" spans="2:2" x14ac:dyDescent="0.25">
      <c r="B527" s="2" t="str">
        <f t="shared" si="630"/>
        <v>@</v>
      </c>
    </row>
    <row r="528" spans="2:2" x14ac:dyDescent="0.25">
      <c r="B528" s="2" t="str">
        <f t="shared" si="630"/>
        <v>@</v>
      </c>
    </row>
    <row r="529" spans="2:2" x14ac:dyDescent="0.25">
      <c r="B529" s="2" t="str">
        <f t="shared" si="630"/>
        <v>@</v>
      </c>
    </row>
    <row r="530" spans="2:2" x14ac:dyDescent="0.25">
      <c r="B530" s="2" t="str">
        <f t="shared" si="630"/>
        <v>@</v>
      </c>
    </row>
    <row r="531" spans="2:2" x14ac:dyDescent="0.25">
      <c r="B531" s="2" t="str">
        <f t="shared" si="630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134 C137 M133:T133 M134:T134 M135:T135 M137:T137 M138:T138 M139:T139 M141:T141 M142:T142 M143:T143 M145:T145 M146:T146 M147:T147 D137:E137 E133 E134 E135 E136 D145:E147 E138 E139 E141 E142 E143 H137 H133:L133 H134:L134 H135:L135 H136:L136 H145:L147 H138:L138 H139:L139 H141 H142:L142 H143:L143 J137:K137 J141:K14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2026-01-05T07:29:40Z</dcterms:modified>
</cp:coreProperties>
</file>