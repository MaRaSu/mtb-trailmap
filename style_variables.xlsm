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93BA3E19-D5CA-4CC2-8C86-B317C0421B4D}" xr6:coauthVersionLast="47" xr6:coauthVersionMax="47" xr10:uidLastSave="{00000000-0000-0000-0000-000000000000}"/>
  <bookViews>
    <workbookView xWindow="-120" yWindow="-15" windowWidth="3861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145" i="5" l="1"/>
  <c r="AF145" i="5"/>
  <c r="AD145" i="5"/>
  <c r="AB145" i="5"/>
  <c r="B145" i="5"/>
  <c r="AH144" i="5"/>
  <c r="AF144" i="5"/>
  <c r="AD144" i="5"/>
  <c r="AB144" i="5"/>
  <c r="B144" i="5"/>
  <c r="AH142" i="5"/>
  <c r="AF142" i="5"/>
  <c r="AD142" i="5"/>
  <c r="AB142" i="5"/>
  <c r="AH141" i="5"/>
  <c r="AF141" i="5"/>
  <c r="AD141" i="5"/>
  <c r="AB141" i="5"/>
  <c r="B141" i="5" s="1"/>
  <c r="AH140" i="5"/>
  <c r="AF140" i="5"/>
  <c r="AD140" i="5"/>
  <c r="AB140" i="5"/>
  <c r="B140" i="5"/>
  <c r="AH138" i="5"/>
  <c r="B138" i="5" s="1"/>
  <c r="AF138" i="5"/>
  <c r="AD138" i="5"/>
  <c r="AB138" i="5"/>
  <c r="AH137" i="5"/>
  <c r="AF137" i="5"/>
  <c r="AD137" i="5"/>
  <c r="AB137" i="5"/>
  <c r="AH136" i="5"/>
  <c r="AF136" i="5"/>
  <c r="AD136" i="5"/>
  <c r="B136" i="5" s="1"/>
  <c r="AB136" i="5"/>
  <c r="AH135" i="5"/>
  <c r="AF135" i="5"/>
  <c r="AD135" i="5"/>
  <c r="AB135" i="5"/>
  <c r="AH133" i="5"/>
  <c r="AH132" i="5"/>
  <c r="AH131" i="5"/>
  <c r="AH130" i="5"/>
  <c r="AH129" i="5"/>
  <c r="AH128" i="5"/>
  <c r="AH127" i="5"/>
  <c r="AH126" i="5"/>
  <c r="AH125" i="5"/>
  <c r="AH124" i="5"/>
  <c r="AF133" i="5"/>
  <c r="AF132" i="5"/>
  <c r="AF131" i="5"/>
  <c r="AF130" i="5"/>
  <c r="AF129" i="5"/>
  <c r="AF128" i="5"/>
  <c r="AF127" i="5"/>
  <c r="AF126" i="5"/>
  <c r="AD133" i="5"/>
  <c r="AD132" i="5"/>
  <c r="AD131" i="5"/>
  <c r="AD130" i="5"/>
  <c r="AB133" i="5"/>
  <c r="AB132" i="5"/>
  <c r="AB131" i="5"/>
  <c r="AB130" i="5"/>
  <c r="B133" i="5"/>
  <c r="B132" i="5"/>
  <c r="AD126" i="5"/>
  <c r="AB126" i="5"/>
  <c r="B126" i="5"/>
  <c r="AD127" i="5"/>
  <c r="B127" i="5" s="1"/>
  <c r="AB127" i="5"/>
  <c r="AF125" i="5"/>
  <c r="AD125" i="5"/>
  <c r="AB125" i="5"/>
  <c r="B125" i="5"/>
  <c r="AF124" i="5"/>
  <c r="AD124" i="5"/>
  <c r="AB124" i="5"/>
  <c r="AH123" i="5"/>
  <c r="AF123" i="5"/>
  <c r="AD123" i="5"/>
  <c r="AB123" i="5"/>
  <c r="AH122" i="5"/>
  <c r="AF122" i="5"/>
  <c r="AD122" i="5"/>
  <c r="AB122" i="5"/>
  <c r="G107" i="5"/>
  <c r="G109" i="5"/>
  <c r="G115" i="5"/>
  <c r="G114" i="5"/>
  <c r="G113" i="5"/>
  <c r="G112" i="5"/>
  <c r="G121" i="5"/>
  <c r="AH102" i="5"/>
  <c r="AF102" i="5"/>
  <c r="AD102" i="5"/>
  <c r="AB102" i="5"/>
  <c r="AH101" i="5"/>
  <c r="AF101" i="5"/>
  <c r="AD101" i="5"/>
  <c r="AB101" i="5"/>
  <c r="B101" i="5"/>
  <c r="AH100" i="5"/>
  <c r="AF100" i="5"/>
  <c r="AD100" i="5"/>
  <c r="AB100" i="5"/>
  <c r="B100" i="5" s="1"/>
  <c r="AH99" i="5"/>
  <c r="AF99" i="5"/>
  <c r="AD99" i="5"/>
  <c r="AB99" i="5"/>
  <c r="AH98" i="5"/>
  <c r="AF98" i="5"/>
  <c r="AD98" i="5"/>
  <c r="AB98" i="5"/>
  <c r="B98" i="5"/>
  <c r="AH97" i="5"/>
  <c r="AF97" i="5"/>
  <c r="AD97" i="5"/>
  <c r="AB97" i="5"/>
  <c r="AH96" i="5"/>
  <c r="AF96" i="5"/>
  <c r="AD96" i="5"/>
  <c r="AB96" i="5"/>
  <c r="AH95" i="5"/>
  <c r="AF95" i="5"/>
  <c r="AD95" i="5"/>
  <c r="AB95" i="5"/>
  <c r="AH94" i="5"/>
  <c r="AF94" i="5"/>
  <c r="AD94" i="5"/>
  <c r="AB94" i="5"/>
  <c r="AH93" i="5"/>
  <c r="AF93" i="5"/>
  <c r="AD93" i="5"/>
  <c r="AB93" i="5"/>
  <c r="AH92" i="5"/>
  <c r="AF92" i="5"/>
  <c r="AD92" i="5"/>
  <c r="AB92" i="5"/>
  <c r="AH91" i="5"/>
  <c r="AF91" i="5"/>
  <c r="AD91" i="5"/>
  <c r="AB91" i="5"/>
  <c r="AH90" i="5"/>
  <c r="AF90" i="5"/>
  <c r="AD90" i="5"/>
  <c r="AB90" i="5"/>
  <c r="AH89" i="5"/>
  <c r="AF89" i="5"/>
  <c r="AD89" i="5"/>
  <c r="AB89" i="5"/>
  <c r="AH88" i="5"/>
  <c r="AF88" i="5"/>
  <c r="AD88" i="5"/>
  <c r="AB88" i="5"/>
  <c r="AH87" i="5"/>
  <c r="AF87" i="5"/>
  <c r="AD87" i="5"/>
  <c r="AB87" i="5"/>
  <c r="AH221" i="5"/>
  <c r="AH220" i="5"/>
  <c r="AH219" i="5"/>
  <c r="AH218" i="5"/>
  <c r="AH217" i="5"/>
  <c r="AH216" i="5"/>
  <c r="AH215" i="5"/>
  <c r="AH214" i="5"/>
  <c r="AH213" i="5"/>
  <c r="AH211" i="5"/>
  <c r="AH210" i="5"/>
  <c r="AH208" i="5"/>
  <c r="AH207" i="5"/>
  <c r="AH206" i="5"/>
  <c r="AH205" i="5"/>
  <c r="AH204" i="5"/>
  <c r="AH203" i="5"/>
  <c r="AH201" i="5"/>
  <c r="AH200" i="5"/>
  <c r="AH198" i="5"/>
  <c r="AH197" i="5"/>
  <c r="AH196" i="5"/>
  <c r="AH195" i="5"/>
  <c r="AH194" i="5"/>
  <c r="AH193" i="5"/>
  <c r="AH28" i="5"/>
  <c r="B282" i="5"/>
  <c r="B281" i="5"/>
  <c r="B280" i="5"/>
  <c r="B279" i="5"/>
  <c r="B278" i="5"/>
  <c r="B277" i="5"/>
  <c r="B276" i="5"/>
  <c r="B275" i="5"/>
  <c r="B274" i="5"/>
  <c r="B273" i="5"/>
  <c r="B272" i="5"/>
  <c r="B271" i="5"/>
  <c r="B270" i="5"/>
  <c r="B269" i="5"/>
  <c r="B268" i="5"/>
  <c r="B267" i="5"/>
  <c r="B266" i="5"/>
  <c r="B265" i="5"/>
  <c r="B264" i="5"/>
  <c r="AH263" i="5"/>
  <c r="AH262" i="5"/>
  <c r="AH261" i="5"/>
  <c r="AH260" i="5"/>
  <c r="AH259" i="5"/>
  <c r="AH258" i="5"/>
  <c r="AH257" i="5"/>
  <c r="AH256" i="5"/>
  <c r="AH255" i="5"/>
  <c r="AH254" i="5"/>
  <c r="AH253" i="5"/>
  <c r="AH252" i="5"/>
  <c r="AH251" i="5"/>
  <c r="AH250" i="5"/>
  <c r="AH249" i="5"/>
  <c r="AH248" i="5"/>
  <c r="AH247" i="5"/>
  <c r="AH246" i="5"/>
  <c r="AH245" i="5"/>
  <c r="AH244" i="5"/>
  <c r="AH243" i="5"/>
  <c r="AH242" i="5"/>
  <c r="AH241" i="5"/>
  <c r="AH240" i="5"/>
  <c r="AH239" i="5"/>
  <c r="AH238" i="5"/>
  <c r="AH237" i="5"/>
  <c r="AH236" i="5"/>
  <c r="AH235" i="5"/>
  <c r="AH234" i="5"/>
  <c r="AH233" i="5"/>
  <c r="AH232" i="5"/>
  <c r="AH231" i="5"/>
  <c r="AH230" i="5"/>
  <c r="AH229" i="5"/>
  <c r="AH228" i="5"/>
  <c r="AH227" i="5"/>
  <c r="AH226" i="5"/>
  <c r="AH225" i="5"/>
  <c r="AH224" i="5"/>
  <c r="AH223" i="5"/>
  <c r="AH222" i="5"/>
  <c r="AH212" i="5"/>
  <c r="AH209" i="5"/>
  <c r="AH202" i="5"/>
  <c r="AH199" i="5"/>
  <c r="AH192" i="5"/>
  <c r="AH191" i="5"/>
  <c r="AH190" i="5"/>
  <c r="AH189" i="5"/>
  <c r="AH188" i="5"/>
  <c r="AH187" i="5"/>
  <c r="AH186" i="5"/>
  <c r="AH185" i="5"/>
  <c r="AH184" i="5"/>
  <c r="AH183" i="5"/>
  <c r="AH182" i="5"/>
  <c r="AH181" i="5"/>
  <c r="AH180" i="5"/>
  <c r="AH179" i="5"/>
  <c r="AH178" i="5"/>
  <c r="AH177" i="5"/>
  <c r="AH176" i="5"/>
  <c r="AH175" i="5"/>
  <c r="AH174" i="5"/>
  <c r="AH173" i="5"/>
  <c r="AH172" i="5"/>
  <c r="AH171" i="5"/>
  <c r="AH170" i="5"/>
  <c r="AH169" i="5"/>
  <c r="AH168" i="5"/>
  <c r="AH167" i="5"/>
  <c r="AH166" i="5"/>
  <c r="AH165" i="5"/>
  <c r="AH164" i="5"/>
  <c r="AH163" i="5"/>
  <c r="AH162" i="5"/>
  <c r="AH161" i="5"/>
  <c r="AH160" i="5"/>
  <c r="AH159" i="5"/>
  <c r="AH158" i="5"/>
  <c r="AH157" i="5"/>
  <c r="AH156" i="5"/>
  <c r="AH155" i="5"/>
  <c r="AH154" i="5"/>
  <c r="AH153" i="5"/>
  <c r="AH152" i="5"/>
  <c r="AH151" i="5"/>
  <c r="AH150" i="5"/>
  <c r="AH149" i="5"/>
  <c r="AH148" i="5"/>
  <c r="AH121" i="5"/>
  <c r="AH120" i="5"/>
  <c r="AH119" i="5"/>
  <c r="AH118" i="5"/>
  <c r="AH117" i="5"/>
  <c r="AH116" i="5"/>
  <c r="AH115" i="5"/>
  <c r="AH114" i="5"/>
  <c r="AH113" i="5"/>
  <c r="AH112" i="5"/>
  <c r="AH111" i="5"/>
  <c r="AH110" i="5"/>
  <c r="AH109" i="5"/>
  <c r="AH108" i="5"/>
  <c r="AH107" i="5"/>
  <c r="AH106" i="5"/>
  <c r="AH105" i="5"/>
  <c r="AH84" i="5"/>
  <c r="AH83" i="5"/>
  <c r="AH82" i="5"/>
  <c r="AH81" i="5"/>
  <c r="AH80" i="5"/>
  <c r="AH79" i="5"/>
  <c r="AH78" i="5"/>
  <c r="AH77" i="5"/>
  <c r="AH76" i="5"/>
  <c r="AH75" i="5"/>
  <c r="AH74" i="5"/>
  <c r="AH73" i="5"/>
  <c r="AH72" i="5"/>
  <c r="AH71" i="5"/>
  <c r="AH70" i="5"/>
  <c r="AH69" i="5"/>
  <c r="AH66" i="5"/>
  <c r="AH65" i="5"/>
  <c r="AH64" i="5"/>
  <c r="AH63" i="5"/>
  <c r="AH62" i="5"/>
  <c r="AH61" i="5"/>
  <c r="AH60" i="5"/>
  <c r="AH59" i="5"/>
  <c r="AH58" i="5"/>
  <c r="AH57" i="5"/>
  <c r="AH56" i="5"/>
  <c r="AH55" i="5"/>
  <c r="AH54" i="5"/>
  <c r="AH51" i="5"/>
  <c r="AH50" i="5"/>
  <c r="AH49" i="5"/>
  <c r="AH48" i="5"/>
  <c r="AH47" i="5"/>
  <c r="AH46" i="5"/>
  <c r="AH44" i="5"/>
  <c r="AH43" i="5"/>
  <c r="AH42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F42" i="5"/>
  <c r="AD42" i="5"/>
  <c r="AB42" i="5"/>
  <c r="B42" i="5" s="1"/>
  <c r="AB44" i="5"/>
  <c r="AD44" i="5"/>
  <c r="AF44" i="5"/>
  <c r="AF39" i="5"/>
  <c r="AD39" i="5"/>
  <c r="AB39" i="5"/>
  <c r="AF40" i="5"/>
  <c r="AD40" i="5"/>
  <c r="AB40" i="5"/>
  <c r="AF38" i="5"/>
  <c r="AD38" i="5"/>
  <c r="AB38" i="5"/>
  <c r="AF214" i="5"/>
  <c r="AD214" i="5"/>
  <c r="AB214" i="5"/>
  <c r="V214" i="5"/>
  <c r="U214" i="5"/>
  <c r="J214" i="5"/>
  <c r="I214" i="5"/>
  <c r="AF204" i="5"/>
  <c r="AD204" i="5"/>
  <c r="AB204" i="5"/>
  <c r="V204" i="5"/>
  <c r="U204" i="5"/>
  <c r="J204" i="5"/>
  <c r="I204" i="5"/>
  <c r="AF194" i="5"/>
  <c r="AD194" i="5"/>
  <c r="AB194" i="5"/>
  <c r="V194" i="5"/>
  <c r="U194" i="5"/>
  <c r="J194" i="5"/>
  <c r="I194" i="5"/>
  <c r="AF182" i="5"/>
  <c r="AD182" i="5"/>
  <c r="AB182" i="5"/>
  <c r="V182" i="5"/>
  <c r="U182" i="5"/>
  <c r="J182" i="5"/>
  <c r="I182" i="5"/>
  <c r="AF35" i="5"/>
  <c r="AD35" i="5"/>
  <c r="AB35" i="5"/>
  <c r="AF34" i="5"/>
  <c r="AD34" i="5"/>
  <c r="AB34" i="5"/>
  <c r="AF33" i="5"/>
  <c r="AD33" i="5"/>
  <c r="AB33" i="5"/>
  <c r="AF32" i="5"/>
  <c r="AD32" i="5"/>
  <c r="AB32" i="5"/>
  <c r="AF31" i="5"/>
  <c r="AD31" i="5"/>
  <c r="AB31" i="5"/>
  <c r="AF30" i="5"/>
  <c r="AD30" i="5"/>
  <c r="AB30" i="5"/>
  <c r="AF29" i="5"/>
  <c r="AD29" i="5"/>
  <c r="AB29" i="5"/>
  <c r="AF28" i="5"/>
  <c r="AD28" i="5"/>
  <c r="AB28" i="5"/>
  <c r="AF27" i="5"/>
  <c r="AD27" i="5"/>
  <c r="AB27" i="5"/>
  <c r="AF26" i="5"/>
  <c r="AD26" i="5"/>
  <c r="AB26" i="5"/>
  <c r="AF37" i="5"/>
  <c r="AD37" i="5"/>
  <c r="AB37" i="5"/>
  <c r="AF36" i="5"/>
  <c r="AD36" i="5"/>
  <c r="AB36" i="5"/>
  <c r="AF62" i="5"/>
  <c r="AD62" i="5"/>
  <c r="AB62" i="5"/>
  <c r="AF84" i="5"/>
  <c r="AD84" i="5"/>
  <c r="AB84" i="5"/>
  <c r="AF80" i="5"/>
  <c r="AD80" i="5"/>
  <c r="AB80" i="5"/>
  <c r="AF76" i="5"/>
  <c r="AD76" i="5"/>
  <c r="AB76" i="5"/>
  <c r="AF72" i="5"/>
  <c r="AD72" i="5"/>
  <c r="AB72" i="5"/>
  <c r="AF83" i="5"/>
  <c r="AD83" i="5"/>
  <c r="AB83" i="5"/>
  <c r="AF82" i="5"/>
  <c r="AD82" i="5"/>
  <c r="AB82" i="5"/>
  <c r="AF81" i="5"/>
  <c r="AD81" i="5"/>
  <c r="AB81" i="5"/>
  <c r="AF79" i="5"/>
  <c r="AD79" i="5"/>
  <c r="AB79" i="5"/>
  <c r="AF78" i="5"/>
  <c r="AD78" i="5"/>
  <c r="AB78" i="5"/>
  <c r="AF77" i="5"/>
  <c r="AD77" i="5"/>
  <c r="AB77" i="5"/>
  <c r="AF75" i="5"/>
  <c r="AD75" i="5"/>
  <c r="AB75" i="5"/>
  <c r="AF74" i="5"/>
  <c r="AD74" i="5"/>
  <c r="AB74" i="5"/>
  <c r="AF73" i="5"/>
  <c r="AD73" i="5"/>
  <c r="AB73" i="5"/>
  <c r="AF71" i="5"/>
  <c r="AD71" i="5"/>
  <c r="AB71" i="5"/>
  <c r="AF70" i="5"/>
  <c r="AD70" i="5"/>
  <c r="AB70" i="5"/>
  <c r="AF69" i="5"/>
  <c r="AD69" i="5"/>
  <c r="AB69" i="5"/>
  <c r="AF51" i="5"/>
  <c r="AD51" i="5"/>
  <c r="AB51" i="5"/>
  <c r="AF50" i="5"/>
  <c r="AD50" i="5"/>
  <c r="AB50" i="5"/>
  <c r="AF49" i="5"/>
  <c r="AD49" i="5"/>
  <c r="AB49" i="5"/>
  <c r="AF48" i="5"/>
  <c r="AD48" i="5"/>
  <c r="AB48" i="5"/>
  <c r="AF47" i="5"/>
  <c r="AD47" i="5"/>
  <c r="AB47" i="5"/>
  <c r="AF46" i="5"/>
  <c r="AD46" i="5"/>
  <c r="AB46" i="5"/>
  <c r="AF43" i="5"/>
  <c r="AD43" i="5"/>
  <c r="AB43" i="5"/>
  <c r="AF25" i="5"/>
  <c r="AD25" i="5"/>
  <c r="AB25" i="5"/>
  <c r="AF24" i="5"/>
  <c r="AD24" i="5"/>
  <c r="AB24" i="5"/>
  <c r="AF23" i="5"/>
  <c r="AD23" i="5"/>
  <c r="AB23" i="5"/>
  <c r="AF22" i="5"/>
  <c r="AD22" i="5"/>
  <c r="AB22" i="5"/>
  <c r="AF21" i="5"/>
  <c r="AD21" i="5"/>
  <c r="AB21" i="5"/>
  <c r="AF20" i="5"/>
  <c r="AD20" i="5"/>
  <c r="AB20" i="5"/>
  <c r="AF19" i="5"/>
  <c r="AD19" i="5"/>
  <c r="AB19" i="5"/>
  <c r="AF18" i="5"/>
  <c r="AD18" i="5"/>
  <c r="AB18" i="5"/>
  <c r="AF17" i="5"/>
  <c r="AD17" i="5"/>
  <c r="AB17" i="5"/>
  <c r="AF16" i="5"/>
  <c r="AD16" i="5"/>
  <c r="AB16" i="5"/>
  <c r="AF15" i="5"/>
  <c r="AD15" i="5"/>
  <c r="AB15" i="5"/>
  <c r="AF14" i="5"/>
  <c r="AD14" i="5"/>
  <c r="AB14" i="5"/>
  <c r="AF13" i="5"/>
  <c r="AD13" i="5"/>
  <c r="AB13" i="5"/>
  <c r="AF12" i="5"/>
  <c r="AD12" i="5"/>
  <c r="AB12" i="5"/>
  <c r="AF11" i="5"/>
  <c r="AD11" i="5"/>
  <c r="AB11" i="5"/>
  <c r="AD128" i="5"/>
  <c r="AB128" i="5"/>
  <c r="AF171" i="5"/>
  <c r="AD171" i="5"/>
  <c r="AB171" i="5"/>
  <c r="G221" i="5"/>
  <c r="G220" i="5"/>
  <c r="G211" i="5"/>
  <c r="G210" i="5"/>
  <c r="G201" i="5"/>
  <c r="G200" i="5"/>
  <c r="G190" i="5"/>
  <c r="G189" i="5"/>
  <c r="D221" i="5"/>
  <c r="D220" i="5"/>
  <c r="D211" i="5"/>
  <c r="D210" i="5"/>
  <c r="D201" i="5"/>
  <c r="D200" i="5"/>
  <c r="D190" i="5"/>
  <c r="D189" i="5"/>
  <c r="AF181" i="5"/>
  <c r="AD181" i="5"/>
  <c r="AB181" i="5"/>
  <c r="V181" i="5"/>
  <c r="U181" i="5"/>
  <c r="J181" i="5"/>
  <c r="I181" i="5"/>
  <c r="AF108" i="5"/>
  <c r="AD108" i="5"/>
  <c r="AB108" i="5"/>
  <c r="AF106" i="5"/>
  <c r="AD106" i="5"/>
  <c r="AB106" i="5"/>
  <c r="AF173" i="5"/>
  <c r="AD173" i="5"/>
  <c r="AB173" i="5"/>
  <c r="AF120" i="5"/>
  <c r="AD120" i="5"/>
  <c r="AB120" i="5"/>
  <c r="AF119" i="5"/>
  <c r="AD119" i="5"/>
  <c r="AB119" i="5"/>
  <c r="AF118" i="5"/>
  <c r="AD118" i="5"/>
  <c r="AB118" i="5"/>
  <c r="AF117" i="5"/>
  <c r="AD117" i="5"/>
  <c r="AB117" i="5"/>
  <c r="AF116" i="5"/>
  <c r="AD116" i="5"/>
  <c r="AB116" i="5"/>
  <c r="AF172" i="5"/>
  <c r="AD172" i="5"/>
  <c r="AB172" i="5"/>
  <c r="AF170" i="5"/>
  <c r="AD170" i="5"/>
  <c r="AB170" i="5"/>
  <c r="V213" i="5"/>
  <c r="V203" i="5"/>
  <c r="V188" i="5"/>
  <c r="V187" i="5"/>
  <c r="V193" i="5"/>
  <c r="V199" i="5"/>
  <c r="J188" i="5"/>
  <c r="I188" i="5"/>
  <c r="J199" i="5"/>
  <c r="J209" i="5"/>
  <c r="V209" i="5" s="1"/>
  <c r="J219" i="5"/>
  <c r="V219" i="5" s="1"/>
  <c r="J213" i="5"/>
  <c r="J203" i="5"/>
  <c r="U178" i="5"/>
  <c r="U177" i="5"/>
  <c r="U176" i="5"/>
  <c r="U187" i="5"/>
  <c r="U188" i="5"/>
  <c r="AF185" i="5"/>
  <c r="AD185" i="5"/>
  <c r="AB185" i="5"/>
  <c r="AF183" i="5"/>
  <c r="AD183" i="5"/>
  <c r="AB183" i="5"/>
  <c r="J193" i="5"/>
  <c r="J178" i="5"/>
  <c r="I178" i="5"/>
  <c r="I177" i="5"/>
  <c r="I176" i="5"/>
  <c r="J190" i="5"/>
  <c r="J189" i="5"/>
  <c r="J201" i="5"/>
  <c r="J200" i="5"/>
  <c r="J210" i="5"/>
  <c r="J211" i="5"/>
  <c r="J220" i="5"/>
  <c r="J221" i="5"/>
  <c r="AF227" i="5"/>
  <c r="AD227" i="5"/>
  <c r="AB227" i="5"/>
  <c r="V227" i="5"/>
  <c r="AF224" i="5"/>
  <c r="AD224" i="5"/>
  <c r="AB224" i="5"/>
  <c r="AF238" i="5"/>
  <c r="AD238" i="5"/>
  <c r="AB238" i="5"/>
  <c r="J238" i="5"/>
  <c r="I238" i="5"/>
  <c r="D238" i="5"/>
  <c r="AF237" i="5"/>
  <c r="AD237" i="5"/>
  <c r="AB237" i="5"/>
  <c r="J237" i="5"/>
  <c r="I237" i="5"/>
  <c r="D237" i="5"/>
  <c r="AF236" i="5"/>
  <c r="AD236" i="5"/>
  <c r="AB236" i="5"/>
  <c r="V236" i="5"/>
  <c r="AF235" i="5"/>
  <c r="AD235" i="5"/>
  <c r="AB235" i="5"/>
  <c r="J235" i="5"/>
  <c r="I235" i="5"/>
  <c r="AF234" i="5"/>
  <c r="AD234" i="5"/>
  <c r="AB234" i="5"/>
  <c r="J234" i="5"/>
  <c r="I234" i="5"/>
  <c r="AF233" i="5"/>
  <c r="AD233" i="5"/>
  <c r="AB233" i="5"/>
  <c r="J233" i="5"/>
  <c r="I233" i="5"/>
  <c r="AF232" i="5"/>
  <c r="AD232" i="5"/>
  <c r="AB232" i="5"/>
  <c r="J232" i="5"/>
  <c r="I232" i="5"/>
  <c r="AF231" i="5"/>
  <c r="AD231" i="5"/>
  <c r="AB231" i="5"/>
  <c r="AF230" i="5"/>
  <c r="AD230" i="5"/>
  <c r="AB230" i="5"/>
  <c r="V245" i="5"/>
  <c r="V253" i="5"/>
  <c r="AF253" i="5"/>
  <c r="AD253" i="5"/>
  <c r="AB253" i="5"/>
  <c r="AF245" i="5"/>
  <c r="AD245" i="5"/>
  <c r="AB245" i="5"/>
  <c r="AF247" i="5"/>
  <c r="AD247" i="5"/>
  <c r="AB247" i="5"/>
  <c r="J247" i="5"/>
  <c r="I247" i="5"/>
  <c r="D247" i="5"/>
  <c r="AF246" i="5"/>
  <c r="AD246" i="5"/>
  <c r="AB246" i="5"/>
  <c r="J246" i="5"/>
  <c r="I246" i="5"/>
  <c r="D246" i="5"/>
  <c r="AF244" i="5"/>
  <c r="AD244" i="5"/>
  <c r="AB244" i="5"/>
  <c r="J244" i="5"/>
  <c r="I244" i="5"/>
  <c r="AF243" i="5"/>
  <c r="AD243" i="5"/>
  <c r="AB243" i="5"/>
  <c r="J243" i="5"/>
  <c r="I243" i="5"/>
  <c r="AF242" i="5"/>
  <c r="AD242" i="5"/>
  <c r="AB242" i="5"/>
  <c r="J242" i="5"/>
  <c r="I242" i="5"/>
  <c r="AF241" i="5"/>
  <c r="AD241" i="5"/>
  <c r="AB241" i="5"/>
  <c r="J241" i="5"/>
  <c r="I241" i="5"/>
  <c r="AF240" i="5"/>
  <c r="AD240" i="5"/>
  <c r="AB240" i="5"/>
  <c r="AF239" i="5"/>
  <c r="AD239" i="5"/>
  <c r="AB239" i="5"/>
  <c r="J252" i="5"/>
  <c r="J251" i="5"/>
  <c r="I252" i="5"/>
  <c r="I251" i="5"/>
  <c r="J250" i="5"/>
  <c r="J249" i="5"/>
  <c r="I250" i="5"/>
  <c r="I249" i="5"/>
  <c r="AF251" i="5"/>
  <c r="AD251" i="5"/>
  <c r="AB251" i="5"/>
  <c r="AF249" i="5"/>
  <c r="AD249" i="5"/>
  <c r="AB249" i="5"/>
  <c r="AF252" i="5"/>
  <c r="AD252" i="5"/>
  <c r="AB252" i="5"/>
  <c r="AF250" i="5"/>
  <c r="AD250" i="5"/>
  <c r="AB250" i="5"/>
  <c r="J226" i="5"/>
  <c r="J225" i="5"/>
  <c r="I225" i="5"/>
  <c r="I226" i="5"/>
  <c r="AF226" i="5"/>
  <c r="AD226" i="5"/>
  <c r="AB226" i="5"/>
  <c r="AF225" i="5"/>
  <c r="AD225" i="5"/>
  <c r="AB225" i="5"/>
  <c r="J255" i="5"/>
  <c r="J254" i="5"/>
  <c r="J229" i="5"/>
  <c r="D255" i="5"/>
  <c r="D254" i="5"/>
  <c r="D229" i="5"/>
  <c r="J228" i="5"/>
  <c r="D228" i="5"/>
  <c r="U213" i="5"/>
  <c r="U203" i="5"/>
  <c r="U193" i="5"/>
  <c r="U219" i="5"/>
  <c r="U209" i="5"/>
  <c r="U199" i="5"/>
  <c r="AF199" i="5"/>
  <c r="AD199" i="5"/>
  <c r="AB199" i="5"/>
  <c r="I199" i="5"/>
  <c r="AF209" i="5"/>
  <c r="AD209" i="5"/>
  <c r="AB209" i="5"/>
  <c r="I209" i="5"/>
  <c r="I219" i="5"/>
  <c r="AF219" i="5"/>
  <c r="AD219" i="5"/>
  <c r="AB219" i="5"/>
  <c r="AF197" i="5"/>
  <c r="AD197" i="5"/>
  <c r="AB197" i="5"/>
  <c r="AF195" i="5"/>
  <c r="AD195" i="5"/>
  <c r="AB195" i="5"/>
  <c r="AF193" i="5"/>
  <c r="AD193" i="5"/>
  <c r="AB193" i="5"/>
  <c r="I193" i="5"/>
  <c r="AF211" i="5"/>
  <c r="AD211" i="5"/>
  <c r="AB211" i="5"/>
  <c r="AF210" i="5"/>
  <c r="AD210" i="5"/>
  <c r="AB210" i="5"/>
  <c r="AF208" i="5"/>
  <c r="AD208" i="5"/>
  <c r="AB208" i="5"/>
  <c r="AF207" i="5"/>
  <c r="AD207" i="5"/>
  <c r="AB207" i="5"/>
  <c r="AF206" i="5"/>
  <c r="AD206" i="5"/>
  <c r="AB206" i="5"/>
  <c r="AF205" i="5"/>
  <c r="AD205" i="5"/>
  <c r="AB205" i="5"/>
  <c r="AF203" i="5"/>
  <c r="AD203" i="5"/>
  <c r="AB203" i="5"/>
  <c r="I203" i="5"/>
  <c r="AF202" i="5"/>
  <c r="AF217" i="5"/>
  <c r="AD217" i="5"/>
  <c r="AB217" i="5"/>
  <c r="AF215" i="5"/>
  <c r="AD215" i="5"/>
  <c r="AB215" i="5"/>
  <c r="I213" i="5"/>
  <c r="AF213" i="5"/>
  <c r="AD213" i="5"/>
  <c r="AB213" i="5"/>
  <c r="AF221" i="5"/>
  <c r="AF220" i="5"/>
  <c r="AF218" i="5"/>
  <c r="AF216" i="5"/>
  <c r="AF212" i="5"/>
  <c r="AD221" i="5"/>
  <c r="AB221" i="5"/>
  <c r="AD220" i="5"/>
  <c r="AB220" i="5"/>
  <c r="AD218" i="5"/>
  <c r="AB218" i="5"/>
  <c r="AD216" i="5"/>
  <c r="AB216" i="5"/>
  <c r="I57" i="5"/>
  <c r="AF66" i="5"/>
  <c r="AD66" i="5"/>
  <c r="AB66" i="5"/>
  <c r="AF65" i="5"/>
  <c r="AD65" i="5"/>
  <c r="AB65" i="5"/>
  <c r="AF64" i="5"/>
  <c r="AD64" i="5"/>
  <c r="AB64" i="5"/>
  <c r="J61" i="5"/>
  <c r="J60" i="5"/>
  <c r="J59" i="5"/>
  <c r="J58" i="5"/>
  <c r="J57" i="5"/>
  <c r="J56" i="5"/>
  <c r="J55" i="5"/>
  <c r="J54" i="5"/>
  <c r="I59" i="5"/>
  <c r="I61" i="5"/>
  <c r="I60" i="5"/>
  <c r="I58" i="5"/>
  <c r="I56" i="5"/>
  <c r="I55" i="5"/>
  <c r="I54" i="5"/>
  <c r="AF263" i="5"/>
  <c r="AF262" i="5"/>
  <c r="AF261" i="5"/>
  <c r="AF260" i="5"/>
  <c r="AF259" i="5"/>
  <c r="AF258" i="5"/>
  <c r="AF257" i="5"/>
  <c r="AF256" i="5"/>
  <c r="AF255" i="5"/>
  <c r="AF254" i="5"/>
  <c r="AF248" i="5"/>
  <c r="AF229" i="5"/>
  <c r="AF228" i="5"/>
  <c r="AF223" i="5"/>
  <c r="AF222" i="5"/>
  <c r="AF201" i="5"/>
  <c r="AF200" i="5"/>
  <c r="AD263" i="5"/>
  <c r="AD262" i="5"/>
  <c r="AD261" i="5"/>
  <c r="AD260" i="5"/>
  <c r="AD259" i="5"/>
  <c r="AD258" i="5"/>
  <c r="AD257" i="5"/>
  <c r="AD256" i="5"/>
  <c r="AD255" i="5"/>
  <c r="AD254" i="5"/>
  <c r="AD248" i="5"/>
  <c r="AD229" i="5"/>
  <c r="AD228" i="5"/>
  <c r="AD223" i="5"/>
  <c r="AD222" i="5"/>
  <c r="AD201" i="5"/>
  <c r="AD200" i="5"/>
  <c r="AB263" i="5"/>
  <c r="AB262" i="5"/>
  <c r="AB261" i="5"/>
  <c r="AB260" i="5"/>
  <c r="AB259" i="5"/>
  <c r="AB258" i="5"/>
  <c r="AB257" i="5"/>
  <c r="AB256" i="5"/>
  <c r="AB255" i="5"/>
  <c r="AB254" i="5"/>
  <c r="AB248" i="5"/>
  <c r="AB229" i="5"/>
  <c r="AB228" i="5"/>
  <c r="AB223" i="5"/>
  <c r="AB222" i="5"/>
  <c r="AB201" i="5"/>
  <c r="I255" i="5"/>
  <c r="I254" i="5"/>
  <c r="I229" i="5"/>
  <c r="I228" i="5"/>
  <c r="AF198" i="5"/>
  <c r="AF196" i="5"/>
  <c r="AD198" i="5"/>
  <c r="AD196" i="5"/>
  <c r="AB200" i="5"/>
  <c r="B200" i="5" s="1"/>
  <c r="AB198" i="5"/>
  <c r="AB196" i="5"/>
  <c r="AF192" i="5"/>
  <c r="AF191" i="5"/>
  <c r="AF190" i="5"/>
  <c r="AF189" i="5"/>
  <c r="AF188" i="5"/>
  <c r="AF187" i="5"/>
  <c r="AF186" i="5"/>
  <c r="AF184" i="5"/>
  <c r="AF180" i="5"/>
  <c r="AF179" i="5"/>
  <c r="AF178" i="5"/>
  <c r="AF177" i="5"/>
  <c r="AF176" i="5"/>
  <c r="AF175" i="5"/>
  <c r="AF174" i="5"/>
  <c r="AF169" i="5"/>
  <c r="AF168" i="5"/>
  <c r="AF167" i="5"/>
  <c r="AF166" i="5"/>
  <c r="AF165" i="5"/>
  <c r="AF164" i="5"/>
  <c r="AF163" i="5"/>
  <c r="AF162" i="5"/>
  <c r="AF161" i="5"/>
  <c r="AF160" i="5"/>
  <c r="AF159" i="5"/>
  <c r="AF158" i="5"/>
  <c r="AF157" i="5"/>
  <c r="AF156" i="5"/>
  <c r="AF155" i="5"/>
  <c r="AF154" i="5"/>
  <c r="AF153" i="5"/>
  <c r="AF152" i="5"/>
  <c r="AF151" i="5"/>
  <c r="AF150" i="5"/>
  <c r="AF149" i="5"/>
  <c r="AF148" i="5"/>
  <c r="AF121" i="5"/>
  <c r="AF115" i="5"/>
  <c r="AF114" i="5"/>
  <c r="AF113" i="5"/>
  <c r="AF112" i="5"/>
  <c r="AF111" i="5"/>
  <c r="AF110" i="5"/>
  <c r="AF109" i="5"/>
  <c r="AF107" i="5"/>
  <c r="AF105" i="5"/>
  <c r="AF63" i="5"/>
  <c r="AF61" i="5"/>
  <c r="AF60" i="5"/>
  <c r="AF59" i="5"/>
  <c r="AF58" i="5"/>
  <c r="AF57" i="5"/>
  <c r="AF56" i="5"/>
  <c r="AF55" i="5"/>
  <c r="AF54" i="5"/>
  <c r="AD192" i="5"/>
  <c r="AD191" i="5"/>
  <c r="AD190" i="5"/>
  <c r="AD189" i="5"/>
  <c r="AD188" i="5"/>
  <c r="AD187" i="5"/>
  <c r="AD186" i="5"/>
  <c r="AD184" i="5"/>
  <c r="AD180" i="5"/>
  <c r="AD179" i="5"/>
  <c r="AD178" i="5"/>
  <c r="AD177" i="5"/>
  <c r="AD176" i="5"/>
  <c r="AD175" i="5"/>
  <c r="AD174" i="5"/>
  <c r="AD169" i="5"/>
  <c r="AD168" i="5"/>
  <c r="AD167" i="5"/>
  <c r="AD166" i="5"/>
  <c r="AD165" i="5"/>
  <c r="AD164" i="5"/>
  <c r="AD163" i="5"/>
  <c r="AD162" i="5"/>
  <c r="AD161" i="5"/>
  <c r="AD160" i="5"/>
  <c r="AD159" i="5"/>
  <c r="AD158" i="5"/>
  <c r="AD157" i="5"/>
  <c r="AD156" i="5"/>
  <c r="AD155" i="5"/>
  <c r="AD154" i="5"/>
  <c r="AD153" i="5"/>
  <c r="AD152" i="5"/>
  <c r="AD151" i="5"/>
  <c r="AD150" i="5"/>
  <c r="AD149" i="5"/>
  <c r="AD148" i="5"/>
  <c r="AD129" i="5"/>
  <c r="AD121" i="5"/>
  <c r="AD115" i="5"/>
  <c r="AD114" i="5"/>
  <c r="AD113" i="5"/>
  <c r="AD112" i="5"/>
  <c r="AD111" i="5"/>
  <c r="AD110" i="5"/>
  <c r="AD109" i="5"/>
  <c r="AD107" i="5"/>
  <c r="AD105" i="5"/>
  <c r="AD63" i="5"/>
  <c r="AD61" i="5"/>
  <c r="AD60" i="5"/>
  <c r="AD59" i="5"/>
  <c r="AD58" i="5"/>
  <c r="AD57" i="5"/>
  <c r="AD56" i="5"/>
  <c r="AD55" i="5"/>
  <c r="AB192" i="5"/>
  <c r="AB191" i="5"/>
  <c r="AB190" i="5"/>
  <c r="AB189" i="5"/>
  <c r="AB188" i="5"/>
  <c r="AB187" i="5"/>
  <c r="AB186" i="5"/>
  <c r="AB184" i="5"/>
  <c r="AB180" i="5"/>
  <c r="AB179" i="5"/>
  <c r="AB178" i="5"/>
  <c r="AB177" i="5"/>
  <c r="AB176" i="5"/>
  <c r="AB175" i="5"/>
  <c r="AB174" i="5"/>
  <c r="AB169" i="5"/>
  <c r="AB168" i="5"/>
  <c r="AB167" i="5"/>
  <c r="AB166" i="5"/>
  <c r="AB165" i="5"/>
  <c r="AB164" i="5"/>
  <c r="AB163" i="5"/>
  <c r="AB162" i="5"/>
  <c r="AB161" i="5"/>
  <c r="AB160" i="5"/>
  <c r="AB159" i="5"/>
  <c r="AB158" i="5"/>
  <c r="AB157" i="5"/>
  <c r="AB156" i="5"/>
  <c r="AB155" i="5"/>
  <c r="AB154" i="5"/>
  <c r="AB153" i="5"/>
  <c r="AB152" i="5"/>
  <c r="AB151" i="5"/>
  <c r="AB150" i="5"/>
  <c r="AB149" i="5"/>
  <c r="AB148" i="5"/>
  <c r="AB129" i="5"/>
  <c r="AB121" i="5"/>
  <c r="AB115" i="5"/>
  <c r="AB114" i="5"/>
  <c r="AB113" i="5"/>
  <c r="AB112" i="5"/>
  <c r="AB111" i="5"/>
  <c r="AB110" i="5"/>
  <c r="AB109" i="5"/>
  <c r="AB107" i="5"/>
  <c r="AB105" i="5"/>
  <c r="AB63" i="5"/>
  <c r="AB61" i="5"/>
  <c r="AB60" i="5"/>
  <c r="AB59" i="5"/>
  <c r="AB58" i="5"/>
  <c r="AB57" i="5"/>
  <c r="AB56" i="5"/>
  <c r="AB55" i="5"/>
  <c r="AB54" i="5"/>
  <c r="D115" i="5"/>
  <c r="D121" i="5"/>
  <c r="D114" i="5"/>
  <c r="D113" i="5"/>
  <c r="D112" i="5"/>
  <c r="D109" i="5"/>
  <c r="D107" i="5"/>
  <c r="AD54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137" i="5" l="1"/>
  <c r="B142" i="5"/>
  <c r="B123" i="5"/>
  <c r="B39" i="5"/>
  <c r="B40" i="5"/>
  <c r="B38" i="5"/>
  <c r="B14" i="5"/>
  <c r="B13" i="5"/>
  <c r="B12" i="5"/>
  <c r="B171" i="5"/>
  <c r="B122" i="5"/>
  <c r="B135" i="5"/>
  <c r="B130" i="5"/>
  <c r="B131" i="5"/>
  <c r="B21" i="5"/>
  <c r="B20" i="5"/>
  <c r="B19" i="5"/>
  <c r="B18" i="5"/>
  <c r="B17" i="5"/>
  <c r="B16" i="5"/>
  <c r="B15" i="5"/>
  <c r="B201" i="5"/>
  <c r="B128" i="5"/>
  <c r="B204" i="5"/>
  <c r="B194" i="5"/>
  <c r="B90" i="5"/>
  <c r="B88" i="5"/>
  <c r="B43" i="5"/>
  <c r="B170" i="5"/>
  <c r="B263" i="5"/>
  <c r="B262" i="5"/>
  <c r="B261" i="5"/>
  <c r="B260" i="5"/>
  <c r="B259" i="5"/>
  <c r="B258" i="5"/>
  <c r="B254" i="5"/>
  <c r="B229" i="5"/>
  <c r="B228" i="5"/>
  <c r="B97" i="5"/>
  <c r="B46" i="5"/>
  <c r="B102" i="5"/>
  <c r="B99" i="5"/>
  <c r="B96" i="5"/>
  <c r="B91" i="5"/>
  <c r="B93" i="5"/>
  <c r="B47" i="5"/>
  <c r="B95" i="5"/>
  <c r="B92" i="5"/>
  <c r="B75" i="5"/>
  <c r="B74" i="5"/>
  <c r="B73" i="5"/>
  <c r="B124" i="5"/>
  <c r="B77" i="5"/>
  <c r="B78" i="5"/>
  <c r="B193" i="5"/>
  <c r="B211" i="5"/>
  <c r="B210" i="5"/>
  <c r="B208" i="5"/>
  <c r="B206" i="5"/>
  <c r="B205" i="5"/>
  <c r="B203" i="5"/>
  <c r="B213" i="5"/>
  <c r="B94" i="5"/>
  <c r="B11" i="5"/>
  <c r="B79" i="5"/>
  <c r="B255" i="5"/>
  <c r="B83" i="5"/>
  <c r="B82" i="5"/>
  <c r="B81" i="5"/>
  <c r="B173" i="5"/>
  <c r="B215" i="5"/>
  <c r="B244" i="5"/>
  <c r="B242" i="5"/>
  <c r="B240" i="5"/>
  <c r="B226" i="5"/>
  <c r="B225" i="5"/>
  <c r="B89" i="5"/>
  <c r="B87" i="5"/>
  <c r="B172" i="5"/>
  <c r="B199" i="5"/>
  <c r="B209" i="5"/>
  <c r="B59" i="5"/>
  <c r="B58" i="5"/>
  <c r="B57" i="5"/>
  <c r="B56" i="5"/>
  <c r="B55" i="5"/>
  <c r="B214" i="5"/>
  <c r="B48" i="5"/>
  <c r="B231" i="5"/>
  <c r="B253" i="5"/>
  <c r="B245" i="5"/>
  <c r="B247" i="5"/>
  <c r="B246" i="5"/>
  <c r="B152" i="5"/>
  <c r="B151" i="5"/>
  <c r="B150" i="5"/>
  <c r="B149" i="5"/>
  <c r="B121" i="5"/>
  <c r="B115" i="5"/>
  <c r="B114" i="5"/>
  <c r="B113" i="5"/>
  <c r="B112" i="5"/>
  <c r="B109" i="5"/>
  <c r="B107" i="5"/>
  <c r="B61" i="5"/>
  <c r="B60" i="5"/>
  <c r="B120" i="5"/>
  <c r="B84" i="5"/>
  <c r="B76" i="5"/>
  <c r="B71" i="5"/>
  <c r="B54" i="5"/>
  <c r="B37" i="5"/>
  <c r="B36" i="5"/>
  <c r="B34" i="5"/>
  <c r="B33" i="5"/>
  <c r="B32" i="5"/>
  <c r="B31" i="5"/>
  <c r="B30" i="5"/>
  <c r="B27" i="5"/>
  <c r="B26" i="5"/>
  <c r="B44" i="5"/>
  <c r="B70" i="5"/>
  <c r="B69" i="5"/>
  <c r="B51" i="5"/>
  <c r="B50" i="5"/>
  <c r="B49" i="5"/>
  <c r="B25" i="5"/>
  <c r="B24" i="5"/>
  <c r="B23" i="5"/>
  <c r="B22" i="5"/>
  <c r="B227" i="5"/>
  <c r="B224" i="5"/>
  <c r="B238" i="5"/>
  <c r="B237" i="5"/>
  <c r="B236" i="5"/>
  <c r="B235" i="5"/>
  <c r="B233" i="5"/>
  <c r="B207" i="5"/>
  <c r="B66" i="5"/>
  <c r="B65" i="5"/>
  <c r="B64" i="5"/>
  <c r="B188" i="5"/>
  <c r="B187" i="5"/>
  <c r="B178" i="5"/>
  <c r="B177" i="5"/>
  <c r="B176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18" i="5"/>
  <c r="B62" i="5"/>
  <c r="B108" i="5"/>
  <c r="B72" i="5"/>
  <c r="B119" i="5"/>
  <c r="B106" i="5"/>
  <c r="B80" i="5"/>
  <c r="B29" i="5"/>
  <c r="B181" i="5"/>
  <c r="B219" i="5"/>
  <c r="B197" i="5"/>
  <c r="B195" i="5"/>
  <c r="B217" i="5"/>
  <c r="B221" i="5"/>
  <c r="B220" i="5"/>
  <c r="B218" i="5"/>
  <c r="B216" i="5"/>
  <c r="B198" i="5"/>
  <c r="B196" i="5"/>
  <c r="B252" i="5"/>
  <c r="B251" i="5"/>
  <c r="B250" i="5"/>
  <c r="B249" i="5"/>
  <c r="B234" i="5"/>
  <c r="B232" i="5"/>
  <c r="B241" i="5"/>
  <c r="B243" i="5"/>
  <c r="B190" i="5"/>
  <c r="B189" i="5"/>
  <c r="B186" i="5"/>
  <c r="B185" i="5"/>
  <c r="B184" i="5"/>
  <c r="B183" i="5"/>
  <c r="B182" i="5"/>
  <c r="B35" i="5"/>
  <c r="B28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<sst xmlns="http://schemas.openxmlformats.org/spreadsheetml/2006/main" count="2724" uniqueCount="348">
  <si>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</si>
  <si>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</si>
  <si>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</si>
  <si>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</si>
  <si>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</si>
  <si>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</si>
  <si>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</si>
  <si>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</si>
  <si>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</si>
  <si>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</si>
  <si>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</si>
  <si>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</si>
  <si>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</si>
  <si>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</si>
  <si>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</si>
  <si>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</si>
  <si>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</si>
  <si>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</si>
  <si>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#a15412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</si>
  <si>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</si>
  <si>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</si>
  <si>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</si>
  <si>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</si>
  <si>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</si>
  <si>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</si>
  <si>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</si>
  <si>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</si>
  <si>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</si>
  <si>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</si>
  <si>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</si>
  <si>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</si>
  <si>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</si>
  <si>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</si>
  <si>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</si>
  <si>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</si>
  <si>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</si>
  <si>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</si>
  <si>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</si>
  <si>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</si>
  <si>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</si>
  <si>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mtb:scales</t>
  </si>
  <si>
    <t>cycleways and footways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</si>
  <si>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</si>
  <si>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</si>
  <si>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</si>
  <si>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</si>
  <si>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</si>
  <si>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</si>
  <si>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</si>
  <si>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</si>
  <si>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</si>
  <si>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</si>
  <si>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</si>
  <si>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</si>
  <si>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</si>
  <si>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</si>
  <si>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</si>
  <si>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</si>
  <si>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</si>
  <si>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</si>
  <si>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</si>
  <si>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</si>
  <si>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</si>
  <si>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</si>
  <si>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</si>
  <si>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</si>
  <si>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</si>
  <si>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</si>
  <si>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</si>
  <si>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</si>
  <si>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</si>
  <si>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</si>
  <si>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</si>
  <si>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</si>
  <si>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</si>
  <si>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</si>
  <si>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</si>
  <si>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</si>
  <si>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</si>
  <si>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</si>
  <si>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</si>
  <si>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</si>
  <si>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</si>
  <si>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</si>
  <si>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</si>
  <si>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</si>
  <si>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</si>
  <si>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</si>
  <si>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</si>
  <si>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</si>
  <si>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</si>
  <si>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</si>
  <si>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</si>
  <si>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</si>
  <si>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</si>
  <si>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</si>
  <si>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</si>
  <si>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</si>
  <si>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</si>
  <si>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</si>
  <si>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</si>
  <si>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</si>
  <si>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</si>
  <si>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</si>
  <si>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</si>
  <si>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</si>
  <si>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</si>
  <si>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</si>
  <si>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</si>
  <si>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</si>
  <si>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</si>
  <si>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</si>
  <si>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</si>
  <si>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</si>
  <si>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</si>
  <si>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</si>
  <si>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</si>
  <si>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</si>
  <si>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</si>
  <si>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</si>
  <si>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</si>
  <si>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</si>
  <si>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</si>
  <si>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</si>
  <si>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</si>
  <si>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</si>
  <si>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</si>
  <si>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</si>
  <si>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</si>
  <si>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</si>
  <si>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</si>
  <si>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</si>
  <si>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</si>
  <si>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</si>
  <si>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</si>
  <si>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</si>
  <si>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</si>
  <si>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</si>
  <si>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</si>
  <si>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</si>
  <si>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</si>
  <si>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</si>
  <si>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</si>
  <si>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</si>
  <si>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</si>
  <si>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</si>
  <si>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</si>
  <si>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</si>
  <si>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</si>
  <si>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</si>
  <si>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</si>
  <si>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</si>
  <si>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</si>
  <si>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</si>
  <si>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</si>
  <si>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</si>
  <si>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</si>
  <si>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</si>
  <si>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</si>
  <si>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</si>
  <si>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</si>
  <si>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</si>
  <si>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</si>
  <si>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</si>
  <si>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</si>
  <si>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</si>
  <si>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</si>
  <si>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</si>
  <si>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</si>
  <si>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</si>
  <si>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</si>
  <si>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</si>
  <si>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</si>
  <si>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</si>
  <si>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</si>
  <si>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</si>
  <si>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</si>
  <si>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</si>
  <si>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</si>
  <si>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</si>
  <si>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</si>
  <si>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</si>
  <si>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</si>
  <si>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</si>
  <si>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</si>
  <si>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</si>
  <si>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</si>
  <si>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</si>
  <si>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</si>
  <si>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</si>
  <si>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</si>
  <si>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</si>
  <si>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</si>
  <si>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</si>
  <si>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</si>
  <si>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</si>
  <si>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</si>
  <si>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</si>
  <si>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</si>
  <si>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</si>
  <si>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</si>
  <si>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</si>
  <si>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</si>
  <si>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</si>
  <si>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</si>
  <si>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</si>
  <si>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</si>
  <si>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</si>
  <si>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</si>
  <si>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</si>
  <si>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</si>
  <si>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</si>
  <si>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</si>
  <si>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</si>
  <si>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</si>
  <si>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</si>
  <si>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</si>
  <si>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</si>
  <si>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</si>
  <si>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</si>
  <si>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</si>
  <si>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</si>
  <si>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"#ffeeaa"</t>
  </si>
  <si>
    <t>"#ffc72e"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</si>
  <si>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</si>
  <si>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</si>
  <si>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</si>
  <si>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</si>
  <si>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</si>
  <si>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</si>
  <si>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</si>
  <si>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</si>
  <si>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</si>
  <si>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</si>
  <si>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</si>
  <si>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</si>
  <si>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</si>
  <si>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</si>
  <si>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</si>
  <si>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</si>
  <si>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</si>
  <si>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</si>
  <si>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</si>
  <si>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</si>
  <si>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</si>
  <si>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</si>
  <si>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</si>
  <si>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</si>
  <si>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</si>
  <si>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</si>
  <si>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</si>
  <si>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</si>
  <si>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</si>
  <si>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</si>
  <si>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</si>
  <si>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</si>
  <si>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</si>
  <si>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</si>
  <si>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</si>
  <si>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</si>
  <si>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</si>
  <si>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</si>
  <si>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</si>
  <si>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</si>
  <si>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</si>
  <si>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</si>
  <si>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</si>
  <si>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</si>
  <si>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</si>
  <si>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</si>
  <si>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</si>
  <si>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</si>
  <si>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</si>
  <si>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</si>
  <si>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</si>
  <si>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</si>
  <si>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</si>
  <si>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</si>
  <si>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</si>
  <si>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</si>
  <si>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</si>
  <si>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</si>
  <si>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</si>
  <si>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</si>
  <si>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</si>
  <si>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</si>
  <si>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</si>
  <si>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</si>
  <si>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</si>
  <si>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</si>
  <si>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</si>
  <si>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</si>
  <si>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</si>
  <si>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</si>
  <si>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</si>
  <si>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</si>
  <si>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</si>
  <si>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</si>
  <si>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</si>
  <si>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</si>
  <si>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</si>
  <si>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1</t>
  </si>
  <si>
    <t>2</t>
  </si>
  <si>
    <t>widest</t>
  </si>
  <si>
    <t>4</t>
  </si>
  <si>
    <t>6</t>
  </si>
  <si>
    <t>3</t>
  </si>
  <si>
    <t>9</t>
  </si>
  <si>
    <t>5</t>
  </si>
  <si>
    <t>15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</si>
  <si>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</si>
  <si>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</si>
  <si>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</si>
  <si>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</si>
  <si>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</si>
  <si>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</si>
  <si>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</si>
  <si>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</si>
  <si>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</si>
  <si>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</si>
  <si>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</si>
  <si>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</si>
  <si>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</si>
  <si>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</si>
  <si>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</si>
  <si>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</si>
  <si>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path &amp; track cases</t>
  </si>
  <si>
    <t>path &amp; track lines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</si>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</sst>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</fonts>
  <fills count="109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EEAA"/>
        <bgColor indexed="64"/>
      </patternFill>
    </fill>
    <fill>
      <patternFill patternType="solid">
        <fgColor rgb="FFFFC72E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 diagonalUp="1" diagonalDown="1">
      <left/>
      <right/>
      <top/>
      <bottom/>
      <diagonal style="thin">
        <color theme="0" tint="-0.24994659260841701"/>
      </diagonal>
    </border>
  </borders>
  <cellStyleXfs count="1">
    <xf numFmtId="0" fontId="0" fillId="0" borderId="0"/>
  </cellStyleXfs>
  <cellXfs count="179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6" borderId="0" xfId="0" applyFont="1" applyFill="1" applyAlignment="1">
      <alignment horizontal="left"/>
    </xf>
    <xf numFmtId="0" fontId="0" fillId="36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6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6" borderId="2" xfId="0" applyFont="1" applyFill="1" applyBorder="1" applyAlignment="1">
      <alignment horizontal="left"/>
    </xf>
    <xf numFmtId="49" fontId="0" fillId="36" borderId="3" xfId="0" applyNumberFormat="1" applyFill="1" applyBorder="1" applyAlignment="1">
      <alignment horizontal="left"/>
    </xf>
    <xf numFmtId="49" fontId="0" fillId="36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6" borderId="0" xfId="0" applyNumberFormat="1" applyFont="1" applyFill="1" applyAlignment="1">
      <alignment horizontal="left"/>
    </xf>
    <xf numFmtId="49" fontId="0" fillId="0" borderId="0" xfId="0" applyNumberFormat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23" borderId="0" xfId="0" applyNumberFormat="1" applyFill="1"/>
    <xf numFmtId="49" fontId="0" fillId="30" borderId="0" xfId="0" applyNumberFormat="1" applyFill="1"/>
    <xf numFmtId="49" fontId="0" fillId="85" borderId="0" xfId="0" applyNumberFormat="1" applyFill="1"/>
    <xf numFmtId="49" fontId="1" fillId="2" borderId="0" xfId="0" applyNumberFormat="1" applyFont="1" applyFill="1"/>
    <xf numFmtId="49" fontId="1" fillId="10" borderId="0" xfId="0" applyNumberFormat="1" applyFont="1" applyFill="1"/>
    <xf numFmtId="49" fontId="0" fillId="2" borderId="0" xfId="0" applyNumberFormat="1" applyFill="1"/>
    <xf numFmtId="49" fontId="0" fillId="10" borderId="0" xfId="0" applyNumberFormat="1" applyFill="1"/>
    <xf numFmtId="49" fontId="0" fillId="0" borderId="4" xfId="0" applyNumberFormat="1" applyBorder="1"/>
    <xf numFmtId="49" fontId="1" fillId="3" borderId="0" xfId="0" applyNumberFormat="1" applyFont="1" applyFill="1"/>
    <xf numFmtId="49" fontId="1" fillId="11" borderId="0" xfId="0" applyNumberFormat="1" applyFont="1" applyFill="1"/>
    <xf numFmtId="49" fontId="0" fillId="3" borderId="0" xfId="0" applyNumberFormat="1" applyFill="1"/>
    <xf numFmtId="49" fontId="0" fillId="11" borderId="0" xfId="0" applyNumberForma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0" fillId="4" borderId="0" xfId="0" applyNumberFormat="1" applyFill="1"/>
    <xf numFmtId="49" fontId="0" fillId="12" borderId="0" xfId="0" applyNumberForma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0" fillId="5" borderId="0" xfId="0" applyNumberFormat="1" applyFill="1"/>
    <xf numFmtId="49" fontId="0" fillId="13" borderId="0" xfId="0" applyNumberFormat="1" applyFill="1"/>
    <xf numFmtId="49" fontId="1" fillId="6" borderId="0" xfId="0" applyNumberFormat="1" applyFont="1" applyFill="1"/>
    <xf numFmtId="49" fontId="0" fillId="6" borderId="0" xfId="0" applyNumberFormat="1" applyFill="1"/>
    <xf numFmtId="49" fontId="1" fillId="7" borderId="0" xfId="0" applyNumberFormat="1" applyFont="1" applyFill="1"/>
    <xf numFmtId="49" fontId="1" fillId="14" borderId="0" xfId="0" applyNumberFormat="1" applyFont="1" applyFill="1"/>
    <xf numFmtId="49" fontId="0" fillId="7" borderId="0" xfId="0" applyNumberFormat="1" applyFill="1"/>
    <xf numFmtId="49" fontId="0" fillId="14" borderId="0" xfId="0" applyNumberFormat="1" applyFill="1"/>
    <xf numFmtId="49" fontId="1" fillId="8" borderId="0" xfId="0" applyNumberFormat="1" applyFont="1" applyFill="1"/>
    <xf numFmtId="49" fontId="1" fillId="15" borderId="0" xfId="0" applyNumberFormat="1" applyFont="1" applyFill="1"/>
    <xf numFmtId="49" fontId="0" fillId="8" borderId="0" xfId="0" applyNumberFormat="1" applyFill="1"/>
    <xf numFmtId="49" fontId="0" fillId="15" borderId="0" xfId="0" applyNumberFormat="1" applyFill="1"/>
    <xf numFmtId="49" fontId="1" fillId="9" borderId="0" xfId="0" applyNumberFormat="1" applyFont="1" applyFill="1"/>
    <xf numFmtId="49" fontId="1" fillId="16" borderId="0" xfId="0" applyNumberFormat="1" applyFont="1" applyFill="1"/>
    <xf numFmtId="49" fontId="0" fillId="9" borderId="0" xfId="0" applyNumberFormat="1" applyFill="1"/>
    <xf numFmtId="49" fontId="0" fillId="16" borderId="0" xfId="0" applyNumberFormat="1" applyFill="1"/>
    <xf numFmtId="49" fontId="1" fillId="30" borderId="0" xfId="0" applyNumberFormat="1" applyFont="1" applyFill="1"/>
    <xf numFmtId="49" fontId="1" fillId="23" borderId="0" xfId="0" applyNumberFormat="1" applyFont="1" applyFill="1"/>
    <xf numFmtId="49" fontId="1" fillId="17" borderId="0" xfId="0" applyNumberFormat="1" applyFont="1" applyFill="1"/>
    <xf numFmtId="49" fontId="0" fillId="17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34" borderId="0" xfId="0" applyNumberFormat="1" applyFont="1" applyFill="1"/>
    <xf numFmtId="49" fontId="0" fillId="34" borderId="0" xfId="0" applyNumberFormat="1" applyFill="1"/>
    <xf numFmtId="49" fontId="1" fillId="35" borderId="0" xfId="0" applyNumberFormat="1" applyFont="1" applyFill="1"/>
    <xf numFmtId="49" fontId="0" fillId="35" borderId="0" xfId="0" applyNumberFormat="1" applyFill="1"/>
    <xf numFmtId="49" fontId="1" fillId="81" borderId="0" xfId="0" applyNumberFormat="1" applyFont="1" applyFill="1"/>
    <xf numFmtId="49" fontId="1" fillId="74" borderId="0" xfId="0" applyNumberFormat="1" applyFont="1" applyFill="1"/>
    <xf numFmtId="49" fontId="1" fillId="80" borderId="0" xfId="0" applyNumberFormat="1" applyFont="1" applyFill="1"/>
    <xf numFmtId="49" fontId="1" fillId="79" borderId="0" xfId="0" applyNumberFormat="1" applyFont="1" applyFill="1"/>
    <xf numFmtId="49" fontId="1" fillId="54" borderId="0" xfId="0" applyNumberFormat="1" applyFont="1" applyFill="1"/>
    <xf numFmtId="49" fontId="0" fillId="54" borderId="0" xfId="0" applyNumberFormat="1" applyFill="1"/>
    <xf numFmtId="49" fontId="0" fillId="84" borderId="0" xfId="0" applyNumberFormat="1" applyFill="1"/>
    <xf numFmtId="49" fontId="1" fillId="53" borderId="0" xfId="0" applyNumberFormat="1" applyFont="1" applyFill="1"/>
    <xf numFmtId="49" fontId="1" fillId="18" borderId="0" xfId="0" applyNumberFormat="1" applyFont="1" applyFill="1"/>
    <xf numFmtId="49" fontId="1" fillId="19" borderId="0" xfId="0" applyNumberFormat="1" applyFont="1" applyFill="1"/>
    <xf numFmtId="49" fontId="0" fillId="64" borderId="0" xfId="0" applyNumberFormat="1" applyFill="1"/>
    <xf numFmtId="49" fontId="1" fillId="37" borderId="0" xfId="0" applyNumberFormat="1" applyFont="1" applyFill="1"/>
    <xf numFmtId="49" fontId="1" fillId="39" borderId="0" xfId="0" applyNumberFormat="1" applyFont="1" applyFill="1"/>
    <xf numFmtId="49" fontId="0" fillId="67" borderId="0" xfId="0" applyNumberFormat="1" applyFill="1"/>
    <xf numFmtId="49" fontId="1" fillId="38" borderId="0" xfId="0" applyNumberFormat="1" applyFont="1" applyFill="1"/>
    <xf numFmtId="49" fontId="1" fillId="40" borderId="0" xfId="0" applyNumberFormat="1" applyFont="1" applyFill="1"/>
    <xf numFmtId="49" fontId="0" fillId="66" borderId="0" xfId="0" applyNumberFormat="1" applyFill="1"/>
    <xf numFmtId="49" fontId="1" fillId="41" borderId="0" xfId="0" applyNumberFormat="1" applyFont="1" applyFill="1"/>
    <xf numFmtId="49" fontId="0" fillId="69" borderId="0" xfId="0" applyNumberFormat="1" applyFill="1"/>
    <xf numFmtId="49" fontId="1" fillId="42" borderId="0" xfId="0" applyNumberFormat="1" applyFont="1" applyFill="1"/>
    <xf numFmtId="49" fontId="0" fillId="70" borderId="0" xfId="0" applyNumberFormat="1" applyFill="1"/>
    <xf numFmtId="49" fontId="1" fillId="43" borderId="0" xfId="0" applyNumberFormat="1" applyFont="1" applyFill="1"/>
    <xf numFmtId="49" fontId="0" fillId="71" borderId="0" xfId="0" applyNumberFormat="1" applyFill="1"/>
    <xf numFmtId="49" fontId="1" fillId="44" borderId="0" xfId="0" applyNumberFormat="1" applyFont="1" applyFill="1"/>
    <xf numFmtId="49" fontId="0" fillId="72" borderId="0" xfId="0" applyNumberFormat="1" applyFill="1"/>
    <xf numFmtId="49" fontId="1" fillId="45" borderId="0" xfId="0" applyNumberFormat="1" applyFont="1" applyFill="1"/>
    <xf numFmtId="49" fontId="0" fillId="86" borderId="0" xfId="0" applyNumberFormat="1" applyFill="1"/>
    <xf numFmtId="49" fontId="1" fillId="47" borderId="0" xfId="0" applyNumberFormat="1" applyFont="1" applyFill="1"/>
    <xf numFmtId="49" fontId="0" fillId="73" borderId="0" xfId="0" applyNumberFormat="1" applyFill="1"/>
    <xf numFmtId="49" fontId="1" fillId="46" borderId="0" xfId="0" applyNumberFormat="1" applyFont="1" applyFill="1"/>
    <xf numFmtId="49" fontId="0" fillId="82" borderId="0" xfId="0" applyNumberFormat="1" applyFill="1"/>
    <xf numFmtId="49" fontId="1" fillId="48" borderId="0" xfId="0" applyNumberFormat="1" applyFont="1" applyFill="1"/>
    <xf numFmtId="49" fontId="0" fillId="65" borderId="0" xfId="0" applyNumberFormat="1" applyFill="1"/>
    <xf numFmtId="49" fontId="1" fillId="49" borderId="0" xfId="0" applyNumberFormat="1" applyFont="1" applyFill="1"/>
    <xf numFmtId="49" fontId="0" fillId="74" borderId="0" xfId="0" applyNumberFormat="1" applyFill="1"/>
    <xf numFmtId="49" fontId="1" fillId="50" borderId="0" xfId="0" applyNumberFormat="1" applyFont="1" applyFill="1"/>
    <xf numFmtId="49" fontId="0" fillId="75" borderId="0" xfId="0" applyNumberFormat="1" applyFill="1"/>
    <xf numFmtId="49" fontId="1" fillId="51" borderId="0" xfId="0" applyNumberFormat="1" applyFont="1" applyFill="1"/>
    <xf numFmtId="49" fontId="1" fillId="52" borderId="0" xfId="0" applyNumberFormat="1" applyFont="1" applyFill="1"/>
    <xf numFmtId="49" fontId="0" fillId="76" borderId="0" xfId="0" applyNumberFormat="1" applyFill="1"/>
    <xf numFmtId="49" fontId="1" fillId="77" borderId="0" xfId="0" applyNumberFormat="1" applyFont="1" applyFill="1"/>
    <xf numFmtId="49" fontId="1" fillId="68" borderId="0" xfId="0" applyNumberFormat="1" applyFont="1" applyFill="1"/>
    <xf numFmtId="49" fontId="0" fillId="78" borderId="0" xfId="0" applyNumberFormat="1" applyFill="1"/>
    <xf numFmtId="49" fontId="1" fillId="83" borderId="0" xfId="0" applyNumberFormat="1" applyFon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5" borderId="0" xfId="0" applyNumberFormat="1" applyFont="1" applyFill="1"/>
    <xf numFmtId="49" fontId="0" fillId="55" borderId="0" xfId="0" applyNumberFormat="1" applyFill="1"/>
    <xf numFmtId="49" fontId="1" fillId="56" borderId="0" xfId="0" applyNumberFormat="1" applyFont="1" applyFill="1"/>
    <xf numFmtId="49" fontId="1" fillId="58" borderId="0" xfId="0" applyNumberFormat="1" applyFont="1" applyFill="1"/>
    <xf numFmtId="49" fontId="1" fillId="25" borderId="0" xfId="0" applyNumberFormat="1" applyFont="1" applyFill="1"/>
    <xf numFmtId="49" fontId="1" fillId="57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1" fillId="28" borderId="0" xfId="0" applyNumberFormat="1" applyFont="1" applyFill="1"/>
    <xf numFmtId="49" fontId="0" fillId="27" borderId="0" xfId="0" applyNumberFormat="1" applyFill="1"/>
    <xf numFmtId="49" fontId="0" fillId="28" borderId="0" xfId="0" applyNumberForma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60" borderId="0" xfId="0" applyNumberFormat="1" applyFont="1" applyFill="1"/>
    <xf numFmtId="49" fontId="0" fillId="60" borderId="0" xfId="0" applyNumberFormat="1" applyFill="1"/>
    <xf numFmtId="49" fontId="1" fillId="59" borderId="0" xfId="0" applyNumberFormat="1" applyFont="1" applyFill="1"/>
    <xf numFmtId="49" fontId="1" fillId="61" borderId="0" xfId="0" applyNumberFormat="1" applyFont="1" applyFill="1"/>
    <xf numFmtId="49" fontId="0" fillId="61" borderId="0" xfId="0" applyNumberFormat="1" applyFill="1"/>
    <xf numFmtId="49" fontId="0" fillId="58" borderId="0" xfId="0" applyNumberFormat="1" applyFill="1"/>
    <xf numFmtId="49" fontId="1" fillId="62" borderId="0" xfId="0" applyNumberFormat="1" applyFont="1" applyFill="1"/>
    <xf numFmtId="49" fontId="1" fillId="63" borderId="0" xfId="0" applyNumberFormat="1" applyFont="1" applyFill="1"/>
    <xf numFmtId="49" fontId="0" fillId="62" borderId="0" xfId="0" applyNumberFormat="1" applyFill="1"/>
    <xf numFmtId="49" fontId="0" fillId="63" borderId="0" xfId="0" applyNumberFormat="1" applyFill="1"/>
    <xf numFmtId="49" fontId="0" fillId="56" borderId="0" xfId="0" applyNumberFormat="1" applyFill="1"/>
    <xf numFmtId="49" fontId="0" fillId="57" borderId="0" xfId="0" applyNumberFormat="1" applyFill="1"/>
    <xf numFmtId="49" fontId="0" fillId="26" borderId="0" xfId="0" applyNumberFormat="1" applyFill="1"/>
    <xf numFmtId="49" fontId="0" fillId="24" borderId="0" xfId="0" applyNumberFormat="1" applyFill="1" applyAlignment="1">
      <alignment horizontal="left"/>
    </xf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0" fillId="99" borderId="0" xfId="0" applyNumberFormat="1" applyFill="1"/>
    <xf numFmtId="49" fontId="0" fillId="100" borderId="0" xfId="0" applyNumberFormat="1" applyFill="1"/>
    <xf numFmtId="49" fontId="1" fillId="101" borderId="0" xfId="0" applyNumberFormat="1" applyFont="1" applyFill="1"/>
    <xf numFmtId="49" fontId="0" fillId="102" borderId="0" xfId="0" applyNumberForma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1" fillId="108" borderId="0" xfId="0" applyNumberFormat="1" applyFont="1" applyFill="1"/>
    <xf numFmtId="0" fontId="0" fillId="0" borderId="0" xfId="0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282"/>
  <sheetViews>
    <sheetView tabSelected="1" topLeftCell="A3" zoomScale="85" zoomScaleNormal="85" workbookViewId="0">
      <pane ySplit="4" topLeftCell="A82" activePane="bottomLeft" state="frozen"/>
      <selection activeCell="A3" sqref="A3"/>
      <selection pane="bottomLeft" activeCell="B144" sqref="B144"/>
    </sheetView>
  </sheetViews>
  <sheetFormatPr defaultRowHeight="13.5" x14ac:dyDescent="0.25"/>
  <cols>
    <col min="1" max="1" width="2.7109375" style="28" customWidth="1"/>
    <col min="2" max="2" width="50.2851562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219</v>
      </c>
    </row>
    <row r="3" spans="1:35" s="26" customFormat="1" x14ac:dyDescent="0.25">
      <c r="B3" s="26" t="s">
        <v>0</v>
      </c>
      <c r="C3" s="26" t="s">
        <v>107</v>
      </c>
      <c r="I3" s="26" t="s">
        <v>158</v>
      </c>
      <c r="O3" s="26" t="s">
        <v>163</v>
      </c>
      <c r="U3" s="26" t="s">
        <v>168</v>
      </c>
    </row>
    <row r="4" spans="1:35" s="26" customFormat="1" x14ac:dyDescent="0.25">
      <c r="C4" s="26" t="s">
        <v>224</v>
      </c>
      <c r="F4" s="26" t="s">
        <v>225</v>
      </c>
    </row>
    <row r="5" spans="1:35" s="26" customFormat="1" x14ac:dyDescent="0.25">
      <c r="C5" s="26" t="s">
        <v>153</v>
      </c>
      <c r="D5" s="26" t="s">
        <v>11</v>
      </c>
      <c r="F5" s="26" t="s">
        <v>153</v>
      </c>
      <c r="G5" s="26" t="s">
        <v>11</v>
      </c>
      <c r="I5" s="26" t="s">
        <v>153</v>
      </c>
      <c r="J5" s="26" t="s">
        <v>11</v>
      </c>
      <c r="L5" s="26" t="s">
        <v>153</v>
      </c>
      <c r="M5" s="26" t="s">
        <v>11</v>
      </c>
      <c r="O5" s="26" t="s">
        <v>153</v>
      </c>
      <c r="P5" s="26" t="s">
        <v>11</v>
      </c>
      <c r="R5" s="26" t="s">
        <v>153</v>
      </c>
      <c r="S5" s="26" t="s">
        <v>11</v>
      </c>
      <c r="U5" s="26" t="s">
        <v>153</v>
      </c>
      <c r="V5" s="26" t="s">
        <v>11</v>
      </c>
      <c r="X5" s="26" t="s">
        <v>153</v>
      </c>
      <c r="Y5" s="26" t="s">
        <v>11</v>
      </c>
    </row>
    <row r="6" spans="1:35" s="26" customFormat="1" x14ac:dyDescent="0.25">
      <c r="C6" s="26" t="s">
        <v>154</v>
      </c>
      <c r="D6" s="26" t="s">
        <v>156</v>
      </c>
      <c r="F6" s="26" t="s">
        <v>155</v>
      </c>
      <c r="G6" s="26" t="s">
        <v>157</v>
      </c>
      <c r="I6" s="26" t="s">
        <v>159</v>
      </c>
      <c r="J6" s="26" t="s">
        <v>161</v>
      </c>
      <c r="L6" s="26" t="s">
        <v>160</v>
      </c>
      <c r="M6" s="26" t="s">
        <v>162</v>
      </c>
      <c r="O6" s="26" t="s">
        <v>164</v>
      </c>
      <c r="P6" s="26" t="s">
        <v>166</v>
      </c>
      <c r="R6" s="26" t="s">
        <v>165</v>
      </c>
      <c r="S6" s="26" t="s">
        <v>167</v>
      </c>
      <c r="U6" s="26" t="s">
        <v>169</v>
      </c>
      <c r="V6" s="26" t="s">
        <v>171</v>
      </c>
      <c r="X6" s="26" t="s">
        <v>170</v>
      </c>
      <c r="Y6" s="26" t="s">
        <v>172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20</v>
      </c>
      <c r="AH6" s="1"/>
      <c r="AI6" s="1" t="s">
        <v>323</v>
      </c>
    </row>
    <row r="7" spans="1:35" s="5" customFormat="1" x14ac:dyDescent="0.25">
      <c r="A7" s="27" t="s">
        <v>271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  <c r="AH7" s="27"/>
      <c r="AI7" s="27"/>
    </row>
    <row r="8" spans="1:35" x14ac:dyDescent="0.25">
      <c r="B8" s="7" t="s">
        <v>270</v>
      </c>
      <c r="C8" s="28" t="s">
        <v>269</v>
      </c>
      <c r="D8" s="28" t="s">
        <v>269</v>
      </c>
      <c r="F8" s="28" t="s">
        <v>272</v>
      </c>
      <c r="G8" s="28" t="s">
        <v>272</v>
      </c>
      <c r="I8" s="28" t="s">
        <v>269</v>
      </c>
      <c r="J8" s="28" t="s">
        <v>269</v>
      </c>
      <c r="L8" s="28" t="s">
        <v>272</v>
      </c>
      <c r="M8" s="28" t="s">
        <v>272</v>
      </c>
      <c r="O8" s="28" t="s">
        <v>269</v>
      </c>
      <c r="P8" s="28" t="s">
        <v>269</v>
      </c>
      <c r="R8" s="28" t="s">
        <v>272</v>
      </c>
      <c r="S8" s="28" t="s">
        <v>272</v>
      </c>
      <c r="U8" s="28" t="s">
        <v>269</v>
      </c>
      <c r="V8" s="28" t="s">
        <v>269</v>
      </c>
      <c r="X8" s="28" t="s">
        <v>272</v>
      </c>
      <c r="Y8" s="28" t="s">
        <v>272</v>
      </c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25">
      <c r="AA9" s="1"/>
      <c r="AB9" s="1"/>
      <c r="AC9" s="1"/>
      <c r="AD9" s="1"/>
      <c r="AE9" s="1"/>
      <c r="AF9" s="1"/>
      <c r="AG9" s="1"/>
      <c r="AH9" s="1"/>
      <c r="AI9" s="1"/>
    </row>
    <row r="10" spans="1:35" s="5" customFormat="1" x14ac:dyDescent="0.25">
      <c r="A10" s="27" t="s">
        <v>293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  <c r="AH10" s="27"/>
      <c r="AI10" s="27"/>
    </row>
    <row r="11" spans="1:35" x14ac:dyDescent="0.25">
      <c r="B11" s="2" t="str">
        <f>_xlfn.CONCAT("@",AA11,AB11,AC11,AD11,AE11,AF11,AG11,AH11,AI11)</f>
        <v>@color-label_parking_default</v>
      </c>
      <c r="C11" s="37" t="s">
        <v>217</v>
      </c>
      <c r="D11" s="37" t="s">
        <v>217</v>
      </c>
      <c r="F11" s="38" t="s">
        <v>227</v>
      </c>
      <c r="G11" s="38" t="s">
        <v>227</v>
      </c>
      <c r="I11" s="37" t="s">
        <v>217</v>
      </c>
      <c r="L11" s="38" t="s">
        <v>227</v>
      </c>
      <c r="O11" s="37" t="s">
        <v>217</v>
      </c>
      <c r="R11" s="38" t="s">
        <v>227</v>
      </c>
      <c r="U11" s="37" t="s">
        <v>217</v>
      </c>
      <c r="X11" s="38" t="s">
        <v>227</v>
      </c>
      <c r="AA11" s="2" t="s">
        <v>6</v>
      </c>
      <c r="AB11" s="2" t="str">
        <f t="shared" ref="AB11" si="0">IF(NOT(ISBLANK(AC11)),"-","")</f>
        <v>-</v>
      </c>
      <c r="AC11" s="2" t="s">
        <v>276</v>
      </c>
      <c r="AD11" s="2" t="str">
        <f t="shared" ref="AD11" si="1">IF(NOT(ISBLANK(AE11)),"_","")</f>
        <v>_</v>
      </c>
      <c r="AE11" s="2" t="s">
        <v>277</v>
      </c>
      <c r="AF11" s="2" t="str">
        <f t="shared" ref="AF11" si="2">IF(NOT(ISBLANK(AG11)),"_","")</f>
        <v>_</v>
      </c>
      <c r="AG11" s="2" t="s">
        <v>267</v>
      </c>
      <c r="AH11" s="2" t="str">
        <f t="shared" ref="AH11:AH40" si="3">IF(NOT(ISBLANK(AI11)),"_","")</f>
        <v/>
      </c>
      <c r="AI11" s="2"/>
    </row>
    <row r="12" spans="1:35" x14ac:dyDescent="0.25">
      <c r="B12" s="2" t="str">
        <f t="shared" ref="B12:B40" si="4">_xlfn.CONCAT("@",AA12,AB12,AC12,AD12,AE12,AF12,AG12,AH12,AI12)</f>
        <v>@color-label_parking_yes</v>
      </c>
      <c r="C12" s="38" t="s">
        <v>227</v>
      </c>
      <c r="D12" s="38" t="s">
        <v>227</v>
      </c>
      <c r="F12" s="37" t="s">
        <v>217</v>
      </c>
      <c r="G12" s="37" t="s">
        <v>217</v>
      </c>
      <c r="I12" s="38" t="s">
        <v>227</v>
      </c>
      <c r="L12" s="37" t="s">
        <v>217</v>
      </c>
      <c r="O12" s="38" t="s">
        <v>227</v>
      </c>
      <c r="R12" s="37" t="s">
        <v>217</v>
      </c>
      <c r="U12" s="38" t="s">
        <v>227</v>
      </c>
      <c r="X12" s="37" t="s">
        <v>217</v>
      </c>
      <c r="AA12" s="2" t="s">
        <v>6</v>
      </c>
      <c r="AB12" s="2" t="str">
        <f t="shared" ref="AB12" si="5">IF(NOT(ISBLANK(AC12)),"-","")</f>
        <v>-</v>
      </c>
      <c r="AC12" s="2" t="s">
        <v>276</v>
      </c>
      <c r="AD12" s="2" t="str">
        <f t="shared" ref="AD12" si="6">IF(NOT(ISBLANK(AE12)),"_","")</f>
        <v>_</v>
      </c>
      <c r="AE12" s="2" t="s">
        <v>277</v>
      </c>
      <c r="AF12" s="2" t="str">
        <f t="shared" ref="AF12" si="7">IF(NOT(ISBLANK(AG12)),"_","")</f>
        <v>_</v>
      </c>
      <c r="AG12" s="2" t="s">
        <v>278</v>
      </c>
      <c r="AH12" s="2" t="str">
        <f t="shared" si="3"/>
        <v/>
      </c>
      <c r="AI12" s="2"/>
    </row>
    <row r="13" spans="1:35" x14ac:dyDescent="0.25">
      <c r="B13" s="2" t="str">
        <f t="shared" si="4"/>
        <v>@color-label_parking_no</v>
      </c>
      <c r="C13" s="39" t="s">
        <v>279</v>
      </c>
      <c r="D13" s="39" t="s">
        <v>279</v>
      </c>
      <c r="F13" s="39" t="s">
        <v>279</v>
      </c>
      <c r="G13" s="39" t="s">
        <v>279</v>
      </c>
      <c r="I13" s="39" t="s">
        <v>279</v>
      </c>
      <c r="L13" s="39" t="s">
        <v>279</v>
      </c>
      <c r="O13" s="39" t="s">
        <v>279</v>
      </c>
      <c r="R13" s="39" t="s">
        <v>279</v>
      </c>
      <c r="U13" s="39" t="s">
        <v>279</v>
      </c>
      <c r="X13" s="39" t="s">
        <v>279</v>
      </c>
      <c r="AA13" s="2" t="s">
        <v>6</v>
      </c>
      <c r="AB13" s="2" t="str">
        <f t="shared" ref="AB13:AB14" si="8">IF(NOT(ISBLANK(AC13)),"-","")</f>
        <v>-</v>
      </c>
      <c r="AC13" s="2" t="s">
        <v>276</v>
      </c>
      <c r="AD13" s="2" t="str">
        <f t="shared" ref="AD13:AD14" si="9">IF(NOT(ISBLANK(AE13)),"_","")</f>
        <v>_</v>
      </c>
      <c r="AE13" s="2" t="s">
        <v>277</v>
      </c>
      <c r="AF13" s="2" t="str">
        <f t="shared" ref="AF13:AF14" si="10">IF(NOT(ISBLANK(AG13)),"_","")</f>
        <v>_</v>
      </c>
      <c r="AG13" s="2" t="s">
        <v>44</v>
      </c>
      <c r="AH13" s="2" t="str">
        <f t="shared" si="3"/>
        <v/>
      </c>
      <c r="AI13" s="2"/>
    </row>
    <row r="14" spans="1:35" x14ac:dyDescent="0.25">
      <c r="B14" s="2" t="str">
        <f t="shared" si="4"/>
        <v>@color-label_place_other</v>
      </c>
      <c r="C14" s="29" t="s">
        <v>283</v>
      </c>
      <c r="D14" s="29" t="s">
        <v>283</v>
      </c>
      <c r="F14" s="30" t="s">
        <v>284</v>
      </c>
      <c r="G14" s="38" t="s">
        <v>227</v>
      </c>
      <c r="AA14" s="2" t="s">
        <v>6</v>
      </c>
      <c r="AB14" s="2" t="str">
        <f t="shared" si="8"/>
        <v>-</v>
      </c>
      <c r="AC14" s="2" t="s">
        <v>276</v>
      </c>
      <c r="AD14" s="2" t="str">
        <f t="shared" si="9"/>
        <v>_</v>
      </c>
      <c r="AE14" s="2" t="s">
        <v>281</v>
      </c>
      <c r="AF14" s="2" t="str">
        <f t="shared" si="10"/>
        <v>_</v>
      </c>
      <c r="AG14" s="2" t="s">
        <v>282</v>
      </c>
      <c r="AH14" s="2" t="str">
        <f t="shared" si="3"/>
        <v/>
      </c>
      <c r="AI14" s="2"/>
    </row>
    <row r="15" spans="1:35" x14ac:dyDescent="0.25">
      <c r="B15" s="2" t="str">
        <f t="shared" si="4"/>
        <v>@color-label_halo_place_other</v>
      </c>
      <c r="C15" s="31" t="s">
        <v>286</v>
      </c>
      <c r="D15" s="31" t="s">
        <v>286</v>
      </c>
      <c r="F15" s="32" t="s">
        <v>287</v>
      </c>
      <c r="G15" s="37" t="s">
        <v>217</v>
      </c>
      <c r="AA15" s="2" t="s">
        <v>6</v>
      </c>
      <c r="AB15" s="2" t="str">
        <f t="shared" ref="AB15:AB16" si="11">IF(NOT(ISBLANK(AC15)),"-","")</f>
        <v>-</v>
      </c>
      <c r="AC15" s="2" t="s">
        <v>285</v>
      </c>
      <c r="AD15" s="2" t="str">
        <f t="shared" ref="AD15:AD16" si="12">IF(NOT(ISBLANK(AE15)),"_","")</f>
        <v>_</v>
      </c>
      <c r="AE15" s="2" t="s">
        <v>281</v>
      </c>
      <c r="AF15" s="2" t="str">
        <f t="shared" ref="AF15:AF16" si="13">IF(NOT(ISBLANK(AG15)),"_","")</f>
        <v>_</v>
      </c>
      <c r="AG15" s="2" t="s">
        <v>282</v>
      </c>
      <c r="AH15" s="2" t="str">
        <f t="shared" si="3"/>
        <v/>
      </c>
      <c r="AI15" s="2"/>
    </row>
    <row r="16" spans="1:35" x14ac:dyDescent="0.25">
      <c r="B16" s="2" t="str">
        <f t="shared" si="4"/>
        <v>@color-label_place_suburb_hamlet</v>
      </c>
      <c r="C16" s="29" t="s">
        <v>283</v>
      </c>
      <c r="D16" s="29" t="s">
        <v>283</v>
      </c>
      <c r="F16" s="30" t="s">
        <v>284</v>
      </c>
      <c r="G16" s="38" t="s">
        <v>227</v>
      </c>
      <c r="AA16" s="2" t="s">
        <v>6</v>
      </c>
      <c r="AB16" s="2" t="str">
        <f t="shared" si="11"/>
        <v>-</v>
      </c>
      <c r="AC16" s="2" t="s">
        <v>276</v>
      </c>
      <c r="AD16" s="2" t="str">
        <f t="shared" si="12"/>
        <v>_</v>
      </c>
      <c r="AE16" s="2" t="s">
        <v>281</v>
      </c>
      <c r="AF16" s="2" t="str">
        <f t="shared" si="13"/>
        <v>_</v>
      </c>
      <c r="AG16" s="2" t="s">
        <v>288</v>
      </c>
      <c r="AH16" s="2" t="str">
        <f t="shared" si="3"/>
        <v/>
      </c>
      <c r="AI16" s="2"/>
    </row>
    <row r="17" spans="2:35" x14ac:dyDescent="0.25">
      <c r="B17" s="2" t="str">
        <f t="shared" si="4"/>
        <v>@color-label_halo_place_suburb_hamlet</v>
      </c>
      <c r="C17" s="31" t="s">
        <v>286</v>
      </c>
      <c r="D17" s="31" t="s">
        <v>286</v>
      </c>
      <c r="F17" s="32" t="s">
        <v>287</v>
      </c>
      <c r="G17" s="37" t="s">
        <v>217</v>
      </c>
      <c r="AA17" s="2" t="s">
        <v>6</v>
      </c>
      <c r="AB17" s="2" t="str">
        <f t="shared" ref="AB17:AB18" si="14">IF(NOT(ISBLANK(AC17)),"-","")</f>
        <v>-</v>
      </c>
      <c r="AC17" s="2" t="s">
        <v>285</v>
      </c>
      <c r="AD17" s="2" t="str">
        <f t="shared" ref="AD17:AD18" si="15">IF(NOT(ISBLANK(AE17)),"_","")</f>
        <v>_</v>
      </c>
      <c r="AE17" s="2" t="s">
        <v>281</v>
      </c>
      <c r="AF17" s="2" t="str">
        <f t="shared" ref="AF17:AF18" si="16">IF(NOT(ISBLANK(AG17)),"_","")</f>
        <v>_</v>
      </c>
      <c r="AG17" s="2" t="s">
        <v>288</v>
      </c>
      <c r="AH17" s="2" t="str">
        <f t="shared" si="3"/>
        <v/>
      </c>
      <c r="AI17" s="2"/>
    </row>
    <row r="18" spans="2:35" x14ac:dyDescent="0.25">
      <c r="B18" s="2" t="str">
        <f t="shared" si="4"/>
        <v>@color-label_place_village</v>
      </c>
      <c r="C18" s="29" t="s">
        <v>283</v>
      </c>
      <c r="D18" s="29" t="s">
        <v>283</v>
      </c>
      <c r="F18" s="30" t="s">
        <v>284</v>
      </c>
      <c r="G18" s="38" t="s">
        <v>227</v>
      </c>
      <c r="AA18" s="2" t="s">
        <v>6</v>
      </c>
      <c r="AB18" s="2" t="str">
        <f t="shared" si="14"/>
        <v>-</v>
      </c>
      <c r="AC18" s="2" t="s">
        <v>276</v>
      </c>
      <c r="AD18" s="2" t="str">
        <f t="shared" si="15"/>
        <v>_</v>
      </c>
      <c r="AE18" s="2" t="s">
        <v>281</v>
      </c>
      <c r="AF18" s="2" t="str">
        <f t="shared" si="16"/>
        <v>_</v>
      </c>
      <c r="AG18" s="2" t="s">
        <v>289</v>
      </c>
      <c r="AH18" s="2" t="str">
        <f t="shared" si="3"/>
        <v/>
      </c>
      <c r="AI18" s="2"/>
    </row>
    <row r="19" spans="2:35" x14ac:dyDescent="0.25">
      <c r="B19" s="2" t="str">
        <f t="shared" si="4"/>
        <v>@color-label_halo_place_village</v>
      </c>
      <c r="C19" s="31" t="s">
        <v>286</v>
      </c>
      <c r="D19" s="31" t="s">
        <v>286</v>
      </c>
      <c r="F19" s="32" t="s">
        <v>287</v>
      </c>
      <c r="G19" s="37" t="s">
        <v>217</v>
      </c>
      <c r="AA19" s="2" t="s">
        <v>6</v>
      </c>
      <c r="AB19" s="2" t="str">
        <f t="shared" ref="AB19:AB20" si="17">IF(NOT(ISBLANK(AC19)),"-","")</f>
        <v>-</v>
      </c>
      <c r="AC19" s="2" t="s">
        <v>285</v>
      </c>
      <c r="AD19" s="2" t="str">
        <f t="shared" ref="AD19:AD20" si="18">IF(NOT(ISBLANK(AE19)),"_","")</f>
        <v>_</v>
      </c>
      <c r="AE19" s="2" t="s">
        <v>281</v>
      </c>
      <c r="AF19" s="2" t="str">
        <f t="shared" ref="AF19:AF20" si="19">IF(NOT(ISBLANK(AG19)),"_","")</f>
        <v>_</v>
      </c>
      <c r="AG19" s="2" t="s">
        <v>289</v>
      </c>
      <c r="AH19" s="2" t="str">
        <f t="shared" si="3"/>
        <v/>
      </c>
      <c r="AI19" s="2"/>
    </row>
    <row r="20" spans="2:35" x14ac:dyDescent="0.25">
      <c r="B20" s="2" t="str">
        <f t="shared" si="4"/>
        <v>@color-label_place_town</v>
      </c>
      <c r="C20" s="29" t="s">
        <v>283</v>
      </c>
      <c r="D20" s="29" t="s">
        <v>283</v>
      </c>
      <c r="F20" s="30" t="s">
        <v>284</v>
      </c>
      <c r="G20" s="38" t="s">
        <v>227</v>
      </c>
      <c r="AA20" s="2" t="s">
        <v>6</v>
      </c>
      <c r="AB20" s="2" t="str">
        <f t="shared" si="17"/>
        <v>-</v>
      </c>
      <c r="AC20" s="2" t="s">
        <v>276</v>
      </c>
      <c r="AD20" s="2" t="str">
        <f t="shared" si="18"/>
        <v>_</v>
      </c>
      <c r="AE20" s="2" t="s">
        <v>281</v>
      </c>
      <c r="AF20" s="2" t="str">
        <f t="shared" si="19"/>
        <v>_</v>
      </c>
      <c r="AG20" s="2" t="s">
        <v>290</v>
      </c>
      <c r="AH20" s="2" t="str">
        <f t="shared" si="3"/>
        <v/>
      </c>
      <c r="AI20" s="2"/>
    </row>
    <row r="21" spans="2:35" x14ac:dyDescent="0.25">
      <c r="B21" s="2" t="str">
        <f t="shared" si="4"/>
        <v>@color-label_halo_place_town</v>
      </c>
      <c r="C21" s="31" t="s">
        <v>286</v>
      </c>
      <c r="D21" s="31" t="s">
        <v>286</v>
      </c>
      <c r="F21" s="32" t="s">
        <v>287</v>
      </c>
      <c r="G21" s="37" t="s">
        <v>217</v>
      </c>
      <c r="AA21" s="2" t="s">
        <v>6</v>
      </c>
      <c r="AB21" s="2" t="str">
        <f t="shared" ref="AB21:AB22" si="20">IF(NOT(ISBLANK(AC21)),"-","")</f>
        <v>-</v>
      </c>
      <c r="AC21" s="2" t="s">
        <v>285</v>
      </c>
      <c r="AD21" s="2" t="str">
        <f t="shared" ref="AD21:AD22" si="21">IF(NOT(ISBLANK(AE21)),"_","")</f>
        <v>_</v>
      </c>
      <c r="AE21" s="2" t="s">
        <v>281</v>
      </c>
      <c r="AF21" s="2" t="str">
        <f t="shared" ref="AF21:AF22" si="22">IF(NOT(ISBLANK(AG21)),"_","")</f>
        <v>_</v>
      </c>
      <c r="AG21" s="2" t="s">
        <v>290</v>
      </c>
      <c r="AH21" s="2" t="str">
        <f t="shared" si="3"/>
        <v/>
      </c>
      <c r="AI21" s="2"/>
    </row>
    <row r="22" spans="2:35" x14ac:dyDescent="0.25">
      <c r="B22" s="2" t="str">
        <f t="shared" si="4"/>
        <v>@color-label_place_city</v>
      </c>
      <c r="C22" s="29" t="s">
        <v>283</v>
      </c>
      <c r="D22" s="29" t="s">
        <v>283</v>
      </c>
      <c r="F22" s="30" t="s">
        <v>284</v>
      </c>
      <c r="G22" s="38" t="s">
        <v>227</v>
      </c>
      <c r="AA22" s="2" t="s">
        <v>6</v>
      </c>
      <c r="AB22" s="2" t="str">
        <f t="shared" si="20"/>
        <v>-</v>
      </c>
      <c r="AC22" s="2" t="s">
        <v>276</v>
      </c>
      <c r="AD22" s="2" t="str">
        <f t="shared" si="21"/>
        <v>_</v>
      </c>
      <c r="AE22" s="2" t="s">
        <v>281</v>
      </c>
      <c r="AF22" s="2" t="str">
        <f t="shared" si="22"/>
        <v>_</v>
      </c>
      <c r="AG22" s="2" t="s">
        <v>291</v>
      </c>
      <c r="AH22" s="2" t="str">
        <f t="shared" si="3"/>
        <v/>
      </c>
      <c r="AI22" s="2"/>
    </row>
    <row r="23" spans="2:35" x14ac:dyDescent="0.25">
      <c r="B23" s="2" t="str">
        <f t="shared" si="4"/>
        <v>@color-label_halo_place_city</v>
      </c>
      <c r="C23" s="31" t="s">
        <v>286</v>
      </c>
      <c r="D23" s="31" t="s">
        <v>286</v>
      </c>
      <c r="F23" s="32" t="s">
        <v>287</v>
      </c>
      <c r="G23" s="37" t="s">
        <v>217</v>
      </c>
      <c r="AA23" s="2" t="s">
        <v>6</v>
      </c>
      <c r="AB23" s="2" t="str">
        <f t="shared" ref="AB23:AB24" si="23">IF(NOT(ISBLANK(AC23)),"-","")</f>
        <v>-</v>
      </c>
      <c r="AC23" s="2" t="s">
        <v>285</v>
      </c>
      <c r="AD23" s="2" t="str">
        <f t="shared" ref="AD23:AD24" si="24">IF(NOT(ISBLANK(AE23)),"_","")</f>
        <v>_</v>
      </c>
      <c r="AE23" s="2" t="s">
        <v>281</v>
      </c>
      <c r="AF23" s="2" t="str">
        <f t="shared" ref="AF23:AF24" si="25">IF(NOT(ISBLANK(AG23)),"_","")</f>
        <v>_</v>
      </c>
      <c r="AG23" s="2" t="s">
        <v>291</v>
      </c>
      <c r="AH23" s="2" t="str">
        <f t="shared" si="3"/>
        <v/>
      </c>
      <c r="AI23" s="2"/>
    </row>
    <row r="24" spans="2:35" x14ac:dyDescent="0.25">
      <c r="B24" s="2" t="str">
        <f t="shared" si="4"/>
        <v>@color-label_place_capital</v>
      </c>
      <c r="C24" s="29" t="s">
        <v>283</v>
      </c>
      <c r="D24" s="29" t="s">
        <v>283</v>
      </c>
      <c r="F24" s="30" t="s">
        <v>284</v>
      </c>
      <c r="G24" s="38" t="s">
        <v>227</v>
      </c>
      <c r="AA24" s="2" t="s">
        <v>6</v>
      </c>
      <c r="AB24" s="2" t="str">
        <f t="shared" si="23"/>
        <v>-</v>
      </c>
      <c r="AC24" s="2" t="s">
        <v>276</v>
      </c>
      <c r="AD24" s="2" t="str">
        <f t="shared" si="24"/>
        <v>_</v>
      </c>
      <c r="AE24" s="2" t="s">
        <v>281</v>
      </c>
      <c r="AF24" s="2" t="str">
        <f t="shared" si="25"/>
        <v>_</v>
      </c>
      <c r="AG24" s="2" t="s">
        <v>292</v>
      </c>
      <c r="AH24" s="2" t="str">
        <f t="shared" si="3"/>
        <v/>
      </c>
      <c r="AI24" s="2"/>
    </row>
    <row r="25" spans="2:35" x14ac:dyDescent="0.25">
      <c r="B25" s="2" t="str">
        <f t="shared" si="4"/>
        <v>@color-label_halo_place_capital</v>
      </c>
      <c r="C25" s="31" t="s">
        <v>286</v>
      </c>
      <c r="D25" s="31" t="s">
        <v>286</v>
      </c>
      <c r="F25" s="32" t="s">
        <v>287</v>
      </c>
      <c r="G25" s="37" t="s">
        <v>217</v>
      </c>
      <c r="AA25" s="2" t="s">
        <v>6</v>
      </c>
      <c r="AB25" s="2" t="str">
        <f t="shared" ref="AB25:AB43" si="26">IF(NOT(ISBLANK(AC25)),"-","")</f>
        <v>-</v>
      </c>
      <c r="AC25" s="2" t="s">
        <v>285</v>
      </c>
      <c r="AD25" s="2" t="str">
        <f t="shared" ref="AD25:AD43" si="27">IF(NOT(ISBLANK(AE25)),"_","")</f>
        <v>_</v>
      </c>
      <c r="AE25" s="2" t="s">
        <v>281</v>
      </c>
      <c r="AF25" s="2" t="str">
        <f t="shared" ref="AF25:AF43" si="28">IF(NOT(ISBLANK(AG25)),"_","")</f>
        <v>_</v>
      </c>
      <c r="AG25" s="2" t="s">
        <v>292</v>
      </c>
      <c r="AH25" s="2" t="str">
        <f t="shared" si="3"/>
        <v/>
      </c>
      <c r="AI25" s="2"/>
    </row>
    <row r="26" spans="2:35" x14ac:dyDescent="0.25">
      <c r="B26" s="2" t="str">
        <f t="shared" si="4"/>
        <v>@color-label_place_state</v>
      </c>
      <c r="C26" s="166" t="s">
        <v>315</v>
      </c>
      <c r="D26" s="166" t="s">
        <v>315</v>
      </c>
      <c r="F26" s="167" t="s">
        <v>316</v>
      </c>
      <c r="G26" s="38" t="s">
        <v>227</v>
      </c>
      <c r="AA26" s="2" t="s">
        <v>6</v>
      </c>
      <c r="AB26" s="2" t="str">
        <f t="shared" si="26"/>
        <v>-</v>
      </c>
      <c r="AC26" s="2" t="s">
        <v>276</v>
      </c>
      <c r="AD26" s="2" t="str">
        <f t="shared" si="27"/>
        <v>_</v>
      </c>
      <c r="AE26" s="2" t="s">
        <v>281</v>
      </c>
      <c r="AF26" s="2" t="str">
        <f t="shared" si="28"/>
        <v>_</v>
      </c>
      <c r="AG26" s="2" t="s">
        <v>314</v>
      </c>
      <c r="AH26" s="2" t="str">
        <f t="shared" si="3"/>
        <v/>
      </c>
      <c r="AI26" s="2"/>
    </row>
    <row r="27" spans="2:35" x14ac:dyDescent="0.25">
      <c r="B27" s="2" t="str">
        <f t="shared" si="4"/>
        <v>@color-label_halo_place_state</v>
      </c>
      <c r="C27" s="31" t="s">
        <v>286</v>
      </c>
      <c r="D27" s="31" t="s">
        <v>286</v>
      </c>
      <c r="F27" s="32" t="s">
        <v>287</v>
      </c>
      <c r="G27" s="37" t="s">
        <v>217</v>
      </c>
      <c r="AA27" s="2" t="s">
        <v>6</v>
      </c>
      <c r="AB27" s="2" t="str">
        <f t="shared" ref="AB27:AB28" si="29">IF(NOT(ISBLANK(AC27)),"-","")</f>
        <v>-</v>
      </c>
      <c r="AC27" s="2" t="s">
        <v>285</v>
      </c>
      <c r="AD27" s="2" t="str">
        <f t="shared" ref="AD27:AD28" si="30">IF(NOT(ISBLANK(AE27)),"_","")</f>
        <v>_</v>
      </c>
      <c r="AE27" s="2" t="s">
        <v>281</v>
      </c>
      <c r="AF27" s="2" t="str">
        <f t="shared" ref="AF27:AF28" si="31">IF(NOT(ISBLANK(AG27)),"_","")</f>
        <v>_</v>
      </c>
      <c r="AG27" s="2" t="s">
        <v>314</v>
      </c>
      <c r="AH27" s="2" t="str">
        <f t="shared" si="3"/>
        <v/>
      </c>
      <c r="AI27" s="2"/>
    </row>
    <row r="28" spans="2:35" x14ac:dyDescent="0.25">
      <c r="B28" s="2" t="str">
        <f t="shared" si="4"/>
        <v>@color-label_place_country_other</v>
      </c>
      <c r="C28" s="168" t="s">
        <v>317</v>
      </c>
      <c r="D28" s="168" t="s">
        <v>317</v>
      </c>
      <c r="F28" s="169" t="s">
        <v>318</v>
      </c>
      <c r="G28" s="38" t="s">
        <v>227</v>
      </c>
      <c r="AA28" s="2" t="s">
        <v>6</v>
      </c>
      <c r="AB28" s="2" t="str">
        <f t="shared" si="29"/>
        <v>-</v>
      </c>
      <c r="AC28" s="2" t="s">
        <v>276</v>
      </c>
      <c r="AD28" s="2" t="str">
        <f t="shared" si="30"/>
        <v>_</v>
      </c>
      <c r="AE28" s="2" t="s">
        <v>281</v>
      </c>
      <c r="AF28" s="2" t="str">
        <f t="shared" si="31"/>
        <v>_</v>
      </c>
      <c r="AG28" s="2" t="s">
        <v>325</v>
      </c>
      <c r="AH28" s="2" t="str">
        <f t="shared" si="3"/>
        <v>_</v>
      </c>
      <c r="AI28" s="2" t="s">
        <v>282</v>
      </c>
    </row>
    <row r="29" spans="2:35" x14ac:dyDescent="0.25">
      <c r="B29" s="2" t="str">
        <f t="shared" si="4"/>
        <v>@color-label_halo_place_country_other</v>
      </c>
      <c r="C29" s="31" t="s">
        <v>286</v>
      </c>
      <c r="D29" s="31" t="s">
        <v>286</v>
      </c>
      <c r="F29" s="32" t="s">
        <v>287</v>
      </c>
      <c r="G29" s="37" t="s">
        <v>217</v>
      </c>
      <c r="AA29" s="2" t="s">
        <v>6</v>
      </c>
      <c r="AB29" s="2" t="str">
        <f t="shared" ref="AB29:AB30" si="32">IF(NOT(ISBLANK(AC29)),"-","")</f>
        <v>-</v>
      </c>
      <c r="AC29" s="2" t="s">
        <v>285</v>
      </c>
      <c r="AD29" s="2" t="str">
        <f t="shared" ref="AD29:AD30" si="33">IF(NOT(ISBLANK(AE29)),"_","")</f>
        <v>_</v>
      </c>
      <c r="AE29" s="2" t="s">
        <v>281</v>
      </c>
      <c r="AF29" s="2" t="str">
        <f t="shared" ref="AF29:AF30" si="34">IF(NOT(ISBLANK(AG29)),"_","")</f>
        <v>_</v>
      </c>
      <c r="AG29" s="2" t="s">
        <v>325</v>
      </c>
      <c r="AH29" s="2" t="str">
        <f t="shared" si="3"/>
        <v>_</v>
      </c>
      <c r="AI29" s="2" t="s">
        <v>282</v>
      </c>
    </row>
    <row r="30" spans="2:35" x14ac:dyDescent="0.25">
      <c r="B30" s="2" t="str">
        <f t="shared" si="4"/>
        <v>@color-label_place_country_minor</v>
      </c>
      <c r="C30" s="168" t="s">
        <v>317</v>
      </c>
      <c r="D30" s="168" t="s">
        <v>317</v>
      </c>
      <c r="F30" s="169" t="s">
        <v>318</v>
      </c>
      <c r="G30" s="38" t="s">
        <v>227</v>
      </c>
      <c r="AA30" s="2" t="s">
        <v>6</v>
      </c>
      <c r="AB30" s="2" t="str">
        <f t="shared" si="32"/>
        <v>-</v>
      </c>
      <c r="AC30" s="2" t="s">
        <v>276</v>
      </c>
      <c r="AD30" s="2" t="str">
        <f t="shared" si="33"/>
        <v>_</v>
      </c>
      <c r="AE30" s="2" t="s">
        <v>281</v>
      </c>
      <c r="AF30" s="2" t="str">
        <f t="shared" si="34"/>
        <v>_</v>
      </c>
      <c r="AG30" s="2" t="s">
        <v>325</v>
      </c>
      <c r="AH30" s="2" t="str">
        <f t="shared" si="3"/>
        <v>_</v>
      </c>
      <c r="AI30" s="2" t="s">
        <v>32</v>
      </c>
    </row>
    <row r="31" spans="2:35" x14ac:dyDescent="0.25">
      <c r="B31" s="2" t="str">
        <f t="shared" si="4"/>
        <v>@color-label_halo_place_country_minor</v>
      </c>
      <c r="C31" s="31" t="s">
        <v>286</v>
      </c>
      <c r="D31" s="31" t="s">
        <v>286</v>
      </c>
      <c r="F31" s="32" t="s">
        <v>287</v>
      </c>
      <c r="G31" s="37" t="s">
        <v>217</v>
      </c>
      <c r="AA31" s="2" t="s">
        <v>6</v>
      </c>
      <c r="AB31" s="2" t="str">
        <f t="shared" ref="AB31:AB32" si="35">IF(NOT(ISBLANK(AC31)),"-","")</f>
        <v>-</v>
      </c>
      <c r="AC31" s="2" t="s">
        <v>285</v>
      </c>
      <c r="AD31" s="2" t="str">
        <f t="shared" ref="AD31:AD32" si="36">IF(NOT(ISBLANK(AE31)),"_","")</f>
        <v>_</v>
      </c>
      <c r="AE31" s="2" t="s">
        <v>281</v>
      </c>
      <c r="AF31" s="2" t="str">
        <f t="shared" ref="AF31:AF32" si="37">IF(NOT(ISBLANK(AG31)),"_","")</f>
        <v>_</v>
      </c>
      <c r="AG31" s="2" t="s">
        <v>325</v>
      </c>
      <c r="AH31" s="2" t="str">
        <f t="shared" si="3"/>
        <v>_</v>
      </c>
      <c r="AI31" s="2" t="s">
        <v>32</v>
      </c>
    </row>
    <row r="32" spans="2:35" x14ac:dyDescent="0.25">
      <c r="B32" s="2" t="str">
        <f t="shared" si="4"/>
        <v>@color-label_place_country_medium</v>
      </c>
      <c r="C32" s="168" t="s">
        <v>317</v>
      </c>
      <c r="D32" s="168" t="s">
        <v>317</v>
      </c>
      <c r="F32" s="169" t="s">
        <v>318</v>
      </c>
      <c r="G32" s="38" t="s">
        <v>227</v>
      </c>
      <c r="AA32" s="2" t="s">
        <v>6</v>
      </c>
      <c r="AB32" s="2" t="str">
        <f t="shared" si="35"/>
        <v>-</v>
      </c>
      <c r="AC32" s="2" t="s">
        <v>276</v>
      </c>
      <c r="AD32" s="2" t="str">
        <f t="shared" si="36"/>
        <v>_</v>
      </c>
      <c r="AE32" s="2" t="s">
        <v>281</v>
      </c>
      <c r="AF32" s="2" t="str">
        <f t="shared" si="37"/>
        <v>_</v>
      </c>
      <c r="AG32" s="2" t="s">
        <v>325</v>
      </c>
      <c r="AH32" s="2" t="str">
        <f t="shared" si="3"/>
        <v>_</v>
      </c>
      <c r="AI32" s="2" t="s">
        <v>82</v>
      </c>
    </row>
    <row r="33" spans="2:35" x14ac:dyDescent="0.25">
      <c r="B33" s="2" t="str">
        <f t="shared" si="4"/>
        <v>@color-label_halo_place_country_medium</v>
      </c>
      <c r="C33" s="31" t="s">
        <v>286</v>
      </c>
      <c r="D33" s="31" t="s">
        <v>286</v>
      </c>
      <c r="F33" s="32" t="s">
        <v>287</v>
      </c>
      <c r="G33" s="37" t="s">
        <v>217</v>
      </c>
      <c r="AA33" s="2" t="s">
        <v>6</v>
      </c>
      <c r="AB33" s="2" t="str">
        <f t="shared" ref="AB33:AB34" si="38">IF(NOT(ISBLANK(AC33)),"-","")</f>
        <v>-</v>
      </c>
      <c r="AC33" s="2" t="s">
        <v>285</v>
      </c>
      <c r="AD33" s="2" t="str">
        <f t="shared" ref="AD33:AD34" si="39">IF(NOT(ISBLANK(AE33)),"_","")</f>
        <v>_</v>
      </c>
      <c r="AE33" s="2" t="s">
        <v>281</v>
      </c>
      <c r="AF33" s="2" t="str">
        <f t="shared" ref="AF33:AF34" si="40">IF(NOT(ISBLANK(AG33)),"_","")</f>
        <v>_</v>
      </c>
      <c r="AG33" s="2" t="s">
        <v>325</v>
      </c>
      <c r="AH33" s="2" t="str">
        <f t="shared" si="3"/>
        <v>_</v>
      </c>
      <c r="AI33" s="2" t="s">
        <v>82</v>
      </c>
    </row>
    <row r="34" spans="2:35" x14ac:dyDescent="0.25">
      <c r="B34" s="2" t="str">
        <f t="shared" si="4"/>
        <v>@color-label_place_country_major</v>
      </c>
      <c r="C34" s="168" t="s">
        <v>317</v>
      </c>
      <c r="D34" s="168" t="s">
        <v>317</v>
      </c>
      <c r="F34" s="169" t="s">
        <v>318</v>
      </c>
      <c r="G34" s="38" t="s">
        <v>227</v>
      </c>
      <c r="AA34" s="2" t="s">
        <v>6</v>
      </c>
      <c r="AB34" s="2" t="str">
        <f t="shared" si="38"/>
        <v>-</v>
      </c>
      <c r="AC34" s="2" t="s">
        <v>276</v>
      </c>
      <c r="AD34" s="2" t="str">
        <f t="shared" si="39"/>
        <v>_</v>
      </c>
      <c r="AE34" s="2" t="s">
        <v>281</v>
      </c>
      <c r="AF34" s="2" t="str">
        <f t="shared" si="40"/>
        <v>_</v>
      </c>
      <c r="AG34" s="2" t="s">
        <v>325</v>
      </c>
      <c r="AH34" s="2" t="str">
        <f t="shared" si="3"/>
        <v>_</v>
      </c>
      <c r="AI34" s="2" t="s">
        <v>324</v>
      </c>
    </row>
    <row r="35" spans="2:35" x14ac:dyDescent="0.25">
      <c r="B35" s="2" t="str">
        <f t="shared" si="4"/>
        <v>@color-label_halo_place_country_major</v>
      </c>
      <c r="C35" s="31" t="s">
        <v>286</v>
      </c>
      <c r="D35" s="31" t="s">
        <v>286</v>
      </c>
      <c r="F35" s="32" t="s">
        <v>287</v>
      </c>
      <c r="G35" s="37" t="s">
        <v>217</v>
      </c>
      <c r="AA35" s="2" t="s">
        <v>6</v>
      </c>
      <c r="AB35" s="2" t="str">
        <f t="shared" ref="AB35" si="41">IF(NOT(ISBLANK(AC35)),"-","")</f>
        <v>-</v>
      </c>
      <c r="AC35" s="2" t="s">
        <v>285</v>
      </c>
      <c r="AD35" s="2" t="str">
        <f t="shared" ref="AD35" si="42">IF(NOT(ISBLANK(AE35)),"_","")</f>
        <v>_</v>
      </c>
      <c r="AE35" s="2" t="s">
        <v>281</v>
      </c>
      <c r="AF35" s="2" t="str">
        <f t="shared" ref="AF35" si="43">IF(NOT(ISBLANK(AG35)),"_","")</f>
        <v>_</v>
      </c>
      <c r="AG35" s="2" t="s">
        <v>325</v>
      </c>
      <c r="AH35" s="2" t="str">
        <f t="shared" si="3"/>
        <v>_</v>
      </c>
      <c r="AI35" s="2" t="s">
        <v>324</v>
      </c>
    </row>
    <row r="36" spans="2:35" x14ac:dyDescent="0.25">
      <c r="B36" s="2" t="str">
        <f t="shared" si="4"/>
        <v>@color-label_place_protected_area</v>
      </c>
      <c r="C36" s="164" t="s">
        <v>312</v>
      </c>
      <c r="D36" s="164" t="s">
        <v>312</v>
      </c>
      <c r="F36" s="165" t="s">
        <v>313</v>
      </c>
      <c r="G36" s="38" t="s">
        <v>227</v>
      </c>
      <c r="AA36" s="2" t="s">
        <v>6</v>
      </c>
      <c r="AB36" s="2" t="str">
        <f t="shared" si="26"/>
        <v>-</v>
      </c>
      <c r="AC36" s="2" t="s">
        <v>276</v>
      </c>
      <c r="AD36" s="2" t="str">
        <f t="shared" si="27"/>
        <v>_</v>
      </c>
      <c r="AE36" s="2" t="s">
        <v>281</v>
      </c>
      <c r="AF36" s="2" t="str">
        <f t="shared" si="28"/>
        <v>_</v>
      </c>
      <c r="AG36" s="2" t="s">
        <v>311</v>
      </c>
      <c r="AH36" s="2" t="str">
        <f t="shared" si="3"/>
        <v/>
      </c>
      <c r="AI36" s="2"/>
    </row>
    <row r="37" spans="2:35" x14ac:dyDescent="0.25">
      <c r="B37" s="2" t="str">
        <f t="shared" si="4"/>
        <v>@color-label_halo_place_protected_area</v>
      </c>
      <c r="C37" s="38" t="s">
        <v>227</v>
      </c>
      <c r="D37" s="38" t="s">
        <v>227</v>
      </c>
      <c r="F37" s="37" t="s">
        <v>217</v>
      </c>
      <c r="G37" s="37" t="s">
        <v>217</v>
      </c>
      <c r="AA37" s="2" t="s">
        <v>6</v>
      </c>
      <c r="AB37" s="2" t="str">
        <f t="shared" ref="AB37:AB38" si="44">IF(NOT(ISBLANK(AC37)),"-","")</f>
        <v>-</v>
      </c>
      <c r="AC37" s="2" t="s">
        <v>285</v>
      </c>
      <c r="AD37" s="2" t="str">
        <f t="shared" ref="AD37:AD38" si="45">IF(NOT(ISBLANK(AE37)),"_","")</f>
        <v>_</v>
      </c>
      <c r="AE37" s="2" t="s">
        <v>281</v>
      </c>
      <c r="AF37" s="2" t="str">
        <f t="shared" ref="AF37:AF38" si="46">IF(NOT(ISBLANK(AG37)),"_","")</f>
        <v>_</v>
      </c>
      <c r="AG37" s="2" t="s">
        <v>311</v>
      </c>
      <c r="AH37" s="2" t="str">
        <f t="shared" si="3"/>
        <v/>
      </c>
      <c r="AI37" s="2"/>
    </row>
    <row r="38" spans="2:35" x14ac:dyDescent="0.25">
      <c r="B38" s="2" t="str">
        <f t="shared" si="4"/>
        <v>@color-label_place_poi-level_123_and_additions_farzoom</v>
      </c>
      <c r="C38" s="164" t="s">
        <v>312</v>
      </c>
      <c r="D38" s="164" t="s">
        <v>312</v>
      </c>
      <c r="F38" s="165" t="s">
        <v>313</v>
      </c>
      <c r="G38" s="38" t="s">
        <v>227</v>
      </c>
      <c r="AA38" s="2" t="s">
        <v>6</v>
      </c>
      <c r="AB38" s="2" t="str">
        <f t="shared" si="44"/>
        <v>-</v>
      </c>
      <c r="AC38" s="2" t="s">
        <v>276</v>
      </c>
      <c r="AD38" s="2" t="str">
        <f t="shared" si="45"/>
        <v>_</v>
      </c>
      <c r="AE38" s="2" t="s">
        <v>281</v>
      </c>
      <c r="AF38" s="2" t="str">
        <f t="shared" si="46"/>
        <v>_</v>
      </c>
      <c r="AG38" s="2" t="s">
        <v>319</v>
      </c>
      <c r="AH38" s="2" t="str">
        <f t="shared" si="3"/>
        <v/>
      </c>
      <c r="AI38" s="2"/>
    </row>
    <row r="39" spans="2:35" x14ac:dyDescent="0.25">
      <c r="B39" s="2" t="str">
        <f t="shared" si="4"/>
        <v>@color-label_place_poi-level_123_and_additions_default</v>
      </c>
      <c r="C39" s="35" t="s">
        <v>299</v>
      </c>
      <c r="D39" s="35" t="s">
        <v>299</v>
      </c>
      <c r="F39" s="36" t="s">
        <v>300</v>
      </c>
      <c r="G39" s="38" t="s">
        <v>227</v>
      </c>
      <c r="AA39" s="2" t="s">
        <v>6</v>
      </c>
      <c r="AB39" s="2" t="str">
        <f t="shared" ref="AB39" si="47">IF(NOT(ISBLANK(AC39)),"-","")</f>
        <v>-</v>
      </c>
      <c r="AC39" s="2" t="s">
        <v>276</v>
      </c>
      <c r="AD39" s="2" t="str">
        <f t="shared" ref="AD39" si="48">IF(NOT(ISBLANK(AE39)),"_","")</f>
        <v>_</v>
      </c>
      <c r="AE39" s="2" t="s">
        <v>281</v>
      </c>
      <c r="AF39" s="2" t="str">
        <f t="shared" ref="AF39" si="49">IF(NOT(ISBLANK(AG39)),"_","")</f>
        <v>_</v>
      </c>
      <c r="AG39" s="2" t="s">
        <v>320</v>
      </c>
      <c r="AH39" s="2" t="str">
        <f t="shared" si="3"/>
        <v/>
      </c>
      <c r="AI39" s="2"/>
    </row>
    <row r="40" spans="2:35" x14ac:dyDescent="0.25">
      <c r="B40" s="2" t="str">
        <f t="shared" si="4"/>
        <v>@color-label_halo_place_poi-level_123_and_additions</v>
      </c>
      <c r="C40" s="38" t="s">
        <v>227</v>
      </c>
      <c r="D40" s="38" t="s">
        <v>227</v>
      </c>
      <c r="F40" s="37" t="s">
        <v>217</v>
      </c>
      <c r="G40" s="37" t="s">
        <v>217</v>
      </c>
      <c r="AA40" s="2" t="s">
        <v>6</v>
      </c>
      <c r="AB40" s="2" t="str">
        <f t="shared" ref="AB40" si="50">IF(NOT(ISBLANK(AC40)),"-","")</f>
        <v>-</v>
      </c>
      <c r="AC40" s="2" t="s">
        <v>285</v>
      </c>
      <c r="AD40" s="2" t="str">
        <f t="shared" ref="AD40" si="51">IF(NOT(ISBLANK(AE40)),"_","")</f>
        <v>_</v>
      </c>
      <c r="AE40" s="2" t="s">
        <v>281</v>
      </c>
      <c r="AF40" s="2" t="str">
        <f t="shared" ref="AF40" si="52">IF(NOT(ISBLANK(AG40)),"_","")</f>
        <v>_</v>
      </c>
      <c r="AG40" s="2" t="s">
        <v>321</v>
      </c>
      <c r="AH40" s="2" t="str">
        <f t="shared" si="3"/>
        <v/>
      </c>
      <c r="AI40" s="2"/>
    </row>
    <row r="41" spans="2:35" x14ac:dyDescent="0.25">
      <c r="AA41" s="2"/>
      <c r="AB41" s="2"/>
      <c r="AC41" s="2"/>
      <c r="AD41" s="2"/>
      <c r="AE41" s="2"/>
      <c r="AF41" s="2"/>
      <c r="AG41" s="2"/>
      <c r="AH41" s="2"/>
      <c r="AI41" s="2"/>
    </row>
    <row r="42" spans="2:35" x14ac:dyDescent="0.25">
      <c r="B42" s="2" t="str">
        <f t="shared" ref="B42:B44" si="53">_xlfn.CONCAT("@",AA42,AB42,AC42,AD42,AE42,AF42,AG42,AH42,AI42)</f>
        <v>@textsize-label_highway_path</v>
      </c>
      <c r="C42" s="33" t="s">
        <v>295</v>
      </c>
      <c r="D42" s="37" t="s">
        <v>217</v>
      </c>
      <c r="F42" s="34" t="s">
        <v>296</v>
      </c>
      <c r="G42" s="38" t="s">
        <v>227</v>
      </c>
      <c r="AA42" s="2" t="s">
        <v>322</v>
      </c>
      <c r="AB42" s="2" t="str">
        <f t="shared" ref="AB42" si="54">IF(NOT(ISBLANK(AC42)),"-","")</f>
        <v>-</v>
      </c>
      <c r="AC42" s="2" t="s">
        <v>276</v>
      </c>
      <c r="AD42" s="2" t="str">
        <f t="shared" ref="AD42" si="55">IF(NOT(ISBLANK(AE42)),"_","")</f>
        <v>_</v>
      </c>
      <c r="AE42" s="2" t="s">
        <v>294</v>
      </c>
      <c r="AF42" s="2" t="str">
        <f t="shared" ref="AF42" si="56">IF(NOT(ISBLANK(AG42)),"_","")</f>
        <v>_</v>
      </c>
      <c r="AG42" s="2" t="s">
        <v>74</v>
      </c>
      <c r="AH42" s="2" t="str">
        <f t="shared" ref="AH42:AH44" si="57">IF(NOT(ISBLANK(AI42)),"_","")</f>
        <v/>
      </c>
      <c r="AI42" s="2"/>
    </row>
    <row r="43" spans="2:35" x14ac:dyDescent="0.25">
      <c r="B43" s="2" t="str">
        <f t="shared" si="53"/>
        <v>@color-label_highway_path</v>
      </c>
      <c r="C43" s="33" t="s">
        <v>295</v>
      </c>
      <c r="D43" s="37" t="s">
        <v>217</v>
      </c>
      <c r="F43" s="34" t="s">
        <v>296</v>
      </c>
      <c r="G43" s="38" t="s">
        <v>227</v>
      </c>
      <c r="AA43" s="2" t="s">
        <v>6</v>
      </c>
      <c r="AB43" s="2" t="str">
        <f t="shared" si="26"/>
        <v>-</v>
      </c>
      <c r="AC43" s="2" t="s">
        <v>276</v>
      </c>
      <c r="AD43" s="2" t="str">
        <f t="shared" si="27"/>
        <v>_</v>
      </c>
      <c r="AE43" s="2" t="s">
        <v>294</v>
      </c>
      <c r="AF43" s="2" t="str">
        <f t="shared" si="28"/>
        <v>_</v>
      </c>
      <c r="AG43" s="2" t="s">
        <v>74</v>
      </c>
      <c r="AH43" s="2" t="str">
        <f t="shared" si="57"/>
        <v/>
      </c>
      <c r="AI43" s="2"/>
    </row>
    <row r="44" spans="2:35" x14ac:dyDescent="0.25">
      <c r="B44" s="2" t="str">
        <f t="shared" si="53"/>
        <v>@color-label_halo_highway_path</v>
      </c>
      <c r="C44" s="38" t="s">
        <v>227</v>
      </c>
      <c r="D44" s="38" t="s">
        <v>227</v>
      </c>
      <c r="F44" s="37" t="s">
        <v>217</v>
      </c>
      <c r="G44" s="37" t="s">
        <v>217</v>
      </c>
      <c r="AA44" s="2" t="s">
        <v>6</v>
      </c>
      <c r="AB44" s="2" t="str">
        <f t="shared" ref="AB44:AB46" si="58">IF(NOT(ISBLANK(AC44)),"-","")</f>
        <v>-</v>
      </c>
      <c r="AC44" s="2" t="s">
        <v>285</v>
      </c>
      <c r="AD44" s="2" t="str">
        <f t="shared" ref="AD44:AD46" si="59">IF(NOT(ISBLANK(AE44)),"_","")</f>
        <v>_</v>
      </c>
      <c r="AE44" s="2" t="s">
        <v>294</v>
      </c>
      <c r="AF44" s="2" t="str">
        <f t="shared" ref="AF44:AF46" si="60">IF(NOT(ISBLANK(AG44)),"_","")</f>
        <v>_</v>
      </c>
      <c r="AG44" s="2" t="s">
        <v>74</v>
      </c>
      <c r="AH44" s="2" t="str">
        <f t="shared" si="57"/>
        <v/>
      </c>
      <c r="AI44" s="2"/>
    </row>
    <row r="45" spans="2:35" x14ac:dyDescent="0.25">
      <c r="AA45" s="2"/>
      <c r="AB45" s="2"/>
      <c r="AC45" s="2"/>
      <c r="AD45" s="2"/>
      <c r="AE45" s="2"/>
      <c r="AF45" s="2"/>
      <c r="AG45" s="2"/>
      <c r="AH45" s="2"/>
      <c r="AI45" s="2"/>
    </row>
    <row r="46" spans="2:35" x14ac:dyDescent="0.25">
      <c r="B46" s="2" t="str">
        <f t="shared" ref="B46:B51" si="61">_xlfn.CONCAT("@",AA46,AB46,AC46,AD46,AE46,AF46,AG46,AH46,AI46)</f>
        <v>@color-label_highway_minor</v>
      </c>
      <c r="C46" s="33" t="s">
        <v>295</v>
      </c>
      <c r="D46" s="37" t="s">
        <v>217</v>
      </c>
      <c r="F46" s="34" t="s">
        <v>296</v>
      </c>
      <c r="G46" s="38" t="s">
        <v>227</v>
      </c>
      <c r="AA46" s="2" t="s">
        <v>6</v>
      </c>
      <c r="AB46" s="2" t="str">
        <f t="shared" si="58"/>
        <v>-</v>
      </c>
      <c r="AC46" s="2" t="s">
        <v>276</v>
      </c>
      <c r="AD46" s="2" t="str">
        <f t="shared" si="59"/>
        <v>_</v>
      </c>
      <c r="AE46" s="2" t="s">
        <v>294</v>
      </c>
      <c r="AF46" s="2" t="str">
        <f t="shared" si="60"/>
        <v>_</v>
      </c>
      <c r="AG46" s="2" t="s">
        <v>32</v>
      </c>
      <c r="AH46" s="2" t="str">
        <f t="shared" ref="AH46:AH51" si="62">IF(NOT(ISBLANK(AI46)),"_","")</f>
        <v/>
      </c>
      <c r="AI46" s="2"/>
    </row>
    <row r="47" spans="2:35" x14ac:dyDescent="0.25">
      <c r="B47" s="2" t="str">
        <f t="shared" si="61"/>
        <v>@color-label_halo_highway_minor</v>
      </c>
      <c r="C47" s="38" t="s">
        <v>227</v>
      </c>
      <c r="D47" s="38" t="s">
        <v>227</v>
      </c>
      <c r="F47" s="37" t="s">
        <v>217</v>
      </c>
      <c r="G47" s="37" t="s">
        <v>217</v>
      </c>
      <c r="AA47" s="2" t="s">
        <v>6</v>
      </c>
      <c r="AB47" s="2" t="str">
        <f t="shared" ref="AB47:AB48" si="63">IF(NOT(ISBLANK(AC47)),"-","")</f>
        <v>-</v>
      </c>
      <c r="AC47" s="2" t="s">
        <v>285</v>
      </c>
      <c r="AD47" s="2" t="str">
        <f t="shared" ref="AD47:AD48" si="64">IF(NOT(ISBLANK(AE47)),"_","")</f>
        <v>_</v>
      </c>
      <c r="AE47" s="2" t="s">
        <v>294</v>
      </c>
      <c r="AF47" s="2" t="str">
        <f t="shared" ref="AF47:AF48" si="65">IF(NOT(ISBLANK(AG47)),"_","")</f>
        <v>_</v>
      </c>
      <c r="AG47" s="2" t="s">
        <v>32</v>
      </c>
      <c r="AH47" s="2" t="str">
        <f t="shared" si="62"/>
        <v/>
      </c>
      <c r="AI47" s="2"/>
    </row>
    <row r="48" spans="2:35" x14ac:dyDescent="0.25">
      <c r="B48" s="2" t="str">
        <f t="shared" si="61"/>
        <v>@color-label_highway_trunk_primary_secondary_tertiary</v>
      </c>
      <c r="C48" s="33" t="s">
        <v>295</v>
      </c>
      <c r="D48" s="37" t="s">
        <v>217</v>
      </c>
      <c r="F48" s="34" t="s">
        <v>296</v>
      </c>
      <c r="G48" s="38" t="s">
        <v>227</v>
      </c>
      <c r="AA48" s="2" t="s">
        <v>6</v>
      </c>
      <c r="AB48" s="2" t="str">
        <f t="shared" si="63"/>
        <v>-</v>
      </c>
      <c r="AC48" s="2" t="s">
        <v>276</v>
      </c>
      <c r="AD48" s="2" t="str">
        <f t="shared" si="64"/>
        <v>_</v>
      </c>
      <c r="AE48" s="2" t="s">
        <v>294</v>
      </c>
      <c r="AF48" s="2" t="str">
        <f t="shared" si="65"/>
        <v>_</v>
      </c>
      <c r="AG48" s="2" t="s">
        <v>297</v>
      </c>
      <c r="AH48" s="2" t="str">
        <f t="shared" si="62"/>
        <v/>
      </c>
      <c r="AI48" s="2"/>
    </row>
    <row r="49" spans="1:35" x14ac:dyDescent="0.25">
      <c r="B49" s="2" t="str">
        <f t="shared" si="61"/>
        <v>@color-label_halo_highway_trunk_primary_secondary_tertiary</v>
      </c>
      <c r="C49" s="38" t="s">
        <v>227</v>
      </c>
      <c r="D49" s="38" t="s">
        <v>227</v>
      </c>
      <c r="F49" s="37" t="s">
        <v>217</v>
      </c>
      <c r="G49" s="37" t="s">
        <v>217</v>
      </c>
      <c r="AA49" s="2" t="s">
        <v>6</v>
      </c>
      <c r="AB49" s="2" t="str">
        <f t="shared" ref="AB49:AB51" si="66">IF(NOT(ISBLANK(AC49)),"-","")</f>
        <v>-</v>
      </c>
      <c r="AC49" s="2" t="s">
        <v>285</v>
      </c>
      <c r="AD49" s="2" t="str">
        <f t="shared" ref="AD49:AD51" si="67">IF(NOT(ISBLANK(AE49)),"_","")</f>
        <v>_</v>
      </c>
      <c r="AE49" s="2" t="s">
        <v>294</v>
      </c>
      <c r="AF49" s="2" t="str">
        <f t="shared" ref="AF49:AF51" si="68">IF(NOT(ISBLANK(AG49)),"_","")</f>
        <v>_</v>
      </c>
      <c r="AG49" s="2" t="s">
        <v>297</v>
      </c>
      <c r="AH49" s="2" t="str">
        <f t="shared" si="62"/>
        <v/>
      </c>
      <c r="AI49" s="2"/>
    </row>
    <row r="50" spans="1:35" x14ac:dyDescent="0.25">
      <c r="B50" s="2" t="str">
        <f t="shared" si="61"/>
        <v>@color-label_peak</v>
      </c>
      <c r="C50" s="35" t="s">
        <v>299</v>
      </c>
      <c r="D50" s="37" t="s">
        <v>217</v>
      </c>
      <c r="F50" s="36" t="s">
        <v>300</v>
      </c>
      <c r="G50" s="38" t="s">
        <v>227</v>
      </c>
      <c r="AA50" s="2" t="s">
        <v>6</v>
      </c>
      <c r="AB50" s="2" t="str">
        <f t="shared" si="66"/>
        <v>-</v>
      </c>
      <c r="AC50" s="2" t="s">
        <v>276</v>
      </c>
      <c r="AD50" s="2" t="str">
        <f t="shared" si="67"/>
        <v>_</v>
      </c>
      <c r="AE50" s="2" t="s">
        <v>298</v>
      </c>
      <c r="AF50" s="2" t="str">
        <f t="shared" si="68"/>
        <v/>
      </c>
      <c r="AG50" s="2"/>
      <c r="AH50" s="2" t="str">
        <f t="shared" si="62"/>
        <v/>
      </c>
      <c r="AI50" s="2"/>
    </row>
    <row r="51" spans="1:35" x14ac:dyDescent="0.25">
      <c r="B51" s="2" t="str">
        <f t="shared" si="61"/>
        <v>@color-label_halo_peak</v>
      </c>
      <c r="C51" s="38" t="s">
        <v>227</v>
      </c>
      <c r="D51" s="38" t="s">
        <v>227</v>
      </c>
      <c r="F51" s="37" t="s">
        <v>217</v>
      </c>
      <c r="G51" s="37" t="s">
        <v>217</v>
      </c>
      <c r="AA51" s="2" t="s">
        <v>6</v>
      </c>
      <c r="AB51" s="2" t="str">
        <f t="shared" si="66"/>
        <v>-</v>
      </c>
      <c r="AC51" s="2" t="s">
        <v>285</v>
      </c>
      <c r="AD51" s="2" t="str">
        <f t="shared" si="67"/>
        <v>_</v>
      </c>
      <c r="AE51" s="2" t="s">
        <v>298</v>
      </c>
      <c r="AF51" s="2" t="str">
        <f t="shared" si="68"/>
        <v/>
      </c>
      <c r="AG51" s="2"/>
      <c r="AH51" s="2" t="str">
        <f t="shared" si="62"/>
        <v/>
      </c>
      <c r="AI51" s="2"/>
    </row>
    <row r="52" spans="1:35" x14ac:dyDescent="0.25">
      <c r="AA52" s="2"/>
      <c r="AB52" s="2"/>
      <c r="AC52" s="2"/>
      <c r="AD52" s="2"/>
      <c r="AE52" s="2"/>
      <c r="AF52" s="2"/>
      <c r="AG52" s="2"/>
      <c r="AH52" s="2"/>
      <c r="AI52" s="2"/>
    </row>
    <row r="53" spans="1:35" s="5" customFormat="1" x14ac:dyDescent="0.25">
      <c r="A53" s="27" t="s">
        <v>40</v>
      </c>
      <c r="B53" s="27"/>
      <c r="C53" s="27"/>
      <c r="D53" s="27"/>
      <c r="F53" s="27"/>
      <c r="G53" s="27"/>
      <c r="I53" s="27"/>
      <c r="J53" s="27"/>
      <c r="L53" s="27"/>
      <c r="M53" s="27"/>
      <c r="O53" s="27"/>
      <c r="P53" s="27"/>
      <c r="R53" s="27"/>
      <c r="S53" s="27"/>
      <c r="U53" s="27"/>
      <c r="V53" s="27"/>
      <c r="X53" s="27"/>
      <c r="Y53" s="27"/>
      <c r="AA53" s="27"/>
      <c r="AB53" s="27"/>
      <c r="AC53" s="27"/>
      <c r="AD53" s="27"/>
      <c r="AE53" s="27"/>
      <c r="AF53" s="27"/>
      <c r="AG53" s="27"/>
      <c r="AH53" s="27"/>
      <c r="AI53" s="27"/>
    </row>
    <row r="54" spans="1:35" x14ac:dyDescent="0.25">
      <c r="B54" s="2" t="str">
        <f t="shared" ref="B54:B62" si="69">_xlfn.CONCAT("@",AA54,AB54,AC54,AD54,AE54,AF54,AG54,AH54,AI54)</f>
        <v>@color-mtb:scale_0-</v>
      </c>
      <c r="C54" s="40" t="s">
        <v>173</v>
      </c>
      <c r="D54" s="41" t="s">
        <v>181</v>
      </c>
      <c r="F54" s="40" t="s">
        <v>173</v>
      </c>
      <c r="G54" s="41" t="s">
        <v>181</v>
      </c>
      <c r="I54" s="42" t="str">
        <f t="shared" ref="I54:J61" si="70">C54</f>
        <v>"#0ac5a0"</v>
      </c>
      <c r="J54" s="43" t="str">
        <f t="shared" si="70"/>
        <v>"#00c7b0"</v>
      </c>
      <c r="U54" s="44"/>
      <c r="V54" s="44"/>
      <c r="X54" s="44"/>
      <c r="Y54" s="44"/>
      <c r="AA54" s="2" t="s">
        <v>6</v>
      </c>
      <c r="AB54" s="2" t="str">
        <f t="shared" ref="AB54:AB192" si="71">IF(NOT(ISBLANK(AC54)),"-","")</f>
        <v>-</v>
      </c>
      <c r="AC54" s="2" t="s">
        <v>7</v>
      </c>
      <c r="AD54" s="2" t="str">
        <f t="shared" ref="AD54:AD196" si="72">IF(NOT(ISBLANK(AE54)),"_","")</f>
        <v>_</v>
      </c>
      <c r="AE54" s="2" t="s">
        <v>9</v>
      </c>
      <c r="AF54" s="2" t="str">
        <f t="shared" ref="AF54:AF196" si="73">IF(NOT(ISBLANK(AG54)),"_","")</f>
        <v/>
      </c>
      <c r="AG54" s="2"/>
      <c r="AH54" s="2" t="str">
        <f t="shared" ref="AH54:AH66" si="74">IF(NOT(ISBLANK(AI54)),"_","")</f>
        <v/>
      </c>
      <c r="AI54" s="2"/>
    </row>
    <row r="55" spans="1:35" x14ac:dyDescent="0.25">
      <c r="B55" s="2" t="str">
        <f t="shared" si="69"/>
        <v>@color-mtb:scale_0</v>
      </c>
      <c r="C55" s="45" t="s">
        <v>174</v>
      </c>
      <c r="D55" s="46" t="s">
        <v>182</v>
      </c>
      <c r="F55" s="45" t="s">
        <v>174</v>
      </c>
      <c r="G55" s="46" t="s">
        <v>182</v>
      </c>
      <c r="I55" s="47" t="str">
        <f t="shared" si="70"/>
        <v>"#75e009"</v>
      </c>
      <c r="J55" s="48" t="str">
        <f t="shared" si="70"/>
        <v>"#66cc00"</v>
      </c>
      <c r="U55" s="44"/>
      <c r="V55" s="44"/>
      <c r="X55" s="44"/>
      <c r="Y55" s="44"/>
      <c r="AA55" s="2" t="s">
        <v>6</v>
      </c>
      <c r="AB55" s="2" t="str">
        <f t="shared" si="71"/>
        <v>-</v>
      </c>
      <c r="AC55" s="2" t="s">
        <v>7</v>
      </c>
      <c r="AD55" s="2" t="str">
        <f t="shared" si="72"/>
        <v>_</v>
      </c>
      <c r="AE55" s="2">
        <v>0</v>
      </c>
      <c r="AF55" s="2" t="str">
        <f t="shared" si="73"/>
        <v/>
      </c>
      <c r="AH55" s="2" t="str">
        <f t="shared" si="74"/>
        <v/>
      </c>
    </row>
    <row r="56" spans="1:35" x14ac:dyDescent="0.25">
      <c r="B56" s="2" t="str">
        <f t="shared" si="69"/>
        <v>@color-mtb:scale_1</v>
      </c>
      <c r="C56" s="49" t="s">
        <v>175</v>
      </c>
      <c r="D56" s="50" t="s">
        <v>183</v>
      </c>
      <c r="F56" s="49" t="s">
        <v>175</v>
      </c>
      <c r="G56" s="50" t="s">
        <v>183</v>
      </c>
      <c r="I56" s="51" t="str">
        <f t="shared" si="70"/>
        <v>"#d7dc00"</v>
      </c>
      <c r="J56" s="52" t="str">
        <f t="shared" si="70"/>
        <v>"#c5c900"</v>
      </c>
      <c r="U56" s="44"/>
      <c r="V56" s="44"/>
      <c r="X56" s="44"/>
      <c r="Y56" s="44"/>
      <c r="AA56" s="2" t="s">
        <v>6</v>
      </c>
      <c r="AB56" s="2" t="str">
        <f t="shared" si="71"/>
        <v>-</v>
      </c>
      <c r="AC56" s="2" t="s">
        <v>7</v>
      </c>
      <c r="AD56" s="2" t="str">
        <f t="shared" si="72"/>
        <v>_</v>
      </c>
      <c r="AE56" s="2">
        <v>1</v>
      </c>
      <c r="AF56" s="2" t="str">
        <f t="shared" si="73"/>
        <v/>
      </c>
      <c r="AH56" s="2" t="str">
        <f t="shared" si="74"/>
        <v/>
      </c>
    </row>
    <row r="57" spans="1:35" x14ac:dyDescent="0.25">
      <c r="B57" s="2" t="str">
        <f t="shared" si="69"/>
        <v>@color-mtb:scale_2</v>
      </c>
      <c r="C57" s="53" t="s">
        <v>176</v>
      </c>
      <c r="D57" s="54" t="s">
        <v>184</v>
      </c>
      <c r="F57" s="53" t="s">
        <v>176</v>
      </c>
      <c r="G57" s="54" t="s">
        <v>184</v>
      </c>
      <c r="I57" s="55" t="str">
        <f t="shared" si="70"/>
        <v>"#feb13e"</v>
      </c>
      <c r="J57" s="56" t="str">
        <f t="shared" si="70"/>
        <v>"#f09000"</v>
      </c>
      <c r="U57" s="44"/>
      <c r="V57" s="44"/>
      <c r="X57" s="44"/>
      <c r="Y57" s="44"/>
      <c r="AA57" s="2" t="s">
        <v>6</v>
      </c>
      <c r="AB57" s="2" t="str">
        <f t="shared" si="71"/>
        <v>-</v>
      </c>
      <c r="AC57" s="2" t="s">
        <v>7</v>
      </c>
      <c r="AD57" s="2" t="str">
        <f t="shared" si="72"/>
        <v>_</v>
      </c>
      <c r="AE57" s="2">
        <v>2</v>
      </c>
      <c r="AF57" s="2" t="str">
        <f t="shared" si="73"/>
        <v/>
      </c>
      <c r="AH57" s="2" t="str">
        <f t="shared" si="74"/>
        <v/>
      </c>
    </row>
    <row r="58" spans="1:35" x14ac:dyDescent="0.25">
      <c r="B58" s="2" t="str">
        <f t="shared" si="69"/>
        <v>@color-mtb:scale_3</v>
      </c>
      <c r="C58" s="57" t="s">
        <v>177</v>
      </c>
      <c r="D58" s="57" t="s">
        <v>177</v>
      </c>
      <c r="F58" s="57" t="s">
        <v>177</v>
      </c>
      <c r="G58" s="57" t="s">
        <v>177</v>
      </c>
      <c r="I58" s="58" t="str">
        <f t="shared" si="70"/>
        <v>"#ff4f5e"</v>
      </c>
      <c r="J58" s="58" t="str">
        <f t="shared" si="70"/>
        <v>"#ff4f5e"</v>
      </c>
      <c r="U58" s="44"/>
      <c r="V58" s="44"/>
      <c r="X58" s="44"/>
      <c r="Y58" s="44"/>
      <c r="AA58" s="2" t="s">
        <v>6</v>
      </c>
      <c r="AB58" s="2" t="str">
        <f t="shared" si="71"/>
        <v>-</v>
      </c>
      <c r="AC58" s="2" t="s">
        <v>7</v>
      </c>
      <c r="AD58" s="2" t="str">
        <f t="shared" si="72"/>
        <v>_</v>
      </c>
      <c r="AE58" s="2">
        <v>3</v>
      </c>
      <c r="AF58" s="2" t="str">
        <f t="shared" si="73"/>
        <v/>
      </c>
      <c r="AH58" s="2" t="str">
        <f t="shared" si="74"/>
        <v/>
      </c>
    </row>
    <row r="59" spans="1:35" x14ac:dyDescent="0.25">
      <c r="B59" s="2" t="str">
        <f t="shared" si="69"/>
        <v>@color-mtb:scale_4</v>
      </c>
      <c r="C59" s="59" t="s">
        <v>178</v>
      </c>
      <c r="D59" s="60" t="s">
        <v>185</v>
      </c>
      <c r="F59" s="59" t="s">
        <v>178</v>
      </c>
      <c r="G59" s="60" t="s">
        <v>185</v>
      </c>
      <c r="I59" s="61" t="str">
        <f t="shared" si="70"/>
        <v>"#e50bdd"</v>
      </c>
      <c r="J59" s="62" t="str">
        <f t="shared" si="70"/>
        <v>"#d600ce"</v>
      </c>
      <c r="U59" s="44"/>
      <c r="V59" s="44"/>
      <c r="X59" s="44"/>
      <c r="Y59" s="44"/>
      <c r="AA59" s="2" t="s">
        <v>6</v>
      </c>
      <c r="AB59" s="2" t="str">
        <f t="shared" si="71"/>
        <v>-</v>
      </c>
      <c r="AC59" s="2" t="s">
        <v>7</v>
      </c>
      <c r="AD59" s="2" t="str">
        <f t="shared" si="72"/>
        <v>_</v>
      </c>
      <c r="AE59" s="2">
        <v>4</v>
      </c>
      <c r="AF59" s="2" t="str">
        <f t="shared" si="73"/>
        <v/>
      </c>
      <c r="AH59" s="2" t="str">
        <f t="shared" si="74"/>
        <v/>
      </c>
    </row>
    <row r="60" spans="1:35" x14ac:dyDescent="0.25">
      <c r="B60" s="2" t="str">
        <f t="shared" si="69"/>
        <v>@color-mtb:scale_5</v>
      </c>
      <c r="C60" s="63" t="s">
        <v>179</v>
      </c>
      <c r="D60" s="64" t="s">
        <v>186</v>
      </c>
      <c r="F60" s="63" t="s">
        <v>179</v>
      </c>
      <c r="G60" s="64" t="s">
        <v>186</v>
      </c>
      <c r="I60" s="65" t="str">
        <f t="shared" si="70"/>
        <v>"#9600c8"</v>
      </c>
      <c r="J60" s="66" t="str">
        <f t="shared" si="70"/>
        <v>"#7a3391"</v>
      </c>
      <c r="U60" s="44"/>
      <c r="V60" s="44"/>
      <c r="X60" s="44"/>
      <c r="Y60" s="44"/>
      <c r="AA60" s="2" t="s">
        <v>6</v>
      </c>
      <c r="AB60" s="2" t="str">
        <f t="shared" si="71"/>
        <v>-</v>
      </c>
      <c r="AC60" s="2" t="s">
        <v>7</v>
      </c>
      <c r="AD60" s="2" t="str">
        <f t="shared" si="72"/>
        <v>_</v>
      </c>
      <c r="AE60" s="2">
        <v>5</v>
      </c>
      <c r="AF60" s="2" t="str">
        <f t="shared" si="73"/>
        <v/>
      </c>
      <c r="AH60" s="2" t="str">
        <f t="shared" si="74"/>
        <v/>
      </c>
    </row>
    <row r="61" spans="1:35" x14ac:dyDescent="0.25">
      <c r="B61" s="2" t="str">
        <f t="shared" si="69"/>
        <v>@color-mtb:scale_6</v>
      </c>
      <c r="C61" s="67" t="s">
        <v>180</v>
      </c>
      <c r="D61" s="68" t="s">
        <v>187</v>
      </c>
      <c r="F61" s="67" t="s">
        <v>180</v>
      </c>
      <c r="G61" s="68" t="s">
        <v>187</v>
      </c>
      <c r="I61" s="69" t="str">
        <f t="shared" si="70"/>
        <v>"#8100ac"</v>
      </c>
      <c r="J61" s="70" t="str">
        <f t="shared" si="70"/>
        <v>"#593266"</v>
      </c>
      <c r="U61" s="44"/>
      <c r="V61" s="44"/>
      <c r="X61" s="44"/>
      <c r="Y61" s="44"/>
      <c r="AA61" s="2" t="s">
        <v>6</v>
      </c>
      <c r="AB61" s="2" t="str">
        <f t="shared" si="71"/>
        <v>-</v>
      </c>
      <c r="AC61" s="2" t="s">
        <v>7</v>
      </c>
      <c r="AD61" s="2" t="str">
        <f t="shared" si="72"/>
        <v>_</v>
      </c>
      <c r="AE61" s="2">
        <v>6</v>
      </c>
      <c r="AF61" s="2" t="str">
        <f t="shared" si="73"/>
        <v/>
      </c>
      <c r="AH61" s="2" t="str">
        <f t="shared" si="74"/>
        <v/>
      </c>
    </row>
    <row r="62" spans="1:35" x14ac:dyDescent="0.25">
      <c r="B62" s="2" t="str">
        <f t="shared" si="69"/>
        <v>@color-mtb:scale_null</v>
      </c>
      <c r="C62" s="38" t="s">
        <v>227</v>
      </c>
      <c r="D62" s="38" t="s">
        <v>227</v>
      </c>
      <c r="F62" s="31" t="s">
        <v>286</v>
      </c>
      <c r="G62" s="31" t="s">
        <v>286</v>
      </c>
      <c r="I62" s="38" t="s">
        <v>227</v>
      </c>
      <c r="J62" s="38" t="s">
        <v>227</v>
      </c>
      <c r="L62" s="31" t="s">
        <v>286</v>
      </c>
      <c r="M62" s="31" t="s">
        <v>286</v>
      </c>
      <c r="U62" s="44"/>
      <c r="V62" s="44"/>
      <c r="X62" s="44"/>
      <c r="Y62" s="44"/>
      <c r="AA62" s="2" t="s">
        <v>6</v>
      </c>
      <c r="AB62" s="2" t="str">
        <f t="shared" ref="AB62" si="75">IF(NOT(ISBLANK(AC62)),"-","")</f>
        <v>-</v>
      </c>
      <c r="AC62" s="2" t="s">
        <v>7</v>
      </c>
      <c r="AD62" s="2" t="str">
        <f t="shared" ref="AD62" si="76">IF(NOT(ISBLANK(AE62)),"_","")</f>
        <v>_</v>
      </c>
      <c r="AE62" s="2" t="s">
        <v>310</v>
      </c>
      <c r="AF62" s="2" t="str">
        <f t="shared" ref="AF62" si="77">IF(NOT(ISBLANK(AG62)),"_","")</f>
        <v/>
      </c>
      <c r="AH62" s="2" t="str">
        <f t="shared" si="74"/>
        <v/>
      </c>
    </row>
    <row r="63" spans="1:35" x14ac:dyDescent="0.25">
      <c r="B63" s="2"/>
      <c r="AA63" s="2"/>
      <c r="AB63" s="2" t="str">
        <f t="shared" si="71"/>
        <v/>
      </c>
      <c r="AC63" s="2"/>
      <c r="AD63" s="2" t="str">
        <f t="shared" si="72"/>
        <v/>
      </c>
      <c r="AE63" s="2"/>
      <c r="AF63" s="28" t="str">
        <f t="shared" si="73"/>
        <v/>
      </c>
      <c r="AH63" s="28" t="str">
        <f t="shared" si="74"/>
        <v/>
      </c>
    </row>
    <row r="64" spans="1:35" x14ac:dyDescent="0.25">
      <c r="B64" s="2" t="str">
        <f>_xlfn.CONCAT("@",AA64,AB64,AC64,AD64,AE64,AF64,AG64,AH64,AI64)</f>
        <v>@color-mtb:winter_1</v>
      </c>
      <c r="C64" s="44"/>
      <c r="D64" s="44"/>
      <c r="F64" s="44"/>
      <c r="G64" s="44"/>
      <c r="I64" s="44"/>
      <c r="J64" s="44"/>
      <c r="L64" s="44"/>
      <c r="M64" s="44"/>
      <c r="O64" s="44"/>
      <c r="P64" s="44"/>
      <c r="R64" s="44"/>
      <c r="S64" s="44"/>
      <c r="U64" s="45" t="s">
        <v>174</v>
      </c>
      <c r="V64" s="46" t="s">
        <v>182</v>
      </c>
      <c r="AA64" s="2" t="s">
        <v>6</v>
      </c>
      <c r="AB64" s="2" t="str">
        <f t="shared" ref="AB64" si="78">IF(NOT(ISBLANK(AC64)),"-","")</f>
        <v>-</v>
      </c>
      <c r="AC64" s="2" t="s">
        <v>230</v>
      </c>
      <c r="AD64" s="2" t="str">
        <f t="shared" ref="AD64" si="79">IF(NOT(ISBLANK(AE64)),"_","")</f>
        <v>_</v>
      </c>
      <c r="AE64" s="2">
        <v>1</v>
      </c>
      <c r="AF64" s="2" t="str">
        <f t="shared" ref="AF64" si="80">IF(NOT(ISBLANK(AG64)),"_","")</f>
        <v/>
      </c>
      <c r="AH64" s="2" t="str">
        <f t="shared" si="74"/>
        <v/>
      </c>
    </row>
    <row r="65" spans="1:35" x14ac:dyDescent="0.25">
      <c r="B65" s="2" t="str">
        <f t="shared" ref="B65:B66" si="81">_xlfn.CONCAT("@",AA65,AB65,AC65,AD65,AE65,AF65,AG65,AH65,AI65)</f>
        <v>@color-mtb:winter_2</v>
      </c>
      <c r="C65" s="44"/>
      <c r="D65" s="44"/>
      <c r="F65" s="44"/>
      <c r="G65" s="44"/>
      <c r="I65" s="44"/>
      <c r="J65" s="44"/>
      <c r="L65" s="44"/>
      <c r="M65" s="44"/>
      <c r="O65" s="44"/>
      <c r="P65" s="44"/>
      <c r="R65" s="44"/>
      <c r="S65" s="44"/>
      <c r="U65" s="49" t="s">
        <v>175</v>
      </c>
      <c r="V65" s="50" t="s">
        <v>183</v>
      </c>
      <c r="AA65" s="2" t="s">
        <v>6</v>
      </c>
      <c r="AB65" s="2" t="str">
        <f t="shared" ref="AB65:AB66" si="82">IF(NOT(ISBLANK(AC65)),"-","")</f>
        <v>-</v>
      </c>
      <c r="AC65" s="2" t="s">
        <v>230</v>
      </c>
      <c r="AD65" s="2" t="str">
        <f t="shared" ref="AD65:AD69" si="83">IF(NOT(ISBLANK(AE65)),"_","")</f>
        <v>_</v>
      </c>
      <c r="AE65" s="2">
        <v>2</v>
      </c>
      <c r="AF65" s="2" t="str">
        <f t="shared" ref="AF65:AF69" si="84">IF(NOT(ISBLANK(AG65)),"_","")</f>
        <v/>
      </c>
      <c r="AH65" s="2" t="str">
        <f t="shared" si="74"/>
        <v/>
      </c>
    </row>
    <row r="66" spans="1:35" x14ac:dyDescent="0.25">
      <c r="B66" s="2" t="str">
        <f t="shared" si="81"/>
        <v>@color-mtb:winter_3</v>
      </c>
      <c r="C66" s="44"/>
      <c r="D66" s="44"/>
      <c r="F66" s="44"/>
      <c r="G66" s="44"/>
      <c r="I66" s="44"/>
      <c r="J66" s="44"/>
      <c r="L66" s="44"/>
      <c r="M66" s="44"/>
      <c r="O66" s="44"/>
      <c r="P66" s="44"/>
      <c r="R66" s="44"/>
      <c r="S66" s="44"/>
      <c r="U66" s="53" t="s">
        <v>176</v>
      </c>
      <c r="V66" s="54" t="s">
        <v>184</v>
      </c>
      <c r="AA66" s="2" t="s">
        <v>6</v>
      </c>
      <c r="AB66" s="2" t="str">
        <f t="shared" si="82"/>
        <v>-</v>
      </c>
      <c r="AC66" s="2" t="s">
        <v>230</v>
      </c>
      <c r="AD66" s="2" t="str">
        <f t="shared" si="83"/>
        <v>_</v>
      </c>
      <c r="AE66" s="2">
        <v>3</v>
      </c>
      <c r="AF66" s="2" t="str">
        <f t="shared" si="84"/>
        <v/>
      </c>
      <c r="AH66" s="2" t="str">
        <f t="shared" si="74"/>
        <v/>
      </c>
    </row>
    <row r="67" spans="1:35" x14ac:dyDescent="0.25">
      <c r="B67" s="2"/>
      <c r="AA67" s="2"/>
      <c r="AB67" s="2"/>
      <c r="AC67" s="2"/>
      <c r="AD67" s="2"/>
      <c r="AE67" s="2"/>
    </row>
    <row r="68" spans="1:35" s="5" customFormat="1" x14ac:dyDescent="0.25">
      <c r="A68" s="27" t="s">
        <v>326</v>
      </c>
      <c r="B68" s="27"/>
      <c r="C68" s="27"/>
      <c r="D68" s="27"/>
      <c r="F68" s="27"/>
      <c r="G68" s="27"/>
      <c r="I68" s="27"/>
      <c r="J68" s="27"/>
      <c r="L68" s="27"/>
      <c r="M68" s="27"/>
      <c r="O68" s="27"/>
      <c r="P68" s="27"/>
      <c r="R68" s="27"/>
      <c r="S68" s="27"/>
      <c r="U68" s="27"/>
      <c r="V68" s="27"/>
      <c r="X68" s="27"/>
      <c r="Y68" s="27"/>
      <c r="AA68" s="27"/>
      <c r="AB68" s="27"/>
      <c r="AC68" s="27"/>
      <c r="AD68" s="27"/>
      <c r="AE68" s="27"/>
      <c r="AF68" s="27"/>
      <c r="AG68" s="27"/>
      <c r="AH68" s="27"/>
      <c r="AI68" s="27"/>
    </row>
    <row r="69" spans="1:35" x14ac:dyDescent="0.25">
      <c r="B69" s="2" t="str">
        <f t="shared" ref="B69:B84" si="85">_xlfn.CONCAT("@",AA69,AB69,AC69,AD69,AE69,AF69,AG69,AH69,AI69)</f>
        <v>@case_width-path_narrow_z11</v>
      </c>
      <c r="C69" s="28" t="s">
        <v>301</v>
      </c>
      <c r="D69" s="28" t="s">
        <v>302</v>
      </c>
      <c r="F69" s="28" t="s">
        <v>301</v>
      </c>
      <c r="G69" s="28" t="s">
        <v>302</v>
      </c>
      <c r="I69" s="28" t="s">
        <v>98</v>
      </c>
      <c r="L69" s="28" t="s">
        <v>98</v>
      </c>
      <c r="AA69" s="2" t="s">
        <v>81</v>
      </c>
      <c r="AB69" s="2" t="str">
        <f t="shared" ref="AB69" si="86">IF(NOT(ISBLANK(AC69)),"-","")</f>
        <v>-</v>
      </c>
      <c r="AC69" s="2" t="s">
        <v>74</v>
      </c>
      <c r="AD69" s="2" t="str">
        <f t="shared" si="83"/>
        <v>_</v>
      </c>
      <c r="AE69" s="2" t="s">
        <v>75</v>
      </c>
      <c r="AF69" s="2" t="str">
        <f t="shared" si="84"/>
        <v>_</v>
      </c>
      <c r="AG69" s="28" t="s">
        <v>73</v>
      </c>
      <c r="AH69" s="2" t="str">
        <f t="shared" ref="AH69:AH84" si="87">IF(NOT(ISBLANK(AI69)),"_","")</f>
        <v/>
      </c>
    </row>
    <row r="70" spans="1:35" x14ac:dyDescent="0.25">
      <c r="B70" s="2" t="str">
        <f t="shared" si="85"/>
        <v>@case_width-path_medium_z11</v>
      </c>
      <c r="C70" s="28" t="s">
        <v>87</v>
      </c>
      <c r="D70" s="28" t="s">
        <v>306</v>
      </c>
      <c r="F70" s="28" t="s">
        <v>87</v>
      </c>
      <c r="G70" s="28" t="s">
        <v>306</v>
      </c>
      <c r="I70" s="28" t="s">
        <v>99</v>
      </c>
      <c r="L70" s="28" t="s">
        <v>99</v>
      </c>
      <c r="AA70" s="2" t="s">
        <v>81</v>
      </c>
      <c r="AB70" s="2" t="str">
        <f t="shared" ref="AB70" si="88">IF(NOT(ISBLANK(AC70)),"-","")</f>
        <v>-</v>
      </c>
      <c r="AC70" s="2" t="s">
        <v>74</v>
      </c>
      <c r="AD70" s="2" t="str">
        <f t="shared" ref="AD70" si="89">IF(NOT(ISBLANK(AE70)),"_","")</f>
        <v>_</v>
      </c>
      <c r="AE70" s="2" t="s">
        <v>82</v>
      </c>
      <c r="AF70" s="2" t="str">
        <f t="shared" ref="AF70" si="90">IF(NOT(ISBLANK(AG70)),"_","")</f>
        <v>_</v>
      </c>
      <c r="AG70" s="28" t="s">
        <v>73</v>
      </c>
      <c r="AH70" s="2" t="str">
        <f t="shared" si="87"/>
        <v/>
      </c>
    </row>
    <row r="71" spans="1:35" x14ac:dyDescent="0.25">
      <c r="B71" s="2" t="str">
        <f t="shared" si="85"/>
        <v>@case_width-path_wide_z11</v>
      </c>
      <c r="C71" s="28" t="s">
        <v>302</v>
      </c>
      <c r="D71" s="28" t="s">
        <v>304</v>
      </c>
      <c r="F71" s="28" t="s">
        <v>302</v>
      </c>
      <c r="G71" s="28" t="s">
        <v>304</v>
      </c>
      <c r="I71" s="28" t="s">
        <v>87</v>
      </c>
      <c r="L71" s="28" t="s">
        <v>87</v>
      </c>
      <c r="AA71" s="2" t="s">
        <v>81</v>
      </c>
      <c r="AB71" s="2" t="str">
        <f t="shared" ref="AB71:AB74" si="91">IF(NOT(ISBLANK(AC71)),"-","")</f>
        <v>-</v>
      </c>
      <c r="AC71" s="2" t="s">
        <v>74</v>
      </c>
      <c r="AD71" s="2" t="str">
        <f t="shared" ref="AD71:AD74" si="92">IF(NOT(ISBLANK(AE71)),"_","")</f>
        <v>_</v>
      </c>
      <c r="AE71" s="2" t="s">
        <v>80</v>
      </c>
      <c r="AF71" s="2" t="str">
        <f t="shared" ref="AF71:AF74" si="93">IF(NOT(ISBLANK(AG71)),"_","")</f>
        <v>_</v>
      </c>
      <c r="AG71" s="28" t="s">
        <v>73</v>
      </c>
      <c r="AH71" s="2" t="str">
        <f t="shared" si="87"/>
        <v/>
      </c>
    </row>
    <row r="72" spans="1:35" x14ac:dyDescent="0.25">
      <c r="B72" s="2" t="str">
        <f t="shared" si="85"/>
        <v>@case_width-path_widest_z11</v>
      </c>
      <c r="C72" s="28" t="s">
        <v>302</v>
      </c>
      <c r="D72" s="28" t="s">
        <v>304</v>
      </c>
      <c r="F72" s="28" t="s">
        <v>302</v>
      </c>
      <c r="G72" s="28" t="s">
        <v>304</v>
      </c>
      <c r="I72" s="28" t="s">
        <v>87</v>
      </c>
      <c r="L72" s="28" t="s">
        <v>87</v>
      </c>
      <c r="AA72" s="2" t="s">
        <v>81</v>
      </c>
      <c r="AB72" s="2" t="str">
        <f t="shared" ref="AB72" si="94">IF(NOT(ISBLANK(AC72)),"-","")</f>
        <v>-</v>
      </c>
      <c r="AC72" s="2" t="s">
        <v>74</v>
      </c>
      <c r="AD72" s="2" t="str">
        <f t="shared" ref="AD72" si="95">IF(NOT(ISBLANK(AE72)),"_","")</f>
        <v>_</v>
      </c>
      <c r="AE72" s="2" t="s">
        <v>303</v>
      </c>
      <c r="AF72" s="2" t="str">
        <f t="shared" ref="AF72" si="96">IF(NOT(ISBLANK(AG72)),"_","")</f>
        <v>_</v>
      </c>
      <c r="AG72" s="28" t="s">
        <v>73</v>
      </c>
      <c r="AH72" s="2" t="str">
        <f t="shared" si="87"/>
        <v/>
      </c>
    </row>
    <row r="73" spans="1:35" x14ac:dyDescent="0.25">
      <c r="B73" s="2" t="str">
        <f t="shared" si="85"/>
        <v>@case_width-path_narrow_z14</v>
      </c>
      <c r="C73" s="28" t="s">
        <v>84</v>
      </c>
      <c r="D73" s="28" t="s">
        <v>93</v>
      </c>
      <c r="F73" s="28" t="s">
        <v>84</v>
      </c>
      <c r="G73" s="28" t="s">
        <v>93</v>
      </c>
      <c r="I73" s="28" t="s">
        <v>301</v>
      </c>
      <c r="L73" s="28" t="s">
        <v>301</v>
      </c>
      <c r="AA73" s="2" t="s">
        <v>81</v>
      </c>
      <c r="AB73" s="2" t="str">
        <f t="shared" si="91"/>
        <v>-</v>
      </c>
      <c r="AC73" s="2" t="s">
        <v>74</v>
      </c>
      <c r="AD73" s="2" t="str">
        <f t="shared" si="92"/>
        <v>_</v>
      </c>
      <c r="AE73" s="2" t="s">
        <v>75</v>
      </c>
      <c r="AF73" s="2" t="str">
        <f t="shared" si="93"/>
        <v>_</v>
      </c>
      <c r="AG73" s="28" t="s">
        <v>77</v>
      </c>
      <c r="AH73" s="2" t="str">
        <f t="shared" si="87"/>
        <v/>
      </c>
    </row>
    <row r="74" spans="1:35" x14ac:dyDescent="0.25">
      <c r="B74" s="2" t="str">
        <f t="shared" si="85"/>
        <v>@case_width-path_medium_z14</v>
      </c>
      <c r="C74" s="28" t="s">
        <v>302</v>
      </c>
      <c r="D74" s="28" t="s">
        <v>304</v>
      </c>
      <c r="F74" s="28" t="s">
        <v>302</v>
      </c>
      <c r="G74" s="28" t="s">
        <v>304</v>
      </c>
      <c r="I74" s="28" t="s">
        <v>100</v>
      </c>
      <c r="L74" s="28" t="s">
        <v>100</v>
      </c>
      <c r="AA74" s="2" t="s">
        <v>81</v>
      </c>
      <c r="AB74" s="2" t="str">
        <f t="shared" si="91"/>
        <v>-</v>
      </c>
      <c r="AC74" s="2" t="s">
        <v>74</v>
      </c>
      <c r="AD74" s="2" t="str">
        <f t="shared" si="92"/>
        <v>_</v>
      </c>
      <c r="AE74" s="2" t="s">
        <v>82</v>
      </c>
      <c r="AF74" s="2" t="str">
        <f t="shared" si="93"/>
        <v>_</v>
      </c>
      <c r="AG74" s="28" t="s">
        <v>77</v>
      </c>
      <c r="AH74" s="2" t="str">
        <f t="shared" si="87"/>
        <v/>
      </c>
    </row>
    <row r="75" spans="1:35" x14ac:dyDescent="0.25">
      <c r="B75" s="2" t="str">
        <f t="shared" si="85"/>
        <v>@case_width-path_wide_z14</v>
      </c>
      <c r="C75" s="28" t="s">
        <v>306</v>
      </c>
      <c r="D75" s="28" t="s">
        <v>305</v>
      </c>
      <c r="F75" s="28" t="s">
        <v>306</v>
      </c>
      <c r="G75" s="28" t="s">
        <v>305</v>
      </c>
      <c r="I75" s="28" t="s">
        <v>101</v>
      </c>
      <c r="L75" s="28" t="s">
        <v>101</v>
      </c>
      <c r="AA75" s="2" t="s">
        <v>81</v>
      </c>
      <c r="AB75" s="2" t="str">
        <f t="shared" ref="AB75:AB78" si="97">IF(NOT(ISBLANK(AC75)),"-","")</f>
        <v>-</v>
      </c>
      <c r="AC75" s="2" t="s">
        <v>74</v>
      </c>
      <c r="AD75" s="2" t="str">
        <f t="shared" ref="AD75:AD78" si="98">IF(NOT(ISBLANK(AE75)),"_","")</f>
        <v>_</v>
      </c>
      <c r="AE75" s="2" t="s">
        <v>80</v>
      </c>
      <c r="AF75" s="2" t="str">
        <f t="shared" ref="AF75:AF78" si="99">IF(NOT(ISBLANK(AG75)),"_","")</f>
        <v>_</v>
      </c>
      <c r="AG75" s="28" t="s">
        <v>77</v>
      </c>
      <c r="AH75" s="2" t="str">
        <f t="shared" si="87"/>
        <v/>
      </c>
    </row>
    <row r="76" spans="1:35" x14ac:dyDescent="0.25">
      <c r="B76" s="2" t="str">
        <f t="shared" si="85"/>
        <v>@case_width-path_widest_z14</v>
      </c>
      <c r="C76" s="28" t="s">
        <v>306</v>
      </c>
      <c r="D76" s="28" t="s">
        <v>305</v>
      </c>
      <c r="F76" s="28" t="s">
        <v>306</v>
      </c>
      <c r="G76" s="28" t="s">
        <v>305</v>
      </c>
      <c r="I76" s="28" t="s">
        <v>101</v>
      </c>
      <c r="L76" s="28" t="s">
        <v>101</v>
      </c>
      <c r="AA76" s="2" t="s">
        <v>81</v>
      </c>
      <c r="AB76" s="2" t="str">
        <f t="shared" ref="AB76" si="100">IF(NOT(ISBLANK(AC76)),"-","")</f>
        <v>-</v>
      </c>
      <c r="AC76" s="2" t="s">
        <v>74</v>
      </c>
      <c r="AD76" s="2" t="str">
        <f t="shared" ref="AD76" si="101">IF(NOT(ISBLANK(AE76)),"_","")</f>
        <v>_</v>
      </c>
      <c r="AE76" s="2" t="s">
        <v>303</v>
      </c>
      <c r="AF76" s="2" t="str">
        <f t="shared" ref="AF76" si="102">IF(NOT(ISBLANK(AG76)),"_","")</f>
        <v>_</v>
      </c>
      <c r="AG76" s="28" t="s">
        <v>77</v>
      </c>
      <c r="AH76" s="2" t="str">
        <f t="shared" si="87"/>
        <v/>
      </c>
    </row>
    <row r="77" spans="1:35" x14ac:dyDescent="0.25">
      <c r="B77" s="2" t="str">
        <f t="shared" si="85"/>
        <v>@case_width-path_narrow_z16</v>
      </c>
      <c r="C77" s="28" t="s">
        <v>306</v>
      </c>
      <c r="D77" s="28" t="s">
        <v>306</v>
      </c>
      <c r="F77" s="28" t="s">
        <v>306</v>
      </c>
      <c r="G77" s="28" t="s">
        <v>306</v>
      </c>
      <c r="I77" s="28" t="s">
        <v>301</v>
      </c>
      <c r="L77" s="28" t="s">
        <v>301</v>
      </c>
      <c r="AA77" s="2" t="s">
        <v>81</v>
      </c>
      <c r="AB77" s="2" t="str">
        <f t="shared" si="97"/>
        <v>-</v>
      </c>
      <c r="AC77" s="2" t="s">
        <v>74</v>
      </c>
      <c r="AD77" s="2" t="str">
        <f t="shared" si="98"/>
        <v>_</v>
      </c>
      <c r="AE77" s="2" t="s">
        <v>75</v>
      </c>
      <c r="AF77" s="2" t="str">
        <f t="shared" si="99"/>
        <v>_</v>
      </c>
      <c r="AG77" s="28" t="s">
        <v>78</v>
      </c>
      <c r="AH77" s="2" t="str">
        <f t="shared" si="87"/>
        <v/>
      </c>
    </row>
    <row r="78" spans="1:35" x14ac:dyDescent="0.25">
      <c r="B78" s="2" t="str">
        <f t="shared" si="85"/>
        <v>@case_width-path_medium_z16</v>
      </c>
      <c r="C78" s="28" t="s">
        <v>305</v>
      </c>
      <c r="D78" s="28" t="s">
        <v>305</v>
      </c>
      <c r="F78" s="28" t="s">
        <v>305</v>
      </c>
      <c r="G78" s="28" t="s">
        <v>305</v>
      </c>
      <c r="I78" s="28" t="s">
        <v>101</v>
      </c>
      <c r="L78" s="28" t="s">
        <v>101</v>
      </c>
      <c r="AA78" s="2" t="s">
        <v>81</v>
      </c>
      <c r="AB78" s="2" t="str">
        <f t="shared" si="97"/>
        <v>-</v>
      </c>
      <c r="AC78" s="2" t="s">
        <v>74</v>
      </c>
      <c r="AD78" s="2" t="str">
        <f t="shared" si="98"/>
        <v>_</v>
      </c>
      <c r="AE78" s="2" t="s">
        <v>82</v>
      </c>
      <c r="AF78" s="2" t="str">
        <f t="shared" si="99"/>
        <v>_</v>
      </c>
      <c r="AG78" s="28" t="s">
        <v>78</v>
      </c>
      <c r="AH78" s="2" t="str">
        <f t="shared" si="87"/>
        <v/>
      </c>
    </row>
    <row r="79" spans="1:35" x14ac:dyDescent="0.25">
      <c r="B79" s="2" t="str">
        <f t="shared" si="85"/>
        <v>@case_width-path_wide_z16</v>
      </c>
      <c r="C79" s="28" t="s">
        <v>307</v>
      </c>
      <c r="D79" s="28" t="s">
        <v>307</v>
      </c>
      <c r="F79" s="28" t="s">
        <v>307</v>
      </c>
      <c r="G79" s="28" t="s">
        <v>307</v>
      </c>
      <c r="I79" s="28" t="s">
        <v>102</v>
      </c>
      <c r="L79" s="28" t="s">
        <v>102</v>
      </c>
      <c r="AA79" s="2" t="s">
        <v>81</v>
      </c>
      <c r="AB79" s="2" t="str">
        <f t="shared" ref="AB79:AB82" si="103">IF(NOT(ISBLANK(AC79)),"-","")</f>
        <v>-</v>
      </c>
      <c r="AC79" s="2" t="s">
        <v>74</v>
      </c>
      <c r="AD79" s="2" t="str">
        <f t="shared" ref="AD79:AD82" si="104">IF(NOT(ISBLANK(AE79)),"_","")</f>
        <v>_</v>
      </c>
      <c r="AE79" s="2" t="s">
        <v>80</v>
      </c>
      <c r="AF79" s="2" t="str">
        <f t="shared" ref="AF79:AF82" si="105">IF(NOT(ISBLANK(AG79)),"_","")</f>
        <v>_</v>
      </c>
      <c r="AG79" s="28" t="s">
        <v>78</v>
      </c>
      <c r="AH79" s="2" t="str">
        <f t="shared" si="87"/>
        <v/>
      </c>
    </row>
    <row r="80" spans="1:35" x14ac:dyDescent="0.25">
      <c r="B80" s="2" t="str">
        <f t="shared" si="85"/>
        <v>@case_width-path_widest_z16</v>
      </c>
      <c r="C80" s="28" t="s">
        <v>307</v>
      </c>
      <c r="D80" s="28" t="s">
        <v>307</v>
      </c>
      <c r="F80" s="28" t="s">
        <v>307</v>
      </c>
      <c r="G80" s="28" t="s">
        <v>307</v>
      </c>
      <c r="I80" s="28" t="s">
        <v>102</v>
      </c>
      <c r="L80" s="28" t="s">
        <v>102</v>
      </c>
      <c r="AA80" s="2" t="s">
        <v>81</v>
      </c>
      <c r="AB80" s="2" t="str">
        <f t="shared" ref="AB80" si="106">IF(NOT(ISBLANK(AC80)),"-","")</f>
        <v>-</v>
      </c>
      <c r="AC80" s="2" t="s">
        <v>74</v>
      </c>
      <c r="AD80" s="2" t="str">
        <f t="shared" ref="AD80" si="107">IF(NOT(ISBLANK(AE80)),"_","")</f>
        <v>_</v>
      </c>
      <c r="AE80" s="2" t="s">
        <v>303</v>
      </c>
      <c r="AF80" s="2" t="str">
        <f t="shared" ref="AF80" si="108">IF(NOT(ISBLANK(AG80)),"_","")</f>
        <v>_</v>
      </c>
      <c r="AG80" s="28" t="s">
        <v>78</v>
      </c>
      <c r="AH80" s="2" t="str">
        <f t="shared" si="87"/>
        <v/>
      </c>
    </row>
    <row r="81" spans="1:35" x14ac:dyDescent="0.25">
      <c r="B81" s="2" t="str">
        <f t="shared" si="85"/>
        <v>@case_width-path_narrow_z18</v>
      </c>
      <c r="C81" s="28" t="s">
        <v>308</v>
      </c>
      <c r="D81" s="28" t="s">
        <v>94</v>
      </c>
      <c r="F81" s="28" t="s">
        <v>308</v>
      </c>
      <c r="G81" s="28" t="s">
        <v>94</v>
      </c>
      <c r="I81" s="28" t="s">
        <v>87</v>
      </c>
      <c r="L81" s="28" t="s">
        <v>87</v>
      </c>
      <c r="AA81" s="2" t="s">
        <v>81</v>
      </c>
      <c r="AB81" s="2" t="str">
        <f t="shared" si="103"/>
        <v>-</v>
      </c>
      <c r="AC81" s="2" t="s">
        <v>74</v>
      </c>
      <c r="AD81" s="2" t="str">
        <f t="shared" si="104"/>
        <v>_</v>
      </c>
      <c r="AE81" s="2" t="s">
        <v>75</v>
      </c>
      <c r="AF81" s="2" t="str">
        <f t="shared" si="105"/>
        <v>_</v>
      </c>
      <c r="AG81" s="28" t="s">
        <v>79</v>
      </c>
      <c r="AH81" s="2" t="str">
        <f t="shared" si="87"/>
        <v/>
      </c>
    </row>
    <row r="82" spans="1:35" x14ac:dyDescent="0.25">
      <c r="B82" s="2" t="str">
        <f t="shared" si="85"/>
        <v>@case_width-path_medium_z18</v>
      </c>
      <c r="C82" s="28" t="s">
        <v>307</v>
      </c>
      <c r="D82" s="28" t="s">
        <v>96</v>
      </c>
      <c r="F82" s="28" t="s">
        <v>307</v>
      </c>
      <c r="G82" s="28" t="s">
        <v>96</v>
      </c>
      <c r="I82" s="28" t="s">
        <v>102</v>
      </c>
      <c r="L82" s="28" t="s">
        <v>102</v>
      </c>
      <c r="AA82" s="2" t="s">
        <v>81</v>
      </c>
      <c r="AB82" s="2" t="str">
        <f t="shared" si="103"/>
        <v>-</v>
      </c>
      <c r="AC82" s="2" t="s">
        <v>74</v>
      </c>
      <c r="AD82" s="2" t="str">
        <f t="shared" si="104"/>
        <v>_</v>
      </c>
      <c r="AE82" s="2" t="s">
        <v>82</v>
      </c>
      <c r="AF82" s="2" t="str">
        <f t="shared" si="105"/>
        <v>_</v>
      </c>
      <c r="AG82" s="28" t="s">
        <v>79</v>
      </c>
      <c r="AH82" s="2" t="str">
        <f t="shared" si="87"/>
        <v/>
      </c>
    </row>
    <row r="83" spans="1:35" x14ac:dyDescent="0.25">
      <c r="B83" s="2" t="str">
        <f t="shared" si="85"/>
        <v>@case_width-path_wide_z18</v>
      </c>
      <c r="C83" s="28" t="s">
        <v>309</v>
      </c>
      <c r="D83" s="28" t="s">
        <v>97</v>
      </c>
      <c r="F83" s="28" t="s">
        <v>309</v>
      </c>
      <c r="G83" s="28" t="s">
        <v>97</v>
      </c>
      <c r="I83" s="28" t="s">
        <v>103</v>
      </c>
      <c r="L83" s="28" t="s">
        <v>103</v>
      </c>
      <c r="AA83" s="2" t="s">
        <v>81</v>
      </c>
      <c r="AB83" s="2" t="str">
        <f t="shared" ref="AB83" si="109">IF(NOT(ISBLANK(AC83)),"-","")</f>
        <v>-</v>
      </c>
      <c r="AC83" s="2" t="s">
        <v>74</v>
      </c>
      <c r="AD83" s="2" t="str">
        <f t="shared" ref="AD83" si="110">IF(NOT(ISBLANK(AE83)),"_","")</f>
        <v>_</v>
      </c>
      <c r="AE83" s="2" t="s">
        <v>80</v>
      </c>
      <c r="AF83" s="2" t="str">
        <f t="shared" ref="AF83" si="111">IF(NOT(ISBLANK(AG83)),"_","")</f>
        <v>_</v>
      </c>
      <c r="AG83" s="28" t="s">
        <v>79</v>
      </c>
      <c r="AH83" s="2" t="str">
        <f t="shared" si="87"/>
        <v/>
      </c>
    </row>
    <row r="84" spans="1:35" x14ac:dyDescent="0.25">
      <c r="B84" s="2" t="str">
        <f t="shared" si="85"/>
        <v>@case_width-path_widest_z18</v>
      </c>
      <c r="C84" s="28" t="s">
        <v>309</v>
      </c>
      <c r="D84" s="28" t="s">
        <v>97</v>
      </c>
      <c r="F84" s="28" t="s">
        <v>309</v>
      </c>
      <c r="G84" s="28" t="s">
        <v>97</v>
      </c>
      <c r="I84" s="28" t="s">
        <v>103</v>
      </c>
      <c r="L84" s="28" t="s">
        <v>103</v>
      </c>
      <c r="AA84" s="2" t="s">
        <v>81</v>
      </c>
      <c r="AB84" s="2" t="str">
        <f t="shared" ref="AB84" si="112">IF(NOT(ISBLANK(AC84)),"-","")</f>
        <v>-</v>
      </c>
      <c r="AC84" s="2" t="s">
        <v>74</v>
      </c>
      <c r="AD84" s="2" t="str">
        <f t="shared" ref="AD84" si="113">IF(NOT(ISBLANK(AE84)),"_","")</f>
        <v>_</v>
      </c>
      <c r="AE84" s="2" t="s">
        <v>303</v>
      </c>
      <c r="AF84" s="2" t="str">
        <f t="shared" ref="AF84" si="114">IF(NOT(ISBLANK(AG84)),"_","")</f>
        <v>_</v>
      </c>
      <c r="AG84" s="28" t="s">
        <v>79</v>
      </c>
      <c r="AH84" s="2" t="str">
        <f t="shared" si="87"/>
        <v/>
      </c>
    </row>
    <row r="85" spans="1:35" x14ac:dyDescent="0.25">
      <c r="B85" s="2"/>
      <c r="AA85" s="2"/>
      <c r="AB85" s="2"/>
      <c r="AC85" s="2"/>
      <c r="AD85" s="2"/>
      <c r="AE85" s="2"/>
    </row>
    <row r="86" spans="1:35" s="5" customFormat="1" x14ac:dyDescent="0.25">
      <c r="A86" s="27" t="s">
        <v>327</v>
      </c>
      <c r="B86" s="27"/>
      <c r="C86" s="27"/>
      <c r="D86" s="27"/>
      <c r="F86" s="27"/>
      <c r="G86" s="27"/>
      <c r="I86" s="27"/>
      <c r="J86" s="27"/>
      <c r="L86" s="27"/>
      <c r="M86" s="27"/>
      <c r="O86" s="27"/>
      <c r="P86" s="27"/>
      <c r="R86" s="27"/>
      <c r="S86" s="27"/>
      <c r="U86" s="27"/>
      <c r="V86" s="27"/>
      <c r="X86" s="27"/>
      <c r="Y86" s="27"/>
      <c r="AA86" s="27"/>
      <c r="AB86" s="27"/>
      <c r="AC86" s="27"/>
      <c r="AD86" s="27"/>
      <c r="AE86" s="27"/>
      <c r="AF86" s="27"/>
      <c r="AG86" s="27"/>
      <c r="AH86" s="27"/>
      <c r="AI86" s="27"/>
    </row>
    <row r="87" spans="1:35" x14ac:dyDescent="0.25">
      <c r="B87" s="2" t="str">
        <f t="shared" ref="B87:B102" si="115">_xlfn.CONCAT("@",AA87,AB87,AC87,AD87,AE87,AF87,AG87,AH87,AI87)</f>
        <v>@line_width-path_narrow_z12</v>
      </c>
      <c r="C87" s="28" t="s">
        <v>123</v>
      </c>
      <c r="D87" s="28" t="s">
        <v>125</v>
      </c>
      <c r="F87" s="28" t="s">
        <v>123</v>
      </c>
      <c r="G87" s="28" t="s">
        <v>125</v>
      </c>
      <c r="I87" s="28" t="s">
        <v>123</v>
      </c>
      <c r="L87" s="28" t="s">
        <v>123</v>
      </c>
      <c r="AA87" s="2" t="s">
        <v>122</v>
      </c>
      <c r="AB87" s="2" t="str">
        <f t="shared" ref="AB87:AB102" si="116">IF(NOT(ISBLANK(AC87)),"-","")</f>
        <v>-</v>
      </c>
      <c r="AC87" s="2" t="s">
        <v>74</v>
      </c>
      <c r="AD87" s="2" t="str">
        <f t="shared" ref="AD87:AD102" si="117">IF(NOT(ISBLANK(AE87)),"_","")</f>
        <v>_</v>
      </c>
      <c r="AE87" s="2" t="s">
        <v>75</v>
      </c>
      <c r="AF87" s="2" t="str">
        <f t="shared" ref="AF87:AF102" si="118">IF(NOT(ISBLANK(AG87)),"_","")</f>
        <v>_</v>
      </c>
      <c r="AG87" s="28" t="s">
        <v>112</v>
      </c>
      <c r="AH87" s="2" t="str">
        <f t="shared" ref="AH87:AH102" si="119">IF(NOT(ISBLANK(AI87)),"_","")</f>
        <v/>
      </c>
    </row>
    <row r="88" spans="1:35" x14ac:dyDescent="0.25">
      <c r="B88" s="2" t="str">
        <f t="shared" si="115"/>
        <v>@line_width-path_medium_z12</v>
      </c>
      <c r="C88" s="28" t="s">
        <v>125</v>
      </c>
      <c r="D88" s="28" t="s">
        <v>119</v>
      </c>
      <c r="F88" s="28" t="s">
        <v>125</v>
      </c>
      <c r="G88" s="28" t="s">
        <v>119</v>
      </c>
      <c r="I88" s="28" t="s">
        <v>125</v>
      </c>
      <c r="L88" s="28" t="s">
        <v>125</v>
      </c>
      <c r="AA88" s="2" t="s">
        <v>122</v>
      </c>
      <c r="AB88" s="2" t="str">
        <f t="shared" si="116"/>
        <v>-</v>
      </c>
      <c r="AC88" s="2" t="s">
        <v>74</v>
      </c>
      <c r="AD88" s="2" t="str">
        <f t="shared" si="117"/>
        <v>_</v>
      </c>
      <c r="AE88" s="2" t="s">
        <v>82</v>
      </c>
      <c r="AF88" s="2" t="str">
        <f t="shared" si="118"/>
        <v>_</v>
      </c>
      <c r="AG88" s="28" t="s">
        <v>112</v>
      </c>
      <c r="AH88" s="2" t="str">
        <f t="shared" si="119"/>
        <v/>
      </c>
    </row>
    <row r="89" spans="1:35" x14ac:dyDescent="0.25">
      <c r="B89" s="2" t="str">
        <f t="shared" si="115"/>
        <v>@line_width-path_wide_z12</v>
      </c>
      <c r="C89" s="28" t="s">
        <v>100</v>
      </c>
      <c r="D89" s="28" t="s">
        <v>126</v>
      </c>
      <c r="F89" s="28" t="s">
        <v>100</v>
      </c>
      <c r="G89" s="28" t="s">
        <v>126</v>
      </c>
      <c r="I89" s="28" t="s">
        <v>100</v>
      </c>
      <c r="L89" s="28" t="s">
        <v>100</v>
      </c>
      <c r="AA89" s="2" t="s">
        <v>122</v>
      </c>
      <c r="AB89" s="2" t="str">
        <f t="shared" si="116"/>
        <v>-</v>
      </c>
      <c r="AC89" s="2" t="s">
        <v>74</v>
      </c>
      <c r="AD89" s="2" t="str">
        <f t="shared" si="117"/>
        <v>_</v>
      </c>
      <c r="AE89" s="2" t="s">
        <v>80</v>
      </c>
      <c r="AF89" s="2" t="str">
        <f t="shared" si="118"/>
        <v>_</v>
      </c>
      <c r="AG89" s="28" t="s">
        <v>112</v>
      </c>
      <c r="AH89" s="2" t="str">
        <f t="shared" si="119"/>
        <v/>
      </c>
    </row>
    <row r="90" spans="1:35" x14ac:dyDescent="0.25">
      <c r="B90" s="2" t="str">
        <f t="shared" si="115"/>
        <v>@line_width-path_widest_z12</v>
      </c>
      <c r="C90" s="28" t="s">
        <v>100</v>
      </c>
      <c r="D90" s="28" t="s">
        <v>126</v>
      </c>
      <c r="F90" s="28" t="s">
        <v>100</v>
      </c>
      <c r="G90" s="28" t="s">
        <v>126</v>
      </c>
      <c r="I90" s="28" t="s">
        <v>100</v>
      </c>
      <c r="L90" s="28" t="s">
        <v>100</v>
      </c>
      <c r="AA90" s="2" t="s">
        <v>122</v>
      </c>
      <c r="AB90" s="2" t="str">
        <f t="shared" si="116"/>
        <v>-</v>
      </c>
      <c r="AC90" s="2" t="s">
        <v>74</v>
      </c>
      <c r="AD90" s="2" t="str">
        <f t="shared" si="117"/>
        <v>_</v>
      </c>
      <c r="AE90" s="2" t="s">
        <v>303</v>
      </c>
      <c r="AF90" s="2" t="str">
        <f t="shared" si="118"/>
        <v>_</v>
      </c>
      <c r="AG90" s="28" t="s">
        <v>112</v>
      </c>
      <c r="AH90" s="2" t="str">
        <f t="shared" si="119"/>
        <v/>
      </c>
    </row>
    <row r="91" spans="1:35" x14ac:dyDescent="0.25">
      <c r="B91" s="2" t="str">
        <f t="shared" si="115"/>
        <v>@line_width-path_narrow_z14</v>
      </c>
      <c r="C91" s="28" t="s">
        <v>99</v>
      </c>
      <c r="D91" s="28" t="s">
        <v>100</v>
      </c>
      <c r="F91" s="28" t="s">
        <v>99</v>
      </c>
      <c r="G91" s="28" t="s">
        <v>100</v>
      </c>
      <c r="I91" s="28" t="s">
        <v>98</v>
      </c>
      <c r="L91" s="28" t="s">
        <v>98</v>
      </c>
      <c r="AA91" s="2" t="s">
        <v>122</v>
      </c>
      <c r="AB91" s="2" t="str">
        <f t="shared" si="116"/>
        <v>-</v>
      </c>
      <c r="AC91" s="2" t="s">
        <v>74</v>
      </c>
      <c r="AD91" s="2" t="str">
        <f t="shared" si="117"/>
        <v>_</v>
      </c>
      <c r="AE91" s="2" t="s">
        <v>75</v>
      </c>
      <c r="AF91" s="2" t="str">
        <f t="shared" si="118"/>
        <v>_</v>
      </c>
      <c r="AG91" s="28" t="s">
        <v>77</v>
      </c>
      <c r="AH91" s="2" t="str">
        <f t="shared" si="119"/>
        <v/>
      </c>
    </row>
    <row r="92" spans="1:35" x14ac:dyDescent="0.25">
      <c r="B92" s="2" t="str">
        <f t="shared" si="115"/>
        <v>@line_width-path_medium_z14</v>
      </c>
      <c r="C92" s="28" t="s">
        <v>83</v>
      </c>
      <c r="D92" s="28" t="s">
        <v>87</v>
      </c>
      <c r="F92" s="28" t="s">
        <v>83</v>
      </c>
      <c r="G92" s="28" t="s">
        <v>87</v>
      </c>
      <c r="I92" s="28" t="s">
        <v>99</v>
      </c>
      <c r="L92" s="28" t="s">
        <v>99</v>
      </c>
      <c r="AA92" s="2" t="s">
        <v>122</v>
      </c>
      <c r="AB92" s="2" t="str">
        <f t="shared" si="116"/>
        <v>-</v>
      </c>
      <c r="AC92" s="2" t="s">
        <v>74</v>
      </c>
      <c r="AD92" s="2" t="str">
        <f t="shared" si="117"/>
        <v>_</v>
      </c>
      <c r="AE92" s="2" t="s">
        <v>82</v>
      </c>
      <c r="AF92" s="2" t="str">
        <f t="shared" si="118"/>
        <v>_</v>
      </c>
      <c r="AG92" s="28" t="s">
        <v>77</v>
      </c>
      <c r="AH92" s="2" t="str">
        <f t="shared" si="119"/>
        <v/>
      </c>
    </row>
    <row r="93" spans="1:35" x14ac:dyDescent="0.25">
      <c r="B93" s="2" t="str">
        <f t="shared" si="115"/>
        <v>@line_width-path_wide_z14</v>
      </c>
      <c r="C93" s="28" t="s">
        <v>126</v>
      </c>
      <c r="D93" s="28" t="s">
        <v>129</v>
      </c>
      <c r="F93" s="28" t="s">
        <v>126</v>
      </c>
      <c r="G93" s="28" t="s">
        <v>129</v>
      </c>
      <c r="I93" s="28" t="s">
        <v>87</v>
      </c>
      <c r="L93" s="28" t="s">
        <v>87</v>
      </c>
      <c r="AA93" s="2" t="s">
        <v>122</v>
      </c>
      <c r="AB93" s="2" t="str">
        <f t="shared" si="116"/>
        <v>-</v>
      </c>
      <c r="AC93" s="2" t="s">
        <v>74</v>
      </c>
      <c r="AD93" s="2" t="str">
        <f t="shared" si="117"/>
        <v>_</v>
      </c>
      <c r="AE93" s="2" t="s">
        <v>80</v>
      </c>
      <c r="AF93" s="2" t="str">
        <f t="shared" si="118"/>
        <v>_</v>
      </c>
      <c r="AG93" s="28" t="s">
        <v>77</v>
      </c>
      <c r="AH93" s="2" t="str">
        <f t="shared" si="119"/>
        <v/>
      </c>
    </row>
    <row r="94" spans="1:35" x14ac:dyDescent="0.25">
      <c r="B94" s="2" t="str">
        <f t="shared" si="115"/>
        <v>@line_width-path_widest_z14</v>
      </c>
      <c r="C94" s="28" t="s">
        <v>126</v>
      </c>
      <c r="D94" s="28" t="s">
        <v>129</v>
      </c>
      <c r="F94" s="28" t="s">
        <v>126</v>
      </c>
      <c r="G94" s="28" t="s">
        <v>129</v>
      </c>
      <c r="I94" s="28" t="s">
        <v>87</v>
      </c>
      <c r="L94" s="28" t="s">
        <v>87</v>
      </c>
      <c r="AA94" s="2" t="s">
        <v>122</v>
      </c>
      <c r="AB94" s="2" t="str">
        <f t="shared" si="116"/>
        <v>-</v>
      </c>
      <c r="AC94" s="2" t="s">
        <v>74</v>
      </c>
      <c r="AD94" s="2" t="str">
        <f t="shared" si="117"/>
        <v>_</v>
      </c>
      <c r="AE94" s="2" t="s">
        <v>303</v>
      </c>
      <c r="AF94" s="2" t="str">
        <f t="shared" si="118"/>
        <v>_</v>
      </c>
      <c r="AG94" s="28" t="s">
        <v>77</v>
      </c>
      <c r="AH94" s="2" t="str">
        <f t="shared" si="119"/>
        <v/>
      </c>
    </row>
    <row r="95" spans="1:35" x14ac:dyDescent="0.25">
      <c r="B95" s="2" t="str">
        <f t="shared" si="115"/>
        <v>@line_width-path_narrow_z16</v>
      </c>
      <c r="C95" s="28" t="s">
        <v>83</v>
      </c>
      <c r="D95" s="28" t="s">
        <v>88</v>
      </c>
      <c r="F95" s="28" t="s">
        <v>83</v>
      </c>
      <c r="G95" s="28" t="s">
        <v>88</v>
      </c>
      <c r="I95" s="28" t="s">
        <v>83</v>
      </c>
      <c r="L95" s="28" t="s">
        <v>83</v>
      </c>
      <c r="AA95" s="2" t="s">
        <v>122</v>
      </c>
      <c r="AB95" s="2" t="str">
        <f t="shared" si="116"/>
        <v>-</v>
      </c>
      <c r="AC95" s="2" t="s">
        <v>74</v>
      </c>
      <c r="AD95" s="2" t="str">
        <f t="shared" si="117"/>
        <v>_</v>
      </c>
      <c r="AE95" s="2" t="s">
        <v>75</v>
      </c>
      <c r="AF95" s="2" t="str">
        <f t="shared" si="118"/>
        <v>_</v>
      </c>
      <c r="AG95" s="28" t="s">
        <v>78</v>
      </c>
      <c r="AH95" s="2" t="str">
        <f t="shared" si="119"/>
        <v/>
      </c>
    </row>
    <row r="96" spans="1:35" x14ac:dyDescent="0.25">
      <c r="B96" s="2" t="str">
        <f t="shared" si="115"/>
        <v>@line_width-path_medium_z16</v>
      </c>
      <c r="C96" s="28" t="s">
        <v>126</v>
      </c>
      <c r="D96" s="28" t="s">
        <v>129</v>
      </c>
      <c r="F96" s="28" t="s">
        <v>126</v>
      </c>
      <c r="G96" s="28" t="s">
        <v>129</v>
      </c>
      <c r="I96" s="28" t="s">
        <v>100</v>
      </c>
      <c r="L96" s="28" t="s">
        <v>100</v>
      </c>
      <c r="AA96" s="2" t="s">
        <v>122</v>
      </c>
      <c r="AB96" s="2" t="str">
        <f t="shared" si="116"/>
        <v>-</v>
      </c>
      <c r="AC96" s="2" t="s">
        <v>74</v>
      </c>
      <c r="AD96" s="2" t="str">
        <f t="shared" si="117"/>
        <v>_</v>
      </c>
      <c r="AE96" s="2" t="s">
        <v>82</v>
      </c>
      <c r="AF96" s="2" t="str">
        <f t="shared" si="118"/>
        <v>_</v>
      </c>
      <c r="AG96" s="28" t="s">
        <v>78</v>
      </c>
      <c r="AH96" s="2" t="str">
        <f t="shared" si="119"/>
        <v/>
      </c>
    </row>
    <row r="97" spans="1:39" x14ac:dyDescent="0.25">
      <c r="B97" s="2" t="str">
        <f t="shared" si="115"/>
        <v>@line_width-path_wide_z16</v>
      </c>
      <c r="C97" s="28" t="s">
        <v>91</v>
      </c>
      <c r="D97" s="28" t="s">
        <v>131</v>
      </c>
      <c r="F97" s="28" t="s">
        <v>91</v>
      </c>
      <c r="G97" s="28" t="s">
        <v>131</v>
      </c>
      <c r="I97" s="28" t="s">
        <v>101</v>
      </c>
      <c r="L97" s="28" t="s">
        <v>101</v>
      </c>
      <c r="AA97" s="2" t="s">
        <v>122</v>
      </c>
      <c r="AB97" s="2" t="str">
        <f t="shared" si="116"/>
        <v>-</v>
      </c>
      <c r="AC97" s="2" t="s">
        <v>74</v>
      </c>
      <c r="AD97" s="2" t="str">
        <f t="shared" si="117"/>
        <v>_</v>
      </c>
      <c r="AE97" s="2" t="s">
        <v>80</v>
      </c>
      <c r="AF97" s="2" t="str">
        <f t="shared" si="118"/>
        <v>_</v>
      </c>
      <c r="AG97" s="28" t="s">
        <v>78</v>
      </c>
      <c r="AH97" s="2" t="str">
        <f t="shared" si="119"/>
        <v/>
      </c>
    </row>
    <row r="98" spans="1:39" x14ac:dyDescent="0.25">
      <c r="B98" s="2" t="str">
        <f t="shared" si="115"/>
        <v>@line_width-path_widest_z16</v>
      </c>
      <c r="C98" s="28" t="s">
        <v>91</v>
      </c>
      <c r="D98" s="28" t="s">
        <v>131</v>
      </c>
      <c r="F98" s="28" t="s">
        <v>91</v>
      </c>
      <c r="G98" s="28" t="s">
        <v>131</v>
      </c>
      <c r="I98" s="28" t="s">
        <v>101</v>
      </c>
      <c r="L98" s="28" t="s">
        <v>101</v>
      </c>
      <c r="AA98" s="2" t="s">
        <v>122</v>
      </c>
      <c r="AB98" s="2" t="str">
        <f t="shared" si="116"/>
        <v>-</v>
      </c>
      <c r="AC98" s="2" t="s">
        <v>74</v>
      </c>
      <c r="AD98" s="2" t="str">
        <f t="shared" si="117"/>
        <v>_</v>
      </c>
      <c r="AE98" s="2" t="s">
        <v>303</v>
      </c>
      <c r="AF98" s="2" t="str">
        <f t="shared" si="118"/>
        <v>_</v>
      </c>
      <c r="AG98" s="28" t="s">
        <v>78</v>
      </c>
      <c r="AH98" s="2" t="str">
        <f t="shared" si="119"/>
        <v/>
      </c>
    </row>
    <row r="99" spans="1:39" x14ac:dyDescent="0.25">
      <c r="B99" s="2" t="str">
        <f t="shared" si="115"/>
        <v>@line_width-path_narrow_z18</v>
      </c>
      <c r="C99" s="28" t="s">
        <v>88</v>
      </c>
      <c r="D99" s="28" t="s">
        <v>91</v>
      </c>
      <c r="F99" s="28" t="s">
        <v>88</v>
      </c>
      <c r="G99" s="28" t="s">
        <v>91</v>
      </c>
      <c r="I99" s="28" t="s">
        <v>83</v>
      </c>
      <c r="L99" s="28" t="s">
        <v>83</v>
      </c>
      <c r="AA99" s="2" t="s">
        <v>122</v>
      </c>
      <c r="AB99" s="2" t="str">
        <f t="shared" si="116"/>
        <v>-</v>
      </c>
      <c r="AC99" s="2" t="s">
        <v>74</v>
      </c>
      <c r="AD99" s="2" t="str">
        <f t="shared" si="117"/>
        <v>_</v>
      </c>
      <c r="AE99" s="2" t="s">
        <v>75</v>
      </c>
      <c r="AF99" s="2" t="str">
        <f t="shared" si="118"/>
        <v>_</v>
      </c>
      <c r="AG99" s="28" t="s">
        <v>79</v>
      </c>
      <c r="AH99" s="2" t="str">
        <f t="shared" si="119"/>
        <v/>
      </c>
    </row>
    <row r="100" spans="1:39" x14ac:dyDescent="0.25">
      <c r="B100" s="2" t="str">
        <f t="shared" si="115"/>
        <v>@line_width-path_medium_z18</v>
      </c>
      <c r="C100" s="28" t="s">
        <v>85</v>
      </c>
      <c r="D100" s="28" t="s">
        <v>130</v>
      </c>
      <c r="F100" s="28" t="s">
        <v>85</v>
      </c>
      <c r="G100" s="28" t="s">
        <v>130</v>
      </c>
      <c r="I100" s="28" t="s">
        <v>101</v>
      </c>
      <c r="L100" s="28" t="s">
        <v>101</v>
      </c>
      <c r="AA100" s="2" t="s">
        <v>122</v>
      </c>
      <c r="AB100" s="2" t="str">
        <f t="shared" si="116"/>
        <v>-</v>
      </c>
      <c r="AC100" s="2" t="s">
        <v>74</v>
      </c>
      <c r="AD100" s="2" t="str">
        <f t="shared" si="117"/>
        <v>_</v>
      </c>
      <c r="AE100" s="2" t="s">
        <v>82</v>
      </c>
      <c r="AF100" s="2" t="str">
        <f t="shared" si="118"/>
        <v>_</v>
      </c>
      <c r="AG100" s="28" t="s">
        <v>79</v>
      </c>
      <c r="AH100" s="2" t="str">
        <f t="shared" si="119"/>
        <v/>
      </c>
    </row>
    <row r="101" spans="1:39" x14ac:dyDescent="0.25">
      <c r="B101" s="2" t="str">
        <f t="shared" si="115"/>
        <v>@line_width-path_wide_z18</v>
      </c>
      <c r="C101" s="28" t="s">
        <v>328</v>
      </c>
      <c r="D101" s="28" t="s">
        <v>132</v>
      </c>
      <c r="F101" s="28" t="s">
        <v>328</v>
      </c>
      <c r="G101" s="28" t="s">
        <v>132</v>
      </c>
      <c r="I101" s="28" t="s">
        <v>102</v>
      </c>
      <c r="L101" s="28" t="s">
        <v>102</v>
      </c>
      <c r="AA101" s="2" t="s">
        <v>122</v>
      </c>
      <c r="AB101" s="2" t="str">
        <f t="shared" si="116"/>
        <v>-</v>
      </c>
      <c r="AC101" s="2" t="s">
        <v>74</v>
      </c>
      <c r="AD101" s="2" t="str">
        <f t="shared" si="117"/>
        <v>_</v>
      </c>
      <c r="AE101" s="2" t="s">
        <v>80</v>
      </c>
      <c r="AF101" s="2" t="str">
        <f t="shared" si="118"/>
        <v>_</v>
      </c>
      <c r="AG101" s="28" t="s">
        <v>79</v>
      </c>
      <c r="AH101" s="2" t="str">
        <f t="shared" si="119"/>
        <v/>
      </c>
    </row>
    <row r="102" spans="1:39" x14ac:dyDescent="0.25">
      <c r="B102" s="2" t="str">
        <f t="shared" si="115"/>
        <v>@line_width-path_widest_z18</v>
      </c>
      <c r="C102" s="28" t="s">
        <v>328</v>
      </c>
      <c r="D102" s="28" t="s">
        <v>132</v>
      </c>
      <c r="F102" s="28" t="s">
        <v>328</v>
      </c>
      <c r="G102" s="28" t="s">
        <v>132</v>
      </c>
      <c r="I102" s="28" t="s">
        <v>102</v>
      </c>
      <c r="L102" s="28" t="s">
        <v>102</v>
      </c>
      <c r="AA102" s="2" t="s">
        <v>122</v>
      </c>
      <c r="AB102" s="2" t="str">
        <f t="shared" si="116"/>
        <v>-</v>
      </c>
      <c r="AC102" s="2" t="s">
        <v>74</v>
      </c>
      <c r="AD102" s="2" t="str">
        <f t="shared" si="117"/>
        <v>_</v>
      </c>
      <c r="AE102" s="2" t="s">
        <v>303</v>
      </c>
      <c r="AF102" s="2" t="str">
        <f t="shared" si="118"/>
        <v>_</v>
      </c>
      <c r="AG102" s="28" t="s">
        <v>79</v>
      </c>
      <c r="AH102" s="2" t="str">
        <f t="shared" si="119"/>
        <v/>
      </c>
    </row>
    <row r="103" spans="1:39" x14ac:dyDescent="0.25">
      <c r="B103" s="2"/>
      <c r="AA103" s="2"/>
      <c r="AB103" s="2"/>
      <c r="AC103" s="2"/>
      <c r="AD103" s="2"/>
      <c r="AE103" s="2"/>
    </row>
    <row r="104" spans="1:39" x14ac:dyDescent="0.25">
      <c r="B104" s="2"/>
      <c r="AA104" s="2"/>
      <c r="AB104" s="2"/>
      <c r="AC104" s="2"/>
      <c r="AD104" s="2"/>
      <c r="AE104" s="2"/>
    </row>
    <row r="105" spans="1:39" s="2" customFormat="1" x14ac:dyDescent="0.25">
      <c r="A105" s="3" t="s">
        <v>41</v>
      </c>
      <c r="B105" s="3"/>
      <c r="C105" s="27"/>
      <c r="D105" s="6"/>
      <c r="E105" s="7"/>
      <c r="F105" s="6"/>
      <c r="G105" s="6"/>
      <c r="H105" s="7"/>
      <c r="I105" s="6"/>
      <c r="J105" s="6"/>
      <c r="K105" s="7"/>
      <c r="L105" s="6"/>
      <c r="M105" s="6"/>
      <c r="N105" s="7"/>
      <c r="O105" s="6"/>
      <c r="P105" s="6"/>
      <c r="Q105" s="7"/>
      <c r="R105" s="6"/>
      <c r="S105" s="6"/>
      <c r="T105" s="7"/>
      <c r="U105" s="6"/>
      <c r="V105" s="6"/>
      <c r="W105" s="7"/>
      <c r="X105" s="6"/>
      <c r="Y105" s="6"/>
      <c r="AA105" s="4"/>
      <c r="AB105" s="4" t="str">
        <f t="shared" si="71"/>
        <v/>
      </c>
      <c r="AC105" s="4"/>
      <c r="AD105" s="4" t="str">
        <f t="shared" si="72"/>
        <v/>
      </c>
      <c r="AE105" s="4"/>
      <c r="AF105" s="4" t="str">
        <f t="shared" si="73"/>
        <v/>
      </c>
      <c r="AG105" s="4"/>
      <c r="AH105" s="4" t="str">
        <f t="shared" ref="AH105:AH120" si="120">IF(NOT(ISBLANK(AI105)),"_","")</f>
        <v/>
      </c>
      <c r="AI105" s="4"/>
    </row>
    <row r="106" spans="1:39" x14ac:dyDescent="0.25">
      <c r="B106" s="2" t="str">
        <f t="shared" ref="B106:B109" si="121">_xlfn.CONCAT("@",AA106,AB106,AC106,AD106,AE106,AF106,AG106,AH106,AI106)</f>
        <v>@color-cycleway_case</v>
      </c>
      <c r="C106" s="71" t="s">
        <v>227</v>
      </c>
      <c r="D106" s="71" t="s">
        <v>227</v>
      </c>
      <c r="F106" s="72" t="s">
        <v>217</v>
      </c>
      <c r="G106" s="72" t="s">
        <v>217</v>
      </c>
      <c r="AA106" s="2" t="s">
        <v>6</v>
      </c>
      <c r="AB106" s="2" t="str">
        <f t="shared" ref="AB106" si="122">IF(NOT(ISBLANK(AC106)),"-","")</f>
        <v>-</v>
      </c>
      <c r="AC106" s="2" t="s">
        <v>12</v>
      </c>
      <c r="AD106" s="2" t="str">
        <f t="shared" ref="AD106" si="123">IF(NOT(ISBLANK(AE106)),"_","")</f>
        <v>_</v>
      </c>
      <c r="AE106" s="2" t="s">
        <v>17</v>
      </c>
      <c r="AF106" s="2" t="str">
        <f t="shared" ref="AF106" si="124">IF(NOT(ISBLANK(AG106)),"_","")</f>
        <v/>
      </c>
      <c r="AH106" s="2" t="str">
        <f t="shared" si="120"/>
        <v/>
      </c>
    </row>
    <row r="107" spans="1:39" x14ac:dyDescent="0.25">
      <c r="B107" s="2" t="str">
        <f t="shared" si="121"/>
        <v>@color-cycleway_line</v>
      </c>
      <c r="C107" s="73" t="s">
        <v>188</v>
      </c>
      <c r="D107" s="74" t="str">
        <f>C107</f>
        <v>"#3046d7"</v>
      </c>
      <c r="F107" s="73" t="s">
        <v>188</v>
      </c>
      <c r="G107" s="74" t="str">
        <f>F107</f>
        <v>"#3046d7"</v>
      </c>
      <c r="AA107" s="2" t="s">
        <v>6</v>
      </c>
      <c r="AB107" s="2" t="str">
        <f t="shared" si="71"/>
        <v>-</v>
      </c>
      <c r="AC107" s="2" t="s">
        <v>12</v>
      </c>
      <c r="AD107" s="2" t="str">
        <f t="shared" si="72"/>
        <v>_</v>
      </c>
      <c r="AE107" s="2" t="s">
        <v>13</v>
      </c>
      <c r="AF107" s="2" t="str">
        <f t="shared" si="73"/>
        <v/>
      </c>
      <c r="AH107" s="2" t="str">
        <f t="shared" si="120"/>
        <v/>
      </c>
    </row>
    <row r="108" spans="1:39" x14ac:dyDescent="0.25">
      <c r="B108" s="2" t="str">
        <f t="shared" si="121"/>
        <v>@color-footway_case</v>
      </c>
      <c r="C108" s="71" t="s">
        <v>227</v>
      </c>
      <c r="D108" s="71" t="s">
        <v>227</v>
      </c>
      <c r="F108" s="72" t="s">
        <v>217</v>
      </c>
      <c r="G108" s="72" t="s">
        <v>217</v>
      </c>
      <c r="AA108" s="2" t="s">
        <v>6</v>
      </c>
      <c r="AB108" s="2" t="str">
        <f t="shared" ref="AB108" si="125">IF(NOT(ISBLANK(AC108)),"-","")</f>
        <v>-</v>
      </c>
      <c r="AC108" s="2" t="s">
        <v>35</v>
      </c>
      <c r="AD108" s="2" t="str">
        <f t="shared" ref="AD108" si="126">IF(NOT(ISBLANK(AE108)),"_","")</f>
        <v>_</v>
      </c>
      <c r="AE108" s="2" t="s">
        <v>17</v>
      </c>
      <c r="AF108" s="2" t="str">
        <f t="shared" ref="AF108" si="127">IF(NOT(ISBLANK(AG108)),"_","")</f>
        <v/>
      </c>
      <c r="AG108" s="2"/>
      <c r="AH108" s="2" t="str">
        <f t="shared" si="120"/>
        <v/>
      </c>
      <c r="AI108" s="2"/>
    </row>
    <row r="109" spans="1:39" x14ac:dyDescent="0.25">
      <c r="B109" s="2" t="str">
        <f t="shared" si="121"/>
        <v>@color-footway_line</v>
      </c>
      <c r="C109" s="75" t="s">
        <v>189</v>
      </c>
      <c r="D109" s="76" t="str">
        <f>C109</f>
        <v>"#a43820"</v>
      </c>
      <c r="F109" s="75" t="s">
        <v>189</v>
      </c>
      <c r="G109" s="76" t="str">
        <f>F109</f>
        <v>"#a43820"</v>
      </c>
      <c r="AA109" s="2" t="s">
        <v>6</v>
      </c>
      <c r="AB109" s="2" t="str">
        <f t="shared" si="71"/>
        <v>-</v>
      </c>
      <c r="AC109" s="2" t="s">
        <v>35</v>
      </c>
      <c r="AD109" s="2" t="str">
        <f t="shared" si="72"/>
        <v>_</v>
      </c>
      <c r="AE109" s="2" t="s">
        <v>13</v>
      </c>
      <c r="AF109" s="2" t="str">
        <f t="shared" si="73"/>
        <v/>
      </c>
      <c r="AG109" s="2"/>
      <c r="AH109" s="2" t="str">
        <f t="shared" si="120"/>
        <v/>
      </c>
      <c r="AI109" s="2"/>
    </row>
    <row r="110" spans="1:39" x14ac:dyDescent="0.25">
      <c r="AA110" s="2"/>
      <c r="AB110" s="2" t="str">
        <f t="shared" si="71"/>
        <v/>
      </c>
      <c r="AC110" s="2"/>
      <c r="AD110" s="2" t="str">
        <f t="shared" si="72"/>
        <v/>
      </c>
      <c r="AE110" s="2"/>
      <c r="AF110" s="28" t="str">
        <f t="shared" si="73"/>
        <v/>
      </c>
      <c r="AH110" s="28" t="str">
        <f t="shared" si="120"/>
        <v/>
      </c>
    </row>
    <row r="111" spans="1:39" s="2" customFormat="1" x14ac:dyDescent="0.25">
      <c r="A111" s="3" t="s">
        <v>42</v>
      </c>
      <c r="B111" s="3"/>
      <c r="C111" s="27"/>
      <c r="D111" s="6"/>
      <c r="E111" s="7"/>
      <c r="F111" s="6"/>
      <c r="G111" s="6"/>
      <c r="H111" s="7"/>
      <c r="I111" s="6"/>
      <c r="J111" s="6"/>
      <c r="K111" s="7"/>
      <c r="L111" s="6"/>
      <c r="M111" s="6"/>
      <c r="N111" s="7"/>
      <c r="O111" s="6"/>
      <c r="P111" s="6"/>
      <c r="Q111" s="7"/>
      <c r="R111" s="6"/>
      <c r="S111" s="6"/>
      <c r="T111" s="7"/>
      <c r="U111" s="6"/>
      <c r="V111" s="6"/>
      <c r="W111" s="7"/>
      <c r="X111" s="6"/>
      <c r="Y111" s="6"/>
      <c r="AA111" s="4"/>
      <c r="AB111" s="4" t="str">
        <f t="shared" si="71"/>
        <v/>
      </c>
      <c r="AC111" s="4"/>
      <c r="AD111" s="4" t="str">
        <f t="shared" si="72"/>
        <v/>
      </c>
      <c r="AE111" s="4"/>
      <c r="AF111" s="4" t="str">
        <f t="shared" si="73"/>
        <v/>
      </c>
      <c r="AG111" s="4"/>
      <c r="AH111" s="4" t="str">
        <f t="shared" si="120"/>
        <v/>
      </c>
      <c r="AI111" s="4"/>
    </row>
    <row r="112" spans="1:39" x14ac:dyDescent="0.25">
      <c r="B112" s="2" t="str">
        <f t="shared" ref="B112:B115" si="128">_xlfn.CONCAT("@",AA112,AB112,AC112,AD112,AE112,AF112,AG112,AH112,AI112)</f>
        <v>@color-obstacle_vegetation</v>
      </c>
      <c r="C112" s="77" t="s">
        <v>190</v>
      </c>
      <c r="D112" s="78" t="str">
        <f>C112</f>
        <v>"#4a9100"</v>
      </c>
      <c r="F112" s="77" t="s">
        <v>190</v>
      </c>
      <c r="G112" s="78" t="str">
        <f>F112</f>
        <v>"#4a9100"</v>
      </c>
      <c r="AA112" s="2" t="s">
        <v>6</v>
      </c>
      <c r="AB112" s="2" t="str">
        <f t="shared" si="71"/>
        <v>-</v>
      </c>
      <c r="AC112" s="2" t="s">
        <v>36</v>
      </c>
      <c r="AD112" s="2" t="str">
        <f t="shared" si="72"/>
        <v>_</v>
      </c>
      <c r="AE112" s="2" t="s">
        <v>37</v>
      </c>
      <c r="AF112" s="2" t="str">
        <f t="shared" si="73"/>
        <v/>
      </c>
      <c r="AG112" s="2"/>
      <c r="AH112" s="2" t="str">
        <f t="shared" si="120"/>
        <v/>
      </c>
      <c r="AI112" s="2"/>
      <c r="AJ112" s="2"/>
      <c r="AK112" s="2"/>
      <c r="AL112" s="2"/>
      <c r="AM112" s="2"/>
    </row>
    <row r="113" spans="1:35" x14ac:dyDescent="0.25">
      <c r="B113" s="2" t="str">
        <f t="shared" si="128"/>
        <v>@color-surface_mud</v>
      </c>
      <c r="C113" s="79" t="s">
        <v>191</v>
      </c>
      <c r="D113" s="80" t="str">
        <f>C113</f>
        <v>"#0e84ed"</v>
      </c>
      <c r="F113" s="79" t="s">
        <v>191</v>
      </c>
      <c r="G113" s="80" t="str">
        <f>F113</f>
        <v>"#0e84ed"</v>
      </c>
      <c r="AA113" s="2" t="s">
        <v>6</v>
      </c>
      <c r="AB113" s="2" t="str">
        <f t="shared" si="71"/>
        <v>-</v>
      </c>
      <c r="AC113" s="2" t="s">
        <v>38</v>
      </c>
      <c r="AD113" s="2" t="str">
        <f t="shared" si="72"/>
        <v>_</v>
      </c>
      <c r="AE113" s="2" t="s">
        <v>39</v>
      </c>
      <c r="AF113" s="2" t="str">
        <f t="shared" si="73"/>
        <v/>
      </c>
      <c r="AG113" s="2"/>
      <c r="AH113" s="2" t="str">
        <f t="shared" si="120"/>
        <v/>
      </c>
      <c r="AI113" s="2"/>
    </row>
    <row r="114" spans="1:35" x14ac:dyDescent="0.25">
      <c r="B114" s="2" t="str">
        <f t="shared" si="128"/>
        <v>@color-access_no</v>
      </c>
      <c r="C114" s="81" t="s">
        <v>192</v>
      </c>
      <c r="D114" s="82" t="str">
        <f>C114</f>
        <v>"#ff003d"</v>
      </c>
      <c r="F114" s="81" t="s">
        <v>192</v>
      </c>
      <c r="G114" s="82" t="str">
        <f>F114</f>
        <v>"#ff003d"</v>
      </c>
      <c r="AA114" s="2" t="s">
        <v>6</v>
      </c>
      <c r="AB114" s="2" t="str">
        <f t="shared" si="71"/>
        <v>-</v>
      </c>
      <c r="AC114" s="2" t="s">
        <v>43</v>
      </c>
      <c r="AD114" s="2" t="str">
        <f t="shared" si="72"/>
        <v>_</v>
      </c>
      <c r="AE114" s="2" t="s">
        <v>44</v>
      </c>
      <c r="AF114" s="2" t="str">
        <f t="shared" si="73"/>
        <v/>
      </c>
      <c r="AG114" s="2"/>
      <c r="AH114" s="2" t="str">
        <f t="shared" si="120"/>
        <v/>
      </c>
      <c r="AI114" s="2"/>
    </row>
    <row r="115" spans="1:35" x14ac:dyDescent="0.25">
      <c r="B115" s="2" t="str">
        <f t="shared" si="128"/>
        <v>@color-access_discouraged</v>
      </c>
      <c r="C115" s="83" t="s">
        <v>193</v>
      </c>
      <c r="D115" s="84" t="str">
        <f>C115</f>
        <v>"#ff6a00"</v>
      </c>
      <c r="F115" s="83" t="s">
        <v>193</v>
      </c>
      <c r="G115" s="84" t="str">
        <f>F115</f>
        <v>"#ff6a00"</v>
      </c>
      <c r="AA115" s="2" t="s">
        <v>6</v>
      </c>
      <c r="AB115" s="2" t="str">
        <f t="shared" si="71"/>
        <v>-</v>
      </c>
      <c r="AC115" s="2" t="s">
        <v>43</v>
      </c>
      <c r="AD115" s="2" t="str">
        <f t="shared" si="72"/>
        <v>_</v>
      </c>
      <c r="AE115" s="2" t="s">
        <v>45</v>
      </c>
      <c r="AF115" s="2" t="str">
        <f t="shared" si="73"/>
        <v/>
      </c>
      <c r="AG115" s="2"/>
      <c r="AH115" s="2" t="str">
        <f t="shared" si="120"/>
        <v/>
      </c>
      <c r="AI115" s="2"/>
    </row>
    <row r="116" spans="1:35" x14ac:dyDescent="0.25">
      <c r="AB116" s="28" t="str">
        <f t="shared" ref="AB116:AB118" si="129">IF(NOT(ISBLANK(AC116)),"-","")</f>
        <v/>
      </c>
      <c r="AD116" s="28" t="str">
        <f t="shared" ref="AD116:AD118" si="130">IF(NOT(ISBLANK(AE116)),"_","")</f>
        <v/>
      </c>
      <c r="AF116" s="28" t="str">
        <f t="shared" ref="AF116:AF118" si="131">IF(NOT(ISBLANK(AG116)),"_","")</f>
        <v/>
      </c>
      <c r="AH116" s="28" t="str">
        <f t="shared" si="120"/>
        <v/>
      </c>
    </row>
    <row r="117" spans="1:35" s="2" customFormat="1" x14ac:dyDescent="0.25">
      <c r="A117" s="3" t="s">
        <v>273</v>
      </c>
      <c r="B117" s="3"/>
      <c r="C117" s="27"/>
      <c r="D117" s="6"/>
      <c r="E117" s="7"/>
      <c r="F117" s="6"/>
      <c r="G117" s="6"/>
      <c r="H117" s="7"/>
      <c r="I117" s="6"/>
      <c r="J117" s="6"/>
      <c r="K117" s="7"/>
      <c r="L117" s="6"/>
      <c r="M117" s="6"/>
      <c r="N117" s="7"/>
      <c r="O117" s="6"/>
      <c r="P117" s="6"/>
      <c r="Q117" s="7"/>
      <c r="R117" s="6"/>
      <c r="S117" s="6"/>
      <c r="T117" s="7"/>
      <c r="U117" s="6"/>
      <c r="V117" s="6"/>
      <c r="W117" s="7"/>
      <c r="X117" s="6"/>
      <c r="Y117" s="6"/>
      <c r="AA117" s="4"/>
      <c r="AB117" s="4" t="str">
        <f t="shared" si="129"/>
        <v/>
      </c>
      <c r="AC117" s="4"/>
      <c r="AD117" s="4" t="str">
        <f t="shared" si="130"/>
        <v/>
      </c>
      <c r="AE117" s="4"/>
      <c r="AF117" s="4" t="str">
        <f t="shared" si="131"/>
        <v/>
      </c>
      <c r="AG117" s="4"/>
      <c r="AH117" s="4" t="str">
        <f t="shared" si="120"/>
        <v/>
      </c>
      <c r="AI117" s="4"/>
    </row>
    <row r="118" spans="1:35" x14ac:dyDescent="0.25">
      <c r="B118" s="2" t="str">
        <f t="shared" ref="B118:B133" si="132">_xlfn.CONCAT("@",AA118,AB118,AC118,AD118,AE118,AF118,AG118,AH118,AI118)</f>
        <v>@color-building_area_residential</v>
      </c>
      <c r="C118" s="85" t="s">
        <v>262</v>
      </c>
      <c r="D118" s="85" t="s">
        <v>262</v>
      </c>
      <c r="F118" s="86" t="s">
        <v>252</v>
      </c>
      <c r="G118" s="87" t="s">
        <v>261</v>
      </c>
      <c r="AA118" s="2" t="s">
        <v>6</v>
      </c>
      <c r="AB118" s="2" t="str">
        <f t="shared" si="129"/>
        <v>-</v>
      </c>
      <c r="AC118" s="2" t="s">
        <v>258</v>
      </c>
      <c r="AD118" s="2" t="str">
        <f t="shared" si="130"/>
        <v>_</v>
      </c>
      <c r="AE118" s="2" t="s">
        <v>264</v>
      </c>
      <c r="AF118" s="2" t="str">
        <f t="shared" si="131"/>
        <v>_</v>
      </c>
      <c r="AG118" s="2" t="s">
        <v>67</v>
      </c>
      <c r="AH118" s="2" t="str">
        <f t="shared" si="120"/>
        <v/>
      </c>
      <c r="AI118" s="2"/>
    </row>
    <row r="119" spans="1:35" x14ac:dyDescent="0.25">
      <c r="B119" s="2" t="str">
        <f t="shared" si="132"/>
        <v>@color-building_area_generic</v>
      </c>
      <c r="C119" s="87" t="s">
        <v>261</v>
      </c>
      <c r="D119" s="87" t="s">
        <v>261</v>
      </c>
      <c r="F119" s="88" t="s">
        <v>259</v>
      </c>
      <c r="G119" s="85" t="s">
        <v>262</v>
      </c>
      <c r="AA119" s="2" t="s">
        <v>6</v>
      </c>
      <c r="AB119" s="2" t="str">
        <f t="shared" ref="AB119" si="133">IF(NOT(ISBLANK(AC119)),"-","")</f>
        <v>-</v>
      </c>
      <c r="AC119" s="2" t="s">
        <v>258</v>
      </c>
      <c r="AD119" s="2" t="str">
        <f t="shared" ref="AD119" si="134">IF(NOT(ISBLANK(AE119)),"_","")</f>
        <v>_</v>
      </c>
      <c r="AE119" s="2" t="s">
        <v>264</v>
      </c>
      <c r="AF119" s="2" t="str">
        <f t="shared" ref="AF119" si="135">IF(NOT(ISBLANK(AG119)),"_","")</f>
        <v>_</v>
      </c>
      <c r="AG119" s="2" t="s">
        <v>260</v>
      </c>
      <c r="AH119" s="2" t="str">
        <f t="shared" si="120"/>
        <v/>
      </c>
      <c r="AI119" s="2"/>
    </row>
    <row r="120" spans="1:35" x14ac:dyDescent="0.25">
      <c r="B120" s="2" t="str">
        <f t="shared" si="132"/>
        <v>@color-building_line_top</v>
      </c>
      <c r="C120" s="87" t="s">
        <v>261</v>
      </c>
      <c r="D120" s="87" t="s">
        <v>261</v>
      </c>
      <c r="F120" s="88" t="s">
        <v>259</v>
      </c>
      <c r="G120" s="85" t="s">
        <v>262</v>
      </c>
      <c r="AA120" s="2" t="s">
        <v>6</v>
      </c>
      <c r="AB120" s="2" t="str">
        <f t="shared" ref="AB120" si="136">IF(NOT(ISBLANK(AC120)),"-","")</f>
        <v>-</v>
      </c>
      <c r="AC120" s="2" t="s">
        <v>258</v>
      </c>
      <c r="AD120" s="2" t="str">
        <f t="shared" ref="AD120" si="137">IF(NOT(ISBLANK(AE120)),"_","")</f>
        <v>_</v>
      </c>
      <c r="AE120" s="2" t="s">
        <v>13</v>
      </c>
      <c r="AF120" s="2" t="str">
        <f t="shared" ref="AF120" si="138">IF(NOT(ISBLANK(AG120)),"_","")</f>
        <v>_</v>
      </c>
      <c r="AG120" s="2" t="s">
        <v>263</v>
      </c>
      <c r="AH120" s="2" t="str">
        <f t="shared" si="120"/>
        <v/>
      </c>
      <c r="AI120" s="2"/>
    </row>
    <row r="121" spans="1:35" x14ac:dyDescent="0.25">
      <c r="B121" s="2" t="str">
        <f t="shared" si="132"/>
        <v>@color-contours_line</v>
      </c>
      <c r="C121" s="89" t="s">
        <v>194</v>
      </c>
      <c r="D121" s="90" t="str">
        <f>C121</f>
        <v>"#916f4c"</v>
      </c>
      <c r="F121" s="91" t="s">
        <v>274</v>
      </c>
      <c r="G121" s="91" t="str">
        <f>F121</f>
        <v>"#5f472f"</v>
      </c>
      <c r="AA121" s="2" t="s">
        <v>6</v>
      </c>
      <c r="AB121" s="2" t="str">
        <f>IF(NOT(ISBLANK(AC121)),"-","")</f>
        <v>-</v>
      </c>
      <c r="AC121" s="2" t="s">
        <v>70</v>
      </c>
      <c r="AD121" s="2" t="str">
        <f>IF(NOT(ISBLANK(AE121)),"_","")</f>
        <v>_</v>
      </c>
      <c r="AE121" s="2" t="s">
        <v>13</v>
      </c>
      <c r="AF121" s="2" t="str">
        <f>IF(NOT(ISBLANK(AG121)),"_","")</f>
        <v/>
      </c>
      <c r="AG121" s="2"/>
      <c r="AH121" s="2" t="str">
        <f>IF(NOT(ISBLANK(AI121)),"_","")</f>
        <v/>
      </c>
      <c r="AI121" s="2"/>
    </row>
    <row r="122" spans="1:35" x14ac:dyDescent="0.25">
      <c r="B122" s="2" t="str">
        <f t="shared" ref="B122" si="139">_xlfn.CONCAT("@",AA122,AB122,AC122,AD122,AE122,AF122,AG122,AH122,AI122)</f>
        <v>@color-water_contours_line_1500</v>
      </c>
      <c r="C122" s="170" t="s">
        <v>330</v>
      </c>
      <c r="D122" s="174" t="s">
        <v>335</v>
      </c>
      <c r="F122" s="171" t="s">
        <v>331</v>
      </c>
      <c r="G122" s="171" t="s">
        <v>331</v>
      </c>
      <c r="AA122" s="2" t="s">
        <v>6</v>
      </c>
      <c r="AB122" s="2" t="str">
        <f>IF(NOT(ISBLANK(AC122)),"-","")</f>
        <v>-</v>
      </c>
      <c r="AC122" s="2" t="s">
        <v>329</v>
      </c>
      <c r="AD122" s="2" t="str">
        <f>IF(NOT(ISBLANK(AE122)),"_","")</f>
        <v>_</v>
      </c>
      <c r="AE122" s="2" t="s">
        <v>13</v>
      </c>
      <c r="AF122" s="2" t="str">
        <f>IF(NOT(ISBLANK(AG122)),"_","")</f>
        <v>_</v>
      </c>
      <c r="AG122" s="2">
        <v>1500</v>
      </c>
      <c r="AH122" s="2" t="str">
        <f>IF(NOT(ISBLANK(AI122)),"_","")</f>
        <v/>
      </c>
      <c r="AI122" s="2"/>
    </row>
    <row r="123" spans="1:35" x14ac:dyDescent="0.25">
      <c r="B123" s="2" t="str">
        <f t="shared" ref="B123" si="140">_xlfn.CONCAT("@",AA123,AB123,AC123,AD123,AE123,AF123,AG123,AH123,AI123)</f>
        <v>@color-water_contours_line_3000</v>
      </c>
      <c r="C123" s="172" t="s">
        <v>333</v>
      </c>
      <c r="D123" s="175" t="s">
        <v>336</v>
      </c>
      <c r="F123" s="171" t="s">
        <v>331</v>
      </c>
      <c r="G123" s="171" t="s">
        <v>331</v>
      </c>
      <c r="AA123" s="2" t="s">
        <v>6</v>
      </c>
      <c r="AB123" s="2" t="str">
        <f>IF(NOT(ISBLANK(AC123)),"-","")</f>
        <v>-</v>
      </c>
      <c r="AC123" s="2" t="s">
        <v>329</v>
      </c>
      <c r="AD123" s="2" t="str">
        <f>IF(NOT(ISBLANK(AE123)),"_","")</f>
        <v>_</v>
      </c>
      <c r="AE123" s="2" t="s">
        <v>13</v>
      </c>
      <c r="AF123" s="2" t="str">
        <f>IF(NOT(ISBLANK(AG123)),"_","")</f>
        <v>_</v>
      </c>
      <c r="AG123" s="2">
        <v>3000</v>
      </c>
      <c r="AH123" s="2" t="str">
        <f>IF(NOT(ISBLANK(AI123)),"_","")</f>
        <v/>
      </c>
      <c r="AI123" s="2"/>
    </row>
    <row r="124" spans="1:35" x14ac:dyDescent="0.25">
      <c r="B124" s="2" t="str">
        <f t="shared" ref="B124" si="141">_xlfn.CONCAT("@",AA124,AB124,AC124,AD124,AE124,AF124,AG124,AH124,AI124)</f>
        <v>@color-water_contours_line_6000</v>
      </c>
      <c r="C124" s="173" t="s">
        <v>334</v>
      </c>
      <c r="D124" s="176" t="s">
        <v>337</v>
      </c>
      <c r="F124" s="171" t="s">
        <v>331</v>
      </c>
      <c r="G124" s="171" t="s">
        <v>331</v>
      </c>
      <c r="AA124" s="2" t="s">
        <v>6</v>
      </c>
      <c r="AB124" s="2" t="str">
        <f>IF(NOT(ISBLANK(AC124)),"-","")</f>
        <v>-</v>
      </c>
      <c r="AC124" s="2" t="s">
        <v>329</v>
      </c>
      <c r="AD124" s="2" t="str">
        <f>IF(NOT(ISBLANK(AE124)),"_","")</f>
        <v>_</v>
      </c>
      <c r="AE124" s="2" t="s">
        <v>13</v>
      </c>
      <c r="AF124" s="2" t="str">
        <f>IF(NOT(ISBLANK(AG124)),"_","")</f>
        <v>_</v>
      </c>
      <c r="AG124" s="2">
        <v>6000</v>
      </c>
      <c r="AH124" s="2" t="str">
        <f t="shared" ref="AH124:AH145" si="142">IF(NOT(ISBLANK(AI124)),"_","")</f>
        <v/>
      </c>
      <c r="AI124" s="2"/>
    </row>
    <row r="125" spans="1:35" x14ac:dyDescent="0.25">
      <c r="B125" s="2" t="str">
        <f t="shared" ref="B125:B126" si="143">_xlfn.CONCAT("@",AA125,AB125,AC125,AD125,AE125,AF125,AG125,AH125,AI125)</f>
        <v>@color-water_contours_line_over6000</v>
      </c>
      <c r="C125" s="174" t="s">
        <v>335</v>
      </c>
      <c r="D125" s="177" t="s">
        <v>338</v>
      </c>
      <c r="F125" s="171" t="s">
        <v>331</v>
      </c>
      <c r="G125" s="171" t="s">
        <v>331</v>
      </c>
      <c r="AA125" s="2" t="s">
        <v>6</v>
      </c>
      <c r="AB125" s="2" t="str">
        <f>IF(NOT(ISBLANK(AC125)),"-","")</f>
        <v>-</v>
      </c>
      <c r="AC125" s="2" t="s">
        <v>329</v>
      </c>
      <c r="AD125" s="2" t="str">
        <f>IF(NOT(ISBLANK(AE125)),"_","")</f>
        <v>_</v>
      </c>
      <c r="AE125" s="2" t="s">
        <v>13</v>
      </c>
      <c r="AF125" s="2" t="str">
        <f>IF(NOT(ISBLANK(AG125)),"_","")</f>
        <v>_</v>
      </c>
      <c r="AG125" s="2" t="s">
        <v>332</v>
      </c>
      <c r="AH125" s="2" t="str">
        <f t="shared" si="142"/>
        <v/>
      </c>
      <c r="AI125" s="2"/>
    </row>
    <row r="126" spans="1:35" x14ac:dyDescent="0.25">
      <c r="B126" s="2" t="str">
        <f t="shared" si="143"/>
        <v>@color-water_contours_label</v>
      </c>
      <c r="C126" s="173" t="s">
        <v>334</v>
      </c>
      <c r="D126" s="176" t="s">
        <v>337</v>
      </c>
      <c r="F126" s="171" t="s">
        <v>331</v>
      </c>
      <c r="G126" s="171" t="s">
        <v>331</v>
      </c>
      <c r="AA126" s="2" t="s">
        <v>6</v>
      </c>
      <c r="AB126" s="2" t="str">
        <f>IF(NOT(ISBLANK(AC126)),"-","")</f>
        <v>-</v>
      </c>
      <c r="AC126" s="2" t="s">
        <v>329</v>
      </c>
      <c r="AD126" s="2" t="str">
        <f>IF(NOT(ISBLANK(AE126)),"_","")</f>
        <v>_</v>
      </c>
      <c r="AE126" s="2" t="s">
        <v>276</v>
      </c>
      <c r="AF126" s="2" t="str">
        <f t="shared" ref="AF126:AF145" si="144">IF(NOT(ISBLANK(AG126)),"_","")</f>
        <v/>
      </c>
      <c r="AG126" s="178"/>
      <c r="AH126" s="2" t="str">
        <f t="shared" si="142"/>
        <v/>
      </c>
      <c r="AI126" s="2"/>
    </row>
    <row r="127" spans="1:35" x14ac:dyDescent="0.25">
      <c r="B127" s="2" t="str">
        <f t="shared" ref="B127" si="145">_xlfn.CONCAT("@",AA127,AB127,AC127,AD127,AE127,AF127,AG127,AH127,AI127)</f>
        <v>@color-water_shipping_lane</v>
      </c>
      <c r="C127" s="72" t="s">
        <v>217</v>
      </c>
      <c r="D127" s="72" t="s">
        <v>217</v>
      </c>
      <c r="F127" s="71" t="s">
        <v>227</v>
      </c>
      <c r="G127" s="71" t="s">
        <v>227</v>
      </c>
      <c r="AA127" s="2" t="s">
        <v>6</v>
      </c>
      <c r="AB127" s="2" t="str">
        <f>IF(NOT(ISBLANK(AC127)),"-","")</f>
        <v>-</v>
      </c>
      <c r="AC127" s="2" t="s">
        <v>339</v>
      </c>
      <c r="AD127" s="2" t="str">
        <f>IF(NOT(ISBLANK(AE127)),"_","")</f>
        <v/>
      </c>
      <c r="AE127" s="178"/>
      <c r="AF127" s="2" t="str">
        <f t="shared" si="144"/>
        <v/>
      </c>
      <c r="AG127" s="178"/>
      <c r="AH127" s="2" t="str">
        <f t="shared" si="142"/>
        <v/>
      </c>
      <c r="AI127" s="2"/>
    </row>
    <row r="128" spans="1:35" x14ac:dyDescent="0.25">
      <c r="B128" s="2" t="str">
        <f t="shared" si="132"/>
        <v>@color-cliff_line</v>
      </c>
      <c r="C128" s="72" t="s">
        <v>217</v>
      </c>
      <c r="D128" s="72" t="s">
        <v>217</v>
      </c>
      <c r="F128" s="71" t="s">
        <v>227</v>
      </c>
      <c r="G128" s="71" t="s">
        <v>227</v>
      </c>
      <c r="AA128" s="2" t="s">
        <v>6</v>
      </c>
      <c r="AB128" s="2" t="str">
        <f>IF(NOT(ISBLANK(AC128)),"-","")</f>
        <v>-</v>
      </c>
      <c r="AC128" s="2" t="s">
        <v>275</v>
      </c>
      <c r="AD128" s="2" t="str">
        <f>IF(NOT(ISBLANK(AE128)),"_","")</f>
        <v>_</v>
      </c>
      <c r="AE128" s="2" t="s">
        <v>13</v>
      </c>
      <c r="AF128" s="2" t="str">
        <f t="shared" si="144"/>
        <v/>
      </c>
      <c r="AG128" s="2"/>
      <c r="AH128" s="2" t="str">
        <f t="shared" si="142"/>
        <v/>
      </c>
      <c r="AI128" s="2"/>
    </row>
    <row r="129" spans="2:34" x14ac:dyDescent="0.25">
      <c r="AB129" s="28" t="str">
        <f t="shared" si="71"/>
        <v/>
      </c>
      <c r="AD129" s="28" t="str">
        <f t="shared" si="72"/>
        <v/>
      </c>
      <c r="AF129" s="2" t="str">
        <f t="shared" si="144"/>
        <v/>
      </c>
      <c r="AH129" s="2" t="str">
        <f t="shared" si="142"/>
        <v/>
      </c>
    </row>
    <row r="130" spans="2:34" x14ac:dyDescent="0.25">
      <c r="B130" s="2" t="str">
        <f t="shared" si="132"/>
        <v>@line_width-ditch_z12</v>
      </c>
      <c r="C130" s="28" t="s">
        <v>98</v>
      </c>
      <c r="D130" s="28" t="s">
        <v>83</v>
      </c>
      <c r="F130" s="28" t="s">
        <v>98</v>
      </c>
      <c r="G130" s="28" t="s">
        <v>83</v>
      </c>
      <c r="I130" s="28" t="s">
        <v>98</v>
      </c>
      <c r="J130" s="28" t="s">
        <v>83</v>
      </c>
      <c r="L130" s="28" t="s">
        <v>98</v>
      </c>
      <c r="M130" s="28" t="s">
        <v>83</v>
      </c>
      <c r="O130" s="28" t="s">
        <v>98</v>
      </c>
      <c r="P130" s="28" t="s">
        <v>83</v>
      </c>
      <c r="R130" s="28" t="s">
        <v>98</v>
      </c>
      <c r="S130" s="28" t="s">
        <v>83</v>
      </c>
      <c r="U130" s="28" t="s">
        <v>98</v>
      </c>
      <c r="V130" s="28" t="s">
        <v>83</v>
      </c>
      <c r="X130" s="28" t="s">
        <v>98</v>
      </c>
      <c r="Y130" s="28" t="s">
        <v>83</v>
      </c>
      <c r="AA130" s="2" t="s">
        <v>122</v>
      </c>
      <c r="AB130" s="2" t="str">
        <f t="shared" si="71"/>
        <v>-</v>
      </c>
      <c r="AC130" s="28" t="s">
        <v>340</v>
      </c>
      <c r="AD130" s="2" t="str">
        <f t="shared" si="72"/>
        <v>_</v>
      </c>
      <c r="AE130" s="28" t="s">
        <v>112</v>
      </c>
      <c r="AF130" s="2" t="str">
        <f t="shared" si="144"/>
        <v/>
      </c>
      <c r="AH130" s="2" t="str">
        <f t="shared" si="142"/>
        <v/>
      </c>
    </row>
    <row r="131" spans="2:34" x14ac:dyDescent="0.25">
      <c r="B131" s="2" t="str">
        <f t="shared" si="132"/>
        <v>@line_width-ditch_z14</v>
      </c>
      <c r="C131" s="28" t="s">
        <v>87</v>
      </c>
      <c r="D131" s="28" t="s">
        <v>88</v>
      </c>
      <c r="F131" s="28" t="s">
        <v>87</v>
      </c>
      <c r="G131" s="28" t="s">
        <v>88</v>
      </c>
      <c r="I131" s="28" t="s">
        <v>87</v>
      </c>
      <c r="J131" s="28" t="s">
        <v>88</v>
      </c>
      <c r="L131" s="28" t="s">
        <v>87</v>
      </c>
      <c r="M131" s="28" t="s">
        <v>88</v>
      </c>
      <c r="O131" s="28" t="s">
        <v>87</v>
      </c>
      <c r="P131" s="28" t="s">
        <v>88</v>
      </c>
      <c r="R131" s="28" t="s">
        <v>87</v>
      </c>
      <c r="S131" s="28" t="s">
        <v>88</v>
      </c>
      <c r="U131" s="28" t="s">
        <v>87</v>
      </c>
      <c r="V131" s="28" t="s">
        <v>88</v>
      </c>
      <c r="X131" s="28" t="s">
        <v>87</v>
      </c>
      <c r="Y131" s="28" t="s">
        <v>88</v>
      </c>
      <c r="AA131" s="2" t="s">
        <v>122</v>
      </c>
      <c r="AB131" s="2" t="str">
        <f t="shared" si="71"/>
        <v>-</v>
      </c>
      <c r="AC131" s="28" t="s">
        <v>340</v>
      </c>
      <c r="AD131" s="2" t="str">
        <f t="shared" si="72"/>
        <v>_</v>
      </c>
      <c r="AE131" s="28" t="s">
        <v>77</v>
      </c>
      <c r="AF131" s="2" t="str">
        <f t="shared" si="144"/>
        <v/>
      </c>
      <c r="AH131" s="2" t="str">
        <f t="shared" si="142"/>
        <v/>
      </c>
    </row>
    <row r="132" spans="2:34" x14ac:dyDescent="0.25">
      <c r="B132" s="2" t="str">
        <f t="shared" si="132"/>
        <v>@line_width-ditch_z16</v>
      </c>
      <c r="C132" s="28" t="s">
        <v>95</v>
      </c>
      <c r="D132" s="28" t="s">
        <v>95</v>
      </c>
      <c r="F132" s="28" t="s">
        <v>95</v>
      </c>
      <c r="G132" s="28" t="s">
        <v>95</v>
      </c>
      <c r="I132" s="28" t="s">
        <v>95</v>
      </c>
      <c r="J132" s="28" t="s">
        <v>95</v>
      </c>
      <c r="L132" s="28" t="s">
        <v>95</v>
      </c>
      <c r="M132" s="28" t="s">
        <v>95</v>
      </c>
      <c r="O132" s="28" t="s">
        <v>95</v>
      </c>
      <c r="P132" s="28" t="s">
        <v>95</v>
      </c>
      <c r="R132" s="28" t="s">
        <v>95</v>
      </c>
      <c r="S132" s="28" t="s">
        <v>95</v>
      </c>
      <c r="U132" s="28" t="s">
        <v>95</v>
      </c>
      <c r="V132" s="28" t="s">
        <v>95</v>
      </c>
      <c r="X132" s="28" t="s">
        <v>95</v>
      </c>
      <c r="Y132" s="28" t="s">
        <v>95</v>
      </c>
      <c r="AA132" s="2" t="s">
        <v>122</v>
      </c>
      <c r="AB132" s="2" t="str">
        <f t="shared" si="71"/>
        <v>-</v>
      </c>
      <c r="AC132" s="28" t="s">
        <v>340</v>
      </c>
      <c r="AD132" s="2" t="str">
        <f t="shared" si="72"/>
        <v>_</v>
      </c>
      <c r="AE132" s="28" t="s">
        <v>78</v>
      </c>
      <c r="AF132" s="2" t="str">
        <f t="shared" si="144"/>
        <v/>
      </c>
      <c r="AH132" s="2" t="str">
        <f t="shared" si="142"/>
        <v/>
      </c>
    </row>
    <row r="133" spans="2:34" x14ac:dyDescent="0.25">
      <c r="B133" s="2" t="str">
        <f t="shared" si="132"/>
        <v>@line_width-ditch_z18</v>
      </c>
      <c r="C133" s="28" t="s">
        <v>342</v>
      </c>
      <c r="D133" s="28" t="s">
        <v>342</v>
      </c>
      <c r="F133" s="28" t="s">
        <v>342</v>
      </c>
      <c r="G133" s="28" t="s">
        <v>342</v>
      </c>
      <c r="I133" s="28" t="s">
        <v>342</v>
      </c>
      <c r="J133" s="28" t="s">
        <v>342</v>
      </c>
      <c r="L133" s="28" t="s">
        <v>342</v>
      </c>
      <c r="M133" s="28" t="s">
        <v>342</v>
      </c>
      <c r="O133" s="28" t="s">
        <v>342</v>
      </c>
      <c r="P133" s="28" t="s">
        <v>342</v>
      </c>
      <c r="R133" s="28" t="s">
        <v>342</v>
      </c>
      <c r="S133" s="28" t="s">
        <v>342</v>
      </c>
      <c r="U133" s="28" t="s">
        <v>342</v>
      </c>
      <c r="V133" s="28" t="s">
        <v>342</v>
      </c>
      <c r="X133" s="28" t="s">
        <v>342</v>
      </c>
      <c r="Y133" s="28" t="s">
        <v>342</v>
      </c>
      <c r="AA133" s="2" t="s">
        <v>122</v>
      </c>
      <c r="AB133" s="2" t="str">
        <f t="shared" si="71"/>
        <v>-</v>
      </c>
      <c r="AC133" s="28" t="s">
        <v>340</v>
      </c>
      <c r="AD133" s="2" t="str">
        <f t="shared" si="72"/>
        <v>_</v>
      </c>
      <c r="AE133" s="28" t="s">
        <v>79</v>
      </c>
      <c r="AF133" s="2" t="str">
        <f t="shared" si="144"/>
        <v/>
      </c>
      <c r="AH133" s="2" t="str">
        <f t="shared" si="142"/>
        <v/>
      </c>
    </row>
    <row r="134" spans="2:34" x14ac:dyDescent="0.25">
      <c r="B134" s="2"/>
      <c r="AA134" s="2"/>
      <c r="AB134" s="2"/>
      <c r="AD134" s="2"/>
      <c r="AF134" s="2"/>
      <c r="AH134" s="2"/>
    </row>
    <row r="135" spans="2:34" x14ac:dyDescent="0.25">
      <c r="B135" s="2" t="str">
        <f t="shared" ref="B135:B138" si="146">_xlfn.CONCAT("@",AA135,AB135,AC135,AD135,AE135,AF135,AG135,AH135,AI135)</f>
        <v>@line_width-stream_z12</v>
      </c>
      <c r="C135" s="28" t="s">
        <v>83</v>
      </c>
      <c r="D135" s="28" t="s">
        <v>88</v>
      </c>
      <c r="F135" s="28" t="s">
        <v>83</v>
      </c>
      <c r="G135" s="28" t="s">
        <v>88</v>
      </c>
      <c r="I135" s="28" t="s">
        <v>83</v>
      </c>
      <c r="J135" s="28" t="s">
        <v>88</v>
      </c>
      <c r="L135" s="28" t="s">
        <v>83</v>
      </c>
      <c r="M135" s="28" t="s">
        <v>88</v>
      </c>
      <c r="O135" s="28" t="s">
        <v>83</v>
      </c>
      <c r="P135" s="28" t="s">
        <v>88</v>
      </c>
      <c r="R135" s="28" t="s">
        <v>83</v>
      </c>
      <c r="S135" s="28" t="s">
        <v>88</v>
      </c>
      <c r="U135" s="28" t="s">
        <v>83</v>
      </c>
      <c r="V135" s="28" t="s">
        <v>88</v>
      </c>
      <c r="X135" s="28" t="s">
        <v>83</v>
      </c>
      <c r="Y135" s="28" t="s">
        <v>88</v>
      </c>
      <c r="AA135" s="2" t="s">
        <v>122</v>
      </c>
      <c r="AB135" s="2" t="str">
        <f t="shared" ref="AB135:AB138" si="147">IF(NOT(ISBLANK(AC135)),"-","")</f>
        <v>-</v>
      </c>
      <c r="AC135" s="28" t="s">
        <v>341</v>
      </c>
      <c r="AD135" s="2" t="str">
        <f t="shared" ref="AD135:AD138" si="148">IF(NOT(ISBLANK(AE135)),"_","")</f>
        <v>_</v>
      </c>
      <c r="AE135" s="28" t="s">
        <v>112</v>
      </c>
      <c r="AF135" s="2" t="str">
        <f t="shared" si="144"/>
        <v/>
      </c>
      <c r="AH135" s="2" t="str">
        <f t="shared" si="142"/>
        <v/>
      </c>
    </row>
    <row r="136" spans="2:34" x14ac:dyDescent="0.25">
      <c r="B136" s="2" t="str">
        <f t="shared" si="146"/>
        <v>@line_width-stream_z14</v>
      </c>
      <c r="C136" s="28" t="s">
        <v>93</v>
      </c>
      <c r="D136" s="28" t="s">
        <v>91</v>
      </c>
      <c r="F136" s="28" t="s">
        <v>93</v>
      </c>
      <c r="G136" s="28" t="s">
        <v>91</v>
      </c>
      <c r="I136" s="28" t="s">
        <v>93</v>
      </c>
      <c r="J136" s="28" t="s">
        <v>91</v>
      </c>
      <c r="L136" s="28" t="s">
        <v>93</v>
      </c>
      <c r="M136" s="28" t="s">
        <v>91</v>
      </c>
      <c r="O136" s="28" t="s">
        <v>93</v>
      </c>
      <c r="P136" s="28" t="s">
        <v>91</v>
      </c>
      <c r="R136" s="28" t="s">
        <v>93</v>
      </c>
      <c r="S136" s="28" t="s">
        <v>91</v>
      </c>
      <c r="U136" s="28" t="s">
        <v>93</v>
      </c>
      <c r="V136" s="28" t="s">
        <v>91</v>
      </c>
      <c r="X136" s="28" t="s">
        <v>93</v>
      </c>
      <c r="Y136" s="28" t="s">
        <v>91</v>
      </c>
      <c r="AA136" s="2" t="s">
        <v>122</v>
      </c>
      <c r="AB136" s="2" t="str">
        <f t="shared" si="147"/>
        <v>-</v>
      </c>
      <c r="AC136" s="28" t="s">
        <v>341</v>
      </c>
      <c r="AD136" s="2" t="str">
        <f t="shared" si="148"/>
        <v>_</v>
      </c>
      <c r="AE136" s="28" t="s">
        <v>77</v>
      </c>
      <c r="AF136" s="2" t="str">
        <f t="shared" si="144"/>
        <v/>
      </c>
      <c r="AH136" s="2" t="str">
        <f t="shared" si="142"/>
        <v/>
      </c>
    </row>
    <row r="137" spans="2:34" x14ac:dyDescent="0.25">
      <c r="B137" s="2" t="str">
        <f t="shared" si="146"/>
        <v>@line_width-stream_z16</v>
      </c>
      <c r="C137" s="28" t="s">
        <v>89</v>
      </c>
      <c r="D137" s="28" t="s">
        <v>89</v>
      </c>
      <c r="F137" s="28" t="s">
        <v>89</v>
      </c>
      <c r="G137" s="28" t="s">
        <v>89</v>
      </c>
      <c r="I137" s="28" t="s">
        <v>89</v>
      </c>
      <c r="J137" s="28" t="s">
        <v>89</v>
      </c>
      <c r="L137" s="28" t="s">
        <v>89</v>
      </c>
      <c r="M137" s="28" t="s">
        <v>89</v>
      </c>
      <c r="O137" s="28" t="s">
        <v>89</v>
      </c>
      <c r="P137" s="28" t="s">
        <v>89</v>
      </c>
      <c r="R137" s="28" t="s">
        <v>89</v>
      </c>
      <c r="S137" s="28" t="s">
        <v>89</v>
      </c>
      <c r="U137" s="28" t="s">
        <v>89</v>
      </c>
      <c r="V137" s="28" t="s">
        <v>89</v>
      </c>
      <c r="X137" s="28" t="s">
        <v>89</v>
      </c>
      <c r="Y137" s="28" t="s">
        <v>89</v>
      </c>
      <c r="AA137" s="2" t="s">
        <v>122</v>
      </c>
      <c r="AB137" s="2" t="str">
        <f t="shared" si="147"/>
        <v>-</v>
      </c>
      <c r="AC137" s="28" t="s">
        <v>341</v>
      </c>
      <c r="AD137" s="2" t="str">
        <f t="shared" si="148"/>
        <v>_</v>
      </c>
      <c r="AE137" s="28" t="s">
        <v>78</v>
      </c>
      <c r="AF137" s="2" t="str">
        <f t="shared" si="144"/>
        <v/>
      </c>
      <c r="AH137" s="2" t="str">
        <f t="shared" si="142"/>
        <v/>
      </c>
    </row>
    <row r="138" spans="2:34" x14ac:dyDescent="0.25">
      <c r="B138" s="2" t="str">
        <f t="shared" si="146"/>
        <v>@line_width-stream_z18</v>
      </c>
      <c r="C138" s="28" t="s">
        <v>343</v>
      </c>
      <c r="D138" s="28" t="s">
        <v>343</v>
      </c>
      <c r="F138" s="28" t="s">
        <v>343</v>
      </c>
      <c r="G138" s="28" t="s">
        <v>343</v>
      </c>
      <c r="I138" s="28" t="s">
        <v>343</v>
      </c>
      <c r="J138" s="28" t="s">
        <v>343</v>
      </c>
      <c r="L138" s="28" t="s">
        <v>343</v>
      </c>
      <c r="M138" s="28" t="s">
        <v>343</v>
      </c>
      <c r="O138" s="28" t="s">
        <v>343</v>
      </c>
      <c r="P138" s="28" t="s">
        <v>343</v>
      </c>
      <c r="R138" s="28" t="s">
        <v>343</v>
      </c>
      <c r="S138" s="28" t="s">
        <v>343</v>
      </c>
      <c r="U138" s="28" t="s">
        <v>343</v>
      </c>
      <c r="V138" s="28" t="s">
        <v>343</v>
      </c>
      <c r="X138" s="28" t="s">
        <v>343</v>
      </c>
      <c r="Y138" s="28" t="s">
        <v>343</v>
      </c>
      <c r="AA138" s="2" t="s">
        <v>122</v>
      </c>
      <c r="AB138" s="2" t="str">
        <f t="shared" si="147"/>
        <v>-</v>
      </c>
      <c r="AC138" s="28" t="s">
        <v>341</v>
      </c>
      <c r="AD138" s="2" t="str">
        <f t="shared" si="148"/>
        <v>_</v>
      </c>
      <c r="AE138" s="28" t="s">
        <v>79</v>
      </c>
      <c r="AF138" s="2" t="str">
        <f t="shared" si="144"/>
        <v/>
      </c>
      <c r="AH138" s="2" t="str">
        <f t="shared" si="142"/>
        <v/>
      </c>
    </row>
    <row r="139" spans="2:34" x14ac:dyDescent="0.25">
      <c r="B139" s="2"/>
      <c r="AA139" s="2"/>
      <c r="AB139" s="2"/>
      <c r="AD139" s="2"/>
      <c r="AF139" s="2"/>
      <c r="AH139" s="2"/>
    </row>
    <row r="140" spans="2:34" x14ac:dyDescent="0.25">
      <c r="B140" s="2" t="str">
        <f t="shared" ref="B140:B142" si="149">_xlfn.CONCAT("@",AA140,AB140,AC140,AD140,AE140,AF140,AG140,AH140,AI140)</f>
        <v>@line_width-canal_z13</v>
      </c>
      <c r="C140" s="28" t="s">
        <v>98</v>
      </c>
      <c r="D140" s="28" t="s">
        <v>83</v>
      </c>
      <c r="F140" s="28" t="s">
        <v>98</v>
      </c>
      <c r="G140" s="28" t="s">
        <v>83</v>
      </c>
      <c r="I140" s="28" t="s">
        <v>98</v>
      </c>
      <c r="J140" s="28" t="s">
        <v>83</v>
      </c>
      <c r="L140" s="28" t="s">
        <v>98</v>
      </c>
      <c r="M140" s="28" t="s">
        <v>83</v>
      </c>
      <c r="O140" s="28" t="s">
        <v>98</v>
      </c>
      <c r="P140" s="28" t="s">
        <v>83</v>
      </c>
      <c r="R140" s="28" t="s">
        <v>98</v>
      </c>
      <c r="S140" s="28" t="s">
        <v>83</v>
      </c>
      <c r="U140" s="28" t="s">
        <v>98</v>
      </c>
      <c r="V140" s="28" t="s">
        <v>83</v>
      </c>
      <c r="X140" s="28" t="s">
        <v>98</v>
      </c>
      <c r="Y140" s="28" t="s">
        <v>83</v>
      </c>
      <c r="AA140" s="2" t="s">
        <v>122</v>
      </c>
      <c r="AB140" s="2" t="str">
        <f t="shared" ref="AB140:AB142" si="150">IF(NOT(ISBLANK(AC140)),"-","")</f>
        <v>-</v>
      </c>
      <c r="AC140" s="28" t="s">
        <v>344</v>
      </c>
      <c r="AD140" s="2" t="str">
        <f t="shared" ref="AD140:AD142" si="151">IF(NOT(ISBLANK(AE140)),"_","")</f>
        <v>_</v>
      </c>
      <c r="AE140" s="28" t="s">
        <v>345</v>
      </c>
      <c r="AF140" s="2" t="str">
        <f t="shared" si="144"/>
        <v/>
      </c>
      <c r="AH140" s="2" t="str">
        <f t="shared" si="142"/>
        <v/>
      </c>
    </row>
    <row r="141" spans="2:34" x14ac:dyDescent="0.25">
      <c r="B141" s="2" t="str">
        <f t="shared" si="149"/>
        <v>@line_width-canal_z16</v>
      </c>
      <c r="C141" s="28" t="s">
        <v>131</v>
      </c>
      <c r="D141" s="28" t="s">
        <v>89</v>
      </c>
      <c r="F141" s="28" t="s">
        <v>131</v>
      </c>
      <c r="G141" s="28" t="s">
        <v>89</v>
      </c>
      <c r="I141" s="28" t="s">
        <v>131</v>
      </c>
      <c r="J141" s="28" t="s">
        <v>89</v>
      </c>
      <c r="L141" s="28" t="s">
        <v>131</v>
      </c>
      <c r="M141" s="28" t="s">
        <v>89</v>
      </c>
      <c r="O141" s="28" t="s">
        <v>131</v>
      </c>
      <c r="P141" s="28" t="s">
        <v>89</v>
      </c>
      <c r="R141" s="28" t="s">
        <v>131</v>
      </c>
      <c r="S141" s="28" t="s">
        <v>89</v>
      </c>
      <c r="U141" s="28" t="s">
        <v>131</v>
      </c>
      <c r="V141" s="28" t="s">
        <v>89</v>
      </c>
      <c r="X141" s="28" t="s">
        <v>131</v>
      </c>
      <c r="Y141" s="28" t="s">
        <v>89</v>
      </c>
      <c r="AA141" s="2" t="s">
        <v>122</v>
      </c>
      <c r="AB141" s="2" t="str">
        <f t="shared" si="150"/>
        <v>-</v>
      </c>
      <c r="AC141" s="28" t="s">
        <v>344</v>
      </c>
      <c r="AD141" s="2" t="str">
        <f t="shared" si="151"/>
        <v>_</v>
      </c>
      <c r="AE141" s="28" t="s">
        <v>78</v>
      </c>
      <c r="AF141" s="2" t="str">
        <f t="shared" si="144"/>
        <v/>
      </c>
      <c r="AH141" s="2" t="str">
        <f t="shared" si="142"/>
        <v/>
      </c>
    </row>
    <row r="142" spans="2:34" x14ac:dyDescent="0.25">
      <c r="B142" s="2" t="str">
        <f t="shared" si="149"/>
        <v>@line_width-canal_z20</v>
      </c>
      <c r="C142" s="28" t="s">
        <v>89</v>
      </c>
      <c r="D142" s="28" t="s">
        <v>90</v>
      </c>
      <c r="F142" s="28" t="s">
        <v>89</v>
      </c>
      <c r="G142" s="28" t="s">
        <v>90</v>
      </c>
      <c r="I142" s="28" t="s">
        <v>89</v>
      </c>
      <c r="J142" s="28" t="s">
        <v>90</v>
      </c>
      <c r="L142" s="28" t="s">
        <v>89</v>
      </c>
      <c r="M142" s="28" t="s">
        <v>90</v>
      </c>
      <c r="O142" s="28" t="s">
        <v>89</v>
      </c>
      <c r="P142" s="28" t="s">
        <v>90</v>
      </c>
      <c r="R142" s="28" t="s">
        <v>89</v>
      </c>
      <c r="S142" s="28" t="s">
        <v>90</v>
      </c>
      <c r="U142" s="28" t="s">
        <v>89</v>
      </c>
      <c r="V142" s="28" t="s">
        <v>90</v>
      </c>
      <c r="X142" s="28" t="s">
        <v>89</v>
      </c>
      <c r="Y142" s="28" t="s">
        <v>90</v>
      </c>
      <c r="AA142" s="2" t="s">
        <v>122</v>
      </c>
      <c r="AB142" s="2" t="str">
        <f t="shared" si="150"/>
        <v>-</v>
      </c>
      <c r="AC142" s="28" t="s">
        <v>344</v>
      </c>
      <c r="AD142" s="2" t="str">
        <f t="shared" si="151"/>
        <v>_</v>
      </c>
      <c r="AE142" s="28" t="s">
        <v>142</v>
      </c>
      <c r="AF142" s="2" t="str">
        <f t="shared" si="144"/>
        <v/>
      </c>
      <c r="AH142" s="2" t="str">
        <f t="shared" si="142"/>
        <v/>
      </c>
    </row>
    <row r="143" spans="2:34" x14ac:dyDescent="0.25">
      <c r="B143" s="2"/>
      <c r="AA143" s="2"/>
      <c r="AB143" s="2"/>
      <c r="AD143" s="2"/>
      <c r="AF143" s="2"/>
      <c r="AH143" s="2"/>
    </row>
    <row r="144" spans="2:34" x14ac:dyDescent="0.25">
      <c r="B144" s="2" t="str">
        <f t="shared" ref="B144:B145" si="152">_xlfn.CONCAT("@",AA144,AB144,AC144,AD144,AE144,AF144,AG144,AH144,AI144)</f>
        <v>@line_width-river_z10</v>
      </c>
      <c r="C144" s="28" t="s">
        <v>99</v>
      </c>
      <c r="D144" s="28" t="s">
        <v>100</v>
      </c>
      <c r="F144" s="28" t="s">
        <v>99</v>
      </c>
      <c r="G144" s="28" t="s">
        <v>100</v>
      </c>
      <c r="I144" s="28" t="s">
        <v>99</v>
      </c>
      <c r="J144" s="28" t="s">
        <v>100</v>
      </c>
      <c r="L144" s="28" t="s">
        <v>99</v>
      </c>
      <c r="M144" s="28" t="s">
        <v>100</v>
      </c>
      <c r="O144" s="28" t="s">
        <v>99</v>
      </c>
      <c r="P144" s="28" t="s">
        <v>100</v>
      </c>
      <c r="R144" s="28" t="s">
        <v>99</v>
      </c>
      <c r="S144" s="28" t="s">
        <v>100</v>
      </c>
      <c r="U144" s="28" t="s">
        <v>99</v>
      </c>
      <c r="V144" s="28" t="s">
        <v>100</v>
      </c>
      <c r="X144" s="28" t="s">
        <v>99</v>
      </c>
      <c r="Y144" s="28" t="s">
        <v>100</v>
      </c>
      <c r="AA144" s="2" t="s">
        <v>122</v>
      </c>
      <c r="AB144" s="2" t="str">
        <f t="shared" ref="AB144:AB145" si="153">IF(NOT(ISBLANK(AC144)),"-","")</f>
        <v>-</v>
      </c>
      <c r="AC144" s="28" t="s">
        <v>346</v>
      </c>
      <c r="AD144" s="2" t="str">
        <f t="shared" ref="AD144:AD145" si="154">IF(NOT(ISBLANK(AE144)),"_","")</f>
        <v>_</v>
      </c>
      <c r="AE144" s="28" t="s">
        <v>106</v>
      </c>
      <c r="AF144" s="2" t="str">
        <f t="shared" si="144"/>
        <v/>
      </c>
      <c r="AH144" s="2" t="str">
        <f t="shared" si="142"/>
        <v/>
      </c>
    </row>
    <row r="145" spans="1:35" x14ac:dyDescent="0.25">
      <c r="B145" s="2" t="str">
        <f t="shared" si="152"/>
        <v>@line_width-river_z20</v>
      </c>
      <c r="C145" s="28" t="s">
        <v>89</v>
      </c>
      <c r="D145" s="28" t="s">
        <v>347</v>
      </c>
      <c r="F145" s="28" t="s">
        <v>89</v>
      </c>
      <c r="G145" s="28" t="s">
        <v>347</v>
      </c>
      <c r="I145" s="28" t="s">
        <v>89</v>
      </c>
      <c r="J145" s="28" t="s">
        <v>347</v>
      </c>
      <c r="L145" s="28" t="s">
        <v>89</v>
      </c>
      <c r="M145" s="28" t="s">
        <v>347</v>
      </c>
      <c r="O145" s="28" t="s">
        <v>89</v>
      </c>
      <c r="P145" s="28" t="s">
        <v>347</v>
      </c>
      <c r="R145" s="28" t="s">
        <v>89</v>
      </c>
      <c r="S145" s="28" t="s">
        <v>347</v>
      </c>
      <c r="U145" s="28" t="s">
        <v>89</v>
      </c>
      <c r="V145" s="28" t="s">
        <v>347</v>
      </c>
      <c r="X145" s="28" t="s">
        <v>89</v>
      </c>
      <c r="Y145" s="28" t="s">
        <v>347</v>
      </c>
      <c r="AA145" s="2" t="s">
        <v>122</v>
      </c>
      <c r="AB145" s="2" t="str">
        <f t="shared" si="153"/>
        <v>-</v>
      </c>
      <c r="AC145" s="28" t="s">
        <v>346</v>
      </c>
      <c r="AD145" s="2" t="str">
        <f t="shared" si="154"/>
        <v>_</v>
      </c>
      <c r="AE145" s="28" t="s">
        <v>142</v>
      </c>
      <c r="AF145" s="2" t="str">
        <f t="shared" si="144"/>
        <v/>
      </c>
      <c r="AH145" s="2" t="str">
        <f t="shared" si="142"/>
        <v/>
      </c>
    </row>
    <row r="146" spans="1:35" x14ac:dyDescent="0.25">
      <c r="B146" s="2"/>
      <c r="AA146" s="2"/>
      <c r="AB146" s="2"/>
      <c r="AD146" s="2"/>
      <c r="AF146" s="2"/>
      <c r="AH146" s="2"/>
    </row>
    <row r="147" spans="1:35" x14ac:dyDescent="0.25">
      <c r="AA147" s="2"/>
    </row>
    <row r="148" spans="1:35" s="2" customFormat="1" x14ac:dyDescent="0.25">
      <c r="A148" s="3" t="s">
        <v>257</v>
      </c>
      <c r="B148" s="3"/>
      <c r="C148" s="27"/>
      <c r="D148" s="6"/>
      <c r="E148" s="7"/>
      <c r="F148" s="6"/>
      <c r="G148" s="6"/>
      <c r="H148" s="7"/>
      <c r="I148" s="6"/>
      <c r="J148" s="6"/>
      <c r="K148" s="7"/>
      <c r="L148" s="6"/>
      <c r="M148" s="6"/>
      <c r="N148" s="7"/>
      <c r="O148" s="6"/>
      <c r="P148" s="6"/>
      <c r="Q148" s="7"/>
      <c r="R148" s="6"/>
      <c r="S148" s="6"/>
      <c r="T148" s="7"/>
      <c r="U148" s="6"/>
      <c r="V148" s="6"/>
      <c r="W148" s="7"/>
      <c r="X148" s="6"/>
      <c r="Y148" s="6"/>
      <c r="AA148" s="4"/>
      <c r="AB148" s="4" t="str">
        <f t="shared" si="71"/>
        <v/>
      </c>
      <c r="AC148" s="4"/>
      <c r="AD148" s="4" t="str">
        <f t="shared" si="72"/>
        <v/>
      </c>
      <c r="AE148" s="4"/>
      <c r="AF148" s="4" t="str">
        <f t="shared" si="73"/>
        <v/>
      </c>
      <c r="AG148" s="4"/>
      <c r="AH148" s="4" t="str">
        <f t="shared" ref="AH148:AH182" si="155">IF(NOT(ISBLANK(AI148)),"_","")</f>
        <v/>
      </c>
      <c r="AI148" s="4"/>
    </row>
    <row r="149" spans="1:35" x14ac:dyDescent="0.25">
      <c r="B149" s="2" t="str">
        <f t="shared" ref="B149:B173" si="156">_xlfn.CONCAT("@",AA149,AB149,AC149,AD149,AE149,AF149,AG149,AH149,AI149)</f>
        <v>@color-background</v>
      </c>
      <c r="C149" s="92" t="s">
        <v>195</v>
      </c>
      <c r="D149" s="38" t="s">
        <v>227</v>
      </c>
      <c r="F149" s="72" t="s">
        <v>217</v>
      </c>
      <c r="G149" s="72" t="s">
        <v>217</v>
      </c>
      <c r="AA149" s="2" t="s">
        <v>6</v>
      </c>
      <c r="AB149" s="2" t="str">
        <f t="shared" si="71"/>
        <v>-</v>
      </c>
      <c r="AC149" s="2" t="s">
        <v>69</v>
      </c>
      <c r="AD149" s="2" t="str">
        <f t="shared" si="72"/>
        <v/>
      </c>
      <c r="AE149" s="2"/>
      <c r="AF149" s="2" t="str">
        <f t="shared" si="73"/>
        <v/>
      </c>
      <c r="AG149" s="2"/>
      <c r="AH149" s="2" t="str">
        <f t="shared" si="155"/>
        <v/>
      </c>
      <c r="AI149" s="2"/>
    </row>
    <row r="150" spans="1:35" x14ac:dyDescent="0.25">
      <c r="B150" s="2" t="str">
        <f t="shared" si="156"/>
        <v>@color-water</v>
      </c>
      <c r="C150" s="93" t="s">
        <v>196</v>
      </c>
      <c r="D150" s="94" t="s">
        <v>197</v>
      </c>
      <c r="F150" s="95" t="s">
        <v>240</v>
      </c>
      <c r="G150" s="95" t="s">
        <v>240</v>
      </c>
      <c r="AA150" s="2" t="s">
        <v>6</v>
      </c>
      <c r="AB150" s="2" t="str">
        <f t="shared" si="71"/>
        <v>-</v>
      </c>
      <c r="AC150" s="2" t="s">
        <v>14</v>
      </c>
      <c r="AD150" s="2" t="str">
        <f t="shared" si="72"/>
        <v/>
      </c>
      <c r="AE150" s="2"/>
      <c r="AF150" s="2" t="str">
        <f t="shared" si="73"/>
        <v/>
      </c>
      <c r="AG150" s="2"/>
      <c r="AH150" s="2" t="str">
        <f t="shared" si="155"/>
        <v/>
      </c>
      <c r="AI150" s="2"/>
    </row>
    <row r="151" spans="1:35" x14ac:dyDescent="0.25">
      <c r="B151" s="2" t="str">
        <f t="shared" si="156"/>
        <v>@color-landcover_field</v>
      </c>
      <c r="C151" s="96" t="s">
        <v>198</v>
      </c>
      <c r="D151" s="97" t="s">
        <v>199</v>
      </c>
      <c r="F151" s="98" t="s">
        <v>243</v>
      </c>
      <c r="G151" s="98" t="s">
        <v>243</v>
      </c>
      <c r="AA151" s="2" t="s">
        <v>6</v>
      </c>
      <c r="AB151" s="2" t="str">
        <f t="shared" si="71"/>
        <v>-</v>
      </c>
      <c r="AC151" s="2" t="s">
        <v>54</v>
      </c>
      <c r="AD151" s="2" t="str">
        <f t="shared" si="72"/>
        <v>_</v>
      </c>
      <c r="AE151" s="2" t="s">
        <v>49</v>
      </c>
      <c r="AF151" s="2" t="str">
        <f t="shared" si="73"/>
        <v/>
      </c>
      <c r="AG151" s="2"/>
      <c r="AH151" s="2" t="str">
        <f t="shared" si="155"/>
        <v/>
      </c>
      <c r="AI151" s="2"/>
    </row>
    <row r="152" spans="1:35" x14ac:dyDescent="0.25">
      <c r="B152" s="2" t="str">
        <f t="shared" si="156"/>
        <v>@color-landcover_meadow</v>
      </c>
      <c r="C152" s="99" t="s">
        <v>200</v>
      </c>
      <c r="D152" s="100" t="s">
        <v>201</v>
      </c>
      <c r="F152" s="101" t="s">
        <v>242</v>
      </c>
      <c r="G152" s="101" t="s">
        <v>242</v>
      </c>
      <c r="AA152" s="2" t="s">
        <v>6</v>
      </c>
      <c r="AB152" s="2" t="str">
        <f t="shared" si="71"/>
        <v>-</v>
      </c>
      <c r="AC152" s="2" t="s">
        <v>54</v>
      </c>
      <c r="AD152" s="2" t="str">
        <f t="shared" si="72"/>
        <v>_</v>
      </c>
      <c r="AE152" s="2" t="s">
        <v>50</v>
      </c>
      <c r="AF152" s="2" t="str">
        <f t="shared" si="73"/>
        <v/>
      </c>
      <c r="AG152" s="2"/>
      <c r="AH152" s="2" t="str">
        <f t="shared" si="155"/>
        <v/>
      </c>
      <c r="AI152" s="2"/>
    </row>
    <row r="153" spans="1:35" x14ac:dyDescent="0.25">
      <c r="B153" s="2" t="str">
        <f t="shared" si="156"/>
        <v>@color-landcover_bare_rock</v>
      </c>
      <c r="C153" s="102" t="s">
        <v>202</v>
      </c>
      <c r="D153" s="102" t="s">
        <v>202</v>
      </c>
      <c r="F153" s="103" t="s">
        <v>247</v>
      </c>
      <c r="G153" s="103" t="s">
        <v>247</v>
      </c>
      <c r="AA153" s="2" t="s">
        <v>6</v>
      </c>
      <c r="AB153" s="2" t="str">
        <f t="shared" si="71"/>
        <v>-</v>
      </c>
      <c r="AC153" s="2" t="s">
        <v>54</v>
      </c>
      <c r="AD153" s="2" t="str">
        <f t="shared" si="72"/>
        <v>_</v>
      </c>
      <c r="AE153" s="2" t="s">
        <v>51</v>
      </c>
      <c r="AF153" s="2" t="str">
        <f t="shared" si="73"/>
        <v/>
      </c>
      <c r="AG153" s="2"/>
      <c r="AH153" s="2" t="str">
        <f t="shared" si="155"/>
        <v/>
      </c>
      <c r="AI153" s="2"/>
    </row>
    <row r="154" spans="1:35" x14ac:dyDescent="0.25">
      <c r="B154" s="2" t="str">
        <f t="shared" si="156"/>
        <v>@color-landcover_sand</v>
      </c>
      <c r="C154" s="104" t="s">
        <v>203</v>
      </c>
      <c r="D154" s="38" t="s">
        <v>227</v>
      </c>
      <c r="F154" s="105" t="s">
        <v>248</v>
      </c>
      <c r="G154" s="72" t="s">
        <v>217</v>
      </c>
      <c r="AA154" s="2" t="s">
        <v>6</v>
      </c>
      <c r="AB154" s="2" t="str">
        <f t="shared" si="71"/>
        <v>-</v>
      </c>
      <c r="AC154" s="2" t="s">
        <v>54</v>
      </c>
      <c r="AD154" s="2" t="str">
        <f t="shared" si="72"/>
        <v>_</v>
      </c>
      <c r="AE154" s="2" t="s">
        <v>52</v>
      </c>
      <c r="AF154" s="2" t="str">
        <f t="shared" si="73"/>
        <v/>
      </c>
      <c r="AG154" s="2"/>
      <c r="AH154" s="2" t="str">
        <f t="shared" si="155"/>
        <v/>
      </c>
      <c r="AI154" s="2"/>
    </row>
    <row r="155" spans="1:35" x14ac:dyDescent="0.25">
      <c r="B155" s="2" t="str">
        <f t="shared" si="156"/>
        <v>@color-landcover_allotments</v>
      </c>
      <c r="C155" s="106" t="s">
        <v>204</v>
      </c>
      <c r="D155" s="106" t="s">
        <v>204</v>
      </c>
      <c r="F155" s="107" t="s">
        <v>249</v>
      </c>
      <c r="G155" s="107" t="s">
        <v>249</v>
      </c>
      <c r="AA155" s="2" t="s">
        <v>6</v>
      </c>
      <c r="AB155" s="2" t="str">
        <f t="shared" si="71"/>
        <v>-</v>
      </c>
      <c r="AC155" s="2" t="s">
        <v>54</v>
      </c>
      <c r="AD155" s="2" t="str">
        <f t="shared" si="72"/>
        <v>_</v>
      </c>
      <c r="AE155" s="2" t="s">
        <v>53</v>
      </c>
      <c r="AF155" s="2" t="str">
        <f t="shared" si="73"/>
        <v/>
      </c>
      <c r="AG155" s="2"/>
      <c r="AH155" s="2" t="str">
        <f t="shared" si="155"/>
        <v/>
      </c>
      <c r="AI155" s="2"/>
    </row>
    <row r="156" spans="1:35" x14ac:dyDescent="0.25">
      <c r="B156" s="2" t="str">
        <f t="shared" si="156"/>
        <v>@color-landcover_heath_fell</v>
      </c>
      <c r="C156" s="108" t="s">
        <v>205</v>
      </c>
      <c r="D156" s="38" t="s">
        <v>227</v>
      </c>
      <c r="F156" s="109" t="s">
        <v>250</v>
      </c>
      <c r="G156" s="72" t="s">
        <v>217</v>
      </c>
      <c r="AA156" s="2" t="s">
        <v>6</v>
      </c>
      <c r="AB156" s="2" t="str">
        <f t="shared" si="71"/>
        <v>-</v>
      </c>
      <c r="AC156" s="2" t="s">
        <v>54</v>
      </c>
      <c r="AD156" s="2" t="str">
        <f t="shared" si="72"/>
        <v>_</v>
      </c>
      <c r="AE156" s="2" t="s">
        <v>55</v>
      </c>
      <c r="AF156" s="2" t="str">
        <f t="shared" si="73"/>
        <v/>
      </c>
      <c r="AG156" s="2"/>
      <c r="AH156" s="2" t="str">
        <f t="shared" si="155"/>
        <v/>
      </c>
      <c r="AI156" s="2"/>
    </row>
    <row r="157" spans="1:35" x14ac:dyDescent="0.25">
      <c r="B157" s="2" t="str">
        <f t="shared" si="156"/>
        <v>@color-landcover_grass</v>
      </c>
      <c r="C157" s="110" t="s">
        <v>206</v>
      </c>
      <c r="D157" s="38" t="s">
        <v>227</v>
      </c>
      <c r="F157" s="111" t="s">
        <v>280</v>
      </c>
      <c r="G157" s="72" t="s">
        <v>217</v>
      </c>
      <c r="AA157" s="2" t="s">
        <v>6</v>
      </c>
      <c r="AB157" s="2" t="str">
        <f t="shared" si="71"/>
        <v>-</v>
      </c>
      <c r="AC157" s="2" t="s">
        <v>54</v>
      </c>
      <c r="AD157" s="2" t="str">
        <f t="shared" si="72"/>
        <v>_</v>
      </c>
      <c r="AE157" s="2" t="s">
        <v>56</v>
      </c>
      <c r="AF157" s="2" t="str">
        <f t="shared" si="73"/>
        <v/>
      </c>
      <c r="AG157" s="2"/>
      <c r="AH157" s="2" t="str">
        <f t="shared" si="155"/>
        <v/>
      </c>
      <c r="AI157" s="2"/>
    </row>
    <row r="158" spans="1:35" x14ac:dyDescent="0.25">
      <c r="B158" s="2" t="str">
        <f t="shared" si="156"/>
        <v>@color-landcover_quarry</v>
      </c>
      <c r="C158" s="112" t="s">
        <v>207</v>
      </c>
      <c r="D158" s="112" t="s">
        <v>207</v>
      </c>
      <c r="F158" s="113" t="s">
        <v>251</v>
      </c>
      <c r="G158" s="113" t="s">
        <v>251</v>
      </c>
      <c r="AA158" s="2" t="s">
        <v>6</v>
      </c>
      <c r="AB158" s="2" t="str">
        <f t="shared" si="71"/>
        <v>-</v>
      </c>
      <c r="AC158" s="2" t="s">
        <v>54</v>
      </c>
      <c r="AD158" s="2" t="str">
        <f t="shared" si="72"/>
        <v>_</v>
      </c>
      <c r="AE158" s="2" t="s">
        <v>57</v>
      </c>
      <c r="AF158" s="2" t="str">
        <f t="shared" si="73"/>
        <v/>
      </c>
      <c r="AG158" s="2"/>
      <c r="AH158" s="2" t="str">
        <f t="shared" si="155"/>
        <v/>
      </c>
      <c r="AI158" s="2"/>
    </row>
    <row r="159" spans="1:35" x14ac:dyDescent="0.25">
      <c r="B159" s="2" t="str">
        <f t="shared" si="156"/>
        <v>@color-landcover_storage</v>
      </c>
      <c r="C159" s="114" t="s">
        <v>208</v>
      </c>
      <c r="D159" s="114" t="s">
        <v>208</v>
      </c>
      <c r="F159" s="115" t="s">
        <v>265</v>
      </c>
      <c r="G159" s="115" t="s">
        <v>265</v>
      </c>
      <c r="AA159" s="2" t="s">
        <v>6</v>
      </c>
      <c r="AB159" s="2" t="str">
        <f t="shared" si="71"/>
        <v>-</v>
      </c>
      <c r="AC159" s="2" t="s">
        <v>54</v>
      </c>
      <c r="AD159" s="2" t="str">
        <f t="shared" si="72"/>
        <v>_</v>
      </c>
      <c r="AE159" s="2" t="s">
        <v>58</v>
      </c>
      <c r="AF159" s="2" t="str">
        <f t="shared" si="73"/>
        <v/>
      </c>
      <c r="AG159" s="2"/>
      <c r="AH159" s="2" t="str">
        <f t="shared" si="155"/>
        <v/>
      </c>
      <c r="AI159" s="2"/>
    </row>
    <row r="160" spans="1:35" x14ac:dyDescent="0.25">
      <c r="B160" s="2" t="str">
        <f t="shared" si="156"/>
        <v>@color-landcover_wood</v>
      </c>
      <c r="C160" s="116" t="s">
        <v>209</v>
      </c>
      <c r="D160" s="116" t="s">
        <v>209</v>
      </c>
      <c r="F160" s="117" t="s">
        <v>241</v>
      </c>
      <c r="G160" s="117" t="s">
        <v>241</v>
      </c>
      <c r="AA160" s="2" t="s">
        <v>6</v>
      </c>
      <c r="AB160" s="2" t="str">
        <f t="shared" si="71"/>
        <v>-</v>
      </c>
      <c r="AC160" s="2" t="s">
        <v>54</v>
      </c>
      <c r="AD160" s="2" t="str">
        <f t="shared" si="72"/>
        <v>_</v>
      </c>
      <c r="AE160" s="2" t="s">
        <v>59</v>
      </c>
      <c r="AF160" s="2" t="str">
        <f t="shared" si="73"/>
        <v/>
      </c>
      <c r="AG160" s="2"/>
      <c r="AH160" s="2" t="str">
        <f t="shared" si="155"/>
        <v/>
      </c>
      <c r="AI160" s="2"/>
    </row>
    <row r="161" spans="1:35" x14ac:dyDescent="0.25">
      <c r="B161" s="2" t="str">
        <f t="shared" si="156"/>
        <v>@color-landcover_parking_area</v>
      </c>
      <c r="C161" s="118" t="s">
        <v>210</v>
      </c>
      <c r="D161" s="118" t="s">
        <v>210</v>
      </c>
      <c r="F161" s="119" t="s">
        <v>252</v>
      </c>
      <c r="G161" s="119" t="s">
        <v>252</v>
      </c>
      <c r="AA161" s="2" t="s">
        <v>6</v>
      </c>
      <c r="AB161" s="2" t="str">
        <f t="shared" si="71"/>
        <v>-</v>
      </c>
      <c r="AC161" s="2" t="s">
        <v>54</v>
      </c>
      <c r="AD161" s="2" t="str">
        <f t="shared" si="72"/>
        <v>_</v>
      </c>
      <c r="AE161" s="2" t="s">
        <v>60</v>
      </c>
      <c r="AF161" s="2" t="str">
        <f t="shared" si="73"/>
        <v/>
      </c>
      <c r="AG161" s="2"/>
      <c r="AH161" s="2" t="str">
        <f t="shared" si="155"/>
        <v/>
      </c>
      <c r="AI161" s="2"/>
    </row>
    <row r="162" spans="1:35" x14ac:dyDescent="0.25">
      <c r="B162" s="2" t="str">
        <f t="shared" si="156"/>
        <v>@color-landcover_railway</v>
      </c>
      <c r="C162" s="120" t="s">
        <v>211</v>
      </c>
      <c r="D162" s="120" t="s">
        <v>211</v>
      </c>
      <c r="F162" s="121" t="s">
        <v>253</v>
      </c>
      <c r="G162" s="121" t="s">
        <v>253</v>
      </c>
      <c r="AA162" s="2" t="s">
        <v>6</v>
      </c>
      <c r="AB162" s="2" t="str">
        <f t="shared" si="71"/>
        <v>-</v>
      </c>
      <c r="AC162" s="2" t="s">
        <v>54</v>
      </c>
      <c r="AD162" s="2" t="str">
        <f t="shared" si="72"/>
        <v>_</v>
      </c>
      <c r="AE162" s="2" t="s">
        <v>61</v>
      </c>
      <c r="AF162" s="2" t="str">
        <f t="shared" si="73"/>
        <v/>
      </c>
      <c r="AG162" s="2"/>
      <c r="AH162" s="2" t="str">
        <f t="shared" si="155"/>
        <v/>
      </c>
      <c r="AI162" s="2"/>
    </row>
    <row r="163" spans="1:35" x14ac:dyDescent="0.25">
      <c r="B163" s="2" t="str">
        <f t="shared" si="156"/>
        <v>@color-landcover_school</v>
      </c>
      <c r="C163" s="122" t="s">
        <v>213</v>
      </c>
      <c r="D163" s="122" t="s">
        <v>213</v>
      </c>
      <c r="F163" s="115" t="s">
        <v>265</v>
      </c>
      <c r="G163" s="115" t="s">
        <v>265</v>
      </c>
      <c r="AA163" s="2" t="s">
        <v>6</v>
      </c>
      <c r="AB163" s="2" t="str">
        <f t="shared" si="71"/>
        <v>-</v>
      </c>
      <c r="AC163" s="2" t="s">
        <v>54</v>
      </c>
      <c r="AD163" s="2" t="str">
        <f t="shared" si="72"/>
        <v>_</v>
      </c>
      <c r="AE163" s="2" t="s">
        <v>62</v>
      </c>
      <c r="AF163" s="2" t="str">
        <f t="shared" si="73"/>
        <v/>
      </c>
      <c r="AG163" s="2"/>
      <c r="AH163" s="2" t="str">
        <f t="shared" si="155"/>
        <v/>
      </c>
      <c r="AI163" s="2"/>
    </row>
    <row r="164" spans="1:35" x14ac:dyDescent="0.25">
      <c r="B164" s="2" t="str">
        <f t="shared" si="156"/>
        <v>@color-landcover_cemetery</v>
      </c>
      <c r="C164" s="123" t="s">
        <v>212</v>
      </c>
      <c r="D164" s="123" t="s">
        <v>212</v>
      </c>
      <c r="F164" s="124" t="s">
        <v>254</v>
      </c>
      <c r="G164" s="124" t="s">
        <v>254</v>
      </c>
      <c r="AA164" s="2" t="s">
        <v>6</v>
      </c>
      <c r="AB164" s="2" t="str">
        <f t="shared" si="71"/>
        <v>-</v>
      </c>
      <c r="AC164" s="2" t="s">
        <v>54</v>
      </c>
      <c r="AD164" s="2" t="str">
        <f t="shared" si="72"/>
        <v>_</v>
      </c>
      <c r="AE164" s="2" t="s">
        <v>64</v>
      </c>
      <c r="AF164" s="2" t="str">
        <f t="shared" si="73"/>
        <v/>
      </c>
      <c r="AG164" s="2"/>
      <c r="AH164" s="2" t="str">
        <f t="shared" si="155"/>
        <v/>
      </c>
      <c r="AI164" s="2"/>
    </row>
    <row r="165" spans="1:35" x14ac:dyDescent="0.25">
      <c r="B165" s="2" t="str">
        <f t="shared" si="156"/>
        <v>@color-landcover_hospital</v>
      </c>
      <c r="C165" s="122" t="s">
        <v>213</v>
      </c>
      <c r="D165" s="122" t="s">
        <v>213</v>
      </c>
      <c r="F165" s="115" t="s">
        <v>265</v>
      </c>
      <c r="G165" s="115" t="s">
        <v>265</v>
      </c>
      <c r="AA165" s="2" t="s">
        <v>6</v>
      </c>
      <c r="AB165" s="2" t="str">
        <f t="shared" si="71"/>
        <v>-</v>
      </c>
      <c r="AC165" s="2" t="s">
        <v>54</v>
      </c>
      <c r="AD165" s="2" t="str">
        <f t="shared" si="72"/>
        <v>_</v>
      </c>
      <c r="AE165" s="2" t="s">
        <v>63</v>
      </c>
      <c r="AF165" s="2" t="str">
        <f t="shared" si="73"/>
        <v/>
      </c>
      <c r="AG165" s="2"/>
      <c r="AH165" s="2" t="str">
        <f t="shared" si="155"/>
        <v/>
      </c>
      <c r="AI165" s="2"/>
    </row>
    <row r="166" spans="1:35" x14ac:dyDescent="0.25">
      <c r="B166" s="2" t="str">
        <f t="shared" si="156"/>
        <v>@color-landcover_industrial</v>
      </c>
      <c r="C166" s="122" t="s">
        <v>213</v>
      </c>
      <c r="D166" s="122" t="s">
        <v>213</v>
      </c>
      <c r="F166" s="115" t="s">
        <v>265</v>
      </c>
      <c r="G166" s="115" t="s">
        <v>265</v>
      </c>
      <c r="AA166" s="2" t="s">
        <v>6</v>
      </c>
      <c r="AB166" s="2" t="str">
        <f t="shared" si="71"/>
        <v>-</v>
      </c>
      <c r="AC166" s="2" t="s">
        <v>54</v>
      </c>
      <c r="AD166" s="2" t="str">
        <f t="shared" si="72"/>
        <v>_</v>
      </c>
      <c r="AE166" s="2" t="s">
        <v>65</v>
      </c>
      <c r="AF166" s="2" t="str">
        <f t="shared" si="73"/>
        <v/>
      </c>
      <c r="AG166" s="2"/>
      <c r="AH166" s="2" t="str">
        <f t="shared" si="155"/>
        <v/>
      </c>
      <c r="AI166" s="2"/>
    </row>
    <row r="167" spans="1:35" x14ac:dyDescent="0.25">
      <c r="B167" s="2" t="str">
        <f t="shared" si="156"/>
        <v>@color-landcover_commercial</v>
      </c>
      <c r="C167" s="122" t="s">
        <v>213</v>
      </c>
      <c r="D167" s="122" t="s">
        <v>213</v>
      </c>
      <c r="F167" s="115" t="s">
        <v>265</v>
      </c>
      <c r="G167" s="115" t="s">
        <v>265</v>
      </c>
      <c r="AA167" s="2" t="s">
        <v>6</v>
      </c>
      <c r="AB167" s="2" t="str">
        <f t="shared" si="71"/>
        <v>-</v>
      </c>
      <c r="AC167" s="2" t="s">
        <v>54</v>
      </c>
      <c r="AD167" s="2" t="str">
        <f t="shared" si="72"/>
        <v>_</v>
      </c>
      <c r="AE167" s="2" t="s">
        <v>66</v>
      </c>
      <c r="AF167" s="2" t="str">
        <f t="shared" si="73"/>
        <v/>
      </c>
      <c r="AG167" s="2"/>
      <c r="AH167" s="2" t="str">
        <f t="shared" si="155"/>
        <v/>
      </c>
      <c r="AI167" s="2"/>
    </row>
    <row r="168" spans="1:35" x14ac:dyDescent="0.25">
      <c r="B168" s="2" t="str">
        <f t="shared" si="156"/>
        <v>@color-landcover_residential</v>
      </c>
      <c r="C168" s="122" t="s">
        <v>213</v>
      </c>
      <c r="D168" s="122" t="s">
        <v>213</v>
      </c>
      <c r="F168" s="115" t="s">
        <v>265</v>
      </c>
      <c r="G168" s="115" t="s">
        <v>265</v>
      </c>
      <c r="AA168" s="2" t="s">
        <v>6</v>
      </c>
      <c r="AB168" s="2" t="str">
        <f t="shared" si="71"/>
        <v>-</v>
      </c>
      <c r="AC168" s="2" t="s">
        <v>54</v>
      </c>
      <c r="AD168" s="2" t="str">
        <f t="shared" si="72"/>
        <v>_</v>
      </c>
      <c r="AE168" s="2" t="s">
        <v>67</v>
      </c>
      <c r="AF168" s="2" t="str">
        <f t="shared" si="73"/>
        <v/>
      </c>
      <c r="AG168" s="2"/>
      <c r="AH168" s="2" t="str">
        <f t="shared" si="155"/>
        <v/>
      </c>
      <c r="AI168" s="2"/>
    </row>
    <row r="169" spans="1:35" x14ac:dyDescent="0.25">
      <c r="B169" s="2" t="str">
        <f t="shared" si="156"/>
        <v>@color-landcover_built-up</v>
      </c>
      <c r="C169" s="122" t="s">
        <v>213</v>
      </c>
      <c r="D169" s="122" t="s">
        <v>213</v>
      </c>
      <c r="F169" s="115" t="s">
        <v>265</v>
      </c>
      <c r="G169" s="115" t="s">
        <v>265</v>
      </c>
      <c r="AA169" s="2" t="s">
        <v>6</v>
      </c>
      <c r="AB169" s="2" t="str">
        <f t="shared" si="71"/>
        <v>-</v>
      </c>
      <c r="AC169" s="2" t="s">
        <v>54</v>
      </c>
      <c r="AD169" s="2" t="str">
        <f t="shared" si="72"/>
        <v>_</v>
      </c>
      <c r="AE169" s="2" t="s">
        <v>68</v>
      </c>
      <c r="AF169" s="2" t="str">
        <f t="shared" si="73"/>
        <v/>
      </c>
      <c r="AG169" s="2"/>
      <c r="AH169" s="2" t="str">
        <f t="shared" si="155"/>
        <v/>
      </c>
      <c r="AI169" s="2"/>
    </row>
    <row r="170" spans="1:35" x14ac:dyDescent="0.25">
      <c r="B170" s="2" t="str">
        <f t="shared" si="156"/>
        <v>@color-landcover_ice_shelf</v>
      </c>
      <c r="C170" s="92" t="s">
        <v>195</v>
      </c>
      <c r="D170" s="92" t="s">
        <v>195</v>
      </c>
      <c r="F170" s="125" t="s">
        <v>255</v>
      </c>
      <c r="G170" s="125" t="s">
        <v>255</v>
      </c>
      <c r="AA170" s="2" t="s">
        <v>6</v>
      </c>
      <c r="AB170" s="2" t="str">
        <f t="shared" ref="AB170:AB173" si="157">IF(NOT(ISBLANK(AC170)),"-","")</f>
        <v>-</v>
      </c>
      <c r="AC170" s="2" t="s">
        <v>54</v>
      </c>
      <c r="AD170" s="2" t="str">
        <f t="shared" ref="AD170:AD173" si="158">IF(NOT(ISBLANK(AE170)),"_","")</f>
        <v>_</v>
      </c>
      <c r="AE170" s="2" t="s">
        <v>244</v>
      </c>
      <c r="AF170" s="2" t="str">
        <f t="shared" ref="AF170:AF173" si="159">IF(NOT(ISBLANK(AG170)),"_","")</f>
        <v/>
      </c>
      <c r="AG170" s="2"/>
      <c r="AH170" s="2" t="str">
        <f t="shared" si="155"/>
        <v/>
      </c>
      <c r="AI170" s="2"/>
    </row>
    <row r="171" spans="1:35" x14ac:dyDescent="0.25">
      <c r="B171" s="2" t="str">
        <f t="shared" si="156"/>
        <v>@color-landcover_glacier</v>
      </c>
      <c r="C171" s="92" t="s">
        <v>195</v>
      </c>
      <c r="D171" s="92" t="s">
        <v>195</v>
      </c>
      <c r="F171" s="125" t="s">
        <v>255</v>
      </c>
      <c r="G171" s="125" t="s">
        <v>255</v>
      </c>
      <c r="AA171" s="2" t="s">
        <v>6</v>
      </c>
      <c r="AB171" s="2" t="str">
        <f t="shared" ref="AB171" si="160">IF(NOT(ISBLANK(AC171)),"-","")</f>
        <v>-</v>
      </c>
      <c r="AC171" s="2" t="s">
        <v>54</v>
      </c>
      <c r="AD171" s="2" t="str">
        <f t="shared" ref="AD171" si="161">IF(NOT(ISBLANK(AE171)),"_","")</f>
        <v>_</v>
      </c>
      <c r="AE171" s="2" t="s">
        <v>268</v>
      </c>
      <c r="AF171" s="2" t="str">
        <f t="shared" ref="AF171" si="162">IF(NOT(ISBLANK(AG171)),"_","")</f>
        <v/>
      </c>
      <c r="AG171" s="2"/>
      <c r="AH171" s="2" t="str">
        <f t="shared" si="155"/>
        <v/>
      </c>
      <c r="AI171" s="2"/>
    </row>
    <row r="172" spans="1:35" x14ac:dyDescent="0.25">
      <c r="B172" s="2" t="str">
        <f t="shared" si="156"/>
        <v>@color-landcover_sport_play</v>
      </c>
      <c r="C172" s="126" t="s">
        <v>246</v>
      </c>
      <c r="D172" s="126" t="s">
        <v>246</v>
      </c>
      <c r="F172" s="127" t="s">
        <v>256</v>
      </c>
      <c r="G172" s="127" t="s">
        <v>256</v>
      </c>
      <c r="AA172" s="2" t="s">
        <v>6</v>
      </c>
      <c r="AB172" s="2" t="str">
        <f t="shared" si="157"/>
        <v>-</v>
      </c>
      <c r="AC172" s="2" t="s">
        <v>54</v>
      </c>
      <c r="AD172" s="2" t="str">
        <f t="shared" si="158"/>
        <v>_</v>
      </c>
      <c r="AE172" s="2" t="s">
        <v>245</v>
      </c>
      <c r="AF172" s="2" t="str">
        <f t="shared" si="159"/>
        <v/>
      </c>
      <c r="AG172" s="2"/>
      <c r="AH172" s="2" t="str">
        <f t="shared" si="155"/>
        <v/>
      </c>
      <c r="AI172" s="2"/>
    </row>
    <row r="173" spans="1:35" x14ac:dyDescent="0.25">
      <c r="B173" s="2" t="str">
        <f t="shared" si="156"/>
        <v>@color-landcover_line_generic</v>
      </c>
      <c r="C173" s="128" t="s">
        <v>266</v>
      </c>
      <c r="D173" s="128" t="s">
        <v>266</v>
      </c>
      <c r="F173" s="115" t="s">
        <v>265</v>
      </c>
      <c r="G173" s="115" t="s">
        <v>265</v>
      </c>
      <c r="AA173" s="2" t="s">
        <v>6</v>
      </c>
      <c r="AB173" s="2" t="str">
        <f t="shared" si="157"/>
        <v>-</v>
      </c>
      <c r="AC173" s="2" t="s">
        <v>54</v>
      </c>
      <c r="AD173" s="2" t="str">
        <f t="shared" si="158"/>
        <v>_</v>
      </c>
      <c r="AE173" s="2" t="s">
        <v>13</v>
      </c>
      <c r="AF173" s="2" t="str">
        <f t="shared" si="159"/>
        <v>_</v>
      </c>
      <c r="AG173" s="2" t="s">
        <v>260</v>
      </c>
      <c r="AH173" s="2" t="str">
        <f t="shared" si="155"/>
        <v/>
      </c>
      <c r="AI173" s="2"/>
    </row>
    <row r="174" spans="1:35" x14ac:dyDescent="0.25">
      <c r="AB174" s="28" t="str">
        <f t="shared" si="71"/>
        <v/>
      </c>
      <c r="AD174" s="28" t="str">
        <f t="shared" si="72"/>
        <v/>
      </c>
      <c r="AF174" s="28" t="str">
        <f t="shared" si="73"/>
        <v/>
      </c>
      <c r="AH174" s="28" t="str">
        <f t="shared" si="155"/>
        <v/>
      </c>
    </row>
    <row r="175" spans="1:35" s="2" customFormat="1" x14ac:dyDescent="0.25">
      <c r="A175" s="3" t="s">
        <v>46</v>
      </c>
      <c r="B175" s="3"/>
      <c r="C175" s="27"/>
      <c r="D175" s="6"/>
      <c r="E175" s="7"/>
      <c r="F175" s="6"/>
      <c r="G175" s="6"/>
      <c r="H175" s="7"/>
      <c r="I175" s="6"/>
      <c r="J175" s="6"/>
      <c r="K175" s="7"/>
      <c r="L175" s="6"/>
      <c r="M175" s="6"/>
      <c r="N175" s="7"/>
      <c r="O175" s="6"/>
      <c r="P175" s="6"/>
      <c r="Q175" s="7"/>
      <c r="R175" s="6"/>
      <c r="S175" s="6"/>
      <c r="T175" s="7"/>
      <c r="U175" s="6"/>
      <c r="V175" s="6"/>
      <c r="W175" s="7"/>
      <c r="X175" s="6"/>
      <c r="Y175" s="6"/>
      <c r="AA175" s="4"/>
      <c r="AB175" s="4" t="str">
        <f t="shared" si="71"/>
        <v/>
      </c>
      <c r="AC175" s="4"/>
      <c r="AD175" s="4" t="str">
        <f t="shared" si="72"/>
        <v/>
      </c>
      <c r="AE175" s="4"/>
      <c r="AF175" s="4" t="str">
        <f t="shared" si="73"/>
        <v/>
      </c>
      <c r="AG175" s="4"/>
      <c r="AH175" s="4" t="str">
        <f t="shared" si="155"/>
        <v/>
      </c>
      <c r="AI175" s="4"/>
    </row>
    <row r="176" spans="1:35" x14ac:dyDescent="0.25">
      <c r="B176" s="2" t="str">
        <f t="shared" ref="B176:B178" si="163">_xlfn.CONCAT("@",AA176,AB176,AC176,AD176,AE176,AF176,AG176,AH176,AI176)</f>
        <v>@color-motorway_case_farzoom</v>
      </c>
      <c r="C176" s="129" t="s">
        <v>214</v>
      </c>
      <c r="D176" s="72" t="s">
        <v>217</v>
      </c>
      <c r="F176" s="129" t="s">
        <v>214</v>
      </c>
      <c r="G176" s="129" t="s">
        <v>214</v>
      </c>
      <c r="I176" s="130" t="str">
        <f>C176</f>
        <v>"#bf440f"</v>
      </c>
      <c r="J176" s="72" t="s">
        <v>217</v>
      </c>
      <c r="U176" s="130" t="str">
        <f>C176</f>
        <v>"#bf440f"</v>
      </c>
      <c r="AA176" s="2" t="s">
        <v>6</v>
      </c>
      <c r="AB176" s="2" t="str">
        <f t="shared" si="71"/>
        <v>-</v>
      </c>
      <c r="AC176" s="2" t="s">
        <v>16</v>
      </c>
      <c r="AD176" s="2" t="str">
        <f t="shared" si="72"/>
        <v>_</v>
      </c>
      <c r="AE176" s="2" t="s">
        <v>17</v>
      </c>
      <c r="AF176" s="2" t="str">
        <f t="shared" si="73"/>
        <v>_</v>
      </c>
      <c r="AG176" s="2" t="s">
        <v>21</v>
      </c>
      <c r="AH176" s="2" t="str">
        <f t="shared" si="155"/>
        <v/>
      </c>
      <c r="AI176" s="2"/>
    </row>
    <row r="177" spans="1:35" x14ac:dyDescent="0.25">
      <c r="B177" s="2" t="str">
        <f t="shared" si="163"/>
        <v>@color-motorway_case_default</v>
      </c>
      <c r="C177" s="131" t="s">
        <v>215</v>
      </c>
      <c r="D177" s="72" t="s">
        <v>217</v>
      </c>
      <c r="F177" s="72" t="s">
        <v>217</v>
      </c>
      <c r="G177" s="72" t="s">
        <v>217</v>
      </c>
      <c r="I177" s="132" t="str">
        <f>C177</f>
        <v>"#a15412"</v>
      </c>
      <c r="J177" s="72" t="s">
        <v>217</v>
      </c>
      <c r="U177" s="132" t="str">
        <f>C177</f>
        <v>"#a15412"</v>
      </c>
      <c r="AA177" s="2" t="s">
        <v>6</v>
      </c>
      <c r="AB177" s="2" t="str">
        <f t="shared" si="71"/>
        <v>-</v>
      </c>
      <c r="AC177" s="2" t="s">
        <v>16</v>
      </c>
      <c r="AD177" s="2" t="str">
        <f t="shared" si="72"/>
        <v>_</v>
      </c>
      <c r="AE177" s="2" t="s">
        <v>17</v>
      </c>
      <c r="AF177" s="2" t="str">
        <f t="shared" si="73"/>
        <v>_</v>
      </c>
      <c r="AG177" s="2" t="s">
        <v>267</v>
      </c>
      <c r="AH177" s="2" t="str">
        <f t="shared" si="155"/>
        <v/>
      </c>
      <c r="AI177" s="2"/>
    </row>
    <row r="178" spans="1:35" x14ac:dyDescent="0.25">
      <c r="B178" s="2" t="str">
        <f t="shared" si="163"/>
        <v>@color-motorway_line_default</v>
      </c>
      <c r="C178" s="133" t="s">
        <v>216</v>
      </c>
      <c r="D178" s="134" t="s">
        <v>218</v>
      </c>
      <c r="F178" s="134" t="s">
        <v>218</v>
      </c>
      <c r="G178" s="134" t="s">
        <v>218</v>
      </c>
      <c r="I178" s="135" t="str">
        <f>C178</f>
        <v>"#ffcc88"</v>
      </c>
      <c r="J178" s="136" t="str">
        <f>D178</f>
        <v>"#d6771e"</v>
      </c>
      <c r="U178" s="135" t="str">
        <f>C178</f>
        <v>"#ffcc88"</v>
      </c>
      <c r="AA178" s="2" t="s">
        <v>6</v>
      </c>
      <c r="AB178" s="2" t="str">
        <f t="shared" si="71"/>
        <v>-</v>
      </c>
      <c r="AC178" s="2" t="s">
        <v>16</v>
      </c>
      <c r="AD178" s="2" t="str">
        <f t="shared" si="72"/>
        <v>_</v>
      </c>
      <c r="AE178" s="2" t="s">
        <v>13</v>
      </c>
      <c r="AF178" s="2" t="str">
        <f t="shared" si="73"/>
        <v>_</v>
      </c>
      <c r="AG178" s="2" t="s">
        <v>267</v>
      </c>
      <c r="AH178" s="2" t="str">
        <f t="shared" si="155"/>
        <v/>
      </c>
      <c r="AI178" s="2"/>
    </row>
    <row r="179" spans="1:35" x14ac:dyDescent="0.25">
      <c r="AB179" s="28" t="str">
        <f t="shared" si="71"/>
        <v/>
      </c>
      <c r="AD179" s="28" t="str">
        <f t="shared" si="72"/>
        <v/>
      </c>
      <c r="AF179" s="28" t="str">
        <f t="shared" si="73"/>
        <v/>
      </c>
      <c r="AH179" s="28" t="str">
        <f t="shared" si="155"/>
        <v/>
      </c>
    </row>
    <row r="180" spans="1:35" s="2" customFormat="1" x14ac:dyDescent="0.25">
      <c r="A180" s="3" t="s">
        <v>48</v>
      </c>
      <c r="B180" s="3"/>
      <c r="C180" s="27"/>
      <c r="D180" s="6"/>
      <c r="E180" s="7"/>
      <c r="F180" s="6"/>
      <c r="G180" s="6"/>
      <c r="H180" s="7"/>
      <c r="I180" s="6"/>
      <c r="J180" s="6"/>
      <c r="K180" s="7"/>
      <c r="L180" s="6"/>
      <c r="M180" s="6"/>
      <c r="N180" s="7"/>
      <c r="O180" s="6"/>
      <c r="P180" s="6"/>
      <c r="Q180" s="7"/>
      <c r="R180" s="6"/>
      <c r="S180" s="6"/>
      <c r="T180" s="7"/>
      <c r="U180" s="6"/>
      <c r="V180" s="6"/>
      <c r="W180" s="7"/>
      <c r="X180" s="6"/>
      <c r="Y180" s="6"/>
      <c r="AA180" s="4"/>
      <c r="AB180" s="4" t="str">
        <f t="shared" si="71"/>
        <v/>
      </c>
      <c r="AC180" s="4"/>
      <c r="AD180" s="4" t="str">
        <f t="shared" si="72"/>
        <v/>
      </c>
      <c r="AE180" s="4"/>
      <c r="AF180" s="4" t="str">
        <f t="shared" si="73"/>
        <v/>
      </c>
      <c r="AG180" s="4"/>
      <c r="AH180" s="4" t="str">
        <f t="shared" si="155"/>
        <v/>
      </c>
      <c r="AI180" s="4"/>
    </row>
    <row r="181" spans="1:35" x14ac:dyDescent="0.25">
      <c r="B181" s="2" t="str">
        <f t="shared" ref="B181:B190" si="164">_xlfn.CONCAT("@",AA181,AB181,AC181,AD181,AE181,AF181,AG181,AH181,AI181)</f>
        <v>@color-trunk_case_bicycle_no_default</v>
      </c>
      <c r="C181" s="137" t="s">
        <v>231</v>
      </c>
      <c r="D181" s="72" t="s">
        <v>217</v>
      </c>
      <c r="F181" s="72" t="s">
        <v>217</v>
      </c>
      <c r="G181" s="72" t="s">
        <v>217</v>
      </c>
      <c r="I181" s="138" t="str">
        <f>C181</f>
        <v>"#bd430f"</v>
      </c>
      <c r="J181" s="37" t="str">
        <f>D181</f>
        <v>"#000000"</v>
      </c>
      <c r="U181" s="138" t="str">
        <f>C181</f>
        <v>"#bd430f"</v>
      </c>
      <c r="V181" s="37" t="str">
        <f>D181</f>
        <v>"#000000"</v>
      </c>
      <c r="AA181" s="28" t="s">
        <v>6</v>
      </c>
      <c r="AB181" s="2" t="str">
        <f t="shared" si="71"/>
        <v>-</v>
      </c>
      <c r="AC181" s="2" t="s">
        <v>19</v>
      </c>
      <c r="AD181" s="2" t="str">
        <f t="shared" ref="AD181" si="165">IF(NOT(ISBLANK(AE181)),"_","")</f>
        <v>_</v>
      </c>
      <c r="AE181" s="28" t="s">
        <v>17</v>
      </c>
      <c r="AF181" s="2" t="str">
        <f t="shared" ref="AF181" si="166">IF(NOT(ISBLANK(AG181)),"_","")</f>
        <v>_</v>
      </c>
      <c r="AG181" s="28" t="s">
        <v>24</v>
      </c>
      <c r="AH181" s="2" t="str">
        <f t="shared" si="155"/>
        <v>_</v>
      </c>
      <c r="AI181" s="28" t="s">
        <v>267</v>
      </c>
    </row>
    <row r="182" spans="1:35" x14ac:dyDescent="0.25">
      <c r="B182" s="2" t="str">
        <f t="shared" si="164"/>
        <v>@color-trunk_case_bicycle_no_farzoom</v>
      </c>
      <c r="C182" s="137" t="s">
        <v>231</v>
      </c>
      <c r="D182" s="72" t="s">
        <v>217</v>
      </c>
      <c r="F182" s="137" t="s">
        <v>231</v>
      </c>
      <c r="G182" s="137" t="s">
        <v>231</v>
      </c>
      <c r="I182" s="138" t="str">
        <f>C182</f>
        <v>"#bd430f"</v>
      </c>
      <c r="J182" s="37" t="str">
        <f>D182</f>
        <v>"#000000"</v>
      </c>
      <c r="U182" s="138" t="str">
        <f>C182</f>
        <v>"#bd430f"</v>
      </c>
      <c r="V182" s="37" t="str">
        <f>D182</f>
        <v>"#000000"</v>
      </c>
      <c r="AA182" s="28" t="s">
        <v>6</v>
      </c>
      <c r="AB182" s="2" t="str">
        <f t="shared" ref="AB182" si="167">IF(NOT(ISBLANK(AC182)),"-","")</f>
        <v>-</v>
      </c>
      <c r="AC182" s="2" t="s">
        <v>19</v>
      </c>
      <c r="AD182" s="2" t="str">
        <f t="shared" ref="AD182" si="168">IF(NOT(ISBLANK(AE182)),"_","")</f>
        <v>_</v>
      </c>
      <c r="AE182" s="28" t="s">
        <v>17</v>
      </c>
      <c r="AF182" s="2" t="str">
        <f t="shared" ref="AF182" si="169">IF(NOT(ISBLANK(AG182)),"_","")</f>
        <v>_</v>
      </c>
      <c r="AG182" s="28" t="s">
        <v>24</v>
      </c>
      <c r="AH182" s="2" t="str">
        <f t="shared" si="155"/>
        <v>_</v>
      </c>
      <c r="AI182" s="28" t="s">
        <v>21</v>
      </c>
    </row>
    <row r="183" spans="1:35" x14ac:dyDescent="0.25">
      <c r="B183" s="2" t="str">
        <f t="shared" si="164"/>
        <v>@color-trunk_case_unpaved_farzoom</v>
      </c>
      <c r="C183" s="139" t="s">
        <v>232</v>
      </c>
      <c r="D183" s="140" t="s">
        <v>234</v>
      </c>
      <c r="F183" s="140" t="s">
        <v>234</v>
      </c>
      <c r="G183" s="139" t="s">
        <v>232</v>
      </c>
      <c r="I183" s="139" t="s">
        <v>232</v>
      </c>
      <c r="J183" s="140" t="s">
        <v>234</v>
      </c>
      <c r="U183" s="44"/>
      <c r="V183" s="44"/>
      <c r="X183" s="44"/>
      <c r="Y183" s="44"/>
      <c r="AA183" s="28" t="s">
        <v>6</v>
      </c>
      <c r="AB183" s="2" t="str">
        <f>IF(NOT(ISBLANK(AC183)),"-","")</f>
        <v>-</v>
      </c>
      <c r="AC183" s="2" t="s">
        <v>19</v>
      </c>
      <c r="AD183" s="2" t="str">
        <f>IF(NOT(ISBLANK(AE183)),"_","")</f>
        <v>_</v>
      </c>
      <c r="AE183" s="28" t="s">
        <v>17</v>
      </c>
      <c r="AF183" s="2" t="str">
        <f>IF(NOT(ISBLANK(AG183)),"_","")</f>
        <v>_</v>
      </c>
      <c r="AG183" s="28" t="s">
        <v>22</v>
      </c>
      <c r="AH183" s="2" t="str">
        <f>IF(NOT(ISBLANK(AI183)),"_","")</f>
        <v>_</v>
      </c>
      <c r="AI183" s="28" t="s">
        <v>21</v>
      </c>
    </row>
    <row r="184" spans="1:35" x14ac:dyDescent="0.25">
      <c r="B184" s="2" t="str">
        <f t="shared" si="164"/>
        <v>@color-trunk_case_unpaved_default</v>
      </c>
      <c r="C184" s="141" t="s">
        <v>220</v>
      </c>
      <c r="D184" s="72" t="s">
        <v>217</v>
      </c>
      <c r="F184" s="72" t="s">
        <v>217</v>
      </c>
      <c r="G184" s="72" t="s">
        <v>217</v>
      </c>
      <c r="I184" s="141" t="s">
        <v>220</v>
      </c>
      <c r="J184" s="72" t="s">
        <v>217</v>
      </c>
      <c r="U184" s="44"/>
      <c r="V184" s="44"/>
      <c r="X184" s="44"/>
      <c r="Y184" s="44"/>
      <c r="AA184" s="28" t="s">
        <v>6</v>
      </c>
      <c r="AB184" s="28" t="str">
        <f t="shared" si="71"/>
        <v>-</v>
      </c>
      <c r="AC184" s="2" t="s">
        <v>19</v>
      </c>
      <c r="AD184" s="28" t="str">
        <f t="shared" si="72"/>
        <v>_</v>
      </c>
      <c r="AE184" s="28" t="s">
        <v>17</v>
      </c>
      <c r="AF184" s="28" t="str">
        <f t="shared" si="73"/>
        <v>_</v>
      </c>
      <c r="AG184" s="28" t="s">
        <v>22</v>
      </c>
      <c r="AH184" s="28" t="str">
        <f t="shared" ref="AH184:AH194" si="170">IF(NOT(ISBLANK(AI184)),"_","")</f>
        <v>_</v>
      </c>
      <c r="AI184" s="28" t="s">
        <v>267</v>
      </c>
    </row>
    <row r="185" spans="1:35" x14ac:dyDescent="0.25">
      <c r="B185" s="2" t="str">
        <f t="shared" si="164"/>
        <v>@color-trunk_case_paved_or_uk_farzoom</v>
      </c>
      <c r="C185" s="142" t="s">
        <v>233</v>
      </c>
      <c r="D185" s="72" t="s">
        <v>217</v>
      </c>
      <c r="F185" s="142" t="s">
        <v>233</v>
      </c>
      <c r="G185" s="142" t="s">
        <v>233</v>
      </c>
      <c r="I185" s="142" t="s">
        <v>233</v>
      </c>
      <c r="J185" s="72" t="s">
        <v>217</v>
      </c>
      <c r="U185" s="44"/>
      <c r="V185" s="44"/>
      <c r="X185" s="44"/>
      <c r="Y185" s="44"/>
      <c r="AA185" s="2" t="s">
        <v>6</v>
      </c>
      <c r="AB185" s="2" t="str">
        <f t="shared" si="71"/>
        <v>-</v>
      </c>
      <c r="AC185" s="2" t="s">
        <v>19</v>
      </c>
      <c r="AD185" s="2" t="str">
        <f t="shared" si="72"/>
        <v>_</v>
      </c>
      <c r="AE185" s="2" t="s">
        <v>17</v>
      </c>
      <c r="AF185" s="2" t="str">
        <f t="shared" si="73"/>
        <v>_</v>
      </c>
      <c r="AG185" s="2" t="s">
        <v>25</v>
      </c>
      <c r="AH185" s="2" t="str">
        <f t="shared" si="170"/>
        <v>_</v>
      </c>
      <c r="AI185" s="28" t="s">
        <v>21</v>
      </c>
    </row>
    <row r="186" spans="1:35" x14ac:dyDescent="0.25">
      <c r="B186" s="2" t="str">
        <f t="shared" si="164"/>
        <v>@color-trunk_case_paved_or_uk_default</v>
      </c>
      <c r="C186" s="143" t="s">
        <v>221</v>
      </c>
      <c r="D186" s="72" t="s">
        <v>217</v>
      </c>
      <c r="F186" s="72" t="s">
        <v>217</v>
      </c>
      <c r="G186" s="72" t="s">
        <v>217</v>
      </c>
      <c r="I186" s="143" t="s">
        <v>221</v>
      </c>
      <c r="J186" s="72" t="s">
        <v>217</v>
      </c>
      <c r="U186" s="44"/>
      <c r="V186" s="44"/>
      <c r="X186" s="44"/>
      <c r="Y186" s="44"/>
      <c r="AA186" s="2" t="s">
        <v>6</v>
      </c>
      <c r="AB186" s="2" t="str">
        <f t="shared" si="71"/>
        <v>-</v>
      </c>
      <c r="AC186" s="2" t="s">
        <v>19</v>
      </c>
      <c r="AD186" s="2" t="str">
        <f t="shared" si="72"/>
        <v>_</v>
      </c>
      <c r="AE186" s="2" t="s">
        <v>17</v>
      </c>
      <c r="AF186" s="2" t="str">
        <f t="shared" si="73"/>
        <v>_</v>
      </c>
      <c r="AG186" s="2" t="s">
        <v>25</v>
      </c>
      <c r="AH186" s="2" t="str">
        <f t="shared" si="170"/>
        <v>_</v>
      </c>
      <c r="AI186" s="28" t="s">
        <v>267</v>
      </c>
    </row>
    <row r="187" spans="1:35" x14ac:dyDescent="0.25">
      <c r="B187" s="2" t="str">
        <f t="shared" si="164"/>
        <v>@color-trunk_line_default</v>
      </c>
      <c r="C187" s="144" t="s">
        <v>222</v>
      </c>
      <c r="D187" s="145" t="s">
        <v>223</v>
      </c>
      <c r="F187" s="144" t="s">
        <v>222</v>
      </c>
      <c r="G187" s="145" t="s">
        <v>223</v>
      </c>
      <c r="I187" s="44"/>
      <c r="J187" s="44"/>
      <c r="L187" s="44"/>
      <c r="M187" s="44"/>
      <c r="U187" s="146" t="str">
        <f>C187</f>
        <v>"#ffeeaa"</v>
      </c>
      <c r="V187" s="147" t="str">
        <f>D187</f>
        <v>"#ffc72e"</v>
      </c>
      <c r="AA187" s="2" t="s">
        <v>6</v>
      </c>
      <c r="AB187" s="2" t="str">
        <f t="shared" si="71"/>
        <v>-</v>
      </c>
      <c r="AC187" s="2" t="s">
        <v>19</v>
      </c>
      <c r="AD187" s="2" t="str">
        <f t="shared" si="72"/>
        <v>_</v>
      </c>
      <c r="AE187" s="2" t="s">
        <v>13</v>
      </c>
      <c r="AF187" s="2" t="str">
        <f t="shared" si="73"/>
        <v>_</v>
      </c>
      <c r="AG187" s="2" t="s">
        <v>267</v>
      </c>
      <c r="AH187" s="2" t="str">
        <f t="shared" si="170"/>
        <v/>
      </c>
      <c r="AI187" s="2"/>
    </row>
    <row r="188" spans="1:35" x14ac:dyDescent="0.25">
      <c r="B188" s="2" t="str">
        <f t="shared" si="164"/>
        <v>@color-trunk_line_bicycle_no</v>
      </c>
      <c r="C188" s="133" t="s">
        <v>216</v>
      </c>
      <c r="D188" s="134" t="s">
        <v>218</v>
      </c>
      <c r="F188" s="133" t="s">
        <v>216</v>
      </c>
      <c r="G188" s="134" t="s">
        <v>218</v>
      </c>
      <c r="I188" s="135" t="str">
        <f>C188</f>
        <v>"#ffcc88"</v>
      </c>
      <c r="J188" s="136" t="str">
        <f>D188</f>
        <v>"#d6771e"</v>
      </c>
      <c r="U188" s="135" t="str">
        <f>C188</f>
        <v>"#ffcc88"</v>
      </c>
      <c r="V188" s="136" t="str">
        <f>D188</f>
        <v>"#d6771e"</v>
      </c>
      <c r="AA188" s="2" t="s">
        <v>6</v>
      </c>
      <c r="AB188" s="2" t="str">
        <f t="shared" si="71"/>
        <v>-</v>
      </c>
      <c r="AC188" s="2" t="s">
        <v>19</v>
      </c>
      <c r="AD188" s="2" t="str">
        <f t="shared" si="72"/>
        <v>_</v>
      </c>
      <c r="AE188" s="2" t="s">
        <v>13</v>
      </c>
      <c r="AF188" s="2" t="str">
        <f t="shared" si="73"/>
        <v>_</v>
      </c>
      <c r="AG188" s="2" t="s">
        <v>24</v>
      </c>
      <c r="AH188" s="2" t="str">
        <f t="shared" si="170"/>
        <v/>
      </c>
      <c r="AI188" s="2"/>
    </row>
    <row r="189" spans="1:35" x14ac:dyDescent="0.25">
      <c r="B189" s="2" t="str">
        <f t="shared" si="164"/>
        <v>@color-trunk_line_unpaved_default</v>
      </c>
      <c r="C189" s="148" t="s">
        <v>226</v>
      </c>
      <c r="D189" s="149" t="str">
        <f>C189</f>
        <v>"#eddfca"</v>
      </c>
      <c r="F189" s="148" t="s">
        <v>226</v>
      </c>
      <c r="G189" s="149" t="str">
        <f>F189</f>
        <v>"#eddfca"</v>
      </c>
      <c r="I189" s="148" t="s">
        <v>226</v>
      </c>
      <c r="J189" s="149" t="str">
        <f>I189</f>
        <v>"#eddfca"</v>
      </c>
      <c r="U189" s="44"/>
      <c r="V189" s="44"/>
      <c r="X189" s="44"/>
      <c r="Y189" s="44"/>
      <c r="AA189" s="2" t="s">
        <v>6</v>
      </c>
      <c r="AB189" s="2" t="str">
        <f t="shared" si="71"/>
        <v>-</v>
      </c>
      <c r="AC189" s="2" t="s">
        <v>19</v>
      </c>
      <c r="AD189" s="2" t="str">
        <f t="shared" si="72"/>
        <v>_</v>
      </c>
      <c r="AE189" s="2" t="s">
        <v>13</v>
      </c>
      <c r="AF189" s="2" t="str">
        <f t="shared" si="73"/>
        <v>_</v>
      </c>
      <c r="AG189" s="2" t="s">
        <v>22</v>
      </c>
      <c r="AH189" s="2" t="str">
        <f t="shared" si="170"/>
        <v>_</v>
      </c>
      <c r="AI189" s="28" t="s">
        <v>267</v>
      </c>
    </row>
    <row r="190" spans="1:35" x14ac:dyDescent="0.25">
      <c r="B190" s="2" t="str">
        <f t="shared" si="164"/>
        <v>@color-trunk_line_paved_or_uk_default</v>
      </c>
      <c r="C190" s="71" t="s">
        <v>227</v>
      </c>
      <c r="D190" s="38" t="str">
        <f>C190</f>
        <v>"#ffffff"</v>
      </c>
      <c r="F190" s="71" t="s">
        <v>227</v>
      </c>
      <c r="G190" s="38" t="str">
        <f>F190</f>
        <v>"#ffffff"</v>
      </c>
      <c r="I190" s="71" t="s">
        <v>227</v>
      </c>
      <c r="J190" s="38" t="str">
        <f>I190</f>
        <v>"#ffffff"</v>
      </c>
      <c r="U190" s="44"/>
      <c r="V190" s="44"/>
      <c r="X190" s="44"/>
      <c r="Y190" s="44"/>
      <c r="AA190" s="28" t="s">
        <v>6</v>
      </c>
      <c r="AB190" s="28" t="str">
        <f t="shared" si="71"/>
        <v>-</v>
      </c>
      <c r="AC190" s="28" t="s">
        <v>19</v>
      </c>
      <c r="AD190" s="28" t="str">
        <f t="shared" si="72"/>
        <v>_</v>
      </c>
      <c r="AE190" s="28" t="s">
        <v>13</v>
      </c>
      <c r="AF190" s="28" t="str">
        <f t="shared" si="73"/>
        <v>_</v>
      </c>
      <c r="AG190" s="28" t="s">
        <v>25</v>
      </c>
      <c r="AH190" s="28" t="str">
        <f t="shared" si="170"/>
        <v>_</v>
      </c>
      <c r="AI190" s="28" t="s">
        <v>267</v>
      </c>
    </row>
    <row r="191" spans="1:35" x14ac:dyDescent="0.25">
      <c r="B191" s="2"/>
      <c r="AB191" s="28" t="str">
        <f t="shared" si="71"/>
        <v/>
      </c>
      <c r="AD191" s="28" t="str">
        <f t="shared" si="72"/>
        <v/>
      </c>
      <c r="AF191" s="28" t="str">
        <f t="shared" si="73"/>
        <v/>
      </c>
      <c r="AH191" s="28" t="str">
        <f t="shared" si="170"/>
        <v/>
      </c>
    </row>
    <row r="192" spans="1:35" s="2" customFormat="1" x14ac:dyDescent="0.25">
      <c r="A192" s="3" t="s">
        <v>47</v>
      </c>
      <c r="B192" s="3"/>
      <c r="C192" s="27"/>
      <c r="D192" s="6"/>
      <c r="E192" s="7"/>
      <c r="F192" s="6"/>
      <c r="G192" s="6"/>
      <c r="H192" s="7"/>
      <c r="I192" s="6"/>
      <c r="J192" s="6"/>
      <c r="K192" s="7"/>
      <c r="L192" s="6"/>
      <c r="M192" s="6"/>
      <c r="N192" s="7"/>
      <c r="O192" s="6"/>
      <c r="P192" s="6"/>
      <c r="Q192" s="7"/>
      <c r="R192" s="6"/>
      <c r="S192" s="6"/>
      <c r="T192" s="7"/>
      <c r="U192" s="6"/>
      <c r="V192" s="6"/>
      <c r="W192" s="7"/>
      <c r="X192" s="6"/>
      <c r="Y192" s="6"/>
      <c r="AA192" s="4"/>
      <c r="AB192" s="4" t="str">
        <f t="shared" si="71"/>
        <v/>
      </c>
      <c r="AC192" s="4"/>
      <c r="AD192" s="4" t="str">
        <f t="shared" si="72"/>
        <v/>
      </c>
      <c r="AE192" s="4"/>
      <c r="AF192" s="4" t="str">
        <f t="shared" si="73"/>
        <v/>
      </c>
      <c r="AG192" s="4"/>
      <c r="AH192" s="4" t="str">
        <f t="shared" si="170"/>
        <v/>
      </c>
      <c r="AI192" s="4"/>
    </row>
    <row r="193" spans="2:35" x14ac:dyDescent="0.25">
      <c r="B193" s="2" t="str">
        <f t="shared" ref="B193:B201" si="171">_xlfn.CONCAT("@",AA193,AB193,AC193,AD193,AE193,AF193,AG193,AH193,AI193)</f>
        <v>@color-primary_case_bicycle_no_default</v>
      </c>
      <c r="C193" s="137" t="s">
        <v>231</v>
      </c>
      <c r="D193" s="72" t="s">
        <v>217</v>
      </c>
      <c r="F193" s="72" t="s">
        <v>217</v>
      </c>
      <c r="G193" s="72" t="s">
        <v>217</v>
      </c>
      <c r="I193" s="138" t="str">
        <f>C193</f>
        <v>"#bd430f"</v>
      </c>
      <c r="J193" s="37" t="str">
        <f>D193</f>
        <v>"#000000"</v>
      </c>
      <c r="U193" s="138" t="str">
        <f>C193</f>
        <v>"#bd430f"</v>
      </c>
      <c r="V193" s="37" t="str">
        <f>D193</f>
        <v>"#000000"</v>
      </c>
      <c r="AA193" s="28" t="s">
        <v>6</v>
      </c>
      <c r="AB193" s="2" t="str">
        <f t="shared" ref="AB193:AB263" si="172">IF(NOT(ISBLANK(AC193)),"-","")</f>
        <v>-</v>
      </c>
      <c r="AC193" s="2" t="s">
        <v>26</v>
      </c>
      <c r="AD193" s="2" t="str">
        <f t="shared" si="72"/>
        <v>_</v>
      </c>
      <c r="AE193" s="28" t="s">
        <v>17</v>
      </c>
      <c r="AF193" s="2" t="str">
        <f t="shared" si="73"/>
        <v>_</v>
      </c>
      <c r="AG193" s="28" t="s">
        <v>24</v>
      </c>
      <c r="AH193" s="2" t="str">
        <f t="shared" si="170"/>
        <v>_</v>
      </c>
      <c r="AI193" s="28" t="s">
        <v>267</v>
      </c>
    </row>
    <row r="194" spans="2:35" x14ac:dyDescent="0.25">
      <c r="B194" s="2" t="str">
        <f t="shared" si="171"/>
        <v>@color-primary_case_bicycle_no_farzoom</v>
      </c>
      <c r="C194" s="137" t="s">
        <v>231</v>
      </c>
      <c r="D194" s="72" t="s">
        <v>217</v>
      </c>
      <c r="F194" s="137" t="s">
        <v>231</v>
      </c>
      <c r="G194" s="137" t="s">
        <v>231</v>
      </c>
      <c r="I194" s="138" t="str">
        <f>C194</f>
        <v>"#bd430f"</v>
      </c>
      <c r="J194" s="37" t="str">
        <f>D194</f>
        <v>"#000000"</v>
      </c>
      <c r="U194" s="138" t="str">
        <f>C194</f>
        <v>"#bd430f"</v>
      </c>
      <c r="V194" s="37" t="str">
        <f>D194</f>
        <v>"#000000"</v>
      </c>
      <c r="AA194" s="28" t="s">
        <v>6</v>
      </c>
      <c r="AB194" s="2" t="str">
        <f t="shared" ref="AB194" si="173">IF(NOT(ISBLANK(AC194)),"-","")</f>
        <v>-</v>
      </c>
      <c r="AC194" s="2" t="s">
        <v>26</v>
      </c>
      <c r="AD194" s="2" t="str">
        <f t="shared" ref="AD194" si="174">IF(NOT(ISBLANK(AE194)),"_","")</f>
        <v>_</v>
      </c>
      <c r="AE194" s="28" t="s">
        <v>17</v>
      </c>
      <c r="AF194" s="2" t="str">
        <f t="shared" ref="AF194" si="175">IF(NOT(ISBLANK(AG194)),"_","")</f>
        <v>_</v>
      </c>
      <c r="AG194" s="28" t="s">
        <v>24</v>
      </c>
      <c r="AH194" s="2" t="str">
        <f t="shared" si="170"/>
        <v>_</v>
      </c>
      <c r="AI194" s="28" t="s">
        <v>21</v>
      </c>
    </row>
    <row r="195" spans="2:35" x14ac:dyDescent="0.25">
      <c r="B195" s="2" t="str">
        <f t="shared" si="171"/>
        <v>@color-primary_case_unpaved_farzoom</v>
      </c>
      <c r="C195" s="139" t="s">
        <v>232</v>
      </c>
      <c r="D195" s="140" t="s">
        <v>234</v>
      </c>
      <c r="F195" s="140" t="s">
        <v>234</v>
      </c>
      <c r="G195" s="139" t="s">
        <v>232</v>
      </c>
      <c r="I195" s="139" t="s">
        <v>232</v>
      </c>
      <c r="J195" s="140" t="s">
        <v>234</v>
      </c>
      <c r="U195" s="44"/>
      <c r="V195" s="44"/>
      <c r="X195" s="44"/>
      <c r="Y195" s="44"/>
      <c r="AA195" s="28" t="s">
        <v>6</v>
      </c>
      <c r="AB195" s="2" t="str">
        <f>IF(NOT(ISBLANK(AC195)),"-","")</f>
        <v>-</v>
      </c>
      <c r="AC195" s="2" t="s">
        <v>26</v>
      </c>
      <c r="AD195" s="2" t="str">
        <f>IF(NOT(ISBLANK(AE195)),"_","")</f>
        <v>_</v>
      </c>
      <c r="AE195" s="28" t="s">
        <v>17</v>
      </c>
      <c r="AF195" s="2" t="str">
        <f>IF(NOT(ISBLANK(AG195)),"_","")</f>
        <v>_</v>
      </c>
      <c r="AG195" s="28" t="s">
        <v>22</v>
      </c>
      <c r="AH195" s="2" t="str">
        <f>IF(NOT(ISBLANK(AI195)),"_","")</f>
        <v>_</v>
      </c>
      <c r="AI195" s="28" t="s">
        <v>21</v>
      </c>
    </row>
    <row r="196" spans="2:35" x14ac:dyDescent="0.25">
      <c r="B196" s="2" t="str">
        <f t="shared" si="171"/>
        <v>@color-primary_case_unpaved_default</v>
      </c>
      <c r="C196" s="141" t="s">
        <v>220</v>
      </c>
      <c r="D196" s="140" t="s">
        <v>234</v>
      </c>
      <c r="F196" s="72" t="s">
        <v>217</v>
      </c>
      <c r="G196" s="72" t="s">
        <v>217</v>
      </c>
      <c r="I196" s="141" t="s">
        <v>220</v>
      </c>
      <c r="J196" s="140" t="s">
        <v>234</v>
      </c>
      <c r="U196" s="44"/>
      <c r="V196" s="44"/>
      <c r="X196" s="44"/>
      <c r="Y196" s="44"/>
      <c r="AA196" s="28" t="s">
        <v>6</v>
      </c>
      <c r="AB196" s="2" t="str">
        <f t="shared" si="172"/>
        <v>-</v>
      </c>
      <c r="AC196" s="2" t="s">
        <v>26</v>
      </c>
      <c r="AD196" s="2" t="str">
        <f t="shared" si="72"/>
        <v>_</v>
      </c>
      <c r="AE196" s="28" t="s">
        <v>17</v>
      </c>
      <c r="AF196" s="2" t="str">
        <f t="shared" si="73"/>
        <v>_</v>
      </c>
      <c r="AG196" s="28" t="s">
        <v>22</v>
      </c>
      <c r="AH196" s="28" t="str">
        <f t="shared" ref="AH196:AH198" si="176">IF(NOT(ISBLANK(AI196)),"_","")</f>
        <v>_</v>
      </c>
      <c r="AI196" s="28" t="s">
        <v>267</v>
      </c>
    </row>
    <row r="197" spans="2:35" x14ac:dyDescent="0.25">
      <c r="B197" s="2" t="str">
        <f t="shared" si="171"/>
        <v>@color-primary_case_paved_or_uk_farzoom</v>
      </c>
      <c r="C197" s="142" t="s">
        <v>233</v>
      </c>
      <c r="D197" s="72" t="s">
        <v>217</v>
      </c>
      <c r="F197" s="142" t="s">
        <v>233</v>
      </c>
      <c r="G197" s="142" t="s">
        <v>233</v>
      </c>
      <c r="I197" s="142" t="s">
        <v>233</v>
      </c>
      <c r="J197" s="72" t="s">
        <v>217</v>
      </c>
      <c r="U197" s="44"/>
      <c r="V197" s="44"/>
      <c r="X197" s="44"/>
      <c r="Y197" s="44"/>
      <c r="AA197" s="2" t="s">
        <v>6</v>
      </c>
      <c r="AB197" s="2" t="str">
        <f t="shared" si="172"/>
        <v>-</v>
      </c>
      <c r="AC197" s="2" t="s">
        <v>26</v>
      </c>
      <c r="AD197" s="2" t="str">
        <f t="shared" ref="AD197" si="177">IF(NOT(ISBLANK(AE197)),"_","")</f>
        <v>_</v>
      </c>
      <c r="AE197" s="2" t="s">
        <v>17</v>
      </c>
      <c r="AF197" s="2" t="str">
        <f t="shared" ref="AF197" si="178">IF(NOT(ISBLANK(AG197)),"_","")</f>
        <v>_</v>
      </c>
      <c r="AG197" s="2" t="s">
        <v>25</v>
      </c>
      <c r="AH197" s="2" t="str">
        <f t="shared" si="176"/>
        <v>_</v>
      </c>
      <c r="AI197" s="28" t="s">
        <v>21</v>
      </c>
    </row>
    <row r="198" spans="2:35" x14ac:dyDescent="0.25">
      <c r="B198" s="2" t="str">
        <f t="shared" si="171"/>
        <v>@color-primary_case_paved_or_uk_default</v>
      </c>
      <c r="C198" s="143" t="s">
        <v>221</v>
      </c>
      <c r="D198" s="72" t="s">
        <v>217</v>
      </c>
      <c r="F198" s="72" t="s">
        <v>217</v>
      </c>
      <c r="G198" s="72" t="s">
        <v>217</v>
      </c>
      <c r="I198" s="143" t="s">
        <v>221</v>
      </c>
      <c r="J198" s="72" t="s">
        <v>217</v>
      </c>
      <c r="U198" s="44"/>
      <c r="V198" s="44"/>
      <c r="X198" s="44"/>
      <c r="Y198" s="44"/>
      <c r="AA198" s="2" t="s">
        <v>6</v>
      </c>
      <c r="AB198" s="2" t="str">
        <f t="shared" si="172"/>
        <v>-</v>
      </c>
      <c r="AC198" s="28" t="s">
        <v>26</v>
      </c>
      <c r="AD198" s="2" t="str">
        <f t="shared" ref="AD198:AD263" si="179">IF(NOT(ISBLANK(AE198)),"_","")</f>
        <v>_</v>
      </c>
      <c r="AE198" s="2" t="s">
        <v>17</v>
      </c>
      <c r="AF198" s="2" t="str">
        <f t="shared" ref="AF198:AF263" si="180">IF(NOT(ISBLANK(AG198)),"_","")</f>
        <v>_</v>
      </c>
      <c r="AG198" s="2" t="s">
        <v>25</v>
      </c>
      <c r="AH198" s="2" t="str">
        <f t="shared" si="176"/>
        <v>_</v>
      </c>
      <c r="AI198" s="28" t="s">
        <v>267</v>
      </c>
    </row>
    <row r="199" spans="2:35" x14ac:dyDescent="0.25">
      <c r="B199" s="2" t="str">
        <f t="shared" si="171"/>
        <v>@color-primary_line_bicycle_no</v>
      </c>
      <c r="C199" s="150" t="s">
        <v>236</v>
      </c>
      <c r="D199" s="134" t="s">
        <v>218</v>
      </c>
      <c r="F199" s="150" t="s">
        <v>236</v>
      </c>
      <c r="G199" s="134" t="s">
        <v>218</v>
      </c>
      <c r="I199" s="151" t="str">
        <f>C199</f>
        <v>"#ffcc8a"</v>
      </c>
      <c r="J199" s="136" t="str">
        <f>D199</f>
        <v>"#d6771e"</v>
      </c>
      <c r="U199" s="151" t="str">
        <f>C199</f>
        <v>"#ffcc8a"</v>
      </c>
      <c r="V199" s="136" t="str">
        <f>D199</f>
        <v>"#d6771e"</v>
      </c>
      <c r="AA199" s="28" t="s">
        <v>6</v>
      </c>
      <c r="AB199" s="2" t="str">
        <f t="shared" si="172"/>
        <v>-</v>
      </c>
      <c r="AC199" s="28" t="s">
        <v>26</v>
      </c>
      <c r="AD199" s="2" t="str">
        <f t="shared" si="179"/>
        <v>_</v>
      </c>
      <c r="AE199" s="28" t="s">
        <v>13</v>
      </c>
      <c r="AF199" s="2" t="str">
        <f t="shared" si="180"/>
        <v>_</v>
      </c>
      <c r="AG199" s="28" t="s">
        <v>24</v>
      </c>
      <c r="AH199" s="2" t="str">
        <f t="shared" ref="AH199:AH204" si="181">IF(NOT(ISBLANK(AI199)),"_","")</f>
        <v/>
      </c>
    </row>
    <row r="200" spans="2:35" x14ac:dyDescent="0.25">
      <c r="B200" s="2" t="str">
        <f t="shared" si="171"/>
        <v>@color-primary_line_unpaved_default</v>
      </c>
      <c r="C200" s="148" t="s">
        <v>226</v>
      </c>
      <c r="D200" s="149" t="str">
        <f>C200</f>
        <v>"#eddfca"</v>
      </c>
      <c r="F200" s="148" t="s">
        <v>226</v>
      </c>
      <c r="G200" s="149" t="str">
        <f>F200</f>
        <v>"#eddfca"</v>
      </c>
      <c r="I200" s="148" t="s">
        <v>226</v>
      </c>
      <c r="J200" s="149" t="str">
        <f>I200</f>
        <v>"#eddfca"</v>
      </c>
      <c r="U200" s="44"/>
      <c r="V200" s="44"/>
      <c r="X200" s="44"/>
      <c r="Y200" s="44"/>
      <c r="AA200" s="2" t="s">
        <v>6</v>
      </c>
      <c r="AB200" s="2" t="str">
        <f t="shared" si="172"/>
        <v>-</v>
      </c>
      <c r="AC200" s="2" t="s">
        <v>26</v>
      </c>
      <c r="AD200" s="2" t="str">
        <f t="shared" si="179"/>
        <v>_</v>
      </c>
      <c r="AE200" s="2" t="s">
        <v>13</v>
      </c>
      <c r="AF200" s="2" t="str">
        <f t="shared" si="180"/>
        <v>_</v>
      </c>
      <c r="AG200" s="2" t="s">
        <v>22</v>
      </c>
      <c r="AH200" s="2" t="str">
        <f t="shared" si="181"/>
        <v>_</v>
      </c>
      <c r="AI200" s="28" t="s">
        <v>267</v>
      </c>
    </row>
    <row r="201" spans="2:35" x14ac:dyDescent="0.25">
      <c r="B201" s="2" t="str">
        <f t="shared" si="171"/>
        <v>@color-primary_line_paved_or_uk_default</v>
      </c>
      <c r="C201" s="71" t="s">
        <v>227</v>
      </c>
      <c r="D201" s="38" t="str">
        <f>C201</f>
        <v>"#ffffff"</v>
      </c>
      <c r="F201" s="71" t="s">
        <v>227</v>
      </c>
      <c r="G201" s="38" t="str">
        <f>F201</f>
        <v>"#ffffff"</v>
      </c>
      <c r="I201" s="71" t="s">
        <v>227</v>
      </c>
      <c r="J201" s="38" t="str">
        <f>I201</f>
        <v>"#ffffff"</v>
      </c>
      <c r="U201" s="44"/>
      <c r="V201" s="44"/>
      <c r="X201" s="44"/>
      <c r="Y201" s="44"/>
      <c r="AA201" s="2" t="s">
        <v>6</v>
      </c>
      <c r="AB201" s="2" t="str">
        <f t="shared" si="172"/>
        <v>-</v>
      </c>
      <c r="AC201" s="2" t="s">
        <v>26</v>
      </c>
      <c r="AD201" s="2" t="str">
        <f t="shared" si="179"/>
        <v>_</v>
      </c>
      <c r="AE201" s="2" t="s">
        <v>13</v>
      </c>
      <c r="AF201" s="2" t="str">
        <f t="shared" si="180"/>
        <v>_</v>
      </c>
      <c r="AG201" s="28" t="s">
        <v>25</v>
      </c>
      <c r="AH201" s="28" t="str">
        <f t="shared" si="181"/>
        <v>_</v>
      </c>
      <c r="AI201" s="28" t="s">
        <v>267</v>
      </c>
    </row>
    <row r="202" spans="2:35" x14ac:dyDescent="0.25">
      <c r="B202" s="2"/>
      <c r="C202" s="26"/>
      <c r="D202" s="26"/>
      <c r="I202" s="26"/>
      <c r="AB202" s="2"/>
      <c r="AD202" s="2"/>
      <c r="AF202" s="2" t="str">
        <f t="shared" ref="AF202:AF211" si="182">IF(NOT(ISBLANK(AG202)),"_","")</f>
        <v/>
      </c>
      <c r="AH202" s="2" t="str">
        <f t="shared" si="181"/>
        <v/>
      </c>
    </row>
    <row r="203" spans="2:35" x14ac:dyDescent="0.25">
      <c r="B203" s="2" t="str">
        <f t="shared" ref="B203:B211" si="183">_xlfn.CONCAT("@",AA203,AB203,AC203,AD203,AE203,AF203,AG203,AH203,AI203)</f>
        <v>@color-secondary_case_bicycle_no_default</v>
      </c>
      <c r="C203" s="137" t="s">
        <v>231</v>
      </c>
      <c r="D203" s="72" t="s">
        <v>217</v>
      </c>
      <c r="F203" s="72" t="s">
        <v>217</v>
      </c>
      <c r="G203" s="72" t="s">
        <v>217</v>
      </c>
      <c r="I203" s="138" t="str">
        <f>C203</f>
        <v>"#bd430f"</v>
      </c>
      <c r="J203" s="37" t="str">
        <f>D203</f>
        <v>"#000000"</v>
      </c>
      <c r="U203" s="138" t="str">
        <f>C203</f>
        <v>"#bd430f"</v>
      </c>
      <c r="V203" s="37" t="str">
        <f>D203</f>
        <v>"#000000"</v>
      </c>
      <c r="AA203" s="28" t="s">
        <v>6</v>
      </c>
      <c r="AB203" s="2" t="str">
        <f t="shared" ref="AB203:AB211" si="184">IF(NOT(ISBLANK(AC203)),"-","")</f>
        <v>-</v>
      </c>
      <c r="AC203" s="2" t="s">
        <v>28</v>
      </c>
      <c r="AD203" s="2" t="str">
        <f t="shared" ref="AD203:AD211" si="185">IF(NOT(ISBLANK(AE203)),"_","")</f>
        <v>_</v>
      </c>
      <c r="AE203" s="28" t="s">
        <v>17</v>
      </c>
      <c r="AF203" s="2" t="str">
        <f t="shared" si="182"/>
        <v>_</v>
      </c>
      <c r="AG203" s="28" t="s">
        <v>24</v>
      </c>
      <c r="AH203" s="2" t="str">
        <f t="shared" si="181"/>
        <v>_</v>
      </c>
      <c r="AI203" s="28" t="s">
        <v>267</v>
      </c>
    </row>
    <row r="204" spans="2:35" x14ac:dyDescent="0.25">
      <c r="B204" s="2" t="str">
        <f t="shared" si="183"/>
        <v>@color-secondary_case_bicycle_no_farzoom</v>
      </c>
      <c r="C204" s="137" t="s">
        <v>231</v>
      </c>
      <c r="D204" s="72" t="s">
        <v>217</v>
      </c>
      <c r="F204" s="137" t="s">
        <v>231</v>
      </c>
      <c r="G204" s="137" t="s">
        <v>231</v>
      </c>
      <c r="I204" s="138" t="str">
        <f>C204</f>
        <v>"#bd430f"</v>
      </c>
      <c r="J204" s="37" t="str">
        <f>D204</f>
        <v>"#000000"</v>
      </c>
      <c r="U204" s="138" t="str">
        <f>C204</f>
        <v>"#bd430f"</v>
      </c>
      <c r="V204" s="37" t="str">
        <f>D204</f>
        <v>"#000000"</v>
      </c>
      <c r="AA204" s="28" t="s">
        <v>6</v>
      </c>
      <c r="AB204" s="2" t="str">
        <f t="shared" ref="AB204" si="186">IF(NOT(ISBLANK(AC204)),"-","")</f>
        <v>-</v>
      </c>
      <c r="AC204" s="2" t="s">
        <v>28</v>
      </c>
      <c r="AD204" s="2" t="str">
        <f t="shared" ref="AD204" si="187">IF(NOT(ISBLANK(AE204)),"_","")</f>
        <v>_</v>
      </c>
      <c r="AE204" s="28" t="s">
        <v>17</v>
      </c>
      <c r="AF204" s="2" t="str">
        <f t="shared" ref="AF204" si="188">IF(NOT(ISBLANK(AG204)),"_","")</f>
        <v>_</v>
      </c>
      <c r="AG204" s="28" t="s">
        <v>24</v>
      </c>
      <c r="AH204" s="2" t="str">
        <f t="shared" si="181"/>
        <v>_</v>
      </c>
      <c r="AI204" s="28" t="s">
        <v>21</v>
      </c>
    </row>
    <row r="205" spans="2:35" x14ac:dyDescent="0.25">
      <c r="B205" s="2" t="str">
        <f t="shared" si="183"/>
        <v>@color-secondary_case_unpaved_farzoom</v>
      </c>
      <c r="C205" s="139" t="s">
        <v>232</v>
      </c>
      <c r="D205" s="140" t="s">
        <v>234</v>
      </c>
      <c r="F205" s="140" t="s">
        <v>234</v>
      </c>
      <c r="G205" s="139" t="s">
        <v>232</v>
      </c>
      <c r="I205" s="139" t="s">
        <v>232</v>
      </c>
      <c r="J205" s="140" t="s">
        <v>234</v>
      </c>
      <c r="U205" s="44"/>
      <c r="V205" s="44"/>
      <c r="X205" s="44"/>
      <c r="Y205" s="44"/>
      <c r="AA205" s="28" t="s">
        <v>6</v>
      </c>
      <c r="AB205" s="2" t="str">
        <f>IF(NOT(ISBLANK(AC205)),"-","")</f>
        <v>-</v>
      </c>
      <c r="AC205" s="2" t="s">
        <v>28</v>
      </c>
      <c r="AD205" s="2" t="str">
        <f>IF(NOT(ISBLANK(AE205)),"_","")</f>
        <v>_</v>
      </c>
      <c r="AE205" s="28" t="s">
        <v>17</v>
      </c>
      <c r="AF205" s="2" t="str">
        <f>IF(NOT(ISBLANK(AG205)),"_","")</f>
        <v>_</v>
      </c>
      <c r="AG205" s="28" t="s">
        <v>22</v>
      </c>
      <c r="AH205" s="2" t="str">
        <f>IF(NOT(ISBLANK(AI205)),"_","")</f>
        <v>_</v>
      </c>
      <c r="AI205" s="28" t="s">
        <v>21</v>
      </c>
    </row>
    <row r="206" spans="2:35" x14ac:dyDescent="0.25">
      <c r="B206" s="2" t="str">
        <f t="shared" si="183"/>
        <v>@color-secondary_case_unpaved_default</v>
      </c>
      <c r="C206" s="140" t="s">
        <v>234</v>
      </c>
      <c r="D206" s="140" t="s">
        <v>234</v>
      </c>
      <c r="F206" s="72" t="s">
        <v>217</v>
      </c>
      <c r="G206" s="72" t="s">
        <v>217</v>
      </c>
      <c r="I206" s="140" t="s">
        <v>234</v>
      </c>
      <c r="J206" s="140" t="s">
        <v>234</v>
      </c>
      <c r="U206" s="44"/>
      <c r="V206" s="44"/>
      <c r="X206" s="44"/>
      <c r="Y206" s="44"/>
      <c r="AA206" s="28" t="s">
        <v>6</v>
      </c>
      <c r="AB206" s="2" t="str">
        <f t="shared" si="184"/>
        <v>-</v>
      </c>
      <c r="AC206" s="2" t="s">
        <v>28</v>
      </c>
      <c r="AD206" s="2" t="str">
        <f t="shared" si="185"/>
        <v>_</v>
      </c>
      <c r="AE206" s="28" t="s">
        <v>17</v>
      </c>
      <c r="AF206" s="2" t="str">
        <f t="shared" si="182"/>
        <v>_</v>
      </c>
      <c r="AG206" s="28" t="s">
        <v>22</v>
      </c>
      <c r="AH206" s="28" t="str">
        <f t="shared" ref="AH206:AH208" si="189">IF(NOT(ISBLANK(AI206)),"_","")</f>
        <v>_</v>
      </c>
      <c r="AI206" s="28" t="s">
        <v>267</v>
      </c>
    </row>
    <row r="207" spans="2:35" x14ac:dyDescent="0.25">
      <c r="B207" s="2" t="str">
        <f t="shared" si="183"/>
        <v>@color-secondary_case_paved_or_uk_farzoom</v>
      </c>
      <c r="C207" s="142" t="s">
        <v>233</v>
      </c>
      <c r="D207" s="72" t="s">
        <v>217</v>
      </c>
      <c r="F207" s="142" t="s">
        <v>233</v>
      </c>
      <c r="G207" s="142" t="s">
        <v>233</v>
      </c>
      <c r="I207" s="142" t="s">
        <v>233</v>
      </c>
      <c r="J207" s="72" t="s">
        <v>217</v>
      </c>
      <c r="U207" s="44"/>
      <c r="V207" s="44"/>
      <c r="X207" s="44"/>
      <c r="Y207" s="44"/>
      <c r="AA207" s="2" t="s">
        <v>6</v>
      </c>
      <c r="AB207" s="2" t="str">
        <f t="shared" si="184"/>
        <v>-</v>
      </c>
      <c r="AC207" s="2" t="s">
        <v>28</v>
      </c>
      <c r="AD207" s="2" t="str">
        <f t="shared" si="185"/>
        <v>_</v>
      </c>
      <c r="AE207" s="2" t="s">
        <v>17</v>
      </c>
      <c r="AF207" s="2" t="str">
        <f t="shared" si="182"/>
        <v>_</v>
      </c>
      <c r="AG207" s="2" t="s">
        <v>25</v>
      </c>
      <c r="AH207" s="2" t="str">
        <f t="shared" si="189"/>
        <v>_</v>
      </c>
      <c r="AI207" s="28" t="s">
        <v>21</v>
      </c>
    </row>
    <row r="208" spans="2:35" x14ac:dyDescent="0.25">
      <c r="B208" s="2" t="str">
        <f t="shared" si="183"/>
        <v>@color-secondary_case_paved_or_uk_default</v>
      </c>
      <c r="C208" s="152" t="s">
        <v>235</v>
      </c>
      <c r="D208" s="72" t="s">
        <v>217</v>
      </c>
      <c r="F208" s="72" t="s">
        <v>217</v>
      </c>
      <c r="G208" s="72" t="s">
        <v>217</v>
      </c>
      <c r="I208" s="152" t="s">
        <v>235</v>
      </c>
      <c r="J208" s="72" t="s">
        <v>217</v>
      </c>
      <c r="U208" s="44"/>
      <c r="V208" s="44"/>
      <c r="X208" s="44"/>
      <c r="Y208" s="44"/>
      <c r="AA208" s="2" t="s">
        <v>6</v>
      </c>
      <c r="AB208" s="2" t="str">
        <f t="shared" si="184"/>
        <v>-</v>
      </c>
      <c r="AC208" s="2" t="s">
        <v>28</v>
      </c>
      <c r="AD208" s="2" t="str">
        <f t="shared" si="185"/>
        <v>_</v>
      </c>
      <c r="AE208" s="2" t="s">
        <v>17</v>
      </c>
      <c r="AF208" s="2" t="str">
        <f t="shared" si="182"/>
        <v>_</v>
      </c>
      <c r="AG208" s="2" t="s">
        <v>25</v>
      </c>
      <c r="AH208" s="2" t="str">
        <f t="shared" si="189"/>
        <v>_</v>
      </c>
      <c r="AI208" s="28" t="s">
        <v>267</v>
      </c>
    </row>
    <row r="209" spans="1:35" x14ac:dyDescent="0.25">
      <c r="B209" s="2" t="str">
        <f t="shared" si="183"/>
        <v>@color-secondary_line_bicycle_no</v>
      </c>
      <c r="C209" s="150" t="s">
        <v>236</v>
      </c>
      <c r="D209" s="134" t="s">
        <v>218</v>
      </c>
      <c r="F209" s="150" t="s">
        <v>236</v>
      </c>
      <c r="G209" s="134" t="s">
        <v>218</v>
      </c>
      <c r="I209" s="151" t="str">
        <f>C209</f>
        <v>"#ffcc8a"</v>
      </c>
      <c r="J209" s="136" t="str">
        <f>D209</f>
        <v>"#d6771e"</v>
      </c>
      <c r="U209" s="151" t="str">
        <f>C209</f>
        <v>"#ffcc8a"</v>
      </c>
      <c r="V209" s="136" t="str">
        <f>J209</f>
        <v>"#d6771e"</v>
      </c>
      <c r="AA209" s="28" t="s">
        <v>6</v>
      </c>
      <c r="AB209" s="2" t="str">
        <f t="shared" si="184"/>
        <v>-</v>
      </c>
      <c r="AC209" s="2" t="s">
        <v>28</v>
      </c>
      <c r="AD209" s="2" t="str">
        <f t="shared" si="185"/>
        <v>_</v>
      </c>
      <c r="AE209" s="28" t="s">
        <v>13</v>
      </c>
      <c r="AF209" s="2" t="str">
        <f t="shared" si="182"/>
        <v>_</v>
      </c>
      <c r="AG209" s="28" t="s">
        <v>24</v>
      </c>
      <c r="AH209" s="2" t="str">
        <f t="shared" ref="AH209:AH263" si="190">IF(NOT(ISBLANK(AI209)),"_","")</f>
        <v/>
      </c>
    </row>
    <row r="210" spans="1:35" x14ac:dyDescent="0.25">
      <c r="B210" s="2" t="str">
        <f t="shared" si="183"/>
        <v>@color-secondary_line_unpaved_default</v>
      </c>
      <c r="C210" s="148" t="s">
        <v>226</v>
      </c>
      <c r="D210" s="149" t="str">
        <f>C210</f>
        <v>"#eddfca"</v>
      </c>
      <c r="F210" s="148" t="s">
        <v>226</v>
      </c>
      <c r="G210" s="149" t="str">
        <f>F210</f>
        <v>"#eddfca"</v>
      </c>
      <c r="I210" s="148" t="s">
        <v>226</v>
      </c>
      <c r="J210" s="149" t="str">
        <f>I210</f>
        <v>"#eddfca"</v>
      </c>
      <c r="U210" s="44"/>
      <c r="V210" s="44"/>
      <c r="X210" s="44"/>
      <c r="Y210" s="44"/>
      <c r="AA210" s="2" t="s">
        <v>6</v>
      </c>
      <c r="AB210" s="2" t="str">
        <f t="shared" si="184"/>
        <v>-</v>
      </c>
      <c r="AC210" s="2" t="s">
        <v>28</v>
      </c>
      <c r="AD210" s="2" t="str">
        <f t="shared" si="185"/>
        <v>_</v>
      </c>
      <c r="AE210" s="2" t="s">
        <v>13</v>
      </c>
      <c r="AF210" s="2" t="str">
        <f t="shared" si="182"/>
        <v>_</v>
      </c>
      <c r="AG210" s="2" t="s">
        <v>22</v>
      </c>
      <c r="AH210" s="2" t="str">
        <f t="shared" si="190"/>
        <v>_</v>
      </c>
      <c r="AI210" s="28" t="s">
        <v>267</v>
      </c>
    </row>
    <row r="211" spans="1:35" x14ac:dyDescent="0.25">
      <c r="B211" s="2" t="str">
        <f t="shared" si="183"/>
        <v>@color-secondary_line_paved_or_uk_default</v>
      </c>
      <c r="C211" s="71" t="s">
        <v>227</v>
      </c>
      <c r="D211" s="38" t="str">
        <f>C211</f>
        <v>"#ffffff"</v>
      </c>
      <c r="F211" s="71" t="s">
        <v>227</v>
      </c>
      <c r="G211" s="38" t="str">
        <f>F211</f>
        <v>"#ffffff"</v>
      </c>
      <c r="I211" s="71" t="s">
        <v>227</v>
      </c>
      <c r="J211" s="38" t="str">
        <f>I211</f>
        <v>"#ffffff"</v>
      </c>
      <c r="U211" s="44"/>
      <c r="V211" s="44"/>
      <c r="X211" s="44"/>
      <c r="Y211" s="44"/>
      <c r="AA211" s="2" t="s">
        <v>6</v>
      </c>
      <c r="AB211" s="2" t="str">
        <f t="shared" si="184"/>
        <v>-</v>
      </c>
      <c r="AC211" s="2" t="s">
        <v>28</v>
      </c>
      <c r="AD211" s="2" t="str">
        <f t="shared" si="185"/>
        <v>_</v>
      </c>
      <c r="AE211" s="2" t="s">
        <v>13</v>
      </c>
      <c r="AF211" s="2" t="str">
        <f t="shared" si="182"/>
        <v>_</v>
      </c>
      <c r="AG211" s="28" t="s">
        <v>25</v>
      </c>
      <c r="AH211" s="28" t="str">
        <f t="shared" si="190"/>
        <v>_</v>
      </c>
      <c r="AI211" s="28" t="s">
        <v>267</v>
      </c>
    </row>
    <row r="212" spans="1:35" x14ac:dyDescent="0.25">
      <c r="B212" s="2"/>
      <c r="C212" s="26"/>
      <c r="D212" s="26"/>
      <c r="I212" s="26"/>
      <c r="AB212" s="2"/>
      <c r="AD212" s="2"/>
      <c r="AF212" s="2" t="str">
        <f t="shared" si="180"/>
        <v/>
      </c>
      <c r="AH212" s="2" t="str">
        <f t="shared" si="190"/>
        <v/>
      </c>
    </row>
    <row r="213" spans="1:35" x14ac:dyDescent="0.25">
      <c r="B213" s="2" t="str">
        <f t="shared" ref="B213:B221" si="191">_xlfn.CONCAT("@",AA213,AB213,AC213,AD213,AE213,AF213,AG213,AH213,AI213)</f>
        <v>@color-tertiary_case_bicycle_no_default</v>
      </c>
      <c r="C213" s="137" t="s">
        <v>231</v>
      </c>
      <c r="D213" s="72" t="s">
        <v>217</v>
      </c>
      <c r="F213" s="72" t="s">
        <v>217</v>
      </c>
      <c r="G213" s="72" t="s">
        <v>217</v>
      </c>
      <c r="I213" s="138" t="str">
        <f>C213</f>
        <v>"#bd430f"</v>
      </c>
      <c r="J213" s="37" t="str">
        <f>D213</f>
        <v>"#000000"</v>
      </c>
      <c r="U213" s="138" t="str">
        <f>C213</f>
        <v>"#bd430f"</v>
      </c>
      <c r="V213" s="37" t="str">
        <f>D213</f>
        <v>"#000000"</v>
      </c>
      <c r="AA213" s="28" t="s">
        <v>6</v>
      </c>
      <c r="AB213" s="2" t="str">
        <f t="shared" ref="AB213:AB215" si="192">IF(NOT(ISBLANK(AC213)),"-","")</f>
        <v>-</v>
      </c>
      <c r="AC213" s="2" t="s">
        <v>27</v>
      </c>
      <c r="AD213" s="2" t="str">
        <f t="shared" ref="AD213:AD215" si="193">IF(NOT(ISBLANK(AE213)),"_","")</f>
        <v>_</v>
      </c>
      <c r="AE213" s="28" t="s">
        <v>17</v>
      </c>
      <c r="AF213" s="2" t="str">
        <f t="shared" ref="AF213:AF215" si="194">IF(NOT(ISBLANK(AG213)),"_","")</f>
        <v>_</v>
      </c>
      <c r="AG213" s="28" t="s">
        <v>24</v>
      </c>
      <c r="AH213" s="2" t="str">
        <f t="shared" si="190"/>
        <v>_</v>
      </c>
      <c r="AI213" s="28" t="s">
        <v>267</v>
      </c>
    </row>
    <row r="214" spans="1:35" x14ac:dyDescent="0.25">
      <c r="B214" s="2" t="str">
        <f t="shared" si="191"/>
        <v>@color-tertiary_case_bicycle_no_farzoom</v>
      </c>
      <c r="C214" s="137" t="s">
        <v>231</v>
      </c>
      <c r="D214" s="72" t="s">
        <v>217</v>
      </c>
      <c r="F214" s="137" t="s">
        <v>231</v>
      </c>
      <c r="G214" s="137" t="s">
        <v>231</v>
      </c>
      <c r="I214" s="138" t="str">
        <f>C214</f>
        <v>"#bd430f"</v>
      </c>
      <c r="J214" s="37" t="str">
        <f>D214</f>
        <v>"#000000"</v>
      </c>
      <c r="U214" s="138" t="str">
        <f>C214</f>
        <v>"#bd430f"</v>
      </c>
      <c r="V214" s="37" t="str">
        <f>D214</f>
        <v>"#000000"</v>
      </c>
      <c r="AA214" s="28" t="s">
        <v>6</v>
      </c>
      <c r="AB214" s="2" t="str">
        <f t="shared" ref="AB214" si="195">IF(NOT(ISBLANK(AC214)),"-","")</f>
        <v>-</v>
      </c>
      <c r="AC214" s="2" t="s">
        <v>27</v>
      </c>
      <c r="AD214" s="2" t="str">
        <f t="shared" ref="AD214" si="196">IF(NOT(ISBLANK(AE214)),"_","")</f>
        <v>_</v>
      </c>
      <c r="AE214" s="28" t="s">
        <v>17</v>
      </c>
      <c r="AF214" s="2" t="str">
        <f t="shared" ref="AF214" si="197">IF(NOT(ISBLANK(AG214)),"_","")</f>
        <v>_</v>
      </c>
      <c r="AG214" s="28" t="s">
        <v>24</v>
      </c>
      <c r="AH214" s="2" t="str">
        <f t="shared" si="190"/>
        <v>_</v>
      </c>
      <c r="AI214" s="28" t="s">
        <v>21</v>
      </c>
    </row>
    <row r="215" spans="1:35" x14ac:dyDescent="0.25">
      <c r="B215" s="2" t="str">
        <f t="shared" si="191"/>
        <v>@color-tertiary_case_unpaved_farzoom</v>
      </c>
      <c r="C215" s="139" t="s">
        <v>232</v>
      </c>
      <c r="D215" s="140" t="s">
        <v>234</v>
      </c>
      <c r="F215" s="140" t="s">
        <v>234</v>
      </c>
      <c r="G215" s="139" t="s">
        <v>232</v>
      </c>
      <c r="I215" s="139" t="s">
        <v>232</v>
      </c>
      <c r="J215" s="140" t="s">
        <v>234</v>
      </c>
      <c r="U215" s="44"/>
      <c r="V215" s="44"/>
      <c r="X215" s="44"/>
      <c r="Y215" s="44"/>
      <c r="AA215" s="28" t="s">
        <v>6</v>
      </c>
      <c r="AB215" s="2" t="str">
        <f t="shared" si="192"/>
        <v>-</v>
      </c>
      <c r="AC215" s="2" t="s">
        <v>27</v>
      </c>
      <c r="AD215" s="2" t="str">
        <f t="shared" si="193"/>
        <v>_</v>
      </c>
      <c r="AE215" s="28" t="s">
        <v>17</v>
      </c>
      <c r="AF215" s="2" t="str">
        <f t="shared" si="194"/>
        <v>_</v>
      </c>
      <c r="AG215" s="28" t="s">
        <v>22</v>
      </c>
      <c r="AH215" s="2" t="str">
        <f>IF(NOT(ISBLANK(AI215)),"_","")</f>
        <v>_</v>
      </c>
      <c r="AI215" s="28" t="s">
        <v>21</v>
      </c>
    </row>
    <row r="216" spans="1:35" x14ac:dyDescent="0.25">
      <c r="B216" s="2" t="str">
        <f t="shared" si="191"/>
        <v>@color-tertiary_case_unpaved_default</v>
      </c>
      <c r="C216" s="140" t="s">
        <v>234</v>
      </c>
      <c r="D216" s="140" t="s">
        <v>234</v>
      </c>
      <c r="F216" s="72" t="s">
        <v>217</v>
      </c>
      <c r="G216" s="72" t="s">
        <v>217</v>
      </c>
      <c r="I216" s="140" t="s">
        <v>234</v>
      </c>
      <c r="J216" s="140" t="s">
        <v>234</v>
      </c>
      <c r="U216" s="44"/>
      <c r="V216" s="44"/>
      <c r="X216" s="44"/>
      <c r="Y216" s="44"/>
      <c r="AA216" s="28" t="s">
        <v>6</v>
      </c>
      <c r="AB216" s="2" t="str">
        <f t="shared" ref="AB216:AB221" si="198">IF(NOT(ISBLANK(AC216)),"-","")</f>
        <v>-</v>
      </c>
      <c r="AC216" s="2" t="s">
        <v>27</v>
      </c>
      <c r="AD216" s="2" t="str">
        <f t="shared" ref="AD216:AD221" si="199">IF(NOT(ISBLANK(AE216)),"_","")</f>
        <v>_</v>
      </c>
      <c r="AE216" s="28" t="s">
        <v>17</v>
      </c>
      <c r="AF216" s="2" t="str">
        <f t="shared" si="180"/>
        <v>_</v>
      </c>
      <c r="AG216" s="28" t="s">
        <v>22</v>
      </c>
      <c r="AH216" s="28" t="str">
        <f t="shared" ref="AH216:AH221" si="200">IF(NOT(ISBLANK(AI216)),"_","")</f>
        <v>_</v>
      </c>
      <c r="AI216" s="28" t="s">
        <v>267</v>
      </c>
    </row>
    <row r="217" spans="1:35" x14ac:dyDescent="0.25">
      <c r="B217" s="2" t="str">
        <f t="shared" si="191"/>
        <v>@color-tertiary_case_paved_or_uk_farzoom</v>
      </c>
      <c r="C217" s="142" t="s">
        <v>233</v>
      </c>
      <c r="D217" s="72" t="s">
        <v>217</v>
      </c>
      <c r="F217" s="142" t="s">
        <v>233</v>
      </c>
      <c r="G217" s="142" t="s">
        <v>233</v>
      </c>
      <c r="I217" s="142" t="s">
        <v>233</v>
      </c>
      <c r="J217" s="72" t="s">
        <v>217</v>
      </c>
      <c r="U217" s="44"/>
      <c r="V217" s="44"/>
      <c r="X217" s="44"/>
      <c r="Y217" s="44"/>
      <c r="AA217" s="2" t="s">
        <v>6</v>
      </c>
      <c r="AB217" s="2" t="str">
        <f t="shared" ref="AB217" si="201">IF(NOT(ISBLANK(AC217)),"-","")</f>
        <v>-</v>
      </c>
      <c r="AC217" s="2" t="s">
        <v>27</v>
      </c>
      <c r="AD217" s="2" t="str">
        <f t="shared" ref="AD217" si="202">IF(NOT(ISBLANK(AE217)),"_","")</f>
        <v>_</v>
      </c>
      <c r="AE217" s="2" t="s">
        <v>17</v>
      </c>
      <c r="AF217" s="2" t="str">
        <f t="shared" ref="AF217" si="203">IF(NOT(ISBLANK(AG217)),"_","")</f>
        <v>_</v>
      </c>
      <c r="AG217" s="2" t="s">
        <v>25</v>
      </c>
      <c r="AH217" s="2" t="str">
        <f t="shared" si="200"/>
        <v>_</v>
      </c>
      <c r="AI217" s="28" t="s">
        <v>21</v>
      </c>
    </row>
    <row r="218" spans="1:35" x14ac:dyDescent="0.25">
      <c r="B218" s="2" t="str">
        <f t="shared" si="191"/>
        <v>@color-tertiary_case_paved_or_uk_default</v>
      </c>
      <c r="C218" s="152" t="s">
        <v>235</v>
      </c>
      <c r="D218" s="72" t="s">
        <v>217</v>
      </c>
      <c r="F218" s="72" t="s">
        <v>217</v>
      </c>
      <c r="G218" s="72" t="s">
        <v>217</v>
      </c>
      <c r="I218" s="152" t="s">
        <v>235</v>
      </c>
      <c r="J218" s="72" t="s">
        <v>217</v>
      </c>
      <c r="U218" s="44"/>
      <c r="V218" s="44"/>
      <c r="X218" s="44"/>
      <c r="Y218" s="44"/>
      <c r="AA218" s="2" t="s">
        <v>6</v>
      </c>
      <c r="AB218" s="2" t="str">
        <f t="shared" si="198"/>
        <v>-</v>
      </c>
      <c r="AC218" s="2" t="s">
        <v>27</v>
      </c>
      <c r="AD218" s="2" t="str">
        <f t="shared" si="199"/>
        <v>_</v>
      </c>
      <c r="AE218" s="2" t="s">
        <v>17</v>
      </c>
      <c r="AF218" s="2" t="str">
        <f t="shared" si="180"/>
        <v>_</v>
      </c>
      <c r="AG218" s="2" t="s">
        <v>25</v>
      </c>
      <c r="AH218" s="2" t="str">
        <f t="shared" si="200"/>
        <v>_</v>
      </c>
      <c r="AI218" s="28" t="s">
        <v>267</v>
      </c>
    </row>
    <row r="219" spans="1:35" x14ac:dyDescent="0.25">
      <c r="B219" s="2" t="str">
        <f t="shared" si="191"/>
        <v>@color-tertiary_line_bicycle_no</v>
      </c>
      <c r="C219" s="150" t="s">
        <v>236</v>
      </c>
      <c r="D219" s="134" t="s">
        <v>218</v>
      </c>
      <c r="F219" s="150" t="s">
        <v>236</v>
      </c>
      <c r="G219" s="134" t="s">
        <v>218</v>
      </c>
      <c r="I219" s="151" t="str">
        <f>C219</f>
        <v>"#ffcc8a"</v>
      </c>
      <c r="J219" s="136" t="str">
        <f>D219</f>
        <v>"#d6771e"</v>
      </c>
      <c r="U219" s="151" t="str">
        <f>C219</f>
        <v>"#ffcc8a"</v>
      </c>
      <c r="V219" s="136" t="str">
        <f>J219</f>
        <v>"#d6771e"</v>
      </c>
      <c r="AA219" s="28" t="s">
        <v>6</v>
      </c>
      <c r="AB219" s="2" t="str">
        <f t="shared" si="198"/>
        <v>-</v>
      </c>
      <c r="AC219" s="2" t="s">
        <v>27</v>
      </c>
      <c r="AD219" s="2" t="str">
        <f t="shared" si="199"/>
        <v>_</v>
      </c>
      <c r="AE219" s="28" t="s">
        <v>13</v>
      </c>
      <c r="AF219" s="2" t="str">
        <f t="shared" si="180"/>
        <v>_</v>
      </c>
      <c r="AG219" s="28" t="s">
        <v>24</v>
      </c>
      <c r="AH219" s="2" t="str">
        <f t="shared" si="200"/>
        <v/>
      </c>
    </row>
    <row r="220" spans="1:35" x14ac:dyDescent="0.25">
      <c r="B220" s="2" t="str">
        <f t="shared" si="191"/>
        <v>@color-tertiary_line_unpaved_default</v>
      </c>
      <c r="C220" s="148" t="s">
        <v>226</v>
      </c>
      <c r="D220" s="149" t="str">
        <f>C220</f>
        <v>"#eddfca"</v>
      </c>
      <c r="F220" s="148" t="s">
        <v>226</v>
      </c>
      <c r="G220" s="149" t="str">
        <f>F220</f>
        <v>"#eddfca"</v>
      </c>
      <c r="I220" s="148" t="s">
        <v>226</v>
      </c>
      <c r="J220" s="149" t="str">
        <f>I220</f>
        <v>"#eddfca"</v>
      </c>
      <c r="U220" s="44"/>
      <c r="V220" s="44"/>
      <c r="X220" s="44"/>
      <c r="Y220" s="44"/>
      <c r="AA220" s="2" t="s">
        <v>6</v>
      </c>
      <c r="AB220" s="2" t="str">
        <f t="shared" si="198"/>
        <v>-</v>
      </c>
      <c r="AC220" s="2" t="s">
        <v>27</v>
      </c>
      <c r="AD220" s="2" t="str">
        <f t="shared" si="199"/>
        <v>_</v>
      </c>
      <c r="AE220" s="2" t="s">
        <v>13</v>
      </c>
      <c r="AF220" s="2" t="str">
        <f t="shared" si="180"/>
        <v>_</v>
      </c>
      <c r="AG220" s="2" t="s">
        <v>22</v>
      </c>
      <c r="AH220" s="2" t="str">
        <f t="shared" si="200"/>
        <v>_</v>
      </c>
      <c r="AI220" s="28" t="s">
        <v>267</v>
      </c>
    </row>
    <row r="221" spans="1:35" x14ac:dyDescent="0.25">
      <c r="B221" s="2" t="str">
        <f t="shared" si="191"/>
        <v>@color-tertiary_line_paved_or_uk_default</v>
      </c>
      <c r="C221" s="71" t="s">
        <v>227</v>
      </c>
      <c r="D221" s="38" t="str">
        <f>C221</f>
        <v>"#ffffff"</v>
      </c>
      <c r="F221" s="71" t="s">
        <v>227</v>
      </c>
      <c r="G221" s="38" t="str">
        <f>F221</f>
        <v>"#ffffff"</v>
      </c>
      <c r="I221" s="71" t="s">
        <v>227</v>
      </c>
      <c r="J221" s="38" t="str">
        <f>I221</f>
        <v>"#ffffff"</v>
      </c>
      <c r="U221" s="44"/>
      <c r="V221" s="44"/>
      <c r="X221" s="44"/>
      <c r="Y221" s="44"/>
      <c r="AA221" s="2" t="s">
        <v>6</v>
      </c>
      <c r="AB221" s="2" t="str">
        <f t="shared" si="198"/>
        <v>-</v>
      </c>
      <c r="AC221" s="2" t="s">
        <v>27</v>
      </c>
      <c r="AD221" s="2" t="str">
        <f t="shared" si="199"/>
        <v>_</v>
      </c>
      <c r="AE221" s="2" t="s">
        <v>13</v>
      </c>
      <c r="AF221" s="2" t="str">
        <f t="shared" si="180"/>
        <v>_</v>
      </c>
      <c r="AG221" s="28" t="s">
        <v>25</v>
      </c>
      <c r="AH221" s="28" t="str">
        <f t="shared" si="200"/>
        <v>_</v>
      </c>
      <c r="AI221" s="28" t="s">
        <v>267</v>
      </c>
    </row>
    <row r="222" spans="1:35" x14ac:dyDescent="0.25">
      <c r="B222" s="2"/>
      <c r="AB222" s="28" t="str">
        <f t="shared" si="172"/>
        <v/>
      </c>
      <c r="AD222" s="28" t="str">
        <f t="shared" si="179"/>
        <v/>
      </c>
      <c r="AF222" s="28" t="str">
        <f t="shared" si="180"/>
        <v/>
      </c>
      <c r="AH222" s="28" t="str">
        <f t="shared" si="190"/>
        <v/>
      </c>
    </row>
    <row r="223" spans="1:35" s="2" customFormat="1" x14ac:dyDescent="0.25">
      <c r="A223" s="3" t="s">
        <v>228</v>
      </c>
      <c r="B223" s="3"/>
      <c r="C223" s="27"/>
      <c r="D223" s="6"/>
      <c r="E223" s="7"/>
      <c r="F223" s="6"/>
      <c r="G223" s="6"/>
      <c r="H223" s="7"/>
      <c r="I223" s="6"/>
      <c r="J223" s="6"/>
      <c r="K223" s="7"/>
      <c r="L223" s="6"/>
      <c r="M223" s="6"/>
      <c r="N223" s="7"/>
      <c r="O223" s="6"/>
      <c r="P223" s="6"/>
      <c r="Q223" s="7"/>
      <c r="R223" s="6"/>
      <c r="S223" s="6"/>
      <c r="T223" s="7"/>
      <c r="U223" s="6"/>
      <c r="V223" s="6"/>
      <c r="W223" s="7"/>
      <c r="X223" s="6"/>
      <c r="Y223" s="6"/>
      <c r="AA223" s="4"/>
      <c r="AB223" s="4" t="str">
        <f t="shared" si="172"/>
        <v/>
      </c>
      <c r="AC223" s="4"/>
      <c r="AD223" s="4" t="str">
        <f t="shared" si="179"/>
        <v/>
      </c>
      <c r="AE223" s="4"/>
      <c r="AF223" s="4" t="str">
        <f t="shared" si="180"/>
        <v/>
      </c>
      <c r="AG223" s="4"/>
      <c r="AH223" s="4" t="str">
        <f t="shared" si="190"/>
        <v/>
      </c>
      <c r="AI223" s="4"/>
    </row>
    <row r="224" spans="1:35" x14ac:dyDescent="0.25">
      <c r="B224" s="2" t="str">
        <f t="shared" ref="B224:B229" si="204">_xlfn.CONCAT("@",AA224,AB224,AC224,AD224,AE224,AF224,AG224,AH224,AI224)</f>
        <v>@color-raceway_case</v>
      </c>
      <c r="C224" s="44"/>
      <c r="D224" s="44"/>
      <c r="F224" s="44"/>
      <c r="G224" s="44"/>
      <c r="I224" s="44"/>
      <c r="J224" s="44"/>
      <c r="L224" s="44"/>
      <c r="M224" s="44"/>
      <c r="U224" s="72" t="s">
        <v>217</v>
      </c>
      <c r="V224" s="72" t="s">
        <v>217</v>
      </c>
      <c r="AA224" s="2" t="s">
        <v>6</v>
      </c>
      <c r="AB224" s="2" t="str">
        <f t="shared" ref="AB224" si="205">IF(NOT(ISBLANK(AC224)),"-","")</f>
        <v>-</v>
      </c>
      <c r="AC224" s="2" t="s">
        <v>29</v>
      </c>
      <c r="AD224" s="2" t="str">
        <f t="shared" ref="AD224" si="206">IF(NOT(ISBLANK(AE224)),"_","")</f>
        <v>_</v>
      </c>
      <c r="AE224" s="2" t="s">
        <v>17</v>
      </c>
      <c r="AF224" s="2" t="str">
        <f t="shared" ref="AF224" si="207">IF(NOT(ISBLANK(AG224)),"_","")</f>
        <v/>
      </c>
      <c r="AG224" s="2"/>
      <c r="AH224" s="2" t="str">
        <f t="shared" si="190"/>
        <v/>
      </c>
      <c r="AI224" s="2"/>
    </row>
    <row r="225" spans="2:35" x14ac:dyDescent="0.25">
      <c r="B225" s="2" t="str">
        <f t="shared" si="204"/>
        <v>@color-raceway_case_unpaved</v>
      </c>
      <c r="C225" s="153" t="s">
        <v>237</v>
      </c>
      <c r="D225" s="140" t="s">
        <v>234</v>
      </c>
      <c r="F225" s="72" t="s">
        <v>217</v>
      </c>
      <c r="G225" s="72" t="s">
        <v>217</v>
      </c>
      <c r="I225" s="154" t="str">
        <f>C225</f>
        <v>"#af9564"</v>
      </c>
      <c r="J225" s="155" t="str">
        <f>D225</f>
        <v>"#644507"</v>
      </c>
      <c r="U225" s="44"/>
      <c r="V225" s="44"/>
      <c r="X225" s="44"/>
      <c r="Y225" s="44"/>
      <c r="AA225" s="2" t="s">
        <v>6</v>
      </c>
      <c r="AB225" s="2" t="str">
        <f t="shared" ref="AB225:AB227" si="208">IF(NOT(ISBLANK(AC225)),"-","")</f>
        <v>-</v>
      </c>
      <c r="AC225" s="2" t="s">
        <v>29</v>
      </c>
      <c r="AD225" s="2" t="str">
        <f t="shared" ref="AD225:AD227" si="209">IF(NOT(ISBLANK(AE225)),"_","")</f>
        <v>_</v>
      </c>
      <c r="AE225" s="2" t="s">
        <v>17</v>
      </c>
      <c r="AF225" s="2" t="str">
        <f t="shared" ref="AF225:AF227" si="210">IF(NOT(ISBLANK(AG225)),"_","")</f>
        <v>_</v>
      </c>
      <c r="AG225" s="2" t="s">
        <v>22</v>
      </c>
      <c r="AH225" s="2" t="str">
        <f t="shared" si="190"/>
        <v/>
      </c>
      <c r="AI225" s="2"/>
    </row>
    <row r="226" spans="2:35" x14ac:dyDescent="0.25">
      <c r="B226" s="2" t="str">
        <f t="shared" si="204"/>
        <v>@color-raceway_case_paved_or_uk</v>
      </c>
      <c r="C226" s="156" t="s">
        <v>238</v>
      </c>
      <c r="D226" s="157" t="s">
        <v>239</v>
      </c>
      <c r="F226" s="72" t="s">
        <v>217</v>
      </c>
      <c r="G226" s="72" t="s">
        <v>217</v>
      </c>
      <c r="I226" s="158" t="str">
        <f>C226</f>
        <v>"#a8a6a4"</v>
      </c>
      <c r="J226" s="159" t="str">
        <f>D226</f>
        <v>"#4a4a4a"</v>
      </c>
      <c r="U226" s="44"/>
      <c r="V226" s="44"/>
      <c r="X226" s="44"/>
      <c r="Y226" s="44"/>
      <c r="AA226" s="2" t="s">
        <v>6</v>
      </c>
      <c r="AB226" s="2" t="str">
        <f t="shared" si="208"/>
        <v>-</v>
      </c>
      <c r="AC226" s="2" t="s">
        <v>29</v>
      </c>
      <c r="AD226" s="2" t="str">
        <f t="shared" si="209"/>
        <v>_</v>
      </c>
      <c r="AE226" s="2" t="s">
        <v>17</v>
      </c>
      <c r="AF226" s="2" t="str">
        <f t="shared" si="210"/>
        <v>_</v>
      </c>
      <c r="AG226" s="2" t="s">
        <v>25</v>
      </c>
      <c r="AH226" s="2" t="str">
        <f t="shared" si="190"/>
        <v/>
      </c>
      <c r="AI226" s="2"/>
    </row>
    <row r="227" spans="2:35" x14ac:dyDescent="0.25">
      <c r="B227" s="2" t="str">
        <f t="shared" si="204"/>
        <v>@color-raceway_line_default</v>
      </c>
      <c r="C227" s="44"/>
      <c r="D227" s="44"/>
      <c r="F227" s="44"/>
      <c r="G227" s="44"/>
      <c r="I227" s="44"/>
      <c r="J227" s="44"/>
      <c r="L227" s="44"/>
      <c r="M227" s="44"/>
      <c r="U227" s="71" t="s">
        <v>227</v>
      </c>
      <c r="V227" s="38" t="str">
        <f>U227</f>
        <v>"#ffffff"</v>
      </c>
      <c r="AA227" s="2" t="s">
        <v>6</v>
      </c>
      <c r="AB227" s="2" t="str">
        <f t="shared" si="208"/>
        <v>-</v>
      </c>
      <c r="AC227" s="2" t="s">
        <v>29</v>
      </c>
      <c r="AD227" s="2" t="str">
        <f t="shared" si="209"/>
        <v>_</v>
      </c>
      <c r="AE227" s="2" t="s">
        <v>13</v>
      </c>
      <c r="AF227" s="2" t="str">
        <f t="shared" si="210"/>
        <v>_</v>
      </c>
      <c r="AG227" s="2" t="s">
        <v>267</v>
      </c>
      <c r="AH227" s="2" t="str">
        <f t="shared" si="190"/>
        <v/>
      </c>
      <c r="AI227" s="2"/>
    </row>
    <row r="228" spans="2:35" x14ac:dyDescent="0.25">
      <c r="B228" s="2" t="str">
        <f t="shared" si="204"/>
        <v>@color-raceway_line_unpaved</v>
      </c>
      <c r="C228" s="148" t="s">
        <v>226</v>
      </c>
      <c r="D228" s="149" t="str">
        <f>C228</f>
        <v>"#eddfca"</v>
      </c>
      <c r="I228" s="149" t="str">
        <f>C228</f>
        <v>"#eddfca"</v>
      </c>
      <c r="J228" s="149" t="str">
        <f>C228</f>
        <v>"#eddfca"</v>
      </c>
      <c r="U228" s="44"/>
      <c r="V228" s="44"/>
      <c r="X228" s="44"/>
      <c r="Y228" s="44"/>
      <c r="AA228" s="2" t="s">
        <v>6</v>
      </c>
      <c r="AB228" s="2" t="str">
        <f t="shared" si="172"/>
        <v>-</v>
      </c>
      <c r="AC228" s="2" t="s">
        <v>29</v>
      </c>
      <c r="AD228" s="2" t="str">
        <f t="shared" si="179"/>
        <v>_</v>
      </c>
      <c r="AE228" s="2" t="s">
        <v>13</v>
      </c>
      <c r="AF228" s="2" t="str">
        <f t="shared" si="180"/>
        <v>_</v>
      </c>
      <c r="AG228" s="2" t="s">
        <v>22</v>
      </c>
      <c r="AH228" s="2" t="str">
        <f t="shared" si="190"/>
        <v/>
      </c>
      <c r="AI228" s="2"/>
    </row>
    <row r="229" spans="2:35" x14ac:dyDescent="0.25">
      <c r="B229" s="2" t="str">
        <f t="shared" si="204"/>
        <v>@color-raceway_line_paved_or_uk</v>
      </c>
      <c r="C229" s="26" t="s">
        <v>227</v>
      </c>
      <c r="D229" s="38" t="str">
        <f>C229</f>
        <v>"#ffffff"</v>
      </c>
      <c r="I229" s="38" t="str">
        <f>C229</f>
        <v>"#ffffff"</v>
      </c>
      <c r="J229" s="38" t="str">
        <f>C229</f>
        <v>"#ffffff"</v>
      </c>
      <c r="U229" s="44"/>
      <c r="V229" s="44"/>
      <c r="X229" s="44"/>
      <c r="Y229" s="44"/>
      <c r="AA229" s="2" t="s">
        <v>6</v>
      </c>
      <c r="AB229" s="2" t="str">
        <f t="shared" si="172"/>
        <v>-</v>
      </c>
      <c r="AC229" s="2" t="s">
        <v>29</v>
      </c>
      <c r="AD229" s="2" t="str">
        <f t="shared" si="179"/>
        <v>_</v>
      </c>
      <c r="AE229" s="2" t="s">
        <v>13</v>
      </c>
      <c r="AF229" s="2" t="str">
        <f t="shared" si="180"/>
        <v>_</v>
      </c>
      <c r="AG229" s="2" t="s">
        <v>25</v>
      </c>
      <c r="AH229" s="2" t="str">
        <f t="shared" si="190"/>
        <v/>
      </c>
      <c r="AI229" s="2"/>
    </row>
    <row r="230" spans="2:35" x14ac:dyDescent="0.25">
      <c r="B230" s="2"/>
      <c r="AB230" s="28" t="str">
        <f t="shared" si="172"/>
        <v/>
      </c>
      <c r="AD230" s="28" t="str">
        <f t="shared" si="179"/>
        <v/>
      </c>
      <c r="AF230" s="28" t="str">
        <f t="shared" si="180"/>
        <v/>
      </c>
      <c r="AH230" s="28" t="str">
        <f t="shared" si="190"/>
        <v/>
      </c>
    </row>
    <row r="231" spans="2:35" x14ac:dyDescent="0.25">
      <c r="B231" s="2" t="str">
        <f t="shared" ref="B231:B238" si="211">_xlfn.CONCAT("@",AA231,AB231,AC231,AD231,AE231,AF231,AG231,AH231,AI231)</f>
        <v>@color-driveway_case</v>
      </c>
      <c r="C231" s="44"/>
      <c r="D231" s="44"/>
      <c r="F231" s="44"/>
      <c r="G231" s="44"/>
      <c r="I231" s="44"/>
      <c r="J231" s="44"/>
      <c r="L231" s="44"/>
      <c r="M231" s="44"/>
      <c r="U231" s="72" t="s">
        <v>217</v>
      </c>
      <c r="V231" s="72" t="s">
        <v>217</v>
      </c>
      <c r="AA231" s="2" t="s">
        <v>6</v>
      </c>
      <c r="AB231" s="2" t="str">
        <f t="shared" si="172"/>
        <v>-</v>
      </c>
      <c r="AC231" s="2" t="s">
        <v>30</v>
      </c>
      <c r="AD231" s="2" t="str">
        <f t="shared" si="179"/>
        <v>_</v>
      </c>
      <c r="AE231" s="2" t="s">
        <v>17</v>
      </c>
      <c r="AF231" s="2" t="str">
        <f t="shared" si="180"/>
        <v/>
      </c>
      <c r="AG231" s="2"/>
      <c r="AH231" s="2" t="str">
        <f t="shared" si="190"/>
        <v/>
      </c>
      <c r="AI231" s="2"/>
    </row>
    <row r="232" spans="2:35" x14ac:dyDescent="0.25">
      <c r="B232" s="2" t="str">
        <f t="shared" si="211"/>
        <v>@color-driveway_case_unpaved_farzoom</v>
      </c>
      <c r="C232" s="139" t="s">
        <v>232</v>
      </c>
      <c r="D232" s="140" t="s">
        <v>234</v>
      </c>
      <c r="F232" s="140" t="s">
        <v>234</v>
      </c>
      <c r="G232" s="139" t="s">
        <v>232</v>
      </c>
      <c r="I232" s="160" t="str">
        <f t="shared" ref="I232:J235" si="212">C232</f>
        <v>"#b99346"</v>
      </c>
      <c r="J232" s="155" t="str">
        <f t="shared" si="212"/>
        <v>"#644507"</v>
      </c>
      <c r="U232" s="44"/>
      <c r="V232" s="44"/>
      <c r="X232" s="44"/>
      <c r="Y232" s="44"/>
      <c r="AA232" s="2" t="s">
        <v>6</v>
      </c>
      <c r="AB232" s="2" t="str">
        <f t="shared" si="172"/>
        <v>-</v>
      </c>
      <c r="AC232" s="2" t="s">
        <v>30</v>
      </c>
      <c r="AD232" s="2" t="str">
        <f t="shared" si="179"/>
        <v>_</v>
      </c>
      <c r="AE232" s="2" t="s">
        <v>17</v>
      </c>
      <c r="AF232" s="2" t="str">
        <f t="shared" si="180"/>
        <v>_</v>
      </c>
      <c r="AG232" s="2" t="s">
        <v>22</v>
      </c>
      <c r="AH232" s="2" t="str">
        <f t="shared" si="190"/>
        <v>_</v>
      </c>
      <c r="AI232" s="28" t="s">
        <v>21</v>
      </c>
    </row>
    <row r="233" spans="2:35" x14ac:dyDescent="0.25">
      <c r="B233" s="2" t="str">
        <f t="shared" si="211"/>
        <v>@color-driveway_case_unpaved</v>
      </c>
      <c r="C233" s="140" t="s">
        <v>234</v>
      </c>
      <c r="D233" s="140" t="s">
        <v>234</v>
      </c>
      <c r="F233" s="72" t="s">
        <v>217</v>
      </c>
      <c r="G233" s="72" t="s">
        <v>217</v>
      </c>
      <c r="I233" s="155" t="str">
        <f t="shared" si="212"/>
        <v>"#644507"</v>
      </c>
      <c r="J233" s="155" t="str">
        <f t="shared" si="212"/>
        <v>"#644507"</v>
      </c>
      <c r="U233" s="44"/>
      <c r="V233" s="44"/>
      <c r="X233" s="44"/>
      <c r="Y233" s="44"/>
      <c r="AA233" s="2" t="s">
        <v>6</v>
      </c>
      <c r="AB233" s="2" t="str">
        <f t="shared" si="172"/>
        <v>-</v>
      </c>
      <c r="AC233" s="2" t="s">
        <v>30</v>
      </c>
      <c r="AD233" s="2" t="str">
        <f t="shared" si="179"/>
        <v>_</v>
      </c>
      <c r="AE233" s="2" t="s">
        <v>17</v>
      </c>
      <c r="AF233" s="2" t="str">
        <f t="shared" si="180"/>
        <v>_</v>
      </c>
      <c r="AG233" s="2" t="s">
        <v>22</v>
      </c>
      <c r="AH233" s="2" t="str">
        <f t="shared" si="190"/>
        <v/>
      </c>
      <c r="AI233" s="2"/>
    </row>
    <row r="234" spans="2:35" x14ac:dyDescent="0.25">
      <c r="B234" s="2" t="str">
        <f t="shared" si="211"/>
        <v>@color-driveway_case_paved_or_uk_farzoom</v>
      </c>
      <c r="C234" s="142" t="s">
        <v>233</v>
      </c>
      <c r="D234" s="72" t="s">
        <v>217</v>
      </c>
      <c r="F234" s="142" t="s">
        <v>233</v>
      </c>
      <c r="G234" s="142" t="s">
        <v>233</v>
      </c>
      <c r="I234" s="161" t="str">
        <f t="shared" si="212"/>
        <v>"#808080"</v>
      </c>
      <c r="J234" s="37" t="str">
        <f t="shared" si="212"/>
        <v>"#000000"</v>
      </c>
      <c r="U234" s="44"/>
      <c r="V234" s="44"/>
      <c r="X234" s="44"/>
      <c r="Y234" s="44"/>
      <c r="AA234" s="2" t="s">
        <v>6</v>
      </c>
      <c r="AB234" s="2" t="str">
        <f t="shared" si="172"/>
        <v>-</v>
      </c>
      <c r="AC234" s="2" t="s">
        <v>30</v>
      </c>
      <c r="AD234" s="2" t="str">
        <f t="shared" si="179"/>
        <v>_</v>
      </c>
      <c r="AE234" s="2" t="s">
        <v>17</v>
      </c>
      <c r="AF234" s="2" t="str">
        <f t="shared" si="180"/>
        <v>_</v>
      </c>
      <c r="AG234" s="2" t="s">
        <v>25</v>
      </c>
      <c r="AH234" s="2" t="str">
        <f t="shared" si="190"/>
        <v>_</v>
      </c>
      <c r="AI234" s="28" t="s">
        <v>21</v>
      </c>
    </row>
    <row r="235" spans="2:35" x14ac:dyDescent="0.25">
      <c r="B235" s="2" t="str">
        <f t="shared" si="211"/>
        <v>@color-driveway_case_paved_or_uk</v>
      </c>
      <c r="C235" s="143" t="s">
        <v>221</v>
      </c>
      <c r="D235" s="72" t="s">
        <v>217</v>
      </c>
      <c r="F235" s="72" t="s">
        <v>217</v>
      </c>
      <c r="G235" s="72" t="s">
        <v>217</v>
      </c>
      <c r="I235" s="162" t="str">
        <f t="shared" si="212"/>
        <v>"#404040"</v>
      </c>
      <c r="J235" s="37" t="str">
        <f t="shared" si="212"/>
        <v>"#000000"</v>
      </c>
      <c r="Q235" s="7"/>
      <c r="U235" s="44"/>
      <c r="V235" s="44"/>
      <c r="X235" s="44"/>
      <c r="Y235" s="44"/>
      <c r="AA235" s="2" t="s">
        <v>6</v>
      </c>
      <c r="AB235" s="2" t="str">
        <f t="shared" si="172"/>
        <v>-</v>
      </c>
      <c r="AC235" s="2" t="s">
        <v>30</v>
      </c>
      <c r="AD235" s="2" t="str">
        <f t="shared" si="179"/>
        <v>_</v>
      </c>
      <c r="AE235" s="2" t="s">
        <v>17</v>
      </c>
      <c r="AF235" s="2" t="str">
        <f t="shared" si="180"/>
        <v>_</v>
      </c>
      <c r="AG235" s="2" t="s">
        <v>25</v>
      </c>
      <c r="AH235" s="2" t="str">
        <f t="shared" si="190"/>
        <v/>
      </c>
      <c r="AI235" s="2"/>
    </row>
    <row r="236" spans="2:35" x14ac:dyDescent="0.25">
      <c r="B236" s="2" t="str">
        <f t="shared" si="211"/>
        <v>@color-driveway_line_default</v>
      </c>
      <c r="C236" s="44"/>
      <c r="D236" s="44"/>
      <c r="F236" s="44"/>
      <c r="G236" s="44"/>
      <c r="I236" s="44"/>
      <c r="J236" s="44"/>
      <c r="L236" s="44"/>
      <c r="M236" s="44"/>
      <c r="U236" s="71" t="s">
        <v>227</v>
      </c>
      <c r="V236" s="38" t="str">
        <f>U236</f>
        <v>"#ffffff"</v>
      </c>
      <c r="AA236" s="2" t="s">
        <v>6</v>
      </c>
      <c r="AB236" s="2" t="str">
        <f t="shared" si="172"/>
        <v>-</v>
      </c>
      <c r="AC236" s="2" t="s">
        <v>30</v>
      </c>
      <c r="AD236" s="2" t="str">
        <f t="shared" si="179"/>
        <v>_</v>
      </c>
      <c r="AE236" s="2" t="s">
        <v>13</v>
      </c>
      <c r="AF236" s="2" t="str">
        <f t="shared" si="180"/>
        <v>_</v>
      </c>
      <c r="AG236" s="2" t="s">
        <v>267</v>
      </c>
      <c r="AH236" s="2" t="str">
        <f t="shared" si="190"/>
        <v/>
      </c>
      <c r="AI236" s="2"/>
    </row>
    <row r="237" spans="2:35" x14ac:dyDescent="0.25">
      <c r="B237" s="2" t="str">
        <f t="shared" si="211"/>
        <v>@color-driveway_line_unpaved</v>
      </c>
      <c r="C237" s="148" t="s">
        <v>226</v>
      </c>
      <c r="D237" s="38" t="str">
        <f t="shared" ref="D237:D238" si="213">C237</f>
        <v>"#eddfca"</v>
      </c>
      <c r="I237" s="149" t="str">
        <f>C237</f>
        <v>"#eddfca"</v>
      </c>
      <c r="J237" s="38" t="str">
        <f t="shared" ref="J237:J238" si="214">C237</f>
        <v>"#eddfca"</v>
      </c>
      <c r="U237" s="44"/>
      <c r="V237" s="44"/>
      <c r="X237" s="44"/>
      <c r="Y237" s="44"/>
      <c r="AA237" s="2" t="s">
        <v>6</v>
      </c>
      <c r="AB237" s="2" t="str">
        <f t="shared" si="172"/>
        <v>-</v>
      </c>
      <c r="AC237" s="2" t="s">
        <v>30</v>
      </c>
      <c r="AD237" s="2" t="str">
        <f t="shared" si="179"/>
        <v>_</v>
      </c>
      <c r="AE237" s="2" t="s">
        <v>13</v>
      </c>
      <c r="AF237" s="2" t="str">
        <f t="shared" si="180"/>
        <v>_</v>
      </c>
      <c r="AG237" s="2" t="s">
        <v>22</v>
      </c>
      <c r="AH237" s="2" t="str">
        <f t="shared" si="190"/>
        <v/>
      </c>
      <c r="AI237" s="2"/>
    </row>
    <row r="238" spans="2:35" x14ac:dyDescent="0.25">
      <c r="B238" s="2" t="str">
        <f t="shared" si="211"/>
        <v>@color-driveway_line_paved_or_uk</v>
      </c>
      <c r="C238" s="71" t="s">
        <v>227</v>
      </c>
      <c r="D238" s="38" t="str">
        <f t="shared" si="213"/>
        <v>"#ffffff"</v>
      </c>
      <c r="I238" s="38" t="str">
        <f>C238</f>
        <v>"#ffffff"</v>
      </c>
      <c r="J238" s="38" t="str">
        <f t="shared" si="214"/>
        <v>"#ffffff"</v>
      </c>
      <c r="U238" s="44"/>
      <c r="V238" s="44"/>
      <c r="X238" s="44"/>
      <c r="Y238" s="44"/>
      <c r="AA238" s="2" t="s">
        <v>6</v>
      </c>
      <c r="AB238" s="2" t="str">
        <f t="shared" si="172"/>
        <v>-</v>
      </c>
      <c r="AC238" s="2" t="s">
        <v>30</v>
      </c>
      <c r="AD238" s="2" t="str">
        <f t="shared" si="179"/>
        <v>_</v>
      </c>
      <c r="AE238" s="2" t="s">
        <v>13</v>
      </c>
      <c r="AF238" s="2" t="str">
        <f t="shared" si="180"/>
        <v>_</v>
      </c>
      <c r="AG238" s="2" t="s">
        <v>25</v>
      </c>
      <c r="AH238" s="2" t="str">
        <f t="shared" si="190"/>
        <v/>
      </c>
      <c r="AI238" s="2"/>
    </row>
    <row r="239" spans="2:35" x14ac:dyDescent="0.25">
      <c r="B239" s="2"/>
      <c r="AB239" s="28" t="str">
        <f t="shared" ref="AB239:AB247" si="215">IF(NOT(ISBLANK(AC239)),"-","")</f>
        <v/>
      </c>
      <c r="AD239" s="28" t="str">
        <f t="shared" ref="AD239:AD247" si="216">IF(NOT(ISBLANK(AE239)),"_","")</f>
        <v/>
      </c>
      <c r="AF239" s="28" t="str">
        <f t="shared" ref="AF239:AF247" si="217">IF(NOT(ISBLANK(AG239)),"_","")</f>
        <v/>
      </c>
      <c r="AH239" s="28" t="str">
        <f t="shared" si="190"/>
        <v/>
      </c>
    </row>
    <row r="240" spans="2:35" x14ac:dyDescent="0.25">
      <c r="B240" s="2" t="str">
        <f t="shared" ref="B240:B247" si="218">_xlfn.CONCAT("@",AA240,AB240,AC240,AD240,AE240,AF240,AG240,AH240,AI240)</f>
        <v>@color-service_case</v>
      </c>
      <c r="C240" s="44"/>
      <c r="D240" s="44"/>
      <c r="F240" s="44"/>
      <c r="G240" s="44"/>
      <c r="I240" s="44"/>
      <c r="J240" s="44"/>
      <c r="L240" s="44"/>
      <c r="M240" s="44"/>
      <c r="U240" s="72" t="s">
        <v>217</v>
      </c>
      <c r="V240" s="72" t="s">
        <v>217</v>
      </c>
      <c r="AA240" s="2" t="s">
        <v>6</v>
      </c>
      <c r="AB240" s="2" t="str">
        <f t="shared" si="215"/>
        <v>-</v>
      </c>
      <c r="AC240" s="2" t="s">
        <v>31</v>
      </c>
      <c r="AD240" s="2" t="str">
        <f t="shared" si="216"/>
        <v>_</v>
      </c>
      <c r="AE240" s="2" t="s">
        <v>17</v>
      </c>
      <c r="AF240" s="2" t="str">
        <f t="shared" si="217"/>
        <v/>
      </c>
      <c r="AG240" s="2"/>
      <c r="AH240" s="2" t="str">
        <f t="shared" si="190"/>
        <v/>
      </c>
      <c r="AI240" s="2"/>
    </row>
    <row r="241" spans="2:35" x14ac:dyDescent="0.25">
      <c r="B241" s="2" t="str">
        <f t="shared" si="218"/>
        <v>@color-service_case_unpaved_farzoom</v>
      </c>
      <c r="C241" s="139" t="s">
        <v>232</v>
      </c>
      <c r="D241" s="140" t="s">
        <v>234</v>
      </c>
      <c r="F241" s="140" t="s">
        <v>234</v>
      </c>
      <c r="G241" s="139" t="s">
        <v>232</v>
      </c>
      <c r="I241" s="160" t="str">
        <f t="shared" ref="I241:J244" si="219">C241</f>
        <v>"#b99346"</v>
      </c>
      <c r="J241" s="155" t="str">
        <f t="shared" si="219"/>
        <v>"#644507"</v>
      </c>
      <c r="U241" s="44"/>
      <c r="V241" s="44"/>
      <c r="X241" s="44"/>
      <c r="Y241" s="44"/>
      <c r="AA241" s="2" t="s">
        <v>6</v>
      </c>
      <c r="AB241" s="2" t="str">
        <f t="shared" si="215"/>
        <v>-</v>
      </c>
      <c r="AC241" s="2" t="s">
        <v>31</v>
      </c>
      <c r="AD241" s="2" t="str">
        <f t="shared" si="216"/>
        <v>_</v>
      </c>
      <c r="AE241" s="2" t="s">
        <v>17</v>
      </c>
      <c r="AF241" s="2" t="str">
        <f t="shared" si="217"/>
        <v>_</v>
      </c>
      <c r="AG241" s="2" t="s">
        <v>22</v>
      </c>
      <c r="AH241" s="2" t="str">
        <f t="shared" si="190"/>
        <v>_</v>
      </c>
      <c r="AI241" s="28" t="s">
        <v>21</v>
      </c>
    </row>
    <row r="242" spans="2:35" x14ac:dyDescent="0.25">
      <c r="B242" s="2" t="str">
        <f t="shared" si="218"/>
        <v>@color-service_case_unpaved</v>
      </c>
      <c r="C242" s="140" t="s">
        <v>234</v>
      </c>
      <c r="D242" s="140" t="s">
        <v>234</v>
      </c>
      <c r="F242" s="72" t="s">
        <v>217</v>
      </c>
      <c r="G242" s="72" t="s">
        <v>217</v>
      </c>
      <c r="I242" s="155" t="str">
        <f t="shared" si="219"/>
        <v>"#644507"</v>
      </c>
      <c r="J242" s="155" t="str">
        <f t="shared" si="219"/>
        <v>"#644507"</v>
      </c>
      <c r="U242" s="44"/>
      <c r="V242" s="44"/>
      <c r="X242" s="44"/>
      <c r="Y242" s="44"/>
      <c r="AA242" s="2" t="s">
        <v>6</v>
      </c>
      <c r="AB242" s="2" t="str">
        <f t="shared" si="215"/>
        <v>-</v>
      </c>
      <c r="AC242" s="2" t="s">
        <v>31</v>
      </c>
      <c r="AD242" s="2" t="str">
        <f t="shared" si="216"/>
        <v>_</v>
      </c>
      <c r="AE242" s="2" t="s">
        <v>17</v>
      </c>
      <c r="AF242" s="2" t="str">
        <f t="shared" si="217"/>
        <v>_</v>
      </c>
      <c r="AG242" s="2" t="s">
        <v>22</v>
      </c>
      <c r="AH242" s="2" t="str">
        <f t="shared" si="190"/>
        <v/>
      </c>
      <c r="AI242" s="2"/>
    </row>
    <row r="243" spans="2:35" x14ac:dyDescent="0.25">
      <c r="B243" s="2" t="str">
        <f t="shared" si="218"/>
        <v>@color-service_case_paved_or_uk_farzoom</v>
      </c>
      <c r="C243" s="142" t="s">
        <v>233</v>
      </c>
      <c r="D243" s="72" t="s">
        <v>217</v>
      </c>
      <c r="F243" s="72" t="s">
        <v>217</v>
      </c>
      <c r="G243" s="72" t="s">
        <v>217</v>
      </c>
      <c r="I243" s="161" t="str">
        <f t="shared" si="219"/>
        <v>"#808080"</v>
      </c>
      <c r="J243" s="37" t="str">
        <f t="shared" si="219"/>
        <v>"#000000"</v>
      </c>
      <c r="U243" s="44"/>
      <c r="V243" s="44"/>
      <c r="X243" s="44"/>
      <c r="Y243" s="44"/>
      <c r="AA243" s="2" t="s">
        <v>6</v>
      </c>
      <c r="AB243" s="2" t="str">
        <f t="shared" si="215"/>
        <v>-</v>
      </c>
      <c r="AC243" s="2" t="s">
        <v>31</v>
      </c>
      <c r="AD243" s="2" t="str">
        <f t="shared" si="216"/>
        <v>_</v>
      </c>
      <c r="AE243" s="2" t="s">
        <v>17</v>
      </c>
      <c r="AF243" s="2" t="str">
        <f t="shared" si="217"/>
        <v>_</v>
      </c>
      <c r="AG243" s="2" t="s">
        <v>25</v>
      </c>
      <c r="AH243" s="2" t="str">
        <f t="shared" si="190"/>
        <v>_</v>
      </c>
      <c r="AI243" s="28" t="s">
        <v>21</v>
      </c>
    </row>
    <row r="244" spans="2:35" x14ac:dyDescent="0.25">
      <c r="B244" s="2" t="str">
        <f t="shared" si="218"/>
        <v>@color-service_case_paved_or_uk</v>
      </c>
      <c r="C244" s="143" t="s">
        <v>221</v>
      </c>
      <c r="D244" s="72" t="s">
        <v>217</v>
      </c>
      <c r="F244" s="72" t="s">
        <v>217</v>
      </c>
      <c r="G244" s="72" t="s">
        <v>217</v>
      </c>
      <c r="I244" s="162" t="str">
        <f t="shared" si="219"/>
        <v>"#404040"</v>
      </c>
      <c r="J244" s="37" t="str">
        <f t="shared" si="219"/>
        <v>"#000000"</v>
      </c>
      <c r="Q244" s="7"/>
      <c r="U244" s="44"/>
      <c r="V244" s="44"/>
      <c r="X244" s="44"/>
      <c r="Y244" s="44"/>
      <c r="AA244" s="2" t="s">
        <v>6</v>
      </c>
      <c r="AB244" s="2" t="str">
        <f t="shared" si="215"/>
        <v>-</v>
      </c>
      <c r="AC244" s="2" t="s">
        <v>31</v>
      </c>
      <c r="AD244" s="2" t="str">
        <f t="shared" si="216"/>
        <v>_</v>
      </c>
      <c r="AE244" s="2" t="s">
        <v>17</v>
      </c>
      <c r="AF244" s="2" t="str">
        <f t="shared" si="217"/>
        <v>_</v>
      </c>
      <c r="AG244" s="2" t="s">
        <v>25</v>
      </c>
      <c r="AH244" s="2" t="str">
        <f t="shared" si="190"/>
        <v/>
      </c>
      <c r="AI244" s="2"/>
    </row>
    <row r="245" spans="2:35" x14ac:dyDescent="0.25">
      <c r="B245" s="2" t="str">
        <f t="shared" si="218"/>
        <v>@color-service_line_default</v>
      </c>
      <c r="C245" s="44"/>
      <c r="D245" s="44"/>
      <c r="F245" s="44"/>
      <c r="G245" s="44"/>
      <c r="I245" s="44"/>
      <c r="J245" s="44"/>
      <c r="L245" s="44"/>
      <c r="M245" s="44"/>
      <c r="U245" s="71" t="s">
        <v>227</v>
      </c>
      <c r="V245" s="38" t="str">
        <f>U245</f>
        <v>"#ffffff"</v>
      </c>
      <c r="AA245" s="2" t="s">
        <v>6</v>
      </c>
      <c r="AB245" s="2" t="str">
        <f t="shared" ref="AB245" si="220">IF(NOT(ISBLANK(AC245)),"-","")</f>
        <v>-</v>
      </c>
      <c r="AC245" s="2" t="s">
        <v>31</v>
      </c>
      <c r="AD245" s="2" t="str">
        <f t="shared" ref="AD245" si="221">IF(NOT(ISBLANK(AE245)),"_","")</f>
        <v>_</v>
      </c>
      <c r="AE245" s="2" t="s">
        <v>13</v>
      </c>
      <c r="AF245" s="2" t="str">
        <f t="shared" ref="AF245" si="222">IF(NOT(ISBLANK(AG245)),"_","")</f>
        <v>_</v>
      </c>
      <c r="AG245" s="2" t="s">
        <v>267</v>
      </c>
      <c r="AH245" s="2" t="str">
        <f t="shared" si="190"/>
        <v/>
      </c>
      <c r="AI245" s="2"/>
    </row>
    <row r="246" spans="2:35" x14ac:dyDescent="0.25">
      <c r="B246" s="2" t="str">
        <f t="shared" si="218"/>
        <v>@color-service_line_unpaved</v>
      </c>
      <c r="C246" s="148" t="s">
        <v>226</v>
      </c>
      <c r="D246" s="38" t="str">
        <f t="shared" ref="D246:D247" si="223">C246</f>
        <v>"#eddfca"</v>
      </c>
      <c r="I246" s="149" t="str">
        <f>C246</f>
        <v>"#eddfca"</v>
      </c>
      <c r="J246" s="38" t="str">
        <f t="shared" ref="J246:J247" si="224">C246</f>
        <v>"#eddfca"</v>
      </c>
      <c r="U246" s="44"/>
      <c r="V246" s="44"/>
      <c r="X246" s="44"/>
      <c r="Y246" s="44"/>
      <c r="AA246" s="2" t="s">
        <v>6</v>
      </c>
      <c r="AB246" s="2" t="str">
        <f t="shared" si="215"/>
        <v>-</v>
      </c>
      <c r="AC246" s="2" t="s">
        <v>31</v>
      </c>
      <c r="AD246" s="2" t="str">
        <f t="shared" si="216"/>
        <v>_</v>
      </c>
      <c r="AE246" s="2" t="s">
        <v>13</v>
      </c>
      <c r="AF246" s="2" t="str">
        <f t="shared" si="217"/>
        <v>_</v>
      </c>
      <c r="AG246" s="2" t="s">
        <v>22</v>
      </c>
      <c r="AH246" s="2" t="str">
        <f t="shared" si="190"/>
        <v/>
      </c>
      <c r="AI246" s="2"/>
    </row>
    <row r="247" spans="2:35" x14ac:dyDescent="0.25">
      <c r="B247" s="2" t="str">
        <f t="shared" si="218"/>
        <v>@color-service_line_paved_or_uk</v>
      </c>
      <c r="C247" s="71" t="s">
        <v>227</v>
      </c>
      <c r="D247" s="38" t="str">
        <f t="shared" si="223"/>
        <v>"#ffffff"</v>
      </c>
      <c r="I247" s="38" t="str">
        <f>C247</f>
        <v>"#ffffff"</v>
      </c>
      <c r="J247" s="38" t="str">
        <f t="shared" si="224"/>
        <v>"#ffffff"</v>
      </c>
      <c r="U247" s="44"/>
      <c r="V247" s="44"/>
      <c r="X247" s="44"/>
      <c r="Y247" s="44"/>
      <c r="AA247" s="2" t="s">
        <v>6</v>
      </c>
      <c r="AB247" s="2" t="str">
        <f t="shared" si="215"/>
        <v>-</v>
      </c>
      <c r="AC247" s="2" t="s">
        <v>31</v>
      </c>
      <c r="AD247" s="2" t="str">
        <f t="shared" si="216"/>
        <v>_</v>
      </c>
      <c r="AE247" s="2" t="s">
        <v>13</v>
      </c>
      <c r="AF247" s="2" t="str">
        <f t="shared" si="217"/>
        <v>_</v>
      </c>
      <c r="AG247" s="2" t="s">
        <v>25</v>
      </c>
      <c r="AH247" s="2" t="str">
        <f t="shared" si="190"/>
        <v/>
      </c>
      <c r="AI247" s="2"/>
    </row>
    <row r="248" spans="2:35" x14ac:dyDescent="0.25">
      <c r="B248" s="2"/>
      <c r="AB248" s="28" t="str">
        <f t="shared" si="172"/>
        <v/>
      </c>
      <c r="AD248" s="28" t="str">
        <f t="shared" si="179"/>
        <v/>
      </c>
      <c r="AF248" s="28" t="str">
        <f t="shared" si="180"/>
        <v/>
      </c>
      <c r="AH248" s="28" t="str">
        <f t="shared" si="190"/>
        <v/>
      </c>
    </row>
    <row r="249" spans="2:35" x14ac:dyDescent="0.25">
      <c r="B249" s="2" t="str">
        <f t="shared" ref="B249:B255" si="225">_xlfn.CONCAT("@",AA249,AB249,AC249,AD249,AE249,AF249,AG249,AH249,AI249)</f>
        <v>@color-minor_case_unpaved_farzoom</v>
      </c>
      <c r="C249" s="139" t="s">
        <v>232</v>
      </c>
      <c r="D249" s="140" t="s">
        <v>234</v>
      </c>
      <c r="F249" s="140" t="s">
        <v>234</v>
      </c>
      <c r="G249" s="139" t="s">
        <v>232</v>
      </c>
      <c r="I249" s="160" t="str">
        <f t="shared" ref="I249:J252" si="226">C249</f>
        <v>"#b99346"</v>
      </c>
      <c r="J249" s="155" t="str">
        <f t="shared" si="226"/>
        <v>"#644507"</v>
      </c>
      <c r="U249" s="44"/>
      <c r="V249" s="44"/>
      <c r="X249" s="44"/>
      <c r="Y249" s="44"/>
      <c r="AA249" s="2" t="s">
        <v>6</v>
      </c>
      <c r="AB249" s="2" t="str">
        <f t="shared" ref="AB249" si="227">IF(NOT(ISBLANK(AC249)),"-","")</f>
        <v>-</v>
      </c>
      <c r="AC249" s="2" t="s">
        <v>32</v>
      </c>
      <c r="AD249" s="2" t="str">
        <f t="shared" ref="AD249" si="228">IF(NOT(ISBLANK(AE249)),"_","")</f>
        <v>_</v>
      </c>
      <c r="AE249" s="2" t="s">
        <v>17</v>
      </c>
      <c r="AF249" s="2" t="str">
        <f t="shared" ref="AF249" si="229">IF(NOT(ISBLANK(AG249)),"_","")</f>
        <v>_</v>
      </c>
      <c r="AG249" s="2" t="s">
        <v>22</v>
      </c>
      <c r="AH249" s="2" t="str">
        <f t="shared" si="190"/>
        <v>_</v>
      </c>
      <c r="AI249" s="28" t="s">
        <v>21</v>
      </c>
    </row>
    <row r="250" spans="2:35" x14ac:dyDescent="0.25">
      <c r="B250" s="2" t="str">
        <f t="shared" si="225"/>
        <v>@color-minor_case_unpaved_default</v>
      </c>
      <c r="C250" s="140" t="s">
        <v>234</v>
      </c>
      <c r="D250" s="140" t="s">
        <v>234</v>
      </c>
      <c r="F250" s="72" t="s">
        <v>217</v>
      </c>
      <c r="G250" s="72" t="s">
        <v>217</v>
      </c>
      <c r="I250" s="155" t="str">
        <f t="shared" si="226"/>
        <v>"#644507"</v>
      </c>
      <c r="J250" s="155" t="str">
        <f t="shared" si="226"/>
        <v>"#644507"</v>
      </c>
      <c r="U250" s="44"/>
      <c r="V250" s="44"/>
      <c r="X250" s="44"/>
      <c r="Y250" s="44"/>
      <c r="AA250" s="2" t="s">
        <v>6</v>
      </c>
      <c r="AB250" s="2" t="str">
        <f t="shared" si="172"/>
        <v>-</v>
      </c>
      <c r="AC250" s="2" t="s">
        <v>32</v>
      </c>
      <c r="AD250" s="2" t="str">
        <f t="shared" si="179"/>
        <v>_</v>
      </c>
      <c r="AE250" s="2" t="s">
        <v>17</v>
      </c>
      <c r="AF250" s="2" t="str">
        <f t="shared" si="180"/>
        <v>_</v>
      </c>
      <c r="AG250" s="2" t="s">
        <v>22</v>
      </c>
      <c r="AH250" s="2" t="str">
        <f t="shared" si="190"/>
        <v>_</v>
      </c>
      <c r="AI250" s="28" t="s">
        <v>267</v>
      </c>
    </row>
    <row r="251" spans="2:35" x14ac:dyDescent="0.25">
      <c r="B251" s="2" t="str">
        <f t="shared" si="225"/>
        <v>@color-minor_case_paved_or_uk_farzoom</v>
      </c>
      <c r="C251" s="142" t="s">
        <v>233</v>
      </c>
      <c r="D251" s="72" t="s">
        <v>217</v>
      </c>
      <c r="F251" s="142" t="s">
        <v>233</v>
      </c>
      <c r="G251" s="142" t="s">
        <v>233</v>
      </c>
      <c r="I251" s="161" t="str">
        <f t="shared" si="226"/>
        <v>"#808080"</v>
      </c>
      <c r="J251" s="37" t="str">
        <f t="shared" si="226"/>
        <v>"#000000"</v>
      </c>
      <c r="U251" s="44"/>
      <c r="V251" s="44"/>
      <c r="X251" s="44"/>
      <c r="Y251" s="44"/>
      <c r="AA251" s="2" t="s">
        <v>6</v>
      </c>
      <c r="AB251" s="2" t="str">
        <f t="shared" ref="AB251" si="230">IF(NOT(ISBLANK(AC251)),"-","")</f>
        <v>-</v>
      </c>
      <c r="AC251" s="2" t="s">
        <v>32</v>
      </c>
      <c r="AD251" s="2" t="str">
        <f t="shared" ref="AD251" si="231">IF(NOT(ISBLANK(AE251)),"_","")</f>
        <v>_</v>
      </c>
      <c r="AE251" s="2" t="s">
        <v>17</v>
      </c>
      <c r="AF251" s="2" t="str">
        <f t="shared" ref="AF251" si="232">IF(NOT(ISBLANK(AG251)),"_","")</f>
        <v>_</v>
      </c>
      <c r="AG251" s="2" t="s">
        <v>25</v>
      </c>
      <c r="AH251" s="2" t="str">
        <f t="shared" si="190"/>
        <v>_</v>
      </c>
      <c r="AI251" s="28" t="s">
        <v>21</v>
      </c>
    </row>
    <row r="252" spans="2:35" x14ac:dyDescent="0.25">
      <c r="B252" s="2" t="str">
        <f t="shared" si="225"/>
        <v>@color-minor_case_paved_or_uk_default</v>
      </c>
      <c r="C252" s="143" t="s">
        <v>221</v>
      </c>
      <c r="D252" s="72" t="s">
        <v>217</v>
      </c>
      <c r="F252" s="72" t="s">
        <v>217</v>
      </c>
      <c r="G252" s="72" t="s">
        <v>217</v>
      </c>
      <c r="I252" s="162" t="str">
        <f t="shared" si="226"/>
        <v>"#404040"</v>
      </c>
      <c r="J252" s="37" t="str">
        <f t="shared" si="226"/>
        <v>"#000000"</v>
      </c>
      <c r="U252" s="44"/>
      <c r="V252" s="44"/>
      <c r="X252" s="44"/>
      <c r="Y252" s="44"/>
      <c r="AA252" s="2" t="s">
        <v>6</v>
      </c>
      <c r="AB252" s="2" t="str">
        <f t="shared" si="172"/>
        <v>-</v>
      </c>
      <c r="AC252" s="2" t="s">
        <v>32</v>
      </c>
      <c r="AD252" s="2" t="str">
        <f t="shared" si="179"/>
        <v>_</v>
      </c>
      <c r="AE252" s="2" t="s">
        <v>17</v>
      </c>
      <c r="AF252" s="2" t="str">
        <f t="shared" si="180"/>
        <v>_</v>
      </c>
      <c r="AG252" s="2" t="s">
        <v>25</v>
      </c>
      <c r="AH252" s="2" t="str">
        <f t="shared" si="190"/>
        <v>_</v>
      </c>
      <c r="AI252" s="28" t="s">
        <v>267</v>
      </c>
    </row>
    <row r="253" spans="2:35" x14ac:dyDescent="0.25">
      <c r="B253" s="2" t="str">
        <f t="shared" si="225"/>
        <v>@color-minor_line_default</v>
      </c>
      <c r="C253" s="44"/>
      <c r="D253" s="44"/>
      <c r="F253" s="44"/>
      <c r="G253" s="44"/>
      <c r="I253" s="44"/>
      <c r="J253" s="44"/>
      <c r="L253" s="44"/>
      <c r="M253" s="44"/>
      <c r="U253" s="71" t="s">
        <v>227</v>
      </c>
      <c r="V253" s="38" t="str">
        <f>U253</f>
        <v>"#ffffff"</v>
      </c>
      <c r="AA253" s="2" t="s">
        <v>6</v>
      </c>
      <c r="AB253" s="2" t="str">
        <f t="shared" ref="AB253" si="233">IF(NOT(ISBLANK(AC253)),"-","")</f>
        <v>-</v>
      </c>
      <c r="AC253" s="2" t="s">
        <v>32</v>
      </c>
      <c r="AD253" s="2" t="str">
        <f t="shared" ref="AD253" si="234">IF(NOT(ISBLANK(AE253)),"_","")</f>
        <v>_</v>
      </c>
      <c r="AE253" s="2" t="s">
        <v>13</v>
      </c>
      <c r="AF253" s="2" t="str">
        <f t="shared" ref="AF253" si="235">IF(NOT(ISBLANK(AG253)),"_","")</f>
        <v>_</v>
      </c>
      <c r="AG253" s="2" t="s">
        <v>267</v>
      </c>
      <c r="AH253" s="2" t="str">
        <f t="shared" si="190"/>
        <v/>
      </c>
      <c r="AI253" s="2"/>
    </row>
    <row r="254" spans="2:35" x14ac:dyDescent="0.25">
      <c r="B254" s="2" t="str">
        <f t="shared" si="225"/>
        <v>@color-minor_line_unpaved</v>
      </c>
      <c r="C254" s="148" t="s">
        <v>226</v>
      </c>
      <c r="D254" s="38" t="str">
        <f t="shared" ref="D254:D255" si="236">C254</f>
        <v>"#eddfca"</v>
      </c>
      <c r="I254" s="149" t="str">
        <f>C254</f>
        <v>"#eddfca"</v>
      </c>
      <c r="J254" s="38" t="str">
        <f t="shared" ref="J254:J255" si="237">C254</f>
        <v>"#eddfca"</v>
      </c>
      <c r="U254" s="44"/>
      <c r="V254" s="44"/>
      <c r="X254" s="44"/>
      <c r="Y254" s="44"/>
      <c r="AA254" s="2" t="s">
        <v>6</v>
      </c>
      <c r="AB254" s="2" t="str">
        <f t="shared" si="172"/>
        <v>-</v>
      </c>
      <c r="AC254" s="2" t="s">
        <v>32</v>
      </c>
      <c r="AD254" s="2" t="str">
        <f t="shared" si="179"/>
        <v>_</v>
      </c>
      <c r="AE254" s="2" t="s">
        <v>13</v>
      </c>
      <c r="AF254" s="2" t="str">
        <f t="shared" si="180"/>
        <v>_</v>
      </c>
      <c r="AG254" s="2" t="s">
        <v>22</v>
      </c>
      <c r="AH254" s="2" t="str">
        <f t="shared" si="190"/>
        <v/>
      </c>
      <c r="AI254" s="2"/>
    </row>
    <row r="255" spans="2:35" x14ac:dyDescent="0.25">
      <c r="B255" s="2" t="str">
        <f t="shared" si="225"/>
        <v>@color-minor_line_paved_or_uk</v>
      </c>
      <c r="C255" s="71" t="s">
        <v>227</v>
      </c>
      <c r="D255" s="38" t="str">
        <f t="shared" si="236"/>
        <v>"#ffffff"</v>
      </c>
      <c r="I255" s="38" t="str">
        <f>C255</f>
        <v>"#ffffff"</v>
      </c>
      <c r="J255" s="38" t="str">
        <f t="shared" si="237"/>
        <v>"#ffffff"</v>
      </c>
      <c r="U255" s="44"/>
      <c r="V255" s="44"/>
      <c r="X255" s="44"/>
      <c r="Y255" s="44"/>
      <c r="AA255" s="2" t="s">
        <v>6</v>
      </c>
      <c r="AB255" s="2" t="str">
        <f t="shared" si="172"/>
        <v>-</v>
      </c>
      <c r="AC255" s="2" t="s">
        <v>32</v>
      </c>
      <c r="AD255" s="2" t="str">
        <f t="shared" si="179"/>
        <v>_</v>
      </c>
      <c r="AE255" s="2" t="s">
        <v>13</v>
      </c>
      <c r="AF255" s="2" t="str">
        <f t="shared" si="180"/>
        <v>_</v>
      </c>
      <c r="AG255" s="2" t="s">
        <v>25</v>
      </c>
      <c r="AH255" s="2" t="str">
        <f t="shared" si="190"/>
        <v/>
      </c>
      <c r="AI255" s="2"/>
    </row>
    <row r="256" spans="2:35" x14ac:dyDescent="0.25">
      <c r="B256" s="2"/>
      <c r="AB256" s="28" t="str">
        <f t="shared" si="172"/>
        <v/>
      </c>
      <c r="AD256" s="28" t="str">
        <f t="shared" si="179"/>
        <v/>
      </c>
      <c r="AF256" s="28" t="str">
        <f t="shared" si="180"/>
        <v/>
      </c>
      <c r="AH256" s="28" t="str">
        <f t="shared" si="190"/>
        <v/>
      </c>
    </row>
    <row r="257" spans="1:35" s="2" customFormat="1" x14ac:dyDescent="0.25">
      <c r="A257" s="3" t="s">
        <v>229</v>
      </c>
      <c r="B257" s="3"/>
      <c r="C257" s="27"/>
      <c r="D257" s="6"/>
      <c r="E257" s="7"/>
      <c r="F257" s="6"/>
      <c r="G257" s="6"/>
      <c r="H257" s="7"/>
      <c r="I257" s="6"/>
      <c r="J257" s="6"/>
      <c r="K257" s="7"/>
      <c r="L257" s="6"/>
      <c r="M257" s="6"/>
      <c r="N257" s="7"/>
      <c r="O257" s="6"/>
      <c r="P257" s="6"/>
      <c r="Q257" s="7"/>
      <c r="R257" s="6"/>
      <c r="S257" s="6"/>
      <c r="T257" s="7"/>
      <c r="U257" s="6"/>
      <c r="V257" s="6"/>
      <c r="W257" s="7"/>
      <c r="X257" s="6"/>
      <c r="Y257" s="6"/>
      <c r="AA257" s="4"/>
      <c r="AB257" s="4" t="str">
        <f t="shared" si="172"/>
        <v/>
      </c>
      <c r="AC257" s="4"/>
      <c r="AD257" s="4" t="str">
        <f t="shared" si="179"/>
        <v/>
      </c>
      <c r="AE257" s="4"/>
      <c r="AF257" s="4" t="str">
        <f t="shared" si="180"/>
        <v/>
      </c>
      <c r="AG257" s="4"/>
      <c r="AH257" s="4" t="str">
        <f t="shared" si="190"/>
        <v/>
      </c>
      <c r="AI257" s="4"/>
    </row>
    <row r="258" spans="1:35" x14ac:dyDescent="0.25">
      <c r="B258" s="2" t="str">
        <f t="shared" ref="B258:B282" si="238">_xlfn.CONCAT("@",AA258,AB258,AC258,AD258,AE258,AF258,AG258,AH258,AI258)</f>
        <v>@color-motorway_link_line</v>
      </c>
      <c r="C258" s="135" t="s">
        <v>216</v>
      </c>
      <c r="D258" s="136" t="s">
        <v>218</v>
      </c>
      <c r="AA258" s="2" t="s">
        <v>6</v>
      </c>
      <c r="AB258" s="2" t="str">
        <f t="shared" si="172"/>
        <v>-</v>
      </c>
      <c r="AC258" s="2" t="s">
        <v>34</v>
      </c>
      <c r="AD258" s="2" t="str">
        <f t="shared" si="179"/>
        <v>_</v>
      </c>
      <c r="AE258" s="2" t="s">
        <v>13</v>
      </c>
      <c r="AF258" s="2" t="str">
        <f t="shared" si="180"/>
        <v/>
      </c>
      <c r="AG258" s="2"/>
      <c r="AH258" s="2" t="str">
        <f t="shared" si="190"/>
        <v/>
      </c>
      <c r="AI258" s="2"/>
    </row>
    <row r="259" spans="1:35" x14ac:dyDescent="0.25">
      <c r="B259" s="2" t="str">
        <f t="shared" si="238"/>
        <v>@color-motorway_link_case</v>
      </c>
      <c r="C259" s="132" t="s">
        <v>215</v>
      </c>
      <c r="D259" s="163" t="s">
        <v>18</v>
      </c>
      <c r="F259" s="72" t="s">
        <v>217</v>
      </c>
      <c r="G259" s="72" t="s">
        <v>217</v>
      </c>
      <c r="AA259" s="2" t="s">
        <v>6</v>
      </c>
      <c r="AB259" s="2" t="str">
        <f t="shared" si="172"/>
        <v>-</v>
      </c>
      <c r="AC259" s="2" t="s">
        <v>34</v>
      </c>
      <c r="AD259" s="2" t="str">
        <f t="shared" si="179"/>
        <v>_</v>
      </c>
      <c r="AE259" s="2" t="s">
        <v>17</v>
      </c>
      <c r="AF259" s="2" t="str">
        <f t="shared" si="180"/>
        <v/>
      </c>
      <c r="AG259" s="2"/>
      <c r="AH259" s="2" t="str">
        <f t="shared" si="190"/>
        <v/>
      </c>
      <c r="AI259" s="2"/>
    </row>
    <row r="260" spans="1:35" x14ac:dyDescent="0.25">
      <c r="B260" s="2" t="str">
        <f t="shared" si="238"/>
        <v>@color-trunk_primary_secondary_tertiary_link_line</v>
      </c>
      <c r="C260" s="146" t="s">
        <v>222</v>
      </c>
      <c r="D260" s="136" t="s">
        <v>218</v>
      </c>
      <c r="AA260" s="2" t="s">
        <v>6</v>
      </c>
      <c r="AB260" s="2" t="str">
        <f t="shared" si="172"/>
        <v>-</v>
      </c>
      <c r="AC260" s="2" t="s">
        <v>33</v>
      </c>
      <c r="AD260" s="2" t="str">
        <f t="shared" si="179"/>
        <v>_</v>
      </c>
      <c r="AE260" s="2" t="s">
        <v>13</v>
      </c>
      <c r="AF260" s="2" t="str">
        <f t="shared" si="180"/>
        <v/>
      </c>
      <c r="AG260" s="2"/>
      <c r="AH260" s="2" t="str">
        <f t="shared" si="190"/>
        <v/>
      </c>
      <c r="AI260" s="2"/>
    </row>
    <row r="261" spans="1:35" x14ac:dyDescent="0.25">
      <c r="B261" s="2" t="str">
        <f t="shared" si="238"/>
        <v>@color-trunk_primary_secondary_tertiary_link_line_bicycle_no</v>
      </c>
      <c r="C261" s="135" t="s">
        <v>216</v>
      </c>
      <c r="D261" s="147" t="s">
        <v>223</v>
      </c>
      <c r="AA261" s="2" t="s">
        <v>6</v>
      </c>
      <c r="AB261" s="2" t="str">
        <f t="shared" si="172"/>
        <v>-</v>
      </c>
      <c r="AC261" s="2" t="s">
        <v>33</v>
      </c>
      <c r="AD261" s="2" t="str">
        <f t="shared" si="179"/>
        <v>_</v>
      </c>
      <c r="AE261" s="2" t="s">
        <v>13</v>
      </c>
      <c r="AF261" s="2" t="str">
        <f t="shared" si="180"/>
        <v>_</v>
      </c>
      <c r="AG261" s="2" t="s">
        <v>24</v>
      </c>
      <c r="AH261" s="2" t="str">
        <f t="shared" si="190"/>
        <v/>
      </c>
      <c r="AI261" s="2"/>
    </row>
    <row r="262" spans="1:35" x14ac:dyDescent="0.25">
      <c r="B262" s="2" t="str">
        <f t="shared" si="238"/>
        <v>@color-trunk_primary_secondary_tertiary_link_line_unpaved</v>
      </c>
      <c r="I262" s="149" t="s">
        <v>226</v>
      </c>
      <c r="AA262" s="2" t="s">
        <v>6</v>
      </c>
      <c r="AB262" s="2" t="str">
        <f t="shared" si="172"/>
        <v>-</v>
      </c>
      <c r="AC262" s="2" t="s">
        <v>33</v>
      </c>
      <c r="AD262" s="2" t="str">
        <f t="shared" si="179"/>
        <v>_</v>
      </c>
      <c r="AE262" s="2" t="s">
        <v>13</v>
      </c>
      <c r="AF262" s="2" t="str">
        <f t="shared" si="180"/>
        <v>_</v>
      </c>
      <c r="AG262" s="2" t="s">
        <v>22</v>
      </c>
      <c r="AH262" s="2" t="str">
        <f t="shared" si="190"/>
        <v/>
      </c>
      <c r="AI262" s="2"/>
    </row>
    <row r="263" spans="1:35" x14ac:dyDescent="0.25">
      <c r="B263" s="2" t="str">
        <f t="shared" si="238"/>
        <v>@color-trunk_primary_secondary_tertiary_link_line_paved_or_uk</v>
      </c>
      <c r="I263" s="38" t="s">
        <v>227</v>
      </c>
      <c r="AA263" s="2" t="s">
        <v>6</v>
      </c>
      <c r="AB263" s="2" t="str">
        <f t="shared" si="172"/>
        <v>-</v>
      </c>
      <c r="AC263" s="2" t="s">
        <v>33</v>
      </c>
      <c r="AD263" s="2" t="str">
        <f t="shared" si="179"/>
        <v>_</v>
      </c>
      <c r="AE263" s="2" t="s">
        <v>13</v>
      </c>
      <c r="AF263" s="2" t="str">
        <f t="shared" si="180"/>
        <v>_</v>
      </c>
      <c r="AG263" s="2" t="s">
        <v>25</v>
      </c>
      <c r="AH263" s="2" t="str">
        <f t="shared" si="190"/>
        <v/>
      </c>
      <c r="AI263" s="2"/>
    </row>
    <row r="264" spans="1:35" x14ac:dyDescent="0.25">
      <c r="B264" s="2" t="str">
        <f t="shared" si="238"/>
        <v>@</v>
      </c>
    </row>
    <row r="265" spans="1:35" x14ac:dyDescent="0.25">
      <c r="B265" s="2" t="str">
        <f t="shared" si="238"/>
        <v>@</v>
      </c>
    </row>
    <row r="266" spans="1:35" x14ac:dyDescent="0.25">
      <c r="B266" s="2" t="str">
        <f t="shared" si="238"/>
        <v>@</v>
      </c>
    </row>
    <row r="267" spans="1:35" x14ac:dyDescent="0.25">
      <c r="B267" s="2" t="str">
        <f t="shared" si="238"/>
        <v>@</v>
      </c>
    </row>
    <row r="268" spans="1:35" x14ac:dyDescent="0.25">
      <c r="B268" s="2" t="str">
        <f t="shared" si="238"/>
        <v>@</v>
      </c>
    </row>
    <row r="269" spans="1:35" x14ac:dyDescent="0.25">
      <c r="B269" s="2" t="str">
        <f t="shared" si="238"/>
        <v>@</v>
      </c>
    </row>
    <row r="270" spans="1:35" x14ac:dyDescent="0.25">
      <c r="B270" s="2" t="str">
        <f t="shared" si="238"/>
        <v>@</v>
      </c>
    </row>
    <row r="271" spans="1:35" x14ac:dyDescent="0.25">
      <c r="B271" s="2" t="str">
        <f t="shared" si="238"/>
        <v>@</v>
      </c>
    </row>
    <row r="272" spans="1:35" x14ac:dyDescent="0.25">
      <c r="B272" s="2" t="str">
        <f t="shared" si="238"/>
        <v>@</v>
      </c>
    </row>
    <row r="273" spans="2:2" x14ac:dyDescent="0.25">
      <c r="B273" s="2" t="str">
        <f t="shared" si="238"/>
        <v>@</v>
      </c>
    </row>
    <row r="274" spans="2:2" x14ac:dyDescent="0.25">
      <c r="B274" s="2" t="str">
        <f t="shared" si="238"/>
        <v>@</v>
      </c>
    </row>
    <row r="275" spans="2:2" x14ac:dyDescent="0.25">
      <c r="B275" s="2" t="str">
        <f t="shared" si="238"/>
        <v>@</v>
      </c>
    </row>
    <row r="276" spans="2:2" x14ac:dyDescent="0.25">
      <c r="B276" s="2" t="str">
        <f t="shared" si="238"/>
        <v>@</v>
      </c>
    </row>
    <row r="277" spans="2:2" x14ac:dyDescent="0.25">
      <c r="B277" s="2" t="str">
        <f t="shared" si="238"/>
        <v>@</v>
      </c>
    </row>
    <row r="278" spans="2:2" x14ac:dyDescent="0.25">
      <c r="B278" s="2" t="str">
        <f t="shared" si="238"/>
        <v>@</v>
      </c>
    </row>
    <row r="279" spans="2:2" x14ac:dyDescent="0.25">
      <c r="B279" s="2" t="str">
        <f t="shared" si="238"/>
        <v>@</v>
      </c>
    </row>
    <row r="280" spans="2:2" x14ac:dyDescent="0.25">
      <c r="B280" s="2" t="str">
        <f t="shared" si="238"/>
        <v>@</v>
      </c>
    </row>
    <row r="281" spans="2:2" x14ac:dyDescent="0.25">
      <c r="B281" s="2" t="str">
        <f t="shared" si="238"/>
        <v>@</v>
      </c>
    </row>
    <row r="282" spans="2:2" x14ac:dyDescent="0.25">
      <c r="B282" s="2" t="str">
        <f t="shared" si="238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69:C70 C71:C84 M69:Y69 M70:Y70 M71:Y71 M73:Y73 M74:Y74 M75:Y75 M77:Y77 M78:Y78 M79:Y79 M81:Y81 M82:Y82 M83:Y83 D69:L84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143</v>
      </c>
    </row>
    <row r="3" spans="1:29" x14ac:dyDescent="0.25">
      <c r="B3" s="9" t="s">
        <v>107</v>
      </c>
      <c r="C3" s="1"/>
      <c r="D3" s="5"/>
      <c r="E3" s="8" t="s">
        <v>108</v>
      </c>
      <c r="F3" s="1"/>
      <c r="G3" s="10"/>
      <c r="H3" s="9" t="s">
        <v>23</v>
      </c>
      <c r="I3" s="1"/>
      <c r="J3" s="5"/>
      <c r="K3" s="8" t="s">
        <v>109</v>
      </c>
      <c r="L3" s="1"/>
      <c r="M3" s="10"/>
      <c r="N3" s="9" t="s">
        <v>110</v>
      </c>
      <c r="O3" s="1"/>
      <c r="P3" s="5"/>
      <c r="Q3" s="8" t="s">
        <v>111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76</v>
      </c>
      <c r="AB4" s="1"/>
      <c r="AC4" s="1" t="s">
        <v>72</v>
      </c>
    </row>
    <row r="5" spans="1:29" x14ac:dyDescent="0.25">
      <c r="A5" s="3" t="s">
        <v>120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83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88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98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98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81</v>
      </c>
      <c r="V6" s="2" t="str">
        <f t="shared" ref="V6:V20" si="2">IF(NOT(ISBLANK(W6)),"-","")</f>
        <v>-</v>
      </c>
      <c r="W6" s="1" t="s">
        <v>74</v>
      </c>
      <c r="X6" s="2" t="str">
        <f>IF(NOT(ISBLANK(Y6)),"_","")</f>
        <v>_</v>
      </c>
      <c r="Y6" s="1" t="s">
        <v>75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73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113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115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118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125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81</v>
      </c>
      <c r="V7" s="2" t="str">
        <f t="shared" si="2"/>
        <v>-</v>
      </c>
      <c r="W7" s="1" t="s">
        <v>74</v>
      </c>
      <c r="X7" s="2" t="str">
        <f t="shared" ref="X7:X19" si="15">IF(NOT(ISBLANK(Y7)),"_","")</f>
        <v>_</v>
      </c>
      <c r="Y7" s="1" t="s">
        <v>75</v>
      </c>
      <c r="Z7" s="2" t="str">
        <f t="shared" si="3"/>
        <v/>
      </c>
      <c r="AB7" s="2" t="str">
        <f t="shared" si="4"/>
        <v>-</v>
      </c>
      <c r="AC7" s="1" t="s">
        <v>112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84</v>
      </c>
      <c r="E8" s="15" t="str">
        <f t="shared" si="7"/>
        <v>@case_width-path_narrow-z14-(mtb-hc)</v>
      </c>
      <c r="F8" s="7" t="str">
        <f t="shared" si="0"/>
        <v>2.5</v>
      </c>
      <c r="G8" s="10" t="s">
        <v>93</v>
      </c>
      <c r="H8" s="14" t="str">
        <f t="shared" si="8"/>
        <v>@case_width-path_narrow-z14-(gr)</v>
      </c>
      <c r="I8" s="7" t="str">
        <f t="shared" si="9"/>
        <v>1.0</v>
      </c>
      <c r="J8" s="5" t="s">
        <v>83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83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81</v>
      </c>
      <c r="V8" s="2" t="str">
        <f t="shared" si="2"/>
        <v>-</v>
      </c>
      <c r="W8" s="1" t="s">
        <v>74</v>
      </c>
      <c r="X8" s="2" t="str">
        <f t="shared" si="15"/>
        <v>_</v>
      </c>
      <c r="Y8" s="1" t="s">
        <v>75</v>
      </c>
      <c r="Z8" s="2" t="str">
        <f t="shared" si="3"/>
        <v/>
      </c>
      <c r="AB8" s="2" t="str">
        <f t="shared" si="4"/>
        <v>-</v>
      </c>
      <c r="AC8" s="1" t="s">
        <v>77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85</v>
      </c>
      <c r="E9" s="15" t="str">
        <f t="shared" si="7"/>
        <v>@case_width-path_narrow-z16-(mtb-hc)</v>
      </c>
      <c r="F9" s="7" t="str">
        <f t="shared" si="0"/>
        <v>3.0</v>
      </c>
      <c r="G9" s="10" t="s">
        <v>91</v>
      </c>
      <c r="H9" s="14" t="str">
        <f t="shared" si="8"/>
        <v>@case_width-path_narrow-z16-(gr)</v>
      </c>
      <c r="I9" s="7" t="str">
        <f t="shared" si="9"/>
        <v>1.0</v>
      </c>
      <c r="J9" s="5" t="s">
        <v>83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126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81</v>
      </c>
      <c r="V9" s="2" t="str">
        <f t="shared" si="2"/>
        <v>-</v>
      </c>
      <c r="W9" s="1" t="s">
        <v>74</v>
      </c>
      <c r="X9" s="2" t="str">
        <f t="shared" si="15"/>
        <v>_</v>
      </c>
      <c r="Y9" s="1" t="s">
        <v>75</v>
      </c>
      <c r="Z9" s="2" t="str">
        <f t="shared" si="3"/>
        <v/>
      </c>
      <c r="AB9" s="2" t="str">
        <f t="shared" si="4"/>
        <v>-</v>
      </c>
      <c r="AC9" s="1" t="s">
        <v>78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86</v>
      </c>
      <c r="E10" s="15" t="str">
        <f t="shared" si="7"/>
        <v>@case_width-path_narrow-z18-(mtb-hc)</v>
      </c>
      <c r="F10" s="7" t="str">
        <f t="shared" si="0"/>
        <v>7.5</v>
      </c>
      <c r="G10" s="10" t="s">
        <v>94</v>
      </c>
      <c r="H10" s="14" t="str">
        <f t="shared" si="8"/>
        <v>@case_width-path_narrow-z18-(gr)</v>
      </c>
      <c r="I10" s="7" t="str">
        <f t="shared" si="9"/>
        <v>1.5</v>
      </c>
      <c r="J10" s="5" t="s">
        <v>87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102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81</v>
      </c>
      <c r="V10" s="2" t="str">
        <f t="shared" si="2"/>
        <v>-</v>
      </c>
      <c r="W10" s="1" t="s">
        <v>74</v>
      </c>
      <c r="X10" s="2" t="str">
        <f t="shared" si="15"/>
        <v>_</v>
      </c>
      <c r="Y10" s="1" t="s">
        <v>75</v>
      </c>
      <c r="Z10" s="2" t="str">
        <f t="shared" si="3"/>
        <v/>
      </c>
      <c r="AB10" s="2" t="str">
        <f t="shared" si="4"/>
        <v>-</v>
      </c>
      <c r="AC10" s="1" t="s">
        <v>79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87</v>
      </c>
      <c r="E11" s="15" t="str">
        <f t="shared" si="7"/>
        <v>@case_width-path_medium-z11-(mtb-hc)</v>
      </c>
      <c r="F11" s="7" t="str">
        <f t="shared" si="0"/>
        <v>3.0</v>
      </c>
      <c r="G11" s="10" t="s">
        <v>91</v>
      </c>
      <c r="H11" s="14" t="str">
        <f t="shared" si="8"/>
        <v>@case_width-path_medium-z11-(gr)</v>
      </c>
      <c r="I11" s="7" t="str">
        <f t="shared" si="9"/>
        <v>0.8</v>
      </c>
      <c r="J11" s="5" t="s">
        <v>99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98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81</v>
      </c>
      <c r="V11" s="2" t="str">
        <f t="shared" si="2"/>
        <v>-</v>
      </c>
      <c r="W11" s="1" t="s">
        <v>74</v>
      </c>
      <c r="X11" s="2" t="str">
        <f t="shared" si="15"/>
        <v>_</v>
      </c>
      <c r="Y11" s="1" t="s">
        <v>82</v>
      </c>
      <c r="Z11" s="2" t="str">
        <f t="shared" si="3"/>
        <v/>
      </c>
      <c r="AB11" s="2" t="str">
        <f t="shared" si="4"/>
        <v>-</v>
      </c>
      <c r="AC11" s="1" t="s">
        <v>73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114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117</v>
      </c>
      <c r="H12" s="14" t="str">
        <f t="shared" si="8"/>
        <v>@case_width-path_medium-z12-(gr)</v>
      </c>
      <c r="I12" s="7" t="str">
        <f t="shared" si="9"/>
        <v>0.9</v>
      </c>
      <c r="J12" s="5" t="s">
        <v>119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125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81</v>
      </c>
      <c r="V12" s="2" t="str">
        <f t="shared" si="2"/>
        <v>-</v>
      </c>
      <c r="W12" s="1" t="s">
        <v>74</v>
      </c>
      <c r="X12" s="2" t="str">
        <f t="shared" si="15"/>
        <v>_</v>
      </c>
      <c r="Y12" s="1" t="s">
        <v>82</v>
      </c>
      <c r="Z12" s="2" t="str">
        <f t="shared" si="3"/>
        <v/>
      </c>
      <c r="AB12" s="2" t="str">
        <f t="shared" si="4"/>
        <v>-</v>
      </c>
      <c r="AC12" s="1" t="s">
        <v>112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88</v>
      </c>
      <c r="E13" s="15" t="str">
        <f t="shared" si="7"/>
        <v>@case_width-path_medium-z14-(mtb-hc)</v>
      </c>
      <c r="F13" s="7" t="str">
        <f t="shared" si="0"/>
        <v>4.0</v>
      </c>
      <c r="G13" s="10" t="s">
        <v>95</v>
      </c>
      <c r="H13" s="14" t="str">
        <f t="shared" si="8"/>
        <v>@case_width-path_medium-z14-(gr)</v>
      </c>
      <c r="I13" s="7" t="str">
        <f t="shared" si="9"/>
        <v>1.2</v>
      </c>
      <c r="J13" s="5" t="s">
        <v>100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83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81</v>
      </c>
      <c r="V13" s="2" t="str">
        <f t="shared" si="2"/>
        <v>-</v>
      </c>
      <c r="W13" s="1" t="s">
        <v>74</v>
      </c>
      <c r="X13" s="2" t="str">
        <f t="shared" si="15"/>
        <v>_</v>
      </c>
      <c r="Y13" s="1" t="s">
        <v>82</v>
      </c>
      <c r="Z13" s="2" t="str">
        <f t="shared" si="3"/>
        <v/>
      </c>
      <c r="AB13" s="2" t="str">
        <f t="shared" si="4"/>
        <v>-</v>
      </c>
      <c r="AC13" s="1" t="s">
        <v>77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89</v>
      </c>
      <c r="E14" s="15" t="str">
        <f t="shared" si="7"/>
        <v>@case_width-path_medium-z16-(mtb-hc)</v>
      </c>
      <c r="F14" s="7" t="str">
        <f t="shared" si="0"/>
        <v>6.0</v>
      </c>
      <c r="G14" s="10" t="s">
        <v>89</v>
      </c>
      <c r="H14" s="14" t="str">
        <f t="shared" si="8"/>
        <v>@case_width-path_medium-z16-(gr)</v>
      </c>
      <c r="I14" s="7" t="str">
        <f t="shared" si="9"/>
        <v>1.6</v>
      </c>
      <c r="J14" s="5" t="s">
        <v>101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126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81</v>
      </c>
      <c r="V14" s="2" t="str">
        <f t="shared" si="2"/>
        <v>-</v>
      </c>
      <c r="W14" s="1" t="s">
        <v>74</v>
      </c>
      <c r="X14" s="2" t="str">
        <f t="shared" si="15"/>
        <v>_</v>
      </c>
      <c r="Y14" s="1" t="s">
        <v>82</v>
      </c>
      <c r="Z14" s="2" t="str">
        <f t="shared" si="3"/>
        <v/>
      </c>
      <c r="AB14" s="2" t="str">
        <f t="shared" si="4"/>
        <v>-</v>
      </c>
      <c r="AC14" s="1" t="s">
        <v>78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90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96</v>
      </c>
      <c r="H15" s="14" t="str">
        <f t="shared" si="8"/>
        <v>@case_width-path_medium-z18-(gr)</v>
      </c>
      <c r="I15" s="7" t="str">
        <f t="shared" si="9"/>
        <v>2.4</v>
      </c>
      <c r="J15" s="5" t="s">
        <v>102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102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81</v>
      </c>
      <c r="V15" s="2" t="str">
        <f t="shared" si="2"/>
        <v>-</v>
      </c>
      <c r="W15" s="1" t="s">
        <v>74</v>
      </c>
      <c r="X15" s="2" t="str">
        <f t="shared" si="15"/>
        <v>_</v>
      </c>
      <c r="Y15" s="1" t="s">
        <v>82</v>
      </c>
      <c r="Z15" s="2" t="str">
        <f t="shared" si="3"/>
        <v/>
      </c>
      <c r="AB15" s="2" t="str">
        <f t="shared" si="4"/>
        <v>-</v>
      </c>
      <c r="AC15" s="1" t="s">
        <v>79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88</v>
      </c>
      <c r="E16" s="15" t="str">
        <f t="shared" si="7"/>
        <v>@case_width-path_wide-z11-(mtb-hc)</v>
      </c>
      <c r="F16" s="7" t="str">
        <f t="shared" si="0"/>
        <v>4.0</v>
      </c>
      <c r="G16" s="10" t="s">
        <v>95</v>
      </c>
      <c r="H16" s="14" t="str">
        <f t="shared" si="8"/>
        <v>@case_width-path_wide-z11-(gr)</v>
      </c>
      <c r="I16" s="7" t="str">
        <f t="shared" si="9"/>
        <v>1.5</v>
      </c>
      <c r="J16" s="5" t="s">
        <v>87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98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81</v>
      </c>
      <c r="V16" s="2" t="str">
        <f t="shared" si="2"/>
        <v>-</v>
      </c>
      <c r="W16" s="1" t="s">
        <v>74</v>
      </c>
      <c r="X16" s="2" t="str">
        <f t="shared" si="15"/>
        <v>_</v>
      </c>
      <c r="Y16" s="1" t="s">
        <v>80</v>
      </c>
      <c r="Z16" s="2" t="str">
        <f t="shared" si="3"/>
        <v/>
      </c>
      <c r="AB16" s="2" t="str">
        <f t="shared" si="4"/>
        <v>-</v>
      </c>
      <c r="AC16" s="1" t="s">
        <v>73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102</v>
      </c>
      <c r="E17" s="15" t="str">
        <f t="shared" si="7"/>
        <v>@case_width-path_wide-z12-(mtb-hc)</v>
      </c>
      <c r="F17" s="7" t="str">
        <f t="shared" si="0"/>
        <v>4.8</v>
      </c>
      <c r="G17" s="10" t="s">
        <v>116</v>
      </c>
      <c r="H17" s="14" t="str">
        <f t="shared" si="8"/>
        <v>@case_width-path_wide-z12-(gr)</v>
      </c>
      <c r="I17" s="7" t="str">
        <f t="shared" si="9"/>
        <v>1.5</v>
      </c>
      <c r="J17" s="5" t="s">
        <v>87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125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81</v>
      </c>
      <c r="V17" s="2" t="str">
        <f t="shared" si="2"/>
        <v>-</v>
      </c>
      <c r="W17" s="1" t="s">
        <v>74</v>
      </c>
      <c r="X17" s="2" t="str">
        <f t="shared" si="15"/>
        <v>_</v>
      </c>
      <c r="Y17" s="1" t="s">
        <v>80</v>
      </c>
      <c r="Z17" s="2" t="str">
        <f t="shared" si="3"/>
        <v/>
      </c>
      <c r="AB17" s="2" t="str">
        <f t="shared" si="4"/>
        <v>-</v>
      </c>
      <c r="AC17" s="1" t="s">
        <v>112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91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89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101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83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81</v>
      </c>
      <c r="V18" s="2" t="str">
        <f t="shared" si="2"/>
        <v>-</v>
      </c>
      <c r="W18" s="1" t="s">
        <v>74</v>
      </c>
      <c r="X18" s="2" t="str">
        <f t="shared" si="15"/>
        <v>_</v>
      </c>
      <c r="Y18" s="1" t="s">
        <v>80</v>
      </c>
      <c r="Z18" s="2" t="str">
        <f t="shared" si="3"/>
        <v/>
      </c>
      <c r="AB18" s="2" t="str">
        <f t="shared" si="4"/>
        <v>-</v>
      </c>
      <c r="AC18" s="1" t="s">
        <v>77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90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90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102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126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81</v>
      </c>
      <c r="V19" s="2" t="str">
        <f t="shared" si="2"/>
        <v>-</v>
      </c>
      <c r="W19" s="1" t="s">
        <v>74</v>
      </c>
      <c r="X19" s="2" t="str">
        <f t="shared" si="15"/>
        <v>_</v>
      </c>
      <c r="Y19" s="1" t="s">
        <v>80</v>
      </c>
      <c r="Z19" s="2" t="str">
        <f t="shared" si="3"/>
        <v/>
      </c>
      <c r="AB19" s="2" t="str">
        <f t="shared" si="4"/>
        <v>-</v>
      </c>
      <c r="AC19" s="1" t="s">
        <v>78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92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97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103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102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81</v>
      </c>
      <c r="V20" s="2" t="str">
        <f t="shared" si="2"/>
        <v>-</v>
      </c>
      <c r="W20" s="1" t="s">
        <v>74</v>
      </c>
      <c r="X20" s="2" t="str">
        <f t="shared" ref="X20" si="20">IF(NOT(ISBLANK(Y20)),"_","")</f>
        <v>_</v>
      </c>
      <c r="Y20" s="1" t="s">
        <v>80</v>
      </c>
      <c r="Z20" s="2" t="str">
        <f t="shared" si="3"/>
        <v/>
      </c>
      <c r="AB20" s="2" t="str">
        <f t="shared" si="4"/>
        <v>-</v>
      </c>
      <c r="AC20" s="1" t="s">
        <v>79</v>
      </c>
    </row>
    <row r="21" spans="1:29" x14ac:dyDescent="0.25">
      <c r="A21" s="3" t="s">
        <v>121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127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98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127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98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122</v>
      </c>
      <c r="V22" s="2" t="str">
        <f t="shared" ref="V22:V36" si="24">IF(NOT(ISBLANK(W22)),"-","")</f>
        <v>-</v>
      </c>
      <c r="W22" s="1" t="s">
        <v>74</v>
      </c>
      <c r="X22" s="2" t="str">
        <f>IF(NOT(ISBLANK(Y22)),"_","")</f>
        <v>_</v>
      </c>
      <c r="Y22" s="1" t="s">
        <v>75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73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123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125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123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125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122</v>
      </c>
      <c r="V23" s="2" t="str">
        <f t="shared" si="24"/>
        <v>-</v>
      </c>
      <c r="W23" s="1" t="s">
        <v>74</v>
      </c>
      <c r="X23" s="2" t="str">
        <f t="shared" ref="X23:X36" si="37">IF(NOT(ISBLANK(Y23)),"_","")</f>
        <v>_</v>
      </c>
      <c r="Y23" s="1" t="s">
        <v>75</v>
      </c>
      <c r="Z23" s="2" t="str">
        <f t="shared" si="25"/>
        <v/>
      </c>
      <c r="AB23" s="2" t="str">
        <f t="shared" si="26"/>
        <v>-</v>
      </c>
      <c r="AC23" s="1" t="s">
        <v>112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118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100</v>
      </c>
      <c r="H24" s="14" t="str">
        <f t="shared" si="30"/>
        <v>@line_width-path_narrow-z14-(gr)</v>
      </c>
      <c r="I24" s="7" t="str">
        <f t="shared" si="31"/>
        <v>0.5</v>
      </c>
      <c r="J24" s="5" t="s">
        <v>98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83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122</v>
      </c>
      <c r="V24" s="2" t="str">
        <f t="shared" si="24"/>
        <v>-</v>
      </c>
      <c r="W24" s="1" t="s">
        <v>74</v>
      </c>
      <c r="X24" s="2" t="str">
        <f t="shared" si="37"/>
        <v>_</v>
      </c>
      <c r="Y24" s="1" t="s">
        <v>75</v>
      </c>
      <c r="Z24" s="2" t="str">
        <f t="shared" si="25"/>
        <v/>
      </c>
      <c r="AB24" s="2" t="str">
        <f t="shared" si="26"/>
        <v>-</v>
      </c>
      <c r="AC24" s="1" t="s">
        <v>77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100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87</v>
      </c>
      <c r="H25" s="14" t="str">
        <f t="shared" si="30"/>
        <v>@line_width-path_narrow-z16-(gr)</v>
      </c>
      <c r="I25" s="7" t="str">
        <f t="shared" si="31"/>
        <v>1.0</v>
      </c>
      <c r="J25" s="5" t="s">
        <v>83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126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122</v>
      </c>
      <c r="V25" s="2" t="str">
        <f t="shared" si="24"/>
        <v>-</v>
      </c>
      <c r="W25" s="1" t="s">
        <v>74</v>
      </c>
      <c r="X25" s="2" t="str">
        <f t="shared" si="37"/>
        <v>_</v>
      </c>
      <c r="Y25" s="1" t="s">
        <v>75</v>
      </c>
      <c r="Z25" s="2" t="str">
        <f t="shared" si="25"/>
        <v/>
      </c>
      <c r="AB25" s="2" t="str">
        <f t="shared" si="26"/>
        <v>-</v>
      </c>
      <c r="AC25" s="1" t="s">
        <v>78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124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91</v>
      </c>
      <c r="H26" s="14" t="str">
        <f t="shared" si="30"/>
        <v>@line_width-path_narrow-z18-(gr)</v>
      </c>
      <c r="I26" s="7" t="str">
        <f t="shared" si="31"/>
        <v>1.0</v>
      </c>
      <c r="J26" s="5" t="s">
        <v>83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102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122</v>
      </c>
      <c r="V26" s="2" t="str">
        <f t="shared" si="24"/>
        <v>-</v>
      </c>
      <c r="W26" s="1" t="s">
        <v>74</v>
      </c>
      <c r="X26" s="2" t="str">
        <f t="shared" si="37"/>
        <v>_</v>
      </c>
      <c r="Y26" s="1" t="s">
        <v>75</v>
      </c>
      <c r="Z26" s="2" t="str">
        <f t="shared" si="25"/>
        <v/>
      </c>
      <c r="AB26" s="2" t="str">
        <f t="shared" si="26"/>
        <v>-</v>
      </c>
      <c r="AC26" s="1" t="s">
        <v>79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98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118</v>
      </c>
      <c r="H27" s="14" t="str">
        <f t="shared" si="30"/>
        <v>@line_width-path_medium-z11-(gr)</v>
      </c>
      <c r="I27" s="7" t="str">
        <f t="shared" si="31"/>
        <v>0.5</v>
      </c>
      <c r="J27" s="5" t="s">
        <v>98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122</v>
      </c>
      <c r="V27" s="2" t="str">
        <f t="shared" si="24"/>
        <v>-</v>
      </c>
      <c r="W27" s="1" t="s">
        <v>74</v>
      </c>
      <c r="X27" s="2" t="str">
        <f t="shared" si="37"/>
        <v>_</v>
      </c>
      <c r="Y27" s="1" t="s">
        <v>82</v>
      </c>
      <c r="Z27" s="2" t="str">
        <f t="shared" si="25"/>
        <v/>
      </c>
      <c r="AB27" s="2" t="str">
        <f t="shared" si="26"/>
        <v>-</v>
      </c>
      <c r="AC27" s="1" t="s">
        <v>73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125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119</v>
      </c>
      <c r="H28" s="14" t="str">
        <f t="shared" si="30"/>
        <v>@line_width-path_medium-z12-(gr)</v>
      </c>
      <c r="I28" s="7" t="str">
        <f t="shared" si="31"/>
        <v>0.6</v>
      </c>
      <c r="J28" s="5" t="s">
        <v>125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122</v>
      </c>
      <c r="V28" s="2" t="str">
        <f t="shared" si="24"/>
        <v>-</v>
      </c>
      <c r="W28" s="1" t="s">
        <v>74</v>
      </c>
      <c r="X28" s="2" t="str">
        <f t="shared" si="37"/>
        <v>_</v>
      </c>
      <c r="Y28" s="1" t="s">
        <v>82</v>
      </c>
      <c r="Z28" s="2" t="str">
        <f t="shared" si="25"/>
        <v/>
      </c>
      <c r="AB28" s="2" t="str">
        <f t="shared" si="26"/>
        <v>-</v>
      </c>
      <c r="AC28" s="1" t="s">
        <v>112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83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87</v>
      </c>
      <c r="H29" s="14" t="str">
        <f t="shared" si="30"/>
        <v>@line_width-path_medium-z14-(gr)</v>
      </c>
      <c r="I29" s="7" t="str">
        <f t="shared" si="31"/>
        <v>0.8</v>
      </c>
      <c r="J29" s="5" t="s">
        <v>99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122</v>
      </c>
      <c r="V29" s="2" t="str">
        <f t="shared" si="24"/>
        <v>-</v>
      </c>
      <c r="W29" s="1" t="s">
        <v>74</v>
      </c>
      <c r="X29" s="2" t="str">
        <f t="shared" si="37"/>
        <v>_</v>
      </c>
      <c r="Y29" s="1" t="s">
        <v>82</v>
      </c>
      <c r="Z29" s="2" t="str">
        <f t="shared" si="25"/>
        <v/>
      </c>
      <c r="AB29" s="2" t="str">
        <f t="shared" si="26"/>
        <v>-</v>
      </c>
      <c r="AC29" s="1" t="s">
        <v>77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126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129</v>
      </c>
      <c r="H30" s="14" t="str">
        <f t="shared" si="30"/>
        <v>@line_width-path_medium-z16-(gr)</v>
      </c>
      <c r="I30" s="7" t="str">
        <f t="shared" si="31"/>
        <v>1.2</v>
      </c>
      <c r="J30" s="5" t="s">
        <v>100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122</v>
      </c>
      <c r="V30" s="2" t="str">
        <f t="shared" si="24"/>
        <v>-</v>
      </c>
      <c r="W30" s="1" t="s">
        <v>74</v>
      </c>
      <c r="X30" s="2" t="str">
        <f t="shared" si="37"/>
        <v>_</v>
      </c>
      <c r="Y30" s="1" t="s">
        <v>82</v>
      </c>
      <c r="Z30" s="2" t="str">
        <f t="shared" si="25"/>
        <v/>
      </c>
      <c r="AB30" s="2" t="str">
        <f t="shared" si="26"/>
        <v>-</v>
      </c>
      <c r="AC30" s="1" t="s">
        <v>78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85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130</v>
      </c>
      <c r="H31" s="14" t="str">
        <f t="shared" si="30"/>
        <v>@line_width-path_medium-z18-(gr)</v>
      </c>
      <c r="I31" s="7" t="str">
        <f t="shared" si="31"/>
        <v>1.6</v>
      </c>
      <c r="J31" s="5" t="s">
        <v>101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122</v>
      </c>
      <c r="V31" s="2" t="str">
        <f t="shared" si="24"/>
        <v>-</v>
      </c>
      <c r="W31" s="1" t="s">
        <v>74</v>
      </c>
      <c r="X31" s="2" t="str">
        <f t="shared" si="37"/>
        <v>_</v>
      </c>
      <c r="Y31" s="1" t="s">
        <v>82</v>
      </c>
      <c r="Z31" s="2" t="str">
        <f t="shared" si="25"/>
        <v/>
      </c>
      <c r="AB31" s="2" t="str">
        <f t="shared" si="26"/>
        <v>-</v>
      </c>
      <c r="AC31" s="1" t="s">
        <v>79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118</v>
      </c>
      <c r="E32" s="15" t="str">
        <f t="shared" si="29"/>
        <v>@line_width-path_wide-z11-(mtb-hc)</v>
      </c>
      <c r="F32" s="7" t="str">
        <f t="shared" si="21"/>
        <v>1.5</v>
      </c>
      <c r="G32" s="10" t="s">
        <v>87</v>
      </c>
      <c r="H32" s="14" t="str">
        <f t="shared" si="30"/>
        <v>@line_width-path_wide-z11-(gr)</v>
      </c>
      <c r="I32" s="7" t="str">
        <f t="shared" si="31"/>
        <v>1.0</v>
      </c>
      <c r="J32" s="5" t="s">
        <v>83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98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122</v>
      </c>
      <c r="V32" s="2" t="str">
        <f t="shared" si="24"/>
        <v>-</v>
      </c>
      <c r="W32" s="1" t="s">
        <v>74</v>
      </c>
      <c r="X32" s="2" t="str">
        <f t="shared" si="37"/>
        <v>_</v>
      </c>
      <c r="Y32" s="1" t="s">
        <v>80</v>
      </c>
      <c r="Z32" s="2" t="str">
        <f t="shared" si="25"/>
        <v/>
      </c>
      <c r="AB32" s="2" t="str">
        <f t="shared" si="26"/>
        <v>-</v>
      </c>
      <c r="AC32" s="1" t="s">
        <v>73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83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126</v>
      </c>
      <c r="H33" s="14" t="str">
        <f t="shared" si="30"/>
        <v>@line_width-path_wide-z12-(gr)</v>
      </c>
      <c r="I33" s="7" t="str">
        <f t="shared" si="31"/>
        <v>1.2</v>
      </c>
      <c r="J33" s="5" t="s">
        <v>100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125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122</v>
      </c>
      <c r="V33" s="2" t="str">
        <f t="shared" si="24"/>
        <v>-</v>
      </c>
      <c r="W33" s="1" t="s">
        <v>74</v>
      </c>
      <c r="X33" s="2" t="str">
        <f t="shared" si="37"/>
        <v>_</v>
      </c>
      <c r="Y33" s="1" t="s">
        <v>80</v>
      </c>
      <c r="Z33" s="2" t="str">
        <f t="shared" si="25"/>
        <v/>
      </c>
      <c r="AB33" s="2" t="str">
        <f t="shared" si="26"/>
        <v>-</v>
      </c>
      <c r="AC33" s="1" t="s">
        <v>112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114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129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87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83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122</v>
      </c>
      <c r="V34" s="2" t="str">
        <f t="shared" si="24"/>
        <v>-</v>
      </c>
      <c r="W34" s="1" t="s">
        <v>74</v>
      </c>
      <c r="X34" s="2" t="str">
        <f t="shared" si="37"/>
        <v>_</v>
      </c>
      <c r="Y34" s="1" t="s">
        <v>80</v>
      </c>
      <c r="Z34" s="2" t="str">
        <f t="shared" si="25"/>
        <v/>
      </c>
      <c r="AB34" s="2" t="str">
        <f t="shared" si="26"/>
        <v>-</v>
      </c>
      <c r="AC34" s="1" t="s">
        <v>77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128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131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101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126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122</v>
      </c>
      <c r="V35" s="2" t="str">
        <f t="shared" si="24"/>
        <v>-</v>
      </c>
      <c r="W35" s="1" t="s">
        <v>74</v>
      </c>
      <c r="X35" s="2" t="str">
        <f t="shared" si="37"/>
        <v>_</v>
      </c>
      <c r="Y35" s="1" t="s">
        <v>80</v>
      </c>
      <c r="Z35" s="2" t="str">
        <f t="shared" si="25"/>
        <v/>
      </c>
      <c r="AB35" s="2" t="str">
        <f t="shared" si="26"/>
        <v>-</v>
      </c>
      <c r="AC35" s="1" t="s">
        <v>78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89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132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102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102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122</v>
      </c>
      <c r="V36" s="2" t="str">
        <f t="shared" si="24"/>
        <v>-</v>
      </c>
      <c r="W36" s="1" t="s">
        <v>74</v>
      </c>
      <c r="X36" s="2" t="str">
        <f t="shared" si="37"/>
        <v>_</v>
      </c>
      <c r="Y36" s="1" t="s">
        <v>80</v>
      </c>
      <c r="Z36" s="2" t="str">
        <f t="shared" si="25"/>
        <v/>
      </c>
      <c r="AB36" s="2" t="str">
        <f t="shared" si="26"/>
        <v>-</v>
      </c>
      <c r="AC36" s="1" t="s">
        <v>79</v>
      </c>
    </row>
    <row r="37" spans="1:29" x14ac:dyDescent="0.25">
      <c r="A37" s="3" t="s">
        <v>133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88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95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88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81</v>
      </c>
      <c r="V38" s="2" t="str">
        <f t="shared" ref="V38" si="43">IF(NOT(ISBLANK(W38)),"-","")</f>
        <v>-</v>
      </c>
      <c r="W38" s="1" t="s">
        <v>105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106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91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95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91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81</v>
      </c>
      <c r="V39" s="2" t="str">
        <f t="shared" ref="V39:V43" si="48">IF(NOT(ISBLANK(W39)),"-","")</f>
        <v>-</v>
      </c>
      <c r="W39" s="1" t="s">
        <v>105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73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134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135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134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81</v>
      </c>
      <c r="V40" s="2" t="str">
        <f t="shared" si="48"/>
        <v>-</v>
      </c>
      <c r="W40" s="1" t="s">
        <v>105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112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95</v>
      </c>
      <c r="E41" s="15" t="str">
        <f t="shared" si="53"/>
        <v>@case_width-track-z14-(mtb-hc)</v>
      </c>
      <c r="F41" s="7" t="str">
        <f t="shared" si="41"/>
        <v>6.0</v>
      </c>
      <c r="G41" s="10" t="s">
        <v>89</v>
      </c>
      <c r="H41" s="14" t="str">
        <f t="shared" si="54"/>
        <v>@case_width-track-z14-(gr)</v>
      </c>
      <c r="I41" s="7" t="str">
        <f t="shared" si="55"/>
        <v>4.0</v>
      </c>
      <c r="J41" s="5" t="s">
        <v>95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81</v>
      </c>
      <c r="V41" s="2" t="str">
        <f t="shared" si="48"/>
        <v>-</v>
      </c>
      <c r="W41" s="1" t="s">
        <v>105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77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90</v>
      </c>
      <c r="E42" s="15" t="str">
        <f t="shared" si="53"/>
        <v>@case_width-track-z16-(mtb-hc)</v>
      </c>
      <c r="F42" s="7" t="str">
        <f t="shared" si="41"/>
        <v>13.5</v>
      </c>
      <c r="G42" s="10" t="s">
        <v>96</v>
      </c>
      <c r="H42" s="14" t="str">
        <f t="shared" si="54"/>
        <v>@case_width-track-z16-(gr)</v>
      </c>
      <c r="I42" s="7" t="str">
        <f t="shared" si="55"/>
        <v>9.0</v>
      </c>
      <c r="J42" s="5" t="s">
        <v>90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81</v>
      </c>
      <c r="V42" s="2" t="str">
        <f t="shared" si="48"/>
        <v>-</v>
      </c>
      <c r="W42" s="1" t="s">
        <v>105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78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92</v>
      </c>
      <c r="E43" s="15" t="str">
        <f t="shared" si="53"/>
        <v>@case_width-track-z18-(mtb-hc)</v>
      </c>
      <c r="F43" s="7" t="str">
        <f t="shared" si="41"/>
        <v>22.5</v>
      </c>
      <c r="G43" s="10" t="s">
        <v>97</v>
      </c>
      <c r="H43" s="14" t="str">
        <f t="shared" si="54"/>
        <v>@case_width-track-z18-(gr)</v>
      </c>
      <c r="I43" s="7" t="str">
        <f t="shared" si="55"/>
        <v>15.0</v>
      </c>
      <c r="J43" s="5" t="s">
        <v>92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81</v>
      </c>
      <c r="V43" s="2" t="str">
        <f t="shared" si="48"/>
        <v>-</v>
      </c>
      <c r="W43" s="1" t="s">
        <v>105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79</v>
      </c>
    </row>
    <row r="44" spans="1:29" x14ac:dyDescent="0.25">
      <c r="A44" s="3" t="s">
        <v>136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98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84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99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122</v>
      </c>
      <c r="V45" s="2" t="str">
        <f t="shared" ref="V45" si="66">IF(NOT(ISBLANK(W45)),"-","")</f>
        <v>-</v>
      </c>
      <c r="W45" s="1" t="s">
        <v>105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106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125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87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119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122</v>
      </c>
      <c r="V46" s="2" t="str">
        <f t="shared" ref="V46:V50" si="79">IF(NOT(ISBLANK(W46)),"-","")</f>
        <v>-</v>
      </c>
      <c r="W46" s="1" t="s">
        <v>105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73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119</v>
      </c>
      <c r="E47" s="15" t="str">
        <f t="shared" si="71"/>
        <v>@line_width-track-z12-(mtb-hc)</v>
      </c>
      <c r="F47" s="7" t="str">
        <f t="shared" si="62"/>
        <v>1.7</v>
      </c>
      <c r="G47" s="10" t="s">
        <v>114</v>
      </c>
      <c r="H47" s="14" t="str">
        <f t="shared" si="72"/>
        <v>@line_width-track-z12-(gr)</v>
      </c>
      <c r="I47" s="7" t="str">
        <f t="shared" si="73"/>
        <v>1.2</v>
      </c>
      <c r="J47" s="5" t="s">
        <v>100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122</v>
      </c>
      <c r="V47" s="2" t="str">
        <f t="shared" si="79"/>
        <v>-</v>
      </c>
      <c r="W47" s="1" t="s">
        <v>105</v>
      </c>
      <c r="Y47" s="1"/>
      <c r="Z47" s="2" t="str">
        <f t="shared" si="80"/>
        <v/>
      </c>
      <c r="AB47" s="2" t="str">
        <f t="shared" si="81"/>
        <v>-</v>
      </c>
      <c r="AC47" s="1" t="s">
        <v>112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84</v>
      </c>
      <c r="E48" s="15" t="str">
        <f t="shared" si="71"/>
        <v>@line_width-track-z14-(mtb-hc)</v>
      </c>
      <c r="F48" s="7" t="str">
        <f t="shared" si="62"/>
        <v>2.0</v>
      </c>
      <c r="G48" s="10" t="s">
        <v>88</v>
      </c>
      <c r="H48" s="14" t="str">
        <f t="shared" si="72"/>
        <v>@line_width-track-z14-(gr)</v>
      </c>
      <c r="I48" s="7" t="str">
        <f t="shared" si="73"/>
        <v>1.6</v>
      </c>
      <c r="J48" s="5" t="s">
        <v>101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122</v>
      </c>
      <c r="V48" s="2" t="str">
        <f t="shared" si="79"/>
        <v>-</v>
      </c>
      <c r="W48" s="1" t="s">
        <v>105</v>
      </c>
      <c r="Y48" s="1"/>
      <c r="Z48" s="2" t="str">
        <f t="shared" si="80"/>
        <v/>
      </c>
      <c r="AB48" s="2" t="str">
        <f t="shared" si="81"/>
        <v>-</v>
      </c>
      <c r="AC48" s="1" t="s">
        <v>77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85</v>
      </c>
      <c r="E49" s="15" t="str">
        <f t="shared" si="71"/>
        <v>@line_width-track-z16-(mtb-hc)</v>
      </c>
      <c r="F49" s="7" t="str">
        <f t="shared" si="62"/>
        <v>5.2</v>
      </c>
      <c r="G49" s="10" t="s">
        <v>130</v>
      </c>
      <c r="H49" s="14" t="str">
        <f t="shared" si="72"/>
        <v>@line_width-track-z16-(gr)</v>
      </c>
      <c r="I49" s="7" t="str">
        <f t="shared" si="73"/>
        <v>4.0</v>
      </c>
      <c r="J49" s="5" t="s">
        <v>95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122</v>
      </c>
      <c r="V49" s="2" t="str">
        <f t="shared" si="79"/>
        <v>-</v>
      </c>
      <c r="W49" s="1" t="s">
        <v>105</v>
      </c>
      <c r="Y49" s="1"/>
      <c r="Z49" s="2" t="str">
        <f t="shared" si="80"/>
        <v/>
      </c>
      <c r="AB49" s="2" t="str">
        <f t="shared" si="81"/>
        <v>-</v>
      </c>
      <c r="AC49" s="1" t="s">
        <v>78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137</v>
      </c>
      <c r="E50" s="15" t="str">
        <f t="shared" si="71"/>
        <v>@line_width-track-z18-(mtb-hc)</v>
      </c>
      <c r="F50" s="7" t="str">
        <f t="shared" si="62"/>
        <v>10.5</v>
      </c>
      <c r="G50" s="10" t="s">
        <v>138</v>
      </c>
      <c r="H50" s="14" t="str">
        <f t="shared" si="72"/>
        <v>@line_width-track-z18-(gr)</v>
      </c>
      <c r="I50" s="7" t="str">
        <f t="shared" si="73"/>
        <v>5.0</v>
      </c>
      <c r="J50" s="5" t="s">
        <v>86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122</v>
      </c>
      <c r="V50" s="2" t="str">
        <f t="shared" si="79"/>
        <v>-</v>
      </c>
      <c r="W50" s="1" t="s">
        <v>105</v>
      </c>
      <c r="Y50" s="1"/>
      <c r="Z50" s="2" t="str">
        <f t="shared" si="80"/>
        <v/>
      </c>
      <c r="AB50" s="2" t="str">
        <f t="shared" si="81"/>
        <v>-</v>
      </c>
      <c r="AC50" s="1" t="s">
        <v>79</v>
      </c>
    </row>
    <row r="51" spans="1:29" x14ac:dyDescent="0.25">
      <c r="A51" s="3" t="s">
        <v>139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83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83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81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140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102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102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81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141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131</v>
      </c>
      <c r="E54" s="15" t="str">
        <f t="shared" si="89"/>
        <v>@case_width-motorway-z10-(mtb-hc)</v>
      </c>
      <c r="F54" s="7" t="str">
        <f t="shared" si="62"/>
        <v>4.5</v>
      </c>
      <c r="G54" s="10" t="s">
        <v>131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81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106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144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145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81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142</v>
      </c>
    </row>
    <row r="56" spans="1:29" x14ac:dyDescent="0.25">
      <c r="A56" s="3" t="s">
        <v>146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98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98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122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147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87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93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122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106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91</v>
      </c>
      <c r="E59" s="15" t="str">
        <f t="shared" si="109"/>
        <v>@line_width-motorway-z12-(mtb-hc)</v>
      </c>
      <c r="F59" s="7" t="str">
        <f t="shared" si="62"/>
        <v>4.5</v>
      </c>
      <c r="G59" s="10" t="s">
        <v>131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122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112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95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137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122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77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148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149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122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142</v>
      </c>
    </row>
    <row r="62" spans="1:29" x14ac:dyDescent="0.25">
      <c r="A62" s="3" t="s">
        <v>150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93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81</v>
      </c>
      <c r="V63" s="2" t="str">
        <f t="shared" ref="V63:V65" si="128">IF(NOT(ISBLANK(W63)),"-","")</f>
        <v>-</v>
      </c>
      <c r="W63" s="1" t="s">
        <v>19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141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95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81</v>
      </c>
      <c r="V64" s="2" t="str">
        <f t="shared" si="128"/>
        <v>-</v>
      </c>
      <c r="W64" s="1" t="s">
        <v>19</v>
      </c>
      <c r="Y64" s="1"/>
      <c r="Z64" s="2" t="str">
        <f t="shared" si="129"/>
        <v/>
      </c>
      <c r="AB64" s="2" t="str">
        <f t="shared" si="130"/>
        <v>-</v>
      </c>
      <c r="AC64" s="1" t="s">
        <v>106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144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81</v>
      </c>
      <c r="V65" s="2" t="str">
        <f t="shared" si="128"/>
        <v>-</v>
      </c>
      <c r="W65" s="1" t="s">
        <v>19</v>
      </c>
      <c r="Y65" s="1"/>
      <c r="Z65" s="2" t="str">
        <f t="shared" si="129"/>
        <v/>
      </c>
      <c r="AB65" s="2" t="str">
        <f t="shared" si="130"/>
        <v>-</v>
      </c>
      <c r="AC65" s="1" t="s">
        <v>142</v>
      </c>
    </row>
    <row r="66" spans="1:29" x14ac:dyDescent="0.25">
      <c r="A66" s="3" t="s">
        <v>151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98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122</v>
      </c>
      <c r="V67" s="2" t="str">
        <f t="shared" ref="V67:V71" si="149">IF(NOT(ISBLANK(W67)),"-","")</f>
        <v>-</v>
      </c>
      <c r="W67" s="1" t="s">
        <v>19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147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88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122</v>
      </c>
      <c r="V68" s="2" t="str">
        <f t="shared" si="149"/>
        <v>-</v>
      </c>
      <c r="W68" s="1" t="s">
        <v>19</v>
      </c>
      <c r="Y68" s="1"/>
      <c r="Z68" s="2" t="str">
        <f t="shared" si="150"/>
        <v/>
      </c>
      <c r="AB68" s="2" t="str">
        <f t="shared" si="151"/>
        <v>-</v>
      </c>
      <c r="AC68" s="1" t="s">
        <v>106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117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122</v>
      </c>
      <c r="V69" s="2" t="str">
        <f t="shared" si="149"/>
        <v>-</v>
      </c>
      <c r="W69" s="1" t="s">
        <v>19</v>
      </c>
      <c r="Y69" s="1"/>
      <c r="Z69" s="2" t="str">
        <f t="shared" si="150"/>
        <v/>
      </c>
      <c r="AB69" s="2" t="str">
        <f t="shared" si="151"/>
        <v>-</v>
      </c>
      <c r="AC69" s="1" t="s">
        <v>112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152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122</v>
      </c>
      <c r="V70" s="2" t="str">
        <f t="shared" si="149"/>
        <v>-</v>
      </c>
      <c r="W70" s="1" t="s">
        <v>19</v>
      </c>
      <c r="Y70" s="1"/>
      <c r="Z70" s="2" t="str">
        <f t="shared" si="150"/>
        <v/>
      </c>
      <c r="AB70" s="2" t="str">
        <f t="shared" si="151"/>
        <v>-</v>
      </c>
      <c r="AC70" s="1" t="s">
        <v>77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148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122</v>
      </c>
      <c r="V71" s="2" t="str">
        <f t="shared" si="149"/>
        <v>-</v>
      </c>
      <c r="W71" s="1" t="s">
        <v>19</v>
      </c>
      <c r="Y71" s="1"/>
      <c r="Z71" s="2" t="str">
        <f t="shared" si="150"/>
        <v/>
      </c>
      <c r="AB71" s="2" t="str">
        <f t="shared" si="151"/>
        <v>-</v>
      </c>
      <c r="AC71" s="1" t="s">
        <v>142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76</v>
      </c>
      <c r="M2" s="1"/>
      <c r="N2" s="1" t="s">
        <v>72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71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83</v>
      </c>
      <c r="F4" s="2" t="s">
        <v>81</v>
      </c>
      <c r="G4" s="2" t="str">
        <f t="shared" ref="G4" si="0">IF(NOT(ISBLANK(H4)),"-","")</f>
        <v>-</v>
      </c>
      <c r="H4" s="2" t="s">
        <v>74</v>
      </c>
      <c r="I4" s="2" t="str">
        <f>IF(NOT(ISBLANK(J4)),"_","")</f>
        <v>_</v>
      </c>
      <c r="J4" s="2" t="s">
        <v>75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73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84</v>
      </c>
      <c r="F5" s="2" t="s">
        <v>81</v>
      </c>
      <c r="G5" s="2" t="str">
        <f t="shared" ref="G5:G6" si="5">IF(NOT(ISBLANK(H5)),"-","")</f>
        <v>-</v>
      </c>
      <c r="H5" s="2" t="s">
        <v>74</v>
      </c>
      <c r="I5" s="2" t="str">
        <f t="shared" ref="I5:I28" si="6">IF(NOT(ISBLANK(J5)),"_","")</f>
        <v>_</v>
      </c>
      <c r="J5" s="2" t="s">
        <v>75</v>
      </c>
      <c r="K5" s="2" t="str">
        <f t="shared" si="1"/>
        <v/>
      </c>
      <c r="M5" s="2" t="str">
        <f t="shared" si="2"/>
        <v>-</v>
      </c>
      <c r="N5" s="2" t="s">
        <v>77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85</v>
      </c>
      <c r="F6" s="2" t="s">
        <v>81</v>
      </c>
      <c r="G6" s="2" t="str">
        <f t="shared" si="5"/>
        <v>-</v>
      </c>
      <c r="H6" s="2" t="s">
        <v>74</v>
      </c>
      <c r="I6" s="2" t="str">
        <f t="shared" si="6"/>
        <v>_</v>
      </c>
      <c r="J6" s="2" t="s">
        <v>75</v>
      </c>
      <c r="K6" s="2" t="str">
        <f t="shared" si="1"/>
        <v/>
      </c>
      <c r="M6" s="2" t="str">
        <f t="shared" si="2"/>
        <v>-</v>
      </c>
      <c r="N6" s="2" t="s">
        <v>78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86</v>
      </c>
      <c r="F7" s="2" t="s">
        <v>81</v>
      </c>
      <c r="G7" s="2" t="str">
        <f t="shared" ref="G7:G19" si="7">IF(NOT(ISBLANK(H7)),"-","")</f>
        <v>-</v>
      </c>
      <c r="H7" s="2" t="s">
        <v>74</v>
      </c>
      <c r="I7" s="2" t="str">
        <f t="shared" si="6"/>
        <v>_</v>
      </c>
      <c r="J7" s="2" t="s">
        <v>75</v>
      </c>
      <c r="K7" s="2" t="str">
        <f t="shared" si="1"/>
        <v/>
      </c>
      <c r="M7" s="2" t="str">
        <f t="shared" si="2"/>
        <v>-</v>
      </c>
      <c r="N7" s="2" t="s">
        <v>79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87</v>
      </c>
      <c r="F8" s="2" t="s">
        <v>81</v>
      </c>
      <c r="G8" s="2" t="str">
        <f t="shared" si="7"/>
        <v>-</v>
      </c>
      <c r="H8" s="2" t="s">
        <v>74</v>
      </c>
      <c r="I8" s="2" t="str">
        <f t="shared" si="6"/>
        <v>_</v>
      </c>
      <c r="J8" s="2" t="s">
        <v>82</v>
      </c>
      <c r="K8" s="2" t="str">
        <f t="shared" si="1"/>
        <v/>
      </c>
      <c r="M8" s="2" t="str">
        <f t="shared" si="2"/>
        <v>-</v>
      </c>
      <c r="N8" s="2" t="s">
        <v>73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88</v>
      </c>
      <c r="F9" s="2" t="s">
        <v>81</v>
      </c>
      <c r="G9" s="2" t="str">
        <f t="shared" si="7"/>
        <v>-</v>
      </c>
      <c r="H9" s="2" t="s">
        <v>74</v>
      </c>
      <c r="I9" s="2" t="str">
        <f t="shared" si="6"/>
        <v>_</v>
      </c>
      <c r="J9" s="2" t="s">
        <v>82</v>
      </c>
      <c r="K9" s="2" t="str">
        <f t="shared" si="1"/>
        <v/>
      </c>
      <c r="M9" s="2" t="str">
        <f t="shared" si="2"/>
        <v>-</v>
      </c>
      <c r="N9" s="2" t="s">
        <v>77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89</v>
      </c>
      <c r="F10" s="2" t="s">
        <v>81</v>
      </c>
      <c r="G10" s="2" t="str">
        <f t="shared" si="7"/>
        <v>-</v>
      </c>
      <c r="H10" s="2" t="s">
        <v>74</v>
      </c>
      <c r="I10" s="2" t="str">
        <f t="shared" si="6"/>
        <v>_</v>
      </c>
      <c r="J10" s="2" t="s">
        <v>82</v>
      </c>
      <c r="K10" s="2" t="str">
        <f t="shared" si="1"/>
        <v/>
      </c>
      <c r="M10" s="2" t="str">
        <f t="shared" si="2"/>
        <v>-</v>
      </c>
      <c r="N10" s="2" t="s">
        <v>78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90</v>
      </c>
      <c r="F11" s="2" t="s">
        <v>81</v>
      </c>
      <c r="G11" s="2" t="str">
        <f t="shared" si="7"/>
        <v>-</v>
      </c>
      <c r="H11" s="2" t="s">
        <v>74</v>
      </c>
      <c r="I11" s="2" t="str">
        <f t="shared" si="6"/>
        <v>_</v>
      </c>
      <c r="J11" s="2" t="s">
        <v>82</v>
      </c>
      <c r="K11" s="2" t="str">
        <f t="shared" si="1"/>
        <v/>
      </c>
      <c r="M11" s="2" t="str">
        <f t="shared" si="2"/>
        <v>-</v>
      </c>
      <c r="N11" s="2" t="s">
        <v>79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88</v>
      </c>
      <c r="F12" s="2" t="s">
        <v>81</v>
      </c>
      <c r="G12" s="2" t="str">
        <f t="shared" si="7"/>
        <v>-</v>
      </c>
      <c r="H12" s="2" t="s">
        <v>74</v>
      </c>
      <c r="I12" s="2" t="str">
        <f t="shared" si="6"/>
        <v>_</v>
      </c>
      <c r="J12" s="2" t="s">
        <v>80</v>
      </c>
      <c r="K12" s="2" t="str">
        <f t="shared" si="1"/>
        <v/>
      </c>
      <c r="M12" s="2" t="str">
        <f t="shared" si="2"/>
        <v>-</v>
      </c>
      <c r="N12" s="2" t="s">
        <v>73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91</v>
      </c>
      <c r="F13" s="2" t="s">
        <v>81</v>
      </c>
      <c r="G13" s="2" t="str">
        <f t="shared" si="7"/>
        <v>-</v>
      </c>
      <c r="H13" s="2" t="s">
        <v>74</v>
      </c>
      <c r="I13" s="2" t="str">
        <f t="shared" si="6"/>
        <v>_</v>
      </c>
      <c r="J13" s="2" t="s">
        <v>80</v>
      </c>
      <c r="K13" s="2" t="str">
        <f t="shared" si="1"/>
        <v/>
      </c>
      <c r="M13" s="2" t="str">
        <f t="shared" si="2"/>
        <v>-</v>
      </c>
      <c r="N13" s="2" t="s">
        <v>77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90</v>
      </c>
      <c r="F14" s="2" t="s">
        <v>81</v>
      </c>
      <c r="G14" s="2" t="str">
        <f t="shared" si="7"/>
        <v>-</v>
      </c>
      <c r="H14" s="2" t="s">
        <v>74</v>
      </c>
      <c r="I14" s="2" t="str">
        <f t="shared" si="6"/>
        <v>_</v>
      </c>
      <c r="J14" s="2" t="s">
        <v>80</v>
      </c>
      <c r="K14" s="2" t="str">
        <f t="shared" si="1"/>
        <v/>
      </c>
      <c r="M14" s="2" t="str">
        <f t="shared" si="2"/>
        <v>-</v>
      </c>
      <c r="N14" s="2" t="s">
        <v>78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92</v>
      </c>
      <c r="F15" s="2" t="s">
        <v>81</v>
      </c>
      <c r="G15" s="2" t="str">
        <f t="shared" si="7"/>
        <v>-</v>
      </c>
      <c r="H15" s="2" t="s">
        <v>74</v>
      </c>
      <c r="I15" s="2" t="str">
        <f t="shared" si="6"/>
        <v>_</v>
      </c>
      <c r="J15" s="2" t="s">
        <v>80</v>
      </c>
      <c r="K15" s="2" t="str">
        <f t="shared" si="1"/>
        <v/>
      </c>
      <c r="M15" s="2" t="str">
        <f t="shared" si="2"/>
        <v>-</v>
      </c>
      <c r="N15" s="2" t="s">
        <v>79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88</v>
      </c>
      <c r="F17" s="2" t="s">
        <v>81</v>
      </c>
      <c r="G17" s="2" t="str">
        <f t="shared" si="7"/>
        <v>-</v>
      </c>
      <c r="H17" s="2" t="s">
        <v>74</v>
      </c>
      <c r="I17" s="2" t="str">
        <f t="shared" si="6"/>
        <v>_</v>
      </c>
      <c r="J17" s="2" t="s">
        <v>75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73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93</v>
      </c>
      <c r="F18" s="2" t="s">
        <v>81</v>
      </c>
      <c r="G18" s="2" t="str">
        <f t="shared" si="7"/>
        <v>-</v>
      </c>
      <c r="H18" s="2" t="s">
        <v>74</v>
      </c>
      <c r="I18" s="2" t="str">
        <f t="shared" si="6"/>
        <v>_</v>
      </c>
      <c r="J18" s="2" t="s">
        <v>75</v>
      </c>
      <c r="K18" s="2" t="str">
        <f t="shared" si="1"/>
        <v/>
      </c>
      <c r="M18" s="2" t="str">
        <f t="shared" si="9"/>
        <v>-</v>
      </c>
      <c r="N18" s="2" t="s">
        <v>77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91</v>
      </c>
      <c r="F19" s="2" t="s">
        <v>81</v>
      </c>
      <c r="G19" s="2" t="str">
        <f t="shared" si="7"/>
        <v>-</v>
      </c>
      <c r="H19" s="2" t="s">
        <v>74</v>
      </c>
      <c r="I19" s="2" t="str">
        <f t="shared" si="6"/>
        <v>_</v>
      </c>
      <c r="J19" s="2" t="s">
        <v>75</v>
      </c>
      <c r="K19" s="2" t="str">
        <f t="shared" si="1"/>
        <v/>
      </c>
      <c r="M19" s="2" t="str">
        <f t="shared" si="9"/>
        <v>-</v>
      </c>
      <c r="N19" s="2" t="s">
        <v>78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94</v>
      </c>
      <c r="F20" s="2" t="s">
        <v>81</v>
      </c>
      <c r="G20" s="2" t="str">
        <f t="shared" ref="G20:G28" si="13">IF(NOT(ISBLANK(H20)),"-","")</f>
        <v>-</v>
      </c>
      <c r="H20" s="2" t="s">
        <v>74</v>
      </c>
      <c r="I20" s="2" t="str">
        <f t="shared" si="6"/>
        <v>_</v>
      </c>
      <c r="J20" s="2" t="s">
        <v>75</v>
      </c>
      <c r="K20" s="2" t="str">
        <f t="shared" si="1"/>
        <v/>
      </c>
      <c r="M20" s="2" t="str">
        <f t="shared" si="9"/>
        <v>-</v>
      </c>
      <c r="N20" s="2" t="s">
        <v>79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91</v>
      </c>
      <c r="F21" s="2" t="s">
        <v>81</v>
      </c>
      <c r="G21" s="2" t="str">
        <f t="shared" si="13"/>
        <v>-</v>
      </c>
      <c r="H21" s="2" t="s">
        <v>74</v>
      </c>
      <c r="I21" s="2" t="str">
        <f t="shared" si="6"/>
        <v>_</v>
      </c>
      <c r="J21" s="2" t="s">
        <v>82</v>
      </c>
      <c r="K21" s="2" t="str">
        <f t="shared" si="1"/>
        <v/>
      </c>
      <c r="M21" s="2" t="str">
        <f t="shared" si="9"/>
        <v>-</v>
      </c>
      <c r="N21" s="2" t="s">
        <v>73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95</v>
      </c>
      <c r="F22" s="2" t="s">
        <v>81</v>
      </c>
      <c r="G22" s="2" t="str">
        <f t="shared" si="13"/>
        <v>-</v>
      </c>
      <c r="H22" s="2" t="s">
        <v>74</v>
      </c>
      <c r="I22" s="2" t="str">
        <f t="shared" si="6"/>
        <v>_</v>
      </c>
      <c r="J22" s="2" t="s">
        <v>82</v>
      </c>
      <c r="K22" s="2" t="str">
        <f t="shared" si="1"/>
        <v/>
      </c>
      <c r="M22" s="2" t="str">
        <f t="shared" si="9"/>
        <v>-</v>
      </c>
      <c r="N22" s="2" t="s">
        <v>77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89</v>
      </c>
      <c r="F23" s="2" t="s">
        <v>81</v>
      </c>
      <c r="G23" s="2" t="str">
        <f t="shared" si="13"/>
        <v>-</v>
      </c>
      <c r="H23" s="2" t="s">
        <v>74</v>
      </c>
      <c r="I23" s="2" t="str">
        <f t="shared" si="6"/>
        <v>_</v>
      </c>
      <c r="J23" s="2" t="s">
        <v>82</v>
      </c>
      <c r="K23" s="2" t="str">
        <f t="shared" si="1"/>
        <v/>
      </c>
      <c r="M23" s="2" t="str">
        <f t="shared" si="9"/>
        <v>-</v>
      </c>
      <c r="N23" s="2" t="s">
        <v>78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96</v>
      </c>
      <c r="F24" s="2" t="s">
        <v>81</v>
      </c>
      <c r="G24" s="2" t="str">
        <f t="shared" si="13"/>
        <v>-</v>
      </c>
      <c r="H24" s="2" t="s">
        <v>74</v>
      </c>
      <c r="I24" s="2" t="str">
        <f t="shared" si="6"/>
        <v>_</v>
      </c>
      <c r="J24" s="2" t="s">
        <v>82</v>
      </c>
      <c r="K24" s="2" t="str">
        <f t="shared" si="1"/>
        <v/>
      </c>
      <c r="M24" s="2" t="str">
        <f t="shared" si="9"/>
        <v>-</v>
      </c>
      <c r="N24" s="2" t="s">
        <v>79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95</v>
      </c>
      <c r="F25" s="2" t="s">
        <v>81</v>
      </c>
      <c r="G25" s="2" t="str">
        <f t="shared" si="13"/>
        <v>-</v>
      </c>
      <c r="H25" s="2" t="s">
        <v>74</v>
      </c>
      <c r="I25" s="2" t="str">
        <f t="shared" si="6"/>
        <v>_</v>
      </c>
      <c r="J25" s="2" t="s">
        <v>80</v>
      </c>
      <c r="K25" s="2" t="str">
        <f t="shared" si="1"/>
        <v/>
      </c>
      <c r="M25" s="2" t="str">
        <f t="shared" si="9"/>
        <v>-</v>
      </c>
      <c r="N25" s="2" t="s">
        <v>73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89</v>
      </c>
      <c r="F26" s="2" t="s">
        <v>81</v>
      </c>
      <c r="G26" s="2" t="str">
        <f t="shared" si="13"/>
        <v>-</v>
      </c>
      <c r="H26" s="2" t="s">
        <v>74</v>
      </c>
      <c r="I26" s="2" t="str">
        <f t="shared" si="6"/>
        <v>_</v>
      </c>
      <c r="J26" s="2" t="s">
        <v>80</v>
      </c>
      <c r="K26" s="2" t="str">
        <f t="shared" si="1"/>
        <v/>
      </c>
      <c r="M26" s="2" t="str">
        <f t="shared" si="9"/>
        <v>-</v>
      </c>
      <c r="N26" s="2" t="s">
        <v>77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90</v>
      </c>
      <c r="F27" s="2" t="s">
        <v>81</v>
      </c>
      <c r="G27" s="2" t="str">
        <f t="shared" si="13"/>
        <v>-</v>
      </c>
      <c r="H27" s="2" t="s">
        <v>74</v>
      </c>
      <c r="I27" s="2" t="str">
        <f t="shared" si="6"/>
        <v>_</v>
      </c>
      <c r="J27" s="2" t="s">
        <v>80</v>
      </c>
      <c r="K27" s="2" t="str">
        <f t="shared" si="1"/>
        <v/>
      </c>
      <c r="M27" s="2" t="str">
        <f t="shared" si="9"/>
        <v>-</v>
      </c>
      <c r="N27" s="2" t="s">
        <v>78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97</v>
      </c>
      <c r="F28" s="2" t="s">
        <v>81</v>
      </c>
      <c r="G28" s="2" t="str">
        <f t="shared" si="13"/>
        <v>-</v>
      </c>
      <c r="H28" s="2" t="s">
        <v>74</v>
      </c>
      <c r="I28" s="2" t="str">
        <f t="shared" si="6"/>
        <v>_</v>
      </c>
      <c r="J28" s="2" t="s">
        <v>80</v>
      </c>
      <c r="K28" s="2" t="str">
        <f t="shared" si="1"/>
        <v/>
      </c>
      <c r="M28" s="2" t="str">
        <f t="shared" si="9"/>
        <v>-</v>
      </c>
      <c r="N28" s="2" t="s">
        <v>79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98</v>
      </c>
      <c r="F30" s="2" t="s">
        <v>81</v>
      </c>
      <c r="G30" s="2" t="str">
        <f t="shared" ref="G30:G41" si="14">IF(NOT(ISBLANK(H30)),"-","")</f>
        <v>-</v>
      </c>
      <c r="H30" s="2" t="s">
        <v>74</v>
      </c>
      <c r="I30" s="2" t="str">
        <f>IF(NOT(ISBLANK(J30)),"_","")</f>
        <v>_</v>
      </c>
      <c r="J30" s="2" t="s">
        <v>75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73</v>
      </c>
      <c r="O30" s="2" t="str">
        <f t="shared" ref="O30:O41" si="16">IF(NOT(ISBLANK(P30)),"-","")</f>
        <v>-</v>
      </c>
      <c r="P30" s="2" t="s">
        <v>23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83</v>
      </c>
      <c r="F31" s="2" t="s">
        <v>81</v>
      </c>
      <c r="G31" s="2" t="str">
        <f t="shared" si="14"/>
        <v>-</v>
      </c>
      <c r="H31" s="2" t="s">
        <v>74</v>
      </c>
      <c r="I31" s="2" t="str">
        <f t="shared" ref="I31:I41" si="20">IF(NOT(ISBLANK(J31)),"_","")</f>
        <v>_</v>
      </c>
      <c r="J31" s="2" t="s">
        <v>75</v>
      </c>
      <c r="K31" s="2" t="str">
        <f t="shared" si="1"/>
        <v/>
      </c>
      <c r="M31" s="2" t="str">
        <f t="shared" si="15"/>
        <v>-</v>
      </c>
      <c r="N31" s="2" t="s">
        <v>77</v>
      </c>
      <c r="O31" s="2" t="str">
        <f t="shared" si="16"/>
        <v>-</v>
      </c>
      <c r="P31" s="2" t="s">
        <v>23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83</v>
      </c>
      <c r="F32" s="2" t="s">
        <v>81</v>
      </c>
      <c r="G32" s="2" t="str">
        <f t="shared" si="14"/>
        <v>-</v>
      </c>
      <c r="H32" s="2" t="s">
        <v>74</v>
      </c>
      <c r="I32" s="2" t="str">
        <f t="shared" si="20"/>
        <v>_</v>
      </c>
      <c r="J32" s="2" t="s">
        <v>75</v>
      </c>
      <c r="K32" s="2" t="str">
        <f t="shared" si="1"/>
        <v/>
      </c>
      <c r="M32" s="2" t="str">
        <f t="shared" si="15"/>
        <v>-</v>
      </c>
      <c r="N32" s="2" t="s">
        <v>78</v>
      </c>
      <c r="O32" s="2" t="str">
        <f t="shared" si="16"/>
        <v>-</v>
      </c>
      <c r="P32" s="2" t="s">
        <v>23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87</v>
      </c>
      <c r="F33" s="2" t="s">
        <v>81</v>
      </c>
      <c r="G33" s="2" t="str">
        <f t="shared" si="14"/>
        <v>-</v>
      </c>
      <c r="H33" s="2" t="s">
        <v>74</v>
      </c>
      <c r="I33" s="2" t="str">
        <f t="shared" si="20"/>
        <v>_</v>
      </c>
      <c r="J33" s="2" t="s">
        <v>75</v>
      </c>
      <c r="K33" s="2" t="str">
        <f t="shared" si="1"/>
        <v/>
      </c>
      <c r="M33" s="2" t="str">
        <f t="shared" si="15"/>
        <v>-</v>
      </c>
      <c r="N33" s="2" t="s">
        <v>79</v>
      </c>
      <c r="O33" s="2" t="str">
        <f t="shared" si="16"/>
        <v>-</v>
      </c>
      <c r="P33" s="2" t="s">
        <v>23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99</v>
      </c>
      <c r="F34" s="2" t="s">
        <v>81</v>
      </c>
      <c r="G34" s="2" t="str">
        <f t="shared" si="14"/>
        <v>-</v>
      </c>
      <c r="H34" s="2" t="s">
        <v>74</v>
      </c>
      <c r="I34" s="2" t="str">
        <f t="shared" si="20"/>
        <v>_</v>
      </c>
      <c r="J34" s="2" t="s">
        <v>82</v>
      </c>
      <c r="K34" s="2" t="str">
        <f t="shared" si="1"/>
        <v/>
      </c>
      <c r="M34" s="2" t="str">
        <f t="shared" si="15"/>
        <v>-</v>
      </c>
      <c r="N34" s="2" t="s">
        <v>73</v>
      </c>
      <c r="O34" s="2" t="str">
        <f t="shared" si="16"/>
        <v>-</v>
      </c>
      <c r="P34" s="2" t="s">
        <v>23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100</v>
      </c>
      <c r="F35" s="2" t="s">
        <v>81</v>
      </c>
      <c r="G35" s="2" t="str">
        <f t="shared" si="14"/>
        <v>-</v>
      </c>
      <c r="H35" s="2" t="s">
        <v>74</v>
      </c>
      <c r="I35" s="2" t="str">
        <f t="shared" si="20"/>
        <v>_</v>
      </c>
      <c r="J35" s="2" t="s">
        <v>82</v>
      </c>
      <c r="K35" s="2" t="str">
        <f t="shared" si="1"/>
        <v/>
      </c>
      <c r="M35" s="2" t="str">
        <f t="shared" si="15"/>
        <v>-</v>
      </c>
      <c r="N35" s="2" t="s">
        <v>77</v>
      </c>
      <c r="O35" s="2" t="str">
        <f t="shared" si="16"/>
        <v>-</v>
      </c>
      <c r="P35" s="2" t="s">
        <v>23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101</v>
      </c>
      <c r="F36" s="2" t="s">
        <v>81</v>
      </c>
      <c r="G36" s="2" t="str">
        <f t="shared" si="14"/>
        <v>-</v>
      </c>
      <c r="H36" s="2" t="s">
        <v>74</v>
      </c>
      <c r="I36" s="2" t="str">
        <f t="shared" si="20"/>
        <v>_</v>
      </c>
      <c r="J36" s="2" t="s">
        <v>82</v>
      </c>
      <c r="K36" s="2" t="str">
        <f t="shared" si="1"/>
        <v/>
      </c>
      <c r="M36" s="2" t="str">
        <f t="shared" si="15"/>
        <v>-</v>
      </c>
      <c r="N36" s="2" t="s">
        <v>78</v>
      </c>
      <c r="O36" s="2" t="str">
        <f t="shared" si="16"/>
        <v>-</v>
      </c>
      <c r="P36" s="2" t="s">
        <v>23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102</v>
      </c>
      <c r="F37" s="2" t="s">
        <v>81</v>
      </c>
      <c r="G37" s="2" t="str">
        <f t="shared" si="14"/>
        <v>-</v>
      </c>
      <c r="H37" s="2" t="s">
        <v>74</v>
      </c>
      <c r="I37" s="2" t="str">
        <f t="shared" si="20"/>
        <v>_</v>
      </c>
      <c r="J37" s="2" t="s">
        <v>82</v>
      </c>
      <c r="K37" s="2" t="str">
        <f t="shared" si="1"/>
        <v/>
      </c>
      <c r="M37" s="2" t="str">
        <f t="shared" si="15"/>
        <v>-</v>
      </c>
      <c r="N37" s="2" t="s">
        <v>79</v>
      </c>
      <c r="O37" s="2" t="str">
        <f t="shared" si="16"/>
        <v>-</v>
      </c>
      <c r="P37" s="2" t="s">
        <v>23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87</v>
      </c>
      <c r="F38" s="2" t="s">
        <v>81</v>
      </c>
      <c r="G38" s="2" t="str">
        <f t="shared" si="14"/>
        <v>-</v>
      </c>
      <c r="H38" s="2" t="s">
        <v>74</v>
      </c>
      <c r="I38" s="2" t="str">
        <f t="shared" si="20"/>
        <v>_</v>
      </c>
      <c r="J38" s="2" t="s">
        <v>80</v>
      </c>
      <c r="K38" s="2" t="str">
        <f t="shared" si="1"/>
        <v/>
      </c>
      <c r="M38" s="2" t="str">
        <f t="shared" si="15"/>
        <v>-</v>
      </c>
      <c r="N38" s="2" t="s">
        <v>73</v>
      </c>
      <c r="O38" s="2" t="str">
        <f t="shared" si="16"/>
        <v>-</v>
      </c>
      <c r="P38" s="2" t="s">
        <v>23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101</v>
      </c>
      <c r="F39" s="2" t="s">
        <v>81</v>
      </c>
      <c r="G39" s="2" t="str">
        <f t="shared" si="14"/>
        <v>-</v>
      </c>
      <c r="H39" s="2" t="s">
        <v>74</v>
      </c>
      <c r="I39" s="2" t="str">
        <f t="shared" si="20"/>
        <v>_</v>
      </c>
      <c r="J39" s="2" t="s">
        <v>80</v>
      </c>
      <c r="K39" s="2" t="str">
        <f t="shared" si="1"/>
        <v/>
      </c>
      <c r="M39" s="2" t="str">
        <f t="shared" si="15"/>
        <v>-</v>
      </c>
      <c r="N39" s="2" t="s">
        <v>77</v>
      </c>
      <c r="O39" s="2" t="str">
        <f t="shared" si="16"/>
        <v>-</v>
      </c>
      <c r="P39" s="2" t="s">
        <v>23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102</v>
      </c>
      <c r="F40" s="2" t="s">
        <v>81</v>
      </c>
      <c r="G40" s="2" t="str">
        <f t="shared" si="14"/>
        <v>-</v>
      </c>
      <c r="H40" s="2" t="s">
        <v>74</v>
      </c>
      <c r="I40" s="2" t="str">
        <f t="shared" si="20"/>
        <v>_</v>
      </c>
      <c r="J40" s="2" t="s">
        <v>80</v>
      </c>
      <c r="K40" s="2" t="str">
        <f t="shared" si="1"/>
        <v/>
      </c>
      <c r="M40" s="2" t="str">
        <f t="shared" si="15"/>
        <v>-</v>
      </c>
      <c r="N40" s="2" t="s">
        <v>78</v>
      </c>
      <c r="O40" s="2" t="str">
        <f t="shared" si="16"/>
        <v>-</v>
      </c>
      <c r="P40" s="2" t="s">
        <v>23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103</v>
      </c>
      <c r="F41" s="2" t="s">
        <v>81</v>
      </c>
      <c r="G41" s="2" t="str">
        <f t="shared" si="14"/>
        <v>-</v>
      </c>
      <c r="H41" s="2" t="s">
        <v>74</v>
      </c>
      <c r="I41" s="2" t="str">
        <f t="shared" si="20"/>
        <v>_</v>
      </c>
      <c r="J41" s="2" t="s">
        <v>80</v>
      </c>
      <c r="K41" s="2" t="str">
        <f t="shared" si="1"/>
        <v/>
      </c>
      <c r="M41" s="2" t="str">
        <f t="shared" si="15"/>
        <v>-</v>
      </c>
      <c r="N41" s="2" t="s">
        <v>79</v>
      </c>
      <c r="O41" s="2" t="str">
        <f t="shared" si="16"/>
        <v>-</v>
      </c>
      <c r="P41" s="2" t="s">
        <v>23</v>
      </c>
    </row>
    <row r="43" spans="1:18" x14ac:dyDescent="0.25">
      <c r="A43" s="3" t="s">
        <v>104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88</v>
      </c>
      <c r="F44" s="2" t="s">
        <v>81</v>
      </c>
      <c r="G44" s="2" t="str">
        <f t="shared" ref="G44" si="21">IF(NOT(ISBLANK(H44)),"-","")</f>
        <v>-</v>
      </c>
      <c r="H44" s="2" t="s">
        <v>105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106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91</v>
      </c>
      <c r="F45" s="2" t="s">
        <v>81</v>
      </c>
      <c r="G45" s="2" t="str">
        <f t="shared" ref="G45:G50" si="26">IF(NOT(ISBLANK(H45)),"-","")</f>
        <v>-</v>
      </c>
      <c r="H45" s="2" t="s">
        <v>105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73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95</v>
      </c>
      <c r="F46" s="2" t="s">
        <v>81</v>
      </c>
      <c r="G46" s="2" t="str">
        <f t="shared" si="26"/>
        <v>-</v>
      </c>
      <c r="H46" s="2" t="s">
        <v>105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77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90</v>
      </c>
      <c r="F47" s="2" t="s">
        <v>81</v>
      </c>
      <c r="G47" s="2" t="str">
        <f t="shared" si="26"/>
        <v>-</v>
      </c>
      <c r="H47" s="2" t="s">
        <v>105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78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92</v>
      </c>
      <c r="F48" s="2" t="s">
        <v>81</v>
      </c>
      <c r="G48" s="2" t="str">
        <f t="shared" si="26"/>
        <v>-</v>
      </c>
      <c r="H48" s="2" t="s">
        <v>105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79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95</v>
      </c>
      <c r="F50" s="2" t="s">
        <v>81</v>
      </c>
      <c r="G50" s="2" t="str">
        <f t="shared" si="26"/>
        <v>-</v>
      </c>
      <c r="H50" s="2" t="s">
        <v>105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106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95</v>
      </c>
      <c r="F51" s="2" t="s">
        <v>81</v>
      </c>
      <c r="G51" s="2" t="str">
        <f t="shared" ref="G51:G54" si="33">IF(NOT(ISBLANK(H51)),"-","")</f>
        <v>-</v>
      </c>
      <c r="H51" s="2" t="s">
        <v>105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73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89</v>
      </c>
      <c r="F52" s="2" t="s">
        <v>81</v>
      </c>
      <c r="G52" s="2" t="str">
        <f t="shared" si="33"/>
        <v>-</v>
      </c>
      <c r="H52" s="2" t="s">
        <v>105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77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96</v>
      </c>
      <c r="F53" s="2" t="s">
        <v>81</v>
      </c>
      <c r="G53" s="2" t="str">
        <f t="shared" si="33"/>
        <v>-</v>
      </c>
      <c r="H53" s="2" t="s">
        <v>105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78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97</v>
      </c>
      <c r="F54" s="2" t="s">
        <v>81</v>
      </c>
      <c r="G54" s="2" t="str">
        <f t="shared" si="33"/>
        <v>-</v>
      </c>
      <c r="H54" s="2" t="s">
        <v>105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79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88</v>
      </c>
      <c r="F56" s="2" t="s">
        <v>81</v>
      </c>
      <c r="G56" s="2" t="str">
        <f t="shared" ref="G56:G60" si="40">IF(NOT(ISBLANK(H56)),"-","")</f>
        <v>-</v>
      </c>
      <c r="H56" s="2" t="s">
        <v>105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106</v>
      </c>
      <c r="O56" s="2" t="str">
        <f t="shared" ref="O56:O60" si="42">IF(NOT(ISBLANK(P56)),"-","")</f>
        <v>-</v>
      </c>
      <c r="P56" s="2" t="s">
        <v>23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91</v>
      </c>
      <c r="F57" s="2" t="s">
        <v>81</v>
      </c>
      <c r="G57" s="2" t="str">
        <f t="shared" si="40"/>
        <v>-</v>
      </c>
      <c r="H57" s="2" t="s">
        <v>105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73</v>
      </c>
      <c r="O57" s="2" t="str">
        <f t="shared" si="42"/>
        <v>-</v>
      </c>
      <c r="P57" s="2" t="s">
        <v>23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95</v>
      </c>
      <c r="F58" s="2" t="s">
        <v>81</v>
      </c>
      <c r="G58" s="2" t="str">
        <f t="shared" si="40"/>
        <v>-</v>
      </c>
      <c r="H58" s="2" t="s">
        <v>105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77</v>
      </c>
      <c r="O58" s="2" t="str">
        <f t="shared" si="42"/>
        <v>-</v>
      </c>
      <c r="P58" s="2" t="s">
        <v>23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90</v>
      </c>
      <c r="F59" s="2" t="s">
        <v>81</v>
      </c>
      <c r="G59" s="2" t="str">
        <f t="shared" si="40"/>
        <v>-</v>
      </c>
      <c r="H59" s="2" t="s">
        <v>105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78</v>
      </c>
      <c r="O59" s="2" t="str">
        <f t="shared" si="42"/>
        <v>-</v>
      </c>
      <c r="P59" s="2" t="s">
        <v>23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92</v>
      </c>
      <c r="F60" s="2" t="s">
        <v>81</v>
      </c>
      <c r="G60" s="2" t="str">
        <f t="shared" si="40"/>
        <v>-</v>
      </c>
      <c r="H60" s="2" t="s">
        <v>105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79</v>
      </c>
      <c r="O60" s="2" t="str">
        <f t="shared" si="42"/>
        <v>-</v>
      </c>
      <c r="P60" s="2" t="s">
        <v>23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88</v>
      </c>
      <c r="F62" s="2" t="s">
        <v>81</v>
      </c>
      <c r="G62" s="2" t="str">
        <f t="shared" ref="G62:G66" si="47">IF(NOT(ISBLANK(H62)),"-","")</f>
        <v>-</v>
      </c>
      <c r="H62" s="2" t="s">
        <v>105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106</v>
      </c>
      <c r="O62" s="2" t="str">
        <f t="shared" ref="O62:O66" si="50">IF(NOT(ISBLANK(P62)),"-","")</f>
        <v>-</v>
      </c>
      <c r="P62" s="2" t="s">
        <v>23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91</v>
      </c>
      <c r="F63" s="2" t="s">
        <v>81</v>
      </c>
      <c r="G63" s="2" t="str">
        <f t="shared" si="47"/>
        <v>-</v>
      </c>
      <c r="H63" s="2" t="s">
        <v>105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73</v>
      </c>
      <c r="O63" s="2" t="str">
        <f t="shared" si="50"/>
        <v>-</v>
      </c>
      <c r="P63" s="2" t="s">
        <v>23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95</v>
      </c>
      <c r="F64" s="2" t="s">
        <v>81</v>
      </c>
      <c r="G64" s="2" t="str">
        <f t="shared" si="47"/>
        <v>-</v>
      </c>
      <c r="H64" s="2" t="s">
        <v>105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77</v>
      </c>
      <c r="O64" s="2" t="str">
        <f t="shared" si="50"/>
        <v>-</v>
      </c>
      <c r="P64" s="2" t="s">
        <v>23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90</v>
      </c>
      <c r="F65" s="2" t="s">
        <v>81</v>
      </c>
      <c r="G65" s="2" t="str">
        <f t="shared" si="47"/>
        <v>-</v>
      </c>
      <c r="H65" s="2" t="s">
        <v>105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78</v>
      </c>
      <c r="O65" s="2" t="str">
        <f t="shared" si="50"/>
        <v>-</v>
      </c>
      <c r="P65" s="2" t="s">
        <v>23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92</v>
      </c>
      <c r="F66" s="2" t="s">
        <v>81</v>
      </c>
      <c r="G66" s="2" t="str">
        <f t="shared" si="47"/>
        <v>-</v>
      </c>
      <c r="H66" s="2" t="s">
        <v>105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79</v>
      </c>
      <c r="O66" s="2" t="str">
        <f t="shared" si="50"/>
        <v>-</v>
      </c>
      <c r="P66" s="2" t="s">
        <v>23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2025-12-23T15:12:26Z</dcterms:modified>
</cp:coreProperties>
</file>