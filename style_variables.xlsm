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0B925ED3-215C-4959-8F5B-D5468C121BDD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38" i="5" l="1"/>
  <c r="AF238" i="5"/>
  <c r="AD238" i="5"/>
  <c r="B238" i="5" s="1"/>
  <c r="AB238" i="5"/>
  <c r="AH237" i="5"/>
  <c r="AF237" i="5"/>
  <c r="AD237" i="5"/>
  <c r="AB237" i="5"/>
  <c r="B237" i="5"/>
  <c r="AH236" i="5"/>
  <c r="AF236" i="5"/>
  <c r="AD236" i="5"/>
  <c r="AB236" i="5"/>
  <c r="B236" i="5"/>
  <c r="AH234" i="5"/>
  <c r="AF234" i="5"/>
  <c r="AD234" i="5"/>
  <c r="AB234" i="5"/>
  <c r="B234" i="5"/>
  <c r="AH233" i="5"/>
  <c r="AF233" i="5"/>
  <c r="AD233" i="5"/>
  <c r="AB233" i="5"/>
  <c r="AH232" i="5"/>
  <c r="AF232" i="5"/>
  <c r="AD232" i="5"/>
  <c r="AB232" i="5"/>
  <c r="M332" i="5"/>
  <c r="M331" i="5"/>
  <c r="M324" i="5"/>
  <c r="M323" i="5"/>
  <c r="M317" i="5"/>
  <c r="M316" i="5"/>
  <c r="M310" i="5"/>
  <c r="M309" i="5"/>
  <c r="M303" i="5"/>
  <c r="M302" i="5"/>
  <c r="M296" i="5"/>
  <c r="M295" i="5"/>
  <c r="M288" i="5"/>
  <c r="M287" i="5"/>
  <c r="M278" i="5"/>
  <c r="M277" i="5"/>
  <c r="M268" i="5"/>
  <c r="M267" i="5"/>
  <c r="M257" i="5"/>
  <c r="M256" i="5"/>
  <c r="AH311" i="5"/>
  <c r="AF311" i="5"/>
  <c r="AD311" i="5"/>
  <c r="AB311" i="5"/>
  <c r="AH310" i="5"/>
  <c r="AF310" i="5"/>
  <c r="AD310" i="5"/>
  <c r="AB310" i="5"/>
  <c r="J310" i="5"/>
  <c r="G310" i="5"/>
  <c r="D310" i="5"/>
  <c r="B310" i="5"/>
  <c r="AH309" i="5"/>
  <c r="AF309" i="5"/>
  <c r="AD309" i="5"/>
  <c r="AB309" i="5"/>
  <c r="J309" i="5"/>
  <c r="G309" i="5"/>
  <c r="D309" i="5"/>
  <c r="B309" i="5"/>
  <c r="AH308" i="5"/>
  <c r="AF308" i="5"/>
  <c r="AD308" i="5"/>
  <c r="AB308" i="5"/>
  <c r="J308" i="5"/>
  <c r="I308" i="5"/>
  <c r="AH307" i="5"/>
  <c r="AF307" i="5"/>
  <c r="AD307" i="5"/>
  <c r="AB307" i="5"/>
  <c r="B307" i="5" s="1"/>
  <c r="J307" i="5"/>
  <c r="I307" i="5"/>
  <c r="AH306" i="5"/>
  <c r="AF306" i="5"/>
  <c r="AD306" i="5"/>
  <c r="AB306" i="5"/>
  <c r="B306" i="5" s="1"/>
  <c r="J306" i="5"/>
  <c r="I306" i="5"/>
  <c r="AH305" i="5"/>
  <c r="AF305" i="5"/>
  <c r="AD305" i="5"/>
  <c r="AB305" i="5"/>
  <c r="J305" i="5"/>
  <c r="I305" i="5"/>
  <c r="G317" i="5"/>
  <c r="G316" i="5"/>
  <c r="G324" i="5"/>
  <c r="G323" i="5"/>
  <c r="G303" i="5"/>
  <c r="G302" i="5"/>
  <c r="G296" i="5"/>
  <c r="G295" i="5"/>
  <c r="J303" i="5"/>
  <c r="J302" i="5"/>
  <c r="J333" i="5"/>
  <c r="I333" i="5"/>
  <c r="AH337" i="5"/>
  <c r="AF337" i="5"/>
  <c r="AD337" i="5"/>
  <c r="AB337" i="5"/>
  <c r="AH335" i="5"/>
  <c r="AF335" i="5"/>
  <c r="AD335" i="5"/>
  <c r="AB335" i="5"/>
  <c r="AH333" i="5"/>
  <c r="AF333" i="5"/>
  <c r="AD333" i="5"/>
  <c r="AB333" i="5"/>
  <c r="B333" i="5" s="1"/>
  <c r="J334" i="5"/>
  <c r="I334" i="5"/>
  <c r="J332" i="5"/>
  <c r="G332" i="5"/>
  <c r="D332" i="5"/>
  <c r="J331" i="5"/>
  <c r="G331" i="5"/>
  <c r="D331" i="5"/>
  <c r="J330" i="5"/>
  <c r="I330" i="5"/>
  <c r="AH329" i="5"/>
  <c r="AF329" i="5"/>
  <c r="AD329" i="5"/>
  <c r="AB329" i="5"/>
  <c r="AH338" i="5"/>
  <c r="AF338" i="5"/>
  <c r="AD338" i="5"/>
  <c r="AB338" i="5"/>
  <c r="AH336" i="5"/>
  <c r="AF336" i="5"/>
  <c r="AD336" i="5"/>
  <c r="AB336" i="5"/>
  <c r="AH334" i="5"/>
  <c r="AF334" i="5"/>
  <c r="AD334" i="5"/>
  <c r="AB334" i="5"/>
  <c r="AH293" i="5"/>
  <c r="AF293" i="5"/>
  <c r="AD293" i="5"/>
  <c r="AB293" i="5"/>
  <c r="J293" i="5"/>
  <c r="I293" i="5"/>
  <c r="AH291" i="5"/>
  <c r="AF291" i="5"/>
  <c r="AD291" i="5"/>
  <c r="AB291" i="5"/>
  <c r="J291" i="5"/>
  <c r="I291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88" i="5"/>
  <c r="AH287" i="5"/>
  <c r="AH286" i="5"/>
  <c r="AH285" i="5"/>
  <c r="AH284" i="5"/>
  <c r="AH283" i="5"/>
  <c r="AH282" i="5"/>
  <c r="AH281" i="5"/>
  <c r="AH280" i="5"/>
  <c r="AH278" i="5"/>
  <c r="AH277" i="5"/>
  <c r="AH275" i="5"/>
  <c r="AH274" i="5"/>
  <c r="AH273" i="5"/>
  <c r="AH272" i="5"/>
  <c r="AH271" i="5"/>
  <c r="AH270" i="5"/>
  <c r="AH268" i="5"/>
  <c r="AH267" i="5"/>
  <c r="AH265" i="5"/>
  <c r="AH264" i="5"/>
  <c r="AH263" i="5"/>
  <c r="AH262" i="5"/>
  <c r="AH261" i="5"/>
  <c r="AH260" i="5"/>
  <c r="AH2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AH332" i="5"/>
  <c r="AH331" i="5"/>
  <c r="AH330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04" i="5"/>
  <c r="AH303" i="5"/>
  <c r="AH302" i="5"/>
  <c r="AH301" i="5"/>
  <c r="AH300" i="5"/>
  <c r="AH299" i="5"/>
  <c r="AH298" i="5"/>
  <c r="AH297" i="5"/>
  <c r="AH296" i="5"/>
  <c r="AH295" i="5"/>
  <c r="AH294" i="5"/>
  <c r="AH292" i="5"/>
  <c r="AH290" i="5"/>
  <c r="AH289" i="5"/>
  <c r="AH279" i="5"/>
  <c r="AH276" i="5"/>
  <c r="AH269" i="5"/>
  <c r="AH266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35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81" i="5"/>
  <c r="AD281" i="5"/>
  <c r="AB281" i="5"/>
  <c r="V281" i="5"/>
  <c r="U281" i="5"/>
  <c r="J281" i="5"/>
  <c r="I281" i="5"/>
  <c r="AF271" i="5"/>
  <c r="AD271" i="5"/>
  <c r="AB271" i="5"/>
  <c r="V271" i="5"/>
  <c r="U271" i="5"/>
  <c r="J271" i="5"/>
  <c r="I271" i="5"/>
  <c r="AF261" i="5"/>
  <c r="AD261" i="5"/>
  <c r="AB261" i="5"/>
  <c r="V261" i="5"/>
  <c r="U261" i="5"/>
  <c r="J261" i="5"/>
  <c r="I261" i="5"/>
  <c r="AF250" i="5"/>
  <c r="AD250" i="5"/>
  <c r="AB250" i="5"/>
  <c r="V250" i="5"/>
  <c r="U250" i="5"/>
  <c r="J250" i="5"/>
  <c r="I25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88" i="5"/>
  <c r="G287" i="5"/>
  <c r="G278" i="5"/>
  <c r="G277" i="5"/>
  <c r="G268" i="5"/>
  <c r="G267" i="5"/>
  <c r="G257" i="5"/>
  <c r="G256" i="5"/>
  <c r="D288" i="5"/>
  <c r="D287" i="5"/>
  <c r="D278" i="5"/>
  <c r="D277" i="5"/>
  <c r="D268" i="5"/>
  <c r="D267" i="5"/>
  <c r="D257" i="5"/>
  <c r="D256" i="5"/>
  <c r="AF249" i="5"/>
  <c r="AD249" i="5"/>
  <c r="AB249" i="5"/>
  <c r="V249" i="5"/>
  <c r="U249" i="5"/>
  <c r="J249" i="5"/>
  <c r="I24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0" i="5"/>
  <c r="V270" i="5"/>
  <c r="V255" i="5"/>
  <c r="V260" i="5"/>
  <c r="V266" i="5"/>
  <c r="J255" i="5"/>
  <c r="I255" i="5"/>
  <c r="J266" i="5"/>
  <c r="J276" i="5"/>
  <c r="V276" i="5" s="1"/>
  <c r="J286" i="5"/>
  <c r="V286" i="5" s="1"/>
  <c r="J280" i="5"/>
  <c r="J270" i="5"/>
  <c r="U246" i="5"/>
  <c r="U245" i="5"/>
  <c r="U244" i="5"/>
  <c r="U255" i="5"/>
  <c r="AF253" i="5"/>
  <c r="AD253" i="5"/>
  <c r="AB253" i="5"/>
  <c r="AF251" i="5"/>
  <c r="AD251" i="5"/>
  <c r="AB251" i="5"/>
  <c r="J260" i="5"/>
  <c r="J246" i="5"/>
  <c r="I246" i="5"/>
  <c r="I245" i="5"/>
  <c r="I244" i="5"/>
  <c r="J257" i="5"/>
  <c r="J256" i="5"/>
  <c r="J268" i="5"/>
  <c r="J267" i="5"/>
  <c r="J277" i="5"/>
  <c r="J278" i="5"/>
  <c r="J287" i="5"/>
  <c r="J288" i="5"/>
  <c r="AF303" i="5"/>
  <c r="AD303" i="5"/>
  <c r="AB303" i="5"/>
  <c r="D303" i="5"/>
  <c r="AF302" i="5"/>
  <c r="AD302" i="5"/>
  <c r="AB302" i="5"/>
  <c r="D302" i="5"/>
  <c r="AF301" i="5"/>
  <c r="AD301" i="5"/>
  <c r="AB301" i="5"/>
  <c r="J301" i="5"/>
  <c r="I301" i="5"/>
  <c r="AF300" i="5"/>
  <c r="AD300" i="5"/>
  <c r="AB300" i="5"/>
  <c r="J300" i="5"/>
  <c r="I300" i="5"/>
  <c r="AF299" i="5"/>
  <c r="AD299" i="5"/>
  <c r="AB299" i="5"/>
  <c r="J299" i="5"/>
  <c r="I299" i="5"/>
  <c r="AF298" i="5"/>
  <c r="AD298" i="5"/>
  <c r="AB298" i="5"/>
  <c r="J298" i="5"/>
  <c r="I298" i="5"/>
  <c r="AF297" i="5"/>
  <c r="AD297" i="5"/>
  <c r="AB297" i="5"/>
  <c r="AF317" i="5"/>
  <c r="AD317" i="5"/>
  <c r="AB317" i="5"/>
  <c r="J317" i="5"/>
  <c r="I317" i="5"/>
  <c r="D317" i="5"/>
  <c r="AF316" i="5"/>
  <c r="AD316" i="5"/>
  <c r="AB316" i="5"/>
  <c r="J316" i="5"/>
  <c r="I316" i="5"/>
  <c r="D316" i="5"/>
  <c r="AF315" i="5"/>
  <c r="AD315" i="5"/>
  <c r="AB315" i="5"/>
  <c r="J315" i="5"/>
  <c r="I315" i="5"/>
  <c r="AF314" i="5"/>
  <c r="AD314" i="5"/>
  <c r="AB314" i="5"/>
  <c r="J314" i="5"/>
  <c r="I314" i="5"/>
  <c r="AF313" i="5"/>
  <c r="AD313" i="5"/>
  <c r="AB313" i="5"/>
  <c r="J313" i="5"/>
  <c r="I313" i="5"/>
  <c r="AF312" i="5"/>
  <c r="AD312" i="5"/>
  <c r="AB312" i="5"/>
  <c r="J312" i="5"/>
  <c r="I312" i="5"/>
  <c r="AF304" i="5"/>
  <c r="AD304" i="5"/>
  <c r="AB304" i="5"/>
  <c r="J322" i="5"/>
  <c r="J321" i="5"/>
  <c r="I322" i="5"/>
  <c r="I321" i="5"/>
  <c r="J320" i="5"/>
  <c r="J319" i="5"/>
  <c r="I320" i="5"/>
  <c r="I319" i="5"/>
  <c r="AF321" i="5"/>
  <c r="AD321" i="5"/>
  <c r="AB321" i="5"/>
  <c r="AF319" i="5"/>
  <c r="AD319" i="5"/>
  <c r="AB319" i="5"/>
  <c r="AF322" i="5"/>
  <c r="AD322" i="5"/>
  <c r="AB322" i="5"/>
  <c r="AF320" i="5"/>
  <c r="AD320" i="5"/>
  <c r="AB320" i="5"/>
  <c r="J294" i="5"/>
  <c r="J292" i="5"/>
  <c r="I292" i="5"/>
  <c r="I294" i="5"/>
  <c r="AF294" i="5"/>
  <c r="AD294" i="5"/>
  <c r="AB294" i="5"/>
  <c r="AF292" i="5"/>
  <c r="AD292" i="5"/>
  <c r="AB292" i="5"/>
  <c r="J324" i="5"/>
  <c r="J323" i="5"/>
  <c r="J296" i="5"/>
  <c r="D324" i="5"/>
  <c r="D323" i="5"/>
  <c r="D296" i="5"/>
  <c r="J295" i="5"/>
  <c r="D295" i="5"/>
  <c r="U280" i="5"/>
  <c r="U270" i="5"/>
  <c r="U260" i="5"/>
  <c r="U286" i="5"/>
  <c r="U276" i="5"/>
  <c r="U266" i="5"/>
  <c r="AF266" i="5"/>
  <c r="AD266" i="5"/>
  <c r="AB266" i="5"/>
  <c r="I266" i="5"/>
  <c r="AF276" i="5"/>
  <c r="AD276" i="5"/>
  <c r="AB276" i="5"/>
  <c r="I276" i="5"/>
  <c r="I286" i="5"/>
  <c r="AF286" i="5"/>
  <c r="AD286" i="5"/>
  <c r="AB286" i="5"/>
  <c r="AF264" i="5"/>
  <c r="AD264" i="5"/>
  <c r="AB264" i="5"/>
  <c r="AF262" i="5"/>
  <c r="AD262" i="5"/>
  <c r="AB262" i="5"/>
  <c r="AF260" i="5"/>
  <c r="AD260" i="5"/>
  <c r="AB260" i="5"/>
  <c r="I260" i="5"/>
  <c r="AF278" i="5"/>
  <c r="AD278" i="5"/>
  <c r="AB278" i="5"/>
  <c r="AF277" i="5"/>
  <c r="AD277" i="5"/>
  <c r="AB277" i="5"/>
  <c r="AF275" i="5"/>
  <c r="AD275" i="5"/>
  <c r="AB275" i="5"/>
  <c r="AF274" i="5"/>
  <c r="AD274" i="5"/>
  <c r="AB274" i="5"/>
  <c r="AF273" i="5"/>
  <c r="AD273" i="5"/>
  <c r="AB273" i="5"/>
  <c r="AF272" i="5"/>
  <c r="AD272" i="5"/>
  <c r="AB272" i="5"/>
  <c r="AF270" i="5"/>
  <c r="AD270" i="5"/>
  <c r="AB270" i="5"/>
  <c r="I270" i="5"/>
  <c r="AF269" i="5"/>
  <c r="AF284" i="5"/>
  <c r="AD284" i="5"/>
  <c r="AB284" i="5"/>
  <c r="AF282" i="5"/>
  <c r="AD282" i="5"/>
  <c r="AB282" i="5"/>
  <c r="I280" i="5"/>
  <c r="AF280" i="5"/>
  <c r="AD280" i="5"/>
  <c r="AB280" i="5"/>
  <c r="AF288" i="5"/>
  <c r="AF287" i="5"/>
  <c r="AF285" i="5"/>
  <c r="AF283" i="5"/>
  <c r="AF279" i="5"/>
  <c r="AD288" i="5"/>
  <c r="AB288" i="5"/>
  <c r="AD287" i="5"/>
  <c r="AB287" i="5"/>
  <c r="AD285" i="5"/>
  <c r="AB285" i="5"/>
  <c r="AD283" i="5"/>
  <c r="AB283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32" i="5"/>
  <c r="AF331" i="5"/>
  <c r="AF330" i="5"/>
  <c r="AF328" i="5"/>
  <c r="AF327" i="5"/>
  <c r="AF326" i="5"/>
  <c r="AF325" i="5"/>
  <c r="AF324" i="5"/>
  <c r="AF323" i="5"/>
  <c r="AF318" i="5"/>
  <c r="AF296" i="5"/>
  <c r="AF295" i="5"/>
  <c r="AF290" i="5"/>
  <c r="AF289" i="5"/>
  <c r="AF268" i="5"/>
  <c r="AF267" i="5"/>
  <c r="AD332" i="5"/>
  <c r="AD331" i="5"/>
  <c r="AD330" i="5"/>
  <c r="AD328" i="5"/>
  <c r="AD327" i="5"/>
  <c r="AD326" i="5"/>
  <c r="AD325" i="5"/>
  <c r="AD324" i="5"/>
  <c r="AD323" i="5"/>
  <c r="AD318" i="5"/>
  <c r="AD296" i="5"/>
  <c r="AD295" i="5"/>
  <c r="AD290" i="5"/>
  <c r="AD289" i="5"/>
  <c r="AD268" i="5"/>
  <c r="AD267" i="5"/>
  <c r="AB332" i="5"/>
  <c r="AB331" i="5"/>
  <c r="AB330" i="5"/>
  <c r="AB328" i="5"/>
  <c r="AB327" i="5"/>
  <c r="AB326" i="5"/>
  <c r="AB325" i="5"/>
  <c r="AB324" i="5"/>
  <c r="AB323" i="5"/>
  <c r="AB318" i="5"/>
  <c r="AB296" i="5"/>
  <c r="AB295" i="5"/>
  <c r="AB290" i="5"/>
  <c r="AB289" i="5"/>
  <c r="AB268" i="5"/>
  <c r="I324" i="5"/>
  <c r="I323" i="5"/>
  <c r="I296" i="5"/>
  <c r="I295" i="5"/>
  <c r="AF265" i="5"/>
  <c r="AF263" i="5"/>
  <c r="AD265" i="5"/>
  <c r="AD263" i="5"/>
  <c r="AB267" i="5"/>
  <c r="AB265" i="5"/>
  <c r="AB263" i="5"/>
  <c r="AF259" i="5"/>
  <c r="AF258" i="5"/>
  <c r="AF257" i="5"/>
  <c r="AF256" i="5"/>
  <c r="AF255" i="5"/>
  <c r="AF254" i="5"/>
  <c r="AF252" i="5"/>
  <c r="AF248" i="5"/>
  <c r="AF247" i="5"/>
  <c r="AF246" i="5"/>
  <c r="AF245" i="5"/>
  <c r="AF244" i="5"/>
  <c r="AF243" i="5"/>
  <c r="AF235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9" i="5"/>
  <c r="AD258" i="5"/>
  <c r="AD257" i="5"/>
  <c r="AD256" i="5"/>
  <c r="AD255" i="5"/>
  <c r="AD254" i="5"/>
  <c r="AD252" i="5"/>
  <c r="AD248" i="5"/>
  <c r="AD247" i="5"/>
  <c r="AD246" i="5"/>
  <c r="AD245" i="5"/>
  <c r="AD244" i="5"/>
  <c r="AD243" i="5"/>
  <c r="AD235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9" i="5"/>
  <c r="AB258" i="5"/>
  <c r="AB257" i="5"/>
  <c r="AB256" i="5"/>
  <c r="AB255" i="5"/>
  <c r="AB254" i="5"/>
  <c r="AB252" i="5"/>
  <c r="AB248" i="5"/>
  <c r="AB247" i="5"/>
  <c r="AB246" i="5"/>
  <c r="AB245" i="5"/>
  <c r="AB244" i="5"/>
  <c r="AB243" i="5"/>
  <c r="AB235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93" i="5" l="1"/>
  <c r="B128" i="5"/>
  <c r="B126" i="5"/>
  <c r="B235" i="5"/>
  <c r="B337" i="5"/>
  <c r="B308" i="5"/>
  <c r="B305" i="5"/>
  <c r="B160" i="5"/>
  <c r="B152" i="5"/>
  <c r="B121" i="5"/>
  <c r="B338" i="5"/>
  <c r="B154" i="5"/>
  <c r="B335" i="5"/>
  <c r="B159" i="5"/>
  <c r="B334" i="5"/>
  <c r="B98" i="5"/>
  <c r="B127" i="5"/>
  <c r="B336" i="5"/>
  <c r="B124" i="5"/>
  <c r="B157" i="5"/>
  <c r="B291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67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68" i="5"/>
  <c r="B186" i="5"/>
  <c r="B271" i="5"/>
  <c r="B261" i="5"/>
  <c r="B110" i="5"/>
  <c r="B108" i="5"/>
  <c r="B43" i="5"/>
  <c r="B228" i="5"/>
  <c r="B332" i="5"/>
  <c r="B331" i="5"/>
  <c r="B330" i="5"/>
  <c r="B328" i="5"/>
  <c r="B327" i="5"/>
  <c r="B323" i="5"/>
  <c r="B296" i="5"/>
  <c r="B295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0" i="5"/>
  <c r="B278" i="5"/>
  <c r="B277" i="5"/>
  <c r="B275" i="5"/>
  <c r="B273" i="5"/>
  <c r="B272" i="5"/>
  <c r="B270" i="5"/>
  <c r="B280" i="5"/>
  <c r="B114" i="5"/>
  <c r="B11" i="5"/>
  <c r="B78" i="5"/>
  <c r="B324" i="5"/>
  <c r="B82" i="5"/>
  <c r="B81" i="5"/>
  <c r="B80" i="5"/>
  <c r="B231" i="5"/>
  <c r="B282" i="5"/>
  <c r="B315" i="5"/>
  <c r="B313" i="5"/>
  <c r="B294" i="5"/>
  <c r="B292" i="5"/>
  <c r="B109" i="5"/>
  <c r="B107" i="5"/>
  <c r="B230" i="5"/>
  <c r="B266" i="5"/>
  <c r="B276" i="5"/>
  <c r="B59" i="5"/>
  <c r="B58" i="5"/>
  <c r="B57" i="5"/>
  <c r="B56" i="5"/>
  <c r="B55" i="5"/>
  <c r="B281" i="5"/>
  <c r="B48" i="5"/>
  <c r="B317" i="5"/>
  <c r="B31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03" i="5"/>
  <c r="B302" i="5"/>
  <c r="B301" i="5"/>
  <c r="B299" i="5"/>
  <c r="B274" i="5"/>
  <c r="B66" i="5"/>
  <c r="B65" i="5"/>
  <c r="B64" i="5"/>
  <c r="B255" i="5"/>
  <c r="B246" i="5"/>
  <c r="B245" i="5"/>
  <c r="B24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49" i="5"/>
  <c r="B286" i="5"/>
  <c r="B264" i="5"/>
  <c r="B262" i="5"/>
  <c r="B284" i="5"/>
  <c r="B288" i="5"/>
  <c r="B287" i="5"/>
  <c r="B285" i="5"/>
  <c r="B283" i="5"/>
  <c r="B265" i="5"/>
  <c r="B263" i="5"/>
  <c r="B322" i="5"/>
  <c r="B321" i="5"/>
  <c r="B320" i="5"/>
  <c r="B319" i="5"/>
  <c r="B300" i="5"/>
  <c r="B298" i="5"/>
  <c r="B312" i="5"/>
  <c r="B314" i="5"/>
  <c r="B257" i="5"/>
  <c r="B256" i="5"/>
  <c r="B254" i="5"/>
  <c r="B253" i="5"/>
  <c r="B252" i="5"/>
  <c r="B251" i="5"/>
  <c r="B25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<sst xmlns="http://schemas.openxmlformats.org/spreadsheetml/2006/main" count="3995" uniqueCount="384">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</sst>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  <xf numFmtId="49" fontId="0" fillId="27" borderId="0" xfId="0" applyNumberFormat="1" applyFont="1" applyFill="1"/>
    <xf numFmtId="49" fontId="0" fillId="0" borderId="0" xfId="0" applyNumberFormat="1" applyFont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57"/>
  <sheetViews>
    <sheetView tabSelected="1" topLeftCell="A3" zoomScale="85" zoomScaleNormal="85" workbookViewId="0">
      <pane ySplit="4" topLeftCell="A31" activePane="bottomLeft" state="frozen"/>
      <selection activeCell="A3" sqref="A3"/>
      <selection pane="bottomLeft" activeCell="J72" sqref="J72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X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X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9" si="181">IF(NOT(ISBLANK(AC130)),"-","")</f>
        <v/>
      </c>
      <c r="AC130" s="4"/>
      <c r="AD130" s="4" t="str">
        <f t="shared" ref="AD130:AD263" si="182">IF(NOT(ISBLANK(AE130)),"_","")</f>
        <v/>
      </c>
      <c r="AE130" s="4"/>
      <c r="AF130" s="4" t="str">
        <f t="shared" ref="AF130:AF263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4" si="285">IF(NOT(ISBLANK(AC228)),"-","")</f>
        <v>-</v>
      </c>
      <c r="AC228" s="2" t="s">
        <v>51</v>
      </c>
      <c r="AD228" s="2" t="str">
        <f t="shared" ref="AD228:AD234" si="286">IF(NOT(ISBLANK(AE228)),"_","")</f>
        <v>_</v>
      </c>
      <c r="AE228" s="2" t="s">
        <v>239</v>
      </c>
      <c r="AF228" s="2" t="str">
        <f t="shared" ref="AF228:AF234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4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" si="292">_xlfn.CONCAT("@",AA234,AB234,AC234,AD234,AE234,AF234,AG234,AH234,AI234)</f>
        <v>@fill-opacity-landcover_scrub_mid</v>
      </c>
      <c r="C234" s="28" t="s">
        <v>80</v>
      </c>
      <c r="D234" s="28" t="s">
        <v>80</v>
      </c>
      <c r="F234" s="28" t="s">
        <v>80</v>
      </c>
      <c r="G234" s="28" t="s">
        <v>80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si="285"/>
        <v>-</v>
      </c>
      <c r="AC234" s="28" t="s">
        <v>51</v>
      </c>
      <c r="AD234" s="28" t="str">
        <f t="shared" si="286"/>
        <v>_</v>
      </c>
      <c r="AE234" s="28" t="s">
        <v>373</v>
      </c>
      <c r="AF234" s="28" t="str">
        <f t="shared" si="287"/>
        <v>_</v>
      </c>
      <c r="AG234" s="28" t="s">
        <v>375</v>
      </c>
      <c r="AH234" s="28" t="str">
        <f t="shared" si="291"/>
        <v/>
      </c>
    </row>
    <row r="235" spans="1:35" x14ac:dyDescent="0.25">
      <c r="B235" s="2" t="str">
        <f t="shared" ref="B235" si="293">_xlfn.CONCAT("@",AA235,AB235,AC235,AD235,AE235,AF235,AG235,AH235,AI235)</f>
        <v>@fill-opacity-landcover_scrub_full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181"/>
        <v>-</v>
      </c>
      <c r="AC235" s="28" t="s">
        <v>51</v>
      </c>
      <c r="AD235" s="28" t="str">
        <f t="shared" si="182"/>
        <v>_</v>
      </c>
      <c r="AE235" s="28" t="s">
        <v>373</v>
      </c>
      <c r="AF235" s="28" t="str">
        <f t="shared" si="183"/>
        <v>_</v>
      </c>
      <c r="AG235" s="28" t="s">
        <v>374</v>
      </c>
      <c r="AH235" s="28" t="str">
        <f t="shared" si="283"/>
        <v/>
      </c>
    </row>
    <row r="236" spans="1:35" x14ac:dyDescent="0.25">
      <c r="B236" s="2" t="str">
        <f t="shared" ref="B236" si="294">_xlfn.CONCAT("@",AA236,AB236,AC236,AD236,AE236,AF236,AG236,AH236,AI236)</f>
        <v>@fill-opacity-landcover_wetland_full</v>
      </c>
      <c r="C236" s="28" t="s">
        <v>80</v>
      </c>
      <c r="D236" s="28" t="s">
        <v>80</v>
      </c>
      <c r="F236" s="28" t="s">
        <v>80</v>
      </c>
      <c r="G236" s="28" t="s">
        <v>80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124</v>
      </c>
      <c r="P236" s="28" t="s">
        <v>124</v>
      </c>
      <c r="R236" s="28" t="s">
        <v>124</v>
      </c>
      <c r="S236" s="28" t="s">
        <v>124</v>
      </c>
      <c r="U236" s="28" t="s">
        <v>124</v>
      </c>
      <c r="V236" s="28" t="s">
        <v>124</v>
      </c>
      <c r="X236" s="28" t="s">
        <v>124</v>
      </c>
      <c r="Y236" s="28" t="s">
        <v>124</v>
      </c>
      <c r="AA236" s="28" t="s">
        <v>372</v>
      </c>
      <c r="AB236" s="28" t="str">
        <f t="shared" ref="AB236" si="295">IF(NOT(ISBLANK(AC236)),"-","")</f>
        <v>-</v>
      </c>
      <c r="AC236" s="28" t="s">
        <v>51</v>
      </c>
      <c r="AD236" s="28" t="str">
        <f t="shared" ref="AD236" si="296">IF(NOT(ISBLANK(AE236)),"_","")</f>
        <v>_</v>
      </c>
      <c r="AE236" s="28" t="s">
        <v>378</v>
      </c>
      <c r="AF236" s="28" t="str">
        <f t="shared" ref="AF236" si="297">IF(NOT(ISBLANK(AG236)),"_","")</f>
        <v>_</v>
      </c>
      <c r="AG236" s="28" t="s">
        <v>374</v>
      </c>
      <c r="AH236" s="28" t="str">
        <f t="shared" ref="AH236" si="298">IF(NOT(ISBLANK(AI236)),"_","")</f>
        <v/>
      </c>
    </row>
    <row r="237" spans="1:35" x14ac:dyDescent="0.25">
      <c r="B237" s="2" t="str">
        <f t="shared" ref="B237" si="299">_xlfn.CONCAT("@",AA237,AB237,AC237,AD237,AE237,AF237,AG237,AH237,AI237)</f>
        <v>@fill-opacity-portected_area_outline-inner_full</v>
      </c>
      <c r="C237" s="28" t="s">
        <v>120</v>
      </c>
      <c r="D237" s="28" t="s">
        <v>120</v>
      </c>
      <c r="F237" s="28" t="s">
        <v>381</v>
      </c>
      <c r="G237" s="28" t="s">
        <v>381</v>
      </c>
      <c r="I237" s="28" t="s">
        <v>381</v>
      </c>
      <c r="J237" s="28" t="s">
        <v>381</v>
      </c>
      <c r="L237" s="28" t="s">
        <v>382</v>
      </c>
      <c r="M237" s="28" t="s">
        <v>382</v>
      </c>
      <c r="O237" s="28" t="s">
        <v>381</v>
      </c>
      <c r="P237" s="28" t="s">
        <v>381</v>
      </c>
      <c r="R237" s="28" t="s">
        <v>382</v>
      </c>
      <c r="S237" s="28" t="s">
        <v>382</v>
      </c>
      <c r="U237" s="28" t="s">
        <v>120</v>
      </c>
      <c r="V237" s="28" t="s">
        <v>120</v>
      </c>
      <c r="X237" s="28" t="s">
        <v>120</v>
      </c>
      <c r="Y237" s="28" t="s">
        <v>120</v>
      </c>
      <c r="AA237" s="28" t="s">
        <v>372</v>
      </c>
      <c r="AB237" s="28" t="str">
        <f t="shared" ref="AB237" si="300">IF(NOT(ISBLANK(AC237)),"-","")</f>
        <v>-</v>
      </c>
      <c r="AC237" s="28" t="s">
        <v>379</v>
      </c>
      <c r="AD237" s="28" t="str">
        <f t="shared" ref="AD237" si="301">IF(NOT(ISBLANK(AE237)),"_","")</f>
        <v>_</v>
      </c>
      <c r="AE237" s="28" t="s">
        <v>380</v>
      </c>
      <c r="AF237" s="28" t="str">
        <f t="shared" ref="AF237" si="302">IF(NOT(ISBLANK(AG237)),"_","")</f>
        <v>_</v>
      </c>
      <c r="AG237" s="28" t="s">
        <v>374</v>
      </c>
      <c r="AH237" s="28" t="str">
        <f t="shared" ref="AH237" si="303">IF(NOT(ISBLANK(AI237)),"_","")</f>
        <v/>
      </c>
    </row>
    <row r="238" spans="1:35" x14ac:dyDescent="0.25">
      <c r="B238" s="2" t="str">
        <f t="shared" ref="B238" si="304">_xlfn.CONCAT("@",AA238,AB238,AC238,AD238,AE238,AF238,AG238,AH238,AI238)</f>
        <v>@fill-opacity-portected_area_outline-outer_full</v>
      </c>
      <c r="C238" s="28" t="s">
        <v>80</v>
      </c>
      <c r="D238" s="28" t="s">
        <v>80</v>
      </c>
      <c r="F238" s="28" t="s">
        <v>122</v>
      </c>
      <c r="G238" s="28" t="s">
        <v>122</v>
      </c>
      <c r="I238" s="28" t="s">
        <v>95</v>
      </c>
      <c r="J238" s="28" t="s">
        <v>95</v>
      </c>
      <c r="L238" s="28" t="s">
        <v>376</v>
      </c>
      <c r="M238" s="28" t="s">
        <v>376</v>
      </c>
      <c r="O238" s="28" t="s">
        <v>124</v>
      </c>
      <c r="P238" s="28" t="s">
        <v>124</v>
      </c>
      <c r="R238" s="28" t="s">
        <v>377</v>
      </c>
      <c r="S238" s="28" t="s">
        <v>377</v>
      </c>
      <c r="U238" s="28" t="s">
        <v>80</v>
      </c>
      <c r="V238" s="28" t="s">
        <v>80</v>
      </c>
      <c r="X238" s="28" t="s">
        <v>122</v>
      </c>
      <c r="Y238" s="28" t="s">
        <v>122</v>
      </c>
      <c r="AA238" s="28" t="s">
        <v>372</v>
      </c>
      <c r="AB238" s="28" t="str">
        <f t="shared" ref="AB238" si="305">IF(NOT(ISBLANK(AC238)),"-","")</f>
        <v>-</v>
      </c>
      <c r="AC238" s="28" t="s">
        <v>379</v>
      </c>
      <c r="AD238" s="28" t="str">
        <f t="shared" ref="AD238" si="306">IF(NOT(ISBLANK(AE238)),"_","")</f>
        <v>_</v>
      </c>
      <c r="AE238" s="28" t="s">
        <v>383</v>
      </c>
      <c r="AF238" s="28" t="str">
        <f t="shared" ref="AF238" si="307">IF(NOT(ISBLANK(AG238)),"_","")</f>
        <v>_</v>
      </c>
      <c r="AG238" s="28" t="s">
        <v>374</v>
      </c>
      <c r="AH238" s="28" t="str">
        <f t="shared" ref="AH238" si="308">IF(NOT(ISBLANK(AI238)),"_","")</f>
        <v/>
      </c>
    </row>
    <row r="243" spans="1:35" s="2" customFormat="1" x14ac:dyDescent="0.25">
      <c r="A243" s="3" t="s">
        <v>43</v>
      </c>
      <c r="B243" s="3"/>
      <c r="C243" s="27"/>
      <c r="D243" s="6"/>
      <c r="E243" s="7"/>
      <c r="F243" s="6"/>
      <c r="G243" s="6"/>
      <c r="H243" s="7"/>
      <c r="I243" s="6"/>
      <c r="J243" s="6"/>
      <c r="K243" s="7"/>
      <c r="L243" s="6"/>
      <c r="M243" s="6"/>
      <c r="N243" s="7"/>
      <c r="O243" s="6"/>
      <c r="P243" s="6"/>
      <c r="Q243" s="7"/>
      <c r="R243" s="6"/>
      <c r="S243" s="6"/>
      <c r="T243" s="7"/>
      <c r="U243" s="6"/>
      <c r="V243" s="6"/>
      <c r="W243" s="7"/>
      <c r="X243" s="6"/>
      <c r="Y243" s="6"/>
      <c r="AA243" s="4"/>
      <c r="AB243" s="4" t="str">
        <f t="shared" si="181"/>
        <v/>
      </c>
      <c r="AC243" s="4"/>
      <c r="AD243" s="4" t="str">
        <f t="shared" si="182"/>
        <v/>
      </c>
      <c r="AE243" s="4"/>
      <c r="AF243" s="4" t="str">
        <f t="shared" si="183"/>
        <v/>
      </c>
      <c r="AG243" s="4"/>
      <c r="AH243" s="4" t="str">
        <f t="shared" si="283"/>
        <v/>
      </c>
      <c r="AI243" s="4"/>
    </row>
    <row r="244" spans="1:35" x14ac:dyDescent="0.25">
      <c r="B244" s="2" t="str">
        <f t="shared" ref="B244:B246" si="309">_xlfn.CONCAT("@",AA244,AB244,AC244,AD244,AE244,AF244,AG244,AH244,AI244)</f>
        <v>@color-motorway_case_farzoom</v>
      </c>
      <c r="C244" s="129" t="s">
        <v>211</v>
      </c>
      <c r="D244" s="72" t="s">
        <v>214</v>
      </c>
      <c r="F244" s="129" t="s">
        <v>211</v>
      </c>
      <c r="G244" s="129" t="s">
        <v>211</v>
      </c>
      <c r="I244" s="130" t="str">
        <f>C244</f>
        <v>"#bf440f"</v>
      </c>
      <c r="J244" s="72" t="s">
        <v>214</v>
      </c>
      <c r="L244" s="129" t="s">
        <v>211</v>
      </c>
      <c r="M244" s="129" t="s">
        <v>211</v>
      </c>
      <c r="U244" s="130" t="str">
        <f>C244</f>
        <v>"#bf440f"</v>
      </c>
      <c r="AA244" s="2" t="s">
        <v>6</v>
      </c>
      <c r="AB244" s="2" t="str">
        <f t="shared" si="181"/>
        <v>-</v>
      </c>
      <c r="AC244" s="2" t="s">
        <v>16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20</v>
      </c>
      <c r="AH244" s="2" t="str">
        <f t="shared" si="283"/>
        <v/>
      </c>
      <c r="AI244" s="2"/>
    </row>
    <row r="245" spans="1:35" x14ac:dyDescent="0.25">
      <c r="B245" s="2" t="str">
        <f t="shared" si="309"/>
        <v>@color-motorway_case_default</v>
      </c>
      <c r="C245" s="131" t="s">
        <v>212</v>
      </c>
      <c r="D245" s="72" t="s">
        <v>214</v>
      </c>
      <c r="F245" s="72" t="s">
        <v>214</v>
      </c>
      <c r="G245" s="72" t="s">
        <v>214</v>
      </c>
      <c r="I245" s="132" t="str">
        <f>C245</f>
        <v>"#a15412"</v>
      </c>
      <c r="J245" s="72" t="s">
        <v>214</v>
      </c>
      <c r="L245" s="72" t="s">
        <v>214</v>
      </c>
      <c r="M245" s="72" t="s">
        <v>214</v>
      </c>
      <c r="U245" s="132" t="str">
        <f>C245</f>
        <v>"#a15412"</v>
      </c>
      <c r="AA245" s="2" t="s">
        <v>6</v>
      </c>
      <c r="AB245" s="2" t="str">
        <f t="shared" si="181"/>
        <v>-</v>
      </c>
      <c r="AC245" s="2" t="s">
        <v>16</v>
      </c>
      <c r="AD245" s="2" t="str">
        <f t="shared" si="182"/>
        <v>_</v>
      </c>
      <c r="AE245" s="2" t="s">
        <v>17</v>
      </c>
      <c r="AF245" s="2" t="str">
        <f t="shared" si="183"/>
        <v>_</v>
      </c>
      <c r="AG245" s="2" t="s">
        <v>262</v>
      </c>
      <c r="AH245" s="2" t="str">
        <f t="shared" si="283"/>
        <v/>
      </c>
      <c r="AI245" s="2"/>
    </row>
    <row r="246" spans="1:35" x14ac:dyDescent="0.25">
      <c r="B246" s="2" t="str">
        <f t="shared" si="309"/>
        <v>@color-motorway_line_default</v>
      </c>
      <c r="C246" s="133" t="s">
        <v>213</v>
      </c>
      <c r="D246" s="134" t="s">
        <v>215</v>
      </c>
      <c r="F246" s="134" t="s">
        <v>215</v>
      </c>
      <c r="G246" s="134" t="s">
        <v>215</v>
      </c>
      <c r="I246" s="135" t="str">
        <f>C246</f>
        <v>"#ffcc88"</v>
      </c>
      <c r="J246" s="136" t="str">
        <f>D246</f>
        <v>"#d6771e"</v>
      </c>
      <c r="L246" s="134" t="s">
        <v>215</v>
      </c>
      <c r="M246" s="134" t="s">
        <v>215</v>
      </c>
      <c r="U246" s="135" t="str">
        <f>C246</f>
        <v>"#ffcc88"</v>
      </c>
      <c r="AA246" s="2" t="s">
        <v>6</v>
      </c>
      <c r="AB246" s="2" t="str">
        <f t="shared" si="181"/>
        <v>-</v>
      </c>
      <c r="AC246" s="2" t="s">
        <v>16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262</v>
      </c>
      <c r="AH246" s="2" t="str">
        <f t="shared" si="283"/>
        <v/>
      </c>
      <c r="AI246" s="2"/>
    </row>
    <row r="247" spans="1:35" x14ac:dyDescent="0.25">
      <c r="AB247" s="28" t="str">
        <f t="shared" si="181"/>
        <v/>
      </c>
      <c r="AD247" s="28" t="str">
        <f t="shared" si="182"/>
        <v/>
      </c>
      <c r="AF247" s="28" t="str">
        <f t="shared" si="183"/>
        <v/>
      </c>
      <c r="AH247" s="28" t="str">
        <f t="shared" si="283"/>
        <v/>
      </c>
    </row>
    <row r="248" spans="1:35" s="2" customFormat="1" x14ac:dyDescent="0.25">
      <c r="A248" s="3" t="s">
        <v>45</v>
      </c>
      <c r="B248" s="3"/>
      <c r="C248" s="27"/>
      <c r="D248" s="6"/>
      <c r="E248" s="7"/>
      <c r="F248" s="6"/>
      <c r="G248" s="6"/>
      <c r="H248" s="7"/>
      <c r="I248" s="6"/>
      <c r="J248" s="6"/>
      <c r="K248" s="7"/>
      <c r="L248" s="6"/>
      <c r="M248" s="6"/>
      <c r="N248" s="7"/>
      <c r="O248" s="6"/>
      <c r="P248" s="6"/>
      <c r="Q248" s="7"/>
      <c r="R248" s="6"/>
      <c r="S248" s="6"/>
      <c r="T248" s="7"/>
      <c r="U248" s="6"/>
      <c r="V248" s="6"/>
      <c r="W248" s="7"/>
      <c r="X248" s="6"/>
      <c r="Y248" s="6"/>
      <c r="AA248" s="4"/>
      <c r="AB248" s="4" t="str">
        <f t="shared" si="181"/>
        <v/>
      </c>
      <c r="AC248" s="4"/>
      <c r="AD248" s="4" t="str">
        <f t="shared" si="182"/>
        <v/>
      </c>
      <c r="AE248" s="4"/>
      <c r="AF248" s="4" t="str">
        <f t="shared" si="183"/>
        <v/>
      </c>
      <c r="AG248" s="4"/>
      <c r="AH248" s="4" t="str">
        <f t="shared" si="283"/>
        <v/>
      </c>
      <c r="AI248" s="4"/>
    </row>
    <row r="249" spans="1:35" x14ac:dyDescent="0.25">
      <c r="B249" s="2" t="str">
        <f t="shared" ref="B249:B257" si="310">_xlfn.CONCAT("@",AA249,AB249,AC249,AD249,AE249,AF249,AG249,AH249,AI249)</f>
        <v>@color-trunk_case_bicycle_no_default</v>
      </c>
      <c r="C249" s="137" t="s">
        <v>226</v>
      </c>
      <c r="D249" s="72" t="s">
        <v>214</v>
      </c>
      <c r="F249" s="72" t="s">
        <v>214</v>
      </c>
      <c r="G249" s="72" t="s">
        <v>214</v>
      </c>
      <c r="I249" s="138" t="str">
        <f>C249</f>
        <v>"#bd430f"</v>
      </c>
      <c r="J249" s="37" t="str">
        <f>D249</f>
        <v>"#000000"</v>
      </c>
      <c r="L249" s="72" t="s">
        <v>214</v>
      </c>
      <c r="M249" s="72" t="s">
        <v>214</v>
      </c>
      <c r="U249" s="138" t="str">
        <f>C249</f>
        <v>"#bd430f"</v>
      </c>
      <c r="V249" s="37" t="str">
        <f>D249</f>
        <v>"#000000"</v>
      </c>
      <c r="AA249" s="28" t="s">
        <v>6</v>
      </c>
      <c r="AB249" s="2" t="str">
        <f t="shared" si="181"/>
        <v>-</v>
      </c>
      <c r="AC249" s="2" t="s">
        <v>18</v>
      </c>
      <c r="AD249" s="2" t="str">
        <f t="shared" ref="AD249" si="311">IF(NOT(ISBLANK(AE249)),"_","")</f>
        <v>_</v>
      </c>
      <c r="AE249" s="28" t="s">
        <v>17</v>
      </c>
      <c r="AF249" s="2" t="str">
        <f t="shared" ref="AF249" si="312">IF(NOT(ISBLANK(AG249)),"_","")</f>
        <v>_</v>
      </c>
      <c r="AG249" s="28" t="s">
        <v>23</v>
      </c>
      <c r="AH249" s="2" t="str">
        <f t="shared" si="283"/>
        <v>_</v>
      </c>
      <c r="AI249" s="28" t="s">
        <v>262</v>
      </c>
    </row>
    <row r="250" spans="1:35" x14ac:dyDescent="0.25">
      <c r="B250" s="2" t="str">
        <f t="shared" si="310"/>
        <v>@color-trunk_case_bicycle_no_farzoom</v>
      </c>
      <c r="C250" s="137" t="s">
        <v>226</v>
      </c>
      <c r="D250" s="72" t="s">
        <v>214</v>
      </c>
      <c r="F250" s="137" t="s">
        <v>226</v>
      </c>
      <c r="G250" s="137" t="s">
        <v>226</v>
      </c>
      <c r="I250" s="138" t="str">
        <f>C250</f>
        <v>"#bd430f"</v>
      </c>
      <c r="J250" s="37" t="str">
        <f>D250</f>
        <v>"#000000"</v>
      </c>
      <c r="L250" s="137" t="s">
        <v>226</v>
      </c>
      <c r="M250" s="137" t="s">
        <v>226</v>
      </c>
      <c r="U250" s="138" t="str">
        <f>C250</f>
        <v>"#bd430f"</v>
      </c>
      <c r="V250" s="37" t="str">
        <f>D250</f>
        <v>"#000000"</v>
      </c>
      <c r="AA250" s="28" t="s">
        <v>6</v>
      </c>
      <c r="AB250" s="2" t="str">
        <f t="shared" ref="AB250" si="313">IF(NOT(ISBLANK(AC250)),"-","")</f>
        <v>-</v>
      </c>
      <c r="AC250" s="2" t="s">
        <v>18</v>
      </c>
      <c r="AD250" s="2" t="str">
        <f t="shared" ref="AD250" si="314">IF(NOT(ISBLANK(AE250)),"_","")</f>
        <v>_</v>
      </c>
      <c r="AE250" s="28" t="s">
        <v>17</v>
      </c>
      <c r="AF250" s="2" t="str">
        <f t="shared" ref="AF250" si="315">IF(NOT(ISBLANK(AG250)),"_","")</f>
        <v>_</v>
      </c>
      <c r="AG250" s="28" t="s">
        <v>23</v>
      </c>
      <c r="AH250" s="2" t="str">
        <f t="shared" si="283"/>
        <v>_</v>
      </c>
      <c r="AI250" s="28" t="s">
        <v>20</v>
      </c>
    </row>
    <row r="251" spans="1:35" x14ac:dyDescent="0.25">
      <c r="B251" s="2" t="str">
        <f t="shared" si="310"/>
        <v>@color-trunk_case_unpaved_farzoom</v>
      </c>
      <c r="C251" s="139" t="s">
        <v>227</v>
      </c>
      <c r="D251" s="140" t="s">
        <v>229</v>
      </c>
      <c r="F251" s="140" t="s">
        <v>229</v>
      </c>
      <c r="G251" s="139" t="s">
        <v>227</v>
      </c>
      <c r="I251" s="139" t="s">
        <v>227</v>
      </c>
      <c r="J251" s="140" t="s">
        <v>229</v>
      </c>
      <c r="L251" s="140" t="s">
        <v>229</v>
      </c>
      <c r="M251" s="139" t="s">
        <v>227</v>
      </c>
      <c r="U251" s="44"/>
      <c r="V251" s="44"/>
      <c r="X251" s="44"/>
      <c r="Y251" s="44"/>
      <c r="AA251" s="28" t="s">
        <v>6</v>
      </c>
      <c r="AB251" s="2" t="str">
        <f>IF(NOT(ISBLANK(AC251)),"-","")</f>
        <v>-</v>
      </c>
      <c r="AC251" s="2" t="s">
        <v>18</v>
      </c>
      <c r="AD251" s="2" t="str">
        <f>IF(NOT(ISBLANK(AE251)),"_","")</f>
        <v>_</v>
      </c>
      <c r="AE251" s="28" t="s">
        <v>17</v>
      </c>
      <c r="AF251" s="2" t="str">
        <f>IF(NOT(ISBLANK(AG251)),"_","")</f>
        <v>_</v>
      </c>
      <c r="AG251" s="28" t="s">
        <v>21</v>
      </c>
      <c r="AH251" s="2" t="str">
        <f>IF(NOT(ISBLANK(AI251)),"_","")</f>
        <v>_</v>
      </c>
      <c r="AI251" s="28" t="s">
        <v>20</v>
      </c>
    </row>
    <row r="252" spans="1:35" x14ac:dyDescent="0.25">
      <c r="B252" s="2" t="str">
        <f t="shared" si="310"/>
        <v>@color-trunk_case_unpaved_default</v>
      </c>
      <c r="C252" s="141" t="s">
        <v>217</v>
      </c>
      <c r="D252" s="72" t="s">
        <v>214</v>
      </c>
      <c r="F252" s="72" t="s">
        <v>214</v>
      </c>
      <c r="G252" s="72" t="s">
        <v>214</v>
      </c>
      <c r="I252" s="141" t="s">
        <v>217</v>
      </c>
      <c r="J252" s="72" t="s">
        <v>214</v>
      </c>
      <c r="L252" s="72" t="s">
        <v>214</v>
      </c>
      <c r="M252" s="72" t="s">
        <v>214</v>
      </c>
      <c r="U252" s="44"/>
      <c r="V252" s="44"/>
      <c r="X252" s="44"/>
      <c r="Y252" s="44"/>
      <c r="AA252" s="28" t="s">
        <v>6</v>
      </c>
      <c r="AB252" s="28" t="str">
        <f t="shared" si="181"/>
        <v>-</v>
      </c>
      <c r="AC252" s="2" t="s">
        <v>18</v>
      </c>
      <c r="AD252" s="28" t="str">
        <f t="shared" si="182"/>
        <v>_</v>
      </c>
      <c r="AE252" s="28" t="s">
        <v>17</v>
      </c>
      <c r="AF252" s="28" t="str">
        <f t="shared" si="183"/>
        <v>_</v>
      </c>
      <c r="AG252" s="28" t="s">
        <v>21</v>
      </c>
      <c r="AH252" s="28" t="str">
        <f t="shared" ref="AH252:AH261" si="316">IF(NOT(ISBLANK(AI252)),"_","")</f>
        <v>_</v>
      </c>
      <c r="AI252" s="28" t="s">
        <v>262</v>
      </c>
    </row>
    <row r="253" spans="1:35" x14ac:dyDescent="0.25">
      <c r="B253" s="2" t="str">
        <f t="shared" si="310"/>
        <v>@color-trunk_case_paved_or_uk_farzoom</v>
      </c>
      <c r="C253" s="142" t="s">
        <v>228</v>
      </c>
      <c r="D253" s="72" t="s">
        <v>214</v>
      </c>
      <c r="F253" s="142" t="s">
        <v>228</v>
      </c>
      <c r="G253" s="142" t="s">
        <v>228</v>
      </c>
      <c r="I253" s="142" t="s">
        <v>228</v>
      </c>
      <c r="J253" s="72" t="s">
        <v>214</v>
      </c>
      <c r="L253" s="142" t="s">
        <v>228</v>
      </c>
      <c r="M253" s="142" t="s">
        <v>228</v>
      </c>
      <c r="U253" s="44"/>
      <c r="V253" s="44"/>
      <c r="X253" s="44"/>
      <c r="Y253" s="44"/>
      <c r="AA253" s="2" t="s">
        <v>6</v>
      </c>
      <c r="AB253" s="2" t="str">
        <f t="shared" si="181"/>
        <v>-</v>
      </c>
      <c r="AC253" s="2" t="s">
        <v>18</v>
      </c>
      <c r="AD253" s="2" t="str">
        <f t="shared" si="182"/>
        <v>_</v>
      </c>
      <c r="AE253" s="2" t="s">
        <v>17</v>
      </c>
      <c r="AF253" s="2" t="str">
        <f t="shared" si="183"/>
        <v>_</v>
      </c>
      <c r="AG253" s="2" t="s">
        <v>24</v>
      </c>
      <c r="AH253" s="2" t="str">
        <f t="shared" si="316"/>
        <v>_</v>
      </c>
      <c r="AI253" s="28" t="s">
        <v>20</v>
      </c>
    </row>
    <row r="254" spans="1:35" x14ac:dyDescent="0.25">
      <c r="B254" s="2" t="str">
        <f t="shared" si="310"/>
        <v>@color-trunk_case_paved_or_uk_default</v>
      </c>
      <c r="C254" s="143" t="s">
        <v>218</v>
      </c>
      <c r="D254" s="72" t="s">
        <v>214</v>
      </c>
      <c r="F254" s="72" t="s">
        <v>214</v>
      </c>
      <c r="G254" s="72" t="s">
        <v>214</v>
      </c>
      <c r="I254" s="143" t="s">
        <v>218</v>
      </c>
      <c r="J254" s="72" t="s">
        <v>214</v>
      </c>
      <c r="L254" s="72" t="s">
        <v>214</v>
      </c>
      <c r="M254" s="72" t="s">
        <v>214</v>
      </c>
      <c r="U254" s="44"/>
      <c r="V254" s="44"/>
      <c r="X254" s="44"/>
      <c r="Y254" s="44"/>
      <c r="AA254" s="2" t="s">
        <v>6</v>
      </c>
      <c r="AB254" s="2" t="str">
        <f t="shared" si="181"/>
        <v>-</v>
      </c>
      <c r="AC254" s="2" t="s">
        <v>18</v>
      </c>
      <c r="AD254" s="2" t="str">
        <f t="shared" si="182"/>
        <v>_</v>
      </c>
      <c r="AE254" s="2" t="s">
        <v>17</v>
      </c>
      <c r="AF254" s="2" t="str">
        <f t="shared" si="183"/>
        <v>_</v>
      </c>
      <c r="AG254" s="2" t="s">
        <v>24</v>
      </c>
      <c r="AH254" s="2" t="str">
        <f t="shared" si="316"/>
        <v>_</v>
      </c>
      <c r="AI254" s="28" t="s">
        <v>262</v>
      </c>
    </row>
    <row r="255" spans="1:35" x14ac:dyDescent="0.25">
      <c r="B255" s="2" t="str">
        <f t="shared" si="310"/>
        <v>@color-trunk_line_bicycle_no</v>
      </c>
      <c r="C255" s="133" t="s">
        <v>213</v>
      </c>
      <c r="D255" s="134" t="s">
        <v>215</v>
      </c>
      <c r="F255" s="133" t="s">
        <v>213</v>
      </c>
      <c r="G255" s="134" t="s">
        <v>215</v>
      </c>
      <c r="I255" s="135" t="str">
        <f>C255</f>
        <v>"#ffcc88"</v>
      </c>
      <c r="J255" s="136" t="str">
        <f>D255</f>
        <v>"#d6771e"</v>
      </c>
      <c r="L255" s="133" t="s">
        <v>213</v>
      </c>
      <c r="M255" s="134" t="s">
        <v>215</v>
      </c>
      <c r="U255" s="135" t="str">
        <f>C255</f>
        <v>"#ffcc88"</v>
      </c>
      <c r="V255" s="136" t="str">
        <f>D255</f>
        <v>"#d6771e"</v>
      </c>
      <c r="AA255" s="2" t="s">
        <v>6</v>
      </c>
      <c r="AB255" s="2" t="str">
        <f t="shared" si="181"/>
        <v>-</v>
      </c>
      <c r="AC255" s="2" t="s">
        <v>18</v>
      </c>
      <c r="AD255" s="2" t="str">
        <f t="shared" si="182"/>
        <v>_</v>
      </c>
      <c r="AE255" s="2" t="s">
        <v>13</v>
      </c>
      <c r="AF255" s="2" t="str">
        <f t="shared" si="183"/>
        <v>_</v>
      </c>
      <c r="AG255" s="2" t="s">
        <v>23</v>
      </c>
      <c r="AH255" s="2" t="str">
        <f t="shared" si="316"/>
        <v/>
      </c>
      <c r="AI255" s="2"/>
    </row>
    <row r="256" spans="1:35" x14ac:dyDescent="0.25">
      <c r="B256" s="2" t="str">
        <f t="shared" si="310"/>
        <v>@color-trunk_line_unpaved_default</v>
      </c>
      <c r="C256" s="144" t="s">
        <v>221</v>
      </c>
      <c r="D256" s="145" t="str">
        <f>C256</f>
        <v>"#eddfca"</v>
      </c>
      <c r="F256" s="144" t="s">
        <v>221</v>
      </c>
      <c r="G256" s="145" t="str">
        <f>F256</f>
        <v>"#eddfca"</v>
      </c>
      <c r="I256" s="144" t="s">
        <v>221</v>
      </c>
      <c r="J256" s="145" t="str">
        <f>I256</f>
        <v>"#eddfca"</v>
      </c>
      <c r="L256" s="144" t="s">
        <v>221</v>
      </c>
      <c r="M256" s="145" t="str">
        <f>L256</f>
        <v>"#eddfca"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13</v>
      </c>
      <c r="AF256" s="2" t="str">
        <f t="shared" si="183"/>
        <v>_</v>
      </c>
      <c r="AG256" s="2" t="s">
        <v>21</v>
      </c>
      <c r="AH256" s="2" t="str">
        <f t="shared" si="316"/>
        <v>_</v>
      </c>
      <c r="AI256" s="28" t="s">
        <v>262</v>
      </c>
    </row>
    <row r="257" spans="1:35" x14ac:dyDescent="0.25">
      <c r="B257" s="2" t="str">
        <f t="shared" si="310"/>
        <v>@color-trunk_line_paved_or_uk_default</v>
      </c>
      <c r="C257" s="71" t="s">
        <v>222</v>
      </c>
      <c r="D257" s="38" t="str">
        <f>C257</f>
        <v>"#ffffff"</v>
      </c>
      <c r="F257" s="71" t="s">
        <v>222</v>
      </c>
      <c r="G257" s="38" t="str">
        <f>F257</f>
        <v>"#ffffff"</v>
      </c>
      <c r="I257" s="71" t="s">
        <v>222</v>
      </c>
      <c r="J257" s="38" t="str">
        <f>I257</f>
        <v>"#ffffff"</v>
      </c>
      <c r="L257" s="71" t="s">
        <v>222</v>
      </c>
      <c r="M257" s="38" t="str">
        <f>L257</f>
        <v>"#ffffff"</v>
      </c>
      <c r="U257" s="44"/>
      <c r="V257" s="44"/>
      <c r="X257" s="44"/>
      <c r="Y257" s="44"/>
      <c r="AA257" s="28" t="s">
        <v>6</v>
      </c>
      <c r="AB257" s="28" t="str">
        <f t="shared" si="181"/>
        <v>-</v>
      </c>
      <c r="AC257" s="28" t="s">
        <v>18</v>
      </c>
      <c r="AD257" s="28" t="str">
        <f t="shared" si="182"/>
        <v>_</v>
      </c>
      <c r="AE257" s="28" t="s">
        <v>13</v>
      </c>
      <c r="AF257" s="28" t="str">
        <f t="shared" si="183"/>
        <v>_</v>
      </c>
      <c r="AG257" s="28" t="s">
        <v>24</v>
      </c>
      <c r="AH257" s="28" t="str">
        <f t="shared" si="316"/>
        <v>_</v>
      </c>
      <c r="AI257" s="28" t="s">
        <v>262</v>
      </c>
    </row>
    <row r="258" spans="1:35" x14ac:dyDescent="0.25">
      <c r="B258" s="2"/>
      <c r="AB258" s="28" t="str">
        <f t="shared" si="181"/>
        <v/>
      </c>
      <c r="AD258" s="28" t="str">
        <f t="shared" si="182"/>
        <v/>
      </c>
      <c r="AF258" s="28" t="str">
        <f t="shared" si="183"/>
        <v/>
      </c>
      <c r="AH258" s="28" t="str">
        <f t="shared" si="316"/>
        <v/>
      </c>
    </row>
    <row r="259" spans="1:35" s="2" customFormat="1" x14ac:dyDescent="0.25">
      <c r="A259" s="3" t="s">
        <v>44</v>
      </c>
      <c r="B259" s="3"/>
      <c r="C259" s="27"/>
      <c r="D259" s="6"/>
      <c r="E259" s="7"/>
      <c r="F259" s="6"/>
      <c r="G259" s="6"/>
      <c r="H259" s="7"/>
      <c r="I259" s="6"/>
      <c r="J259" s="6"/>
      <c r="K259" s="7"/>
      <c r="L259" s="6"/>
      <c r="M259" s="6"/>
      <c r="N259" s="7"/>
      <c r="O259" s="6"/>
      <c r="P259" s="6"/>
      <c r="Q259" s="7"/>
      <c r="R259" s="6"/>
      <c r="S259" s="6"/>
      <c r="T259" s="7"/>
      <c r="U259" s="6"/>
      <c r="V259" s="6"/>
      <c r="W259" s="7"/>
      <c r="X259" s="6"/>
      <c r="Y259" s="6"/>
      <c r="AA259" s="4"/>
      <c r="AB259" s="4" t="str">
        <f t="shared" si="181"/>
        <v/>
      </c>
      <c r="AC259" s="4"/>
      <c r="AD259" s="4" t="str">
        <f t="shared" si="182"/>
        <v/>
      </c>
      <c r="AE259" s="4"/>
      <c r="AF259" s="4" t="str">
        <f t="shared" si="183"/>
        <v/>
      </c>
      <c r="AG259" s="4"/>
      <c r="AH259" s="4" t="str">
        <f t="shared" si="316"/>
        <v/>
      </c>
      <c r="AI259" s="4"/>
    </row>
    <row r="260" spans="1:35" x14ac:dyDescent="0.25">
      <c r="B260" s="2" t="str">
        <f t="shared" ref="B260:B268" si="317">_xlfn.CONCAT("@",AA260,AB260,AC260,AD260,AE260,AF260,AG260,AH260,AI260)</f>
        <v>@color-primary_case_bicycle_no_default</v>
      </c>
      <c r="C260" s="137" t="s">
        <v>226</v>
      </c>
      <c r="D260" s="72" t="s">
        <v>214</v>
      </c>
      <c r="F260" s="72" t="s">
        <v>214</v>
      </c>
      <c r="G260" s="72" t="s">
        <v>214</v>
      </c>
      <c r="I260" s="138" t="str">
        <f>C260</f>
        <v>"#bd430f"</v>
      </c>
      <c r="J260" s="37" t="str">
        <f>D260</f>
        <v>"#000000"</v>
      </c>
      <c r="L260" s="72" t="s">
        <v>214</v>
      </c>
      <c r="M260" s="72" t="s">
        <v>214</v>
      </c>
      <c r="U260" s="138" t="str">
        <f>C260</f>
        <v>"#bd430f"</v>
      </c>
      <c r="V260" s="37" t="str">
        <f>D260</f>
        <v>"#000000"</v>
      </c>
      <c r="AA260" s="28" t="s">
        <v>6</v>
      </c>
      <c r="AB260" s="2" t="str">
        <f t="shared" ref="AB260:AB332" si="318">IF(NOT(ISBLANK(AC260)),"-","")</f>
        <v>-</v>
      </c>
      <c r="AC260" s="2" t="s">
        <v>25</v>
      </c>
      <c r="AD260" s="2" t="str">
        <f t="shared" si="182"/>
        <v>_</v>
      </c>
      <c r="AE260" s="28" t="s">
        <v>17</v>
      </c>
      <c r="AF260" s="2" t="str">
        <f t="shared" si="183"/>
        <v>_</v>
      </c>
      <c r="AG260" s="28" t="s">
        <v>23</v>
      </c>
      <c r="AH260" s="2" t="str">
        <f t="shared" si="316"/>
        <v>_</v>
      </c>
      <c r="AI260" s="28" t="s">
        <v>262</v>
      </c>
    </row>
    <row r="261" spans="1:35" x14ac:dyDescent="0.25">
      <c r="B261" s="2" t="str">
        <f t="shared" si="317"/>
        <v>@color-primary_case_bicycle_no_farzoom</v>
      </c>
      <c r="C261" s="137" t="s">
        <v>226</v>
      </c>
      <c r="D261" s="72" t="s">
        <v>214</v>
      </c>
      <c r="F261" s="137" t="s">
        <v>226</v>
      </c>
      <c r="G261" s="137" t="s">
        <v>226</v>
      </c>
      <c r="I261" s="138" t="str">
        <f>C261</f>
        <v>"#bd430f"</v>
      </c>
      <c r="J261" s="37" t="str">
        <f>D261</f>
        <v>"#000000"</v>
      </c>
      <c r="L261" s="137" t="s">
        <v>226</v>
      </c>
      <c r="M261" s="137" t="s">
        <v>226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" si="319">IF(NOT(ISBLANK(AC261)),"-","")</f>
        <v>-</v>
      </c>
      <c r="AC261" s="2" t="s">
        <v>25</v>
      </c>
      <c r="AD261" s="2" t="str">
        <f t="shared" ref="AD261" si="320">IF(NOT(ISBLANK(AE261)),"_","")</f>
        <v>_</v>
      </c>
      <c r="AE261" s="28" t="s">
        <v>17</v>
      </c>
      <c r="AF261" s="2" t="str">
        <f t="shared" ref="AF261" si="321">IF(NOT(ISBLANK(AG261)),"_","")</f>
        <v>_</v>
      </c>
      <c r="AG261" s="28" t="s">
        <v>23</v>
      </c>
      <c r="AH261" s="2" t="str">
        <f t="shared" si="316"/>
        <v>_</v>
      </c>
      <c r="AI261" s="28" t="s">
        <v>20</v>
      </c>
    </row>
    <row r="262" spans="1:35" x14ac:dyDescent="0.25">
      <c r="B262" s="2" t="str">
        <f t="shared" si="317"/>
        <v>@color-primary_case_unpaved_farzoom</v>
      </c>
      <c r="C262" s="139" t="s">
        <v>227</v>
      </c>
      <c r="D262" s="140" t="s">
        <v>229</v>
      </c>
      <c r="F262" s="140" t="s">
        <v>229</v>
      </c>
      <c r="G262" s="139" t="s">
        <v>227</v>
      </c>
      <c r="I262" s="139" t="s">
        <v>227</v>
      </c>
      <c r="J262" s="140" t="s">
        <v>229</v>
      </c>
      <c r="L262" s="140" t="s">
        <v>229</v>
      </c>
      <c r="M262" s="139" t="s">
        <v>227</v>
      </c>
      <c r="U262" s="44"/>
      <c r="V262" s="44"/>
      <c r="X262" s="44"/>
      <c r="Y262" s="44"/>
      <c r="AA262" s="28" t="s">
        <v>6</v>
      </c>
      <c r="AB262" s="2" t="str">
        <f>IF(NOT(ISBLANK(AC262)),"-","")</f>
        <v>-</v>
      </c>
      <c r="AC262" s="2" t="s">
        <v>25</v>
      </c>
      <c r="AD262" s="2" t="str">
        <f>IF(NOT(ISBLANK(AE262)),"_","")</f>
        <v>_</v>
      </c>
      <c r="AE262" s="28" t="s">
        <v>17</v>
      </c>
      <c r="AF262" s="2" t="str">
        <f>IF(NOT(ISBLANK(AG262)),"_","")</f>
        <v>_</v>
      </c>
      <c r="AG262" s="28" t="s">
        <v>21</v>
      </c>
      <c r="AH262" s="2" t="str">
        <f>IF(NOT(ISBLANK(AI262)),"_","")</f>
        <v>_</v>
      </c>
      <c r="AI262" s="28" t="s">
        <v>20</v>
      </c>
    </row>
    <row r="263" spans="1:35" x14ac:dyDescent="0.25">
      <c r="B263" s="2" t="str">
        <f t="shared" si="317"/>
        <v>@color-primary_case_unpaved_default</v>
      </c>
      <c r="C263" s="141" t="s">
        <v>217</v>
      </c>
      <c r="D263" s="140" t="s">
        <v>229</v>
      </c>
      <c r="F263" s="72" t="s">
        <v>214</v>
      </c>
      <c r="G263" s="72" t="s">
        <v>214</v>
      </c>
      <c r="I263" s="141" t="s">
        <v>217</v>
      </c>
      <c r="J263" s="140" t="s">
        <v>229</v>
      </c>
      <c r="L263" s="72" t="s">
        <v>214</v>
      </c>
      <c r="M263" s="72" t="s">
        <v>214</v>
      </c>
      <c r="U263" s="44"/>
      <c r="V263" s="44"/>
      <c r="X263" s="44"/>
      <c r="Y263" s="44"/>
      <c r="AA263" s="28" t="s">
        <v>6</v>
      </c>
      <c r="AB263" s="2" t="str">
        <f t="shared" si="318"/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21</v>
      </c>
      <c r="AH263" s="28" t="str">
        <f t="shared" ref="AH263:AH265" si="322">IF(NOT(ISBLANK(AI263)),"_","")</f>
        <v>_</v>
      </c>
      <c r="AI263" s="28" t="s">
        <v>262</v>
      </c>
    </row>
    <row r="264" spans="1:35" x14ac:dyDescent="0.25">
      <c r="B264" s="2" t="str">
        <f t="shared" si="317"/>
        <v>@color-primary_case_paved_or_uk_farzoom</v>
      </c>
      <c r="C264" s="142" t="s">
        <v>228</v>
      </c>
      <c r="D264" s="72" t="s">
        <v>214</v>
      </c>
      <c r="F264" s="142" t="s">
        <v>228</v>
      </c>
      <c r="G264" s="142" t="s">
        <v>228</v>
      </c>
      <c r="I264" s="142" t="s">
        <v>228</v>
      </c>
      <c r="J264" s="72" t="s">
        <v>214</v>
      </c>
      <c r="L264" s="142" t="s">
        <v>228</v>
      </c>
      <c r="M264" s="142" t="s">
        <v>228</v>
      </c>
      <c r="U264" s="44"/>
      <c r="V264" s="44"/>
      <c r="X264" s="44"/>
      <c r="Y264" s="44"/>
      <c r="AA264" s="2" t="s">
        <v>6</v>
      </c>
      <c r="AB264" s="2" t="str">
        <f t="shared" si="318"/>
        <v>-</v>
      </c>
      <c r="AC264" s="2" t="s">
        <v>25</v>
      </c>
      <c r="AD264" s="2" t="str">
        <f t="shared" ref="AD264" si="323">IF(NOT(ISBLANK(AE264)),"_","")</f>
        <v>_</v>
      </c>
      <c r="AE264" s="2" t="s">
        <v>17</v>
      </c>
      <c r="AF264" s="2" t="str">
        <f t="shared" ref="AF264" si="324">IF(NOT(ISBLANK(AG264)),"_","")</f>
        <v>_</v>
      </c>
      <c r="AG264" s="2" t="s">
        <v>24</v>
      </c>
      <c r="AH264" s="2" t="str">
        <f t="shared" si="322"/>
        <v>_</v>
      </c>
      <c r="AI264" s="28" t="s">
        <v>20</v>
      </c>
    </row>
    <row r="265" spans="1:35" x14ac:dyDescent="0.25">
      <c r="B265" s="2" t="str">
        <f t="shared" si="317"/>
        <v>@color-primary_case_paved_or_uk_default</v>
      </c>
      <c r="C265" s="143" t="s">
        <v>218</v>
      </c>
      <c r="D265" s="72" t="s">
        <v>214</v>
      </c>
      <c r="F265" s="72" t="s">
        <v>214</v>
      </c>
      <c r="G265" s="72" t="s">
        <v>214</v>
      </c>
      <c r="I265" s="143" t="s">
        <v>218</v>
      </c>
      <c r="J265" s="72" t="s">
        <v>214</v>
      </c>
      <c r="L265" s="72" t="s">
        <v>214</v>
      </c>
      <c r="M265" s="72" t="s">
        <v>214</v>
      </c>
      <c r="U265" s="44"/>
      <c r="V265" s="44"/>
      <c r="X265" s="44"/>
      <c r="Y265" s="44"/>
      <c r="AA265" s="2" t="s">
        <v>6</v>
      </c>
      <c r="AB265" s="2" t="str">
        <f t="shared" si="318"/>
        <v>-</v>
      </c>
      <c r="AC265" s="28" t="s">
        <v>25</v>
      </c>
      <c r="AD265" s="2" t="str">
        <f t="shared" ref="AD265:AD332" si="325">IF(NOT(ISBLANK(AE265)),"_","")</f>
        <v>_</v>
      </c>
      <c r="AE265" s="2" t="s">
        <v>17</v>
      </c>
      <c r="AF265" s="2" t="str">
        <f t="shared" ref="AF265:AF332" si="326">IF(NOT(ISBLANK(AG265)),"_","")</f>
        <v>_</v>
      </c>
      <c r="AG265" s="2" t="s">
        <v>24</v>
      </c>
      <c r="AH265" s="2" t="str">
        <f t="shared" si="322"/>
        <v>_</v>
      </c>
      <c r="AI265" s="28" t="s">
        <v>262</v>
      </c>
    </row>
    <row r="266" spans="1:35" x14ac:dyDescent="0.25">
      <c r="B266" s="2" t="str">
        <f t="shared" si="317"/>
        <v>@color-primary_line_bicycle_no</v>
      </c>
      <c r="C266" s="146" t="s">
        <v>231</v>
      </c>
      <c r="D266" s="134" t="s">
        <v>215</v>
      </c>
      <c r="F266" s="146" t="s">
        <v>231</v>
      </c>
      <c r="G266" s="134" t="s">
        <v>215</v>
      </c>
      <c r="I266" s="147" t="str">
        <f>C266</f>
        <v>"#ffcc8a"</v>
      </c>
      <c r="J266" s="136" t="str">
        <f>D266</f>
        <v>"#d6771e"</v>
      </c>
      <c r="L266" s="146" t="s">
        <v>231</v>
      </c>
      <c r="M266" s="134" t="s">
        <v>215</v>
      </c>
      <c r="U266" s="147" t="str">
        <f>C266</f>
        <v>"#ffcc8a"</v>
      </c>
      <c r="V266" s="136" t="str">
        <f>D266</f>
        <v>"#d6771e"</v>
      </c>
      <c r="AA266" s="28" t="s">
        <v>6</v>
      </c>
      <c r="AB266" s="2" t="str">
        <f t="shared" si="318"/>
        <v>-</v>
      </c>
      <c r="AC266" s="28" t="s">
        <v>25</v>
      </c>
      <c r="AD266" s="2" t="str">
        <f t="shared" si="325"/>
        <v>_</v>
      </c>
      <c r="AE266" s="28" t="s">
        <v>13</v>
      </c>
      <c r="AF266" s="2" t="str">
        <f t="shared" si="326"/>
        <v>_</v>
      </c>
      <c r="AG266" s="28" t="s">
        <v>23</v>
      </c>
      <c r="AH266" s="2" t="str">
        <f t="shared" ref="AH266:AH271" si="327">IF(NOT(ISBLANK(AI266)),"_","")</f>
        <v/>
      </c>
    </row>
    <row r="267" spans="1:35" x14ac:dyDescent="0.25">
      <c r="B267" s="2" t="str">
        <f t="shared" si="317"/>
        <v>@color-primary_line_unpaved_default</v>
      </c>
      <c r="C267" s="144" t="s">
        <v>221</v>
      </c>
      <c r="D267" s="145" t="str">
        <f>C267</f>
        <v>"#eddfca"</v>
      </c>
      <c r="F267" s="144" t="s">
        <v>221</v>
      </c>
      <c r="G267" s="145" t="str">
        <f>F267</f>
        <v>"#eddfca"</v>
      </c>
      <c r="I267" s="144" t="s">
        <v>221</v>
      </c>
      <c r="J267" s="145" t="str">
        <f>I267</f>
        <v>"#eddfca"</v>
      </c>
      <c r="L267" s="144" t="s">
        <v>221</v>
      </c>
      <c r="M267" s="145" t="str">
        <f>L267</f>
        <v>"#eddfca"</v>
      </c>
      <c r="U267" s="44"/>
      <c r="V267" s="44"/>
      <c r="X267" s="44"/>
      <c r="Y267" s="44"/>
      <c r="AA267" s="2" t="s">
        <v>6</v>
      </c>
      <c r="AB267" s="2" t="str">
        <f t="shared" si="318"/>
        <v>-</v>
      </c>
      <c r="AC267" s="2" t="s">
        <v>25</v>
      </c>
      <c r="AD267" s="2" t="str">
        <f t="shared" si="325"/>
        <v>_</v>
      </c>
      <c r="AE267" s="2" t="s">
        <v>13</v>
      </c>
      <c r="AF267" s="2" t="str">
        <f t="shared" si="326"/>
        <v>_</v>
      </c>
      <c r="AG267" s="2" t="s">
        <v>21</v>
      </c>
      <c r="AH267" s="2" t="str">
        <f t="shared" si="327"/>
        <v>_</v>
      </c>
      <c r="AI267" s="28" t="s">
        <v>262</v>
      </c>
    </row>
    <row r="268" spans="1:35" x14ac:dyDescent="0.25">
      <c r="B268" s="2" t="str">
        <f t="shared" si="317"/>
        <v>@color-primary_line_paved_or_uk_default</v>
      </c>
      <c r="C268" s="71" t="s">
        <v>222</v>
      </c>
      <c r="D268" s="38" t="str">
        <f>C268</f>
        <v>"#ffffff"</v>
      </c>
      <c r="F268" s="71" t="s">
        <v>222</v>
      </c>
      <c r="G268" s="38" t="str">
        <f>F268</f>
        <v>"#ffffff"</v>
      </c>
      <c r="I268" s="71" t="s">
        <v>222</v>
      </c>
      <c r="J268" s="38" t="str">
        <f>I268</f>
        <v>"#ffffff"</v>
      </c>
      <c r="L268" s="71" t="s">
        <v>222</v>
      </c>
      <c r="M268" s="38" t="str">
        <f>L268</f>
        <v>"#ffffff"</v>
      </c>
      <c r="U268" s="44"/>
      <c r="V268" s="44"/>
      <c r="X268" s="44"/>
      <c r="Y268" s="44"/>
      <c r="AA268" s="2" t="s">
        <v>6</v>
      </c>
      <c r="AB268" s="2" t="str">
        <f t="shared" si="318"/>
        <v>-</v>
      </c>
      <c r="AC268" s="2" t="s">
        <v>25</v>
      </c>
      <c r="AD268" s="2" t="str">
        <f t="shared" si="325"/>
        <v>_</v>
      </c>
      <c r="AE268" s="2" t="s">
        <v>13</v>
      </c>
      <c r="AF268" s="2" t="str">
        <f t="shared" si="326"/>
        <v>_</v>
      </c>
      <c r="AG268" s="28" t="s">
        <v>24</v>
      </c>
      <c r="AH268" s="28" t="str">
        <f t="shared" si="327"/>
        <v>_</v>
      </c>
      <c r="AI268" s="28" t="s">
        <v>262</v>
      </c>
    </row>
    <row r="269" spans="1:35" x14ac:dyDescent="0.25">
      <c r="B269" s="2"/>
      <c r="C269" s="26"/>
      <c r="D269" s="26"/>
      <c r="I269" s="26"/>
      <c r="AB269" s="2"/>
      <c r="AD269" s="2"/>
      <c r="AF269" s="2" t="str">
        <f t="shared" ref="AF269:AF278" si="328">IF(NOT(ISBLANK(AG269)),"_","")</f>
        <v/>
      </c>
      <c r="AH269" s="2" t="str">
        <f t="shared" si="327"/>
        <v/>
      </c>
    </row>
    <row r="270" spans="1:35" x14ac:dyDescent="0.25">
      <c r="B270" s="2" t="str">
        <f t="shared" ref="B270:B278" si="329">_xlfn.CONCAT("@",AA270,AB270,AC270,AD270,AE270,AF270,AG270,AH270,AI270)</f>
        <v>@color-secondary_case_bicycle_no_default</v>
      </c>
      <c r="C270" s="137" t="s">
        <v>226</v>
      </c>
      <c r="D270" s="72" t="s">
        <v>214</v>
      </c>
      <c r="F270" s="72" t="s">
        <v>214</v>
      </c>
      <c r="G270" s="72" t="s">
        <v>214</v>
      </c>
      <c r="I270" s="138" t="str">
        <f>C270</f>
        <v>"#bd430f"</v>
      </c>
      <c r="J270" s="37" t="str">
        <f>D270</f>
        <v>"#000000"</v>
      </c>
      <c r="L270" s="72" t="s">
        <v>214</v>
      </c>
      <c r="M270" s="72" t="s">
        <v>214</v>
      </c>
      <c r="U270" s="138" t="str">
        <f>C270</f>
        <v>"#bd430f"</v>
      </c>
      <c r="V270" s="37" t="str">
        <f>D270</f>
        <v>"#000000"</v>
      </c>
      <c r="AA270" s="28" t="s">
        <v>6</v>
      </c>
      <c r="AB270" s="2" t="str">
        <f t="shared" ref="AB270:AB278" si="330">IF(NOT(ISBLANK(AC270)),"-","")</f>
        <v>-</v>
      </c>
      <c r="AC270" s="2" t="s">
        <v>27</v>
      </c>
      <c r="AD270" s="2" t="str">
        <f t="shared" ref="AD270:AD278" si="331">IF(NOT(ISBLANK(AE270)),"_","")</f>
        <v>_</v>
      </c>
      <c r="AE270" s="28" t="s">
        <v>17</v>
      </c>
      <c r="AF270" s="2" t="str">
        <f t="shared" si="328"/>
        <v>_</v>
      </c>
      <c r="AG270" s="28" t="s">
        <v>23</v>
      </c>
      <c r="AH270" s="2" t="str">
        <f t="shared" si="327"/>
        <v>_</v>
      </c>
      <c r="AI270" s="28" t="s">
        <v>262</v>
      </c>
    </row>
    <row r="271" spans="1:35" x14ac:dyDescent="0.25">
      <c r="B271" s="2" t="str">
        <f t="shared" si="329"/>
        <v>@color-secondary_case_bicycle_no_farzoom</v>
      </c>
      <c r="C271" s="137" t="s">
        <v>226</v>
      </c>
      <c r="D271" s="72" t="s">
        <v>214</v>
      </c>
      <c r="F271" s="137" t="s">
        <v>226</v>
      </c>
      <c r="G271" s="137" t="s">
        <v>226</v>
      </c>
      <c r="I271" s="138" t="str">
        <f>C271</f>
        <v>"#bd430f"</v>
      </c>
      <c r="J271" s="37" t="str">
        <f>D271</f>
        <v>"#000000"</v>
      </c>
      <c r="L271" s="137" t="s">
        <v>226</v>
      </c>
      <c r="M271" s="137" t="s">
        <v>226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" si="332">IF(NOT(ISBLANK(AC271)),"-","")</f>
        <v>-</v>
      </c>
      <c r="AC271" s="2" t="s">
        <v>27</v>
      </c>
      <c r="AD271" s="2" t="str">
        <f t="shared" ref="AD271" si="333">IF(NOT(ISBLANK(AE271)),"_","")</f>
        <v>_</v>
      </c>
      <c r="AE271" s="28" t="s">
        <v>17</v>
      </c>
      <c r="AF271" s="2" t="str">
        <f t="shared" ref="AF271" si="334">IF(NOT(ISBLANK(AG271)),"_","")</f>
        <v>_</v>
      </c>
      <c r="AG271" s="28" t="s">
        <v>23</v>
      </c>
      <c r="AH271" s="2" t="str">
        <f t="shared" si="327"/>
        <v>_</v>
      </c>
      <c r="AI271" s="28" t="s">
        <v>20</v>
      </c>
    </row>
    <row r="272" spans="1:35" x14ac:dyDescent="0.25">
      <c r="B272" s="2" t="str">
        <f t="shared" si="329"/>
        <v>@color-secondary_case_unpaved_farzoom</v>
      </c>
      <c r="C272" s="139" t="s">
        <v>227</v>
      </c>
      <c r="D272" s="140" t="s">
        <v>229</v>
      </c>
      <c r="F272" s="140" t="s">
        <v>229</v>
      </c>
      <c r="G272" s="139" t="s">
        <v>227</v>
      </c>
      <c r="I272" s="139" t="s">
        <v>227</v>
      </c>
      <c r="J272" s="140" t="s">
        <v>229</v>
      </c>
      <c r="L272" s="140" t="s">
        <v>229</v>
      </c>
      <c r="M272" s="139" t="s">
        <v>227</v>
      </c>
      <c r="U272" s="44"/>
      <c r="V272" s="44"/>
      <c r="X272" s="44"/>
      <c r="Y272" s="44"/>
      <c r="AA272" s="28" t="s">
        <v>6</v>
      </c>
      <c r="AB272" s="2" t="str">
        <f>IF(NOT(ISBLANK(AC272)),"-","")</f>
        <v>-</v>
      </c>
      <c r="AC272" s="2" t="s">
        <v>27</v>
      </c>
      <c r="AD272" s="2" t="str">
        <f>IF(NOT(ISBLANK(AE272)),"_","")</f>
        <v>_</v>
      </c>
      <c r="AE272" s="28" t="s">
        <v>17</v>
      </c>
      <c r="AF272" s="2" t="str">
        <f>IF(NOT(ISBLANK(AG272)),"_","")</f>
        <v>_</v>
      </c>
      <c r="AG272" s="28" t="s">
        <v>21</v>
      </c>
      <c r="AH272" s="2" t="str">
        <f>IF(NOT(ISBLANK(AI272)),"_","")</f>
        <v>_</v>
      </c>
      <c r="AI272" s="28" t="s">
        <v>20</v>
      </c>
    </row>
    <row r="273" spans="2:35" x14ac:dyDescent="0.25">
      <c r="B273" s="2" t="str">
        <f t="shared" si="329"/>
        <v>@color-secondary_case_unpaved_default</v>
      </c>
      <c r="C273" s="140" t="s">
        <v>229</v>
      </c>
      <c r="D273" s="140" t="s">
        <v>229</v>
      </c>
      <c r="F273" s="72" t="s">
        <v>214</v>
      </c>
      <c r="G273" s="72" t="s">
        <v>214</v>
      </c>
      <c r="I273" s="140" t="s">
        <v>229</v>
      </c>
      <c r="J273" s="140" t="s">
        <v>229</v>
      </c>
      <c r="L273" s="72" t="s">
        <v>214</v>
      </c>
      <c r="M273" s="72" t="s">
        <v>214</v>
      </c>
      <c r="U273" s="44"/>
      <c r="V273" s="44"/>
      <c r="X273" s="44"/>
      <c r="Y273" s="44"/>
      <c r="AA273" s="28" t="s">
        <v>6</v>
      </c>
      <c r="AB273" s="2" t="str">
        <f t="shared" si="330"/>
        <v>-</v>
      </c>
      <c r="AC273" s="2" t="s">
        <v>27</v>
      </c>
      <c r="AD273" s="2" t="str">
        <f t="shared" si="331"/>
        <v>_</v>
      </c>
      <c r="AE273" s="28" t="s">
        <v>17</v>
      </c>
      <c r="AF273" s="2" t="str">
        <f t="shared" si="328"/>
        <v>_</v>
      </c>
      <c r="AG273" s="28" t="s">
        <v>21</v>
      </c>
      <c r="AH273" s="28" t="str">
        <f t="shared" ref="AH273:AH275" si="335">IF(NOT(ISBLANK(AI273)),"_","")</f>
        <v>_</v>
      </c>
      <c r="AI273" s="28" t="s">
        <v>262</v>
      </c>
    </row>
    <row r="274" spans="2:35" x14ac:dyDescent="0.25">
      <c r="B274" s="2" t="str">
        <f t="shared" si="329"/>
        <v>@color-secondary_case_paved_or_uk_farzoom</v>
      </c>
      <c r="C274" s="142" t="s">
        <v>228</v>
      </c>
      <c r="D274" s="72" t="s">
        <v>214</v>
      </c>
      <c r="F274" s="142" t="s">
        <v>228</v>
      </c>
      <c r="G274" s="142" t="s">
        <v>228</v>
      </c>
      <c r="I274" s="142" t="s">
        <v>228</v>
      </c>
      <c r="J274" s="72" t="s">
        <v>214</v>
      </c>
      <c r="L274" s="142" t="s">
        <v>228</v>
      </c>
      <c r="M274" s="142" t="s">
        <v>228</v>
      </c>
      <c r="U274" s="44"/>
      <c r="V274" s="44"/>
      <c r="X274" s="44"/>
      <c r="Y274" s="44"/>
      <c r="AA274" s="2" t="s">
        <v>6</v>
      </c>
      <c r="AB274" s="2" t="str">
        <f t="shared" si="330"/>
        <v>-</v>
      </c>
      <c r="AC274" s="2" t="s">
        <v>27</v>
      </c>
      <c r="AD274" s="2" t="str">
        <f t="shared" si="331"/>
        <v>_</v>
      </c>
      <c r="AE274" s="2" t="s">
        <v>17</v>
      </c>
      <c r="AF274" s="2" t="str">
        <f t="shared" si="328"/>
        <v>_</v>
      </c>
      <c r="AG274" s="2" t="s">
        <v>24</v>
      </c>
      <c r="AH274" s="2" t="str">
        <f t="shared" si="335"/>
        <v>_</v>
      </c>
      <c r="AI274" s="28" t="s">
        <v>20</v>
      </c>
    </row>
    <row r="275" spans="2:35" x14ac:dyDescent="0.25">
      <c r="B275" s="2" t="str">
        <f t="shared" si="329"/>
        <v>@color-secondary_case_paved_or_uk_default</v>
      </c>
      <c r="C275" s="148" t="s">
        <v>230</v>
      </c>
      <c r="D275" s="72" t="s">
        <v>214</v>
      </c>
      <c r="F275" s="72" t="s">
        <v>214</v>
      </c>
      <c r="G275" s="72" t="s">
        <v>214</v>
      </c>
      <c r="I275" s="148" t="s">
        <v>230</v>
      </c>
      <c r="J275" s="72" t="s">
        <v>214</v>
      </c>
      <c r="L275" s="72" t="s">
        <v>214</v>
      </c>
      <c r="M275" s="72" t="s">
        <v>214</v>
      </c>
      <c r="U275" s="44"/>
      <c r="V275" s="44"/>
      <c r="X275" s="44"/>
      <c r="Y275" s="44"/>
      <c r="AA275" s="2" t="s">
        <v>6</v>
      </c>
      <c r="AB275" s="2" t="str">
        <f t="shared" si="330"/>
        <v>-</v>
      </c>
      <c r="AC275" s="2" t="s">
        <v>27</v>
      </c>
      <c r="AD275" s="2" t="str">
        <f t="shared" si="331"/>
        <v>_</v>
      </c>
      <c r="AE275" s="2" t="s">
        <v>17</v>
      </c>
      <c r="AF275" s="2" t="str">
        <f t="shared" si="328"/>
        <v>_</v>
      </c>
      <c r="AG275" s="2" t="s">
        <v>24</v>
      </c>
      <c r="AH275" s="2" t="str">
        <f t="shared" si="335"/>
        <v>_</v>
      </c>
      <c r="AI275" s="28" t="s">
        <v>262</v>
      </c>
    </row>
    <row r="276" spans="2:35" x14ac:dyDescent="0.25">
      <c r="B276" s="2" t="str">
        <f t="shared" si="329"/>
        <v>@color-secondary_line_bicycle_no</v>
      </c>
      <c r="C276" s="146" t="s">
        <v>231</v>
      </c>
      <c r="D276" s="134" t="s">
        <v>215</v>
      </c>
      <c r="F276" s="146" t="s">
        <v>231</v>
      </c>
      <c r="G276" s="134" t="s">
        <v>215</v>
      </c>
      <c r="I276" s="147" t="str">
        <f>C276</f>
        <v>"#ffcc8a"</v>
      </c>
      <c r="J276" s="136" t="str">
        <f>D276</f>
        <v>"#d6771e"</v>
      </c>
      <c r="L276" s="146" t="s">
        <v>231</v>
      </c>
      <c r="M276" s="134" t="s">
        <v>215</v>
      </c>
      <c r="U276" s="147" t="str">
        <f>C276</f>
        <v>"#ffcc8a"</v>
      </c>
      <c r="V276" s="136" t="str">
        <f>J276</f>
        <v>"#d6771e"</v>
      </c>
      <c r="AA276" s="28" t="s">
        <v>6</v>
      </c>
      <c r="AB276" s="2" t="str">
        <f t="shared" si="330"/>
        <v>-</v>
      </c>
      <c r="AC276" s="2" t="s">
        <v>27</v>
      </c>
      <c r="AD276" s="2" t="str">
        <f t="shared" si="331"/>
        <v>_</v>
      </c>
      <c r="AE276" s="28" t="s">
        <v>13</v>
      </c>
      <c r="AF276" s="2" t="str">
        <f t="shared" si="328"/>
        <v>_</v>
      </c>
      <c r="AG276" s="28" t="s">
        <v>23</v>
      </c>
      <c r="AH276" s="2" t="str">
        <f t="shared" ref="AH276:AH333" si="336">IF(NOT(ISBLANK(AI276)),"_","")</f>
        <v/>
      </c>
    </row>
    <row r="277" spans="2:35" x14ac:dyDescent="0.25">
      <c r="B277" s="2" t="str">
        <f t="shared" si="329"/>
        <v>@color-secondary_line_unpaved_default</v>
      </c>
      <c r="C277" s="144" t="s">
        <v>221</v>
      </c>
      <c r="D277" s="145" t="str">
        <f>C277</f>
        <v>"#eddfca"</v>
      </c>
      <c r="F277" s="144" t="s">
        <v>221</v>
      </c>
      <c r="G277" s="145" t="str">
        <f>F277</f>
        <v>"#eddfca"</v>
      </c>
      <c r="I277" s="144" t="s">
        <v>221</v>
      </c>
      <c r="J277" s="145" t="str">
        <f>I277</f>
        <v>"#eddfca"</v>
      </c>
      <c r="L277" s="144" t="s">
        <v>221</v>
      </c>
      <c r="M277" s="145" t="str">
        <f>L277</f>
        <v>"#eddfca"</v>
      </c>
      <c r="U277" s="44"/>
      <c r="V277" s="44"/>
      <c r="X277" s="44"/>
      <c r="Y277" s="44"/>
      <c r="AA277" s="2" t="s">
        <v>6</v>
      </c>
      <c r="AB277" s="2" t="str">
        <f t="shared" si="330"/>
        <v>-</v>
      </c>
      <c r="AC277" s="2" t="s">
        <v>27</v>
      </c>
      <c r="AD277" s="2" t="str">
        <f t="shared" si="331"/>
        <v>_</v>
      </c>
      <c r="AE277" s="2" t="s">
        <v>13</v>
      </c>
      <c r="AF277" s="2" t="str">
        <f t="shared" si="328"/>
        <v>_</v>
      </c>
      <c r="AG277" s="2" t="s">
        <v>21</v>
      </c>
      <c r="AH277" s="2" t="str">
        <f t="shared" si="336"/>
        <v>_</v>
      </c>
      <c r="AI277" s="28" t="s">
        <v>262</v>
      </c>
    </row>
    <row r="278" spans="2:35" x14ac:dyDescent="0.25">
      <c r="B278" s="2" t="str">
        <f t="shared" si="329"/>
        <v>@color-secondary_line_paved_or_uk_default</v>
      </c>
      <c r="C278" s="71" t="s">
        <v>222</v>
      </c>
      <c r="D278" s="38" t="str">
        <f>C278</f>
        <v>"#ffffff"</v>
      </c>
      <c r="F278" s="71" t="s">
        <v>222</v>
      </c>
      <c r="G278" s="38" t="str">
        <f>F278</f>
        <v>"#ffffff"</v>
      </c>
      <c r="I278" s="71" t="s">
        <v>222</v>
      </c>
      <c r="J278" s="38" t="str">
        <f>I278</f>
        <v>"#ffffff"</v>
      </c>
      <c r="L278" s="71" t="s">
        <v>222</v>
      </c>
      <c r="M278" s="38" t="str">
        <f>L278</f>
        <v>"#ffffff"</v>
      </c>
      <c r="U278" s="44"/>
      <c r="V278" s="44"/>
      <c r="X278" s="44"/>
      <c r="Y278" s="44"/>
      <c r="AA278" s="2" t="s">
        <v>6</v>
      </c>
      <c r="AB278" s="2" t="str">
        <f t="shared" si="330"/>
        <v>-</v>
      </c>
      <c r="AC278" s="2" t="s">
        <v>27</v>
      </c>
      <c r="AD278" s="2" t="str">
        <f t="shared" si="331"/>
        <v>_</v>
      </c>
      <c r="AE278" s="2" t="s">
        <v>13</v>
      </c>
      <c r="AF278" s="2" t="str">
        <f t="shared" si="328"/>
        <v>_</v>
      </c>
      <c r="AG278" s="28" t="s">
        <v>24</v>
      </c>
      <c r="AH278" s="28" t="str">
        <f t="shared" si="336"/>
        <v>_</v>
      </c>
      <c r="AI278" s="28" t="s">
        <v>262</v>
      </c>
    </row>
    <row r="279" spans="2:35" x14ac:dyDescent="0.25">
      <c r="B279" s="2"/>
      <c r="C279" s="26"/>
      <c r="D279" s="26"/>
      <c r="I279" s="26"/>
      <c r="AB279" s="2"/>
      <c r="AD279" s="2"/>
      <c r="AF279" s="2" t="str">
        <f t="shared" si="326"/>
        <v/>
      </c>
      <c r="AH279" s="2" t="str">
        <f t="shared" si="336"/>
        <v/>
      </c>
    </row>
    <row r="280" spans="2:35" x14ac:dyDescent="0.25">
      <c r="B280" s="2" t="str">
        <f t="shared" ref="B280:B288" si="337">_xlfn.CONCAT("@",AA280,AB280,AC280,AD280,AE280,AF280,AG280,AH280,AI280)</f>
        <v>@color-tertiary_case_bicycle_no_default</v>
      </c>
      <c r="C280" s="137" t="s">
        <v>226</v>
      </c>
      <c r="D280" s="72" t="s">
        <v>214</v>
      </c>
      <c r="F280" s="72" t="s">
        <v>214</v>
      </c>
      <c r="G280" s="72" t="s">
        <v>214</v>
      </c>
      <c r="I280" s="138" t="str">
        <f>C280</f>
        <v>"#bd430f"</v>
      </c>
      <c r="J280" s="37" t="str">
        <f>D280</f>
        <v>"#000000"</v>
      </c>
      <c r="L280" s="72" t="s">
        <v>214</v>
      </c>
      <c r="M280" s="72" t="s">
        <v>214</v>
      </c>
      <c r="U280" s="138" t="str">
        <f>C280</f>
        <v>"#bd430f"</v>
      </c>
      <c r="V280" s="37" t="str">
        <f>D280</f>
        <v>"#000000"</v>
      </c>
      <c r="AA280" s="28" t="s">
        <v>6</v>
      </c>
      <c r="AB280" s="2" t="str">
        <f t="shared" ref="AB280:AB282" si="338">IF(NOT(ISBLANK(AC280)),"-","")</f>
        <v>-</v>
      </c>
      <c r="AC280" s="2" t="s">
        <v>26</v>
      </c>
      <c r="AD280" s="2" t="str">
        <f t="shared" ref="AD280:AD282" si="339">IF(NOT(ISBLANK(AE280)),"_","")</f>
        <v>_</v>
      </c>
      <c r="AE280" s="28" t="s">
        <v>17</v>
      </c>
      <c r="AF280" s="2" t="str">
        <f t="shared" ref="AF280:AF282" si="340">IF(NOT(ISBLANK(AG280)),"_","")</f>
        <v>_</v>
      </c>
      <c r="AG280" s="28" t="s">
        <v>23</v>
      </c>
      <c r="AH280" s="2" t="str">
        <f t="shared" si="336"/>
        <v>_</v>
      </c>
      <c r="AI280" s="28" t="s">
        <v>262</v>
      </c>
    </row>
    <row r="281" spans="2:35" x14ac:dyDescent="0.25">
      <c r="B281" s="2" t="str">
        <f t="shared" si="337"/>
        <v>@color-tertiary_case_bicycle_no_farzoom</v>
      </c>
      <c r="C281" s="137" t="s">
        <v>226</v>
      </c>
      <c r="D281" s="72" t="s">
        <v>214</v>
      </c>
      <c r="F281" s="137" t="s">
        <v>226</v>
      </c>
      <c r="G281" s="137" t="s">
        <v>226</v>
      </c>
      <c r="I281" s="138" t="str">
        <f>C281</f>
        <v>"#bd430f"</v>
      </c>
      <c r="J281" s="37" t="str">
        <f>D281</f>
        <v>"#000000"</v>
      </c>
      <c r="L281" s="137" t="s">
        <v>226</v>
      </c>
      <c r="M281" s="137" t="s">
        <v>226</v>
      </c>
      <c r="U281" s="138" t="str">
        <f>C281</f>
        <v>"#bd430f"</v>
      </c>
      <c r="V281" s="37" t="str">
        <f>D281</f>
        <v>"#000000"</v>
      </c>
      <c r="AA281" s="28" t="s">
        <v>6</v>
      </c>
      <c r="AB281" s="2" t="str">
        <f t="shared" ref="AB281" si="341">IF(NOT(ISBLANK(AC281)),"-","")</f>
        <v>-</v>
      </c>
      <c r="AC281" s="2" t="s">
        <v>26</v>
      </c>
      <c r="AD281" s="2" t="str">
        <f t="shared" ref="AD281" si="342">IF(NOT(ISBLANK(AE281)),"_","")</f>
        <v>_</v>
      </c>
      <c r="AE281" s="28" t="s">
        <v>17</v>
      </c>
      <c r="AF281" s="2" t="str">
        <f t="shared" ref="AF281" si="343">IF(NOT(ISBLANK(AG281)),"_","")</f>
        <v>_</v>
      </c>
      <c r="AG281" s="28" t="s">
        <v>23</v>
      </c>
      <c r="AH281" s="2" t="str">
        <f t="shared" si="336"/>
        <v>_</v>
      </c>
      <c r="AI281" s="28" t="s">
        <v>20</v>
      </c>
    </row>
    <row r="282" spans="2:35" x14ac:dyDescent="0.25">
      <c r="B282" s="2" t="str">
        <f t="shared" si="337"/>
        <v>@color-tertiary_case_unpaved_farzoom</v>
      </c>
      <c r="C282" s="139" t="s">
        <v>227</v>
      </c>
      <c r="D282" s="140" t="s">
        <v>229</v>
      </c>
      <c r="F282" s="140" t="s">
        <v>229</v>
      </c>
      <c r="G282" s="139" t="s">
        <v>227</v>
      </c>
      <c r="I282" s="139" t="s">
        <v>227</v>
      </c>
      <c r="J282" s="140" t="s">
        <v>229</v>
      </c>
      <c r="L282" s="140" t="s">
        <v>229</v>
      </c>
      <c r="M282" s="139" t="s">
        <v>227</v>
      </c>
      <c r="U282" s="44"/>
      <c r="V282" s="44"/>
      <c r="X282" s="44"/>
      <c r="Y282" s="44"/>
      <c r="AA282" s="28" t="s">
        <v>6</v>
      </c>
      <c r="AB282" s="2" t="str">
        <f t="shared" si="338"/>
        <v>-</v>
      </c>
      <c r="AC282" s="2" t="s">
        <v>26</v>
      </c>
      <c r="AD282" s="2" t="str">
        <f t="shared" si="339"/>
        <v>_</v>
      </c>
      <c r="AE282" s="28" t="s">
        <v>17</v>
      </c>
      <c r="AF282" s="2" t="str">
        <f t="shared" si="340"/>
        <v>_</v>
      </c>
      <c r="AG282" s="28" t="s">
        <v>21</v>
      </c>
      <c r="AH282" s="2" t="str">
        <f>IF(NOT(ISBLANK(AI282)),"_","")</f>
        <v>_</v>
      </c>
      <c r="AI282" s="28" t="s">
        <v>20</v>
      </c>
    </row>
    <row r="283" spans="2:35" x14ac:dyDescent="0.25">
      <c r="B283" s="2" t="str">
        <f t="shared" si="337"/>
        <v>@color-tertiary_case_unpaved_default</v>
      </c>
      <c r="C283" s="140" t="s">
        <v>229</v>
      </c>
      <c r="D283" s="140" t="s">
        <v>229</v>
      </c>
      <c r="F283" s="72" t="s">
        <v>214</v>
      </c>
      <c r="G283" s="72" t="s">
        <v>214</v>
      </c>
      <c r="I283" s="140" t="s">
        <v>229</v>
      </c>
      <c r="J283" s="140" t="s">
        <v>229</v>
      </c>
      <c r="L283" s="72" t="s">
        <v>214</v>
      </c>
      <c r="M283" s="72" t="s">
        <v>214</v>
      </c>
      <c r="U283" s="44"/>
      <c r="V283" s="44"/>
      <c r="X283" s="44"/>
      <c r="Y283" s="44"/>
      <c r="AA283" s="28" t="s">
        <v>6</v>
      </c>
      <c r="AB283" s="2" t="str">
        <f t="shared" ref="AB283:AB288" si="344">IF(NOT(ISBLANK(AC283)),"-","")</f>
        <v>-</v>
      </c>
      <c r="AC283" s="2" t="s">
        <v>26</v>
      </c>
      <c r="AD283" s="2" t="str">
        <f t="shared" ref="AD283:AD288" si="345">IF(NOT(ISBLANK(AE283)),"_","")</f>
        <v>_</v>
      </c>
      <c r="AE283" s="28" t="s">
        <v>17</v>
      </c>
      <c r="AF283" s="2" t="str">
        <f t="shared" si="326"/>
        <v>_</v>
      </c>
      <c r="AG283" s="28" t="s">
        <v>21</v>
      </c>
      <c r="AH283" s="28" t="str">
        <f t="shared" ref="AH283:AH288" si="346">IF(NOT(ISBLANK(AI283)),"_","")</f>
        <v>_</v>
      </c>
      <c r="AI283" s="28" t="s">
        <v>262</v>
      </c>
    </row>
    <row r="284" spans="2:35" x14ac:dyDescent="0.25">
      <c r="B284" s="2" t="str">
        <f t="shared" si="337"/>
        <v>@color-tertiary_case_paved_or_uk_farzoom</v>
      </c>
      <c r="C284" s="142" t="s">
        <v>228</v>
      </c>
      <c r="D284" s="72" t="s">
        <v>214</v>
      </c>
      <c r="F284" s="142" t="s">
        <v>228</v>
      </c>
      <c r="G284" s="142" t="s">
        <v>228</v>
      </c>
      <c r="I284" s="142" t="s">
        <v>228</v>
      </c>
      <c r="J284" s="72" t="s">
        <v>214</v>
      </c>
      <c r="L284" s="142" t="s">
        <v>228</v>
      </c>
      <c r="M284" s="142" t="s">
        <v>228</v>
      </c>
      <c r="U284" s="44"/>
      <c r="V284" s="44"/>
      <c r="X284" s="44"/>
      <c r="Y284" s="44"/>
      <c r="AA284" s="2" t="s">
        <v>6</v>
      </c>
      <c r="AB284" s="2" t="str">
        <f t="shared" ref="AB284" si="347">IF(NOT(ISBLANK(AC284)),"-","")</f>
        <v>-</v>
      </c>
      <c r="AC284" s="2" t="s">
        <v>26</v>
      </c>
      <c r="AD284" s="2" t="str">
        <f t="shared" ref="AD284" si="348">IF(NOT(ISBLANK(AE284)),"_","")</f>
        <v>_</v>
      </c>
      <c r="AE284" s="2" t="s">
        <v>17</v>
      </c>
      <c r="AF284" s="2" t="str">
        <f t="shared" ref="AF284" si="349">IF(NOT(ISBLANK(AG284)),"_","")</f>
        <v>_</v>
      </c>
      <c r="AG284" s="2" t="s">
        <v>24</v>
      </c>
      <c r="AH284" s="2" t="str">
        <f t="shared" si="346"/>
        <v>_</v>
      </c>
      <c r="AI284" s="28" t="s">
        <v>20</v>
      </c>
    </row>
    <row r="285" spans="2:35" x14ac:dyDescent="0.25">
      <c r="B285" s="2" t="str">
        <f t="shared" si="337"/>
        <v>@color-tertiary_case_paved_or_uk_default</v>
      </c>
      <c r="C285" s="148" t="s">
        <v>230</v>
      </c>
      <c r="D285" s="72" t="s">
        <v>214</v>
      </c>
      <c r="F285" s="72" t="s">
        <v>214</v>
      </c>
      <c r="G285" s="72" t="s">
        <v>214</v>
      </c>
      <c r="I285" s="148" t="s">
        <v>230</v>
      </c>
      <c r="J285" s="72" t="s">
        <v>214</v>
      </c>
      <c r="L285" s="72" t="s">
        <v>214</v>
      </c>
      <c r="M285" s="72" t="s">
        <v>214</v>
      </c>
      <c r="U285" s="44"/>
      <c r="V285" s="44"/>
      <c r="X285" s="44"/>
      <c r="Y285" s="44"/>
      <c r="AA285" s="2" t="s">
        <v>6</v>
      </c>
      <c r="AB285" s="2" t="str">
        <f t="shared" si="344"/>
        <v>-</v>
      </c>
      <c r="AC285" s="2" t="s">
        <v>26</v>
      </c>
      <c r="AD285" s="2" t="str">
        <f t="shared" si="345"/>
        <v>_</v>
      </c>
      <c r="AE285" s="2" t="s">
        <v>17</v>
      </c>
      <c r="AF285" s="2" t="str">
        <f t="shared" si="326"/>
        <v>_</v>
      </c>
      <c r="AG285" s="2" t="s">
        <v>24</v>
      </c>
      <c r="AH285" s="2" t="str">
        <f t="shared" si="346"/>
        <v>_</v>
      </c>
      <c r="AI285" s="28" t="s">
        <v>262</v>
      </c>
    </row>
    <row r="286" spans="2:35" x14ac:dyDescent="0.25">
      <c r="B286" s="2" t="str">
        <f t="shared" si="337"/>
        <v>@color-tertiary_line_bicycle_no</v>
      </c>
      <c r="C286" s="146" t="s">
        <v>231</v>
      </c>
      <c r="D286" s="134" t="s">
        <v>215</v>
      </c>
      <c r="F286" s="146" t="s">
        <v>231</v>
      </c>
      <c r="G286" s="134" t="s">
        <v>215</v>
      </c>
      <c r="I286" s="147" t="str">
        <f>C286</f>
        <v>"#ffcc8a"</v>
      </c>
      <c r="J286" s="136" t="str">
        <f>D286</f>
        <v>"#d6771e"</v>
      </c>
      <c r="L286" s="146" t="s">
        <v>231</v>
      </c>
      <c r="M286" s="134" t="s">
        <v>215</v>
      </c>
      <c r="U286" s="147" t="str">
        <f>C286</f>
        <v>"#ffcc8a"</v>
      </c>
      <c r="V286" s="136" t="str">
        <f>J286</f>
        <v>"#d6771e"</v>
      </c>
      <c r="AA286" s="28" t="s">
        <v>6</v>
      </c>
      <c r="AB286" s="2" t="str">
        <f t="shared" si="344"/>
        <v>-</v>
      </c>
      <c r="AC286" s="2" t="s">
        <v>26</v>
      </c>
      <c r="AD286" s="2" t="str">
        <f t="shared" si="345"/>
        <v>_</v>
      </c>
      <c r="AE286" s="28" t="s">
        <v>13</v>
      </c>
      <c r="AF286" s="2" t="str">
        <f t="shared" si="326"/>
        <v>_</v>
      </c>
      <c r="AG286" s="28" t="s">
        <v>23</v>
      </c>
      <c r="AH286" s="2" t="str">
        <f t="shared" si="346"/>
        <v/>
      </c>
    </row>
    <row r="287" spans="2:35" x14ac:dyDescent="0.25">
      <c r="B287" s="2" t="str">
        <f t="shared" si="337"/>
        <v>@color-tertiary_line_unpaved_default</v>
      </c>
      <c r="C287" s="144" t="s">
        <v>221</v>
      </c>
      <c r="D287" s="145" t="str">
        <f>C287</f>
        <v>"#eddfca"</v>
      </c>
      <c r="F287" s="144" t="s">
        <v>221</v>
      </c>
      <c r="G287" s="145" t="str">
        <f>F287</f>
        <v>"#eddfca"</v>
      </c>
      <c r="I287" s="144" t="s">
        <v>221</v>
      </c>
      <c r="J287" s="145" t="str">
        <f>I287</f>
        <v>"#eddfca"</v>
      </c>
      <c r="L287" s="144" t="s">
        <v>221</v>
      </c>
      <c r="M287" s="145" t="str">
        <f>L287</f>
        <v>"#eddfca"</v>
      </c>
      <c r="U287" s="44"/>
      <c r="V287" s="44"/>
      <c r="X287" s="44"/>
      <c r="Y287" s="44"/>
      <c r="AA287" s="2" t="s">
        <v>6</v>
      </c>
      <c r="AB287" s="2" t="str">
        <f t="shared" si="344"/>
        <v>-</v>
      </c>
      <c r="AC287" s="2" t="s">
        <v>26</v>
      </c>
      <c r="AD287" s="2" t="str">
        <f t="shared" si="345"/>
        <v>_</v>
      </c>
      <c r="AE287" s="2" t="s">
        <v>13</v>
      </c>
      <c r="AF287" s="2" t="str">
        <f t="shared" si="326"/>
        <v>_</v>
      </c>
      <c r="AG287" s="2" t="s">
        <v>21</v>
      </c>
      <c r="AH287" s="2" t="str">
        <f t="shared" si="346"/>
        <v>_</v>
      </c>
      <c r="AI287" s="28" t="s">
        <v>262</v>
      </c>
    </row>
    <row r="288" spans="2:35" x14ac:dyDescent="0.25">
      <c r="B288" s="2" t="str">
        <f t="shared" si="337"/>
        <v>@color-tertiary_line_paved_or_uk_default</v>
      </c>
      <c r="C288" s="71" t="s">
        <v>222</v>
      </c>
      <c r="D288" s="38" t="str">
        <f>C288</f>
        <v>"#ffffff"</v>
      </c>
      <c r="F288" s="71" t="s">
        <v>222</v>
      </c>
      <c r="G288" s="38" t="str">
        <f>F288</f>
        <v>"#ffffff"</v>
      </c>
      <c r="I288" s="71" t="s">
        <v>222</v>
      </c>
      <c r="J288" s="38" t="str">
        <f>I288</f>
        <v>"#ffffff"</v>
      </c>
      <c r="L288" s="71" t="s">
        <v>222</v>
      </c>
      <c r="M288" s="38" t="str">
        <f>L288</f>
        <v>"#ffffff"</v>
      </c>
      <c r="U288" s="44"/>
      <c r="V288" s="44"/>
      <c r="X288" s="44"/>
      <c r="Y288" s="44"/>
      <c r="AA288" s="2" t="s">
        <v>6</v>
      </c>
      <c r="AB288" s="2" t="str">
        <f t="shared" si="344"/>
        <v>-</v>
      </c>
      <c r="AC288" s="2" t="s">
        <v>26</v>
      </c>
      <c r="AD288" s="2" t="str">
        <f t="shared" si="345"/>
        <v>_</v>
      </c>
      <c r="AE288" s="2" t="s">
        <v>13</v>
      </c>
      <c r="AF288" s="2" t="str">
        <f t="shared" si="326"/>
        <v>_</v>
      </c>
      <c r="AG288" s="28" t="s">
        <v>24</v>
      </c>
      <c r="AH288" s="28" t="str">
        <f t="shared" si="346"/>
        <v>_</v>
      </c>
      <c r="AI288" s="28" t="s">
        <v>262</v>
      </c>
    </row>
    <row r="289" spans="1:35" x14ac:dyDescent="0.25">
      <c r="B289" s="2"/>
      <c r="AB289" s="28" t="str">
        <f t="shared" si="318"/>
        <v/>
      </c>
      <c r="AD289" s="28" t="str">
        <f t="shared" si="325"/>
        <v/>
      </c>
      <c r="AF289" s="28" t="str">
        <f t="shared" si="326"/>
        <v/>
      </c>
      <c r="AH289" s="28" t="str">
        <f t="shared" si="336"/>
        <v/>
      </c>
    </row>
    <row r="290" spans="1:35" s="2" customFormat="1" x14ac:dyDescent="0.25">
      <c r="A290" s="3" t="s">
        <v>223</v>
      </c>
      <c r="B290" s="3"/>
      <c r="C290" s="27"/>
      <c r="D290" s="6"/>
      <c r="E290" s="7"/>
      <c r="F290" s="6"/>
      <c r="G290" s="6"/>
      <c r="H290" s="7"/>
      <c r="I290" s="6"/>
      <c r="J290" s="6"/>
      <c r="K290" s="7"/>
      <c r="L290" s="6"/>
      <c r="M290" s="6"/>
      <c r="N290" s="7"/>
      <c r="O290" s="6"/>
      <c r="P290" s="6"/>
      <c r="Q290" s="7"/>
      <c r="R290" s="6"/>
      <c r="S290" s="6"/>
      <c r="T290" s="7"/>
      <c r="U290" s="6"/>
      <c r="V290" s="6"/>
      <c r="W290" s="7"/>
      <c r="X290" s="6"/>
      <c r="Y290" s="6"/>
      <c r="AA290" s="4"/>
      <c r="AB290" s="4" t="str">
        <f t="shared" si="318"/>
        <v/>
      </c>
      <c r="AC290" s="4"/>
      <c r="AD290" s="4" t="str">
        <f t="shared" si="325"/>
        <v/>
      </c>
      <c r="AE290" s="4"/>
      <c r="AF290" s="4" t="str">
        <f t="shared" si="326"/>
        <v/>
      </c>
      <c r="AG290" s="4"/>
      <c r="AH290" s="4" t="str">
        <f t="shared" si="336"/>
        <v/>
      </c>
      <c r="AI290" s="4"/>
    </row>
    <row r="291" spans="1:35" x14ac:dyDescent="0.25">
      <c r="B291" s="2" t="str">
        <f t="shared" ref="B291:B296" si="350">_xlfn.CONCAT("@",AA291,AB291,AC291,AD291,AE291,AF291,AG291,AH291,AI291)</f>
        <v>@color-raceway_case_unpaved_farzoom</v>
      </c>
      <c r="C291" s="139" t="s">
        <v>227</v>
      </c>
      <c r="D291" s="140" t="s">
        <v>229</v>
      </c>
      <c r="F291" s="140" t="s">
        <v>229</v>
      </c>
      <c r="G291" s="139" t="s">
        <v>227</v>
      </c>
      <c r="I291" s="156" t="str">
        <f t="shared" ref="I291" si="351">C291</f>
        <v>"#b99346"</v>
      </c>
      <c r="J291" s="151" t="str">
        <f t="shared" ref="J291" si="352">D291</f>
        <v>"#644507"</v>
      </c>
      <c r="L291" s="140" t="s">
        <v>229</v>
      </c>
      <c r="M291" s="139" t="s">
        <v>227</v>
      </c>
      <c r="U291" s="44"/>
      <c r="V291" s="44"/>
      <c r="X291" s="44"/>
      <c r="Y291" s="44"/>
      <c r="AA291" s="2" t="s">
        <v>6</v>
      </c>
      <c r="AB291" s="2" t="str">
        <f t="shared" ref="AB291" si="353">IF(NOT(ISBLANK(AC291)),"-","")</f>
        <v>-</v>
      </c>
      <c r="AC291" s="2" t="s">
        <v>28</v>
      </c>
      <c r="AD291" s="2" t="str">
        <f t="shared" ref="AD291" si="354">IF(NOT(ISBLANK(AE291)),"_","")</f>
        <v>_</v>
      </c>
      <c r="AE291" s="2" t="s">
        <v>17</v>
      </c>
      <c r="AF291" s="2" t="str">
        <f t="shared" ref="AF291" si="355">IF(NOT(ISBLANK(AG291)),"_","")</f>
        <v>_</v>
      </c>
      <c r="AG291" s="2" t="s">
        <v>21</v>
      </c>
      <c r="AH291" s="2" t="str">
        <f t="shared" ref="AH291" si="356">IF(NOT(ISBLANK(AI291)),"_","")</f>
        <v>_</v>
      </c>
      <c r="AI291" s="28" t="s">
        <v>20</v>
      </c>
    </row>
    <row r="292" spans="1:35" x14ac:dyDescent="0.25">
      <c r="B292" s="2" t="str">
        <f t="shared" si="350"/>
        <v>@color-raceway_case_unpaved</v>
      </c>
      <c r="C292" s="149" t="s">
        <v>232</v>
      </c>
      <c r="D292" s="140" t="s">
        <v>229</v>
      </c>
      <c r="F292" s="72" t="s">
        <v>214</v>
      </c>
      <c r="G292" s="72" t="s">
        <v>214</v>
      </c>
      <c r="I292" s="150" t="str">
        <f>C292</f>
        <v>"#af9564"</v>
      </c>
      <c r="J292" s="151" t="str">
        <f>D292</f>
        <v>"#644507"</v>
      </c>
      <c r="L292" s="72" t="s">
        <v>214</v>
      </c>
      <c r="M292" s="72" t="s">
        <v>214</v>
      </c>
      <c r="U292" s="44"/>
      <c r="V292" s="44"/>
      <c r="X292" s="44"/>
      <c r="Y292" s="44"/>
      <c r="AA292" s="2" t="s">
        <v>6</v>
      </c>
      <c r="AB292" s="2" t="str">
        <f t="shared" ref="AB292:AB294" si="357">IF(NOT(ISBLANK(AC292)),"-","")</f>
        <v>-</v>
      </c>
      <c r="AC292" s="2" t="s">
        <v>28</v>
      </c>
      <c r="AD292" s="2" t="str">
        <f t="shared" ref="AD292:AD294" si="358">IF(NOT(ISBLANK(AE292)),"_","")</f>
        <v>_</v>
      </c>
      <c r="AE292" s="2" t="s">
        <v>17</v>
      </c>
      <c r="AF292" s="2" t="str">
        <f t="shared" ref="AF292:AF294" si="359">IF(NOT(ISBLANK(AG292)),"_","")</f>
        <v>_</v>
      </c>
      <c r="AG292" s="2" t="s">
        <v>21</v>
      </c>
      <c r="AH292" s="2" t="str">
        <f t="shared" si="336"/>
        <v/>
      </c>
      <c r="AI292" s="2"/>
    </row>
    <row r="293" spans="1:35" x14ac:dyDescent="0.25">
      <c r="B293" s="2" t="str">
        <f t="shared" si="350"/>
        <v>@color-raceway_case_paved_or_uk_farzoom</v>
      </c>
      <c r="C293" s="142" t="s">
        <v>228</v>
      </c>
      <c r="D293" s="72" t="s">
        <v>214</v>
      </c>
      <c r="F293" s="142" t="s">
        <v>228</v>
      </c>
      <c r="G293" s="142" t="s">
        <v>228</v>
      </c>
      <c r="I293" s="157" t="str">
        <f t="shared" ref="I293" si="360">C293</f>
        <v>"#808080"</v>
      </c>
      <c r="J293" s="37" t="str">
        <f t="shared" ref="J293" si="361">D293</f>
        <v>"#000000"</v>
      </c>
      <c r="L293" s="142" t="s">
        <v>228</v>
      </c>
      <c r="M293" s="142" t="s">
        <v>228</v>
      </c>
      <c r="U293" s="44"/>
      <c r="V293" s="44"/>
      <c r="X293" s="44"/>
      <c r="Y293" s="44"/>
      <c r="AA293" s="2" t="s">
        <v>6</v>
      </c>
      <c r="AB293" s="2" t="str">
        <f t="shared" si="357"/>
        <v>-</v>
      </c>
      <c r="AC293" s="2" t="s">
        <v>28</v>
      </c>
      <c r="AD293" s="2" t="str">
        <f t="shared" si="358"/>
        <v>_</v>
      </c>
      <c r="AE293" s="2" t="s">
        <v>17</v>
      </c>
      <c r="AF293" s="2" t="str">
        <f t="shared" si="359"/>
        <v>_</v>
      </c>
      <c r="AG293" s="2" t="s">
        <v>24</v>
      </c>
      <c r="AH293" s="2" t="str">
        <f t="shared" ref="AH293" si="362">IF(NOT(ISBLANK(AI293)),"_","")</f>
        <v>_</v>
      </c>
      <c r="AI293" s="28" t="s">
        <v>20</v>
      </c>
    </row>
    <row r="294" spans="1:35" x14ac:dyDescent="0.25">
      <c r="B294" s="2" t="str">
        <f t="shared" si="350"/>
        <v>@color-raceway_case_paved_or_uk</v>
      </c>
      <c r="C294" s="152" t="s">
        <v>233</v>
      </c>
      <c r="D294" s="153" t="s">
        <v>234</v>
      </c>
      <c r="F294" s="72" t="s">
        <v>214</v>
      </c>
      <c r="G294" s="72" t="s">
        <v>214</v>
      </c>
      <c r="I294" s="154" t="str">
        <f>C294</f>
        <v>"#a8a6a4"</v>
      </c>
      <c r="J294" s="155" t="str">
        <f>D294</f>
        <v>"#4a4a4a"</v>
      </c>
      <c r="L294" s="72" t="s">
        <v>214</v>
      </c>
      <c r="M294" s="72" t="s">
        <v>214</v>
      </c>
      <c r="U294" s="44"/>
      <c r="V294" s="44"/>
      <c r="X294" s="44"/>
      <c r="Y294" s="44"/>
      <c r="AA294" s="2" t="s">
        <v>6</v>
      </c>
      <c r="AB294" s="2" t="str">
        <f t="shared" si="357"/>
        <v>-</v>
      </c>
      <c r="AC294" s="2" t="s">
        <v>28</v>
      </c>
      <c r="AD294" s="2" t="str">
        <f t="shared" si="358"/>
        <v>_</v>
      </c>
      <c r="AE294" s="2" t="s">
        <v>17</v>
      </c>
      <c r="AF294" s="2" t="str">
        <f t="shared" si="359"/>
        <v>_</v>
      </c>
      <c r="AG294" s="2" t="s">
        <v>24</v>
      </c>
      <c r="AH294" s="2" t="str">
        <f t="shared" si="336"/>
        <v/>
      </c>
      <c r="AI294" s="2"/>
    </row>
    <row r="295" spans="1:35" x14ac:dyDescent="0.25">
      <c r="B295" s="2" t="str">
        <f t="shared" si="350"/>
        <v>@color-raceway_line_unpaved</v>
      </c>
      <c r="C295" s="144" t="s">
        <v>221</v>
      </c>
      <c r="D295" s="145" t="str">
        <f>C295</f>
        <v>"#eddfca"</v>
      </c>
      <c r="F295" s="144" t="s">
        <v>221</v>
      </c>
      <c r="G295" s="38" t="str">
        <f t="shared" ref="G295:G296" si="363">F295</f>
        <v>"#eddfca"</v>
      </c>
      <c r="I295" s="145" t="str">
        <f>C295</f>
        <v>"#eddfca"</v>
      </c>
      <c r="J295" s="145" t="str">
        <f>C295</f>
        <v>"#eddfca"</v>
      </c>
      <c r="L295" s="144" t="s">
        <v>221</v>
      </c>
      <c r="M295" s="38" t="str">
        <f t="shared" ref="M295:M296" si="364">L295</f>
        <v>"#eddfca"</v>
      </c>
      <c r="U295" s="44"/>
      <c r="V295" s="44"/>
      <c r="X295" s="44"/>
      <c r="Y295" s="44"/>
      <c r="AA295" s="2" t="s">
        <v>6</v>
      </c>
      <c r="AB295" s="2" t="str">
        <f t="shared" si="318"/>
        <v>-</v>
      </c>
      <c r="AC295" s="2" t="s">
        <v>28</v>
      </c>
      <c r="AD295" s="2" t="str">
        <f t="shared" si="325"/>
        <v>_</v>
      </c>
      <c r="AE295" s="2" t="s">
        <v>13</v>
      </c>
      <c r="AF295" s="2" t="str">
        <f t="shared" si="326"/>
        <v>_</v>
      </c>
      <c r="AG295" s="2" t="s">
        <v>21</v>
      </c>
      <c r="AH295" s="2" t="str">
        <f t="shared" si="336"/>
        <v/>
      </c>
      <c r="AI295" s="2"/>
    </row>
    <row r="296" spans="1:35" x14ac:dyDescent="0.25">
      <c r="B296" s="2" t="str">
        <f t="shared" si="350"/>
        <v>@color-raceway_line_paved_or_uk</v>
      </c>
      <c r="C296" s="26" t="s">
        <v>222</v>
      </c>
      <c r="D296" s="38" t="str">
        <f>C296</f>
        <v>"#ffffff"</v>
      </c>
      <c r="F296" s="71" t="s">
        <v>222</v>
      </c>
      <c r="G296" s="38" t="str">
        <f t="shared" si="363"/>
        <v>"#ffffff"</v>
      </c>
      <c r="I296" s="38" t="str">
        <f>C296</f>
        <v>"#ffffff"</v>
      </c>
      <c r="J296" s="38" t="str">
        <f>C296</f>
        <v>"#ffffff"</v>
      </c>
      <c r="L296" s="71" t="s">
        <v>222</v>
      </c>
      <c r="M296" s="38" t="str">
        <f t="shared" si="364"/>
        <v>"#ffffff"</v>
      </c>
      <c r="U296" s="44"/>
      <c r="V296" s="44"/>
      <c r="X296" s="44"/>
      <c r="Y296" s="44"/>
      <c r="AA296" s="2" t="s">
        <v>6</v>
      </c>
      <c r="AB296" s="2" t="str">
        <f t="shared" si="318"/>
        <v>-</v>
      </c>
      <c r="AC296" s="2" t="s">
        <v>28</v>
      </c>
      <c r="AD296" s="2" t="str">
        <f t="shared" si="325"/>
        <v>_</v>
      </c>
      <c r="AE296" s="2" t="s">
        <v>13</v>
      </c>
      <c r="AF296" s="2" t="str">
        <f t="shared" si="326"/>
        <v>_</v>
      </c>
      <c r="AG296" s="2" t="s">
        <v>24</v>
      </c>
      <c r="AH296" s="2" t="str">
        <f t="shared" si="336"/>
        <v/>
      </c>
      <c r="AI296" s="2"/>
    </row>
    <row r="297" spans="1:35" x14ac:dyDescent="0.25">
      <c r="B297" s="2"/>
      <c r="AB297" s="28" t="str">
        <f t="shared" si="318"/>
        <v/>
      </c>
      <c r="AD297" s="28" t="str">
        <f t="shared" si="325"/>
        <v/>
      </c>
      <c r="AF297" s="28" t="str">
        <f t="shared" si="326"/>
        <v/>
      </c>
      <c r="AH297" s="28" t="str">
        <f t="shared" si="336"/>
        <v/>
      </c>
    </row>
    <row r="298" spans="1:35" x14ac:dyDescent="0.25">
      <c r="B298" s="2" t="str">
        <f t="shared" ref="B298:B303" si="365">_xlfn.CONCAT("@",AA298,AB298,AC298,AD298,AE298,AF298,AG298,AH298,AI298)</f>
        <v>@color-driveway_case_unpaved_farzoom</v>
      </c>
      <c r="C298" s="139" t="s">
        <v>227</v>
      </c>
      <c r="D298" s="140" t="s">
        <v>229</v>
      </c>
      <c r="F298" s="140" t="s">
        <v>229</v>
      </c>
      <c r="G298" s="139" t="s">
        <v>227</v>
      </c>
      <c r="I298" s="156" t="str">
        <f t="shared" ref="I298:J301" si="366">C298</f>
        <v>"#b99346"</v>
      </c>
      <c r="J298" s="151" t="str">
        <f t="shared" si="366"/>
        <v>"#644507"</v>
      </c>
      <c r="L298" s="140" t="s">
        <v>229</v>
      </c>
      <c r="M298" s="139" t="s">
        <v>227</v>
      </c>
      <c r="U298" s="44"/>
      <c r="V298" s="44"/>
      <c r="X298" s="44"/>
      <c r="Y298" s="44"/>
      <c r="AA298" s="2" t="s">
        <v>6</v>
      </c>
      <c r="AB298" s="2" t="str">
        <f t="shared" si="318"/>
        <v>-</v>
      </c>
      <c r="AC298" s="2" t="s">
        <v>29</v>
      </c>
      <c r="AD298" s="2" t="str">
        <f t="shared" si="325"/>
        <v>_</v>
      </c>
      <c r="AE298" s="2" t="s">
        <v>17</v>
      </c>
      <c r="AF298" s="2" t="str">
        <f t="shared" si="326"/>
        <v>_</v>
      </c>
      <c r="AG298" s="2" t="s">
        <v>21</v>
      </c>
      <c r="AH298" s="2" t="str">
        <f t="shared" si="336"/>
        <v>_</v>
      </c>
      <c r="AI298" s="28" t="s">
        <v>20</v>
      </c>
    </row>
    <row r="299" spans="1:35" x14ac:dyDescent="0.25">
      <c r="B299" s="2" t="str">
        <f t="shared" si="365"/>
        <v>@color-driveway_case_unpaved</v>
      </c>
      <c r="C299" s="140" t="s">
        <v>229</v>
      </c>
      <c r="D299" s="140" t="s">
        <v>229</v>
      </c>
      <c r="F299" s="72" t="s">
        <v>214</v>
      </c>
      <c r="G299" s="72" t="s">
        <v>214</v>
      </c>
      <c r="I299" s="151" t="str">
        <f t="shared" si="366"/>
        <v>"#644507"</v>
      </c>
      <c r="J299" s="151" t="str">
        <f t="shared" si="366"/>
        <v>"#644507"</v>
      </c>
      <c r="L299" s="72" t="s">
        <v>214</v>
      </c>
      <c r="M299" s="72" t="s">
        <v>214</v>
      </c>
      <c r="U299" s="44"/>
      <c r="V299" s="44"/>
      <c r="X299" s="44"/>
      <c r="Y299" s="44"/>
      <c r="AA299" s="2" t="s">
        <v>6</v>
      </c>
      <c r="AB299" s="2" t="str">
        <f t="shared" si="318"/>
        <v>-</v>
      </c>
      <c r="AC299" s="2" t="s">
        <v>29</v>
      </c>
      <c r="AD299" s="2" t="str">
        <f t="shared" si="325"/>
        <v>_</v>
      </c>
      <c r="AE299" s="2" t="s">
        <v>17</v>
      </c>
      <c r="AF299" s="2" t="str">
        <f t="shared" si="326"/>
        <v>_</v>
      </c>
      <c r="AG299" s="2" t="s">
        <v>21</v>
      </c>
      <c r="AH299" s="2" t="str">
        <f t="shared" si="336"/>
        <v/>
      </c>
      <c r="AI299" s="2"/>
    </row>
    <row r="300" spans="1:35" x14ac:dyDescent="0.25">
      <c r="B300" s="2" t="str">
        <f t="shared" si="365"/>
        <v>@color-driveway_case_paved_or_uk_farzoom</v>
      </c>
      <c r="C300" s="142" t="s">
        <v>228</v>
      </c>
      <c r="D300" s="72" t="s">
        <v>214</v>
      </c>
      <c r="F300" s="142" t="s">
        <v>228</v>
      </c>
      <c r="G300" s="142" t="s">
        <v>228</v>
      </c>
      <c r="I300" s="157" t="str">
        <f t="shared" si="366"/>
        <v>"#808080"</v>
      </c>
      <c r="J300" s="37" t="str">
        <f t="shared" si="366"/>
        <v>"#000000"</v>
      </c>
      <c r="L300" s="142" t="s">
        <v>228</v>
      </c>
      <c r="M300" s="142" t="s">
        <v>228</v>
      </c>
      <c r="U300" s="44"/>
      <c r="V300" s="44"/>
      <c r="X300" s="44"/>
      <c r="Y300" s="44"/>
      <c r="AA300" s="2" t="s">
        <v>6</v>
      </c>
      <c r="AB300" s="2" t="str">
        <f t="shared" si="318"/>
        <v>-</v>
      </c>
      <c r="AC300" s="2" t="s">
        <v>29</v>
      </c>
      <c r="AD300" s="2" t="str">
        <f t="shared" si="325"/>
        <v>_</v>
      </c>
      <c r="AE300" s="2" t="s">
        <v>17</v>
      </c>
      <c r="AF300" s="2" t="str">
        <f t="shared" si="326"/>
        <v>_</v>
      </c>
      <c r="AG300" s="2" t="s">
        <v>24</v>
      </c>
      <c r="AH300" s="2" t="str">
        <f t="shared" si="336"/>
        <v>_</v>
      </c>
      <c r="AI300" s="28" t="s">
        <v>20</v>
      </c>
    </row>
    <row r="301" spans="1:35" x14ac:dyDescent="0.25">
      <c r="B301" s="2" t="str">
        <f t="shared" si="365"/>
        <v>@color-driveway_case_paved_or_uk</v>
      </c>
      <c r="C301" s="143" t="s">
        <v>218</v>
      </c>
      <c r="D301" s="72" t="s">
        <v>214</v>
      </c>
      <c r="F301" s="72" t="s">
        <v>214</v>
      </c>
      <c r="G301" s="72" t="s">
        <v>214</v>
      </c>
      <c r="I301" s="158" t="str">
        <f t="shared" si="366"/>
        <v>"#404040"</v>
      </c>
      <c r="J301" s="37" t="str">
        <f t="shared" si="366"/>
        <v>"#000000"</v>
      </c>
      <c r="L301" s="72" t="s">
        <v>214</v>
      </c>
      <c r="M301" s="72" t="s">
        <v>214</v>
      </c>
      <c r="Q301" s="7"/>
      <c r="U301" s="44"/>
      <c r="V301" s="44"/>
      <c r="X301" s="44"/>
      <c r="Y301" s="44"/>
      <c r="AA301" s="2" t="s">
        <v>6</v>
      </c>
      <c r="AB301" s="2" t="str">
        <f t="shared" si="318"/>
        <v>-</v>
      </c>
      <c r="AC301" s="2" t="s">
        <v>29</v>
      </c>
      <c r="AD301" s="2" t="str">
        <f t="shared" si="325"/>
        <v>_</v>
      </c>
      <c r="AE301" s="2" t="s">
        <v>17</v>
      </c>
      <c r="AF301" s="2" t="str">
        <f t="shared" si="326"/>
        <v>_</v>
      </c>
      <c r="AG301" s="2" t="s">
        <v>24</v>
      </c>
      <c r="AH301" s="2" t="str">
        <f t="shared" si="336"/>
        <v/>
      </c>
      <c r="AI301" s="2"/>
    </row>
    <row r="302" spans="1:35" x14ac:dyDescent="0.25">
      <c r="B302" s="2" t="str">
        <f t="shared" si="365"/>
        <v>@color-driveway_line_unpaved</v>
      </c>
      <c r="C302" s="144" t="s">
        <v>221</v>
      </c>
      <c r="D302" s="38" t="str">
        <f t="shared" ref="D302:D303" si="367">C302</f>
        <v>"#eddfca"</v>
      </c>
      <c r="F302" s="144" t="s">
        <v>221</v>
      </c>
      <c r="G302" s="38" t="str">
        <f t="shared" ref="G302:G303" si="368">F302</f>
        <v>"#eddfca"</v>
      </c>
      <c r="I302" s="144" t="s">
        <v>221</v>
      </c>
      <c r="J302" s="38" t="str">
        <f t="shared" ref="J302:J303" si="369">I302</f>
        <v>"#eddfca"</v>
      </c>
      <c r="L302" s="144" t="s">
        <v>221</v>
      </c>
      <c r="M302" s="38" t="str">
        <f t="shared" ref="M302:M303" si="370">L302</f>
        <v>"#eddfca"</v>
      </c>
      <c r="U302" s="44"/>
      <c r="V302" s="44"/>
      <c r="X302" s="44"/>
      <c r="Y302" s="44"/>
      <c r="AA302" s="2" t="s">
        <v>6</v>
      </c>
      <c r="AB302" s="2" t="str">
        <f t="shared" si="318"/>
        <v>-</v>
      </c>
      <c r="AC302" s="2" t="s">
        <v>29</v>
      </c>
      <c r="AD302" s="2" t="str">
        <f t="shared" si="325"/>
        <v>_</v>
      </c>
      <c r="AE302" s="2" t="s">
        <v>13</v>
      </c>
      <c r="AF302" s="2" t="str">
        <f t="shared" si="326"/>
        <v>_</v>
      </c>
      <c r="AG302" s="2" t="s">
        <v>21</v>
      </c>
      <c r="AH302" s="2" t="str">
        <f t="shared" si="336"/>
        <v/>
      </c>
      <c r="AI302" s="2"/>
    </row>
    <row r="303" spans="1:35" x14ac:dyDescent="0.25">
      <c r="B303" s="2" t="str">
        <f t="shared" si="365"/>
        <v>@color-driveway_line_paved_or_uk</v>
      </c>
      <c r="C303" s="71" t="s">
        <v>222</v>
      </c>
      <c r="D303" s="38" t="str">
        <f t="shared" si="367"/>
        <v>"#ffffff"</v>
      </c>
      <c r="F303" s="71" t="s">
        <v>222</v>
      </c>
      <c r="G303" s="38" t="str">
        <f t="shared" si="368"/>
        <v>"#ffffff"</v>
      </c>
      <c r="I303" s="71" t="s">
        <v>222</v>
      </c>
      <c r="J303" s="38" t="str">
        <f t="shared" si="369"/>
        <v>"#ffffff"</v>
      </c>
      <c r="L303" s="71" t="s">
        <v>222</v>
      </c>
      <c r="M303" s="38" t="str">
        <f t="shared" si="370"/>
        <v>"#ffffff"</v>
      </c>
      <c r="U303" s="44"/>
      <c r="V303" s="44"/>
      <c r="X303" s="44"/>
      <c r="Y303" s="44"/>
      <c r="AA303" s="2" t="s">
        <v>6</v>
      </c>
      <c r="AB303" s="2" t="str">
        <f t="shared" si="318"/>
        <v>-</v>
      </c>
      <c r="AC303" s="2" t="s">
        <v>29</v>
      </c>
      <c r="AD303" s="2" t="str">
        <f t="shared" si="325"/>
        <v>_</v>
      </c>
      <c r="AE303" s="2" t="s">
        <v>13</v>
      </c>
      <c r="AF303" s="2" t="str">
        <f t="shared" si="326"/>
        <v>_</v>
      </c>
      <c r="AG303" s="2" t="s">
        <v>24</v>
      </c>
      <c r="AH303" s="2" t="str">
        <f t="shared" si="336"/>
        <v/>
      </c>
      <c r="AI303" s="2"/>
    </row>
    <row r="304" spans="1:35" x14ac:dyDescent="0.25">
      <c r="B304" s="2"/>
      <c r="AB304" s="28" t="str">
        <f t="shared" ref="AB304:AB317" si="371">IF(NOT(ISBLANK(AC304)),"-","")</f>
        <v/>
      </c>
      <c r="AD304" s="28" t="str">
        <f t="shared" ref="AD304:AD317" si="372">IF(NOT(ISBLANK(AE304)),"_","")</f>
        <v/>
      </c>
      <c r="AF304" s="28" t="str">
        <f t="shared" ref="AF304:AF317" si="373">IF(NOT(ISBLANK(AG304)),"_","")</f>
        <v/>
      </c>
      <c r="AH304" s="28" t="str">
        <f t="shared" si="336"/>
        <v/>
      </c>
    </row>
    <row r="305" spans="2:35" x14ac:dyDescent="0.25">
      <c r="B305" s="2" t="str">
        <f t="shared" ref="B305:B310" si="374">_xlfn.CONCAT("@",AA305,AB305,AC305,AD305,AE305,AF305,AG305,AH305,AI305)</f>
        <v>@color-busway_case_unpaved_farzoom</v>
      </c>
      <c r="C305" s="139" t="s">
        <v>227</v>
      </c>
      <c r="D305" s="140" t="s">
        <v>229</v>
      </c>
      <c r="F305" s="140" t="s">
        <v>229</v>
      </c>
      <c r="G305" s="139" t="s">
        <v>227</v>
      </c>
      <c r="I305" s="156" t="str">
        <f t="shared" ref="I305:I308" si="375">C305</f>
        <v>"#b99346"</v>
      </c>
      <c r="J305" s="151" t="str">
        <f t="shared" ref="J305:J308" si="376">D305</f>
        <v>"#644507"</v>
      </c>
      <c r="L305" s="140" t="s">
        <v>229</v>
      </c>
      <c r="M305" s="139" t="s">
        <v>227</v>
      </c>
      <c r="U305" s="44"/>
      <c r="V305" s="44"/>
      <c r="X305" s="44"/>
      <c r="Y305" s="44"/>
      <c r="AA305" s="2" t="s">
        <v>6</v>
      </c>
      <c r="AB305" s="2" t="str">
        <f t="shared" si="371"/>
        <v>-</v>
      </c>
      <c r="AC305" s="2" t="s">
        <v>370</v>
      </c>
      <c r="AD305" s="2" t="str">
        <f t="shared" si="372"/>
        <v>_</v>
      </c>
      <c r="AE305" s="2" t="s">
        <v>17</v>
      </c>
      <c r="AF305" s="2" t="str">
        <f t="shared" si="373"/>
        <v>_</v>
      </c>
      <c r="AG305" s="2" t="s">
        <v>21</v>
      </c>
      <c r="AH305" s="2" t="str">
        <f t="shared" ref="AH305:AH311" si="377">IF(NOT(ISBLANK(AI305)),"_","")</f>
        <v>_</v>
      </c>
      <c r="AI305" s="28" t="s">
        <v>20</v>
      </c>
    </row>
    <row r="306" spans="2:35" x14ac:dyDescent="0.25">
      <c r="B306" s="2" t="str">
        <f t="shared" si="374"/>
        <v>@color-busway_case_unpaved</v>
      </c>
      <c r="C306" s="140" t="s">
        <v>229</v>
      </c>
      <c r="D306" s="140" t="s">
        <v>229</v>
      </c>
      <c r="F306" s="72" t="s">
        <v>214</v>
      </c>
      <c r="G306" s="72" t="s">
        <v>214</v>
      </c>
      <c r="I306" s="151" t="str">
        <f t="shared" si="375"/>
        <v>"#644507"</v>
      </c>
      <c r="J306" s="151" t="str">
        <f t="shared" si="376"/>
        <v>"#644507"</v>
      </c>
      <c r="L306" s="72" t="s">
        <v>214</v>
      </c>
      <c r="M306" s="72" t="s">
        <v>214</v>
      </c>
      <c r="U306" s="44"/>
      <c r="V306" s="44"/>
      <c r="X306" s="44"/>
      <c r="Y306" s="44"/>
      <c r="AA306" s="2" t="s">
        <v>6</v>
      </c>
      <c r="AB306" s="2" t="str">
        <f t="shared" si="371"/>
        <v>-</v>
      </c>
      <c r="AC306" s="2" t="s">
        <v>370</v>
      </c>
      <c r="AD306" s="2" t="str">
        <f t="shared" si="372"/>
        <v>_</v>
      </c>
      <c r="AE306" s="2" t="s">
        <v>17</v>
      </c>
      <c r="AF306" s="2" t="str">
        <f t="shared" si="373"/>
        <v>_</v>
      </c>
      <c r="AG306" s="2" t="s">
        <v>21</v>
      </c>
      <c r="AH306" s="2" t="str">
        <f t="shared" si="377"/>
        <v/>
      </c>
      <c r="AI306" s="2"/>
    </row>
    <row r="307" spans="2:35" x14ac:dyDescent="0.25">
      <c r="B307" s="2" t="str">
        <f t="shared" si="374"/>
        <v>@color-busway_case_paved_or_uk_farzoom</v>
      </c>
      <c r="C307" s="142" t="s">
        <v>228</v>
      </c>
      <c r="D307" s="72" t="s">
        <v>214</v>
      </c>
      <c r="F307" s="142" t="s">
        <v>228</v>
      </c>
      <c r="G307" s="142" t="s">
        <v>228</v>
      </c>
      <c r="I307" s="157" t="str">
        <f t="shared" si="375"/>
        <v>"#808080"</v>
      </c>
      <c r="J307" s="37" t="str">
        <f t="shared" si="376"/>
        <v>"#000000"</v>
      </c>
      <c r="L307" s="142" t="s">
        <v>228</v>
      </c>
      <c r="M307" s="142" t="s">
        <v>228</v>
      </c>
      <c r="U307" s="44"/>
      <c r="V307" s="44"/>
      <c r="X307" s="44"/>
      <c r="Y307" s="44"/>
      <c r="AA307" s="2" t="s">
        <v>6</v>
      </c>
      <c r="AB307" s="2" t="str">
        <f t="shared" si="371"/>
        <v>-</v>
      </c>
      <c r="AC307" s="2" t="s">
        <v>370</v>
      </c>
      <c r="AD307" s="2" t="str">
        <f t="shared" si="372"/>
        <v>_</v>
      </c>
      <c r="AE307" s="2" t="s">
        <v>17</v>
      </c>
      <c r="AF307" s="2" t="str">
        <f t="shared" si="373"/>
        <v>_</v>
      </c>
      <c r="AG307" s="2" t="s">
        <v>24</v>
      </c>
      <c r="AH307" s="2" t="str">
        <f t="shared" si="377"/>
        <v>_</v>
      </c>
      <c r="AI307" s="28" t="s">
        <v>20</v>
      </c>
    </row>
    <row r="308" spans="2:35" x14ac:dyDescent="0.25">
      <c r="B308" s="2" t="str">
        <f t="shared" si="374"/>
        <v>@color-busway_case_paved_or_uk</v>
      </c>
      <c r="C308" s="143" t="s">
        <v>218</v>
      </c>
      <c r="D308" s="72" t="s">
        <v>214</v>
      </c>
      <c r="F308" s="72" t="s">
        <v>214</v>
      </c>
      <c r="G308" s="72" t="s">
        <v>214</v>
      </c>
      <c r="I308" s="158" t="str">
        <f t="shared" si="375"/>
        <v>"#404040"</v>
      </c>
      <c r="J308" s="37" t="str">
        <f t="shared" si="376"/>
        <v>"#000000"</v>
      </c>
      <c r="L308" s="72" t="s">
        <v>214</v>
      </c>
      <c r="M308" s="72" t="s">
        <v>214</v>
      </c>
      <c r="Q308" s="7"/>
      <c r="U308" s="44"/>
      <c r="V308" s="44"/>
      <c r="X308" s="44"/>
      <c r="Y308" s="44"/>
      <c r="AA308" s="2" t="s">
        <v>6</v>
      </c>
      <c r="AB308" s="2" t="str">
        <f t="shared" si="371"/>
        <v>-</v>
      </c>
      <c r="AC308" s="2" t="s">
        <v>370</v>
      </c>
      <c r="AD308" s="2" t="str">
        <f t="shared" si="372"/>
        <v>_</v>
      </c>
      <c r="AE308" s="2" t="s">
        <v>17</v>
      </c>
      <c r="AF308" s="2" t="str">
        <f t="shared" si="373"/>
        <v>_</v>
      </c>
      <c r="AG308" s="2" t="s">
        <v>24</v>
      </c>
      <c r="AH308" s="2" t="str">
        <f t="shared" si="377"/>
        <v/>
      </c>
      <c r="AI308" s="2"/>
    </row>
    <row r="309" spans="2:35" x14ac:dyDescent="0.25">
      <c r="B309" s="2" t="str">
        <f t="shared" si="374"/>
        <v>@color-busway_line_unpaved</v>
      </c>
      <c r="C309" s="144" t="s">
        <v>221</v>
      </c>
      <c r="D309" s="38" t="str">
        <f t="shared" ref="D309:D310" si="378">C309</f>
        <v>"#eddfca"</v>
      </c>
      <c r="F309" s="144" t="s">
        <v>221</v>
      </c>
      <c r="G309" s="38" t="str">
        <f t="shared" ref="G309:G310" si="379">F309</f>
        <v>"#eddfca"</v>
      </c>
      <c r="I309" s="144" t="s">
        <v>221</v>
      </c>
      <c r="J309" s="38" t="str">
        <f t="shared" ref="J309:J310" si="380">I309</f>
        <v>"#eddfca"</v>
      </c>
      <c r="L309" s="144" t="s">
        <v>221</v>
      </c>
      <c r="M309" s="38" t="str">
        <f t="shared" ref="M309:M310" si="381">L309</f>
        <v>"#eddfca"</v>
      </c>
      <c r="U309" s="44"/>
      <c r="V309" s="44"/>
      <c r="X309" s="44"/>
      <c r="Y309" s="44"/>
      <c r="AA309" s="2" t="s">
        <v>6</v>
      </c>
      <c r="AB309" s="2" t="str">
        <f t="shared" si="371"/>
        <v>-</v>
      </c>
      <c r="AC309" s="2" t="s">
        <v>370</v>
      </c>
      <c r="AD309" s="2" t="str">
        <f t="shared" si="372"/>
        <v>_</v>
      </c>
      <c r="AE309" s="2" t="s">
        <v>13</v>
      </c>
      <c r="AF309" s="2" t="str">
        <f t="shared" si="373"/>
        <v>_</v>
      </c>
      <c r="AG309" s="2" t="s">
        <v>21</v>
      </c>
      <c r="AH309" s="2" t="str">
        <f t="shared" si="377"/>
        <v/>
      </c>
      <c r="AI309" s="2"/>
    </row>
    <row r="310" spans="2:35" x14ac:dyDescent="0.25">
      <c r="B310" s="2" t="str">
        <f t="shared" si="374"/>
        <v>@color-busway_line_paved_or_uk</v>
      </c>
      <c r="C310" s="71" t="s">
        <v>222</v>
      </c>
      <c r="D310" s="38" t="str">
        <f t="shared" si="378"/>
        <v>"#ffffff"</v>
      </c>
      <c r="F310" s="71" t="s">
        <v>222</v>
      </c>
      <c r="G310" s="38" t="str">
        <f t="shared" si="379"/>
        <v>"#ffffff"</v>
      </c>
      <c r="I310" s="71" t="s">
        <v>222</v>
      </c>
      <c r="J310" s="38" t="str">
        <f t="shared" si="380"/>
        <v>"#ffffff"</v>
      </c>
      <c r="L310" s="71" t="s">
        <v>222</v>
      </c>
      <c r="M310" s="38" t="str">
        <f t="shared" si="381"/>
        <v>"#ffffff"</v>
      </c>
      <c r="U310" s="44"/>
      <c r="V310" s="44"/>
      <c r="X310" s="44"/>
      <c r="Y310" s="44"/>
      <c r="AA310" s="2" t="s">
        <v>6</v>
      </c>
      <c r="AB310" s="2" t="str">
        <f t="shared" si="371"/>
        <v>-</v>
      </c>
      <c r="AC310" s="2" t="s">
        <v>370</v>
      </c>
      <c r="AD310" s="2" t="str">
        <f t="shared" si="372"/>
        <v>_</v>
      </c>
      <c r="AE310" s="2" t="s">
        <v>13</v>
      </c>
      <c r="AF310" s="2" t="str">
        <f t="shared" si="373"/>
        <v>_</v>
      </c>
      <c r="AG310" s="2" t="s">
        <v>24</v>
      </c>
      <c r="AH310" s="2" t="str">
        <f t="shared" si="377"/>
        <v/>
      </c>
      <c r="AI310" s="2"/>
    </row>
    <row r="311" spans="2:35" x14ac:dyDescent="0.25">
      <c r="B311" s="2"/>
      <c r="AB311" s="28" t="str">
        <f t="shared" ref="AB311" si="382">IF(NOT(ISBLANK(AC311)),"-","")</f>
        <v/>
      </c>
      <c r="AD311" s="28" t="str">
        <f t="shared" ref="AD311" si="383">IF(NOT(ISBLANK(AE311)),"_","")</f>
        <v/>
      </c>
      <c r="AF311" s="28" t="str">
        <f t="shared" ref="AF311" si="384">IF(NOT(ISBLANK(AG311)),"_","")</f>
        <v/>
      </c>
      <c r="AH311" s="28" t="str">
        <f t="shared" si="377"/>
        <v/>
      </c>
    </row>
    <row r="312" spans="2:35" x14ac:dyDescent="0.25">
      <c r="B312" s="2" t="str">
        <f t="shared" ref="B312:B317" si="385">_xlfn.CONCAT("@",AA312,AB312,AC312,AD312,AE312,AF312,AG312,AH312,AI312)</f>
        <v>@color-service_case_unpaved_farzoom</v>
      </c>
      <c r="C312" s="139" t="s">
        <v>227</v>
      </c>
      <c r="D312" s="140" t="s">
        <v>229</v>
      </c>
      <c r="F312" s="140" t="s">
        <v>229</v>
      </c>
      <c r="G312" s="139" t="s">
        <v>227</v>
      </c>
      <c r="I312" s="156" t="str">
        <f t="shared" ref="I312:J315" si="386">C312</f>
        <v>"#b99346"</v>
      </c>
      <c r="J312" s="151" t="str">
        <f t="shared" si="386"/>
        <v>"#644507"</v>
      </c>
      <c r="L312" s="140" t="s">
        <v>229</v>
      </c>
      <c r="M312" s="139" t="s">
        <v>227</v>
      </c>
      <c r="U312" s="44"/>
      <c r="V312" s="44"/>
      <c r="X312" s="44"/>
      <c r="Y312" s="44"/>
      <c r="AA312" s="2" t="s">
        <v>6</v>
      </c>
      <c r="AB312" s="2" t="str">
        <f t="shared" si="371"/>
        <v>-</v>
      </c>
      <c r="AC312" s="2" t="s">
        <v>30</v>
      </c>
      <c r="AD312" s="2" t="str">
        <f t="shared" si="372"/>
        <v>_</v>
      </c>
      <c r="AE312" s="2" t="s">
        <v>17</v>
      </c>
      <c r="AF312" s="2" t="str">
        <f t="shared" si="373"/>
        <v>_</v>
      </c>
      <c r="AG312" s="2" t="s">
        <v>21</v>
      </c>
      <c r="AH312" s="2" t="str">
        <f t="shared" si="336"/>
        <v>_</v>
      </c>
      <c r="AI312" s="28" t="s">
        <v>20</v>
      </c>
    </row>
    <row r="313" spans="2:35" x14ac:dyDescent="0.25">
      <c r="B313" s="2" t="str">
        <f t="shared" si="385"/>
        <v>@color-service_case_unpaved</v>
      </c>
      <c r="C313" s="140" t="s">
        <v>229</v>
      </c>
      <c r="D313" s="140" t="s">
        <v>229</v>
      </c>
      <c r="F313" s="72" t="s">
        <v>214</v>
      </c>
      <c r="G313" s="72" t="s">
        <v>214</v>
      </c>
      <c r="I313" s="151" t="str">
        <f t="shared" si="386"/>
        <v>"#644507"</v>
      </c>
      <c r="J313" s="151" t="str">
        <f t="shared" si="386"/>
        <v>"#644507"</v>
      </c>
      <c r="L313" s="72" t="s">
        <v>214</v>
      </c>
      <c r="M313" s="72" t="s">
        <v>214</v>
      </c>
      <c r="U313" s="44"/>
      <c r="V313" s="44"/>
      <c r="X313" s="44"/>
      <c r="Y313" s="44"/>
      <c r="AA313" s="2" t="s">
        <v>6</v>
      </c>
      <c r="AB313" s="2" t="str">
        <f t="shared" si="371"/>
        <v>-</v>
      </c>
      <c r="AC313" s="2" t="s">
        <v>30</v>
      </c>
      <c r="AD313" s="2" t="str">
        <f t="shared" si="372"/>
        <v>_</v>
      </c>
      <c r="AE313" s="2" t="s">
        <v>17</v>
      </c>
      <c r="AF313" s="2" t="str">
        <f t="shared" si="373"/>
        <v>_</v>
      </c>
      <c r="AG313" s="2" t="s">
        <v>21</v>
      </c>
      <c r="AH313" s="2" t="str">
        <f t="shared" si="336"/>
        <v/>
      </c>
      <c r="AI313" s="2"/>
    </row>
    <row r="314" spans="2:35" x14ac:dyDescent="0.25">
      <c r="B314" s="2" t="str">
        <f t="shared" si="385"/>
        <v>@color-service_case_paved_or_uk_farzoom</v>
      </c>
      <c r="C314" s="142" t="s">
        <v>228</v>
      </c>
      <c r="D314" s="72" t="s">
        <v>214</v>
      </c>
      <c r="F314" s="72" t="s">
        <v>214</v>
      </c>
      <c r="G314" s="72" t="s">
        <v>214</v>
      </c>
      <c r="I314" s="157" t="str">
        <f t="shared" si="386"/>
        <v>"#808080"</v>
      </c>
      <c r="J314" s="37" t="str">
        <f t="shared" si="386"/>
        <v>"#000000"</v>
      </c>
      <c r="L314" s="72" t="s">
        <v>214</v>
      </c>
      <c r="M314" s="72" t="s">
        <v>214</v>
      </c>
      <c r="U314" s="44"/>
      <c r="V314" s="44"/>
      <c r="X314" s="44"/>
      <c r="Y314" s="44"/>
      <c r="AA314" s="2" t="s">
        <v>6</v>
      </c>
      <c r="AB314" s="2" t="str">
        <f t="shared" si="371"/>
        <v>-</v>
      </c>
      <c r="AC314" s="2" t="s">
        <v>30</v>
      </c>
      <c r="AD314" s="2" t="str">
        <f t="shared" si="372"/>
        <v>_</v>
      </c>
      <c r="AE314" s="2" t="s">
        <v>17</v>
      </c>
      <c r="AF314" s="2" t="str">
        <f t="shared" si="373"/>
        <v>_</v>
      </c>
      <c r="AG314" s="2" t="s">
        <v>24</v>
      </c>
      <c r="AH314" s="2" t="str">
        <f t="shared" si="336"/>
        <v>_</v>
      </c>
      <c r="AI314" s="28" t="s">
        <v>20</v>
      </c>
    </row>
    <row r="315" spans="2:35" x14ac:dyDescent="0.25">
      <c r="B315" s="2" t="str">
        <f t="shared" si="385"/>
        <v>@color-service_case_paved_or_uk</v>
      </c>
      <c r="C315" s="143" t="s">
        <v>218</v>
      </c>
      <c r="D315" s="72" t="s">
        <v>214</v>
      </c>
      <c r="F315" s="72" t="s">
        <v>214</v>
      </c>
      <c r="G315" s="72" t="s">
        <v>214</v>
      </c>
      <c r="I315" s="158" t="str">
        <f t="shared" si="386"/>
        <v>"#404040"</v>
      </c>
      <c r="J315" s="37" t="str">
        <f t="shared" si="386"/>
        <v>"#000000"</v>
      </c>
      <c r="L315" s="72" t="s">
        <v>214</v>
      </c>
      <c r="M315" s="72" t="s">
        <v>214</v>
      </c>
      <c r="Q315" s="7"/>
      <c r="U315" s="44"/>
      <c r="V315" s="44"/>
      <c r="X315" s="44"/>
      <c r="Y315" s="44"/>
      <c r="AA315" s="2" t="s">
        <v>6</v>
      </c>
      <c r="AB315" s="2" t="str">
        <f t="shared" si="371"/>
        <v>-</v>
      </c>
      <c r="AC315" s="2" t="s">
        <v>30</v>
      </c>
      <c r="AD315" s="2" t="str">
        <f t="shared" si="372"/>
        <v>_</v>
      </c>
      <c r="AE315" s="2" t="s">
        <v>17</v>
      </c>
      <c r="AF315" s="2" t="str">
        <f t="shared" si="373"/>
        <v>_</v>
      </c>
      <c r="AG315" s="2" t="s">
        <v>24</v>
      </c>
      <c r="AH315" s="2" t="str">
        <f t="shared" si="336"/>
        <v/>
      </c>
      <c r="AI315" s="2"/>
    </row>
    <row r="316" spans="2:35" x14ac:dyDescent="0.25">
      <c r="B316" s="2" t="str">
        <f t="shared" si="385"/>
        <v>@color-service_line_unpaved</v>
      </c>
      <c r="C316" s="144" t="s">
        <v>221</v>
      </c>
      <c r="D316" s="38" t="str">
        <f t="shared" ref="D316:D317" si="387">C316</f>
        <v>"#eddfca"</v>
      </c>
      <c r="F316" s="144" t="s">
        <v>221</v>
      </c>
      <c r="G316" s="38" t="str">
        <f t="shared" ref="G316:G317" si="388">F316</f>
        <v>"#eddfca"</v>
      </c>
      <c r="I316" s="145" t="str">
        <f>C316</f>
        <v>"#eddfca"</v>
      </c>
      <c r="J316" s="38" t="str">
        <f t="shared" ref="J316:J317" si="389">C316</f>
        <v>"#eddfca"</v>
      </c>
      <c r="L316" s="144" t="s">
        <v>221</v>
      </c>
      <c r="M316" s="38" t="str">
        <f t="shared" ref="M316:M317" si="390">L316</f>
        <v>"#eddfca"</v>
      </c>
      <c r="U316" s="44"/>
      <c r="V316" s="44"/>
      <c r="X316" s="44"/>
      <c r="Y316" s="44"/>
      <c r="AA316" s="2" t="s">
        <v>6</v>
      </c>
      <c r="AB316" s="2" t="str">
        <f t="shared" si="371"/>
        <v>-</v>
      </c>
      <c r="AC316" s="2" t="s">
        <v>30</v>
      </c>
      <c r="AD316" s="2" t="str">
        <f t="shared" si="372"/>
        <v>_</v>
      </c>
      <c r="AE316" s="2" t="s">
        <v>13</v>
      </c>
      <c r="AF316" s="2" t="str">
        <f t="shared" si="373"/>
        <v>_</v>
      </c>
      <c r="AG316" s="2" t="s">
        <v>21</v>
      </c>
      <c r="AH316" s="2" t="str">
        <f t="shared" si="336"/>
        <v/>
      </c>
      <c r="AI316" s="2"/>
    </row>
    <row r="317" spans="2:35" x14ac:dyDescent="0.25">
      <c r="B317" s="2" t="str">
        <f t="shared" si="385"/>
        <v>@color-service_line_paved_or_uk</v>
      </c>
      <c r="C317" s="71" t="s">
        <v>222</v>
      </c>
      <c r="D317" s="38" t="str">
        <f t="shared" si="387"/>
        <v>"#ffffff"</v>
      </c>
      <c r="F317" s="71" t="s">
        <v>222</v>
      </c>
      <c r="G317" s="38" t="str">
        <f t="shared" si="388"/>
        <v>"#ffffff"</v>
      </c>
      <c r="I317" s="38" t="str">
        <f>C317</f>
        <v>"#ffffff"</v>
      </c>
      <c r="J317" s="38" t="str">
        <f t="shared" si="389"/>
        <v>"#ffffff"</v>
      </c>
      <c r="L317" s="71" t="s">
        <v>222</v>
      </c>
      <c r="M317" s="38" t="str">
        <f t="shared" si="390"/>
        <v>"#ffffff"</v>
      </c>
      <c r="U317" s="44"/>
      <c r="V317" s="44"/>
      <c r="X317" s="44"/>
      <c r="Y317" s="44"/>
      <c r="AA317" s="2" t="s">
        <v>6</v>
      </c>
      <c r="AB317" s="2" t="str">
        <f t="shared" si="371"/>
        <v>-</v>
      </c>
      <c r="AC317" s="2" t="s">
        <v>30</v>
      </c>
      <c r="AD317" s="2" t="str">
        <f t="shared" si="372"/>
        <v>_</v>
      </c>
      <c r="AE317" s="2" t="s">
        <v>13</v>
      </c>
      <c r="AF317" s="2" t="str">
        <f t="shared" si="373"/>
        <v>_</v>
      </c>
      <c r="AG317" s="2" t="s">
        <v>24</v>
      </c>
      <c r="AH317" s="2" t="str">
        <f t="shared" si="336"/>
        <v/>
      </c>
      <c r="AI317" s="2"/>
    </row>
    <row r="318" spans="2:35" x14ac:dyDescent="0.25">
      <c r="B318" s="2"/>
      <c r="AB318" s="28" t="str">
        <f t="shared" si="318"/>
        <v/>
      </c>
      <c r="AD318" s="28" t="str">
        <f t="shared" si="325"/>
        <v/>
      </c>
      <c r="AF318" s="28" t="str">
        <f t="shared" si="326"/>
        <v/>
      </c>
      <c r="AH318" s="28" t="str">
        <f t="shared" si="336"/>
        <v/>
      </c>
    </row>
    <row r="319" spans="2:35" x14ac:dyDescent="0.25">
      <c r="B319" s="2" t="str">
        <f t="shared" ref="B319:B324" si="391">_xlfn.CONCAT("@",AA319,AB319,AC319,AD319,AE319,AF319,AG319,AH319,AI319)</f>
        <v>@color-minor_case_unpaved_farzoom</v>
      </c>
      <c r="C319" s="139" t="s">
        <v>227</v>
      </c>
      <c r="D319" s="140" t="s">
        <v>229</v>
      </c>
      <c r="F319" s="140" t="s">
        <v>229</v>
      </c>
      <c r="G319" s="139" t="s">
        <v>227</v>
      </c>
      <c r="I319" s="156" t="str">
        <f t="shared" ref="I319:J322" si="392">C319</f>
        <v>"#b99346"</v>
      </c>
      <c r="J319" s="151" t="str">
        <f t="shared" si="392"/>
        <v>"#644507"</v>
      </c>
      <c r="L319" s="140" t="s">
        <v>229</v>
      </c>
      <c r="M319" s="139" t="s">
        <v>227</v>
      </c>
      <c r="U319" s="44"/>
      <c r="V319" s="44"/>
      <c r="X319" s="44"/>
      <c r="Y319" s="44"/>
      <c r="AA319" s="2" t="s">
        <v>6</v>
      </c>
      <c r="AB319" s="2" t="str">
        <f t="shared" ref="AB319" si="393">IF(NOT(ISBLANK(AC319)),"-","")</f>
        <v>-</v>
      </c>
      <c r="AC319" s="2" t="s">
        <v>31</v>
      </c>
      <c r="AD319" s="2" t="str">
        <f t="shared" ref="AD319" si="394">IF(NOT(ISBLANK(AE319)),"_","")</f>
        <v>_</v>
      </c>
      <c r="AE319" s="2" t="s">
        <v>17</v>
      </c>
      <c r="AF319" s="2" t="str">
        <f t="shared" ref="AF319" si="395">IF(NOT(ISBLANK(AG319)),"_","")</f>
        <v>_</v>
      </c>
      <c r="AG319" s="2" t="s">
        <v>21</v>
      </c>
      <c r="AH319" s="2" t="str">
        <f t="shared" si="336"/>
        <v>_</v>
      </c>
      <c r="AI319" s="28" t="s">
        <v>20</v>
      </c>
    </row>
    <row r="320" spans="2:35" x14ac:dyDescent="0.25">
      <c r="B320" s="2" t="str">
        <f t="shared" si="391"/>
        <v>@color-minor_case_unpaved_default</v>
      </c>
      <c r="C320" s="140" t="s">
        <v>229</v>
      </c>
      <c r="D320" s="140" t="s">
        <v>229</v>
      </c>
      <c r="F320" s="72" t="s">
        <v>214</v>
      </c>
      <c r="G320" s="72" t="s">
        <v>214</v>
      </c>
      <c r="I320" s="151" t="str">
        <f t="shared" si="392"/>
        <v>"#644507"</v>
      </c>
      <c r="J320" s="151" t="str">
        <f t="shared" si="392"/>
        <v>"#644507"</v>
      </c>
      <c r="L320" s="72" t="s">
        <v>214</v>
      </c>
      <c r="M320" s="72" t="s">
        <v>214</v>
      </c>
      <c r="U320" s="44"/>
      <c r="V320" s="44"/>
      <c r="X320" s="44"/>
      <c r="Y320" s="44"/>
      <c r="AA320" s="2" t="s">
        <v>6</v>
      </c>
      <c r="AB320" s="2" t="str">
        <f t="shared" si="318"/>
        <v>-</v>
      </c>
      <c r="AC320" s="2" t="s">
        <v>31</v>
      </c>
      <c r="AD320" s="2" t="str">
        <f t="shared" si="325"/>
        <v>_</v>
      </c>
      <c r="AE320" s="2" t="s">
        <v>17</v>
      </c>
      <c r="AF320" s="2" t="str">
        <f t="shared" si="326"/>
        <v>_</v>
      </c>
      <c r="AG320" s="2" t="s">
        <v>21</v>
      </c>
      <c r="AH320" s="2" t="str">
        <f t="shared" si="336"/>
        <v>_</v>
      </c>
      <c r="AI320" s="28" t="s">
        <v>262</v>
      </c>
    </row>
    <row r="321" spans="1:35" x14ac:dyDescent="0.25">
      <c r="B321" s="2" t="str">
        <f t="shared" si="391"/>
        <v>@color-minor_case_paved_or_uk_farzoom</v>
      </c>
      <c r="C321" s="142" t="s">
        <v>228</v>
      </c>
      <c r="D321" s="72" t="s">
        <v>214</v>
      </c>
      <c r="F321" s="142" t="s">
        <v>228</v>
      </c>
      <c r="G321" s="142" t="s">
        <v>228</v>
      </c>
      <c r="I321" s="157" t="str">
        <f t="shared" si="392"/>
        <v>"#808080"</v>
      </c>
      <c r="J321" s="37" t="str">
        <f t="shared" si="392"/>
        <v>"#000000"</v>
      </c>
      <c r="L321" s="142" t="s">
        <v>228</v>
      </c>
      <c r="M321" s="142" t="s">
        <v>228</v>
      </c>
      <c r="U321" s="44"/>
      <c r="V321" s="44"/>
      <c r="X321" s="44"/>
      <c r="Y321" s="44"/>
      <c r="AA321" s="2" t="s">
        <v>6</v>
      </c>
      <c r="AB321" s="2" t="str">
        <f t="shared" ref="AB321" si="396">IF(NOT(ISBLANK(AC321)),"-","")</f>
        <v>-</v>
      </c>
      <c r="AC321" s="2" t="s">
        <v>31</v>
      </c>
      <c r="AD321" s="2" t="str">
        <f t="shared" ref="AD321" si="397">IF(NOT(ISBLANK(AE321)),"_","")</f>
        <v>_</v>
      </c>
      <c r="AE321" s="2" t="s">
        <v>17</v>
      </c>
      <c r="AF321" s="2" t="str">
        <f t="shared" ref="AF321" si="398">IF(NOT(ISBLANK(AG321)),"_","")</f>
        <v>_</v>
      </c>
      <c r="AG321" s="2" t="s">
        <v>24</v>
      </c>
      <c r="AH321" s="2" t="str">
        <f t="shared" si="336"/>
        <v>_</v>
      </c>
      <c r="AI321" s="28" t="s">
        <v>20</v>
      </c>
    </row>
    <row r="322" spans="1:35" x14ac:dyDescent="0.25">
      <c r="B322" s="2" t="str">
        <f t="shared" si="391"/>
        <v>@color-minor_case_paved_or_uk_default</v>
      </c>
      <c r="C322" s="143" t="s">
        <v>218</v>
      </c>
      <c r="D322" s="72" t="s">
        <v>214</v>
      </c>
      <c r="F322" s="72" t="s">
        <v>214</v>
      </c>
      <c r="G322" s="72" t="s">
        <v>214</v>
      </c>
      <c r="I322" s="158" t="str">
        <f t="shared" si="392"/>
        <v>"#404040"</v>
      </c>
      <c r="J322" s="37" t="str">
        <f t="shared" si="392"/>
        <v>"#000000"</v>
      </c>
      <c r="L322" s="72" t="s">
        <v>214</v>
      </c>
      <c r="M322" s="72" t="s">
        <v>214</v>
      </c>
      <c r="U322" s="44"/>
      <c r="V322" s="44"/>
      <c r="X322" s="44"/>
      <c r="Y322" s="44"/>
      <c r="AA322" s="2" t="s">
        <v>6</v>
      </c>
      <c r="AB322" s="2" t="str">
        <f t="shared" si="318"/>
        <v>-</v>
      </c>
      <c r="AC322" s="2" t="s">
        <v>31</v>
      </c>
      <c r="AD322" s="2" t="str">
        <f t="shared" si="325"/>
        <v>_</v>
      </c>
      <c r="AE322" s="2" t="s">
        <v>17</v>
      </c>
      <c r="AF322" s="2" t="str">
        <f t="shared" si="326"/>
        <v>_</v>
      </c>
      <c r="AG322" s="2" t="s">
        <v>24</v>
      </c>
      <c r="AH322" s="2" t="str">
        <f t="shared" si="336"/>
        <v>_</v>
      </c>
      <c r="AI322" s="28" t="s">
        <v>262</v>
      </c>
    </row>
    <row r="323" spans="1:35" x14ac:dyDescent="0.25">
      <c r="B323" s="2" t="str">
        <f t="shared" si="391"/>
        <v>@color-minor_line_unpaved</v>
      </c>
      <c r="C323" s="144" t="s">
        <v>221</v>
      </c>
      <c r="D323" s="38" t="str">
        <f t="shared" ref="D323:D324" si="399">C323</f>
        <v>"#eddfca"</v>
      </c>
      <c r="F323" s="144" t="s">
        <v>221</v>
      </c>
      <c r="G323" s="38" t="str">
        <f t="shared" ref="G323:G324" si="400">F323</f>
        <v>"#eddfca"</v>
      </c>
      <c r="I323" s="145" t="str">
        <f>C323</f>
        <v>"#eddfca"</v>
      </c>
      <c r="J323" s="38" t="str">
        <f t="shared" ref="J323:J324" si="401">C323</f>
        <v>"#eddfca"</v>
      </c>
      <c r="L323" s="144" t="s">
        <v>221</v>
      </c>
      <c r="M323" s="38" t="str">
        <f t="shared" ref="M323:M324" si="402">L323</f>
        <v>"#eddfca"</v>
      </c>
      <c r="U323" s="44"/>
      <c r="V323" s="44"/>
      <c r="X323" s="44"/>
      <c r="Y323" s="44"/>
      <c r="AA323" s="2" t="s">
        <v>6</v>
      </c>
      <c r="AB323" s="2" t="str">
        <f t="shared" si="318"/>
        <v>-</v>
      </c>
      <c r="AC323" s="2" t="s">
        <v>31</v>
      </c>
      <c r="AD323" s="2" t="str">
        <f t="shared" si="325"/>
        <v>_</v>
      </c>
      <c r="AE323" s="2" t="s">
        <v>13</v>
      </c>
      <c r="AF323" s="2" t="str">
        <f t="shared" si="326"/>
        <v>_</v>
      </c>
      <c r="AG323" s="2" t="s">
        <v>21</v>
      </c>
      <c r="AH323" s="2" t="str">
        <f t="shared" si="336"/>
        <v/>
      </c>
      <c r="AI323" s="2"/>
    </row>
    <row r="324" spans="1:35" x14ac:dyDescent="0.25">
      <c r="B324" s="2" t="str">
        <f t="shared" si="391"/>
        <v>@color-minor_line_paved_or_uk</v>
      </c>
      <c r="C324" s="71" t="s">
        <v>222</v>
      </c>
      <c r="D324" s="38" t="str">
        <f t="shared" si="399"/>
        <v>"#ffffff"</v>
      </c>
      <c r="F324" s="71" t="s">
        <v>222</v>
      </c>
      <c r="G324" s="38" t="str">
        <f t="shared" si="400"/>
        <v>"#ffffff"</v>
      </c>
      <c r="I324" s="38" t="str">
        <f>C324</f>
        <v>"#ffffff"</v>
      </c>
      <c r="J324" s="38" t="str">
        <f t="shared" si="401"/>
        <v>"#ffffff"</v>
      </c>
      <c r="L324" s="71" t="s">
        <v>222</v>
      </c>
      <c r="M324" s="38" t="str">
        <f t="shared" si="402"/>
        <v>"#ffffff"</v>
      </c>
      <c r="U324" s="44"/>
      <c r="V324" s="44"/>
      <c r="X324" s="44"/>
      <c r="Y324" s="44"/>
      <c r="AA324" s="2" t="s">
        <v>6</v>
      </c>
      <c r="AB324" s="2" t="str">
        <f t="shared" si="318"/>
        <v>-</v>
      </c>
      <c r="AC324" s="2" t="s">
        <v>31</v>
      </c>
      <c r="AD324" s="2" t="str">
        <f t="shared" si="325"/>
        <v>_</v>
      </c>
      <c r="AE324" s="2" t="s">
        <v>13</v>
      </c>
      <c r="AF324" s="2" t="str">
        <f t="shared" si="326"/>
        <v>_</v>
      </c>
      <c r="AG324" s="2" t="s">
        <v>24</v>
      </c>
      <c r="AH324" s="2" t="str">
        <f t="shared" si="336"/>
        <v/>
      </c>
      <c r="AI324" s="2"/>
    </row>
    <row r="325" spans="1:35" x14ac:dyDescent="0.25">
      <c r="B325" s="2"/>
      <c r="AB325" s="28" t="str">
        <f t="shared" si="318"/>
        <v/>
      </c>
      <c r="AD325" s="28" t="str">
        <f t="shared" si="325"/>
        <v/>
      </c>
      <c r="AF325" s="28" t="str">
        <f t="shared" si="326"/>
        <v/>
      </c>
      <c r="AH325" s="28" t="str">
        <f t="shared" si="336"/>
        <v/>
      </c>
    </row>
    <row r="326" spans="1:35" s="2" customFormat="1" x14ac:dyDescent="0.25">
      <c r="A326" s="3" t="s">
        <v>224</v>
      </c>
      <c r="B326" s="3"/>
      <c r="C326" s="27"/>
      <c r="D326" s="6"/>
      <c r="E326" s="7"/>
      <c r="F326" s="6"/>
      <c r="G326" s="6"/>
      <c r="H326" s="7"/>
      <c r="I326" s="6"/>
      <c r="J326" s="6"/>
      <c r="K326" s="7"/>
      <c r="L326" s="6"/>
      <c r="M326" s="6"/>
      <c r="N326" s="7"/>
      <c r="O326" s="6"/>
      <c r="P326" s="6"/>
      <c r="Q326" s="7"/>
      <c r="R326" s="6"/>
      <c r="S326" s="6"/>
      <c r="T326" s="7"/>
      <c r="U326" s="6"/>
      <c r="V326" s="6"/>
      <c r="W326" s="7"/>
      <c r="X326" s="6"/>
      <c r="Y326" s="6"/>
      <c r="AA326" s="4"/>
      <c r="AB326" s="4" t="str">
        <f t="shared" si="318"/>
        <v/>
      </c>
      <c r="AC326" s="4"/>
      <c r="AD326" s="4" t="str">
        <f t="shared" si="325"/>
        <v/>
      </c>
      <c r="AE326" s="4"/>
      <c r="AF326" s="4" t="str">
        <f t="shared" si="326"/>
        <v/>
      </c>
      <c r="AG326" s="4"/>
      <c r="AH326" s="4" t="str">
        <f t="shared" si="336"/>
        <v/>
      </c>
      <c r="AI326" s="4"/>
    </row>
    <row r="327" spans="1:35" x14ac:dyDescent="0.25">
      <c r="B327" s="2" t="str">
        <f t="shared" ref="B327:B357" si="403">_xlfn.CONCAT("@",AA327,AB327,AC327,AD327,AE327,AF327,AG327,AH327,AI327)</f>
        <v>@color-motorway_link_line</v>
      </c>
      <c r="C327" s="176" t="s">
        <v>213</v>
      </c>
      <c r="D327" s="177" t="s">
        <v>215</v>
      </c>
      <c r="F327" s="134" t="s">
        <v>215</v>
      </c>
      <c r="G327" s="134" t="s">
        <v>215</v>
      </c>
      <c r="I327" s="176" t="s">
        <v>213</v>
      </c>
      <c r="J327" s="177" t="s">
        <v>215</v>
      </c>
      <c r="L327" s="134" t="s">
        <v>215</v>
      </c>
      <c r="M327" s="134" t="s">
        <v>215</v>
      </c>
      <c r="O327" s="176" t="s">
        <v>213</v>
      </c>
      <c r="P327" s="177" t="s">
        <v>215</v>
      </c>
      <c r="R327" s="134" t="s">
        <v>215</v>
      </c>
      <c r="S327" s="134" t="s">
        <v>215</v>
      </c>
      <c r="U327" s="176" t="s">
        <v>213</v>
      </c>
      <c r="V327" s="177" t="s">
        <v>215</v>
      </c>
      <c r="X327" s="134" t="s">
        <v>215</v>
      </c>
      <c r="Y327" s="134" t="s">
        <v>215</v>
      </c>
      <c r="AA327" s="2" t="s">
        <v>6</v>
      </c>
      <c r="AB327" s="2" t="str">
        <f t="shared" si="318"/>
        <v>-</v>
      </c>
      <c r="AC327" s="2" t="s">
        <v>33</v>
      </c>
      <c r="AD327" s="2" t="str">
        <f t="shared" si="325"/>
        <v>_</v>
      </c>
      <c r="AE327" s="2" t="s">
        <v>13</v>
      </c>
      <c r="AF327" s="2" t="str">
        <f t="shared" si="326"/>
        <v/>
      </c>
      <c r="AG327" s="2"/>
      <c r="AH327" s="2" t="str">
        <f t="shared" si="336"/>
        <v/>
      </c>
      <c r="AI327" s="2"/>
    </row>
    <row r="328" spans="1:35" x14ac:dyDescent="0.25">
      <c r="B328" s="2" t="str">
        <f t="shared" si="403"/>
        <v>@color-motorway_link_case</v>
      </c>
      <c r="C328" s="178" t="s">
        <v>212</v>
      </c>
      <c r="D328" s="179" t="s">
        <v>214</v>
      </c>
      <c r="F328" s="72" t="s">
        <v>214</v>
      </c>
      <c r="G328" s="72" t="s">
        <v>214</v>
      </c>
      <c r="I328" s="178" t="s">
        <v>212</v>
      </c>
      <c r="J328" s="179" t="s">
        <v>214</v>
      </c>
      <c r="L328" s="72" t="s">
        <v>214</v>
      </c>
      <c r="M328" s="72" t="s">
        <v>214</v>
      </c>
      <c r="O328" s="178" t="s">
        <v>212</v>
      </c>
      <c r="P328" s="179" t="s">
        <v>214</v>
      </c>
      <c r="R328" s="72" t="s">
        <v>214</v>
      </c>
      <c r="S328" s="72" t="s">
        <v>214</v>
      </c>
      <c r="U328" s="178" t="s">
        <v>212</v>
      </c>
      <c r="V328" s="179" t="s">
        <v>214</v>
      </c>
      <c r="X328" s="72" t="s">
        <v>214</v>
      </c>
      <c r="Y328" s="72" t="s">
        <v>214</v>
      </c>
      <c r="AA328" s="2" t="s">
        <v>6</v>
      </c>
      <c r="AB328" s="2" t="str">
        <f t="shared" si="318"/>
        <v>-</v>
      </c>
      <c r="AC328" s="2" t="s">
        <v>33</v>
      </c>
      <c r="AD328" s="2" t="str">
        <f t="shared" si="325"/>
        <v>_</v>
      </c>
      <c r="AE328" s="2" t="s">
        <v>17</v>
      </c>
      <c r="AF328" s="2" t="str">
        <f t="shared" si="326"/>
        <v/>
      </c>
      <c r="AG328" s="2"/>
      <c r="AH328" s="2" t="str">
        <f t="shared" si="336"/>
        <v/>
      </c>
      <c r="AI328" s="2"/>
    </row>
    <row r="329" spans="1:35" x14ac:dyDescent="0.25">
      <c r="B329" s="2"/>
      <c r="AB329" s="28" t="str">
        <f t="shared" ref="AB329" si="404">IF(NOT(ISBLANK(AC329)),"-","")</f>
        <v/>
      </c>
      <c r="AD329" s="28" t="str">
        <f t="shared" ref="AD329" si="405">IF(NOT(ISBLANK(AE329)),"_","")</f>
        <v/>
      </c>
      <c r="AF329" s="28" t="str">
        <f t="shared" ref="AF329" si="406">IF(NOT(ISBLANK(AG329)),"_","")</f>
        <v/>
      </c>
      <c r="AH329" s="28" t="str">
        <f t="shared" ref="AH329" si="407">IF(NOT(ISBLANK(AI329)),"_","")</f>
        <v/>
      </c>
    </row>
    <row r="330" spans="1:35" x14ac:dyDescent="0.25">
      <c r="B330" s="2" t="str">
        <f t="shared" si="403"/>
        <v>@color-trunk_primary_secondary_tertiary_link_line_bicycle_no</v>
      </c>
      <c r="C330" s="146" t="s">
        <v>231</v>
      </c>
      <c r="D330" s="134" t="s">
        <v>215</v>
      </c>
      <c r="F330" s="146" t="s">
        <v>231</v>
      </c>
      <c r="G330" s="134" t="s">
        <v>215</v>
      </c>
      <c r="I330" s="147" t="str">
        <f>C330</f>
        <v>"#ffcc8a"</v>
      </c>
      <c r="J330" s="136" t="str">
        <f>D330</f>
        <v>"#d6771e"</v>
      </c>
      <c r="L330" s="146" t="s">
        <v>231</v>
      </c>
      <c r="M330" s="134" t="s">
        <v>215</v>
      </c>
      <c r="AA330" s="2" t="s">
        <v>6</v>
      </c>
      <c r="AB330" s="2" t="str">
        <f t="shared" si="318"/>
        <v>-</v>
      </c>
      <c r="AC330" s="2" t="s">
        <v>32</v>
      </c>
      <c r="AD330" s="2" t="str">
        <f t="shared" si="325"/>
        <v>_</v>
      </c>
      <c r="AE330" s="2" t="s">
        <v>13</v>
      </c>
      <c r="AF330" s="2" t="str">
        <f t="shared" si="326"/>
        <v>_</v>
      </c>
      <c r="AG330" s="2" t="s">
        <v>23</v>
      </c>
      <c r="AH330" s="2" t="str">
        <f t="shared" si="336"/>
        <v/>
      </c>
      <c r="AI330" s="182"/>
    </row>
    <row r="331" spans="1:35" x14ac:dyDescent="0.25">
      <c r="B331" s="2" t="str">
        <f t="shared" si="403"/>
        <v>@color-trunk_primary_secondary_tertiary_link_line_unpaved</v>
      </c>
      <c r="C331" s="180" t="s">
        <v>221</v>
      </c>
      <c r="D331" s="180" t="str">
        <f>C331</f>
        <v>"#eddfca"</v>
      </c>
      <c r="E331" s="181"/>
      <c r="F331" s="180" t="s">
        <v>221</v>
      </c>
      <c r="G331" s="180" t="str">
        <f>F331</f>
        <v>"#eddfca"</v>
      </c>
      <c r="H331" s="181"/>
      <c r="I331" s="180" t="s">
        <v>221</v>
      </c>
      <c r="J331" s="180" t="str">
        <f>I331</f>
        <v>"#eddfca"</v>
      </c>
      <c r="L331" s="180" t="s">
        <v>221</v>
      </c>
      <c r="M331" s="180" t="str">
        <f>L331</f>
        <v>"#eddfca"</v>
      </c>
      <c r="AA331" s="2" t="s">
        <v>6</v>
      </c>
      <c r="AB331" s="2" t="str">
        <f t="shared" si="318"/>
        <v>-</v>
      </c>
      <c r="AC331" s="2" t="s">
        <v>32</v>
      </c>
      <c r="AD331" s="2" t="str">
        <f t="shared" si="325"/>
        <v>_</v>
      </c>
      <c r="AE331" s="2" t="s">
        <v>13</v>
      </c>
      <c r="AF331" s="2" t="str">
        <f t="shared" si="326"/>
        <v>_</v>
      </c>
      <c r="AG331" s="2" t="s">
        <v>21</v>
      </c>
      <c r="AH331" s="2" t="str">
        <f t="shared" si="336"/>
        <v/>
      </c>
      <c r="AI331" s="2"/>
    </row>
    <row r="332" spans="1:35" x14ac:dyDescent="0.25">
      <c r="B332" s="2" t="str">
        <f t="shared" si="403"/>
        <v>@color-trunk_primary_secondary_tertiary_link_line_paved_or_uk</v>
      </c>
      <c r="C332" s="71" t="s">
        <v>222</v>
      </c>
      <c r="D332" s="38" t="str">
        <f>C332</f>
        <v>"#ffffff"</v>
      </c>
      <c r="F332" s="71" t="s">
        <v>222</v>
      </c>
      <c r="G332" s="38" t="str">
        <f>F332</f>
        <v>"#ffffff"</v>
      </c>
      <c r="I332" s="71" t="s">
        <v>222</v>
      </c>
      <c r="J332" s="38" t="str">
        <f>I332</f>
        <v>"#ffffff"</v>
      </c>
      <c r="L332" s="71" t="s">
        <v>222</v>
      </c>
      <c r="M332" s="38" t="str">
        <f>L332</f>
        <v>"#ffffff"</v>
      </c>
      <c r="AA332" s="2" t="s">
        <v>6</v>
      </c>
      <c r="AB332" s="2" t="str">
        <f t="shared" si="318"/>
        <v>-</v>
      </c>
      <c r="AC332" s="2" t="s">
        <v>32</v>
      </c>
      <c r="AD332" s="2" t="str">
        <f t="shared" si="325"/>
        <v>_</v>
      </c>
      <c r="AE332" s="2" t="s">
        <v>13</v>
      </c>
      <c r="AF332" s="2" t="str">
        <f t="shared" si="326"/>
        <v>_</v>
      </c>
      <c r="AG332" s="2" t="s">
        <v>24</v>
      </c>
      <c r="AH332" s="2" t="str">
        <f t="shared" si="336"/>
        <v/>
      </c>
      <c r="AI332" s="2"/>
    </row>
    <row r="333" spans="1:35" x14ac:dyDescent="0.25">
      <c r="B333" s="2" t="str">
        <f t="shared" si="403"/>
        <v>@color-trunk_primary_secondary_tertiary_link_case_bicycle_no_farzoom</v>
      </c>
      <c r="C333" s="137" t="s">
        <v>226</v>
      </c>
      <c r="D333" s="72" t="s">
        <v>214</v>
      </c>
      <c r="F333" s="137" t="s">
        <v>226</v>
      </c>
      <c r="G333" s="137" t="s">
        <v>226</v>
      </c>
      <c r="I333" s="138" t="str">
        <f>C333</f>
        <v>"#bd430f"</v>
      </c>
      <c r="J333" s="37" t="str">
        <f>D333</f>
        <v>"#000000"</v>
      </c>
      <c r="L333" s="137" t="s">
        <v>226</v>
      </c>
      <c r="M333" s="137" t="s">
        <v>226</v>
      </c>
      <c r="AA333" s="2" t="s">
        <v>6</v>
      </c>
      <c r="AB333" s="2" t="str">
        <f t="shared" ref="AB333" si="408">IF(NOT(ISBLANK(AC333)),"-","")</f>
        <v>-</v>
      </c>
      <c r="AC333" s="2" t="s">
        <v>32</v>
      </c>
      <c r="AD333" s="2" t="str">
        <f t="shared" ref="AD333" si="409">IF(NOT(ISBLANK(AE333)),"_","")</f>
        <v>_</v>
      </c>
      <c r="AE333" s="2" t="s">
        <v>17</v>
      </c>
      <c r="AF333" s="2" t="str">
        <f t="shared" ref="AF333" si="410">IF(NOT(ISBLANK(AG333)),"_","")</f>
        <v>_</v>
      </c>
      <c r="AG333" s="2" t="s">
        <v>23</v>
      </c>
      <c r="AH333" s="2" t="str">
        <f t="shared" si="336"/>
        <v>_</v>
      </c>
      <c r="AI333" s="2" t="s">
        <v>20</v>
      </c>
    </row>
    <row r="334" spans="1:35" x14ac:dyDescent="0.25">
      <c r="B334" s="2" t="str">
        <f t="shared" ref="B334:B338" si="411">_xlfn.CONCAT("@",AA334,AB334,AC334,AD334,AE334,AF334,AG334,AH334,AI334)</f>
        <v>@color-trunk_primary_secondary_tertiary_link_case_bicycle_no_default</v>
      </c>
      <c r="C334" s="137" t="s">
        <v>226</v>
      </c>
      <c r="D334" s="72" t="s">
        <v>214</v>
      </c>
      <c r="F334" s="72" t="s">
        <v>214</v>
      </c>
      <c r="G334" s="72" t="s">
        <v>214</v>
      </c>
      <c r="I334" s="138" t="str">
        <f>C334</f>
        <v>"#bd430f"</v>
      </c>
      <c r="J334" s="37" t="str">
        <f>D334</f>
        <v>"#000000"</v>
      </c>
      <c r="L334" s="72" t="s">
        <v>214</v>
      </c>
      <c r="M334" s="72" t="s">
        <v>214</v>
      </c>
      <c r="AA334" s="2" t="s">
        <v>6</v>
      </c>
      <c r="AB334" s="2" t="str">
        <f t="shared" ref="AB334:AB338" si="412">IF(NOT(ISBLANK(AC334)),"-","")</f>
        <v>-</v>
      </c>
      <c r="AC334" s="2" t="s">
        <v>32</v>
      </c>
      <c r="AD334" s="2" t="str">
        <f t="shared" ref="AD334:AD338" si="413">IF(NOT(ISBLANK(AE334)),"_","")</f>
        <v>_</v>
      </c>
      <c r="AE334" s="2" t="s">
        <v>17</v>
      </c>
      <c r="AF334" s="2" t="str">
        <f t="shared" ref="AF334:AF338" si="414">IF(NOT(ISBLANK(AG334)),"_","")</f>
        <v>_</v>
      </c>
      <c r="AG334" s="2" t="s">
        <v>23</v>
      </c>
      <c r="AH334" s="2" t="str">
        <f t="shared" ref="AH334:AH338" si="415">IF(NOT(ISBLANK(AI334)),"_","")</f>
        <v>_</v>
      </c>
      <c r="AI334" s="2" t="s">
        <v>262</v>
      </c>
    </row>
    <row r="335" spans="1:35" x14ac:dyDescent="0.25">
      <c r="B335" s="2" t="str">
        <f t="shared" ref="B335" si="416">_xlfn.CONCAT("@",AA335,AB335,AC335,AD335,AE335,AF335,AG335,AH335,AI335)</f>
        <v>@color-trunk_primary_secondary_tertiary_link_case_unpaved_farzoom</v>
      </c>
      <c r="C335" s="139" t="s">
        <v>227</v>
      </c>
      <c r="D335" s="140" t="s">
        <v>229</v>
      </c>
      <c r="F335" s="140" t="s">
        <v>229</v>
      </c>
      <c r="G335" s="139" t="s">
        <v>227</v>
      </c>
      <c r="I335" s="139" t="s">
        <v>227</v>
      </c>
      <c r="J335" s="140" t="s">
        <v>229</v>
      </c>
      <c r="L335" s="140" t="s">
        <v>229</v>
      </c>
      <c r="M335" s="139" t="s">
        <v>227</v>
      </c>
      <c r="AA335" s="2" t="s">
        <v>6</v>
      </c>
      <c r="AB335" s="2" t="str">
        <f t="shared" ref="AB335" si="417">IF(NOT(ISBLANK(AC335)),"-","")</f>
        <v>-</v>
      </c>
      <c r="AC335" s="2" t="s">
        <v>32</v>
      </c>
      <c r="AD335" s="2" t="str">
        <f t="shared" ref="AD335" si="418">IF(NOT(ISBLANK(AE335)),"_","")</f>
        <v>_</v>
      </c>
      <c r="AE335" s="2" t="s">
        <v>17</v>
      </c>
      <c r="AF335" s="2" t="str">
        <f t="shared" ref="AF335" si="419">IF(NOT(ISBLANK(AG335)),"_","")</f>
        <v>_</v>
      </c>
      <c r="AG335" s="2" t="s">
        <v>21</v>
      </c>
      <c r="AH335" s="2" t="str">
        <f t="shared" ref="AH335" si="420">IF(NOT(ISBLANK(AI335)),"_","")</f>
        <v>_</v>
      </c>
      <c r="AI335" s="2" t="s">
        <v>20</v>
      </c>
    </row>
    <row r="336" spans="1:35" x14ac:dyDescent="0.25">
      <c r="B336" s="2" t="str">
        <f t="shared" si="411"/>
        <v>@color-trunk_primary_secondary_tertiary_link_case_unpaved_default</v>
      </c>
      <c r="C336" s="140" t="s">
        <v>229</v>
      </c>
      <c r="D336" s="140" t="s">
        <v>229</v>
      </c>
      <c r="F336" s="72" t="s">
        <v>214</v>
      </c>
      <c r="G336" s="72" t="s">
        <v>214</v>
      </c>
      <c r="I336" s="140" t="s">
        <v>229</v>
      </c>
      <c r="J336" s="140" t="s">
        <v>229</v>
      </c>
      <c r="L336" s="72" t="s">
        <v>214</v>
      </c>
      <c r="M336" s="72" t="s">
        <v>214</v>
      </c>
      <c r="AA336" s="2" t="s">
        <v>6</v>
      </c>
      <c r="AB336" s="2" t="str">
        <f t="shared" si="412"/>
        <v>-</v>
      </c>
      <c r="AC336" s="2" t="s">
        <v>32</v>
      </c>
      <c r="AD336" s="2" t="str">
        <f t="shared" si="413"/>
        <v>_</v>
      </c>
      <c r="AE336" s="2" t="s">
        <v>17</v>
      </c>
      <c r="AF336" s="2" t="str">
        <f t="shared" si="414"/>
        <v>_</v>
      </c>
      <c r="AG336" s="2" t="s">
        <v>21</v>
      </c>
      <c r="AH336" s="2" t="str">
        <f t="shared" si="415"/>
        <v>_</v>
      </c>
      <c r="AI336" s="2" t="s">
        <v>262</v>
      </c>
    </row>
    <row r="337" spans="2:35" x14ac:dyDescent="0.25">
      <c r="B337" s="2" t="str">
        <f t="shared" ref="B337" si="421">_xlfn.CONCAT("@",AA337,AB337,AC337,AD337,AE337,AF337,AG337,AH337,AI337)</f>
        <v>@color-trunk_primary_secondary_tertiary_link_case_paved_or_uk_farzoom</v>
      </c>
      <c r="C337" s="142" t="s">
        <v>228</v>
      </c>
      <c r="D337" s="72" t="s">
        <v>214</v>
      </c>
      <c r="F337" s="142" t="s">
        <v>228</v>
      </c>
      <c r="G337" s="142" t="s">
        <v>228</v>
      </c>
      <c r="I337" s="142" t="s">
        <v>228</v>
      </c>
      <c r="J337" s="72" t="s">
        <v>214</v>
      </c>
      <c r="L337" s="142" t="s">
        <v>228</v>
      </c>
      <c r="M337" s="142" t="s">
        <v>228</v>
      </c>
      <c r="AA337" s="2" t="s">
        <v>6</v>
      </c>
      <c r="AB337" s="2" t="str">
        <f t="shared" ref="AB337" si="422">IF(NOT(ISBLANK(AC337)),"-","")</f>
        <v>-</v>
      </c>
      <c r="AC337" s="2" t="s">
        <v>32</v>
      </c>
      <c r="AD337" s="2" t="str">
        <f t="shared" ref="AD337" si="423">IF(NOT(ISBLANK(AE337)),"_","")</f>
        <v>_</v>
      </c>
      <c r="AE337" s="2" t="s">
        <v>17</v>
      </c>
      <c r="AF337" s="2" t="str">
        <f t="shared" ref="AF337" si="424">IF(NOT(ISBLANK(AG337)),"_","")</f>
        <v>_</v>
      </c>
      <c r="AG337" s="2" t="s">
        <v>24</v>
      </c>
      <c r="AH337" s="2" t="str">
        <f t="shared" ref="AH337" si="425">IF(NOT(ISBLANK(AI337)),"_","")</f>
        <v>_</v>
      </c>
      <c r="AI337" s="2" t="s">
        <v>20</v>
      </c>
    </row>
    <row r="338" spans="2:35" x14ac:dyDescent="0.25">
      <c r="B338" s="2" t="str">
        <f t="shared" si="411"/>
        <v>@color-trunk_primary_secondary_tertiary_link_case_paved_or_uk_default</v>
      </c>
      <c r="C338" s="148" t="s">
        <v>230</v>
      </c>
      <c r="D338" s="72" t="s">
        <v>214</v>
      </c>
      <c r="F338" s="72" t="s">
        <v>214</v>
      </c>
      <c r="G338" s="72" t="s">
        <v>214</v>
      </c>
      <c r="I338" s="148" t="s">
        <v>230</v>
      </c>
      <c r="J338" s="72" t="s">
        <v>214</v>
      </c>
      <c r="L338" s="72" t="s">
        <v>214</v>
      </c>
      <c r="M338" s="72" t="s">
        <v>214</v>
      </c>
      <c r="AA338" s="2" t="s">
        <v>6</v>
      </c>
      <c r="AB338" s="2" t="str">
        <f t="shared" si="412"/>
        <v>-</v>
      </c>
      <c r="AC338" s="2" t="s">
        <v>32</v>
      </c>
      <c r="AD338" s="2" t="str">
        <f t="shared" si="413"/>
        <v>_</v>
      </c>
      <c r="AE338" s="2" t="s">
        <v>17</v>
      </c>
      <c r="AF338" s="2" t="str">
        <f t="shared" si="414"/>
        <v>_</v>
      </c>
      <c r="AG338" s="2" t="s">
        <v>24</v>
      </c>
      <c r="AH338" s="2" t="str">
        <f t="shared" si="415"/>
        <v>_</v>
      </c>
      <c r="AI338" s="2" t="s">
        <v>262</v>
      </c>
    </row>
    <row r="339" spans="2:35" x14ac:dyDescent="0.25">
      <c r="B339" s="2" t="str">
        <f t="shared" si="403"/>
        <v>@</v>
      </c>
    </row>
    <row r="340" spans="2:35" x14ac:dyDescent="0.25">
      <c r="B340" s="2" t="str">
        <f t="shared" si="403"/>
        <v>@</v>
      </c>
    </row>
    <row r="341" spans="2:35" x14ac:dyDescent="0.25">
      <c r="B341" s="2" t="str">
        <f t="shared" si="403"/>
        <v>@</v>
      </c>
    </row>
    <row r="342" spans="2:35" x14ac:dyDescent="0.25">
      <c r="B342" s="2" t="str">
        <f t="shared" si="403"/>
        <v>@</v>
      </c>
    </row>
    <row r="343" spans="2:35" x14ac:dyDescent="0.25">
      <c r="B343" s="2" t="str">
        <f t="shared" si="403"/>
        <v>@</v>
      </c>
    </row>
    <row r="344" spans="2:35" x14ac:dyDescent="0.25">
      <c r="B344" s="2" t="str">
        <f t="shared" si="403"/>
        <v>@</v>
      </c>
    </row>
    <row r="345" spans="2:35" x14ac:dyDescent="0.25">
      <c r="B345" s="2" t="str">
        <f t="shared" si="403"/>
        <v>@</v>
      </c>
    </row>
    <row r="346" spans="2:35" x14ac:dyDescent="0.25">
      <c r="B346" s="2" t="str">
        <f t="shared" si="403"/>
        <v>@</v>
      </c>
    </row>
    <row r="347" spans="2:35" x14ac:dyDescent="0.25">
      <c r="B347" s="2" t="str">
        <f t="shared" si="403"/>
        <v>@</v>
      </c>
    </row>
    <row r="348" spans="2:35" x14ac:dyDescent="0.25">
      <c r="B348" s="2" t="str">
        <f t="shared" si="403"/>
        <v>@</v>
      </c>
    </row>
    <row r="349" spans="2:35" x14ac:dyDescent="0.25">
      <c r="B349" s="2" t="str">
        <f t="shared" si="403"/>
        <v>@</v>
      </c>
    </row>
    <row r="350" spans="2:35" x14ac:dyDescent="0.25">
      <c r="B350" s="2" t="str">
        <f t="shared" si="403"/>
        <v>@</v>
      </c>
    </row>
    <row r="351" spans="2:35" x14ac:dyDescent="0.25">
      <c r="B351" s="2" t="str">
        <f t="shared" si="403"/>
        <v>@</v>
      </c>
    </row>
    <row r="352" spans="2:35" x14ac:dyDescent="0.25">
      <c r="B352" s="2" t="str">
        <f t="shared" si="403"/>
        <v>@</v>
      </c>
    </row>
    <row r="353" spans="2:2" x14ac:dyDescent="0.25">
      <c r="B353" s="2" t="str">
        <f t="shared" si="403"/>
        <v>@</v>
      </c>
    </row>
    <row r="354" spans="2:2" x14ac:dyDescent="0.25">
      <c r="B354" s="2" t="str">
        <f t="shared" si="403"/>
        <v>@</v>
      </c>
    </row>
    <row r="355" spans="2:2" x14ac:dyDescent="0.25">
      <c r="B355" s="2" t="str">
        <f t="shared" si="403"/>
        <v>@</v>
      </c>
    </row>
    <row r="356" spans="2:2" x14ac:dyDescent="0.25">
      <c r="B356" s="2" t="str">
        <f t="shared" si="403"/>
        <v>@</v>
      </c>
    </row>
    <row r="357" spans="2:2" x14ac:dyDescent="0.25">
      <c r="B357" s="2" t="str">
        <f t="shared" si="40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2025-12-27T14:48:49Z</dcterms:modified>
</cp:coreProperties>
</file>