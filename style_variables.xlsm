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E:\GitHub\mtb-trailmap\"/>
    </mc:Choice>
  </mc:AlternateContent>
  <xr:revisionPtr revIDLastSave="0" documentId="13_ncr:1_{5713842D-581C-4397-8B9A-C4E387D64E16}" xr6:coauthVersionLast="47" xr6:coauthVersionMax="47" xr10:uidLastSave="{00000000-0000-0000-0000-000000000000}"/>
  <bookViews>
    <workbookView xWindow="-120" yWindow="-15" windowWidth="38610" windowHeight="31815" xr2:uid="{874F13CA-3A0E-4951-A5BA-F0D36D053368}"/>
  </bookViews>
  <sheets>
    <sheet name="style_variables" sheetId="5" r:id="rId1"/>
    <sheet name="#OLD2 style_variables_linetypes" sheetId="3" r:id="rId2"/>
    <sheet name="#OLD style_variables_linetypes" sheetId="2" r:id="rId3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H132" i="5" l="1"/>
  <c r="AF132" i="5"/>
  <c r="AD132" i="5"/>
  <c r="AB132" i="5"/>
  <c r="B132" i="5"/>
  <c r="AH131" i="5"/>
  <c r="AF131" i="5"/>
  <c r="AD131" i="5"/>
  <c r="AB131" i="5"/>
  <c r="B131" i="5"/>
  <c r="AH530" i="5"/>
  <c r="AF530" i="5"/>
  <c r="AD530" i="5"/>
  <c r="AB530" i="5"/>
  <c r="B530" i="5"/>
  <c r="AH529" i="5"/>
  <c r="AF529" i="5"/>
  <c r="AD529" i="5"/>
  <c r="AB529" i="5"/>
  <c r="B529" i="5"/>
  <c r="AH532" i="5"/>
  <c r="AF532" i="5"/>
  <c r="AD532" i="5"/>
  <c r="AB532" i="5"/>
  <c r="AH531" i="5"/>
  <c r="AF531" i="5"/>
  <c r="AD531" i="5"/>
  <c r="AB531" i="5"/>
  <c r="AH528" i="5"/>
  <c r="AF528" i="5"/>
  <c r="AD528" i="5"/>
  <c r="AB528" i="5"/>
  <c r="B528" i="5" s="1"/>
  <c r="AH111" i="5"/>
  <c r="AF111" i="5"/>
  <c r="AD111" i="5"/>
  <c r="AB111" i="5"/>
  <c r="AH113" i="5"/>
  <c r="AF113" i="5"/>
  <c r="AD113" i="5"/>
  <c r="AB113" i="5"/>
  <c r="B113" i="5"/>
  <c r="AH112" i="5"/>
  <c r="AF112" i="5"/>
  <c r="AD112" i="5"/>
  <c r="AB112" i="5"/>
  <c r="AH533" i="5"/>
  <c r="AF533" i="5"/>
  <c r="AD533" i="5"/>
  <c r="AB533" i="5"/>
  <c r="B533" i="5"/>
  <c r="AH535" i="5"/>
  <c r="AF535" i="5"/>
  <c r="AD535" i="5"/>
  <c r="AB535" i="5"/>
  <c r="AH534" i="5"/>
  <c r="AF534" i="5"/>
  <c r="AD534" i="5"/>
  <c r="AB534" i="5"/>
  <c r="AH527" i="5"/>
  <c r="AF527" i="5"/>
  <c r="AD527" i="5"/>
  <c r="AB527" i="5"/>
  <c r="AH526" i="5"/>
  <c r="AF526" i="5"/>
  <c r="AD526" i="5"/>
  <c r="AB526" i="5"/>
  <c r="AH99" i="5"/>
  <c r="AF99" i="5"/>
  <c r="AD99" i="5"/>
  <c r="AB99" i="5"/>
  <c r="AH109" i="5"/>
  <c r="AF109" i="5"/>
  <c r="AD109" i="5"/>
  <c r="AB109" i="5"/>
  <c r="AH21" i="5"/>
  <c r="AF21" i="5"/>
  <c r="AD21" i="5"/>
  <c r="AB21" i="5"/>
  <c r="AH565" i="5"/>
  <c r="AF565" i="5"/>
  <c r="AD565" i="5"/>
  <c r="AB565" i="5"/>
  <c r="AH564" i="5"/>
  <c r="AF564" i="5"/>
  <c r="AD564" i="5"/>
  <c r="AB564" i="5"/>
  <c r="AH593" i="5"/>
  <c r="AF593" i="5"/>
  <c r="AD593" i="5"/>
  <c r="AB593" i="5"/>
  <c r="AH277" i="5"/>
  <c r="AF277" i="5"/>
  <c r="AD277" i="5"/>
  <c r="AB277" i="5"/>
  <c r="AH261" i="5"/>
  <c r="AF261" i="5"/>
  <c r="AD261" i="5"/>
  <c r="AB261" i="5"/>
  <c r="AH192" i="5"/>
  <c r="AF192" i="5"/>
  <c r="AD192" i="5"/>
  <c r="AB192" i="5"/>
  <c r="AH155" i="5"/>
  <c r="AF155" i="5"/>
  <c r="AD155" i="5"/>
  <c r="AB155" i="5"/>
  <c r="AH143" i="5"/>
  <c r="AF143" i="5"/>
  <c r="AD143" i="5"/>
  <c r="AB143" i="5"/>
  <c r="AH137" i="5"/>
  <c r="AF137" i="5"/>
  <c r="AD137" i="5"/>
  <c r="AB137" i="5"/>
  <c r="AH135" i="5"/>
  <c r="AF135" i="5"/>
  <c r="AD135" i="5"/>
  <c r="AB135" i="5"/>
  <c r="AH134" i="5"/>
  <c r="AF134" i="5"/>
  <c r="AD134" i="5"/>
  <c r="AB134" i="5"/>
  <c r="AH563" i="5"/>
  <c r="AF563" i="5"/>
  <c r="AD563" i="5"/>
  <c r="AB563" i="5"/>
  <c r="AH522" i="5"/>
  <c r="AF522" i="5"/>
  <c r="AD522" i="5"/>
  <c r="AB522" i="5"/>
  <c r="AH376" i="5"/>
  <c r="AF376" i="5"/>
  <c r="AD376" i="5"/>
  <c r="AB376" i="5"/>
  <c r="AH335" i="5"/>
  <c r="AF335" i="5"/>
  <c r="AD335" i="5"/>
  <c r="AB335" i="5"/>
  <c r="AB454" i="5"/>
  <c r="AD454" i="5"/>
  <c r="AB455" i="5"/>
  <c r="AD455" i="5"/>
  <c r="AB456" i="5"/>
  <c r="AD456" i="5"/>
  <c r="AB457" i="5"/>
  <c r="AD457" i="5"/>
  <c r="AH457" i="5"/>
  <c r="AF457" i="5"/>
  <c r="AH456" i="5"/>
  <c r="AF456" i="5"/>
  <c r="AH455" i="5"/>
  <c r="AF455" i="5"/>
  <c r="B455" i="5" s="1"/>
  <c r="AH454" i="5"/>
  <c r="AF454" i="5"/>
  <c r="AH453" i="5"/>
  <c r="AF453" i="5"/>
  <c r="AD453" i="5"/>
  <c r="AB453" i="5"/>
  <c r="B453" i="5"/>
  <c r="AH452" i="5"/>
  <c r="AF452" i="5"/>
  <c r="AD452" i="5"/>
  <c r="AB452" i="5"/>
  <c r="AH451" i="5"/>
  <c r="AF451" i="5"/>
  <c r="AD451" i="5"/>
  <c r="AB451" i="5"/>
  <c r="AH450" i="5"/>
  <c r="AF450" i="5"/>
  <c r="AD450" i="5"/>
  <c r="AB450" i="5"/>
  <c r="B450" i="5" s="1"/>
  <c r="AH449" i="5"/>
  <c r="AF449" i="5"/>
  <c r="AD449" i="5"/>
  <c r="AB449" i="5"/>
  <c r="AH448" i="5"/>
  <c r="AF448" i="5"/>
  <c r="AD448" i="5"/>
  <c r="AB448" i="5"/>
  <c r="B448" i="5"/>
  <c r="AH447" i="5"/>
  <c r="AF447" i="5"/>
  <c r="AD447" i="5"/>
  <c r="AB447" i="5"/>
  <c r="B447" i="5"/>
  <c r="AH446" i="5"/>
  <c r="AF446" i="5"/>
  <c r="AD446" i="5"/>
  <c r="AB446" i="5"/>
  <c r="B446" i="5"/>
  <c r="AH444" i="5"/>
  <c r="AF444" i="5"/>
  <c r="AD444" i="5"/>
  <c r="AB444" i="5"/>
  <c r="B444" i="5"/>
  <c r="AH443" i="5"/>
  <c r="AF443" i="5"/>
  <c r="AD443" i="5"/>
  <c r="AB443" i="5"/>
  <c r="B443" i="5"/>
  <c r="AH442" i="5"/>
  <c r="AF442" i="5"/>
  <c r="AD442" i="5"/>
  <c r="AB442" i="5"/>
  <c r="AH439" i="5"/>
  <c r="AF439" i="5"/>
  <c r="AD439" i="5"/>
  <c r="AB439" i="5"/>
  <c r="AH438" i="5"/>
  <c r="AF438" i="5"/>
  <c r="AD438" i="5"/>
  <c r="AB438" i="5"/>
  <c r="AH437" i="5"/>
  <c r="AF437" i="5"/>
  <c r="AD437" i="5"/>
  <c r="AB437" i="5"/>
  <c r="AH436" i="5"/>
  <c r="AF436" i="5"/>
  <c r="AD436" i="5"/>
  <c r="AB436" i="5"/>
  <c r="AH435" i="5"/>
  <c r="AF435" i="5"/>
  <c r="AD435" i="5"/>
  <c r="AB435" i="5"/>
  <c r="AH434" i="5"/>
  <c r="AF434" i="5"/>
  <c r="AD434" i="5"/>
  <c r="AB434" i="5"/>
  <c r="B434" i="5"/>
  <c r="AH433" i="5"/>
  <c r="AF433" i="5"/>
  <c r="AD433" i="5"/>
  <c r="AB433" i="5"/>
  <c r="B433" i="5"/>
  <c r="AH432" i="5"/>
  <c r="AF432" i="5"/>
  <c r="AD432" i="5"/>
  <c r="AB432" i="5"/>
  <c r="B432" i="5"/>
  <c r="AH431" i="5"/>
  <c r="AF431" i="5"/>
  <c r="AD431" i="5"/>
  <c r="AB431" i="5"/>
  <c r="AH430" i="5"/>
  <c r="AF430" i="5"/>
  <c r="AD430" i="5"/>
  <c r="AB430" i="5"/>
  <c r="AH429" i="5"/>
  <c r="AF429" i="5"/>
  <c r="AD429" i="5"/>
  <c r="AB429" i="5"/>
  <c r="AH428" i="5"/>
  <c r="AF428" i="5"/>
  <c r="AD428" i="5"/>
  <c r="AB428" i="5"/>
  <c r="AH426" i="5"/>
  <c r="AF426" i="5"/>
  <c r="AD426" i="5"/>
  <c r="AB426" i="5"/>
  <c r="AH425" i="5"/>
  <c r="AF425" i="5"/>
  <c r="AD425" i="5"/>
  <c r="AB425" i="5"/>
  <c r="AH424" i="5"/>
  <c r="AF424" i="5"/>
  <c r="AD424" i="5"/>
  <c r="AB424" i="5"/>
  <c r="AH25" i="5"/>
  <c r="AF25" i="5"/>
  <c r="AD25" i="5"/>
  <c r="AB25" i="5"/>
  <c r="B25" i="5" s="1"/>
  <c r="AH28" i="5"/>
  <c r="AF28" i="5"/>
  <c r="AD28" i="5"/>
  <c r="AB28" i="5"/>
  <c r="AH27" i="5"/>
  <c r="AF27" i="5"/>
  <c r="AD27" i="5"/>
  <c r="AB27" i="5"/>
  <c r="AH26" i="5"/>
  <c r="AF26" i="5"/>
  <c r="AD26" i="5"/>
  <c r="AB26" i="5"/>
  <c r="AH381" i="5"/>
  <c r="AF381" i="5"/>
  <c r="AD381" i="5"/>
  <c r="AB381" i="5"/>
  <c r="AH380" i="5"/>
  <c r="AF380" i="5"/>
  <c r="AD380" i="5"/>
  <c r="AB380" i="5"/>
  <c r="AH379" i="5"/>
  <c r="AF379" i="5"/>
  <c r="AD379" i="5"/>
  <c r="AB379" i="5"/>
  <c r="AH378" i="5"/>
  <c r="AF378" i="5"/>
  <c r="AD378" i="5"/>
  <c r="AB378" i="5"/>
  <c r="AH401" i="5"/>
  <c r="AF401" i="5"/>
  <c r="AD401" i="5"/>
  <c r="AB401" i="5"/>
  <c r="AH402" i="5"/>
  <c r="AF402" i="5"/>
  <c r="AD402" i="5"/>
  <c r="AB402" i="5"/>
  <c r="AH403" i="5"/>
  <c r="AF403" i="5"/>
  <c r="AD403" i="5"/>
  <c r="AB403" i="5"/>
  <c r="AH404" i="5"/>
  <c r="AF404" i="5"/>
  <c r="AD404" i="5"/>
  <c r="AB404" i="5"/>
  <c r="AH102" i="5"/>
  <c r="AF102" i="5"/>
  <c r="AD102" i="5"/>
  <c r="AB102" i="5"/>
  <c r="AH117" i="5"/>
  <c r="AF117" i="5"/>
  <c r="AD117" i="5"/>
  <c r="AB117" i="5"/>
  <c r="AH120" i="5"/>
  <c r="AF120" i="5"/>
  <c r="AD120" i="5"/>
  <c r="AB120" i="5"/>
  <c r="AH119" i="5"/>
  <c r="AF119" i="5"/>
  <c r="AD119" i="5"/>
  <c r="AB119" i="5"/>
  <c r="AH118" i="5"/>
  <c r="AF118" i="5"/>
  <c r="AD118" i="5"/>
  <c r="AB118" i="5"/>
  <c r="AF126" i="5"/>
  <c r="AF125" i="5"/>
  <c r="AF124" i="5"/>
  <c r="AH126" i="5"/>
  <c r="AD126" i="5"/>
  <c r="AB126" i="5"/>
  <c r="AH125" i="5"/>
  <c r="AD125" i="5"/>
  <c r="AB125" i="5"/>
  <c r="AH124" i="5"/>
  <c r="AD124" i="5"/>
  <c r="AB124" i="5"/>
  <c r="AH75" i="5"/>
  <c r="AF75" i="5"/>
  <c r="AD75" i="5"/>
  <c r="AB75" i="5"/>
  <c r="AH74" i="5"/>
  <c r="AF74" i="5"/>
  <c r="AD74" i="5"/>
  <c r="AB74" i="5"/>
  <c r="AH73" i="5"/>
  <c r="AF73" i="5"/>
  <c r="AD73" i="5"/>
  <c r="AB73" i="5"/>
  <c r="AH65" i="5"/>
  <c r="AF65" i="5"/>
  <c r="AD65" i="5"/>
  <c r="AB65" i="5"/>
  <c r="AH69" i="5"/>
  <c r="AF69" i="5"/>
  <c r="AD69" i="5"/>
  <c r="AB69" i="5"/>
  <c r="AH68" i="5"/>
  <c r="AF68" i="5"/>
  <c r="AD68" i="5"/>
  <c r="AB68" i="5"/>
  <c r="AH67" i="5"/>
  <c r="AF67" i="5"/>
  <c r="AD67" i="5"/>
  <c r="AB67" i="5"/>
  <c r="AH66" i="5"/>
  <c r="AF66" i="5"/>
  <c r="AD66" i="5"/>
  <c r="AB66" i="5"/>
  <c r="AH58" i="5"/>
  <c r="AF58" i="5"/>
  <c r="AD58" i="5"/>
  <c r="AB58" i="5"/>
  <c r="AH61" i="5"/>
  <c r="AF61" i="5"/>
  <c r="AD61" i="5"/>
  <c r="AB61" i="5"/>
  <c r="AH60" i="5"/>
  <c r="AF60" i="5"/>
  <c r="AD60" i="5"/>
  <c r="AB60" i="5"/>
  <c r="AH59" i="5"/>
  <c r="AF59" i="5"/>
  <c r="AD59" i="5"/>
  <c r="AB59" i="5"/>
  <c r="B59" i="5"/>
  <c r="AH54" i="5"/>
  <c r="AF54" i="5"/>
  <c r="AD54" i="5"/>
  <c r="AB54" i="5"/>
  <c r="B54" i="5"/>
  <c r="AH53" i="5"/>
  <c r="AF53" i="5"/>
  <c r="AD53" i="5"/>
  <c r="AB53" i="5"/>
  <c r="AH52" i="5"/>
  <c r="AF52" i="5"/>
  <c r="AD52" i="5"/>
  <c r="AB52" i="5"/>
  <c r="B52" i="5" s="1"/>
  <c r="AH48" i="5"/>
  <c r="AF48" i="5"/>
  <c r="AD48" i="5"/>
  <c r="AB48" i="5"/>
  <c r="B48" i="5"/>
  <c r="AH47" i="5"/>
  <c r="AF47" i="5"/>
  <c r="AD47" i="5"/>
  <c r="AB47" i="5"/>
  <c r="B47" i="5"/>
  <c r="AH46" i="5"/>
  <c r="AF46" i="5"/>
  <c r="AD46" i="5"/>
  <c r="AB46" i="5"/>
  <c r="AH42" i="5"/>
  <c r="AF42" i="5"/>
  <c r="AD42" i="5"/>
  <c r="AB42" i="5"/>
  <c r="AH41" i="5"/>
  <c r="AF41" i="5"/>
  <c r="AD41" i="5"/>
  <c r="AB41" i="5"/>
  <c r="AF40" i="5"/>
  <c r="AD40" i="5"/>
  <c r="AH40" i="5"/>
  <c r="AB40" i="5"/>
  <c r="B40" i="5"/>
  <c r="AH398" i="5"/>
  <c r="AF398" i="5"/>
  <c r="AD398" i="5"/>
  <c r="AB398" i="5"/>
  <c r="B398" i="5"/>
  <c r="AH397" i="5"/>
  <c r="AF397" i="5"/>
  <c r="AD397" i="5"/>
  <c r="AB397" i="5"/>
  <c r="AH396" i="5"/>
  <c r="AF396" i="5"/>
  <c r="AD396" i="5"/>
  <c r="AB396" i="5"/>
  <c r="B396" i="5" s="1"/>
  <c r="AH395" i="5"/>
  <c r="AF395" i="5"/>
  <c r="AD395" i="5"/>
  <c r="AB395" i="5"/>
  <c r="B395" i="5" s="1"/>
  <c r="AH394" i="5"/>
  <c r="AF394" i="5"/>
  <c r="AD394" i="5"/>
  <c r="AB394" i="5"/>
  <c r="AH393" i="5"/>
  <c r="AF393" i="5"/>
  <c r="AD393" i="5"/>
  <c r="AB393" i="5"/>
  <c r="B393" i="5" s="1"/>
  <c r="AH392" i="5"/>
  <c r="AF392" i="5"/>
  <c r="AD392" i="5"/>
  <c r="AB392" i="5"/>
  <c r="B392" i="5"/>
  <c r="AH391" i="5"/>
  <c r="AF391" i="5"/>
  <c r="AD391" i="5"/>
  <c r="AB391" i="5"/>
  <c r="B391" i="5"/>
  <c r="AH390" i="5"/>
  <c r="AF390" i="5"/>
  <c r="AD390" i="5"/>
  <c r="AB390" i="5"/>
  <c r="AH389" i="5"/>
  <c r="AF389" i="5"/>
  <c r="AD389" i="5"/>
  <c r="AB389" i="5"/>
  <c r="AH388" i="5"/>
  <c r="AF388" i="5"/>
  <c r="AD388" i="5"/>
  <c r="AB388" i="5"/>
  <c r="B388" i="5" s="1"/>
  <c r="AH387" i="5"/>
  <c r="AF387" i="5"/>
  <c r="AD387" i="5"/>
  <c r="AB387" i="5"/>
  <c r="AH386" i="5"/>
  <c r="AF386" i="5"/>
  <c r="AD386" i="5"/>
  <c r="AB386" i="5"/>
  <c r="AH385" i="5"/>
  <c r="AF385" i="5"/>
  <c r="AD385" i="5"/>
  <c r="AB385" i="5"/>
  <c r="AH384" i="5"/>
  <c r="AF384" i="5"/>
  <c r="AD384" i="5"/>
  <c r="AB384" i="5"/>
  <c r="B384" i="5"/>
  <c r="AH383" i="5"/>
  <c r="AF383" i="5"/>
  <c r="AD383" i="5"/>
  <c r="AB383" i="5"/>
  <c r="AB406" i="5"/>
  <c r="AD406" i="5"/>
  <c r="AF406" i="5"/>
  <c r="AH406" i="5"/>
  <c r="AB407" i="5"/>
  <c r="AD407" i="5"/>
  <c r="AF407" i="5"/>
  <c r="AH407" i="5"/>
  <c r="AB408" i="5"/>
  <c r="AD408" i="5"/>
  <c r="AF408" i="5"/>
  <c r="AH408" i="5"/>
  <c r="AB409" i="5"/>
  <c r="AD409" i="5"/>
  <c r="AF409" i="5"/>
  <c r="AH409" i="5"/>
  <c r="AH421" i="5"/>
  <c r="AF421" i="5"/>
  <c r="AD421" i="5"/>
  <c r="AB421" i="5"/>
  <c r="B421" i="5" s="1"/>
  <c r="AH420" i="5"/>
  <c r="AF420" i="5"/>
  <c r="AD420" i="5"/>
  <c r="AB420" i="5"/>
  <c r="AH419" i="5"/>
  <c r="AF419" i="5"/>
  <c r="AD419" i="5"/>
  <c r="AB419" i="5"/>
  <c r="AH418" i="5"/>
  <c r="AF418" i="5"/>
  <c r="AD418" i="5"/>
  <c r="AB418" i="5"/>
  <c r="AH417" i="5"/>
  <c r="AF417" i="5"/>
  <c r="AD417" i="5"/>
  <c r="AB417" i="5"/>
  <c r="AH416" i="5"/>
  <c r="AF416" i="5"/>
  <c r="AD416" i="5"/>
  <c r="AB416" i="5"/>
  <c r="AH415" i="5"/>
  <c r="AF415" i="5"/>
  <c r="AD415" i="5"/>
  <c r="AB415" i="5"/>
  <c r="AH414" i="5"/>
  <c r="AF414" i="5"/>
  <c r="AD414" i="5"/>
  <c r="AB414" i="5"/>
  <c r="AH413" i="5"/>
  <c r="AF413" i="5"/>
  <c r="AD413" i="5"/>
  <c r="AB413" i="5"/>
  <c r="AH412" i="5"/>
  <c r="AF412" i="5"/>
  <c r="AD412" i="5"/>
  <c r="AB412" i="5"/>
  <c r="AH411" i="5"/>
  <c r="AF411" i="5"/>
  <c r="AD411" i="5"/>
  <c r="AB411" i="5"/>
  <c r="AH410" i="5"/>
  <c r="AF410" i="5"/>
  <c r="AD410" i="5"/>
  <c r="AB410" i="5"/>
  <c r="AH296" i="5"/>
  <c r="AF296" i="5"/>
  <c r="AD296" i="5"/>
  <c r="AB296" i="5"/>
  <c r="AH295" i="5"/>
  <c r="AF295" i="5"/>
  <c r="AD295" i="5"/>
  <c r="AB295" i="5"/>
  <c r="AH17" i="5"/>
  <c r="AF17" i="5"/>
  <c r="AD17" i="5"/>
  <c r="AB17" i="5"/>
  <c r="AH16" i="5"/>
  <c r="AF16" i="5"/>
  <c r="AD16" i="5"/>
  <c r="AB16" i="5"/>
  <c r="AH15" i="5"/>
  <c r="AF15" i="5"/>
  <c r="AD15" i="5"/>
  <c r="AB15" i="5"/>
  <c r="AH14" i="5"/>
  <c r="AF14" i="5"/>
  <c r="AD14" i="5"/>
  <c r="AB14" i="5"/>
  <c r="AH13" i="5"/>
  <c r="AF13" i="5"/>
  <c r="AD13" i="5"/>
  <c r="AB13" i="5"/>
  <c r="AH107" i="5"/>
  <c r="AF107" i="5"/>
  <c r="AD107" i="5"/>
  <c r="AB107" i="5"/>
  <c r="AH106" i="5"/>
  <c r="AF106" i="5"/>
  <c r="AD106" i="5"/>
  <c r="AB106" i="5"/>
  <c r="AH105" i="5"/>
  <c r="AF105" i="5"/>
  <c r="AD105" i="5"/>
  <c r="AB105" i="5"/>
  <c r="AH104" i="5"/>
  <c r="AF104" i="5"/>
  <c r="AD104" i="5"/>
  <c r="AB104" i="5"/>
  <c r="AH103" i="5"/>
  <c r="AF103" i="5"/>
  <c r="AD103" i="5"/>
  <c r="AB103" i="5"/>
  <c r="AH101" i="5"/>
  <c r="AF101" i="5"/>
  <c r="AD101" i="5"/>
  <c r="AB101" i="5"/>
  <c r="AH34" i="5"/>
  <c r="AF34" i="5"/>
  <c r="AD34" i="5"/>
  <c r="AB34" i="5"/>
  <c r="AF31" i="5"/>
  <c r="AH31" i="5"/>
  <c r="AD31" i="5"/>
  <c r="AB31" i="5"/>
  <c r="AH30" i="5"/>
  <c r="AF30" i="5"/>
  <c r="AD30" i="5"/>
  <c r="AB30" i="5"/>
  <c r="AH289" i="5"/>
  <c r="AF289" i="5"/>
  <c r="AD289" i="5"/>
  <c r="AB289" i="5"/>
  <c r="AH468" i="5"/>
  <c r="AF468" i="5"/>
  <c r="AD468" i="5"/>
  <c r="AB468" i="5"/>
  <c r="AH469" i="5"/>
  <c r="AF469" i="5"/>
  <c r="AD469" i="5"/>
  <c r="AB469" i="5"/>
  <c r="AH467" i="5"/>
  <c r="AF467" i="5"/>
  <c r="AD467" i="5"/>
  <c r="AB467" i="5"/>
  <c r="AH466" i="5"/>
  <c r="AF466" i="5"/>
  <c r="AD466" i="5"/>
  <c r="AB466" i="5"/>
  <c r="AH519" i="5"/>
  <c r="AF519" i="5"/>
  <c r="AD519" i="5"/>
  <c r="AB519" i="5"/>
  <c r="AH518" i="5"/>
  <c r="AF518" i="5"/>
  <c r="AD518" i="5"/>
  <c r="AB518" i="5"/>
  <c r="AH517" i="5"/>
  <c r="AF517" i="5"/>
  <c r="AD517" i="5"/>
  <c r="AB517" i="5"/>
  <c r="AH516" i="5"/>
  <c r="AF516" i="5"/>
  <c r="AD516" i="5"/>
  <c r="AB516" i="5"/>
  <c r="AF515" i="5"/>
  <c r="AD515" i="5"/>
  <c r="AB515" i="5"/>
  <c r="AH515" i="5"/>
  <c r="AH514" i="5"/>
  <c r="AF514" i="5"/>
  <c r="AD514" i="5"/>
  <c r="AB514" i="5"/>
  <c r="Y151" i="5"/>
  <c r="V151" i="5"/>
  <c r="Y163" i="5"/>
  <c r="V163" i="5"/>
  <c r="Y173" i="5"/>
  <c r="V173" i="5"/>
  <c r="Y183" i="5"/>
  <c r="V183" i="5"/>
  <c r="Y266" i="5"/>
  <c r="V266" i="5"/>
  <c r="Y252" i="5"/>
  <c r="V252" i="5"/>
  <c r="Y239" i="5"/>
  <c r="V239" i="5"/>
  <c r="V240" i="5"/>
  <c r="Y240" i="5"/>
  <c r="Y226" i="5"/>
  <c r="V226" i="5"/>
  <c r="Y213" i="5"/>
  <c r="V213" i="5"/>
  <c r="Y200" i="5"/>
  <c r="V200" i="5"/>
  <c r="AH374" i="5"/>
  <c r="AF374" i="5"/>
  <c r="AD374" i="5"/>
  <c r="AB374" i="5"/>
  <c r="AH373" i="5"/>
  <c r="AF373" i="5"/>
  <c r="AD373" i="5"/>
  <c r="AB373" i="5"/>
  <c r="AH372" i="5"/>
  <c r="AF372" i="5"/>
  <c r="AD372" i="5"/>
  <c r="AB372" i="5"/>
  <c r="AH371" i="5"/>
  <c r="AF371" i="5"/>
  <c r="AD371" i="5"/>
  <c r="AB371" i="5"/>
  <c r="AH370" i="5"/>
  <c r="AF370" i="5"/>
  <c r="AD370" i="5"/>
  <c r="AB370" i="5"/>
  <c r="AH369" i="5"/>
  <c r="AF369" i="5"/>
  <c r="AD369" i="5"/>
  <c r="AB369" i="5"/>
  <c r="AH365" i="5"/>
  <c r="AF365" i="5"/>
  <c r="AD365" i="5"/>
  <c r="AB365" i="5"/>
  <c r="AH364" i="5"/>
  <c r="AF364" i="5"/>
  <c r="AD364" i="5"/>
  <c r="AB364" i="5"/>
  <c r="AH337" i="5"/>
  <c r="AF337" i="5"/>
  <c r="AD337" i="5"/>
  <c r="AB337" i="5"/>
  <c r="AH368" i="5"/>
  <c r="AF368" i="5"/>
  <c r="AD368" i="5"/>
  <c r="AB368" i="5"/>
  <c r="AH367" i="5"/>
  <c r="AF367" i="5"/>
  <c r="AD367" i="5"/>
  <c r="AB367" i="5"/>
  <c r="AH363" i="5"/>
  <c r="AF363" i="5"/>
  <c r="AD363" i="5"/>
  <c r="AB363" i="5"/>
  <c r="AH362" i="5"/>
  <c r="AF362" i="5"/>
  <c r="AD362" i="5"/>
  <c r="AB362" i="5"/>
  <c r="Y267" i="5"/>
  <c r="V267" i="5"/>
  <c r="Y253" i="5"/>
  <c r="V253" i="5"/>
  <c r="Y227" i="5"/>
  <c r="V227" i="5"/>
  <c r="Y214" i="5"/>
  <c r="V214" i="5"/>
  <c r="Y201" i="5"/>
  <c r="V201" i="5"/>
  <c r="Y184" i="5"/>
  <c r="V184" i="5"/>
  <c r="Y174" i="5"/>
  <c r="V174" i="5"/>
  <c r="Y164" i="5"/>
  <c r="V164" i="5"/>
  <c r="Y152" i="5"/>
  <c r="V152" i="5"/>
  <c r="Y536" i="5"/>
  <c r="V536" i="5"/>
  <c r="Y462" i="5"/>
  <c r="V462" i="5"/>
  <c r="Y461" i="5"/>
  <c r="V461" i="5"/>
  <c r="Y460" i="5"/>
  <c r="V460" i="5"/>
  <c r="Y459" i="5"/>
  <c r="V459" i="5"/>
  <c r="Y487" i="5"/>
  <c r="V487" i="5"/>
  <c r="Y486" i="5"/>
  <c r="V486" i="5"/>
  <c r="AH293" i="5"/>
  <c r="AF293" i="5"/>
  <c r="AD293" i="5"/>
  <c r="AB293" i="5"/>
  <c r="AH258" i="5"/>
  <c r="AF258" i="5"/>
  <c r="AD258" i="5"/>
  <c r="AB258" i="5"/>
  <c r="AH257" i="5"/>
  <c r="AF257" i="5"/>
  <c r="AD257" i="5"/>
  <c r="AB257" i="5"/>
  <c r="AH256" i="5"/>
  <c r="AF256" i="5"/>
  <c r="AD256" i="5"/>
  <c r="AB256" i="5"/>
  <c r="AH255" i="5"/>
  <c r="AF255" i="5"/>
  <c r="AD255" i="5"/>
  <c r="AB255" i="5"/>
  <c r="AH189" i="5"/>
  <c r="AF189" i="5"/>
  <c r="AD189" i="5"/>
  <c r="AB189" i="5"/>
  <c r="B189" i="5" s="1"/>
  <c r="AH188" i="5"/>
  <c r="AF188" i="5"/>
  <c r="AD188" i="5"/>
  <c r="AB188" i="5"/>
  <c r="AH187" i="5"/>
  <c r="AF187" i="5"/>
  <c r="AD187" i="5"/>
  <c r="AB187" i="5"/>
  <c r="AH186" i="5"/>
  <c r="AF186" i="5"/>
  <c r="AD186" i="5"/>
  <c r="AB186" i="5"/>
  <c r="AH194" i="5"/>
  <c r="AF194" i="5"/>
  <c r="AD194" i="5"/>
  <c r="AB194" i="5"/>
  <c r="AH193" i="5"/>
  <c r="AF193" i="5"/>
  <c r="AD193" i="5"/>
  <c r="AB193" i="5"/>
  <c r="AH206" i="5"/>
  <c r="AF206" i="5"/>
  <c r="AD206" i="5"/>
  <c r="AB206" i="5"/>
  <c r="B206" i="5"/>
  <c r="AH205" i="5"/>
  <c r="AF205" i="5"/>
  <c r="AD205" i="5"/>
  <c r="AB205" i="5"/>
  <c r="AH204" i="5"/>
  <c r="AF204" i="5"/>
  <c r="AD204" i="5"/>
  <c r="AB204" i="5"/>
  <c r="AH203" i="5"/>
  <c r="AF203" i="5"/>
  <c r="AD203" i="5"/>
  <c r="AB203" i="5"/>
  <c r="AH232" i="5"/>
  <c r="AF232" i="5"/>
  <c r="AD232" i="5"/>
  <c r="AB232" i="5"/>
  <c r="AH231" i="5"/>
  <c r="AF231" i="5"/>
  <c r="AD231" i="5"/>
  <c r="AB231" i="5"/>
  <c r="AH230" i="5"/>
  <c r="AF230" i="5"/>
  <c r="AD230" i="5"/>
  <c r="AB230" i="5"/>
  <c r="AH229" i="5"/>
  <c r="AF229" i="5"/>
  <c r="AD229" i="5"/>
  <c r="AB229" i="5"/>
  <c r="AH219" i="5"/>
  <c r="AF219" i="5"/>
  <c r="AD219" i="5"/>
  <c r="AB219" i="5"/>
  <c r="AH218" i="5"/>
  <c r="AF218" i="5"/>
  <c r="AD218" i="5"/>
  <c r="AB218" i="5"/>
  <c r="AH217" i="5"/>
  <c r="AF217" i="5"/>
  <c r="AD217" i="5"/>
  <c r="AB217" i="5"/>
  <c r="AH216" i="5"/>
  <c r="AF216" i="5"/>
  <c r="AD216" i="5"/>
  <c r="AB216" i="5"/>
  <c r="AH243" i="5"/>
  <c r="AF243" i="5"/>
  <c r="AD243" i="5"/>
  <c r="AB243" i="5"/>
  <c r="AH242" i="5"/>
  <c r="AF242" i="5"/>
  <c r="AD242" i="5"/>
  <c r="AB242" i="5"/>
  <c r="AH245" i="5"/>
  <c r="AF245" i="5"/>
  <c r="AD245" i="5"/>
  <c r="AB245" i="5"/>
  <c r="AH244" i="5"/>
  <c r="AF244" i="5"/>
  <c r="AD244" i="5"/>
  <c r="AB244" i="5"/>
  <c r="AB33" i="5"/>
  <c r="AD33" i="5"/>
  <c r="AB35" i="5"/>
  <c r="AD35" i="5"/>
  <c r="AB36" i="5"/>
  <c r="AD36" i="5"/>
  <c r="AB38" i="5"/>
  <c r="AD38" i="5"/>
  <c r="AB39" i="5"/>
  <c r="AD39" i="5"/>
  <c r="AB44" i="5"/>
  <c r="AD44" i="5"/>
  <c r="AB45" i="5"/>
  <c r="AD45" i="5"/>
  <c r="AB50" i="5"/>
  <c r="AD50" i="5"/>
  <c r="AB51" i="5"/>
  <c r="AD51" i="5"/>
  <c r="AB56" i="5"/>
  <c r="AD56" i="5"/>
  <c r="AB57" i="5"/>
  <c r="AD57" i="5"/>
  <c r="AB63" i="5"/>
  <c r="AD63" i="5"/>
  <c r="AB64" i="5"/>
  <c r="AD64" i="5"/>
  <c r="AB71" i="5"/>
  <c r="AD71" i="5"/>
  <c r="AB72" i="5"/>
  <c r="AD72" i="5"/>
  <c r="AB77" i="5"/>
  <c r="AD77" i="5"/>
  <c r="AB78" i="5"/>
  <c r="AD78" i="5"/>
  <c r="AB80" i="5"/>
  <c r="AD80" i="5"/>
  <c r="AB81" i="5"/>
  <c r="AD81" i="5"/>
  <c r="AB83" i="5"/>
  <c r="AD83" i="5"/>
  <c r="AB84" i="5"/>
  <c r="AD84" i="5"/>
  <c r="AB86" i="5"/>
  <c r="AD86" i="5"/>
  <c r="AB87" i="5"/>
  <c r="AD87" i="5"/>
  <c r="AB89" i="5"/>
  <c r="AD89" i="5"/>
  <c r="AB90" i="5"/>
  <c r="AD90" i="5"/>
  <c r="AB92" i="5"/>
  <c r="AD92" i="5"/>
  <c r="AB93" i="5"/>
  <c r="AD93" i="5"/>
  <c r="AB95" i="5"/>
  <c r="AD95" i="5"/>
  <c r="AB96" i="5"/>
  <c r="AD96" i="5"/>
  <c r="AB97" i="5"/>
  <c r="AD97" i="5"/>
  <c r="AB130" i="5"/>
  <c r="AD130" i="5"/>
  <c r="AB128" i="5"/>
  <c r="AD128" i="5"/>
  <c r="AB129" i="5"/>
  <c r="AD129" i="5"/>
  <c r="AB122" i="5"/>
  <c r="AD122" i="5"/>
  <c r="AB123" i="5"/>
  <c r="AD123" i="5"/>
  <c r="AB115" i="5"/>
  <c r="AD115" i="5"/>
  <c r="AB116" i="5"/>
  <c r="AD116" i="5"/>
  <c r="AB23" i="5"/>
  <c r="AD23" i="5"/>
  <c r="AB24" i="5"/>
  <c r="AD24" i="5"/>
  <c r="AH602" i="5"/>
  <c r="AF602" i="5"/>
  <c r="AD602" i="5"/>
  <c r="AB602" i="5"/>
  <c r="B602" i="5"/>
  <c r="AH601" i="5"/>
  <c r="AF601" i="5"/>
  <c r="AD601" i="5"/>
  <c r="AB601" i="5"/>
  <c r="AH597" i="5"/>
  <c r="AF597" i="5"/>
  <c r="AD597" i="5"/>
  <c r="AB597" i="5"/>
  <c r="AH596" i="5"/>
  <c r="AF596" i="5"/>
  <c r="AD596" i="5"/>
  <c r="AB596" i="5"/>
  <c r="AH595" i="5"/>
  <c r="AF595" i="5"/>
  <c r="AD595" i="5"/>
  <c r="AB595" i="5"/>
  <c r="B595" i="5" s="1"/>
  <c r="AH594" i="5"/>
  <c r="AF594" i="5"/>
  <c r="AD594" i="5"/>
  <c r="AB594" i="5"/>
  <c r="AH604" i="5"/>
  <c r="AF604" i="5"/>
  <c r="AD604" i="5"/>
  <c r="AB604" i="5"/>
  <c r="AH603" i="5"/>
  <c r="AF603" i="5"/>
  <c r="AD603" i="5"/>
  <c r="AB603" i="5"/>
  <c r="AH600" i="5"/>
  <c r="AF600" i="5"/>
  <c r="AD600" i="5"/>
  <c r="AB600" i="5"/>
  <c r="AH598" i="5"/>
  <c r="AF598" i="5"/>
  <c r="AD598" i="5"/>
  <c r="AB598" i="5"/>
  <c r="AH592" i="5"/>
  <c r="AF592" i="5"/>
  <c r="AD592" i="5"/>
  <c r="AB592" i="5"/>
  <c r="AH591" i="5"/>
  <c r="AF591" i="5"/>
  <c r="AD591" i="5"/>
  <c r="AB591" i="5"/>
  <c r="M267" i="5"/>
  <c r="M266" i="5"/>
  <c r="M253" i="5"/>
  <c r="M252" i="5"/>
  <c r="M240" i="5"/>
  <c r="M239" i="5"/>
  <c r="M227" i="5"/>
  <c r="M226" i="5"/>
  <c r="M214" i="5"/>
  <c r="M213" i="5"/>
  <c r="M201" i="5"/>
  <c r="M200" i="5"/>
  <c r="M184" i="5"/>
  <c r="M183" i="5"/>
  <c r="M174" i="5"/>
  <c r="M173" i="5"/>
  <c r="M164" i="5"/>
  <c r="M163" i="5"/>
  <c r="M152" i="5"/>
  <c r="M151" i="5"/>
  <c r="AH234" i="5"/>
  <c r="AF234" i="5"/>
  <c r="AD234" i="5"/>
  <c r="AB234" i="5"/>
  <c r="AH227" i="5"/>
  <c r="AF227" i="5"/>
  <c r="AD227" i="5"/>
  <c r="AB227" i="5"/>
  <c r="B227" i="5" s="1"/>
  <c r="J227" i="5"/>
  <c r="G227" i="5"/>
  <c r="D227" i="5"/>
  <c r="AH226" i="5"/>
  <c r="AF226" i="5"/>
  <c r="AD226" i="5"/>
  <c r="AB226" i="5"/>
  <c r="J226" i="5"/>
  <c r="G226" i="5"/>
  <c r="D226" i="5"/>
  <c r="AH225" i="5"/>
  <c r="AF225" i="5"/>
  <c r="AD225" i="5"/>
  <c r="AB225" i="5"/>
  <c r="J225" i="5"/>
  <c r="I225" i="5"/>
  <c r="AH224" i="5"/>
  <c r="AF224" i="5"/>
  <c r="AD224" i="5"/>
  <c r="AB224" i="5"/>
  <c r="J224" i="5"/>
  <c r="I224" i="5"/>
  <c r="AH223" i="5"/>
  <c r="AF223" i="5"/>
  <c r="AD223" i="5"/>
  <c r="AB223" i="5"/>
  <c r="J223" i="5"/>
  <c r="I223" i="5"/>
  <c r="AH222" i="5"/>
  <c r="AF222" i="5"/>
  <c r="AD222" i="5"/>
  <c r="AB222" i="5"/>
  <c r="J222" i="5"/>
  <c r="I222" i="5"/>
  <c r="G240" i="5"/>
  <c r="G239" i="5"/>
  <c r="G253" i="5"/>
  <c r="G252" i="5"/>
  <c r="G214" i="5"/>
  <c r="G213" i="5"/>
  <c r="G201" i="5"/>
  <c r="G200" i="5"/>
  <c r="J214" i="5"/>
  <c r="J213" i="5"/>
  <c r="J268" i="5"/>
  <c r="I268" i="5"/>
  <c r="AH272" i="5"/>
  <c r="AF272" i="5"/>
  <c r="AD272" i="5"/>
  <c r="AB272" i="5"/>
  <c r="AH270" i="5"/>
  <c r="AF270" i="5"/>
  <c r="AD270" i="5"/>
  <c r="AB270" i="5"/>
  <c r="AH268" i="5"/>
  <c r="AF268" i="5"/>
  <c r="AD268" i="5"/>
  <c r="AB268" i="5"/>
  <c r="J269" i="5"/>
  <c r="I269" i="5"/>
  <c r="J267" i="5"/>
  <c r="G267" i="5"/>
  <c r="D267" i="5"/>
  <c r="J266" i="5"/>
  <c r="G266" i="5"/>
  <c r="D266" i="5"/>
  <c r="J265" i="5"/>
  <c r="I265" i="5"/>
  <c r="AH264" i="5"/>
  <c r="AF264" i="5"/>
  <c r="AD264" i="5"/>
  <c r="AB264" i="5"/>
  <c r="AH273" i="5"/>
  <c r="AF273" i="5"/>
  <c r="AD273" i="5"/>
  <c r="AB273" i="5"/>
  <c r="AH271" i="5"/>
  <c r="AF271" i="5"/>
  <c r="AD271" i="5"/>
  <c r="AB271" i="5"/>
  <c r="AH269" i="5"/>
  <c r="AF269" i="5"/>
  <c r="AD269" i="5"/>
  <c r="AB269" i="5"/>
  <c r="AH198" i="5"/>
  <c r="AF198" i="5"/>
  <c r="AD198" i="5"/>
  <c r="AB198" i="5"/>
  <c r="J198" i="5"/>
  <c r="I198" i="5"/>
  <c r="AH196" i="5"/>
  <c r="AF196" i="5"/>
  <c r="AD196" i="5"/>
  <c r="AB196" i="5"/>
  <c r="J196" i="5"/>
  <c r="I196" i="5"/>
  <c r="AH512" i="5"/>
  <c r="AF512" i="5"/>
  <c r="AD512" i="5"/>
  <c r="AB512" i="5"/>
  <c r="AH511" i="5"/>
  <c r="AF511" i="5"/>
  <c r="AD511" i="5"/>
  <c r="AB511" i="5"/>
  <c r="AH510" i="5"/>
  <c r="AF510" i="5"/>
  <c r="AD510" i="5"/>
  <c r="AB510" i="5"/>
  <c r="AH509" i="5"/>
  <c r="AF509" i="5"/>
  <c r="AD509" i="5"/>
  <c r="AB509" i="5"/>
  <c r="AH507" i="5"/>
  <c r="AF507" i="5"/>
  <c r="AD507" i="5"/>
  <c r="AB507" i="5"/>
  <c r="AH506" i="5"/>
  <c r="AF506" i="5"/>
  <c r="AD506" i="5"/>
  <c r="AB506" i="5"/>
  <c r="AH505" i="5"/>
  <c r="AF505" i="5"/>
  <c r="AD505" i="5"/>
  <c r="AB505" i="5"/>
  <c r="AH504" i="5"/>
  <c r="AF504" i="5"/>
  <c r="AD504" i="5"/>
  <c r="AB504" i="5"/>
  <c r="AH502" i="5"/>
  <c r="AF502" i="5"/>
  <c r="AD502" i="5"/>
  <c r="AB502" i="5"/>
  <c r="AH501" i="5"/>
  <c r="AF501" i="5"/>
  <c r="AD501" i="5"/>
  <c r="AB501" i="5"/>
  <c r="AH500" i="5"/>
  <c r="AF500" i="5"/>
  <c r="AD500" i="5"/>
  <c r="AB500" i="5"/>
  <c r="AH499" i="5"/>
  <c r="AF499" i="5"/>
  <c r="AD499" i="5"/>
  <c r="AB499" i="5"/>
  <c r="AH359" i="5"/>
  <c r="AF359" i="5"/>
  <c r="AD359" i="5"/>
  <c r="AB359" i="5"/>
  <c r="AH358" i="5"/>
  <c r="AF358" i="5"/>
  <c r="AD358" i="5"/>
  <c r="AB358" i="5"/>
  <c r="AH357" i="5"/>
  <c r="AF357" i="5"/>
  <c r="AD357" i="5"/>
  <c r="AB357" i="5"/>
  <c r="AH356" i="5"/>
  <c r="AF356" i="5"/>
  <c r="AD356" i="5"/>
  <c r="AB356" i="5"/>
  <c r="AH355" i="5"/>
  <c r="AF355" i="5"/>
  <c r="AD355" i="5"/>
  <c r="AB355" i="5"/>
  <c r="AH332" i="5"/>
  <c r="AF332" i="5"/>
  <c r="AD332" i="5"/>
  <c r="AB332" i="5"/>
  <c r="AH331" i="5"/>
  <c r="AF331" i="5"/>
  <c r="AD331" i="5"/>
  <c r="AB331" i="5"/>
  <c r="AH330" i="5"/>
  <c r="AF330" i="5"/>
  <c r="AD330" i="5"/>
  <c r="AB330" i="5"/>
  <c r="AH329" i="5"/>
  <c r="AF329" i="5"/>
  <c r="AD329" i="5"/>
  <c r="AB329" i="5"/>
  <c r="AH333" i="5"/>
  <c r="AF333" i="5"/>
  <c r="AD333" i="5"/>
  <c r="AB333" i="5"/>
  <c r="AH497" i="5"/>
  <c r="AF497" i="5"/>
  <c r="AD497" i="5"/>
  <c r="AB497" i="5"/>
  <c r="AH496" i="5"/>
  <c r="AF496" i="5"/>
  <c r="AD496" i="5"/>
  <c r="AB496" i="5"/>
  <c r="B496" i="5"/>
  <c r="AH495" i="5"/>
  <c r="AF495" i="5"/>
  <c r="AD495" i="5"/>
  <c r="AB495" i="5"/>
  <c r="AH494" i="5"/>
  <c r="AF494" i="5"/>
  <c r="AD494" i="5"/>
  <c r="AB494" i="5"/>
  <c r="M536" i="5"/>
  <c r="J536" i="5"/>
  <c r="M462" i="5"/>
  <c r="J462" i="5"/>
  <c r="M461" i="5"/>
  <c r="J461" i="5"/>
  <c r="M460" i="5"/>
  <c r="J460" i="5"/>
  <c r="M459" i="5"/>
  <c r="J459" i="5"/>
  <c r="M487" i="5"/>
  <c r="M486" i="5"/>
  <c r="J487" i="5"/>
  <c r="J486" i="5"/>
  <c r="AH492" i="5"/>
  <c r="AF492" i="5"/>
  <c r="AD492" i="5"/>
  <c r="AB492" i="5"/>
  <c r="AH491" i="5"/>
  <c r="AF491" i="5"/>
  <c r="AD491" i="5"/>
  <c r="AB491" i="5"/>
  <c r="AH490" i="5"/>
  <c r="AF490" i="5"/>
  <c r="AD490" i="5"/>
  <c r="AB490" i="5"/>
  <c r="AH315" i="5"/>
  <c r="AF315" i="5"/>
  <c r="AD315" i="5"/>
  <c r="AB315" i="5"/>
  <c r="AH314" i="5"/>
  <c r="AF314" i="5"/>
  <c r="AD314" i="5"/>
  <c r="AB314" i="5"/>
  <c r="AH327" i="5"/>
  <c r="AF327" i="5"/>
  <c r="AD327" i="5"/>
  <c r="AB327" i="5"/>
  <c r="AH326" i="5"/>
  <c r="AF326" i="5"/>
  <c r="AD326" i="5"/>
  <c r="AB326" i="5"/>
  <c r="AH325" i="5"/>
  <c r="AF325" i="5"/>
  <c r="AD325" i="5"/>
  <c r="AB325" i="5"/>
  <c r="AH324" i="5"/>
  <c r="AF324" i="5"/>
  <c r="AD324" i="5"/>
  <c r="AB324" i="5"/>
  <c r="AH321" i="5"/>
  <c r="AF321" i="5"/>
  <c r="AD321" i="5"/>
  <c r="AB321" i="5"/>
  <c r="AH320" i="5"/>
  <c r="AF320" i="5"/>
  <c r="AD320" i="5"/>
  <c r="AB320" i="5"/>
  <c r="AH319" i="5"/>
  <c r="AF319" i="5"/>
  <c r="AD319" i="5"/>
  <c r="AB319" i="5"/>
  <c r="AH318" i="5"/>
  <c r="AF318" i="5"/>
  <c r="AD318" i="5"/>
  <c r="AB318" i="5"/>
  <c r="AH317" i="5"/>
  <c r="AF317" i="5"/>
  <c r="AD317" i="5"/>
  <c r="AB317" i="5"/>
  <c r="AH323" i="5"/>
  <c r="AF323" i="5"/>
  <c r="AD323" i="5"/>
  <c r="AB323" i="5"/>
  <c r="AH478" i="5"/>
  <c r="AF478" i="5"/>
  <c r="AD478" i="5"/>
  <c r="AB478" i="5"/>
  <c r="AH482" i="5"/>
  <c r="AF482" i="5"/>
  <c r="AD482" i="5"/>
  <c r="AB482" i="5"/>
  <c r="AH481" i="5"/>
  <c r="AF481" i="5"/>
  <c r="AD481" i="5"/>
  <c r="AB481" i="5"/>
  <c r="AH480" i="5"/>
  <c r="AF480" i="5"/>
  <c r="AD480" i="5"/>
  <c r="AB480" i="5"/>
  <c r="AH479" i="5"/>
  <c r="AF479" i="5"/>
  <c r="AD479" i="5"/>
  <c r="AB479" i="5"/>
  <c r="AH489" i="5"/>
  <c r="AF489" i="5"/>
  <c r="AD489" i="5"/>
  <c r="AB489" i="5"/>
  <c r="AH560" i="5"/>
  <c r="AF560" i="5"/>
  <c r="AD560" i="5"/>
  <c r="AB560" i="5"/>
  <c r="AH559" i="5"/>
  <c r="AF559" i="5"/>
  <c r="AD559" i="5"/>
  <c r="AB559" i="5"/>
  <c r="AH557" i="5"/>
  <c r="AF557" i="5"/>
  <c r="AD557" i="5"/>
  <c r="AB557" i="5"/>
  <c r="AH556" i="5"/>
  <c r="AF556" i="5"/>
  <c r="AD556" i="5"/>
  <c r="AB556" i="5"/>
  <c r="AH555" i="5"/>
  <c r="AF555" i="5"/>
  <c r="AD555" i="5"/>
  <c r="AB555" i="5"/>
  <c r="AH553" i="5"/>
  <c r="AF553" i="5"/>
  <c r="AD553" i="5"/>
  <c r="AB553" i="5"/>
  <c r="AH552" i="5"/>
  <c r="AF552" i="5"/>
  <c r="AD552" i="5"/>
  <c r="AB552" i="5"/>
  <c r="AH551" i="5"/>
  <c r="AF551" i="5"/>
  <c r="AD551" i="5"/>
  <c r="AB551" i="5"/>
  <c r="AH550" i="5"/>
  <c r="AF550" i="5"/>
  <c r="AD550" i="5"/>
  <c r="AB550" i="5"/>
  <c r="AH548" i="5"/>
  <c r="AH547" i="5"/>
  <c r="AH546" i="5"/>
  <c r="AH545" i="5"/>
  <c r="AH544" i="5"/>
  <c r="AH543" i="5"/>
  <c r="AH542" i="5"/>
  <c r="AH541" i="5"/>
  <c r="AH540" i="5"/>
  <c r="AH539" i="5"/>
  <c r="AF548" i="5"/>
  <c r="AF547" i="5"/>
  <c r="AF546" i="5"/>
  <c r="AF545" i="5"/>
  <c r="AF544" i="5"/>
  <c r="AF543" i="5"/>
  <c r="AF542" i="5"/>
  <c r="AF541" i="5"/>
  <c r="AD548" i="5"/>
  <c r="AD547" i="5"/>
  <c r="AD546" i="5"/>
  <c r="AD545" i="5"/>
  <c r="AB548" i="5"/>
  <c r="AB547" i="5"/>
  <c r="AB546" i="5"/>
  <c r="AB545" i="5"/>
  <c r="AD541" i="5"/>
  <c r="AB541" i="5"/>
  <c r="AD542" i="5"/>
  <c r="AB542" i="5"/>
  <c r="AF540" i="5"/>
  <c r="AD540" i="5"/>
  <c r="AB540" i="5"/>
  <c r="AF539" i="5"/>
  <c r="AD539" i="5"/>
  <c r="AB539" i="5"/>
  <c r="AH538" i="5"/>
  <c r="AF538" i="5"/>
  <c r="AD538" i="5"/>
  <c r="AB538" i="5"/>
  <c r="AH537" i="5"/>
  <c r="AF537" i="5"/>
  <c r="AD537" i="5"/>
  <c r="AB537" i="5"/>
  <c r="G486" i="5"/>
  <c r="G487" i="5"/>
  <c r="G462" i="5"/>
  <c r="G461" i="5"/>
  <c r="G460" i="5"/>
  <c r="G459" i="5"/>
  <c r="G536" i="5"/>
  <c r="AH353" i="5"/>
  <c r="AF353" i="5"/>
  <c r="AD353" i="5"/>
  <c r="AB353" i="5"/>
  <c r="AH352" i="5"/>
  <c r="AF352" i="5"/>
  <c r="AD352" i="5"/>
  <c r="AB352" i="5"/>
  <c r="AH351" i="5"/>
  <c r="AF351" i="5"/>
  <c r="AD351" i="5"/>
  <c r="AB351" i="5"/>
  <c r="AH350" i="5"/>
  <c r="AF350" i="5"/>
  <c r="AD350" i="5"/>
  <c r="AB350" i="5"/>
  <c r="AH349" i="5"/>
  <c r="AF349" i="5"/>
  <c r="AD349" i="5"/>
  <c r="AB349" i="5"/>
  <c r="AH348" i="5"/>
  <c r="AF348" i="5"/>
  <c r="AD348" i="5"/>
  <c r="AB348" i="5"/>
  <c r="AH347" i="5"/>
  <c r="AF347" i="5"/>
  <c r="AD347" i="5"/>
  <c r="AB347" i="5"/>
  <c r="AH346" i="5"/>
  <c r="AF346" i="5"/>
  <c r="AD346" i="5"/>
  <c r="AB346" i="5"/>
  <c r="AH345" i="5"/>
  <c r="AF345" i="5"/>
  <c r="AD345" i="5"/>
  <c r="AB345" i="5"/>
  <c r="AH344" i="5"/>
  <c r="AF344" i="5"/>
  <c r="AD344" i="5"/>
  <c r="AB344" i="5"/>
  <c r="AH343" i="5"/>
  <c r="AF343" i="5"/>
  <c r="AD343" i="5"/>
  <c r="AB343" i="5"/>
  <c r="AH342" i="5"/>
  <c r="AF342" i="5"/>
  <c r="AD342" i="5"/>
  <c r="AB342" i="5"/>
  <c r="AH341" i="5"/>
  <c r="AF341" i="5"/>
  <c r="AD341" i="5"/>
  <c r="AB341" i="5"/>
  <c r="AH340" i="5"/>
  <c r="AF340" i="5"/>
  <c r="AD340" i="5"/>
  <c r="AB340" i="5"/>
  <c r="AH339" i="5"/>
  <c r="AF339" i="5"/>
  <c r="AD339" i="5"/>
  <c r="AB339" i="5"/>
  <c r="AH338" i="5"/>
  <c r="AF338" i="5"/>
  <c r="AD338" i="5"/>
  <c r="AB338" i="5"/>
  <c r="AH184" i="5"/>
  <c r="AH183" i="5"/>
  <c r="AH182" i="5"/>
  <c r="AH181" i="5"/>
  <c r="AH180" i="5"/>
  <c r="AH179" i="5"/>
  <c r="AH178" i="5"/>
  <c r="AH177" i="5"/>
  <c r="AH176" i="5"/>
  <c r="AH174" i="5"/>
  <c r="AH173" i="5"/>
  <c r="AH171" i="5"/>
  <c r="AH170" i="5"/>
  <c r="AH169" i="5"/>
  <c r="AH168" i="5"/>
  <c r="AH167" i="5"/>
  <c r="AH166" i="5"/>
  <c r="AH164" i="5"/>
  <c r="AH163" i="5"/>
  <c r="AH161" i="5"/>
  <c r="AH160" i="5"/>
  <c r="AH159" i="5"/>
  <c r="AH158" i="5"/>
  <c r="AH157" i="5"/>
  <c r="AH156" i="5"/>
  <c r="AH80" i="5"/>
  <c r="AH267" i="5"/>
  <c r="AH266" i="5"/>
  <c r="AH265" i="5"/>
  <c r="AH263" i="5"/>
  <c r="AH262" i="5"/>
  <c r="AH260" i="5"/>
  <c r="AH259" i="5"/>
  <c r="AH253" i="5"/>
  <c r="AH252" i="5"/>
  <c r="AH251" i="5"/>
  <c r="AH250" i="5"/>
  <c r="AH249" i="5"/>
  <c r="AH248" i="5"/>
  <c r="AH247" i="5"/>
  <c r="AH240" i="5"/>
  <c r="AH239" i="5"/>
  <c r="AH238" i="5"/>
  <c r="AH237" i="5"/>
  <c r="AH236" i="5"/>
  <c r="AH235" i="5"/>
  <c r="AH221" i="5"/>
  <c r="AH214" i="5"/>
  <c r="AH213" i="5"/>
  <c r="AH212" i="5"/>
  <c r="AH211" i="5"/>
  <c r="AH210" i="5"/>
  <c r="AH209" i="5"/>
  <c r="AH208" i="5"/>
  <c r="AH201" i="5"/>
  <c r="AH200" i="5"/>
  <c r="AH199" i="5"/>
  <c r="AH197" i="5"/>
  <c r="AH191" i="5"/>
  <c r="AH190" i="5"/>
  <c r="AH175" i="5"/>
  <c r="AH172" i="5"/>
  <c r="AH165" i="5"/>
  <c r="AH162" i="5"/>
  <c r="AH154" i="5"/>
  <c r="AH153" i="5"/>
  <c r="AH152" i="5"/>
  <c r="AH151" i="5"/>
  <c r="AH150" i="5"/>
  <c r="AH149" i="5"/>
  <c r="AH148" i="5"/>
  <c r="AH147" i="5"/>
  <c r="AH146" i="5"/>
  <c r="AH145" i="5"/>
  <c r="AH144" i="5"/>
  <c r="AH142" i="5"/>
  <c r="AH141" i="5"/>
  <c r="AH140" i="5"/>
  <c r="AH139" i="5"/>
  <c r="AH138" i="5"/>
  <c r="AH136" i="5"/>
  <c r="AH599" i="5"/>
  <c r="AH590" i="5"/>
  <c r="AH589" i="5"/>
  <c r="AH588" i="5"/>
  <c r="AH587" i="5"/>
  <c r="AH586" i="5"/>
  <c r="AH585" i="5"/>
  <c r="AH584" i="5"/>
  <c r="AH583" i="5"/>
  <c r="AH582" i="5"/>
  <c r="AH581" i="5"/>
  <c r="AH580" i="5"/>
  <c r="AH579" i="5"/>
  <c r="AH578" i="5"/>
  <c r="AH577" i="5"/>
  <c r="AH576" i="5"/>
  <c r="AH575" i="5"/>
  <c r="AH574" i="5"/>
  <c r="AH573" i="5"/>
  <c r="AH572" i="5"/>
  <c r="AH571" i="5"/>
  <c r="AH570" i="5"/>
  <c r="AH569" i="5"/>
  <c r="AH568" i="5"/>
  <c r="AH567" i="5"/>
  <c r="AH566" i="5"/>
  <c r="AH562" i="5"/>
  <c r="AH536" i="5"/>
  <c r="AH525" i="5"/>
  <c r="AH524" i="5"/>
  <c r="AH523" i="5"/>
  <c r="AH521" i="5"/>
  <c r="AH520" i="5"/>
  <c r="AH462" i="5"/>
  <c r="AH461" i="5"/>
  <c r="AH460" i="5"/>
  <c r="AH459" i="5"/>
  <c r="AH488" i="5"/>
  <c r="AH487" i="5"/>
  <c r="AH476" i="5"/>
  <c r="AH486" i="5"/>
  <c r="AH475" i="5"/>
  <c r="AH473" i="5"/>
  <c r="AH312" i="5"/>
  <c r="AH311" i="5"/>
  <c r="AH310" i="5"/>
  <c r="AH309" i="5"/>
  <c r="AH308" i="5"/>
  <c r="AH307" i="5"/>
  <c r="AH306" i="5"/>
  <c r="AH305" i="5"/>
  <c r="AH304" i="5"/>
  <c r="AH303" i="5"/>
  <c r="AH302" i="5"/>
  <c r="AH301" i="5"/>
  <c r="AH300" i="5"/>
  <c r="AH299" i="5"/>
  <c r="AH298" i="5"/>
  <c r="AH297" i="5"/>
  <c r="AH292" i="5"/>
  <c r="AH291" i="5"/>
  <c r="AH290" i="5"/>
  <c r="AH288" i="5"/>
  <c r="AH287" i="5"/>
  <c r="AH286" i="5"/>
  <c r="AH285" i="5"/>
  <c r="AH284" i="5"/>
  <c r="AH283" i="5"/>
  <c r="AH282" i="5"/>
  <c r="AH281" i="5"/>
  <c r="AH280" i="5"/>
  <c r="AH279" i="5"/>
  <c r="AH24" i="5"/>
  <c r="AH23" i="5"/>
  <c r="AH116" i="5"/>
  <c r="AH115" i="5"/>
  <c r="AH123" i="5"/>
  <c r="AH122" i="5"/>
  <c r="AH129" i="5"/>
  <c r="AH128" i="5"/>
  <c r="AH130" i="5"/>
  <c r="AH97" i="5"/>
  <c r="AH96" i="5"/>
  <c r="AH95" i="5"/>
  <c r="AH93" i="5"/>
  <c r="AH92" i="5"/>
  <c r="AH90" i="5"/>
  <c r="AH89" i="5"/>
  <c r="AH87" i="5"/>
  <c r="AH86" i="5"/>
  <c r="AH84" i="5"/>
  <c r="AH83" i="5"/>
  <c r="AH81" i="5"/>
  <c r="AH78" i="5"/>
  <c r="AH77" i="5"/>
  <c r="AH72" i="5"/>
  <c r="AH71" i="5"/>
  <c r="AH64" i="5"/>
  <c r="AH63" i="5"/>
  <c r="AH57" i="5"/>
  <c r="AH56" i="5"/>
  <c r="AH51" i="5"/>
  <c r="AH50" i="5"/>
  <c r="AH45" i="5"/>
  <c r="AH44" i="5"/>
  <c r="AH39" i="5"/>
  <c r="AH38" i="5"/>
  <c r="AH36" i="5"/>
  <c r="AH35" i="5"/>
  <c r="AH33" i="5"/>
  <c r="AF130" i="5"/>
  <c r="AF129" i="5"/>
  <c r="AF96" i="5"/>
  <c r="AF97" i="5"/>
  <c r="AF95" i="5"/>
  <c r="AF177" i="5"/>
  <c r="AD177" i="5"/>
  <c r="AB177" i="5"/>
  <c r="J177" i="5"/>
  <c r="I177" i="5"/>
  <c r="AF167" i="5"/>
  <c r="AD167" i="5"/>
  <c r="AB167" i="5"/>
  <c r="J167" i="5"/>
  <c r="I167" i="5"/>
  <c r="AF157" i="5"/>
  <c r="AD157" i="5"/>
  <c r="AB157" i="5"/>
  <c r="J157" i="5"/>
  <c r="I157" i="5"/>
  <c r="AF145" i="5"/>
  <c r="AD145" i="5"/>
  <c r="AB145" i="5"/>
  <c r="J145" i="5"/>
  <c r="I145" i="5"/>
  <c r="AF90" i="5"/>
  <c r="AF89" i="5"/>
  <c r="AF87" i="5"/>
  <c r="AF86" i="5"/>
  <c r="AF84" i="5"/>
  <c r="AF83" i="5"/>
  <c r="AF81" i="5"/>
  <c r="AF80" i="5"/>
  <c r="AF78" i="5"/>
  <c r="AF77" i="5"/>
  <c r="AF93" i="5"/>
  <c r="AF92" i="5"/>
  <c r="AF287" i="5"/>
  <c r="AD287" i="5"/>
  <c r="AB287" i="5"/>
  <c r="AF312" i="5"/>
  <c r="AD312" i="5"/>
  <c r="AB312" i="5"/>
  <c r="AF308" i="5"/>
  <c r="AD308" i="5"/>
  <c r="AB308" i="5"/>
  <c r="AF304" i="5"/>
  <c r="AD304" i="5"/>
  <c r="AB304" i="5"/>
  <c r="AF300" i="5"/>
  <c r="AD300" i="5"/>
  <c r="AB300" i="5"/>
  <c r="AF311" i="5"/>
  <c r="AD311" i="5"/>
  <c r="AB311" i="5"/>
  <c r="AF310" i="5"/>
  <c r="AD310" i="5"/>
  <c r="AB310" i="5"/>
  <c r="AF309" i="5"/>
  <c r="AD309" i="5"/>
  <c r="AB309" i="5"/>
  <c r="AF307" i="5"/>
  <c r="AD307" i="5"/>
  <c r="AB307" i="5"/>
  <c r="AF306" i="5"/>
  <c r="AD306" i="5"/>
  <c r="AB306" i="5"/>
  <c r="AF305" i="5"/>
  <c r="AD305" i="5"/>
  <c r="AB305" i="5"/>
  <c r="AF303" i="5"/>
  <c r="AD303" i="5"/>
  <c r="AB303" i="5"/>
  <c r="AF302" i="5"/>
  <c r="AD302" i="5"/>
  <c r="AB302" i="5"/>
  <c r="AF301" i="5"/>
  <c r="AD301" i="5"/>
  <c r="AB301" i="5"/>
  <c r="AF299" i="5"/>
  <c r="AD299" i="5"/>
  <c r="AB299" i="5"/>
  <c r="AF298" i="5"/>
  <c r="AD298" i="5"/>
  <c r="AB298" i="5"/>
  <c r="AF297" i="5"/>
  <c r="AD297" i="5"/>
  <c r="AB297" i="5"/>
  <c r="AF24" i="5"/>
  <c r="AF23" i="5"/>
  <c r="AF116" i="5"/>
  <c r="AF115" i="5"/>
  <c r="AF123" i="5"/>
  <c r="AF122" i="5"/>
  <c r="AF128" i="5"/>
  <c r="AF72" i="5"/>
  <c r="AF71" i="5"/>
  <c r="AF64" i="5"/>
  <c r="AF63" i="5"/>
  <c r="AF57" i="5"/>
  <c r="AF56" i="5"/>
  <c r="AF51" i="5"/>
  <c r="AF50" i="5"/>
  <c r="AF45" i="5"/>
  <c r="AF44" i="5"/>
  <c r="AF39" i="5"/>
  <c r="AF38" i="5"/>
  <c r="AF36" i="5"/>
  <c r="AF35" i="5"/>
  <c r="AF33" i="5"/>
  <c r="AD543" i="5"/>
  <c r="AB543" i="5"/>
  <c r="AF588" i="5"/>
  <c r="AD588" i="5"/>
  <c r="AB588" i="5"/>
  <c r="G184" i="5"/>
  <c r="G183" i="5"/>
  <c r="G174" i="5"/>
  <c r="G173" i="5"/>
  <c r="G164" i="5"/>
  <c r="G163" i="5"/>
  <c r="G152" i="5"/>
  <c r="G151" i="5"/>
  <c r="D184" i="5"/>
  <c r="D183" i="5"/>
  <c r="D174" i="5"/>
  <c r="D173" i="5"/>
  <c r="D164" i="5"/>
  <c r="D163" i="5"/>
  <c r="D152" i="5"/>
  <c r="D151" i="5"/>
  <c r="AF144" i="5"/>
  <c r="AD144" i="5"/>
  <c r="AB144" i="5"/>
  <c r="J144" i="5"/>
  <c r="I144" i="5"/>
  <c r="AF476" i="5"/>
  <c r="AD476" i="5"/>
  <c r="AB476" i="5"/>
  <c r="AF475" i="5"/>
  <c r="AD475" i="5"/>
  <c r="AB475" i="5"/>
  <c r="AF590" i="5"/>
  <c r="AD590" i="5"/>
  <c r="AB590" i="5"/>
  <c r="AF525" i="5"/>
  <c r="AD525" i="5"/>
  <c r="AB525" i="5"/>
  <c r="AF524" i="5"/>
  <c r="AD524" i="5"/>
  <c r="AB524" i="5"/>
  <c r="AF523" i="5"/>
  <c r="AD523" i="5"/>
  <c r="AB523" i="5"/>
  <c r="AF521" i="5"/>
  <c r="AD521" i="5"/>
  <c r="AB521" i="5"/>
  <c r="AF520" i="5"/>
  <c r="AD520" i="5"/>
  <c r="AB520" i="5"/>
  <c r="AF589" i="5"/>
  <c r="AD589" i="5"/>
  <c r="AB589" i="5"/>
  <c r="AF587" i="5"/>
  <c r="AD587" i="5"/>
  <c r="AB587" i="5"/>
  <c r="J150" i="5"/>
  <c r="I150" i="5"/>
  <c r="J162" i="5"/>
  <c r="J172" i="5"/>
  <c r="J182" i="5"/>
  <c r="J176" i="5"/>
  <c r="J166" i="5"/>
  <c r="AF148" i="5"/>
  <c r="AD148" i="5"/>
  <c r="AB148" i="5"/>
  <c r="AF146" i="5"/>
  <c r="AD146" i="5"/>
  <c r="AB146" i="5"/>
  <c r="J156" i="5"/>
  <c r="J140" i="5"/>
  <c r="I140" i="5"/>
  <c r="I139" i="5"/>
  <c r="I138" i="5"/>
  <c r="J152" i="5"/>
  <c r="J151" i="5"/>
  <c r="J164" i="5"/>
  <c r="J163" i="5"/>
  <c r="J173" i="5"/>
  <c r="J174" i="5"/>
  <c r="J183" i="5"/>
  <c r="J184" i="5"/>
  <c r="AF214" i="5"/>
  <c r="AD214" i="5"/>
  <c r="AB214" i="5"/>
  <c r="D214" i="5"/>
  <c r="AF213" i="5"/>
  <c r="AD213" i="5"/>
  <c r="AB213" i="5"/>
  <c r="D213" i="5"/>
  <c r="AF212" i="5"/>
  <c r="AD212" i="5"/>
  <c r="AB212" i="5"/>
  <c r="J212" i="5"/>
  <c r="I212" i="5"/>
  <c r="AF211" i="5"/>
  <c r="AD211" i="5"/>
  <c r="AB211" i="5"/>
  <c r="J211" i="5"/>
  <c r="I211" i="5"/>
  <c r="AF210" i="5"/>
  <c r="AD210" i="5"/>
  <c r="AB210" i="5"/>
  <c r="J210" i="5"/>
  <c r="I210" i="5"/>
  <c r="AF209" i="5"/>
  <c r="AD209" i="5"/>
  <c r="AB209" i="5"/>
  <c r="J209" i="5"/>
  <c r="I209" i="5"/>
  <c r="AF208" i="5"/>
  <c r="AD208" i="5"/>
  <c r="AB208" i="5"/>
  <c r="AF240" i="5"/>
  <c r="AD240" i="5"/>
  <c r="AB240" i="5"/>
  <c r="J240" i="5"/>
  <c r="I240" i="5"/>
  <c r="D240" i="5"/>
  <c r="AF239" i="5"/>
  <c r="AD239" i="5"/>
  <c r="AB239" i="5"/>
  <c r="J239" i="5"/>
  <c r="I239" i="5"/>
  <c r="D239" i="5"/>
  <c r="AF238" i="5"/>
  <c r="AD238" i="5"/>
  <c r="AB238" i="5"/>
  <c r="J238" i="5"/>
  <c r="I238" i="5"/>
  <c r="AF237" i="5"/>
  <c r="AD237" i="5"/>
  <c r="AB237" i="5"/>
  <c r="J237" i="5"/>
  <c r="I237" i="5"/>
  <c r="AF236" i="5"/>
  <c r="AD236" i="5"/>
  <c r="AB236" i="5"/>
  <c r="J236" i="5"/>
  <c r="I236" i="5"/>
  <c r="AF235" i="5"/>
  <c r="AD235" i="5"/>
  <c r="AB235" i="5"/>
  <c r="J235" i="5"/>
  <c r="I235" i="5"/>
  <c r="AF221" i="5"/>
  <c r="AD221" i="5"/>
  <c r="AB221" i="5"/>
  <c r="J251" i="5"/>
  <c r="J250" i="5"/>
  <c r="I251" i="5"/>
  <c r="I250" i="5"/>
  <c r="J249" i="5"/>
  <c r="J248" i="5"/>
  <c r="I249" i="5"/>
  <c r="I248" i="5"/>
  <c r="AF250" i="5"/>
  <c r="AD250" i="5"/>
  <c r="AB250" i="5"/>
  <c r="AF248" i="5"/>
  <c r="AD248" i="5"/>
  <c r="AB248" i="5"/>
  <c r="AF251" i="5"/>
  <c r="AD251" i="5"/>
  <c r="AB251" i="5"/>
  <c r="AF249" i="5"/>
  <c r="AD249" i="5"/>
  <c r="AB249" i="5"/>
  <c r="J199" i="5"/>
  <c r="J197" i="5"/>
  <c r="I197" i="5"/>
  <c r="I199" i="5"/>
  <c r="AF199" i="5"/>
  <c r="AD199" i="5"/>
  <c r="AB199" i="5"/>
  <c r="AF197" i="5"/>
  <c r="AD197" i="5"/>
  <c r="AB197" i="5"/>
  <c r="J253" i="5"/>
  <c r="J252" i="5"/>
  <c r="J201" i="5"/>
  <c r="D253" i="5"/>
  <c r="D252" i="5"/>
  <c r="D201" i="5"/>
  <c r="J200" i="5"/>
  <c r="D200" i="5"/>
  <c r="AF162" i="5"/>
  <c r="AD162" i="5"/>
  <c r="AB162" i="5"/>
  <c r="I162" i="5"/>
  <c r="AF172" i="5"/>
  <c r="AD172" i="5"/>
  <c r="AB172" i="5"/>
  <c r="I172" i="5"/>
  <c r="I182" i="5"/>
  <c r="AF182" i="5"/>
  <c r="AD182" i="5"/>
  <c r="AB182" i="5"/>
  <c r="AF160" i="5"/>
  <c r="AD160" i="5"/>
  <c r="AB160" i="5"/>
  <c r="AF158" i="5"/>
  <c r="AD158" i="5"/>
  <c r="AB158" i="5"/>
  <c r="AF156" i="5"/>
  <c r="AD156" i="5"/>
  <c r="AB156" i="5"/>
  <c r="I156" i="5"/>
  <c r="AF174" i="5"/>
  <c r="AD174" i="5"/>
  <c r="AB174" i="5"/>
  <c r="AF173" i="5"/>
  <c r="AD173" i="5"/>
  <c r="AB173" i="5"/>
  <c r="AF171" i="5"/>
  <c r="AD171" i="5"/>
  <c r="AB171" i="5"/>
  <c r="AF170" i="5"/>
  <c r="AD170" i="5"/>
  <c r="AB170" i="5"/>
  <c r="AF169" i="5"/>
  <c r="AD169" i="5"/>
  <c r="AB169" i="5"/>
  <c r="AF168" i="5"/>
  <c r="AD168" i="5"/>
  <c r="AB168" i="5"/>
  <c r="AF166" i="5"/>
  <c r="AD166" i="5"/>
  <c r="AB166" i="5"/>
  <c r="I166" i="5"/>
  <c r="AF165" i="5"/>
  <c r="AF180" i="5"/>
  <c r="AD180" i="5"/>
  <c r="AB180" i="5"/>
  <c r="AF178" i="5"/>
  <c r="AD178" i="5"/>
  <c r="AB178" i="5"/>
  <c r="I176" i="5"/>
  <c r="AF176" i="5"/>
  <c r="AD176" i="5"/>
  <c r="AB176" i="5"/>
  <c r="AF184" i="5"/>
  <c r="AF183" i="5"/>
  <c r="AF181" i="5"/>
  <c r="AF179" i="5"/>
  <c r="AF175" i="5"/>
  <c r="AD184" i="5"/>
  <c r="AB184" i="5"/>
  <c r="AD183" i="5"/>
  <c r="AB183" i="5"/>
  <c r="AD181" i="5"/>
  <c r="AB181" i="5"/>
  <c r="AD179" i="5"/>
  <c r="AB179" i="5"/>
  <c r="AF292" i="5"/>
  <c r="AD292" i="5"/>
  <c r="AB292" i="5"/>
  <c r="AF291" i="5"/>
  <c r="AD291" i="5"/>
  <c r="AB291" i="5"/>
  <c r="AF290" i="5"/>
  <c r="AD290" i="5"/>
  <c r="AB290" i="5"/>
  <c r="AF267" i="5"/>
  <c r="AF266" i="5"/>
  <c r="AF265" i="5"/>
  <c r="AF263" i="5"/>
  <c r="AF262" i="5"/>
  <c r="AF260" i="5"/>
  <c r="AF259" i="5"/>
  <c r="AF253" i="5"/>
  <c r="AF252" i="5"/>
  <c r="AF247" i="5"/>
  <c r="AF201" i="5"/>
  <c r="AF200" i="5"/>
  <c r="AF191" i="5"/>
  <c r="AF190" i="5"/>
  <c r="AF164" i="5"/>
  <c r="AF163" i="5"/>
  <c r="AD267" i="5"/>
  <c r="AD266" i="5"/>
  <c r="AD265" i="5"/>
  <c r="AD263" i="5"/>
  <c r="AD262" i="5"/>
  <c r="AD260" i="5"/>
  <c r="AD259" i="5"/>
  <c r="AD253" i="5"/>
  <c r="AD252" i="5"/>
  <c r="AD247" i="5"/>
  <c r="AD201" i="5"/>
  <c r="AD200" i="5"/>
  <c r="AD191" i="5"/>
  <c r="AD190" i="5"/>
  <c r="AD164" i="5"/>
  <c r="AD163" i="5"/>
  <c r="AB267" i="5"/>
  <c r="AB266" i="5"/>
  <c r="AB265" i="5"/>
  <c r="AB263" i="5"/>
  <c r="AB262" i="5"/>
  <c r="AB260" i="5"/>
  <c r="AB259" i="5"/>
  <c r="AB253" i="5"/>
  <c r="AB252" i="5"/>
  <c r="AB247" i="5"/>
  <c r="AB201" i="5"/>
  <c r="AB200" i="5"/>
  <c r="AB191" i="5"/>
  <c r="AB190" i="5"/>
  <c r="AB164" i="5"/>
  <c r="I253" i="5"/>
  <c r="I252" i="5"/>
  <c r="I201" i="5"/>
  <c r="I200" i="5"/>
  <c r="AF161" i="5"/>
  <c r="AF159" i="5"/>
  <c r="AD161" i="5"/>
  <c r="AD159" i="5"/>
  <c r="AB163" i="5"/>
  <c r="AB161" i="5"/>
  <c r="AB159" i="5"/>
  <c r="AF154" i="5"/>
  <c r="AF153" i="5"/>
  <c r="AF152" i="5"/>
  <c r="AF151" i="5"/>
  <c r="AF150" i="5"/>
  <c r="AF149" i="5"/>
  <c r="AF147" i="5"/>
  <c r="AF142" i="5"/>
  <c r="AF141" i="5"/>
  <c r="AF140" i="5"/>
  <c r="AF139" i="5"/>
  <c r="AF138" i="5"/>
  <c r="AF136" i="5"/>
  <c r="AF599" i="5"/>
  <c r="AF586" i="5"/>
  <c r="AF585" i="5"/>
  <c r="AF584" i="5"/>
  <c r="AF583" i="5"/>
  <c r="AF582" i="5"/>
  <c r="AF581" i="5"/>
  <c r="AF580" i="5"/>
  <c r="AF579" i="5"/>
  <c r="AF578" i="5"/>
  <c r="AF577" i="5"/>
  <c r="AF576" i="5"/>
  <c r="AF575" i="5"/>
  <c r="AF574" i="5"/>
  <c r="AF573" i="5"/>
  <c r="AF572" i="5"/>
  <c r="AF571" i="5"/>
  <c r="AF570" i="5"/>
  <c r="AF569" i="5"/>
  <c r="AF568" i="5"/>
  <c r="AF567" i="5"/>
  <c r="AF566" i="5"/>
  <c r="AF562" i="5"/>
  <c r="AF536" i="5"/>
  <c r="AF462" i="5"/>
  <c r="AF461" i="5"/>
  <c r="AF460" i="5"/>
  <c r="AF459" i="5"/>
  <c r="AF488" i="5"/>
  <c r="AF487" i="5"/>
  <c r="AF486" i="5"/>
  <c r="AF473" i="5"/>
  <c r="AF288" i="5"/>
  <c r="AF286" i="5"/>
  <c r="AF285" i="5"/>
  <c r="AF284" i="5"/>
  <c r="AF283" i="5"/>
  <c r="AF282" i="5"/>
  <c r="AF281" i="5"/>
  <c r="AF280" i="5"/>
  <c r="AF279" i="5"/>
  <c r="AD154" i="5"/>
  <c r="AD153" i="5"/>
  <c r="AD152" i="5"/>
  <c r="AD151" i="5"/>
  <c r="AD150" i="5"/>
  <c r="AD149" i="5"/>
  <c r="AD147" i="5"/>
  <c r="AD142" i="5"/>
  <c r="AD141" i="5"/>
  <c r="AD140" i="5"/>
  <c r="AD139" i="5"/>
  <c r="AD138" i="5"/>
  <c r="AD136" i="5"/>
  <c r="AD599" i="5"/>
  <c r="AD586" i="5"/>
  <c r="AD585" i="5"/>
  <c r="AD584" i="5"/>
  <c r="AD583" i="5"/>
  <c r="AD582" i="5"/>
  <c r="AD581" i="5"/>
  <c r="AD580" i="5"/>
  <c r="AD579" i="5"/>
  <c r="AD578" i="5"/>
  <c r="AD577" i="5"/>
  <c r="AD576" i="5"/>
  <c r="AD575" i="5"/>
  <c r="AD574" i="5"/>
  <c r="AD573" i="5"/>
  <c r="AD572" i="5"/>
  <c r="AD571" i="5"/>
  <c r="AD570" i="5"/>
  <c r="AD569" i="5"/>
  <c r="AD568" i="5"/>
  <c r="AD567" i="5"/>
  <c r="AD566" i="5"/>
  <c r="AD562" i="5"/>
  <c r="AD544" i="5"/>
  <c r="AD536" i="5"/>
  <c r="AD462" i="5"/>
  <c r="AD461" i="5"/>
  <c r="AD460" i="5"/>
  <c r="AD459" i="5"/>
  <c r="AD488" i="5"/>
  <c r="AD487" i="5"/>
  <c r="AD486" i="5"/>
  <c r="AD473" i="5"/>
  <c r="AD288" i="5"/>
  <c r="AD286" i="5"/>
  <c r="AD285" i="5"/>
  <c r="AD284" i="5"/>
  <c r="AD283" i="5"/>
  <c r="AD282" i="5"/>
  <c r="AD281" i="5"/>
  <c r="AD280" i="5"/>
  <c r="AB154" i="5"/>
  <c r="AB153" i="5"/>
  <c r="AB152" i="5"/>
  <c r="AB151" i="5"/>
  <c r="AB150" i="5"/>
  <c r="AB149" i="5"/>
  <c r="AB147" i="5"/>
  <c r="AB142" i="5"/>
  <c r="AB141" i="5"/>
  <c r="AB140" i="5"/>
  <c r="AB139" i="5"/>
  <c r="AB138" i="5"/>
  <c r="AB136" i="5"/>
  <c r="AB599" i="5"/>
  <c r="AB586" i="5"/>
  <c r="AB585" i="5"/>
  <c r="AB584" i="5"/>
  <c r="AB583" i="5"/>
  <c r="AB582" i="5"/>
  <c r="AB581" i="5"/>
  <c r="AB580" i="5"/>
  <c r="AB579" i="5"/>
  <c r="AB578" i="5"/>
  <c r="AB577" i="5"/>
  <c r="AB576" i="5"/>
  <c r="AB575" i="5"/>
  <c r="AB574" i="5"/>
  <c r="AB573" i="5"/>
  <c r="AB572" i="5"/>
  <c r="AB571" i="5"/>
  <c r="AB570" i="5"/>
  <c r="AB569" i="5"/>
  <c r="AB568" i="5"/>
  <c r="AB567" i="5"/>
  <c r="AB566" i="5"/>
  <c r="AB562" i="5"/>
  <c r="AB544" i="5"/>
  <c r="AB536" i="5"/>
  <c r="AB462" i="5"/>
  <c r="AB461" i="5"/>
  <c r="AB460" i="5"/>
  <c r="AB459" i="5"/>
  <c r="AB488" i="5"/>
  <c r="AB487" i="5"/>
  <c r="AB486" i="5"/>
  <c r="AB473" i="5"/>
  <c r="AB288" i="5"/>
  <c r="AB286" i="5"/>
  <c r="AB285" i="5"/>
  <c r="AB284" i="5"/>
  <c r="AB283" i="5"/>
  <c r="AB282" i="5"/>
  <c r="AB281" i="5"/>
  <c r="AB280" i="5"/>
  <c r="AB279" i="5"/>
  <c r="D462" i="5"/>
  <c r="D536" i="5"/>
  <c r="D461" i="5"/>
  <c r="D460" i="5"/>
  <c r="D459" i="5"/>
  <c r="D487" i="5"/>
  <c r="D486" i="5"/>
  <c r="AD279" i="5"/>
  <c r="G71" i="3"/>
  <c r="G70" i="3"/>
  <c r="G69" i="3"/>
  <c r="S69" i="3" s="1"/>
  <c r="R69" i="3" s="1"/>
  <c r="G68" i="3"/>
  <c r="G67" i="3"/>
  <c r="AB71" i="3"/>
  <c r="Z71" i="3"/>
  <c r="V71" i="3"/>
  <c r="S71" i="3"/>
  <c r="R71" i="3" s="1"/>
  <c r="P71" i="3"/>
  <c r="O71" i="3" s="1"/>
  <c r="M71" i="3"/>
  <c r="L71" i="3" s="1"/>
  <c r="J71" i="3"/>
  <c r="I71" i="3" s="1"/>
  <c r="F71" i="3"/>
  <c r="C71" i="3"/>
  <c r="AB70" i="3"/>
  <c r="Z70" i="3"/>
  <c r="V70" i="3"/>
  <c r="S70" i="3"/>
  <c r="R70" i="3" s="1"/>
  <c r="P70" i="3"/>
  <c r="O70" i="3" s="1"/>
  <c r="M70" i="3"/>
  <c r="L70" i="3" s="1"/>
  <c r="K70" i="3"/>
  <c r="J70" i="3"/>
  <c r="I70" i="3" s="1"/>
  <c r="H70" i="3"/>
  <c r="F70" i="3"/>
  <c r="E70" i="3"/>
  <c r="C70" i="3"/>
  <c r="B70" i="3"/>
  <c r="AB69" i="3"/>
  <c r="Z69" i="3"/>
  <c r="V69" i="3"/>
  <c r="P69" i="3"/>
  <c r="O69" i="3" s="1"/>
  <c r="M69" i="3"/>
  <c r="L69" i="3" s="1"/>
  <c r="J69" i="3"/>
  <c r="I69" i="3" s="1"/>
  <c r="F69" i="3"/>
  <c r="C69" i="3"/>
  <c r="AB68" i="3"/>
  <c r="Z68" i="3"/>
  <c r="V68" i="3"/>
  <c r="S68" i="3"/>
  <c r="R68" i="3" s="1"/>
  <c r="P68" i="3"/>
  <c r="O68" i="3" s="1"/>
  <c r="M68" i="3"/>
  <c r="L68" i="3" s="1"/>
  <c r="J68" i="3"/>
  <c r="I68" i="3"/>
  <c r="F68" i="3"/>
  <c r="C68" i="3"/>
  <c r="B68" i="3"/>
  <c r="AB67" i="3"/>
  <c r="Z67" i="3"/>
  <c r="V67" i="3"/>
  <c r="S67" i="3"/>
  <c r="R67" i="3" s="1"/>
  <c r="Q67" i="3"/>
  <c r="P67" i="3"/>
  <c r="O67" i="3"/>
  <c r="N67" i="3"/>
  <c r="M67" i="3"/>
  <c r="L67" i="3" s="1"/>
  <c r="K67" i="3"/>
  <c r="J67" i="3"/>
  <c r="I67" i="3"/>
  <c r="H67" i="3"/>
  <c r="F67" i="3"/>
  <c r="E67" i="3"/>
  <c r="C67" i="3"/>
  <c r="B67" i="3"/>
  <c r="J65" i="3"/>
  <c r="I65" i="3" s="1"/>
  <c r="J64" i="3"/>
  <c r="I64" i="3" s="1"/>
  <c r="J63" i="3"/>
  <c r="G65" i="3"/>
  <c r="M65" i="3" s="1"/>
  <c r="L65" i="3" s="1"/>
  <c r="G64" i="3"/>
  <c r="M64" i="3" s="1"/>
  <c r="L64" i="3" s="1"/>
  <c r="G63" i="3"/>
  <c r="M63" i="3" s="1"/>
  <c r="L63" i="3" s="1"/>
  <c r="AB65" i="3"/>
  <c r="Z65" i="3"/>
  <c r="V65" i="3"/>
  <c r="Q65" i="3"/>
  <c r="P65" i="3"/>
  <c r="O65" i="3" s="1"/>
  <c r="N65" i="3"/>
  <c r="K65" i="3"/>
  <c r="H65" i="3"/>
  <c r="E65" i="3"/>
  <c r="C65" i="3"/>
  <c r="B65" i="3"/>
  <c r="AB64" i="3"/>
  <c r="B64" i="3" s="1"/>
  <c r="Z64" i="3"/>
  <c r="V64" i="3"/>
  <c r="P64" i="3"/>
  <c r="O64" i="3" s="1"/>
  <c r="C64" i="3"/>
  <c r="AB63" i="3"/>
  <c r="Z63" i="3"/>
  <c r="V63" i="3"/>
  <c r="Q63" i="3" s="1"/>
  <c r="P63" i="3"/>
  <c r="O63" i="3"/>
  <c r="N63" i="3"/>
  <c r="K63" i="3"/>
  <c r="I63" i="3"/>
  <c r="H63" i="3"/>
  <c r="E63" i="3"/>
  <c r="C63" i="3"/>
  <c r="B63" i="3"/>
  <c r="S61" i="3"/>
  <c r="R61" i="3" s="1"/>
  <c r="S60" i="3"/>
  <c r="R60" i="3" s="1"/>
  <c r="S59" i="3"/>
  <c r="R59" i="3" s="1"/>
  <c r="S58" i="3"/>
  <c r="R58" i="3" s="1"/>
  <c r="S57" i="3"/>
  <c r="R57" i="3" s="1"/>
  <c r="P61" i="3"/>
  <c r="O61" i="3" s="1"/>
  <c r="P60" i="3"/>
  <c r="O60" i="3" s="1"/>
  <c r="P59" i="3"/>
  <c r="O59" i="3" s="1"/>
  <c r="P58" i="3"/>
  <c r="O58" i="3" s="1"/>
  <c r="P57" i="3"/>
  <c r="M61" i="3"/>
  <c r="L61" i="3" s="1"/>
  <c r="M60" i="3"/>
  <c r="L60" i="3" s="1"/>
  <c r="M59" i="3"/>
  <c r="L59" i="3" s="1"/>
  <c r="M58" i="3"/>
  <c r="L58" i="3" s="1"/>
  <c r="M57" i="3"/>
  <c r="J61" i="3"/>
  <c r="I61" i="3" s="1"/>
  <c r="J60" i="3"/>
  <c r="I60" i="3" s="1"/>
  <c r="J59" i="3"/>
  <c r="I59" i="3" s="1"/>
  <c r="J58" i="3"/>
  <c r="I58" i="3" s="1"/>
  <c r="J57" i="3"/>
  <c r="AB61" i="3"/>
  <c r="Z61" i="3"/>
  <c r="V61" i="3"/>
  <c r="F61" i="3"/>
  <c r="C61" i="3"/>
  <c r="S55" i="3"/>
  <c r="R55" i="3" s="1"/>
  <c r="S54" i="3"/>
  <c r="R54" i="3" s="1"/>
  <c r="S53" i="3"/>
  <c r="R53" i="3" s="1"/>
  <c r="S52" i="3"/>
  <c r="R52" i="3" s="1"/>
  <c r="P55" i="3"/>
  <c r="O55" i="3" s="1"/>
  <c r="P54" i="3"/>
  <c r="O54" i="3" s="1"/>
  <c r="P53" i="3"/>
  <c r="O53" i="3" s="1"/>
  <c r="P52" i="3"/>
  <c r="O52" i="3" s="1"/>
  <c r="AB60" i="3"/>
  <c r="Z60" i="3"/>
  <c r="V60" i="3"/>
  <c r="H60" i="3"/>
  <c r="F60" i="3"/>
  <c r="E60" i="3"/>
  <c r="C60" i="3"/>
  <c r="B60" i="3"/>
  <c r="AB59" i="3"/>
  <c r="Z59" i="3"/>
  <c r="V59" i="3"/>
  <c r="Q59" i="3"/>
  <c r="N59" i="3"/>
  <c r="K59" i="3"/>
  <c r="H59" i="3"/>
  <c r="F59" i="3"/>
  <c r="E59" i="3"/>
  <c r="C59" i="3"/>
  <c r="B59" i="3"/>
  <c r="AB58" i="3"/>
  <c r="Z58" i="3"/>
  <c r="V58" i="3"/>
  <c r="Q58" i="3"/>
  <c r="N58" i="3"/>
  <c r="K58" i="3"/>
  <c r="H58" i="3"/>
  <c r="F58" i="3"/>
  <c r="E58" i="3"/>
  <c r="C58" i="3"/>
  <c r="B58" i="3"/>
  <c r="AB57" i="3"/>
  <c r="Z57" i="3"/>
  <c r="V57" i="3"/>
  <c r="Q57" i="3"/>
  <c r="O57" i="3"/>
  <c r="N57" i="3"/>
  <c r="L57" i="3"/>
  <c r="K57" i="3"/>
  <c r="I57" i="3"/>
  <c r="H57" i="3"/>
  <c r="F57" i="3"/>
  <c r="E57" i="3"/>
  <c r="C57" i="3"/>
  <c r="B57" i="3"/>
  <c r="M55" i="3"/>
  <c r="L55" i="3" s="1"/>
  <c r="M54" i="3"/>
  <c r="L54" i="3" s="1"/>
  <c r="M53" i="3"/>
  <c r="L53" i="3" s="1"/>
  <c r="M52" i="3"/>
  <c r="L52" i="3" s="1"/>
  <c r="J55" i="3"/>
  <c r="I55" i="3" s="1"/>
  <c r="J54" i="3"/>
  <c r="I54" i="3" s="1"/>
  <c r="J53" i="3"/>
  <c r="I53" i="3" s="1"/>
  <c r="J52" i="3"/>
  <c r="I52" i="3" s="1"/>
  <c r="S26" i="3"/>
  <c r="R26" i="3" s="1"/>
  <c r="S25" i="3"/>
  <c r="R25" i="3" s="1"/>
  <c r="S24" i="3"/>
  <c r="R24" i="3" s="1"/>
  <c r="S23" i="3"/>
  <c r="R23" i="3" s="1"/>
  <c r="S22" i="3"/>
  <c r="S36" i="3"/>
  <c r="R36" i="3" s="1"/>
  <c r="S35" i="3"/>
  <c r="R35" i="3" s="1"/>
  <c r="S34" i="3"/>
  <c r="R34" i="3" s="1"/>
  <c r="S33" i="3"/>
  <c r="R33" i="3" s="1"/>
  <c r="S32" i="3"/>
  <c r="R32" i="3" s="1"/>
  <c r="S31" i="3"/>
  <c r="R31" i="3" s="1"/>
  <c r="S30" i="3"/>
  <c r="R30" i="3" s="1"/>
  <c r="S29" i="3"/>
  <c r="R29" i="3" s="1"/>
  <c r="S28" i="3"/>
  <c r="R28" i="3" s="1"/>
  <c r="S27" i="3"/>
  <c r="R27" i="3" s="1"/>
  <c r="P31" i="3"/>
  <c r="O31" i="3" s="1"/>
  <c r="P30" i="3"/>
  <c r="O30" i="3" s="1"/>
  <c r="P29" i="3"/>
  <c r="O29" i="3" s="1"/>
  <c r="P28" i="3"/>
  <c r="O28" i="3" s="1"/>
  <c r="P27" i="3"/>
  <c r="O27" i="3" s="1"/>
  <c r="S50" i="3"/>
  <c r="R50" i="3" s="1"/>
  <c r="S49" i="3"/>
  <c r="R49" i="3" s="1"/>
  <c r="S48" i="3"/>
  <c r="R48" i="3" s="1"/>
  <c r="S47" i="3"/>
  <c r="R47" i="3" s="1"/>
  <c r="S46" i="3"/>
  <c r="R46" i="3" s="1"/>
  <c r="S45" i="3"/>
  <c r="P50" i="3"/>
  <c r="O50" i="3" s="1"/>
  <c r="P49" i="3"/>
  <c r="O49" i="3" s="1"/>
  <c r="P48" i="3"/>
  <c r="O48" i="3" s="1"/>
  <c r="P47" i="3"/>
  <c r="O47" i="3" s="1"/>
  <c r="P46" i="3"/>
  <c r="O46" i="3" s="1"/>
  <c r="P45" i="3"/>
  <c r="O45" i="3" s="1"/>
  <c r="S43" i="3"/>
  <c r="R43" i="3" s="1"/>
  <c r="S42" i="3"/>
  <c r="R42" i="3" s="1"/>
  <c r="S41" i="3"/>
  <c r="R41" i="3" s="1"/>
  <c r="S40" i="3"/>
  <c r="R40" i="3" s="1"/>
  <c r="S39" i="3"/>
  <c r="R39" i="3" s="1"/>
  <c r="S38" i="3"/>
  <c r="R38" i="3" s="1"/>
  <c r="P43" i="3"/>
  <c r="O43" i="3" s="1"/>
  <c r="P42" i="3"/>
  <c r="O42" i="3" s="1"/>
  <c r="P41" i="3"/>
  <c r="O41" i="3" s="1"/>
  <c r="P40" i="3"/>
  <c r="O40" i="3" s="1"/>
  <c r="P39" i="3"/>
  <c r="O39" i="3" s="1"/>
  <c r="P38" i="3"/>
  <c r="O38" i="3" s="1"/>
  <c r="AB55" i="3"/>
  <c r="Z55" i="3"/>
  <c r="V55" i="3"/>
  <c r="F55" i="3"/>
  <c r="C55" i="3"/>
  <c r="AB54" i="3"/>
  <c r="Z54" i="3"/>
  <c r="V54" i="3"/>
  <c r="N54" i="3"/>
  <c r="K54" i="3"/>
  <c r="H54" i="3"/>
  <c r="F54" i="3"/>
  <c r="E54" i="3"/>
  <c r="C54" i="3"/>
  <c r="B54" i="3"/>
  <c r="AB53" i="3"/>
  <c r="Z53" i="3"/>
  <c r="V53" i="3"/>
  <c r="H53" i="3"/>
  <c r="F53" i="3"/>
  <c r="E53" i="3"/>
  <c r="C53" i="3"/>
  <c r="B53" i="3"/>
  <c r="F52" i="3"/>
  <c r="C52" i="3"/>
  <c r="AB52" i="3"/>
  <c r="Z52" i="3"/>
  <c r="V52" i="3"/>
  <c r="AB50" i="3"/>
  <c r="Z50" i="3"/>
  <c r="V50" i="3"/>
  <c r="Q50" i="3"/>
  <c r="N50" i="3"/>
  <c r="L50" i="3"/>
  <c r="K50" i="3"/>
  <c r="I50" i="3"/>
  <c r="H50" i="3"/>
  <c r="F50" i="3"/>
  <c r="E50" i="3"/>
  <c r="C50" i="3"/>
  <c r="B50" i="3"/>
  <c r="AB49" i="3"/>
  <c r="Z49" i="3"/>
  <c r="V49" i="3"/>
  <c r="L49" i="3"/>
  <c r="I49" i="3"/>
  <c r="F49" i="3"/>
  <c r="C49" i="3"/>
  <c r="AB48" i="3"/>
  <c r="Z48" i="3"/>
  <c r="V48" i="3"/>
  <c r="Q48" i="3" s="1"/>
  <c r="N48" i="3"/>
  <c r="L48" i="3"/>
  <c r="K48" i="3"/>
  <c r="I48" i="3"/>
  <c r="H48" i="3"/>
  <c r="F48" i="3"/>
  <c r="E48" i="3"/>
  <c r="C48" i="3"/>
  <c r="B48" i="3"/>
  <c r="AB47" i="3"/>
  <c r="Z47" i="3"/>
  <c r="V47" i="3"/>
  <c r="N47" i="3"/>
  <c r="L47" i="3"/>
  <c r="K47" i="3"/>
  <c r="I47" i="3"/>
  <c r="H47" i="3"/>
  <c r="F47" i="3"/>
  <c r="C47" i="3"/>
  <c r="AB46" i="3"/>
  <c r="Z46" i="3"/>
  <c r="V46" i="3"/>
  <c r="Q46" i="3"/>
  <c r="N46" i="3"/>
  <c r="L46" i="3"/>
  <c r="K46" i="3"/>
  <c r="I46" i="3"/>
  <c r="H46" i="3"/>
  <c r="F46" i="3"/>
  <c r="E46" i="3"/>
  <c r="C46" i="3"/>
  <c r="B46" i="3"/>
  <c r="AB45" i="3"/>
  <c r="Z45" i="3"/>
  <c r="V45" i="3"/>
  <c r="R45" i="3"/>
  <c r="L45" i="3"/>
  <c r="I45" i="3"/>
  <c r="F45" i="3"/>
  <c r="E45" i="3"/>
  <c r="C45" i="3"/>
  <c r="B45" i="3"/>
  <c r="AB38" i="3"/>
  <c r="Z38" i="3"/>
  <c r="X38" i="3"/>
  <c r="V38" i="3"/>
  <c r="L38" i="3"/>
  <c r="I38" i="3"/>
  <c r="F38" i="3"/>
  <c r="C38" i="3"/>
  <c r="AB43" i="3"/>
  <c r="Z43" i="3"/>
  <c r="X43" i="3"/>
  <c r="V43" i="3"/>
  <c r="L43" i="3"/>
  <c r="I43" i="3"/>
  <c r="H43" i="3"/>
  <c r="F43" i="3"/>
  <c r="C43" i="3"/>
  <c r="B43" i="3"/>
  <c r="AB42" i="3"/>
  <c r="Z42" i="3"/>
  <c r="X42" i="3"/>
  <c r="V42" i="3"/>
  <c r="L42" i="3"/>
  <c r="I42" i="3"/>
  <c r="F42" i="3"/>
  <c r="E42" i="3"/>
  <c r="C42" i="3"/>
  <c r="AB41" i="3"/>
  <c r="Z41" i="3"/>
  <c r="X41" i="3"/>
  <c r="E41" i="3" s="1"/>
  <c r="V41" i="3"/>
  <c r="L41" i="3"/>
  <c r="I41" i="3"/>
  <c r="F41" i="3"/>
  <c r="C41" i="3"/>
  <c r="AB40" i="3"/>
  <c r="Z40" i="3"/>
  <c r="X40" i="3"/>
  <c r="V40" i="3"/>
  <c r="L40" i="3"/>
  <c r="I40" i="3"/>
  <c r="F40" i="3"/>
  <c r="C40" i="3"/>
  <c r="AB39" i="3"/>
  <c r="Z39" i="3"/>
  <c r="X39" i="3"/>
  <c r="V39" i="3"/>
  <c r="L39" i="3"/>
  <c r="I39" i="3"/>
  <c r="H39" i="3"/>
  <c r="F39" i="3"/>
  <c r="E39" i="3"/>
  <c r="C39" i="3"/>
  <c r="B39" i="3"/>
  <c r="O20" i="3"/>
  <c r="O19" i="3"/>
  <c r="O18" i="3"/>
  <c r="O17" i="3"/>
  <c r="O16" i="3"/>
  <c r="O15" i="3"/>
  <c r="O14" i="3"/>
  <c r="O13" i="3"/>
  <c r="O12" i="3"/>
  <c r="O11" i="3"/>
  <c r="O10" i="3"/>
  <c r="O9" i="3"/>
  <c r="O8" i="3"/>
  <c r="O7" i="3"/>
  <c r="O6" i="3"/>
  <c r="O36" i="3"/>
  <c r="O35" i="3"/>
  <c r="O34" i="3"/>
  <c r="O33" i="3"/>
  <c r="O32" i="3"/>
  <c r="O26" i="3"/>
  <c r="O25" i="3"/>
  <c r="O24" i="3"/>
  <c r="O23" i="3"/>
  <c r="O22" i="3"/>
  <c r="AB36" i="3"/>
  <c r="Z36" i="3"/>
  <c r="X36" i="3"/>
  <c r="V36" i="3"/>
  <c r="L36" i="3"/>
  <c r="I36" i="3"/>
  <c r="F36" i="3"/>
  <c r="C36" i="3"/>
  <c r="AB35" i="3"/>
  <c r="Z35" i="3"/>
  <c r="X35" i="3"/>
  <c r="V35" i="3"/>
  <c r="L35" i="3"/>
  <c r="I35" i="3"/>
  <c r="F35" i="3"/>
  <c r="C35" i="3"/>
  <c r="AB34" i="3"/>
  <c r="Z34" i="3"/>
  <c r="X34" i="3"/>
  <c r="V34" i="3"/>
  <c r="L34" i="3"/>
  <c r="I34" i="3"/>
  <c r="F34" i="3"/>
  <c r="C34" i="3"/>
  <c r="AB33" i="3"/>
  <c r="Z33" i="3"/>
  <c r="X33" i="3"/>
  <c r="V33" i="3"/>
  <c r="L33" i="3"/>
  <c r="I33" i="3"/>
  <c r="F33" i="3"/>
  <c r="C33" i="3"/>
  <c r="AB32" i="3"/>
  <c r="Z32" i="3"/>
  <c r="X32" i="3"/>
  <c r="V32" i="3"/>
  <c r="N32" i="3"/>
  <c r="L32" i="3"/>
  <c r="I32" i="3"/>
  <c r="H32" i="3"/>
  <c r="F32" i="3"/>
  <c r="E32" i="3"/>
  <c r="C32" i="3"/>
  <c r="B32" i="3"/>
  <c r="AB31" i="3"/>
  <c r="Z31" i="3"/>
  <c r="X31" i="3"/>
  <c r="V31" i="3"/>
  <c r="Q31" i="3"/>
  <c r="N31" i="3"/>
  <c r="L31" i="3"/>
  <c r="K31" i="3"/>
  <c r="I31" i="3"/>
  <c r="H31" i="3"/>
  <c r="F31" i="3"/>
  <c r="E31" i="3"/>
  <c r="C31" i="3"/>
  <c r="B31" i="3"/>
  <c r="AB30" i="3"/>
  <c r="Z30" i="3"/>
  <c r="X30" i="3"/>
  <c r="V30" i="3"/>
  <c r="L30" i="3"/>
  <c r="I30" i="3"/>
  <c r="F30" i="3"/>
  <c r="C30" i="3"/>
  <c r="AB29" i="3"/>
  <c r="Z29" i="3"/>
  <c r="X29" i="3"/>
  <c r="V29" i="3"/>
  <c r="Q29" i="3" s="1"/>
  <c r="N29" i="3"/>
  <c r="L29" i="3"/>
  <c r="K29" i="3"/>
  <c r="I29" i="3"/>
  <c r="H29" i="3"/>
  <c r="F29" i="3"/>
  <c r="E29" i="3"/>
  <c r="C29" i="3"/>
  <c r="B29" i="3"/>
  <c r="AB28" i="3"/>
  <c r="Z28" i="3"/>
  <c r="X28" i="3"/>
  <c r="V28" i="3"/>
  <c r="L28" i="3"/>
  <c r="I28" i="3"/>
  <c r="F28" i="3"/>
  <c r="C28" i="3"/>
  <c r="AB27" i="3"/>
  <c r="Z27" i="3"/>
  <c r="X27" i="3"/>
  <c r="V27" i="3"/>
  <c r="L27" i="3"/>
  <c r="I27" i="3"/>
  <c r="F27" i="3"/>
  <c r="C27" i="3"/>
  <c r="AB26" i="3"/>
  <c r="Z26" i="3"/>
  <c r="X26" i="3"/>
  <c r="V26" i="3"/>
  <c r="L26" i="3"/>
  <c r="K26" i="3"/>
  <c r="I26" i="3"/>
  <c r="H26" i="3"/>
  <c r="F26" i="3"/>
  <c r="E26" i="3"/>
  <c r="C26" i="3"/>
  <c r="B26" i="3"/>
  <c r="AB25" i="3"/>
  <c r="Z25" i="3"/>
  <c r="X25" i="3"/>
  <c r="V25" i="3"/>
  <c r="L25" i="3"/>
  <c r="K25" i="3"/>
  <c r="I25" i="3"/>
  <c r="H25" i="3"/>
  <c r="F25" i="3"/>
  <c r="E25" i="3"/>
  <c r="C25" i="3"/>
  <c r="B25" i="3"/>
  <c r="AB24" i="3"/>
  <c r="Z24" i="3"/>
  <c r="X24" i="3"/>
  <c r="V24" i="3"/>
  <c r="L24" i="3"/>
  <c r="K24" i="3"/>
  <c r="I24" i="3"/>
  <c r="H24" i="3"/>
  <c r="F24" i="3"/>
  <c r="E24" i="3"/>
  <c r="C24" i="3"/>
  <c r="AB23" i="3"/>
  <c r="Z23" i="3"/>
  <c r="X23" i="3"/>
  <c r="V23" i="3"/>
  <c r="Q23" i="3" s="1"/>
  <c r="N23" i="3"/>
  <c r="L23" i="3"/>
  <c r="K23" i="3"/>
  <c r="I23" i="3"/>
  <c r="H23" i="3"/>
  <c r="F23" i="3"/>
  <c r="E23" i="3"/>
  <c r="C23" i="3"/>
  <c r="B23" i="3"/>
  <c r="AB22" i="3"/>
  <c r="Z22" i="3"/>
  <c r="X22" i="3"/>
  <c r="V22" i="3"/>
  <c r="R22" i="3"/>
  <c r="L22" i="3"/>
  <c r="I22" i="3"/>
  <c r="F22" i="3"/>
  <c r="C22" i="3"/>
  <c r="AB20" i="3"/>
  <c r="AB19" i="3"/>
  <c r="AB18" i="3"/>
  <c r="AB17" i="3"/>
  <c r="AB16" i="3"/>
  <c r="AB15" i="3"/>
  <c r="AB14" i="3"/>
  <c r="AB13" i="3"/>
  <c r="AB12" i="3"/>
  <c r="AB11" i="3"/>
  <c r="AB10" i="3"/>
  <c r="AB9" i="3"/>
  <c r="AB8" i="3"/>
  <c r="AB7" i="3"/>
  <c r="Z20" i="3"/>
  <c r="Z19" i="3"/>
  <c r="Z18" i="3"/>
  <c r="Z17" i="3"/>
  <c r="Z16" i="3"/>
  <c r="Z15" i="3"/>
  <c r="Z14" i="3"/>
  <c r="Z13" i="3"/>
  <c r="Z12" i="3"/>
  <c r="Z11" i="3"/>
  <c r="Z10" i="3"/>
  <c r="Z9" i="3"/>
  <c r="Z8" i="3"/>
  <c r="Z7" i="3"/>
  <c r="V17" i="3"/>
  <c r="V16" i="3"/>
  <c r="V15" i="3"/>
  <c r="V14" i="3"/>
  <c r="V13" i="3"/>
  <c r="V12" i="3"/>
  <c r="V11" i="3"/>
  <c r="V10" i="3"/>
  <c r="V9" i="3"/>
  <c r="V8" i="3"/>
  <c r="V7" i="3"/>
  <c r="V6" i="3"/>
  <c r="X19" i="3"/>
  <c r="X18" i="3"/>
  <c r="X17" i="3"/>
  <c r="X16" i="3"/>
  <c r="X15" i="3"/>
  <c r="X14" i="3"/>
  <c r="X13" i="3"/>
  <c r="X12" i="3"/>
  <c r="X11" i="3"/>
  <c r="X10" i="3"/>
  <c r="X9" i="3"/>
  <c r="X8" i="3"/>
  <c r="X7" i="3"/>
  <c r="C18" i="3"/>
  <c r="C17" i="3"/>
  <c r="C16" i="3"/>
  <c r="C15" i="3"/>
  <c r="C14" i="3"/>
  <c r="C13" i="3"/>
  <c r="C12" i="3"/>
  <c r="C11" i="3"/>
  <c r="C10" i="3"/>
  <c r="C9" i="3"/>
  <c r="C8" i="3"/>
  <c r="C7" i="3"/>
  <c r="F18" i="3"/>
  <c r="F17" i="3"/>
  <c r="F16" i="3"/>
  <c r="F15" i="3"/>
  <c r="F14" i="3"/>
  <c r="F13" i="3"/>
  <c r="F12" i="3"/>
  <c r="F11" i="3"/>
  <c r="F10" i="3"/>
  <c r="F9" i="3"/>
  <c r="F8" i="3"/>
  <c r="F7" i="3"/>
  <c r="F6" i="3"/>
  <c r="I18" i="3"/>
  <c r="I17" i="3"/>
  <c r="I16" i="3"/>
  <c r="I15" i="3"/>
  <c r="I14" i="3"/>
  <c r="I13" i="3"/>
  <c r="I12" i="3"/>
  <c r="I11" i="3"/>
  <c r="I10" i="3"/>
  <c r="I9" i="3"/>
  <c r="I8" i="3"/>
  <c r="I7" i="3"/>
  <c r="L18" i="3"/>
  <c r="L17" i="3"/>
  <c r="L16" i="3"/>
  <c r="L15" i="3"/>
  <c r="L14" i="3"/>
  <c r="L13" i="3"/>
  <c r="L12" i="3"/>
  <c r="L11" i="3"/>
  <c r="L10" i="3"/>
  <c r="L9" i="3"/>
  <c r="L8" i="3"/>
  <c r="L7" i="3"/>
  <c r="R19" i="3"/>
  <c r="R18" i="3"/>
  <c r="R17" i="3"/>
  <c r="R16" i="3"/>
  <c r="R15" i="3"/>
  <c r="R14" i="3"/>
  <c r="R13" i="3"/>
  <c r="R12" i="3"/>
  <c r="R11" i="3"/>
  <c r="R10" i="3"/>
  <c r="R9" i="3"/>
  <c r="R8" i="3"/>
  <c r="R7" i="3"/>
  <c r="R20" i="3"/>
  <c r="R6" i="3"/>
  <c r="L20" i="3"/>
  <c r="L19" i="3"/>
  <c r="L6" i="3"/>
  <c r="I20" i="3"/>
  <c r="I19" i="3"/>
  <c r="I6" i="3"/>
  <c r="F20" i="3"/>
  <c r="F19" i="3"/>
  <c r="X20" i="3"/>
  <c r="V20" i="3"/>
  <c r="C20" i="3"/>
  <c r="V19" i="3"/>
  <c r="C19" i="3"/>
  <c r="V18" i="3"/>
  <c r="AB6" i="3"/>
  <c r="Z6" i="3"/>
  <c r="X6" i="3"/>
  <c r="C6" i="3"/>
  <c r="Q66" i="2"/>
  <c r="O66" i="2"/>
  <c r="M66" i="2"/>
  <c r="K66" i="2"/>
  <c r="I66" i="2"/>
  <c r="G66" i="2"/>
  <c r="C66" i="2"/>
  <c r="B66" i="2"/>
  <c r="Q65" i="2"/>
  <c r="O65" i="2"/>
  <c r="M65" i="2"/>
  <c r="K65" i="2"/>
  <c r="I65" i="2"/>
  <c r="G65" i="2"/>
  <c r="C65" i="2"/>
  <c r="B65" i="2"/>
  <c r="Q64" i="2"/>
  <c r="O64" i="2"/>
  <c r="M64" i="2"/>
  <c r="K64" i="2"/>
  <c r="I64" i="2"/>
  <c r="G64" i="2"/>
  <c r="C64" i="2"/>
  <c r="B64" i="2"/>
  <c r="Q63" i="2"/>
  <c r="B63" i="2" s="1"/>
  <c r="O63" i="2"/>
  <c r="M63" i="2"/>
  <c r="K63" i="2"/>
  <c r="I63" i="2"/>
  <c r="G63" i="2"/>
  <c r="C63" i="2"/>
  <c r="Q62" i="2"/>
  <c r="O62" i="2"/>
  <c r="M62" i="2"/>
  <c r="K62" i="2"/>
  <c r="I62" i="2"/>
  <c r="G62" i="2"/>
  <c r="C62" i="2"/>
  <c r="B62" i="2"/>
  <c r="Q60" i="2"/>
  <c r="O60" i="2"/>
  <c r="M60" i="2"/>
  <c r="K60" i="2"/>
  <c r="I60" i="2"/>
  <c r="G60" i="2"/>
  <c r="B60" i="2" s="1"/>
  <c r="C60" i="2"/>
  <c r="Q59" i="2"/>
  <c r="O59" i="2"/>
  <c r="M59" i="2"/>
  <c r="K59" i="2"/>
  <c r="I59" i="2"/>
  <c r="G59" i="2"/>
  <c r="B59" i="2" s="1"/>
  <c r="C59" i="2"/>
  <c r="Q58" i="2"/>
  <c r="O58" i="2"/>
  <c r="M58" i="2"/>
  <c r="K58" i="2"/>
  <c r="I58" i="2"/>
  <c r="G58" i="2"/>
  <c r="C58" i="2"/>
  <c r="B58" i="2"/>
  <c r="Q57" i="2"/>
  <c r="O57" i="2"/>
  <c r="M57" i="2"/>
  <c r="K57" i="2"/>
  <c r="I57" i="2"/>
  <c r="G57" i="2"/>
  <c r="C57" i="2"/>
  <c r="Q56" i="2"/>
  <c r="O56" i="2"/>
  <c r="B56" i="2" s="1"/>
  <c r="M56" i="2"/>
  <c r="K56" i="2"/>
  <c r="I56" i="2"/>
  <c r="G56" i="2"/>
  <c r="C56" i="2"/>
  <c r="Q54" i="2"/>
  <c r="O54" i="2"/>
  <c r="M54" i="2"/>
  <c r="K54" i="2"/>
  <c r="I54" i="2"/>
  <c r="G54" i="2"/>
  <c r="C54" i="2"/>
  <c r="B54" i="2"/>
  <c r="Q53" i="2"/>
  <c r="O53" i="2"/>
  <c r="M53" i="2"/>
  <c r="K53" i="2"/>
  <c r="I53" i="2"/>
  <c r="G53" i="2"/>
  <c r="C53" i="2"/>
  <c r="B53" i="2"/>
  <c r="Q52" i="2"/>
  <c r="O52" i="2"/>
  <c r="M52" i="2"/>
  <c r="K52" i="2"/>
  <c r="I52" i="2"/>
  <c r="B52" i="2" s="1"/>
  <c r="G52" i="2"/>
  <c r="C52" i="2"/>
  <c r="Q51" i="2"/>
  <c r="O51" i="2"/>
  <c r="B51" i="2" s="1"/>
  <c r="M51" i="2"/>
  <c r="K51" i="2"/>
  <c r="I51" i="2"/>
  <c r="G51" i="2"/>
  <c r="C51" i="2"/>
  <c r="Q50" i="2"/>
  <c r="O50" i="2"/>
  <c r="M50" i="2"/>
  <c r="K50" i="2"/>
  <c r="I50" i="2"/>
  <c r="G50" i="2"/>
  <c r="C50" i="2"/>
  <c r="B50" i="2"/>
  <c r="Q44" i="2"/>
  <c r="O44" i="2"/>
  <c r="M44" i="2"/>
  <c r="K44" i="2"/>
  <c r="I44" i="2"/>
  <c r="G44" i="2"/>
  <c r="C44" i="2"/>
  <c r="Q48" i="2"/>
  <c r="O48" i="2"/>
  <c r="M48" i="2"/>
  <c r="K48" i="2"/>
  <c r="I48" i="2"/>
  <c r="G48" i="2"/>
  <c r="C48" i="2"/>
  <c r="Q47" i="2"/>
  <c r="O47" i="2"/>
  <c r="M47" i="2"/>
  <c r="K47" i="2"/>
  <c r="I47" i="2"/>
  <c r="G47" i="2"/>
  <c r="C47" i="2"/>
  <c r="Q46" i="2"/>
  <c r="O46" i="2"/>
  <c r="M46" i="2"/>
  <c r="K46" i="2"/>
  <c r="I46" i="2"/>
  <c r="G46" i="2"/>
  <c r="C46" i="2"/>
  <c r="Q45" i="2"/>
  <c r="O45" i="2"/>
  <c r="M45" i="2"/>
  <c r="K45" i="2"/>
  <c r="I45" i="2"/>
  <c r="G45" i="2"/>
  <c r="C45" i="2"/>
  <c r="O41" i="2"/>
  <c r="O40" i="2"/>
  <c r="O39" i="2"/>
  <c r="O38" i="2"/>
  <c r="O37" i="2"/>
  <c r="O36" i="2"/>
  <c r="O35" i="2"/>
  <c r="O34" i="2"/>
  <c r="O33" i="2"/>
  <c r="O15" i="2"/>
  <c r="O14" i="2"/>
  <c r="O13" i="2"/>
  <c r="O12" i="2"/>
  <c r="O11" i="2"/>
  <c r="O10" i="2"/>
  <c r="O9" i="2"/>
  <c r="O8" i="2"/>
  <c r="M41" i="2"/>
  <c r="K41" i="2"/>
  <c r="I41" i="2"/>
  <c r="G41" i="2"/>
  <c r="C41" i="2"/>
  <c r="M40" i="2"/>
  <c r="K40" i="2"/>
  <c r="I40" i="2"/>
  <c r="G40" i="2"/>
  <c r="C40" i="2"/>
  <c r="M39" i="2"/>
  <c r="K39" i="2"/>
  <c r="I39" i="2"/>
  <c r="G39" i="2"/>
  <c r="C39" i="2"/>
  <c r="M38" i="2"/>
  <c r="K38" i="2"/>
  <c r="I38" i="2"/>
  <c r="G38" i="2"/>
  <c r="C38" i="2"/>
  <c r="M37" i="2"/>
  <c r="K37" i="2"/>
  <c r="I37" i="2"/>
  <c r="G37" i="2"/>
  <c r="C37" i="2"/>
  <c r="B37" i="2"/>
  <c r="M36" i="2"/>
  <c r="K36" i="2"/>
  <c r="I36" i="2"/>
  <c r="G36" i="2"/>
  <c r="C36" i="2"/>
  <c r="B36" i="2"/>
  <c r="M35" i="2"/>
  <c r="K35" i="2"/>
  <c r="I35" i="2"/>
  <c r="G35" i="2"/>
  <c r="C35" i="2"/>
  <c r="B35" i="2"/>
  <c r="M34" i="2"/>
  <c r="K34" i="2"/>
  <c r="I34" i="2"/>
  <c r="B34" i="2" s="1"/>
  <c r="G34" i="2"/>
  <c r="C34" i="2"/>
  <c r="Q33" i="2"/>
  <c r="M33" i="2"/>
  <c r="K33" i="2"/>
  <c r="I33" i="2"/>
  <c r="G33" i="2"/>
  <c r="C33" i="2"/>
  <c r="Q32" i="2"/>
  <c r="O32" i="2"/>
  <c r="M32" i="2"/>
  <c r="K32" i="2"/>
  <c r="I32" i="2"/>
  <c r="G32" i="2"/>
  <c r="B32" i="2" s="1"/>
  <c r="C32" i="2"/>
  <c r="Q31" i="2"/>
  <c r="O31" i="2"/>
  <c r="M31" i="2"/>
  <c r="K31" i="2"/>
  <c r="I31" i="2"/>
  <c r="G31" i="2"/>
  <c r="C31" i="2"/>
  <c r="B31" i="2"/>
  <c r="Q30" i="2"/>
  <c r="O30" i="2"/>
  <c r="M30" i="2"/>
  <c r="K30" i="2"/>
  <c r="I30" i="2"/>
  <c r="G30" i="2"/>
  <c r="B30" i="2" s="1"/>
  <c r="C30" i="2"/>
  <c r="K28" i="2"/>
  <c r="K27" i="2"/>
  <c r="K26" i="2"/>
  <c r="K25" i="2"/>
  <c r="K24" i="2"/>
  <c r="K23" i="2"/>
  <c r="K22" i="2"/>
  <c r="K21" i="2"/>
  <c r="K20" i="2"/>
  <c r="K19" i="2"/>
  <c r="K18" i="2"/>
  <c r="K17" i="2"/>
  <c r="K15" i="2"/>
  <c r="K14" i="2"/>
  <c r="K13" i="2"/>
  <c r="K12" i="2"/>
  <c r="K11" i="2"/>
  <c r="K10" i="2"/>
  <c r="K9" i="2"/>
  <c r="K8" i="2"/>
  <c r="K7" i="2"/>
  <c r="K6" i="2"/>
  <c r="K5" i="2"/>
  <c r="K4" i="2"/>
  <c r="I28" i="2"/>
  <c r="I27" i="2"/>
  <c r="I26" i="2"/>
  <c r="I25" i="2"/>
  <c r="I24" i="2"/>
  <c r="I23" i="2"/>
  <c r="I22" i="2"/>
  <c r="I21" i="2"/>
  <c r="I20" i="2"/>
  <c r="I19" i="2"/>
  <c r="I18" i="2"/>
  <c r="I17" i="2"/>
  <c r="I15" i="2"/>
  <c r="I14" i="2"/>
  <c r="I13" i="2"/>
  <c r="I12" i="2"/>
  <c r="I11" i="2"/>
  <c r="I10" i="2"/>
  <c r="I9" i="2"/>
  <c r="I8" i="2"/>
  <c r="I7" i="2"/>
  <c r="I6" i="2"/>
  <c r="I5" i="2"/>
  <c r="I4" i="2"/>
  <c r="O28" i="2"/>
  <c r="O27" i="2"/>
  <c r="O26" i="2"/>
  <c r="O25" i="2"/>
  <c r="O24" i="2"/>
  <c r="O23" i="2"/>
  <c r="O22" i="2"/>
  <c r="O21" i="2"/>
  <c r="Q28" i="2"/>
  <c r="Q27" i="2"/>
  <c r="Q26" i="2"/>
  <c r="Q25" i="2"/>
  <c r="Q24" i="2"/>
  <c r="Q23" i="2"/>
  <c r="Q22" i="2"/>
  <c r="Q21" i="2"/>
  <c r="M28" i="2"/>
  <c r="G28" i="2"/>
  <c r="C28" i="2"/>
  <c r="M27" i="2"/>
  <c r="G27" i="2"/>
  <c r="C27" i="2"/>
  <c r="M26" i="2"/>
  <c r="G26" i="2"/>
  <c r="C26" i="2"/>
  <c r="M25" i="2"/>
  <c r="G25" i="2"/>
  <c r="C25" i="2"/>
  <c r="M24" i="2"/>
  <c r="G24" i="2"/>
  <c r="C24" i="2"/>
  <c r="M23" i="2"/>
  <c r="G23" i="2"/>
  <c r="C23" i="2"/>
  <c r="M22" i="2"/>
  <c r="G22" i="2"/>
  <c r="C22" i="2"/>
  <c r="M21" i="2"/>
  <c r="G21" i="2"/>
  <c r="C21" i="2"/>
  <c r="Q20" i="2"/>
  <c r="O20" i="2"/>
  <c r="M20" i="2"/>
  <c r="G20" i="2"/>
  <c r="C20" i="2"/>
  <c r="Q19" i="2"/>
  <c r="O19" i="2"/>
  <c r="M19" i="2"/>
  <c r="G19" i="2"/>
  <c r="C19" i="2"/>
  <c r="Q18" i="2"/>
  <c r="O18" i="2"/>
  <c r="M18" i="2"/>
  <c r="G18" i="2"/>
  <c r="C18" i="2"/>
  <c r="Q17" i="2"/>
  <c r="O17" i="2"/>
  <c r="M17" i="2"/>
  <c r="G17" i="2"/>
  <c r="C17" i="2"/>
  <c r="C15" i="2"/>
  <c r="C14" i="2"/>
  <c r="C13" i="2"/>
  <c r="C12" i="2"/>
  <c r="C11" i="2"/>
  <c r="C10" i="2"/>
  <c r="C9" i="2"/>
  <c r="C8" i="2"/>
  <c r="C7" i="2"/>
  <c r="C6" i="2"/>
  <c r="C5" i="2"/>
  <c r="C4" i="2"/>
  <c r="M15" i="2"/>
  <c r="M14" i="2"/>
  <c r="M13" i="2"/>
  <c r="M12" i="2"/>
  <c r="M11" i="2"/>
  <c r="M10" i="2"/>
  <c r="M9" i="2"/>
  <c r="M8" i="2"/>
  <c r="G15" i="2"/>
  <c r="G14" i="2"/>
  <c r="G13" i="2"/>
  <c r="G12" i="2"/>
  <c r="G11" i="2"/>
  <c r="G10" i="2"/>
  <c r="G9" i="2"/>
  <c r="G8" i="2"/>
  <c r="G7" i="2"/>
  <c r="G6" i="2"/>
  <c r="G5" i="2"/>
  <c r="Q7" i="2"/>
  <c r="Q6" i="2"/>
  <c r="Q5" i="2"/>
  <c r="Q4" i="2"/>
  <c r="O7" i="2"/>
  <c r="O6" i="2"/>
  <c r="O5" i="2"/>
  <c r="O4" i="2"/>
  <c r="M7" i="2"/>
  <c r="M6" i="2"/>
  <c r="M5" i="2"/>
  <c r="M4" i="2"/>
  <c r="G4" i="2"/>
  <c r="B429" i="5" l="1"/>
  <c r="B439" i="5"/>
  <c r="B111" i="5"/>
  <c r="B436" i="5"/>
  <c r="B403" i="5"/>
  <c r="B53" i="5"/>
  <c r="B26" i="5"/>
  <c r="B425" i="5"/>
  <c r="B13" i="5"/>
  <c r="B438" i="5"/>
  <c r="B428" i="5"/>
  <c r="B112" i="5"/>
  <c r="B426" i="5"/>
  <c r="B452" i="5"/>
  <c r="B118" i="5"/>
  <c r="B442" i="5"/>
  <c r="B449" i="5"/>
  <c r="B379" i="5"/>
  <c r="B102" i="5"/>
  <c r="B119" i="5"/>
  <c r="B380" i="5"/>
  <c r="B381" i="5"/>
  <c r="B469" i="5"/>
  <c r="B332" i="5"/>
  <c r="B120" i="5"/>
  <c r="B378" i="5"/>
  <c r="B73" i="5"/>
  <c r="B401" i="5"/>
  <c r="B117" i="5"/>
  <c r="B75" i="5"/>
  <c r="B66" i="5"/>
  <c r="B58" i="5"/>
  <c r="B454" i="5"/>
  <c r="B124" i="5"/>
  <c r="B60" i="5"/>
  <c r="B456" i="5"/>
  <c r="B457" i="5"/>
  <c r="B451" i="5"/>
  <c r="B46" i="5"/>
  <c r="B430" i="5"/>
  <c r="B431" i="5"/>
  <c r="B68" i="5"/>
  <c r="B437" i="5"/>
  <c r="B435" i="5"/>
  <c r="B424" i="5"/>
  <c r="B402" i="5"/>
  <c r="B27" i="5"/>
  <c r="B601" i="5"/>
  <c r="B126" i="5"/>
  <c r="B69" i="5"/>
  <c r="B28" i="5"/>
  <c r="B226" i="5"/>
  <c r="B416" i="5"/>
  <c r="B65" i="5"/>
  <c r="B383" i="5"/>
  <c r="B414" i="5"/>
  <c r="B404" i="5"/>
  <c r="B413" i="5"/>
  <c r="B41" i="5"/>
  <c r="B61" i="5"/>
  <c r="B412" i="5"/>
  <c r="B125" i="5"/>
  <c r="B295" i="5"/>
  <c r="B74" i="5"/>
  <c r="B389" i="5"/>
  <c r="B67" i="5"/>
  <c r="B245" i="5"/>
  <c r="B14" i="5"/>
  <c r="B106" i="5"/>
  <c r="B390" i="5"/>
  <c r="B42" i="5"/>
  <c r="B17" i="5"/>
  <c r="B500" i="5"/>
  <c r="B415" i="5"/>
  <c r="B16" i="5"/>
  <c r="B466" i="5"/>
  <c r="B514" i="5"/>
  <c r="B34" i="5"/>
  <c r="B419" i="5"/>
  <c r="B512" i="5"/>
  <c r="B387" i="5"/>
  <c r="B411" i="5"/>
  <c r="B397" i="5"/>
  <c r="B317" i="5"/>
  <c r="B394" i="5"/>
  <c r="B386" i="5"/>
  <c r="B385" i="5"/>
  <c r="B417" i="5"/>
  <c r="B371" i="5"/>
  <c r="B337" i="5"/>
  <c r="B596" i="5"/>
  <c r="B406" i="5"/>
  <c r="B407" i="5"/>
  <c r="B408" i="5"/>
  <c r="B409" i="5"/>
  <c r="B101" i="5"/>
  <c r="B30" i="5"/>
  <c r="B420" i="5"/>
  <c r="B418" i="5"/>
  <c r="B410" i="5"/>
  <c r="B600" i="5"/>
  <c r="B31" i="5"/>
  <c r="B105" i="5"/>
  <c r="B519" i="5"/>
  <c r="B15" i="5"/>
  <c r="B597" i="5"/>
  <c r="B103" i="5"/>
  <c r="B107" i="5"/>
  <c r="B104" i="5"/>
  <c r="B289" i="5"/>
  <c r="B374" i="5"/>
  <c r="B468" i="5"/>
  <c r="B517" i="5"/>
  <c r="B232" i="5"/>
  <c r="B467" i="5"/>
  <c r="B480" i="5"/>
  <c r="B368" i="5"/>
  <c r="B229" i="5"/>
  <c r="B193" i="5"/>
  <c r="B518" i="5"/>
  <c r="B516" i="5"/>
  <c r="B373" i="5"/>
  <c r="B369" i="5"/>
  <c r="B363" i="5"/>
  <c r="B186" i="5"/>
  <c r="B372" i="5"/>
  <c r="B515" i="5"/>
  <c r="B224" i="5"/>
  <c r="B268" i="5"/>
  <c r="B244" i="5"/>
  <c r="B365" i="5"/>
  <c r="B187" i="5"/>
  <c r="B370" i="5"/>
  <c r="B188" i="5"/>
  <c r="B219" i="5"/>
  <c r="B364" i="5"/>
  <c r="B257" i="5"/>
  <c r="B205" i="5"/>
  <c r="B367" i="5"/>
  <c r="B509" i="5"/>
  <c r="B362" i="5"/>
  <c r="B217" i="5"/>
  <c r="B216" i="5"/>
  <c r="B258" i="5"/>
  <c r="B256" i="5"/>
  <c r="B507" i="5"/>
  <c r="B243" i="5"/>
  <c r="B293" i="5"/>
  <c r="B194" i="5"/>
  <c r="B203" i="5"/>
  <c r="B255" i="5"/>
  <c r="B330" i="5"/>
  <c r="B242" i="5"/>
  <c r="B204" i="5"/>
  <c r="B230" i="5"/>
  <c r="B231" i="5"/>
  <c r="B218" i="5"/>
  <c r="B223" i="5"/>
  <c r="B603" i="5"/>
  <c r="B321" i="5"/>
  <c r="B320" i="5"/>
  <c r="B598" i="5"/>
  <c r="B594" i="5"/>
  <c r="B604" i="5"/>
  <c r="B198" i="5"/>
  <c r="B359" i="5"/>
  <c r="B357" i="5"/>
  <c r="B599" i="5"/>
  <c r="B272" i="5"/>
  <c r="B225" i="5"/>
  <c r="B222" i="5"/>
  <c r="B505" i="5"/>
  <c r="B497" i="5"/>
  <c r="B352" i="5"/>
  <c r="B273" i="5"/>
  <c r="B499" i="5"/>
  <c r="B270" i="5"/>
  <c r="B504" i="5"/>
  <c r="B269" i="5"/>
  <c r="B327" i="5"/>
  <c r="B358" i="5"/>
  <c r="B271" i="5"/>
  <c r="B355" i="5"/>
  <c r="B502" i="5"/>
  <c r="B196" i="5"/>
  <c r="B511" i="5"/>
  <c r="B510" i="5"/>
  <c r="B356" i="5"/>
  <c r="B506" i="5"/>
  <c r="B318" i="5"/>
  <c r="B501" i="5"/>
  <c r="B314" i="5"/>
  <c r="B492" i="5"/>
  <c r="B331" i="5"/>
  <c r="B333" i="5"/>
  <c r="B329" i="5"/>
  <c r="B548" i="5"/>
  <c r="B547" i="5"/>
  <c r="B491" i="5"/>
  <c r="B490" i="5"/>
  <c r="B324" i="5"/>
  <c r="B482" i="5"/>
  <c r="B494" i="5"/>
  <c r="B495" i="5"/>
  <c r="B323" i="5"/>
  <c r="B315" i="5"/>
  <c r="B325" i="5"/>
  <c r="B326" i="5"/>
  <c r="B478" i="5"/>
  <c r="B319" i="5"/>
  <c r="B559" i="5"/>
  <c r="B481" i="5"/>
  <c r="B479" i="5"/>
  <c r="B541" i="5"/>
  <c r="B489" i="5"/>
  <c r="B555" i="5"/>
  <c r="B163" i="5"/>
  <c r="B349" i="5"/>
  <c r="B130" i="5"/>
  <c r="B556" i="5"/>
  <c r="B540" i="5"/>
  <c r="B351" i="5"/>
  <c r="B560" i="5"/>
  <c r="B553" i="5"/>
  <c r="B551" i="5"/>
  <c r="B542" i="5"/>
  <c r="B552" i="5"/>
  <c r="B557" i="5"/>
  <c r="B538" i="5"/>
  <c r="B96" i="5"/>
  <c r="B97" i="5"/>
  <c r="B95" i="5"/>
  <c r="B38" i="5"/>
  <c r="B36" i="5"/>
  <c r="B35" i="5"/>
  <c r="B588" i="5"/>
  <c r="B537" i="5"/>
  <c r="B550" i="5"/>
  <c r="B545" i="5"/>
  <c r="B546" i="5"/>
  <c r="B57" i="5"/>
  <c r="B56" i="5"/>
  <c r="B51" i="5"/>
  <c r="B50" i="5"/>
  <c r="B45" i="5"/>
  <c r="B44" i="5"/>
  <c r="B39" i="5"/>
  <c r="B164" i="5"/>
  <c r="B543" i="5"/>
  <c r="B167" i="5"/>
  <c r="B157" i="5"/>
  <c r="B341" i="5"/>
  <c r="B339" i="5"/>
  <c r="B128" i="5"/>
  <c r="B587" i="5"/>
  <c r="B267" i="5"/>
  <c r="B266" i="5"/>
  <c r="B265" i="5"/>
  <c r="B263" i="5"/>
  <c r="B262" i="5"/>
  <c r="B252" i="5"/>
  <c r="B201" i="5"/>
  <c r="B200" i="5"/>
  <c r="B348" i="5"/>
  <c r="B122" i="5"/>
  <c r="B353" i="5"/>
  <c r="B350" i="5"/>
  <c r="B347" i="5"/>
  <c r="B342" i="5"/>
  <c r="B344" i="5"/>
  <c r="B123" i="5"/>
  <c r="B346" i="5"/>
  <c r="B343" i="5"/>
  <c r="B303" i="5"/>
  <c r="B302" i="5"/>
  <c r="B301" i="5"/>
  <c r="B539" i="5"/>
  <c r="B305" i="5"/>
  <c r="B306" i="5"/>
  <c r="B156" i="5"/>
  <c r="B174" i="5"/>
  <c r="B173" i="5"/>
  <c r="B171" i="5"/>
  <c r="B169" i="5"/>
  <c r="B168" i="5"/>
  <c r="B166" i="5"/>
  <c r="B176" i="5"/>
  <c r="B345" i="5"/>
  <c r="B33" i="5"/>
  <c r="B307" i="5"/>
  <c r="B253" i="5"/>
  <c r="B311" i="5"/>
  <c r="B310" i="5"/>
  <c r="B309" i="5"/>
  <c r="B590" i="5"/>
  <c r="B178" i="5"/>
  <c r="B238" i="5"/>
  <c r="B236" i="5"/>
  <c r="B199" i="5"/>
  <c r="B197" i="5"/>
  <c r="B340" i="5"/>
  <c r="B338" i="5"/>
  <c r="B589" i="5"/>
  <c r="B162" i="5"/>
  <c r="B172" i="5"/>
  <c r="B284" i="5"/>
  <c r="B283" i="5"/>
  <c r="B282" i="5"/>
  <c r="B281" i="5"/>
  <c r="B280" i="5"/>
  <c r="B177" i="5"/>
  <c r="B115" i="5"/>
  <c r="B240" i="5"/>
  <c r="B239" i="5"/>
  <c r="B569" i="5"/>
  <c r="B568" i="5"/>
  <c r="B567" i="5"/>
  <c r="B566" i="5"/>
  <c r="B536" i="5"/>
  <c r="B462" i="5"/>
  <c r="B461" i="5"/>
  <c r="B460" i="5"/>
  <c r="B459" i="5"/>
  <c r="B487" i="5"/>
  <c r="B486" i="5"/>
  <c r="B286" i="5"/>
  <c r="B285" i="5"/>
  <c r="B525" i="5"/>
  <c r="B312" i="5"/>
  <c r="B304" i="5"/>
  <c r="B299" i="5"/>
  <c r="B279" i="5"/>
  <c r="B93" i="5"/>
  <c r="B92" i="5"/>
  <c r="B89" i="5"/>
  <c r="B87" i="5"/>
  <c r="B86" i="5"/>
  <c r="B84" i="5"/>
  <c r="B83" i="5"/>
  <c r="B78" i="5"/>
  <c r="B77" i="5"/>
  <c r="B129" i="5"/>
  <c r="B298" i="5"/>
  <c r="B297" i="5"/>
  <c r="B24" i="5"/>
  <c r="B23" i="5"/>
  <c r="B116" i="5"/>
  <c r="B72" i="5"/>
  <c r="B71" i="5"/>
  <c r="B64" i="5"/>
  <c r="B63" i="5"/>
  <c r="B214" i="5"/>
  <c r="B213" i="5"/>
  <c r="B212" i="5"/>
  <c r="B210" i="5"/>
  <c r="B170" i="5"/>
  <c r="B292" i="5"/>
  <c r="B291" i="5"/>
  <c r="B290" i="5"/>
  <c r="B150" i="5"/>
  <c r="B140" i="5"/>
  <c r="B139" i="5"/>
  <c r="B138" i="5"/>
  <c r="B586" i="5"/>
  <c r="B585" i="5"/>
  <c r="B584" i="5"/>
  <c r="B583" i="5"/>
  <c r="B582" i="5"/>
  <c r="B581" i="5"/>
  <c r="B580" i="5"/>
  <c r="B579" i="5"/>
  <c r="B578" i="5"/>
  <c r="B577" i="5"/>
  <c r="B576" i="5"/>
  <c r="B575" i="5"/>
  <c r="B574" i="5"/>
  <c r="B573" i="5"/>
  <c r="B572" i="5"/>
  <c r="B571" i="5"/>
  <c r="B570" i="5"/>
  <c r="B523" i="5"/>
  <c r="B287" i="5"/>
  <c r="B476" i="5"/>
  <c r="B300" i="5"/>
  <c r="B524" i="5"/>
  <c r="B475" i="5"/>
  <c r="B308" i="5"/>
  <c r="B81" i="5"/>
  <c r="B144" i="5"/>
  <c r="B182" i="5"/>
  <c r="B160" i="5"/>
  <c r="B158" i="5"/>
  <c r="B180" i="5"/>
  <c r="B184" i="5"/>
  <c r="B183" i="5"/>
  <c r="B181" i="5"/>
  <c r="B179" i="5"/>
  <c r="B161" i="5"/>
  <c r="B159" i="5"/>
  <c r="B251" i="5"/>
  <c r="B250" i="5"/>
  <c r="B249" i="5"/>
  <c r="B248" i="5"/>
  <c r="B211" i="5"/>
  <c r="B209" i="5"/>
  <c r="B235" i="5"/>
  <c r="B237" i="5"/>
  <c r="B152" i="5"/>
  <c r="B151" i="5"/>
  <c r="B149" i="5"/>
  <c r="B148" i="5"/>
  <c r="B147" i="5"/>
  <c r="B146" i="5"/>
  <c r="B145" i="5"/>
  <c r="B90" i="5"/>
  <c r="B80" i="5"/>
  <c r="K71" i="3"/>
  <c r="E71" i="3"/>
  <c r="Q71" i="3"/>
  <c r="H71" i="3"/>
  <c r="N71" i="3"/>
  <c r="B71" i="3"/>
  <c r="N70" i="3"/>
  <c r="Q70" i="3"/>
  <c r="B69" i="3"/>
  <c r="N69" i="3"/>
  <c r="K69" i="3"/>
  <c r="E69" i="3"/>
  <c r="Q69" i="3"/>
  <c r="H69" i="3"/>
  <c r="N68" i="3"/>
  <c r="H68" i="3"/>
  <c r="K68" i="3"/>
  <c r="E68" i="3"/>
  <c r="Q68" i="3"/>
  <c r="K60" i="3"/>
  <c r="H55" i="3"/>
  <c r="E55" i="3"/>
  <c r="B55" i="3"/>
  <c r="K55" i="3"/>
  <c r="F65" i="3"/>
  <c r="S65" i="3"/>
  <c r="R65" i="3" s="1"/>
  <c r="S64" i="3"/>
  <c r="R64" i="3" s="1"/>
  <c r="F64" i="3"/>
  <c r="S63" i="3"/>
  <c r="R63" i="3" s="1"/>
  <c r="F63" i="3"/>
  <c r="Q64" i="3"/>
  <c r="E64" i="3"/>
  <c r="N64" i="3"/>
  <c r="H64" i="3"/>
  <c r="K64" i="3"/>
  <c r="H45" i="3"/>
  <c r="E47" i="3"/>
  <c r="B47" i="3"/>
  <c r="H61" i="3"/>
  <c r="B61" i="3"/>
  <c r="K61" i="3"/>
  <c r="E61" i="3"/>
  <c r="N61" i="3"/>
  <c r="Q61" i="3"/>
  <c r="Q54" i="3"/>
  <c r="Q60" i="3"/>
  <c r="N60" i="3"/>
  <c r="E40" i="3"/>
  <c r="B40" i="3"/>
  <c r="Q47" i="3"/>
  <c r="K52" i="3"/>
  <c r="N52" i="3"/>
  <c r="E52" i="3"/>
  <c r="Q52" i="3"/>
  <c r="H52" i="3"/>
  <c r="B52" i="3"/>
  <c r="Q49" i="3"/>
  <c r="N49" i="3"/>
  <c r="K49" i="3"/>
  <c r="H49" i="3"/>
  <c r="E49" i="3"/>
  <c r="B49" i="3"/>
  <c r="Q39" i="3"/>
  <c r="K39" i="3"/>
  <c r="N39" i="3"/>
  <c r="Q55" i="3"/>
  <c r="N55" i="3"/>
  <c r="Q53" i="3"/>
  <c r="K53" i="3"/>
  <c r="N53" i="3"/>
  <c r="N45" i="3"/>
  <c r="Q45" i="3"/>
  <c r="K45" i="3"/>
  <c r="K38" i="3"/>
  <c r="N38" i="3"/>
  <c r="E38" i="3"/>
  <c r="Q38" i="3"/>
  <c r="H38" i="3"/>
  <c r="B38" i="3"/>
  <c r="Q40" i="3"/>
  <c r="K40" i="3"/>
  <c r="H40" i="3"/>
  <c r="N40" i="3"/>
  <c r="K36" i="3"/>
  <c r="H36" i="3"/>
  <c r="B36" i="3"/>
  <c r="E36" i="3"/>
  <c r="Q43" i="3"/>
  <c r="E43" i="3"/>
  <c r="K43" i="3"/>
  <c r="N43" i="3"/>
  <c r="B42" i="3"/>
  <c r="K42" i="3"/>
  <c r="Q41" i="3"/>
  <c r="Q42" i="3"/>
  <c r="H42" i="3"/>
  <c r="N42" i="3"/>
  <c r="H41" i="3"/>
  <c r="K41" i="3"/>
  <c r="N41" i="3"/>
  <c r="B41" i="3"/>
  <c r="Q33" i="3"/>
  <c r="N33" i="3"/>
  <c r="K33" i="3"/>
  <c r="H33" i="3"/>
  <c r="E33" i="3"/>
  <c r="B33" i="3"/>
  <c r="Q26" i="3"/>
  <c r="N26" i="3"/>
  <c r="Q22" i="3"/>
  <c r="N22" i="3"/>
  <c r="K22" i="3"/>
  <c r="H22" i="3"/>
  <c r="E22" i="3"/>
  <c r="B22" i="3"/>
  <c r="K32" i="3"/>
  <c r="Q32" i="3"/>
  <c r="H28" i="3"/>
  <c r="E28" i="3"/>
  <c r="B28" i="3"/>
  <c r="Q36" i="3"/>
  <c r="N36" i="3"/>
  <c r="N35" i="3"/>
  <c r="B35" i="3"/>
  <c r="Q35" i="3"/>
  <c r="E35" i="3"/>
  <c r="K35" i="3"/>
  <c r="H35" i="3"/>
  <c r="Q34" i="3"/>
  <c r="N34" i="3"/>
  <c r="K34" i="3"/>
  <c r="H34" i="3"/>
  <c r="E34" i="3"/>
  <c r="B34" i="3"/>
  <c r="Q25" i="3"/>
  <c r="N25" i="3"/>
  <c r="B24" i="3"/>
  <c r="N24" i="3"/>
  <c r="Q24" i="3"/>
  <c r="N6" i="3"/>
  <c r="N30" i="3"/>
  <c r="B30" i="3"/>
  <c r="K30" i="3"/>
  <c r="Q30" i="3"/>
  <c r="H30" i="3"/>
  <c r="E30" i="3"/>
  <c r="K13" i="3"/>
  <c r="Q13" i="3"/>
  <c r="Q12" i="3"/>
  <c r="N12" i="3"/>
  <c r="H12" i="3"/>
  <c r="E12" i="3"/>
  <c r="K12" i="3"/>
  <c r="B12" i="3"/>
  <c r="Q11" i="3"/>
  <c r="K11" i="3"/>
  <c r="K10" i="3"/>
  <c r="Q10" i="3"/>
  <c r="Q9" i="3"/>
  <c r="K9" i="3"/>
  <c r="K8" i="3"/>
  <c r="Q8" i="3"/>
  <c r="N7" i="3"/>
  <c r="H7" i="3"/>
  <c r="K7" i="3"/>
  <c r="Q7" i="3"/>
  <c r="B7" i="3"/>
  <c r="E7" i="3"/>
  <c r="N17" i="3"/>
  <c r="H17" i="3"/>
  <c r="Q17" i="3"/>
  <c r="B17" i="3"/>
  <c r="K17" i="3"/>
  <c r="E17" i="3"/>
  <c r="Q16" i="3"/>
  <c r="K16" i="3"/>
  <c r="Q15" i="3"/>
  <c r="K15" i="3"/>
  <c r="Q14" i="3"/>
  <c r="K14" i="3"/>
  <c r="Q20" i="3"/>
  <c r="K20" i="3"/>
  <c r="K19" i="3"/>
  <c r="Q19" i="3"/>
  <c r="K18" i="3"/>
  <c r="Q18" i="3"/>
  <c r="Q6" i="3"/>
  <c r="K6" i="3"/>
  <c r="N28" i="3"/>
  <c r="Q28" i="3"/>
  <c r="K28" i="3"/>
  <c r="Q27" i="3"/>
  <c r="N27" i="3"/>
  <c r="K27" i="3"/>
  <c r="H27" i="3"/>
  <c r="E27" i="3"/>
  <c r="B27" i="3"/>
  <c r="H20" i="3"/>
  <c r="N20" i="3"/>
  <c r="H19" i="3"/>
  <c r="N19" i="3"/>
  <c r="H18" i="3"/>
  <c r="N18" i="3"/>
  <c r="N16" i="3"/>
  <c r="B16" i="3"/>
  <c r="H16" i="3"/>
  <c r="E16" i="3"/>
  <c r="B15" i="3"/>
  <c r="H15" i="3"/>
  <c r="N15" i="3"/>
  <c r="E15" i="3"/>
  <c r="H14" i="3"/>
  <c r="B14" i="3"/>
  <c r="N14" i="3"/>
  <c r="E14" i="3"/>
  <c r="N13" i="3"/>
  <c r="E13" i="3"/>
  <c r="H13" i="3"/>
  <c r="B13" i="3"/>
  <c r="H11" i="3"/>
  <c r="B11" i="3"/>
  <c r="E11" i="3"/>
  <c r="N11" i="3"/>
  <c r="H10" i="3"/>
  <c r="B10" i="3"/>
  <c r="N10" i="3"/>
  <c r="E10" i="3"/>
  <c r="N9" i="3"/>
  <c r="H9" i="3"/>
  <c r="B9" i="3"/>
  <c r="E9" i="3"/>
  <c r="N8" i="3"/>
  <c r="H8" i="3"/>
  <c r="E8" i="3"/>
  <c r="B8" i="3"/>
  <c r="H6" i="3"/>
  <c r="B20" i="3"/>
  <c r="E20" i="3"/>
  <c r="B19" i="3"/>
  <c r="E19" i="3"/>
  <c r="B18" i="3"/>
  <c r="E18" i="3"/>
  <c r="B6" i="3"/>
  <c r="E6" i="3"/>
  <c r="B57" i="2"/>
  <c r="B44" i="2"/>
  <c r="B46" i="2"/>
  <c r="B45" i="2"/>
  <c r="B7" i="2"/>
  <c r="B38" i="2"/>
  <c r="B24" i="2"/>
  <c r="B48" i="2"/>
  <c r="B47" i="2"/>
  <c r="B39" i="2"/>
  <c r="B33" i="2"/>
  <c r="B26" i="2"/>
  <c r="B25" i="2"/>
  <c r="B21" i="2"/>
  <c r="B41" i="2"/>
  <c r="B40" i="2"/>
  <c r="B28" i="2"/>
  <c r="B27" i="2"/>
  <c r="B12" i="2"/>
  <c r="B18" i="2"/>
  <c r="B14" i="2"/>
  <c r="B13" i="2"/>
  <c r="B15" i="2"/>
  <c r="B22" i="2"/>
  <c r="B20" i="2"/>
  <c r="B23" i="2"/>
  <c r="B19" i="2"/>
  <c r="B8" i="2"/>
  <c r="B17" i="2"/>
  <c r="B11" i="2"/>
  <c r="B9" i="2"/>
  <c r="B10" i="2"/>
  <c r="B6" i="2"/>
  <c r="B5" i="2"/>
  <c r="B4" i="2"/>
</calcChain>
</file>

<file path=xl/sharedStrings.xml><?xml version="1.0" encoding="utf-8"?>
<sst xmlns="http://schemas.openxmlformats.org/spreadsheetml/2006/main" count="8124" uniqueCount="472">
  <si>
    <t>name</t>
  </si>
  <si>
    <t>value</t>
  </si>
  <si>
    <t>property</t>
  </si>
  <si>
    <t>category</t>
  </si>
  <si>
    <t>maptype</t>
  </si>
  <si>
    <t>high contrast</t>
  </si>
  <si>
    <t>color</t>
  </si>
  <si>
    <t>mtb:scale</t>
  </si>
  <si>
    <t>prop. detail</t>
  </si>
  <si>
    <t>0-</t>
  </si>
  <si>
    <t>def</t>
  </si>
  <si>
    <t>hc</t>
  </si>
  <si>
    <t>cycleway</t>
  </si>
  <si>
    <t>line</t>
  </si>
  <si>
    <t>water</t>
  </si>
  <si>
    <t>input</t>
  </si>
  <si>
    <t>motorway</t>
  </si>
  <si>
    <t>case</t>
  </si>
  <si>
    <t>trunk</t>
  </si>
  <si>
    <t>prop.detail2</t>
  </si>
  <si>
    <t>farzoom</t>
  </si>
  <si>
    <t>unpaved</t>
  </si>
  <si>
    <t>gr</t>
  </si>
  <si>
    <t>bicycle_no</t>
  </si>
  <si>
    <t>paved_or_uk</t>
  </si>
  <si>
    <t>primary</t>
  </si>
  <si>
    <t>tertiary</t>
  </si>
  <si>
    <t>secondary</t>
  </si>
  <si>
    <t>raceway</t>
  </si>
  <si>
    <t>driveway</t>
  </si>
  <si>
    <t>service</t>
  </si>
  <si>
    <t>minor</t>
  </si>
  <si>
    <t>trunk_primary_secondary_tertiary_link</t>
  </si>
  <si>
    <t>motorway_link</t>
  </si>
  <si>
    <t>footway</t>
  </si>
  <si>
    <t>obstacle</t>
  </si>
  <si>
    <t>vegetation</t>
  </si>
  <si>
    <t>surface</t>
  </si>
  <si>
    <t>mud</t>
  </si>
  <si>
    <t>access</t>
  </si>
  <si>
    <t>no</t>
  </si>
  <si>
    <t>discouraged</t>
  </si>
  <si>
    <t>field</t>
  </si>
  <si>
    <t>meadow</t>
  </si>
  <si>
    <t>bare_rock</t>
  </si>
  <si>
    <t>sand</t>
  </si>
  <si>
    <t>allotments</t>
  </si>
  <si>
    <t>landcover</t>
  </si>
  <si>
    <t>heath_fell</t>
  </si>
  <si>
    <t>grass</t>
  </si>
  <si>
    <t>quarry</t>
  </si>
  <si>
    <t>storage</t>
  </si>
  <si>
    <t>wood</t>
  </si>
  <si>
    <t>parking_area</t>
  </si>
  <si>
    <t>railway</t>
  </si>
  <si>
    <t>school</t>
  </si>
  <si>
    <t>hospital</t>
  </si>
  <si>
    <t>cemetery</t>
  </si>
  <si>
    <t>industrial</t>
  </si>
  <si>
    <t>commercial</t>
  </si>
  <si>
    <t>residential</t>
  </si>
  <si>
    <t>built-up</t>
  </si>
  <si>
    <t>background</t>
  </si>
  <si>
    <t>contours</t>
  </si>
  <si>
    <t>paths</t>
  </si>
  <si>
    <t>zoom</t>
  </si>
  <si>
    <t>z11</t>
  </si>
  <si>
    <t>path</t>
  </si>
  <si>
    <t>narrow</t>
  </si>
  <si>
    <t>prop. detail2</t>
  </si>
  <si>
    <t>z14</t>
  </si>
  <si>
    <t>z16</t>
  </si>
  <si>
    <t>z18</t>
  </si>
  <si>
    <t>wide</t>
  </si>
  <si>
    <t>case_width</t>
  </si>
  <si>
    <t>medium</t>
  </si>
  <si>
    <t>1.0</t>
  </si>
  <si>
    <t>1.3</t>
  </si>
  <si>
    <t>3.5</t>
  </si>
  <si>
    <t>5.0</t>
  </si>
  <si>
    <t>1.5</t>
  </si>
  <si>
    <t>2.0</t>
  </si>
  <si>
    <t>6.0</t>
  </si>
  <si>
    <t>9.0</t>
  </si>
  <si>
    <t>3.0</t>
  </si>
  <si>
    <t>15.0</t>
  </si>
  <si>
    <t>2.5</t>
  </si>
  <si>
    <t>7.5</t>
  </si>
  <si>
    <t>4.0</t>
  </si>
  <si>
    <t>13.5</t>
  </si>
  <si>
    <t>22.5</t>
  </si>
  <si>
    <t>0.5</t>
  </si>
  <si>
    <t>0.8</t>
  </si>
  <si>
    <t>1.2</t>
  </si>
  <si>
    <t>1.6</t>
  </si>
  <si>
    <t>2.4</t>
  </si>
  <si>
    <t>3.6</t>
  </si>
  <si>
    <t>tracks</t>
  </si>
  <si>
    <t>track</t>
  </si>
  <si>
    <t>z10</t>
  </si>
  <si>
    <t>mtb</t>
  </si>
  <si>
    <t>mtb-hc</t>
  </si>
  <si>
    <t>gr-hc</t>
  </si>
  <si>
    <t>wnt</t>
  </si>
  <si>
    <t>wnt-hc</t>
  </si>
  <si>
    <t>z12</t>
  </si>
  <si>
    <t>1.1</t>
  </si>
  <si>
    <t>1.7</t>
  </si>
  <si>
    <t>2.2</t>
  </si>
  <si>
    <t>4.8</t>
  </si>
  <si>
    <t>3.4</t>
  </si>
  <si>
    <t>0.7</t>
  </si>
  <si>
    <t>0.9</t>
  </si>
  <si>
    <t>path cases</t>
  </si>
  <si>
    <t>path lines</t>
  </si>
  <si>
    <t>line_width</t>
  </si>
  <si>
    <t>0.4</t>
  </si>
  <si>
    <t>2.3</t>
  </si>
  <si>
    <t>0.6</t>
  </si>
  <si>
    <t>1.8</t>
  </si>
  <si>
    <t>0.3</t>
  </si>
  <si>
    <t>3.1</t>
  </si>
  <si>
    <t>2.7</t>
  </si>
  <si>
    <t>5.2</t>
  </si>
  <si>
    <t>4.5</t>
  </si>
  <si>
    <t>8.2</t>
  </si>
  <si>
    <t>track cases</t>
  </si>
  <si>
    <t>3.2</t>
  </si>
  <si>
    <t>4.4</t>
  </si>
  <si>
    <t>track lines</t>
  </si>
  <si>
    <t>7.0</t>
  </si>
  <si>
    <t>10.5</t>
  </si>
  <si>
    <t>motorway cases</t>
  </si>
  <si>
    <t>z5</t>
  </si>
  <si>
    <t>z6</t>
  </si>
  <si>
    <t>z20</t>
  </si>
  <si>
    <t>CELLS WITH MANUAL INPUT BOLDED, ALL ELSE USE FORMULAS</t>
  </si>
  <si>
    <t>22.0</t>
  </si>
  <si>
    <t>36.0</t>
  </si>
  <si>
    <t>motorway lines</t>
  </si>
  <si>
    <t>z7</t>
  </si>
  <si>
    <t>18.0</t>
  </si>
  <si>
    <t>24.0</t>
  </si>
  <si>
    <t>trunk cases</t>
  </si>
  <si>
    <t>trunk lines</t>
  </si>
  <si>
    <t>4.6</t>
  </si>
  <si>
    <t>regular</t>
  </si>
  <si>
    <t>mtb_light</t>
  </si>
  <si>
    <t>mtb_dark</t>
  </si>
  <si>
    <t>mtb_hc_light</t>
  </si>
  <si>
    <t>mtb_hc_dark</t>
  </si>
  <si>
    <t>gravel</t>
  </si>
  <si>
    <t>gravel_light</t>
  </si>
  <si>
    <t>gravel_dark</t>
  </si>
  <si>
    <t>gravel_hc_light</t>
  </si>
  <si>
    <t>gravel_hc_dark</t>
  </si>
  <si>
    <t>road</t>
  </si>
  <si>
    <t>road_light</t>
  </si>
  <si>
    <t>road_dark</t>
  </si>
  <si>
    <t>road_hc_light</t>
  </si>
  <si>
    <t>road_hc_dark</t>
  </si>
  <si>
    <t>winter</t>
  </si>
  <si>
    <t>winter_light</t>
  </si>
  <si>
    <t>winter_dark</t>
  </si>
  <si>
    <t>winter_hc_light</t>
  </si>
  <si>
    <t>winter_hc_dark</t>
  </si>
  <si>
    <t>"#0ac5a0"</t>
  </si>
  <si>
    <t>"#75e009"</t>
  </si>
  <si>
    <t>"#d7dc00"</t>
  </si>
  <si>
    <t>"#feb13e"</t>
  </si>
  <si>
    <t>"#ff4f5e"</t>
  </si>
  <si>
    <t>"#e50bdd"</t>
  </si>
  <si>
    <t>"#9600c8"</t>
  </si>
  <si>
    <t>"#8100ac"</t>
  </si>
  <si>
    <t>"#00c7b0"</t>
  </si>
  <si>
    <t>"#66cc00"</t>
  </si>
  <si>
    <t>"#c5c900"</t>
  </si>
  <si>
    <t>"#f09000"</t>
  </si>
  <si>
    <t>"#d600ce"</t>
  </si>
  <si>
    <t>"#7a3391"</t>
  </si>
  <si>
    <t>"#593266"</t>
  </si>
  <si>
    <t>"#3046d7"</t>
  </si>
  <si>
    <t>"#a43820"</t>
  </si>
  <si>
    <t>"#4a9100"</t>
  </si>
  <si>
    <t>"#0e84ed"</t>
  </si>
  <si>
    <t>"#ff003d"</t>
  </si>
  <si>
    <t>"#ff6a00"</t>
  </si>
  <si>
    <t>"#916f4c"</t>
  </si>
  <si>
    <t>"#f7f4f0"</t>
  </si>
  <si>
    <t>"#bfd9f2"</t>
  </si>
  <si>
    <t>"#8aa0b5"</t>
  </si>
  <si>
    <t>"#f7eeb7"</t>
  </si>
  <si>
    <t>"#f5e9a4"</t>
  </si>
  <si>
    <t>"#edf2bb"</t>
  </si>
  <si>
    <t>"#e6eda1"</t>
  </si>
  <si>
    <t>"#d6d6d6"</t>
  </si>
  <si>
    <t>"#f5eebc"</t>
  </si>
  <si>
    <t>"#dee7c5"</t>
  </si>
  <si>
    <t>"#f2f5e9"</t>
  </si>
  <si>
    <t>"#e5f4d5"</t>
  </si>
  <si>
    <t>"#d7d3ce"</t>
  </si>
  <si>
    <t>"#ebe2dd"</t>
  </si>
  <si>
    <t>"#e9eddf"</t>
  </si>
  <si>
    <t>"#e6e6e6"</t>
  </si>
  <si>
    <t>"#eae6e1"</t>
  </si>
  <si>
    <t>"#e0e4dd"</t>
  </si>
  <si>
    <t>"#ebe0d6"</t>
  </si>
  <si>
    <t>"#bf440f"</t>
  </si>
  <si>
    <t>"#a15412"</t>
  </si>
  <si>
    <t>"#ffcc88"</t>
  </si>
  <si>
    <t>"#000000"</t>
  </si>
  <si>
    <t>"#d6771e"</t>
  </si>
  <si>
    <r>
      <t xml:space="preserve">Direct input values </t>
    </r>
    <r>
      <rPr>
        <b/>
        <sz val="10"/>
        <color theme="1"/>
        <rFont val="Aptos"/>
        <family val="2"/>
      </rPr>
      <t>bolded</t>
    </r>
    <r>
      <rPr>
        <sz val="10"/>
        <color theme="1"/>
        <rFont val="Aptos"/>
        <family val="2"/>
      </rPr>
      <t>. Non-bolded values obtained via formula from another cell.</t>
    </r>
  </si>
  <si>
    <t>"#634507"</t>
  </si>
  <si>
    <t>"#404040"</t>
  </si>
  <si>
    <t>light</t>
  </si>
  <si>
    <t>dark</t>
  </si>
  <si>
    <t>"#eddfca"</t>
  </si>
  <si>
    <t>"#ffffff"</t>
  </si>
  <si>
    <t>mtb:winter</t>
  </si>
  <si>
    <t>"#bd430f"</t>
  </si>
  <si>
    <t>"#b99346"</t>
  </si>
  <si>
    <t>"#808080"</t>
  </si>
  <si>
    <t>"#644507"</t>
  </si>
  <si>
    <t>"#595959"</t>
  </si>
  <si>
    <t>"#ffcc8a"</t>
  </si>
  <si>
    <t>"#af9564"</t>
  </si>
  <si>
    <t>"#a8a6a4"</t>
  </si>
  <si>
    <t>"#4a4a4a"</t>
  </si>
  <si>
    <t>"#4f5c68"</t>
  </si>
  <si>
    <t>"#0E1009"</t>
  </si>
  <si>
    <t>"#373B13"</t>
  </si>
  <si>
    <t>"#1F1C08"</t>
  </si>
  <si>
    <t>ice_shelf</t>
  </si>
  <si>
    <t>sport_play</t>
  </si>
  <si>
    <t>"#cadfb3"</t>
  </si>
  <si>
    <t>"#181818"</t>
  </si>
  <si>
    <t>"#242217"</t>
  </si>
  <si>
    <t>"#2B3215"</t>
  </si>
  <si>
    <t>"#33332E"</t>
  </si>
  <si>
    <t>"#383633"</t>
  </si>
  <si>
    <t>"#474747"</t>
  </si>
  <si>
    <t>"#3B3936"</t>
  </si>
  <si>
    <t>"#3D403B"</t>
  </si>
  <si>
    <t>"#171717"</t>
  </si>
  <si>
    <t>"#363D2E"</t>
  </si>
  <si>
    <t>building</t>
  </si>
  <si>
    <t>"#303030"</t>
  </si>
  <si>
    <t>generic</t>
  </si>
  <si>
    <t>"#bcbab8"</t>
  </si>
  <si>
    <t>"#a8a6a3"</t>
  </si>
  <si>
    <t>top</t>
  </si>
  <si>
    <t>area</t>
  </si>
  <si>
    <t>"#24211f"</t>
  </si>
  <si>
    <t>"#e0d0c2"</t>
  </si>
  <si>
    <t>default</t>
  </si>
  <si>
    <t>glacier</t>
  </si>
  <si>
    <t>sprite</t>
  </si>
  <si>
    <t>@sprite</t>
  </si>
  <si>
    <t>sprite_dark</t>
  </si>
  <si>
    <t>"#5f472f"</t>
  </si>
  <si>
    <t>cliff</t>
  </si>
  <si>
    <t>label</t>
  </si>
  <si>
    <t>parking</t>
  </si>
  <si>
    <t>yes</t>
  </si>
  <si>
    <t>"#ff003c"</t>
  </si>
  <si>
    <t>"#1d201b"</t>
  </si>
  <si>
    <t>place</t>
  </si>
  <si>
    <t>other</t>
  </si>
  <si>
    <t>"#262626"</t>
  </si>
  <si>
    <t>"#d9d9d9"</t>
  </si>
  <si>
    <t>label_halo</t>
  </si>
  <si>
    <t>"#cccccc"</t>
  </si>
  <si>
    <t>"#333333"</t>
  </si>
  <si>
    <t>suburb_hamlet</t>
  </si>
  <si>
    <t>village</t>
  </si>
  <si>
    <t>town</t>
  </si>
  <si>
    <t>city</t>
  </si>
  <si>
    <t>capital</t>
  </si>
  <si>
    <t>highway</t>
  </si>
  <si>
    <t>"#3c322a"</t>
  </si>
  <si>
    <t>"#d5cbc3"</t>
  </si>
  <si>
    <t>trunk_primary_secondary_tertiary</t>
  </si>
  <si>
    <t>peak</t>
  </si>
  <si>
    <t>"#212121"</t>
  </si>
  <si>
    <t>"#dedede"</t>
  </si>
  <si>
    <t>widest</t>
  </si>
  <si>
    <t>null</t>
  </si>
  <si>
    <t>protected_area</t>
  </si>
  <si>
    <t>"#666666"</t>
  </si>
  <si>
    <t>"#999999"</t>
  </si>
  <si>
    <t>state</t>
  </si>
  <si>
    <t>"#663333"</t>
  </si>
  <si>
    <t>"#cc9999"</t>
  </si>
  <si>
    <t>"#323243"</t>
  </si>
  <si>
    <t>"#bcbccd"</t>
  </si>
  <si>
    <t>poi-level_123_and_additions_farzoom</t>
  </si>
  <si>
    <t>poi-level_123_and_additions_default</t>
  </si>
  <si>
    <t>poi-level_123_and_additions</t>
  </si>
  <si>
    <t>textsize</t>
  </si>
  <si>
    <t>prop.detail3</t>
  </si>
  <si>
    <t>major</t>
  </si>
  <si>
    <t>country</t>
  </si>
  <si>
    <t>5.5</t>
  </si>
  <si>
    <t>water_contours</t>
  </si>
  <si>
    <t>"#6aa6e2"</t>
  </si>
  <si>
    <t>"#263340"</t>
  </si>
  <si>
    <t>over6000</t>
  </si>
  <si>
    <t>"#72abe3"</t>
  </si>
  <si>
    <t>"#7fb2e6"</t>
  </si>
  <si>
    <t>"#95bfea"</t>
  </si>
  <si>
    <t>"#a1c7ec"</t>
  </si>
  <si>
    <t>"#afcfef"</t>
  </si>
  <si>
    <t>"#bbd6f2"</t>
  </si>
  <si>
    <t>water_shipping_lane</t>
  </si>
  <si>
    <t>ditch</t>
  </si>
  <si>
    <t>stream</t>
  </si>
  <si>
    <t>8.0</t>
  </si>
  <si>
    <t>14.0</t>
  </si>
  <si>
    <t>canal</t>
  </si>
  <si>
    <t>z13</t>
  </si>
  <si>
    <t>river</t>
  </si>
  <si>
    <t>12.0</t>
  </si>
  <si>
    <t>z15</t>
  </si>
  <si>
    <t>13.0</t>
  </si>
  <si>
    <t>16.0</t>
  </si>
  <si>
    <t>8.5</t>
  </si>
  <si>
    <t>10.0</t>
  </si>
  <si>
    <t>railings</t>
  </si>
  <si>
    <t>floor</t>
  </si>
  <si>
    <t>3.7</t>
  </si>
  <si>
    <t>9.5</t>
  </si>
  <si>
    <t>19.0</t>
  </si>
  <si>
    <t>12.5</t>
  </si>
  <si>
    <t>21.0</t>
  </si>
  <si>
    <t>path_track_footway_cycleway</t>
  </si>
  <si>
    <t>2.8</t>
  </si>
  <si>
    <t>3.3</t>
  </si>
  <si>
    <t>4.2</t>
  </si>
  <si>
    <t>1.4</t>
  </si>
  <si>
    <t>2.9</t>
  </si>
  <si>
    <t>line_offset</t>
  </si>
  <si>
    <t>left</t>
  </si>
  <si>
    <t>-11.0</t>
  </si>
  <si>
    <t>-7.0</t>
  </si>
  <si>
    <t>-3.0</t>
  </si>
  <si>
    <t>-4.0</t>
  </si>
  <si>
    <t>-8.0</t>
  </si>
  <si>
    <t>-16.0</t>
  </si>
  <si>
    <t>-1.5</t>
  </si>
  <si>
    <t>-2.0</t>
  </si>
  <si>
    <t>right</t>
  </si>
  <si>
    <t>11.0</t>
  </si>
  <si>
    <t>"#4d4d4d"</t>
  </si>
  <si>
    <t>"#f5e9a3"</t>
  </si>
  <si>
    <t>"#e5eda1"</t>
  </si>
  <si>
    <t>busway</t>
  </si>
  <si>
    <t>fill opacities</t>
  </si>
  <si>
    <t>scrub</t>
  </si>
  <si>
    <t>full</t>
  </si>
  <si>
    <t>mid</t>
  </si>
  <si>
    <t>0.25</t>
  </si>
  <si>
    <t>0.15</t>
  </si>
  <si>
    <t>wetland</t>
  </si>
  <si>
    <t>portected_area</t>
  </si>
  <si>
    <t>outline-inner</t>
  </si>
  <si>
    <t>0.2</t>
  </si>
  <si>
    <t>0.1</t>
  </si>
  <si>
    <t>outline-outer</t>
  </si>
  <si>
    <t>clearcut</t>
  </si>
  <si>
    <t>landuse</t>
  </si>
  <si>
    <t>dasharray</t>
  </si>
  <si>
    <t>rough</t>
  </si>
  <si>
    <t>dash</t>
  </si>
  <si>
    <t>gap</t>
  </si>
  <si>
    <t>0.0</t>
  </si>
  <si>
    <t>// Zero gaps for dasharrays used to make lines continuous in styles that don't distinguish between surface roughness. Avoids having to create separate layers.</t>
  </si>
  <si>
    <t>parking_aisle</t>
  </si>
  <si>
    <t>opacity</t>
  </si>
  <si>
    <t>badvis</t>
  </si>
  <si>
    <t>goodvis</t>
  </si>
  <si>
    <t>5.3</t>
  </si>
  <si>
    <t>3.8</t>
  </si>
  <si>
    <t>2.1</t>
  </si>
  <si>
    <t>paved</t>
  </si>
  <si>
    <t>unknown</t>
  </si>
  <si>
    <t>CYCLEWAYS AND FOOTWAYS</t>
  </si>
  <si>
    <t>SKIING</t>
  </si>
  <si>
    <t>piste</t>
  </si>
  <si>
    <t>trail_ski</t>
  </si>
  <si>
    <t>center</t>
  </si>
  <si>
    <t>osm</t>
  </si>
  <si>
    <t>"#7300ff"</t>
  </si>
  <si>
    <t>lipas</t>
  </si>
  <si>
    <t>"#bd287d"</t>
  </si>
  <si>
    <t>groomed</t>
  </si>
  <si>
    <t>airport</t>
  </si>
  <si>
    <t>"#ceddeb"</t>
  </si>
  <si>
    <t>"#f0eac7"</t>
  </si>
  <si>
    <t>"#ede7c2"</t>
  </si>
  <si>
    <t>"#e8ebca"</t>
  </si>
  <si>
    <t>"#dfe3b8"</t>
  </si>
  <si>
    <t>"#ede9ca"</t>
  </si>
  <si>
    <t>"#b3b3b3"</t>
  </si>
  <si>
    <t>"#363821"</t>
  </si>
  <si>
    <t>waterway</t>
  </si>
  <si>
    <t>"#2d3e4e"</t>
  </si>
  <si>
    <t>"#b1c2d2"</t>
  </si>
  <si>
    <t>lake_etc</t>
  </si>
  <si>
    <t>ocean</t>
  </si>
  <si>
    <t>"#72ade9"</t>
  </si>
  <si>
    <t>"#16528d"</t>
  </si>
  <si>
    <t>DEFAULT VISIBILITIES</t>
  </si>
  <si>
    <t>landcover-wood</t>
  </si>
  <si>
    <t>default_visibility</t>
  </si>
  <si>
    <t>"visible"</t>
  </si>
  <si>
    <t>"none"</t>
  </si>
  <si>
    <t>landcover-scrub-nowoods</t>
  </si>
  <si>
    <t>landcover-wetland-nowoods</t>
  </si>
  <si>
    <t>landcover-wetland-default</t>
  </si>
  <si>
    <t>landcover-scrub-default</t>
  </si>
  <si>
    <t>path_track</t>
  </si>
  <si>
    <t>noexit</t>
  </si>
  <si>
    <t>19.5</t>
  </si>
  <si>
    <t>27.0</t>
  </si>
  <si>
    <t>-0.8</t>
  </si>
  <si>
    <t>-2.5</t>
  </si>
  <si>
    <t>-1.0</t>
  </si>
  <si>
    <t>-6.0</t>
  </si>
  <si>
    <t>-2.4</t>
  </si>
  <si>
    <t>-5.0</t>
  </si>
  <si>
    <t>-9.0</t>
  </si>
  <si>
    <t>-13.5</t>
  </si>
  <si>
    <t>-15.0</t>
  </si>
  <si>
    <t>-14.0</t>
  </si>
  <si>
    <t>-19.5</t>
  </si>
  <si>
    <t>-27.0</t>
  </si>
  <si>
    <t>text_size</t>
  </si>
  <si>
    <t>z8</t>
  </si>
  <si>
    <t>20.0</t>
  </si>
  <si>
    <t>z4</t>
  </si>
  <si>
    <t>28.0</t>
  </si>
  <si>
    <t>26.0</t>
  </si>
  <si>
    <t>30.0</t>
  </si>
  <si>
    <t>all</t>
  </si>
  <si>
    <t>bicycle_no_or_discouraged</t>
  </si>
  <si>
    <t>any_no_or_discouraged</t>
  </si>
  <si>
    <t>line_gap_width</t>
  </si>
  <si>
    <t>dashed lines</t>
  </si>
  <si>
    <t>overlays</t>
  </si>
  <si>
    <t>LINKED ELEMENTS</t>
  </si>
  <si>
    <t>CONSTRUCTS AND NATURAL FEATURES</t>
  </si>
  <si>
    <t>TEXT</t>
  </si>
  <si>
    <t>LANDCOVERS</t>
  </si>
  <si>
    <t>PATHS AND TRACKS</t>
  </si>
  <si>
    <t>ROADS</t>
  </si>
  <si>
    <t>link</t>
  </si>
  <si>
    <t>cases</t>
  </si>
  <si>
    <t>lines</t>
  </si>
  <si>
    <t>fill colors</t>
  </si>
  <si>
    <t>locations</t>
  </si>
  <si>
    <t>ways</t>
  </si>
  <si>
    <t>power</t>
  </si>
  <si>
    <t>"#545454"</t>
  </si>
  <si>
    <t>"#ababab"</t>
  </si>
  <si>
    <t>roadnumber</t>
  </si>
  <si>
    <t>non_us</t>
  </si>
  <si>
    <t>icon_size</t>
  </si>
  <si>
    <t>text_font</t>
  </si>
  <si>
    <t>"Noto Sans Regular"</t>
  </si>
  <si>
    <t>"Noto Sans Bold"</t>
  </si>
  <si>
    <t>gate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</si>
</sst>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0"/>
      <color theme="1"/>
      <name val="Aptos"/>
      <family val="2"/>
    </font>
    <font>
      <b/>
      <sz val="10"/>
      <color theme="1"/>
      <name val="Aptos"/>
      <family val="2"/>
    </font>
    <font>
      <b/>
      <sz val="10"/>
      <color theme="0" tint="-0.249977111117893"/>
      <name val="Aptos"/>
      <family val="2"/>
    </font>
    <font>
      <sz val="10"/>
      <color theme="0" tint="-0.249977111117893"/>
      <name val="Aptos"/>
      <family val="2"/>
    </font>
    <font>
      <sz val="10"/>
      <name val="Aptos"/>
      <family val="2"/>
    </font>
    <font>
      <sz val="10"/>
      <color theme="1" tint="0.499984740745262"/>
      <name val="Aptos"/>
      <family val="2"/>
    </font>
    <font>
      <sz val="10"/>
      <color rgb="FFFF0000"/>
      <name val="Aptos"/>
      <family val="2"/>
    </font>
    <font>
      <b/>
      <sz val="10"/>
      <color theme="0"/>
      <name val="Aptos"/>
      <family val="2"/>
    </font>
  </fonts>
  <fills count="127">
    <fill>
      <patternFill patternType="none"/>
    </fill>
    <fill>
      <patternFill patternType="gray125"/>
    </fill>
    <fill>
      <patternFill patternType="solid">
        <fgColor rgb="FF0AC5A0"/>
        <bgColor indexed="64"/>
      </patternFill>
    </fill>
    <fill>
      <patternFill patternType="solid">
        <fgColor rgb="FF75E009"/>
        <bgColor indexed="64"/>
      </patternFill>
    </fill>
    <fill>
      <patternFill patternType="solid">
        <fgColor rgb="FFD7DC00"/>
        <bgColor indexed="64"/>
      </patternFill>
    </fill>
    <fill>
      <patternFill patternType="solid">
        <fgColor rgb="FFFEB13E"/>
        <bgColor indexed="64"/>
      </patternFill>
    </fill>
    <fill>
      <patternFill patternType="solid">
        <fgColor rgb="FFFF4F5E"/>
        <bgColor indexed="64"/>
      </patternFill>
    </fill>
    <fill>
      <patternFill patternType="solid">
        <fgColor rgb="FFE50BDD"/>
        <bgColor indexed="64"/>
      </patternFill>
    </fill>
    <fill>
      <patternFill patternType="solid">
        <fgColor rgb="FF9600C8"/>
        <bgColor indexed="64"/>
      </patternFill>
    </fill>
    <fill>
      <patternFill patternType="solid">
        <fgColor rgb="FF8100AC"/>
        <bgColor indexed="64"/>
      </patternFill>
    </fill>
    <fill>
      <patternFill patternType="solid">
        <fgColor rgb="FF00C7B0"/>
        <bgColor indexed="64"/>
      </patternFill>
    </fill>
    <fill>
      <patternFill patternType="solid">
        <fgColor rgb="FF66CC00"/>
        <bgColor indexed="64"/>
      </patternFill>
    </fill>
    <fill>
      <patternFill patternType="solid">
        <fgColor rgb="FFC5C900"/>
        <bgColor indexed="64"/>
      </patternFill>
    </fill>
    <fill>
      <patternFill patternType="solid">
        <fgColor rgb="FFF09000"/>
        <bgColor indexed="64"/>
      </patternFill>
    </fill>
    <fill>
      <patternFill patternType="solid">
        <fgColor rgb="FFD600CE"/>
        <bgColor indexed="64"/>
      </patternFill>
    </fill>
    <fill>
      <patternFill patternType="solid">
        <fgColor rgb="FF7A3391"/>
        <bgColor indexed="64"/>
      </patternFill>
    </fill>
    <fill>
      <patternFill patternType="solid">
        <fgColor rgb="FF593266"/>
        <bgColor indexed="64"/>
      </patternFill>
    </fill>
    <fill>
      <patternFill patternType="solid">
        <fgColor rgb="FF3046D7"/>
        <bgColor indexed="64"/>
      </patternFill>
    </fill>
    <fill>
      <patternFill patternType="solid">
        <fgColor rgb="FFBFD9F2"/>
        <bgColor indexed="64"/>
      </patternFill>
    </fill>
    <fill>
      <patternFill patternType="solid">
        <fgColor rgb="FF8AA0B5"/>
        <bgColor indexed="64"/>
      </patternFill>
    </fill>
    <fill>
      <patternFill patternType="solid">
        <fgColor rgb="FFFFCC88"/>
        <bgColor indexed="64"/>
      </patternFill>
    </fill>
    <fill>
      <patternFill patternType="solid">
        <fgColor rgb="FFD6771E"/>
        <bgColor indexed="64"/>
      </patternFill>
    </fill>
    <fill>
      <patternFill patternType="solid">
        <fgColor rgb="FFBF440F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A15412"/>
        <bgColor indexed="64"/>
      </patternFill>
    </fill>
    <fill>
      <patternFill patternType="solid">
        <fgColor rgb="FF634507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rgb="FFEDDFCA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A43820"/>
        <bgColor indexed="64"/>
      </patternFill>
    </fill>
    <fill>
      <patternFill patternType="solid">
        <fgColor rgb="FF4A9100"/>
        <bgColor indexed="64"/>
      </patternFill>
    </fill>
    <fill>
      <patternFill patternType="solid">
        <fgColor rgb="FF0E84ED"/>
        <bgColor indexed="64"/>
      </patternFill>
    </fill>
    <fill>
      <patternFill patternType="solid">
        <fgColor rgb="FFFF003D"/>
        <bgColor indexed="64"/>
      </patternFill>
    </fill>
    <fill>
      <patternFill patternType="solid">
        <fgColor rgb="FFFF6A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7EEB7"/>
        <bgColor indexed="64"/>
      </patternFill>
    </fill>
    <fill>
      <patternFill patternType="solid">
        <fgColor rgb="FFEDF2BB"/>
        <bgColor indexed="64"/>
      </patternFill>
    </fill>
    <fill>
      <patternFill patternType="solid">
        <fgColor rgb="FFF5E9A4"/>
        <bgColor indexed="64"/>
      </patternFill>
    </fill>
    <fill>
      <patternFill patternType="solid">
        <fgColor rgb="FFE6EDA1"/>
        <bgColor indexed="64"/>
      </patternFill>
    </fill>
    <fill>
      <patternFill patternType="solid">
        <fgColor rgb="FFD6D6D6"/>
        <bgColor indexed="64"/>
      </patternFill>
    </fill>
    <fill>
      <patternFill patternType="solid">
        <fgColor rgb="FFF5EEBC"/>
        <bgColor indexed="64"/>
      </patternFill>
    </fill>
    <fill>
      <patternFill patternType="solid">
        <fgColor rgb="FFDEE7C5"/>
        <bgColor indexed="64"/>
      </patternFill>
    </fill>
    <fill>
      <patternFill patternType="solid">
        <fgColor rgb="FFF2F5E9"/>
        <bgColor indexed="64"/>
      </patternFill>
    </fill>
    <fill>
      <patternFill patternType="solid">
        <fgColor rgb="FFE5F4D5"/>
        <bgColor indexed="64"/>
      </patternFill>
    </fill>
    <fill>
      <patternFill patternType="solid">
        <fgColor rgb="FFEBE2DD"/>
        <bgColor indexed="64"/>
      </patternFill>
    </fill>
    <fill>
      <patternFill patternType="solid">
        <fgColor rgb="FFD7D3CE"/>
        <bgColor indexed="64"/>
      </patternFill>
    </fill>
    <fill>
      <patternFill patternType="solid">
        <fgColor rgb="FFE9EDDF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EAE6E1"/>
        <bgColor indexed="64"/>
      </patternFill>
    </fill>
    <fill>
      <patternFill patternType="solid">
        <fgColor rgb="FFEBE0D6"/>
        <bgColor indexed="64"/>
      </patternFill>
    </fill>
    <fill>
      <patternFill patternType="solid">
        <fgColor rgb="FFE0E4DD"/>
        <bgColor indexed="64"/>
      </patternFill>
    </fill>
    <fill>
      <patternFill patternType="solid">
        <fgColor rgb="FFF7F4F0"/>
        <bgColor indexed="64"/>
      </patternFill>
    </fill>
    <fill>
      <patternFill patternType="solid">
        <fgColor rgb="FF916F4C"/>
        <bgColor indexed="64"/>
      </patternFill>
    </fill>
    <fill>
      <patternFill patternType="solid">
        <fgColor rgb="FFBD430F"/>
        <bgColor indexed="64"/>
      </patternFill>
    </fill>
    <fill>
      <patternFill patternType="solid">
        <fgColor rgb="FFB99346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644507"/>
        <bgColor indexed="64"/>
      </patternFill>
    </fill>
    <fill>
      <patternFill patternType="solid">
        <fgColor rgb="FF595959"/>
        <bgColor indexed="64"/>
      </patternFill>
    </fill>
    <fill>
      <patternFill patternType="solid">
        <fgColor rgb="FFFFCC8A"/>
        <bgColor indexed="64"/>
      </patternFill>
    </fill>
    <fill>
      <patternFill patternType="solid">
        <fgColor rgb="FFAF9564"/>
        <bgColor indexed="64"/>
      </patternFill>
    </fill>
    <fill>
      <patternFill patternType="solid">
        <fgColor rgb="FFA8A6A4"/>
        <bgColor indexed="64"/>
      </patternFill>
    </fill>
    <fill>
      <patternFill patternType="solid">
        <fgColor rgb="FF4A4A4A"/>
        <bgColor indexed="64"/>
      </patternFill>
    </fill>
    <fill>
      <patternFill patternType="solid">
        <fgColor rgb="FF4F5C68"/>
        <bgColor indexed="64"/>
      </patternFill>
    </fill>
    <fill>
      <patternFill patternType="solid">
        <fgColor rgb="FF0E1009"/>
        <bgColor indexed="64"/>
      </patternFill>
    </fill>
    <fill>
      <patternFill patternType="solid">
        <fgColor rgb="FF373B13"/>
        <bgColor indexed="64"/>
      </patternFill>
    </fill>
    <fill>
      <patternFill patternType="solid">
        <fgColor rgb="FF1F1C08"/>
        <bgColor indexed="64"/>
      </patternFill>
    </fill>
    <fill>
      <patternFill patternType="solid">
        <fgColor rgb="FFCADFB3"/>
        <bgColor indexed="64"/>
      </patternFill>
    </fill>
    <fill>
      <patternFill patternType="solid">
        <fgColor rgb="FF181818"/>
        <bgColor indexed="64"/>
      </patternFill>
    </fill>
    <fill>
      <patternFill patternType="solid">
        <fgColor rgb="FF242217"/>
        <bgColor indexed="64"/>
      </patternFill>
    </fill>
    <fill>
      <patternFill patternType="solid">
        <fgColor rgb="FF2B3215"/>
        <bgColor indexed="64"/>
      </patternFill>
    </fill>
    <fill>
      <patternFill patternType="solid">
        <fgColor rgb="FF33332E"/>
        <bgColor indexed="64"/>
      </patternFill>
    </fill>
    <fill>
      <patternFill patternType="solid">
        <fgColor rgb="FF383633"/>
        <bgColor indexed="64"/>
      </patternFill>
    </fill>
    <fill>
      <patternFill patternType="solid">
        <fgColor rgb="FF474747"/>
        <bgColor indexed="64"/>
      </patternFill>
    </fill>
    <fill>
      <patternFill patternType="solid">
        <fgColor rgb="FF3B3936"/>
        <bgColor indexed="64"/>
      </patternFill>
    </fill>
    <fill>
      <patternFill patternType="solid">
        <fgColor rgb="FF3D403B"/>
        <bgColor indexed="64"/>
      </patternFill>
    </fill>
    <fill>
      <patternFill patternType="solid">
        <fgColor rgb="FF171717"/>
        <bgColor indexed="64"/>
      </patternFill>
    </fill>
    <fill>
      <patternFill patternType="solid">
        <fgColor rgb="FF363D2E"/>
        <bgColor indexed="64"/>
      </patternFill>
    </fill>
    <fill>
      <patternFill patternType="solid">
        <fgColor rgb="FF303030"/>
        <bgColor indexed="64"/>
      </patternFill>
    </fill>
    <fill>
      <patternFill patternType="solid">
        <fgColor rgb="FFBCBAB8"/>
        <bgColor indexed="64"/>
      </patternFill>
    </fill>
    <fill>
      <patternFill patternType="solid">
        <fgColor rgb="FFA8A6A3"/>
        <bgColor indexed="64"/>
      </patternFill>
    </fill>
    <fill>
      <patternFill patternType="solid">
        <fgColor rgb="FF24211F"/>
        <bgColor indexed="64"/>
      </patternFill>
    </fill>
    <fill>
      <patternFill patternType="solid">
        <fgColor rgb="FFE0D0C2"/>
        <bgColor indexed="64"/>
      </patternFill>
    </fill>
    <fill>
      <patternFill patternType="solid">
        <fgColor rgb="FF5F472F"/>
        <bgColor indexed="64"/>
      </patternFill>
    </fill>
    <fill>
      <patternFill patternType="solid">
        <fgColor rgb="FFFF003C"/>
        <bgColor indexed="64"/>
      </patternFill>
    </fill>
    <fill>
      <patternFill patternType="solid">
        <fgColor rgb="FF1D201B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CCC"/>
        <bgColor indexed="64"/>
      </patternFill>
    </fill>
    <fill>
      <patternFill patternType="solid">
        <fgColor rgb="FF333333"/>
        <bgColor indexed="64"/>
      </patternFill>
    </fill>
    <fill>
      <patternFill patternType="solid">
        <fgColor rgb="FF3C322A"/>
        <bgColor indexed="64"/>
      </patternFill>
    </fill>
    <fill>
      <patternFill patternType="solid">
        <fgColor rgb="FFD5CBC3"/>
        <bgColor indexed="64"/>
      </patternFill>
    </fill>
    <fill>
      <patternFill patternType="solid">
        <fgColor rgb="FF212121"/>
        <bgColor indexed="64"/>
      </patternFill>
    </fill>
    <fill>
      <patternFill patternType="solid">
        <fgColor rgb="FFDEDEDE"/>
        <bgColor indexed="64"/>
      </patternFill>
    </fill>
    <fill>
      <patternFill patternType="solid">
        <fgColor rgb="FF666666"/>
        <bgColor indexed="64"/>
      </patternFill>
    </fill>
    <fill>
      <patternFill patternType="solid">
        <fgColor rgb="FF999999"/>
        <bgColor indexed="64"/>
      </patternFill>
    </fill>
    <fill>
      <patternFill patternType="solid">
        <fgColor rgb="FF663333"/>
        <bgColor indexed="64"/>
      </patternFill>
    </fill>
    <fill>
      <patternFill patternType="solid">
        <fgColor rgb="FFCC9999"/>
        <bgColor indexed="64"/>
      </patternFill>
    </fill>
    <fill>
      <patternFill patternType="solid">
        <fgColor rgb="FF323243"/>
        <bgColor indexed="64"/>
      </patternFill>
    </fill>
    <fill>
      <patternFill patternType="solid">
        <fgColor rgb="FFBCBCCD"/>
        <bgColor indexed="64"/>
      </patternFill>
    </fill>
    <fill>
      <patternFill patternType="solid">
        <fgColor rgb="FF6AA6E2"/>
        <bgColor indexed="64"/>
      </patternFill>
    </fill>
    <fill>
      <patternFill patternType="solid">
        <fgColor rgb="FF263340"/>
        <bgColor indexed="64"/>
      </patternFill>
    </fill>
    <fill>
      <patternFill patternType="solid">
        <fgColor rgb="FF72ABE3"/>
        <bgColor indexed="64"/>
      </patternFill>
    </fill>
    <fill>
      <patternFill patternType="solid">
        <fgColor rgb="FF7FB2E6"/>
        <bgColor indexed="64"/>
      </patternFill>
    </fill>
    <fill>
      <patternFill patternType="solid">
        <fgColor rgb="FF95BFEA"/>
        <bgColor indexed="64"/>
      </patternFill>
    </fill>
    <fill>
      <patternFill patternType="solid">
        <fgColor rgb="FFA1C7EC"/>
        <bgColor indexed="64"/>
      </patternFill>
    </fill>
    <fill>
      <patternFill patternType="solid">
        <fgColor rgb="FFAFCFEF"/>
        <bgColor indexed="64"/>
      </patternFill>
    </fill>
    <fill>
      <patternFill patternType="solid">
        <fgColor rgb="FFBBD6F2"/>
        <bgColor indexed="64"/>
      </patternFill>
    </fill>
    <fill>
      <patternFill patternType="solid">
        <fgColor rgb="FF4D4D4D"/>
        <bgColor indexed="64"/>
      </patternFill>
    </fill>
    <fill>
      <patternFill patternType="solid">
        <fgColor rgb="FFF5E9A3"/>
        <bgColor indexed="64"/>
      </patternFill>
    </fill>
    <fill>
      <patternFill patternType="solid">
        <fgColor rgb="FFE5EDA1"/>
        <bgColor indexed="64"/>
      </patternFill>
    </fill>
    <fill>
      <patternFill patternType="solid">
        <fgColor rgb="FF7300FF"/>
        <bgColor indexed="64"/>
      </patternFill>
    </fill>
    <fill>
      <patternFill patternType="solid">
        <fgColor rgb="FFBD287D"/>
        <bgColor indexed="64"/>
      </patternFill>
    </fill>
    <fill>
      <patternFill patternType="solid">
        <fgColor rgb="FFCEDDEB"/>
        <bgColor indexed="64"/>
      </patternFill>
    </fill>
    <fill>
      <patternFill patternType="solid">
        <fgColor rgb="FFF0EAC7"/>
        <bgColor indexed="64"/>
      </patternFill>
    </fill>
    <fill>
      <patternFill patternType="solid">
        <fgColor rgb="FFEDE7C2"/>
        <bgColor indexed="64"/>
      </patternFill>
    </fill>
    <fill>
      <patternFill patternType="solid">
        <fgColor rgb="FFE8EBCA"/>
        <bgColor indexed="64"/>
      </patternFill>
    </fill>
    <fill>
      <patternFill patternType="solid">
        <fgColor rgb="FFDFE3B8"/>
        <bgColor indexed="64"/>
      </patternFill>
    </fill>
    <fill>
      <patternFill patternType="solid">
        <fgColor rgb="FFEDE9CA"/>
        <bgColor indexed="64"/>
      </patternFill>
    </fill>
    <fill>
      <patternFill patternType="solid">
        <fgColor rgb="FFB3B3B3"/>
        <bgColor indexed="64"/>
      </patternFill>
    </fill>
    <fill>
      <patternFill patternType="solid">
        <fgColor rgb="FF363821"/>
        <bgColor indexed="64"/>
      </patternFill>
    </fill>
    <fill>
      <patternFill patternType="solid">
        <fgColor rgb="FF2D3E4E"/>
        <bgColor indexed="64"/>
      </patternFill>
    </fill>
    <fill>
      <patternFill patternType="solid">
        <fgColor rgb="FFB1C2D2"/>
        <bgColor indexed="64"/>
      </patternFill>
    </fill>
    <fill>
      <patternFill patternType="solid">
        <fgColor rgb="FF72ADE9"/>
        <bgColor indexed="64"/>
      </patternFill>
    </fill>
    <fill>
      <patternFill patternType="solid">
        <fgColor rgb="FF16528D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545454"/>
        <bgColor indexed="64"/>
      </patternFill>
    </fill>
    <fill>
      <patternFill patternType="solid">
        <fgColor rgb="FFABABAB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</borders>
  <cellStyleXfs count="1">
    <xf numFmtId="0" fontId="0" fillId="0" borderId="0"/>
  </cellStyleXfs>
  <cellXfs count="188">
    <xf numFmtId="0" fontId="0" fillId="0" borderId="0" xfId="0"/>
    <xf numFmtId="0" fontId="1" fillId="0" borderId="0" xfId="0" applyFont="1" applyAlignment="1">
      <alignment horizontal="left"/>
    </xf>
    <xf numFmtId="0" fontId="0" fillId="0" borderId="0" xfId="0" applyAlignment="1">
      <alignment horizontal="left"/>
    </xf>
    <xf numFmtId="0" fontId="1" fillId="34" borderId="0" xfId="0" applyFont="1" applyFill="1" applyAlignment="1">
      <alignment horizontal="left"/>
    </xf>
    <xf numFmtId="0" fontId="0" fillId="34" borderId="0" xfId="0" applyFill="1" applyAlignment="1">
      <alignment horizontal="left"/>
    </xf>
    <xf numFmtId="49" fontId="1" fillId="0" borderId="0" xfId="0" applyNumberFormat="1" applyFont="1" applyAlignment="1">
      <alignment horizontal="left"/>
    </xf>
    <xf numFmtId="49" fontId="0" fillId="34" borderId="0" xfId="0" applyNumberFormat="1" applyFill="1" applyAlignment="1">
      <alignment horizontal="left"/>
    </xf>
    <xf numFmtId="49" fontId="0" fillId="0" borderId="0" xfId="0" applyNumberFormat="1" applyAlignment="1">
      <alignment horizontal="left"/>
    </xf>
    <xf numFmtId="49" fontId="1" fillId="0" borderId="1" xfId="0" applyNumberFormat="1" applyFont="1" applyBorder="1" applyAlignment="1">
      <alignment horizontal="left"/>
    </xf>
    <xf numFmtId="0" fontId="1" fillId="0" borderId="2" xfId="0" applyFont="1" applyBorder="1" applyAlignment="1">
      <alignment horizontal="left"/>
    </xf>
    <xf numFmtId="49" fontId="1" fillId="0" borderId="3" xfId="0" applyNumberFormat="1" applyFont="1" applyBorder="1" applyAlignment="1">
      <alignment horizontal="left"/>
    </xf>
    <xf numFmtId="0" fontId="1" fillId="34" borderId="2" xfId="0" applyFont="1" applyFill="1" applyBorder="1" applyAlignment="1">
      <alignment horizontal="left"/>
    </xf>
    <xf numFmtId="49" fontId="0" fillId="34" borderId="3" xfId="0" applyNumberFormat="1" applyFill="1" applyBorder="1" applyAlignment="1">
      <alignment horizontal="left"/>
    </xf>
    <xf numFmtId="49" fontId="0" fillId="34" borderId="1" xfId="0" applyNumberFormat="1" applyFill="1" applyBorder="1" applyAlignment="1">
      <alignment horizontal="left"/>
    </xf>
    <xf numFmtId="0" fontId="0" fillId="0" borderId="2" xfId="0" applyBorder="1" applyAlignment="1">
      <alignment horizontal="left"/>
    </xf>
    <xf numFmtId="0" fontId="0" fillId="0" borderId="1" xfId="0" applyBorder="1" applyAlignment="1">
      <alignment horizontal="left"/>
    </xf>
    <xf numFmtId="49" fontId="0" fillId="0" borderId="3" xfId="0" applyNumberFormat="1" applyBorder="1" applyAlignment="1">
      <alignment horizontal="left"/>
    </xf>
    <xf numFmtId="49" fontId="2" fillId="0" borderId="0" xfId="0" applyNumberFormat="1" applyFont="1" applyAlignment="1">
      <alignment horizontal="left"/>
    </xf>
    <xf numFmtId="0" fontId="3" fillId="0" borderId="2" xfId="0" applyFont="1" applyBorder="1" applyAlignment="1">
      <alignment horizontal="left"/>
    </xf>
    <xf numFmtId="49" fontId="3" fillId="0" borderId="0" xfId="0" applyNumberFormat="1" applyFont="1" applyAlignment="1">
      <alignment horizontal="left"/>
    </xf>
    <xf numFmtId="0" fontId="3" fillId="0" borderId="1" xfId="0" applyFont="1" applyBorder="1" applyAlignment="1">
      <alignment horizontal="left"/>
    </xf>
    <xf numFmtId="49" fontId="2" fillId="0" borderId="3" xfId="0" applyNumberFormat="1" applyFont="1" applyBorder="1" applyAlignment="1">
      <alignment horizontal="left"/>
    </xf>
    <xf numFmtId="0" fontId="4" fillId="0" borderId="2" xfId="0" applyFont="1" applyBorder="1" applyAlignment="1">
      <alignment horizontal="left"/>
    </xf>
    <xf numFmtId="49" fontId="4" fillId="0" borderId="0" xfId="0" applyNumberFormat="1" applyFont="1" applyAlignment="1">
      <alignment horizontal="left"/>
    </xf>
    <xf numFmtId="0" fontId="4" fillId="0" borderId="1" xfId="0" applyFont="1" applyBorder="1" applyAlignment="1">
      <alignment horizontal="left"/>
    </xf>
    <xf numFmtId="49" fontId="3" fillId="0" borderId="3" xfId="0" applyNumberFormat="1" applyFont="1" applyBorder="1" applyAlignment="1">
      <alignment horizontal="left"/>
    </xf>
    <xf numFmtId="49" fontId="1" fillId="0" borderId="0" xfId="0" applyNumberFormat="1" applyFont="1"/>
    <xf numFmtId="49" fontId="1" fillId="34" borderId="0" xfId="0" applyNumberFormat="1" applyFont="1" applyFill="1" applyAlignment="1">
      <alignment horizontal="left"/>
    </xf>
    <xf numFmtId="49" fontId="0" fillId="0" borderId="0" xfId="0" applyNumberFormat="1"/>
    <xf numFmtId="49" fontId="0" fillId="85" borderId="0" xfId="0" applyNumberFormat="1" applyFill="1"/>
    <xf numFmtId="49" fontId="0" fillId="86" borderId="0" xfId="0" applyNumberFormat="1" applyFill="1"/>
    <xf numFmtId="49" fontId="0" fillId="87" borderId="0" xfId="0" applyNumberFormat="1" applyFill="1"/>
    <xf numFmtId="49" fontId="0" fillId="88" borderId="0" xfId="0" applyNumberFormat="1" applyFill="1"/>
    <xf numFmtId="49" fontId="0" fillId="89" borderId="0" xfId="0" applyNumberFormat="1" applyFill="1"/>
    <xf numFmtId="49" fontId="0" fillId="90" borderId="0" xfId="0" applyNumberFormat="1" applyFill="1"/>
    <xf numFmtId="49" fontId="0" fillId="91" borderId="0" xfId="0" applyNumberFormat="1" applyFill="1"/>
    <xf numFmtId="49" fontId="0" fillId="92" borderId="0" xfId="0" applyNumberFormat="1" applyFill="1"/>
    <xf numFmtId="49" fontId="0" fillId="23" borderId="0" xfId="0" applyNumberFormat="1" applyFill="1"/>
    <xf numFmtId="49" fontId="0" fillId="28" borderId="0" xfId="0" applyNumberFormat="1" applyFill="1"/>
    <xf numFmtId="49" fontId="0" fillId="83" borderId="0" xfId="0" applyNumberFormat="1" applyFill="1"/>
    <xf numFmtId="49" fontId="1" fillId="3" borderId="0" xfId="0" applyNumberFormat="1" applyFont="1" applyFill="1"/>
    <xf numFmtId="49" fontId="1" fillId="11" borderId="0" xfId="0" applyNumberFormat="1" applyFont="1" applyFill="1"/>
    <xf numFmtId="49" fontId="1" fillId="4" borderId="0" xfId="0" applyNumberFormat="1" applyFont="1" applyFill="1"/>
    <xf numFmtId="49" fontId="1" fillId="12" borderId="0" xfId="0" applyNumberFormat="1" applyFont="1" applyFill="1"/>
    <xf numFmtId="49" fontId="1" fillId="5" borderId="0" xfId="0" applyNumberFormat="1" applyFont="1" applyFill="1"/>
    <xf numFmtId="49" fontId="1" fillId="13" borderId="0" xfId="0" applyNumberFormat="1" applyFont="1" applyFill="1"/>
    <xf numFmtId="49" fontId="1" fillId="28" borderId="0" xfId="0" applyNumberFormat="1" applyFont="1" applyFill="1"/>
    <xf numFmtId="49" fontId="1" fillId="23" borderId="0" xfId="0" applyNumberFormat="1" applyFont="1" applyFill="1"/>
    <xf numFmtId="49" fontId="1" fillId="29" borderId="0" xfId="0" applyNumberFormat="1" applyFont="1" applyFill="1"/>
    <xf numFmtId="49" fontId="0" fillId="29" borderId="0" xfId="0" applyNumberFormat="1" applyFill="1"/>
    <xf numFmtId="49" fontId="1" fillId="30" borderId="0" xfId="0" applyNumberFormat="1" applyFont="1" applyFill="1"/>
    <xf numFmtId="49" fontId="0" fillId="30" borderId="0" xfId="0" applyNumberFormat="1" applyFill="1"/>
    <xf numFmtId="49" fontId="1" fillId="31" borderId="0" xfId="0" applyNumberFormat="1" applyFont="1" applyFill="1"/>
    <xf numFmtId="49" fontId="0" fillId="31" borderId="0" xfId="0" applyNumberFormat="1" applyFill="1"/>
    <xf numFmtId="49" fontId="1" fillId="32" borderId="0" xfId="0" applyNumberFormat="1" applyFont="1" applyFill="1"/>
    <xf numFmtId="49" fontId="0" fillId="32" borderId="0" xfId="0" applyNumberFormat="1" applyFill="1"/>
    <xf numFmtId="49" fontId="1" fillId="33" borderId="0" xfId="0" applyNumberFormat="1" applyFont="1" applyFill="1"/>
    <xf numFmtId="49" fontId="0" fillId="33" borderId="0" xfId="0" applyNumberFormat="1" applyFill="1"/>
    <xf numFmtId="49" fontId="1" fillId="79" borderId="0" xfId="0" applyNumberFormat="1" applyFont="1" applyFill="1"/>
    <xf numFmtId="49" fontId="1" fillId="72" borderId="0" xfId="0" applyNumberFormat="1" applyFont="1" applyFill="1"/>
    <xf numFmtId="49" fontId="1" fillId="78" borderId="0" xfId="0" applyNumberFormat="1" applyFont="1" applyFill="1"/>
    <xf numFmtId="49" fontId="1" fillId="77" borderId="0" xfId="0" applyNumberFormat="1" applyFont="1" applyFill="1"/>
    <xf numFmtId="49" fontId="1" fillId="52" borderId="0" xfId="0" applyNumberFormat="1" applyFont="1" applyFill="1"/>
    <xf numFmtId="49" fontId="0" fillId="52" borderId="0" xfId="0" applyNumberFormat="1" applyFill="1"/>
    <xf numFmtId="49" fontId="0" fillId="82" borderId="0" xfId="0" applyNumberFormat="1" applyFill="1"/>
    <xf numFmtId="49" fontId="1" fillId="22" borderId="0" xfId="0" applyNumberFormat="1" applyFont="1" applyFill="1"/>
    <xf numFmtId="49" fontId="0" fillId="22" borderId="0" xfId="0" applyNumberFormat="1" applyFill="1"/>
    <xf numFmtId="49" fontId="1" fillId="24" borderId="0" xfId="0" applyNumberFormat="1" applyFont="1" applyFill="1"/>
    <xf numFmtId="49" fontId="0" fillId="24" borderId="0" xfId="0" applyNumberFormat="1" applyFill="1"/>
    <xf numFmtId="49" fontId="1" fillId="20" borderId="0" xfId="0" applyNumberFormat="1" applyFont="1" applyFill="1"/>
    <xf numFmtId="49" fontId="1" fillId="21" borderId="0" xfId="0" applyNumberFormat="1" applyFont="1" applyFill="1"/>
    <xf numFmtId="49" fontId="0" fillId="20" borderId="0" xfId="0" applyNumberFormat="1" applyFill="1"/>
    <xf numFmtId="49" fontId="0" fillId="21" borderId="0" xfId="0" applyNumberFormat="1" applyFill="1"/>
    <xf numFmtId="49" fontId="1" fillId="53" borderId="0" xfId="0" applyNumberFormat="1" applyFont="1" applyFill="1"/>
    <xf numFmtId="49" fontId="0" fillId="53" borderId="0" xfId="0" applyNumberFormat="1" applyFill="1"/>
    <xf numFmtId="49" fontId="1" fillId="54" borderId="0" xfId="0" applyNumberFormat="1" applyFont="1" applyFill="1"/>
    <xf numFmtId="49" fontId="1" fillId="56" borderId="0" xfId="0" applyNumberFormat="1" applyFont="1" applyFill="1"/>
    <xf numFmtId="49" fontId="1" fillId="25" borderId="0" xfId="0" applyNumberFormat="1" applyFont="1" applyFill="1"/>
    <xf numFmtId="49" fontId="1" fillId="55" borderId="0" xfId="0" applyNumberFormat="1" applyFont="1" applyFill="1"/>
    <xf numFmtId="49" fontId="1" fillId="26" borderId="0" xfId="0" applyNumberFormat="1" applyFont="1" applyFill="1"/>
    <xf numFmtId="49" fontId="1" fillId="27" borderId="0" xfId="0" applyNumberFormat="1" applyFont="1" applyFill="1"/>
    <xf numFmtId="49" fontId="0" fillId="27" borderId="0" xfId="0" applyNumberFormat="1" applyFill="1"/>
    <xf numFmtId="49" fontId="1" fillId="58" borderId="0" xfId="0" applyNumberFormat="1" applyFont="1" applyFill="1"/>
    <xf numFmtId="49" fontId="0" fillId="58" borderId="0" xfId="0" applyNumberFormat="1" applyFill="1"/>
    <xf numFmtId="49" fontId="1" fillId="57" borderId="0" xfId="0" applyNumberFormat="1" applyFont="1" applyFill="1"/>
    <xf numFmtId="49" fontId="1" fillId="59" borderId="0" xfId="0" applyNumberFormat="1" applyFont="1" applyFill="1"/>
    <xf numFmtId="49" fontId="0" fillId="59" borderId="0" xfId="0" applyNumberFormat="1" applyFill="1"/>
    <xf numFmtId="49" fontId="0" fillId="56" borderId="0" xfId="0" applyNumberFormat="1" applyFill="1"/>
    <xf numFmtId="49" fontId="1" fillId="60" borderId="0" xfId="0" applyNumberFormat="1" applyFont="1" applyFill="1"/>
    <xf numFmtId="49" fontId="1" fillId="61" borderId="0" xfId="0" applyNumberFormat="1" applyFont="1" applyFill="1"/>
    <xf numFmtId="49" fontId="0" fillId="60" borderId="0" xfId="0" applyNumberFormat="1" applyFill="1"/>
    <xf numFmtId="49" fontId="0" fillId="61" borderId="0" xfId="0" applyNumberFormat="1" applyFill="1"/>
    <xf numFmtId="49" fontId="0" fillId="54" borderId="0" xfId="0" applyNumberFormat="1" applyFill="1"/>
    <xf numFmtId="49" fontId="0" fillId="55" borderId="0" xfId="0" applyNumberFormat="1" applyFill="1"/>
    <xf numFmtId="49" fontId="0" fillId="26" borderId="0" xfId="0" applyNumberFormat="1" applyFill="1"/>
    <xf numFmtId="49" fontId="0" fillId="93" borderId="0" xfId="0" applyNumberFormat="1" applyFill="1"/>
    <xf numFmtId="49" fontId="0" fillId="94" borderId="0" xfId="0" applyNumberFormat="1" applyFill="1"/>
    <xf numFmtId="49" fontId="0" fillId="95" borderId="0" xfId="0" applyNumberFormat="1" applyFill="1"/>
    <xf numFmtId="49" fontId="0" fillId="96" borderId="0" xfId="0" applyNumberFormat="1" applyFill="1"/>
    <xf numFmtId="49" fontId="0" fillId="97" borderId="0" xfId="0" applyNumberFormat="1" applyFill="1"/>
    <xf numFmtId="49" fontId="0" fillId="98" borderId="0" xfId="0" applyNumberFormat="1" applyFill="1"/>
    <xf numFmtId="49" fontId="1" fillId="99" borderId="0" xfId="0" applyNumberFormat="1" applyFont="1" applyFill="1"/>
    <xf numFmtId="49" fontId="0" fillId="100" borderId="0" xfId="0" applyNumberFormat="1" applyFill="1"/>
    <xf numFmtId="49" fontId="1" fillId="101" borderId="0" xfId="0" applyNumberFormat="1" applyFont="1" applyFill="1"/>
    <xf numFmtId="49" fontId="1" fillId="102" borderId="0" xfId="0" applyNumberFormat="1" applyFont="1" applyFill="1"/>
    <xf numFmtId="49" fontId="1" fillId="103" borderId="0" xfId="0" applyNumberFormat="1" applyFont="1" applyFill="1"/>
    <xf numFmtId="49" fontId="1" fillId="104" borderId="0" xfId="0" applyNumberFormat="1" applyFont="1" applyFill="1"/>
    <xf numFmtId="49" fontId="1" fillId="105" borderId="0" xfId="0" applyNumberFormat="1" applyFont="1" applyFill="1"/>
    <xf numFmtId="49" fontId="1" fillId="106" borderId="0" xfId="0" applyNumberFormat="1" applyFont="1" applyFill="1"/>
    <xf numFmtId="49" fontId="1" fillId="107" borderId="0" xfId="0" applyNumberFormat="1" applyFont="1" applyFill="1"/>
    <xf numFmtId="49" fontId="5" fillId="0" borderId="0" xfId="0" applyNumberFormat="1" applyFont="1"/>
    <xf numFmtId="49" fontId="0" fillId="2" borderId="0" xfId="0" applyNumberFormat="1" applyFill="1"/>
    <xf numFmtId="49" fontId="0" fillId="10" borderId="0" xfId="0" applyNumberFormat="1" applyFill="1"/>
    <xf numFmtId="49" fontId="0" fillId="3" borderId="0" xfId="0" applyNumberFormat="1" applyFill="1"/>
    <xf numFmtId="49" fontId="0" fillId="11" borderId="0" xfId="0" applyNumberFormat="1" applyFill="1"/>
    <xf numFmtId="49" fontId="0" fillId="4" borderId="0" xfId="0" applyNumberFormat="1" applyFill="1"/>
    <xf numFmtId="49" fontId="0" fillId="12" borderId="0" xfId="0" applyNumberFormat="1" applyFill="1"/>
    <xf numFmtId="49" fontId="0" fillId="5" borderId="0" xfId="0" applyNumberFormat="1" applyFill="1"/>
    <xf numFmtId="49" fontId="0" fillId="13" borderId="0" xfId="0" applyNumberFormat="1" applyFill="1"/>
    <xf numFmtId="49" fontId="0" fillId="6" borderId="0" xfId="0" applyNumberFormat="1" applyFill="1"/>
    <xf numFmtId="49" fontId="0" fillId="7" borderId="0" xfId="0" applyNumberFormat="1" applyFill="1"/>
    <xf numFmtId="49" fontId="0" fillId="14" borderId="0" xfId="0" applyNumberFormat="1" applyFill="1"/>
    <xf numFmtId="49" fontId="0" fillId="8" borderId="0" xfId="0" applyNumberFormat="1" applyFill="1"/>
    <xf numFmtId="49" fontId="0" fillId="15" borderId="0" xfId="0" applyNumberFormat="1" applyFill="1"/>
    <xf numFmtId="49" fontId="0" fillId="9" borderId="0" xfId="0" applyNumberFormat="1" applyFill="1"/>
    <xf numFmtId="49" fontId="0" fillId="16" borderId="0" xfId="0" applyNumberFormat="1" applyFill="1"/>
    <xf numFmtId="49" fontId="1" fillId="110" borderId="0" xfId="0" applyNumberFormat="1" applyFont="1" applyFill="1"/>
    <xf numFmtId="49" fontId="1" fillId="111" borderId="0" xfId="0" applyNumberFormat="1" applyFont="1" applyFill="1"/>
    <xf numFmtId="49" fontId="0" fillId="118" borderId="0" xfId="0" applyNumberFormat="1" applyFill="1"/>
    <xf numFmtId="49" fontId="0" fillId="120" borderId="0" xfId="0" applyNumberFormat="1" applyFill="1"/>
    <xf numFmtId="49" fontId="0" fillId="121" borderId="0" xfId="0" applyNumberFormat="1" applyFill="1"/>
    <xf numFmtId="49" fontId="0" fillId="122" borderId="0" xfId="0" applyNumberFormat="1" applyFill="1"/>
    <xf numFmtId="49" fontId="0" fillId="123" borderId="0" xfId="0" applyNumberFormat="1" applyFill="1"/>
    <xf numFmtId="49" fontId="0" fillId="17" borderId="0" xfId="0" applyNumberFormat="1" applyFill="1"/>
    <xf numFmtId="49" fontId="0" fillId="51" borderId="0" xfId="0" applyNumberFormat="1" applyFill="1"/>
    <xf numFmtId="49" fontId="0" fillId="18" borderId="0" xfId="0" applyNumberFormat="1" applyFill="1"/>
    <xf numFmtId="49" fontId="0" fillId="19" borderId="0" xfId="0" applyNumberFormat="1" applyFill="1"/>
    <xf numFmtId="49" fontId="0" fillId="62" borderId="0" xfId="0" applyNumberFormat="1" applyFill="1"/>
    <xf numFmtId="49" fontId="0" fillId="112" borderId="0" xfId="0" applyNumberFormat="1" applyFill="1"/>
    <xf numFmtId="49" fontId="0" fillId="35" borderId="0" xfId="0" applyNumberFormat="1" applyFill="1"/>
    <xf numFmtId="49" fontId="0" fillId="37" borderId="0" xfId="0" applyNumberFormat="1" applyFill="1"/>
    <xf numFmtId="49" fontId="0" fillId="65" borderId="0" xfId="0" applyNumberFormat="1" applyFill="1"/>
    <xf numFmtId="49" fontId="0" fillId="108" borderId="0" xfId="0" applyNumberFormat="1" applyFill="1"/>
    <xf numFmtId="49" fontId="0" fillId="113" borderId="0" xfId="0" applyNumberFormat="1" applyFill="1"/>
    <xf numFmtId="49" fontId="0" fillId="114" borderId="0" xfId="0" applyNumberFormat="1" applyFill="1"/>
    <xf numFmtId="49" fontId="0" fillId="36" borderId="0" xfId="0" applyNumberFormat="1" applyFill="1"/>
    <xf numFmtId="49" fontId="0" fillId="38" borderId="0" xfId="0" applyNumberFormat="1" applyFill="1"/>
    <xf numFmtId="49" fontId="0" fillId="64" borderId="0" xfId="0" applyNumberFormat="1" applyFill="1"/>
    <xf numFmtId="49" fontId="0" fillId="109" borderId="0" xfId="0" applyNumberFormat="1" applyFill="1"/>
    <xf numFmtId="49" fontId="0" fillId="115" borderId="0" xfId="0" applyNumberFormat="1" applyFill="1"/>
    <xf numFmtId="49" fontId="0" fillId="116" borderId="0" xfId="0" applyNumberFormat="1" applyFill="1"/>
    <xf numFmtId="49" fontId="0" fillId="119" borderId="0" xfId="0" applyNumberFormat="1" applyFill="1"/>
    <xf numFmtId="49" fontId="0" fillId="39" borderId="0" xfId="0" applyNumberFormat="1" applyFill="1"/>
    <xf numFmtId="49" fontId="0" fillId="67" borderId="0" xfId="0" applyNumberFormat="1" applyFill="1"/>
    <xf numFmtId="49" fontId="0" fillId="40" borderId="0" xfId="0" applyNumberFormat="1" applyFill="1"/>
    <xf numFmtId="49" fontId="0" fillId="68" borderId="0" xfId="0" applyNumberFormat="1" applyFill="1"/>
    <xf numFmtId="49" fontId="0" fillId="117" borderId="0" xfId="0" applyNumberFormat="1" applyFill="1"/>
    <xf numFmtId="49" fontId="0" fillId="41" borderId="0" xfId="0" applyNumberFormat="1" applyFill="1"/>
    <xf numFmtId="49" fontId="0" fillId="69" borderId="0" xfId="0" applyNumberFormat="1" applyFill="1"/>
    <xf numFmtId="49" fontId="0" fillId="42" borderId="0" xfId="0" applyNumberFormat="1" applyFill="1"/>
    <xf numFmtId="49" fontId="0" fillId="70" borderId="0" xfId="0" applyNumberFormat="1" applyFill="1"/>
    <xf numFmtId="49" fontId="0" fillId="43" borderId="0" xfId="0" applyNumberFormat="1" applyFill="1"/>
    <xf numFmtId="49" fontId="0" fillId="84" borderId="0" xfId="0" applyNumberFormat="1" applyFill="1"/>
    <xf numFmtId="49" fontId="0" fillId="45" borderId="0" xfId="0" applyNumberFormat="1" applyFill="1"/>
    <xf numFmtId="49" fontId="0" fillId="71" borderId="0" xfId="0" applyNumberFormat="1" applyFill="1"/>
    <xf numFmtId="49" fontId="0" fillId="44" borderId="0" xfId="0" applyNumberFormat="1" applyFill="1"/>
    <xf numFmtId="49" fontId="0" fillId="80" borderId="0" xfId="0" applyNumberFormat="1" applyFill="1"/>
    <xf numFmtId="49" fontId="0" fillId="46" borderId="0" xfId="0" applyNumberFormat="1" applyFill="1"/>
    <xf numFmtId="49" fontId="0" fillId="63" borderId="0" xfId="0" applyNumberFormat="1" applyFill="1"/>
    <xf numFmtId="49" fontId="0" fillId="47" borderId="0" xfId="0" applyNumberFormat="1" applyFill="1"/>
    <xf numFmtId="49" fontId="0" fillId="72" borderId="0" xfId="0" applyNumberFormat="1" applyFill="1"/>
    <xf numFmtId="49" fontId="0" fillId="48" borderId="0" xfId="0" applyNumberFormat="1" applyFill="1"/>
    <xf numFmtId="49" fontId="0" fillId="73" borderId="0" xfId="0" applyNumberFormat="1" applyFill="1"/>
    <xf numFmtId="49" fontId="0" fillId="49" borderId="0" xfId="0" applyNumberFormat="1" applyFill="1"/>
    <xf numFmtId="49" fontId="0" fillId="50" borderId="0" xfId="0" applyNumberFormat="1" applyFill="1"/>
    <xf numFmtId="49" fontId="0" fillId="74" borderId="0" xfId="0" applyNumberFormat="1" applyFill="1"/>
    <xf numFmtId="49" fontId="0" fillId="75" borderId="0" xfId="0" applyNumberFormat="1" applyFill="1"/>
    <xf numFmtId="49" fontId="0" fillId="66" borderId="0" xfId="0" applyNumberFormat="1" applyFill="1"/>
    <xf numFmtId="49" fontId="0" fillId="76" borderId="0" xfId="0" applyNumberFormat="1" applyFill="1"/>
    <xf numFmtId="49" fontId="0" fillId="81" borderId="0" xfId="0" applyNumberFormat="1" applyFill="1"/>
    <xf numFmtId="49" fontId="6" fillId="0" borderId="0" xfId="0" applyNumberFormat="1" applyFont="1"/>
    <xf numFmtId="0" fontId="6" fillId="0" borderId="0" xfId="0" applyFont="1" applyAlignment="1">
      <alignment horizontal="left"/>
    </xf>
    <xf numFmtId="0" fontId="4" fillId="0" borderId="0" xfId="0" applyFont="1" applyAlignment="1">
      <alignment horizontal="left"/>
    </xf>
    <xf numFmtId="49" fontId="4" fillId="0" borderId="0" xfId="0" applyNumberFormat="1" applyFont="1"/>
    <xf numFmtId="49" fontId="7" fillId="124" borderId="0" xfId="0" applyNumberFormat="1" applyFont="1" applyFill="1" applyAlignment="1">
      <alignment horizontal="left"/>
    </xf>
    <xf numFmtId="0" fontId="0" fillId="0" borderId="0" xfId="0" applyFill="1" applyAlignment="1">
      <alignment horizontal="left"/>
    </xf>
    <xf numFmtId="49" fontId="1" fillId="125" borderId="0" xfId="0" applyNumberFormat="1" applyFont="1" applyFill="1"/>
    <xf numFmtId="49" fontId="1" fillId="126" borderId="0" xfId="0" applyNumberFormat="1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5B0738-BA18-4040-8922-F26CA2042CBF}">
  <sheetPr codeName="Sheet5"/>
  <dimension ref="A1:AM604"/>
  <sheetViews>
    <sheetView tabSelected="1" topLeftCell="A3" zoomScale="85" zoomScaleNormal="85" workbookViewId="0">
      <pane ySplit="4" topLeftCell="A58" activePane="bottomLeft" state="frozen"/>
      <selection activeCell="A3" sqref="A3"/>
      <selection pane="bottomLeft" activeCell="P125" sqref="P125"/>
    </sheetView>
  </sheetViews>
  <sheetFormatPr defaultRowHeight="13.5" x14ac:dyDescent="0.25"/>
  <cols>
    <col min="1" max="1" width="4.7109375" style="28" customWidth="1"/>
    <col min="2" max="2" width="57.7109375" style="28" customWidth="1"/>
    <col min="3" max="4" width="15.7109375" style="28" customWidth="1"/>
    <col min="5" max="5" width="1.7109375" style="28" customWidth="1"/>
    <col min="6" max="7" width="15.7109375" style="28" customWidth="1"/>
    <col min="8" max="8" width="3.7109375" style="28" customWidth="1"/>
    <col min="9" max="10" width="15.7109375" style="28" customWidth="1"/>
    <col min="11" max="11" width="1.7109375" style="28" customWidth="1"/>
    <col min="12" max="13" width="15.7109375" style="28" customWidth="1"/>
    <col min="14" max="14" width="3.7109375" style="28" customWidth="1"/>
    <col min="15" max="16" width="15.7109375" style="28" customWidth="1"/>
    <col min="17" max="17" width="1.7109375" style="28" customWidth="1"/>
    <col min="18" max="19" width="15.7109375" style="28" customWidth="1"/>
    <col min="20" max="20" width="3.7109375" style="28" customWidth="1"/>
    <col min="21" max="22" width="15.7109375" style="28" customWidth="1"/>
    <col min="23" max="23" width="1.7109375" style="28" customWidth="1"/>
    <col min="24" max="25" width="15.7109375" style="28" customWidth="1"/>
    <col min="26" max="26" width="3.7109375" style="28" customWidth="1"/>
    <col min="27" max="27" width="12.7109375" style="28" customWidth="1"/>
    <col min="28" max="28" width="2.7109375" style="28" customWidth="1"/>
    <col min="29" max="29" width="12.7109375" style="28" customWidth="1"/>
    <col min="30" max="30" width="2.7109375" style="28" customWidth="1"/>
    <col min="31" max="31" width="12.7109375" style="28" customWidth="1"/>
    <col min="32" max="32" width="2.7109375" style="28" customWidth="1"/>
    <col min="33" max="33" width="17.28515625" style="28" customWidth="1"/>
    <col min="34" max="34" width="2.7109375" style="28" customWidth="1"/>
    <col min="35" max="35" width="12.7109375" style="28" customWidth="1"/>
    <col min="36" max="16384" width="9.140625" style="28"/>
  </cols>
  <sheetData>
    <row r="1" spans="1:35" x14ac:dyDescent="0.25">
      <c r="A1" s="28" t="s">
        <v>212</v>
      </c>
    </row>
    <row r="3" spans="1:35" s="26" customFormat="1" x14ac:dyDescent="0.25">
      <c r="B3" s="26" t="s">
        <v>0</v>
      </c>
      <c r="C3" s="26" t="s">
        <v>100</v>
      </c>
      <c r="I3" s="26" t="s">
        <v>151</v>
      </c>
      <c r="O3" s="26" t="s">
        <v>156</v>
      </c>
      <c r="U3" s="26" t="s">
        <v>161</v>
      </c>
    </row>
    <row r="4" spans="1:35" s="26" customFormat="1" x14ac:dyDescent="0.25">
      <c r="C4" s="26" t="s">
        <v>215</v>
      </c>
      <c r="F4" s="26" t="s">
        <v>216</v>
      </c>
      <c r="I4" s="26" t="s">
        <v>215</v>
      </c>
      <c r="L4" s="26" t="s">
        <v>216</v>
      </c>
      <c r="O4" s="26" t="s">
        <v>215</v>
      </c>
      <c r="R4" s="26" t="s">
        <v>216</v>
      </c>
      <c r="U4" s="26" t="s">
        <v>215</v>
      </c>
      <c r="X4" s="26" t="s">
        <v>216</v>
      </c>
    </row>
    <row r="5" spans="1:35" s="26" customFormat="1" x14ac:dyDescent="0.25">
      <c r="C5" s="26" t="s">
        <v>146</v>
      </c>
      <c r="D5" s="26" t="s">
        <v>11</v>
      </c>
      <c r="F5" s="26" t="s">
        <v>146</v>
      </c>
      <c r="G5" s="26" t="s">
        <v>11</v>
      </c>
      <c r="I5" s="26" t="s">
        <v>146</v>
      </c>
      <c r="J5" s="26" t="s">
        <v>11</v>
      </c>
      <c r="L5" s="26" t="s">
        <v>146</v>
      </c>
      <c r="M5" s="26" t="s">
        <v>11</v>
      </c>
      <c r="O5" s="26" t="s">
        <v>146</v>
      </c>
      <c r="P5" s="26" t="s">
        <v>11</v>
      </c>
      <c r="R5" s="26" t="s">
        <v>146</v>
      </c>
      <c r="S5" s="26" t="s">
        <v>11</v>
      </c>
      <c r="U5" s="26" t="s">
        <v>146</v>
      </c>
      <c r="V5" s="26" t="s">
        <v>11</v>
      </c>
      <c r="X5" s="26" t="s">
        <v>146</v>
      </c>
      <c r="Y5" s="26" t="s">
        <v>11</v>
      </c>
    </row>
    <row r="6" spans="1:35" s="26" customFormat="1" x14ac:dyDescent="0.25">
      <c r="C6" s="26" t="s">
        <v>147</v>
      </c>
      <c r="D6" s="26" t="s">
        <v>149</v>
      </c>
      <c r="F6" s="26" t="s">
        <v>148</v>
      </c>
      <c r="G6" s="26" t="s">
        <v>150</v>
      </c>
      <c r="I6" s="26" t="s">
        <v>152</v>
      </c>
      <c r="J6" s="26" t="s">
        <v>154</v>
      </c>
      <c r="L6" s="26" t="s">
        <v>153</v>
      </c>
      <c r="M6" s="26" t="s">
        <v>155</v>
      </c>
      <c r="O6" s="26" t="s">
        <v>157</v>
      </c>
      <c r="P6" s="26" t="s">
        <v>159</v>
      </c>
      <c r="R6" s="26" t="s">
        <v>158</v>
      </c>
      <c r="S6" s="26" t="s">
        <v>160</v>
      </c>
      <c r="U6" s="26" t="s">
        <v>162</v>
      </c>
      <c r="V6" s="26" t="s">
        <v>164</v>
      </c>
      <c r="X6" s="26" t="s">
        <v>163</v>
      </c>
      <c r="Y6" s="26" t="s">
        <v>165</v>
      </c>
      <c r="AA6" s="1" t="s">
        <v>3</v>
      </c>
      <c r="AB6" s="1"/>
      <c r="AC6" s="1" t="s">
        <v>2</v>
      </c>
      <c r="AD6" s="1"/>
      <c r="AE6" s="1" t="s">
        <v>8</v>
      </c>
      <c r="AF6" s="1"/>
      <c r="AG6" s="1" t="s">
        <v>19</v>
      </c>
      <c r="AH6" s="1"/>
      <c r="AI6" s="1" t="s">
        <v>300</v>
      </c>
    </row>
    <row r="7" spans="1:35" s="5" customFormat="1" x14ac:dyDescent="0.25">
      <c r="A7" s="184" t="s">
        <v>450</v>
      </c>
      <c r="B7" s="184"/>
      <c r="C7" s="184"/>
      <c r="D7" s="184"/>
      <c r="F7" s="184"/>
      <c r="G7" s="184"/>
      <c r="I7" s="184"/>
      <c r="J7" s="184"/>
      <c r="L7" s="184"/>
      <c r="M7" s="184"/>
      <c r="O7" s="184"/>
      <c r="P7" s="184"/>
      <c r="R7" s="184"/>
      <c r="S7" s="184"/>
      <c r="U7" s="184"/>
      <c r="V7" s="184"/>
      <c r="X7" s="184"/>
      <c r="Y7" s="184"/>
      <c r="AA7" s="184"/>
      <c r="AB7" s="184"/>
      <c r="AC7" s="184"/>
      <c r="AD7" s="184"/>
      <c r="AE7" s="184"/>
      <c r="AF7" s="184"/>
      <c r="AG7" s="184"/>
      <c r="AH7" s="184"/>
      <c r="AI7" s="184"/>
    </row>
    <row r="8" spans="1:35" x14ac:dyDescent="0.25">
      <c r="AA8" s="2"/>
      <c r="AB8" s="2"/>
      <c r="AC8" s="2"/>
      <c r="AD8" s="2"/>
      <c r="AE8" s="2"/>
      <c r="AF8" s="2"/>
      <c r="AG8" s="2"/>
      <c r="AH8" s="2"/>
      <c r="AI8" s="2"/>
    </row>
    <row r="9" spans="1:35" x14ac:dyDescent="0.25">
      <c r="B9" s="7" t="s">
        <v>258</v>
      </c>
      <c r="C9" s="28" t="s">
        <v>257</v>
      </c>
      <c r="D9" s="28" t="s">
        <v>257</v>
      </c>
      <c r="F9" s="28" t="s">
        <v>259</v>
      </c>
      <c r="G9" s="28" t="s">
        <v>259</v>
      </c>
      <c r="I9" s="28" t="s">
        <v>257</v>
      </c>
      <c r="J9" s="28" t="s">
        <v>257</v>
      </c>
      <c r="L9" s="28" t="s">
        <v>259</v>
      </c>
      <c r="M9" s="28" t="s">
        <v>259</v>
      </c>
      <c r="O9" s="28" t="s">
        <v>257</v>
      </c>
      <c r="P9" s="28" t="s">
        <v>257</v>
      </c>
      <c r="R9" s="28" t="s">
        <v>259</v>
      </c>
      <c r="S9" s="28" t="s">
        <v>259</v>
      </c>
      <c r="U9" s="28" t="s">
        <v>257</v>
      </c>
      <c r="V9" s="28" t="s">
        <v>257</v>
      </c>
      <c r="X9" s="28" t="s">
        <v>259</v>
      </c>
      <c r="Y9" s="28" t="s">
        <v>259</v>
      </c>
      <c r="AA9" s="2"/>
      <c r="AB9" s="2"/>
      <c r="AC9" s="2"/>
      <c r="AD9" s="2"/>
      <c r="AE9" s="2"/>
      <c r="AF9" s="2"/>
      <c r="AG9" s="2"/>
      <c r="AH9" s="2"/>
      <c r="AI9" s="2"/>
    </row>
    <row r="10" spans="1:35" s="26" customFormat="1" x14ac:dyDescent="0.25">
      <c r="AA10" s="1"/>
      <c r="AB10" s="1"/>
      <c r="AC10" s="1"/>
      <c r="AD10" s="1"/>
      <c r="AE10" s="1"/>
      <c r="AF10" s="1"/>
      <c r="AG10" s="1"/>
      <c r="AH10" s="1"/>
      <c r="AI10" s="1"/>
    </row>
    <row r="11" spans="1:35" s="5" customFormat="1" x14ac:dyDescent="0.25">
      <c r="A11" s="184" t="s">
        <v>412</v>
      </c>
      <c r="B11" s="184"/>
      <c r="C11" s="184"/>
      <c r="D11" s="184"/>
      <c r="F11" s="184"/>
      <c r="G11" s="184"/>
      <c r="I11" s="184"/>
      <c r="J11" s="184"/>
      <c r="L11" s="184"/>
      <c r="M11" s="184"/>
      <c r="O11" s="184"/>
      <c r="P11" s="184"/>
      <c r="R11" s="184"/>
      <c r="S11" s="184"/>
      <c r="U11" s="184"/>
      <c r="V11" s="184"/>
      <c r="X11" s="184"/>
      <c r="Y11" s="184"/>
      <c r="AA11" s="184"/>
      <c r="AB11" s="184"/>
      <c r="AC11" s="184"/>
      <c r="AD11" s="184"/>
      <c r="AE11" s="184"/>
      <c r="AF11" s="184"/>
      <c r="AG11" s="184"/>
      <c r="AH11" s="184"/>
      <c r="AI11" s="184"/>
    </row>
    <row r="12" spans="1:35" x14ac:dyDescent="0.25">
      <c r="AA12" s="2"/>
      <c r="AB12" s="2"/>
      <c r="AC12" s="2"/>
      <c r="AD12" s="2"/>
      <c r="AE12" s="2"/>
      <c r="AF12" s="2"/>
      <c r="AG12" s="2"/>
      <c r="AH12" s="2"/>
      <c r="AI12" s="2"/>
    </row>
    <row r="13" spans="1:35" x14ac:dyDescent="0.25">
      <c r="B13" s="2" t="str">
        <f>_xlfn.CONCAT("@",AA13,AB13,AC13,AD13,AE13,AF13,AG13,AH13,AI13)</f>
        <v>@default_visibility-landcover-wood</v>
      </c>
      <c r="C13" s="28" t="s">
        <v>415</v>
      </c>
      <c r="D13" s="28" t="s">
        <v>416</v>
      </c>
      <c r="F13" s="28" t="s">
        <v>415</v>
      </c>
      <c r="G13" s="28" t="s">
        <v>416</v>
      </c>
      <c r="I13" s="28" t="s">
        <v>415</v>
      </c>
      <c r="J13" s="28" t="s">
        <v>416</v>
      </c>
      <c r="L13" s="28" t="s">
        <v>415</v>
      </c>
      <c r="M13" s="28" t="s">
        <v>416</v>
      </c>
      <c r="U13" s="28" t="s">
        <v>415</v>
      </c>
      <c r="V13" s="28" t="s">
        <v>416</v>
      </c>
      <c r="X13" s="28" t="s">
        <v>415</v>
      </c>
      <c r="Y13" s="28" t="s">
        <v>416</v>
      </c>
      <c r="AA13" s="2" t="s">
        <v>414</v>
      </c>
      <c r="AB13" s="2" t="str">
        <f t="shared" ref="AB13" si="0">IF(NOT(ISBLANK(AC13)),"-","")</f>
        <v>-</v>
      </c>
      <c r="AC13" s="2" t="s">
        <v>413</v>
      </c>
      <c r="AD13" s="2" t="str">
        <f t="shared" ref="AD13" si="1">IF(NOT(ISBLANK(AE13)),"_","")</f>
        <v/>
      </c>
      <c r="AE13" s="2"/>
      <c r="AF13" s="2" t="str">
        <f t="shared" ref="AF13" si="2">IF(NOT(ISBLANK(AG13)),"_","")</f>
        <v/>
      </c>
      <c r="AG13" s="2"/>
      <c r="AH13" s="2" t="str">
        <f t="shared" ref="AH13" si="3">IF(NOT(ISBLANK(AI13)),"_","")</f>
        <v/>
      </c>
      <c r="AI13" s="2"/>
    </row>
    <row r="14" spans="1:35" x14ac:dyDescent="0.25">
      <c r="B14" s="2" t="str">
        <f>_xlfn.CONCAT("@",AA14,AB14,AC14,AD14,AE14,AF14,AG14,AH14,AI14)</f>
        <v>@default_visibility-landcover-scrub-default</v>
      </c>
      <c r="C14" s="28" t="s">
        <v>415</v>
      </c>
      <c r="D14" s="28" t="s">
        <v>416</v>
      </c>
      <c r="F14" s="28" t="s">
        <v>415</v>
      </c>
      <c r="G14" s="28" t="s">
        <v>416</v>
      </c>
      <c r="I14" s="28" t="s">
        <v>415</v>
      </c>
      <c r="J14" s="28" t="s">
        <v>416</v>
      </c>
      <c r="L14" s="28" t="s">
        <v>415</v>
      </c>
      <c r="M14" s="28" t="s">
        <v>416</v>
      </c>
      <c r="U14" s="28" t="s">
        <v>415</v>
      </c>
      <c r="V14" s="28" t="s">
        <v>416</v>
      </c>
      <c r="X14" s="28" t="s">
        <v>415</v>
      </c>
      <c r="Y14" s="28" t="s">
        <v>416</v>
      </c>
      <c r="AA14" s="2" t="s">
        <v>414</v>
      </c>
      <c r="AB14" s="2" t="str">
        <f t="shared" ref="AB14" si="4">IF(NOT(ISBLANK(AC14)),"-","")</f>
        <v>-</v>
      </c>
      <c r="AC14" s="2" t="s">
        <v>420</v>
      </c>
      <c r="AD14" s="2" t="str">
        <f t="shared" ref="AD14" si="5">IF(NOT(ISBLANK(AE14)),"_","")</f>
        <v/>
      </c>
      <c r="AE14" s="2"/>
      <c r="AF14" s="2" t="str">
        <f t="shared" ref="AF14" si="6">IF(NOT(ISBLANK(AG14)),"_","")</f>
        <v/>
      </c>
      <c r="AG14" s="2"/>
      <c r="AH14" s="2" t="str">
        <f t="shared" ref="AH14" si="7">IF(NOT(ISBLANK(AI14)),"_","")</f>
        <v/>
      </c>
      <c r="AI14" s="2"/>
    </row>
    <row r="15" spans="1:35" x14ac:dyDescent="0.25">
      <c r="B15" s="2" t="str">
        <f>_xlfn.CONCAT("@",AA15,AB15,AC15,AD15,AE15,AF15,AG15,AH15,AI15)</f>
        <v>@default_visibility-landcover-scrub-nowoods</v>
      </c>
      <c r="C15" s="28" t="s">
        <v>416</v>
      </c>
      <c r="D15" s="28" t="s">
        <v>415</v>
      </c>
      <c r="F15" s="28" t="s">
        <v>416</v>
      </c>
      <c r="G15" s="28" t="s">
        <v>415</v>
      </c>
      <c r="I15" s="28" t="s">
        <v>416</v>
      </c>
      <c r="J15" s="28" t="s">
        <v>415</v>
      </c>
      <c r="L15" s="28" t="s">
        <v>416</v>
      </c>
      <c r="M15" s="28" t="s">
        <v>415</v>
      </c>
      <c r="U15" s="28" t="s">
        <v>416</v>
      </c>
      <c r="V15" s="28" t="s">
        <v>415</v>
      </c>
      <c r="X15" s="28" t="s">
        <v>416</v>
      </c>
      <c r="Y15" s="28" t="s">
        <v>415</v>
      </c>
      <c r="AA15" s="2" t="s">
        <v>414</v>
      </c>
      <c r="AB15" s="2" t="str">
        <f t="shared" ref="AB15:AB16" si="8">IF(NOT(ISBLANK(AC15)),"-","")</f>
        <v>-</v>
      </c>
      <c r="AC15" s="2" t="s">
        <v>417</v>
      </c>
      <c r="AD15" s="2" t="str">
        <f t="shared" ref="AD15:AD16" si="9">IF(NOT(ISBLANK(AE15)),"_","")</f>
        <v/>
      </c>
      <c r="AE15" s="2"/>
      <c r="AF15" s="2" t="str">
        <f t="shared" ref="AF15:AF16" si="10">IF(NOT(ISBLANK(AG15)),"_","")</f>
        <v/>
      </c>
      <c r="AG15" s="2"/>
      <c r="AH15" s="2" t="str">
        <f t="shared" ref="AH15:AH16" si="11">IF(NOT(ISBLANK(AI15)),"_","")</f>
        <v/>
      </c>
      <c r="AI15" s="2"/>
    </row>
    <row r="16" spans="1:35" x14ac:dyDescent="0.25">
      <c r="B16" s="2" t="str">
        <f>_xlfn.CONCAT("@",AA16,AB16,AC16,AD16,AE16,AF16,AG16,AH16,AI16)</f>
        <v>@default_visibility-landcover-wetland-default</v>
      </c>
      <c r="C16" s="28" t="s">
        <v>415</v>
      </c>
      <c r="D16" s="28" t="s">
        <v>416</v>
      </c>
      <c r="F16" s="28" t="s">
        <v>415</v>
      </c>
      <c r="G16" s="28" t="s">
        <v>416</v>
      </c>
      <c r="I16" s="28" t="s">
        <v>415</v>
      </c>
      <c r="J16" s="28" t="s">
        <v>416</v>
      </c>
      <c r="L16" s="28" t="s">
        <v>415</v>
      </c>
      <c r="M16" s="28" t="s">
        <v>416</v>
      </c>
      <c r="U16" s="28" t="s">
        <v>415</v>
      </c>
      <c r="V16" s="28" t="s">
        <v>416</v>
      </c>
      <c r="X16" s="28" t="s">
        <v>415</v>
      </c>
      <c r="Y16" s="28" t="s">
        <v>416</v>
      </c>
      <c r="AA16" s="2" t="s">
        <v>414</v>
      </c>
      <c r="AB16" s="2" t="str">
        <f t="shared" si="8"/>
        <v>-</v>
      </c>
      <c r="AC16" s="2" t="s">
        <v>419</v>
      </c>
      <c r="AD16" s="2" t="str">
        <f t="shared" si="9"/>
        <v/>
      </c>
      <c r="AE16" s="2"/>
      <c r="AF16" s="2" t="str">
        <f t="shared" si="10"/>
        <v/>
      </c>
      <c r="AG16" s="2"/>
      <c r="AH16" s="2" t="str">
        <f t="shared" si="11"/>
        <v/>
      </c>
      <c r="AI16" s="2"/>
    </row>
    <row r="17" spans="1:35" x14ac:dyDescent="0.25">
      <c r="B17" s="2" t="str">
        <f>_xlfn.CONCAT("@",AA17,AB17,AC17,AD17,AE17,AF17,AG17,AH17,AI17)</f>
        <v>@default_visibility-landcover-wetland-nowoods</v>
      </c>
      <c r="C17" s="28" t="s">
        <v>416</v>
      </c>
      <c r="D17" s="28" t="s">
        <v>415</v>
      </c>
      <c r="F17" s="28" t="s">
        <v>416</v>
      </c>
      <c r="G17" s="28" t="s">
        <v>415</v>
      </c>
      <c r="I17" s="28" t="s">
        <v>416</v>
      </c>
      <c r="J17" s="28" t="s">
        <v>415</v>
      </c>
      <c r="L17" s="28" t="s">
        <v>416</v>
      </c>
      <c r="M17" s="28" t="s">
        <v>415</v>
      </c>
      <c r="U17" s="28" t="s">
        <v>416</v>
      </c>
      <c r="V17" s="28" t="s">
        <v>415</v>
      </c>
      <c r="X17" s="28" t="s">
        <v>416</v>
      </c>
      <c r="Y17" s="28" t="s">
        <v>415</v>
      </c>
      <c r="AA17" s="2" t="s">
        <v>414</v>
      </c>
      <c r="AB17" s="2" t="str">
        <f t="shared" ref="AB17" si="12">IF(NOT(ISBLANK(AC17)),"-","")</f>
        <v>-</v>
      </c>
      <c r="AC17" s="2" t="s">
        <v>418</v>
      </c>
      <c r="AD17" s="2" t="str">
        <f t="shared" ref="AD17" si="13">IF(NOT(ISBLANK(AE17)),"_","")</f>
        <v/>
      </c>
      <c r="AE17" s="2"/>
      <c r="AF17" s="2" t="str">
        <f t="shared" ref="AF17" si="14">IF(NOT(ISBLANK(AG17)),"_","")</f>
        <v/>
      </c>
      <c r="AG17" s="2"/>
      <c r="AH17" s="2" t="str">
        <f t="shared" ref="AH17" si="15">IF(NOT(ISBLANK(AI17)),"_","")</f>
        <v/>
      </c>
      <c r="AI17" s="2"/>
    </row>
    <row r="18" spans="1:35" s="26" customFormat="1" x14ac:dyDescent="0.25">
      <c r="AA18" s="1"/>
      <c r="AB18" s="1"/>
      <c r="AC18" s="1"/>
      <c r="AD18" s="1"/>
      <c r="AE18" s="1"/>
      <c r="AF18" s="1"/>
      <c r="AG18" s="1"/>
      <c r="AH18" s="1"/>
      <c r="AI18" s="1"/>
    </row>
    <row r="19" spans="1:35" s="5" customFormat="1" x14ac:dyDescent="0.25">
      <c r="A19" s="184" t="s">
        <v>452</v>
      </c>
      <c r="B19" s="184"/>
      <c r="C19" s="184"/>
      <c r="D19" s="184"/>
      <c r="F19" s="184"/>
      <c r="G19" s="184"/>
      <c r="I19" s="184"/>
      <c r="J19" s="184"/>
      <c r="L19" s="184"/>
      <c r="M19" s="184"/>
      <c r="O19" s="184"/>
      <c r="P19" s="184"/>
      <c r="R19" s="184"/>
      <c r="S19" s="184"/>
      <c r="U19" s="184"/>
      <c r="V19" s="184"/>
      <c r="X19" s="184"/>
      <c r="Y19" s="184"/>
      <c r="AA19" s="184"/>
      <c r="AB19" s="184"/>
      <c r="AC19" s="184"/>
      <c r="AD19" s="184"/>
      <c r="AE19" s="184"/>
      <c r="AF19" s="184"/>
      <c r="AG19" s="184"/>
      <c r="AH19" s="184"/>
      <c r="AI19" s="184"/>
    </row>
    <row r="20" spans="1:35" x14ac:dyDescent="0.25">
      <c r="AA20" s="2"/>
      <c r="AB20" s="2"/>
      <c r="AC20" s="2"/>
      <c r="AD20" s="2"/>
      <c r="AE20" s="2"/>
      <c r="AF20" s="2"/>
      <c r="AG20" s="2"/>
      <c r="AH20" s="2"/>
      <c r="AI20" s="2"/>
    </row>
    <row r="21" spans="1:35" s="2" customFormat="1" x14ac:dyDescent="0.25">
      <c r="A21" s="185"/>
      <c r="B21" s="3" t="s">
        <v>460</v>
      </c>
      <c r="C21" s="27"/>
      <c r="D21" s="6"/>
      <c r="E21" s="7"/>
      <c r="F21" s="6"/>
      <c r="G21" s="6"/>
      <c r="H21" s="7"/>
      <c r="I21" s="6"/>
      <c r="J21" s="6"/>
      <c r="K21" s="7"/>
      <c r="L21" s="6"/>
      <c r="M21" s="6"/>
      <c r="N21" s="7"/>
      <c r="O21" s="6"/>
      <c r="P21" s="6"/>
      <c r="Q21" s="7"/>
      <c r="R21" s="6"/>
      <c r="S21" s="6"/>
      <c r="T21" s="7"/>
      <c r="U21" s="6"/>
      <c r="V21" s="6"/>
      <c r="W21" s="7"/>
      <c r="X21" s="6"/>
      <c r="Y21" s="6"/>
      <c r="AA21" s="4"/>
      <c r="AB21" s="4" t="str">
        <f>IF(NOT(ISBLANK(AC21)),"-","")</f>
        <v/>
      </c>
      <c r="AC21" s="4"/>
      <c r="AD21" s="4" t="str">
        <f>IF(NOT(ISBLANK(AE21)),"_","")</f>
        <v/>
      </c>
      <c r="AE21" s="4"/>
      <c r="AF21" s="4" t="str">
        <f>IF(NOT(ISBLANK(AG21)),"_","")</f>
        <v/>
      </c>
      <c r="AG21" s="4"/>
      <c r="AH21" s="4" t="str">
        <f>IF(NOT(ISBLANK(AI21)),"_","")</f>
        <v/>
      </c>
      <c r="AI21" s="4"/>
    </row>
    <row r="22" spans="1:35" x14ac:dyDescent="0.25">
      <c r="AA22" s="2"/>
      <c r="AB22" s="2"/>
      <c r="AC22" s="2"/>
      <c r="AD22" s="2"/>
      <c r="AE22" s="2"/>
      <c r="AF22" s="2"/>
      <c r="AG22" s="2"/>
      <c r="AH22" s="2"/>
      <c r="AI22" s="2"/>
    </row>
    <row r="23" spans="1:35" x14ac:dyDescent="0.25">
      <c r="B23" s="2" t="str">
        <f>_xlfn.CONCAT("@",AA23,AB23,AC23,AD23,AE23,AF23,AG23,AH23,AI23)</f>
        <v>@color-label_peak</v>
      </c>
      <c r="C23" s="35" t="s">
        <v>284</v>
      </c>
      <c r="D23" s="37" t="s">
        <v>210</v>
      </c>
      <c r="F23" s="36" t="s">
        <v>285</v>
      </c>
      <c r="G23" s="38" t="s">
        <v>218</v>
      </c>
      <c r="I23" s="35" t="s">
        <v>284</v>
      </c>
      <c r="J23" s="37" t="s">
        <v>210</v>
      </c>
      <c r="L23" s="36" t="s">
        <v>285</v>
      </c>
      <c r="M23" s="38" t="s">
        <v>218</v>
      </c>
      <c r="U23" s="35" t="s">
        <v>284</v>
      </c>
      <c r="V23" s="37" t="s">
        <v>210</v>
      </c>
      <c r="X23" s="36" t="s">
        <v>285</v>
      </c>
      <c r="Y23" s="38" t="s">
        <v>218</v>
      </c>
      <c r="AA23" s="2" t="s">
        <v>6</v>
      </c>
      <c r="AB23" s="2" t="str">
        <f>IF(NOT(ISBLANK(AC23)),"-","")</f>
        <v>-</v>
      </c>
      <c r="AC23" s="2" t="s">
        <v>262</v>
      </c>
      <c r="AD23" s="2" t="str">
        <f>IF(NOT(ISBLANK(AE23)),"_","")</f>
        <v>_</v>
      </c>
      <c r="AE23" s="2" t="s">
        <v>283</v>
      </c>
      <c r="AF23" s="2" t="str">
        <f>IF(NOT(ISBLANK(AG23)),"_","")</f>
        <v/>
      </c>
      <c r="AG23" s="2"/>
      <c r="AH23" s="2" t="str">
        <f>IF(NOT(ISBLANK(AI23)),"_","")</f>
        <v/>
      </c>
      <c r="AI23" s="2"/>
    </row>
    <row r="24" spans="1:35" x14ac:dyDescent="0.25">
      <c r="B24" s="2" t="str">
        <f>_xlfn.CONCAT("@",AA24,AB24,AC24,AD24,AE24,AF24,AG24,AH24,AI24)</f>
        <v>@color-label_halo_peak</v>
      </c>
      <c r="C24" s="38" t="s">
        <v>218</v>
      </c>
      <c r="D24" s="38" t="s">
        <v>218</v>
      </c>
      <c r="F24" s="37" t="s">
        <v>210</v>
      </c>
      <c r="G24" s="37" t="s">
        <v>210</v>
      </c>
      <c r="I24" s="38" t="s">
        <v>218</v>
      </c>
      <c r="J24" s="38" t="s">
        <v>218</v>
      </c>
      <c r="L24" s="37" t="s">
        <v>210</v>
      </c>
      <c r="M24" s="37" t="s">
        <v>210</v>
      </c>
      <c r="U24" s="38" t="s">
        <v>218</v>
      </c>
      <c r="V24" s="38" t="s">
        <v>218</v>
      </c>
      <c r="X24" s="37" t="s">
        <v>210</v>
      </c>
      <c r="Y24" s="37" t="s">
        <v>210</v>
      </c>
      <c r="AA24" s="2" t="s">
        <v>6</v>
      </c>
      <c r="AB24" s="2" t="str">
        <f>IF(NOT(ISBLANK(AC24)),"-","")</f>
        <v>-</v>
      </c>
      <c r="AC24" s="2" t="s">
        <v>271</v>
      </c>
      <c r="AD24" s="2" t="str">
        <f>IF(NOT(ISBLANK(AE24)),"_","")</f>
        <v>_</v>
      </c>
      <c r="AE24" s="2" t="s">
        <v>283</v>
      </c>
      <c r="AF24" s="2" t="str">
        <f>IF(NOT(ISBLANK(AG24)),"_","")</f>
        <v/>
      </c>
      <c r="AG24" s="2"/>
      <c r="AH24" s="2" t="str">
        <f>IF(NOT(ISBLANK(AI24)),"_","")</f>
        <v/>
      </c>
      <c r="AI24" s="2"/>
    </row>
    <row r="25" spans="1:35" x14ac:dyDescent="0.25">
      <c r="B25" s="2" t="str">
        <f>_xlfn.CONCAT("@",AA25,AB25,AC25,AD25,AE25,AF25,AG25,AH25,AI25)</f>
        <v>@text_size-label_peak_z8</v>
      </c>
      <c r="C25" s="28" t="s">
        <v>317</v>
      </c>
      <c r="D25" s="28" t="s">
        <v>327</v>
      </c>
      <c r="F25" s="28" t="s">
        <v>317</v>
      </c>
      <c r="G25" s="28" t="s">
        <v>327</v>
      </c>
      <c r="I25" s="28" t="s">
        <v>317</v>
      </c>
      <c r="J25" s="28" t="s">
        <v>327</v>
      </c>
      <c r="L25" s="28" t="s">
        <v>317</v>
      </c>
      <c r="M25" s="28" t="s">
        <v>327</v>
      </c>
      <c r="U25" s="28" t="s">
        <v>317</v>
      </c>
      <c r="V25" s="28" t="s">
        <v>327</v>
      </c>
      <c r="X25" s="28" t="s">
        <v>317</v>
      </c>
      <c r="Y25" s="28" t="s">
        <v>327</v>
      </c>
      <c r="AA25" s="2" t="s">
        <v>437</v>
      </c>
      <c r="AB25" s="2" t="str">
        <f t="shared" ref="AB25" si="16">IF(NOT(ISBLANK(AC25)),"-","")</f>
        <v>-</v>
      </c>
      <c r="AC25" s="2" t="s">
        <v>262</v>
      </c>
      <c r="AD25" s="2" t="str">
        <f t="shared" ref="AD25" si="17">IF(NOT(ISBLANK(AE25)),"_","")</f>
        <v>_</v>
      </c>
      <c r="AE25" s="2" t="s">
        <v>283</v>
      </c>
      <c r="AF25" s="2" t="str">
        <f t="shared" ref="AF25" si="18">IF(NOT(ISBLANK(AG25)),"_","")</f>
        <v>_</v>
      </c>
      <c r="AG25" s="2" t="s">
        <v>438</v>
      </c>
      <c r="AH25" s="2" t="str">
        <f>IF(NOT(ISBLANK(AI25)),"_","")</f>
        <v/>
      </c>
      <c r="AI25" s="2"/>
    </row>
    <row r="26" spans="1:35" x14ac:dyDescent="0.25">
      <c r="B26" s="2" t="str">
        <f>_xlfn.CONCAT("@",AA26,AB26,AC26,AD26,AE26,AF26,AG26,AH26,AI26)</f>
        <v>@text_size-label_peak_z12</v>
      </c>
      <c r="C26" s="28" t="s">
        <v>83</v>
      </c>
      <c r="D26" s="28" t="s">
        <v>352</v>
      </c>
      <c r="F26" s="28" t="s">
        <v>83</v>
      </c>
      <c r="G26" s="28" t="s">
        <v>352</v>
      </c>
      <c r="I26" s="28" t="s">
        <v>83</v>
      </c>
      <c r="J26" s="28" t="s">
        <v>352</v>
      </c>
      <c r="L26" s="28" t="s">
        <v>83</v>
      </c>
      <c r="M26" s="28" t="s">
        <v>352</v>
      </c>
      <c r="U26" s="28" t="s">
        <v>83</v>
      </c>
      <c r="V26" s="28" t="s">
        <v>352</v>
      </c>
      <c r="X26" s="28" t="s">
        <v>83</v>
      </c>
      <c r="Y26" s="28" t="s">
        <v>352</v>
      </c>
      <c r="AA26" s="2" t="s">
        <v>437</v>
      </c>
      <c r="AB26" s="2" t="str">
        <f>IF(NOT(ISBLANK(AC26)),"-","")</f>
        <v>-</v>
      </c>
      <c r="AC26" s="2" t="s">
        <v>262</v>
      </c>
      <c r="AD26" s="2" t="str">
        <f>IF(NOT(ISBLANK(AE26)),"_","")</f>
        <v>_</v>
      </c>
      <c r="AE26" s="2" t="s">
        <v>283</v>
      </c>
      <c r="AF26" s="2" t="str">
        <f>IF(NOT(ISBLANK(AG26)),"_","")</f>
        <v>_</v>
      </c>
      <c r="AG26" s="2" t="s">
        <v>105</v>
      </c>
      <c r="AH26" s="2" t="str">
        <f t="shared" ref="AH26:AH28" si="19">IF(NOT(ISBLANK(AI26)),"_","")</f>
        <v/>
      </c>
      <c r="AI26" s="2"/>
    </row>
    <row r="27" spans="1:35" x14ac:dyDescent="0.25">
      <c r="B27" s="2" t="str">
        <f>_xlfn.CONCAT("@",AA27,AB27,AC27,AD27,AE27,AF27,AG27,AH27,AI27)</f>
        <v>@text_size-label_peak_z16</v>
      </c>
      <c r="C27" s="28" t="s">
        <v>324</v>
      </c>
      <c r="D27" s="28" t="s">
        <v>325</v>
      </c>
      <c r="F27" s="28" t="s">
        <v>324</v>
      </c>
      <c r="G27" s="28" t="s">
        <v>325</v>
      </c>
      <c r="I27" s="28" t="s">
        <v>324</v>
      </c>
      <c r="J27" s="28" t="s">
        <v>325</v>
      </c>
      <c r="L27" s="28" t="s">
        <v>324</v>
      </c>
      <c r="M27" s="28" t="s">
        <v>325</v>
      </c>
      <c r="U27" s="28" t="s">
        <v>324</v>
      </c>
      <c r="V27" s="28" t="s">
        <v>325</v>
      </c>
      <c r="X27" s="28" t="s">
        <v>324</v>
      </c>
      <c r="Y27" s="28" t="s">
        <v>325</v>
      </c>
      <c r="AA27" s="2" t="s">
        <v>437</v>
      </c>
      <c r="AB27" s="2" t="str">
        <f>IF(NOT(ISBLANK(AC27)),"-","")</f>
        <v>-</v>
      </c>
      <c r="AC27" s="2" t="s">
        <v>262</v>
      </c>
      <c r="AD27" s="2" t="str">
        <f>IF(NOT(ISBLANK(AE27)),"_","")</f>
        <v>_</v>
      </c>
      <c r="AE27" s="2" t="s">
        <v>283</v>
      </c>
      <c r="AF27" s="2" t="str">
        <f>IF(NOT(ISBLANK(AG27)),"_","")</f>
        <v>_</v>
      </c>
      <c r="AG27" s="2" t="s">
        <v>71</v>
      </c>
      <c r="AH27" s="2" t="str">
        <f t="shared" si="19"/>
        <v/>
      </c>
      <c r="AI27" s="2"/>
    </row>
    <row r="28" spans="1:35" x14ac:dyDescent="0.25">
      <c r="B28" s="2" t="str">
        <f>_xlfn.CONCAT("@",AA28,AB28,AC28,AD28,AE28,AF28,AG28,AH28,AI28)</f>
        <v>@text_size-label_peak_z18</v>
      </c>
      <c r="C28" s="28" t="s">
        <v>439</v>
      </c>
      <c r="D28" s="28" t="s">
        <v>442</v>
      </c>
      <c r="F28" s="28" t="s">
        <v>439</v>
      </c>
      <c r="G28" s="28" t="s">
        <v>442</v>
      </c>
      <c r="I28" s="28" t="s">
        <v>439</v>
      </c>
      <c r="J28" s="28" t="s">
        <v>442</v>
      </c>
      <c r="L28" s="28" t="s">
        <v>439</v>
      </c>
      <c r="M28" s="28" t="s">
        <v>442</v>
      </c>
      <c r="U28" s="28" t="s">
        <v>439</v>
      </c>
      <c r="V28" s="28" t="s">
        <v>442</v>
      </c>
      <c r="X28" s="28" t="s">
        <v>439</v>
      </c>
      <c r="Y28" s="28" t="s">
        <v>442</v>
      </c>
      <c r="AA28" s="2" t="s">
        <v>437</v>
      </c>
      <c r="AB28" s="2" t="str">
        <f>IF(NOT(ISBLANK(AC28)),"-","")</f>
        <v>-</v>
      </c>
      <c r="AC28" s="2" t="s">
        <v>262</v>
      </c>
      <c r="AD28" s="2" t="str">
        <f>IF(NOT(ISBLANK(AE28)),"_","")</f>
        <v>_</v>
      </c>
      <c r="AE28" s="2" t="s">
        <v>283</v>
      </c>
      <c r="AF28" s="2" t="str">
        <f>IF(NOT(ISBLANK(AG28)),"_","")</f>
        <v>_</v>
      </c>
      <c r="AG28" s="2" t="s">
        <v>72</v>
      </c>
      <c r="AH28" s="2" t="str">
        <f t="shared" si="19"/>
        <v/>
      </c>
      <c r="AI28" s="2"/>
    </row>
    <row r="29" spans="1:35" x14ac:dyDescent="0.25">
      <c r="AA29" s="2"/>
      <c r="AB29" s="2"/>
      <c r="AC29" s="2"/>
      <c r="AD29" s="2"/>
      <c r="AE29" s="2"/>
      <c r="AF29" s="2"/>
      <c r="AG29" s="2"/>
      <c r="AH29" s="2"/>
      <c r="AI29" s="2"/>
    </row>
    <row r="30" spans="1:35" x14ac:dyDescent="0.25">
      <c r="B30" s="2" t="str">
        <f t="shared" ref="B30:B31" si="20">_xlfn.CONCAT("@",AA30,AB30,AC30,AD30,AE30,AF30,AG30,AH30,AI30)</f>
        <v>@color-label_airport_major</v>
      </c>
      <c r="C30" s="95" t="s">
        <v>289</v>
      </c>
      <c r="D30" s="37" t="s">
        <v>210</v>
      </c>
      <c r="F30" s="96" t="s">
        <v>290</v>
      </c>
      <c r="G30" s="38" t="s">
        <v>218</v>
      </c>
      <c r="I30" s="95" t="s">
        <v>289</v>
      </c>
      <c r="J30" s="37" t="s">
        <v>210</v>
      </c>
      <c r="L30" s="96" t="s">
        <v>290</v>
      </c>
      <c r="M30" s="38" t="s">
        <v>218</v>
      </c>
      <c r="U30" s="95" t="s">
        <v>289</v>
      </c>
      <c r="V30" s="37" t="s">
        <v>210</v>
      </c>
      <c r="X30" s="96" t="s">
        <v>290</v>
      </c>
      <c r="Y30" s="38" t="s">
        <v>218</v>
      </c>
      <c r="AA30" s="2" t="s">
        <v>6</v>
      </c>
      <c r="AB30" s="2" t="str">
        <f t="shared" ref="AB30:AB31" si="21">IF(NOT(ISBLANK(AC30)),"-","")</f>
        <v>-</v>
      </c>
      <c r="AC30" s="2" t="s">
        <v>262</v>
      </c>
      <c r="AD30" s="2" t="str">
        <f t="shared" ref="AD30:AD31" si="22">IF(NOT(ISBLANK(AE30)),"_","")</f>
        <v>_</v>
      </c>
      <c r="AE30" s="2" t="s">
        <v>396</v>
      </c>
      <c r="AF30" s="2" t="str">
        <f t="shared" ref="AF30" si="23">IF(NOT(ISBLANK(AG30)),"_","")</f>
        <v>_</v>
      </c>
      <c r="AG30" s="2" t="s">
        <v>301</v>
      </c>
      <c r="AH30" s="2" t="str">
        <f t="shared" ref="AH30:AH31" si="24">IF(NOT(ISBLANK(AI30)),"_","")</f>
        <v/>
      </c>
      <c r="AI30" s="2"/>
    </row>
    <row r="31" spans="1:35" x14ac:dyDescent="0.25">
      <c r="B31" s="2" t="str">
        <f t="shared" si="20"/>
        <v>@color-label_halo_airport_major</v>
      </c>
      <c r="C31" s="38" t="s">
        <v>218</v>
      </c>
      <c r="D31" s="38" t="s">
        <v>218</v>
      </c>
      <c r="F31" s="37" t="s">
        <v>210</v>
      </c>
      <c r="G31" s="37" t="s">
        <v>210</v>
      </c>
      <c r="I31" s="38" t="s">
        <v>218</v>
      </c>
      <c r="J31" s="38" t="s">
        <v>218</v>
      </c>
      <c r="L31" s="37" t="s">
        <v>210</v>
      </c>
      <c r="M31" s="37" t="s">
        <v>210</v>
      </c>
      <c r="U31" s="38" t="s">
        <v>218</v>
      </c>
      <c r="V31" s="38" t="s">
        <v>218</v>
      </c>
      <c r="X31" s="37" t="s">
        <v>210</v>
      </c>
      <c r="Y31" s="37" t="s">
        <v>210</v>
      </c>
      <c r="AA31" s="2" t="s">
        <v>6</v>
      </c>
      <c r="AB31" s="2" t="str">
        <f t="shared" si="21"/>
        <v>-</v>
      </c>
      <c r="AC31" s="2" t="s">
        <v>271</v>
      </c>
      <c r="AD31" s="2" t="str">
        <f t="shared" si="22"/>
        <v>_</v>
      </c>
      <c r="AE31" s="2" t="s">
        <v>396</v>
      </c>
      <c r="AF31" s="2" t="str">
        <f t="shared" ref="AF31" si="25">IF(NOT(ISBLANK(AG31)),"_","")</f>
        <v>_</v>
      </c>
      <c r="AG31" s="2" t="s">
        <v>301</v>
      </c>
      <c r="AH31" s="2" t="str">
        <f t="shared" si="24"/>
        <v/>
      </c>
      <c r="AI31" s="2"/>
    </row>
    <row r="32" spans="1:35" x14ac:dyDescent="0.25">
      <c r="AA32" s="2"/>
      <c r="AB32" s="2"/>
      <c r="AC32" s="2"/>
      <c r="AD32" s="2"/>
      <c r="AE32" s="2"/>
      <c r="AF32" s="2"/>
      <c r="AG32" s="2"/>
      <c r="AH32" s="2"/>
      <c r="AI32" s="2"/>
    </row>
    <row r="33" spans="2:35" x14ac:dyDescent="0.25">
      <c r="B33" s="2" t="str">
        <f>_xlfn.CONCAT("@",AA33,AB33,AC33,AD33,AE33,AF33,AG33,AH33,AI33)</f>
        <v>@color-label_parking_default</v>
      </c>
      <c r="C33" s="37" t="s">
        <v>210</v>
      </c>
      <c r="D33" s="37" t="s">
        <v>210</v>
      </c>
      <c r="F33" s="38" t="s">
        <v>218</v>
      </c>
      <c r="G33" s="38" t="s">
        <v>218</v>
      </c>
      <c r="I33" s="37" t="s">
        <v>210</v>
      </c>
      <c r="J33" s="37" t="s">
        <v>210</v>
      </c>
      <c r="L33" s="38" t="s">
        <v>218</v>
      </c>
      <c r="M33" s="38" t="s">
        <v>218</v>
      </c>
      <c r="U33" s="37" t="s">
        <v>210</v>
      </c>
      <c r="V33" s="37" t="s">
        <v>210</v>
      </c>
      <c r="X33" s="38" t="s">
        <v>218</v>
      </c>
      <c r="Y33" s="38" t="s">
        <v>218</v>
      </c>
      <c r="AA33" s="2" t="s">
        <v>6</v>
      </c>
      <c r="AB33" s="2" t="str">
        <f t="shared" ref="AB33" si="26">IF(NOT(ISBLANK(AC33)),"-","")</f>
        <v>-</v>
      </c>
      <c r="AC33" s="2" t="s">
        <v>262</v>
      </c>
      <c r="AD33" s="2" t="str">
        <f t="shared" ref="AD33" si="27">IF(NOT(ISBLANK(AE33)),"_","")</f>
        <v>_</v>
      </c>
      <c r="AE33" s="2" t="s">
        <v>263</v>
      </c>
      <c r="AF33" s="2" t="str">
        <f t="shared" ref="AF33" si="28">IF(NOT(ISBLANK(AG33)),"_","")</f>
        <v>_</v>
      </c>
      <c r="AG33" s="2" t="s">
        <v>255</v>
      </c>
      <c r="AH33" s="2" t="str">
        <f t="shared" ref="AH33:AH97" si="29">IF(NOT(ISBLANK(AI33)),"_","")</f>
        <v/>
      </c>
      <c r="AI33" s="2"/>
    </row>
    <row r="34" spans="2:35" x14ac:dyDescent="0.25">
      <c r="B34" s="2" t="str">
        <f>_xlfn.CONCAT("@",AA34,AB34,AC34,AD34,AE34,AF34,AG34,AH34,AI34)</f>
        <v>@color-label_halo_parking</v>
      </c>
      <c r="C34" s="38" t="s">
        <v>218</v>
      </c>
      <c r="D34" s="38" t="s">
        <v>218</v>
      </c>
      <c r="F34" s="37" t="s">
        <v>210</v>
      </c>
      <c r="G34" s="37" t="s">
        <v>210</v>
      </c>
      <c r="I34" s="38" t="s">
        <v>218</v>
      </c>
      <c r="J34" s="38" t="s">
        <v>218</v>
      </c>
      <c r="L34" s="37" t="s">
        <v>210</v>
      </c>
      <c r="M34" s="37" t="s">
        <v>210</v>
      </c>
      <c r="U34" s="38" t="s">
        <v>218</v>
      </c>
      <c r="V34" s="38" t="s">
        <v>218</v>
      </c>
      <c r="X34" s="37" t="s">
        <v>210</v>
      </c>
      <c r="Y34" s="37" t="s">
        <v>210</v>
      </c>
      <c r="AA34" s="2" t="s">
        <v>6</v>
      </c>
      <c r="AB34" s="2" t="str">
        <f t="shared" ref="AB34" si="30">IF(NOT(ISBLANK(AC34)),"-","")</f>
        <v>-</v>
      </c>
      <c r="AC34" s="2" t="s">
        <v>271</v>
      </c>
      <c r="AD34" s="2" t="str">
        <f t="shared" ref="AD34" si="31">IF(NOT(ISBLANK(AE34)),"_","")</f>
        <v>_</v>
      </c>
      <c r="AE34" s="2" t="s">
        <v>263</v>
      </c>
      <c r="AF34" s="2" t="str">
        <f t="shared" ref="AF34" si="32">IF(NOT(ISBLANK(AG34)),"_","")</f>
        <v/>
      </c>
      <c r="AG34" s="2"/>
      <c r="AH34" s="2" t="str">
        <f t="shared" ref="AH34" si="33">IF(NOT(ISBLANK(AI34)),"_","")</f>
        <v/>
      </c>
      <c r="AI34" s="2"/>
    </row>
    <row r="35" spans="2:35" x14ac:dyDescent="0.25">
      <c r="B35" s="2" t="str">
        <f t="shared" ref="B35:B97" si="34">_xlfn.CONCAT("@",AA35,AB35,AC35,AD35,AE35,AF35,AG35,AH35,AI35)</f>
        <v>@color-label_parking_yes</v>
      </c>
      <c r="C35" s="38" t="s">
        <v>218</v>
      </c>
      <c r="D35" s="38" t="s">
        <v>218</v>
      </c>
      <c r="F35" s="37" t="s">
        <v>210</v>
      </c>
      <c r="G35" s="37" t="s">
        <v>210</v>
      </c>
      <c r="I35" s="38" t="s">
        <v>218</v>
      </c>
      <c r="J35" s="38" t="s">
        <v>218</v>
      </c>
      <c r="L35" s="37" t="s">
        <v>210</v>
      </c>
      <c r="M35" s="37" t="s">
        <v>210</v>
      </c>
      <c r="U35" s="38" t="s">
        <v>218</v>
      </c>
      <c r="V35" s="38" t="s">
        <v>218</v>
      </c>
      <c r="X35" s="37" t="s">
        <v>210</v>
      </c>
      <c r="Y35" s="37" t="s">
        <v>210</v>
      </c>
      <c r="AA35" s="2" t="s">
        <v>6</v>
      </c>
      <c r="AB35" s="2" t="str">
        <f t="shared" ref="AB35" si="35">IF(NOT(ISBLANK(AC35)),"-","")</f>
        <v>-</v>
      </c>
      <c r="AC35" s="2" t="s">
        <v>262</v>
      </c>
      <c r="AD35" s="2" t="str">
        <f t="shared" ref="AD35" si="36">IF(NOT(ISBLANK(AE35)),"_","")</f>
        <v>_</v>
      </c>
      <c r="AE35" s="2" t="s">
        <v>263</v>
      </c>
      <c r="AF35" s="2" t="str">
        <f t="shared" ref="AF35" si="37">IF(NOT(ISBLANK(AG35)),"_","")</f>
        <v>_</v>
      </c>
      <c r="AG35" s="2" t="s">
        <v>264</v>
      </c>
      <c r="AH35" s="2" t="str">
        <f t="shared" si="29"/>
        <v/>
      </c>
      <c r="AI35" s="2"/>
    </row>
    <row r="36" spans="2:35" x14ac:dyDescent="0.25">
      <c r="B36" s="2" t="str">
        <f t="shared" si="34"/>
        <v>@color-label_parking_no</v>
      </c>
      <c r="C36" s="39" t="s">
        <v>265</v>
      </c>
      <c r="D36" s="39" t="s">
        <v>265</v>
      </c>
      <c r="F36" s="39" t="s">
        <v>265</v>
      </c>
      <c r="G36" s="39" t="s">
        <v>265</v>
      </c>
      <c r="I36" s="39" t="s">
        <v>265</v>
      </c>
      <c r="J36" s="39" t="s">
        <v>265</v>
      </c>
      <c r="L36" s="39" t="s">
        <v>265</v>
      </c>
      <c r="M36" s="39" t="s">
        <v>265</v>
      </c>
      <c r="U36" s="39" t="s">
        <v>265</v>
      </c>
      <c r="V36" s="39" t="s">
        <v>265</v>
      </c>
      <c r="X36" s="39" t="s">
        <v>265</v>
      </c>
      <c r="Y36" s="39" t="s">
        <v>265</v>
      </c>
      <c r="AA36" s="2" t="s">
        <v>6</v>
      </c>
      <c r="AB36" s="2" t="str">
        <f t="shared" ref="AB36:AB38" si="38">IF(NOT(ISBLANK(AC36)),"-","")</f>
        <v>-</v>
      </c>
      <c r="AC36" s="2" t="s">
        <v>262</v>
      </c>
      <c r="AD36" s="2" t="str">
        <f t="shared" ref="AD36:AD38" si="39">IF(NOT(ISBLANK(AE36)),"_","")</f>
        <v>_</v>
      </c>
      <c r="AE36" s="2" t="s">
        <v>263</v>
      </c>
      <c r="AF36" s="2" t="str">
        <f t="shared" ref="AF36:AF38" si="40">IF(NOT(ISBLANK(AG36)),"_","")</f>
        <v>_</v>
      </c>
      <c r="AG36" s="2" t="s">
        <v>40</v>
      </c>
      <c r="AH36" s="2" t="str">
        <f t="shared" si="29"/>
        <v/>
      </c>
      <c r="AI36" s="2"/>
    </row>
    <row r="37" spans="2:35" x14ac:dyDescent="0.25">
      <c r="AA37" s="2"/>
      <c r="AB37" s="2"/>
      <c r="AC37" s="2"/>
      <c r="AD37" s="2"/>
      <c r="AE37" s="2"/>
      <c r="AF37" s="2"/>
      <c r="AG37" s="2"/>
      <c r="AH37" s="2"/>
      <c r="AI37" s="2"/>
    </row>
    <row r="38" spans="2:35" x14ac:dyDescent="0.25">
      <c r="B38" s="2" t="str">
        <f t="shared" si="34"/>
        <v>@color-label_place_other</v>
      </c>
      <c r="C38" s="29" t="s">
        <v>269</v>
      </c>
      <c r="D38" s="47" t="s">
        <v>210</v>
      </c>
      <c r="F38" s="30" t="s">
        <v>270</v>
      </c>
      <c r="G38" s="38" t="s">
        <v>218</v>
      </c>
      <c r="I38" s="29" t="s">
        <v>269</v>
      </c>
      <c r="J38" s="47" t="s">
        <v>210</v>
      </c>
      <c r="L38" s="30" t="s">
        <v>270</v>
      </c>
      <c r="M38" s="38" t="s">
        <v>218</v>
      </c>
      <c r="U38" s="29" t="s">
        <v>269</v>
      </c>
      <c r="V38" s="47" t="s">
        <v>210</v>
      </c>
      <c r="X38" s="30" t="s">
        <v>270</v>
      </c>
      <c r="Y38" s="38" t="s">
        <v>218</v>
      </c>
      <c r="AA38" s="2" t="s">
        <v>6</v>
      </c>
      <c r="AB38" s="2" t="str">
        <f t="shared" si="38"/>
        <v>-</v>
      </c>
      <c r="AC38" s="2" t="s">
        <v>262</v>
      </c>
      <c r="AD38" s="2" t="str">
        <f t="shared" si="39"/>
        <v>_</v>
      </c>
      <c r="AE38" s="2" t="s">
        <v>267</v>
      </c>
      <c r="AF38" s="2" t="str">
        <f t="shared" si="40"/>
        <v>_</v>
      </c>
      <c r="AG38" s="2" t="s">
        <v>268</v>
      </c>
      <c r="AH38" s="2" t="str">
        <f t="shared" si="29"/>
        <v/>
      </c>
      <c r="AI38" s="2"/>
    </row>
    <row r="39" spans="2:35" x14ac:dyDescent="0.25">
      <c r="B39" s="2" t="str">
        <f t="shared" si="34"/>
        <v>@color-label_halo_place_other</v>
      </c>
      <c r="C39" s="31" t="s">
        <v>272</v>
      </c>
      <c r="D39" s="38" t="s">
        <v>218</v>
      </c>
      <c r="F39" s="32" t="s">
        <v>273</v>
      </c>
      <c r="G39" s="37" t="s">
        <v>210</v>
      </c>
      <c r="I39" s="31" t="s">
        <v>272</v>
      </c>
      <c r="J39" s="38" t="s">
        <v>218</v>
      </c>
      <c r="L39" s="32" t="s">
        <v>273</v>
      </c>
      <c r="M39" s="37" t="s">
        <v>210</v>
      </c>
      <c r="U39" s="31" t="s">
        <v>272</v>
      </c>
      <c r="V39" s="38" t="s">
        <v>218</v>
      </c>
      <c r="X39" s="32" t="s">
        <v>273</v>
      </c>
      <c r="Y39" s="37" t="s">
        <v>210</v>
      </c>
      <c r="AA39" s="2" t="s">
        <v>6</v>
      </c>
      <c r="AB39" s="2" t="str">
        <f t="shared" ref="AB39:AB44" si="41">IF(NOT(ISBLANK(AC39)),"-","")</f>
        <v>-</v>
      </c>
      <c r="AC39" s="2" t="s">
        <v>271</v>
      </c>
      <c r="AD39" s="2" t="str">
        <f t="shared" ref="AD39:AD44" si="42">IF(NOT(ISBLANK(AE39)),"_","")</f>
        <v>_</v>
      </c>
      <c r="AE39" s="2" t="s">
        <v>267</v>
      </c>
      <c r="AF39" s="2" t="str">
        <f t="shared" ref="AF39:AF44" si="43">IF(NOT(ISBLANK(AG39)),"_","")</f>
        <v>_</v>
      </c>
      <c r="AG39" s="2" t="s">
        <v>268</v>
      </c>
      <c r="AH39" s="2" t="str">
        <f t="shared" si="29"/>
        <v/>
      </c>
      <c r="AI39" s="2"/>
    </row>
    <row r="40" spans="2:35" x14ac:dyDescent="0.25">
      <c r="B40" s="2" t="str">
        <f>_xlfn.CONCAT("@",AA40,AB40,AC40,AD40,AE40,AF40,AG40,AH40,AI40)</f>
        <v>@text_size-label_place_other_z8</v>
      </c>
      <c r="C40" s="28" t="s">
        <v>317</v>
      </c>
      <c r="D40" s="28" t="s">
        <v>83</v>
      </c>
      <c r="F40" s="28" t="s">
        <v>317</v>
      </c>
      <c r="G40" s="28" t="s">
        <v>83</v>
      </c>
      <c r="I40" s="28" t="s">
        <v>317</v>
      </c>
      <c r="J40" s="28" t="s">
        <v>83</v>
      </c>
      <c r="L40" s="28" t="s">
        <v>317</v>
      </c>
      <c r="M40" s="28" t="s">
        <v>83</v>
      </c>
      <c r="U40" s="28" t="s">
        <v>317</v>
      </c>
      <c r="V40" s="28" t="s">
        <v>83</v>
      </c>
      <c r="X40" s="28" t="s">
        <v>317</v>
      </c>
      <c r="Y40" s="28" t="s">
        <v>83</v>
      </c>
      <c r="AA40" s="2" t="s">
        <v>437</v>
      </c>
      <c r="AB40" s="2" t="str">
        <f t="shared" si="41"/>
        <v>-</v>
      </c>
      <c r="AC40" s="2" t="s">
        <v>262</v>
      </c>
      <c r="AD40" s="2" t="str">
        <f t="shared" si="42"/>
        <v>_</v>
      </c>
      <c r="AE40" s="2" t="s">
        <v>267</v>
      </c>
      <c r="AF40" s="2" t="str">
        <f t="shared" si="43"/>
        <v>_</v>
      </c>
      <c r="AG40" s="2" t="s">
        <v>268</v>
      </c>
      <c r="AH40" s="2" t="str">
        <f t="shared" si="29"/>
        <v>_</v>
      </c>
      <c r="AI40" s="2" t="s">
        <v>438</v>
      </c>
    </row>
    <row r="41" spans="2:35" x14ac:dyDescent="0.25">
      <c r="B41" s="2" t="str">
        <f>_xlfn.CONCAT("@",AA41,AB41,AC41,AD41,AE41,AF41,AG41,AH41,AI41)</f>
        <v>@text_size-label_place_other_z10</v>
      </c>
      <c r="C41" s="28" t="s">
        <v>83</v>
      </c>
      <c r="D41" s="28" t="s">
        <v>327</v>
      </c>
      <c r="F41" s="28" t="s">
        <v>83</v>
      </c>
      <c r="G41" s="28" t="s">
        <v>327</v>
      </c>
      <c r="I41" s="28" t="s">
        <v>83</v>
      </c>
      <c r="J41" s="28" t="s">
        <v>327</v>
      </c>
      <c r="L41" s="28" t="s">
        <v>83</v>
      </c>
      <c r="M41" s="28" t="s">
        <v>327</v>
      </c>
      <c r="U41" s="28" t="s">
        <v>83</v>
      </c>
      <c r="V41" s="28" t="s">
        <v>327</v>
      </c>
      <c r="X41" s="28" t="s">
        <v>83</v>
      </c>
      <c r="Y41" s="28" t="s">
        <v>327</v>
      </c>
      <c r="AA41" s="2" t="s">
        <v>437</v>
      </c>
      <c r="AB41" s="2" t="str">
        <f t="shared" ref="AB41" si="44">IF(NOT(ISBLANK(AC41)),"-","")</f>
        <v>-</v>
      </c>
      <c r="AC41" s="2" t="s">
        <v>262</v>
      </c>
      <c r="AD41" s="2" t="str">
        <f t="shared" ref="AD41" si="45">IF(NOT(ISBLANK(AE41)),"_","")</f>
        <v>_</v>
      </c>
      <c r="AE41" s="2" t="s">
        <v>267</v>
      </c>
      <c r="AF41" s="2" t="str">
        <f t="shared" ref="AF41" si="46">IF(NOT(ISBLANK(AG41)),"_","")</f>
        <v>_</v>
      </c>
      <c r="AG41" s="2" t="s">
        <v>268</v>
      </c>
      <c r="AH41" s="2" t="str">
        <f t="shared" ref="AH41" si="47">IF(NOT(ISBLANK(AI41)),"_","")</f>
        <v>_</v>
      </c>
      <c r="AI41" s="2" t="s">
        <v>99</v>
      </c>
    </row>
    <row r="42" spans="2:35" x14ac:dyDescent="0.25">
      <c r="B42" s="2" t="str">
        <f>_xlfn.CONCAT("@",AA42,AB42,AC42,AD42,AE42,AF42,AG42,AH42,AI42)</f>
        <v>@text_size-label_place_other_z14</v>
      </c>
      <c r="C42" s="28" t="s">
        <v>318</v>
      </c>
      <c r="D42" s="28" t="s">
        <v>325</v>
      </c>
      <c r="F42" s="28" t="s">
        <v>318</v>
      </c>
      <c r="G42" s="28" t="s">
        <v>325</v>
      </c>
      <c r="I42" s="28" t="s">
        <v>318</v>
      </c>
      <c r="J42" s="28" t="s">
        <v>325</v>
      </c>
      <c r="L42" s="28" t="s">
        <v>318</v>
      </c>
      <c r="M42" s="28" t="s">
        <v>325</v>
      </c>
      <c r="U42" s="28" t="s">
        <v>318</v>
      </c>
      <c r="V42" s="28" t="s">
        <v>325</v>
      </c>
      <c r="X42" s="28" t="s">
        <v>318</v>
      </c>
      <c r="Y42" s="28" t="s">
        <v>325</v>
      </c>
      <c r="AA42" s="2" t="s">
        <v>437</v>
      </c>
      <c r="AB42" s="2" t="str">
        <f t="shared" ref="AB42" si="48">IF(NOT(ISBLANK(AC42)),"-","")</f>
        <v>-</v>
      </c>
      <c r="AC42" s="2" t="s">
        <v>262</v>
      </c>
      <c r="AD42" s="2" t="str">
        <f t="shared" ref="AD42" si="49">IF(NOT(ISBLANK(AE42)),"_","")</f>
        <v>_</v>
      </c>
      <c r="AE42" s="2" t="s">
        <v>267</v>
      </c>
      <c r="AF42" s="2" t="str">
        <f t="shared" ref="AF42" si="50">IF(NOT(ISBLANK(AG42)),"_","")</f>
        <v>_</v>
      </c>
      <c r="AG42" s="2" t="s">
        <v>268</v>
      </c>
      <c r="AH42" s="2" t="str">
        <f t="shared" ref="AH42" si="51">IF(NOT(ISBLANK(AI42)),"_","")</f>
        <v>_</v>
      </c>
      <c r="AI42" s="2" t="s">
        <v>70</v>
      </c>
    </row>
    <row r="43" spans="2:35" x14ac:dyDescent="0.25">
      <c r="AA43" s="2"/>
      <c r="AB43" s="2"/>
      <c r="AC43" s="2"/>
      <c r="AD43" s="2"/>
      <c r="AE43" s="2"/>
      <c r="AF43" s="2"/>
      <c r="AG43" s="2"/>
      <c r="AH43" s="2"/>
      <c r="AI43" s="2"/>
    </row>
    <row r="44" spans="2:35" x14ac:dyDescent="0.25">
      <c r="B44" s="2" t="str">
        <f t="shared" si="34"/>
        <v>@color-label_place_suburb_hamlet</v>
      </c>
      <c r="C44" s="29" t="s">
        <v>269</v>
      </c>
      <c r="D44" s="37" t="s">
        <v>210</v>
      </c>
      <c r="F44" s="30" t="s">
        <v>270</v>
      </c>
      <c r="G44" s="38" t="s">
        <v>218</v>
      </c>
      <c r="I44" s="29" t="s">
        <v>269</v>
      </c>
      <c r="J44" s="37" t="s">
        <v>210</v>
      </c>
      <c r="L44" s="30" t="s">
        <v>270</v>
      </c>
      <c r="M44" s="38" t="s">
        <v>218</v>
      </c>
      <c r="U44" s="29" t="s">
        <v>269</v>
      </c>
      <c r="V44" s="37" t="s">
        <v>210</v>
      </c>
      <c r="X44" s="30" t="s">
        <v>270</v>
      </c>
      <c r="Y44" s="38" t="s">
        <v>218</v>
      </c>
      <c r="AA44" s="2" t="s">
        <v>6</v>
      </c>
      <c r="AB44" s="2" t="str">
        <f t="shared" si="41"/>
        <v>-</v>
      </c>
      <c r="AC44" s="2" t="s">
        <v>262</v>
      </c>
      <c r="AD44" s="2" t="str">
        <f t="shared" si="42"/>
        <v>_</v>
      </c>
      <c r="AE44" s="2" t="s">
        <v>267</v>
      </c>
      <c r="AF44" s="2" t="str">
        <f t="shared" si="43"/>
        <v>_</v>
      </c>
      <c r="AG44" s="2" t="s">
        <v>274</v>
      </c>
      <c r="AH44" s="2" t="str">
        <f t="shared" si="29"/>
        <v/>
      </c>
      <c r="AI44" s="2"/>
    </row>
    <row r="45" spans="2:35" x14ac:dyDescent="0.25">
      <c r="B45" s="2" t="str">
        <f t="shared" si="34"/>
        <v>@color-label_halo_place_suburb_hamlet</v>
      </c>
      <c r="C45" s="31" t="s">
        <v>272</v>
      </c>
      <c r="D45" s="38" t="s">
        <v>218</v>
      </c>
      <c r="F45" s="32" t="s">
        <v>273</v>
      </c>
      <c r="G45" s="37" t="s">
        <v>210</v>
      </c>
      <c r="I45" s="31" t="s">
        <v>272</v>
      </c>
      <c r="J45" s="38" t="s">
        <v>218</v>
      </c>
      <c r="L45" s="32" t="s">
        <v>273</v>
      </c>
      <c r="M45" s="37" t="s">
        <v>210</v>
      </c>
      <c r="U45" s="31" t="s">
        <v>272</v>
      </c>
      <c r="V45" s="38" t="s">
        <v>218</v>
      </c>
      <c r="X45" s="32" t="s">
        <v>273</v>
      </c>
      <c r="Y45" s="37" t="s">
        <v>210</v>
      </c>
      <c r="AA45" s="2" t="s">
        <v>6</v>
      </c>
      <c r="AB45" s="2" t="str">
        <f t="shared" ref="AB45:AB50" si="52">IF(NOT(ISBLANK(AC45)),"-","")</f>
        <v>-</v>
      </c>
      <c r="AC45" s="2" t="s">
        <v>271</v>
      </c>
      <c r="AD45" s="2" t="str">
        <f t="shared" ref="AD45:AD50" si="53">IF(NOT(ISBLANK(AE45)),"_","")</f>
        <v>_</v>
      </c>
      <c r="AE45" s="2" t="s">
        <v>267</v>
      </c>
      <c r="AF45" s="2" t="str">
        <f t="shared" ref="AF45:AF50" si="54">IF(NOT(ISBLANK(AG45)),"_","")</f>
        <v>_</v>
      </c>
      <c r="AG45" s="2" t="s">
        <v>274</v>
      </c>
      <c r="AH45" s="2" t="str">
        <f t="shared" si="29"/>
        <v/>
      </c>
      <c r="AI45" s="2"/>
    </row>
    <row r="46" spans="2:35" x14ac:dyDescent="0.25">
      <c r="B46" s="2" t="str">
        <f>_xlfn.CONCAT("@",AA46,AB46,AC46,AD46,AE46,AF46,AG46,AH46,AI46)</f>
        <v>@text_size-label_place_suburb_hamlet_z8</v>
      </c>
      <c r="C46" s="28" t="s">
        <v>83</v>
      </c>
      <c r="D46" s="28" t="s">
        <v>327</v>
      </c>
      <c r="F46" s="28" t="s">
        <v>83</v>
      </c>
      <c r="G46" s="28" t="s">
        <v>327</v>
      </c>
      <c r="I46" s="28" t="s">
        <v>83</v>
      </c>
      <c r="J46" s="28" t="s">
        <v>327</v>
      </c>
      <c r="L46" s="28" t="s">
        <v>83</v>
      </c>
      <c r="M46" s="28" t="s">
        <v>327</v>
      </c>
      <c r="U46" s="28" t="s">
        <v>83</v>
      </c>
      <c r="V46" s="28" t="s">
        <v>327</v>
      </c>
      <c r="X46" s="28" t="s">
        <v>83</v>
      </c>
      <c r="Y46" s="28" t="s">
        <v>327</v>
      </c>
      <c r="AA46" s="2" t="s">
        <v>437</v>
      </c>
      <c r="AB46" s="2" t="str">
        <f t="shared" si="52"/>
        <v>-</v>
      </c>
      <c r="AC46" s="2" t="s">
        <v>262</v>
      </c>
      <c r="AD46" s="2" t="str">
        <f t="shared" si="53"/>
        <v>_</v>
      </c>
      <c r="AE46" s="2" t="s">
        <v>267</v>
      </c>
      <c r="AF46" s="2" t="str">
        <f t="shared" si="54"/>
        <v>_</v>
      </c>
      <c r="AG46" s="2" t="s">
        <v>274</v>
      </c>
      <c r="AH46" s="2" t="str">
        <f t="shared" ref="AH46:AH48" si="55">IF(NOT(ISBLANK(AI46)),"_","")</f>
        <v>_</v>
      </c>
      <c r="AI46" s="2" t="s">
        <v>438</v>
      </c>
    </row>
    <row r="47" spans="2:35" x14ac:dyDescent="0.25">
      <c r="B47" s="2" t="str">
        <f>_xlfn.CONCAT("@",AA47,AB47,AC47,AD47,AE47,AF47,AG47,AH47,AI47)</f>
        <v>@text_size-label_place_suburb_hamlet_z10</v>
      </c>
      <c r="C47" s="28" t="s">
        <v>327</v>
      </c>
      <c r="D47" s="28" t="s">
        <v>322</v>
      </c>
      <c r="F47" s="28" t="s">
        <v>327</v>
      </c>
      <c r="G47" s="28" t="s">
        <v>322</v>
      </c>
      <c r="I47" s="28" t="s">
        <v>327</v>
      </c>
      <c r="J47" s="28" t="s">
        <v>322</v>
      </c>
      <c r="L47" s="28" t="s">
        <v>327</v>
      </c>
      <c r="M47" s="28" t="s">
        <v>322</v>
      </c>
      <c r="U47" s="28" t="s">
        <v>327</v>
      </c>
      <c r="V47" s="28" t="s">
        <v>322</v>
      </c>
      <c r="X47" s="28" t="s">
        <v>327</v>
      </c>
      <c r="Y47" s="28" t="s">
        <v>322</v>
      </c>
      <c r="AA47" s="2" t="s">
        <v>437</v>
      </c>
      <c r="AB47" s="2" t="str">
        <f t="shared" si="52"/>
        <v>-</v>
      </c>
      <c r="AC47" s="2" t="s">
        <v>262</v>
      </c>
      <c r="AD47" s="2" t="str">
        <f t="shared" si="53"/>
        <v>_</v>
      </c>
      <c r="AE47" s="2" t="s">
        <v>267</v>
      </c>
      <c r="AF47" s="2" t="str">
        <f t="shared" si="54"/>
        <v>_</v>
      </c>
      <c r="AG47" s="2" t="s">
        <v>274</v>
      </c>
      <c r="AH47" s="2" t="str">
        <f t="shared" si="55"/>
        <v>_</v>
      </c>
      <c r="AI47" s="2" t="s">
        <v>99</v>
      </c>
    </row>
    <row r="48" spans="2:35" x14ac:dyDescent="0.25">
      <c r="B48" s="2" t="str">
        <f>_xlfn.CONCAT("@",AA48,AB48,AC48,AD48,AE48,AF48,AG48,AH48,AI48)</f>
        <v>@text_size-label_place_suburb_hamlet_z14</v>
      </c>
      <c r="C48" s="28" t="s">
        <v>325</v>
      </c>
      <c r="D48" s="28" t="s">
        <v>141</v>
      </c>
      <c r="F48" s="28" t="s">
        <v>325</v>
      </c>
      <c r="G48" s="28" t="s">
        <v>141</v>
      </c>
      <c r="I48" s="28" t="s">
        <v>325</v>
      </c>
      <c r="J48" s="28" t="s">
        <v>141</v>
      </c>
      <c r="L48" s="28" t="s">
        <v>325</v>
      </c>
      <c r="M48" s="28" t="s">
        <v>141</v>
      </c>
      <c r="U48" s="28" t="s">
        <v>325</v>
      </c>
      <c r="V48" s="28" t="s">
        <v>141</v>
      </c>
      <c r="X48" s="28" t="s">
        <v>325</v>
      </c>
      <c r="Y48" s="28" t="s">
        <v>141</v>
      </c>
      <c r="AA48" s="2" t="s">
        <v>437</v>
      </c>
      <c r="AB48" s="2" t="str">
        <f t="shared" si="52"/>
        <v>-</v>
      </c>
      <c r="AC48" s="2" t="s">
        <v>262</v>
      </c>
      <c r="AD48" s="2" t="str">
        <f t="shared" si="53"/>
        <v>_</v>
      </c>
      <c r="AE48" s="2" t="s">
        <v>267</v>
      </c>
      <c r="AF48" s="2" t="str">
        <f t="shared" si="54"/>
        <v>_</v>
      </c>
      <c r="AG48" s="2" t="s">
        <v>274</v>
      </c>
      <c r="AH48" s="2" t="str">
        <f t="shared" si="55"/>
        <v>_</v>
      </c>
      <c r="AI48" s="2" t="s">
        <v>70</v>
      </c>
    </row>
    <row r="49" spans="2:35" x14ac:dyDescent="0.25">
      <c r="AA49" s="2"/>
      <c r="AB49" s="2"/>
      <c r="AC49" s="2"/>
      <c r="AD49" s="2"/>
      <c r="AE49" s="2"/>
      <c r="AF49" s="2"/>
      <c r="AG49" s="2"/>
      <c r="AH49" s="2"/>
      <c r="AI49" s="2"/>
    </row>
    <row r="50" spans="2:35" x14ac:dyDescent="0.25">
      <c r="B50" s="2" t="str">
        <f t="shared" si="34"/>
        <v>@color-label_place_village</v>
      </c>
      <c r="C50" s="29" t="s">
        <v>269</v>
      </c>
      <c r="D50" s="37" t="s">
        <v>210</v>
      </c>
      <c r="F50" s="30" t="s">
        <v>270</v>
      </c>
      <c r="G50" s="38" t="s">
        <v>218</v>
      </c>
      <c r="I50" s="29" t="s">
        <v>269</v>
      </c>
      <c r="J50" s="37" t="s">
        <v>210</v>
      </c>
      <c r="L50" s="30" t="s">
        <v>270</v>
      </c>
      <c r="M50" s="38" t="s">
        <v>218</v>
      </c>
      <c r="U50" s="29" t="s">
        <v>269</v>
      </c>
      <c r="V50" s="37" t="s">
        <v>210</v>
      </c>
      <c r="X50" s="30" t="s">
        <v>270</v>
      </c>
      <c r="Y50" s="38" t="s">
        <v>218</v>
      </c>
      <c r="AA50" s="2" t="s">
        <v>6</v>
      </c>
      <c r="AB50" s="2" t="str">
        <f t="shared" si="52"/>
        <v>-</v>
      </c>
      <c r="AC50" s="2" t="s">
        <v>262</v>
      </c>
      <c r="AD50" s="2" t="str">
        <f t="shared" si="53"/>
        <v>_</v>
      </c>
      <c r="AE50" s="2" t="s">
        <v>267</v>
      </c>
      <c r="AF50" s="2" t="str">
        <f t="shared" si="54"/>
        <v>_</v>
      </c>
      <c r="AG50" s="2" t="s">
        <v>275</v>
      </c>
      <c r="AH50" s="2" t="str">
        <f t="shared" si="29"/>
        <v/>
      </c>
      <c r="AI50" s="2"/>
    </row>
    <row r="51" spans="2:35" x14ac:dyDescent="0.25">
      <c r="B51" s="2" t="str">
        <f t="shared" si="34"/>
        <v>@color-label_halo_place_village</v>
      </c>
      <c r="C51" s="31" t="s">
        <v>272</v>
      </c>
      <c r="D51" s="38" t="s">
        <v>218</v>
      </c>
      <c r="F51" s="32" t="s">
        <v>273</v>
      </c>
      <c r="G51" s="37" t="s">
        <v>210</v>
      </c>
      <c r="I51" s="31" t="s">
        <v>272</v>
      </c>
      <c r="J51" s="38" t="s">
        <v>218</v>
      </c>
      <c r="L51" s="32" t="s">
        <v>273</v>
      </c>
      <c r="M51" s="37" t="s">
        <v>210</v>
      </c>
      <c r="U51" s="31" t="s">
        <v>272</v>
      </c>
      <c r="V51" s="38" t="s">
        <v>218</v>
      </c>
      <c r="X51" s="32" t="s">
        <v>273</v>
      </c>
      <c r="Y51" s="37" t="s">
        <v>210</v>
      </c>
      <c r="AA51" s="2" t="s">
        <v>6</v>
      </c>
      <c r="AB51" s="2" t="str">
        <f t="shared" ref="AB51:AB56" si="56">IF(NOT(ISBLANK(AC51)),"-","")</f>
        <v>-</v>
      </c>
      <c r="AC51" s="2" t="s">
        <v>271</v>
      </c>
      <c r="AD51" s="2" t="str">
        <f t="shared" ref="AD51:AD56" si="57">IF(NOT(ISBLANK(AE51)),"_","")</f>
        <v>_</v>
      </c>
      <c r="AE51" s="2" t="s">
        <v>267</v>
      </c>
      <c r="AF51" s="2" t="str">
        <f t="shared" ref="AF51:AF56" si="58">IF(NOT(ISBLANK(AG51)),"_","")</f>
        <v>_</v>
      </c>
      <c r="AG51" s="2" t="s">
        <v>275</v>
      </c>
      <c r="AH51" s="2" t="str">
        <f t="shared" si="29"/>
        <v/>
      </c>
      <c r="AI51" s="2"/>
    </row>
    <row r="52" spans="2:35" x14ac:dyDescent="0.25">
      <c r="B52" s="2" t="str">
        <f>_xlfn.CONCAT("@",AA52,AB52,AC52,AD52,AE52,AF52,AG52,AH52,AI52)</f>
        <v>@text_size-label_place_village_z8</v>
      </c>
      <c r="C52" s="28" t="s">
        <v>352</v>
      </c>
      <c r="D52" s="28" t="s">
        <v>322</v>
      </c>
      <c r="F52" s="28" t="s">
        <v>352</v>
      </c>
      <c r="G52" s="28" t="s">
        <v>322</v>
      </c>
      <c r="I52" s="28" t="s">
        <v>352</v>
      </c>
      <c r="J52" s="28" t="s">
        <v>322</v>
      </c>
      <c r="L52" s="28" t="s">
        <v>352</v>
      </c>
      <c r="M52" s="28" t="s">
        <v>322</v>
      </c>
      <c r="U52" s="28" t="s">
        <v>352</v>
      </c>
      <c r="V52" s="28" t="s">
        <v>322</v>
      </c>
      <c r="X52" s="28" t="s">
        <v>352</v>
      </c>
      <c r="Y52" s="28" t="s">
        <v>322</v>
      </c>
      <c r="AA52" s="2" t="s">
        <v>437</v>
      </c>
      <c r="AB52" s="2" t="str">
        <f t="shared" si="56"/>
        <v>-</v>
      </c>
      <c r="AC52" s="2" t="s">
        <v>262</v>
      </c>
      <c r="AD52" s="2" t="str">
        <f t="shared" si="57"/>
        <v>_</v>
      </c>
      <c r="AE52" s="2" t="s">
        <v>267</v>
      </c>
      <c r="AF52" s="2" t="str">
        <f t="shared" si="58"/>
        <v>_</v>
      </c>
      <c r="AG52" s="2" t="s">
        <v>275</v>
      </c>
      <c r="AH52" s="2" t="str">
        <f t="shared" si="29"/>
        <v>_</v>
      </c>
      <c r="AI52" s="2" t="s">
        <v>438</v>
      </c>
    </row>
    <row r="53" spans="2:35" x14ac:dyDescent="0.25">
      <c r="B53" s="2" t="str">
        <f>_xlfn.CONCAT("@",AA53,AB53,AC53,AD53,AE53,AF53,AG53,AH53,AI53)</f>
        <v>@text_size-label_place_village_z10</v>
      </c>
      <c r="C53" s="28" t="s">
        <v>322</v>
      </c>
      <c r="D53" s="28" t="s">
        <v>318</v>
      </c>
      <c r="F53" s="28" t="s">
        <v>322</v>
      </c>
      <c r="G53" s="28" t="s">
        <v>318</v>
      </c>
      <c r="I53" s="28" t="s">
        <v>322</v>
      </c>
      <c r="J53" s="28" t="s">
        <v>318</v>
      </c>
      <c r="L53" s="28" t="s">
        <v>322</v>
      </c>
      <c r="M53" s="28" t="s">
        <v>318</v>
      </c>
      <c r="U53" s="28" t="s">
        <v>322</v>
      </c>
      <c r="V53" s="28" t="s">
        <v>318</v>
      </c>
      <c r="X53" s="28" t="s">
        <v>322</v>
      </c>
      <c r="Y53" s="28" t="s">
        <v>318</v>
      </c>
      <c r="AA53" s="2" t="s">
        <v>437</v>
      </c>
      <c r="AB53" s="2" t="str">
        <f t="shared" si="56"/>
        <v>-</v>
      </c>
      <c r="AC53" s="2" t="s">
        <v>262</v>
      </c>
      <c r="AD53" s="2" t="str">
        <f t="shared" si="57"/>
        <v>_</v>
      </c>
      <c r="AE53" s="2" t="s">
        <v>267</v>
      </c>
      <c r="AF53" s="2" t="str">
        <f t="shared" si="58"/>
        <v>_</v>
      </c>
      <c r="AG53" s="2" t="s">
        <v>275</v>
      </c>
      <c r="AH53" s="2" t="str">
        <f t="shared" si="29"/>
        <v>_</v>
      </c>
      <c r="AI53" s="2" t="s">
        <v>99</v>
      </c>
    </row>
    <row r="54" spans="2:35" x14ac:dyDescent="0.25">
      <c r="B54" s="2" t="str">
        <f>_xlfn.CONCAT("@",AA54,AB54,AC54,AD54,AE54,AF54,AG54,AH54,AI54)</f>
        <v>@text_size-label_place_village_z14</v>
      </c>
      <c r="C54" s="28" t="s">
        <v>325</v>
      </c>
      <c r="D54" s="28" t="s">
        <v>439</v>
      </c>
      <c r="F54" s="28" t="s">
        <v>325</v>
      </c>
      <c r="G54" s="28" t="s">
        <v>439</v>
      </c>
      <c r="I54" s="28" t="s">
        <v>325</v>
      </c>
      <c r="J54" s="28" t="s">
        <v>439</v>
      </c>
      <c r="L54" s="28" t="s">
        <v>325</v>
      </c>
      <c r="M54" s="28" t="s">
        <v>439</v>
      </c>
      <c r="U54" s="28" t="s">
        <v>325</v>
      </c>
      <c r="V54" s="28" t="s">
        <v>439</v>
      </c>
      <c r="X54" s="28" t="s">
        <v>325</v>
      </c>
      <c r="Y54" s="28" t="s">
        <v>439</v>
      </c>
      <c r="AA54" s="2" t="s">
        <v>437</v>
      </c>
      <c r="AB54" s="2" t="str">
        <f t="shared" si="56"/>
        <v>-</v>
      </c>
      <c r="AC54" s="2" t="s">
        <v>262</v>
      </c>
      <c r="AD54" s="2" t="str">
        <f t="shared" si="57"/>
        <v>_</v>
      </c>
      <c r="AE54" s="2" t="s">
        <v>267</v>
      </c>
      <c r="AF54" s="2" t="str">
        <f t="shared" si="58"/>
        <v>_</v>
      </c>
      <c r="AG54" s="2" t="s">
        <v>275</v>
      </c>
      <c r="AH54" s="2" t="str">
        <f t="shared" si="29"/>
        <v>_</v>
      </c>
      <c r="AI54" s="2" t="s">
        <v>70</v>
      </c>
    </row>
    <row r="55" spans="2:35" x14ac:dyDescent="0.25">
      <c r="AA55" s="2"/>
      <c r="AB55" s="2"/>
      <c r="AC55" s="2"/>
      <c r="AD55" s="2"/>
      <c r="AE55" s="2"/>
      <c r="AF55" s="2"/>
      <c r="AG55" s="2"/>
      <c r="AH55" s="2"/>
      <c r="AI55" s="2"/>
    </row>
    <row r="56" spans="2:35" x14ac:dyDescent="0.25">
      <c r="B56" s="2" t="str">
        <f t="shared" si="34"/>
        <v>@color-label_place_town</v>
      </c>
      <c r="C56" s="29" t="s">
        <v>269</v>
      </c>
      <c r="D56" s="37" t="s">
        <v>210</v>
      </c>
      <c r="F56" s="30" t="s">
        <v>270</v>
      </c>
      <c r="G56" s="38" t="s">
        <v>218</v>
      </c>
      <c r="I56" s="29" t="s">
        <v>269</v>
      </c>
      <c r="J56" s="37" t="s">
        <v>210</v>
      </c>
      <c r="L56" s="30" t="s">
        <v>270</v>
      </c>
      <c r="M56" s="38" t="s">
        <v>218</v>
      </c>
      <c r="U56" s="29" t="s">
        <v>269</v>
      </c>
      <c r="V56" s="37" t="s">
        <v>210</v>
      </c>
      <c r="X56" s="30" t="s">
        <v>270</v>
      </c>
      <c r="Y56" s="38" t="s">
        <v>218</v>
      </c>
      <c r="AA56" s="2" t="s">
        <v>6</v>
      </c>
      <c r="AB56" s="2" t="str">
        <f t="shared" si="56"/>
        <v>-</v>
      </c>
      <c r="AC56" s="2" t="s">
        <v>262</v>
      </c>
      <c r="AD56" s="2" t="str">
        <f t="shared" si="57"/>
        <v>_</v>
      </c>
      <c r="AE56" s="2" t="s">
        <v>267</v>
      </c>
      <c r="AF56" s="2" t="str">
        <f t="shared" si="58"/>
        <v>_</v>
      </c>
      <c r="AG56" s="2" t="s">
        <v>276</v>
      </c>
      <c r="AH56" s="2" t="str">
        <f t="shared" si="29"/>
        <v/>
      </c>
      <c r="AI56" s="2"/>
    </row>
    <row r="57" spans="2:35" x14ac:dyDescent="0.25">
      <c r="B57" s="2" t="str">
        <f t="shared" si="34"/>
        <v>@color-label_halo_place_town</v>
      </c>
      <c r="C57" s="31" t="s">
        <v>272</v>
      </c>
      <c r="D57" s="38" t="s">
        <v>218</v>
      </c>
      <c r="F57" s="32" t="s">
        <v>273</v>
      </c>
      <c r="G57" s="37" t="s">
        <v>210</v>
      </c>
      <c r="I57" s="31" t="s">
        <v>272</v>
      </c>
      <c r="J57" s="38" t="s">
        <v>218</v>
      </c>
      <c r="L57" s="32" t="s">
        <v>273</v>
      </c>
      <c r="M57" s="37" t="s">
        <v>210</v>
      </c>
      <c r="U57" s="31" t="s">
        <v>272</v>
      </c>
      <c r="V57" s="38" t="s">
        <v>218</v>
      </c>
      <c r="X57" s="32" t="s">
        <v>273</v>
      </c>
      <c r="Y57" s="37" t="s">
        <v>210</v>
      </c>
      <c r="AA57" s="2" t="s">
        <v>6</v>
      </c>
      <c r="AB57" s="2" t="str">
        <f t="shared" ref="AB57:AB63" si="59">IF(NOT(ISBLANK(AC57)),"-","")</f>
        <v>-</v>
      </c>
      <c r="AC57" s="2" t="s">
        <v>271</v>
      </c>
      <c r="AD57" s="2" t="str">
        <f t="shared" ref="AD57:AD63" si="60">IF(NOT(ISBLANK(AE57)),"_","")</f>
        <v>_</v>
      </c>
      <c r="AE57" s="2" t="s">
        <v>267</v>
      </c>
      <c r="AF57" s="2" t="str">
        <f t="shared" ref="AF57:AF63" si="61">IF(NOT(ISBLANK(AG57)),"_","")</f>
        <v>_</v>
      </c>
      <c r="AG57" s="2" t="s">
        <v>276</v>
      </c>
      <c r="AH57" s="2" t="str">
        <f t="shared" si="29"/>
        <v/>
      </c>
      <c r="AI57" s="2"/>
    </row>
    <row r="58" spans="2:35" x14ac:dyDescent="0.25">
      <c r="B58" s="2" t="str">
        <f>_xlfn.CONCAT("@",AA58,AB58,AC58,AD58,AE58,AF58,AG58,AH58,AI58)</f>
        <v>@text_size-label_place_town_z6</v>
      </c>
      <c r="C58" s="28" t="s">
        <v>327</v>
      </c>
      <c r="D58" s="28" t="s">
        <v>352</v>
      </c>
      <c r="F58" s="28" t="s">
        <v>327</v>
      </c>
      <c r="G58" s="28" t="s">
        <v>352</v>
      </c>
      <c r="I58" s="28" t="s">
        <v>327</v>
      </c>
      <c r="J58" s="28" t="s">
        <v>352</v>
      </c>
      <c r="L58" s="28" t="s">
        <v>327</v>
      </c>
      <c r="M58" s="28" t="s">
        <v>352</v>
      </c>
      <c r="U58" s="28" t="s">
        <v>327</v>
      </c>
      <c r="V58" s="28" t="s">
        <v>352</v>
      </c>
      <c r="X58" s="28" t="s">
        <v>327</v>
      </c>
      <c r="Y58" s="28" t="s">
        <v>352</v>
      </c>
      <c r="AA58" s="2" t="s">
        <v>437</v>
      </c>
      <c r="AB58" s="2" t="str">
        <f t="shared" ref="AB58" si="62">IF(NOT(ISBLANK(AC58)),"-","")</f>
        <v>-</v>
      </c>
      <c r="AC58" s="2" t="s">
        <v>262</v>
      </c>
      <c r="AD58" s="2" t="str">
        <f t="shared" ref="AD58" si="63">IF(NOT(ISBLANK(AE58)),"_","")</f>
        <v>_</v>
      </c>
      <c r="AE58" s="2" t="s">
        <v>267</v>
      </c>
      <c r="AF58" s="2" t="str">
        <f t="shared" ref="AF58" si="64">IF(NOT(ISBLANK(AG58)),"_","")</f>
        <v>_</v>
      </c>
      <c r="AG58" s="2" t="s">
        <v>276</v>
      </c>
      <c r="AH58" s="2" t="str">
        <f t="shared" si="29"/>
        <v>_</v>
      </c>
      <c r="AI58" s="2" t="s">
        <v>134</v>
      </c>
    </row>
    <row r="59" spans="2:35" x14ac:dyDescent="0.25">
      <c r="B59" s="2" t="str">
        <f>_xlfn.CONCAT("@",AA59,AB59,AC59,AD59,AE59,AF59,AG59,AH59,AI59)</f>
        <v>@text_size-label_place_town_z8</v>
      </c>
      <c r="C59" s="28" t="s">
        <v>322</v>
      </c>
      <c r="D59" s="28" t="s">
        <v>318</v>
      </c>
      <c r="F59" s="28" t="s">
        <v>322</v>
      </c>
      <c r="G59" s="28" t="s">
        <v>318</v>
      </c>
      <c r="I59" s="28" t="s">
        <v>322</v>
      </c>
      <c r="J59" s="28" t="s">
        <v>318</v>
      </c>
      <c r="L59" s="28" t="s">
        <v>322</v>
      </c>
      <c r="M59" s="28" t="s">
        <v>318</v>
      </c>
      <c r="U59" s="28" t="s">
        <v>322</v>
      </c>
      <c r="V59" s="28" t="s">
        <v>318</v>
      </c>
      <c r="X59" s="28" t="s">
        <v>322</v>
      </c>
      <c r="Y59" s="28" t="s">
        <v>318</v>
      </c>
      <c r="AA59" s="2" t="s">
        <v>437</v>
      </c>
      <c r="AB59" s="2" t="str">
        <f t="shared" si="59"/>
        <v>-</v>
      </c>
      <c r="AC59" s="2" t="s">
        <v>262</v>
      </c>
      <c r="AD59" s="2" t="str">
        <f t="shared" si="60"/>
        <v>_</v>
      </c>
      <c r="AE59" s="2" t="s">
        <v>267</v>
      </c>
      <c r="AF59" s="2" t="str">
        <f t="shared" si="61"/>
        <v>_</v>
      </c>
      <c r="AG59" s="2" t="s">
        <v>276</v>
      </c>
      <c r="AH59" s="2" t="str">
        <f t="shared" ref="AH59:AH61" si="65">IF(NOT(ISBLANK(AI59)),"_","")</f>
        <v>_</v>
      </c>
      <c r="AI59" s="2" t="s">
        <v>438</v>
      </c>
    </row>
    <row r="60" spans="2:35" x14ac:dyDescent="0.25">
      <c r="B60" s="2" t="str">
        <f>_xlfn.CONCAT("@",AA60,AB60,AC60,AD60,AE60,AF60,AG60,AH60,AI60)</f>
        <v>@text_size-label_place_town_z10</v>
      </c>
      <c r="C60" s="28" t="s">
        <v>324</v>
      </c>
      <c r="D60" s="28" t="s">
        <v>325</v>
      </c>
      <c r="F60" s="28" t="s">
        <v>324</v>
      </c>
      <c r="G60" s="28" t="s">
        <v>325</v>
      </c>
      <c r="I60" s="28" t="s">
        <v>324</v>
      </c>
      <c r="J60" s="28" t="s">
        <v>325</v>
      </c>
      <c r="L60" s="28" t="s">
        <v>324</v>
      </c>
      <c r="M60" s="28" t="s">
        <v>325</v>
      </c>
      <c r="U60" s="28" t="s">
        <v>324</v>
      </c>
      <c r="V60" s="28" t="s">
        <v>325</v>
      </c>
      <c r="X60" s="28" t="s">
        <v>324</v>
      </c>
      <c r="Y60" s="28" t="s">
        <v>325</v>
      </c>
      <c r="AA60" s="2" t="s">
        <v>437</v>
      </c>
      <c r="AB60" s="2" t="str">
        <f t="shared" si="59"/>
        <v>-</v>
      </c>
      <c r="AC60" s="2" t="s">
        <v>262</v>
      </c>
      <c r="AD60" s="2" t="str">
        <f t="shared" si="60"/>
        <v>_</v>
      </c>
      <c r="AE60" s="2" t="s">
        <v>267</v>
      </c>
      <c r="AF60" s="2" t="str">
        <f t="shared" si="61"/>
        <v>_</v>
      </c>
      <c r="AG60" s="2" t="s">
        <v>276</v>
      </c>
      <c r="AH60" s="2" t="str">
        <f t="shared" si="65"/>
        <v>_</v>
      </c>
      <c r="AI60" s="2" t="s">
        <v>99</v>
      </c>
    </row>
    <row r="61" spans="2:35" x14ac:dyDescent="0.25">
      <c r="B61" s="2" t="str">
        <f>_xlfn.CONCAT("@",AA61,AB61,AC61,AD61,AE61,AF61,AG61,AH61,AI61)</f>
        <v>@text_size-label_place_town_z14</v>
      </c>
      <c r="C61" s="28" t="s">
        <v>439</v>
      </c>
      <c r="D61" s="28" t="s">
        <v>142</v>
      </c>
      <c r="F61" s="28" t="s">
        <v>439</v>
      </c>
      <c r="G61" s="28" t="s">
        <v>142</v>
      </c>
      <c r="I61" s="28" t="s">
        <v>439</v>
      </c>
      <c r="J61" s="28" t="s">
        <v>142</v>
      </c>
      <c r="L61" s="28" t="s">
        <v>439</v>
      </c>
      <c r="M61" s="28" t="s">
        <v>142</v>
      </c>
      <c r="U61" s="28" t="s">
        <v>439</v>
      </c>
      <c r="V61" s="28" t="s">
        <v>142</v>
      </c>
      <c r="X61" s="28" t="s">
        <v>439</v>
      </c>
      <c r="Y61" s="28" t="s">
        <v>142</v>
      </c>
      <c r="AA61" s="2" t="s">
        <v>437</v>
      </c>
      <c r="AB61" s="2" t="str">
        <f t="shared" si="59"/>
        <v>-</v>
      </c>
      <c r="AC61" s="2" t="s">
        <v>262</v>
      </c>
      <c r="AD61" s="2" t="str">
        <f t="shared" si="60"/>
        <v>_</v>
      </c>
      <c r="AE61" s="2" t="s">
        <v>267</v>
      </c>
      <c r="AF61" s="2" t="str">
        <f t="shared" si="61"/>
        <v>_</v>
      </c>
      <c r="AG61" s="2" t="s">
        <v>276</v>
      </c>
      <c r="AH61" s="2" t="str">
        <f t="shared" si="65"/>
        <v>_</v>
      </c>
      <c r="AI61" s="2" t="s">
        <v>70</v>
      </c>
    </row>
    <row r="62" spans="2:35" x14ac:dyDescent="0.25">
      <c r="AA62" s="2"/>
      <c r="AB62" s="2"/>
      <c r="AC62" s="2"/>
      <c r="AD62" s="2"/>
      <c r="AE62" s="2"/>
      <c r="AF62" s="2"/>
      <c r="AG62" s="2"/>
      <c r="AH62" s="2"/>
      <c r="AI62" s="2"/>
    </row>
    <row r="63" spans="2:35" x14ac:dyDescent="0.25">
      <c r="B63" s="2" t="str">
        <f t="shared" si="34"/>
        <v>@color-label_place_city</v>
      </c>
      <c r="C63" s="29" t="s">
        <v>269</v>
      </c>
      <c r="D63" s="37" t="s">
        <v>210</v>
      </c>
      <c r="F63" s="30" t="s">
        <v>270</v>
      </c>
      <c r="G63" s="38" t="s">
        <v>218</v>
      </c>
      <c r="I63" s="29" t="s">
        <v>269</v>
      </c>
      <c r="J63" s="37" t="s">
        <v>210</v>
      </c>
      <c r="L63" s="30" t="s">
        <v>270</v>
      </c>
      <c r="M63" s="38" t="s">
        <v>218</v>
      </c>
      <c r="U63" s="29" t="s">
        <v>269</v>
      </c>
      <c r="V63" s="37" t="s">
        <v>210</v>
      </c>
      <c r="X63" s="30" t="s">
        <v>270</v>
      </c>
      <c r="Y63" s="38" t="s">
        <v>218</v>
      </c>
      <c r="AA63" s="2" t="s">
        <v>6</v>
      </c>
      <c r="AB63" s="2" t="str">
        <f t="shared" si="59"/>
        <v>-</v>
      </c>
      <c r="AC63" s="2" t="s">
        <v>262</v>
      </c>
      <c r="AD63" s="2" t="str">
        <f t="shared" si="60"/>
        <v>_</v>
      </c>
      <c r="AE63" s="2" t="s">
        <v>267</v>
      </c>
      <c r="AF63" s="2" t="str">
        <f t="shared" si="61"/>
        <v>_</v>
      </c>
      <c r="AG63" s="2" t="s">
        <v>277</v>
      </c>
      <c r="AH63" s="2" t="str">
        <f t="shared" si="29"/>
        <v/>
      </c>
      <c r="AI63" s="2"/>
    </row>
    <row r="64" spans="2:35" x14ac:dyDescent="0.25">
      <c r="B64" s="2" t="str">
        <f t="shared" si="34"/>
        <v>@color-label_halo_place_city</v>
      </c>
      <c r="C64" s="31" t="s">
        <v>272</v>
      </c>
      <c r="D64" s="38" t="s">
        <v>218</v>
      </c>
      <c r="F64" s="32" t="s">
        <v>273</v>
      </c>
      <c r="G64" s="37" t="s">
        <v>210</v>
      </c>
      <c r="I64" s="31" t="s">
        <v>272</v>
      </c>
      <c r="J64" s="38" t="s">
        <v>218</v>
      </c>
      <c r="L64" s="32" t="s">
        <v>273</v>
      </c>
      <c r="M64" s="37" t="s">
        <v>210</v>
      </c>
      <c r="U64" s="31" t="s">
        <v>272</v>
      </c>
      <c r="V64" s="38" t="s">
        <v>218</v>
      </c>
      <c r="X64" s="32" t="s">
        <v>273</v>
      </c>
      <c r="Y64" s="37" t="s">
        <v>210</v>
      </c>
      <c r="AA64" s="2" t="s">
        <v>6</v>
      </c>
      <c r="AB64" s="2" t="str">
        <f t="shared" ref="AB64:AB71" si="66">IF(NOT(ISBLANK(AC64)),"-","")</f>
        <v>-</v>
      </c>
      <c r="AC64" s="2" t="s">
        <v>271</v>
      </c>
      <c r="AD64" s="2" t="str">
        <f t="shared" ref="AD64:AD71" si="67">IF(NOT(ISBLANK(AE64)),"_","")</f>
        <v>_</v>
      </c>
      <c r="AE64" s="2" t="s">
        <v>267</v>
      </c>
      <c r="AF64" s="2" t="str">
        <f t="shared" ref="AF64:AF71" si="68">IF(NOT(ISBLANK(AG64)),"_","")</f>
        <v>_</v>
      </c>
      <c r="AG64" s="2" t="s">
        <v>277</v>
      </c>
      <c r="AH64" s="2" t="str">
        <f t="shared" si="29"/>
        <v/>
      </c>
      <c r="AI64" s="2"/>
    </row>
    <row r="65" spans="2:35" x14ac:dyDescent="0.25">
      <c r="B65" s="2" t="str">
        <f>_xlfn.CONCAT("@",AA65,AB65,AC65,AD65,AE65,AF65,AG65,AH65,AI65)</f>
        <v>@text_size-label_place_city_z4</v>
      </c>
      <c r="C65" s="28" t="s">
        <v>317</v>
      </c>
      <c r="D65" s="28" t="s">
        <v>83</v>
      </c>
      <c r="F65" s="28" t="s">
        <v>317</v>
      </c>
      <c r="G65" s="28" t="s">
        <v>83</v>
      </c>
      <c r="I65" s="28" t="s">
        <v>317</v>
      </c>
      <c r="J65" s="28" t="s">
        <v>83</v>
      </c>
      <c r="L65" s="28" t="s">
        <v>317</v>
      </c>
      <c r="M65" s="28" t="s">
        <v>83</v>
      </c>
      <c r="U65" s="28" t="s">
        <v>317</v>
      </c>
      <c r="V65" s="28" t="s">
        <v>83</v>
      </c>
      <c r="X65" s="28" t="s">
        <v>317</v>
      </c>
      <c r="Y65" s="28" t="s">
        <v>83</v>
      </c>
      <c r="AA65" s="2" t="s">
        <v>437</v>
      </c>
      <c r="AB65" s="2" t="str">
        <f t="shared" ref="AB65" si="69">IF(NOT(ISBLANK(AC65)),"-","")</f>
        <v>-</v>
      </c>
      <c r="AC65" s="2" t="s">
        <v>262</v>
      </c>
      <c r="AD65" s="2" t="str">
        <f t="shared" ref="AD65" si="70">IF(NOT(ISBLANK(AE65)),"_","")</f>
        <v>_</v>
      </c>
      <c r="AE65" s="2" t="s">
        <v>267</v>
      </c>
      <c r="AF65" s="2" t="str">
        <f t="shared" ref="AF65" si="71">IF(NOT(ISBLANK(AG65)),"_","")</f>
        <v>_</v>
      </c>
      <c r="AG65" s="2" t="s">
        <v>277</v>
      </c>
      <c r="AH65" s="2" t="str">
        <f t="shared" si="29"/>
        <v>_</v>
      </c>
      <c r="AI65" s="2" t="s">
        <v>440</v>
      </c>
    </row>
    <row r="66" spans="2:35" x14ac:dyDescent="0.25">
      <c r="B66" s="2" t="str">
        <f>_xlfn.CONCAT("@",AA66,AB66,AC66,AD66,AE66,AF66,AG66,AH66,AI66)</f>
        <v>@text_size-label_place_city_z6</v>
      </c>
      <c r="C66" s="28" t="s">
        <v>327</v>
      </c>
      <c r="D66" s="28" t="s">
        <v>352</v>
      </c>
      <c r="F66" s="28" t="s">
        <v>327</v>
      </c>
      <c r="G66" s="28" t="s">
        <v>352</v>
      </c>
      <c r="I66" s="28" t="s">
        <v>327</v>
      </c>
      <c r="J66" s="28" t="s">
        <v>352</v>
      </c>
      <c r="L66" s="28" t="s">
        <v>327</v>
      </c>
      <c r="M66" s="28" t="s">
        <v>352</v>
      </c>
      <c r="U66" s="28" t="s">
        <v>327</v>
      </c>
      <c r="V66" s="28" t="s">
        <v>352</v>
      </c>
      <c r="X66" s="28" t="s">
        <v>327</v>
      </c>
      <c r="Y66" s="28" t="s">
        <v>352</v>
      </c>
      <c r="AA66" s="2" t="s">
        <v>437</v>
      </c>
      <c r="AB66" s="2" t="str">
        <f t="shared" si="66"/>
        <v>-</v>
      </c>
      <c r="AC66" s="2" t="s">
        <v>262</v>
      </c>
      <c r="AD66" s="2" t="str">
        <f t="shared" si="67"/>
        <v>_</v>
      </c>
      <c r="AE66" s="2" t="s">
        <v>267</v>
      </c>
      <c r="AF66" s="2" t="str">
        <f t="shared" si="68"/>
        <v>_</v>
      </c>
      <c r="AG66" s="2" t="s">
        <v>277</v>
      </c>
      <c r="AH66" s="2" t="str">
        <f t="shared" ref="AH66:AH69" si="72">IF(NOT(ISBLANK(AI66)),"_","")</f>
        <v>_</v>
      </c>
      <c r="AI66" s="2" t="s">
        <v>134</v>
      </c>
    </row>
    <row r="67" spans="2:35" x14ac:dyDescent="0.25">
      <c r="B67" s="2" t="str">
        <f>_xlfn.CONCAT("@",AA67,AB67,AC67,AD67,AE67,AF67,AG67,AH67,AI67)</f>
        <v>@text_size-label_place_city_z8</v>
      </c>
      <c r="C67" s="28" t="s">
        <v>324</v>
      </c>
      <c r="D67" s="28" t="s">
        <v>325</v>
      </c>
      <c r="F67" s="28" t="s">
        <v>324</v>
      </c>
      <c r="G67" s="28" t="s">
        <v>325</v>
      </c>
      <c r="I67" s="28" t="s">
        <v>324</v>
      </c>
      <c r="J67" s="28" t="s">
        <v>325</v>
      </c>
      <c r="L67" s="28" t="s">
        <v>324</v>
      </c>
      <c r="M67" s="28" t="s">
        <v>325</v>
      </c>
      <c r="U67" s="28" t="s">
        <v>324</v>
      </c>
      <c r="V67" s="28" t="s">
        <v>325</v>
      </c>
      <c r="X67" s="28" t="s">
        <v>324</v>
      </c>
      <c r="Y67" s="28" t="s">
        <v>325</v>
      </c>
      <c r="AA67" s="2" t="s">
        <v>437</v>
      </c>
      <c r="AB67" s="2" t="str">
        <f t="shared" si="66"/>
        <v>-</v>
      </c>
      <c r="AC67" s="2" t="s">
        <v>262</v>
      </c>
      <c r="AD67" s="2" t="str">
        <f t="shared" si="67"/>
        <v>_</v>
      </c>
      <c r="AE67" s="2" t="s">
        <v>267</v>
      </c>
      <c r="AF67" s="2" t="str">
        <f t="shared" si="68"/>
        <v>_</v>
      </c>
      <c r="AG67" s="2" t="s">
        <v>277</v>
      </c>
      <c r="AH67" s="2" t="str">
        <f t="shared" si="72"/>
        <v>_</v>
      </c>
      <c r="AI67" s="2" t="s">
        <v>438</v>
      </c>
    </row>
    <row r="68" spans="2:35" x14ac:dyDescent="0.25">
      <c r="B68" s="2" t="str">
        <f>_xlfn.CONCAT("@",AA68,AB68,AC68,AD68,AE68,AF68,AG68,AH68,AI68)</f>
        <v>@text_size-label_place_city_z10</v>
      </c>
      <c r="C68" s="28" t="s">
        <v>85</v>
      </c>
      <c r="D68" s="28" t="s">
        <v>141</v>
      </c>
      <c r="F68" s="28" t="s">
        <v>85</v>
      </c>
      <c r="G68" s="28" t="s">
        <v>141</v>
      </c>
      <c r="I68" s="28" t="s">
        <v>85</v>
      </c>
      <c r="J68" s="28" t="s">
        <v>141</v>
      </c>
      <c r="L68" s="28" t="s">
        <v>85</v>
      </c>
      <c r="M68" s="28" t="s">
        <v>141</v>
      </c>
      <c r="U68" s="28" t="s">
        <v>85</v>
      </c>
      <c r="V68" s="28" t="s">
        <v>141</v>
      </c>
      <c r="X68" s="28" t="s">
        <v>85</v>
      </c>
      <c r="Y68" s="28" t="s">
        <v>141</v>
      </c>
      <c r="AA68" s="2" t="s">
        <v>437</v>
      </c>
      <c r="AB68" s="2" t="str">
        <f t="shared" si="66"/>
        <v>-</v>
      </c>
      <c r="AC68" s="2" t="s">
        <v>262</v>
      </c>
      <c r="AD68" s="2" t="str">
        <f t="shared" si="67"/>
        <v>_</v>
      </c>
      <c r="AE68" s="2" t="s">
        <v>267</v>
      </c>
      <c r="AF68" s="2" t="str">
        <f t="shared" si="68"/>
        <v>_</v>
      </c>
      <c r="AG68" s="2" t="s">
        <v>277</v>
      </c>
      <c r="AH68" s="2" t="str">
        <f t="shared" si="72"/>
        <v>_</v>
      </c>
      <c r="AI68" s="2" t="s">
        <v>99</v>
      </c>
    </row>
    <row r="69" spans="2:35" x14ac:dyDescent="0.25">
      <c r="B69" s="2" t="str">
        <f>_xlfn.CONCAT("@",AA69,AB69,AC69,AD69,AE69,AF69,AG69,AH69,AI69)</f>
        <v>@text_size-label_place_city_z14</v>
      </c>
      <c r="C69" s="28" t="s">
        <v>142</v>
      </c>
      <c r="D69" s="28" t="s">
        <v>441</v>
      </c>
      <c r="F69" s="28" t="s">
        <v>142</v>
      </c>
      <c r="G69" s="28" t="s">
        <v>441</v>
      </c>
      <c r="I69" s="28" t="s">
        <v>142</v>
      </c>
      <c r="J69" s="28" t="s">
        <v>441</v>
      </c>
      <c r="L69" s="28" t="s">
        <v>142</v>
      </c>
      <c r="M69" s="28" t="s">
        <v>441</v>
      </c>
      <c r="U69" s="28" t="s">
        <v>142</v>
      </c>
      <c r="V69" s="28" t="s">
        <v>441</v>
      </c>
      <c r="X69" s="28" t="s">
        <v>142</v>
      </c>
      <c r="Y69" s="28" t="s">
        <v>441</v>
      </c>
      <c r="AA69" s="2" t="s">
        <v>437</v>
      </c>
      <c r="AB69" s="2" t="str">
        <f t="shared" si="66"/>
        <v>-</v>
      </c>
      <c r="AC69" s="2" t="s">
        <v>262</v>
      </c>
      <c r="AD69" s="2" t="str">
        <f t="shared" si="67"/>
        <v>_</v>
      </c>
      <c r="AE69" s="2" t="s">
        <v>267</v>
      </c>
      <c r="AF69" s="2" t="str">
        <f t="shared" si="68"/>
        <v>_</v>
      </c>
      <c r="AG69" s="2" t="s">
        <v>277</v>
      </c>
      <c r="AH69" s="2" t="str">
        <f t="shared" si="72"/>
        <v>_</v>
      </c>
      <c r="AI69" s="2" t="s">
        <v>70</v>
      </c>
    </row>
    <row r="70" spans="2:35" x14ac:dyDescent="0.25">
      <c r="AA70" s="2"/>
      <c r="AB70" s="2"/>
      <c r="AC70" s="2"/>
      <c r="AD70" s="2"/>
      <c r="AE70" s="2"/>
      <c r="AF70" s="2"/>
      <c r="AG70" s="2"/>
      <c r="AH70" s="2"/>
      <c r="AI70" s="2"/>
    </row>
    <row r="71" spans="2:35" x14ac:dyDescent="0.25">
      <c r="B71" s="2" t="str">
        <f t="shared" si="34"/>
        <v>@color-label_place_capital</v>
      </c>
      <c r="C71" s="29" t="s">
        <v>269</v>
      </c>
      <c r="D71" s="37" t="s">
        <v>210</v>
      </c>
      <c r="F71" s="30" t="s">
        <v>270</v>
      </c>
      <c r="G71" s="38" t="s">
        <v>218</v>
      </c>
      <c r="I71" s="29" t="s">
        <v>269</v>
      </c>
      <c r="J71" s="37" t="s">
        <v>210</v>
      </c>
      <c r="L71" s="30" t="s">
        <v>270</v>
      </c>
      <c r="M71" s="38" t="s">
        <v>218</v>
      </c>
      <c r="U71" s="29" t="s">
        <v>269</v>
      </c>
      <c r="V71" s="37" t="s">
        <v>210</v>
      </c>
      <c r="X71" s="30" t="s">
        <v>270</v>
      </c>
      <c r="Y71" s="38" t="s">
        <v>218</v>
      </c>
      <c r="AA71" s="2" t="s">
        <v>6</v>
      </c>
      <c r="AB71" s="2" t="str">
        <f t="shared" si="66"/>
        <v>-</v>
      </c>
      <c r="AC71" s="2" t="s">
        <v>262</v>
      </c>
      <c r="AD71" s="2" t="str">
        <f t="shared" si="67"/>
        <v>_</v>
      </c>
      <c r="AE71" s="2" t="s">
        <v>267</v>
      </c>
      <c r="AF71" s="2" t="str">
        <f t="shared" si="68"/>
        <v>_</v>
      </c>
      <c r="AG71" s="2" t="s">
        <v>278</v>
      </c>
      <c r="AH71" s="2" t="str">
        <f t="shared" si="29"/>
        <v/>
      </c>
      <c r="AI71" s="2"/>
    </row>
    <row r="72" spans="2:35" x14ac:dyDescent="0.25">
      <c r="B72" s="2" t="str">
        <f t="shared" si="34"/>
        <v>@color-label_halo_place_capital</v>
      </c>
      <c r="C72" s="31" t="s">
        <v>272</v>
      </c>
      <c r="D72" s="38" t="s">
        <v>218</v>
      </c>
      <c r="F72" s="32" t="s">
        <v>273</v>
      </c>
      <c r="G72" s="37" t="s">
        <v>210</v>
      </c>
      <c r="I72" s="31" t="s">
        <v>272</v>
      </c>
      <c r="J72" s="38" t="s">
        <v>218</v>
      </c>
      <c r="L72" s="32" t="s">
        <v>273</v>
      </c>
      <c r="M72" s="37" t="s">
        <v>210</v>
      </c>
      <c r="U72" s="31" t="s">
        <v>272</v>
      </c>
      <c r="V72" s="38" t="s">
        <v>218</v>
      </c>
      <c r="X72" s="32" t="s">
        <v>273</v>
      </c>
      <c r="Y72" s="37" t="s">
        <v>210</v>
      </c>
      <c r="AA72" s="2" t="s">
        <v>6</v>
      </c>
      <c r="AB72" s="2" t="str">
        <f t="shared" ref="AB72:AB92" si="73">IF(NOT(ISBLANK(AC72)),"-","")</f>
        <v>-</v>
      </c>
      <c r="AC72" s="2" t="s">
        <v>271</v>
      </c>
      <c r="AD72" s="2" t="str">
        <f t="shared" ref="AD72:AD92" si="74">IF(NOT(ISBLANK(AE72)),"_","")</f>
        <v>_</v>
      </c>
      <c r="AE72" s="2" t="s">
        <v>267</v>
      </c>
      <c r="AF72" s="2" t="str">
        <f t="shared" ref="AF72:AF92" si="75">IF(NOT(ISBLANK(AG72)),"_","")</f>
        <v>_</v>
      </c>
      <c r="AG72" s="2" t="s">
        <v>278</v>
      </c>
      <c r="AH72" s="2" t="str">
        <f t="shared" si="29"/>
        <v/>
      </c>
      <c r="AI72" s="2"/>
    </row>
    <row r="73" spans="2:35" x14ac:dyDescent="0.25">
      <c r="B73" s="2" t="str">
        <f>_xlfn.CONCAT("@",AA73,AB73,AC73,AD73,AE73,AF73,AG73,AH73,AI73)</f>
        <v>@text_size-label_place_capital_z5</v>
      </c>
      <c r="C73" s="28" t="s">
        <v>322</v>
      </c>
      <c r="D73" s="28" t="s">
        <v>318</v>
      </c>
      <c r="F73" s="28" t="s">
        <v>322</v>
      </c>
      <c r="G73" s="28" t="s">
        <v>318</v>
      </c>
      <c r="I73" s="28" t="s">
        <v>322</v>
      </c>
      <c r="J73" s="28" t="s">
        <v>318</v>
      </c>
      <c r="L73" s="28" t="s">
        <v>322</v>
      </c>
      <c r="M73" s="28" t="s">
        <v>318</v>
      </c>
      <c r="U73" s="28" t="s">
        <v>322</v>
      </c>
      <c r="V73" s="28" t="s">
        <v>318</v>
      </c>
      <c r="X73" s="28" t="s">
        <v>322</v>
      </c>
      <c r="Y73" s="28" t="s">
        <v>318</v>
      </c>
      <c r="AA73" s="2" t="s">
        <v>437</v>
      </c>
      <c r="AB73" s="2" t="str">
        <f t="shared" si="73"/>
        <v>-</v>
      </c>
      <c r="AC73" s="2" t="s">
        <v>262</v>
      </c>
      <c r="AD73" s="2" t="str">
        <f t="shared" si="74"/>
        <v>_</v>
      </c>
      <c r="AE73" s="2" t="s">
        <v>267</v>
      </c>
      <c r="AF73" s="2" t="str">
        <f t="shared" si="75"/>
        <v>_</v>
      </c>
      <c r="AG73" s="2" t="s">
        <v>278</v>
      </c>
      <c r="AH73" s="2" t="str">
        <f t="shared" ref="AH73:AH75" si="76">IF(NOT(ISBLANK(AI73)),"_","")</f>
        <v>_</v>
      </c>
      <c r="AI73" s="2" t="s">
        <v>133</v>
      </c>
    </row>
    <row r="74" spans="2:35" x14ac:dyDescent="0.25">
      <c r="B74" s="2" t="str">
        <f>_xlfn.CONCAT("@",AA74,AB74,AC74,AD74,AE74,AF74,AG74,AH74,AI74)</f>
        <v>@text_size-label_place_capital_z7</v>
      </c>
      <c r="C74" s="28" t="s">
        <v>318</v>
      </c>
      <c r="D74" s="28" t="s">
        <v>141</v>
      </c>
      <c r="F74" s="28" t="s">
        <v>318</v>
      </c>
      <c r="G74" s="28" t="s">
        <v>141</v>
      </c>
      <c r="I74" s="28" t="s">
        <v>318</v>
      </c>
      <c r="J74" s="28" t="s">
        <v>141</v>
      </c>
      <c r="L74" s="28" t="s">
        <v>318</v>
      </c>
      <c r="M74" s="28" t="s">
        <v>141</v>
      </c>
      <c r="U74" s="28" t="s">
        <v>318</v>
      </c>
      <c r="V74" s="28" t="s">
        <v>141</v>
      </c>
      <c r="X74" s="28" t="s">
        <v>318</v>
      </c>
      <c r="Y74" s="28" t="s">
        <v>141</v>
      </c>
      <c r="AA74" s="2" t="s">
        <v>437</v>
      </c>
      <c r="AB74" s="2" t="str">
        <f t="shared" si="73"/>
        <v>-</v>
      </c>
      <c r="AC74" s="2" t="s">
        <v>262</v>
      </c>
      <c r="AD74" s="2" t="str">
        <f t="shared" si="74"/>
        <v>_</v>
      </c>
      <c r="AE74" s="2" t="s">
        <v>267</v>
      </c>
      <c r="AF74" s="2" t="str">
        <f t="shared" si="75"/>
        <v>_</v>
      </c>
      <c r="AG74" s="2" t="s">
        <v>278</v>
      </c>
      <c r="AH74" s="2" t="str">
        <f t="shared" si="76"/>
        <v>_</v>
      </c>
      <c r="AI74" s="2" t="s">
        <v>140</v>
      </c>
    </row>
    <row r="75" spans="2:35" x14ac:dyDescent="0.25">
      <c r="B75" s="2" t="str">
        <f>_xlfn.CONCAT("@",AA75,AB75,AC75,AD75,AE75,AF75,AG75,AH75,AI75)</f>
        <v>@text_size-label_place_capital_z11</v>
      </c>
      <c r="C75" s="28" t="s">
        <v>142</v>
      </c>
      <c r="D75" s="28" t="s">
        <v>441</v>
      </c>
      <c r="F75" s="28" t="s">
        <v>142</v>
      </c>
      <c r="G75" s="28" t="s">
        <v>441</v>
      </c>
      <c r="I75" s="28" t="s">
        <v>142</v>
      </c>
      <c r="J75" s="28" t="s">
        <v>441</v>
      </c>
      <c r="L75" s="28" t="s">
        <v>142</v>
      </c>
      <c r="M75" s="28" t="s">
        <v>441</v>
      </c>
      <c r="U75" s="28" t="s">
        <v>142</v>
      </c>
      <c r="V75" s="28" t="s">
        <v>441</v>
      </c>
      <c r="X75" s="28" t="s">
        <v>142</v>
      </c>
      <c r="Y75" s="28" t="s">
        <v>441</v>
      </c>
      <c r="AA75" s="2" t="s">
        <v>437</v>
      </c>
      <c r="AB75" s="2" t="str">
        <f t="shared" si="73"/>
        <v>-</v>
      </c>
      <c r="AC75" s="2" t="s">
        <v>262</v>
      </c>
      <c r="AD75" s="2" t="str">
        <f t="shared" si="74"/>
        <v>_</v>
      </c>
      <c r="AE75" s="2" t="s">
        <v>267</v>
      </c>
      <c r="AF75" s="2" t="str">
        <f t="shared" si="75"/>
        <v>_</v>
      </c>
      <c r="AG75" s="2" t="s">
        <v>278</v>
      </c>
      <c r="AH75" s="2" t="str">
        <f t="shared" si="76"/>
        <v>_</v>
      </c>
      <c r="AI75" s="2" t="s">
        <v>66</v>
      </c>
    </row>
    <row r="76" spans="2:35" x14ac:dyDescent="0.25">
      <c r="AA76" s="2"/>
      <c r="AB76" s="2"/>
      <c r="AC76" s="2"/>
      <c r="AD76" s="2"/>
      <c r="AE76" s="2"/>
      <c r="AF76" s="2"/>
      <c r="AG76" s="2"/>
      <c r="AH76" s="2"/>
      <c r="AI76" s="2"/>
    </row>
    <row r="77" spans="2:35" x14ac:dyDescent="0.25">
      <c r="B77" s="2" t="str">
        <f t="shared" si="34"/>
        <v>@color-label_place_state</v>
      </c>
      <c r="C77" s="97" t="s">
        <v>292</v>
      </c>
      <c r="D77" s="37" t="s">
        <v>210</v>
      </c>
      <c r="F77" s="98" t="s">
        <v>293</v>
      </c>
      <c r="G77" s="38" t="s">
        <v>218</v>
      </c>
      <c r="I77" s="97" t="s">
        <v>292</v>
      </c>
      <c r="J77" s="37" t="s">
        <v>210</v>
      </c>
      <c r="L77" s="98" t="s">
        <v>293</v>
      </c>
      <c r="M77" s="38" t="s">
        <v>218</v>
      </c>
      <c r="U77" s="97" t="s">
        <v>292</v>
      </c>
      <c r="V77" s="37" t="s">
        <v>210</v>
      </c>
      <c r="X77" s="98" t="s">
        <v>293</v>
      </c>
      <c r="Y77" s="38" t="s">
        <v>218</v>
      </c>
      <c r="AA77" s="2" t="s">
        <v>6</v>
      </c>
      <c r="AB77" s="2" t="str">
        <f t="shared" si="73"/>
        <v>-</v>
      </c>
      <c r="AC77" s="2" t="s">
        <v>262</v>
      </c>
      <c r="AD77" s="2" t="str">
        <f t="shared" si="74"/>
        <v>_</v>
      </c>
      <c r="AE77" s="2" t="s">
        <v>267</v>
      </c>
      <c r="AF77" s="2" t="str">
        <f t="shared" si="75"/>
        <v>_</v>
      </c>
      <c r="AG77" s="2" t="s">
        <v>291</v>
      </c>
      <c r="AH77" s="2" t="str">
        <f t="shared" si="29"/>
        <v/>
      </c>
      <c r="AI77" s="2"/>
    </row>
    <row r="78" spans="2:35" x14ac:dyDescent="0.25">
      <c r="B78" s="2" t="str">
        <f t="shared" si="34"/>
        <v>@color-label_halo_place_state</v>
      </c>
      <c r="C78" s="31" t="s">
        <v>272</v>
      </c>
      <c r="D78" s="38" t="s">
        <v>218</v>
      </c>
      <c r="F78" s="32" t="s">
        <v>273</v>
      </c>
      <c r="G78" s="37" t="s">
        <v>210</v>
      </c>
      <c r="I78" s="31" t="s">
        <v>272</v>
      </c>
      <c r="J78" s="38" t="s">
        <v>218</v>
      </c>
      <c r="L78" s="32" t="s">
        <v>273</v>
      </c>
      <c r="M78" s="37" t="s">
        <v>210</v>
      </c>
      <c r="U78" s="31" t="s">
        <v>272</v>
      </c>
      <c r="V78" s="38" t="s">
        <v>218</v>
      </c>
      <c r="X78" s="32" t="s">
        <v>273</v>
      </c>
      <c r="Y78" s="37" t="s">
        <v>210</v>
      </c>
      <c r="AA78" s="2" t="s">
        <v>6</v>
      </c>
      <c r="AB78" s="2" t="str">
        <f t="shared" ref="AB78:AB80" si="77">IF(NOT(ISBLANK(AC78)),"-","")</f>
        <v>-</v>
      </c>
      <c r="AC78" s="2" t="s">
        <v>271</v>
      </c>
      <c r="AD78" s="2" t="str">
        <f t="shared" ref="AD78:AD80" si="78">IF(NOT(ISBLANK(AE78)),"_","")</f>
        <v>_</v>
      </c>
      <c r="AE78" s="2" t="s">
        <v>267</v>
      </c>
      <c r="AF78" s="2" t="str">
        <f t="shared" ref="AF78:AF80" si="79">IF(NOT(ISBLANK(AG78)),"_","")</f>
        <v>_</v>
      </c>
      <c r="AG78" s="2" t="s">
        <v>291</v>
      </c>
      <c r="AH78" s="2" t="str">
        <f t="shared" si="29"/>
        <v/>
      </c>
      <c r="AI78" s="2"/>
    </row>
    <row r="79" spans="2:35" x14ac:dyDescent="0.25">
      <c r="AA79" s="2"/>
      <c r="AB79" s="2"/>
      <c r="AC79" s="2"/>
      <c r="AD79" s="2"/>
      <c r="AE79" s="2"/>
      <c r="AF79" s="2"/>
      <c r="AG79" s="2"/>
      <c r="AH79" s="2"/>
      <c r="AI79" s="2"/>
    </row>
    <row r="80" spans="2:35" x14ac:dyDescent="0.25">
      <c r="B80" s="2" t="str">
        <f t="shared" si="34"/>
        <v>@color-label_place_country_other</v>
      </c>
      <c r="C80" s="99" t="s">
        <v>294</v>
      </c>
      <c r="D80" s="37" t="s">
        <v>210</v>
      </c>
      <c r="F80" s="100" t="s">
        <v>295</v>
      </c>
      <c r="G80" s="38" t="s">
        <v>218</v>
      </c>
      <c r="I80" s="99" t="s">
        <v>294</v>
      </c>
      <c r="J80" s="37" t="s">
        <v>210</v>
      </c>
      <c r="L80" s="100" t="s">
        <v>295</v>
      </c>
      <c r="M80" s="38" t="s">
        <v>218</v>
      </c>
      <c r="U80" s="99" t="s">
        <v>294</v>
      </c>
      <c r="V80" s="37" t="s">
        <v>210</v>
      </c>
      <c r="X80" s="100" t="s">
        <v>295</v>
      </c>
      <c r="Y80" s="38" t="s">
        <v>218</v>
      </c>
      <c r="AA80" s="2" t="s">
        <v>6</v>
      </c>
      <c r="AB80" s="2" t="str">
        <f t="shared" si="77"/>
        <v>-</v>
      </c>
      <c r="AC80" s="2" t="s">
        <v>262</v>
      </c>
      <c r="AD80" s="2" t="str">
        <f t="shared" si="78"/>
        <v>_</v>
      </c>
      <c r="AE80" s="2" t="s">
        <v>267</v>
      </c>
      <c r="AF80" s="2" t="str">
        <f t="shared" si="79"/>
        <v>_</v>
      </c>
      <c r="AG80" s="2" t="s">
        <v>302</v>
      </c>
      <c r="AH80" s="2" t="str">
        <f t="shared" si="29"/>
        <v>_</v>
      </c>
      <c r="AI80" s="2" t="s">
        <v>268</v>
      </c>
    </row>
    <row r="81" spans="2:35" x14ac:dyDescent="0.25">
      <c r="B81" s="2" t="str">
        <f t="shared" si="34"/>
        <v>@color-label_halo_place_country_other</v>
      </c>
      <c r="C81" s="31" t="s">
        <v>272</v>
      </c>
      <c r="D81" s="38" t="s">
        <v>218</v>
      </c>
      <c r="F81" s="32" t="s">
        <v>273</v>
      </c>
      <c r="G81" s="37" t="s">
        <v>210</v>
      </c>
      <c r="I81" s="31" t="s">
        <v>272</v>
      </c>
      <c r="J81" s="38" t="s">
        <v>218</v>
      </c>
      <c r="L81" s="32" t="s">
        <v>273</v>
      </c>
      <c r="M81" s="37" t="s">
        <v>210</v>
      </c>
      <c r="U81" s="31" t="s">
        <v>272</v>
      </c>
      <c r="V81" s="38" t="s">
        <v>218</v>
      </c>
      <c r="X81" s="32" t="s">
        <v>273</v>
      </c>
      <c r="Y81" s="37" t="s">
        <v>210</v>
      </c>
      <c r="AA81" s="2" t="s">
        <v>6</v>
      </c>
      <c r="AB81" s="2" t="str">
        <f t="shared" ref="AB81:AB83" si="80">IF(NOT(ISBLANK(AC81)),"-","")</f>
        <v>-</v>
      </c>
      <c r="AC81" s="2" t="s">
        <v>271</v>
      </c>
      <c r="AD81" s="2" t="str">
        <f t="shared" ref="AD81:AD83" si="81">IF(NOT(ISBLANK(AE81)),"_","")</f>
        <v>_</v>
      </c>
      <c r="AE81" s="2" t="s">
        <v>267</v>
      </c>
      <c r="AF81" s="2" t="str">
        <f t="shared" ref="AF81:AF83" si="82">IF(NOT(ISBLANK(AG81)),"_","")</f>
        <v>_</v>
      </c>
      <c r="AG81" s="2" t="s">
        <v>302</v>
      </c>
      <c r="AH81" s="2" t="str">
        <f t="shared" si="29"/>
        <v>_</v>
      </c>
      <c r="AI81" s="2" t="s">
        <v>268</v>
      </c>
    </row>
    <row r="82" spans="2:35" x14ac:dyDescent="0.25">
      <c r="AA82" s="2"/>
      <c r="AB82" s="2"/>
      <c r="AC82" s="2"/>
      <c r="AD82" s="2"/>
      <c r="AE82" s="2"/>
      <c r="AF82" s="2"/>
      <c r="AG82" s="2"/>
      <c r="AH82" s="2"/>
      <c r="AI82" s="2"/>
    </row>
    <row r="83" spans="2:35" x14ac:dyDescent="0.25">
      <c r="B83" s="2" t="str">
        <f t="shared" si="34"/>
        <v>@color-label_place_country_minor</v>
      </c>
      <c r="C83" s="99" t="s">
        <v>294</v>
      </c>
      <c r="D83" s="37" t="s">
        <v>210</v>
      </c>
      <c r="F83" s="100" t="s">
        <v>295</v>
      </c>
      <c r="G83" s="38" t="s">
        <v>218</v>
      </c>
      <c r="I83" s="99" t="s">
        <v>294</v>
      </c>
      <c r="J83" s="37" t="s">
        <v>210</v>
      </c>
      <c r="L83" s="100" t="s">
        <v>295</v>
      </c>
      <c r="M83" s="38" t="s">
        <v>218</v>
      </c>
      <c r="U83" s="99" t="s">
        <v>294</v>
      </c>
      <c r="V83" s="37" t="s">
        <v>210</v>
      </c>
      <c r="X83" s="100" t="s">
        <v>295</v>
      </c>
      <c r="Y83" s="38" t="s">
        <v>218</v>
      </c>
      <c r="AA83" s="2" t="s">
        <v>6</v>
      </c>
      <c r="AB83" s="2" t="str">
        <f t="shared" si="80"/>
        <v>-</v>
      </c>
      <c r="AC83" s="2" t="s">
        <v>262</v>
      </c>
      <c r="AD83" s="2" t="str">
        <f t="shared" si="81"/>
        <v>_</v>
      </c>
      <c r="AE83" s="2" t="s">
        <v>267</v>
      </c>
      <c r="AF83" s="2" t="str">
        <f t="shared" si="82"/>
        <v>_</v>
      </c>
      <c r="AG83" s="2" t="s">
        <v>302</v>
      </c>
      <c r="AH83" s="2" t="str">
        <f t="shared" si="29"/>
        <v>_</v>
      </c>
      <c r="AI83" s="2" t="s">
        <v>31</v>
      </c>
    </row>
    <row r="84" spans="2:35" x14ac:dyDescent="0.25">
      <c r="B84" s="2" t="str">
        <f t="shared" si="34"/>
        <v>@color-label_halo_place_country_minor</v>
      </c>
      <c r="C84" s="31" t="s">
        <v>272</v>
      </c>
      <c r="D84" s="38" t="s">
        <v>218</v>
      </c>
      <c r="F84" s="32" t="s">
        <v>273</v>
      </c>
      <c r="G84" s="37" t="s">
        <v>210</v>
      </c>
      <c r="I84" s="31" t="s">
        <v>272</v>
      </c>
      <c r="J84" s="38" t="s">
        <v>218</v>
      </c>
      <c r="L84" s="32" t="s">
        <v>273</v>
      </c>
      <c r="M84" s="37" t="s">
        <v>210</v>
      </c>
      <c r="U84" s="31" t="s">
        <v>272</v>
      </c>
      <c r="V84" s="38" t="s">
        <v>218</v>
      </c>
      <c r="X84" s="32" t="s">
        <v>273</v>
      </c>
      <c r="Y84" s="37" t="s">
        <v>210</v>
      </c>
      <c r="AA84" s="2" t="s">
        <v>6</v>
      </c>
      <c r="AB84" s="2" t="str">
        <f t="shared" ref="AB84:AB86" si="83">IF(NOT(ISBLANK(AC84)),"-","")</f>
        <v>-</v>
      </c>
      <c r="AC84" s="2" t="s">
        <v>271</v>
      </c>
      <c r="AD84" s="2" t="str">
        <f t="shared" ref="AD84:AD86" si="84">IF(NOT(ISBLANK(AE84)),"_","")</f>
        <v>_</v>
      </c>
      <c r="AE84" s="2" t="s">
        <v>267</v>
      </c>
      <c r="AF84" s="2" t="str">
        <f t="shared" ref="AF84:AF86" si="85">IF(NOT(ISBLANK(AG84)),"_","")</f>
        <v>_</v>
      </c>
      <c r="AG84" s="2" t="s">
        <v>302</v>
      </c>
      <c r="AH84" s="2" t="str">
        <f t="shared" si="29"/>
        <v>_</v>
      </c>
      <c r="AI84" s="2" t="s">
        <v>31</v>
      </c>
    </row>
    <row r="85" spans="2:35" x14ac:dyDescent="0.25">
      <c r="AA85" s="2"/>
      <c r="AB85" s="2"/>
      <c r="AC85" s="2"/>
      <c r="AD85" s="2"/>
      <c r="AE85" s="2"/>
      <c r="AF85" s="2"/>
      <c r="AG85" s="2"/>
      <c r="AH85" s="2"/>
      <c r="AI85" s="2"/>
    </row>
    <row r="86" spans="2:35" x14ac:dyDescent="0.25">
      <c r="B86" s="2" t="str">
        <f t="shared" si="34"/>
        <v>@color-label_place_country_medium</v>
      </c>
      <c r="C86" s="99" t="s">
        <v>294</v>
      </c>
      <c r="D86" s="37" t="s">
        <v>210</v>
      </c>
      <c r="F86" s="100" t="s">
        <v>295</v>
      </c>
      <c r="G86" s="38" t="s">
        <v>218</v>
      </c>
      <c r="I86" s="99" t="s">
        <v>294</v>
      </c>
      <c r="J86" s="37" t="s">
        <v>210</v>
      </c>
      <c r="L86" s="100" t="s">
        <v>295</v>
      </c>
      <c r="M86" s="38" t="s">
        <v>218</v>
      </c>
      <c r="U86" s="99" t="s">
        <v>294</v>
      </c>
      <c r="V86" s="37" t="s">
        <v>210</v>
      </c>
      <c r="X86" s="100" t="s">
        <v>295</v>
      </c>
      <c r="Y86" s="38" t="s">
        <v>218</v>
      </c>
      <c r="AA86" s="2" t="s">
        <v>6</v>
      </c>
      <c r="AB86" s="2" t="str">
        <f t="shared" si="83"/>
        <v>-</v>
      </c>
      <c r="AC86" s="2" t="s">
        <v>262</v>
      </c>
      <c r="AD86" s="2" t="str">
        <f t="shared" si="84"/>
        <v>_</v>
      </c>
      <c r="AE86" s="2" t="s">
        <v>267</v>
      </c>
      <c r="AF86" s="2" t="str">
        <f t="shared" si="85"/>
        <v>_</v>
      </c>
      <c r="AG86" s="2" t="s">
        <v>302</v>
      </c>
      <c r="AH86" s="2" t="str">
        <f t="shared" si="29"/>
        <v>_</v>
      </c>
      <c r="AI86" s="2" t="s">
        <v>75</v>
      </c>
    </row>
    <row r="87" spans="2:35" x14ac:dyDescent="0.25">
      <c r="B87" s="2" t="str">
        <f t="shared" si="34"/>
        <v>@color-label_halo_place_country_medium</v>
      </c>
      <c r="C87" s="31" t="s">
        <v>272</v>
      </c>
      <c r="D87" s="38" t="s">
        <v>218</v>
      </c>
      <c r="F87" s="32" t="s">
        <v>273</v>
      </c>
      <c r="G87" s="37" t="s">
        <v>210</v>
      </c>
      <c r="I87" s="31" t="s">
        <v>272</v>
      </c>
      <c r="J87" s="38" t="s">
        <v>218</v>
      </c>
      <c r="L87" s="32" t="s">
        <v>273</v>
      </c>
      <c r="M87" s="37" t="s">
        <v>210</v>
      </c>
      <c r="U87" s="31" t="s">
        <v>272</v>
      </c>
      <c r="V87" s="38" t="s">
        <v>218</v>
      </c>
      <c r="X87" s="32" t="s">
        <v>273</v>
      </c>
      <c r="Y87" s="37" t="s">
        <v>210</v>
      </c>
      <c r="AA87" s="2" t="s">
        <v>6</v>
      </c>
      <c r="AB87" s="2" t="str">
        <f t="shared" ref="AB87" si="86">IF(NOT(ISBLANK(AC87)),"-","")</f>
        <v>-</v>
      </c>
      <c r="AC87" s="2" t="s">
        <v>271</v>
      </c>
      <c r="AD87" s="2" t="str">
        <f t="shared" ref="AD87" si="87">IF(NOT(ISBLANK(AE87)),"_","")</f>
        <v>_</v>
      </c>
      <c r="AE87" s="2" t="s">
        <v>267</v>
      </c>
      <c r="AF87" s="2" t="str">
        <f t="shared" ref="AF87" si="88">IF(NOT(ISBLANK(AG87)),"_","")</f>
        <v>_</v>
      </c>
      <c r="AG87" s="2" t="s">
        <v>302</v>
      </c>
      <c r="AH87" s="2" t="str">
        <f t="shared" si="29"/>
        <v>_</v>
      </c>
      <c r="AI87" s="2" t="s">
        <v>75</v>
      </c>
    </row>
    <row r="88" spans="2:35" x14ac:dyDescent="0.25">
      <c r="AA88" s="2"/>
      <c r="AB88" s="2"/>
      <c r="AC88" s="2"/>
      <c r="AD88" s="2"/>
      <c r="AE88" s="2"/>
      <c r="AF88" s="2"/>
      <c r="AG88" s="2"/>
      <c r="AH88" s="2"/>
      <c r="AI88" s="2"/>
    </row>
    <row r="89" spans="2:35" x14ac:dyDescent="0.25">
      <c r="B89" s="2" t="str">
        <f>_xlfn.CONCAT("@",AA89,AB89,AC89,AD89,AE89,AF89,AG89,AH89,AI89)</f>
        <v>@color-label_place_country_major</v>
      </c>
      <c r="C89" s="99" t="s">
        <v>294</v>
      </c>
      <c r="D89" s="37" t="s">
        <v>210</v>
      </c>
      <c r="F89" s="100" t="s">
        <v>295</v>
      </c>
      <c r="G89" s="38" t="s">
        <v>218</v>
      </c>
      <c r="I89" s="99" t="s">
        <v>294</v>
      </c>
      <c r="J89" s="37" t="s">
        <v>210</v>
      </c>
      <c r="L89" s="100" t="s">
        <v>295</v>
      </c>
      <c r="M89" s="38" t="s">
        <v>218</v>
      </c>
      <c r="U89" s="99" t="s">
        <v>294</v>
      </c>
      <c r="V89" s="37" t="s">
        <v>210</v>
      </c>
      <c r="X89" s="100" t="s">
        <v>295</v>
      </c>
      <c r="Y89" s="38" t="s">
        <v>218</v>
      </c>
      <c r="AA89" s="2" t="s">
        <v>6</v>
      </c>
      <c r="AB89" s="2" t="str">
        <f>IF(NOT(ISBLANK(AC89)),"-","")</f>
        <v>-</v>
      </c>
      <c r="AC89" s="2" t="s">
        <v>262</v>
      </c>
      <c r="AD89" s="2" t="str">
        <f>IF(NOT(ISBLANK(AE89)),"_","")</f>
        <v>_</v>
      </c>
      <c r="AE89" s="2" t="s">
        <v>267</v>
      </c>
      <c r="AF89" s="2" t="str">
        <f>IF(NOT(ISBLANK(AG89)),"_","")</f>
        <v>_</v>
      </c>
      <c r="AG89" s="2" t="s">
        <v>302</v>
      </c>
      <c r="AH89" s="2" t="str">
        <f>IF(NOT(ISBLANK(AI89)),"_","")</f>
        <v>_</v>
      </c>
      <c r="AI89" s="2" t="s">
        <v>301</v>
      </c>
    </row>
    <row r="90" spans="2:35" x14ac:dyDescent="0.25">
      <c r="B90" s="2" t="str">
        <f>_xlfn.CONCAT("@",AA90,AB90,AC90,AD90,AE90,AF90,AG90,AH90,AI90)</f>
        <v>@color-label_halo_place_country_major</v>
      </c>
      <c r="C90" s="31" t="s">
        <v>272</v>
      </c>
      <c r="D90" s="38" t="s">
        <v>218</v>
      </c>
      <c r="F90" s="32" t="s">
        <v>273</v>
      </c>
      <c r="G90" s="37" t="s">
        <v>210</v>
      </c>
      <c r="I90" s="31" t="s">
        <v>272</v>
      </c>
      <c r="J90" s="38" t="s">
        <v>218</v>
      </c>
      <c r="L90" s="32" t="s">
        <v>273</v>
      </c>
      <c r="M90" s="37" t="s">
        <v>210</v>
      </c>
      <c r="U90" s="31" t="s">
        <v>272</v>
      </c>
      <c r="V90" s="38" t="s">
        <v>218</v>
      </c>
      <c r="X90" s="32" t="s">
        <v>273</v>
      </c>
      <c r="Y90" s="37" t="s">
        <v>210</v>
      </c>
      <c r="AA90" s="2" t="s">
        <v>6</v>
      </c>
      <c r="AB90" s="2" t="str">
        <f>IF(NOT(ISBLANK(AC90)),"-","")</f>
        <v>-</v>
      </c>
      <c r="AC90" s="2" t="s">
        <v>271</v>
      </c>
      <c r="AD90" s="2" t="str">
        <f>IF(NOT(ISBLANK(AE90)),"_","")</f>
        <v>_</v>
      </c>
      <c r="AE90" s="2" t="s">
        <v>267</v>
      </c>
      <c r="AF90" s="2" t="str">
        <f>IF(NOT(ISBLANK(AG90)),"_","")</f>
        <v>_</v>
      </c>
      <c r="AG90" s="2" t="s">
        <v>302</v>
      </c>
      <c r="AH90" s="2" t="str">
        <f>IF(NOT(ISBLANK(AI90)),"_","")</f>
        <v>_</v>
      </c>
      <c r="AI90" s="2" t="s">
        <v>301</v>
      </c>
    </row>
    <row r="91" spans="2:35" x14ac:dyDescent="0.25">
      <c r="AA91" s="2"/>
      <c r="AB91" s="2"/>
      <c r="AC91" s="2"/>
      <c r="AD91" s="2"/>
      <c r="AE91" s="2"/>
      <c r="AF91" s="2"/>
      <c r="AG91" s="2"/>
      <c r="AH91" s="2"/>
      <c r="AI91" s="2"/>
    </row>
    <row r="92" spans="2:35" x14ac:dyDescent="0.25">
      <c r="B92" s="2" t="str">
        <f t="shared" si="34"/>
        <v>@color-label_place_protected_area</v>
      </c>
      <c r="C92" s="95" t="s">
        <v>289</v>
      </c>
      <c r="D92" s="37" t="s">
        <v>210</v>
      </c>
      <c r="F92" s="96" t="s">
        <v>290</v>
      </c>
      <c r="G92" s="38" t="s">
        <v>218</v>
      </c>
      <c r="I92" s="95" t="s">
        <v>289</v>
      </c>
      <c r="J92" s="37" t="s">
        <v>210</v>
      </c>
      <c r="L92" s="96" t="s">
        <v>290</v>
      </c>
      <c r="M92" s="38" t="s">
        <v>218</v>
      </c>
      <c r="U92" s="95" t="s">
        <v>289</v>
      </c>
      <c r="V92" s="37" t="s">
        <v>210</v>
      </c>
      <c r="X92" s="96" t="s">
        <v>290</v>
      </c>
      <c r="Y92" s="38" t="s">
        <v>218</v>
      </c>
      <c r="AA92" s="2" t="s">
        <v>6</v>
      </c>
      <c r="AB92" s="2" t="str">
        <f t="shared" si="73"/>
        <v>-</v>
      </c>
      <c r="AC92" s="2" t="s">
        <v>262</v>
      </c>
      <c r="AD92" s="2" t="str">
        <f t="shared" si="74"/>
        <v>_</v>
      </c>
      <c r="AE92" s="2" t="s">
        <v>267</v>
      </c>
      <c r="AF92" s="2" t="str">
        <f t="shared" si="75"/>
        <v>_</v>
      </c>
      <c r="AG92" s="2" t="s">
        <v>288</v>
      </c>
      <c r="AH92" s="2" t="str">
        <f t="shared" si="29"/>
        <v/>
      </c>
      <c r="AI92" s="2"/>
    </row>
    <row r="93" spans="2:35" x14ac:dyDescent="0.25">
      <c r="B93" s="2" t="str">
        <f t="shared" si="34"/>
        <v>@color-label_halo_place_protected_area</v>
      </c>
      <c r="C93" s="38" t="s">
        <v>218</v>
      </c>
      <c r="D93" s="38" t="s">
        <v>218</v>
      </c>
      <c r="F93" s="37" t="s">
        <v>210</v>
      </c>
      <c r="G93" s="37" t="s">
        <v>210</v>
      </c>
      <c r="I93" s="38" t="s">
        <v>218</v>
      </c>
      <c r="J93" s="38" t="s">
        <v>218</v>
      </c>
      <c r="L93" s="37" t="s">
        <v>210</v>
      </c>
      <c r="M93" s="37" t="s">
        <v>210</v>
      </c>
      <c r="U93" s="38" t="s">
        <v>218</v>
      </c>
      <c r="V93" s="38" t="s">
        <v>218</v>
      </c>
      <c r="X93" s="37" t="s">
        <v>210</v>
      </c>
      <c r="Y93" s="37" t="s">
        <v>210</v>
      </c>
      <c r="AA93" s="2" t="s">
        <v>6</v>
      </c>
      <c r="AB93" s="2" t="str">
        <f t="shared" ref="AB93:AB95" si="89">IF(NOT(ISBLANK(AC93)),"-","")</f>
        <v>-</v>
      </c>
      <c r="AC93" s="2" t="s">
        <v>271</v>
      </c>
      <c r="AD93" s="2" t="str">
        <f t="shared" ref="AD93:AD95" si="90">IF(NOT(ISBLANK(AE93)),"_","")</f>
        <v>_</v>
      </c>
      <c r="AE93" s="2" t="s">
        <v>267</v>
      </c>
      <c r="AF93" s="2" t="str">
        <f t="shared" ref="AF93:AF95" si="91">IF(NOT(ISBLANK(AG93)),"_","")</f>
        <v>_</v>
      </c>
      <c r="AG93" s="2" t="s">
        <v>288</v>
      </c>
      <c r="AH93" s="2" t="str">
        <f t="shared" si="29"/>
        <v/>
      </c>
      <c r="AI93" s="2"/>
    </row>
    <row r="94" spans="2:35" x14ac:dyDescent="0.25">
      <c r="AA94" s="2"/>
      <c r="AB94" s="2"/>
      <c r="AC94" s="2"/>
      <c r="AD94" s="2"/>
      <c r="AE94" s="2"/>
      <c r="AF94" s="2"/>
      <c r="AG94" s="2"/>
      <c r="AH94" s="2"/>
      <c r="AI94" s="2"/>
    </row>
    <row r="95" spans="2:35" x14ac:dyDescent="0.25">
      <c r="B95" s="2" t="str">
        <f t="shared" si="34"/>
        <v>@color-label_place_poi-level_123_and_additions_farzoom</v>
      </c>
      <c r="C95" s="95" t="s">
        <v>289</v>
      </c>
      <c r="D95" s="37" t="s">
        <v>210</v>
      </c>
      <c r="F95" s="96" t="s">
        <v>290</v>
      </c>
      <c r="G95" s="38" t="s">
        <v>218</v>
      </c>
      <c r="I95" s="95" t="s">
        <v>289</v>
      </c>
      <c r="J95" s="37" t="s">
        <v>210</v>
      </c>
      <c r="L95" s="96" t="s">
        <v>290</v>
      </c>
      <c r="M95" s="38" t="s">
        <v>218</v>
      </c>
      <c r="U95" s="95" t="s">
        <v>289</v>
      </c>
      <c r="V95" s="37" t="s">
        <v>210</v>
      </c>
      <c r="X95" s="96" t="s">
        <v>290</v>
      </c>
      <c r="Y95" s="38" t="s">
        <v>218</v>
      </c>
      <c r="AA95" s="2" t="s">
        <v>6</v>
      </c>
      <c r="AB95" s="2" t="str">
        <f t="shared" si="89"/>
        <v>-</v>
      </c>
      <c r="AC95" s="2" t="s">
        <v>262</v>
      </c>
      <c r="AD95" s="2" t="str">
        <f t="shared" si="90"/>
        <v>_</v>
      </c>
      <c r="AE95" s="2" t="s">
        <v>267</v>
      </c>
      <c r="AF95" s="2" t="str">
        <f t="shared" si="91"/>
        <v>_</v>
      </c>
      <c r="AG95" s="2" t="s">
        <v>296</v>
      </c>
      <c r="AH95" s="2" t="str">
        <f t="shared" si="29"/>
        <v/>
      </c>
      <c r="AI95" s="2"/>
    </row>
    <row r="96" spans="2:35" x14ac:dyDescent="0.25">
      <c r="B96" s="2" t="str">
        <f t="shared" si="34"/>
        <v>@color-label_place_poi-level_123_and_additions_default</v>
      </c>
      <c r="C96" s="35" t="s">
        <v>284</v>
      </c>
      <c r="D96" s="35" t="s">
        <v>284</v>
      </c>
      <c r="F96" s="36" t="s">
        <v>285</v>
      </c>
      <c r="G96" s="38" t="s">
        <v>218</v>
      </c>
      <c r="I96" s="35" t="s">
        <v>284</v>
      </c>
      <c r="J96" s="35" t="s">
        <v>284</v>
      </c>
      <c r="L96" s="36" t="s">
        <v>285</v>
      </c>
      <c r="M96" s="38" t="s">
        <v>218</v>
      </c>
      <c r="U96" s="35" t="s">
        <v>284</v>
      </c>
      <c r="V96" s="35" t="s">
        <v>284</v>
      </c>
      <c r="X96" s="36" t="s">
        <v>285</v>
      </c>
      <c r="Y96" s="38" t="s">
        <v>218</v>
      </c>
      <c r="AA96" s="2" t="s">
        <v>6</v>
      </c>
      <c r="AB96" s="2" t="str">
        <f t="shared" ref="AB96" si="92">IF(NOT(ISBLANK(AC96)),"-","")</f>
        <v>-</v>
      </c>
      <c r="AC96" s="2" t="s">
        <v>262</v>
      </c>
      <c r="AD96" s="2" t="str">
        <f t="shared" ref="AD96" si="93">IF(NOT(ISBLANK(AE96)),"_","")</f>
        <v>_</v>
      </c>
      <c r="AE96" s="2" t="s">
        <v>267</v>
      </c>
      <c r="AF96" s="2" t="str">
        <f t="shared" ref="AF96" si="94">IF(NOT(ISBLANK(AG96)),"_","")</f>
        <v>_</v>
      </c>
      <c r="AG96" s="2" t="s">
        <v>297</v>
      </c>
      <c r="AH96" s="2" t="str">
        <f t="shared" si="29"/>
        <v/>
      </c>
      <c r="AI96" s="2"/>
    </row>
    <row r="97" spans="1:35" x14ac:dyDescent="0.25">
      <c r="B97" s="2" t="str">
        <f t="shared" si="34"/>
        <v>@color-label_halo_place_poi-level_123_and_additions</v>
      </c>
      <c r="C97" s="38" t="s">
        <v>218</v>
      </c>
      <c r="D97" s="38" t="s">
        <v>218</v>
      </c>
      <c r="F97" s="37" t="s">
        <v>210</v>
      </c>
      <c r="G97" s="37" t="s">
        <v>210</v>
      </c>
      <c r="I97" s="38" t="s">
        <v>218</v>
      </c>
      <c r="J97" s="38" t="s">
        <v>218</v>
      </c>
      <c r="L97" s="37" t="s">
        <v>210</v>
      </c>
      <c r="M97" s="37" t="s">
        <v>210</v>
      </c>
      <c r="U97" s="38" t="s">
        <v>218</v>
      </c>
      <c r="V97" s="38" t="s">
        <v>218</v>
      </c>
      <c r="X97" s="37" t="s">
        <v>210</v>
      </c>
      <c r="Y97" s="37" t="s">
        <v>210</v>
      </c>
      <c r="AA97" s="2" t="s">
        <v>6</v>
      </c>
      <c r="AB97" s="2" t="str">
        <f t="shared" ref="AB97" si="95">IF(NOT(ISBLANK(AC97)),"-","")</f>
        <v>-</v>
      </c>
      <c r="AC97" s="2" t="s">
        <v>271</v>
      </c>
      <c r="AD97" s="2" t="str">
        <f t="shared" ref="AD97" si="96">IF(NOT(ISBLANK(AE97)),"_","")</f>
        <v>_</v>
      </c>
      <c r="AE97" s="2" t="s">
        <v>267</v>
      </c>
      <c r="AF97" s="2" t="str">
        <f t="shared" ref="AF97" si="97">IF(NOT(ISBLANK(AG97)),"_","")</f>
        <v>_</v>
      </c>
      <c r="AG97" s="2" t="s">
        <v>298</v>
      </c>
      <c r="AH97" s="2" t="str">
        <f t="shared" si="29"/>
        <v/>
      </c>
      <c r="AI97" s="2"/>
    </row>
    <row r="98" spans="1:35" x14ac:dyDescent="0.25">
      <c r="AA98" s="2"/>
      <c r="AB98" s="2"/>
      <c r="AC98" s="2"/>
      <c r="AD98" s="2"/>
      <c r="AE98" s="2"/>
      <c r="AF98" s="2"/>
      <c r="AG98" s="2"/>
      <c r="AH98" s="2"/>
      <c r="AI98" s="2"/>
    </row>
    <row r="99" spans="1:35" s="2" customFormat="1" x14ac:dyDescent="0.25">
      <c r="A99" s="185"/>
      <c r="B99" s="3" t="s">
        <v>14</v>
      </c>
      <c r="C99" s="27"/>
      <c r="D99" s="6"/>
      <c r="E99" s="7"/>
      <c r="F99" s="6"/>
      <c r="G99" s="6"/>
      <c r="H99" s="7"/>
      <c r="I99" s="6"/>
      <c r="J99" s="6"/>
      <c r="K99" s="7"/>
      <c r="L99" s="6"/>
      <c r="M99" s="6"/>
      <c r="N99" s="7"/>
      <c r="O99" s="6"/>
      <c r="P99" s="6"/>
      <c r="Q99" s="7"/>
      <c r="R99" s="6"/>
      <c r="S99" s="6"/>
      <c r="T99" s="7"/>
      <c r="U99" s="6"/>
      <c r="V99" s="6"/>
      <c r="W99" s="7"/>
      <c r="X99" s="6"/>
      <c r="Y99" s="6"/>
      <c r="AA99" s="4"/>
      <c r="AB99" s="4" t="str">
        <f>IF(NOT(ISBLANK(AC99)),"-","")</f>
        <v/>
      </c>
      <c r="AC99" s="4"/>
      <c r="AD99" s="4" t="str">
        <f>IF(NOT(ISBLANK(AE99)),"_","")</f>
        <v/>
      </c>
      <c r="AE99" s="4"/>
      <c r="AF99" s="4" t="str">
        <f>IF(NOT(ISBLANK(AG99)),"_","")</f>
        <v/>
      </c>
      <c r="AG99" s="4"/>
      <c r="AH99" s="4" t="str">
        <f>IF(NOT(ISBLANK(AI99)),"_","")</f>
        <v/>
      </c>
      <c r="AI99" s="4"/>
    </row>
    <row r="100" spans="1:35" x14ac:dyDescent="0.25">
      <c r="AA100" s="2"/>
      <c r="AB100" s="2"/>
      <c r="AC100" s="2"/>
      <c r="AD100" s="2"/>
      <c r="AE100" s="2"/>
      <c r="AF100" s="2"/>
      <c r="AG100" s="2"/>
      <c r="AH100" s="2"/>
      <c r="AI100" s="2"/>
    </row>
    <row r="101" spans="1:35" x14ac:dyDescent="0.25">
      <c r="B101" s="2" t="str">
        <f t="shared" ref="B101" si="98">_xlfn.CONCAT("@",AA101,AB101,AC101,AD101,AE101,AF101,AG101,AH101,AI101)</f>
        <v>@color-label_waterway</v>
      </c>
      <c r="C101" s="129" t="s">
        <v>406</v>
      </c>
      <c r="D101" s="37" t="s">
        <v>210</v>
      </c>
      <c r="F101" s="130" t="s">
        <v>407</v>
      </c>
      <c r="G101" s="38" t="s">
        <v>218</v>
      </c>
      <c r="I101" s="129" t="s">
        <v>406</v>
      </c>
      <c r="J101" s="37" t="s">
        <v>210</v>
      </c>
      <c r="L101" s="130" t="s">
        <v>407</v>
      </c>
      <c r="M101" s="38" t="s">
        <v>218</v>
      </c>
      <c r="U101" s="129" t="s">
        <v>406</v>
      </c>
      <c r="V101" s="37" t="s">
        <v>210</v>
      </c>
      <c r="X101" s="130" t="s">
        <v>407</v>
      </c>
      <c r="Y101" s="38" t="s">
        <v>218</v>
      </c>
      <c r="AA101" s="2" t="s">
        <v>6</v>
      </c>
      <c r="AB101" s="2" t="str">
        <f t="shared" ref="AB101" si="99">IF(NOT(ISBLANK(AC101)),"-","")</f>
        <v>-</v>
      </c>
      <c r="AC101" s="2" t="s">
        <v>262</v>
      </c>
      <c r="AD101" s="2" t="str">
        <f t="shared" ref="AD101" si="100">IF(NOT(ISBLANK(AE101)),"_","")</f>
        <v>_</v>
      </c>
      <c r="AE101" s="2" t="s">
        <v>405</v>
      </c>
      <c r="AF101" s="2" t="str">
        <f t="shared" ref="AF101" si="101">IF(NOT(ISBLANK(AG101)),"_","")</f>
        <v/>
      </c>
      <c r="AG101" s="2"/>
      <c r="AH101" s="2" t="str">
        <f t="shared" ref="AH101" si="102">IF(NOT(ISBLANK(AI101)),"_","")</f>
        <v/>
      </c>
      <c r="AI101" s="2"/>
    </row>
    <row r="102" spans="1:35" x14ac:dyDescent="0.25">
      <c r="B102" s="2" t="str">
        <f t="shared" ref="B102" si="103">_xlfn.CONCAT("@",AA102,AB102,AC102,AD102,AE102,AF102,AG102,AH102,AI102)</f>
        <v>@color-label_halo_waterway</v>
      </c>
      <c r="C102" s="38" t="s">
        <v>218</v>
      </c>
      <c r="D102" s="38" t="s">
        <v>218</v>
      </c>
      <c r="F102" s="37" t="s">
        <v>210</v>
      </c>
      <c r="G102" s="37" t="s">
        <v>210</v>
      </c>
      <c r="I102" s="38" t="s">
        <v>218</v>
      </c>
      <c r="J102" s="38" t="s">
        <v>218</v>
      </c>
      <c r="L102" s="37" t="s">
        <v>210</v>
      </c>
      <c r="M102" s="37" t="s">
        <v>210</v>
      </c>
      <c r="U102" s="38" t="s">
        <v>218</v>
      </c>
      <c r="V102" s="38" t="s">
        <v>218</v>
      </c>
      <c r="X102" s="37" t="s">
        <v>210</v>
      </c>
      <c r="Y102" s="37" t="s">
        <v>210</v>
      </c>
      <c r="AA102" s="2" t="s">
        <v>6</v>
      </c>
      <c r="AB102" s="2" t="str">
        <f t="shared" ref="AB102" si="104">IF(NOT(ISBLANK(AC102)),"-","")</f>
        <v>-</v>
      </c>
      <c r="AC102" s="2" t="s">
        <v>271</v>
      </c>
      <c r="AD102" s="2" t="str">
        <f t="shared" ref="AD102" si="105">IF(NOT(ISBLANK(AE102)),"_","")</f>
        <v>_</v>
      </c>
      <c r="AE102" s="2" t="s">
        <v>405</v>
      </c>
      <c r="AF102" s="2" t="str">
        <f t="shared" ref="AF102" si="106">IF(NOT(ISBLANK(AG102)),"_","")</f>
        <v/>
      </c>
      <c r="AG102" s="2"/>
      <c r="AH102" s="2" t="str">
        <f t="shared" ref="AH102" si="107">IF(NOT(ISBLANK(AI102)),"_","")</f>
        <v/>
      </c>
      <c r="AI102" s="2"/>
    </row>
    <row r="103" spans="1:35" x14ac:dyDescent="0.25">
      <c r="B103" s="2" t="str">
        <f t="shared" ref="B103:B104" si="108">_xlfn.CONCAT("@",AA103,AB103,AC103,AD103,AE103,AF103,AG103,AH103,AI103)</f>
        <v>@opacity-label_waterway</v>
      </c>
      <c r="C103" s="28" t="s">
        <v>118</v>
      </c>
      <c r="D103" s="28" t="s">
        <v>76</v>
      </c>
      <c r="F103" s="28" t="s">
        <v>118</v>
      </c>
      <c r="G103" s="28" t="s">
        <v>76</v>
      </c>
      <c r="I103" s="28" t="s">
        <v>118</v>
      </c>
      <c r="J103" s="28" t="s">
        <v>76</v>
      </c>
      <c r="L103" s="28" t="s">
        <v>118</v>
      </c>
      <c r="M103" s="28" t="s">
        <v>76</v>
      </c>
      <c r="U103" s="28" t="s">
        <v>118</v>
      </c>
      <c r="V103" s="28" t="s">
        <v>76</v>
      </c>
      <c r="X103" s="28" t="s">
        <v>118</v>
      </c>
      <c r="Y103" s="28" t="s">
        <v>76</v>
      </c>
      <c r="AA103" s="2" t="s">
        <v>378</v>
      </c>
      <c r="AB103" s="2" t="str">
        <f t="shared" ref="AB103:AB104" si="109">IF(NOT(ISBLANK(AC103)),"-","")</f>
        <v>-</v>
      </c>
      <c r="AC103" s="2" t="s">
        <v>262</v>
      </c>
      <c r="AD103" s="2" t="str">
        <f t="shared" ref="AD103:AD104" si="110">IF(NOT(ISBLANK(AE103)),"_","")</f>
        <v>_</v>
      </c>
      <c r="AE103" s="2" t="s">
        <v>405</v>
      </c>
      <c r="AF103" s="2" t="str">
        <f t="shared" ref="AF103:AF104" si="111">IF(NOT(ISBLANK(AG103)),"_","")</f>
        <v/>
      </c>
      <c r="AG103" s="2"/>
      <c r="AH103" s="2" t="str">
        <f t="shared" ref="AH103:AH104" si="112">IF(NOT(ISBLANK(AI103)),"_","")</f>
        <v/>
      </c>
      <c r="AI103" s="2"/>
    </row>
    <row r="104" spans="1:35" x14ac:dyDescent="0.25">
      <c r="B104" s="2" t="str">
        <f t="shared" si="108"/>
        <v>@color-label_lake_etc</v>
      </c>
      <c r="C104" s="129" t="s">
        <v>406</v>
      </c>
      <c r="D104" s="37" t="s">
        <v>210</v>
      </c>
      <c r="F104" s="130" t="s">
        <v>407</v>
      </c>
      <c r="G104" s="38" t="s">
        <v>218</v>
      </c>
      <c r="I104" s="129" t="s">
        <v>406</v>
      </c>
      <c r="J104" s="37" t="s">
        <v>210</v>
      </c>
      <c r="L104" s="130" t="s">
        <v>407</v>
      </c>
      <c r="M104" s="38" t="s">
        <v>218</v>
      </c>
      <c r="U104" s="129" t="s">
        <v>406</v>
      </c>
      <c r="V104" s="37" t="s">
        <v>210</v>
      </c>
      <c r="X104" s="130" t="s">
        <v>407</v>
      </c>
      <c r="Y104" s="38" t="s">
        <v>218</v>
      </c>
      <c r="AA104" s="2" t="s">
        <v>6</v>
      </c>
      <c r="AB104" s="2" t="str">
        <f t="shared" si="109"/>
        <v>-</v>
      </c>
      <c r="AC104" s="2" t="s">
        <v>262</v>
      </c>
      <c r="AD104" s="2" t="str">
        <f t="shared" si="110"/>
        <v>_</v>
      </c>
      <c r="AE104" s="2" t="s">
        <v>408</v>
      </c>
      <c r="AF104" s="2" t="str">
        <f t="shared" si="111"/>
        <v/>
      </c>
      <c r="AG104" s="2"/>
      <c r="AH104" s="2" t="str">
        <f t="shared" si="112"/>
        <v/>
      </c>
      <c r="AI104" s="2"/>
    </row>
    <row r="105" spans="1:35" x14ac:dyDescent="0.25">
      <c r="B105" s="2" t="str">
        <f t="shared" ref="B105:B106" si="113">_xlfn.CONCAT("@",AA105,AB105,AC105,AD105,AE105,AF105,AG105,AH105,AI105)</f>
        <v>@opacity-label_lake_etc</v>
      </c>
      <c r="C105" s="28" t="s">
        <v>76</v>
      </c>
      <c r="D105" s="28" t="s">
        <v>76</v>
      </c>
      <c r="F105" s="28" t="s">
        <v>76</v>
      </c>
      <c r="G105" s="28" t="s">
        <v>76</v>
      </c>
      <c r="I105" s="28" t="s">
        <v>76</v>
      </c>
      <c r="J105" s="28" t="s">
        <v>76</v>
      </c>
      <c r="L105" s="28" t="s">
        <v>76</v>
      </c>
      <c r="M105" s="28" t="s">
        <v>76</v>
      </c>
      <c r="U105" s="28" t="s">
        <v>76</v>
      </c>
      <c r="V105" s="28" t="s">
        <v>76</v>
      </c>
      <c r="X105" s="28" t="s">
        <v>76</v>
      </c>
      <c r="Y105" s="28" t="s">
        <v>76</v>
      </c>
      <c r="AA105" s="2" t="s">
        <v>378</v>
      </c>
      <c r="AB105" s="2" t="str">
        <f t="shared" ref="AB105:AB106" si="114">IF(NOT(ISBLANK(AC105)),"-","")</f>
        <v>-</v>
      </c>
      <c r="AC105" s="2" t="s">
        <v>262</v>
      </c>
      <c r="AD105" s="2" t="str">
        <f t="shared" ref="AD105:AD106" si="115">IF(NOT(ISBLANK(AE105)),"_","")</f>
        <v>_</v>
      </c>
      <c r="AE105" s="2" t="s">
        <v>408</v>
      </c>
      <c r="AF105" s="2" t="str">
        <f t="shared" ref="AF105:AF106" si="116">IF(NOT(ISBLANK(AG105)),"_","")</f>
        <v/>
      </c>
      <c r="AG105" s="2"/>
      <c r="AH105" s="2" t="str">
        <f t="shared" ref="AH105:AH106" si="117">IF(NOT(ISBLANK(AI105)),"_","")</f>
        <v/>
      </c>
      <c r="AI105" s="2"/>
    </row>
    <row r="106" spans="1:35" x14ac:dyDescent="0.25">
      <c r="B106" s="2" t="str">
        <f t="shared" si="113"/>
        <v>@color-label_ocean</v>
      </c>
      <c r="C106" s="131" t="s">
        <v>410</v>
      </c>
      <c r="D106" s="37" t="s">
        <v>210</v>
      </c>
      <c r="F106" s="132" t="s">
        <v>411</v>
      </c>
      <c r="G106" s="38" t="s">
        <v>218</v>
      </c>
      <c r="I106" s="131" t="s">
        <v>410</v>
      </c>
      <c r="J106" s="37" t="s">
        <v>210</v>
      </c>
      <c r="L106" s="132" t="s">
        <v>411</v>
      </c>
      <c r="M106" s="38" t="s">
        <v>218</v>
      </c>
      <c r="U106" s="131" t="s">
        <v>410</v>
      </c>
      <c r="V106" s="37" t="s">
        <v>210</v>
      </c>
      <c r="X106" s="132" t="s">
        <v>411</v>
      </c>
      <c r="Y106" s="38" t="s">
        <v>218</v>
      </c>
      <c r="AA106" s="2" t="s">
        <v>6</v>
      </c>
      <c r="AB106" s="2" t="str">
        <f t="shared" si="114"/>
        <v>-</v>
      </c>
      <c r="AC106" s="2" t="s">
        <v>262</v>
      </c>
      <c r="AD106" s="2" t="str">
        <f t="shared" si="115"/>
        <v>_</v>
      </c>
      <c r="AE106" s="2" t="s">
        <v>409</v>
      </c>
      <c r="AF106" s="2" t="str">
        <f t="shared" si="116"/>
        <v/>
      </c>
      <c r="AG106" s="2"/>
      <c r="AH106" s="2" t="str">
        <f t="shared" si="117"/>
        <v/>
      </c>
      <c r="AI106" s="2"/>
    </row>
    <row r="107" spans="1:35" x14ac:dyDescent="0.25">
      <c r="B107" s="2" t="str">
        <f t="shared" ref="B107" si="118">_xlfn.CONCAT("@",AA107,AB107,AC107,AD107,AE107,AF107,AG107,AH107,AI107)</f>
        <v>@opacity-label_ocean</v>
      </c>
      <c r="C107" s="28" t="s">
        <v>76</v>
      </c>
      <c r="D107" s="28" t="s">
        <v>76</v>
      </c>
      <c r="F107" s="28" t="s">
        <v>76</v>
      </c>
      <c r="G107" s="28" t="s">
        <v>76</v>
      </c>
      <c r="I107" s="28" t="s">
        <v>76</v>
      </c>
      <c r="J107" s="28" t="s">
        <v>76</v>
      </c>
      <c r="L107" s="28" t="s">
        <v>76</v>
      </c>
      <c r="M107" s="28" t="s">
        <v>76</v>
      </c>
      <c r="U107" s="28" t="s">
        <v>76</v>
      </c>
      <c r="V107" s="28" t="s">
        <v>76</v>
      </c>
      <c r="X107" s="28" t="s">
        <v>76</v>
      </c>
      <c r="Y107" s="28" t="s">
        <v>76</v>
      </c>
      <c r="AA107" s="2" t="s">
        <v>378</v>
      </c>
      <c r="AB107" s="2" t="str">
        <f t="shared" ref="AB107" si="119">IF(NOT(ISBLANK(AC107)),"-","")</f>
        <v>-</v>
      </c>
      <c r="AC107" s="2" t="s">
        <v>262</v>
      </c>
      <c r="AD107" s="2" t="str">
        <f t="shared" ref="AD107" si="120">IF(NOT(ISBLANK(AE107)),"_","")</f>
        <v>_</v>
      </c>
      <c r="AE107" s="2" t="s">
        <v>409</v>
      </c>
      <c r="AF107" s="2" t="str">
        <f t="shared" ref="AF107" si="121">IF(NOT(ISBLANK(AG107)),"_","")</f>
        <v/>
      </c>
      <c r="AG107" s="2"/>
      <c r="AH107" s="2" t="str">
        <f t="shared" ref="AH107" si="122">IF(NOT(ISBLANK(AI107)),"_","")</f>
        <v/>
      </c>
      <c r="AI107" s="2"/>
    </row>
    <row r="108" spans="1:35" x14ac:dyDescent="0.25">
      <c r="AA108" s="2"/>
      <c r="AB108" s="2"/>
      <c r="AC108" s="2"/>
      <c r="AD108" s="2"/>
      <c r="AE108" s="2"/>
      <c r="AF108" s="2"/>
      <c r="AG108" s="2"/>
      <c r="AH108" s="2"/>
      <c r="AI108" s="2"/>
    </row>
    <row r="109" spans="1:35" s="2" customFormat="1" x14ac:dyDescent="0.25">
      <c r="A109" s="185"/>
      <c r="B109" s="3" t="s">
        <v>461</v>
      </c>
      <c r="C109" s="27"/>
      <c r="D109" s="6"/>
      <c r="E109" s="7"/>
      <c r="F109" s="6"/>
      <c r="G109" s="6"/>
      <c r="H109" s="7"/>
      <c r="I109" s="6"/>
      <c r="J109" s="6"/>
      <c r="K109" s="7"/>
      <c r="L109" s="6"/>
      <c r="M109" s="6"/>
      <c r="N109" s="7"/>
      <c r="O109" s="6"/>
      <c r="P109" s="6"/>
      <c r="Q109" s="7"/>
      <c r="R109" s="6"/>
      <c r="S109" s="6"/>
      <c r="T109" s="7"/>
      <c r="U109" s="6"/>
      <c r="V109" s="6"/>
      <c r="W109" s="7"/>
      <c r="X109" s="6"/>
      <c r="Y109" s="6"/>
      <c r="AA109" s="4"/>
      <c r="AB109" s="4" t="str">
        <f>IF(NOT(ISBLANK(AC109)),"-","")</f>
        <v/>
      </c>
      <c r="AC109" s="4"/>
      <c r="AD109" s="4" t="str">
        <f>IF(NOT(ISBLANK(AE109)),"_","")</f>
        <v/>
      </c>
      <c r="AE109" s="4"/>
      <c r="AF109" s="4" t="str">
        <f>IF(NOT(ISBLANK(AG109)),"_","")</f>
        <v/>
      </c>
      <c r="AG109" s="4"/>
      <c r="AH109" s="4" t="str">
        <f>IF(NOT(ISBLANK(AI109)),"_","")</f>
        <v/>
      </c>
      <c r="AI109" s="4"/>
    </row>
    <row r="110" spans="1:35" x14ac:dyDescent="0.25">
      <c r="AA110" s="2"/>
      <c r="AB110" s="2"/>
      <c r="AC110" s="2"/>
      <c r="AD110" s="2"/>
      <c r="AE110" s="2"/>
      <c r="AF110" s="2"/>
      <c r="AG110" s="2"/>
      <c r="AH110" s="2"/>
      <c r="AI110" s="2"/>
    </row>
    <row r="111" spans="1:35" x14ac:dyDescent="0.25">
      <c r="B111" s="2" t="str">
        <f>_xlfn.CONCAT("@",AA111,AB111,AC111,AD111,AE111,AF111,AG111,AH111,AI111)</f>
        <v>@text_font-label_highway_roadnumber_non_us</v>
      </c>
      <c r="C111" s="28" t="s">
        <v>469</v>
      </c>
      <c r="D111" s="28" t="s">
        <v>470</v>
      </c>
      <c r="F111" s="28" t="s">
        <v>469</v>
      </c>
      <c r="G111" s="28" t="s">
        <v>470</v>
      </c>
      <c r="I111" s="28" t="s">
        <v>469</v>
      </c>
      <c r="J111" s="28" t="s">
        <v>470</v>
      </c>
      <c r="L111" s="28" t="s">
        <v>469</v>
      </c>
      <c r="M111" s="28" t="s">
        <v>470</v>
      </c>
      <c r="U111" s="28" t="s">
        <v>469</v>
      </c>
      <c r="V111" s="28" t="s">
        <v>470</v>
      </c>
      <c r="X111" s="28" t="s">
        <v>469</v>
      </c>
      <c r="Y111" s="28" t="s">
        <v>470</v>
      </c>
      <c r="AA111" s="2" t="s">
        <v>468</v>
      </c>
      <c r="AB111" s="2" t="str">
        <f t="shared" ref="AB111" si="123">IF(NOT(ISBLANK(AC111)),"-","")</f>
        <v>-</v>
      </c>
      <c r="AC111" s="2" t="s">
        <v>262</v>
      </c>
      <c r="AD111" s="2" t="str">
        <f t="shared" ref="AD111" si="124">IF(NOT(ISBLANK(AE111)),"_","")</f>
        <v>_</v>
      </c>
      <c r="AE111" s="2" t="s">
        <v>279</v>
      </c>
      <c r="AF111" s="2" t="str">
        <f t="shared" ref="AF111" si="125">IF(NOT(ISBLANK(AG111)),"_","")</f>
        <v>_</v>
      </c>
      <c r="AG111" s="2" t="s">
        <v>465</v>
      </c>
      <c r="AH111" s="2" t="str">
        <f>IF(NOT(ISBLANK(AI111)),"_","")</f>
        <v>_</v>
      </c>
      <c r="AI111" s="185" t="s">
        <v>466</v>
      </c>
    </row>
    <row r="112" spans="1:35" x14ac:dyDescent="0.25">
      <c r="B112" s="2" t="str">
        <f>_xlfn.CONCAT("@",AA112,AB112,AC112,AD112,AE112,AF112,AG112,AH112,AI112)</f>
        <v>@text_size-label_highway_roadnumber_non_us</v>
      </c>
      <c r="C112" s="28" t="s">
        <v>317</v>
      </c>
      <c r="D112" s="28" t="s">
        <v>327</v>
      </c>
      <c r="F112" s="28" t="s">
        <v>317</v>
      </c>
      <c r="G112" s="28" t="s">
        <v>327</v>
      </c>
      <c r="I112" s="28" t="s">
        <v>317</v>
      </c>
      <c r="J112" s="28" t="s">
        <v>327</v>
      </c>
      <c r="L112" s="28" t="s">
        <v>317</v>
      </c>
      <c r="M112" s="28" t="s">
        <v>327</v>
      </c>
      <c r="U112" s="28" t="s">
        <v>317</v>
      </c>
      <c r="V112" s="28" t="s">
        <v>327</v>
      </c>
      <c r="X112" s="28" t="s">
        <v>317</v>
      </c>
      <c r="Y112" s="28" t="s">
        <v>327</v>
      </c>
      <c r="AA112" s="2" t="s">
        <v>437</v>
      </c>
      <c r="AB112" s="2" t="str">
        <f t="shared" ref="AB112" si="126">IF(NOT(ISBLANK(AC112)),"-","")</f>
        <v>-</v>
      </c>
      <c r="AC112" s="2" t="s">
        <v>262</v>
      </c>
      <c r="AD112" s="2" t="str">
        <f t="shared" ref="AD112" si="127">IF(NOT(ISBLANK(AE112)),"_","")</f>
        <v>_</v>
      </c>
      <c r="AE112" s="2" t="s">
        <v>279</v>
      </c>
      <c r="AF112" s="2" t="str">
        <f t="shared" ref="AF112" si="128">IF(NOT(ISBLANK(AG112)),"_","")</f>
        <v>_</v>
      </c>
      <c r="AG112" s="2" t="s">
        <v>465</v>
      </c>
      <c r="AH112" s="2" t="str">
        <f>IF(NOT(ISBLANK(AI112)),"_","")</f>
        <v>_</v>
      </c>
      <c r="AI112" s="185" t="s">
        <v>466</v>
      </c>
    </row>
    <row r="113" spans="2:35" x14ac:dyDescent="0.25">
      <c r="B113" s="2" t="str">
        <f>_xlfn.CONCAT("@",AA113,AB113,AC113,AD113,AE113,AF113,AG113,AH113,AI113)</f>
        <v>@icon_size-label_highway_roadnumber_non_us</v>
      </c>
      <c r="C113" s="28" t="s">
        <v>92</v>
      </c>
      <c r="D113" s="28" t="s">
        <v>76</v>
      </c>
      <c r="F113" s="28" t="s">
        <v>92</v>
      </c>
      <c r="G113" s="28" t="s">
        <v>76</v>
      </c>
      <c r="I113" s="28" t="s">
        <v>92</v>
      </c>
      <c r="J113" s="28" t="s">
        <v>76</v>
      </c>
      <c r="L113" s="28" t="s">
        <v>92</v>
      </c>
      <c r="M113" s="28" t="s">
        <v>76</v>
      </c>
      <c r="U113" s="28" t="s">
        <v>92</v>
      </c>
      <c r="V113" s="28" t="s">
        <v>76</v>
      </c>
      <c r="X113" s="28" t="s">
        <v>92</v>
      </c>
      <c r="Y113" s="28" t="s">
        <v>76</v>
      </c>
      <c r="AA113" s="2" t="s">
        <v>467</v>
      </c>
      <c r="AB113" s="2" t="str">
        <f t="shared" ref="AB113" si="129">IF(NOT(ISBLANK(AC113)),"-","")</f>
        <v>-</v>
      </c>
      <c r="AC113" s="2" t="s">
        <v>262</v>
      </c>
      <c r="AD113" s="2" t="str">
        <f t="shared" ref="AD113" si="130">IF(NOT(ISBLANK(AE113)),"_","")</f>
        <v>_</v>
      </c>
      <c r="AE113" s="2" t="s">
        <v>279</v>
      </c>
      <c r="AF113" s="2" t="str">
        <f t="shared" ref="AF113" si="131">IF(NOT(ISBLANK(AG113)),"_","")</f>
        <v>_</v>
      </c>
      <c r="AG113" s="2" t="s">
        <v>465</v>
      </c>
      <c r="AH113" s="2" t="str">
        <f>IF(NOT(ISBLANK(AI113)),"_","")</f>
        <v>_</v>
      </c>
      <c r="AI113" s="185" t="s">
        <v>466</v>
      </c>
    </row>
    <row r="114" spans="2:35" x14ac:dyDescent="0.25">
      <c r="AA114" s="2"/>
      <c r="AB114" s="2"/>
      <c r="AC114" s="2"/>
      <c r="AD114" s="2"/>
      <c r="AE114" s="2"/>
      <c r="AF114" s="2"/>
      <c r="AG114" s="2"/>
      <c r="AH114" s="2"/>
      <c r="AI114" s="2"/>
    </row>
    <row r="115" spans="2:35" x14ac:dyDescent="0.25">
      <c r="B115" s="2" t="str">
        <f>_xlfn.CONCAT("@",AA115,AB115,AC115,AD115,AE115,AF115,AG115,AH115,AI115)</f>
        <v>@color-label_highway_trunk_primary_secondary_tertiary</v>
      </c>
      <c r="C115" s="33" t="s">
        <v>280</v>
      </c>
      <c r="D115" s="37" t="s">
        <v>210</v>
      </c>
      <c r="F115" s="34" t="s">
        <v>281</v>
      </c>
      <c r="G115" s="38" t="s">
        <v>218</v>
      </c>
      <c r="I115" s="33" t="s">
        <v>280</v>
      </c>
      <c r="J115" s="37" t="s">
        <v>210</v>
      </c>
      <c r="L115" s="34" t="s">
        <v>281</v>
      </c>
      <c r="M115" s="38" t="s">
        <v>218</v>
      </c>
      <c r="U115" s="33" t="s">
        <v>280</v>
      </c>
      <c r="V115" s="37" t="s">
        <v>210</v>
      </c>
      <c r="X115" s="34" t="s">
        <v>281</v>
      </c>
      <c r="Y115" s="38" t="s">
        <v>218</v>
      </c>
      <c r="AA115" s="2" t="s">
        <v>6</v>
      </c>
      <c r="AB115" s="2" t="str">
        <f>IF(NOT(ISBLANK(AC115)),"-","")</f>
        <v>-</v>
      </c>
      <c r="AC115" s="2" t="s">
        <v>262</v>
      </c>
      <c r="AD115" s="2" t="str">
        <f>IF(NOT(ISBLANK(AE115)),"_","")</f>
        <v>_</v>
      </c>
      <c r="AE115" s="2" t="s">
        <v>279</v>
      </c>
      <c r="AF115" s="2" t="str">
        <f>IF(NOT(ISBLANK(AG115)),"_","")</f>
        <v>_</v>
      </c>
      <c r="AG115" s="2" t="s">
        <v>282</v>
      </c>
      <c r="AH115" s="2" t="str">
        <f>IF(NOT(ISBLANK(AI115)),"_","")</f>
        <v/>
      </c>
      <c r="AI115" s="2"/>
    </row>
    <row r="116" spans="2:35" x14ac:dyDescent="0.25">
      <c r="B116" s="2" t="str">
        <f>_xlfn.CONCAT("@",AA116,AB116,AC116,AD116,AE116,AF116,AG116,AH116,AI116)</f>
        <v>@color-label_halo_highway_trunk_primary_secondary_tertiary</v>
      </c>
      <c r="C116" s="38" t="s">
        <v>218</v>
      </c>
      <c r="D116" s="38" t="s">
        <v>218</v>
      </c>
      <c r="F116" s="37" t="s">
        <v>210</v>
      </c>
      <c r="G116" s="37" t="s">
        <v>210</v>
      </c>
      <c r="I116" s="38" t="s">
        <v>218</v>
      </c>
      <c r="J116" s="38" t="s">
        <v>218</v>
      </c>
      <c r="L116" s="37" t="s">
        <v>210</v>
      </c>
      <c r="M116" s="37" t="s">
        <v>210</v>
      </c>
      <c r="U116" s="38" t="s">
        <v>218</v>
      </c>
      <c r="V116" s="38" t="s">
        <v>218</v>
      </c>
      <c r="X116" s="37" t="s">
        <v>210</v>
      </c>
      <c r="Y116" s="37" t="s">
        <v>210</v>
      </c>
      <c r="AA116" s="2" t="s">
        <v>6</v>
      </c>
      <c r="AB116" s="2" t="str">
        <f t="shared" ref="AB116:AB120" si="132">IF(NOT(ISBLANK(AC116)),"-","")</f>
        <v>-</v>
      </c>
      <c r="AC116" s="2" t="s">
        <v>271</v>
      </c>
      <c r="AD116" s="2" t="str">
        <f t="shared" ref="AD116:AD120" si="133">IF(NOT(ISBLANK(AE116)),"_","")</f>
        <v>_</v>
      </c>
      <c r="AE116" s="2" t="s">
        <v>279</v>
      </c>
      <c r="AF116" s="2" t="str">
        <f t="shared" ref="AF116:AF120" si="134">IF(NOT(ISBLANK(AG116)),"_","")</f>
        <v>_</v>
      </c>
      <c r="AG116" s="2" t="s">
        <v>282</v>
      </c>
      <c r="AH116" s="2" t="str">
        <f>IF(NOT(ISBLANK(AI116)),"_","")</f>
        <v/>
      </c>
      <c r="AI116" s="2"/>
    </row>
    <row r="117" spans="2:35" x14ac:dyDescent="0.25">
      <c r="B117" s="2" t="str">
        <f>_xlfn.CONCAT("@",AA117,AB117,AC117,AD117,AE117,AF117,AG117,AH117,AI117)</f>
        <v>@text_size-label_highway_trunk_primary_secondary_tertiary_z13</v>
      </c>
      <c r="C117" s="28" t="s">
        <v>327</v>
      </c>
      <c r="D117" s="28" t="s">
        <v>322</v>
      </c>
      <c r="F117" s="28" t="s">
        <v>327</v>
      </c>
      <c r="G117" s="28" t="s">
        <v>322</v>
      </c>
      <c r="I117" s="28" t="s">
        <v>327</v>
      </c>
      <c r="J117" s="28" t="s">
        <v>322</v>
      </c>
      <c r="L117" s="28" t="s">
        <v>327</v>
      </c>
      <c r="M117" s="28" t="s">
        <v>322</v>
      </c>
      <c r="U117" s="28" t="s">
        <v>327</v>
      </c>
      <c r="V117" s="28" t="s">
        <v>322</v>
      </c>
      <c r="X117" s="28" t="s">
        <v>327</v>
      </c>
      <c r="Y117" s="28" t="s">
        <v>322</v>
      </c>
      <c r="AA117" s="2" t="s">
        <v>437</v>
      </c>
      <c r="AB117" s="2" t="str">
        <f t="shared" ref="AB117" si="135">IF(NOT(ISBLANK(AC117)),"-","")</f>
        <v>-</v>
      </c>
      <c r="AC117" s="2" t="s">
        <v>262</v>
      </c>
      <c r="AD117" s="2" t="str">
        <f t="shared" ref="AD117" si="136">IF(NOT(ISBLANK(AE117)),"_","")</f>
        <v>_</v>
      </c>
      <c r="AE117" s="2" t="s">
        <v>279</v>
      </c>
      <c r="AF117" s="2" t="str">
        <f t="shared" ref="AF117" si="137">IF(NOT(ISBLANK(AG117)),"_","")</f>
        <v>_</v>
      </c>
      <c r="AG117" s="2" t="s">
        <v>282</v>
      </c>
      <c r="AH117" s="2" t="str">
        <f>IF(NOT(ISBLANK(AI117)),"_","")</f>
        <v>_</v>
      </c>
      <c r="AI117" s="2" t="s">
        <v>320</v>
      </c>
    </row>
    <row r="118" spans="2:35" x14ac:dyDescent="0.25">
      <c r="B118" s="2" t="str">
        <f>_xlfn.CONCAT("@",AA118,AB118,AC118,AD118,AE118,AF118,AG118,AH118,AI118)</f>
        <v>@text_size-label_highway_trunk_primary_secondary_tertiary_z14</v>
      </c>
      <c r="C118" s="28" t="s">
        <v>352</v>
      </c>
      <c r="D118" s="28" t="s">
        <v>318</v>
      </c>
      <c r="F118" s="28" t="s">
        <v>352</v>
      </c>
      <c r="G118" s="28" t="s">
        <v>318</v>
      </c>
      <c r="I118" s="28" t="s">
        <v>352</v>
      </c>
      <c r="J118" s="28" t="s">
        <v>318</v>
      </c>
      <c r="L118" s="28" t="s">
        <v>352</v>
      </c>
      <c r="M118" s="28" t="s">
        <v>318</v>
      </c>
      <c r="U118" s="28" t="s">
        <v>352</v>
      </c>
      <c r="V118" s="28" t="s">
        <v>318</v>
      </c>
      <c r="X118" s="28" t="s">
        <v>352</v>
      </c>
      <c r="Y118" s="28" t="s">
        <v>318</v>
      </c>
      <c r="AA118" s="2" t="s">
        <v>437</v>
      </c>
      <c r="AB118" s="2" t="str">
        <f t="shared" si="132"/>
        <v>-</v>
      </c>
      <c r="AC118" s="2" t="s">
        <v>262</v>
      </c>
      <c r="AD118" s="2" t="str">
        <f t="shared" si="133"/>
        <v>_</v>
      </c>
      <c r="AE118" s="2" t="s">
        <v>279</v>
      </c>
      <c r="AF118" s="2" t="str">
        <f t="shared" si="134"/>
        <v>_</v>
      </c>
      <c r="AG118" s="2" t="s">
        <v>282</v>
      </c>
      <c r="AH118" s="2" t="str">
        <f t="shared" ref="AH118:AH120" si="138">IF(NOT(ISBLANK(AI118)),"_","")</f>
        <v>_</v>
      </c>
      <c r="AI118" s="2" t="s">
        <v>70</v>
      </c>
    </row>
    <row r="119" spans="2:35" x14ac:dyDescent="0.25">
      <c r="B119" s="2" t="str">
        <f>_xlfn.CONCAT("@",AA119,AB119,AC119,AD119,AE119,AF119,AG119,AH119,AI119)</f>
        <v>@text_size-label_highway_trunk_primary_secondary_tertiary_z16</v>
      </c>
      <c r="C119" s="28" t="s">
        <v>318</v>
      </c>
      <c r="D119" s="28" t="s">
        <v>141</v>
      </c>
      <c r="F119" s="28" t="s">
        <v>318</v>
      </c>
      <c r="G119" s="28" t="s">
        <v>141</v>
      </c>
      <c r="I119" s="28" t="s">
        <v>318</v>
      </c>
      <c r="J119" s="28" t="s">
        <v>141</v>
      </c>
      <c r="L119" s="28" t="s">
        <v>318</v>
      </c>
      <c r="M119" s="28" t="s">
        <v>141</v>
      </c>
      <c r="U119" s="28" t="s">
        <v>318</v>
      </c>
      <c r="V119" s="28" t="s">
        <v>141</v>
      </c>
      <c r="X119" s="28" t="s">
        <v>318</v>
      </c>
      <c r="Y119" s="28" t="s">
        <v>141</v>
      </c>
      <c r="AA119" s="2" t="s">
        <v>437</v>
      </c>
      <c r="AB119" s="2" t="str">
        <f t="shared" si="132"/>
        <v>-</v>
      </c>
      <c r="AC119" s="2" t="s">
        <v>262</v>
      </c>
      <c r="AD119" s="2" t="str">
        <f t="shared" si="133"/>
        <v>_</v>
      </c>
      <c r="AE119" s="2" t="s">
        <v>279</v>
      </c>
      <c r="AF119" s="2" t="str">
        <f t="shared" si="134"/>
        <v>_</v>
      </c>
      <c r="AG119" s="2" t="s">
        <v>282</v>
      </c>
      <c r="AH119" s="2" t="str">
        <f t="shared" si="138"/>
        <v>_</v>
      </c>
      <c r="AI119" s="2" t="s">
        <v>71</v>
      </c>
    </row>
    <row r="120" spans="2:35" x14ac:dyDescent="0.25">
      <c r="B120" s="2" t="str">
        <f>_xlfn.CONCAT("@",AA120,AB120,AC120,AD120,AE120,AF120,AG120,AH120,AI120)</f>
        <v>@text_size-label_highway_trunk_primary_secondary_tertiary_z18</v>
      </c>
      <c r="C120" s="28" t="s">
        <v>442</v>
      </c>
      <c r="D120" s="28" t="s">
        <v>443</v>
      </c>
      <c r="F120" s="28" t="s">
        <v>442</v>
      </c>
      <c r="G120" s="28" t="s">
        <v>443</v>
      </c>
      <c r="I120" s="28" t="s">
        <v>442</v>
      </c>
      <c r="J120" s="28" t="s">
        <v>443</v>
      </c>
      <c r="L120" s="28" t="s">
        <v>442</v>
      </c>
      <c r="M120" s="28" t="s">
        <v>443</v>
      </c>
      <c r="U120" s="28" t="s">
        <v>442</v>
      </c>
      <c r="V120" s="28" t="s">
        <v>443</v>
      </c>
      <c r="X120" s="28" t="s">
        <v>442</v>
      </c>
      <c r="Y120" s="28" t="s">
        <v>443</v>
      </c>
      <c r="AA120" s="2" t="s">
        <v>437</v>
      </c>
      <c r="AB120" s="2" t="str">
        <f t="shared" si="132"/>
        <v>-</v>
      </c>
      <c r="AC120" s="2" t="s">
        <v>262</v>
      </c>
      <c r="AD120" s="2" t="str">
        <f t="shared" si="133"/>
        <v>_</v>
      </c>
      <c r="AE120" s="2" t="s">
        <v>279</v>
      </c>
      <c r="AF120" s="2" t="str">
        <f t="shared" si="134"/>
        <v>_</v>
      </c>
      <c r="AG120" s="2" t="s">
        <v>282</v>
      </c>
      <c r="AH120" s="2" t="str">
        <f t="shared" si="138"/>
        <v>_</v>
      </c>
      <c r="AI120" s="2" t="s">
        <v>72</v>
      </c>
    </row>
    <row r="121" spans="2:35" x14ac:dyDescent="0.25">
      <c r="AA121" s="2"/>
      <c r="AB121" s="2"/>
      <c r="AC121" s="2"/>
      <c r="AD121" s="2"/>
      <c r="AE121" s="2"/>
      <c r="AF121" s="2"/>
      <c r="AG121" s="2"/>
      <c r="AH121" s="2"/>
      <c r="AI121" s="2"/>
    </row>
    <row r="122" spans="2:35" x14ac:dyDescent="0.25">
      <c r="B122" s="2" t="str">
        <f t="shared" ref="B122:B123" si="139">_xlfn.CONCAT("@",AA122,AB122,AC122,AD122,AE122,AF122,AG122,AH122,AI122)</f>
        <v>@color-label_highway_minor</v>
      </c>
      <c r="C122" s="33" t="s">
        <v>280</v>
      </c>
      <c r="D122" s="37" t="s">
        <v>210</v>
      </c>
      <c r="F122" s="34" t="s">
        <v>281</v>
      </c>
      <c r="G122" s="38" t="s">
        <v>218</v>
      </c>
      <c r="I122" s="33" t="s">
        <v>280</v>
      </c>
      <c r="J122" s="37" t="s">
        <v>210</v>
      </c>
      <c r="L122" s="34" t="s">
        <v>281</v>
      </c>
      <c r="M122" s="38" t="s">
        <v>218</v>
      </c>
      <c r="U122" s="33" t="s">
        <v>280</v>
      </c>
      <c r="V122" s="37" t="s">
        <v>210</v>
      </c>
      <c r="X122" s="34" t="s">
        <v>281</v>
      </c>
      <c r="Y122" s="38" t="s">
        <v>218</v>
      </c>
      <c r="AA122" s="2" t="s">
        <v>6</v>
      </c>
      <c r="AB122" s="2" t="str">
        <f t="shared" ref="AB122" si="140">IF(NOT(ISBLANK(AC122)),"-","")</f>
        <v>-</v>
      </c>
      <c r="AC122" s="2" t="s">
        <v>262</v>
      </c>
      <c r="AD122" s="2" t="str">
        <f t="shared" ref="AD122" si="141">IF(NOT(ISBLANK(AE122)),"_","")</f>
        <v>_</v>
      </c>
      <c r="AE122" s="2" t="s">
        <v>279</v>
      </c>
      <c r="AF122" s="2" t="str">
        <f t="shared" ref="AF122" si="142">IF(NOT(ISBLANK(AG122)),"_","")</f>
        <v>_</v>
      </c>
      <c r="AG122" s="2" t="s">
        <v>31</v>
      </c>
      <c r="AH122" s="2" t="str">
        <f t="shared" ref="AH122:AH126" si="143">IF(NOT(ISBLANK(AI122)),"_","")</f>
        <v/>
      </c>
      <c r="AI122" s="2"/>
    </row>
    <row r="123" spans="2:35" x14ac:dyDescent="0.25">
      <c r="B123" s="2" t="str">
        <f t="shared" si="139"/>
        <v>@color-label_halo_highway_minor</v>
      </c>
      <c r="C123" s="38" t="s">
        <v>218</v>
      </c>
      <c r="D123" s="38" t="s">
        <v>218</v>
      </c>
      <c r="F123" s="37" t="s">
        <v>210</v>
      </c>
      <c r="G123" s="37" t="s">
        <v>210</v>
      </c>
      <c r="I123" s="38" t="s">
        <v>218</v>
      </c>
      <c r="J123" s="38" t="s">
        <v>218</v>
      </c>
      <c r="L123" s="37" t="s">
        <v>210</v>
      </c>
      <c r="M123" s="37" t="s">
        <v>210</v>
      </c>
      <c r="U123" s="38" t="s">
        <v>218</v>
      </c>
      <c r="V123" s="38" t="s">
        <v>218</v>
      </c>
      <c r="X123" s="37" t="s">
        <v>210</v>
      </c>
      <c r="Y123" s="37" t="s">
        <v>210</v>
      </c>
      <c r="AA123" s="2" t="s">
        <v>6</v>
      </c>
      <c r="AB123" s="2" t="str">
        <f t="shared" ref="AB123:AB126" si="144">IF(NOT(ISBLANK(AC123)),"-","")</f>
        <v>-</v>
      </c>
      <c r="AC123" s="2" t="s">
        <v>271</v>
      </c>
      <c r="AD123" s="2" t="str">
        <f t="shared" ref="AD123:AD126" si="145">IF(NOT(ISBLANK(AE123)),"_","")</f>
        <v>_</v>
      </c>
      <c r="AE123" s="2" t="s">
        <v>279</v>
      </c>
      <c r="AF123" s="2" t="str">
        <f t="shared" ref="AF123:AF126" si="146">IF(NOT(ISBLANK(AG123)),"_","")</f>
        <v>_</v>
      </c>
      <c r="AG123" s="2" t="s">
        <v>31</v>
      </c>
      <c r="AH123" s="2" t="str">
        <f t="shared" si="143"/>
        <v/>
      </c>
      <c r="AI123" s="2"/>
    </row>
    <row r="124" spans="2:35" x14ac:dyDescent="0.25">
      <c r="B124" s="2" t="str">
        <f>_xlfn.CONCAT("@",AA124,AB124,AC124,AD124,AE124,AF124,AG124,AH124,AI124)</f>
        <v>@text_size-label_highway_minor_z14</v>
      </c>
      <c r="C124" s="28" t="s">
        <v>327</v>
      </c>
      <c r="D124" s="28" t="s">
        <v>322</v>
      </c>
      <c r="F124" s="28" t="s">
        <v>327</v>
      </c>
      <c r="G124" s="28" t="s">
        <v>322</v>
      </c>
      <c r="I124" s="28" t="s">
        <v>327</v>
      </c>
      <c r="J124" s="28" t="s">
        <v>322</v>
      </c>
      <c r="L124" s="28" t="s">
        <v>327</v>
      </c>
      <c r="M124" s="28" t="s">
        <v>322</v>
      </c>
      <c r="U124" s="28" t="s">
        <v>327</v>
      </c>
      <c r="V124" s="28" t="s">
        <v>322</v>
      </c>
      <c r="X124" s="28" t="s">
        <v>327</v>
      </c>
      <c r="Y124" s="28" t="s">
        <v>322</v>
      </c>
      <c r="AA124" s="2" t="s">
        <v>437</v>
      </c>
      <c r="AB124" s="2" t="str">
        <f t="shared" si="144"/>
        <v>-</v>
      </c>
      <c r="AC124" s="2" t="s">
        <v>262</v>
      </c>
      <c r="AD124" s="2" t="str">
        <f t="shared" si="145"/>
        <v>_</v>
      </c>
      <c r="AE124" s="2" t="s">
        <v>279</v>
      </c>
      <c r="AF124" s="2" t="str">
        <f t="shared" si="146"/>
        <v>_</v>
      </c>
      <c r="AG124" s="2" t="s">
        <v>31</v>
      </c>
      <c r="AH124" s="2" t="str">
        <f t="shared" si="143"/>
        <v>_</v>
      </c>
      <c r="AI124" s="2" t="s">
        <v>70</v>
      </c>
    </row>
    <row r="125" spans="2:35" x14ac:dyDescent="0.25">
      <c r="B125" s="2" t="str">
        <f>_xlfn.CONCAT("@",AA125,AB125,AC125,AD125,AE125,AF125,AG125,AH125,AI125)</f>
        <v>@text_size-label_highway_minor_z16</v>
      </c>
      <c r="C125" s="28" t="s">
        <v>324</v>
      </c>
      <c r="D125" s="28" t="s">
        <v>85</v>
      </c>
      <c r="F125" s="28" t="s">
        <v>324</v>
      </c>
      <c r="G125" s="28" t="s">
        <v>85</v>
      </c>
      <c r="I125" s="28" t="s">
        <v>324</v>
      </c>
      <c r="J125" s="28" t="s">
        <v>85</v>
      </c>
      <c r="L125" s="28" t="s">
        <v>324</v>
      </c>
      <c r="M125" s="28" t="s">
        <v>85</v>
      </c>
      <c r="U125" s="28" t="s">
        <v>324</v>
      </c>
      <c r="V125" s="28" t="s">
        <v>85</v>
      </c>
      <c r="X125" s="28" t="s">
        <v>324</v>
      </c>
      <c r="Y125" s="28" t="s">
        <v>85</v>
      </c>
      <c r="AA125" s="2" t="s">
        <v>437</v>
      </c>
      <c r="AB125" s="2" t="str">
        <f t="shared" si="144"/>
        <v>-</v>
      </c>
      <c r="AC125" s="2" t="s">
        <v>262</v>
      </c>
      <c r="AD125" s="2" t="str">
        <f t="shared" si="145"/>
        <v>_</v>
      </c>
      <c r="AE125" s="2" t="s">
        <v>279</v>
      </c>
      <c r="AF125" s="2" t="str">
        <f t="shared" si="146"/>
        <v>_</v>
      </c>
      <c r="AG125" s="2" t="s">
        <v>31</v>
      </c>
      <c r="AH125" s="2" t="str">
        <f t="shared" si="143"/>
        <v>_</v>
      </c>
      <c r="AI125" s="2" t="s">
        <v>71</v>
      </c>
    </row>
    <row r="126" spans="2:35" x14ac:dyDescent="0.25">
      <c r="B126" s="2" t="str">
        <f>_xlfn.CONCAT("@",AA126,AB126,AC126,AD126,AE126,AF126,AG126,AH126,AI126)</f>
        <v>@text_size-label_highway_minor_z18</v>
      </c>
      <c r="C126" s="28" t="s">
        <v>137</v>
      </c>
      <c r="D126" s="28" t="s">
        <v>442</v>
      </c>
      <c r="F126" s="28" t="s">
        <v>137</v>
      </c>
      <c r="G126" s="28" t="s">
        <v>442</v>
      </c>
      <c r="I126" s="28" t="s">
        <v>137</v>
      </c>
      <c r="J126" s="28" t="s">
        <v>442</v>
      </c>
      <c r="L126" s="28" t="s">
        <v>137</v>
      </c>
      <c r="M126" s="28" t="s">
        <v>442</v>
      </c>
      <c r="U126" s="28" t="s">
        <v>137</v>
      </c>
      <c r="V126" s="28" t="s">
        <v>442</v>
      </c>
      <c r="X126" s="28" t="s">
        <v>137</v>
      </c>
      <c r="Y126" s="28" t="s">
        <v>442</v>
      </c>
      <c r="AA126" s="2" t="s">
        <v>437</v>
      </c>
      <c r="AB126" s="2" t="str">
        <f t="shared" si="144"/>
        <v>-</v>
      </c>
      <c r="AC126" s="2" t="s">
        <v>262</v>
      </c>
      <c r="AD126" s="2" t="str">
        <f t="shared" si="145"/>
        <v>_</v>
      </c>
      <c r="AE126" s="2" t="s">
        <v>279</v>
      </c>
      <c r="AF126" s="2" t="str">
        <f t="shared" si="146"/>
        <v>_</v>
      </c>
      <c r="AG126" s="2" t="s">
        <v>31</v>
      </c>
      <c r="AH126" s="2" t="str">
        <f t="shared" si="143"/>
        <v>_</v>
      </c>
      <c r="AI126" s="2" t="s">
        <v>72</v>
      </c>
    </row>
    <row r="127" spans="2:35" x14ac:dyDescent="0.25">
      <c r="AA127" s="2"/>
      <c r="AB127" s="2"/>
      <c r="AC127" s="2"/>
      <c r="AD127" s="2"/>
      <c r="AE127" s="2"/>
      <c r="AF127" s="2"/>
      <c r="AG127" s="2"/>
      <c r="AH127" s="2"/>
      <c r="AI127" s="2"/>
    </row>
    <row r="128" spans="2:35" x14ac:dyDescent="0.25">
      <c r="B128" s="2" t="str">
        <f t="shared" ref="B128:B129" si="147">_xlfn.CONCAT("@",AA128,AB128,AC128,AD128,AE128,AF128,AG128,AH128,AI128)</f>
        <v>@color-label_highway_path</v>
      </c>
      <c r="C128" s="33" t="s">
        <v>280</v>
      </c>
      <c r="D128" s="37" t="s">
        <v>210</v>
      </c>
      <c r="F128" s="34" t="s">
        <v>281</v>
      </c>
      <c r="G128" s="38" t="s">
        <v>218</v>
      </c>
      <c r="I128" s="33" t="s">
        <v>280</v>
      </c>
      <c r="J128" s="37" t="s">
        <v>210</v>
      </c>
      <c r="L128" s="34" t="s">
        <v>281</v>
      </c>
      <c r="M128" s="38" t="s">
        <v>218</v>
      </c>
      <c r="U128" s="33" t="s">
        <v>280</v>
      </c>
      <c r="V128" s="37" t="s">
        <v>210</v>
      </c>
      <c r="X128" s="34" t="s">
        <v>281</v>
      </c>
      <c r="Y128" s="38" t="s">
        <v>218</v>
      </c>
      <c r="AA128" s="2" t="s">
        <v>6</v>
      </c>
      <c r="AB128" s="2" t="str">
        <f>IF(NOT(ISBLANK(AC128)),"-","")</f>
        <v>-</v>
      </c>
      <c r="AC128" s="2" t="s">
        <v>262</v>
      </c>
      <c r="AD128" s="2" t="str">
        <f>IF(NOT(ISBLANK(AE128)),"_","")</f>
        <v>_</v>
      </c>
      <c r="AE128" s="2" t="s">
        <v>279</v>
      </c>
      <c r="AF128" s="2" t="str">
        <f>IF(NOT(ISBLANK(AG128)),"_","")</f>
        <v>_</v>
      </c>
      <c r="AG128" s="2" t="s">
        <v>67</v>
      </c>
      <c r="AH128" s="2" t="str">
        <f t="shared" ref="AH128:AH129" si="148">IF(NOT(ISBLANK(AI128)),"_","")</f>
        <v/>
      </c>
      <c r="AI128" s="2"/>
    </row>
    <row r="129" spans="1:35" x14ac:dyDescent="0.25">
      <c r="B129" s="2" t="str">
        <f t="shared" si="147"/>
        <v>@color-label_halo_highway_path</v>
      </c>
      <c r="C129" s="38" t="s">
        <v>218</v>
      </c>
      <c r="D129" s="38" t="s">
        <v>218</v>
      </c>
      <c r="F129" s="37" t="s">
        <v>210</v>
      </c>
      <c r="G129" s="37" t="s">
        <v>210</v>
      </c>
      <c r="I129" s="38" t="s">
        <v>218</v>
      </c>
      <c r="J129" s="38" t="s">
        <v>218</v>
      </c>
      <c r="L129" s="37" t="s">
        <v>210</v>
      </c>
      <c r="M129" s="37" t="s">
        <v>210</v>
      </c>
      <c r="U129" s="38" t="s">
        <v>218</v>
      </c>
      <c r="V129" s="38" t="s">
        <v>218</v>
      </c>
      <c r="X129" s="37" t="s">
        <v>210</v>
      </c>
      <c r="Y129" s="37" t="s">
        <v>210</v>
      </c>
      <c r="AA129" s="2" t="s">
        <v>6</v>
      </c>
      <c r="AB129" s="2" t="str">
        <f>IF(NOT(ISBLANK(AC129)),"-","")</f>
        <v>-</v>
      </c>
      <c r="AC129" s="2" t="s">
        <v>271</v>
      </c>
      <c r="AD129" s="2" t="str">
        <f>IF(NOT(ISBLANK(AE129)),"_","")</f>
        <v>_</v>
      </c>
      <c r="AE129" s="2" t="s">
        <v>279</v>
      </c>
      <c r="AF129" s="2" t="str">
        <f>IF(NOT(ISBLANK(AG129)),"_","")</f>
        <v>_</v>
      </c>
      <c r="AG129" s="2" t="s">
        <v>67</v>
      </c>
      <c r="AH129" s="2" t="str">
        <f t="shared" si="148"/>
        <v/>
      </c>
      <c r="AI129" s="2"/>
    </row>
    <row r="130" spans="1:35" x14ac:dyDescent="0.25">
      <c r="B130" s="2" t="str">
        <f>_xlfn.CONCAT("@",AA130,AB130,AC130,AD130,AE130,AF130,AG130,AH130,AI130)</f>
        <v>@textsize-label_highway_path_z14</v>
      </c>
      <c r="C130" s="28" t="s">
        <v>83</v>
      </c>
      <c r="D130" s="28" t="s">
        <v>131</v>
      </c>
      <c r="F130" s="28" t="s">
        <v>83</v>
      </c>
      <c r="G130" s="28" t="s">
        <v>131</v>
      </c>
      <c r="I130" s="28" t="s">
        <v>83</v>
      </c>
      <c r="J130" s="28" t="s">
        <v>131</v>
      </c>
      <c r="L130" s="28" t="s">
        <v>83</v>
      </c>
      <c r="M130" s="28" t="s">
        <v>131</v>
      </c>
      <c r="U130" s="28" t="s">
        <v>83</v>
      </c>
      <c r="V130" s="28" t="s">
        <v>131</v>
      </c>
      <c r="X130" s="28" t="s">
        <v>83</v>
      </c>
      <c r="Y130" s="28" t="s">
        <v>131</v>
      </c>
      <c r="AA130" s="2" t="s">
        <v>299</v>
      </c>
      <c r="AB130" s="2" t="str">
        <f t="shared" ref="AB130" si="149">IF(NOT(ISBLANK(AC130)),"-","")</f>
        <v>-</v>
      </c>
      <c r="AC130" s="2" t="s">
        <v>262</v>
      </c>
      <c r="AD130" s="2" t="str">
        <f t="shared" ref="AD130" si="150">IF(NOT(ISBLANK(AE130)),"_","")</f>
        <v>_</v>
      </c>
      <c r="AE130" s="2" t="s">
        <v>279</v>
      </c>
      <c r="AF130" s="2" t="str">
        <f t="shared" ref="AF130" si="151">IF(NOT(ISBLANK(AG130)),"_","")</f>
        <v>_</v>
      </c>
      <c r="AG130" s="2" t="s">
        <v>67</v>
      </c>
      <c r="AH130" s="2" t="str">
        <f>IF(NOT(ISBLANK(AI130)),"_","")</f>
        <v>_</v>
      </c>
      <c r="AI130" s="2" t="s">
        <v>70</v>
      </c>
    </row>
    <row r="131" spans="1:35" x14ac:dyDescent="0.25">
      <c r="B131" s="2" t="str">
        <f>_xlfn.CONCAT("@",AA131,AB131,AC131,AD131,AE131,AF131,AG131,AH131,AI131)</f>
        <v>@textsize-label_highway_path_z16</v>
      </c>
      <c r="C131" s="28" t="s">
        <v>352</v>
      </c>
      <c r="D131" s="28" t="s">
        <v>318</v>
      </c>
      <c r="F131" s="28" t="s">
        <v>352</v>
      </c>
      <c r="G131" s="28" t="s">
        <v>318</v>
      </c>
      <c r="I131" s="28" t="s">
        <v>352</v>
      </c>
      <c r="J131" s="28" t="s">
        <v>318</v>
      </c>
      <c r="L131" s="28" t="s">
        <v>352</v>
      </c>
      <c r="M131" s="28" t="s">
        <v>318</v>
      </c>
      <c r="U131" s="28" t="s">
        <v>352</v>
      </c>
      <c r="V131" s="28" t="s">
        <v>318</v>
      </c>
      <c r="X131" s="28" t="s">
        <v>352</v>
      </c>
      <c r="Y131" s="28" t="s">
        <v>318</v>
      </c>
      <c r="AA131" s="2" t="s">
        <v>299</v>
      </c>
      <c r="AB131" s="2" t="str">
        <f t="shared" ref="AB131" si="152">IF(NOT(ISBLANK(AC131)),"-","")</f>
        <v>-</v>
      </c>
      <c r="AC131" s="2" t="s">
        <v>262</v>
      </c>
      <c r="AD131" s="2" t="str">
        <f t="shared" ref="AD131" si="153">IF(NOT(ISBLANK(AE131)),"_","")</f>
        <v>_</v>
      </c>
      <c r="AE131" s="2" t="s">
        <v>279</v>
      </c>
      <c r="AF131" s="2" t="str">
        <f t="shared" ref="AF131" si="154">IF(NOT(ISBLANK(AG131)),"_","")</f>
        <v>_</v>
      </c>
      <c r="AG131" s="2" t="s">
        <v>67</v>
      </c>
      <c r="AH131" s="2" t="str">
        <f>IF(NOT(ISBLANK(AI131)),"_","")</f>
        <v>_</v>
      </c>
      <c r="AI131" s="2" t="s">
        <v>71</v>
      </c>
    </row>
    <row r="132" spans="1:35" x14ac:dyDescent="0.25">
      <c r="B132" s="2" t="str">
        <f>_xlfn.CONCAT("@",AA132,AB132,AC132,AD132,AE132,AF132,AG132,AH132,AI132)</f>
        <v>@textsize-label_highway_path_z18</v>
      </c>
      <c r="C132" s="28" t="s">
        <v>141</v>
      </c>
      <c r="D132" s="28" t="s">
        <v>442</v>
      </c>
      <c r="F132" s="28" t="s">
        <v>141</v>
      </c>
      <c r="G132" s="28" t="s">
        <v>442</v>
      </c>
      <c r="I132" s="28" t="s">
        <v>141</v>
      </c>
      <c r="J132" s="28" t="s">
        <v>442</v>
      </c>
      <c r="L132" s="28" t="s">
        <v>141</v>
      </c>
      <c r="M132" s="28" t="s">
        <v>442</v>
      </c>
      <c r="U132" s="28" t="s">
        <v>141</v>
      </c>
      <c r="V132" s="28" t="s">
        <v>442</v>
      </c>
      <c r="X132" s="28" t="s">
        <v>141</v>
      </c>
      <c r="Y132" s="28" t="s">
        <v>442</v>
      </c>
      <c r="AA132" s="2" t="s">
        <v>299</v>
      </c>
      <c r="AB132" s="2" t="str">
        <f t="shared" ref="AB132" si="155">IF(NOT(ISBLANK(AC132)),"-","")</f>
        <v>-</v>
      </c>
      <c r="AC132" s="2" t="s">
        <v>262</v>
      </c>
      <c r="AD132" s="2" t="str">
        <f t="shared" ref="AD132" si="156">IF(NOT(ISBLANK(AE132)),"_","")</f>
        <v>_</v>
      </c>
      <c r="AE132" s="2" t="s">
        <v>279</v>
      </c>
      <c r="AF132" s="2" t="str">
        <f t="shared" ref="AF132" si="157">IF(NOT(ISBLANK(AG132)),"_","")</f>
        <v>_</v>
      </c>
      <c r="AG132" s="2" t="s">
        <v>67</v>
      </c>
      <c r="AH132" s="2" t="str">
        <f>IF(NOT(ISBLANK(AI132)),"_","")</f>
        <v>_</v>
      </c>
      <c r="AI132" s="2" t="s">
        <v>72</v>
      </c>
    </row>
    <row r="133" spans="1:35" x14ac:dyDescent="0.25">
      <c r="AA133" s="2"/>
      <c r="AB133" s="2"/>
      <c r="AC133" s="2"/>
      <c r="AD133" s="2"/>
      <c r="AE133" s="2"/>
      <c r="AF133" s="2"/>
      <c r="AG133" s="2"/>
      <c r="AH133" s="2"/>
      <c r="AI133" s="2"/>
    </row>
    <row r="134" spans="1:35" s="5" customFormat="1" x14ac:dyDescent="0.25">
      <c r="A134" s="184" t="s">
        <v>455</v>
      </c>
      <c r="B134" s="184"/>
      <c r="C134" s="184"/>
      <c r="D134" s="184"/>
      <c r="F134" s="184"/>
      <c r="G134" s="184"/>
      <c r="I134" s="184"/>
      <c r="J134" s="184"/>
      <c r="L134" s="184"/>
      <c r="M134" s="184"/>
      <c r="O134" s="184"/>
      <c r="P134" s="184"/>
      <c r="R134" s="184"/>
      <c r="S134" s="184"/>
      <c r="U134" s="184"/>
      <c r="V134" s="184"/>
      <c r="X134" s="184"/>
      <c r="Y134" s="184"/>
      <c r="AA134" s="184"/>
      <c r="AB134" s="184" t="str">
        <f t="shared" ref="AB134:AB135" si="158">IF(NOT(ISBLANK(AC134)),"-","")</f>
        <v/>
      </c>
      <c r="AC134" s="184"/>
      <c r="AD134" s="184" t="str">
        <f t="shared" ref="AD134:AD135" si="159">IF(NOT(ISBLANK(AE134)),"_","")</f>
        <v/>
      </c>
      <c r="AE134" s="184"/>
      <c r="AF134" s="184" t="str">
        <f t="shared" ref="AF134:AF135" si="160">IF(NOT(ISBLANK(AG134)),"_","")</f>
        <v/>
      </c>
      <c r="AG134" s="184"/>
      <c r="AH134" s="184" t="str">
        <f t="shared" ref="AH134:AH135" si="161">IF(NOT(ISBLANK(AI134)),"_","")</f>
        <v/>
      </c>
      <c r="AI134" s="184"/>
    </row>
    <row r="135" spans="1:35" x14ac:dyDescent="0.25">
      <c r="AB135" s="28" t="str">
        <f t="shared" si="158"/>
        <v/>
      </c>
      <c r="AD135" s="28" t="str">
        <f t="shared" si="159"/>
        <v/>
      </c>
      <c r="AF135" s="2" t="str">
        <f t="shared" si="160"/>
        <v/>
      </c>
      <c r="AH135" s="2" t="str">
        <f t="shared" si="161"/>
        <v/>
      </c>
    </row>
    <row r="136" spans="1:35" s="2" customFormat="1" x14ac:dyDescent="0.25">
      <c r="A136" s="185"/>
      <c r="B136" s="3" t="s">
        <v>16</v>
      </c>
      <c r="C136" s="27"/>
      <c r="D136" s="6"/>
      <c r="E136" s="7"/>
      <c r="F136" s="6"/>
      <c r="G136" s="6"/>
      <c r="H136" s="7"/>
      <c r="I136" s="6"/>
      <c r="J136" s="6"/>
      <c r="K136" s="7"/>
      <c r="L136" s="6"/>
      <c r="M136" s="6"/>
      <c r="N136" s="7"/>
      <c r="O136" s="6"/>
      <c r="P136" s="6"/>
      <c r="Q136" s="7"/>
      <c r="R136" s="6"/>
      <c r="S136" s="6"/>
      <c r="T136" s="7"/>
      <c r="U136" s="6"/>
      <c r="V136" s="6"/>
      <c r="W136" s="7"/>
      <c r="X136" s="6"/>
      <c r="Y136" s="6"/>
      <c r="AA136" s="4"/>
      <c r="AB136" s="4" t="str">
        <f>IF(NOT(ISBLANK(AC136)),"-","")</f>
        <v/>
      </c>
      <c r="AC136" s="4"/>
      <c r="AD136" s="4" t="str">
        <f>IF(NOT(ISBLANK(AE136)),"_","")</f>
        <v/>
      </c>
      <c r="AE136" s="4"/>
      <c r="AF136" s="4" t="str">
        <f>IF(NOT(ISBLANK(AG136)),"_","")</f>
        <v/>
      </c>
      <c r="AG136" s="4"/>
      <c r="AH136" s="4" t="str">
        <f>IF(NOT(ISBLANK(AI136)),"_","")</f>
        <v/>
      </c>
      <c r="AI136" s="4"/>
    </row>
    <row r="137" spans="1:35" x14ac:dyDescent="0.25">
      <c r="AB137" s="28" t="str">
        <f t="shared" ref="AB137" si="162">IF(NOT(ISBLANK(AC137)),"-","")</f>
        <v/>
      </c>
      <c r="AD137" s="28" t="str">
        <f t="shared" ref="AD137" si="163">IF(NOT(ISBLANK(AE137)),"_","")</f>
        <v/>
      </c>
      <c r="AF137" s="2" t="str">
        <f t="shared" ref="AF137" si="164">IF(NOT(ISBLANK(AG137)),"_","")</f>
        <v/>
      </c>
      <c r="AH137" s="2" t="str">
        <f t="shared" ref="AH137" si="165">IF(NOT(ISBLANK(AI137)),"_","")</f>
        <v/>
      </c>
    </row>
    <row r="138" spans="1:35" x14ac:dyDescent="0.25">
      <c r="B138" s="2" t="str">
        <f t="shared" ref="B138:B140" si="166">_xlfn.CONCAT("@",AA138,AB138,AC138,AD138,AE138,AF138,AG138,AH138,AI138)</f>
        <v>@color-motorway_case_farzoom</v>
      </c>
      <c r="C138" s="65" t="s">
        <v>207</v>
      </c>
      <c r="D138" s="47" t="s">
        <v>210</v>
      </c>
      <c r="F138" s="65" t="s">
        <v>207</v>
      </c>
      <c r="G138" s="65" t="s">
        <v>207</v>
      </c>
      <c r="I138" s="66" t="str">
        <f>C138</f>
        <v>"#bf440f"</v>
      </c>
      <c r="J138" s="47" t="s">
        <v>210</v>
      </c>
      <c r="L138" s="65" t="s">
        <v>207</v>
      </c>
      <c r="M138" s="65" t="s">
        <v>207</v>
      </c>
      <c r="U138" s="65" t="s">
        <v>207</v>
      </c>
      <c r="V138" s="47" t="s">
        <v>210</v>
      </c>
      <c r="X138" s="65" t="s">
        <v>207</v>
      </c>
      <c r="Y138" s="65" t="s">
        <v>207</v>
      </c>
      <c r="AA138" s="2" t="s">
        <v>6</v>
      </c>
      <c r="AB138" s="2" t="str">
        <f>IF(NOT(ISBLANK(AC138)),"-","")</f>
        <v>-</v>
      </c>
      <c r="AC138" s="2" t="s">
        <v>16</v>
      </c>
      <c r="AD138" s="2" t="str">
        <f>IF(NOT(ISBLANK(AE138)),"_","")</f>
        <v>_</v>
      </c>
      <c r="AE138" s="2" t="s">
        <v>17</v>
      </c>
      <c r="AF138" s="2" t="str">
        <f>IF(NOT(ISBLANK(AG138)),"_","")</f>
        <v>_</v>
      </c>
      <c r="AG138" s="2" t="s">
        <v>20</v>
      </c>
      <c r="AH138" s="2" t="str">
        <f>IF(NOT(ISBLANK(AI138)),"_","")</f>
        <v/>
      </c>
      <c r="AI138" s="2"/>
    </row>
    <row r="139" spans="1:35" x14ac:dyDescent="0.25">
      <c r="B139" s="2" t="str">
        <f t="shared" si="166"/>
        <v>@color-motorway_case_default</v>
      </c>
      <c r="C139" s="67" t="s">
        <v>208</v>
      </c>
      <c r="D139" s="47" t="s">
        <v>210</v>
      </c>
      <c r="F139" s="47" t="s">
        <v>210</v>
      </c>
      <c r="G139" s="47" t="s">
        <v>210</v>
      </c>
      <c r="I139" s="68" t="str">
        <f>C139</f>
        <v>"#a15412"</v>
      </c>
      <c r="J139" s="47" t="s">
        <v>210</v>
      </c>
      <c r="L139" s="47" t="s">
        <v>210</v>
      </c>
      <c r="M139" s="47" t="s">
        <v>210</v>
      </c>
      <c r="U139" s="67" t="s">
        <v>208</v>
      </c>
      <c r="V139" s="47" t="s">
        <v>210</v>
      </c>
      <c r="X139" s="47" t="s">
        <v>210</v>
      </c>
      <c r="Y139" s="47" t="s">
        <v>210</v>
      </c>
      <c r="AA139" s="2" t="s">
        <v>6</v>
      </c>
      <c r="AB139" s="2" t="str">
        <f>IF(NOT(ISBLANK(AC139)),"-","")</f>
        <v>-</v>
      </c>
      <c r="AC139" s="2" t="s">
        <v>16</v>
      </c>
      <c r="AD139" s="2" t="str">
        <f>IF(NOT(ISBLANK(AE139)),"_","")</f>
        <v>_</v>
      </c>
      <c r="AE139" s="2" t="s">
        <v>17</v>
      </c>
      <c r="AF139" s="2" t="str">
        <f>IF(NOT(ISBLANK(AG139)),"_","")</f>
        <v>_</v>
      </c>
      <c r="AG139" s="2" t="s">
        <v>255</v>
      </c>
      <c r="AH139" s="2" t="str">
        <f>IF(NOT(ISBLANK(AI139)),"_","")</f>
        <v/>
      </c>
      <c r="AI139" s="2"/>
    </row>
    <row r="140" spans="1:35" x14ac:dyDescent="0.25">
      <c r="B140" s="2" t="str">
        <f t="shared" si="166"/>
        <v>@color-motorway_line_default</v>
      </c>
      <c r="C140" s="69" t="s">
        <v>209</v>
      </c>
      <c r="D140" s="70" t="s">
        <v>211</v>
      </c>
      <c r="F140" s="70" t="s">
        <v>211</v>
      </c>
      <c r="G140" s="70" t="s">
        <v>211</v>
      </c>
      <c r="I140" s="71" t="str">
        <f>C140</f>
        <v>"#ffcc88"</v>
      </c>
      <c r="J140" s="72" t="str">
        <f>D140</f>
        <v>"#d6771e"</v>
      </c>
      <c r="L140" s="70" t="s">
        <v>211</v>
      </c>
      <c r="M140" s="70" t="s">
        <v>211</v>
      </c>
      <c r="U140" s="69" t="s">
        <v>209</v>
      </c>
      <c r="V140" s="70" t="s">
        <v>211</v>
      </c>
      <c r="X140" s="70" t="s">
        <v>211</v>
      </c>
      <c r="Y140" s="70" t="s">
        <v>211</v>
      </c>
      <c r="AA140" s="2" t="s">
        <v>6</v>
      </c>
      <c r="AB140" s="2" t="str">
        <f>IF(NOT(ISBLANK(AC140)),"-","")</f>
        <v>-</v>
      </c>
      <c r="AC140" s="2" t="s">
        <v>16</v>
      </c>
      <c r="AD140" s="2" t="str">
        <f>IF(NOT(ISBLANK(AE140)),"_","")</f>
        <v>_</v>
      </c>
      <c r="AE140" s="2" t="s">
        <v>13</v>
      </c>
      <c r="AF140" s="2" t="str">
        <f>IF(NOT(ISBLANK(AG140)),"_","")</f>
        <v>_</v>
      </c>
      <c r="AG140" s="2" t="s">
        <v>255</v>
      </c>
      <c r="AH140" s="2" t="str">
        <f>IF(NOT(ISBLANK(AI140)),"_","")</f>
        <v/>
      </c>
      <c r="AI140" s="2"/>
    </row>
    <row r="141" spans="1:35" x14ac:dyDescent="0.25">
      <c r="AB141" s="28" t="str">
        <f>IF(NOT(ISBLANK(AC141)),"-","")</f>
        <v/>
      </c>
      <c r="AD141" s="28" t="str">
        <f>IF(NOT(ISBLANK(AE141)),"_","")</f>
        <v/>
      </c>
      <c r="AF141" s="28" t="str">
        <f>IF(NOT(ISBLANK(AG141)),"_","")</f>
        <v/>
      </c>
      <c r="AH141" s="28" t="str">
        <f>IF(NOT(ISBLANK(AI141)),"_","")</f>
        <v/>
      </c>
    </row>
    <row r="142" spans="1:35" s="2" customFormat="1" x14ac:dyDescent="0.25">
      <c r="A142" s="185"/>
      <c r="B142" s="3" t="s">
        <v>18</v>
      </c>
      <c r="C142" s="27"/>
      <c r="D142" s="6"/>
      <c r="E142" s="7"/>
      <c r="F142" s="6"/>
      <c r="G142" s="6"/>
      <c r="H142" s="7"/>
      <c r="I142" s="6"/>
      <c r="J142" s="6"/>
      <c r="K142" s="7"/>
      <c r="L142" s="6"/>
      <c r="M142" s="6"/>
      <c r="N142" s="7"/>
      <c r="O142" s="6"/>
      <c r="P142" s="6"/>
      <c r="Q142" s="7"/>
      <c r="R142" s="6"/>
      <c r="S142" s="6"/>
      <c r="T142" s="7"/>
      <c r="U142" s="6"/>
      <c r="V142" s="6"/>
      <c r="W142" s="7"/>
      <c r="X142" s="6"/>
      <c r="Y142" s="6"/>
      <c r="AA142" s="4"/>
      <c r="AB142" s="4" t="str">
        <f>IF(NOT(ISBLANK(AC142)),"-","")</f>
        <v/>
      </c>
      <c r="AC142" s="4"/>
      <c r="AD142" s="4" t="str">
        <f>IF(NOT(ISBLANK(AE142)),"_","")</f>
        <v/>
      </c>
      <c r="AE142" s="4"/>
      <c r="AF142" s="4" t="str">
        <f>IF(NOT(ISBLANK(AG142)),"_","")</f>
        <v/>
      </c>
      <c r="AG142" s="4"/>
      <c r="AH142" s="4" t="str">
        <f>IF(NOT(ISBLANK(AI142)),"_","")</f>
        <v/>
      </c>
      <c r="AI142" s="4"/>
    </row>
    <row r="143" spans="1:35" x14ac:dyDescent="0.25">
      <c r="AB143" s="28" t="str">
        <f t="shared" ref="AB143" si="167">IF(NOT(ISBLANK(AC143)),"-","")</f>
        <v/>
      </c>
      <c r="AD143" s="28" t="str">
        <f t="shared" ref="AD143" si="168">IF(NOT(ISBLANK(AE143)),"_","")</f>
        <v/>
      </c>
      <c r="AF143" s="2" t="str">
        <f t="shared" ref="AF143" si="169">IF(NOT(ISBLANK(AG143)),"_","")</f>
        <v/>
      </c>
      <c r="AH143" s="2" t="str">
        <f t="shared" ref="AH143" si="170">IF(NOT(ISBLANK(AI143)),"_","")</f>
        <v/>
      </c>
    </row>
    <row r="144" spans="1:35" x14ac:dyDescent="0.25">
      <c r="B144" s="2" t="str">
        <f t="shared" ref="B144:B152" si="171">_xlfn.CONCAT("@",AA144,AB144,AC144,AD144,AE144,AF144,AG144,AH144,AI144)</f>
        <v>@color-trunk_case_bicycle_no_default</v>
      </c>
      <c r="C144" s="73" t="s">
        <v>220</v>
      </c>
      <c r="D144" s="47" t="s">
        <v>210</v>
      </c>
      <c r="F144" s="47" t="s">
        <v>210</v>
      </c>
      <c r="G144" s="47" t="s">
        <v>210</v>
      </c>
      <c r="I144" s="74" t="str">
        <f>C144</f>
        <v>"#bd430f"</v>
      </c>
      <c r="J144" s="37" t="str">
        <f>D144</f>
        <v>"#000000"</v>
      </c>
      <c r="L144" s="47" t="s">
        <v>210</v>
      </c>
      <c r="M144" s="47" t="s">
        <v>210</v>
      </c>
      <c r="U144" s="73" t="s">
        <v>220</v>
      </c>
      <c r="V144" s="47" t="s">
        <v>210</v>
      </c>
      <c r="X144" s="47" t="s">
        <v>210</v>
      </c>
      <c r="Y144" s="47" t="s">
        <v>210</v>
      </c>
      <c r="AA144" s="28" t="s">
        <v>6</v>
      </c>
      <c r="AB144" s="2" t="str">
        <f>IF(NOT(ISBLANK(AC144)),"-","")</f>
        <v>-</v>
      </c>
      <c r="AC144" s="2" t="s">
        <v>18</v>
      </c>
      <c r="AD144" s="2" t="str">
        <f t="shared" ref="AD144" si="172">IF(NOT(ISBLANK(AE144)),"_","")</f>
        <v>_</v>
      </c>
      <c r="AE144" s="28" t="s">
        <v>17</v>
      </c>
      <c r="AF144" s="2" t="str">
        <f t="shared" ref="AF144" si="173">IF(NOT(ISBLANK(AG144)),"_","")</f>
        <v>_</v>
      </c>
      <c r="AG144" s="28" t="s">
        <v>23</v>
      </c>
      <c r="AH144" s="2" t="str">
        <f>IF(NOT(ISBLANK(AI144)),"_","")</f>
        <v>_</v>
      </c>
      <c r="AI144" s="28" t="s">
        <v>255</v>
      </c>
    </row>
    <row r="145" spans="1:35" x14ac:dyDescent="0.25">
      <c r="B145" s="2" t="str">
        <f t="shared" si="171"/>
        <v>@color-trunk_case_bicycle_no_farzoom</v>
      </c>
      <c r="C145" s="73" t="s">
        <v>220</v>
      </c>
      <c r="D145" s="47" t="s">
        <v>210</v>
      </c>
      <c r="F145" s="73" t="s">
        <v>220</v>
      </c>
      <c r="G145" s="73" t="s">
        <v>220</v>
      </c>
      <c r="I145" s="74" t="str">
        <f>C145</f>
        <v>"#bd430f"</v>
      </c>
      <c r="J145" s="37" t="str">
        <f>D145</f>
        <v>"#000000"</v>
      </c>
      <c r="L145" s="73" t="s">
        <v>220</v>
      </c>
      <c r="M145" s="73" t="s">
        <v>220</v>
      </c>
      <c r="U145" s="73" t="s">
        <v>220</v>
      </c>
      <c r="V145" s="47" t="s">
        <v>210</v>
      </c>
      <c r="X145" s="73" t="s">
        <v>220</v>
      </c>
      <c r="Y145" s="73" t="s">
        <v>220</v>
      </c>
      <c r="AA145" s="28" t="s">
        <v>6</v>
      </c>
      <c r="AB145" s="2" t="str">
        <f t="shared" ref="AB145" si="174">IF(NOT(ISBLANK(AC145)),"-","")</f>
        <v>-</v>
      </c>
      <c r="AC145" s="2" t="s">
        <v>18</v>
      </c>
      <c r="AD145" s="2" t="str">
        <f t="shared" ref="AD145" si="175">IF(NOT(ISBLANK(AE145)),"_","")</f>
        <v>_</v>
      </c>
      <c r="AE145" s="28" t="s">
        <v>17</v>
      </c>
      <c r="AF145" s="2" t="str">
        <f t="shared" ref="AF145" si="176">IF(NOT(ISBLANK(AG145)),"_","")</f>
        <v>_</v>
      </c>
      <c r="AG145" s="28" t="s">
        <v>23</v>
      </c>
      <c r="AH145" s="2" t="str">
        <f>IF(NOT(ISBLANK(AI145)),"_","")</f>
        <v>_</v>
      </c>
      <c r="AI145" s="28" t="s">
        <v>20</v>
      </c>
    </row>
    <row r="146" spans="1:35" x14ac:dyDescent="0.25">
      <c r="B146" s="2" t="str">
        <f t="shared" si="171"/>
        <v>@color-trunk_case_unpaved_farzoom</v>
      </c>
      <c r="C146" s="75" t="s">
        <v>221</v>
      </c>
      <c r="D146" s="76" t="s">
        <v>223</v>
      </c>
      <c r="F146" s="76" t="s">
        <v>223</v>
      </c>
      <c r="G146" s="75" t="s">
        <v>221</v>
      </c>
      <c r="I146" s="75" t="s">
        <v>221</v>
      </c>
      <c r="J146" s="76" t="s">
        <v>223</v>
      </c>
      <c r="L146" s="76" t="s">
        <v>223</v>
      </c>
      <c r="M146" s="75" t="s">
        <v>221</v>
      </c>
      <c r="U146" s="78" t="s">
        <v>222</v>
      </c>
      <c r="V146" s="47" t="s">
        <v>210</v>
      </c>
      <c r="X146" s="78" t="s">
        <v>222</v>
      </c>
      <c r="Y146" s="78" t="s">
        <v>222</v>
      </c>
      <c r="AA146" s="28" t="s">
        <v>6</v>
      </c>
      <c r="AB146" s="2" t="str">
        <f>IF(NOT(ISBLANK(AC146)),"-","")</f>
        <v>-</v>
      </c>
      <c r="AC146" s="2" t="s">
        <v>18</v>
      </c>
      <c r="AD146" s="2" t="str">
        <f>IF(NOT(ISBLANK(AE146)),"_","")</f>
        <v>_</v>
      </c>
      <c r="AE146" s="28" t="s">
        <v>17</v>
      </c>
      <c r="AF146" s="2" t="str">
        <f>IF(NOT(ISBLANK(AG146)),"_","")</f>
        <v>_</v>
      </c>
      <c r="AG146" s="28" t="s">
        <v>21</v>
      </c>
      <c r="AH146" s="2" t="str">
        <f>IF(NOT(ISBLANK(AI146)),"_","")</f>
        <v>_</v>
      </c>
      <c r="AI146" s="28" t="s">
        <v>20</v>
      </c>
    </row>
    <row r="147" spans="1:35" x14ac:dyDescent="0.25">
      <c r="B147" s="2" t="str">
        <f t="shared" si="171"/>
        <v>@color-trunk_case_unpaved_default</v>
      </c>
      <c r="C147" s="77" t="s">
        <v>213</v>
      </c>
      <c r="D147" s="47" t="s">
        <v>210</v>
      </c>
      <c r="F147" s="47" t="s">
        <v>210</v>
      </c>
      <c r="G147" s="47" t="s">
        <v>210</v>
      </c>
      <c r="I147" s="77" t="s">
        <v>213</v>
      </c>
      <c r="J147" s="47" t="s">
        <v>210</v>
      </c>
      <c r="L147" s="47" t="s">
        <v>210</v>
      </c>
      <c r="M147" s="47" t="s">
        <v>210</v>
      </c>
      <c r="U147" s="79" t="s">
        <v>214</v>
      </c>
      <c r="V147" s="47" t="s">
        <v>210</v>
      </c>
      <c r="X147" s="47" t="s">
        <v>210</v>
      </c>
      <c r="Y147" s="47" t="s">
        <v>210</v>
      </c>
      <c r="AA147" s="28" t="s">
        <v>6</v>
      </c>
      <c r="AB147" s="28" t="str">
        <f>IF(NOT(ISBLANK(AC147)),"-","")</f>
        <v>-</v>
      </c>
      <c r="AC147" s="2" t="s">
        <v>18</v>
      </c>
      <c r="AD147" s="28" t="str">
        <f>IF(NOT(ISBLANK(AE147)),"_","")</f>
        <v>_</v>
      </c>
      <c r="AE147" s="28" t="s">
        <v>17</v>
      </c>
      <c r="AF147" s="28" t="str">
        <f>IF(NOT(ISBLANK(AG147)),"_","")</f>
        <v>_</v>
      </c>
      <c r="AG147" s="28" t="s">
        <v>21</v>
      </c>
      <c r="AH147" s="28" t="str">
        <f t="shared" ref="AH147:AH157" si="177">IF(NOT(ISBLANK(AI147)),"_","")</f>
        <v>_</v>
      </c>
      <c r="AI147" s="28" t="s">
        <v>255</v>
      </c>
    </row>
    <row r="148" spans="1:35" x14ac:dyDescent="0.25">
      <c r="B148" s="2" t="str">
        <f t="shared" si="171"/>
        <v>@color-trunk_case_paved_or_uk_farzoom</v>
      </c>
      <c r="C148" s="78" t="s">
        <v>222</v>
      </c>
      <c r="D148" s="47" t="s">
        <v>210</v>
      </c>
      <c r="F148" s="78" t="s">
        <v>222</v>
      </c>
      <c r="G148" s="78" t="s">
        <v>222</v>
      </c>
      <c r="I148" s="78" t="s">
        <v>222</v>
      </c>
      <c r="J148" s="47" t="s">
        <v>210</v>
      </c>
      <c r="L148" s="78" t="s">
        <v>222</v>
      </c>
      <c r="M148" s="78" t="s">
        <v>222</v>
      </c>
      <c r="U148" s="78" t="s">
        <v>222</v>
      </c>
      <c r="V148" s="47" t="s">
        <v>210</v>
      </c>
      <c r="X148" s="78" t="s">
        <v>222</v>
      </c>
      <c r="Y148" s="78" t="s">
        <v>222</v>
      </c>
      <c r="AA148" s="2" t="s">
        <v>6</v>
      </c>
      <c r="AB148" s="2" t="str">
        <f>IF(NOT(ISBLANK(AC148)),"-","")</f>
        <v>-</v>
      </c>
      <c r="AC148" s="2" t="s">
        <v>18</v>
      </c>
      <c r="AD148" s="2" t="str">
        <f>IF(NOT(ISBLANK(AE148)),"_","")</f>
        <v>_</v>
      </c>
      <c r="AE148" s="2" t="s">
        <v>17</v>
      </c>
      <c r="AF148" s="2" t="str">
        <f>IF(NOT(ISBLANK(AG148)),"_","")</f>
        <v>_</v>
      </c>
      <c r="AG148" s="2" t="s">
        <v>24</v>
      </c>
      <c r="AH148" s="2" t="str">
        <f t="shared" si="177"/>
        <v>_</v>
      </c>
      <c r="AI148" s="28" t="s">
        <v>20</v>
      </c>
    </row>
    <row r="149" spans="1:35" x14ac:dyDescent="0.25">
      <c r="B149" s="2" t="str">
        <f t="shared" si="171"/>
        <v>@color-trunk_case_paved_or_uk_default</v>
      </c>
      <c r="C149" s="79" t="s">
        <v>214</v>
      </c>
      <c r="D149" s="47" t="s">
        <v>210</v>
      </c>
      <c r="F149" s="47" t="s">
        <v>210</v>
      </c>
      <c r="G149" s="47" t="s">
        <v>210</v>
      </c>
      <c r="I149" s="79" t="s">
        <v>214</v>
      </c>
      <c r="J149" s="47" t="s">
        <v>210</v>
      </c>
      <c r="L149" s="47" t="s">
        <v>210</v>
      </c>
      <c r="M149" s="47" t="s">
        <v>210</v>
      </c>
      <c r="U149" s="79" t="s">
        <v>214</v>
      </c>
      <c r="V149" s="47" t="s">
        <v>210</v>
      </c>
      <c r="X149" s="47" t="s">
        <v>210</v>
      </c>
      <c r="Y149" s="47" t="s">
        <v>210</v>
      </c>
      <c r="AA149" s="2" t="s">
        <v>6</v>
      </c>
      <c r="AB149" s="2" t="str">
        <f>IF(NOT(ISBLANK(AC149)),"-","")</f>
        <v>-</v>
      </c>
      <c r="AC149" s="2" t="s">
        <v>18</v>
      </c>
      <c r="AD149" s="2" t="str">
        <f>IF(NOT(ISBLANK(AE149)),"_","")</f>
        <v>_</v>
      </c>
      <c r="AE149" s="2" t="s">
        <v>17</v>
      </c>
      <c r="AF149" s="2" t="str">
        <f>IF(NOT(ISBLANK(AG149)),"_","")</f>
        <v>_</v>
      </c>
      <c r="AG149" s="2" t="s">
        <v>24</v>
      </c>
      <c r="AH149" s="2" t="str">
        <f t="shared" si="177"/>
        <v>_</v>
      </c>
      <c r="AI149" s="28" t="s">
        <v>255</v>
      </c>
    </row>
    <row r="150" spans="1:35" x14ac:dyDescent="0.25">
      <c r="B150" s="2" t="str">
        <f t="shared" si="171"/>
        <v>@color-trunk_line_bicycle_no</v>
      </c>
      <c r="C150" s="69" t="s">
        <v>209</v>
      </c>
      <c r="D150" s="70" t="s">
        <v>211</v>
      </c>
      <c r="F150" s="69" t="s">
        <v>209</v>
      </c>
      <c r="G150" s="70" t="s">
        <v>211</v>
      </c>
      <c r="I150" s="71" t="str">
        <f>C150</f>
        <v>"#ffcc88"</v>
      </c>
      <c r="J150" s="72" t="str">
        <f>D150</f>
        <v>"#d6771e"</v>
      </c>
      <c r="L150" s="69" t="s">
        <v>209</v>
      </c>
      <c r="M150" s="70" t="s">
        <v>211</v>
      </c>
      <c r="U150" s="69" t="s">
        <v>209</v>
      </c>
      <c r="V150" s="70" t="s">
        <v>211</v>
      </c>
      <c r="X150" s="69" t="s">
        <v>209</v>
      </c>
      <c r="Y150" s="70" t="s">
        <v>211</v>
      </c>
      <c r="AA150" s="2" t="s">
        <v>6</v>
      </c>
      <c r="AB150" s="2" t="str">
        <f>IF(NOT(ISBLANK(AC150)),"-","")</f>
        <v>-</v>
      </c>
      <c r="AC150" s="2" t="s">
        <v>18</v>
      </c>
      <c r="AD150" s="2" t="str">
        <f>IF(NOT(ISBLANK(AE150)),"_","")</f>
        <v>_</v>
      </c>
      <c r="AE150" s="2" t="s">
        <v>13</v>
      </c>
      <c r="AF150" s="2" t="str">
        <f>IF(NOT(ISBLANK(AG150)),"_","")</f>
        <v>_</v>
      </c>
      <c r="AG150" s="2" t="s">
        <v>23</v>
      </c>
      <c r="AH150" s="2" t="str">
        <f t="shared" si="177"/>
        <v/>
      </c>
      <c r="AI150" s="2"/>
    </row>
    <row r="151" spans="1:35" x14ac:dyDescent="0.25">
      <c r="B151" s="2" t="str">
        <f t="shared" si="171"/>
        <v>@color-trunk_line_unpaved_default</v>
      </c>
      <c r="C151" s="80" t="s">
        <v>217</v>
      </c>
      <c r="D151" s="81" t="str">
        <f>C151</f>
        <v>"#eddfca"</v>
      </c>
      <c r="F151" s="80" t="s">
        <v>217</v>
      </c>
      <c r="G151" s="81" t="str">
        <f>F151</f>
        <v>"#eddfca"</v>
      </c>
      <c r="I151" s="80" t="s">
        <v>217</v>
      </c>
      <c r="J151" s="81" t="str">
        <f>I151</f>
        <v>"#eddfca"</v>
      </c>
      <c r="L151" s="80" t="s">
        <v>217</v>
      </c>
      <c r="M151" s="81" t="str">
        <f>L151</f>
        <v>"#eddfca"</v>
      </c>
      <c r="U151" s="46" t="s">
        <v>218</v>
      </c>
      <c r="V151" s="38" t="str">
        <f>U151</f>
        <v>"#ffffff"</v>
      </c>
      <c r="X151" s="46" t="s">
        <v>218</v>
      </c>
      <c r="Y151" s="38" t="str">
        <f>X151</f>
        <v>"#ffffff"</v>
      </c>
      <c r="AA151" s="2" t="s">
        <v>6</v>
      </c>
      <c r="AB151" s="2" t="str">
        <f>IF(NOT(ISBLANK(AC151)),"-","")</f>
        <v>-</v>
      </c>
      <c r="AC151" s="2" t="s">
        <v>18</v>
      </c>
      <c r="AD151" s="2" t="str">
        <f>IF(NOT(ISBLANK(AE151)),"_","")</f>
        <v>_</v>
      </c>
      <c r="AE151" s="2" t="s">
        <v>13</v>
      </c>
      <c r="AF151" s="2" t="str">
        <f>IF(NOT(ISBLANK(AG151)),"_","")</f>
        <v>_</v>
      </c>
      <c r="AG151" s="2" t="s">
        <v>21</v>
      </c>
      <c r="AH151" s="2" t="str">
        <f t="shared" si="177"/>
        <v>_</v>
      </c>
      <c r="AI151" s="28" t="s">
        <v>255</v>
      </c>
    </row>
    <row r="152" spans="1:35" x14ac:dyDescent="0.25">
      <c r="B152" s="2" t="str">
        <f t="shared" si="171"/>
        <v>@color-trunk_line_paved_or_uk_default</v>
      </c>
      <c r="C152" s="46" t="s">
        <v>218</v>
      </c>
      <c r="D152" s="38" t="str">
        <f>C152</f>
        <v>"#ffffff"</v>
      </c>
      <c r="F152" s="46" t="s">
        <v>218</v>
      </c>
      <c r="G152" s="38" t="str">
        <f>F152</f>
        <v>"#ffffff"</v>
      </c>
      <c r="I152" s="46" t="s">
        <v>218</v>
      </c>
      <c r="J152" s="38" t="str">
        <f>I152</f>
        <v>"#ffffff"</v>
      </c>
      <c r="L152" s="46" t="s">
        <v>218</v>
      </c>
      <c r="M152" s="38" t="str">
        <f>L152</f>
        <v>"#ffffff"</v>
      </c>
      <c r="U152" s="46" t="s">
        <v>218</v>
      </c>
      <c r="V152" s="38" t="str">
        <f>U152</f>
        <v>"#ffffff"</v>
      </c>
      <c r="X152" s="46" t="s">
        <v>218</v>
      </c>
      <c r="Y152" s="38" t="str">
        <f>X152</f>
        <v>"#ffffff"</v>
      </c>
      <c r="AA152" s="28" t="s">
        <v>6</v>
      </c>
      <c r="AB152" s="28" t="str">
        <f>IF(NOT(ISBLANK(AC152)),"-","")</f>
        <v>-</v>
      </c>
      <c r="AC152" s="28" t="s">
        <v>18</v>
      </c>
      <c r="AD152" s="28" t="str">
        <f>IF(NOT(ISBLANK(AE152)),"_","")</f>
        <v>_</v>
      </c>
      <c r="AE152" s="28" t="s">
        <v>13</v>
      </c>
      <c r="AF152" s="28" t="str">
        <f>IF(NOT(ISBLANK(AG152)),"_","")</f>
        <v>_</v>
      </c>
      <c r="AG152" s="28" t="s">
        <v>24</v>
      </c>
      <c r="AH152" s="28" t="str">
        <f t="shared" si="177"/>
        <v>_</v>
      </c>
      <c r="AI152" s="28" t="s">
        <v>255</v>
      </c>
    </row>
    <row r="153" spans="1:35" x14ac:dyDescent="0.25">
      <c r="B153" s="2"/>
      <c r="AB153" s="28" t="str">
        <f>IF(NOT(ISBLANK(AC153)),"-","")</f>
        <v/>
      </c>
      <c r="AD153" s="28" t="str">
        <f>IF(NOT(ISBLANK(AE153)),"_","")</f>
        <v/>
      </c>
      <c r="AF153" s="28" t="str">
        <f>IF(NOT(ISBLANK(AG153)),"_","")</f>
        <v/>
      </c>
      <c r="AH153" s="28" t="str">
        <f t="shared" si="177"/>
        <v/>
      </c>
    </row>
    <row r="154" spans="1:35" s="2" customFormat="1" x14ac:dyDescent="0.25">
      <c r="A154" s="185"/>
      <c r="B154" s="3" t="s">
        <v>301</v>
      </c>
      <c r="C154" s="27"/>
      <c r="D154" s="6"/>
      <c r="E154" s="7"/>
      <c r="F154" s="6"/>
      <c r="G154" s="6"/>
      <c r="H154" s="7"/>
      <c r="I154" s="6"/>
      <c r="J154" s="6"/>
      <c r="K154" s="7"/>
      <c r="L154" s="6"/>
      <c r="M154" s="6"/>
      <c r="N154" s="7"/>
      <c r="O154" s="6"/>
      <c r="P154" s="6"/>
      <c r="Q154" s="7"/>
      <c r="R154" s="6"/>
      <c r="S154" s="6"/>
      <c r="T154" s="7"/>
      <c r="U154" s="6"/>
      <c r="V154" s="6"/>
      <c r="W154" s="7"/>
      <c r="X154" s="6"/>
      <c r="Y154" s="6"/>
      <c r="AA154" s="4"/>
      <c r="AB154" s="4" t="str">
        <f>IF(NOT(ISBLANK(AC154)),"-","")</f>
        <v/>
      </c>
      <c r="AC154" s="4"/>
      <c r="AD154" s="4" t="str">
        <f>IF(NOT(ISBLANK(AE154)),"_","")</f>
        <v/>
      </c>
      <c r="AE154" s="4"/>
      <c r="AF154" s="4" t="str">
        <f>IF(NOT(ISBLANK(AG154)),"_","")</f>
        <v/>
      </c>
      <c r="AG154" s="4"/>
      <c r="AH154" s="4" t="str">
        <f t="shared" si="177"/>
        <v/>
      </c>
      <c r="AI154" s="4"/>
    </row>
    <row r="155" spans="1:35" x14ac:dyDescent="0.25">
      <c r="AB155" s="28" t="str">
        <f t="shared" ref="AB155" si="178">IF(NOT(ISBLANK(AC155)),"-","")</f>
        <v/>
      </c>
      <c r="AD155" s="28" t="str">
        <f t="shared" ref="AD155" si="179">IF(NOT(ISBLANK(AE155)),"_","")</f>
        <v/>
      </c>
      <c r="AF155" s="2" t="str">
        <f t="shared" ref="AF155" si="180">IF(NOT(ISBLANK(AG155)),"_","")</f>
        <v/>
      </c>
      <c r="AH155" s="2" t="str">
        <f t="shared" si="177"/>
        <v/>
      </c>
    </row>
    <row r="156" spans="1:35" x14ac:dyDescent="0.25">
      <c r="B156" s="2" t="str">
        <f t="shared" ref="B156:B164" si="181">_xlfn.CONCAT("@",AA156,AB156,AC156,AD156,AE156,AF156,AG156,AH156,AI156)</f>
        <v>@color-primary_case_bicycle_no_default</v>
      </c>
      <c r="C156" s="73" t="s">
        <v>220</v>
      </c>
      <c r="D156" s="47" t="s">
        <v>210</v>
      </c>
      <c r="F156" s="47" t="s">
        <v>210</v>
      </c>
      <c r="G156" s="47" t="s">
        <v>210</v>
      </c>
      <c r="I156" s="74" t="str">
        <f>C156</f>
        <v>"#bd430f"</v>
      </c>
      <c r="J156" s="37" t="str">
        <f>D156</f>
        <v>"#000000"</v>
      </c>
      <c r="L156" s="47" t="s">
        <v>210</v>
      </c>
      <c r="M156" s="47" t="s">
        <v>210</v>
      </c>
      <c r="U156" s="73" t="s">
        <v>220</v>
      </c>
      <c r="V156" s="47" t="s">
        <v>210</v>
      </c>
      <c r="X156" s="47" t="s">
        <v>210</v>
      </c>
      <c r="Y156" s="47" t="s">
        <v>210</v>
      </c>
      <c r="AA156" s="28" t="s">
        <v>6</v>
      </c>
      <c r="AB156" s="2" t="str">
        <f t="shared" ref="AB156:AB267" si="182">IF(NOT(ISBLANK(AC156)),"-","")</f>
        <v>-</v>
      </c>
      <c r="AC156" s="2" t="s">
        <v>25</v>
      </c>
      <c r="AD156" s="2" t="str">
        <f>IF(NOT(ISBLANK(AE156)),"_","")</f>
        <v>_</v>
      </c>
      <c r="AE156" s="28" t="s">
        <v>17</v>
      </c>
      <c r="AF156" s="2" t="str">
        <f>IF(NOT(ISBLANK(AG156)),"_","")</f>
        <v>_</v>
      </c>
      <c r="AG156" s="28" t="s">
        <v>23</v>
      </c>
      <c r="AH156" s="2" t="str">
        <f t="shared" si="177"/>
        <v>_</v>
      </c>
      <c r="AI156" s="28" t="s">
        <v>255</v>
      </c>
    </row>
    <row r="157" spans="1:35" x14ac:dyDescent="0.25">
      <c r="B157" s="2" t="str">
        <f t="shared" si="181"/>
        <v>@color-primary_case_bicycle_no_farzoom</v>
      </c>
      <c r="C157" s="73" t="s">
        <v>220</v>
      </c>
      <c r="D157" s="47" t="s">
        <v>210</v>
      </c>
      <c r="F157" s="73" t="s">
        <v>220</v>
      </c>
      <c r="G157" s="73" t="s">
        <v>220</v>
      </c>
      <c r="I157" s="74" t="str">
        <f>C157</f>
        <v>"#bd430f"</v>
      </c>
      <c r="J157" s="37" t="str">
        <f>D157</f>
        <v>"#000000"</v>
      </c>
      <c r="L157" s="73" t="s">
        <v>220</v>
      </c>
      <c r="M157" s="73" t="s">
        <v>220</v>
      </c>
      <c r="U157" s="73" t="s">
        <v>220</v>
      </c>
      <c r="V157" s="47" t="s">
        <v>210</v>
      </c>
      <c r="X157" s="73" t="s">
        <v>220</v>
      </c>
      <c r="Y157" s="73" t="s">
        <v>220</v>
      </c>
      <c r="AA157" s="28" t="s">
        <v>6</v>
      </c>
      <c r="AB157" s="2" t="str">
        <f t="shared" ref="AB157" si="183">IF(NOT(ISBLANK(AC157)),"-","")</f>
        <v>-</v>
      </c>
      <c r="AC157" s="2" t="s">
        <v>25</v>
      </c>
      <c r="AD157" s="2" t="str">
        <f t="shared" ref="AD157" si="184">IF(NOT(ISBLANK(AE157)),"_","")</f>
        <v>_</v>
      </c>
      <c r="AE157" s="28" t="s">
        <v>17</v>
      </c>
      <c r="AF157" s="2" t="str">
        <f t="shared" ref="AF157" si="185">IF(NOT(ISBLANK(AG157)),"_","")</f>
        <v>_</v>
      </c>
      <c r="AG157" s="28" t="s">
        <v>23</v>
      </c>
      <c r="AH157" s="2" t="str">
        <f t="shared" si="177"/>
        <v>_</v>
      </c>
      <c r="AI157" s="28" t="s">
        <v>20</v>
      </c>
    </row>
    <row r="158" spans="1:35" x14ac:dyDescent="0.25">
      <c r="B158" s="2" t="str">
        <f t="shared" si="181"/>
        <v>@color-primary_case_unpaved_farzoom</v>
      </c>
      <c r="C158" s="75" t="s">
        <v>221</v>
      </c>
      <c r="D158" s="76" t="s">
        <v>223</v>
      </c>
      <c r="F158" s="76" t="s">
        <v>223</v>
      </c>
      <c r="G158" s="75" t="s">
        <v>221</v>
      </c>
      <c r="I158" s="75" t="s">
        <v>221</v>
      </c>
      <c r="J158" s="76" t="s">
        <v>223</v>
      </c>
      <c r="L158" s="76" t="s">
        <v>223</v>
      </c>
      <c r="M158" s="75" t="s">
        <v>221</v>
      </c>
      <c r="U158" s="78" t="s">
        <v>222</v>
      </c>
      <c r="V158" s="47" t="s">
        <v>210</v>
      </c>
      <c r="X158" s="78" t="s">
        <v>222</v>
      </c>
      <c r="Y158" s="78" t="s">
        <v>222</v>
      </c>
      <c r="AA158" s="28" t="s">
        <v>6</v>
      </c>
      <c r="AB158" s="2" t="str">
        <f>IF(NOT(ISBLANK(AC158)),"-","")</f>
        <v>-</v>
      </c>
      <c r="AC158" s="2" t="s">
        <v>25</v>
      </c>
      <c r="AD158" s="2" t="str">
        <f>IF(NOT(ISBLANK(AE158)),"_","")</f>
        <v>_</v>
      </c>
      <c r="AE158" s="28" t="s">
        <v>17</v>
      </c>
      <c r="AF158" s="2" t="str">
        <f>IF(NOT(ISBLANK(AG158)),"_","")</f>
        <v>_</v>
      </c>
      <c r="AG158" s="28" t="s">
        <v>21</v>
      </c>
      <c r="AH158" s="2" t="str">
        <f>IF(NOT(ISBLANK(AI158)),"_","")</f>
        <v>_</v>
      </c>
      <c r="AI158" s="28" t="s">
        <v>20</v>
      </c>
    </row>
    <row r="159" spans="1:35" x14ac:dyDescent="0.25">
      <c r="B159" s="2" t="str">
        <f t="shared" si="181"/>
        <v>@color-primary_case_unpaved_default</v>
      </c>
      <c r="C159" s="77" t="s">
        <v>213</v>
      </c>
      <c r="D159" s="76" t="s">
        <v>223</v>
      </c>
      <c r="F159" s="47" t="s">
        <v>210</v>
      </c>
      <c r="G159" s="47" t="s">
        <v>210</v>
      </c>
      <c r="I159" s="77" t="s">
        <v>213</v>
      </c>
      <c r="J159" s="76" t="s">
        <v>223</v>
      </c>
      <c r="L159" s="47" t="s">
        <v>210</v>
      </c>
      <c r="M159" s="47" t="s">
        <v>210</v>
      </c>
      <c r="U159" s="79" t="s">
        <v>214</v>
      </c>
      <c r="V159" s="47" t="s">
        <v>210</v>
      </c>
      <c r="X159" s="47" t="s">
        <v>210</v>
      </c>
      <c r="Y159" s="47" t="s">
        <v>210</v>
      </c>
      <c r="AA159" s="28" t="s">
        <v>6</v>
      </c>
      <c r="AB159" s="2" t="str">
        <f t="shared" si="182"/>
        <v>-</v>
      </c>
      <c r="AC159" s="2" t="s">
        <v>25</v>
      </c>
      <c r="AD159" s="2" t="str">
        <f>IF(NOT(ISBLANK(AE159)),"_","")</f>
        <v>_</v>
      </c>
      <c r="AE159" s="28" t="s">
        <v>17</v>
      </c>
      <c r="AF159" s="2" t="str">
        <f>IF(NOT(ISBLANK(AG159)),"_","")</f>
        <v>_</v>
      </c>
      <c r="AG159" s="28" t="s">
        <v>21</v>
      </c>
      <c r="AH159" s="28" t="str">
        <f t="shared" ref="AH159:AH161" si="186">IF(NOT(ISBLANK(AI159)),"_","")</f>
        <v>_</v>
      </c>
      <c r="AI159" s="28" t="s">
        <v>255</v>
      </c>
    </row>
    <row r="160" spans="1:35" x14ac:dyDescent="0.25">
      <c r="B160" s="2" t="str">
        <f t="shared" si="181"/>
        <v>@color-primary_case_paved_or_uk_farzoom</v>
      </c>
      <c r="C160" s="78" t="s">
        <v>222</v>
      </c>
      <c r="D160" s="47" t="s">
        <v>210</v>
      </c>
      <c r="F160" s="78" t="s">
        <v>222</v>
      </c>
      <c r="G160" s="78" t="s">
        <v>222</v>
      </c>
      <c r="I160" s="78" t="s">
        <v>222</v>
      </c>
      <c r="J160" s="47" t="s">
        <v>210</v>
      </c>
      <c r="L160" s="78" t="s">
        <v>222</v>
      </c>
      <c r="M160" s="78" t="s">
        <v>222</v>
      </c>
      <c r="U160" s="78" t="s">
        <v>222</v>
      </c>
      <c r="V160" s="47" t="s">
        <v>210</v>
      </c>
      <c r="X160" s="78" t="s">
        <v>222</v>
      </c>
      <c r="Y160" s="78" t="s">
        <v>222</v>
      </c>
      <c r="AA160" s="2" t="s">
        <v>6</v>
      </c>
      <c r="AB160" s="2" t="str">
        <f t="shared" si="182"/>
        <v>-</v>
      </c>
      <c r="AC160" s="2" t="s">
        <v>25</v>
      </c>
      <c r="AD160" s="2" t="str">
        <f t="shared" ref="AD160" si="187">IF(NOT(ISBLANK(AE160)),"_","")</f>
        <v>_</v>
      </c>
      <c r="AE160" s="2" t="s">
        <v>17</v>
      </c>
      <c r="AF160" s="2" t="str">
        <f t="shared" ref="AF160" si="188">IF(NOT(ISBLANK(AG160)),"_","")</f>
        <v>_</v>
      </c>
      <c r="AG160" s="2" t="s">
        <v>24</v>
      </c>
      <c r="AH160" s="2" t="str">
        <f t="shared" si="186"/>
        <v>_</v>
      </c>
      <c r="AI160" s="28" t="s">
        <v>20</v>
      </c>
    </row>
    <row r="161" spans="2:35" x14ac:dyDescent="0.25">
      <c r="B161" s="2" t="str">
        <f t="shared" si="181"/>
        <v>@color-primary_case_paved_or_uk_default</v>
      </c>
      <c r="C161" s="79" t="s">
        <v>214</v>
      </c>
      <c r="D161" s="47" t="s">
        <v>210</v>
      </c>
      <c r="F161" s="47" t="s">
        <v>210</v>
      </c>
      <c r="G161" s="47" t="s">
        <v>210</v>
      </c>
      <c r="I161" s="79" t="s">
        <v>214</v>
      </c>
      <c r="J161" s="47" t="s">
        <v>210</v>
      </c>
      <c r="L161" s="47" t="s">
        <v>210</v>
      </c>
      <c r="M161" s="47" t="s">
        <v>210</v>
      </c>
      <c r="U161" s="79" t="s">
        <v>214</v>
      </c>
      <c r="V161" s="47" t="s">
        <v>210</v>
      </c>
      <c r="X161" s="47" t="s">
        <v>210</v>
      </c>
      <c r="Y161" s="47" t="s">
        <v>210</v>
      </c>
      <c r="AA161" s="2" t="s">
        <v>6</v>
      </c>
      <c r="AB161" s="2" t="str">
        <f t="shared" si="182"/>
        <v>-</v>
      </c>
      <c r="AC161" s="28" t="s">
        <v>25</v>
      </c>
      <c r="AD161" s="2" t="str">
        <f t="shared" ref="AD161:AD267" si="189">IF(NOT(ISBLANK(AE161)),"_","")</f>
        <v>_</v>
      </c>
      <c r="AE161" s="2" t="s">
        <v>17</v>
      </c>
      <c r="AF161" s="2" t="str">
        <f t="shared" ref="AF161:AF267" si="190">IF(NOT(ISBLANK(AG161)),"_","")</f>
        <v>_</v>
      </c>
      <c r="AG161" s="2" t="s">
        <v>24</v>
      </c>
      <c r="AH161" s="2" t="str">
        <f t="shared" si="186"/>
        <v>_</v>
      </c>
      <c r="AI161" s="28" t="s">
        <v>255</v>
      </c>
    </row>
    <row r="162" spans="2:35" x14ac:dyDescent="0.25">
      <c r="B162" s="2" t="str">
        <f t="shared" si="181"/>
        <v>@color-primary_line_bicycle_no</v>
      </c>
      <c r="C162" s="82" t="s">
        <v>225</v>
      </c>
      <c r="D162" s="70" t="s">
        <v>211</v>
      </c>
      <c r="F162" s="82" t="s">
        <v>225</v>
      </c>
      <c r="G162" s="70" t="s">
        <v>211</v>
      </c>
      <c r="I162" s="83" t="str">
        <f>C162</f>
        <v>"#ffcc8a"</v>
      </c>
      <c r="J162" s="72" t="str">
        <f>D162</f>
        <v>"#d6771e"</v>
      </c>
      <c r="L162" s="82" t="s">
        <v>225</v>
      </c>
      <c r="M162" s="70" t="s">
        <v>211</v>
      </c>
      <c r="U162" s="82" t="s">
        <v>225</v>
      </c>
      <c r="V162" s="70" t="s">
        <v>211</v>
      </c>
      <c r="X162" s="82" t="s">
        <v>225</v>
      </c>
      <c r="Y162" s="70" t="s">
        <v>211</v>
      </c>
      <c r="AA162" s="28" t="s">
        <v>6</v>
      </c>
      <c r="AB162" s="2" t="str">
        <f t="shared" si="182"/>
        <v>-</v>
      </c>
      <c r="AC162" s="28" t="s">
        <v>25</v>
      </c>
      <c r="AD162" s="2" t="str">
        <f t="shared" si="189"/>
        <v>_</v>
      </c>
      <c r="AE162" s="28" t="s">
        <v>13</v>
      </c>
      <c r="AF162" s="2" t="str">
        <f t="shared" si="190"/>
        <v>_</v>
      </c>
      <c r="AG162" s="28" t="s">
        <v>23</v>
      </c>
      <c r="AH162" s="2" t="str">
        <f t="shared" ref="AH162:AH167" si="191">IF(NOT(ISBLANK(AI162)),"_","")</f>
        <v/>
      </c>
    </row>
    <row r="163" spans="2:35" x14ac:dyDescent="0.25">
      <c r="B163" s="2" t="str">
        <f t="shared" si="181"/>
        <v>@color-primary_line_unpaved_default</v>
      </c>
      <c r="C163" s="80" t="s">
        <v>217</v>
      </c>
      <c r="D163" s="81" t="str">
        <f>C163</f>
        <v>"#eddfca"</v>
      </c>
      <c r="F163" s="80" t="s">
        <v>217</v>
      </c>
      <c r="G163" s="81" t="str">
        <f>F163</f>
        <v>"#eddfca"</v>
      </c>
      <c r="I163" s="80" t="s">
        <v>217</v>
      </c>
      <c r="J163" s="81" t="str">
        <f>I163</f>
        <v>"#eddfca"</v>
      </c>
      <c r="L163" s="80" t="s">
        <v>217</v>
      </c>
      <c r="M163" s="81" t="str">
        <f>L163</f>
        <v>"#eddfca"</v>
      </c>
      <c r="U163" s="46" t="s">
        <v>218</v>
      </c>
      <c r="V163" s="38" t="str">
        <f>U163</f>
        <v>"#ffffff"</v>
      </c>
      <c r="X163" s="46" t="s">
        <v>218</v>
      </c>
      <c r="Y163" s="38" t="str">
        <f>X163</f>
        <v>"#ffffff"</v>
      </c>
      <c r="AA163" s="2" t="s">
        <v>6</v>
      </c>
      <c r="AB163" s="2" t="str">
        <f t="shared" si="182"/>
        <v>-</v>
      </c>
      <c r="AC163" s="2" t="s">
        <v>25</v>
      </c>
      <c r="AD163" s="2" t="str">
        <f t="shared" si="189"/>
        <v>_</v>
      </c>
      <c r="AE163" s="2" t="s">
        <v>13</v>
      </c>
      <c r="AF163" s="2" t="str">
        <f t="shared" si="190"/>
        <v>_</v>
      </c>
      <c r="AG163" s="2" t="s">
        <v>21</v>
      </c>
      <c r="AH163" s="2" t="str">
        <f t="shared" si="191"/>
        <v>_</v>
      </c>
      <c r="AI163" s="28" t="s">
        <v>255</v>
      </c>
    </row>
    <row r="164" spans="2:35" x14ac:dyDescent="0.25">
      <c r="B164" s="2" t="str">
        <f t="shared" si="181"/>
        <v>@color-primary_line_paved_or_uk_default</v>
      </c>
      <c r="C164" s="46" t="s">
        <v>218</v>
      </c>
      <c r="D164" s="38" t="str">
        <f>C164</f>
        <v>"#ffffff"</v>
      </c>
      <c r="F164" s="46" t="s">
        <v>218</v>
      </c>
      <c r="G164" s="38" t="str">
        <f>F164</f>
        <v>"#ffffff"</v>
      </c>
      <c r="I164" s="46" t="s">
        <v>218</v>
      </c>
      <c r="J164" s="38" t="str">
        <f>I164</f>
        <v>"#ffffff"</v>
      </c>
      <c r="L164" s="46" t="s">
        <v>218</v>
      </c>
      <c r="M164" s="38" t="str">
        <f>L164</f>
        <v>"#ffffff"</v>
      </c>
      <c r="U164" s="46" t="s">
        <v>218</v>
      </c>
      <c r="V164" s="38" t="str">
        <f>U164</f>
        <v>"#ffffff"</v>
      </c>
      <c r="X164" s="46" t="s">
        <v>218</v>
      </c>
      <c r="Y164" s="38" t="str">
        <f>X164</f>
        <v>"#ffffff"</v>
      </c>
      <c r="AA164" s="2" t="s">
        <v>6</v>
      </c>
      <c r="AB164" s="2" t="str">
        <f t="shared" si="182"/>
        <v>-</v>
      </c>
      <c r="AC164" s="2" t="s">
        <v>25</v>
      </c>
      <c r="AD164" s="2" t="str">
        <f t="shared" si="189"/>
        <v>_</v>
      </c>
      <c r="AE164" s="2" t="s">
        <v>13</v>
      </c>
      <c r="AF164" s="2" t="str">
        <f t="shared" si="190"/>
        <v>_</v>
      </c>
      <c r="AG164" s="28" t="s">
        <v>24</v>
      </c>
      <c r="AH164" s="28" t="str">
        <f t="shared" si="191"/>
        <v>_</v>
      </c>
      <c r="AI164" s="28" t="s">
        <v>255</v>
      </c>
    </row>
    <row r="165" spans="2:35" x14ac:dyDescent="0.25">
      <c r="B165" s="2"/>
      <c r="C165" s="26"/>
      <c r="D165" s="26"/>
      <c r="I165" s="26"/>
      <c r="U165" s="26"/>
      <c r="V165" s="26"/>
      <c r="AB165" s="2"/>
      <c r="AD165" s="2"/>
      <c r="AF165" s="2" t="str">
        <f t="shared" ref="AF165:AF174" si="192">IF(NOT(ISBLANK(AG165)),"_","")</f>
        <v/>
      </c>
      <c r="AH165" s="2" t="str">
        <f t="shared" si="191"/>
        <v/>
      </c>
    </row>
    <row r="166" spans="2:35" x14ac:dyDescent="0.25">
      <c r="B166" s="2" t="str">
        <f t="shared" ref="B166:B174" si="193">_xlfn.CONCAT("@",AA166,AB166,AC166,AD166,AE166,AF166,AG166,AH166,AI166)</f>
        <v>@color-secondary_case_bicycle_no_default</v>
      </c>
      <c r="C166" s="73" t="s">
        <v>220</v>
      </c>
      <c r="D166" s="47" t="s">
        <v>210</v>
      </c>
      <c r="F166" s="47" t="s">
        <v>210</v>
      </c>
      <c r="G166" s="47" t="s">
        <v>210</v>
      </c>
      <c r="I166" s="74" t="str">
        <f>C166</f>
        <v>"#bd430f"</v>
      </c>
      <c r="J166" s="37" t="str">
        <f>D166</f>
        <v>"#000000"</v>
      </c>
      <c r="L166" s="47" t="s">
        <v>210</v>
      </c>
      <c r="M166" s="47" t="s">
        <v>210</v>
      </c>
      <c r="U166" s="73" t="s">
        <v>220</v>
      </c>
      <c r="V166" s="47" t="s">
        <v>210</v>
      </c>
      <c r="X166" s="47" t="s">
        <v>210</v>
      </c>
      <c r="Y166" s="47" t="s">
        <v>210</v>
      </c>
      <c r="AA166" s="28" t="s">
        <v>6</v>
      </c>
      <c r="AB166" s="2" t="str">
        <f t="shared" ref="AB166:AB174" si="194">IF(NOT(ISBLANK(AC166)),"-","")</f>
        <v>-</v>
      </c>
      <c r="AC166" s="2" t="s">
        <v>27</v>
      </c>
      <c r="AD166" s="2" t="str">
        <f t="shared" ref="AD166:AD174" si="195">IF(NOT(ISBLANK(AE166)),"_","")</f>
        <v>_</v>
      </c>
      <c r="AE166" s="28" t="s">
        <v>17</v>
      </c>
      <c r="AF166" s="2" t="str">
        <f t="shared" si="192"/>
        <v>_</v>
      </c>
      <c r="AG166" s="28" t="s">
        <v>23</v>
      </c>
      <c r="AH166" s="2" t="str">
        <f t="shared" si="191"/>
        <v>_</v>
      </c>
      <c r="AI166" s="28" t="s">
        <v>255</v>
      </c>
    </row>
    <row r="167" spans="2:35" x14ac:dyDescent="0.25">
      <c r="B167" s="2" t="str">
        <f t="shared" si="193"/>
        <v>@color-secondary_case_bicycle_no_farzoom</v>
      </c>
      <c r="C167" s="73" t="s">
        <v>220</v>
      </c>
      <c r="D167" s="47" t="s">
        <v>210</v>
      </c>
      <c r="F167" s="73" t="s">
        <v>220</v>
      </c>
      <c r="G167" s="73" t="s">
        <v>220</v>
      </c>
      <c r="I167" s="74" t="str">
        <f>C167</f>
        <v>"#bd430f"</v>
      </c>
      <c r="J167" s="37" t="str">
        <f>D167</f>
        <v>"#000000"</v>
      </c>
      <c r="L167" s="73" t="s">
        <v>220</v>
      </c>
      <c r="M167" s="73" t="s">
        <v>220</v>
      </c>
      <c r="U167" s="73" t="s">
        <v>220</v>
      </c>
      <c r="V167" s="47" t="s">
        <v>210</v>
      </c>
      <c r="X167" s="73" t="s">
        <v>220</v>
      </c>
      <c r="Y167" s="73" t="s">
        <v>220</v>
      </c>
      <c r="AA167" s="28" t="s">
        <v>6</v>
      </c>
      <c r="AB167" s="2" t="str">
        <f t="shared" ref="AB167" si="196">IF(NOT(ISBLANK(AC167)),"-","")</f>
        <v>-</v>
      </c>
      <c r="AC167" s="2" t="s">
        <v>27</v>
      </c>
      <c r="AD167" s="2" t="str">
        <f t="shared" ref="AD167" si="197">IF(NOT(ISBLANK(AE167)),"_","")</f>
        <v>_</v>
      </c>
      <c r="AE167" s="28" t="s">
        <v>17</v>
      </c>
      <c r="AF167" s="2" t="str">
        <f t="shared" ref="AF167" si="198">IF(NOT(ISBLANK(AG167)),"_","")</f>
        <v>_</v>
      </c>
      <c r="AG167" s="28" t="s">
        <v>23</v>
      </c>
      <c r="AH167" s="2" t="str">
        <f t="shared" si="191"/>
        <v>_</v>
      </c>
      <c r="AI167" s="28" t="s">
        <v>20</v>
      </c>
    </row>
    <row r="168" spans="2:35" x14ac:dyDescent="0.25">
      <c r="B168" s="2" t="str">
        <f t="shared" si="193"/>
        <v>@color-secondary_case_unpaved_farzoom</v>
      </c>
      <c r="C168" s="75" t="s">
        <v>221</v>
      </c>
      <c r="D168" s="76" t="s">
        <v>223</v>
      </c>
      <c r="F168" s="76" t="s">
        <v>223</v>
      </c>
      <c r="G168" s="75" t="s">
        <v>221</v>
      </c>
      <c r="I168" s="75" t="s">
        <v>221</v>
      </c>
      <c r="J168" s="76" t="s">
        <v>223</v>
      </c>
      <c r="L168" s="76" t="s">
        <v>223</v>
      </c>
      <c r="M168" s="75" t="s">
        <v>221</v>
      </c>
      <c r="U168" s="78" t="s">
        <v>222</v>
      </c>
      <c r="V168" s="47" t="s">
        <v>210</v>
      </c>
      <c r="X168" s="78" t="s">
        <v>222</v>
      </c>
      <c r="Y168" s="78" t="s">
        <v>222</v>
      </c>
      <c r="AA168" s="28" t="s">
        <v>6</v>
      </c>
      <c r="AB168" s="2" t="str">
        <f>IF(NOT(ISBLANK(AC168)),"-","")</f>
        <v>-</v>
      </c>
      <c r="AC168" s="2" t="s">
        <v>27</v>
      </c>
      <c r="AD168" s="2" t="str">
        <f>IF(NOT(ISBLANK(AE168)),"_","")</f>
        <v>_</v>
      </c>
      <c r="AE168" s="28" t="s">
        <v>17</v>
      </c>
      <c r="AF168" s="2" t="str">
        <f>IF(NOT(ISBLANK(AG168)),"_","")</f>
        <v>_</v>
      </c>
      <c r="AG168" s="28" t="s">
        <v>21</v>
      </c>
      <c r="AH168" s="2" t="str">
        <f>IF(NOT(ISBLANK(AI168)),"_","")</f>
        <v>_</v>
      </c>
      <c r="AI168" s="28" t="s">
        <v>20</v>
      </c>
    </row>
    <row r="169" spans="2:35" x14ac:dyDescent="0.25">
      <c r="B169" s="2" t="str">
        <f t="shared" si="193"/>
        <v>@color-secondary_case_unpaved_default</v>
      </c>
      <c r="C169" s="76" t="s">
        <v>223</v>
      </c>
      <c r="D169" s="76" t="s">
        <v>223</v>
      </c>
      <c r="F169" s="47" t="s">
        <v>210</v>
      </c>
      <c r="G169" s="47" t="s">
        <v>210</v>
      </c>
      <c r="I169" s="76" t="s">
        <v>223</v>
      </c>
      <c r="J169" s="76" t="s">
        <v>223</v>
      </c>
      <c r="L169" s="47" t="s">
        <v>210</v>
      </c>
      <c r="M169" s="47" t="s">
        <v>210</v>
      </c>
      <c r="U169" s="84" t="s">
        <v>224</v>
      </c>
      <c r="V169" s="47" t="s">
        <v>210</v>
      </c>
      <c r="X169" s="47" t="s">
        <v>210</v>
      </c>
      <c r="Y169" s="47" t="s">
        <v>210</v>
      </c>
      <c r="AA169" s="28" t="s">
        <v>6</v>
      </c>
      <c r="AB169" s="2" t="str">
        <f t="shared" si="194"/>
        <v>-</v>
      </c>
      <c r="AC169" s="2" t="s">
        <v>27</v>
      </c>
      <c r="AD169" s="2" t="str">
        <f t="shared" si="195"/>
        <v>_</v>
      </c>
      <c r="AE169" s="28" t="s">
        <v>17</v>
      </c>
      <c r="AF169" s="2" t="str">
        <f t="shared" si="192"/>
        <v>_</v>
      </c>
      <c r="AG169" s="28" t="s">
        <v>21</v>
      </c>
      <c r="AH169" s="28" t="str">
        <f t="shared" ref="AH169:AH171" si="199">IF(NOT(ISBLANK(AI169)),"_","")</f>
        <v>_</v>
      </c>
      <c r="AI169" s="28" t="s">
        <v>255</v>
      </c>
    </row>
    <row r="170" spans="2:35" x14ac:dyDescent="0.25">
      <c r="B170" s="2" t="str">
        <f t="shared" si="193"/>
        <v>@color-secondary_case_paved_or_uk_farzoom</v>
      </c>
      <c r="C170" s="78" t="s">
        <v>222</v>
      </c>
      <c r="D170" s="47" t="s">
        <v>210</v>
      </c>
      <c r="F170" s="78" t="s">
        <v>222</v>
      </c>
      <c r="G170" s="78" t="s">
        <v>222</v>
      </c>
      <c r="I170" s="78" t="s">
        <v>222</v>
      </c>
      <c r="J170" s="47" t="s">
        <v>210</v>
      </c>
      <c r="L170" s="78" t="s">
        <v>222</v>
      </c>
      <c r="M170" s="78" t="s">
        <v>222</v>
      </c>
      <c r="U170" s="78" t="s">
        <v>222</v>
      </c>
      <c r="V170" s="47" t="s">
        <v>210</v>
      </c>
      <c r="X170" s="78" t="s">
        <v>222</v>
      </c>
      <c r="Y170" s="78" t="s">
        <v>222</v>
      </c>
      <c r="AA170" s="2" t="s">
        <v>6</v>
      </c>
      <c r="AB170" s="2" t="str">
        <f t="shared" si="194"/>
        <v>-</v>
      </c>
      <c r="AC170" s="2" t="s">
        <v>27</v>
      </c>
      <c r="AD170" s="2" t="str">
        <f t="shared" si="195"/>
        <v>_</v>
      </c>
      <c r="AE170" s="2" t="s">
        <v>17</v>
      </c>
      <c r="AF170" s="2" t="str">
        <f t="shared" si="192"/>
        <v>_</v>
      </c>
      <c r="AG170" s="2" t="s">
        <v>24</v>
      </c>
      <c r="AH170" s="2" t="str">
        <f t="shared" si="199"/>
        <v>_</v>
      </c>
      <c r="AI170" s="28" t="s">
        <v>20</v>
      </c>
    </row>
    <row r="171" spans="2:35" x14ac:dyDescent="0.25">
      <c r="B171" s="2" t="str">
        <f t="shared" si="193"/>
        <v>@color-secondary_case_paved_or_uk_default</v>
      </c>
      <c r="C171" s="84" t="s">
        <v>224</v>
      </c>
      <c r="D171" s="47" t="s">
        <v>210</v>
      </c>
      <c r="F171" s="47" t="s">
        <v>210</v>
      </c>
      <c r="G171" s="47" t="s">
        <v>210</v>
      </c>
      <c r="I171" s="84" t="s">
        <v>224</v>
      </c>
      <c r="J171" s="47" t="s">
        <v>210</v>
      </c>
      <c r="L171" s="47" t="s">
        <v>210</v>
      </c>
      <c r="M171" s="47" t="s">
        <v>210</v>
      </c>
      <c r="U171" s="84" t="s">
        <v>224</v>
      </c>
      <c r="V171" s="47" t="s">
        <v>210</v>
      </c>
      <c r="X171" s="47" t="s">
        <v>210</v>
      </c>
      <c r="Y171" s="47" t="s">
        <v>210</v>
      </c>
      <c r="AA171" s="2" t="s">
        <v>6</v>
      </c>
      <c r="AB171" s="2" t="str">
        <f t="shared" si="194"/>
        <v>-</v>
      </c>
      <c r="AC171" s="2" t="s">
        <v>27</v>
      </c>
      <c r="AD171" s="2" t="str">
        <f t="shared" si="195"/>
        <v>_</v>
      </c>
      <c r="AE171" s="2" t="s">
        <v>17</v>
      </c>
      <c r="AF171" s="2" t="str">
        <f t="shared" si="192"/>
        <v>_</v>
      </c>
      <c r="AG171" s="2" t="s">
        <v>24</v>
      </c>
      <c r="AH171" s="2" t="str">
        <f t="shared" si="199"/>
        <v>_</v>
      </c>
      <c r="AI171" s="28" t="s">
        <v>255</v>
      </c>
    </row>
    <row r="172" spans="2:35" x14ac:dyDescent="0.25">
      <c r="B172" s="2" t="str">
        <f t="shared" si="193"/>
        <v>@color-secondary_line_bicycle_no</v>
      </c>
      <c r="C172" s="82" t="s">
        <v>225</v>
      </c>
      <c r="D172" s="70" t="s">
        <v>211</v>
      </c>
      <c r="F172" s="82" t="s">
        <v>225</v>
      </c>
      <c r="G172" s="70" t="s">
        <v>211</v>
      </c>
      <c r="I172" s="83" t="str">
        <f>C172</f>
        <v>"#ffcc8a"</v>
      </c>
      <c r="J172" s="72" t="str">
        <f>D172</f>
        <v>"#d6771e"</v>
      </c>
      <c r="L172" s="82" t="s">
        <v>225</v>
      </c>
      <c r="M172" s="70" t="s">
        <v>211</v>
      </c>
      <c r="U172" s="82" t="s">
        <v>225</v>
      </c>
      <c r="V172" s="70" t="s">
        <v>211</v>
      </c>
      <c r="X172" s="82" t="s">
        <v>225</v>
      </c>
      <c r="Y172" s="70" t="s">
        <v>211</v>
      </c>
      <c r="AA172" s="28" t="s">
        <v>6</v>
      </c>
      <c r="AB172" s="2" t="str">
        <f t="shared" si="194"/>
        <v>-</v>
      </c>
      <c r="AC172" s="2" t="s">
        <v>27</v>
      </c>
      <c r="AD172" s="2" t="str">
        <f t="shared" si="195"/>
        <v>_</v>
      </c>
      <c r="AE172" s="28" t="s">
        <v>13</v>
      </c>
      <c r="AF172" s="2" t="str">
        <f t="shared" si="192"/>
        <v>_</v>
      </c>
      <c r="AG172" s="28" t="s">
        <v>23</v>
      </c>
      <c r="AH172" s="2" t="str">
        <f t="shared" ref="AH172:AH268" si="200">IF(NOT(ISBLANK(AI172)),"_","")</f>
        <v/>
      </c>
    </row>
    <row r="173" spans="2:35" x14ac:dyDescent="0.25">
      <c r="B173" s="2" t="str">
        <f t="shared" si="193"/>
        <v>@color-secondary_line_unpaved_default</v>
      </c>
      <c r="C173" s="80" t="s">
        <v>217</v>
      </c>
      <c r="D173" s="81" t="str">
        <f>C173</f>
        <v>"#eddfca"</v>
      </c>
      <c r="F173" s="80" t="s">
        <v>217</v>
      </c>
      <c r="G173" s="81" t="str">
        <f>F173</f>
        <v>"#eddfca"</v>
      </c>
      <c r="I173" s="80" t="s">
        <v>217</v>
      </c>
      <c r="J173" s="81" t="str">
        <f>I173</f>
        <v>"#eddfca"</v>
      </c>
      <c r="L173" s="80" t="s">
        <v>217</v>
      </c>
      <c r="M173" s="81" t="str">
        <f>L173</f>
        <v>"#eddfca"</v>
      </c>
      <c r="U173" s="46" t="s">
        <v>218</v>
      </c>
      <c r="V173" s="38" t="str">
        <f>U173</f>
        <v>"#ffffff"</v>
      </c>
      <c r="X173" s="46" t="s">
        <v>218</v>
      </c>
      <c r="Y173" s="38" t="str">
        <f>X173</f>
        <v>"#ffffff"</v>
      </c>
      <c r="AA173" s="2" t="s">
        <v>6</v>
      </c>
      <c r="AB173" s="2" t="str">
        <f t="shared" si="194"/>
        <v>-</v>
      </c>
      <c r="AC173" s="2" t="s">
        <v>27</v>
      </c>
      <c r="AD173" s="2" t="str">
        <f t="shared" si="195"/>
        <v>_</v>
      </c>
      <c r="AE173" s="2" t="s">
        <v>13</v>
      </c>
      <c r="AF173" s="2" t="str">
        <f t="shared" si="192"/>
        <v>_</v>
      </c>
      <c r="AG173" s="2" t="s">
        <v>21</v>
      </c>
      <c r="AH173" s="2" t="str">
        <f t="shared" si="200"/>
        <v>_</v>
      </c>
      <c r="AI173" s="28" t="s">
        <v>255</v>
      </c>
    </row>
    <row r="174" spans="2:35" x14ac:dyDescent="0.25">
      <c r="B174" s="2" t="str">
        <f t="shared" si="193"/>
        <v>@color-secondary_line_paved_or_uk_default</v>
      </c>
      <c r="C174" s="46" t="s">
        <v>218</v>
      </c>
      <c r="D174" s="38" t="str">
        <f>C174</f>
        <v>"#ffffff"</v>
      </c>
      <c r="F174" s="46" t="s">
        <v>218</v>
      </c>
      <c r="G174" s="38" t="str">
        <f>F174</f>
        <v>"#ffffff"</v>
      </c>
      <c r="I174" s="46" t="s">
        <v>218</v>
      </c>
      <c r="J174" s="38" t="str">
        <f>I174</f>
        <v>"#ffffff"</v>
      </c>
      <c r="L174" s="46" t="s">
        <v>218</v>
      </c>
      <c r="M174" s="38" t="str">
        <f>L174</f>
        <v>"#ffffff"</v>
      </c>
      <c r="U174" s="46" t="s">
        <v>218</v>
      </c>
      <c r="V174" s="38" t="str">
        <f>U174</f>
        <v>"#ffffff"</v>
      </c>
      <c r="X174" s="46" t="s">
        <v>218</v>
      </c>
      <c r="Y174" s="38" t="str">
        <f>X174</f>
        <v>"#ffffff"</v>
      </c>
      <c r="AA174" s="2" t="s">
        <v>6</v>
      </c>
      <c r="AB174" s="2" t="str">
        <f t="shared" si="194"/>
        <v>-</v>
      </c>
      <c r="AC174" s="2" t="s">
        <v>27</v>
      </c>
      <c r="AD174" s="2" t="str">
        <f t="shared" si="195"/>
        <v>_</v>
      </c>
      <c r="AE174" s="2" t="s">
        <v>13</v>
      </c>
      <c r="AF174" s="2" t="str">
        <f t="shared" si="192"/>
        <v>_</v>
      </c>
      <c r="AG174" s="28" t="s">
        <v>24</v>
      </c>
      <c r="AH174" s="28" t="str">
        <f t="shared" si="200"/>
        <v>_</v>
      </c>
      <c r="AI174" s="28" t="s">
        <v>255</v>
      </c>
    </row>
    <row r="175" spans="2:35" x14ac:dyDescent="0.25">
      <c r="B175" s="2"/>
      <c r="C175" s="26"/>
      <c r="D175" s="26"/>
      <c r="I175" s="26"/>
      <c r="U175" s="26"/>
      <c r="V175" s="26"/>
      <c r="AB175" s="2"/>
      <c r="AD175" s="2"/>
      <c r="AF175" s="2" t="str">
        <f t="shared" si="190"/>
        <v/>
      </c>
      <c r="AH175" s="2" t="str">
        <f t="shared" si="200"/>
        <v/>
      </c>
    </row>
    <row r="176" spans="2:35" x14ac:dyDescent="0.25">
      <c r="B176" s="2" t="str">
        <f t="shared" ref="B176:B184" si="201">_xlfn.CONCAT("@",AA176,AB176,AC176,AD176,AE176,AF176,AG176,AH176,AI176)</f>
        <v>@color-tertiary_case_bicycle_no_default</v>
      </c>
      <c r="C176" s="73" t="s">
        <v>220</v>
      </c>
      <c r="D176" s="47" t="s">
        <v>210</v>
      </c>
      <c r="F176" s="47" t="s">
        <v>210</v>
      </c>
      <c r="G176" s="47" t="s">
        <v>210</v>
      </c>
      <c r="I176" s="74" t="str">
        <f>C176</f>
        <v>"#bd430f"</v>
      </c>
      <c r="J176" s="37" t="str">
        <f>D176</f>
        <v>"#000000"</v>
      </c>
      <c r="L176" s="47" t="s">
        <v>210</v>
      </c>
      <c r="M176" s="47" t="s">
        <v>210</v>
      </c>
      <c r="U176" s="73" t="s">
        <v>220</v>
      </c>
      <c r="V176" s="47" t="s">
        <v>210</v>
      </c>
      <c r="X176" s="47" t="s">
        <v>210</v>
      </c>
      <c r="Y176" s="47" t="s">
        <v>210</v>
      </c>
      <c r="AA176" s="28" t="s">
        <v>6</v>
      </c>
      <c r="AB176" s="2" t="str">
        <f t="shared" ref="AB176:AB178" si="202">IF(NOT(ISBLANK(AC176)),"-","")</f>
        <v>-</v>
      </c>
      <c r="AC176" s="2" t="s">
        <v>26</v>
      </c>
      <c r="AD176" s="2" t="str">
        <f t="shared" ref="AD176:AD178" si="203">IF(NOT(ISBLANK(AE176)),"_","")</f>
        <v>_</v>
      </c>
      <c r="AE176" s="28" t="s">
        <v>17</v>
      </c>
      <c r="AF176" s="2" t="str">
        <f t="shared" ref="AF176:AF178" si="204">IF(NOT(ISBLANK(AG176)),"_","")</f>
        <v>_</v>
      </c>
      <c r="AG176" s="28" t="s">
        <v>23</v>
      </c>
      <c r="AH176" s="2" t="str">
        <f t="shared" si="200"/>
        <v>_</v>
      </c>
      <c r="AI176" s="28" t="s">
        <v>255</v>
      </c>
    </row>
    <row r="177" spans="1:35" x14ac:dyDescent="0.25">
      <c r="B177" s="2" t="str">
        <f t="shared" si="201"/>
        <v>@color-tertiary_case_bicycle_no_farzoom</v>
      </c>
      <c r="C177" s="73" t="s">
        <v>220</v>
      </c>
      <c r="D177" s="47" t="s">
        <v>210</v>
      </c>
      <c r="F177" s="73" t="s">
        <v>220</v>
      </c>
      <c r="G177" s="73" t="s">
        <v>220</v>
      </c>
      <c r="I177" s="74" t="str">
        <f>C177</f>
        <v>"#bd430f"</v>
      </c>
      <c r="J177" s="37" t="str">
        <f>D177</f>
        <v>"#000000"</v>
      </c>
      <c r="L177" s="73" t="s">
        <v>220</v>
      </c>
      <c r="M177" s="73" t="s">
        <v>220</v>
      </c>
      <c r="U177" s="73" t="s">
        <v>220</v>
      </c>
      <c r="V177" s="47" t="s">
        <v>210</v>
      </c>
      <c r="X177" s="73" t="s">
        <v>220</v>
      </c>
      <c r="Y177" s="73" t="s">
        <v>220</v>
      </c>
      <c r="AA177" s="28" t="s">
        <v>6</v>
      </c>
      <c r="AB177" s="2" t="str">
        <f t="shared" ref="AB177" si="205">IF(NOT(ISBLANK(AC177)),"-","")</f>
        <v>-</v>
      </c>
      <c r="AC177" s="2" t="s">
        <v>26</v>
      </c>
      <c r="AD177" s="2" t="str">
        <f t="shared" ref="AD177" si="206">IF(NOT(ISBLANK(AE177)),"_","")</f>
        <v>_</v>
      </c>
      <c r="AE177" s="28" t="s">
        <v>17</v>
      </c>
      <c r="AF177" s="2" t="str">
        <f t="shared" ref="AF177" si="207">IF(NOT(ISBLANK(AG177)),"_","")</f>
        <v>_</v>
      </c>
      <c r="AG177" s="28" t="s">
        <v>23</v>
      </c>
      <c r="AH177" s="2" t="str">
        <f t="shared" si="200"/>
        <v>_</v>
      </c>
      <c r="AI177" s="28" t="s">
        <v>20</v>
      </c>
    </row>
    <row r="178" spans="1:35" x14ac:dyDescent="0.25">
      <c r="B178" s="2" t="str">
        <f t="shared" si="201"/>
        <v>@color-tertiary_case_unpaved_farzoom</v>
      </c>
      <c r="C178" s="75" t="s">
        <v>221</v>
      </c>
      <c r="D178" s="76" t="s">
        <v>223</v>
      </c>
      <c r="F178" s="76" t="s">
        <v>223</v>
      </c>
      <c r="G178" s="75" t="s">
        <v>221</v>
      </c>
      <c r="I178" s="75" t="s">
        <v>221</v>
      </c>
      <c r="J178" s="76" t="s">
        <v>223</v>
      </c>
      <c r="L178" s="76" t="s">
        <v>223</v>
      </c>
      <c r="M178" s="75" t="s">
        <v>221</v>
      </c>
      <c r="U178" s="78" t="s">
        <v>222</v>
      </c>
      <c r="V178" s="47" t="s">
        <v>210</v>
      </c>
      <c r="X178" s="78" t="s">
        <v>222</v>
      </c>
      <c r="Y178" s="78" t="s">
        <v>222</v>
      </c>
      <c r="AA178" s="28" t="s">
        <v>6</v>
      </c>
      <c r="AB178" s="2" t="str">
        <f t="shared" si="202"/>
        <v>-</v>
      </c>
      <c r="AC178" s="2" t="s">
        <v>26</v>
      </c>
      <c r="AD178" s="2" t="str">
        <f t="shared" si="203"/>
        <v>_</v>
      </c>
      <c r="AE178" s="28" t="s">
        <v>17</v>
      </c>
      <c r="AF178" s="2" t="str">
        <f t="shared" si="204"/>
        <v>_</v>
      </c>
      <c r="AG178" s="28" t="s">
        <v>21</v>
      </c>
      <c r="AH178" s="2" t="str">
        <f>IF(NOT(ISBLANK(AI178)),"_","")</f>
        <v>_</v>
      </c>
      <c r="AI178" s="28" t="s">
        <v>20</v>
      </c>
    </row>
    <row r="179" spans="1:35" x14ac:dyDescent="0.25">
      <c r="B179" s="2" t="str">
        <f t="shared" si="201"/>
        <v>@color-tertiary_case_unpaved_default</v>
      </c>
      <c r="C179" s="76" t="s">
        <v>223</v>
      </c>
      <c r="D179" s="76" t="s">
        <v>223</v>
      </c>
      <c r="F179" s="47" t="s">
        <v>210</v>
      </c>
      <c r="G179" s="47" t="s">
        <v>210</v>
      </c>
      <c r="I179" s="76" t="s">
        <v>223</v>
      </c>
      <c r="J179" s="76" t="s">
        <v>223</v>
      </c>
      <c r="L179" s="47" t="s">
        <v>210</v>
      </c>
      <c r="M179" s="47" t="s">
        <v>210</v>
      </c>
      <c r="U179" s="84" t="s">
        <v>224</v>
      </c>
      <c r="V179" s="47" t="s">
        <v>210</v>
      </c>
      <c r="X179" s="47" t="s">
        <v>210</v>
      </c>
      <c r="Y179" s="47" t="s">
        <v>210</v>
      </c>
      <c r="AA179" s="28" t="s">
        <v>6</v>
      </c>
      <c r="AB179" s="2" t="str">
        <f t="shared" ref="AB179:AB184" si="208">IF(NOT(ISBLANK(AC179)),"-","")</f>
        <v>-</v>
      </c>
      <c r="AC179" s="2" t="s">
        <v>26</v>
      </c>
      <c r="AD179" s="2" t="str">
        <f t="shared" ref="AD179:AD184" si="209">IF(NOT(ISBLANK(AE179)),"_","")</f>
        <v>_</v>
      </c>
      <c r="AE179" s="28" t="s">
        <v>17</v>
      </c>
      <c r="AF179" s="2" t="str">
        <f t="shared" si="190"/>
        <v>_</v>
      </c>
      <c r="AG179" s="28" t="s">
        <v>21</v>
      </c>
      <c r="AH179" s="28" t="str">
        <f t="shared" ref="AH179:AH184" si="210">IF(NOT(ISBLANK(AI179)),"_","")</f>
        <v>_</v>
      </c>
      <c r="AI179" s="28" t="s">
        <v>255</v>
      </c>
    </row>
    <row r="180" spans="1:35" x14ac:dyDescent="0.25">
      <c r="B180" s="2" t="str">
        <f t="shared" si="201"/>
        <v>@color-tertiary_case_paved_or_uk_farzoom</v>
      </c>
      <c r="C180" s="78" t="s">
        <v>222</v>
      </c>
      <c r="D180" s="47" t="s">
        <v>210</v>
      </c>
      <c r="F180" s="78" t="s">
        <v>222</v>
      </c>
      <c r="G180" s="78" t="s">
        <v>222</v>
      </c>
      <c r="I180" s="78" t="s">
        <v>222</v>
      </c>
      <c r="J180" s="47" t="s">
        <v>210</v>
      </c>
      <c r="L180" s="78" t="s">
        <v>222</v>
      </c>
      <c r="M180" s="78" t="s">
        <v>222</v>
      </c>
      <c r="U180" s="78" t="s">
        <v>222</v>
      </c>
      <c r="V180" s="47" t="s">
        <v>210</v>
      </c>
      <c r="X180" s="78" t="s">
        <v>222</v>
      </c>
      <c r="Y180" s="78" t="s">
        <v>222</v>
      </c>
      <c r="AA180" s="2" t="s">
        <v>6</v>
      </c>
      <c r="AB180" s="2" t="str">
        <f t="shared" ref="AB180" si="211">IF(NOT(ISBLANK(AC180)),"-","")</f>
        <v>-</v>
      </c>
      <c r="AC180" s="2" t="s">
        <v>26</v>
      </c>
      <c r="AD180" s="2" t="str">
        <f t="shared" ref="AD180" si="212">IF(NOT(ISBLANK(AE180)),"_","")</f>
        <v>_</v>
      </c>
      <c r="AE180" s="2" t="s">
        <v>17</v>
      </c>
      <c r="AF180" s="2" t="str">
        <f t="shared" ref="AF180" si="213">IF(NOT(ISBLANK(AG180)),"_","")</f>
        <v>_</v>
      </c>
      <c r="AG180" s="2" t="s">
        <v>24</v>
      </c>
      <c r="AH180" s="2" t="str">
        <f t="shared" si="210"/>
        <v>_</v>
      </c>
      <c r="AI180" s="28" t="s">
        <v>20</v>
      </c>
    </row>
    <row r="181" spans="1:35" x14ac:dyDescent="0.25">
      <c r="B181" s="2" t="str">
        <f t="shared" si="201"/>
        <v>@color-tertiary_case_paved_or_uk_default</v>
      </c>
      <c r="C181" s="84" t="s">
        <v>224</v>
      </c>
      <c r="D181" s="47" t="s">
        <v>210</v>
      </c>
      <c r="F181" s="47" t="s">
        <v>210</v>
      </c>
      <c r="G181" s="47" t="s">
        <v>210</v>
      </c>
      <c r="I181" s="84" t="s">
        <v>224</v>
      </c>
      <c r="J181" s="47" t="s">
        <v>210</v>
      </c>
      <c r="L181" s="47" t="s">
        <v>210</v>
      </c>
      <c r="M181" s="47" t="s">
        <v>210</v>
      </c>
      <c r="U181" s="84" t="s">
        <v>224</v>
      </c>
      <c r="V181" s="47" t="s">
        <v>210</v>
      </c>
      <c r="X181" s="47" t="s">
        <v>210</v>
      </c>
      <c r="Y181" s="47" t="s">
        <v>210</v>
      </c>
      <c r="AA181" s="2" t="s">
        <v>6</v>
      </c>
      <c r="AB181" s="2" t="str">
        <f t="shared" si="208"/>
        <v>-</v>
      </c>
      <c r="AC181" s="2" t="s">
        <v>26</v>
      </c>
      <c r="AD181" s="2" t="str">
        <f t="shared" si="209"/>
        <v>_</v>
      </c>
      <c r="AE181" s="2" t="s">
        <v>17</v>
      </c>
      <c r="AF181" s="2" t="str">
        <f t="shared" si="190"/>
        <v>_</v>
      </c>
      <c r="AG181" s="2" t="s">
        <v>24</v>
      </c>
      <c r="AH181" s="2" t="str">
        <f t="shared" si="210"/>
        <v>_</v>
      </c>
      <c r="AI181" s="28" t="s">
        <v>255</v>
      </c>
    </row>
    <row r="182" spans="1:35" x14ac:dyDescent="0.25">
      <c r="B182" s="2" t="str">
        <f t="shared" si="201"/>
        <v>@color-tertiary_line_bicycle_no</v>
      </c>
      <c r="C182" s="82" t="s">
        <v>225</v>
      </c>
      <c r="D182" s="70" t="s">
        <v>211</v>
      </c>
      <c r="F182" s="82" t="s">
        <v>225</v>
      </c>
      <c r="G182" s="70" t="s">
        <v>211</v>
      </c>
      <c r="I182" s="83" t="str">
        <f>C182</f>
        <v>"#ffcc8a"</v>
      </c>
      <c r="J182" s="72" t="str">
        <f>D182</f>
        <v>"#d6771e"</v>
      </c>
      <c r="L182" s="82" t="s">
        <v>225</v>
      </c>
      <c r="M182" s="70" t="s">
        <v>211</v>
      </c>
      <c r="U182" s="82" t="s">
        <v>225</v>
      </c>
      <c r="V182" s="70" t="s">
        <v>211</v>
      </c>
      <c r="X182" s="82" t="s">
        <v>225</v>
      </c>
      <c r="Y182" s="70" t="s">
        <v>211</v>
      </c>
      <c r="AA182" s="28" t="s">
        <v>6</v>
      </c>
      <c r="AB182" s="2" t="str">
        <f t="shared" si="208"/>
        <v>-</v>
      </c>
      <c r="AC182" s="2" t="s">
        <v>26</v>
      </c>
      <c r="AD182" s="2" t="str">
        <f t="shared" si="209"/>
        <v>_</v>
      </c>
      <c r="AE182" s="28" t="s">
        <v>13</v>
      </c>
      <c r="AF182" s="2" t="str">
        <f t="shared" si="190"/>
        <v>_</v>
      </c>
      <c r="AG182" s="28" t="s">
        <v>23</v>
      </c>
      <c r="AH182" s="2" t="str">
        <f t="shared" si="210"/>
        <v/>
      </c>
    </row>
    <row r="183" spans="1:35" x14ac:dyDescent="0.25">
      <c r="B183" s="2" t="str">
        <f t="shared" si="201"/>
        <v>@color-tertiary_line_unpaved_default</v>
      </c>
      <c r="C183" s="80" t="s">
        <v>217</v>
      </c>
      <c r="D183" s="81" t="str">
        <f>C183</f>
        <v>"#eddfca"</v>
      </c>
      <c r="F183" s="80" t="s">
        <v>217</v>
      </c>
      <c r="G183" s="81" t="str">
        <f>F183</f>
        <v>"#eddfca"</v>
      </c>
      <c r="I183" s="80" t="s">
        <v>217</v>
      </c>
      <c r="J183" s="81" t="str">
        <f>I183</f>
        <v>"#eddfca"</v>
      </c>
      <c r="L183" s="80" t="s">
        <v>217</v>
      </c>
      <c r="M183" s="81" t="str">
        <f>L183</f>
        <v>"#eddfca"</v>
      </c>
      <c r="U183" s="46" t="s">
        <v>218</v>
      </c>
      <c r="V183" s="38" t="str">
        <f>U183</f>
        <v>"#ffffff"</v>
      </c>
      <c r="X183" s="46" t="s">
        <v>218</v>
      </c>
      <c r="Y183" s="38" t="str">
        <f>X183</f>
        <v>"#ffffff"</v>
      </c>
      <c r="AA183" s="2" t="s">
        <v>6</v>
      </c>
      <c r="AB183" s="2" t="str">
        <f t="shared" si="208"/>
        <v>-</v>
      </c>
      <c r="AC183" s="2" t="s">
        <v>26</v>
      </c>
      <c r="AD183" s="2" t="str">
        <f t="shared" si="209"/>
        <v>_</v>
      </c>
      <c r="AE183" s="2" t="s">
        <v>13</v>
      </c>
      <c r="AF183" s="2" t="str">
        <f t="shared" si="190"/>
        <v>_</v>
      </c>
      <c r="AG183" s="2" t="s">
        <v>21</v>
      </c>
      <c r="AH183" s="2" t="str">
        <f t="shared" si="210"/>
        <v>_</v>
      </c>
      <c r="AI183" s="28" t="s">
        <v>255</v>
      </c>
    </row>
    <row r="184" spans="1:35" x14ac:dyDescent="0.25">
      <c r="B184" s="2" t="str">
        <f t="shared" si="201"/>
        <v>@color-tertiary_line_paved_or_uk_default</v>
      </c>
      <c r="C184" s="46" t="s">
        <v>218</v>
      </c>
      <c r="D184" s="38" t="str">
        <f>C184</f>
        <v>"#ffffff"</v>
      </c>
      <c r="F184" s="46" t="s">
        <v>218</v>
      </c>
      <c r="G184" s="38" t="str">
        <f>F184</f>
        <v>"#ffffff"</v>
      </c>
      <c r="I184" s="46" t="s">
        <v>218</v>
      </c>
      <c r="J184" s="38" t="str">
        <f>I184</f>
        <v>"#ffffff"</v>
      </c>
      <c r="L184" s="46" t="s">
        <v>218</v>
      </c>
      <c r="M184" s="38" t="str">
        <f>L184</f>
        <v>"#ffffff"</v>
      </c>
      <c r="U184" s="46" t="s">
        <v>218</v>
      </c>
      <c r="V184" s="38" t="str">
        <f>U184</f>
        <v>"#ffffff"</v>
      </c>
      <c r="X184" s="46" t="s">
        <v>218</v>
      </c>
      <c r="Y184" s="38" t="str">
        <f>X184</f>
        <v>"#ffffff"</v>
      </c>
      <c r="AA184" s="2" t="s">
        <v>6</v>
      </c>
      <c r="AB184" s="2" t="str">
        <f t="shared" si="208"/>
        <v>-</v>
      </c>
      <c r="AC184" s="2" t="s">
        <v>26</v>
      </c>
      <c r="AD184" s="2" t="str">
        <f t="shared" si="209"/>
        <v>_</v>
      </c>
      <c r="AE184" s="2" t="s">
        <v>13</v>
      </c>
      <c r="AF184" s="2" t="str">
        <f t="shared" si="190"/>
        <v>_</v>
      </c>
      <c r="AG184" s="28" t="s">
        <v>24</v>
      </c>
      <c r="AH184" s="28" t="str">
        <f t="shared" si="210"/>
        <v>_</v>
      </c>
      <c r="AI184" s="28" t="s">
        <v>255</v>
      </c>
    </row>
    <row r="185" spans="1:35" x14ac:dyDescent="0.25">
      <c r="B185" s="2"/>
      <c r="C185" s="26"/>
      <c r="F185" s="26"/>
      <c r="L185" s="26"/>
      <c r="AA185" s="2"/>
      <c r="AB185" s="2"/>
      <c r="AC185" s="2"/>
      <c r="AD185" s="2"/>
      <c r="AE185" s="2"/>
      <c r="AF185" s="2"/>
      <c r="AG185" s="2"/>
      <c r="AH185" s="2"/>
      <c r="AI185" s="2"/>
    </row>
    <row r="186" spans="1:35" x14ac:dyDescent="0.25">
      <c r="B186" s="2" t="str">
        <f t="shared" ref="B186:B189" si="214">_xlfn.CONCAT("@",AA186,AB186,AC186,AD186,AE186,AF186,AG186,AH186,AI186)</f>
        <v>@dasharray-tertiary_case_medium_dash</v>
      </c>
      <c r="C186" s="28" t="s">
        <v>327</v>
      </c>
      <c r="D186" s="28" t="s">
        <v>327</v>
      </c>
      <c r="F186" s="28" t="s">
        <v>327</v>
      </c>
      <c r="G186" s="28" t="s">
        <v>327</v>
      </c>
      <c r="I186" s="28" t="s">
        <v>127</v>
      </c>
      <c r="J186" s="28" t="s">
        <v>127</v>
      </c>
      <c r="L186" s="28" t="s">
        <v>127</v>
      </c>
      <c r="M186" s="28" t="s">
        <v>127</v>
      </c>
      <c r="U186" s="28" t="s">
        <v>327</v>
      </c>
      <c r="V186" s="28" t="s">
        <v>327</v>
      </c>
      <c r="X186" s="28" t="s">
        <v>327</v>
      </c>
      <c r="Y186" s="28" t="s">
        <v>327</v>
      </c>
      <c r="AA186" s="2" t="s">
        <v>371</v>
      </c>
      <c r="AB186" s="2" t="str">
        <f t="shared" ref="AB186:AB189" si="215">IF(NOT(ISBLANK(AC186)),"-","")</f>
        <v>-</v>
      </c>
      <c r="AC186" s="2" t="s">
        <v>26</v>
      </c>
      <c r="AD186" s="2" t="str">
        <f t="shared" ref="AD186:AD189" si="216">IF(NOT(ISBLANK(AE186)),"_","")</f>
        <v>_</v>
      </c>
      <c r="AE186" s="2" t="s">
        <v>17</v>
      </c>
      <c r="AF186" s="2" t="str">
        <f t="shared" ref="AF186:AF189" si="217">IF(NOT(ISBLANK(AG186)),"_","")</f>
        <v>_</v>
      </c>
      <c r="AG186" s="2" t="s">
        <v>75</v>
      </c>
      <c r="AH186" s="2" t="str">
        <f t="shared" ref="AH186:AH189" si="218">IF(NOT(ISBLANK(AI186)),"_","")</f>
        <v>_</v>
      </c>
      <c r="AI186" s="2" t="s">
        <v>373</v>
      </c>
    </row>
    <row r="187" spans="1:35" x14ac:dyDescent="0.25">
      <c r="B187" s="2" t="str">
        <f t="shared" si="214"/>
        <v>@dasharray-tertiary_case_medium_gap</v>
      </c>
      <c r="C187" s="28" t="s">
        <v>375</v>
      </c>
      <c r="D187" s="28" t="s">
        <v>375</v>
      </c>
      <c r="F187" s="28" t="s">
        <v>375</v>
      </c>
      <c r="G187" s="28" t="s">
        <v>375</v>
      </c>
      <c r="I187" s="28" t="s">
        <v>94</v>
      </c>
      <c r="J187" s="28" t="s">
        <v>94</v>
      </c>
      <c r="L187" s="28" t="s">
        <v>94</v>
      </c>
      <c r="M187" s="28" t="s">
        <v>94</v>
      </c>
      <c r="U187" s="28" t="s">
        <v>375</v>
      </c>
      <c r="V187" s="28" t="s">
        <v>375</v>
      </c>
      <c r="X187" s="28" t="s">
        <v>375</v>
      </c>
      <c r="Y187" s="28" t="s">
        <v>375</v>
      </c>
      <c r="AA187" s="2" t="s">
        <v>371</v>
      </c>
      <c r="AB187" s="2" t="str">
        <f t="shared" si="215"/>
        <v>-</v>
      </c>
      <c r="AC187" s="2" t="s">
        <v>26</v>
      </c>
      <c r="AD187" s="2" t="str">
        <f t="shared" si="216"/>
        <v>_</v>
      </c>
      <c r="AE187" s="2" t="s">
        <v>17</v>
      </c>
      <c r="AF187" s="2" t="str">
        <f t="shared" si="217"/>
        <v>_</v>
      </c>
      <c r="AG187" s="2" t="s">
        <v>75</v>
      </c>
      <c r="AH187" s="2" t="str">
        <f t="shared" si="218"/>
        <v>_</v>
      </c>
      <c r="AI187" s="2" t="s">
        <v>374</v>
      </c>
    </row>
    <row r="188" spans="1:35" x14ac:dyDescent="0.25">
      <c r="B188" s="2" t="str">
        <f t="shared" si="214"/>
        <v>@dasharray-tertiary_case_rough_dash</v>
      </c>
      <c r="C188" s="28" t="s">
        <v>327</v>
      </c>
      <c r="D188" s="28" t="s">
        <v>327</v>
      </c>
      <c r="F188" s="28" t="s">
        <v>327</v>
      </c>
      <c r="G188" s="28" t="s">
        <v>327</v>
      </c>
      <c r="I188" s="28" t="s">
        <v>92</v>
      </c>
      <c r="J188" s="28" t="s">
        <v>92</v>
      </c>
      <c r="L188" s="28" t="s">
        <v>92</v>
      </c>
      <c r="M188" s="28" t="s">
        <v>92</v>
      </c>
      <c r="U188" s="28" t="s">
        <v>327</v>
      </c>
      <c r="V188" s="28" t="s">
        <v>327</v>
      </c>
      <c r="X188" s="28" t="s">
        <v>327</v>
      </c>
      <c r="Y188" s="28" t="s">
        <v>327</v>
      </c>
      <c r="AA188" s="2" t="s">
        <v>371</v>
      </c>
      <c r="AB188" s="2" t="str">
        <f t="shared" si="215"/>
        <v>-</v>
      </c>
      <c r="AC188" s="2" t="s">
        <v>26</v>
      </c>
      <c r="AD188" s="2" t="str">
        <f t="shared" si="216"/>
        <v>_</v>
      </c>
      <c r="AE188" s="2" t="s">
        <v>17</v>
      </c>
      <c r="AF188" s="2" t="str">
        <f t="shared" si="217"/>
        <v>_</v>
      </c>
      <c r="AG188" s="2" t="s">
        <v>372</v>
      </c>
      <c r="AH188" s="2" t="str">
        <f t="shared" si="218"/>
        <v>_</v>
      </c>
      <c r="AI188" s="2" t="s">
        <v>373</v>
      </c>
    </row>
    <row r="189" spans="1:35" x14ac:dyDescent="0.25">
      <c r="B189" s="2" t="str">
        <f t="shared" si="214"/>
        <v>@dasharray-tertiary_case_rough_gap</v>
      </c>
      <c r="C189" s="28" t="s">
        <v>375</v>
      </c>
      <c r="D189" s="28" t="s">
        <v>375</v>
      </c>
      <c r="F189" s="28" t="s">
        <v>375</v>
      </c>
      <c r="G189" s="28" t="s">
        <v>375</v>
      </c>
      <c r="I189" s="28" t="s">
        <v>94</v>
      </c>
      <c r="J189" s="28" t="s">
        <v>94</v>
      </c>
      <c r="L189" s="28" t="s">
        <v>94</v>
      </c>
      <c r="M189" s="28" t="s">
        <v>94</v>
      </c>
      <c r="U189" s="28" t="s">
        <v>375</v>
      </c>
      <c r="V189" s="28" t="s">
        <v>375</v>
      </c>
      <c r="X189" s="28" t="s">
        <v>375</v>
      </c>
      <c r="Y189" s="28" t="s">
        <v>375</v>
      </c>
      <c r="AA189" s="2" t="s">
        <v>371</v>
      </c>
      <c r="AB189" s="2" t="str">
        <f t="shared" si="215"/>
        <v>-</v>
      </c>
      <c r="AC189" s="2" t="s">
        <v>26</v>
      </c>
      <c r="AD189" s="2" t="str">
        <f t="shared" si="216"/>
        <v>_</v>
      </c>
      <c r="AE189" s="2" t="s">
        <v>17</v>
      </c>
      <c r="AF189" s="2" t="str">
        <f t="shared" si="217"/>
        <v>_</v>
      </c>
      <c r="AG189" s="2" t="s">
        <v>372</v>
      </c>
      <c r="AH189" s="2" t="str">
        <f t="shared" si="218"/>
        <v>_</v>
      </c>
      <c r="AI189" s="2" t="s">
        <v>374</v>
      </c>
    </row>
    <row r="190" spans="1:35" x14ac:dyDescent="0.25">
      <c r="B190" s="2"/>
      <c r="AB190" s="28" t="str">
        <f t="shared" si="182"/>
        <v/>
      </c>
      <c r="AD190" s="28" t="str">
        <f t="shared" si="189"/>
        <v/>
      </c>
      <c r="AF190" s="28" t="str">
        <f t="shared" si="190"/>
        <v/>
      </c>
      <c r="AH190" s="28" t="str">
        <f t="shared" si="200"/>
        <v/>
      </c>
    </row>
    <row r="191" spans="1:35" s="2" customFormat="1" x14ac:dyDescent="0.25">
      <c r="A191" s="185"/>
      <c r="B191" s="3" t="s">
        <v>31</v>
      </c>
      <c r="C191" s="27"/>
      <c r="D191" s="6"/>
      <c r="E191" s="7"/>
      <c r="F191" s="6"/>
      <c r="G191" s="6"/>
      <c r="H191" s="7"/>
      <c r="I191" s="6"/>
      <c r="J191" s="6"/>
      <c r="K191" s="7"/>
      <c r="L191" s="6"/>
      <c r="M191" s="6"/>
      <c r="N191" s="7"/>
      <c r="O191" s="6"/>
      <c r="P191" s="6"/>
      <c r="Q191" s="7"/>
      <c r="R191" s="6"/>
      <c r="S191" s="6"/>
      <c r="T191" s="7"/>
      <c r="U191" s="6"/>
      <c r="V191" s="6"/>
      <c r="W191" s="7"/>
      <c r="X191" s="6"/>
      <c r="Y191" s="6"/>
      <c r="AA191" s="4"/>
      <c r="AB191" s="4" t="str">
        <f t="shared" si="182"/>
        <v/>
      </c>
      <c r="AC191" s="4"/>
      <c r="AD191" s="4" t="str">
        <f t="shared" si="189"/>
        <v/>
      </c>
      <c r="AE191" s="4"/>
      <c r="AF191" s="4" t="str">
        <f t="shared" si="190"/>
        <v/>
      </c>
      <c r="AG191" s="4"/>
      <c r="AH191" s="4" t="str">
        <f t="shared" si="200"/>
        <v/>
      </c>
      <c r="AI191" s="4"/>
    </row>
    <row r="192" spans="1:35" x14ac:dyDescent="0.25">
      <c r="AB192" s="28" t="str">
        <f t="shared" si="182"/>
        <v/>
      </c>
      <c r="AD192" s="28" t="str">
        <f t="shared" si="189"/>
        <v/>
      </c>
      <c r="AF192" s="2" t="str">
        <f t="shared" si="190"/>
        <v/>
      </c>
      <c r="AH192" s="2" t="str">
        <f t="shared" si="200"/>
        <v/>
      </c>
    </row>
    <row r="193" spans="2:35" x14ac:dyDescent="0.25">
      <c r="B193" s="2" t="str">
        <f t="shared" ref="B193:B194" si="219">_xlfn.CONCAT("@",AA193,AB193,AC193,AD193,AE193,AF193,AG193,AH193,AI193)</f>
        <v>@color-parking_aisle_line_unpaved</v>
      </c>
      <c r="C193" s="85" t="s">
        <v>226</v>
      </c>
      <c r="D193" s="76" t="s">
        <v>223</v>
      </c>
      <c r="F193" s="85" t="s">
        <v>226</v>
      </c>
      <c r="G193" s="75" t="s">
        <v>221</v>
      </c>
      <c r="I193" s="85" t="s">
        <v>226</v>
      </c>
      <c r="J193" s="76" t="s">
        <v>223</v>
      </c>
      <c r="L193" s="85" t="s">
        <v>226</v>
      </c>
      <c r="M193" s="75" t="s">
        <v>221</v>
      </c>
      <c r="U193" s="88" t="s">
        <v>227</v>
      </c>
      <c r="V193" s="89" t="s">
        <v>228</v>
      </c>
      <c r="X193" s="88" t="s">
        <v>227</v>
      </c>
      <c r="Y193" s="88" t="s">
        <v>227</v>
      </c>
      <c r="AA193" s="2" t="s">
        <v>6</v>
      </c>
      <c r="AB193" s="2" t="str">
        <f t="shared" ref="AB193:AB194" si="220">IF(NOT(ISBLANK(AC193)),"-","")</f>
        <v>-</v>
      </c>
      <c r="AC193" s="2" t="s">
        <v>377</v>
      </c>
      <c r="AD193" s="2" t="str">
        <f t="shared" ref="AD193:AD194" si="221">IF(NOT(ISBLANK(AE193)),"_","")</f>
        <v>_</v>
      </c>
      <c r="AE193" s="2" t="s">
        <v>13</v>
      </c>
      <c r="AF193" s="2" t="str">
        <f t="shared" ref="AF193:AF194" si="222">IF(NOT(ISBLANK(AG193)),"_","")</f>
        <v>_</v>
      </c>
      <c r="AG193" s="2" t="s">
        <v>21</v>
      </c>
      <c r="AH193" s="2" t="str">
        <f t="shared" ref="AH193:AH194" si="223">IF(NOT(ISBLANK(AI193)),"_","")</f>
        <v/>
      </c>
      <c r="AI193" s="2"/>
    </row>
    <row r="194" spans="2:35" x14ac:dyDescent="0.25">
      <c r="B194" s="2" t="str">
        <f t="shared" si="219"/>
        <v>@color-parking_aisle_line_paved_or_uk</v>
      </c>
      <c r="C194" s="88" t="s">
        <v>227</v>
      </c>
      <c r="D194" s="89" t="s">
        <v>228</v>
      </c>
      <c r="F194" s="88" t="s">
        <v>227</v>
      </c>
      <c r="G194" s="88" t="s">
        <v>227</v>
      </c>
      <c r="I194" s="88" t="s">
        <v>227</v>
      </c>
      <c r="J194" s="89" t="s">
        <v>228</v>
      </c>
      <c r="L194" s="88" t="s">
        <v>227</v>
      </c>
      <c r="M194" s="88" t="s">
        <v>227</v>
      </c>
      <c r="U194" s="88" t="s">
        <v>227</v>
      </c>
      <c r="V194" s="89" t="s">
        <v>228</v>
      </c>
      <c r="X194" s="88" t="s">
        <v>227</v>
      </c>
      <c r="Y194" s="88" t="s">
        <v>227</v>
      </c>
      <c r="AA194" s="2" t="s">
        <v>6</v>
      </c>
      <c r="AB194" s="2" t="str">
        <f t="shared" si="220"/>
        <v>-</v>
      </c>
      <c r="AC194" s="2" t="s">
        <v>377</v>
      </c>
      <c r="AD194" s="2" t="str">
        <f t="shared" si="221"/>
        <v>_</v>
      </c>
      <c r="AE194" s="2" t="s">
        <v>13</v>
      </c>
      <c r="AF194" s="2" t="str">
        <f t="shared" si="222"/>
        <v>_</v>
      </c>
      <c r="AG194" s="2" t="s">
        <v>24</v>
      </c>
      <c r="AH194" s="2" t="str">
        <f t="shared" si="223"/>
        <v/>
      </c>
      <c r="AI194" s="2"/>
    </row>
    <row r="195" spans="2:35" x14ac:dyDescent="0.25">
      <c r="B195" s="2"/>
      <c r="C195" s="26"/>
      <c r="D195" s="38"/>
      <c r="F195" s="46"/>
      <c r="G195" s="38"/>
      <c r="I195" s="38"/>
      <c r="J195" s="38"/>
      <c r="L195" s="46"/>
      <c r="M195" s="38"/>
      <c r="U195" s="26"/>
      <c r="V195" s="38"/>
      <c r="X195" s="46"/>
      <c r="Y195" s="38"/>
      <c r="AA195" s="2"/>
      <c r="AB195" s="2"/>
      <c r="AC195" s="2"/>
      <c r="AD195" s="2"/>
      <c r="AE195" s="2"/>
      <c r="AF195" s="2"/>
      <c r="AG195" s="2"/>
      <c r="AH195" s="2"/>
      <c r="AI195" s="2"/>
    </row>
    <row r="196" spans="2:35" x14ac:dyDescent="0.25">
      <c r="B196" s="2" t="str">
        <f t="shared" ref="B196:B201" si="224">_xlfn.CONCAT("@",AA196,AB196,AC196,AD196,AE196,AF196,AG196,AH196,AI196)</f>
        <v>@color-raceway_case_unpaved_farzoom</v>
      </c>
      <c r="C196" s="75" t="s">
        <v>221</v>
      </c>
      <c r="D196" s="76" t="s">
        <v>223</v>
      </c>
      <c r="F196" s="76" t="s">
        <v>223</v>
      </c>
      <c r="G196" s="75" t="s">
        <v>221</v>
      </c>
      <c r="I196" s="92" t="str">
        <f t="shared" ref="I196" si="225">C196</f>
        <v>"#b99346"</v>
      </c>
      <c r="J196" s="87" t="str">
        <f t="shared" ref="J196" si="226">D196</f>
        <v>"#644507"</v>
      </c>
      <c r="L196" s="76" t="s">
        <v>223</v>
      </c>
      <c r="M196" s="75" t="s">
        <v>221</v>
      </c>
      <c r="U196" s="78" t="s">
        <v>222</v>
      </c>
      <c r="V196" s="47" t="s">
        <v>210</v>
      </c>
      <c r="X196" s="78" t="s">
        <v>222</v>
      </c>
      <c r="Y196" s="78" t="s">
        <v>222</v>
      </c>
      <c r="AA196" s="2" t="s">
        <v>6</v>
      </c>
      <c r="AB196" s="2" t="str">
        <f t="shared" ref="AB196" si="227">IF(NOT(ISBLANK(AC196)),"-","")</f>
        <v>-</v>
      </c>
      <c r="AC196" s="2" t="s">
        <v>28</v>
      </c>
      <c r="AD196" s="2" t="str">
        <f t="shared" ref="AD196" si="228">IF(NOT(ISBLANK(AE196)),"_","")</f>
        <v>_</v>
      </c>
      <c r="AE196" s="2" t="s">
        <v>17</v>
      </c>
      <c r="AF196" s="2" t="str">
        <f t="shared" ref="AF196" si="229">IF(NOT(ISBLANK(AG196)),"_","")</f>
        <v>_</v>
      </c>
      <c r="AG196" s="2" t="s">
        <v>21</v>
      </c>
      <c r="AH196" s="2" t="str">
        <f t="shared" ref="AH196" si="230">IF(NOT(ISBLANK(AI196)),"_","")</f>
        <v>_</v>
      </c>
      <c r="AI196" s="28" t="s">
        <v>20</v>
      </c>
    </row>
    <row r="197" spans="2:35" x14ac:dyDescent="0.25">
      <c r="B197" s="2" t="str">
        <f t="shared" si="224"/>
        <v>@color-raceway_case_unpaved_default</v>
      </c>
      <c r="C197" s="85" t="s">
        <v>226</v>
      </c>
      <c r="D197" s="76" t="s">
        <v>223</v>
      </c>
      <c r="F197" s="47" t="s">
        <v>210</v>
      </c>
      <c r="G197" s="47" t="s">
        <v>210</v>
      </c>
      <c r="I197" s="86" t="str">
        <f>C197</f>
        <v>"#af9564"</v>
      </c>
      <c r="J197" s="87" t="str">
        <f>D197</f>
        <v>"#644507"</v>
      </c>
      <c r="L197" s="47" t="s">
        <v>210</v>
      </c>
      <c r="M197" s="47" t="s">
        <v>210</v>
      </c>
      <c r="U197" s="88" t="s">
        <v>227</v>
      </c>
      <c r="V197" s="89" t="s">
        <v>228</v>
      </c>
      <c r="X197" s="47" t="s">
        <v>210</v>
      </c>
      <c r="Y197" s="47" t="s">
        <v>210</v>
      </c>
      <c r="AA197" s="2" t="s">
        <v>6</v>
      </c>
      <c r="AB197" s="2" t="str">
        <f t="shared" ref="AB197:AB199" si="231">IF(NOT(ISBLANK(AC197)),"-","")</f>
        <v>-</v>
      </c>
      <c r="AC197" s="2" t="s">
        <v>28</v>
      </c>
      <c r="AD197" s="2" t="str">
        <f t="shared" ref="AD197:AD199" si="232">IF(NOT(ISBLANK(AE197)),"_","")</f>
        <v>_</v>
      </c>
      <c r="AE197" s="2" t="s">
        <v>17</v>
      </c>
      <c r="AF197" s="2" t="str">
        <f t="shared" ref="AF197:AF199" si="233">IF(NOT(ISBLANK(AG197)),"_","")</f>
        <v>_</v>
      </c>
      <c r="AG197" s="2" t="s">
        <v>21</v>
      </c>
      <c r="AH197" s="2" t="str">
        <f t="shared" si="200"/>
        <v>_</v>
      </c>
      <c r="AI197" s="2" t="s">
        <v>255</v>
      </c>
    </row>
    <row r="198" spans="2:35" x14ac:dyDescent="0.25">
      <c r="B198" s="2" t="str">
        <f t="shared" si="224"/>
        <v>@color-raceway_case_paved_or_uk_farzoom</v>
      </c>
      <c r="C198" s="78" t="s">
        <v>222</v>
      </c>
      <c r="D198" s="47" t="s">
        <v>210</v>
      </c>
      <c r="F198" s="78" t="s">
        <v>222</v>
      </c>
      <c r="G198" s="78" t="s">
        <v>222</v>
      </c>
      <c r="I198" s="93" t="str">
        <f t="shared" ref="I198" si="234">C198</f>
        <v>"#808080"</v>
      </c>
      <c r="J198" s="37" t="str">
        <f t="shared" ref="J198" si="235">D198</f>
        <v>"#000000"</v>
      </c>
      <c r="L198" s="78" t="s">
        <v>222</v>
      </c>
      <c r="M198" s="78" t="s">
        <v>222</v>
      </c>
      <c r="U198" s="78" t="s">
        <v>222</v>
      </c>
      <c r="V198" s="47" t="s">
        <v>210</v>
      </c>
      <c r="X198" s="78" t="s">
        <v>222</v>
      </c>
      <c r="Y198" s="78" t="s">
        <v>222</v>
      </c>
      <c r="AA198" s="2" t="s">
        <v>6</v>
      </c>
      <c r="AB198" s="2" t="str">
        <f t="shared" si="231"/>
        <v>-</v>
      </c>
      <c r="AC198" s="2" t="s">
        <v>28</v>
      </c>
      <c r="AD198" s="2" t="str">
        <f t="shared" si="232"/>
        <v>_</v>
      </c>
      <c r="AE198" s="2" t="s">
        <v>17</v>
      </c>
      <c r="AF198" s="2" t="str">
        <f t="shared" si="233"/>
        <v>_</v>
      </c>
      <c r="AG198" s="2" t="s">
        <v>24</v>
      </c>
      <c r="AH198" s="2" t="str">
        <f t="shared" ref="AH198" si="236">IF(NOT(ISBLANK(AI198)),"_","")</f>
        <v>_</v>
      </c>
      <c r="AI198" s="28" t="s">
        <v>20</v>
      </c>
    </row>
    <row r="199" spans="2:35" x14ac:dyDescent="0.25">
      <c r="B199" s="2" t="str">
        <f t="shared" si="224"/>
        <v>@color-raceway_case_paved_or_uk_default</v>
      </c>
      <c r="C199" s="88" t="s">
        <v>227</v>
      </c>
      <c r="D199" s="89" t="s">
        <v>228</v>
      </c>
      <c r="F199" s="47" t="s">
        <v>210</v>
      </c>
      <c r="G199" s="47" t="s">
        <v>210</v>
      </c>
      <c r="I199" s="90" t="str">
        <f>C199</f>
        <v>"#a8a6a4"</v>
      </c>
      <c r="J199" s="91" t="str">
        <f>D199</f>
        <v>"#4a4a4a"</v>
      </c>
      <c r="L199" s="47" t="s">
        <v>210</v>
      </c>
      <c r="M199" s="47" t="s">
        <v>210</v>
      </c>
      <c r="U199" s="88" t="s">
        <v>227</v>
      </c>
      <c r="V199" s="89" t="s">
        <v>228</v>
      </c>
      <c r="X199" s="47" t="s">
        <v>210</v>
      </c>
      <c r="Y199" s="47" t="s">
        <v>210</v>
      </c>
      <c r="AA199" s="2" t="s">
        <v>6</v>
      </c>
      <c r="AB199" s="2" t="str">
        <f t="shared" si="231"/>
        <v>-</v>
      </c>
      <c r="AC199" s="2" t="s">
        <v>28</v>
      </c>
      <c r="AD199" s="2" t="str">
        <f t="shared" si="232"/>
        <v>_</v>
      </c>
      <c r="AE199" s="2" t="s">
        <v>17</v>
      </c>
      <c r="AF199" s="2" t="str">
        <f t="shared" si="233"/>
        <v>_</v>
      </c>
      <c r="AG199" s="2" t="s">
        <v>24</v>
      </c>
      <c r="AH199" s="2" t="str">
        <f t="shared" si="200"/>
        <v>_</v>
      </c>
      <c r="AI199" s="2" t="s">
        <v>255</v>
      </c>
    </row>
    <row r="200" spans="2:35" x14ac:dyDescent="0.25">
      <c r="B200" s="2" t="str">
        <f t="shared" si="224"/>
        <v>@color-raceway_line_unpaved</v>
      </c>
      <c r="C200" s="80" t="s">
        <v>217</v>
      </c>
      <c r="D200" s="81" t="str">
        <f>C200</f>
        <v>"#eddfca"</v>
      </c>
      <c r="F200" s="80" t="s">
        <v>217</v>
      </c>
      <c r="G200" s="38" t="str">
        <f t="shared" ref="G200:G201" si="237">F200</f>
        <v>"#eddfca"</v>
      </c>
      <c r="I200" s="81" t="str">
        <f>C200</f>
        <v>"#eddfca"</v>
      </c>
      <c r="J200" s="81" t="str">
        <f>C200</f>
        <v>"#eddfca"</v>
      </c>
      <c r="L200" s="80" t="s">
        <v>217</v>
      </c>
      <c r="M200" s="38" t="str">
        <f t="shared" ref="M200:M201" si="238">L200</f>
        <v>"#eddfca"</v>
      </c>
      <c r="U200" s="26" t="s">
        <v>218</v>
      </c>
      <c r="V200" s="38" t="str">
        <f>U200</f>
        <v>"#ffffff"</v>
      </c>
      <c r="X200" s="46" t="s">
        <v>218</v>
      </c>
      <c r="Y200" s="38" t="str">
        <f t="shared" ref="Y200" si="239">X200</f>
        <v>"#ffffff"</v>
      </c>
      <c r="AA200" s="2" t="s">
        <v>6</v>
      </c>
      <c r="AB200" s="2" t="str">
        <f t="shared" si="182"/>
        <v>-</v>
      </c>
      <c r="AC200" s="2" t="s">
        <v>28</v>
      </c>
      <c r="AD200" s="2" t="str">
        <f t="shared" si="189"/>
        <v>_</v>
      </c>
      <c r="AE200" s="2" t="s">
        <v>13</v>
      </c>
      <c r="AF200" s="2" t="str">
        <f t="shared" si="190"/>
        <v>_</v>
      </c>
      <c r="AG200" s="2" t="s">
        <v>21</v>
      </c>
      <c r="AH200" s="2" t="str">
        <f t="shared" si="200"/>
        <v/>
      </c>
      <c r="AI200" s="2"/>
    </row>
    <row r="201" spans="2:35" x14ac:dyDescent="0.25">
      <c r="B201" s="2" t="str">
        <f t="shared" si="224"/>
        <v>@color-raceway_line_paved_or_uk</v>
      </c>
      <c r="C201" s="26" t="s">
        <v>218</v>
      </c>
      <c r="D201" s="38" t="str">
        <f>C201</f>
        <v>"#ffffff"</v>
      </c>
      <c r="F201" s="46" t="s">
        <v>218</v>
      </c>
      <c r="G201" s="38" t="str">
        <f t="shared" si="237"/>
        <v>"#ffffff"</v>
      </c>
      <c r="I201" s="38" t="str">
        <f>C201</f>
        <v>"#ffffff"</v>
      </c>
      <c r="J201" s="38" t="str">
        <f>C201</f>
        <v>"#ffffff"</v>
      </c>
      <c r="L201" s="46" t="s">
        <v>218</v>
      </c>
      <c r="M201" s="38" t="str">
        <f t="shared" si="238"/>
        <v>"#ffffff"</v>
      </c>
      <c r="U201" s="26" t="s">
        <v>218</v>
      </c>
      <c r="V201" s="38" t="str">
        <f>U201</f>
        <v>"#ffffff"</v>
      </c>
      <c r="X201" s="46" t="s">
        <v>218</v>
      </c>
      <c r="Y201" s="38" t="str">
        <f t="shared" ref="Y201" si="240">X201</f>
        <v>"#ffffff"</v>
      </c>
      <c r="AA201" s="2" t="s">
        <v>6</v>
      </c>
      <c r="AB201" s="2" t="str">
        <f t="shared" si="182"/>
        <v>-</v>
      </c>
      <c r="AC201" s="2" t="s">
        <v>28</v>
      </c>
      <c r="AD201" s="2" t="str">
        <f t="shared" si="189"/>
        <v>_</v>
      </c>
      <c r="AE201" s="2" t="s">
        <v>13</v>
      </c>
      <c r="AF201" s="2" t="str">
        <f t="shared" si="190"/>
        <v>_</v>
      </c>
      <c r="AG201" s="2" t="s">
        <v>24</v>
      </c>
      <c r="AH201" s="2" t="str">
        <f t="shared" si="200"/>
        <v/>
      </c>
      <c r="AI201" s="2"/>
    </row>
    <row r="202" spans="2:35" x14ac:dyDescent="0.25">
      <c r="B202" s="2"/>
      <c r="C202" s="26"/>
      <c r="F202" s="26"/>
      <c r="L202" s="26"/>
      <c r="U202" s="26"/>
      <c r="X202" s="26"/>
      <c r="AA202" s="2"/>
      <c r="AB202" s="2"/>
      <c r="AC202" s="2"/>
      <c r="AD202" s="2"/>
      <c r="AE202" s="2"/>
      <c r="AF202" s="2"/>
      <c r="AG202" s="2"/>
      <c r="AH202" s="2"/>
      <c r="AI202" s="2"/>
    </row>
    <row r="203" spans="2:35" x14ac:dyDescent="0.25">
      <c r="B203" s="2" t="str">
        <f t="shared" ref="B203:B206" si="241">_xlfn.CONCAT("@",AA203,AB203,AC203,AD203,AE203,AF203,AG203,AH203,AI203)</f>
        <v>@dasharray-raceway_case_medium_dash</v>
      </c>
      <c r="C203" s="28" t="s">
        <v>327</v>
      </c>
      <c r="D203" s="28" t="s">
        <v>327</v>
      </c>
      <c r="F203" s="28" t="s">
        <v>327</v>
      </c>
      <c r="G203" s="28" t="s">
        <v>327</v>
      </c>
      <c r="I203" s="28" t="s">
        <v>127</v>
      </c>
      <c r="J203" s="28" t="s">
        <v>127</v>
      </c>
      <c r="L203" s="28" t="s">
        <v>127</v>
      </c>
      <c r="M203" s="28" t="s">
        <v>127</v>
      </c>
      <c r="U203" s="28" t="s">
        <v>327</v>
      </c>
      <c r="V203" s="28" t="s">
        <v>327</v>
      </c>
      <c r="X203" s="28" t="s">
        <v>327</v>
      </c>
      <c r="Y203" s="28" t="s">
        <v>327</v>
      </c>
      <c r="AA203" s="2" t="s">
        <v>371</v>
      </c>
      <c r="AB203" s="2" t="str">
        <f t="shared" ref="AB203:AB206" si="242">IF(NOT(ISBLANK(AC203)),"-","")</f>
        <v>-</v>
      </c>
      <c r="AC203" s="2" t="s">
        <v>28</v>
      </c>
      <c r="AD203" s="2" t="str">
        <f t="shared" ref="AD203:AD206" si="243">IF(NOT(ISBLANK(AE203)),"_","")</f>
        <v>_</v>
      </c>
      <c r="AE203" s="2" t="s">
        <v>17</v>
      </c>
      <c r="AF203" s="2" t="str">
        <f t="shared" ref="AF203:AF206" si="244">IF(NOT(ISBLANK(AG203)),"_","")</f>
        <v>_</v>
      </c>
      <c r="AG203" s="2" t="s">
        <v>75</v>
      </c>
      <c r="AH203" s="2" t="str">
        <f t="shared" ref="AH203:AH206" si="245">IF(NOT(ISBLANK(AI203)),"_","")</f>
        <v>_</v>
      </c>
      <c r="AI203" s="2" t="s">
        <v>373</v>
      </c>
    </row>
    <row r="204" spans="2:35" x14ac:dyDescent="0.25">
      <c r="B204" s="2" t="str">
        <f t="shared" si="241"/>
        <v>@dasharray-raceway_case_medium_gap</v>
      </c>
      <c r="C204" s="28" t="s">
        <v>375</v>
      </c>
      <c r="D204" s="28" t="s">
        <v>375</v>
      </c>
      <c r="F204" s="28" t="s">
        <v>375</v>
      </c>
      <c r="G204" s="28" t="s">
        <v>375</v>
      </c>
      <c r="I204" s="28" t="s">
        <v>94</v>
      </c>
      <c r="J204" s="28" t="s">
        <v>94</v>
      </c>
      <c r="L204" s="28" t="s">
        <v>94</v>
      </c>
      <c r="M204" s="28" t="s">
        <v>94</v>
      </c>
      <c r="U204" s="28" t="s">
        <v>375</v>
      </c>
      <c r="V204" s="28" t="s">
        <v>375</v>
      </c>
      <c r="X204" s="28" t="s">
        <v>375</v>
      </c>
      <c r="Y204" s="28" t="s">
        <v>375</v>
      </c>
      <c r="AA204" s="2" t="s">
        <v>371</v>
      </c>
      <c r="AB204" s="2" t="str">
        <f t="shared" si="242"/>
        <v>-</v>
      </c>
      <c r="AC204" s="2" t="s">
        <v>28</v>
      </c>
      <c r="AD204" s="2" t="str">
        <f t="shared" si="243"/>
        <v>_</v>
      </c>
      <c r="AE204" s="2" t="s">
        <v>17</v>
      </c>
      <c r="AF204" s="2" t="str">
        <f t="shared" si="244"/>
        <v>_</v>
      </c>
      <c r="AG204" s="2" t="s">
        <v>75</v>
      </c>
      <c r="AH204" s="2" t="str">
        <f t="shared" si="245"/>
        <v>_</v>
      </c>
      <c r="AI204" s="2" t="s">
        <v>374</v>
      </c>
    </row>
    <row r="205" spans="2:35" x14ac:dyDescent="0.25">
      <c r="B205" s="2" t="str">
        <f t="shared" si="241"/>
        <v>@dasharray-raceway_case_rough_dash</v>
      </c>
      <c r="C205" s="28" t="s">
        <v>327</v>
      </c>
      <c r="D205" s="28" t="s">
        <v>327</v>
      </c>
      <c r="F205" s="28" t="s">
        <v>327</v>
      </c>
      <c r="G205" s="28" t="s">
        <v>327</v>
      </c>
      <c r="I205" s="28" t="s">
        <v>92</v>
      </c>
      <c r="J205" s="28" t="s">
        <v>92</v>
      </c>
      <c r="L205" s="28" t="s">
        <v>92</v>
      </c>
      <c r="M205" s="28" t="s">
        <v>92</v>
      </c>
      <c r="U205" s="28" t="s">
        <v>327</v>
      </c>
      <c r="V205" s="28" t="s">
        <v>327</v>
      </c>
      <c r="X205" s="28" t="s">
        <v>327</v>
      </c>
      <c r="Y205" s="28" t="s">
        <v>327</v>
      </c>
      <c r="AA205" s="2" t="s">
        <v>371</v>
      </c>
      <c r="AB205" s="2" t="str">
        <f t="shared" si="242"/>
        <v>-</v>
      </c>
      <c r="AC205" s="2" t="s">
        <v>28</v>
      </c>
      <c r="AD205" s="2" t="str">
        <f t="shared" si="243"/>
        <v>_</v>
      </c>
      <c r="AE205" s="2" t="s">
        <v>17</v>
      </c>
      <c r="AF205" s="2" t="str">
        <f t="shared" si="244"/>
        <v>_</v>
      </c>
      <c r="AG205" s="2" t="s">
        <v>372</v>
      </c>
      <c r="AH205" s="2" t="str">
        <f t="shared" si="245"/>
        <v>_</v>
      </c>
      <c r="AI205" s="2" t="s">
        <v>373</v>
      </c>
    </row>
    <row r="206" spans="2:35" x14ac:dyDescent="0.25">
      <c r="B206" s="2" t="str">
        <f t="shared" si="241"/>
        <v>@dasharray-raceway_case_rough_gap</v>
      </c>
      <c r="C206" s="28" t="s">
        <v>375</v>
      </c>
      <c r="D206" s="28" t="s">
        <v>375</v>
      </c>
      <c r="F206" s="28" t="s">
        <v>375</v>
      </c>
      <c r="G206" s="28" t="s">
        <v>375</v>
      </c>
      <c r="I206" s="28" t="s">
        <v>94</v>
      </c>
      <c r="J206" s="28" t="s">
        <v>94</v>
      </c>
      <c r="L206" s="28" t="s">
        <v>94</v>
      </c>
      <c r="M206" s="28" t="s">
        <v>94</v>
      </c>
      <c r="U206" s="28" t="s">
        <v>375</v>
      </c>
      <c r="V206" s="28" t="s">
        <v>375</v>
      </c>
      <c r="X206" s="28" t="s">
        <v>375</v>
      </c>
      <c r="Y206" s="28" t="s">
        <v>375</v>
      </c>
      <c r="AA206" s="2" t="s">
        <v>371</v>
      </c>
      <c r="AB206" s="2" t="str">
        <f t="shared" si="242"/>
        <v>-</v>
      </c>
      <c r="AC206" s="2" t="s">
        <v>28</v>
      </c>
      <c r="AD206" s="2" t="str">
        <f t="shared" si="243"/>
        <v>_</v>
      </c>
      <c r="AE206" s="2" t="s">
        <v>17</v>
      </c>
      <c r="AF206" s="2" t="str">
        <f t="shared" si="244"/>
        <v>_</v>
      </c>
      <c r="AG206" s="2" t="s">
        <v>372</v>
      </c>
      <c r="AH206" s="2" t="str">
        <f t="shared" si="245"/>
        <v>_</v>
      </c>
      <c r="AI206" s="2" t="s">
        <v>374</v>
      </c>
    </row>
    <row r="207" spans="2:35" x14ac:dyDescent="0.25">
      <c r="B207" s="2"/>
      <c r="C207" s="26"/>
      <c r="F207" s="26"/>
      <c r="L207" s="26"/>
      <c r="U207" s="26"/>
      <c r="X207" s="26"/>
      <c r="AA207" s="2"/>
      <c r="AB207" s="2"/>
      <c r="AC207" s="2"/>
      <c r="AD207" s="2"/>
      <c r="AE207" s="2"/>
      <c r="AF207" s="2"/>
      <c r="AG207" s="2"/>
      <c r="AH207" s="2"/>
      <c r="AI207" s="2"/>
    </row>
    <row r="208" spans="2:35" x14ac:dyDescent="0.25">
      <c r="B208" s="2"/>
      <c r="AB208" s="28" t="str">
        <f t="shared" si="182"/>
        <v/>
      </c>
      <c r="AD208" s="28" t="str">
        <f t="shared" si="189"/>
        <v/>
      </c>
      <c r="AF208" s="28" t="str">
        <f t="shared" si="190"/>
        <v/>
      </c>
      <c r="AH208" s="28" t="str">
        <f t="shared" si="200"/>
        <v/>
      </c>
    </row>
    <row r="209" spans="2:35" x14ac:dyDescent="0.25">
      <c r="B209" s="2" t="str">
        <f t="shared" ref="B209:B214" si="246">_xlfn.CONCAT("@",AA209,AB209,AC209,AD209,AE209,AF209,AG209,AH209,AI209)</f>
        <v>@color-driveway_case_unpaved_farzoom</v>
      </c>
      <c r="C209" s="75" t="s">
        <v>221</v>
      </c>
      <c r="D209" s="76" t="s">
        <v>223</v>
      </c>
      <c r="F209" s="76" t="s">
        <v>223</v>
      </c>
      <c r="G209" s="75" t="s">
        <v>221</v>
      </c>
      <c r="I209" s="92" t="str">
        <f t="shared" ref="I209:J212" si="247">C209</f>
        <v>"#b99346"</v>
      </c>
      <c r="J209" s="87" t="str">
        <f t="shared" si="247"/>
        <v>"#644507"</v>
      </c>
      <c r="L209" s="76" t="s">
        <v>223</v>
      </c>
      <c r="M209" s="75" t="s">
        <v>221</v>
      </c>
      <c r="U209" s="78" t="s">
        <v>222</v>
      </c>
      <c r="V209" s="47" t="s">
        <v>210</v>
      </c>
      <c r="X209" s="78" t="s">
        <v>222</v>
      </c>
      <c r="Y209" s="78" t="s">
        <v>222</v>
      </c>
      <c r="AA209" s="2" t="s">
        <v>6</v>
      </c>
      <c r="AB209" s="2" t="str">
        <f t="shared" si="182"/>
        <v>-</v>
      </c>
      <c r="AC209" s="2" t="s">
        <v>29</v>
      </c>
      <c r="AD209" s="2" t="str">
        <f t="shared" si="189"/>
        <v>_</v>
      </c>
      <c r="AE209" s="2" t="s">
        <v>17</v>
      </c>
      <c r="AF209" s="2" t="str">
        <f t="shared" si="190"/>
        <v>_</v>
      </c>
      <c r="AG209" s="2" t="s">
        <v>21</v>
      </c>
      <c r="AH209" s="2" t="str">
        <f t="shared" si="200"/>
        <v>_</v>
      </c>
      <c r="AI209" s="28" t="s">
        <v>20</v>
      </c>
    </row>
    <row r="210" spans="2:35" x14ac:dyDescent="0.25">
      <c r="B210" s="2" t="str">
        <f t="shared" si="246"/>
        <v>@color-driveway_case_unpaved_default</v>
      </c>
      <c r="C210" s="76" t="s">
        <v>223</v>
      </c>
      <c r="D210" s="76" t="s">
        <v>223</v>
      </c>
      <c r="F210" s="47" t="s">
        <v>210</v>
      </c>
      <c r="G210" s="47" t="s">
        <v>210</v>
      </c>
      <c r="I210" s="87" t="str">
        <f t="shared" si="247"/>
        <v>"#644507"</v>
      </c>
      <c r="J210" s="87" t="str">
        <f t="shared" si="247"/>
        <v>"#644507"</v>
      </c>
      <c r="L210" s="47" t="s">
        <v>210</v>
      </c>
      <c r="M210" s="47" t="s">
        <v>210</v>
      </c>
      <c r="U210" s="79" t="s">
        <v>214</v>
      </c>
      <c r="V210" s="47" t="s">
        <v>210</v>
      </c>
      <c r="X210" s="47" t="s">
        <v>210</v>
      </c>
      <c r="Y210" s="47" t="s">
        <v>210</v>
      </c>
      <c r="AA210" s="2" t="s">
        <v>6</v>
      </c>
      <c r="AB210" s="2" t="str">
        <f t="shared" si="182"/>
        <v>-</v>
      </c>
      <c r="AC210" s="2" t="s">
        <v>29</v>
      </c>
      <c r="AD210" s="2" t="str">
        <f t="shared" si="189"/>
        <v>_</v>
      </c>
      <c r="AE210" s="2" t="s">
        <v>17</v>
      </c>
      <c r="AF210" s="2" t="str">
        <f t="shared" si="190"/>
        <v>_</v>
      </c>
      <c r="AG210" s="2" t="s">
        <v>21</v>
      </c>
      <c r="AH210" s="2" t="str">
        <f t="shared" si="200"/>
        <v>_</v>
      </c>
      <c r="AI210" s="2" t="s">
        <v>255</v>
      </c>
    </row>
    <row r="211" spans="2:35" x14ac:dyDescent="0.25">
      <c r="B211" s="2" t="str">
        <f t="shared" si="246"/>
        <v>@color-driveway_case_paved_or_uk_farzoom</v>
      </c>
      <c r="C211" s="78" t="s">
        <v>222</v>
      </c>
      <c r="D211" s="47" t="s">
        <v>210</v>
      </c>
      <c r="F211" s="78" t="s">
        <v>222</v>
      </c>
      <c r="G211" s="78" t="s">
        <v>222</v>
      </c>
      <c r="I211" s="93" t="str">
        <f t="shared" si="247"/>
        <v>"#808080"</v>
      </c>
      <c r="J211" s="37" t="str">
        <f t="shared" si="247"/>
        <v>"#000000"</v>
      </c>
      <c r="L211" s="78" t="s">
        <v>222</v>
      </c>
      <c r="M211" s="78" t="s">
        <v>222</v>
      </c>
      <c r="U211" s="78" t="s">
        <v>222</v>
      </c>
      <c r="V211" s="47" t="s">
        <v>210</v>
      </c>
      <c r="X211" s="78" t="s">
        <v>222</v>
      </c>
      <c r="Y211" s="78" t="s">
        <v>222</v>
      </c>
      <c r="AA211" s="2" t="s">
        <v>6</v>
      </c>
      <c r="AB211" s="2" t="str">
        <f t="shared" si="182"/>
        <v>-</v>
      </c>
      <c r="AC211" s="2" t="s">
        <v>29</v>
      </c>
      <c r="AD211" s="2" t="str">
        <f t="shared" si="189"/>
        <v>_</v>
      </c>
      <c r="AE211" s="2" t="s">
        <v>17</v>
      </c>
      <c r="AF211" s="2" t="str">
        <f t="shared" si="190"/>
        <v>_</v>
      </c>
      <c r="AG211" s="2" t="s">
        <v>24</v>
      </c>
      <c r="AH211" s="2" t="str">
        <f t="shared" si="200"/>
        <v>_</v>
      </c>
      <c r="AI211" s="28" t="s">
        <v>20</v>
      </c>
    </row>
    <row r="212" spans="2:35" x14ac:dyDescent="0.25">
      <c r="B212" s="2" t="str">
        <f t="shared" si="246"/>
        <v>@color-driveway_case_paved_or_uk_default</v>
      </c>
      <c r="C212" s="79" t="s">
        <v>214</v>
      </c>
      <c r="D212" s="47" t="s">
        <v>210</v>
      </c>
      <c r="F212" s="47" t="s">
        <v>210</v>
      </c>
      <c r="G212" s="47" t="s">
        <v>210</v>
      </c>
      <c r="I212" s="94" t="str">
        <f t="shared" si="247"/>
        <v>"#404040"</v>
      </c>
      <c r="J212" s="37" t="str">
        <f t="shared" si="247"/>
        <v>"#000000"</v>
      </c>
      <c r="L212" s="47" t="s">
        <v>210</v>
      </c>
      <c r="M212" s="47" t="s">
        <v>210</v>
      </c>
      <c r="Q212" s="7"/>
      <c r="U212" s="79" t="s">
        <v>214</v>
      </c>
      <c r="V212" s="47" t="s">
        <v>210</v>
      </c>
      <c r="X212" s="47" t="s">
        <v>210</v>
      </c>
      <c r="Y212" s="47" t="s">
        <v>210</v>
      </c>
      <c r="AA212" s="2" t="s">
        <v>6</v>
      </c>
      <c r="AB212" s="2" t="str">
        <f t="shared" si="182"/>
        <v>-</v>
      </c>
      <c r="AC212" s="2" t="s">
        <v>29</v>
      </c>
      <c r="AD212" s="2" t="str">
        <f t="shared" si="189"/>
        <v>_</v>
      </c>
      <c r="AE212" s="2" t="s">
        <v>17</v>
      </c>
      <c r="AF212" s="2" t="str">
        <f t="shared" si="190"/>
        <v>_</v>
      </c>
      <c r="AG212" s="2" t="s">
        <v>24</v>
      </c>
      <c r="AH212" s="2" t="str">
        <f t="shared" si="200"/>
        <v>_</v>
      </c>
      <c r="AI212" s="2" t="s">
        <v>255</v>
      </c>
    </row>
    <row r="213" spans="2:35" x14ac:dyDescent="0.25">
      <c r="B213" s="2" t="str">
        <f t="shared" si="246"/>
        <v>@color-driveway_line_unpaved</v>
      </c>
      <c r="C213" s="80" t="s">
        <v>217</v>
      </c>
      <c r="D213" s="38" t="str">
        <f t="shared" ref="D213:D214" si="248">C213</f>
        <v>"#eddfca"</v>
      </c>
      <c r="F213" s="80" t="s">
        <v>217</v>
      </c>
      <c r="G213" s="38" t="str">
        <f t="shared" ref="G213:G214" si="249">F213</f>
        <v>"#eddfca"</v>
      </c>
      <c r="I213" s="80" t="s">
        <v>217</v>
      </c>
      <c r="J213" s="38" t="str">
        <f t="shared" ref="J213:J214" si="250">I213</f>
        <v>"#eddfca"</v>
      </c>
      <c r="L213" s="80" t="s">
        <v>217</v>
      </c>
      <c r="M213" s="38" t="str">
        <f t="shared" ref="M213:M214" si="251">L213</f>
        <v>"#eddfca"</v>
      </c>
      <c r="U213" s="46" t="s">
        <v>218</v>
      </c>
      <c r="V213" s="38" t="str">
        <f t="shared" ref="V213" si="252">U213</f>
        <v>"#ffffff"</v>
      </c>
      <c r="X213" s="46" t="s">
        <v>218</v>
      </c>
      <c r="Y213" s="38" t="str">
        <f t="shared" ref="Y213" si="253">X213</f>
        <v>"#ffffff"</v>
      </c>
      <c r="AA213" s="2" t="s">
        <v>6</v>
      </c>
      <c r="AB213" s="2" t="str">
        <f t="shared" si="182"/>
        <v>-</v>
      </c>
      <c r="AC213" s="2" t="s">
        <v>29</v>
      </c>
      <c r="AD213" s="2" t="str">
        <f t="shared" si="189"/>
        <v>_</v>
      </c>
      <c r="AE213" s="2" t="s">
        <v>13</v>
      </c>
      <c r="AF213" s="2" t="str">
        <f t="shared" si="190"/>
        <v>_</v>
      </c>
      <c r="AG213" s="2" t="s">
        <v>21</v>
      </c>
      <c r="AH213" s="2" t="str">
        <f t="shared" si="200"/>
        <v/>
      </c>
      <c r="AI213" s="2"/>
    </row>
    <row r="214" spans="2:35" x14ac:dyDescent="0.25">
      <c r="B214" s="2" t="str">
        <f t="shared" si="246"/>
        <v>@color-driveway_line_paved_or_uk</v>
      </c>
      <c r="C214" s="46" t="s">
        <v>218</v>
      </c>
      <c r="D214" s="38" t="str">
        <f t="shared" si="248"/>
        <v>"#ffffff"</v>
      </c>
      <c r="F214" s="46" t="s">
        <v>218</v>
      </c>
      <c r="G214" s="38" t="str">
        <f t="shared" si="249"/>
        <v>"#ffffff"</v>
      </c>
      <c r="I214" s="46" t="s">
        <v>218</v>
      </c>
      <c r="J214" s="38" t="str">
        <f t="shared" si="250"/>
        <v>"#ffffff"</v>
      </c>
      <c r="L214" s="46" t="s">
        <v>218</v>
      </c>
      <c r="M214" s="38" t="str">
        <f t="shared" si="251"/>
        <v>"#ffffff"</v>
      </c>
      <c r="U214" s="46" t="s">
        <v>218</v>
      </c>
      <c r="V214" s="38" t="str">
        <f t="shared" ref="V214" si="254">U214</f>
        <v>"#ffffff"</v>
      </c>
      <c r="X214" s="46" t="s">
        <v>218</v>
      </c>
      <c r="Y214" s="38" t="str">
        <f t="shared" ref="Y214" si="255">X214</f>
        <v>"#ffffff"</v>
      </c>
      <c r="AA214" s="2" t="s">
        <v>6</v>
      </c>
      <c r="AB214" s="2" t="str">
        <f t="shared" si="182"/>
        <v>-</v>
      </c>
      <c r="AC214" s="2" t="s">
        <v>29</v>
      </c>
      <c r="AD214" s="2" t="str">
        <f t="shared" si="189"/>
        <v>_</v>
      </c>
      <c r="AE214" s="2" t="s">
        <v>13</v>
      </c>
      <c r="AF214" s="2" t="str">
        <f t="shared" si="190"/>
        <v>_</v>
      </c>
      <c r="AG214" s="2" t="s">
        <v>24</v>
      </c>
      <c r="AH214" s="2" t="str">
        <f t="shared" si="200"/>
        <v/>
      </c>
      <c r="AI214" s="2"/>
    </row>
    <row r="215" spans="2:35" x14ac:dyDescent="0.25">
      <c r="B215" s="2"/>
      <c r="C215" s="26"/>
      <c r="F215" s="26"/>
      <c r="L215" s="26"/>
      <c r="U215" s="26"/>
      <c r="X215" s="26"/>
      <c r="AA215" s="2"/>
      <c r="AB215" s="2"/>
      <c r="AC215" s="2"/>
      <c r="AD215" s="2"/>
      <c r="AE215" s="2"/>
      <c r="AF215" s="2"/>
      <c r="AG215" s="2"/>
      <c r="AH215" s="2"/>
      <c r="AI215" s="2"/>
    </row>
    <row r="216" spans="2:35" x14ac:dyDescent="0.25">
      <c r="B216" s="2" t="str">
        <f t="shared" ref="B216:B219" si="256">_xlfn.CONCAT("@",AA216,AB216,AC216,AD216,AE216,AF216,AG216,AH216,AI216)</f>
        <v>@dasharray-driveway_case_medium_dash</v>
      </c>
      <c r="C216" s="28" t="s">
        <v>327</v>
      </c>
      <c r="D216" s="28" t="s">
        <v>327</v>
      </c>
      <c r="F216" s="28" t="s">
        <v>327</v>
      </c>
      <c r="G216" s="28" t="s">
        <v>327</v>
      </c>
      <c r="I216" s="28" t="s">
        <v>127</v>
      </c>
      <c r="J216" s="28" t="s">
        <v>127</v>
      </c>
      <c r="L216" s="28" t="s">
        <v>127</v>
      </c>
      <c r="M216" s="28" t="s">
        <v>127</v>
      </c>
      <c r="U216" s="28" t="s">
        <v>327</v>
      </c>
      <c r="V216" s="28" t="s">
        <v>327</v>
      </c>
      <c r="X216" s="28" t="s">
        <v>327</v>
      </c>
      <c r="Y216" s="28" t="s">
        <v>327</v>
      </c>
      <c r="AA216" s="2" t="s">
        <v>371</v>
      </c>
      <c r="AB216" s="2" t="str">
        <f t="shared" ref="AB216:AB219" si="257">IF(NOT(ISBLANK(AC216)),"-","")</f>
        <v>-</v>
      </c>
      <c r="AC216" s="2" t="s">
        <v>29</v>
      </c>
      <c r="AD216" s="2" t="str">
        <f t="shared" ref="AD216:AD219" si="258">IF(NOT(ISBLANK(AE216)),"_","")</f>
        <v>_</v>
      </c>
      <c r="AE216" s="2" t="s">
        <v>17</v>
      </c>
      <c r="AF216" s="2" t="str">
        <f t="shared" ref="AF216:AF219" si="259">IF(NOT(ISBLANK(AG216)),"_","")</f>
        <v>_</v>
      </c>
      <c r="AG216" s="2" t="s">
        <v>75</v>
      </c>
      <c r="AH216" s="2" t="str">
        <f t="shared" ref="AH216:AH219" si="260">IF(NOT(ISBLANK(AI216)),"_","")</f>
        <v>_</v>
      </c>
      <c r="AI216" s="2" t="s">
        <v>373</v>
      </c>
    </row>
    <row r="217" spans="2:35" x14ac:dyDescent="0.25">
      <c r="B217" s="2" t="str">
        <f t="shared" si="256"/>
        <v>@dasharray-driveway_case_medium_gap</v>
      </c>
      <c r="C217" s="28" t="s">
        <v>375</v>
      </c>
      <c r="D217" s="28" t="s">
        <v>375</v>
      </c>
      <c r="F217" s="28" t="s">
        <v>375</v>
      </c>
      <c r="G217" s="28" t="s">
        <v>375</v>
      </c>
      <c r="I217" s="28" t="s">
        <v>94</v>
      </c>
      <c r="J217" s="28" t="s">
        <v>94</v>
      </c>
      <c r="L217" s="28" t="s">
        <v>94</v>
      </c>
      <c r="M217" s="28" t="s">
        <v>94</v>
      </c>
      <c r="U217" s="28" t="s">
        <v>375</v>
      </c>
      <c r="V217" s="28" t="s">
        <v>375</v>
      </c>
      <c r="X217" s="28" t="s">
        <v>375</v>
      </c>
      <c r="Y217" s="28" t="s">
        <v>375</v>
      </c>
      <c r="AA217" s="2" t="s">
        <v>371</v>
      </c>
      <c r="AB217" s="2" t="str">
        <f t="shared" si="257"/>
        <v>-</v>
      </c>
      <c r="AC217" s="2" t="s">
        <v>29</v>
      </c>
      <c r="AD217" s="2" t="str">
        <f t="shared" si="258"/>
        <v>_</v>
      </c>
      <c r="AE217" s="2" t="s">
        <v>17</v>
      </c>
      <c r="AF217" s="2" t="str">
        <f t="shared" si="259"/>
        <v>_</v>
      </c>
      <c r="AG217" s="2" t="s">
        <v>75</v>
      </c>
      <c r="AH217" s="2" t="str">
        <f t="shared" si="260"/>
        <v>_</v>
      </c>
      <c r="AI217" s="2" t="s">
        <v>374</v>
      </c>
    </row>
    <row r="218" spans="2:35" x14ac:dyDescent="0.25">
      <c r="B218" s="2" t="str">
        <f t="shared" si="256"/>
        <v>@dasharray-driveway_case_rough_dash</v>
      </c>
      <c r="C218" s="28" t="s">
        <v>327</v>
      </c>
      <c r="D218" s="28" t="s">
        <v>327</v>
      </c>
      <c r="F218" s="28" t="s">
        <v>327</v>
      </c>
      <c r="G218" s="28" t="s">
        <v>327</v>
      </c>
      <c r="I218" s="28" t="s">
        <v>92</v>
      </c>
      <c r="J218" s="28" t="s">
        <v>92</v>
      </c>
      <c r="L218" s="28" t="s">
        <v>92</v>
      </c>
      <c r="M218" s="28" t="s">
        <v>92</v>
      </c>
      <c r="U218" s="28" t="s">
        <v>327</v>
      </c>
      <c r="V218" s="28" t="s">
        <v>327</v>
      </c>
      <c r="X218" s="28" t="s">
        <v>327</v>
      </c>
      <c r="Y218" s="28" t="s">
        <v>327</v>
      </c>
      <c r="AA218" s="2" t="s">
        <v>371</v>
      </c>
      <c r="AB218" s="2" t="str">
        <f t="shared" si="257"/>
        <v>-</v>
      </c>
      <c r="AC218" s="2" t="s">
        <v>29</v>
      </c>
      <c r="AD218" s="2" t="str">
        <f t="shared" si="258"/>
        <v>_</v>
      </c>
      <c r="AE218" s="2" t="s">
        <v>17</v>
      </c>
      <c r="AF218" s="2" t="str">
        <f t="shared" si="259"/>
        <v>_</v>
      </c>
      <c r="AG218" s="2" t="s">
        <v>372</v>
      </c>
      <c r="AH218" s="2" t="str">
        <f t="shared" si="260"/>
        <v>_</v>
      </c>
      <c r="AI218" s="2" t="s">
        <v>373</v>
      </c>
    </row>
    <row r="219" spans="2:35" x14ac:dyDescent="0.25">
      <c r="B219" s="2" t="str">
        <f t="shared" si="256"/>
        <v>@dasharray-driveway_case_rough_gap</v>
      </c>
      <c r="C219" s="28" t="s">
        <v>375</v>
      </c>
      <c r="D219" s="28" t="s">
        <v>375</v>
      </c>
      <c r="F219" s="28" t="s">
        <v>375</v>
      </c>
      <c r="G219" s="28" t="s">
        <v>375</v>
      </c>
      <c r="I219" s="28" t="s">
        <v>94</v>
      </c>
      <c r="J219" s="28" t="s">
        <v>94</v>
      </c>
      <c r="L219" s="28" t="s">
        <v>94</v>
      </c>
      <c r="M219" s="28" t="s">
        <v>94</v>
      </c>
      <c r="U219" s="28" t="s">
        <v>375</v>
      </c>
      <c r="V219" s="28" t="s">
        <v>375</v>
      </c>
      <c r="X219" s="28" t="s">
        <v>375</v>
      </c>
      <c r="Y219" s="28" t="s">
        <v>375</v>
      </c>
      <c r="AA219" s="2" t="s">
        <v>371</v>
      </c>
      <c r="AB219" s="2" t="str">
        <f t="shared" si="257"/>
        <v>-</v>
      </c>
      <c r="AC219" s="2" t="s">
        <v>29</v>
      </c>
      <c r="AD219" s="2" t="str">
        <f t="shared" si="258"/>
        <v>_</v>
      </c>
      <c r="AE219" s="2" t="s">
        <v>17</v>
      </c>
      <c r="AF219" s="2" t="str">
        <f t="shared" si="259"/>
        <v>_</v>
      </c>
      <c r="AG219" s="2" t="s">
        <v>372</v>
      </c>
      <c r="AH219" s="2" t="str">
        <f t="shared" si="260"/>
        <v>_</v>
      </c>
      <c r="AI219" s="2" t="s">
        <v>374</v>
      </c>
    </row>
    <row r="220" spans="2:35" x14ac:dyDescent="0.25">
      <c r="B220" s="2"/>
      <c r="C220" s="26"/>
      <c r="F220" s="26"/>
      <c r="I220" s="26"/>
      <c r="J220" s="26"/>
      <c r="L220" s="26"/>
      <c r="M220" s="26"/>
      <c r="U220" s="26"/>
      <c r="X220" s="26"/>
      <c r="AA220" s="2"/>
      <c r="AB220" s="2"/>
      <c r="AC220" s="2"/>
      <c r="AD220" s="2"/>
      <c r="AE220" s="2"/>
      <c r="AF220" s="2"/>
      <c r="AG220" s="2"/>
      <c r="AH220" s="2"/>
      <c r="AI220" s="2"/>
    </row>
    <row r="221" spans="2:35" x14ac:dyDescent="0.25">
      <c r="B221" s="2"/>
      <c r="AB221" s="28" t="str">
        <f t="shared" ref="AB221:AB240" si="261">IF(NOT(ISBLANK(AC221)),"-","")</f>
        <v/>
      </c>
      <c r="AD221" s="28" t="str">
        <f t="shared" ref="AD221:AD240" si="262">IF(NOT(ISBLANK(AE221)),"_","")</f>
        <v/>
      </c>
      <c r="AF221" s="28" t="str">
        <f t="shared" ref="AF221:AF240" si="263">IF(NOT(ISBLANK(AG221)),"_","")</f>
        <v/>
      </c>
      <c r="AH221" s="28" t="str">
        <f t="shared" si="200"/>
        <v/>
      </c>
    </row>
    <row r="222" spans="2:35" x14ac:dyDescent="0.25">
      <c r="B222" s="2" t="str">
        <f t="shared" ref="B222:B227" si="264">_xlfn.CONCAT("@",AA222,AB222,AC222,AD222,AE222,AF222,AG222,AH222,AI222)</f>
        <v>@color-busway_case_unpaved_farzoom</v>
      </c>
      <c r="C222" s="75" t="s">
        <v>221</v>
      </c>
      <c r="D222" s="76" t="s">
        <v>223</v>
      </c>
      <c r="F222" s="76" t="s">
        <v>223</v>
      </c>
      <c r="G222" s="75" t="s">
        <v>221</v>
      </c>
      <c r="I222" s="92" t="str">
        <f t="shared" ref="I222:I225" si="265">C222</f>
        <v>"#b99346"</v>
      </c>
      <c r="J222" s="87" t="str">
        <f t="shared" ref="J222:J225" si="266">D222</f>
        <v>"#644507"</v>
      </c>
      <c r="L222" s="76" t="s">
        <v>223</v>
      </c>
      <c r="M222" s="75" t="s">
        <v>221</v>
      </c>
      <c r="U222" s="78" t="s">
        <v>222</v>
      </c>
      <c r="V222" s="47" t="s">
        <v>210</v>
      </c>
      <c r="X222" s="78" t="s">
        <v>222</v>
      </c>
      <c r="Y222" s="78" t="s">
        <v>222</v>
      </c>
      <c r="AA222" s="2" t="s">
        <v>6</v>
      </c>
      <c r="AB222" s="2" t="str">
        <f t="shared" si="261"/>
        <v>-</v>
      </c>
      <c r="AC222" s="2" t="s">
        <v>356</v>
      </c>
      <c r="AD222" s="2" t="str">
        <f t="shared" si="262"/>
        <v>_</v>
      </c>
      <c r="AE222" s="2" t="s">
        <v>17</v>
      </c>
      <c r="AF222" s="2" t="str">
        <f t="shared" si="263"/>
        <v>_</v>
      </c>
      <c r="AG222" s="2" t="s">
        <v>21</v>
      </c>
      <c r="AH222" s="2" t="str">
        <f t="shared" ref="AH222:AH234" si="267">IF(NOT(ISBLANK(AI222)),"_","")</f>
        <v>_</v>
      </c>
      <c r="AI222" s="28" t="s">
        <v>20</v>
      </c>
    </row>
    <row r="223" spans="2:35" x14ac:dyDescent="0.25">
      <c r="B223" s="2" t="str">
        <f t="shared" si="264"/>
        <v>@color-busway_case_unpaved_default</v>
      </c>
      <c r="C223" s="76" t="s">
        <v>223</v>
      </c>
      <c r="D223" s="76" t="s">
        <v>223</v>
      </c>
      <c r="F223" s="47" t="s">
        <v>210</v>
      </c>
      <c r="G223" s="47" t="s">
        <v>210</v>
      </c>
      <c r="I223" s="87" t="str">
        <f t="shared" si="265"/>
        <v>"#644507"</v>
      </c>
      <c r="J223" s="87" t="str">
        <f t="shared" si="266"/>
        <v>"#644507"</v>
      </c>
      <c r="L223" s="47" t="s">
        <v>210</v>
      </c>
      <c r="M223" s="47" t="s">
        <v>210</v>
      </c>
      <c r="U223" s="79" t="s">
        <v>214</v>
      </c>
      <c r="V223" s="47" t="s">
        <v>210</v>
      </c>
      <c r="X223" s="47" t="s">
        <v>210</v>
      </c>
      <c r="Y223" s="47" t="s">
        <v>210</v>
      </c>
      <c r="AA223" s="2" t="s">
        <v>6</v>
      </c>
      <c r="AB223" s="2" t="str">
        <f t="shared" si="261"/>
        <v>-</v>
      </c>
      <c r="AC223" s="2" t="s">
        <v>356</v>
      </c>
      <c r="AD223" s="2" t="str">
        <f t="shared" si="262"/>
        <v>_</v>
      </c>
      <c r="AE223" s="2" t="s">
        <v>17</v>
      </c>
      <c r="AF223" s="2" t="str">
        <f t="shared" si="263"/>
        <v>_</v>
      </c>
      <c r="AG223" s="2" t="s">
        <v>21</v>
      </c>
      <c r="AH223" s="2" t="str">
        <f t="shared" si="267"/>
        <v>_</v>
      </c>
      <c r="AI223" s="2" t="s">
        <v>255</v>
      </c>
    </row>
    <row r="224" spans="2:35" x14ac:dyDescent="0.25">
      <c r="B224" s="2" t="str">
        <f t="shared" si="264"/>
        <v>@color-busway_case_paved_or_uk_farzoom</v>
      </c>
      <c r="C224" s="78" t="s">
        <v>222</v>
      </c>
      <c r="D224" s="47" t="s">
        <v>210</v>
      </c>
      <c r="F224" s="78" t="s">
        <v>222</v>
      </c>
      <c r="G224" s="78" t="s">
        <v>222</v>
      </c>
      <c r="I224" s="93" t="str">
        <f t="shared" si="265"/>
        <v>"#808080"</v>
      </c>
      <c r="J224" s="37" t="str">
        <f t="shared" si="266"/>
        <v>"#000000"</v>
      </c>
      <c r="L224" s="78" t="s">
        <v>222</v>
      </c>
      <c r="M224" s="78" t="s">
        <v>222</v>
      </c>
      <c r="U224" s="78" t="s">
        <v>222</v>
      </c>
      <c r="V224" s="47" t="s">
        <v>210</v>
      </c>
      <c r="X224" s="78" t="s">
        <v>222</v>
      </c>
      <c r="Y224" s="78" t="s">
        <v>222</v>
      </c>
      <c r="AA224" s="2" t="s">
        <v>6</v>
      </c>
      <c r="AB224" s="2" t="str">
        <f t="shared" si="261"/>
        <v>-</v>
      </c>
      <c r="AC224" s="2" t="s">
        <v>356</v>
      </c>
      <c r="AD224" s="2" t="str">
        <f t="shared" si="262"/>
        <v>_</v>
      </c>
      <c r="AE224" s="2" t="s">
        <v>17</v>
      </c>
      <c r="AF224" s="2" t="str">
        <f t="shared" si="263"/>
        <v>_</v>
      </c>
      <c r="AG224" s="2" t="s">
        <v>24</v>
      </c>
      <c r="AH224" s="2" t="str">
        <f t="shared" si="267"/>
        <v>_</v>
      </c>
      <c r="AI224" s="28" t="s">
        <v>20</v>
      </c>
    </row>
    <row r="225" spans="2:35" x14ac:dyDescent="0.25">
      <c r="B225" s="2" t="str">
        <f t="shared" si="264"/>
        <v>@color-busway_case_paved_or_uk_default</v>
      </c>
      <c r="C225" s="79" t="s">
        <v>214</v>
      </c>
      <c r="D225" s="47" t="s">
        <v>210</v>
      </c>
      <c r="F225" s="47" t="s">
        <v>210</v>
      </c>
      <c r="G225" s="47" t="s">
        <v>210</v>
      </c>
      <c r="I225" s="94" t="str">
        <f t="shared" si="265"/>
        <v>"#404040"</v>
      </c>
      <c r="J225" s="37" t="str">
        <f t="shared" si="266"/>
        <v>"#000000"</v>
      </c>
      <c r="L225" s="47" t="s">
        <v>210</v>
      </c>
      <c r="M225" s="47" t="s">
        <v>210</v>
      </c>
      <c r="Q225" s="7"/>
      <c r="U225" s="79" t="s">
        <v>214</v>
      </c>
      <c r="V225" s="47" t="s">
        <v>210</v>
      </c>
      <c r="X225" s="47" t="s">
        <v>210</v>
      </c>
      <c r="Y225" s="47" t="s">
        <v>210</v>
      </c>
      <c r="AA225" s="2" t="s">
        <v>6</v>
      </c>
      <c r="AB225" s="2" t="str">
        <f t="shared" si="261"/>
        <v>-</v>
      </c>
      <c r="AC225" s="2" t="s">
        <v>356</v>
      </c>
      <c r="AD225" s="2" t="str">
        <f t="shared" si="262"/>
        <v>_</v>
      </c>
      <c r="AE225" s="2" t="s">
        <v>17</v>
      </c>
      <c r="AF225" s="2" t="str">
        <f t="shared" si="263"/>
        <v>_</v>
      </c>
      <c r="AG225" s="2" t="s">
        <v>24</v>
      </c>
      <c r="AH225" s="2" t="str">
        <f t="shared" si="267"/>
        <v>_</v>
      </c>
      <c r="AI225" s="2" t="s">
        <v>255</v>
      </c>
    </row>
    <row r="226" spans="2:35" x14ac:dyDescent="0.25">
      <c r="B226" s="2" t="str">
        <f t="shared" si="264"/>
        <v>@color-busway_line_unpaved</v>
      </c>
      <c r="C226" s="80" t="s">
        <v>217</v>
      </c>
      <c r="D226" s="38" t="str">
        <f t="shared" ref="D226:D227" si="268">C226</f>
        <v>"#eddfca"</v>
      </c>
      <c r="F226" s="80" t="s">
        <v>217</v>
      </c>
      <c r="G226" s="38" t="str">
        <f t="shared" ref="G226:G227" si="269">F226</f>
        <v>"#eddfca"</v>
      </c>
      <c r="I226" s="80" t="s">
        <v>217</v>
      </c>
      <c r="J226" s="38" t="str">
        <f t="shared" ref="J226:J227" si="270">I226</f>
        <v>"#eddfca"</v>
      </c>
      <c r="L226" s="80" t="s">
        <v>217</v>
      </c>
      <c r="M226" s="38" t="str">
        <f t="shared" ref="M226:M227" si="271">L226</f>
        <v>"#eddfca"</v>
      </c>
      <c r="U226" s="46" t="s">
        <v>218</v>
      </c>
      <c r="V226" s="38" t="str">
        <f t="shared" ref="V226" si="272">U226</f>
        <v>"#ffffff"</v>
      </c>
      <c r="X226" s="46" t="s">
        <v>218</v>
      </c>
      <c r="Y226" s="38" t="str">
        <f t="shared" ref="Y226" si="273">X226</f>
        <v>"#ffffff"</v>
      </c>
      <c r="AA226" s="2" t="s">
        <v>6</v>
      </c>
      <c r="AB226" s="2" t="str">
        <f t="shared" si="261"/>
        <v>-</v>
      </c>
      <c r="AC226" s="2" t="s">
        <v>356</v>
      </c>
      <c r="AD226" s="2" t="str">
        <f t="shared" si="262"/>
        <v>_</v>
      </c>
      <c r="AE226" s="2" t="s">
        <v>13</v>
      </c>
      <c r="AF226" s="2" t="str">
        <f t="shared" si="263"/>
        <v>_</v>
      </c>
      <c r="AG226" s="2" t="s">
        <v>21</v>
      </c>
      <c r="AH226" s="2" t="str">
        <f t="shared" si="267"/>
        <v/>
      </c>
      <c r="AI226" s="2"/>
    </row>
    <row r="227" spans="2:35" x14ac:dyDescent="0.25">
      <c r="B227" s="2" t="str">
        <f t="shared" si="264"/>
        <v>@color-busway_line_paved_or_uk</v>
      </c>
      <c r="C227" s="46" t="s">
        <v>218</v>
      </c>
      <c r="D227" s="38" t="str">
        <f t="shared" si="268"/>
        <v>"#ffffff"</v>
      </c>
      <c r="F227" s="46" t="s">
        <v>218</v>
      </c>
      <c r="G227" s="38" t="str">
        <f t="shared" si="269"/>
        <v>"#ffffff"</v>
      </c>
      <c r="I227" s="46" t="s">
        <v>218</v>
      </c>
      <c r="J227" s="38" t="str">
        <f t="shared" si="270"/>
        <v>"#ffffff"</v>
      </c>
      <c r="L227" s="46" t="s">
        <v>218</v>
      </c>
      <c r="M227" s="38" t="str">
        <f t="shared" si="271"/>
        <v>"#ffffff"</v>
      </c>
      <c r="U227" s="46" t="s">
        <v>218</v>
      </c>
      <c r="V227" s="38" t="str">
        <f t="shared" ref="V227" si="274">U227</f>
        <v>"#ffffff"</v>
      </c>
      <c r="X227" s="46" t="s">
        <v>218</v>
      </c>
      <c r="Y227" s="38" t="str">
        <f t="shared" ref="Y227" si="275">X227</f>
        <v>"#ffffff"</v>
      </c>
      <c r="AA227" s="2" t="s">
        <v>6</v>
      </c>
      <c r="AB227" s="2" t="str">
        <f t="shared" si="261"/>
        <v>-</v>
      </c>
      <c r="AC227" s="2" t="s">
        <v>356</v>
      </c>
      <c r="AD227" s="2" t="str">
        <f t="shared" si="262"/>
        <v>_</v>
      </c>
      <c r="AE227" s="2" t="s">
        <v>13</v>
      </c>
      <c r="AF227" s="2" t="str">
        <f t="shared" si="263"/>
        <v>_</v>
      </c>
      <c r="AG227" s="2" t="s">
        <v>24</v>
      </c>
      <c r="AH227" s="2" t="str">
        <f t="shared" si="267"/>
        <v/>
      </c>
      <c r="AI227" s="2"/>
    </row>
    <row r="228" spans="2:35" x14ac:dyDescent="0.25">
      <c r="B228" s="2"/>
      <c r="C228" s="26"/>
      <c r="F228" s="26"/>
      <c r="L228" s="26"/>
      <c r="U228" s="26"/>
      <c r="X228" s="26"/>
      <c r="AA228" s="2"/>
      <c r="AB228" s="2"/>
      <c r="AC228" s="2"/>
      <c r="AD228" s="2"/>
      <c r="AE228" s="2"/>
      <c r="AF228" s="2"/>
      <c r="AG228" s="2"/>
      <c r="AH228" s="2"/>
      <c r="AI228" s="2"/>
    </row>
    <row r="229" spans="2:35" x14ac:dyDescent="0.25">
      <c r="B229" s="2" t="str">
        <f t="shared" ref="B229:B232" si="276">_xlfn.CONCAT("@",AA229,AB229,AC229,AD229,AE229,AF229,AG229,AH229,AI229)</f>
        <v>@dasharray-busway_case_medium_dash</v>
      </c>
      <c r="C229" s="28" t="s">
        <v>327</v>
      </c>
      <c r="D229" s="28" t="s">
        <v>327</v>
      </c>
      <c r="F229" s="28" t="s">
        <v>327</v>
      </c>
      <c r="G229" s="28" t="s">
        <v>327</v>
      </c>
      <c r="I229" s="28" t="s">
        <v>127</v>
      </c>
      <c r="J229" s="28" t="s">
        <v>127</v>
      </c>
      <c r="L229" s="28" t="s">
        <v>127</v>
      </c>
      <c r="M229" s="28" t="s">
        <v>127</v>
      </c>
      <c r="U229" s="28" t="s">
        <v>327</v>
      </c>
      <c r="V229" s="28" t="s">
        <v>327</v>
      </c>
      <c r="X229" s="28" t="s">
        <v>327</v>
      </c>
      <c r="Y229" s="28" t="s">
        <v>327</v>
      </c>
      <c r="AA229" s="2" t="s">
        <v>371</v>
      </c>
      <c r="AB229" s="2" t="str">
        <f t="shared" ref="AB229:AB232" si="277">IF(NOT(ISBLANK(AC229)),"-","")</f>
        <v>-</v>
      </c>
      <c r="AC229" s="2" t="s">
        <v>356</v>
      </c>
      <c r="AD229" s="2" t="str">
        <f t="shared" ref="AD229:AD232" si="278">IF(NOT(ISBLANK(AE229)),"_","")</f>
        <v>_</v>
      </c>
      <c r="AE229" s="2" t="s">
        <v>17</v>
      </c>
      <c r="AF229" s="2" t="str">
        <f t="shared" ref="AF229:AF232" si="279">IF(NOT(ISBLANK(AG229)),"_","")</f>
        <v>_</v>
      </c>
      <c r="AG229" s="2" t="s">
        <v>75</v>
      </c>
      <c r="AH229" s="2" t="str">
        <f t="shared" ref="AH229:AH232" si="280">IF(NOT(ISBLANK(AI229)),"_","")</f>
        <v>_</v>
      </c>
      <c r="AI229" s="2" t="s">
        <v>373</v>
      </c>
    </row>
    <row r="230" spans="2:35" x14ac:dyDescent="0.25">
      <c r="B230" s="2" t="str">
        <f t="shared" si="276"/>
        <v>@dasharray-busway_case_medium_gap</v>
      </c>
      <c r="C230" s="28" t="s">
        <v>375</v>
      </c>
      <c r="D230" s="28" t="s">
        <v>375</v>
      </c>
      <c r="F230" s="28" t="s">
        <v>375</v>
      </c>
      <c r="G230" s="28" t="s">
        <v>375</v>
      </c>
      <c r="I230" s="28" t="s">
        <v>94</v>
      </c>
      <c r="J230" s="28" t="s">
        <v>94</v>
      </c>
      <c r="L230" s="28" t="s">
        <v>94</v>
      </c>
      <c r="M230" s="28" t="s">
        <v>94</v>
      </c>
      <c r="U230" s="28" t="s">
        <v>375</v>
      </c>
      <c r="V230" s="28" t="s">
        <v>375</v>
      </c>
      <c r="X230" s="28" t="s">
        <v>375</v>
      </c>
      <c r="Y230" s="28" t="s">
        <v>375</v>
      </c>
      <c r="AA230" s="2" t="s">
        <v>371</v>
      </c>
      <c r="AB230" s="2" t="str">
        <f t="shared" si="277"/>
        <v>-</v>
      </c>
      <c r="AC230" s="2" t="s">
        <v>356</v>
      </c>
      <c r="AD230" s="2" t="str">
        <f t="shared" si="278"/>
        <v>_</v>
      </c>
      <c r="AE230" s="2" t="s">
        <v>17</v>
      </c>
      <c r="AF230" s="2" t="str">
        <f t="shared" si="279"/>
        <v>_</v>
      </c>
      <c r="AG230" s="2" t="s">
        <v>75</v>
      </c>
      <c r="AH230" s="2" t="str">
        <f t="shared" si="280"/>
        <v>_</v>
      </c>
      <c r="AI230" s="2" t="s">
        <v>374</v>
      </c>
    </row>
    <row r="231" spans="2:35" x14ac:dyDescent="0.25">
      <c r="B231" s="2" t="str">
        <f t="shared" si="276"/>
        <v>@dasharray-busway_case_rough_dash</v>
      </c>
      <c r="C231" s="28" t="s">
        <v>327</v>
      </c>
      <c r="D231" s="28" t="s">
        <v>327</v>
      </c>
      <c r="F231" s="28" t="s">
        <v>327</v>
      </c>
      <c r="G231" s="28" t="s">
        <v>327</v>
      </c>
      <c r="I231" s="28" t="s">
        <v>92</v>
      </c>
      <c r="J231" s="28" t="s">
        <v>92</v>
      </c>
      <c r="L231" s="28" t="s">
        <v>92</v>
      </c>
      <c r="M231" s="28" t="s">
        <v>92</v>
      </c>
      <c r="U231" s="28" t="s">
        <v>327</v>
      </c>
      <c r="V231" s="28" t="s">
        <v>327</v>
      </c>
      <c r="X231" s="28" t="s">
        <v>327</v>
      </c>
      <c r="Y231" s="28" t="s">
        <v>327</v>
      </c>
      <c r="AA231" s="2" t="s">
        <v>371</v>
      </c>
      <c r="AB231" s="2" t="str">
        <f t="shared" si="277"/>
        <v>-</v>
      </c>
      <c r="AC231" s="2" t="s">
        <v>356</v>
      </c>
      <c r="AD231" s="2" t="str">
        <f t="shared" si="278"/>
        <v>_</v>
      </c>
      <c r="AE231" s="2" t="s">
        <v>17</v>
      </c>
      <c r="AF231" s="2" t="str">
        <f t="shared" si="279"/>
        <v>_</v>
      </c>
      <c r="AG231" s="2" t="s">
        <v>372</v>
      </c>
      <c r="AH231" s="2" t="str">
        <f t="shared" si="280"/>
        <v>_</v>
      </c>
      <c r="AI231" s="2" t="s">
        <v>373</v>
      </c>
    </row>
    <row r="232" spans="2:35" x14ac:dyDescent="0.25">
      <c r="B232" s="2" t="str">
        <f t="shared" si="276"/>
        <v>@dasharray-busway_case_rough_gap</v>
      </c>
      <c r="C232" s="28" t="s">
        <v>375</v>
      </c>
      <c r="D232" s="28" t="s">
        <v>375</v>
      </c>
      <c r="F232" s="28" t="s">
        <v>375</v>
      </c>
      <c r="G232" s="28" t="s">
        <v>375</v>
      </c>
      <c r="I232" s="28" t="s">
        <v>94</v>
      </c>
      <c r="J232" s="28" t="s">
        <v>94</v>
      </c>
      <c r="L232" s="28" t="s">
        <v>94</v>
      </c>
      <c r="M232" s="28" t="s">
        <v>94</v>
      </c>
      <c r="U232" s="28" t="s">
        <v>375</v>
      </c>
      <c r="V232" s="28" t="s">
        <v>375</v>
      </c>
      <c r="X232" s="28" t="s">
        <v>375</v>
      </c>
      <c r="Y232" s="28" t="s">
        <v>375</v>
      </c>
      <c r="AA232" s="2" t="s">
        <v>371</v>
      </c>
      <c r="AB232" s="2" t="str">
        <f t="shared" si="277"/>
        <v>-</v>
      </c>
      <c r="AC232" s="2" t="s">
        <v>356</v>
      </c>
      <c r="AD232" s="2" t="str">
        <f t="shared" si="278"/>
        <v>_</v>
      </c>
      <c r="AE232" s="2" t="s">
        <v>17</v>
      </c>
      <c r="AF232" s="2" t="str">
        <f t="shared" si="279"/>
        <v>_</v>
      </c>
      <c r="AG232" s="2" t="s">
        <v>372</v>
      </c>
      <c r="AH232" s="2" t="str">
        <f t="shared" si="280"/>
        <v>_</v>
      </c>
      <c r="AI232" s="2" t="s">
        <v>374</v>
      </c>
    </row>
    <row r="233" spans="2:35" x14ac:dyDescent="0.25">
      <c r="B233" s="2"/>
      <c r="C233" s="26"/>
      <c r="F233" s="26"/>
      <c r="I233" s="26"/>
      <c r="L233" s="26"/>
      <c r="U233" s="26"/>
      <c r="X233" s="26"/>
      <c r="AA233" s="2"/>
      <c r="AB233" s="2"/>
      <c r="AC233" s="2"/>
      <c r="AD233" s="2"/>
      <c r="AE233" s="2"/>
      <c r="AF233" s="2"/>
      <c r="AG233" s="2"/>
      <c r="AH233" s="2"/>
      <c r="AI233" s="2"/>
    </row>
    <row r="234" spans="2:35" x14ac:dyDescent="0.25">
      <c r="B234" s="2"/>
      <c r="AB234" s="28" t="str">
        <f t="shared" ref="AB234" si="281">IF(NOT(ISBLANK(AC234)),"-","")</f>
        <v/>
      </c>
      <c r="AD234" s="28" t="str">
        <f t="shared" ref="AD234" si="282">IF(NOT(ISBLANK(AE234)),"_","")</f>
        <v/>
      </c>
      <c r="AF234" s="28" t="str">
        <f t="shared" ref="AF234" si="283">IF(NOT(ISBLANK(AG234)),"_","")</f>
        <v/>
      </c>
      <c r="AH234" s="28" t="str">
        <f t="shared" si="267"/>
        <v/>
      </c>
    </row>
    <row r="235" spans="2:35" x14ac:dyDescent="0.25">
      <c r="B235" s="2" t="str">
        <f t="shared" ref="B235:B240" si="284">_xlfn.CONCAT("@",AA235,AB235,AC235,AD235,AE235,AF235,AG235,AH235,AI235)</f>
        <v>@color-service_case_unpaved_farzoom</v>
      </c>
      <c r="C235" s="75" t="s">
        <v>221</v>
      </c>
      <c r="D235" s="76" t="s">
        <v>223</v>
      </c>
      <c r="F235" s="76" t="s">
        <v>223</v>
      </c>
      <c r="G235" s="75" t="s">
        <v>221</v>
      </c>
      <c r="I235" s="92" t="str">
        <f t="shared" ref="I235:J238" si="285">C235</f>
        <v>"#b99346"</v>
      </c>
      <c r="J235" s="87" t="str">
        <f t="shared" si="285"/>
        <v>"#644507"</v>
      </c>
      <c r="L235" s="76" t="s">
        <v>223</v>
      </c>
      <c r="M235" s="75" t="s">
        <v>221</v>
      </c>
      <c r="U235" s="78" t="s">
        <v>222</v>
      </c>
      <c r="V235" s="47" t="s">
        <v>210</v>
      </c>
      <c r="X235" s="47" t="s">
        <v>210</v>
      </c>
      <c r="Y235" s="47" t="s">
        <v>210</v>
      </c>
      <c r="AA235" s="2" t="s">
        <v>6</v>
      </c>
      <c r="AB235" s="2" t="str">
        <f t="shared" si="261"/>
        <v>-</v>
      </c>
      <c r="AC235" s="2" t="s">
        <v>30</v>
      </c>
      <c r="AD235" s="2" t="str">
        <f t="shared" si="262"/>
        <v>_</v>
      </c>
      <c r="AE235" s="2" t="s">
        <v>17</v>
      </c>
      <c r="AF235" s="2" t="str">
        <f t="shared" si="263"/>
        <v>_</v>
      </c>
      <c r="AG235" s="2" t="s">
        <v>21</v>
      </c>
      <c r="AH235" s="2" t="str">
        <f t="shared" si="200"/>
        <v>_</v>
      </c>
      <c r="AI235" s="28" t="s">
        <v>20</v>
      </c>
    </row>
    <row r="236" spans="2:35" x14ac:dyDescent="0.25">
      <c r="B236" s="2" t="str">
        <f t="shared" si="284"/>
        <v>@color-service_case_unpaved_default</v>
      </c>
      <c r="C236" s="76" t="s">
        <v>223</v>
      </c>
      <c r="D236" s="76" t="s">
        <v>223</v>
      </c>
      <c r="F236" s="47" t="s">
        <v>210</v>
      </c>
      <c r="G236" s="47" t="s">
        <v>210</v>
      </c>
      <c r="I236" s="87" t="str">
        <f t="shared" si="285"/>
        <v>"#644507"</v>
      </c>
      <c r="J236" s="87" t="str">
        <f t="shared" si="285"/>
        <v>"#644507"</v>
      </c>
      <c r="L236" s="47" t="s">
        <v>210</v>
      </c>
      <c r="M236" s="47" t="s">
        <v>210</v>
      </c>
      <c r="U236" s="79" t="s">
        <v>214</v>
      </c>
      <c r="V236" s="47" t="s">
        <v>210</v>
      </c>
      <c r="X236" s="47" t="s">
        <v>210</v>
      </c>
      <c r="Y236" s="47" t="s">
        <v>210</v>
      </c>
      <c r="AA236" s="2" t="s">
        <v>6</v>
      </c>
      <c r="AB236" s="2" t="str">
        <f t="shared" si="261"/>
        <v>-</v>
      </c>
      <c r="AC236" s="2" t="s">
        <v>30</v>
      </c>
      <c r="AD236" s="2" t="str">
        <f t="shared" si="262"/>
        <v>_</v>
      </c>
      <c r="AE236" s="2" t="s">
        <v>17</v>
      </c>
      <c r="AF236" s="2" t="str">
        <f t="shared" si="263"/>
        <v>_</v>
      </c>
      <c r="AG236" s="2" t="s">
        <v>21</v>
      </c>
      <c r="AH236" s="2" t="str">
        <f t="shared" si="200"/>
        <v>_</v>
      </c>
      <c r="AI236" s="2" t="s">
        <v>255</v>
      </c>
    </row>
    <row r="237" spans="2:35" x14ac:dyDescent="0.25">
      <c r="B237" s="2" t="str">
        <f t="shared" si="284"/>
        <v>@color-service_case_paved_or_uk_farzoom</v>
      </c>
      <c r="C237" s="78" t="s">
        <v>222</v>
      </c>
      <c r="D237" s="47" t="s">
        <v>210</v>
      </c>
      <c r="F237" s="47" t="s">
        <v>210</v>
      </c>
      <c r="G237" s="47" t="s">
        <v>210</v>
      </c>
      <c r="I237" s="93" t="str">
        <f t="shared" si="285"/>
        <v>"#808080"</v>
      </c>
      <c r="J237" s="37" t="str">
        <f t="shared" si="285"/>
        <v>"#000000"</v>
      </c>
      <c r="L237" s="47" t="s">
        <v>210</v>
      </c>
      <c r="M237" s="47" t="s">
        <v>210</v>
      </c>
      <c r="U237" s="78" t="s">
        <v>222</v>
      </c>
      <c r="V237" s="47" t="s">
        <v>210</v>
      </c>
      <c r="X237" s="47" t="s">
        <v>210</v>
      </c>
      <c r="Y237" s="47" t="s">
        <v>210</v>
      </c>
      <c r="AA237" s="2" t="s">
        <v>6</v>
      </c>
      <c r="AB237" s="2" t="str">
        <f t="shared" si="261"/>
        <v>-</v>
      </c>
      <c r="AC237" s="2" t="s">
        <v>30</v>
      </c>
      <c r="AD237" s="2" t="str">
        <f t="shared" si="262"/>
        <v>_</v>
      </c>
      <c r="AE237" s="2" t="s">
        <v>17</v>
      </c>
      <c r="AF237" s="2" t="str">
        <f t="shared" si="263"/>
        <v>_</v>
      </c>
      <c r="AG237" s="2" t="s">
        <v>24</v>
      </c>
      <c r="AH237" s="2" t="str">
        <f t="shared" si="200"/>
        <v>_</v>
      </c>
      <c r="AI237" s="28" t="s">
        <v>20</v>
      </c>
    </row>
    <row r="238" spans="2:35" x14ac:dyDescent="0.25">
      <c r="B238" s="2" t="str">
        <f t="shared" si="284"/>
        <v>@color-service_case_paved_or_uk_default</v>
      </c>
      <c r="C238" s="79" t="s">
        <v>214</v>
      </c>
      <c r="D238" s="47" t="s">
        <v>210</v>
      </c>
      <c r="F238" s="47" t="s">
        <v>210</v>
      </c>
      <c r="G238" s="47" t="s">
        <v>210</v>
      </c>
      <c r="I238" s="94" t="str">
        <f t="shared" si="285"/>
        <v>"#404040"</v>
      </c>
      <c r="J238" s="37" t="str">
        <f t="shared" si="285"/>
        <v>"#000000"</v>
      </c>
      <c r="L238" s="47" t="s">
        <v>210</v>
      </c>
      <c r="M238" s="47" t="s">
        <v>210</v>
      </c>
      <c r="Q238" s="7"/>
      <c r="U238" s="79" t="s">
        <v>214</v>
      </c>
      <c r="V238" s="47" t="s">
        <v>210</v>
      </c>
      <c r="X238" s="47" t="s">
        <v>210</v>
      </c>
      <c r="Y238" s="47" t="s">
        <v>210</v>
      </c>
      <c r="AA238" s="2" t="s">
        <v>6</v>
      </c>
      <c r="AB238" s="2" t="str">
        <f t="shared" si="261"/>
        <v>-</v>
      </c>
      <c r="AC238" s="2" t="s">
        <v>30</v>
      </c>
      <c r="AD238" s="2" t="str">
        <f t="shared" si="262"/>
        <v>_</v>
      </c>
      <c r="AE238" s="2" t="s">
        <v>17</v>
      </c>
      <c r="AF238" s="2" t="str">
        <f t="shared" si="263"/>
        <v>_</v>
      </c>
      <c r="AG238" s="2" t="s">
        <v>24</v>
      </c>
      <c r="AH238" s="2" t="str">
        <f t="shared" si="200"/>
        <v>_</v>
      </c>
      <c r="AI238" s="2" t="s">
        <v>255</v>
      </c>
    </row>
    <row r="239" spans="2:35" x14ac:dyDescent="0.25">
      <c r="B239" s="2" t="str">
        <f t="shared" si="284"/>
        <v>@color-service_line_unpaved</v>
      </c>
      <c r="C239" s="80" t="s">
        <v>217</v>
      </c>
      <c r="D239" s="38" t="str">
        <f t="shared" ref="D239:D240" si="286">C239</f>
        <v>"#eddfca"</v>
      </c>
      <c r="F239" s="80" t="s">
        <v>217</v>
      </c>
      <c r="G239" s="38" t="str">
        <f t="shared" ref="G239:G240" si="287">F239</f>
        <v>"#eddfca"</v>
      </c>
      <c r="I239" s="81" t="str">
        <f>C239</f>
        <v>"#eddfca"</v>
      </c>
      <c r="J239" s="38" t="str">
        <f t="shared" ref="J239:J240" si="288">C239</f>
        <v>"#eddfca"</v>
      </c>
      <c r="L239" s="80" t="s">
        <v>217</v>
      </c>
      <c r="M239" s="38" t="str">
        <f t="shared" ref="M239:M240" si="289">L239</f>
        <v>"#eddfca"</v>
      </c>
      <c r="U239" s="46" t="s">
        <v>218</v>
      </c>
      <c r="V239" s="38" t="str">
        <f t="shared" ref="V239" si="290">U239</f>
        <v>"#ffffff"</v>
      </c>
      <c r="X239" s="46" t="s">
        <v>218</v>
      </c>
      <c r="Y239" s="38" t="str">
        <f t="shared" ref="Y239" si="291">X239</f>
        <v>"#ffffff"</v>
      </c>
      <c r="AA239" s="2" t="s">
        <v>6</v>
      </c>
      <c r="AB239" s="2" t="str">
        <f t="shared" si="261"/>
        <v>-</v>
      </c>
      <c r="AC239" s="2" t="s">
        <v>30</v>
      </c>
      <c r="AD239" s="2" t="str">
        <f t="shared" si="262"/>
        <v>_</v>
      </c>
      <c r="AE239" s="2" t="s">
        <v>13</v>
      </c>
      <c r="AF239" s="2" t="str">
        <f t="shared" si="263"/>
        <v>_</v>
      </c>
      <c r="AG239" s="2" t="s">
        <v>21</v>
      </c>
      <c r="AH239" s="2" t="str">
        <f t="shared" si="200"/>
        <v/>
      </c>
      <c r="AI239" s="2"/>
    </row>
    <row r="240" spans="2:35" x14ac:dyDescent="0.25">
      <c r="B240" s="2" t="str">
        <f t="shared" si="284"/>
        <v>@color-service_line_paved_or_uk</v>
      </c>
      <c r="C240" s="46" t="s">
        <v>218</v>
      </c>
      <c r="D240" s="38" t="str">
        <f t="shared" si="286"/>
        <v>"#ffffff"</v>
      </c>
      <c r="F240" s="46" t="s">
        <v>218</v>
      </c>
      <c r="G240" s="38" t="str">
        <f t="shared" si="287"/>
        <v>"#ffffff"</v>
      </c>
      <c r="I240" s="38" t="str">
        <f>C240</f>
        <v>"#ffffff"</v>
      </c>
      <c r="J240" s="38" t="str">
        <f t="shared" si="288"/>
        <v>"#ffffff"</v>
      </c>
      <c r="L240" s="46" t="s">
        <v>218</v>
      </c>
      <c r="M240" s="38" t="str">
        <f t="shared" si="289"/>
        <v>"#ffffff"</v>
      </c>
      <c r="U240" s="46" t="s">
        <v>218</v>
      </c>
      <c r="V240" s="38" t="str">
        <f t="shared" ref="V240" si="292">U240</f>
        <v>"#ffffff"</v>
      </c>
      <c r="X240" s="46" t="s">
        <v>218</v>
      </c>
      <c r="Y240" s="38" t="str">
        <f t="shared" ref="Y240" si="293">X240</f>
        <v>"#ffffff"</v>
      </c>
      <c r="AA240" s="2" t="s">
        <v>6</v>
      </c>
      <c r="AB240" s="2" t="str">
        <f t="shared" si="261"/>
        <v>-</v>
      </c>
      <c r="AC240" s="2" t="s">
        <v>30</v>
      </c>
      <c r="AD240" s="2" t="str">
        <f t="shared" si="262"/>
        <v>_</v>
      </c>
      <c r="AE240" s="2" t="s">
        <v>13</v>
      </c>
      <c r="AF240" s="2" t="str">
        <f t="shared" si="263"/>
        <v>_</v>
      </c>
      <c r="AG240" s="2" t="s">
        <v>24</v>
      </c>
      <c r="AH240" s="2" t="str">
        <f t="shared" si="200"/>
        <v/>
      </c>
      <c r="AI240" s="2"/>
    </row>
    <row r="241" spans="2:35" x14ac:dyDescent="0.25">
      <c r="B241" s="2"/>
      <c r="C241" s="26"/>
      <c r="F241" s="26"/>
      <c r="L241" s="26"/>
      <c r="U241" s="26"/>
      <c r="X241" s="26"/>
      <c r="AA241" s="2"/>
      <c r="AB241" s="2"/>
      <c r="AC241" s="2"/>
      <c r="AD241" s="2"/>
      <c r="AE241" s="2"/>
      <c r="AF241" s="2"/>
      <c r="AG241" s="2"/>
      <c r="AH241" s="2"/>
      <c r="AI241" s="2"/>
    </row>
    <row r="242" spans="2:35" x14ac:dyDescent="0.25">
      <c r="B242" s="2" t="str">
        <f t="shared" ref="B242:B243" si="294">_xlfn.CONCAT("@",AA242,AB242,AC242,AD242,AE242,AF242,AG242,AH242,AI242)</f>
        <v>@dasharray-service_case_medium_dash</v>
      </c>
      <c r="C242" s="28" t="s">
        <v>327</v>
      </c>
      <c r="D242" s="28" t="s">
        <v>327</v>
      </c>
      <c r="F242" s="28" t="s">
        <v>327</v>
      </c>
      <c r="G242" s="28" t="s">
        <v>327</v>
      </c>
      <c r="I242" s="28" t="s">
        <v>127</v>
      </c>
      <c r="J242" s="28" t="s">
        <v>127</v>
      </c>
      <c r="L242" s="28" t="s">
        <v>127</v>
      </c>
      <c r="M242" s="28" t="s">
        <v>127</v>
      </c>
      <c r="U242" s="28" t="s">
        <v>327</v>
      </c>
      <c r="V242" s="28" t="s">
        <v>327</v>
      </c>
      <c r="X242" s="28" t="s">
        <v>327</v>
      </c>
      <c r="Y242" s="28" t="s">
        <v>327</v>
      </c>
      <c r="AA242" s="2" t="s">
        <v>371</v>
      </c>
      <c r="AB242" s="2" t="str">
        <f t="shared" ref="AB242:AB243" si="295">IF(NOT(ISBLANK(AC242)),"-","")</f>
        <v>-</v>
      </c>
      <c r="AC242" s="2" t="s">
        <v>30</v>
      </c>
      <c r="AD242" s="2" t="str">
        <f t="shared" ref="AD242:AD243" si="296">IF(NOT(ISBLANK(AE242)),"_","")</f>
        <v>_</v>
      </c>
      <c r="AE242" s="2" t="s">
        <v>17</v>
      </c>
      <c r="AF242" s="2" t="str">
        <f t="shared" ref="AF242:AF243" si="297">IF(NOT(ISBLANK(AG242)),"_","")</f>
        <v>_</v>
      </c>
      <c r="AG242" s="2" t="s">
        <v>75</v>
      </c>
      <c r="AH242" s="2" t="str">
        <f t="shared" ref="AH242:AH243" si="298">IF(NOT(ISBLANK(AI242)),"_","")</f>
        <v>_</v>
      </c>
      <c r="AI242" s="2" t="s">
        <v>373</v>
      </c>
    </row>
    <row r="243" spans="2:35" x14ac:dyDescent="0.25">
      <c r="B243" s="2" t="str">
        <f t="shared" si="294"/>
        <v>@dasharray-service_case_medium_gap</v>
      </c>
      <c r="C243" s="28" t="s">
        <v>375</v>
      </c>
      <c r="D243" s="28" t="s">
        <v>375</v>
      </c>
      <c r="F243" s="28" t="s">
        <v>375</v>
      </c>
      <c r="G243" s="28" t="s">
        <v>375</v>
      </c>
      <c r="I243" s="28" t="s">
        <v>94</v>
      </c>
      <c r="J243" s="28" t="s">
        <v>94</v>
      </c>
      <c r="L243" s="28" t="s">
        <v>94</v>
      </c>
      <c r="M243" s="28" t="s">
        <v>94</v>
      </c>
      <c r="U243" s="28" t="s">
        <v>375</v>
      </c>
      <c r="V243" s="28" t="s">
        <v>375</v>
      </c>
      <c r="X243" s="28" t="s">
        <v>375</v>
      </c>
      <c r="Y243" s="28" t="s">
        <v>375</v>
      </c>
      <c r="AA243" s="2" t="s">
        <v>371</v>
      </c>
      <c r="AB243" s="2" t="str">
        <f t="shared" si="295"/>
        <v>-</v>
      </c>
      <c r="AC243" s="2" t="s">
        <v>30</v>
      </c>
      <c r="AD243" s="2" t="str">
        <f t="shared" si="296"/>
        <v>_</v>
      </c>
      <c r="AE243" s="2" t="s">
        <v>17</v>
      </c>
      <c r="AF243" s="2" t="str">
        <f t="shared" si="297"/>
        <v>_</v>
      </c>
      <c r="AG243" s="2" t="s">
        <v>75</v>
      </c>
      <c r="AH243" s="2" t="str">
        <f t="shared" si="298"/>
        <v>_</v>
      </c>
      <c r="AI243" s="2" t="s">
        <v>374</v>
      </c>
    </row>
    <row r="244" spans="2:35" x14ac:dyDescent="0.25">
      <c r="B244" s="2" t="str">
        <f t="shared" ref="B244" si="299">_xlfn.CONCAT("@",AA244,AB244,AC244,AD244,AE244,AF244,AG244,AH244,AI244)</f>
        <v>@dasharray-service_case_rough_dash</v>
      </c>
      <c r="C244" s="28" t="s">
        <v>327</v>
      </c>
      <c r="D244" s="28" t="s">
        <v>327</v>
      </c>
      <c r="F244" s="28" t="s">
        <v>327</v>
      </c>
      <c r="G244" s="28" t="s">
        <v>327</v>
      </c>
      <c r="I244" s="28" t="s">
        <v>92</v>
      </c>
      <c r="J244" s="28" t="s">
        <v>92</v>
      </c>
      <c r="L244" s="28" t="s">
        <v>92</v>
      </c>
      <c r="M244" s="28" t="s">
        <v>92</v>
      </c>
      <c r="U244" s="28" t="s">
        <v>327</v>
      </c>
      <c r="V244" s="28" t="s">
        <v>327</v>
      </c>
      <c r="X244" s="28" t="s">
        <v>327</v>
      </c>
      <c r="Y244" s="28" t="s">
        <v>327</v>
      </c>
      <c r="AA244" s="2" t="s">
        <v>371</v>
      </c>
      <c r="AB244" s="2" t="str">
        <f t="shared" ref="AB244" si="300">IF(NOT(ISBLANK(AC244)),"-","")</f>
        <v>-</v>
      </c>
      <c r="AC244" s="2" t="s">
        <v>30</v>
      </c>
      <c r="AD244" s="2" t="str">
        <f t="shared" ref="AD244" si="301">IF(NOT(ISBLANK(AE244)),"_","")</f>
        <v>_</v>
      </c>
      <c r="AE244" s="2" t="s">
        <v>17</v>
      </c>
      <c r="AF244" s="2" t="str">
        <f t="shared" ref="AF244" si="302">IF(NOT(ISBLANK(AG244)),"_","")</f>
        <v>_</v>
      </c>
      <c r="AG244" s="2" t="s">
        <v>372</v>
      </c>
      <c r="AH244" s="2" t="str">
        <f t="shared" ref="AH244" si="303">IF(NOT(ISBLANK(AI244)),"_","")</f>
        <v>_</v>
      </c>
      <c r="AI244" s="2" t="s">
        <v>373</v>
      </c>
    </row>
    <row r="245" spans="2:35" x14ac:dyDescent="0.25">
      <c r="B245" s="2" t="str">
        <f t="shared" ref="B245" si="304">_xlfn.CONCAT("@",AA245,AB245,AC245,AD245,AE245,AF245,AG245,AH245,AI245)</f>
        <v>@dasharray-service_case_rough_gap</v>
      </c>
      <c r="C245" s="28" t="s">
        <v>375</v>
      </c>
      <c r="D245" s="28" t="s">
        <v>375</v>
      </c>
      <c r="F245" s="28" t="s">
        <v>375</v>
      </c>
      <c r="G245" s="28" t="s">
        <v>375</v>
      </c>
      <c r="I245" s="28" t="s">
        <v>94</v>
      </c>
      <c r="J245" s="28" t="s">
        <v>94</v>
      </c>
      <c r="L245" s="28" t="s">
        <v>94</v>
      </c>
      <c r="M245" s="28" t="s">
        <v>94</v>
      </c>
      <c r="U245" s="28" t="s">
        <v>375</v>
      </c>
      <c r="V245" s="28" t="s">
        <v>375</v>
      </c>
      <c r="X245" s="28" t="s">
        <v>375</v>
      </c>
      <c r="Y245" s="28" t="s">
        <v>375</v>
      </c>
      <c r="AA245" s="2" t="s">
        <v>371</v>
      </c>
      <c r="AB245" s="2" t="str">
        <f t="shared" ref="AB245" si="305">IF(NOT(ISBLANK(AC245)),"-","")</f>
        <v>-</v>
      </c>
      <c r="AC245" s="2" t="s">
        <v>30</v>
      </c>
      <c r="AD245" s="2" t="str">
        <f t="shared" ref="AD245" si="306">IF(NOT(ISBLANK(AE245)),"_","")</f>
        <v>_</v>
      </c>
      <c r="AE245" s="2" t="s">
        <v>17</v>
      </c>
      <c r="AF245" s="2" t="str">
        <f t="shared" ref="AF245" si="307">IF(NOT(ISBLANK(AG245)),"_","")</f>
        <v>_</v>
      </c>
      <c r="AG245" s="2" t="s">
        <v>372</v>
      </c>
      <c r="AH245" s="2" t="str">
        <f t="shared" ref="AH245" si="308">IF(NOT(ISBLANK(AI245)),"_","")</f>
        <v>_</v>
      </c>
      <c r="AI245" s="2" t="s">
        <v>374</v>
      </c>
    </row>
    <row r="246" spans="2:35" x14ac:dyDescent="0.25">
      <c r="B246" s="2"/>
      <c r="C246" s="110" t="s">
        <v>376</v>
      </c>
      <c r="U246" s="110" t="s">
        <v>376</v>
      </c>
      <c r="AA246" s="2"/>
      <c r="AB246" s="2"/>
      <c r="AC246" s="2"/>
      <c r="AD246" s="2"/>
      <c r="AE246" s="2"/>
      <c r="AF246" s="2"/>
      <c r="AG246" s="2"/>
      <c r="AH246" s="2"/>
      <c r="AI246" s="2"/>
    </row>
    <row r="247" spans="2:35" x14ac:dyDescent="0.25">
      <c r="B247" s="2"/>
      <c r="AB247" s="28" t="str">
        <f t="shared" si="182"/>
        <v/>
      </c>
      <c r="AD247" s="28" t="str">
        <f t="shared" si="189"/>
        <v/>
      </c>
      <c r="AF247" s="28" t="str">
        <f t="shared" si="190"/>
        <v/>
      </c>
      <c r="AH247" s="28" t="str">
        <f t="shared" si="200"/>
        <v/>
      </c>
    </row>
    <row r="248" spans="2:35" x14ac:dyDescent="0.25">
      <c r="B248" s="2" t="str">
        <f t="shared" ref="B248:B253" si="309">_xlfn.CONCAT("@",AA248,AB248,AC248,AD248,AE248,AF248,AG248,AH248,AI248)</f>
        <v>@color-minor_case_unpaved_farzoom</v>
      </c>
      <c r="C248" s="75" t="s">
        <v>221</v>
      </c>
      <c r="D248" s="76" t="s">
        <v>223</v>
      </c>
      <c r="F248" s="76" t="s">
        <v>223</v>
      </c>
      <c r="G248" s="75" t="s">
        <v>221</v>
      </c>
      <c r="I248" s="92" t="str">
        <f t="shared" ref="I248:J251" si="310">C248</f>
        <v>"#b99346"</v>
      </c>
      <c r="J248" s="87" t="str">
        <f t="shared" si="310"/>
        <v>"#644507"</v>
      </c>
      <c r="L248" s="76" t="s">
        <v>223</v>
      </c>
      <c r="M248" s="75" t="s">
        <v>221</v>
      </c>
      <c r="U248" s="78" t="s">
        <v>222</v>
      </c>
      <c r="V248" s="47" t="s">
        <v>210</v>
      </c>
      <c r="X248" s="78" t="s">
        <v>222</v>
      </c>
      <c r="Y248" s="78" t="s">
        <v>222</v>
      </c>
      <c r="AA248" s="2" t="s">
        <v>6</v>
      </c>
      <c r="AB248" s="2" t="str">
        <f t="shared" ref="AB248" si="311">IF(NOT(ISBLANK(AC248)),"-","")</f>
        <v>-</v>
      </c>
      <c r="AC248" s="2" t="s">
        <v>31</v>
      </c>
      <c r="AD248" s="2" t="str">
        <f t="shared" ref="AD248" si="312">IF(NOT(ISBLANK(AE248)),"_","")</f>
        <v>_</v>
      </c>
      <c r="AE248" s="2" t="s">
        <v>17</v>
      </c>
      <c r="AF248" s="2" t="str">
        <f t="shared" ref="AF248" si="313">IF(NOT(ISBLANK(AG248)),"_","")</f>
        <v>_</v>
      </c>
      <c r="AG248" s="2" t="s">
        <v>21</v>
      </c>
      <c r="AH248" s="2" t="str">
        <f t="shared" si="200"/>
        <v>_</v>
      </c>
      <c r="AI248" s="28" t="s">
        <v>20</v>
      </c>
    </row>
    <row r="249" spans="2:35" x14ac:dyDescent="0.25">
      <c r="B249" s="2" t="str">
        <f t="shared" si="309"/>
        <v>@color-minor_case_unpaved_default</v>
      </c>
      <c r="C249" s="76" t="s">
        <v>223</v>
      </c>
      <c r="D249" s="76" t="s">
        <v>223</v>
      </c>
      <c r="F249" s="47" t="s">
        <v>210</v>
      </c>
      <c r="G249" s="47" t="s">
        <v>210</v>
      </c>
      <c r="I249" s="87" t="str">
        <f t="shared" si="310"/>
        <v>"#644507"</v>
      </c>
      <c r="J249" s="87" t="str">
        <f t="shared" si="310"/>
        <v>"#644507"</v>
      </c>
      <c r="L249" s="47" t="s">
        <v>210</v>
      </c>
      <c r="M249" s="47" t="s">
        <v>210</v>
      </c>
      <c r="U249" s="79" t="s">
        <v>214</v>
      </c>
      <c r="V249" s="47" t="s">
        <v>210</v>
      </c>
      <c r="X249" s="47" t="s">
        <v>210</v>
      </c>
      <c r="Y249" s="47" t="s">
        <v>210</v>
      </c>
      <c r="AA249" s="2" t="s">
        <v>6</v>
      </c>
      <c r="AB249" s="2" t="str">
        <f t="shared" si="182"/>
        <v>-</v>
      </c>
      <c r="AC249" s="2" t="s">
        <v>31</v>
      </c>
      <c r="AD249" s="2" t="str">
        <f t="shared" si="189"/>
        <v>_</v>
      </c>
      <c r="AE249" s="2" t="s">
        <v>17</v>
      </c>
      <c r="AF249" s="2" t="str">
        <f t="shared" si="190"/>
        <v>_</v>
      </c>
      <c r="AG249" s="2" t="s">
        <v>21</v>
      </c>
      <c r="AH249" s="2" t="str">
        <f t="shared" si="200"/>
        <v>_</v>
      </c>
      <c r="AI249" s="28" t="s">
        <v>255</v>
      </c>
    </row>
    <row r="250" spans="2:35" x14ac:dyDescent="0.25">
      <c r="B250" s="2" t="str">
        <f t="shared" si="309"/>
        <v>@color-minor_case_paved_or_uk_farzoom</v>
      </c>
      <c r="C250" s="78" t="s">
        <v>222</v>
      </c>
      <c r="D250" s="47" t="s">
        <v>210</v>
      </c>
      <c r="F250" s="78" t="s">
        <v>222</v>
      </c>
      <c r="G250" s="78" t="s">
        <v>222</v>
      </c>
      <c r="I250" s="93" t="str">
        <f t="shared" si="310"/>
        <v>"#808080"</v>
      </c>
      <c r="J250" s="37" t="str">
        <f t="shared" si="310"/>
        <v>"#000000"</v>
      </c>
      <c r="L250" s="78" t="s">
        <v>222</v>
      </c>
      <c r="M250" s="78" t="s">
        <v>222</v>
      </c>
      <c r="U250" s="78" t="s">
        <v>222</v>
      </c>
      <c r="V250" s="47" t="s">
        <v>210</v>
      </c>
      <c r="X250" s="78" t="s">
        <v>222</v>
      </c>
      <c r="Y250" s="78" t="s">
        <v>222</v>
      </c>
      <c r="AA250" s="2" t="s">
        <v>6</v>
      </c>
      <c r="AB250" s="2" t="str">
        <f t="shared" ref="AB250" si="314">IF(NOT(ISBLANK(AC250)),"-","")</f>
        <v>-</v>
      </c>
      <c r="AC250" s="2" t="s">
        <v>31</v>
      </c>
      <c r="AD250" s="2" t="str">
        <f t="shared" ref="AD250" si="315">IF(NOT(ISBLANK(AE250)),"_","")</f>
        <v>_</v>
      </c>
      <c r="AE250" s="2" t="s">
        <v>17</v>
      </c>
      <c r="AF250" s="2" t="str">
        <f t="shared" ref="AF250" si="316">IF(NOT(ISBLANK(AG250)),"_","")</f>
        <v>_</v>
      </c>
      <c r="AG250" s="2" t="s">
        <v>24</v>
      </c>
      <c r="AH250" s="2" t="str">
        <f t="shared" si="200"/>
        <v>_</v>
      </c>
      <c r="AI250" s="28" t="s">
        <v>20</v>
      </c>
    </row>
    <row r="251" spans="2:35" x14ac:dyDescent="0.25">
      <c r="B251" s="2" t="str">
        <f t="shared" si="309"/>
        <v>@color-minor_case_paved_or_uk_default</v>
      </c>
      <c r="C251" s="79" t="s">
        <v>214</v>
      </c>
      <c r="D251" s="47" t="s">
        <v>210</v>
      </c>
      <c r="F251" s="47" t="s">
        <v>210</v>
      </c>
      <c r="G251" s="47" t="s">
        <v>210</v>
      </c>
      <c r="I251" s="94" t="str">
        <f t="shared" si="310"/>
        <v>"#404040"</v>
      </c>
      <c r="J251" s="37" t="str">
        <f t="shared" si="310"/>
        <v>"#000000"</v>
      </c>
      <c r="L251" s="47" t="s">
        <v>210</v>
      </c>
      <c r="M251" s="47" t="s">
        <v>210</v>
      </c>
      <c r="U251" s="79" t="s">
        <v>214</v>
      </c>
      <c r="V251" s="47" t="s">
        <v>210</v>
      </c>
      <c r="X251" s="47" t="s">
        <v>210</v>
      </c>
      <c r="Y251" s="47" t="s">
        <v>210</v>
      </c>
      <c r="AA251" s="2" t="s">
        <v>6</v>
      </c>
      <c r="AB251" s="2" t="str">
        <f t="shared" si="182"/>
        <v>-</v>
      </c>
      <c r="AC251" s="2" t="s">
        <v>31</v>
      </c>
      <c r="AD251" s="2" t="str">
        <f t="shared" si="189"/>
        <v>_</v>
      </c>
      <c r="AE251" s="2" t="s">
        <v>17</v>
      </c>
      <c r="AF251" s="2" t="str">
        <f t="shared" si="190"/>
        <v>_</v>
      </c>
      <c r="AG251" s="2" t="s">
        <v>24</v>
      </c>
      <c r="AH251" s="2" t="str">
        <f t="shared" si="200"/>
        <v>_</v>
      </c>
      <c r="AI251" s="28" t="s">
        <v>255</v>
      </c>
    </row>
    <row r="252" spans="2:35" x14ac:dyDescent="0.25">
      <c r="B252" s="2" t="str">
        <f t="shared" si="309"/>
        <v>@color-minor_line_unpaved</v>
      </c>
      <c r="C252" s="80" t="s">
        <v>217</v>
      </c>
      <c r="D252" s="38" t="str">
        <f t="shared" ref="D252:D253" si="317">C252</f>
        <v>"#eddfca"</v>
      </c>
      <c r="F252" s="80" t="s">
        <v>217</v>
      </c>
      <c r="G252" s="38" t="str">
        <f t="shared" ref="G252:G253" si="318">F252</f>
        <v>"#eddfca"</v>
      </c>
      <c r="I252" s="81" t="str">
        <f>C252</f>
        <v>"#eddfca"</v>
      </c>
      <c r="J252" s="38" t="str">
        <f t="shared" ref="J252:J253" si="319">C252</f>
        <v>"#eddfca"</v>
      </c>
      <c r="L252" s="80" t="s">
        <v>217</v>
      </c>
      <c r="M252" s="38" t="str">
        <f t="shared" ref="M252:M253" si="320">L252</f>
        <v>"#eddfca"</v>
      </c>
      <c r="U252" s="46" t="s">
        <v>218</v>
      </c>
      <c r="V252" s="38" t="str">
        <f t="shared" ref="V252" si="321">U252</f>
        <v>"#ffffff"</v>
      </c>
      <c r="X252" s="46" t="s">
        <v>218</v>
      </c>
      <c r="Y252" s="38" t="str">
        <f t="shared" ref="Y252" si="322">X252</f>
        <v>"#ffffff"</v>
      </c>
      <c r="AA252" s="2" t="s">
        <v>6</v>
      </c>
      <c r="AB252" s="2" t="str">
        <f t="shared" si="182"/>
        <v>-</v>
      </c>
      <c r="AC252" s="2" t="s">
        <v>31</v>
      </c>
      <c r="AD252" s="2" t="str">
        <f t="shared" si="189"/>
        <v>_</v>
      </c>
      <c r="AE252" s="2" t="s">
        <v>13</v>
      </c>
      <c r="AF252" s="2" t="str">
        <f t="shared" si="190"/>
        <v>_</v>
      </c>
      <c r="AG252" s="2" t="s">
        <v>21</v>
      </c>
      <c r="AH252" s="2" t="str">
        <f t="shared" si="200"/>
        <v/>
      </c>
      <c r="AI252" s="2"/>
    </row>
    <row r="253" spans="2:35" x14ac:dyDescent="0.25">
      <c r="B253" s="2" t="str">
        <f t="shared" si="309"/>
        <v>@color-minor_line_paved_or_uk</v>
      </c>
      <c r="C253" s="46" t="s">
        <v>218</v>
      </c>
      <c r="D253" s="38" t="str">
        <f t="shared" si="317"/>
        <v>"#ffffff"</v>
      </c>
      <c r="F253" s="46" t="s">
        <v>218</v>
      </c>
      <c r="G253" s="38" t="str">
        <f t="shared" si="318"/>
        <v>"#ffffff"</v>
      </c>
      <c r="I253" s="38" t="str">
        <f>C253</f>
        <v>"#ffffff"</v>
      </c>
      <c r="J253" s="38" t="str">
        <f t="shared" si="319"/>
        <v>"#ffffff"</v>
      </c>
      <c r="L253" s="46" t="s">
        <v>218</v>
      </c>
      <c r="M253" s="38" t="str">
        <f t="shared" si="320"/>
        <v>"#ffffff"</v>
      </c>
      <c r="U253" s="46" t="s">
        <v>218</v>
      </c>
      <c r="V253" s="38" t="str">
        <f t="shared" ref="V253" si="323">U253</f>
        <v>"#ffffff"</v>
      </c>
      <c r="X253" s="46" t="s">
        <v>218</v>
      </c>
      <c r="Y253" s="38" t="str">
        <f t="shared" ref="Y253" si="324">X253</f>
        <v>"#ffffff"</v>
      </c>
      <c r="AA253" s="2" t="s">
        <v>6</v>
      </c>
      <c r="AB253" s="2" t="str">
        <f t="shared" si="182"/>
        <v>-</v>
      </c>
      <c r="AC253" s="2" t="s">
        <v>31</v>
      </c>
      <c r="AD253" s="2" t="str">
        <f t="shared" si="189"/>
        <v>_</v>
      </c>
      <c r="AE253" s="2" t="s">
        <v>13</v>
      </c>
      <c r="AF253" s="2" t="str">
        <f t="shared" si="190"/>
        <v>_</v>
      </c>
      <c r="AG253" s="2" t="s">
        <v>24</v>
      </c>
      <c r="AH253" s="2" t="str">
        <f t="shared" si="200"/>
        <v/>
      </c>
      <c r="AI253" s="2"/>
    </row>
    <row r="254" spans="2:35" x14ac:dyDescent="0.25">
      <c r="B254" s="2"/>
      <c r="C254" s="26"/>
      <c r="F254" s="26"/>
      <c r="L254" s="26"/>
      <c r="U254" s="26"/>
      <c r="X254" s="26"/>
      <c r="AA254" s="2"/>
      <c r="AB254" s="2"/>
      <c r="AC254" s="2"/>
      <c r="AD254" s="2"/>
      <c r="AE254" s="2"/>
      <c r="AF254" s="2"/>
      <c r="AG254" s="2"/>
      <c r="AH254" s="2"/>
      <c r="AI254" s="2"/>
    </row>
    <row r="255" spans="2:35" x14ac:dyDescent="0.25">
      <c r="B255" s="2" t="str">
        <f t="shared" ref="B255:B258" si="325">_xlfn.CONCAT("@",AA255,AB255,AC255,AD255,AE255,AF255,AG255,AH255,AI255)</f>
        <v>@dasharray-minor_case_medium_dash</v>
      </c>
      <c r="C255" s="28" t="s">
        <v>327</v>
      </c>
      <c r="D255" s="28" t="s">
        <v>327</v>
      </c>
      <c r="F255" s="28" t="s">
        <v>327</v>
      </c>
      <c r="G255" s="28" t="s">
        <v>327</v>
      </c>
      <c r="I255" s="28" t="s">
        <v>127</v>
      </c>
      <c r="J255" s="28" t="s">
        <v>127</v>
      </c>
      <c r="L255" s="28" t="s">
        <v>127</v>
      </c>
      <c r="M255" s="28" t="s">
        <v>127</v>
      </c>
      <c r="U255" s="28" t="s">
        <v>327</v>
      </c>
      <c r="V255" s="28" t="s">
        <v>327</v>
      </c>
      <c r="X255" s="28" t="s">
        <v>327</v>
      </c>
      <c r="Y255" s="28" t="s">
        <v>327</v>
      </c>
      <c r="AA255" s="2" t="s">
        <v>371</v>
      </c>
      <c r="AB255" s="2" t="str">
        <f t="shared" ref="AB255:AB258" si="326">IF(NOT(ISBLANK(AC255)),"-","")</f>
        <v>-</v>
      </c>
      <c r="AC255" s="2" t="s">
        <v>31</v>
      </c>
      <c r="AD255" s="2" t="str">
        <f t="shared" ref="AD255:AD258" si="327">IF(NOT(ISBLANK(AE255)),"_","")</f>
        <v>_</v>
      </c>
      <c r="AE255" s="2" t="s">
        <v>17</v>
      </c>
      <c r="AF255" s="2" t="str">
        <f t="shared" ref="AF255:AF258" si="328">IF(NOT(ISBLANK(AG255)),"_","")</f>
        <v>_</v>
      </c>
      <c r="AG255" s="2" t="s">
        <v>75</v>
      </c>
      <c r="AH255" s="2" t="str">
        <f t="shared" ref="AH255:AH258" si="329">IF(NOT(ISBLANK(AI255)),"_","")</f>
        <v>_</v>
      </c>
      <c r="AI255" s="2" t="s">
        <v>373</v>
      </c>
    </row>
    <row r="256" spans="2:35" x14ac:dyDescent="0.25">
      <c r="B256" s="2" t="str">
        <f t="shared" si="325"/>
        <v>@dasharray-minor_case_medium_gap</v>
      </c>
      <c r="C256" s="28" t="s">
        <v>375</v>
      </c>
      <c r="D256" s="28" t="s">
        <v>375</v>
      </c>
      <c r="F256" s="28" t="s">
        <v>375</v>
      </c>
      <c r="G256" s="28" t="s">
        <v>375</v>
      </c>
      <c r="I256" s="28" t="s">
        <v>94</v>
      </c>
      <c r="J256" s="28" t="s">
        <v>94</v>
      </c>
      <c r="L256" s="28" t="s">
        <v>94</v>
      </c>
      <c r="M256" s="28" t="s">
        <v>94</v>
      </c>
      <c r="U256" s="28" t="s">
        <v>375</v>
      </c>
      <c r="V256" s="28" t="s">
        <v>375</v>
      </c>
      <c r="X256" s="28" t="s">
        <v>375</v>
      </c>
      <c r="Y256" s="28" t="s">
        <v>375</v>
      </c>
      <c r="AA256" s="2" t="s">
        <v>371</v>
      </c>
      <c r="AB256" s="2" t="str">
        <f t="shared" si="326"/>
        <v>-</v>
      </c>
      <c r="AC256" s="2" t="s">
        <v>31</v>
      </c>
      <c r="AD256" s="2" t="str">
        <f t="shared" si="327"/>
        <v>_</v>
      </c>
      <c r="AE256" s="2" t="s">
        <v>17</v>
      </c>
      <c r="AF256" s="2" t="str">
        <f t="shared" si="328"/>
        <v>_</v>
      </c>
      <c r="AG256" s="2" t="s">
        <v>75</v>
      </c>
      <c r="AH256" s="2" t="str">
        <f t="shared" si="329"/>
        <v>_</v>
      </c>
      <c r="AI256" s="2" t="s">
        <v>374</v>
      </c>
    </row>
    <row r="257" spans="1:35" x14ac:dyDescent="0.25">
      <c r="B257" s="2" t="str">
        <f t="shared" si="325"/>
        <v>@dasharray-minor_case_rough_dash</v>
      </c>
      <c r="C257" s="28" t="s">
        <v>327</v>
      </c>
      <c r="D257" s="28" t="s">
        <v>327</v>
      </c>
      <c r="F257" s="28" t="s">
        <v>327</v>
      </c>
      <c r="G257" s="28" t="s">
        <v>327</v>
      </c>
      <c r="I257" s="28" t="s">
        <v>92</v>
      </c>
      <c r="J257" s="28" t="s">
        <v>92</v>
      </c>
      <c r="L257" s="28" t="s">
        <v>92</v>
      </c>
      <c r="M257" s="28" t="s">
        <v>92</v>
      </c>
      <c r="U257" s="28" t="s">
        <v>327</v>
      </c>
      <c r="V257" s="28" t="s">
        <v>327</v>
      </c>
      <c r="X257" s="28" t="s">
        <v>327</v>
      </c>
      <c r="Y257" s="28" t="s">
        <v>327</v>
      </c>
      <c r="AA257" s="2" t="s">
        <v>371</v>
      </c>
      <c r="AB257" s="2" t="str">
        <f t="shared" si="326"/>
        <v>-</v>
      </c>
      <c r="AC257" s="2" t="s">
        <v>31</v>
      </c>
      <c r="AD257" s="2" t="str">
        <f t="shared" si="327"/>
        <v>_</v>
      </c>
      <c r="AE257" s="2" t="s">
        <v>17</v>
      </c>
      <c r="AF257" s="2" t="str">
        <f t="shared" si="328"/>
        <v>_</v>
      </c>
      <c r="AG257" s="2" t="s">
        <v>372</v>
      </c>
      <c r="AH257" s="2" t="str">
        <f t="shared" si="329"/>
        <v>_</v>
      </c>
      <c r="AI257" s="2" t="s">
        <v>373</v>
      </c>
    </row>
    <row r="258" spans="1:35" x14ac:dyDescent="0.25">
      <c r="B258" s="2" t="str">
        <f t="shared" si="325"/>
        <v>@dasharray-minor_case_rough_gap</v>
      </c>
      <c r="C258" s="28" t="s">
        <v>375</v>
      </c>
      <c r="D258" s="28" t="s">
        <v>375</v>
      </c>
      <c r="F258" s="28" t="s">
        <v>375</v>
      </c>
      <c r="G258" s="28" t="s">
        <v>375</v>
      </c>
      <c r="I258" s="28" t="s">
        <v>94</v>
      </c>
      <c r="J258" s="28" t="s">
        <v>94</v>
      </c>
      <c r="L258" s="28" t="s">
        <v>94</v>
      </c>
      <c r="M258" s="28" t="s">
        <v>94</v>
      </c>
      <c r="U258" s="28" t="s">
        <v>375</v>
      </c>
      <c r="V258" s="28" t="s">
        <v>375</v>
      </c>
      <c r="X258" s="28" t="s">
        <v>375</v>
      </c>
      <c r="Y258" s="28" t="s">
        <v>375</v>
      </c>
      <c r="AA258" s="2" t="s">
        <v>371</v>
      </c>
      <c r="AB258" s="2" t="str">
        <f t="shared" si="326"/>
        <v>-</v>
      </c>
      <c r="AC258" s="2" t="s">
        <v>31</v>
      </c>
      <c r="AD258" s="2" t="str">
        <f t="shared" si="327"/>
        <v>_</v>
      </c>
      <c r="AE258" s="2" t="s">
        <v>17</v>
      </c>
      <c r="AF258" s="2" t="str">
        <f t="shared" si="328"/>
        <v>_</v>
      </c>
      <c r="AG258" s="2" t="s">
        <v>372</v>
      </c>
      <c r="AH258" s="2" t="str">
        <f t="shared" si="329"/>
        <v>_</v>
      </c>
      <c r="AI258" s="2" t="s">
        <v>374</v>
      </c>
    </row>
    <row r="259" spans="1:35" x14ac:dyDescent="0.25">
      <c r="B259" s="2"/>
      <c r="AB259" s="28" t="str">
        <f t="shared" si="182"/>
        <v/>
      </c>
      <c r="AD259" s="28" t="str">
        <f t="shared" si="189"/>
        <v/>
      </c>
      <c r="AF259" s="28" t="str">
        <f t="shared" si="190"/>
        <v/>
      </c>
      <c r="AH259" s="28" t="str">
        <f t="shared" si="200"/>
        <v/>
      </c>
    </row>
    <row r="260" spans="1:35" s="2" customFormat="1" x14ac:dyDescent="0.25">
      <c r="A260" s="185"/>
      <c r="B260" s="3" t="s">
        <v>456</v>
      </c>
      <c r="C260" s="27"/>
      <c r="D260" s="6"/>
      <c r="E260" s="7"/>
      <c r="F260" s="6"/>
      <c r="G260" s="6"/>
      <c r="H260" s="7"/>
      <c r="I260" s="6"/>
      <c r="J260" s="6"/>
      <c r="K260" s="7"/>
      <c r="L260" s="6"/>
      <c r="M260" s="6"/>
      <c r="N260" s="7"/>
      <c r="O260" s="6"/>
      <c r="P260" s="6"/>
      <c r="Q260" s="7"/>
      <c r="R260" s="6"/>
      <c r="S260" s="6"/>
      <c r="T260" s="7"/>
      <c r="U260" s="6"/>
      <c r="V260" s="6"/>
      <c r="W260" s="7"/>
      <c r="X260" s="6"/>
      <c r="Y260" s="6"/>
      <c r="AA260" s="4"/>
      <c r="AB260" s="4" t="str">
        <f t="shared" si="182"/>
        <v/>
      </c>
      <c r="AC260" s="4"/>
      <c r="AD260" s="4" t="str">
        <f t="shared" si="189"/>
        <v/>
      </c>
      <c r="AE260" s="4"/>
      <c r="AF260" s="4" t="str">
        <f t="shared" si="190"/>
        <v/>
      </c>
      <c r="AG260" s="4"/>
      <c r="AH260" s="4" t="str">
        <f t="shared" si="200"/>
        <v/>
      </c>
      <c r="AI260" s="4"/>
    </row>
    <row r="261" spans="1:35" x14ac:dyDescent="0.25">
      <c r="AB261" s="28" t="str">
        <f t="shared" ref="AB261" si="330">IF(NOT(ISBLANK(AC261)),"-","")</f>
        <v/>
      </c>
      <c r="AD261" s="28" t="str">
        <f t="shared" ref="AD261" si="331">IF(NOT(ISBLANK(AE261)),"_","")</f>
        <v/>
      </c>
      <c r="AF261" s="2" t="str">
        <f t="shared" ref="AF261" si="332">IF(NOT(ISBLANK(AG261)),"_","")</f>
        <v/>
      </c>
      <c r="AH261" s="2" t="str">
        <f t="shared" ref="AH261" si="333">IF(NOT(ISBLANK(AI261)),"_","")</f>
        <v/>
      </c>
    </row>
    <row r="262" spans="1:35" x14ac:dyDescent="0.25">
      <c r="B262" s="2" t="str">
        <f t="shared" ref="B262:B268" si="334">_xlfn.CONCAT("@",AA262,AB262,AC262,AD262,AE262,AF262,AG262,AH262,AI262)</f>
        <v>@color-motorway_link_line</v>
      </c>
      <c r="C262" s="71" t="s">
        <v>209</v>
      </c>
      <c r="D262" s="72" t="s">
        <v>211</v>
      </c>
      <c r="F262" s="70" t="s">
        <v>211</v>
      </c>
      <c r="G262" s="70" t="s">
        <v>211</v>
      </c>
      <c r="I262" s="71" t="s">
        <v>209</v>
      </c>
      <c r="J262" s="72" t="s">
        <v>211</v>
      </c>
      <c r="L262" s="70" t="s">
        <v>211</v>
      </c>
      <c r="M262" s="70" t="s">
        <v>211</v>
      </c>
      <c r="O262" s="71" t="s">
        <v>209</v>
      </c>
      <c r="P262" s="72" t="s">
        <v>211</v>
      </c>
      <c r="R262" s="70" t="s">
        <v>211</v>
      </c>
      <c r="S262" s="70" t="s">
        <v>211</v>
      </c>
      <c r="U262" s="71" t="s">
        <v>209</v>
      </c>
      <c r="V262" s="72" t="s">
        <v>211</v>
      </c>
      <c r="X262" s="70" t="s">
        <v>211</v>
      </c>
      <c r="Y262" s="70" t="s">
        <v>211</v>
      </c>
      <c r="AA262" s="2" t="s">
        <v>6</v>
      </c>
      <c r="AB262" s="2" t="str">
        <f t="shared" si="182"/>
        <v>-</v>
      </c>
      <c r="AC262" s="2" t="s">
        <v>33</v>
      </c>
      <c r="AD262" s="2" t="str">
        <f t="shared" si="189"/>
        <v>_</v>
      </c>
      <c r="AE262" s="2" t="s">
        <v>13</v>
      </c>
      <c r="AF262" s="2" t="str">
        <f t="shared" si="190"/>
        <v/>
      </c>
      <c r="AG262" s="2"/>
      <c r="AH262" s="2" t="str">
        <f t="shared" si="200"/>
        <v/>
      </c>
      <c r="AI262" s="2"/>
    </row>
    <row r="263" spans="1:35" x14ac:dyDescent="0.25">
      <c r="B263" s="2" t="str">
        <f t="shared" si="334"/>
        <v>@color-motorway_link_case</v>
      </c>
      <c r="C263" s="68" t="s">
        <v>208</v>
      </c>
      <c r="D263" s="37" t="s">
        <v>210</v>
      </c>
      <c r="F263" s="47" t="s">
        <v>210</v>
      </c>
      <c r="G263" s="47" t="s">
        <v>210</v>
      </c>
      <c r="I263" s="68" t="s">
        <v>208</v>
      </c>
      <c r="J263" s="37" t="s">
        <v>210</v>
      </c>
      <c r="L263" s="47" t="s">
        <v>210</v>
      </c>
      <c r="M263" s="47" t="s">
        <v>210</v>
      </c>
      <c r="O263" s="68" t="s">
        <v>208</v>
      </c>
      <c r="P263" s="37" t="s">
        <v>210</v>
      </c>
      <c r="R263" s="47" t="s">
        <v>210</v>
      </c>
      <c r="S263" s="47" t="s">
        <v>210</v>
      </c>
      <c r="U263" s="68" t="s">
        <v>208</v>
      </c>
      <c r="V263" s="37" t="s">
        <v>210</v>
      </c>
      <c r="X263" s="47" t="s">
        <v>210</v>
      </c>
      <c r="Y263" s="47" t="s">
        <v>210</v>
      </c>
      <c r="AA263" s="2" t="s">
        <v>6</v>
      </c>
      <c r="AB263" s="2" t="str">
        <f t="shared" si="182"/>
        <v>-</v>
      </c>
      <c r="AC263" s="2" t="s">
        <v>33</v>
      </c>
      <c r="AD263" s="2" t="str">
        <f t="shared" si="189"/>
        <v>_</v>
      </c>
      <c r="AE263" s="2" t="s">
        <v>17</v>
      </c>
      <c r="AF263" s="2" t="str">
        <f t="shared" si="190"/>
        <v/>
      </c>
      <c r="AG263" s="2"/>
      <c r="AH263" s="2" t="str">
        <f t="shared" si="200"/>
        <v/>
      </c>
      <c r="AI263" s="2"/>
    </row>
    <row r="264" spans="1:35" x14ac:dyDescent="0.25">
      <c r="B264" s="2"/>
      <c r="AB264" s="28" t="str">
        <f t="shared" ref="AB264" si="335">IF(NOT(ISBLANK(AC264)),"-","")</f>
        <v/>
      </c>
      <c r="AD264" s="28" t="str">
        <f t="shared" ref="AD264" si="336">IF(NOT(ISBLANK(AE264)),"_","")</f>
        <v/>
      </c>
      <c r="AF264" s="28" t="str">
        <f t="shared" ref="AF264" si="337">IF(NOT(ISBLANK(AG264)),"_","")</f>
        <v/>
      </c>
      <c r="AH264" s="28" t="str">
        <f t="shared" ref="AH264" si="338">IF(NOT(ISBLANK(AI264)),"_","")</f>
        <v/>
      </c>
    </row>
    <row r="265" spans="1:35" x14ac:dyDescent="0.25">
      <c r="B265" s="2" t="str">
        <f t="shared" si="334"/>
        <v>@color-trunk_primary_secondary_tertiary_link_line_bicycle_no</v>
      </c>
      <c r="C265" s="82" t="s">
        <v>225</v>
      </c>
      <c r="D265" s="70" t="s">
        <v>211</v>
      </c>
      <c r="F265" s="82" t="s">
        <v>225</v>
      </c>
      <c r="G265" s="70" t="s">
        <v>211</v>
      </c>
      <c r="I265" s="83" t="str">
        <f>C265</f>
        <v>"#ffcc8a"</v>
      </c>
      <c r="J265" s="72" t="str">
        <f>D265</f>
        <v>"#d6771e"</v>
      </c>
      <c r="L265" s="82" t="s">
        <v>225</v>
      </c>
      <c r="M265" s="70" t="s">
        <v>211</v>
      </c>
      <c r="U265" s="82" t="s">
        <v>225</v>
      </c>
      <c r="V265" s="70" t="s">
        <v>211</v>
      </c>
      <c r="X265" s="82" t="s">
        <v>225</v>
      </c>
      <c r="Y265" s="70" t="s">
        <v>211</v>
      </c>
      <c r="AA265" s="2" t="s">
        <v>6</v>
      </c>
      <c r="AB265" s="2" t="str">
        <f t="shared" si="182"/>
        <v>-</v>
      </c>
      <c r="AC265" s="2" t="s">
        <v>32</v>
      </c>
      <c r="AD265" s="2" t="str">
        <f t="shared" si="189"/>
        <v>_</v>
      </c>
      <c r="AE265" s="2" t="s">
        <v>13</v>
      </c>
      <c r="AF265" s="2" t="str">
        <f t="shared" si="190"/>
        <v>_</v>
      </c>
      <c r="AG265" s="2" t="s">
        <v>23</v>
      </c>
      <c r="AH265" s="2" t="str">
        <f t="shared" si="200"/>
        <v/>
      </c>
      <c r="AI265" s="2"/>
    </row>
    <row r="266" spans="1:35" x14ac:dyDescent="0.25">
      <c r="B266" s="2" t="str">
        <f t="shared" si="334"/>
        <v>@color-trunk_primary_secondary_tertiary_link_line_unpaved</v>
      </c>
      <c r="C266" s="81" t="s">
        <v>217</v>
      </c>
      <c r="D266" s="81" t="str">
        <f>C266</f>
        <v>"#eddfca"</v>
      </c>
      <c r="F266" s="81" t="s">
        <v>217</v>
      </c>
      <c r="G266" s="81" t="str">
        <f>F266</f>
        <v>"#eddfca"</v>
      </c>
      <c r="I266" s="81" t="s">
        <v>217</v>
      </c>
      <c r="J266" s="81" t="str">
        <f>I266</f>
        <v>"#eddfca"</v>
      </c>
      <c r="L266" s="81" t="s">
        <v>217</v>
      </c>
      <c r="M266" s="81" t="str">
        <f>L266</f>
        <v>"#eddfca"</v>
      </c>
      <c r="U266" s="46" t="s">
        <v>218</v>
      </c>
      <c r="V266" s="38" t="str">
        <f>U266</f>
        <v>"#ffffff"</v>
      </c>
      <c r="X266" s="46" t="s">
        <v>218</v>
      </c>
      <c r="Y266" s="38" t="str">
        <f>X266</f>
        <v>"#ffffff"</v>
      </c>
      <c r="AA266" s="2" t="s">
        <v>6</v>
      </c>
      <c r="AB266" s="2" t="str">
        <f t="shared" si="182"/>
        <v>-</v>
      </c>
      <c r="AC266" s="2" t="s">
        <v>32</v>
      </c>
      <c r="AD266" s="2" t="str">
        <f t="shared" si="189"/>
        <v>_</v>
      </c>
      <c r="AE266" s="2" t="s">
        <v>13</v>
      </c>
      <c r="AF266" s="2" t="str">
        <f t="shared" si="190"/>
        <v>_</v>
      </c>
      <c r="AG266" s="2" t="s">
        <v>21</v>
      </c>
      <c r="AH266" s="2" t="str">
        <f t="shared" si="200"/>
        <v/>
      </c>
      <c r="AI266" s="2"/>
    </row>
    <row r="267" spans="1:35" x14ac:dyDescent="0.25">
      <c r="B267" s="2" t="str">
        <f t="shared" si="334"/>
        <v>@color-trunk_primary_secondary_tertiary_link_line_paved_or_uk</v>
      </c>
      <c r="C267" s="46" t="s">
        <v>218</v>
      </c>
      <c r="D267" s="38" t="str">
        <f>C267</f>
        <v>"#ffffff"</v>
      </c>
      <c r="F267" s="46" t="s">
        <v>218</v>
      </c>
      <c r="G267" s="38" t="str">
        <f>F267</f>
        <v>"#ffffff"</v>
      </c>
      <c r="I267" s="46" t="s">
        <v>218</v>
      </c>
      <c r="J267" s="38" t="str">
        <f>I267</f>
        <v>"#ffffff"</v>
      </c>
      <c r="L267" s="46" t="s">
        <v>218</v>
      </c>
      <c r="M267" s="38" t="str">
        <f>L267</f>
        <v>"#ffffff"</v>
      </c>
      <c r="U267" s="46" t="s">
        <v>218</v>
      </c>
      <c r="V267" s="38" t="str">
        <f>U267</f>
        <v>"#ffffff"</v>
      </c>
      <c r="X267" s="46" t="s">
        <v>218</v>
      </c>
      <c r="Y267" s="38" t="str">
        <f>X267</f>
        <v>"#ffffff"</v>
      </c>
      <c r="AA267" s="2" t="s">
        <v>6</v>
      </c>
      <c r="AB267" s="2" t="str">
        <f t="shared" si="182"/>
        <v>-</v>
      </c>
      <c r="AC267" s="2" t="s">
        <v>32</v>
      </c>
      <c r="AD267" s="2" t="str">
        <f t="shared" si="189"/>
        <v>_</v>
      </c>
      <c r="AE267" s="2" t="s">
        <v>13</v>
      </c>
      <c r="AF267" s="2" t="str">
        <f t="shared" si="190"/>
        <v>_</v>
      </c>
      <c r="AG267" s="2" t="s">
        <v>24</v>
      </c>
      <c r="AH267" s="2" t="str">
        <f t="shared" si="200"/>
        <v/>
      </c>
      <c r="AI267" s="2"/>
    </row>
    <row r="268" spans="1:35" x14ac:dyDescent="0.25">
      <c r="B268" s="2" t="str">
        <f t="shared" si="334"/>
        <v>@color-trunk_primary_secondary_tertiary_link_case_bicycle_no_farzoom</v>
      </c>
      <c r="C268" s="73" t="s">
        <v>220</v>
      </c>
      <c r="D268" s="47" t="s">
        <v>210</v>
      </c>
      <c r="F268" s="73" t="s">
        <v>220</v>
      </c>
      <c r="G268" s="73" t="s">
        <v>220</v>
      </c>
      <c r="I268" s="74" t="str">
        <f>C268</f>
        <v>"#bd430f"</v>
      </c>
      <c r="J268" s="37" t="str">
        <f>D268</f>
        <v>"#000000"</v>
      </c>
      <c r="L268" s="73" t="s">
        <v>220</v>
      </c>
      <c r="M268" s="73" t="s">
        <v>220</v>
      </c>
      <c r="U268" s="73" t="s">
        <v>220</v>
      </c>
      <c r="V268" s="47" t="s">
        <v>210</v>
      </c>
      <c r="X268" s="73" t="s">
        <v>220</v>
      </c>
      <c r="Y268" s="73" t="s">
        <v>220</v>
      </c>
      <c r="AA268" s="2" t="s">
        <v>6</v>
      </c>
      <c r="AB268" s="2" t="str">
        <f t="shared" ref="AB268" si="339">IF(NOT(ISBLANK(AC268)),"-","")</f>
        <v>-</v>
      </c>
      <c r="AC268" s="2" t="s">
        <v>32</v>
      </c>
      <c r="AD268" s="2" t="str">
        <f t="shared" ref="AD268" si="340">IF(NOT(ISBLANK(AE268)),"_","")</f>
        <v>_</v>
      </c>
      <c r="AE268" s="2" t="s">
        <v>17</v>
      </c>
      <c r="AF268" s="2" t="str">
        <f t="shared" ref="AF268" si="341">IF(NOT(ISBLANK(AG268)),"_","")</f>
        <v>_</v>
      </c>
      <c r="AG268" s="2" t="s">
        <v>23</v>
      </c>
      <c r="AH268" s="2" t="str">
        <f t="shared" si="200"/>
        <v>_</v>
      </c>
      <c r="AI268" s="2" t="s">
        <v>20</v>
      </c>
    </row>
    <row r="269" spans="1:35" x14ac:dyDescent="0.25">
      <c r="B269" s="2" t="str">
        <f t="shared" ref="B269:B273" si="342">_xlfn.CONCAT("@",AA269,AB269,AC269,AD269,AE269,AF269,AG269,AH269,AI269)</f>
        <v>@color-trunk_primary_secondary_tertiary_link_case_bicycle_no_default</v>
      </c>
      <c r="C269" s="73" t="s">
        <v>220</v>
      </c>
      <c r="D269" s="47" t="s">
        <v>210</v>
      </c>
      <c r="F269" s="47" t="s">
        <v>210</v>
      </c>
      <c r="G269" s="47" t="s">
        <v>210</v>
      </c>
      <c r="I269" s="74" t="str">
        <f>C269</f>
        <v>"#bd430f"</v>
      </c>
      <c r="J269" s="37" t="str">
        <f>D269</f>
        <v>"#000000"</v>
      </c>
      <c r="L269" s="47" t="s">
        <v>210</v>
      </c>
      <c r="M269" s="47" t="s">
        <v>210</v>
      </c>
      <c r="U269" s="73" t="s">
        <v>220</v>
      </c>
      <c r="V269" s="47" t="s">
        <v>210</v>
      </c>
      <c r="X269" s="47" t="s">
        <v>210</v>
      </c>
      <c r="Y269" s="47" t="s">
        <v>210</v>
      </c>
      <c r="AA269" s="2" t="s">
        <v>6</v>
      </c>
      <c r="AB269" s="2" t="str">
        <f t="shared" ref="AB269:AB273" si="343">IF(NOT(ISBLANK(AC269)),"-","")</f>
        <v>-</v>
      </c>
      <c r="AC269" s="2" t="s">
        <v>32</v>
      </c>
      <c r="AD269" s="2" t="str">
        <f t="shared" ref="AD269:AD273" si="344">IF(NOT(ISBLANK(AE269)),"_","")</f>
        <v>_</v>
      </c>
      <c r="AE269" s="2" t="s">
        <v>17</v>
      </c>
      <c r="AF269" s="2" t="str">
        <f t="shared" ref="AF269:AF273" si="345">IF(NOT(ISBLANK(AG269)),"_","")</f>
        <v>_</v>
      </c>
      <c r="AG269" s="2" t="s">
        <v>23</v>
      </c>
      <c r="AH269" s="2" t="str">
        <f t="shared" ref="AH269:AH273" si="346">IF(NOT(ISBLANK(AI269)),"_","")</f>
        <v>_</v>
      </c>
      <c r="AI269" s="2" t="s">
        <v>255</v>
      </c>
    </row>
    <row r="270" spans="1:35" x14ac:dyDescent="0.25">
      <c r="B270" s="2" t="str">
        <f t="shared" ref="B270" si="347">_xlfn.CONCAT("@",AA270,AB270,AC270,AD270,AE270,AF270,AG270,AH270,AI270)</f>
        <v>@color-trunk_primary_secondary_tertiary_link_case_unpaved_farzoom</v>
      </c>
      <c r="C270" s="75" t="s">
        <v>221</v>
      </c>
      <c r="D270" s="76" t="s">
        <v>223</v>
      </c>
      <c r="F270" s="76" t="s">
        <v>223</v>
      </c>
      <c r="G270" s="75" t="s">
        <v>221</v>
      </c>
      <c r="I270" s="75" t="s">
        <v>221</v>
      </c>
      <c r="J270" s="76" t="s">
        <v>223</v>
      </c>
      <c r="L270" s="76" t="s">
        <v>223</v>
      </c>
      <c r="M270" s="75" t="s">
        <v>221</v>
      </c>
      <c r="U270" s="78" t="s">
        <v>222</v>
      </c>
      <c r="V270" s="47" t="s">
        <v>210</v>
      </c>
      <c r="X270" s="78" t="s">
        <v>222</v>
      </c>
      <c r="Y270" s="78" t="s">
        <v>222</v>
      </c>
      <c r="AA270" s="2" t="s">
        <v>6</v>
      </c>
      <c r="AB270" s="2" t="str">
        <f t="shared" ref="AB270" si="348">IF(NOT(ISBLANK(AC270)),"-","")</f>
        <v>-</v>
      </c>
      <c r="AC270" s="2" t="s">
        <v>32</v>
      </c>
      <c r="AD270" s="2" t="str">
        <f t="shared" ref="AD270" si="349">IF(NOT(ISBLANK(AE270)),"_","")</f>
        <v>_</v>
      </c>
      <c r="AE270" s="2" t="s">
        <v>17</v>
      </c>
      <c r="AF270" s="2" t="str">
        <f t="shared" ref="AF270" si="350">IF(NOT(ISBLANK(AG270)),"_","")</f>
        <v>_</v>
      </c>
      <c r="AG270" s="2" t="s">
        <v>21</v>
      </c>
      <c r="AH270" s="2" t="str">
        <f t="shared" ref="AH270" si="351">IF(NOT(ISBLANK(AI270)),"_","")</f>
        <v>_</v>
      </c>
      <c r="AI270" s="2" t="s">
        <v>20</v>
      </c>
    </row>
    <row r="271" spans="1:35" x14ac:dyDescent="0.25">
      <c r="B271" s="2" t="str">
        <f t="shared" si="342"/>
        <v>@color-trunk_primary_secondary_tertiary_link_case_unpaved_default</v>
      </c>
      <c r="C271" s="76" t="s">
        <v>223</v>
      </c>
      <c r="D271" s="76" t="s">
        <v>223</v>
      </c>
      <c r="F271" s="47" t="s">
        <v>210</v>
      </c>
      <c r="G271" s="47" t="s">
        <v>210</v>
      </c>
      <c r="I271" s="76" t="s">
        <v>223</v>
      </c>
      <c r="J271" s="76" t="s">
        <v>223</v>
      </c>
      <c r="L271" s="47" t="s">
        <v>210</v>
      </c>
      <c r="M271" s="47" t="s">
        <v>210</v>
      </c>
      <c r="U271" s="84" t="s">
        <v>224</v>
      </c>
      <c r="V271" s="47" t="s">
        <v>210</v>
      </c>
      <c r="X271" s="47" t="s">
        <v>210</v>
      </c>
      <c r="Y271" s="47" t="s">
        <v>210</v>
      </c>
      <c r="AA271" s="2" t="s">
        <v>6</v>
      </c>
      <c r="AB271" s="2" t="str">
        <f t="shared" si="343"/>
        <v>-</v>
      </c>
      <c r="AC271" s="2" t="s">
        <v>32</v>
      </c>
      <c r="AD271" s="2" t="str">
        <f t="shared" si="344"/>
        <v>_</v>
      </c>
      <c r="AE271" s="2" t="s">
        <v>17</v>
      </c>
      <c r="AF271" s="2" t="str">
        <f t="shared" si="345"/>
        <v>_</v>
      </c>
      <c r="AG271" s="2" t="s">
        <v>21</v>
      </c>
      <c r="AH271" s="2" t="str">
        <f t="shared" si="346"/>
        <v>_</v>
      </c>
      <c r="AI271" s="2" t="s">
        <v>255</v>
      </c>
    </row>
    <row r="272" spans="1:35" x14ac:dyDescent="0.25">
      <c r="B272" s="2" t="str">
        <f t="shared" ref="B272" si="352">_xlfn.CONCAT("@",AA272,AB272,AC272,AD272,AE272,AF272,AG272,AH272,AI272)</f>
        <v>@color-trunk_primary_secondary_tertiary_link_case_paved_or_uk_farzoom</v>
      </c>
      <c r="C272" s="78" t="s">
        <v>222</v>
      </c>
      <c r="D272" s="47" t="s">
        <v>210</v>
      </c>
      <c r="F272" s="78" t="s">
        <v>222</v>
      </c>
      <c r="G272" s="78" t="s">
        <v>222</v>
      </c>
      <c r="I272" s="78" t="s">
        <v>222</v>
      </c>
      <c r="J272" s="47" t="s">
        <v>210</v>
      </c>
      <c r="L272" s="78" t="s">
        <v>222</v>
      </c>
      <c r="M272" s="78" t="s">
        <v>222</v>
      </c>
      <c r="U272" s="78" t="s">
        <v>222</v>
      </c>
      <c r="V272" s="47" t="s">
        <v>210</v>
      </c>
      <c r="X272" s="78" t="s">
        <v>222</v>
      </c>
      <c r="Y272" s="78" t="s">
        <v>222</v>
      </c>
      <c r="AA272" s="2" t="s">
        <v>6</v>
      </c>
      <c r="AB272" s="2" t="str">
        <f t="shared" ref="AB272" si="353">IF(NOT(ISBLANK(AC272)),"-","")</f>
        <v>-</v>
      </c>
      <c r="AC272" s="2" t="s">
        <v>32</v>
      </c>
      <c r="AD272" s="2" t="str">
        <f t="shared" ref="AD272" si="354">IF(NOT(ISBLANK(AE272)),"_","")</f>
        <v>_</v>
      </c>
      <c r="AE272" s="2" t="s">
        <v>17</v>
      </c>
      <c r="AF272" s="2" t="str">
        <f t="shared" ref="AF272" si="355">IF(NOT(ISBLANK(AG272)),"_","")</f>
        <v>_</v>
      </c>
      <c r="AG272" s="2" t="s">
        <v>24</v>
      </c>
      <c r="AH272" s="2" t="str">
        <f t="shared" ref="AH272" si="356">IF(NOT(ISBLANK(AI272)),"_","")</f>
        <v>_</v>
      </c>
      <c r="AI272" s="2" t="s">
        <v>20</v>
      </c>
    </row>
    <row r="273" spans="1:35" x14ac:dyDescent="0.25">
      <c r="B273" s="2" t="str">
        <f t="shared" si="342"/>
        <v>@color-trunk_primary_secondary_tertiary_link_case_paved_or_uk_default</v>
      </c>
      <c r="C273" s="84" t="s">
        <v>224</v>
      </c>
      <c r="D273" s="47" t="s">
        <v>210</v>
      </c>
      <c r="F273" s="47" t="s">
        <v>210</v>
      </c>
      <c r="G273" s="47" t="s">
        <v>210</v>
      </c>
      <c r="I273" s="84" t="s">
        <v>224</v>
      </c>
      <c r="J273" s="47" t="s">
        <v>210</v>
      </c>
      <c r="L273" s="47" t="s">
        <v>210</v>
      </c>
      <c r="M273" s="47" t="s">
        <v>210</v>
      </c>
      <c r="U273" s="84" t="s">
        <v>224</v>
      </c>
      <c r="V273" s="47" t="s">
        <v>210</v>
      </c>
      <c r="X273" s="47" t="s">
        <v>210</v>
      </c>
      <c r="Y273" s="47" t="s">
        <v>210</v>
      </c>
      <c r="AA273" s="2" t="s">
        <v>6</v>
      </c>
      <c r="AB273" s="2" t="str">
        <f t="shared" si="343"/>
        <v>-</v>
      </c>
      <c r="AC273" s="2" t="s">
        <v>32</v>
      </c>
      <c r="AD273" s="2" t="str">
        <f t="shared" si="344"/>
        <v>_</v>
      </c>
      <c r="AE273" s="2" t="s">
        <v>17</v>
      </c>
      <c r="AF273" s="2" t="str">
        <f t="shared" si="345"/>
        <v>_</v>
      </c>
      <c r="AG273" s="2" t="s">
        <v>24</v>
      </c>
      <c r="AH273" s="2" t="str">
        <f t="shared" si="346"/>
        <v>_</v>
      </c>
      <c r="AI273" s="2" t="s">
        <v>255</v>
      </c>
    </row>
    <row r="274" spans="1:35" x14ac:dyDescent="0.25">
      <c r="B274" s="2"/>
      <c r="AA274" s="2"/>
      <c r="AB274" s="2"/>
      <c r="AC274" s="2"/>
      <c r="AD274" s="2"/>
      <c r="AE274" s="2"/>
    </row>
    <row r="275" spans="1:35" s="5" customFormat="1" x14ac:dyDescent="0.25">
      <c r="A275" s="184" t="s">
        <v>454</v>
      </c>
      <c r="B275" s="184"/>
      <c r="C275" s="184"/>
      <c r="D275" s="184"/>
      <c r="F275" s="184"/>
      <c r="G275" s="184"/>
      <c r="I275" s="184"/>
      <c r="J275" s="184"/>
      <c r="L275" s="184"/>
      <c r="M275" s="184"/>
      <c r="O275" s="184"/>
      <c r="P275" s="184"/>
      <c r="R275" s="184"/>
      <c r="S275" s="184"/>
      <c r="U275" s="184"/>
      <c r="V275" s="184"/>
      <c r="X275" s="184"/>
      <c r="Y275" s="184"/>
      <c r="AA275" s="184"/>
      <c r="AB275" s="184"/>
      <c r="AC275" s="184"/>
      <c r="AD275" s="184"/>
      <c r="AE275" s="184"/>
      <c r="AF275" s="184"/>
      <c r="AG275" s="184"/>
      <c r="AH275" s="184"/>
      <c r="AI275" s="184"/>
    </row>
    <row r="276" spans="1:35" x14ac:dyDescent="0.25">
      <c r="B276" s="2"/>
      <c r="AA276" s="2"/>
      <c r="AB276" s="2"/>
      <c r="AC276" s="2"/>
      <c r="AD276" s="2"/>
      <c r="AE276" s="2"/>
    </row>
    <row r="277" spans="1:35" s="2" customFormat="1" x14ac:dyDescent="0.25">
      <c r="A277" s="185"/>
      <c r="B277" s="3" t="s">
        <v>457</v>
      </c>
      <c r="C277" s="27"/>
      <c r="D277" s="6"/>
      <c r="E277" s="7"/>
      <c r="F277" s="6"/>
      <c r="G277" s="6"/>
      <c r="H277" s="7"/>
      <c r="I277" s="6"/>
      <c r="J277" s="6"/>
      <c r="K277" s="7"/>
      <c r="L277" s="6"/>
      <c r="M277" s="6"/>
      <c r="N277" s="7"/>
      <c r="O277" s="6"/>
      <c r="P277" s="6"/>
      <c r="Q277" s="7"/>
      <c r="R277" s="6"/>
      <c r="S277" s="6"/>
      <c r="T277" s="7"/>
      <c r="U277" s="6"/>
      <c r="V277" s="6"/>
      <c r="W277" s="7"/>
      <c r="X277" s="6"/>
      <c r="Y277" s="6"/>
      <c r="AA277" s="4"/>
      <c r="AB277" s="4" t="str">
        <f t="shared" ref="AB277" si="357">IF(NOT(ISBLANK(AC277)),"-","")</f>
        <v/>
      </c>
      <c r="AC277" s="4"/>
      <c r="AD277" s="4" t="str">
        <f t="shared" ref="AD277" si="358">IF(NOT(ISBLANK(AE277)),"_","")</f>
        <v/>
      </c>
      <c r="AE277" s="4"/>
      <c r="AF277" s="4" t="str">
        <f t="shared" ref="AF277" si="359">IF(NOT(ISBLANK(AG277)),"_","")</f>
        <v/>
      </c>
      <c r="AG277" s="4"/>
      <c r="AH277" s="4" t="str">
        <f t="shared" ref="AH277" si="360">IF(NOT(ISBLANK(AI277)),"_","")</f>
        <v/>
      </c>
      <c r="AI277" s="4"/>
    </row>
    <row r="278" spans="1:35" x14ac:dyDescent="0.25">
      <c r="B278" s="2"/>
      <c r="AA278" s="2"/>
      <c r="AB278" s="2"/>
      <c r="AC278" s="2"/>
      <c r="AD278" s="2"/>
      <c r="AE278" s="2"/>
    </row>
    <row r="279" spans="1:35" x14ac:dyDescent="0.25">
      <c r="B279" s="2" t="str">
        <f t="shared" ref="B279:B287" si="361">_xlfn.CONCAT("@",AA279,AB279,AC279,AD279,AE279,AF279,AG279,AH279,AI279)</f>
        <v>@color-mtb:scale_0-</v>
      </c>
      <c r="C279" s="111" t="s">
        <v>166</v>
      </c>
      <c r="D279" s="112" t="s">
        <v>174</v>
      </c>
      <c r="F279" s="111" t="s">
        <v>166</v>
      </c>
      <c r="G279" s="112" t="s">
        <v>174</v>
      </c>
      <c r="I279" s="111" t="s">
        <v>166</v>
      </c>
      <c r="J279" s="112" t="s">
        <v>174</v>
      </c>
      <c r="L279" s="111" t="s">
        <v>166</v>
      </c>
      <c r="M279" s="112" t="s">
        <v>174</v>
      </c>
      <c r="U279" s="110" t="s">
        <v>287</v>
      </c>
      <c r="V279" s="110" t="s">
        <v>287</v>
      </c>
      <c r="X279" s="110" t="s">
        <v>287</v>
      </c>
      <c r="Y279" s="110" t="s">
        <v>287</v>
      </c>
      <c r="AA279" s="2" t="s">
        <v>6</v>
      </c>
      <c r="AB279" s="2" t="str">
        <f t="shared" ref="AB279:AB286" si="362">IF(NOT(ISBLANK(AC279)),"-","")</f>
        <v>-</v>
      </c>
      <c r="AC279" s="2" t="s">
        <v>7</v>
      </c>
      <c r="AD279" s="2" t="str">
        <f t="shared" ref="AD279:AD286" si="363">IF(NOT(ISBLANK(AE279)),"_","")</f>
        <v>_</v>
      </c>
      <c r="AE279" s="2" t="s">
        <v>9</v>
      </c>
      <c r="AF279" s="2" t="str">
        <f t="shared" ref="AF279:AF286" si="364">IF(NOT(ISBLANK(AG279)),"_","")</f>
        <v/>
      </c>
      <c r="AG279" s="2"/>
      <c r="AH279" s="2" t="str">
        <f t="shared" ref="AH279:AH292" si="365">IF(NOT(ISBLANK(AI279)),"_","")</f>
        <v/>
      </c>
      <c r="AI279" s="2"/>
    </row>
    <row r="280" spans="1:35" x14ac:dyDescent="0.25">
      <c r="B280" s="2" t="str">
        <f t="shared" si="361"/>
        <v>@color-mtb:scale_0</v>
      </c>
      <c r="C280" s="113" t="s">
        <v>167</v>
      </c>
      <c r="D280" s="114" t="s">
        <v>175</v>
      </c>
      <c r="F280" s="113" t="s">
        <v>167</v>
      </c>
      <c r="G280" s="114" t="s">
        <v>175</v>
      </c>
      <c r="I280" s="113" t="s">
        <v>167</v>
      </c>
      <c r="J280" s="114" t="s">
        <v>175</v>
      </c>
      <c r="L280" s="113" t="s">
        <v>167</v>
      </c>
      <c r="M280" s="114" t="s">
        <v>175</v>
      </c>
      <c r="U280" s="110" t="s">
        <v>287</v>
      </c>
      <c r="V280" s="110" t="s">
        <v>287</v>
      </c>
      <c r="X280" s="110" t="s">
        <v>287</v>
      </c>
      <c r="Y280" s="110" t="s">
        <v>287</v>
      </c>
      <c r="AA280" s="2" t="s">
        <v>6</v>
      </c>
      <c r="AB280" s="2" t="str">
        <f t="shared" si="362"/>
        <v>-</v>
      </c>
      <c r="AC280" s="2" t="s">
        <v>7</v>
      </c>
      <c r="AD280" s="2" t="str">
        <f t="shared" si="363"/>
        <v>_</v>
      </c>
      <c r="AE280" s="2">
        <v>0</v>
      </c>
      <c r="AF280" s="2" t="str">
        <f t="shared" si="364"/>
        <v/>
      </c>
      <c r="AH280" s="2" t="str">
        <f t="shared" si="365"/>
        <v/>
      </c>
    </row>
    <row r="281" spans="1:35" x14ac:dyDescent="0.25">
      <c r="B281" s="2" t="str">
        <f t="shared" si="361"/>
        <v>@color-mtb:scale_1</v>
      </c>
      <c r="C281" s="115" t="s">
        <v>168</v>
      </c>
      <c r="D281" s="116" t="s">
        <v>176</v>
      </c>
      <c r="F281" s="115" t="s">
        <v>168</v>
      </c>
      <c r="G281" s="116" t="s">
        <v>176</v>
      </c>
      <c r="I281" s="115" t="s">
        <v>168</v>
      </c>
      <c r="J281" s="116" t="s">
        <v>176</v>
      </c>
      <c r="L281" s="115" t="s">
        <v>168</v>
      </c>
      <c r="M281" s="116" t="s">
        <v>176</v>
      </c>
      <c r="U281" s="110" t="s">
        <v>287</v>
      </c>
      <c r="V281" s="110" t="s">
        <v>287</v>
      </c>
      <c r="X281" s="110" t="s">
        <v>287</v>
      </c>
      <c r="Y281" s="110" t="s">
        <v>287</v>
      </c>
      <c r="AA281" s="2" t="s">
        <v>6</v>
      </c>
      <c r="AB281" s="2" t="str">
        <f t="shared" si="362"/>
        <v>-</v>
      </c>
      <c r="AC281" s="2" t="s">
        <v>7</v>
      </c>
      <c r="AD281" s="2" t="str">
        <f t="shared" si="363"/>
        <v>_</v>
      </c>
      <c r="AE281" s="2">
        <v>1</v>
      </c>
      <c r="AF281" s="2" t="str">
        <f t="shared" si="364"/>
        <v/>
      </c>
      <c r="AH281" s="2" t="str">
        <f t="shared" si="365"/>
        <v/>
      </c>
    </row>
    <row r="282" spans="1:35" x14ac:dyDescent="0.25">
      <c r="B282" s="2" t="str">
        <f t="shared" si="361"/>
        <v>@color-mtb:scale_2</v>
      </c>
      <c r="C282" s="117" t="s">
        <v>169</v>
      </c>
      <c r="D282" s="118" t="s">
        <v>177</v>
      </c>
      <c r="F282" s="117" t="s">
        <v>169</v>
      </c>
      <c r="G282" s="118" t="s">
        <v>177</v>
      </c>
      <c r="I282" s="117" t="s">
        <v>169</v>
      </c>
      <c r="J282" s="118" t="s">
        <v>177</v>
      </c>
      <c r="L282" s="117" t="s">
        <v>169</v>
      </c>
      <c r="M282" s="118" t="s">
        <v>177</v>
      </c>
      <c r="U282" s="110" t="s">
        <v>287</v>
      </c>
      <c r="V282" s="110" t="s">
        <v>287</v>
      </c>
      <c r="X282" s="110" t="s">
        <v>287</v>
      </c>
      <c r="Y282" s="110" t="s">
        <v>287</v>
      </c>
      <c r="AA282" s="2" t="s">
        <v>6</v>
      </c>
      <c r="AB282" s="2" t="str">
        <f t="shared" si="362"/>
        <v>-</v>
      </c>
      <c r="AC282" s="2" t="s">
        <v>7</v>
      </c>
      <c r="AD282" s="2" t="str">
        <f t="shared" si="363"/>
        <v>_</v>
      </c>
      <c r="AE282" s="2">
        <v>2</v>
      </c>
      <c r="AF282" s="2" t="str">
        <f t="shared" si="364"/>
        <v/>
      </c>
      <c r="AH282" s="2" t="str">
        <f t="shared" si="365"/>
        <v/>
      </c>
    </row>
    <row r="283" spans="1:35" x14ac:dyDescent="0.25">
      <c r="B283" s="2" t="str">
        <f t="shared" si="361"/>
        <v>@color-mtb:scale_3</v>
      </c>
      <c r="C283" s="119" t="s">
        <v>170</v>
      </c>
      <c r="D283" s="119" t="s">
        <v>170</v>
      </c>
      <c r="F283" s="119" t="s">
        <v>170</v>
      </c>
      <c r="G283" s="119" t="s">
        <v>170</v>
      </c>
      <c r="I283" s="119" t="s">
        <v>170</v>
      </c>
      <c r="J283" s="119" t="s">
        <v>170</v>
      </c>
      <c r="L283" s="119" t="s">
        <v>170</v>
      </c>
      <c r="M283" s="119" t="s">
        <v>170</v>
      </c>
      <c r="U283" s="110" t="s">
        <v>287</v>
      </c>
      <c r="V283" s="110" t="s">
        <v>287</v>
      </c>
      <c r="X283" s="110" t="s">
        <v>287</v>
      </c>
      <c r="Y283" s="110" t="s">
        <v>287</v>
      </c>
      <c r="AA283" s="2" t="s">
        <v>6</v>
      </c>
      <c r="AB283" s="2" t="str">
        <f t="shared" si="362"/>
        <v>-</v>
      </c>
      <c r="AC283" s="2" t="s">
        <v>7</v>
      </c>
      <c r="AD283" s="2" t="str">
        <f t="shared" si="363"/>
        <v>_</v>
      </c>
      <c r="AE283" s="2">
        <v>3</v>
      </c>
      <c r="AF283" s="2" t="str">
        <f t="shared" si="364"/>
        <v/>
      </c>
      <c r="AH283" s="2" t="str">
        <f t="shared" si="365"/>
        <v/>
      </c>
    </row>
    <row r="284" spans="1:35" x14ac:dyDescent="0.25">
      <c r="B284" s="2" t="str">
        <f t="shared" si="361"/>
        <v>@color-mtb:scale_4</v>
      </c>
      <c r="C284" s="120" t="s">
        <v>171</v>
      </c>
      <c r="D284" s="121" t="s">
        <v>178</v>
      </c>
      <c r="F284" s="120" t="s">
        <v>171</v>
      </c>
      <c r="G284" s="121" t="s">
        <v>178</v>
      </c>
      <c r="I284" s="120" t="s">
        <v>171</v>
      </c>
      <c r="J284" s="121" t="s">
        <v>178</v>
      </c>
      <c r="L284" s="120" t="s">
        <v>171</v>
      </c>
      <c r="M284" s="121" t="s">
        <v>178</v>
      </c>
      <c r="U284" s="110" t="s">
        <v>287</v>
      </c>
      <c r="V284" s="110" t="s">
        <v>287</v>
      </c>
      <c r="X284" s="110" t="s">
        <v>287</v>
      </c>
      <c r="Y284" s="110" t="s">
        <v>287</v>
      </c>
      <c r="AA284" s="2" t="s">
        <v>6</v>
      </c>
      <c r="AB284" s="2" t="str">
        <f t="shared" si="362"/>
        <v>-</v>
      </c>
      <c r="AC284" s="2" t="s">
        <v>7</v>
      </c>
      <c r="AD284" s="2" t="str">
        <f t="shared" si="363"/>
        <v>_</v>
      </c>
      <c r="AE284" s="2">
        <v>4</v>
      </c>
      <c r="AF284" s="2" t="str">
        <f t="shared" si="364"/>
        <v/>
      </c>
      <c r="AH284" s="2" t="str">
        <f t="shared" si="365"/>
        <v/>
      </c>
    </row>
    <row r="285" spans="1:35" x14ac:dyDescent="0.25">
      <c r="B285" s="2" t="str">
        <f t="shared" si="361"/>
        <v>@color-mtb:scale_5</v>
      </c>
      <c r="C285" s="122" t="s">
        <v>172</v>
      </c>
      <c r="D285" s="123" t="s">
        <v>179</v>
      </c>
      <c r="F285" s="122" t="s">
        <v>172</v>
      </c>
      <c r="G285" s="123" t="s">
        <v>179</v>
      </c>
      <c r="I285" s="122" t="s">
        <v>172</v>
      </c>
      <c r="J285" s="123" t="s">
        <v>179</v>
      </c>
      <c r="L285" s="122" t="s">
        <v>172</v>
      </c>
      <c r="M285" s="123" t="s">
        <v>179</v>
      </c>
      <c r="U285" s="110" t="s">
        <v>287</v>
      </c>
      <c r="V285" s="110" t="s">
        <v>287</v>
      </c>
      <c r="X285" s="110" t="s">
        <v>287</v>
      </c>
      <c r="Y285" s="110" t="s">
        <v>287</v>
      </c>
      <c r="AA285" s="2" t="s">
        <v>6</v>
      </c>
      <c r="AB285" s="2" t="str">
        <f t="shared" si="362"/>
        <v>-</v>
      </c>
      <c r="AC285" s="2" t="s">
        <v>7</v>
      </c>
      <c r="AD285" s="2" t="str">
        <f t="shared" si="363"/>
        <v>_</v>
      </c>
      <c r="AE285" s="2">
        <v>5</v>
      </c>
      <c r="AF285" s="2" t="str">
        <f t="shared" si="364"/>
        <v/>
      </c>
      <c r="AH285" s="2" t="str">
        <f t="shared" si="365"/>
        <v/>
      </c>
    </row>
    <row r="286" spans="1:35" x14ac:dyDescent="0.25">
      <c r="B286" s="2" t="str">
        <f t="shared" si="361"/>
        <v>@color-mtb:scale_6</v>
      </c>
      <c r="C286" s="124" t="s">
        <v>173</v>
      </c>
      <c r="D286" s="125" t="s">
        <v>180</v>
      </c>
      <c r="F286" s="124" t="s">
        <v>173</v>
      </c>
      <c r="G286" s="125" t="s">
        <v>180</v>
      </c>
      <c r="I286" s="124" t="s">
        <v>173</v>
      </c>
      <c r="J286" s="125" t="s">
        <v>180</v>
      </c>
      <c r="L286" s="124" t="s">
        <v>173</v>
      </c>
      <c r="M286" s="125" t="s">
        <v>180</v>
      </c>
      <c r="U286" s="110" t="s">
        <v>287</v>
      </c>
      <c r="V286" s="110" t="s">
        <v>287</v>
      </c>
      <c r="X286" s="110" t="s">
        <v>287</v>
      </c>
      <c r="Y286" s="110" t="s">
        <v>287</v>
      </c>
      <c r="AA286" s="2" t="s">
        <v>6</v>
      </c>
      <c r="AB286" s="2" t="str">
        <f t="shared" si="362"/>
        <v>-</v>
      </c>
      <c r="AC286" s="2" t="s">
        <v>7</v>
      </c>
      <c r="AD286" s="2" t="str">
        <f t="shared" si="363"/>
        <v>_</v>
      </c>
      <c r="AE286" s="2">
        <v>6</v>
      </c>
      <c r="AF286" s="2" t="str">
        <f t="shared" si="364"/>
        <v/>
      </c>
      <c r="AH286" s="2" t="str">
        <f t="shared" si="365"/>
        <v/>
      </c>
    </row>
    <row r="287" spans="1:35" x14ac:dyDescent="0.25">
      <c r="B287" s="2" t="str">
        <f t="shared" si="361"/>
        <v>@color-mtb:scale_null</v>
      </c>
      <c r="C287" s="38" t="s">
        <v>218</v>
      </c>
      <c r="D287" s="38" t="s">
        <v>218</v>
      </c>
      <c r="F287" s="31" t="s">
        <v>272</v>
      </c>
      <c r="G287" s="31" t="s">
        <v>272</v>
      </c>
      <c r="I287" s="38" t="s">
        <v>218</v>
      </c>
      <c r="J287" s="38" t="s">
        <v>218</v>
      </c>
      <c r="L287" s="31" t="s">
        <v>272</v>
      </c>
      <c r="M287" s="31" t="s">
        <v>272</v>
      </c>
      <c r="U287" s="110" t="s">
        <v>287</v>
      </c>
      <c r="V287" s="110" t="s">
        <v>287</v>
      </c>
      <c r="X287" s="110" t="s">
        <v>287</v>
      </c>
      <c r="Y287" s="110" t="s">
        <v>287</v>
      </c>
      <c r="AA287" s="2" t="s">
        <v>6</v>
      </c>
      <c r="AB287" s="2" t="str">
        <f t="shared" ref="AB287" si="366">IF(NOT(ISBLANK(AC287)),"-","")</f>
        <v>-</v>
      </c>
      <c r="AC287" s="2" t="s">
        <v>7</v>
      </c>
      <c r="AD287" s="2" t="str">
        <f t="shared" ref="AD287" si="367">IF(NOT(ISBLANK(AE287)),"_","")</f>
        <v>_</v>
      </c>
      <c r="AE287" s="2" t="s">
        <v>287</v>
      </c>
      <c r="AF287" s="2" t="str">
        <f t="shared" ref="AF287" si="368">IF(NOT(ISBLANK(AG287)),"_","")</f>
        <v/>
      </c>
      <c r="AH287" s="2" t="str">
        <f t="shared" si="365"/>
        <v/>
      </c>
    </row>
    <row r="288" spans="1:35" x14ac:dyDescent="0.25">
      <c r="B288" s="2"/>
      <c r="AA288" s="2"/>
      <c r="AB288" s="2" t="str">
        <f>IF(NOT(ISBLANK(AC288)),"-","")</f>
        <v/>
      </c>
      <c r="AC288" s="2"/>
      <c r="AD288" s="2" t="str">
        <f>IF(NOT(ISBLANK(AE288)),"_","")</f>
        <v/>
      </c>
      <c r="AE288" s="2"/>
      <c r="AF288" s="28" t="str">
        <f>IF(NOT(ISBLANK(AG288)),"_","")</f>
        <v/>
      </c>
      <c r="AH288" s="28" t="str">
        <f t="shared" si="365"/>
        <v/>
      </c>
    </row>
    <row r="289" spans="2:34" x14ac:dyDescent="0.25">
      <c r="B289" s="2" t="str">
        <f>_xlfn.CONCAT("@",AA289,AB289,AC289,AD289,AE289,AF289,AG289,AH289,AI289)</f>
        <v>@color-mtb:winter_groomed</v>
      </c>
      <c r="C289" s="110" t="s">
        <v>287</v>
      </c>
      <c r="D289" s="110" t="s">
        <v>287</v>
      </c>
      <c r="F289" s="110" t="s">
        <v>287</v>
      </c>
      <c r="G289" s="110" t="s">
        <v>287</v>
      </c>
      <c r="I289" s="110" t="s">
        <v>287</v>
      </c>
      <c r="J289" s="110" t="s">
        <v>287</v>
      </c>
      <c r="L289" s="110" t="s">
        <v>287</v>
      </c>
      <c r="M289" s="110" t="s">
        <v>287</v>
      </c>
      <c r="O289" s="110" t="s">
        <v>287</v>
      </c>
      <c r="P289" s="110" t="s">
        <v>287</v>
      </c>
      <c r="R289" s="110" t="s">
        <v>287</v>
      </c>
      <c r="S289" s="110" t="s">
        <v>287</v>
      </c>
      <c r="U289" s="111" t="s">
        <v>166</v>
      </c>
      <c r="V289" s="112" t="s">
        <v>174</v>
      </c>
      <c r="X289" s="111" t="s">
        <v>166</v>
      </c>
      <c r="Y289" s="112" t="s">
        <v>174</v>
      </c>
      <c r="AA289" s="2" t="s">
        <v>6</v>
      </c>
      <c r="AB289" s="2" t="str">
        <f t="shared" ref="AB289" si="369">IF(NOT(ISBLANK(AC289)),"-","")</f>
        <v>-</v>
      </c>
      <c r="AC289" s="2" t="s">
        <v>219</v>
      </c>
      <c r="AD289" s="2" t="str">
        <f t="shared" ref="AD289" si="370">IF(NOT(ISBLANK(AE289)),"_","")</f>
        <v>_</v>
      </c>
      <c r="AE289" s="2" t="s">
        <v>395</v>
      </c>
      <c r="AF289" s="2" t="str">
        <f t="shared" ref="AF289" si="371">IF(NOT(ISBLANK(AG289)),"_","")</f>
        <v/>
      </c>
      <c r="AH289" s="2" t="str">
        <f t="shared" ref="AH289" si="372">IF(NOT(ISBLANK(AI289)),"_","")</f>
        <v/>
      </c>
    </row>
    <row r="290" spans="2:34" x14ac:dyDescent="0.25">
      <c r="B290" s="2" t="str">
        <f>_xlfn.CONCAT("@",AA290,AB290,AC290,AD290,AE290,AF290,AG290,AH290,AI290)</f>
        <v>@color-mtb:winter_1</v>
      </c>
      <c r="C290" s="110" t="s">
        <v>287</v>
      </c>
      <c r="D290" s="110" t="s">
        <v>287</v>
      </c>
      <c r="F290" s="110" t="s">
        <v>287</v>
      </c>
      <c r="G290" s="110" t="s">
        <v>287</v>
      </c>
      <c r="I290" s="110" t="s">
        <v>287</v>
      </c>
      <c r="J290" s="110" t="s">
        <v>287</v>
      </c>
      <c r="L290" s="110" t="s">
        <v>287</v>
      </c>
      <c r="M290" s="110" t="s">
        <v>287</v>
      </c>
      <c r="O290" s="110" t="s">
        <v>287</v>
      </c>
      <c r="P290" s="110" t="s">
        <v>287</v>
      </c>
      <c r="R290" s="110" t="s">
        <v>287</v>
      </c>
      <c r="S290" s="110" t="s">
        <v>287</v>
      </c>
      <c r="U290" s="40" t="s">
        <v>167</v>
      </c>
      <c r="V290" s="41" t="s">
        <v>175</v>
      </c>
      <c r="X290" s="40" t="s">
        <v>167</v>
      </c>
      <c r="Y290" s="41" t="s">
        <v>175</v>
      </c>
      <c r="AA290" s="2" t="s">
        <v>6</v>
      </c>
      <c r="AB290" s="2" t="str">
        <f t="shared" ref="AB290" si="373">IF(NOT(ISBLANK(AC290)),"-","")</f>
        <v>-</v>
      </c>
      <c r="AC290" s="2" t="s">
        <v>219</v>
      </c>
      <c r="AD290" s="2" t="str">
        <f t="shared" ref="AD290" si="374">IF(NOT(ISBLANK(AE290)),"_","")</f>
        <v>_</v>
      </c>
      <c r="AE290" s="2">
        <v>1</v>
      </c>
      <c r="AF290" s="2" t="str">
        <f t="shared" ref="AF290" si="375">IF(NOT(ISBLANK(AG290)),"_","")</f>
        <v/>
      </c>
      <c r="AH290" s="2" t="str">
        <f t="shared" si="365"/>
        <v/>
      </c>
    </row>
    <row r="291" spans="2:34" x14ac:dyDescent="0.25">
      <c r="B291" s="2" t="str">
        <f t="shared" ref="B291:B292" si="376">_xlfn.CONCAT("@",AA291,AB291,AC291,AD291,AE291,AF291,AG291,AH291,AI291)</f>
        <v>@color-mtb:winter_2</v>
      </c>
      <c r="C291" s="110" t="s">
        <v>287</v>
      </c>
      <c r="D291" s="110" t="s">
        <v>287</v>
      </c>
      <c r="F291" s="110" t="s">
        <v>287</v>
      </c>
      <c r="G291" s="110" t="s">
        <v>287</v>
      </c>
      <c r="I291" s="110" t="s">
        <v>287</v>
      </c>
      <c r="J291" s="110" t="s">
        <v>287</v>
      </c>
      <c r="L291" s="110" t="s">
        <v>287</v>
      </c>
      <c r="M291" s="110" t="s">
        <v>287</v>
      </c>
      <c r="O291" s="110" t="s">
        <v>287</v>
      </c>
      <c r="P291" s="110" t="s">
        <v>287</v>
      </c>
      <c r="R291" s="110" t="s">
        <v>287</v>
      </c>
      <c r="S291" s="110" t="s">
        <v>287</v>
      </c>
      <c r="U291" s="42" t="s">
        <v>168</v>
      </c>
      <c r="V291" s="43" t="s">
        <v>176</v>
      </c>
      <c r="X291" s="42" t="s">
        <v>168</v>
      </c>
      <c r="Y291" s="43" t="s">
        <v>176</v>
      </c>
      <c r="AA291" s="2" t="s">
        <v>6</v>
      </c>
      <c r="AB291" s="2" t="str">
        <f t="shared" ref="AB291:AB292" si="377">IF(NOT(ISBLANK(AC291)),"-","")</f>
        <v>-</v>
      </c>
      <c r="AC291" s="2" t="s">
        <v>219</v>
      </c>
      <c r="AD291" s="2" t="str">
        <f>IF(NOT(ISBLANK(AE291)),"_","")</f>
        <v>_</v>
      </c>
      <c r="AE291" s="2">
        <v>2</v>
      </c>
      <c r="AF291" s="2" t="str">
        <f>IF(NOT(ISBLANK(AG291)),"_","")</f>
        <v/>
      </c>
      <c r="AH291" s="2" t="str">
        <f t="shared" si="365"/>
        <v/>
      </c>
    </row>
    <row r="292" spans="2:34" x14ac:dyDescent="0.25">
      <c r="B292" s="2" t="str">
        <f t="shared" si="376"/>
        <v>@color-mtb:winter_3</v>
      </c>
      <c r="C292" s="110" t="s">
        <v>287</v>
      </c>
      <c r="D292" s="110" t="s">
        <v>287</v>
      </c>
      <c r="F292" s="110" t="s">
        <v>287</v>
      </c>
      <c r="G292" s="110" t="s">
        <v>287</v>
      </c>
      <c r="I292" s="110" t="s">
        <v>287</v>
      </c>
      <c r="J292" s="110" t="s">
        <v>287</v>
      </c>
      <c r="L292" s="110" t="s">
        <v>287</v>
      </c>
      <c r="M292" s="110" t="s">
        <v>287</v>
      </c>
      <c r="O292" s="110" t="s">
        <v>287</v>
      </c>
      <c r="P292" s="110" t="s">
        <v>287</v>
      </c>
      <c r="R292" s="110" t="s">
        <v>287</v>
      </c>
      <c r="S292" s="110" t="s">
        <v>287</v>
      </c>
      <c r="U292" s="44" t="s">
        <v>169</v>
      </c>
      <c r="V292" s="45" t="s">
        <v>177</v>
      </c>
      <c r="X292" s="44" t="s">
        <v>169</v>
      </c>
      <c r="Y292" s="45" t="s">
        <v>177</v>
      </c>
      <c r="AA292" s="2" t="s">
        <v>6</v>
      </c>
      <c r="AB292" s="2" t="str">
        <f t="shared" si="377"/>
        <v>-</v>
      </c>
      <c r="AC292" s="2" t="s">
        <v>219</v>
      </c>
      <c r="AD292" s="2" t="str">
        <f>IF(NOT(ISBLANK(AE292)),"_","")</f>
        <v>_</v>
      </c>
      <c r="AE292" s="2">
        <v>3</v>
      </c>
      <c r="AF292" s="2" t="str">
        <f>IF(NOT(ISBLANK(AG292)),"_","")</f>
        <v/>
      </c>
      <c r="AH292" s="2" t="str">
        <f t="shared" si="365"/>
        <v/>
      </c>
    </row>
    <row r="293" spans="2:34" x14ac:dyDescent="0.25">
      <c r="B293" s="2" t="str">
        <f t="shared" ref="B293" si="378">_xlfn.CONCAT("@",AA293,AB293,AC293,AD293,AE293,AF293,AG293,AH293,AI293)</f>
        <v>@color-mtb:winter_null</v>
      </c>
      <c r="C293" s="110" t="s">
        <v>287</v>
      </c>
      <c r="D293" s="110" t="s">
        <v>287</v>
      </c>
      <c r="F293" s="110" t="s">
        <v>287</v>
      </c>
      <c r="G293" s="110" t="s">
        <v>287</v>
      </c>
      <c r="I293" s="110" t="s">
        <v>287</v>
      </c>
      <c r="J293" s="110" t="s">
        <v>287</v>
      </c>
      <c r="L293" s="110" t="s">
        <v>287</v>
      </c>
      <c r="M293" s="110" t="s">
        <v>287</v>
      </c>
      <c r="O293" s="110" t="s">
        <v>287</v>
      </c>
      <c r="P293" s="110" t="s">
        <v>287</v>
      </c>
      <c r="R293" s="110" t="s">
        <v>287</v>
      </c>
      <c r="S293" s="110" t="s">
        <v>287</v>
      </c>
      <c r="U293" s="38" t="s">
        <v>218</v>
      </c>
      <c r="V293" s="38" t="s">
        <v>218</v>
      </c>
      <c r="X293" s="128" t="s">
        <v>403</v>
      </c>
      <c r="Y293" s="128" t="s">
        <v>403</v>
      </c>
      <c r="AA293" s="2" t="s">
        <v>6</v>
      </c>
      <c r="AB293" s="2" t="str">
        <f t="shared" ref="AB293" si="379">IF(NOT(ISBLANK(AC293)),"-","")</f>
        <v>-</v>
      </c>
      <c r="AC293" s="2" t="s">
        <v>219</v>
      </c>
      <c r="AD293" s="2" t="str">
        <f>IF(NOT(ISBLANK(AE293)),"_","")</f>
        <v>_</v>
      </c>
      <c r="AE293" s="2" t="s">
        <v>287</v>
      </c>
      <c r="AF293" s="2" t="str">
        <f>IF(NOT(ISBLANK(AG293)),"_","")</f>
        <v/>
      </c>
      <c r="AH293" s="2" t="str">
        <f t="shared" ref="AH293" si="380">IF(NOT(ISBLANK(AI293)),"_","")</f>
        <v/>
      </c>
    </row>
    <row r="294" spans="2:34" x14ac:dyDescent="0.25">
      <c r="B294" s="2"/>
      <c r="AA294" s="2"/>
      <c r="AB294" s="2"/>
      <c r="AC294" s="2"/>
      <c r="AD294" s="2"/>
      <c r="AE294" s="2"/>
    </row>
    <row r="295" spans="2:34" x14ac:dyDescent="0.25">
      <c r="B295" s="2" t="str">
        <f t="shared" ref="B295" si="381">_xlfn.CONCAT("@",AA295,AB295,AC295,AD295,AE295,AF295,AG295,AH295,AI295)</f>
        <v>@color-path_track_noexit</v>
      </c>
      <c r="C295" s="38" t="s">
        <v>218</v>
      </c>
      <c r="D295" s="38" t="s">
        <v>218</v>
      </c>
      <c r="F295" s="31" t="s">
        <v>272</v>
      </c>
      <c r="G295" s="31" t="s">
        <v>272</v>
      </c>
      <c r="I295" s="38" t="s">
        <v>218</v>
      </c>
      <c r="J295" s="38" t="s">
        <v>218</v>
      </c>
      <c r="L295" s="31" t="s">
        <v>272</v>
      </c>
      <c r="M295" s="31" t="s">
        <v>272</v>
      </c>
      <c r="U295" s="38" t="s">
        <v>218</v>
      </c>
      <c r="V295" s="38" t="s">
        <v>218</v>
      </c>
      <c r="X295" s="128" t="s">
        <v>403</v>
      </c>
      <c r="Y295" s="128" t="s">
        <v>403</v>
      </c>
      <c r="AA295" s="2" t="s">
        <v>6</v>
      </c>
      <c r="AB295" s="2" t="str">
        <f t="shared" ref="AB295" si="382">IF(NOT(ISBLANK(AC295)),"-","")</f>
        <v>-</v>
      </c>
      <c r="AC295" s="2" t="s">
        <v>421</v>
      </c>
      <c r="AD295" s="2" t="str">
        <f t="shared" ref="AD295" si="383">IF(NOT(ISBLANK(AE295)),"_","")</f>
        <v>_</v>
      </c>
      <c r="AE295" s="2" t="s">
        <v>422</v>
      </c>
      <c r="AF295" s="2" t="str">
        <f t="shared" ref="AF295" si="384">IF(NOT(ISBLANK(AG295)),"_","")</f>
        <v/>
      </c>
      <c r="AH295" s="2" t="str">
        <f t="shared" ref="AH295:AH296" si="385">IF(NOT(ISBLANK(AI295)),"_","")</f>
        <v/>
      </c>
    </row>
    <row r="296" spans="2:34" x14ac:dyDescent="0.25">
      <c r="B296" s="2"/>
      <c r="AA296" s="2"/>
      <c r="AB296" s="2" t="str">
        <f>IF(NOT(ISBLANK(AC296)),"-","")</f>
        <v/>
      </c>
      <c r="AC296" s="2"/>
      <c r="AD296" s="2" t="str">
        <f>IF(NOT(ISBLANK(AE296)),"_","")</f>
        <v/>
      </c>
      <c r="AE296" s="2"/>
      <c r="AF296" s="28" t="str">
        <f>IF(NOT(ISBLANK(AG296)),"_","")</f>
        <v/>
      </c>
      <c r="AH296" s="28" t="str">
        <f t="shared" si="385"/>
        <v/>
      </c>
    </row>
    <row r="297" spans="2:34" x14ac:dyDescent="0.25">
      <c r="B297" s="2" t="str">
        <f t="shared" ref="B297:B312" si="386">_xlfn.CONCAT("@",AA297,AB297,AC297,AD297,AE297,AF297,AG297,AH297,AI297)</f>
        <v>@case_width-path_narrow_z11</v>
      </c>
      <c r="C297" s="28" t="s">
        <v>76</v>
      </c>
      <c r="D297" s="28" t="s">
        <v>81</v>
      </c>
      <c r="F297" s="28" t="s">
        <v>76</v>
      </c>
      <c r="G297" s="28" t="s">
        <v>81</v>
      </c>
      <c r="I297" s="28" t="s">
        <v>91</v>
      </c>
      <c r="L297" s="28" t="s">
        <v>91</v>
      </c>
      <c r="U297" s="28" t="s">
        <v>80</v>
      </c>
      <c r="V297" s="28" t="s">
        <v>84</v>
      </c>
      <c r="X297" s="28" t="s">
        <v>80</v>
      </c>
      <c r="Y297" s="28" t="s">
        <v>84</v>
      </c>
      <c r="AA297" s="2" t="s">
        <v>74</v>
      </c>
      <c r="AB297" s="2" t="str">
        <f t="shared" ref="AB297" si="387">IF(NOT(ISBLANK(AC297)),"-","")</f>
        <v>-</v>
      </c>
      <c r="AC297" s="2" t="s">
        <v>67</v>
      </c>
      <c r="AD297" s="2" t="str">
        <f t="shared" ref="AD297" si="388">IF(NOT(ISBLANK(AE297)),"_","")</f>
        <v>_</v>
      </c>
      <c r="AE297" s="2" t="s">
        <v>68</v>
      </c>
      <c r="AF297" s="2" t="str">
        <f t="shared" ref="AF297" si="389">IF(NOT(ISBLANK(AG297)),"_","")</f>
        <v>_</v>
      </c>
      <c r="AG297" s="28" t="s">
        <v>66</v>
      </c>
      <c r="AH297" s="2" t="str">
        <f t="shared" ref="AH297:AH312" si="390">IF(NOT(ISBLANK(AI297)),"_","")</f>
        <v/>
      </c>
    </row>
    <row r="298" spans="2:34" x14ac:dyDescent="0.25">
      <c r="B298" s="2" t="str">
        <f t="shared" si="386"/>
        <v>@case_width-path_medium_z11</v>
      </c>
      <c r="C298" s="28" t="s">
        <v>80</v>
      </c>
      <c r="D298" s="28" t="s">
        <v>84</v>
      </c>
      <c r="F298" s="28" t="s">
        <v>80</v>
      </c>
      <c r="G298" s="28" t="s">
        <v>84</v>
      </c>
      <c r="I298" s="28" t="s">
        <v>92</v>
      </c>
      <c r="L298" s="28" t="s">
        <v>92</v>
      </c>
      <c r="U298" s="28" t="s">
        <v>80</v>
      </c>
      <c r="V298" s="28" t="s">
        <v>84</v>
      </c>
      <c r="X298" s="28" t="s">
        <v>80</v>
      </c>
      <c r="Y298" s="28" t="s">
        <v>84</v>
      </c>
      <c r="AA298" s="2" t="s">
        <v>74</v>
      </c>
      <c r="AB298" s="2" t="str">
        <f t="shared" ref="AB298" si="391">IF(NOT(ISBLANK(AC298)),"-","")</f>
        <v>-</v>
      </c>
      <c r="AC298" s="2" t="s">
        <v>67</v>
      </c>
      <c r="AD298" s="2" t="str">
        <f t="shared" ref="AD298" si="392">IF(NOT(ISBLANK(AE298)),"_","")</f>
        <v>_</v>
      </c>
      <c r="AE298" s="2" t="s">
        <v>75</v>
      </c>
      <c r="AF298" s="2" t="str">
        <f t="shared" ref="AF298" si="393">IF(NOT(ISBLANK(AG298)),"_","")</f>
        <v>_</v>
      </c>
      <c r="AG298" s="28" t="s">
        <v>66</v>
      </c>
      <c r="AH298" s="2" t="str">
        <f t="shared" si="390"/>
        <v/>
      </c>
    </row>
    <row r="299" spans="2:34" x14ac:dyDescent="0.25">
      <c r="B299" s="2" t="str">
        <f t="shared" si="386"/>
        <v>@case_width-path_wide_z11</v>
      </c>
      <c r="C299" s="28" t="s">
        <v>81</v>
      </c>
      <c r="D299" s="28" t="s">
        <v>88</v>
      </c>
      <c r="F299" s="28" t="s">
        <v>81</v>
      </c>
      <c r="G299" s="28" t="s">
        <v>88</v>
      </c>
      <c r="I299" s="28" t="s">
        <v>80</v>
      </c>
      <c r="L299" s="28" t="s">
        <v>80</v>
      </c>
      <c r="U299" s="28" t="s">
        <v>80</v>
      </c>
      <c r="V299" s="28" t="s">
        <v>84</v>
      </c>
      <c r="X299" s="28" t="s">
        <v>80</v>
      </c>
      <c r="Y299" s="28" t="s">
        <v>84</v>
      </c>
      <c r="AA299" s="2" t="s">
        <v>74</v>
      </c>
      <c r="AB299" s="2" t="str">
        <f t="shared" ref="AB299:AB302" si="394">IF(NOT(ISBLANK(AC299)),"-","")</f>
        <v>-</v>
      </c>
      <c r="AC299" s="2" t="s">
        <v>67</v>
      </c>
      <c r="AD299" s="2" t="str">
        <f t="shared" ref="AD299:AD302" si="395">IF(NOT(ISBLANK(AE299)),"_","")</f>
        <v>_</v>
      </c>
      <c r="AE299" s="2" t="s">
        <v>73</v>
      </c>
      <c r="AF299" s="2" t="str">
        <f t="shared" ref="AF299:AF302" si="396">IF(NOT(ISBLANK(AG299)),"_","")</f>
        <v>_</v>
      </c>
      <c r="AG299" s="28" t="s">
        <v>66</v>
      </c>
      <c r="AH299" s="2" t="str">
        <f t="shared" si="390"/>
        <v/>
      </c>
    </row>
    <row r="300" spans="2:34" x14ac:dyDescent="0.25">
      <c r="B300" s="2" t="str">
        <f t="shared" si="386"/>
        <v>@case_width-path_widest_z11</v>
      </c>
      <c r="C300" s="28" t="s">
        <v>81</v>
      </c>
      <c r="D300" s="28" t="s">
        <v>88</v>
      </c>
      <c r="F300" s="28" t="s">
        <v>81</v>
      </c>
      <c r="G300" s="28" t="s">
        <v>88</v>
      </c>
      <c r="I300" s="28" t="s">
        <v>80</v>
      </c>
      <c r="L300" s="28" t="s">
        <v>80</v>
      </c>
      <c r="U300" s="28" t="s">
        <v>80</v>
      </c>
      <c r="V300" s="28" t="s">
        <v>84</v>
      </c>
      <c r="X300" s="28" t="s">
        <v>80</v>
      </c>
      <c r="Y300" s="28" t="s">
        <v>84</v>
      </c>
      <c r="AA300" s="2" t="s">
        <v>74</v>
      </c>
      <c r="AB300" s="2" t="str">
        <f t="shared" ref="AB300" si="397">IF(NOT(ISBLANK(AC300)),"-","")</f>
        <v>-</v>
      </c>
      <c r="AC300" s="2" t="s">
        <v>67</v>
      </c>
      <c r="AD300" s="2" t="str">
        <f t="shared" ref="AD300" si="398">IF(NOT(ISBLANK(AE300)),"_","")</f>
        <v>_</v>
      </c>
      <c r="AE300" s="2" t="s">
        <v>286</v>
      </c>
      <c r="AF300" s="2" t="str">
        <f t="shared" ref="AF300" si="399">IF(NOT(ISBLANK(AG300)),"_","")</f>
        <v>_</v>
      </c>
      <c r="AG300" s="28" t="s">
        <v>66</v>
      </c>
      <c r="AH300" s="2" t="str">
        <f t="shared" si="390"/>
        <v/>
      </c>
    </row>
    <row r="301" spans="2:34" x14ac:dyDescent="0.25">
      <c r="B301" s="2" t="str">
        <f t="shared" si="386"/>
        <v>@case_width-path_narrow_z14</v>
      </c>
      <c r="C301" s="28" t="s">
        <v>77</v>
      </c>
      <c r="D301" s="28" t="s">
        <v>86</v>
      </c>
      <c r="F301" s="28" t="s">
        <v>77</v>
      </c>
      <c r="G301" s="28" t="s">
        <v>86</v>
      </c>
      <c r="I301" s="28" t="s">
        <v>76</v>
      </c>
      <c r="L301" s="28" t="s">
        <v>76</v>
      </c>
      <c r="U301" s="28" t="s">
        <v>81</v>
      </c>
      <c r="V301" s="28" t="s">
        <v>88</v>
      </c>
      <c r="X301" s="28" t="s">
        <v>81</v>
      </c>
      <c r="Y301" s="28" t="s">
        <v>88</v>
      </c>
      <c r="AA301" s="2" t="s">
        <v>74</v>
      </c>
      <c r="AB301" s="2" t="str">
        <f t="shared" si="394"/>
        <v>-</v>
      </c>
      <c r="AC301" s="2" t="s">
        <v>67</v>
      </c>
      <c r="AD301" s="2" t="str">
        <f t="shared" si="395"/>
        <v>_</v>
      </c>
      <c r="AE301" s="2" t="s">
        <v>68</v>
      </c>
      <c r="AF301" s="2" t="str">
        <f t="shared" si="396"/>
        <v>_</v>
      </c>
      <c r="AG301" s="28" t="s">
        <v>70</v>
      </c>
      <c r="AH301" s="2" t="str">
        <f t="shared" si="390"/>
        <v/>
      </c>
    </row>
    <row r="302" spans="2:34" x14ac:dyDescent="0.25">
      <c r="B302" s="2" t="str">
        <f t="shared" si="386"/>
        <v>@case_width-path_medium_z14</v>
      </c>
      <c r="C302" s="28" t="s">
        <v>81</v>
      </c>
      <c r="D302" s="28" t="s">
        <v>88</v>
      </c>
      <c r="F302" s="28" t="s">
        <v>81</v>
      </c>
      <c r="G302" s="28" t="s">
        <v>88</v>
      </c>
      <c r="I302" s="28" t="s">
        <v>93</v>
      </c>
      <c r="L302" s="28" t="s">
        <v>93</v>
      </c>
      <c r="U302" s="28" t="s">
        <v>81</v>
      </c>
      <c r="V302" s="28" t="s">
        <v>88</v>
      </c>
      <c r="X302" s="28" t="s">
        <v>81</v>
      </c>
      <c r="Y302" s="28" t="s">
        <v>88</v>
      </c>
      <c r="AA302" s="2" t="s">
        <v>74</v>
      </c>
      <c r="AB302" s="2" t="str">
        <f t="shared" si="394"/>
        <v>-</v>
      </c>
      <c r="AC302" s="2" t="s">
        <v>67</v>
      </c>
      <c r="AD302" s="2" t="str">
        <f t="shared" si="395"/>
        <v>_</v>
      </c>
      <c r="AE302" s="2" t="s">
        <v>75</v>
      </c>
      <c r="AF302" s="2" t="str">
        <f t="shared" si="396"/>
        <v>_</v>
      </c>
      <c r="AG302" s="28" t="s">
        <v>70</v>
      </c>
      <c r="AH302" s="2" t="str">
        <f t="shared" si="390"/>
        <v/>
      </c>
    </row>
    <row r="303" spans="2:34" x14ac:dyDescent="0.25">
      <c r="B303" s="2" t="str">
        <f t="shared" si="386"/>
        <v>@case_width-path_wide_z14</v>
      </c>
      <c r="C303" s="28" t="s">
        <v>84</v>
      </c>
      <c r="D303" s="28" t="s">
        <v>82</v>
      </c>
      <c r="F303" s="28" t="s">
        <v>84</v>
      </c>
      <c r="G303" s="28" t="s">
        <v>82</v>
      </c>
      <c r="I303" s="28" t="s">
        <v>94</v>
      </c>
      <c r="L303" s="28" t="s">
        <v>94</v>
      </c>
      <c r="U303" s="28" t="s">
        <v>81</v>
      </c>
      <c r="V303" s="28" t="s">
        <v>88</v>
      </c>
      <c r="X303" s="28" t="s">
        <v>81</v>
      </c>
      <c r="Y303" s="28" t="s">
        <v>88</v>
      </c>
      <c r="AA303" s="2" t="s">
        <v>74</v>
      </c>
      <c r="AB303" s="2" t="str">
        <f t="shared" ref="AB303:AB306" si="400">IF(NOT(ISBLANK(AC303)),"-","")</f>
        <v>-</v>
      </c>
      <c r="AC303" s="2" t="s">
        <v>67</v>
      </c>
      <c r="AD303" s="2" t="str">
        <f t="shared" ref="AD303:AD306" si="401">IF(NOT(ISBLANK(AE303)),"_","")</f>
        <v>_</v>
      </c>
      <c r="AE303" s="2" t="s">
        <v>73</v>
      </c>
      <c r="AF303" s="2" t="str">
        <f t="shared" ref="AF303:AF306" si="402">IF(NOT(ISBLANK(AG303)),"_","")</f>
        <v>_</v>
      </c>
      <c r="AG303" s="28" t="s">
        <v>70</v>
      </c>
      <c r="AH303" s="2" t="str">
        <f t="shared" si="390"/>
        <v/>
      </c>
    </row>
    <row r="304" spans="2:34" x14ac:dyDescent="0.25">
      <c r="B304" s="2" t="str">
        <f t="shared" si="386"/>
        <v>@case_width-path_widest_z14</v>
      </c>
      <c r="C304" s="28" t="s">
        <v>88</v>
      </c>
      <c r="D304" s="28" t="s">
        <v>82</v>
      </c>
      <c r="F304" s="28" t="s">
        <v>88</v>
      </c>
      <c r="G304" s="28" t="s">
        <v>82</v>
      </c>
      <c r="I304" s="28" t="s">
        <v>88</v>
      </c>
      <c r="J304" s="28" t="s">
        <v>82</v>
      </c>
      <c r="L304" s="28" t="s">
        <v>88</v>
      </c>
      <c r="M304" s="28" t="s">
        <v>82</v>
      </c>
      <c r="U304" s="28" t="s">
        <v>88</v>
      </c>
      <c r="V304" s="28" t="s">
        <v>82</v>
      </c>
      <c r="X304" s="28" t="s">
        <v>88</v>
      </c>
      <c r="Y304" s="28" t="s">
        <v>82</v>
      </c>
      <c r="AA304" s="2" t="s">
        <v>74</v>
      </c>
      <c r="AB304" s="2" t="str">
        <f t="shared" ref="AB304" si="403">IF(NOT(ISBLANK(AC304)),"-","")</f>
        <v>-</v>
      </c>
      <c r="AC304" s="2" t="s">
        <v>67</v>
      </c>
      <c r="AD304" s="2" t="str">
        <f t="shared" ref="AD304" si="404">IF(NOT(ISBLANK(AE304)),"_","")</f>
        <v>_</v>
      </c>
      <c r="AE304" s="2" t="s">
        <v>286</v>
      </c>
      <c r="AF304" s="2" t="str">
        <f t="shared" ref="AF304" si="405">IF(NOT(ISBLANK(AG304)),"_","")</f>
        <v>_</v>
      </c>
      <c r="AG304" s="28" t="s">
        <v>70</v>
      </c>
      <c r="AH304" s="2" t="str">
        <f t="shared" si="390"/>
        <v/>
      </c>
    </row>
    <row r="305" spans="2:34" x14ac:dyDescent="0.25">
      <c r="B305" s="2" t="str">
        <f t="shared" si="386"/>
        <v>@case_width-path_narrow_z16</v>
      </c>
      <c r="C305" s="28" t="s">
        <v>84</v>
      </c>
      <c r="D305" s="28" t="s">
        <v>84</v>
      </c>
      <c r="F305" s="28" t="s">
        <v>84</v>
      </c>
      <c r="G305" s="28" t="s">
        <v>84</v>
      </c>
      <c r="I305" s="28" t="s">
        <v>76</v>
      </c>
      <c r="L305" s="28" t="s">
        <v>76</v>
      </c>
      <c r="U305" s="28" t="s">
        <v>82</v>
      </c>
      <c r="V305" s="28" t="s">
        <v>82</v>
      </c>
      <c r="X305" s="28" t="s">
        <v>82</v>
      </c>
      <c r="Y305" s="28" t="s">
        <v>82</v>
      </c>
      <c r="AA305" s="2" t="s">
        <v>74</v>
      </c>
      <c r="AB305" s="2" t="str">
        <f t="shared" si="400"/>
        <v>-</v>
      </c>
      <c r="AC305" s="2" t="s">
        <v>67</v>
      </c>
      <c r="AD305" s="2" t="str">
        <f t="shared" si="401"/>
        <v>_</v>
      </c>
      <c r="AE305" s="2" t="s">
        <v>68</v>
      </c>
      <c r="AF305" s="2" t="str">
        <f t="shared" si="402"/>
        <v>_</v>
      </c>
      <c r="AG305" s="28" t="s">
        <v>71</v>
      </c>
      <c r="AH305" s="2" t="str">
        <f t="shared" si="390"/>
        <v/>
      </c>
    </row>
    <row r="306" spans="2:34" x14ac:dyDescent="0.25">
      <c r="B306" s="2" t="str">
        <f t="shared" si="386"/>
        <v>@case_width-path_medium_z16</v>
      </c>
      <c r="C306" s="28" t="s">
        <v>82</v>
      </c>
      <c r="D306" s="28" t="s">
        <v>82</v>
      </c>
      <c r="F306" s="28" t="s">
        <v>82</v>
      </c>
      <c r="G306" s="28" t="s">
        <v>82</v>
      </c>
      <c r="I306" s="28" t="s">
        <v>94</v>
      </c>
      <c r="L306" s="28" t="s">
        <v>94</v>
      </c>
      <c r="U306" s="28" t="s">
        <v>82</v>
      </c>
      <c r="V306" s="28" t="s">
        <v>82</v>
      </c>
      <c r="X306" s="28" t="s">
        <v>82</v>
      </c>
      <c r="Y306" s="28" t="s">
        <v>82</v>
      </c>
      <c r="AA306" s="2" t="s">
        <v>74</v>
      </c>
      <c r="AB306" s="2" t="str">
        <f t="shared" si="400"/>
        <v>-</v>
      </c>
      <c r="AC306" s="2" t="s">
        <v>67</v>
      </c>
      <c r="AD306" s="2" t="str">
        <f t="shared" si="401"/>
        <v>_</v>
      </c>
      <c r="AE306" s="2" t="s">
        <v>75</v>
      </c>
      <c r="AF306" s="2" t="str">
        <f t="shared" si="402"/>
        <v>_</v>
      </c>
      <c r="AG306" s="28" t="s">
        <v>71</v>
      </c>
      <c r="AH306" s="2" t="str">
        <f t="shared" si="390"/>
        <v/>
      </c>
    </row>
    <row r="307" spans="2:34" x14ac:dyDescent="0.25">
      <c r="B307" s="2" t="str">
        <f t="shared" si="386"/>
        <v>@case_width-path_wide_z16</v>
      </c>
      <c r="C307" s="28" t="s">
        <v>83</v>
      </c>
      <c r="D307" s="28" t="s">
        <v>83</v>
      </c>
      <c r="F307" s="28" t="s">
        <v>83</v>
      </c>
      <c r="G307" s="28" t="s">
        <v>83</v>
      </c>
      <c r="I307" s="28" t="s">
        <v>95</v>
      </c>
      <c r="L307" s="28" t="s">
        <v>95</v>
      </c>
      <c r="U307" s="28" t="s">
        <v>82</v>
      </c>
      <c r="V307" s="28" t="s">
        <v>82</v>
      </c>
      <c r="X307" s="28" t="s">
        <v>82</v>
      </c>
      <c r="Y307" s="28" t="s">
        <v>82</v>
      </c>
      <c r="AA307" s="2" t="s">
        <v>74</v>
      </c>
      <c r="AB307" s="2" t="str">
        <f t="shared" ref="AB307:AB310" si="406">IF(NOT(ISBLANK(AC307)),"-","")</f>
        <v>-</v>
      </c>
      <c r="AC307" s="2" t="s">
        <v>67</v>
      </c>
      <c r="AD307" s="2" t="str">
        <f t="shared" ref="AD307:AD310" si="407">IF(NOT(ISBLANK(AE307)),"_","")</f>
        <v>_</v>
      </c>
      <c r="AE307" s="2" t="s">
        <v>73</v>
      </c>
      <c r="AF307" s="2" t="str">
        <f t="shared" ref="AF307:AF310" si="408">IF(NOT(ISBLANK(AG307)),"_","")</f>
        <v>_</v>
      </c>
      <c r="AG307" s="28" t="s">
        <v>71</v>
      </c>
      <c r="AH307" s="2" t="str">
        <f t="shared" si="390"/>
        <v/>
      </c>
    </row>
    <row r="308" spans="2:34" x14ac:dyDescent="0.25">
      <c r="B308" s="2" t="str">
        <f t="shared" si="386"/>
        <v>@case_width-path_widest_z16</v>
      </c>
      <c r="C308" s="28" t="s">
        <v>83</v>
      </c>
      <c r="D308" s="28" t="s">
        <v>83</v>
      </c>
      <c r="F308" s="28" t="s">
        <v>83</v>
      </c>
      <c r="G308" s="28" t="s">
        <v>83</v>
      </c>
      <c r="I308" s="28" t="s">
        <v>83</v>
      </c>
      <c r="J308" s="28" t="s">
        <v>83</v>
      </c>
      <c r="L308" s="28" t="s">
        <v>83</v>
      </c>
      <c r="M308" s="28" t="s">
        <v>83</v>
      </c>
      <c r="U308" s="28" t="s">
        <v>83</v>
      </c>
      <c r="V308" s="28" t="s">
        <v>83</v>
      </c>
      <c r="X308" s="28" t="s">
        <v>83</v>
      </c>
      <c r="Y308" s="28" t="s">
        <v>83</v>
      </c>
      <c r="AA308" s="2" t="s">
        <v>74</v>
      </c>
      <c r="AB308" s="2" t="str">
        <f t="shared" ref="AB308" si="409">IF(NOT(ISBLANK(AC308)),"-","")</f>
        <v>-</v>
      </c>
      <c r="AC308" s="2" t="s">
        <v>67</v>
      </c>
      <c r="AD308" s="2" t="str">
        <f t="shared" ref="AD308" si="410">IF(NOT(ISBLANK(AE308)),"_","")</f>
        <v>_</v>
      </c>
      <c r="AE308" s="2" t="s">
        <v>286</v>
      </c>
      <c r="AF308" s="2" t="str">
        <f t="shared" ref="AF308" si="411">IF(NOT(ISBLANK(AG308)),"_","")</f>
        <v>_</v>
      </c>
      <c r="AG308" s="28" t="s">
        <v>71</v>
      </c>
      <c r="AH308" s="2" t="str">
        <f t="shared" si="390"/>
        <v/>
      </c>
    </row>
    <row r="309" spans="2:34" x14ac:dyDescent="0.25">
      <c r="B309" s="2" t="str">
        <f t="shared" si="386"/>
        <v>@case_width-path_narrow_z18</v>
      </c>
      <c r="C309" s="28" t="s">
        <v>79</v>
      </c>
      <c r="D309" s="28" t="s">
        <v>87</v>
      </c>
      <c r="F309" s="28" t="s">
        <v>79</v>
      </c>
      <c r="G309" s="28" t="s">
        <v>87</v>
      </c>
      <c r="I309" s="28" t="s">
        <v>80</v>
      </c>
      <c r="L309" s="28" t="s">
        <v>80</v>
      </c>
      <c r="U309" s="28" t="s">
        <v>83</v>
      </c>
      <c r="V309" s="28" t="s">
        <v>89</v>
      </c>
      <c r="X309" s="28" t="s">
        <v>83</v>
      </c>
      <c r="Y309" s="28" t="s">
        <v>89</v>
      </c>
      <c r="AA309" s="2" t="s">
        <v>74</v>
      </c>
      <c r="AB309" s="2" t="str">
        <f t="shared" si="406"/>
        <v>-</v>
      </c>
      <c r="AC309" s="2" t="s">
        <v>67</v>
      </c>
      <c r="AD309" s="2" t="str">
        <f t="shared" si="407"/>
        <v>_</v>
      </c>
      <c r="AE309" s="2" t="s">
        <v>68</v>
      </c>
      <c r="AF309" s="2" t="str">
        <f t="shared" si="408"/>
        <v>_</v>
      </c>
      <c r="AG309" s="28" t="s">
        <v>72</v>
      </c>
      <c r="AH309" s="2" t="str">
        <f t="shared" si="390"/>
        <v/>
      </c>
    </row>
    <row r="310" spans="2:34" x14ac:dyDescent="0.25">
      <c r="B310" s="2" t="str">
        <f t="shared" si="386"/>
        <v>@case_width-path_medium_z18</v>
      </c>
      <c r="C310" s="28" t="s">
        <v>83</v>
      </c>
      <c r="D310" s="28" t="s">
        <v>89</v>
      </c>
      <c r="F310" s="28" t="s">
        <v>83</v>
      </c>
      <c r="G310" s="28" t="s">
        <v>89</v>
      </c>
      <c r="I310" s="28" t="s">
        <v>95</v>
      </c>
      <c r="L310" s="28" t="s">
        <v>95</v>
      </c>
      <c r="U310" s="28" t="s">
        <v>83</v>
      </c>
      <c r="V310" s="28" t="s">
        <v>89</v>
      </c>
      <c r="X310" s="28" t="s">
        <v>83</v>
      </c>
      <c r="Y310" s="28" t="s">
        <v>89</v>
      </c>
      <c r="AA310" s="2" t="s">
        <v>74</v>
      </c>
      <c r="AB310" s="2" t="str">
        <f t="shared" si="406"/>
        <v>-</v>
      </c>
      <c r="AC310" s="2" t="s">
        <v>67</v>
      </c>
      <c r="AD310" s="2" t="str">
        <f t="shared" si="407"/>
        <v>_</v>
      </c>
      <c r="AE310" s="2" t="s">
        <v>75</v>
      </c>
      <c r="AF310" s="2" t="str">
        <f t="shared" si="408"/>
        <v>_</v>
      </c>
      <c r="AG310" s="28" t="s">
        <v>72</v>
      </c>
      <c r="AH310" s="2" t="str">
        <f t="shared" si="390"/>
        <v/>
      </c>
    </row>
    <row r="311" spans="2:34" x14ac:dyDescent="0.25">
      <c r="B311" s="2" t="str">
        <f t="shared" si="386"/>
        <v>@case_width-path_wide_z18</v>
      </c>
      <c r="C311" s="28" t="s">
        <v>85</v>
      </c>
      <c r="D311" s="28" t="s">
        <v>90</v>
      </c>
      <c r="F311" s="28" t="s">
        <v>85</v>
      </c>
      <c r="G311" s="28" t="s">
        <v>90</v>
      </c>
      <c r="I311" s="28" t="s">
        <v>96</v>
      </c>
      <c r="L311" s="28" t="s">
        <v>96</v>
      </c>
      <c r="U311" s="28" t="s">
        <v>83</v>
      </c>
      <c r="V311" s="28" t="s">
        <v>89</v>
      </c>
      <c r="X311" s="28" t="s">
        <v>83</v>
      </c>
      <c r="Y311" s="28" t="s">
        <v>89</v>
      </c>
      <c r="AA311" s="2" t="s">
        <v>74</v>
      </c>
      <c r="AB311" s="2" t="str">
        <f t="shared" ref="AB311" si="412">IF(NOT(ISBLANK(AC311)),"-","")</f>
        <v>-</v>
      </c>
      <c r="AC311" s="2" t="s">
        <v>67</v>
      </c>
      <c r="AD311" s="2" t="str">
        <f t="shared" ref="AD311" si="413">IF(NOT(ISBLANK(AE311)),"_","")</f>
        <v>_</v>
      </c>
      <c r="AE311" s="2" t="s">
        <v>73</v>
      </c>
      <c r="AF311" s="2" t="str">
        <f t="shared" ref="AF311" si="414">IF(NOT(ISBLANK(AG311)),"_","")</f>
        <v>_</v>
      </c>
      <c r="AG311" s="28" t="s">
        <v>72</v>
      </c>
      <c r="AH311" s="2" t="str">
        <f t="shared" si="390"/>
        <v/>
      </c>
    </row>
    <row r="312" spans="2:34" x14ac:dyDescent="0.25">
      <c r="B312" s="2" t="str">
        <f t="shared" si="386"/>
        <v>@case_width-path_widest_z18</v>
      </c>
      <c r="C312" s="28" t="s">
        <v>85</v>
      </c>
      <c r="D312" s="28" t="s">
        <v>90</v>
      </c>
      <c r="F312" s="28" t="s">
        <v>85</v>
      </c>
      <c r="G312" s="28" t="s">
        <v>90</v>
      </c>
      <c r="I312" s="28" t="s">
        <v>85</v>
      </c>
      <c r="J312" s="28" t="s">
        <v>90</v>
      </c>
      <c r="L312" s="28" t="s">
        <v>85</v>
      </c>
      <c r="M312" s="28" t="s">
        <v>90</v>
      </c>
      <c r="U312" s="28" t="s">
        <v>85</v>
      </c>
      <c r="V312" s="28" t="s">
        <v>90</v>
      </c>
      <c r="X312" s="28" t="s">
        <v>85</v>
      </c>
      <c r="Y312" s="28" t="s">
        <v>90</v>
      </c>
      <c r="AA312" s="2" t="s">
        <v>74</v>
      </c>
      <c r="AB312" s="2" t="str">
        <f t="shared" ref="AB312" si="415">IF(NOT(ISBLANK(AC312)),"-","")</f>
        <v>-</v>
      </c>
      <c r="AC312" s="2" t="s">
        <v>67</v>
      </c>
      <c r="AD312" s="2" t="str">
        <f t="shared" ref="AD312" si="416">IF(NOT(ISBLANK(AE312)),"_","")</f>
        <v>_</v>
      </c>
      <c r="AE312" s="2" t="s">
        <v>286</v>
      </c>
      <c r="AF312" s="2" t="str">
        <f t="shared" ref="AF312" si="417">IF(NOT(ISBLANK(AG312)),"_","")</f>
        <v>_</v>
      </c>
      <c r="AG312" s="28" t="s">
        <v>72</v>
      </c>
      <c r="AH312" s="2" t="str">
        <f t="shared" si="390"/>
        <v/>
      </c>
    </row>
    <row r="313" spans="2:34" x14ac:dyDescent="0.25">
      <c r="B313" s="2"/>
      <c r="AA313" s="2"/>
      <c r="AB313" s="2"/>
      <c r="AC313" s="2"/>
      <c r="AD313" s="2"/>
      <c r="AE313" s="2"/>
      <c r="AF313" s="2"/>
      <c r="AH313" s="2"/>
    </row>
    <row r="314" spans="2:34" x14ac:dyDescent="0.25">
      <c r="B314" s="2" t="str">
        <f t="shared" ref="B314" si="418">_xlfn.CONCAT("@",AA314,AB314,AC314,AD314,AE314,AF314,AG314,AH314,AI314)</f>
        <v>@color-path_track_footway_cycleway_railings</v>
      </c>
      <c r="C314" s="47" t="s">
        <v>210</v>
      </c>
      <c r="D314" s="47" t="s">
        <v>210</v>
      </c>
      <c r="F314" s="31" t="s">
        <v>272</v>
      </c>
      <c r="G314" s="31" t="s">
        <v>272</v>
      </c>
      <c r="I314" s="47" t="s">
        <v>210</v>
      </c>
      <c r="J314" s="47" t="s">
        <v>210</v>
      </c>
      <c r="L314" s="31" t="s">
        <v>272</v>
      </c>
      <c r="M314" s="31" t="s">
        <v>272</v>
      </c>
      <c r="U314" s="47" t="s">
        <v>210</v>
      </c>
      <c r="V314" s="47" t="s">
        <v>210</v>
      </c>
      <c r="X314" s="31" t="s">
        <v>272</v>
      </c>
      <c r="Y314" s="31" t="s">
        <v>272</v>
      </c>
      <c r="AA314" s="2" t="s">
        <v>6</v>
      </c>
      <c r="AB314" s="2" t="str">
        <f t="shared" ref="AB314" si="419">IF(NOT(ISBLANK(AC314)),"-","")</f>
        <v>-</v>
      </c>
      <c r="AC314" s="2" t="s">
        <v>335</v>
      </c>
      <c r="AD314" s="2" t="str">
        <f t="shared" ref="AD314" si="420">IF(NOT(ISBLANK(AE314)),"_","")</f>
        <v>_</v>
      </c>
      <c r="AE314" s="2" t="s">
        <v>328</v>
      </c>
      <c r="AF314" s="2" t="str">
        <f t="shared" ref="AF314" si="421">IF(NOT(ISBLANK(AG314)),"_","")</f>
        <v/>
      </c>
      <c r="AH314" s="2" t="str">
        <f t="shared" ref="AH314" si="422">IF(NOT(ISBLANK(AI314)),"_","")</f>
        <v/>
      </c>
    </row>
    <row r="315" spans="2:34" x14ac:dyDescent="0.25">
      <c r="B315" s="2" t="str">
        <f t="shared" ref="B315" si="423">_xlfn.CONCAT("@",AA315,AB315,AC315,AD315,AE315,AF315,AG315,AH315,AI315)</f>
        <v>@color-path_track_footway_cycleway_floor</v>
      </c>
      <c r="C315" s="46" t="s">
        <v>218</v>
      </c>
      <c r="D315" s="46" t="s">
        <v>218</v>
      </c>
      <c r="F315" s="47" t="s">
        <v>210</v>
      </c>
      <c r="G315" s="47" t="s">
        <v>210</v>
      </c>
      <c r="I315" s="46" t="s">
        <v>218</v>
      </c>
      <c r="J315" s="46" t="s">
        <v>218</v>
      </c>
      <c r="L315" s="47" t="s">
        <v>210</v>
      </c>
      <c r="M315" s="47" t="s">
        <v>210</v>
      </c>
      <c r="U315" s="46" t="s">
        <v>218</v>
      </c>
      <c r="V315" s="46" t="s">
        <v>218</v>
      </c>
      <c r="X315" s="47" t="s">
        <v>210</v>
      </c>
      <c r="Y315" s="47" t="s">
        <v>210</v>
      </c>
      <c r="AA315" s="2" t="s">
        <v>6</v>
      </c>
      <c r="AB315" s="2" t="str">
        <f t="shared" ref="AB315" si="424">IF(NOT(ISBLANK(AC315)),"-","")</f>
        <v>-</v>
      </c>
      <c r="AC315" s="2" t="s">
        <v>335</v>
      </c>
      <c r="AD315" s="2" t="str">
        <f t="shared" ref="AD315" si="425">IF(NOT(ISBLANK(AE315)),"_","")</f>
        <v>_</v>
      </c>
      <c r="AE315" s="2" t="s">
        <v>329</v>
      </c>
      <c r="AF315" s="2" t="str">
        <f t="shared" ref="AF315" si="426">IF(NOT(ISBLANK(AG315)),"_","")</f>
        <v/>
      </c>
      <c r="AH315" s="2" t="str">
        <f t="shared" ref="AH315" si="427">IF(NOT(ISBLANK(AI315)),"_","")</f>
        <v/>
      </c>
    </row>
    <row r="316" spans="2:34" x14ac:dyDescent="0.25">
      <c r="B316" s="2"/>
      <c r="AA316" s="2"/>
      <c r="AB316" s="2"/>
      <c r="AC316" s="2"/>
      <c r="AD316" s="2"/>
      <c r="AE316" s="2"/>
      <c r="AF316" s="2"/>
      <c r="AH316" s="2"/>
    </row>
    <row r="317" spans="2:34" x14ac:dyDescent="0.25">
      <c r="B317" s="2" t="str">
        <f t="shared" ref="B317" si="428">_xlfn.CONCAT("@",AA317,AB317,AC317,AD317,AE317,AF317,AG317,AH317,AI317)</f>
        <v>@case_width-path_track_footway_cycleway_railings_z12</v>
      </c>
      <c r="C317" s="28" t="s">
        <v>127</v>
      </c>
      <c r="D317" s="28" t="s">
        <v>127</v>
      </c>
      <c r="F317" s="28" t="s">
        <v>127</v>
      </c>
      <c r="G317" s="28" t="s">
        <v>127</v>
      </c>
      <c r="I317" s="28" t="s">
        <v>127</v>
      </c>
      <c r="J317" s="28" t="s">
        <v>78</v>
      </c>
      <c r="L317" s="28" t="s">
        <v>127</v>
      </c>
      <c r="M317" s="28" t="s">
        <v>78</v>
      </c>
      <c r="U317" s="28" t="s">
        <v>127</v>
      </c>
      <c r="V317" s="28" t="s">
        <v>127</v>
      </c>
      <c r="X317" s="28" t="s">
        <v>127</v>
      </c>
      <c r="Y317" s="28" t="s">
        <v>127</v>
      </c>
      <c r="AA317" s="2" t="s">
        <v>74</v>
      </c>
      <c r="AB317" s="2" t="str">
        <f t="shared" ref="AB317" si="429">IF(NOT(ISBLANK(AC317)),"-","")</f>
        <v>-</v>
      </c>
      <c r="AC317" s="2" t="s">
        <v>335</v>
      </c>
      <c r="AD317" s="2" t="str">
        <f t="shared" ref="AD317" si="430">IF(NOT(ISBLANK(AE317)),"_","")</f>
        <v>_</v>
      </c>
      <c r="AE317" s="2" t="s">
        <v>328</v>
      </c>
      <c r="AF317" s="2" t="str">
        <f t="shared" ref="AF317" si="431">IF(NOT(ISBLANK(AG317)),"_","")</f>
        <v>_</v>
      </c>
      <c r="AG317" s="28" t="s">
        <v>105</v>
      </c>
      <c r="AH317" s="2" t="str">
        <f t="shared" ref="AH317" si="432">IF(NOT(ISBLANK(AI317)),"_","")</f>
        <v/>
      </c>
    </row>
    <row r="318" spans="2:34" x14ac:dyDescent="0.25">
      <c r="B318" s="2" t="str">
        <f t="shared" ref="B318" si="433">_xlfn.CONCAT("@",AA318,AB318,AC318,AD318,AE318,AF318,AG318,AH318,AI318)</f>
        <v>@case_width-path_track_footway_cycleway_railings_z14</v>
      </c>
      <c r="C318" s="28" t="s">
        <v>330</v>
      </c>
      <c r="D318" s="28" t="s">
        <v>330</v>
      </c>
      <c r="F318" s="28" t="s">
        <v>330</v>
      </c>
      <c r="G318" s="28" t="s">
        <v>330</v>
      </c>
      <c r="I318" s="28" t="s">
        <v>82</v>
      </c>
      <c r="J318" s="28" t="s">
        <v>130</v>
      </c>
      <c r="L318" s="28" t="s">
        <v>82</v>
      </c>
      <c r="M318" s="28" t="s">
        <v>130</v>
      </c>
      <c r="U318" s="28" t="s">
        <v>330</v>
      </c>
      <c r="V318" s="28" t="s">
        <v>330</v>
      </c>
      <c r="X318" s="28" t="s">
        <v>330</v>
      </c>
      <c r="Y318" s="28" t="s">
        <v>330</v>
      </c>
      <c r="AA318" s="2" t="s">
        <v>74</v>
      </c>
      <c r="AB318" s="2" t="str">
        <f t="shared" ref="AB318" si="434">IF(NOT(ISBLANK(AC318)),"-","")</f>
        <v>-</v>
      </c>
      <c r="AC318" s="2" t="s">
        <v>335</v>
      </c>
      <c r="AD318" s="2" t="str">
        <f t="shared" ref="AD318" si="435">IF(NOT(ISBLANK(AE318)),"_","")</f>
        <v>_</v>
      </c>
      <c r="AE318" s="2" t="s">
        <v>328</v>
      </c>
      <c r="AF318" s="2" t="str">
        <f t="shared" ref="AF318" si="436">IF(NOT(ISBLANK(AG318)),"_","")</f>
        <v>_</v>
      </c>
      <c r="AG318" s="28" t="s">
        <v>70</v>
      </c>
      <c r="AH318" s="2" t="str">
        <f t="shared" ref="AH318" si="437">IF(NOT(ISBLANK(AI318)),"_","")</f>
        <v/>
      </c>
    </row>
    <row r="319" spans="2:34" x14ac:dyDescent="0.25">
      <c r="B319" s="2" t="str">
        <f t="shared" ref="B319" si="438">_xlfn.CONCAT("@",AA319,AB319,AC319,AD319,AE319,AF319,AG319,AH319,AI319)</f>
        <v>@case_width-path_track_footway_cycleway_railings_z15</v>
      </c>
      <c r="C319" s="28" t="s">
        <v>124</v>
      </c>
      <c r="D319" s="28" t="s">
        <v>303</v>
      </c>
      <c r="F319" s="28" t="s">
        <v>124</v>
      </c>
      <c r="G319" s="28" t="s">
        <v>82</v>
      </c>
      <c r="I319" s="28" t="s">
        <v>130</v>
      </c>
      <c r="J319" s="28" t="s">
        <v>317</v>
      </c>
      <c r="L319" s="28" t="s">
        <v>130</v>
      </c>
      <c r="M319" s="28" t="s">
        <v>317</v>
      </c>
      <c r="U319" s="28" t="s">
        <v>124</v>
      </c>
      <c r="V319" s="28" t="s">
        <v>303</v>
      </c>
      <c r="X319" s="28" t="s">
        <v>124</v>
      </c>
      <c r="Y319" s="28" t="s">
        <v>82</v>
      </c>
      <c r="AA319" s="2" t="s">
        <v>74</v>
      </c>
      <c r="AB319" s="2" t="str">
        <f t="shared" ref="AB319" si="439">IF(NOT(ISBLANK(AC319)),"-","")</f>
        <v>-</v>
      </c>
      <c r="AC319" s="2" t="s">
        <v>335</v>
      </c>
      <c r="AD319" s="2" t="str">
        <f t="shared" ref="AD319" si="440">IF(NOT(ISBLANK(AE319)),"_","")</f>
        <v>_</v>
      </c>
      <c r="AE319" s="2" t="s">
        <v>328</v>
      </c>
      <c r="AF319" s="2" t="str">
        <f t="shared" ref="AF319" si="441">IF(NOT(ISBLANK(AG319)),"_","")</f>
        <v>_</v>
      </c>
      <c r="AG319" s="28" t="s">
        <v>323</v>
      </c>
      <c r="AH319" s="2" t="str">
        <f t="shared" ref="AH319" si="442">IF(NOT(ISBLANK(AI319)),"_","")</f>
        <v/>
      </c>
    </row>
    <row r="320" spans="2:34" x14ac:dyDescent="0.25">
      <c r="B320" s="2" t="str">
        <f t="shared" ref="B320" si="443">_xlfn.CONCAT("@",AA320,AB320,AC320,AD320,AE320,AF320,AG320,AH320,AI320)</f>
        <v>@case_width-path_track_footway_cycleway_railings_z16</v>
      </c>
      <c r="C320" s="28" t="s">
        <v>326</v>
      </c>
      <c r="D320" s="28" t="s">
        <v>331</v>
      </c>
      <c r="F320" s="28" t="s">
        <v>326</v>
      </c>
      <c r="G320" s="28" t="s">
        <v>331</v>
      </c>
      <c r="I320" s="28" t="s">
        <v>131</v>
      </c>
      <c r="J320" s="28" t="s">
        <v>333</v>
      </c>
      <c r="L320" s="28" t="s">
        <v>131</v>
      </c>
      <c r="M320" s="28" t="s">
        <v>333</v>
      </c>
      <c r="U320" s="28" t="s">
        <v>326</v>
      </c>
      <c r="V320" s="28" t="s">
        <v>331</v>
      </c>
      <c r="X320" s="28" t="s">
        <v>326</v>
      </c>
      <c r="Y320" s="28" t="s">
        <v>331</v>
      </c>
      <c r="AA320" s="2" t="s">
        <v>74</v>
      </c>
      <c r="AB320" s="2" t="str">
        <f t="shared" ref="AB320" si="444">IF(NOT(ISBLANK(AC320)),"-","")</f>
        <v>-</v>
      </c>
      <c r="AC320" s="2" t="s">
        <v>335</v>
      </c>
      <c r="AD320" s="2" t="str">
        <f t="shared" ref="AD320" si="445">IF(NOT(ISBLANK(AE320)),"_","")</f>
        <v>_</v>
      </c>
      <c r="AE320" s="2" t="s">
        <v>328</v>
      </c>
      <c r="AF320" s="2" t="str">
        <f t="shared" ref="AF320" si="446">IF(NOT(ISBLANK(AG320)),"_","")</f>
        <v>_</v>
      </c>
      <c r="AG320" s="28" t="s">
        <v>71</v>
      </c>
      <c r="AH320" s="2" t="str">
        <f t="shared" ref="AH320" si="447">IF(NOT(ISBLANK(AI320)),"_","")</f>
        <v/>
      </c>
    </row>
    <row r="321" spans="1:35" x14ac:dyDescent="0.25">
      <c r="B321" s="2" t="str">
        <f t="shared" ref="B321" si="448">_xlfn.CONCAT("@",AA321,AB321,AC321,AD321,AE321,AF321,AG321,AH321,AI321)</f>
        <v>@case_width-path_track_footway_cycleway_railings_z18</v>
      </c>
      <c r="C321" s="28" t="s">
        <v>85</v>
      </c>
      <c r="D321" s="28" t="s">
        <v>325</v>
      </c>
      <c r="F321" s="28" t="s">
        <v>85</v>
      </c>
      <c r="G321" s="28" t="s">
        <v>325</v>
      </c>
      <c r="I321" s="28" t="s">
        <v>332</v>
      </c>
      <c r="J321" s="28" t="s">
        <v>334</v>
      </c>
      <c r="L321" s="28" t="s">
        <v>332</v>
      </c>
      <c r="M321" s="28" t="s">
        <v>334</v>
      </c>
      <c r="U321" s="28" t="s">
        <v>85</v>
      </c>
      <c r="V321" s="28" t="s">
        <v>325</v>
      </c>
      <c r="X321" s="28" t="s">
        <v>85</v>
      </c>
      <c r="Y321" s="28" t="s">
        <v>325</v>
      </c>
      <c r="AA321" s="2" t="s">
        <v>74</v>
      </c>
      <c r="AB321" s="2" t="str">
        <f t="shared" ref="AB321" si="449">IF(NOT(ISBLANK(AC321)),"-","")</f>
        <v>-</v>
      </c>
      <c r="AC321" s="2" t="s">
        <v>335</v>
      </c>
      <c r="AD321" s="2" t="str">
        <f t="shared" ref="AD321" si="450">IF(NOT(ISBLANK(AE321)),"_","")</f>
        <v>_</v>
      </c>
      <c r="AE321" s="2" t="s">
        <v>328</v>
      </c>
      <c r="AF321" s="2" t="str">
        <f t="shared" ref="AF321" si="451">IF(NOT(ISBLANK(AG321)),"_","")</f>
        <v>_</v>
      </c>
      <c r="AG321" s="28" t="s">
        <v>72</v>
      </c>
      <c r="AH321" s="2" t="str">
        <f t="shared" ref="AH321" si="452">IF(NOT(ISBLANK(AI321)),"_","")</f>
        <v/>
      </c>
    </row>
    <row r="322" spans="1:35" x14ac:dyDescent="0.25">
      <c r="B322" s="2"/>
      <c r="AA322" s="2"/>
      <c r="AB322" s="2"/>
      <c r="AC322" s="2"/>
      <c r="AD322" s="2"/>
      <c r="AE322" s="2"/>
      <c r="AF322" s="2"/>
      <c r="AH322" s="2"/>
    </row>
    <row r="323" spans="1:35" x14ac:dyDescent="0.25">
      <c r="B323" s="2" t="str">
        <f t="shared" ref="B323" si="453">_xlfn.CONCAT("@",AA323,AB323,AC323,AD323,AE323,AF323,AG323,AH323,AI323)</f>
        <v>@case_width-path_track_footway_cycleway_floor_z12</v>
      </c>
      <c r="C323" s="28" t="s">
        <v>108</v>
      </c>
      <c r="D323" s="28" t="s">
        <v>108</v>
      </c>
      <c r="F323" s="28" t="s">
        <v>108</v>
      </c>
      <c r="G323" s="28" t="s">
        <v>108</v>
      </c>
      <c r="I323" s="28" t="s">
        <v>108</v>
      </c>
      <c r="J323" s="28" t="s">
        <v>86</v>
      </c>
      <c r="L323" s="28" t="s">
        <v>108</v>
      </c>
      <c r="M323" s="28" t="s">
        <v>86</v>
      </c>
      <c r="U323" s="28" t="s">
        <v>108</v>
      </c>
      <c r="V323" s="28" t="s">
        <v>108</v>
      </c>
      <c r="X323" s="28" t="s">
        <v>108</v>
      </c>
      <c r="Y323" s="28" t="s">
        <v>108</v>
      </c>
      <c r="AA323" s="2" t="s">
        <v>74</v>
      </c>
      <c r="AB323" s="2" t="str">
        <f t="shared" ref="AB323" si="454">IF(NOT(ISBLANK(AC323)),"-","")</f>
        <v>-</v>
      </c>
      <c r="AC323" s="2" t="s">
        <v>335</v>
      </c>
      <c r="AD323" s="2" t="str">
        <f t="shared" ref="AD323" si="455">IF(NOT(ISBLANK(AE323)),"_","")</f>
        <v>_</v>
      </c>
      <c r="AE323" s="2" t="s">
        <v>329</v>
      </c>
      <c r="AF323" s="2" t="str">
        <f t="shared" ref="AF323" si="456">IF(NOT(ISBLANK(AG323)),"_","")</f>
        <v>_</v>
      </c>
      <c r="AG323" s="28" t="s">
        <v>105</v>
      </c>
      <c r="AH323" s="2" t="str">
        <f t="shared" ref="AH323" si="457">IF(NOT(ISBLANK(AI323)),"_","")</f>
        <v/>
      </c>
    </row>
    <row r="324" spans="1:35" x14ac:dyDescent="0.25">
      <c r="B324" s="2" t="str">
        <f t="shared" ref="B324" si="458">_xlfn.CONCAT("@",AA324,AB324,AC324,AD324,AE324,AF324,AG324,AH324,AI324)</f>
        <v>@case_width-path_track_footway_cycleway_floor_z14</v>
      </c>
      <c r="C324" s="28" t="s">
        <v>108</v>
      </c>
      <c r="D324" s="28" t="s">
        <v>108</v>
      </c>
      <c r="F324" s="28" t="s">
        <v>108</v>
      </c>
      <c r="G324" s="28" t="s">
        <v>108</v>
      </c>
      <c r="I324" s="28" t="s">
        <v>124</v>
      </c>
      <c r="J324" s="28" t="s">
        <v>303</v>
      </c>
      <c r="L324" s="28" t="s">
        <v>124</v>
      </c>
      <c r="M324" s="28" t="s">
        <v>303</v>
      </c>
      <c r="U324" s="28" t="s">
        <v>108</v>
      </c>
      <c r="V324" s="28" t="s">
        <v>108</v>
      </c>
      <c r="X324" s="28" t="s">
        <v>108</v>
      </c>
      <c r="Y324" s="28" t="s">
        <v>108</v>
      </c>
      <c r="AA324" s="2" t="s">
        <v>74</v>
      </c>
      <c r="AB324" s="2" t="str">
        <f t="shared" ref="AB324" si="459">IF(NOT(ISBLANK(AC324)),"-","")</f>
        <v>-</v>
      </c>
      <c r="AC324" s="2" t="s">
        <v>335</v>
      </c>
      <c r="AD324" s="2" t="str">
        <f t="shared" ref="AD324" si="460">IF(NOT(ISBLANK(AE324)),"_","")</f>
        <v>_</v>
      </c>
      <c r="AE324" s="2" t="s">
        <v>329</v>
      </c>
      <c r="AF324" s="2" t="str">
        <f t="shared" ref="AF324" si="461">IF(NOT(ISBLANK(AG324)),"_","")</f>
        <v>_</v>
      </c>
      <c r="AG324" s="28" t="s">
        <v>70</v>
      </c>
      <c r="AH324" s="2" t="str">
        <f t="shared" ref="AH324" si="462">IF(NOT(ISBLANK(AI324)),"_","")</f>
        <v/>
      </c>
    </row>
    <row r="325" spans="1:35" x14ac:dyDescent="0.25">
      <c r="B325" s="2" t="str">
        <f t="shared" ref="B325:B326" si="463">_xlfn.CONCAT("@",AA325,AB325,AC325,AD325,AE325,AF325,AG325,AH325,AI325)</f>
        <v>@case_width-path_track_footway_cycleway_floor_z15</v>
      </c>
      <c r="C325" s="28" t="s">
        <v>84</v>
      </c>
      <c r="D325" s="28" t="s">
        <v>88</v>
      </c>
      <c r="F325" s="28" t="s">
        <v>84</v>
      </c>
      <c r="G325" s="28" t="s">
        <v>88</v>
      </c>
      <c r="I325" s="28" t="s">
        <v>79</v>
      </c>
      <c r="J325" s="28" t="s">
        <v>82</v>
      </c>
      <c r="L325" s="28" t="s">
        <v>79</v>
      </c>
      <c r="M325" s="28" t="s">
        <v>82</v>
      </c>
      <c r="U325" s="28" t="s">
        <v>84</v>
      </c>
      <c r="V325" s="28" t="s">
        <v>88</v>
      </c>
      <c r="X325" s="28" t="s">
        <v>84</v>
      </c>
      <c r="Y325" s="28" t="s">
        <v>88</v>
      </c>
      <c r="AA325" s="2" t="s">
        <v>74</v>
      </c>
      <c r="AB325" s="2" t="str">
        <f t="shared" ref="AB325:AB326" si="464">IF(NOT(ISBLANK(AC325)),"-","")</f>
        <v>-</v>
      </c>
      <c r="AC325" s="2" t="s">
        <v>335</v>
      </c>
      <c r="AD325" s="2" t="str">
        <f t="shared" ref="AD325:AD326" si="465">IF(NOT(ISBLANK(AE325)),"_","")</f>
        <v>_</v>
      </c>
      <c r="AE325" s="2" t="s">
        <v>329</v>
      </c>
      <c r="AF325" s="2" t="str">
        <f t="shared" ref="AF325:AF326" si="466">IF(NOT(ISBLANK(AG325)),"_","")</f>
        <v>_</v>
      </c>
      <c r="AG325" s="28" t="s">
        <v>323</v>
      </c>
      <c r="AH325" s="2" t="str">
        <f t="shared" ref="AH325:AH326" si="467">IF(NOT(ISBLANK(AI325)),"_","")</f>
        <v/>
      </c>
    </row>
    <row r="326" spans="1:35" x14ac:dyDescent="0.25">
      <c r="B326" s="2" t="str">
        <f t="shared" si="463"/>
        <v>@case_width-path_track_footway_cycleway_floor_z16</v>
      </c>
      <c r="C326" s="28" t="s">
        <v>82</v>
      </c>
      <c r="D326" s="28" t="s">
        <v>130</v>
      </c>
      <c r="F326" s="28" t="s">
        <v>82</v>
      </c>
      <c r="G326" s="28" t="s">
        <v>130</v>
      </c>
      <c r="I326" s="28" t="s">
        <v>317</v>
      </c>
      <c r="J326" s="28" t="s">
        <v>327</v>
      </c>
      <c r="L326" s="28" t="s">
        <v>317</v>
      </c>
      <c r="M326" s="28" t="s">
        <v>327</v>
      </c>
      <c r="U326" s="28" t="s">
        <v>82</v>
      </c>
      <c r="V326" s="28" t="s">
        <v>130</v>
      </c>
      <c r="X326" s="28" t="s">
        <v>82</v>
      </c>
      <c r="Y326" s="28" t="s">
        <v>130</v>
      </c>
      <c r="AA326" s="2" t="s">
        <v>74</v>
      </c>
      <c r="AB326" s="2" t="str">
        <f t="shared" si="464"/>
        <v>-</v>
      </c>
      <c r="AC326" s="2" t="s">
        <v>335</v>
      </c>
      <c r="AD326" s="2" t="str">
        <f t="shared" si="465"/>
        <v>_</v>
      </c>
      <c r="AE326" s="2" t="s">
        <v>329</v>
      </c>
      <c r="AF326" s="2" t="str">
        <f t="shared" si="466"/>
        <v>_</v>
      </c>
      <c r="AG326" s="28" t="s">
        <v>71</v>
      </c>
      <c r="AH326" s="2" t="str">
        <f t="shared" si="467"/>
        <v/>
      </c>
    </row>
    <row r="327" spans="1:35" x14ac:dyDescent="0.25">
      <c r="B327" s="2" t="str">
        <f t="shared" ref="B327" si="468">_xlfn.CONCAT("@",AA327,AB327,AC327,AD327,AE327,AF327,AG327,AH327,AI327)</f>
        <v>@case_width-path_track_footway_cycleway_floor_z18</v>
      </c>
      <c r="C327" s="28" t="s">
        <v>322</v>
      </c>
      <c r="D327" s="28" t="s">
        <v>324</v>
      </c>
      <c r="F327" s="28" t="s">
        <v>322</v>
      </c>
      <c r="G327" s="28" t="s">
        <v>324</v>
      </c>
      <c r="I327" s="28" t="s">
        <v>325</v>
      </c>
      <c r="J327" s="28" t="s">
        <v>141</v>
      </c>
      <c r="L327" s="28" t="s">
        <v>325</v>
      </c>
      <c r="M327" s="28" t="s">
        <v>141</v>
      </c>
      <c r="U327" s="28" t="s">
        <v>322</v>
      </c>
      <c r="V327" s="28" t="s">
        <v>324</v>
      </c>
      <c r="X327" s="28" t="s">
        <v>322</v>
      </c>
      <c r="Y327" s="28" t="s">
        <v>324</v>
      </c>
      <c r="AA327" s="2" t="s">
        <v>74</v>
      </c>
      <c r="AB327" s="2" t="str">
        <f t="shared" ref="AB327" si="469">IF(NOT(ISBLANK(AC327)),"-","")</f>
        <v>-</v>
      </c>
      <c r="AC327" s="2" t="s">
        <v>335</v>
      </c>
      <c r="AD327" s="2" t="str">
        <f t="shared" ref="AD327" si="470">IF(NOT(ISBLANK(AE327)),"_","")</f>
        <v>_</v>
      </c>
      <c r="AE327" s="2" t="s">
        <v>329</v>
      </c>
      <c r="AF327" s="2" t="str">
        <f t="shared" ref="AF327" si="471">IF(NOT(ISBLANK(AG327)),"_","")</f>
        <v>_</v>
      </c>
      <c r="AG327" s="28" t="s">
        <v>72</v>
      </c>
      <c r="AH327" s="2" t="str">
        <f t="shared" ref="AH327" si="472">IF(NOT(ISBLANK(AI327)),"_","")</f>
        <v/>
      </c>
    </row>
    <row r="328" spans="1:35" x14ac:dyDescent="0.25">
      <c r="B328" s="2"/>
      <c r="AA328" s="2"/>
      <c r="AB328" s="2"/>
      <c r="AC328" s="2"/>
      <c r="AD328" s="2"/>
      <c r="AE328" s="2"/>
    </row>
    <row r="329" spans="1:35" x14ac:dyDescent="0.25">
      <c r="B329" s="2" t="str">
        <f>_xlfn.CONCAT("@",AA329,AB329,AC329,AD329,AE329,AF329,AG329,AH329,AI329)</f>
        <v>@case_width-track_default_z10</v>
      </c>
      <c r="C329" s="28" t="s">
        <v>81</v>
      </c>
      <c r="D329" s="28" t="s">
        <v>340</v>
      </c>
      <c r="F329" s="28" t="s">
        <v>81</v>
      </c>
      <c r="G329" s="28" t="s">
        <v>340</v>
      </c>
      <c r="I329" s="28" t="s">
        <v>81</v>
      </c>
      <c r="J329" s="28" t="s">
        <v>340</v>
      </c>
      <c r="L329" s="28" t="s">
        <v>81</v>
      </c>
      <c r="M329" s="28" t="s">
        <v>340</v>
      </c>
      <c r="U329" s="28" t="s">
        <v>81</v>
      </c>
      <c r="V329" s="28" t="s">
        <v>340</v>
      </c>
      <c r="X329" s="28" t="s">
        <v>81</v>
      </c>
      <c r="Y329" s="28" t="s">
        <v>340</v>
      </c>
      <c r="AA329" s="2" t="s">
        <v>74</v>
      </c>
      <c r="AB329" s="2" t="str">
        <f>IF(NOT(ISBLANK(AC329)),"-","")</f>
        <v>-</v>
      </c>
      <c r="AC329" s="2" t="s">
        <v>98</v>
      </c>
      <c r="AD329" s="2" t="str">
        <f>IF(NOT(ISBLANK(AE329)),"_","")</f>
        <v>_</v>
      </c>
      <c r="AE329" s="2" t="s">
        <v>255</v>
      </c>
      <c r="AF329" s="2" t="str">
        <f>IF(NOT(ISBLANK(AG329)),"_","")</f>
        <v>_</v>
      </c>
      <c r="AG329" s="28" t="s">
        <v>99</v>
      </c>
      <c r="AH329" s="2" t="str">
        <f>IF(NOT(ISBLANK(AI329)),"_","")</f>
        <v/>
      </c>
    </row>
    <row r="330" spans="1:35" x14ac:dyDescent="0.25">
      <c r="B330" s="2" t="str">
        <f>_xlfn.CONCAT("@",AA330,AB330,AC330,AD330,AE330,AF330,AG330,AH330,AI330)</f>
        <v>@case_width-track_default_z12</v>
      </c>
      <c r="C330" s="28" t="s">
        <v>78</v>
      </c>
      <c r="D330" s="28" t="s">
        <v>79</v>
      </c>
      <c r="F330" s="28" t="s">
        <v>78</v>
      </c>
      <c r="G330" s="28" t="s">
        <v>79</v>
      </c>
      <c r="I330" s="28" t="s">
        <v>78</v>
      </c>
      <c r="J330" s="28" t="s">
        <v>79</v>
      </c>
      <c r="L330" s="28" t="s">
        <v>78</v>
      </c>
      <c r="M330" s="28" t="s">
        <v>79</v>
      </c>
      <c r="U330" s="28" t="s">
        <v>78</v>
      </c>
      <c r="V330" s="28" t="s">
        <v>79</v>
      </c>
      <c r="X330" s="28" t="s">
        <v>78</v>
      </c>
      <c r="Y330" s="28" t="s">
        <v>79</v>
      </c>
      <c r="AA330" s="2" t="s">
        <v>74</v>
      </c>
      <c r="AB330" s="2" t="str">
        <f>IF(NOT(ISBLANK(AC330)),"-","")</f>
        <v>-</v>
      </c>
      <c r="AC330" s="2" t="s">
        <v>98</v>
      </c>
      <c r="AD330" s="2" t="str">
        <f>IF(NOT(ISBLANK(AE330)),"_","")</f>
        <v>_</v>
      </c>
      <c r="AE330" s="2" t="s">
        <v>255</v>
      </c>
      <c r="AF330" s="2" t="str">
        <f>IF(NOT(ISBLANK(AG330)),"_","")</f>
        <v>_</v>
      </c>
      <c r="AG330" s="28" t="s">
        <v>105</v>
      </c>
      <c r="AH330" s="2" t="str">
        <f>IF(NOT(ISBLANK(AI330)),"_","")</f>
        <v/>
      </c>
    </row>
    <row r="331" spans="1:35" x14ac:dyDescent="0.25">
      <c r="B331" s="2" t="str">
        <f>_xlfn.CONCAT("@",AA331,AB331,AC331,AD331,AE331,AF331,AG331,AH331,AI331)</f>
        <v>@case_width-track_default_z14</v>
      </c>
      <c r="C331" s="28" t="s">
        <v>88</v>
      </c>
      <c r="D331" s="28" t="s">
        <v>82</v>
      </c>
      <c r="F331" s="28" t="s">
        <v>88</v>
      </c>
      <c r="G331" s="28" t="s">
        <v>82</v>
      </c>
      <c r="I331" s="28" t="s">
        <v>88</v>
      </c>
      <c r="J331" s="28" t="s">
        <v>82</v>
      </c>
      <c r="L331" s="28" t="s">
        <v>88</v>
      </c>
      <c r="M331" s="28" t="s">
        <v>82</v>
      </c>
      <c r="U331" s="28" t="s">
        <v>88</v>
      </c>
      <c r="V331" s="28" t="s">
        <v>82</v>
      </c>
      <c r="X331" s="28" t="s">
        <v>88</v>
      </c>
      <c r="Y331" s="28" t="s">
        <v>82</v>
      </c>
      <c r="AA331" s="2" t="s">
        <v>74</v>
      </c>
      <c r="AB331" s="2" t="str">
        <f>IF(NOT(ISBLANK(AC331)),"-","")</f>
        <v>-</v>
      </c>
      <c r="AC331" s="2" t="s">
        <v>98</v>
      </c>
      <c r="AD331" s="2" t="str">
        <f>IF(NOT(ISBLANK(AE331)),"_","")</f>
        <v>_</v>
      </c>
      <c r="AE331" s="2" t="s">
        <v>255</v>
      </c>
      <c r="AF331" s="2" t="str">
        <f>IF(NOT(ISBLANK(AG331)),"_","")</f>
        <v>_</v>
      </c>
      <c r="AG331" s="28" t="s">
        <v>70</v>
      </c>
      <c r="AH331" s="2" t="str">
        <f>IF(NOT(ISBLANK(AI331)),"_","")</f>
        <v/>
      </c>
    </row>
    <row r="332" spans="1:35" x14ac:dyDescent="0.25">
      <c r="B332" s="2" t="str">
        <f>_xlfn.CONCAT("@",AA332,AB332,AC332,AD332,AE332,AF332,AG332,AH332,AI332)</f>
        <v>@case_width-track_default_z16</v>
      </c>
      <c r="C332" s="28" t="s">
        <v>83</v>
      </c>
      <c r="D332" s="28" t="s">
        <v>83</v>
      </c>
      <c r="F332" s="28" t="s">
        <v>83</v>
      </c>
      <c r="G332" s="28" t="s">
        <v>83</v>
      </c>
      <c r="I332" s="28" t="s">
        <v>83</v>
      </c>
      <c r="J332" s="28" t="s">
        <v>83</v>
      </c>
      <c r="L332" s="28" t="s">
        <v>83</v>
      </c>
      <c r="M332" s="28" t="s">
        <v>83</v>
      </c>
      <c r="U332" s="28" t="s">
        <v>83</v>
      </c>
      <c r="V332" s="28" t="s">
        <v>83</v>
      </c>
      <c r="X332" s="28" t="s">
        <v>83</v>
      </c>
      <c r="Y332" s="28" t="s">
        <v>83</v>
      </c>
      <c r="AA332" s="2" t="s">
        <v>74</v>
      </c>
      <c r="AB332" s="2" t="str">
        <f>IF(NOT(ISBLANK(AC332)),"-","")</f>
        <v>-</v>
      </c>
      <c r="AC332" s="2" t="s">
        <v>98</v>
      </c>
      <c r="AD332" s="2" t="str">
        <f>IF(NOT(ISBLANK(AE332)),"_","")</f>
        <v>_</v>
      </c>
      <c r="AE332" s="2" t="s">
        <v>255</v>
      </c>
      <c r="AF332" s="2" t="str">
        <f>IF(NOT(ISBLANK(AG332)),"_","")</f>
        <v>_</v>
      </c>
      <c r="AG332" s="28" t="s">
        <v>71</v>
      </c>
      <c r="AH332" s="2" t="str">
        <f>IF(NOT(ISBLANK(AI332)),"_","")</f>
        <v/>
      </c>
    </row>
    <row r="333" spans="1:35" x14ac:dyDescent="0.25">
      <c r="B333" s="2" t="str">
        <f>_xlfn.CONCAT("@",AA333,AB333,AC333,AD333,AE333,AF333,AG333,AH333,AI333)</f>
        <v>@case_width-track_default_z18</v>
      </c>
      <c r="C333" s="28" t="s">
        <v>85</v>
      </c>
      <c r="D333" s="28" t="s">
        <v>90</v>
      </c>
      <c r="F333" s="28" t="s">
        <v>85</v>
      </c>
      <c r="G333" s="28" t="s">
        <v>90</v>
      </c>
      <c r="I333" s="28" t="s">
        <v>85</v>
      </c>
      <c r="J333" s="28" t="s">
        <v>90</v>
      </c>
      <c r="L333" s="28" t="s">
        <v>85</v>
      </c>
      <c r="M333" s="28" t="s">
        <v>90</v>
      </c>
      <c r="U333" s="28" t="s">
        <v>85</v>
      </c>
      <c r="V333" s="28" t="s">
        <v>90</v>
      </c>
      <c r="X333" s="28" t="s">
        <v>85</v>
      </c>
      <c r="Y333" s="28" t="s">
        <v>90</v>
      </c>
      <c r="AA333" s="2" t="s">
        <v>74</v>
      </c>
      <c r="AB333" s="2" t="str">
        <f>IF(NOT(ISBLANK(AC333)),"-","")</f>
        <v>-</v>
      </c>
      <c r="AC333" s="2" t="s">
        <v>98</v>
      </c>
      <c r="AD333" s="2" t="str">
        <f>IF(NOT(ISBLANK(AE333)),"_","")</f>
        <v>_</v>
      </c>
      <c r="AE333" s="2" t="s">
        <v>255</v>
      </c>
      <c r="AF333" s="2" t="str">
        <f>IF(NOT(ISBLANK(AG333)),"_","")</f>
        <v>_</v>
      </c>
      <c r="AG333" s="28" t="s">
        <v>72</v>
      </c>
      <c r="AH333" s="2" t="str">
        <f>IF(NOT(ISBLANK(AI333)),"_","")</f>
        <v/>
      </c>
    </row>
    <row r="335" spans="1:35" s="2" customFormat="1" x14ac:dyDescent="0.25">
      <c r="A335" s="185"/>
      <c r="B335" s="3" t="s">
        <v>448</v>
      </c>
      <c r="C335" s="27"/>
      <c r="D335" s="6"/>
      <c r="E335" s="7"/>
      <c r="F335" s="6"/>
      <c r="G335" s="6"/>
      <c r="H335" s="7"/>
      <c r="I335" s="6"/>
      <c r="J335" s="6"/>
      <c r="K335" s="7"/>
      <c r="L335" s="6"/>
      <c r="M335" s="6"/>
      <c r="N335" s="7"/>
      <c r="O335" s="6"/>
      <c r="P335" s="6"/>
      <c r="Q335" s="7"/>
      <c r="R335" s="6"/>
      <c r="S335" s="6"/>
      <c r="T335" s="7"/>
      <c r="U335" s="6"/>
      <c r="V335" s="6"/>
      <c r="W335" s="7"/>
      <c r="X335" s="6"/>
      <c r="Y335" s="6"/>
      <c r="AA335" s="4"/>
      <c r="AB335" s="4" t="str">
        <f t="shared" ref="AB335" si="473">IF(NOT(ISBLANK(AC335)),"-","")</f>
        <v/>
      </c>
      <c r="AC335" s="4"/>
      <c r="AD335" s="4" t="str">
        <f t="shared" ref="AD335" si="474">IF(NOT(ISBLANK(AE335)),"_","")</f>
        <v/>
      </c>
      <c r="AE335" s="4"/>
      <c r="AF335" s="4" t="str">
        <f t="shared" ref="AF335" si="475">IF(NOT(ISBLANK(AG335)),"_","")</f>
        <v/>
      </c>
      <c r="AG335" s="4"/>
      <c r="AH335" s="4" t="str">
        <f t="shared" ref="AH335" si="476">IF(NOT(ISBLANK(AI335)),"_","")</f>
        <v/>
      </c>
      <c r="AI335" s="4"/>
    </row>
    <row r="336" spans="1:35" x14ac:dyDescent="0.25">
      <c r="B336" s="2"/>
      <c r="AA336" s="2"/>
      <c r="AB336" s="2"/>
      <c r="AC336" s="2"/>
      <c r="AD336" s="2"/>
      <c r="AE336" s="2"/>
    </row>
    <row r="337" spans="2:34" x14ac:dyDescent="0.25">
      <c r="B337" s="2" t="str">
        <f t="shared" ref="B337" si="477">_xlfn.CONCAT("@",AA337,AB337,AC337,AD337,AE337,AF337,AG337,AH337,AI337)</f>
        <v>@line_width-path_default_farzoom</v>
      </c>
      <c r="C337" s="28" t="s">
        <v>118</v>
      </c>
      <c r="D337" s="28" t="s">
        <v>118</v>
      </c>
      <c r="F337" s="28" t="s">
        <v>118</v>
      </c>
      <c r="G337" s="28" t="s">
        <v>118</v>
      </c>
      <c r="I337" s="28" t="s">
        <v>118</v>
      </c>
      <c r="J337" s="28" t="s">
        <v>118</v>
      </c>
      <c r="L337" s="28" t="s">
        <v>118</v>
      </c>
      <c r="M337" s="28" t="s">
        <v>118</v>
      </c>
      <c r="U337" s="28" t="s">
        <v>118</v>
      </c>
      <c r="V337" s="28" t="s">
        <v>118</v>
      </c>
      <c r="X337" s="28" t="s">
        <v>118</v>
      </c>
      <c r="Y337" s="28" t="s">
        <v>118</v>
      </c>
      <c r="AA337" s="2" t="s">
        <v>115</v>
      </c>
      <c r="AB337" s="2" t="str">
        <f t="shared" ref="AB337" si="478">IF(NOT(ISBLANK(AC337)),"-","")</f>
        <v>-</v>
      </c>
      <c r="AC337" s="2" t="s">
        <v>67</v>
      </c>
      <c r="AD337" s="2" t="str">
        <f t="shared" ref="AD337" si="479">IF(NOT(ISBLANK(AE337)),"_","")</f>
        <v>_</v>
      </c>
      <c r="AE337" s="2" t="s">
        <v>255</v>
      </c>
      <c r="AF337" s="2" t="str">
        <f t="shared" ref="AF337" si="480">IF(NOT(ISBLANK(AG337)),"_","")</f>
        <v>_</v>
      </c>
      <c r="AG337" s="28" t="s">
        <v>20</v>
      </c>
      <c r="AH337" s="2" t="str">
        <f t="shared" ref="AH337" si="481">IF(NOT(ISBLANK(AI337)),"_","")</f>
        <v/>
      </c>
    </row>
    <row r="338" spans="2:34" x14ac:dyDescent="0.25">
      <c r="B338" s="2" t="str">
        <f t="shared" ref="B338:B353" si="482">_xlfn.CONCAT("@",AA338,AB338,AC338,AD338,AE338,AF338,AG338,AH338,AI338)</f>
        <v>@line_width-path_narrow_z12</v>
      </c>
      <c r="C338" s="28" t="s">
        <v>116</v>
      </c>
      <c r="D338" s="28" t="s">
        <v>118</v>
      </c>
      <c r="F338" s="28" t="s">
        <v>116</v>
      </c>
      <c r="G338" s="28" t="s">
        <v>118</v>
      </c>
      <c r="I338" s="28" t="s">
        <v>116</v>
      </c>
      <c r="J338" s="28" t="s">
        <v>118</v>
      </c>
      <c r="L338" s="28" t="s">
        <v>116</v>
      </c>
      <c r="M338" s="28" t="s">
        <v>118</v>
      </c>
      <c r="U338" s="28" t="s">
        <v>118</v>
      </c>
      <c r="V338" s="28" t="s">
        <v>112</v>
      </c>
      <c r="X338" s="28" t="s">
        <v>118</v>
      </c>
      <c r="Y338" s="28" t="s">
        <v>112</v>
      </c>
      <c r="AA338" s="2" t="s">
        <v>115</v>
      </c>
      <c r="AB338" s="2" t="str">
        <f t="shared" ref="AB338:AB353" si="483">IF(NOT(ISBLANK(AC338)),"-","")</f>
        <v>-</v>
      </c>
      <c r="AC338" s="2" t="s">
        <v>67</v>
      </c>
      <c r="AD338" s="2" t="str">
        <f t="shared" ref="AD338:AD353" si="484">IF(NOT(ISBLANK(AE338)),"_","")</f>
        <v>_</v>
      </c>
      <c r="AE338" s="2" t="s">
        <v>68</v>
      </c>
      <c r="AF338" s="2" t="str">
        <f t="shared" ref="AF338:AF353" si="485">IF(NOT(ISBLANK(AG338)),"_","")</f>
        <v>_</v>
      </c>
      <c r="AG338" s="28" t="s">
        <v>105</v>
      </c>
      <c r="AH338" s="2" t="str">
        <f t="shared" ref="AH338:AH353" si="486">IF(NOT(ISBLANK(AI338)),"_","")</f>
        <v/>
      </c>
    </row>
    <row r="339" spans="2:34" x14ac:dyDescent="0.25">
      <c r="B339" s="2" t="str">
        <f t="shared" si="482"/>
        <v>@line_width-path_medium_z12</v>
      </c>
      <c r="C339" s="28" t="s">
        <v>118</v>
      </c>
      <c r="D339" s="28" t="s">
        <v>112</v>
      </c>
      <c r="F339" s="28" t="s">
        <v>118</v>
      </c>
      <c r="G339" s="28" t="s">
        <v>112</v>
      </c>
      <c r="I339" s="28" t="s">
        <v>118</v>
      </c>
      <c r="J339" s="28" t="s">
        <v>112</v>
      </c>
      <c r="L339" s="28" t="s">
        <v>118</v>
      </c>
      <c r="M339" s="28" t="s">
        <v>112</v>
      </c>
      <c r="U339" s="28" t="s">
        <v>118</v>
      </c>
      <c r="V339" s="28" t="s">
        <v>112</v>
      </c>
      <c r="X339" s="28" t="s">
        <v>118</v>
      </c>
      <c r="Y339" s="28" t="s">
        <v>112</v>
      </c>
      <c r="AA339" s="2" t="s">
        <v>115</v>
      </c>
      <c r="AB339" s="2" t="str">
        <f t="shared" si="483"/>
        <v>-</v>
      </c>
      <c r="AC339" s="2" t="s">
        <v>67</v>
      </c>
      <c r="AD339" s="2" t="str">
        <f t="shared" si="484"/>
        <v>_</v>
      </c>
      <c r="AE339" s="2" t="s">
        <v>75</v>
      </c>
      <c r="AF339" s="2" t="str">
        <f t="shared" si="485"/>
        <v>_</v>
      </c>
      <c r="AG339" s="28" t="s">
        <v>105</v>
      </c>
      <c r="AH339" s="2" t="str">
        <f t="shared" si="486"/>
        <v/>
      </c>
    </row>
    <row r="340" spans="2:34" x14ac:dyDescent="0.25">
      <c r="B340" s="2" t="str">
        <f t="shared" si="482"/>
        <v>@line_width-path_wide_z12</v>
      </c>
      <c r="C340" s="28" t="s">
        <v>93</v>
      </c>
      <c r="D340" s="28" t="s">
        <v>119</v>
      </c>
      <c r="F340" s="28" t="s">
        <v>93</v>
      </c>
      <c r="G340" s="28" t="s">
        <v>119</v>
      </c>
      <c r="I340" s="28" t="s">
        <v>93</v>
      </c>
      <c r="J340" s="28" t="s">
        <v>119</v>
      </c>
      <c r="L340" s="28" t="s">
        <v>93</v>
      </c>
      <c r="M340" s="28" t="s">
        <v>119</v>
      </c>
      <c r="U340" s="28" t="s">
        <v>118</v>
      </c>
      <c r="V340" s="28" t="s">
        <v>112</v>
      </c>
      <c r="X340" s="28" t="s">
        <v>118</v>
      </c>
      <c r="Y340" s="28" t="s">
        <v>112</v>
      </c>
      <c r="AA340" s="2" t="s">
        <v>115</v>
      </c>
      <c r="AB340" s="2" t="str">
        <f t="shared" si="483"/>
        <v>-</v>
      </c>
      <c r="AC340" s="2" t="s">
        <v>67</v>
      </c>
      <c r="AD340" s="2" t="str">
        <f t="shared" si="484"/>
        <v>_</v>
      </c>
      <c r="AE340" s="2" t="s">
        <v>73</v>
      </c>
      <c r="AF340" s="2" t="str">
        <f t="shared" si="485"/>
        <v>_</v>
      </c>
      <c r="AG340" s="28" t="s">
        <v>105</v>
      </c>
      <c r="AH340" s="2" t="str">
        <f t="shared" si="486"/>
        <v/>
      </c>
    </row>
    <row r="341" spans="2:34" x14ac:dyDescent="0.25">
      <c r="B341" s="2" t="str">
        <f t="shared" si="482"/>
        <v>@line_width-path_widest_z12</v>
      </c>
      <c r="C341" s="28" t="s">
        <v>93</v>
      </c>
      <c r="D341" s="28" t="s">
        <v>119</v>
      </c>
      <c r="F341" s="28" t="s">
        <v>93</v>
      </c>
      <c r="G341" s="28" t="s">
        <v>119</v>
      </c>
      <c r="I341" s="28" t="s">
        <v>93</v>
      </c>
      <c r="J341" s="28" t="s">
        <v>119</v>
      </c>
      <c r="L341" s="28" t="s">
        <v>93</v>
      </c>
      <c r="M341" s="28" t="s">
        <v>119</v>
      </c>
      <c r="U341" s="28" t="s">
        <v>118</v>
      </c>
      <c r="V341" s="28" t="s">
        <v>112</v>
      </c>
      <c r="X341" s="28" t="s">
        <v>118</v>
      </c>
      <c r="Y341" s="28" t="s">
        <v>112</v>
      </c>
      <c r="AA341" s="2" t="s">
        <v>115</v>
      </c>
      <c r="AB341" s="2" t="str">
        <f t="shared" si="483"/>
        <v>-</v>
      </c>
      <c r="AC341" s="2" t="s">
        <v>67</v>
      </c>
      <c r="AD341" s="2" t="str">
        <f t="shared" si="484"/>
        <v>_</v>
      </c>
      <c r="AE341" s="2" t="s">
        <v>286</v>
      </c>
      <c r="AF341" s="2" t="str">
        <f t="shared" si="485"/>
        <v>_</v>
      </c>
      <c r="AG341" s="28" t="s">
        <v>105</v>
      </c>
      <c r="AH341" s="2" t="str">
        <f t="shared" si="486"/>
        <v/>
      </c>
    </row>
    <row r="342" spans="2:34" x14ac:dyDescent="0.25">
      <c r="B342" s="2" t="str">
        <f t="shared" si="482"/>
        <v>@line_width-path_narrow_z14</v>
      </c>
      <c r="C342" s="28" t="s">
        <v>92</v>
      </c>
      <c r="D342" s="28" t="s">
        <v>93</v>
      </c>
      <c r="F342" s="28" t="s">
        <v>92</v>
      </c>
      <c r="G342" s="28" t="s">
        <v>93</v>
      </c>
      <c r="I342" s="28" t="s">
        <v>91</v>
      </c>
      <c r="J342" s="28" t="s">
        <v>111</v>
      </c>
      <c r="L342" s="28" t="s">
        <v>91</v>
      </c>
      <c r="M342" s="28" t="s">
        <v>111</v>
      </c>
      <c r="U342" s="28" t="s">
        <v>76</v>
      </c>
      <c r="V342" s="28" t="s">
        <v>80</v>
      </c>
      <c r="X342" s="28" t="s">
        <v>76</v>
      </c>
      <c r="Y342" s="28" t="s">
        <v>80</v>
      </c>
      <c r="AA342" s="2" t="s">
        <v>115</v>
      </c>
      <c r="AB342" s="2" t="str">
        <f t="shared" si="483"/>
        <v>-</v>
      </c>
      <c r="AC342" s="2" t="s">
        <v>67</v>
      </c>
      <c r="AD342" s="2" t="str">
        <f t="shared" si="484"/>
        <v>_</v>
      </c>
      <c r="AE342" s="2" t="s">
        <v>68</v>
      </c>
      <c r="AF342" s="2" t="str">
        <f t="shared" si="485"/>
        <v>_</v>
      </c>
      <c r="AG342" s="28" t="s">
        <v>70</v>
      </c>
      <c r="AH342" s="2" t="str">
        <f t="shared" si="486"/>
        <v/>
      </c>
    </row>
    <row r="343" spans="2:34" x14ac:dyDescent="0.25">
      <c r="B343" s="2" t="str">
        <f t="shared" si="482"/>
        <v>@line_width-path_medium_z14</v>
      </c>
      <c r="C343" s="28" t="s">
        <v>76</v>
      </c>
      <c r="D343" s="28" t="s">
        <v>80</v>
      </c>
      <c r="F343" s="28" t="s">
        <v>76</v>
      </c>
      <c r="G343" s="28" t="s">
        <v>80</v>
      </c>
      <c r="I343" s="28" t="s">
        <v>92</v>
      </c>
      <c r="J343" s="28" t="s">
        <v>93</v>
      </c>
      <c r="L343" s="28" t="s">
        <v>92</v>
      </c>
      <c r="M343" s="28" t="s">
        <v>93</v>
      </c>
      <c r="U343" s="28" t="s">
        <v>76</v>
      </c>
      <c r="V343" s="28" t="s">
        <v>80</v>
      </c>
      <c r="X343" s="28" t="s">
        <v>76</v>
      </c>
      <c r="Y343" s="28" t="s">
        <v>80</v>
      </c>
      <c r="AA343" s="2" t="s">
        <v>115</v>
      </c>
      <c r="AB343" s="2" t="str">
        <f t="shared" si="483"/>
        <v>-</v>
      </c>
      <c r="AC343" s="2" t="s">
        <v>67</v>
      </c>
      <c r="AD343" s="2" t="str">
        <f t="shared" si="484"/>
        <v>_</v>
      </c>
      <c r="AE343" s="2" t="s">
        <v>75</v>
      </c>
      <c r="AF343" s="2" t="str">
        <f t="shared" si="485"/>
        <v>_</v>
      </c>
      <c r="AG343" s="28" t="s">
        <v>70</v>
      </c>
      <c r="AH343" s="2" t="str">
        <f t="shared" si="486"/>
        <v/>
      </c>
    </row>
    <row r="344" spans="2:34" x14ac:dyDescent="0.25">
      <c r="B344" s="2" t="str">
        <f t="shared" si="482"/>
        <v>@line_width-path_wide_z14</v>
      </c>
      <c r="C344" s="28" t="s">
        <v>119</v>
      </c>
      <c r="D344" s="28" t="s">
        <v>122</v>
      </c>
      <c r="F344" s="28" t="s">
        <v>119</v>
      </c>
      <c r="G344" s="28" t="s">
        <v>122</v>
      </c>
      <c r="I344" s="28" t="s">
        <v>80</v>
      </c>
      <c r="J344" s="28" t="s">
        <v>108</v>
      </c>
      <c r="L344" s="28" t="s">
        <v>80</v>
      </c>
      <c r="M344" s="28" t="s">
        <v>108</v>
      </c>
      <c r="U344" s="28" t="s">
        <v>76</v>
      </c>
      <c r="V344" s="28" t="s">
        <v>80</v>
      </c>
      <c r="X344" s="28" t="s">
        <v>76</v>
      </c>
      <c r="Y344" s="28" t="s">
        <v>80</v>
      </c>
      <c r="AA344" s="2" t="s">
        <v>115</v>
      </c>
      <c r="AB344" s="2" t="str">
        <f t="shared" si="483"/>
        <v>-</v>
      </c>
      <c r="AC344" s="2" t="s">
        <v>67</v>
      </c>
      <c r="AD344" s="2" t="str">
        <f t="shared" si="484"/>
        <v>_</v>
      </c>
      <c r="AE344" s="2" t="s">
        <v>73</v>
      </c>
      <c r="AF344" s="2" t="str">
        <f t="shared" si="485"/>
        <v>_</v>
      </c>
      <c r="AG344" s="28" t="s">
        <v>70</v>
      </c>
      <c r="AH344" s="2" t="str">
        <f t="shared" si="486"/>
        <v/>
      </c>
    </row>
    <row r="345" spans="2:34" x14ac:dyDescent="0.25">
      <c r="B345" s="2" t="str">
        <f t="shared" si="482"/>
        <v>@line_width-path_widest_z14</v>
      </c>
      <c r="C345" s="28" t="s">
        <v>119</v>
      </c>
      <c r="D345" s="28" t="s">
        <v>122</v>
      </c>
      <c r="F345" s="28" t="s">
        <v>119</v>
      </c>
      <c r="G345" s="28" t="s">
        <v>122</v>
      </c>
      <c r="I345" s="28" t="s">
        <v>80</v>
      </c>
      <c r="J345" s="28" t="s">
        <v>108</v>
      </c>
      <c r="L345" s="28" t="s">
        <v>80</v>
      </c>
      <c r="M345" s="28" t="s">
        <v>108</v>
      </c>
      <c r="U345" s="28" t="s">
        <v>76</v>
      </c>
      <c r="V345" s="28" t="s">
        <v>80</v>
      </c>
      <c r="X345" s="28" t="s">
        <v>76</v>
      </c>
      <c r="Y345" s="28" t="s">
        <v>80</v>
      </c>
      <c r="AA345" s="2" t="s">
        <v>115</v>
      </c>
      <c r="AB345" s="2" t="str">
        <f t="shared" si="483"/>
        <v>-</v>
      </c>
      <c r="AC345" s="2" t="s">
        <v>67</v>
      </c>
      <c r="AD345" s="2" t="str">
        <f t="shared" si="484"/>
        <v>_</v>
      </c>
      <c r="AE345" s="2" t="s">
        <v>286</v>
      </c>
      <c r="AF345" s="2" t="str">
        <f t="shared" si="485"/>
        <v>_</v>
      </c>
      <c r="AG345" s="28" t="s">
        <v>70</v>
      </c>
      <c r="AH345" s="2" t="str">
        <f t="shared" si="486"/>
        <v/>
      </c>
    </row>
    <row r="346" spans="2:34" x14ac:dyDescent="0.25">
      <c r="B346" s="2" t="str">
        <f t="shared" si="482"/>
        <v>@line_width-path_narrow_z16</v>
      </c>
      <c r="C346" s="28" t="s">
        <v>76</v>
      </c>
      <c r="D346" s="28" t="s">
        <v>81</v>
      </c>
      <c r="F346" s="28" t="s">
        <v>76</v>
      </c>
      <c r="G346" s="28" t="s">
        <v>81</v>
      </c>
      <c r="I346" s="28" t="s">
        <v>76</v>
      </c>
      <c r="J346" s="28" t="s">
        <v>80</v>
      </c>
      <c r="L346" s="28" t="s">
        <v>76</v>
      </c>
      <c r="M346" s="28" t="s">
        <v>80</v>
      </c>
      <c r="U346" s="28" t="s">
        <v>119</v>
      </c>
      <c r="V346" s="28" t="s">
        <v>122</v>
      </c>
      <c r="X346" s="28" t="s">
        <v>119</v>
      </c>
      <c r="Y346" s="28" t="s">
        <v>122</v>
      </c>
      <c r="AA346" s="2" t="s">
        <v>115</v>
      </c>
      <c r="AB346" s="2" t="str">
        <f t="shared" si="483"/>
        <v>-</v>
      </c>
      <c r="AC346" s="2" t="s">
        <v>67</v>
      </c>
      <c r="AD346" s="2" t="str">
        <f t="shared" si="484"/>
        <v>_</v>
      </c>
      <c r="AE346" s="2" t="s">
        <v>68</v>
      </c>
      <c r="AF346" s="2" t="str">
        <f t="shared" si="485"/>
        <v>_</v>
      </c>
      <c r="AG346" s="28" t="s">
        <v>71</v>
      </c>
      <c r="AH346" s="2" t="str">
        <f t="shared" si="486"/>
        <v/>
      </c>
    </row>
    <row r="347" spans="2:34" x14ac:dyDescent="0.25">
      <c r="B347" s="2" t="str">
        <f t="shared" si="482"/>
        <v>@line_width-path_medium_z16</v>
      </c>
      <c r="C347" s="28" t="s">
        <v>119</v>
      </c>
      <c r="D347" s="28" t="s">
        <v>122</v>
      </c>
      <c r="F347" s="28" t="s">
        <v>119</v>
      </c>
      <c r="G347" s="28" t="s">
        <v>122</v>
      </c>
      <c r="I347" s="28" t="s">
        <v>93</v>
      </c>
      <c r="J347" s="28" t="s">
        <v>119</v>
      </c>
      <c r="L347" s="28" t="s">
        <v>93</v>
      </c>
      <c r="M347" s="28" t="s">
        <v>119</v>
      </c>
      <c r="U347" s="28" t="s">
        <v>119</v>
      </c>
      <c r="V347" s="28" t="s">
        <v>122</v>
      </c>
      <c r="X347" s="28" t="s">
        <v>119</v>
      </c>
      <c r="Y347" s="28" t="s">
        <v>122</v>
      </c>
      <c r="AA347" s="2" t="s">
        <v>115</v>
      </c>
      <c r="AB347" s="2" t="str">
        <f t="shared" si="483"/>
        <v>-</v>
      </c>
      <c r="AC347" s="2" t="s">
        <v>67</v>
      </c>
      <c r="AD347" s="2" t="str">
        <f t="shared" si="484"/>
        <v>_</v>
      </c>
      <c r="AE347" s="2" t="s">
        <v>75</v>
      </c>
      <c r="AF347" s="2" t="str">
        <f t="shared" si="485"/>
        <v>_</v>
      </c>
      <c r="AG347" s="28" t="s">
        <v>71</v>
      </c>
      <c r="AH347" s="2" t="str">
        <f t="shared" si="486"/>
        <v/>
      </c>
    </row>
    <row r="348" spans="2:34" x14ac:dyDescent="0.25">
      <c r="B348" s="2" t="str">
        <f t="shared" si="482"/>
        <v>@line_width-path_wide_z16</v>
      </c>
      <c r="C348" s="28" t="s">
        <v>84</v>
      </c>
      <c r="D348" s="28" t="s">
        <v>124</v>
      </c>
      <c r="F348" s="28" t="s">
        <v>84</v>
      </c>
      <c r="G348" s="28" t="s">
        <v>124</v>
      </c>
      <c r="I348" s="28" t="s">
        <v>94</v>
      </c>
      <c r="J348" s="28" t="s">
        <v>95</v>
      </c>
      <c r="L348" s="28" t="s">
        <v>94</v>
      </c>
      <c r="M348" s="28" t="s">
        <v>95</v>
      </c>
      <c r="U348" s="28" t="s">
        <v>119</v>
      </c>
      <c r="V348" s="28" t="s">
        <v>122</v>
      </c>
      <c r="X348" s="28" t="s">
        <v>119</v>
      </c>
      <c r="Y348" s="28" t="s">
        <v>122</v>
      </c>
      <c r="AA348" s="2" t="s">
        <v>115</v>
      </c>
      <c r="AB348" s="2" t="str">
        <f t="shared" si="483"/>
        <v>-</v>
      </c>
      <c r="AC348" s="2" t="s">
        <v>67</v>
      </c>
      <c r="AD348" s="2" t="str">
        <f t="shared" si="484"/>
        <v>_</v>
      </c>
      <c r="AE348" s="2" t="s">
        <v>73</v>
      </c>
      <c r="AF348" s="2" t="str">
        <f t="shared" si="485"/>
        <v>_</v>
      </c>
      <c r="AG348" s="28" t="s">
        <v>71</v>
      </c>
      <c r="AH348" s="2" t="str">
        <f t="shared" si="486"/>
        <v/>
      </c>
    </row>
    <row r="349" spans="2:34" x14ac:dyDescent="0.25">
      <c r="B349" s="2" t="str">
        <f t="shared" si="482"/>
        <v>@line_width-path_widest_z16</v>
      </c>
      <c r="C349" s="28" t="s">
        <v>84</v>
      </c>
      <c r="D349" s="28" t="s">
        <v>124</v>
      </c>
      <c r="F349" s="28" t="s">
        <v>84</v>
      </c>
      <c r="G349" s="28" t="s">
        <v>124</v>
      </c>
      <c r="I349" s="28" t="s">
        <v>94</v>
      </c>
      <c r="J349" s="28" t="s">
        <v>95</v>
      </c>
      <c r="L349" s="28" t="s">
        <v>94</v>
      </c>
      <c r="M349" s="28" t="s">
        <v>95</v>
      </c>
      <c r="U349" s="28" t="s">
        <v>119</v>
      </c>
      <c r="V349" s="28" t="s">
        <v>122</v>
      </c>
      <c r="X349" s="28" t="s">
        <v>119</v>
      </c>
      <c r="Y349" s="28" t="s">
        <v>122</v>
      </c>
      <c r="AA349" s="2" t="s">
        <v>115</v>
      </c>
      <c r="AB349" s="2" t="str">
        <f t="shared" si="483"/>
        <v>-</v>
      </c>
      <c r="AC349" s="2" t="s">
        <v>67</v>
      </c>
      <c r="AD349" s="2" t="str">
        <f t="shared" si="484"/>
        <v>_</v>
      </c>
      <c r="AE349" s="2" t="s">
        <v>286</v>
      </c>
      <c r="AF349" s="2" t="str">
        <f t="shared" si="485"/>
        <v>_</v>
      </c>
      <c r="AG349" s="28" t="s">
        <v>71</v>
      </c>
      <c r="AH349" s="2" t="str">
        <f t="shared" si="486"/>
        <v/>
      </c>
    </row>
    <row r="350" spans="2:34" x14ac:dyDescent="0.25">
      <c r="B350" s="2" t="str">
        <f t="shared" si="482"/>
        <v>@line_width-path_narrow_z18</v>
      </c>
      <c r="C350" s="28" t="s">
        <v>81</v>
      </c>
      <c r="D350" s="28" t="s">
        <v>84</v>
      </c>
      <c r="F350" s="28" t="s">
        <v>81</v>
      </c>
      <c r="G350" s="28" t="s">
        <v>84</v>
      </c>
      <c r="I350" s="28" t="s">
        <v>76</v>
      </c>
      <c r="J350" s="28" t="s">
        <v>80</v>
      </c>
      <c r="L350" s="28" t="s">
        <v>76</v>
      </c>
      <c r="M350" s="28" t="s">
        <v>80</v>
      </c>
      <c r="U350" s="28" t="s">
        <v>78</v>
      </c>
      <c r="V350" s="28" t="s">
        <v>123</v>
      </c>
      <c r="X350" s="28" t="s">
        <v>78</v>
      </c>
      <c r="Y350" s="28" t="s">
        <v>123</v>
      </c>
      <c r="AA350" s="2" t="s">
        <v>115</v>
      </c>
      <c r="AB350" s="2" t="str">
        <f t="shared" si="483"/>
        <v>-</v>
      </c>
      <c r="AC350" s="2" t="s">
        <v>67</v>
      </c>
      <c r="AD350" s="2" t="str">
        <f t="shared" si="484"/>
        <v>_</v>
      </c>
      <c r="AE350" s="2" t="s">
        <v>68</v>
      </c>
      <c r="AF350" s="2" t="str">
        <f t="shared" si="485"/>
        <v>_</v>
      </c>
      <c r="AG350" s="28" t="s">
        <v>72</v>
      </c>
      <c r="AH350" s="2" t="str">
        <f t="shared" si="486"/>
        <v/>
      </c>
    </row>
    <row r="351" spans="2:34" x14ac:dyDescent="0.25">
      <c r="B351" s="2" t="str">
        <f t="shared" si="482"/>
        <v>@line_width-path_medium_z18</v>
      </c>
      <c r="C351" s="28" t="s">
        <v>78</v>
      </c>
      <c r="D351" s="28" t="s">
        <v>123</v>
      </c>
      <c r="F351" s="28" t="s">
        <v>78</v>
      </c>
      <c r="G351" s="28" t="s">
        <v>123</v>
      </c>
      <c r="I351" s="28" t="s">
        <v>94</v>
      </c>
      <c r="J351" s="28" t="s">
        <v>95</v>
      </c>
      <c r="L351" s="28" t="s">
        <v>94</v>
      </c>
      <c r="M351" s="28" t="s">
        <v>95</v>
      </c>
      <c r="U351" s="28" t="s">
        <v>78</v>
      </c>
      <c r="V351" s="28" t="s">
        <v>123</v>
      </c>
      <c r="X351" s="28" t="s">
        <v>78</v>
      </c>
      <c r="Y351" s="28" t="s">
        <v>123</v>
      </c>
      <c r="AA351" s="2" t="s">
        <v>115</v>
      </c>
      <c r="AB351" s="2" t="str">
        <f t="shared" si="483"/>
        <v>-</v>
      </c>
      <c r="AC351" s="2" t="s">
        <v>67</v>
      </c>
      <c r="AD351" s="2" t="str">
        <f t="shared" si="484"/>
        <v>_</v>
      </c>
      <c r="AE351" s="2" t="s">
        <v>75</v>
      </c>
      <c r="AF351" s="2" t="str">
        <f t="shared" si="485"/>
        <v>_</v>
      </c>
      <c r="AG351" s="28" t="s">
        <v>72</v>
      </c>
      <c r="AH351" s="2" t="str">
        <f t="shared" si="486"/>
        <v/>
      </c>
    </row>
    <row r="352" spans="2:34" x14ac:dyDescent="0.25">
      <c r="B352" s="2" t="str">
        <f t="shared" si="482"/>
        <v>@line_width-path_wide_z18</v>
      </c>
      <c r="C352" s="28" t="s">
        <v>303</v>
      </c>
      <c r="D352" s="28" t="s">
        <v>125</v>
      </c>
      <c r="F352" s="28" t="s">
        <v>303</v>
      </c>
      <c r="G352" s="28" t="s">
        <v>125</v>
      </c>
      <c r="I352" s="28" t="s">
        <v>95</v>
      </c>
      <c r="J352" s="28" t="s">
        <v>96</v>
      </c>
      <c r="L352" s="28" t="s">
        <v>95</v>
      </c>
      <c r="M352" s="28" t="s">
        <v>96</v>
      </c>
      <c r="U352" s="28" t="s">
        <v>78</v>
      </c>
      <c r="V352" s="28" t="s">
        <v>123</v>
      </c>
      <c r="X352" s="28" t="s">
        <v>78</v>
      </c>
      <c r="Y352" s="28" t="s">
        <v>123</v>
      </c>
      <c r="AA352" s="2" t="s">
        <v>115</v>
      </c>
      <c r="AB352" s="2" t="str">
        <f t="shared" si="483"/>
        <v>-</v>
      </c>
      <c r="AC352" s="2" t="s">
        <v>67</v>
      </c>
      <c r="AD352" s="2" t="str">
        <f t="shared" si="484"/>
        <v>_</v>
      </c>
      <c r="AE352" s="2" t="s">
        <v>73</v>
      </c>
      <c r="AF352" s="2" t="str">
        <f t="shared" si="485"/>
        <v>_</v>
      </c>
      <c r="AG352" s="28" t="s">
        <v>72</v>
      </c>
      <c r="AH352" s="2" t="str">
        <f t="shared" si="486"/>
        <v/>
      </c>
    </row>
    <row r="353" spans="2:35" x14ac:dyDescent="0.25">
      <c r="B353" s="2" t="str">
        <f t="shared" si="482"/>
        <v>@line_width-path_widest_z18</v>
      </c>
      <c r="C353" s="28" t="s">
        <v>303</v>
      </c>
      <c r="D353" s="28" t="s">
        <v>125</v>
      </c>
      <c r="F353" s="28" t="s">
        <v>303</v>
      </c>
      <c r="G353" s="28" t="s">
        <v>125</v>
      </c>
      <c r="I353" s="28" t="s">
        <v>95</v>
      </c>
      <c r="J353" s="28" t="s">
        <v>96</v>
      </c>
      <c r="L353" s="28" t="s">
        <v>95</v>
      </c>
      <c r="M353" s="28" t="s">
        <v>96</v>
      </c>
      <c r="U353" s="28" t="s">
        <v>78</v>
      </c>
      <c r="V353" s="28" t="s">
        <v>123</v>
      </c>
      <c r="X353" s="28" t="s">
        <v>78</v>
      </c>
      <c r="Y353" s="28" t="s">
        <v>123</v>
      </c>
      <c r="AA353" s="2" t="s">
        <v>115</v>
      </c>
      <c r="AB353" s="2" t="str">
        <f t="shared" si="483"/>
        <v>-</v>
      </c>
      <c r="AC353" s="2" t="s">
        <v>67</v>
      </c>
      <c r="AD353" s="2" t="str">
        <f t="shared" si="484"/>
        <v>_</v>
      </c>
      <c r="AE353" s="2" t="s">
        <v>286</v>
      </c>
      <c r="AF353" s="2" t="str">
        <f t="shared" si="485"/>
        <v>_</v>
      </c>
      <c r="AG353" s="28" t="s">
        <v>72</v>
      </c>
      <c r="AH353" s="2" t="str">
        <f t="shared" si="486"/>
        <v/>
      </c>
    </row>
    <row r="354" spans="2:35" x14ac:dyDescent="0.25">
      <c r="B354" s="2"/>
      <c r="AA354" s="2"/>
      <c r="AB354" s="2"/>
      <c r="AC354" s="2"/>
      <c r="AD354" s="2"/>
      <c r="AE354" s="2"/>
      <c r="AF354" s="2"/>
      <c r="AH354" s="2"/>
    </row>
    <row r="355" spans="2:35" x14ac:dyDescent="0.25">
      <c r="B355" s="2" t="str">
        <f>_xlfn.CONCAT("@",AA355,AB355,AC355,AD355,AE355,AF355,AG355,AH355,AI355)</f>
        <v>@line_width-track_default_z10</v>
      </c>
      <c r="C355" s="28" t="s">
        <v>116</v>
      </c>
      <c r="D355" s="28" t="s">
        <v>77</v>
      </c>
      <c r="F355" s="28" t="s">
        <v>116</v>
      </c>
      <c r="G355" s="28" t="s">
        <v>77</v>
      </c>
      <c r="I355" s="28" t="s">
        <v>92</v>
      </c>
      <c r="J355" s="28" t="s">
        <v>339</v>
      </c>
      <c r="L355" s="28" t="s">
        <v>92</v>
      </c>
      <c r="M355" s="28" t="s">
        <v>339</v>
      </c>
      <c r="U355" s="28" t="s">
        <v>116</v>
      </c>
      <c r="V355" s="28" t="s">
        <v>77</v>
      </c>
      <c r="X355" s="28" t="s">
        <v>116</v>
      </c>
      <c r="Y355" s="28" t="s">
        <v>77</v>
      </c>
      <c r="AA355" s="2" t="s">
        <v>115</v>
      </c>
      <c r="AB355" s="2" t="str">
        <f t="shared" ref="AB355:AB359" si="487">IF(NOT(ISBLANK(AC355)),"-","")</f>
        <v>-</v>
      </c>
      <c r="AC355" s="2" t="s">
        <v>98</v>
      </c>
      <c r="AD355" s="2" t="str">
        <f t="shared" ref="AD355:AD359" si="488">IF(NOT(ISBLANK(AE355)),"_","")</f>
        <v>_</v>
      </c>
      <c r="AE355" s="2" t="s">
        <v>255</v>
      </c>
      <c r="AF355" s="2" t="str">
        <f t="shared" ref="AF355:AF359" si="489">IF(NOT(ISBLANK(AG355)),"_","")</f>
        <v>_</v>
      </c>
      <c r="AG355" s="28" t="s">
        <v>99</v>
      </c>
      <c r="AH355" s="2" t="str">
        <f t="shared" ref="AH355:AH359" si="490">IF(NOT(ISBLANK(AI355)),"_","")</f>
        <v/>
      </c>
    </row>
    <row r="356" spans="2:35" x14ac:dyDescent="0.25">
      <c r="B356" s="2" t="str">
        <f>_xlfn.CONCAT("@",AA356,AB356,AC356,AD356,AE356,AF356,AG356,AH356,AI356)</f>
        <v>@line_width-track_default_z12</v>
      </c>
      <c r="C356" s="28" t="s">
        <v>92</v>
      </c>
      <c r="D356" s="28" t="s">
        <v>94</v>
      </c>
      <c r="F356" s="28" t="s">
        <v>92</v>
      </c>
      <c r="G356" s="28" t="s">
        <v>94</v>
      </c>
      <c r="I356" s="28" t="s">
        <v>93</v>
      </c>
      <c r="J356" s="28" t="s">
        <v>119</v>
      </c>
      <c r="L356" s="28" t="s">
        <v>93</v>
      </c>
      <c r="M356" s="28" t="s">
        <v>119</v>
      </c>
      <c r="U356" s="28" t="s">
        <v>92</v>
      </c>
      <c r="V356" s="28" t="s">
        <v>94</v>
      </c>
      <c r="X356" s="28" t="s">
        <v>92</v>
      </c>
      <c r="Y356" s="28" t="s">
        <v>94</v>
      </c>
      <c r="AA356" s="2" t="s">
        <v>115</v>
      </c>
      <c r="AB356" s="2" t="str">
        <f t="shared" si="487"/>
        <v>-</v>
      </c>
      <c r="AC356" s="2" t="s">
        <v>98</v>
      </c>
      <c r="AD356" s="2" t="str">
        <f t="shared" si="488"/>
        <v>_</v>
      </c>
      <c r="AE356" s="2" t="s">
        <v>255</v>
      </c>
      <c r="AF356" s="2" t="str">
        <f t="shared" si="489"/>
        <v>_</v>
      </c>
      <c r="AG356" s="28" t="s">
        <v>105</v>
      </c>
      <c r="AH356" s="2" t="str">
        <f t="shared" si="490"/>
        <v/>
      </c>
    </row>
    <row r="357" spans="2:35" x14ac:dyDescent="0.25">
      <c r="B357" s="2" t="str">
        <f>_xlfn.CONCAT("@",AA357,AB357,AC357,AD357,AE357,AF357,AG357,AH357,AI357)</f>
        <v>@line_width-track_default_z14</v>
      </c>
      <c r="C357" s="28" t="s">
        <v>77</v>
      </c>
      <c r="D357" s="28" t="s">
        <v>81</v>
      </c>
      <c r="F357" s="28" t="s">
        <v>77</v>
      </c>
      <c r="G357" s="28" t="s">
        <v>81</v>
      </c>
      <c r="I357" s="28" t="s">
        <v>94</v>
      </c>
      <c r="J357" s="28" t="s">
        <v>95</v>
      </c>
      <c r="L357" s="28" t="s">
        <v>94</v>
      </c>
      <c r="M357" s="28" t="s">
        <v>95</v>
      </c>
      <c r="U357" s="28" t="s">
        <v>77</v>
      </c>
      <c r="V357" s="28" t="s">
        <v>81</v>
      </c>
      <c r="X357" s="28" t="s">
        <v>77</v>
      </c>
      <c r="Y357" s="28" t="s">
        <v>81</v>
      </c>
      <c r="AA357" s="2" t="s">
        <v>115</v>
      </c>
      <c r="AB357" s="2" t="str">
        <f t="shared" si="487"/>
        <v>-</v>
      </c>
      <c r="AC357" s="2" t="s">
        <v>98</v>
      </c>
      <c r="AD357" s="2" t="str">
        <f t="shared" si="488"/>
        <v>_</v>
      </c>
      <c r="AE357" s="2" t="s">
        <v>255</v>
      </c>
      <c r="AF357" s="2" t="str">
        <f t="shared" si="489"/>
        <v>_</v>
      </c>
      <c r="AG357" s="28" t="s">
        <v>70</v>
      </c>
      <c r="AH357" s="2" t="str">
        <f t="shared" si="490"/>
        <v/>
      </c>
    </row>
    <row r="358" spans="2:35" x14ac:dyDescent="0.25">
      <c r="B358" s="2" t="str">
        <f>_xlfn.CONCAT("@",AA358,AB358,AC358,AD358,AE358,AF358,AG358,AH358,AI358)</f>
        <v>@line_width-track_default_z16</v>
      </c>
      <c r="C358" s="28" t="s">
        <v>78</v>
      </c>
      <c r="D358" s="28" t="s">
        <v>123</v>
      </c>
      <c r="F358" s="28" t="s">
        <v>78</v>
      </c>
      <c r="G358" s="28" t="s">
        <v>123</v>
      </c>
      <c r="I358" s="28" t="s">
        <v>88</v>
      </c>
      <c r="J358" s="28" t="s">
        <v>82</v>
      </c>
      <c r="L358" s="28" t="s">
        <v>88</v>
      </c>
      <c r="M358" s="28" t="s">
        <v>82</v>
      </c>
      <c r="U358" s="28" t="s">
        <v>78</v>
      </c>
      <c r="V358" s="28" t="s">
        <v>123</v>
      </c>
      <c r="X358" s="28" t="s">
        <v>78</v>
      </c>
      <c r="Y358" s="28" t="s">
        <v>123</v>
      </c>
      <c r="AA358" s="2" t="s">
        <v>115</v>
      </c>
      <c r="AB358" s="2" t="str">
        <f t="shared" si="487"/>
        <v>-</v>
      </c>
      <c r="AC358" s="2" t="s">
        <v>98</v>
      </c>
      <c r="AD358" s="2" t="str">
        <f t="shared" si="488"/>
        <v>_</v>
      </c>
      <c r="AE358" s="2" t="s">
        <v>255</v>
      </c>
      <c r="AF358" s="2" t="str">
        <f t="shared" si="489"/>
        <v>_</v>
      </c>
      <c r="AG358" s="28" t="s">
        <v>71</v>
      </c>
      <c r="AH358" s="2" t="str">
        <f t="shared" si="490"/>
        <v/>
      </c>
    </row>
    <row r="359" spans="2:35" x14ac:dyDescent="0.25">
      <c r="B359" s="2" t="str">
        <f>_xlfn.CONCAT("@",AA359,AB359,AC359,AD359,AE359,AF359,AG359,AH359,AI359)</f>
        <v>@line_width-track_default_z18</v>
      </c>
      <c r="C359" s="28" t="s">
        <v>130</v>
      </c>
      <c r="D359" s="28" t="s">
        <v>131</v>
      </c>
      <c r="F359" s="28" t="s">
        <v>130</v>
      </c>
      <c r="G359" s="28" t="s">
        <v>131</v>
      </c>
      <c r="I359" s="28" t="s">
        <v>317</v>
      </c>
      <c r="J359" s="28" t="s">
        <v>322</v>
      </c>
      <c r="L359" s="28" t="s">
        <v>317</v>
      </c>
      <c r="M359" s="28" t="s">
        <v>322</v>
      </c>
      <c r="U359" s="28" t="s">
        <v>130</v>
      </c>
      <c r="V359" s="28" t="s">
        <v>131</v>
      </c>
      <c r="X359" s="28" t="s">
        <v>130</v>
      </c>
      <c r="Y359" s="28" t="s">
        <v>131</v>
      </c>
      <c r="AA359" s="2" t="s">
        <v>115</v>
      </c>
      <c r="AB359" s="2" t="str">
        <f t="shared" si="487"/>
        <v>-</v>
      </c>
      <c r="AC359" s="2" t="s">
        <v>98</v>
      </c>
      <c r="AD359" s="2" t="str">
        <f t="shared" si="488"/>
        <v>_</v>
      </c>
      <c r="AE359" s="2" t="s">
        <v>255</v>
      </c>
      <c r="AF359" s="2" t="str">
        <f t="shared" si="489"/>
        <v>_</v>
      </c>
      <c r="AG359" s="28" t="s">
        <v>72</v>
      </c>
      <c r="AH359" s="2" t="str">
        <f t="shared" si="490"/>
        <v/>
      </c>
    </row>
    <row r="360" spans="2:35" s="183" customFormat="1" x14ac:dyDescent="0.25">
      <c r="B360" s="182"/>
      <c r="AA360" s="182"/>
      <c r="AB360" s="182"/>
      <c r="AC360" s="182"/>
      <c r="AD360" s="182"/>
      <c r="AE360" s="182"/>
      <c r="AF360" s="182"/>
      <c r="AH360" s="182"/>
    </row>
    <row r="361" spans="2:35" s="180" customFormat="1" x14ac:dyDescent="0.25">
      <c r="B361" s="181"/>
      <c r="AA361" s="181"/>
      <c r="AB361" s="181"/>
      <c r="AC361" s="181"/>
      <c r="AD361" s="181"/>
      <c r="AE361" s="181"/>
      <c r="AF361" s="181"/>
      <c r="AH361" s="181"/>
    </row>
    <row r="362" spans="2:35" x14ac:dyDescent="0.25">
      <c r="B362" s="2" t="str">
        <f>_xlfn.CONCAT("@",AA362,AB362,AC362,AD362,AE362,AF362,AG362,AH362,AI362)</f>
        <v>@dasharray-path_badvis_farzoom_dash</v>
      </c>
      <c r="C362" s="28" t="s">
        <v>92</v>
      </c>
      <c r="D362" s="28" t="s">
        <v>92</v>
      </c>
      <c r="F362" s="28" t="s">
        <v>92</v>
      </c>
      <c r="G362" s="28" t="s">
        <v>92</v>
      </c>
      <c r="I362" s="28" t="s">
        <v>92</v>
      </c>
      <c r="J362" s="28" t="s">
        <v>92</v>
      </c>
      <c r="L362" s="28" t="s">
        <v>92</v>
      </c>
      <c r="M362" s="28" t="s">
        <v>92</v>
      </c>
      <c r="U362" s="28" t="s">
        <v>86</v>
      </c>
      <c r="V362" s="28" t="s">
        <v>86</v>
      </c>
      <c r="X362" s="28" t="s">
        <v>86</v>
      </c>
      <c r="Y362" s="28" t="s">
        <v>86</v>
      </c>
      <c r="AA362" s="2" t="s">
        <v>371</v>
      </c>
      <c r="AB362" s="2" t="str">
        <f t="shared" ref="AB362" si="491">IF(NOT(ISBLANK(AC362)),"-","")</f>
        <v>-</v>
      </c>
      <c r="AC362" s="2" t="s">
        <v>67</v>
      </c>
      <c r="AD362" s="2" t="str">
        <f t="shared" ref="AD362" si="492">IF(NOT(ISBLANK(AE362)),"_","")</f>
        <v>_</v>
      </c>
      <c r="AE362" s="2" t="s">
        <v>379</v>
      </c>
      <c r="AF362" s="2" t="str">
        <f t="shared" ref="AF362" si="493">IF(NOT(ISBLANK(AG362)),"_","")</f>
        <v>_</v>
      </c>
      <c r="AG362" s="28" t="s">
        <v>20</v>
      </c>
      <c r="AH362" s="2" t="str">
        <f t="shared" ref="AH362" si="494">IF(NOT(ISBLANK(AI362)),"_","")</f>
        <v>_</v>
      </c>
      <c r="AI362" s="28" t="s">
        <v>373</v>
      </c>
    </row>
    <row r="363" spans="2:35" x14ac:dyDescent="0.25">
      <c r="B363" s="2" t="str">
        <f>_xlfn.CONCAT("@",AA363,AB363,AC363,AD363,AE363,AF363,AG363,AH363,AI363)</f>
        <v>@dasharray-path_badvis_farzoom_gap</v>
      </c>
      <c r="C363" s="28" t="s">
        <v>80</v>
      </c>
      <c r="D363" s="28" t="s">
        <v>80</v>
      </c>
      <c r="F363" s="28" t="s">
        <v>80</v>
      </c>
      <c r="G363" s="28" t="s">
        <v>80</v>
      </c>
      <c r="I363" s="28" t="s">
        <v>80</v>
      </c>
      <c r="J363" s="28" t="s">
        <v>80</v>
      </c>
      <c r="L363" s="28" t="s">
        <v>80</v>
      </c>
      <c r="M363" s="28" t="s">
        <v>80</v>
      </c>
      <c r="U363" s="28" t="s">
        <v>81</v>
      </c>
      <c r="V363" s="28" t="s">
        <v>81</v>
      </c>
      <c r="X363" s="28" t="s">
        <v>81</v>
      </c>
      <c r="Y363" s="28" t="s">
        <v>81</v>
      </c>
      <c r="AA363" s="2" t="s">
        <v>371</v>
      </c>
      <c r="AB363" s="2" t="str">
        <f t="shared" ref="AB363:AB364" si="495">IF(NOT(ISBLANK(AC363)),"-","")</f>
        <v>-</v>
      </c>
      <c r="AC363" s="2" t="s">
        <v>67</v>
      </c>
      <c r="AD363" s="2" t="str">
        <f t="shared" ref="AD363:AD364" si="496">IF(NOT(ISBLANK(AE363)),"_","")</f>
        <v>_</v>
      </c>
      <c r="AE363" s="2" t="s">
        <v>379</v>
      </c>
      <c r="AF363" s="2" t="str">
        <f t="shared" ref="AF363:AF364" si="497">IF(NOT(ISBLANK(AG363)),"_","")</f>
        <v>_</v>
      </c>
      <c r="AG363" s="28" t="s">
        <v>20</v>
      </c>
      <c r="AH363" s="2" t="str">
        <f t="shared" ref="AH363:AH364" si="498">IF(NOT(ISBLANK(AI363)),"_","")</f>
        <v>_</v>
      </c>
      <c r="AI363" s="28" t="s">
        <v>374</v>
      </c>
    </row>
    <row r="364" spans="2:35" x14ac:dyDescent="0.25">
      <c r="B364" s="2" t="str">
        <f>_xlfn.CONCAT("@",AA364,AB364,AC364,AD364,AE364,AF364,AG364,AH364,AI364)</f>
        <v>@dasharray-path_badvis_default_dash</v>
      </c>
      <c r="C364" s="28" t="s">
        <v>92</v>
      </c>
      <c r="D364" s="28" t="s">
        <v>92</v>
      </c>
      <c r="F364" s="28" t="s">
        <v>92</v>
      </c>
      <c r="G364" s="28" t="s">
        <v>92</v>
      </c>
      <c r="I364" s="28" t="s">
        <v>92</v>
      </c>
      <c r="J364" s="28" t="s">
        <v>92</v>
      </c>
      <c r="L364" s="28" t="s">
        <v>92</v>
      </c>
      <c r="M364" s="28" t="s">
        <v>92</v>
      </c>
      <c r="U364" s="28" t="s">
        <v>86</v>
      </c>
      <c r="V364" s="28" t="s">
        <v>86</v>
      </c>
      <c r="X364" s="28" t="s">
        <v>86</v>
      </c>
      <c r="Y364" s="28" t="s">
        <v>86</v>
      </c>
      <c r="AA364" s="2" t="s">
        <v>371</v>
      </c>
      <c r="AB364" s="2" t="str">
        <f t="shared" si="495"/>
        <v>-</v>
      </c>
      <c r="AC364" s="2" t="s">
        <v>67</v>
      </c>
      <c r="AD364" s="2" t="str">
        <f t="shared" si="496"/>
        <v>_</v>
      </c>
      <c r="AE364" s="2" t="s">
        <v>379</v>
      </c>
      <c r="AF364" s="2" t="str">
        <f t="shared" si="497"/>
        <v>_</v>
      </c>
      <c r="AG364" s="2" t="s">
        <v>255</v>
      </c>
      <c r="AH364" s="2" t="str">
        <f t="shared" si="498"/>
        <v>_</v>
      </c>
      <c r="AI364" s="28" t="s">
        <v>373</v>
      </c>
    </row>
    <row r="365" spans="2:35" x14ac:dyDescent="0.25">
      <c r="B365" s="2" t="str">
        <f>_xlfn.CONCAT("@",AA365,AB365,AC365,AD365,AE365,AF365,AG365,AH365,AI365)</f>
        <v>@dasharray-path_badvis_default_gap</v>
      </c>
      <c r="C365" s="28" t="s">
        <v>80</v>
      </c>
      <c r="D365" s="28" t="s">
        <v>80</v>
      </c>
      <c r="F365" s="28" t="s">
        <v>80</v>
      </c>
      <c r="G365" s="28" t="s">
        <v>80</v>
      </c>
      <c r="I365" s="28" t="s">
        <v>80</v>
      </c>
      <c r="J365" s="28" t="s">
        <v>80</v>
      </c>
      <c r="L365" s="28" t="s">
        <v>80</v>
      </c>
      <c r="M365" s="28" t="s">
        <v>80</v>
      </c>
      <c r="U365" s="28" t="s">
        <v>81</v>
      </c>
      <c r="V365" s="28" t="s">
        <v>81</v>
      </c>
      <c r="X365" s="28" t="s">
        <v>81</v>
      </c>
      <c r="Y365" s="28" t="s">
        <v>81</v>
      </c>
      <c r="AA365" s="2" t="s">
        <v>371</v>
      </c>
      <c r="AB365" s="2" t="str">
        <f t="shared" ref="AB365" si="499">IF(NOT(ISBLANK(AC365)),"-","")</f>
        <v>-</v>
      </c>
      <c r="AC365" s="2" t="s">
        <v>67</v>
      </c>
      <c r="AD365" s="2" t="str">
        <f t="shared" ref="AD365" si="500">IF(NOT(ISBLANK(AE365)),"_","")</f>
        <v>_</v>
      </c>
      <c r="AE365" s="2" t="s">
        <v>379</v>
      </c>
      <c r="AF365" s="2" t="str">
        <f t="shared" ref="AF365" si="501">IF(NOT(ISBLANK(AG365)),"_","")</f>
        <v>_</v>
      </c>
      <c r="AG365" s="2" t="s">
        <v>255</v>
      </c>
      <c r="AH365" s="2" t="str">
        <f t="shared" ref="AH365" si="502">IF(NOT(ISBLANK(AI365)),"_","")</f>
        <v>_</v>
      </c>
      <c r="AI365" s="28" t="s">
        <v>374</v>
      </c>
    </row>
    <row r="366" spans="2:35" x14ac:dyDescent="0.25">
      <c r="B366" s="2"/>
      <c r="AA366" s="2"/>
      <c r="AB366" s="2"/>
      <c r="AC366" s="2"/>
      <c r="AD366" s="2"/>
      <c r="AE366" s="2"/>
    </row>
    <row r="367" spans="2:35" x14ac:dyDescent="0.25">
      <c r="B367" s="2" t="str">
        <f t="shared" ref="B367:B374" si="503">_xlfn.CONCAT("@",AA367,AB367,AC367,AD367,AE367,AF367,AG367,AH367,AI367)</f>
        <v>@dasharray-path_goodvis_farzoom_dash</v>
      </c>
      <c r="C367" s="28" t="s">
        <v>86</v>
      </c>
      <c r="D367" s="28" t="s">
        <v>86</v>
      </c>
      <c r="F367" s="28" t="s">
        <v>86</v>
      </c>
      <c r="G367" s="28" t="s">
        <v>86</v>
      </c>
      <c r="I367" s="28" t="s">
        <v>86</v>
      </c>
      <c r="J367" s="28" t="s">
        <v>86</v>
      </c>
      <c r="L367" s="28" t="s">
        <v>86</v>
      </c>
      <c r="M367" s="28" t="s">
        <v>86</v>
      </c>
      <c r="U367" s="28" t="s">
        <v>86</v>
      </c>
      <c r="V367" s="28" t="s">
        <v>81</v>
      </c>
      <c r="X367" s="28" t="s">
        <v>86</v>
      </c>
      <c r="Y367" s="28" t="s">
        <v>86</v>
      </c>
      <c r="AA367" s="2" t="s">
        <v>371</v>
      </c>
      <c r="AB367" s="2" t="str">
        <f t="shared" ref="AB367:AB368" si="504">IF(NOT(ISBLANK(AC367)),"-","")</f>
        <v>-</v>
      </c>
      <c r="AC367" s="2" t="s">
        <v>67</v>
      </c>
      <c r="AD367" s="2" t="str">
        <f t="shared" ref="AD367:AD368" si="505">IF(NOT(ISBLANK(AE367)),"_","")</f>
        <v>_</v>
      </c>
      <c r="AE367" s="2" t="s">
        <v>380</v>
      </c>
      <c r="AF367" s="2" t="str">
        <f t="shared" ref="AF367:AF368" si="506">IF(NOT(ISBLANK(AG367)),"_","")</f>
        <v>_</v>
      </c>
      <c r="AG367" s="28" t="s">
        <v>20</v>
      </c>
      <c r="AH367" s="2" t="str">
        <f t="shared" ref="AH367:AH368" si="507">IF(NOT(ISBLANK(AI367)),"_","")</f>
        <v>_</v>
      </c>
      <c r="AI367" s="28" t="s">
        <v>373</v>
      </c>
    </row>
    <row r="368" spans="2:35" x14ac:dyDescent="0.25">
      <c r="B368" s="2" t="str">
        <f t="shared" si="503"/>
        <v>@dasharray-path_goodvis_farzoom_gap</v>
      </c>
      <c r="C368" s="28" t="s">
        <v>81</v>
      </c>
      <c r="D368" s="28" t="s">
        <v>81</v>
      </c>
      <c r="F368" s="28" t="s">
        <v>81</v>
      </c>
      <c r="G368" s="28" t="s">
        <v>81</v>
      </c>
      <c r="I368" s="28" t="s">
        <v>81</v>
      </c>
      <c r="J368" s="28" t="s">
        <v>81</v>
      </c>
      <c r="L368" s="28" t="s">
        <v>81</v>
      </c>
      <c r="M368" s="28" t="s">
        <v>81</v>
      </c>
      <c r="U368" s="28" t="s">
        <v>81</v>
      </c>
      <c r="V368" s="28" t="s">
        <v>81</v>
      </c>
      <c r="X368" s="28" t="s">
        <v>81</v>
      </c>
      <c r="Y368" s="28" t="s">
        <v>81</v>
      </c>
      <c r="AA368" s="2" t="s">
        <v>371</v>
      </c>
      <c r="AB368" s="2" t="str">
        <f t="shared" si="504"/>
        <v>-</v>
      </c>
      <c r="AC368" s="2" t="s">
        <v>67</v>
      </c>
      <c r="AD368" s="2" t="str">
        <f t="shared" si="505"/>
        <v>_</v>
      </c>
      <c r="AE368" s="2" t="s">
        <v>380</v>
      </c>
      <c r="AF368" s="2" t="str">
        <f t="shared" si="506"/>
        <v>_</v>
      </c>
      <c r="AG368" s="28" t="s">
        <v>20</v>
      </c>
      <c r="AH368" s="2" t="str">
        <f t="shared" si="507"/>
        <v>_</v>
      </c>
      <c r="AI368" s="28" t="s">
        <v>374</v>
      </c>
    </row>
    <row r="369" spans="1:35" x14ac:dyDescent="0.25">
      <c r="B369" s="2" t="str">
        <f t="shared" si="503"/>
        <v>@dasharray-path_goodvis_narrow_dash</v>
      </c>
      <c r="C369" s="28" t="s">
        <v>381</v>
      </c>
      <c r="D369" s="28" t="s">
        <v>381</v>
      </c>
      <c r="F369" s="28" t="s">
        <v>381</v>
      </c>
      <c r="G369" s="28" t="s">
        <v>381</v>
      </c>
      <c r="I369" s="28" t="s">
        <v>381</v>
      </c>
      <c r="J369" s="28" t="s">
        <v>381</v>
      </c>
      <c r="L369" s="28" t="s">
        <v>381</v>
      </c>
      <c r="M369" s="28" t="s">
        <v>381</v>
      </c>
      <c r="U369" s="28" t="s">
        <v>78</v>
      </c>
      <c r="V369" s="28" t="s">
        <v>86</v>
      </c>
      <c r="X369" s="28" t="s">
        <v>78</v>
      </c>
      <c r="Y369" s="28" t="s">
        <v>78</v>
      </c>
      <c r="AA369" s="2" t="s">
        <v>371</v>
      </c>
      <c r="AB369" s="2" t="str">
        <f t="shared" ref="AB369:AB370" si="508">IF(NOT(ISBLANK(AC369)),"-","")</f>
        <v>-</v>
      </c>
      <c r="AC369" s="2" t="s">
        <v>67</v>
      </c>
      <c r="AD369" s="2" t="str">
        <f t="shared" ref="AD369:AD370" si="509">IF(NOT(ISBLANK(AE369)),"_","")</f>
        <v>_</v>
      </c>
      <c r="AE369" s="2" t="s">
        <v>380</v>
      </c>
      <c r="AF369" s="2" t="str">
        <f t="shared" ref="AF369:AF370" si="510">IF(NOT(ISBLANK(AG369)),"_","")</f>
        <v>_</v>
      </c>
      <c r="AG369" s="28" t="s">
        <v>68</v>
      </c>
      <c r="AH369" s="2" t="str">
        <f t="shared" ref="AH369:AH370" si="511">IF(NOT(ISBLANK(AI369)),"_","")</f>
        <v>_</v>
      </c>
      <c r="AI369" s="28" t="s">
        <v>373</v>
      </c>
    </row>
    <row r="370" spans="1:35" x14ac:dyDescent="0.25">
      <c r="B370" s="2" t="str">
        <f t="shared" si="503"/>
        <v>@dasharray-path_goodvis_narrow_gap</v>
      </c>
      <c r="C370" s="28" t="s">
        <v>382</v>
      </c>
      <c r="D370" s="28" t="s">
        <v>382</v>
      </c>
      <c r="F370" s="28" t="s">
        <v>382</v>
      </c>
      <c r="G370" s="28" t="s">
        <v>382</v>
      </c>
      <c r="I370" s="28" t="s">
        <v>382</v>
      </c>
      <c r="J370" s="28" t="s">
        <v>382</v>
      </c>
      <c r="L370" s="28" t="s">
        <v>382</v>
      </c>
      <c r="M370" s="28" t="s">
        <v>382</v>
      </c>
      <c r="U370" s="28" t="s">
        <v>86</v>
      </c>
      <c r="V370" s="28" t="s">
        <v>86</v>
      </c>
      <c r="X370" s="28" t="s">
        <v>86</v>
      </c>
      <c r="Y370" s="28" t="s">
        <v>86</v>
      </c>
      <c r="AA370" s="2" t="s">
        <v>371</v>
      </c>
      <c r="AB370" s="2" t="str">
        <f t="shared" si="508"/>
        <v>-</v>
      </c>
      <c r="AC370" s="2" t="s">
        <v>67</v>
      </c>
      <c r="AD370" s="2" t="str">
        <f t="shared" si="509"/>
        <v>_</v>
      </c>
      <c r="AE370" s="2" t="s">
        <v>380</v>
      </c>
      <c r="AF370" s="2" t="str">
        <f t="shared" si="510"/>
        <v>_</v>
      </c>
      <c r="AG370" s="28" t="s">
        <v>68</v>
      </c>
      <c r="AH370" s="2" t="str">
        <f t="shared" si="511"/>
        <v>_</v>
      </c>
      <c r="AI370" s="28" t="s">
        <v>374</v>
      </c>
    </row>
    <row r="371" spans="1:35" x14ac:dyDescent="0.25">
      <c r="B371" s="2" t="str">
        <f t="shared" si="503"/>
        <v>@dasharray-path_goodvis_medium_dash</v>
      </c>
      <c r="C371" s="28" t="s">
        <v>78</v>
      </c>
      <c r="D371" s="28" t="s">
        <v>78</v>
      </c>
      <c r="F371" s="28" t="s">
        <v>78</v>
      </c>
      <c r="G371" s="28" t="s">
        <v>78</v>
      </c>
      <c r="I371" s="28" t="s">
        <v>78</v>
      </c>
      <c r="J371" s="28" t="s">
        <v>78</v>
      </c>
      <c r="L371" s="28" t="s">
        <v>78</v>
      </c>
      <c r="M371" s="28" t="s">
        <v>78</v>
      </c>
      <c r="U371" s="28" t="s">
        <v>78</v>
      </c>
      <c r="V371" s="28" t="s">
        <v>86</v>
      </c>
      <c r="X371" s="28" t="s">
        <v>78</v>
      </c>
      <c r="Y371" s="28" t="s">
        <v>78</v>
      </c>
      <c r="AA371" s="2" t="s">
        <v>371</v>
      </c>
      <c r="AB371" s="2" t="str">
        <f t="shared" ref="AB371:AB372" si="512">IF(NOT(ISBLANK(AC371)),"-","")</f>
        <v>-</v>
      </c>
      <c r="AC371" s="2" t="s">
        <v>67</v>
      </c>
      <c r="AD371" s="2" t="str">
        <f t="shared" ref="AD371:AD372" si="513">IF(NOT(ISBLANK(AE371)),"_","")</f>
        <v>_</v>
      </c>
      <c r="AE371" s="2" t="s">
        <v>380</v>
      </c>
      <c r="AF371" s="2" t="str">
        <f t="shared" ref="AF371:AF372" si="514">IF(NOT(ISBLANK(AG371)),"_","")</f>
        <v>_</v>
      </c>
      <c r="AG371" s="28" t="s">
        <v>75</v>
      </c>
      <c r="AH371" s="2" t="str">
        <f t="shared" ref="AH371:AH372" si="515">IF(NOT(ISBLANK(AI371)),"_","")</f>
        <v>_</v>
      </c>
      <c r="AI371" s="28" t="s">
        <v>373</v>
      </c>
    </row>
    <row r="372" spans="1:35" x14ac:dyDescent="0.25">
      <c r="B372" s="2" t="str">
        <f t="shared" si="503"/>
        <v>@dasharray-path_goodvis_medium_gap</v>
      </c>
      <c r="C372" s="28" t="s">
        <v>86</v>
      </c>
      <c r="D372" s="28" t="s">
        <v>86</v>
      </c>
      <c r="F372" s="28" t="s">
        <v>86</v>
      </c>
      <c r="G372" s="28" t="s">
        <v>86</v>
      </c>
      <c r="I372" s="28" t="s">
        <v>86</v>
      </c>
      <c r="J372" s="28" t="s">
        <v>86</v>
      </c>
      <c r="L372" s="28" t="s">
        <v>86</v>
      </c>
      <c r="M372" s="28" t="s">
        <v>86</v>
      </c>
      <c r="U372" s="28" t="s">
        <v>86</v>
      </c>
      <c r="V372" s="28" t="s">
        <v>86</v>
      </c>
      <c r="X372" s="28" t="s">
        <v>86</v>
      </c>
      <c r="Y372" s="28" t="s">
        <v>86</v>
      </c>
      <c r="AA372" s="2" t="s">
        <v>371</v>
      </c>
      <c r="AB372" s="2" t="str">
        <f t="shared" si="512"/>
        <v>-</v>
      </c>
      <c r="AC372" s="2" t="s">
        <v>67</v>
      </c>
      <c r="AD372" s="2" t="str">
        <f t="shared" si="513"/>
        <v>_</v>
      </c>
      <c r="AE372" s="2" t="s">
        <v>380</v>
      </c>
      <c r="AF372" s="2" t="str">
        <f t="shared" si="514"/>
        <v>_</v>
      </c>
      <c r="AG372" s="28" t="s">
        <v>75</v>
      </c>
      <c r="AH372" s="2" t="str">
        <f t="shared" si="515"/>
        <v>_</v>
      </c>
      <c r="AI372" s="28" t="s">
        <v>374</v>
      </c>
    </row>
    <row r="373" spans="1:35" x14ac:dyDescent="0.25">
      <c r="B373" s="2" t="str">
        <f t="shared" si="503"/>
        <v>@dasharray-path_goodvis_wide_dash</v>
      </c>
      <c r="C373" s="28" t="s">
        <v>383</v>
      </c>
      <c r="D373" s="28" t="s">
        <v>383</v>
      </c>
      <c r="F373" s="28" t="s">
        <v>383</v>
      </c>
      <c r="G373" s="28" t="s">
        <v>383</v>
      </c>
      <c r="I373" s="28" t="s">
        <v>383</v>
      </c>
      <c r="J373" s="28" t="s">
        <v>383</v>
      </c>
      <c r="L373" s="28" t="s">
        <v>383</v>
      </c>
      <c r="M373" s="28" t="s">
        <v>383</v>
      </c>
      <c r="U373" s="28" t="s">
        <v>78</v>
      </c>
      <c r="V373" s="28" t="s">
        <v>86</v>
      </c>
      <c r="X373" s="28" t="s">
        <v>78</v>
      </c>
      <c r="Y373" s="28" t="s">
        <v>78</v>
      </c>
      <c r="AA373" s="2" t="s">
        <v>371</v>
      </c>
      <c r="AB373" s="2" t="str">
        <f t="shared" ref="AB373:AB374" si="516">IF(NOT(ISBLANK(AC373)),"-","")</f>
        <v>-</v>
      </c>
      <c r="AC373" s="2" t="s">
        <v>67</v>
      </c>
      <c r="AD373" s="2" t="str">
        <f t="shared" ref="AD373:AD374" si="517">IF(NOT(ISBLANK(AE373)),"_","")</f>
        <v>_</v>
      </c>
      <c r="AE373" s="2" t="s">
        <v>380</v>
      </c>
      <c r="AF373" s="2" t="str">
        <f t="shared" ref="AF373:AF374" si="518">IF(NOT(ISBLANK(AG373)),"_","")</f>
        <v>_</v>
      </c>
      <c r="AG373" s="28" t="s">
        <v>73</v>
      </c>
      <c r="AH373" s="2" t="str">
        <f t="shared" ref="AH373:AH374" si="519">IF(NOT(ISBLANK(AI373)),"_","")</f>
        <v>_</v>
      </c>
      <c r="AI373" s="28" t="s">
        <v>373</v>
      </c>
    </row>
    <row r="374" spans="1:35" x14ac:dyDescent="0.25">
      <c r="B374" s="2" t="str">
        <f t="shared" si="503"/>
        <v>@dasharray-path_goodvis_wide_gap</v>
      </c>
      <c r="C374" s="28" t="s">
        <v>80</v>
      </c>
      <c r="D374" s="28" t="s">
        <v>80</v>
      </c>
      <c r="F374" s="28" t="s">
        <v>80</v>
      </c>
      <c r="G374" s="28" t="s">
        <v>80</v>
      </c>
      <c r="I374" s="28" t="s">
        <v>80</v>
      </c>
      <c r="J374" s="28" t="s">
        <v>80</v>
      </c>
      <c r="L374" s="28" t="s">
        <v>80</v>
      </c>
      <c r="M374" s="28" t="s">
        <v>80</v>
      </c>
      <c r="U374" s="28" t="s">
        <v>86</v>
      </c>
      <c r="V374" s="28" t="s">
        <v>86</v>
      </c>
      <c r="X374" s="28" t="s">
        <v>86</v>
      </c>
      <c r="Y374" s="28" t="s">
        <v>86</v>
      </c>
      <c r="AA374" s="2" t="s">
        <v>371</v>
      </c>
      <c r="AB374" s="2" t="str">
        <f t="shared" si="516"/>
        <v>-</v>
      </c>
      <c r="AC374" s="2" t="s">
        <v>67</v>
      </c>
      <c r="AD374" s="2" t="str">
        <f t="shared" si="517"/>
        <v>_</v>
      </c>
      <c r="AE374" s="2" t="s">
        <v>380</v>
      </c>
      <c r="AF374" s="2" t="str">
        <f t="shared" si="518"/>
        <v>_</v>
      </c>
      <c r="AG374" s="28" t="s">
        <v>73</v>
      </c>
      <c r="AH374" s="2" t="str">
        <f t="shared" si="519"/>
        <v>_</v>
      </c>
      <c r="AI374" s="28" t="s">
        <v>374</v>
      </c>
    </row>
    <row r="375" spans="1:35" x14ac:dyDescent="0.25">
      <c r="B375" s="2"/>
      <c r="AA375" s="2"/>
      <c r="AB375" s="2"/>
      <c r="AC375" s="2"/>
      <c r="AD375" s="2"/>
      <c r="AE375" s="2"/>
      <c r="AF375" s="2"/>
      <c r="AH375" s="2"/>
    </row>
    <row r="376" spans="1:35" s="2" customFormat="1" x14ac:dyDescent="0.25">
      <c r="A376" s="185"/>
      <c r="B376" s="3" t="s">
        <v>449</v>
      </c>
      <c r="C376" s="27"/>
      <c r="D376" s="6"/>
      <c r="E376" s="7"/>
      <c r="F376" s="6"/>
      <c r="G376" s="6"/>
      <c r="H376" s="7"/>
      <c r="I376" s="6"/>
      <c r="J376" s="6"/>
      <c r="K376" s="7"/>
      <c r="L376" s="6"/>
      <c r="M376" s="6"/>
      <c r="N376" s="7"/>
      <c r="O376" s="6"/>
      <c r="P376" s="6"/>
      <c r="Q376" s="7"/>
      <c r="R376" s="6"/>
      <c r="S376" s="6"/>
      <c r="T376" s="7"/>
      <c r="U376" s="6"/>
      <c r="V376" s="6"/>
      <c r="W376" s="7"/>
      <c r="X376" s="6"/>
      <c r="Y376" s="6"/>
      <c r="AA376" s="4"/>
      <c r="AB376" s="4" t="str">
        <f t="shared" ref="AB376" si="520">IF(NOT(ISBLANK(AC376)),"-","")</f>
        <v/>
      </c>
      <c r="AC376" s="4"/>
      <c r="AD376" s="4" t="str">
        <f t="shared" ref="AD376" si="521">IF(NOT(ISBLANK(AE376)),"_","")</f>
        <v/>
      </c>
      <c r="AE376" s="4"/>
      <c r="AF376" s="4" t="str">
        <f t="shared" ref="AF376" si="522">IF(NOT(ISBLANK(AG376)),"_","")</f>
        <v/>
      </c>
      <c r="AG376" s="4"/>
      <c r="AH376" s="4" t="str">
        <f t="shared" ref="AH376" si="523">IF(NOT(ISBLANK(AI376)),"_","")</f>
        <v/>
      </c>
      <c r="AI376" s="4"/>
    </row>
    <row r="377" spans="1:35" x14ac:dyDescent="0.25">
      <c r="B377" s="2"/>
      <c r="AA377" s="2"/>
      <c r="AB377" s="2"/>
      <c r="AC377" s="2"/>
      <c r="AD377" s="2"/>
      <c r="AE377" s="2"/>
      <c r="AF377" s="2"/>
      <c r="AH377" s="2"/>
    </row>
    <row r="378" spans="1:35" x14ac:dyDescent="0.25">
      <c r="B378" s="2" t="str">
        <f t="shared" ref="B378:B381" si="524">_xlfn.CONCAT("@",AA378,AB378,AC378,AD378,AE378,AF378,AG378,AH378,AI378)</f>
        <v>@line_width-path_track_all_vegetation_z12</v>
      </c>
      <c r="C378" s="28" t="s">
        <v>93</v>
      </c>
      <c r="D378" s="28" t="s">
        <v>119</v>
      </c>
      <c r="F378" s="28" t="s">
        <v>93</v>
      </c>
      <c r="G378" s="28" t="s">
        <v>119</v>
      </c>
      <c r="I378" s="28" t="s">
        <v>93</v>
      </c>
      <c r="J378" s="28" t="s">
        <v>119</v>
      </c>
      <c r="L378" s="28" t="s">
        <v>93</v>
      </c>
      <c r="M378" s="28" t="s">
        <v>119</v>
      </c>
      <c r="U378" s="28" t="s">
        <v>93</v>
      </c>
      <c r="V378" s="28" t="s">
        <v>119</v>
      </c>
      <c r="X378" s="28" t="s">
        <v>93</v>
      </c>
      <c r="Y378" s="28" t="s">
        <v>119</v>
      </c>
      <c r="AA378" s="2" t="s">
        <v>115</v>
      </c>
      <c r="AB378" s="2" t="str">
        <f t="shared" ref="AB378:AB381" si="525">IF(NOT(ISBLANK(AC378)),"-","")</f>
        <v>-</v>
      </c>
      <c r="AC378" s="2" t="s">
        <v>421</v>
      </c>
      <c r="AD378" s="2" t="str">
        <f t="shared" ref="AD378:AD381" si="526">IF(NOT(ISBLANK(AE378)),"_","")</f>
        <v>_</v>
      </c>
      <c r="AE378" s="2" t="s">
        <v>444</v>
      </c>
      <c r="AF378" s="2" t="str">
        <f t="shared" ref="AF378:AF381" si="527">IF(NOT(ISBLANK(AG378)),"_","")</f>
        <v>_</v>
      </c>
      <c r="AG378" s="28" t="s">
        <v>36</v>
      </c>
      <c r="AH378" s="2" t="str">
        <f t="shared" ref="AH378:AH381" si="528">IF(NOT(ISBLANK(AI378)),"_","")</f>
        <v>_</v>
      </c>
      <c r="AI378" s="28" t="s">
        <v>105</v>
      </c>
    </row>
    <row r="379" spans="1:35" x14ac:dyDescent="0.25">
      <c r="B379" s="2" t="str">
        <f t="shared" si="524"/>
        <v>@line_width-path_track_all_vegetation_z14</v>
      </c>
      <c r="C379" s="28" t="s">
        <v>107</v>
      </c>
      <c r="D379" s="28" t="s">
        <v>122</v>
      </c>
      <c r="F379" s="28" t="s">
        <v>107</v>
      </c>
      <c r="G379" s="28" t="s">
        <v>122</v>
      </c>
      <c r="I379" s="28" t="s">
        <v>107</v>
      </c>
      <c r="J379" s="28" t="s">
        <v>122</v>
      </c>
      <c r="L379" s="28" t="s">
        <v>107</v>
      </c>
      <c r="M379" s="28" t="s">
        <v>122</v>
      </c>
      <c r="U379" s="28" t="s">
        <v>107</v>
      </c>
      <c r="V379" s="28" t="s">
        <v>122</v>
      </c>
      <c r="X379" s="28" t="s">
        <v>107</v>
      </c>
      <c r="Y379" s="28" t="s">
        <v>122</v>
      </c>
      <c r="AA379" s="2" t="s">
        <v>115</v>
      </c>
      <c r="AB379" s="2" t="str">
        <f t="shared" si="525"/>
        <v>-</v>
      </c>
      <c r="AC379" s="2" t="s">
        <v>421</v>
      </c>
      <c r="AD379" s="2" t="str">
        <f t="shared" si="526"/>
        <v>_</v>
      </c>
      <c r="AE379" s="2" t="s">
        <v>444</v>
      </c>
      <c r="AF379" s="2" t="str">
        <f t="shared" si="527"/>
        <v>_</v>
      </c>
      <c r="AG379" s="28" t="s">
        <v>36</v>
      </c>
      <c r="AH379" s="2" t="str">
        <f t="shared" si="528"/>
        <v>_</v>
      </c>
      <c r="AI379" s="28" t="s">
        <v>70</v>
      </c>
    </row>
    <row r="380" spans="1:35" x14ac:dyDescent="0.25">
      <c r="B380" s="2" t="str">
        <f t="shared" si="524"/>
        <v>@line_width-path_track_all_vegetation_z16</v>
      </c>
      <c r="C380" s="28" t="s">
        <v>336</v>
      </c>
      <c r="D380" s="28" t="s">
        <v>123</v>
      </c>
      <c r="F380" s="28" t="s">
        <v>336</v>
      </c>
      <c r="G380" s="28" t="s">
        <v>123</v>
      </c>
      <c r="I380" s="28" t="s">
        <v>336</v>
      </c>
      <c r="J380" s="28" t="s">
        <v>123</v>
      </c>
      <c r="L380" s="28" t="s">
        <v>336</v>
      </c>
      <c r="M380" s="28" t="s">
        <v>123</v>
      </c>
      <c r="U380" s="28" t="s">
        <v>336</v>
      </c>
      <c r="V380" s="28" t="s">
        <v>123</v>
      </c>
      <c r="X380" s="28" t="s">
        <v>336</v>
      </c>
      <c r="Y380" s="28" t="s">
        <v>123</v>
      </c>
      <c r="AA380" s="2" t="s">
        <v>115</v>
      </c>
      <c r="AB380" s="2" t="str">
        <f t="shared" si="525"/>
        <v>-</v>
      </c>
      <c r="AC380" s="2" t="s">
        <v>421</v>
      </c>
      <c r="AD380" s="2" t="str">
        <f t="shared" si="526"/>
        <v>_</v>
      </c>
      <c r="AE380" s="2" t="s">
        <v>444</v>
      </c>
      <c r="AF380" s="2" t="str">
        <f t="shared" si="527"/>
        <v>_</v>
      </c>
      <c r="AG380" s="28" t="s">
        <v>36</v>
      </c>
      <c r="AH380" s="2" t="str">
        <f t="shared" si="528"/>
        <v>_</v>
      </c>
      <c r="AI380" s="28" t="s">
        <v>71</v>
      </c>
    </row>
    <row r="381" spans="1:35" x14ac:dyDescent="0.25">
      <c r="B381" s="2" t="str">
        <f t="shared" si="524"/>
        <v>@line_width-path_track_all_vegetation_z18</v>
      </c>
      <c r="C381" s="28" t="s">
        <v>317</v>
      </c>
      <c r="D381" s="28" t="s">
        <v>322</v>
      </c>
      <c r="F381" s="28" t="s">
        <v>317</v>
      </c>
      <c r="G381" s="28" t="s">
        <v>322</v>
      </c>
      <c r="I381" s="28" t="s">
        <v>317</v>
      </c>
      <c r="J381" s="28" t="s">
        <v>322</v>
      </c>
      <c r="L381" s="28" t="s">
        <v>317</v>
      </c>
      <c r="M381" s="28" t="s">
        <v>322</v>
      </c>
      <c r="U381" s="28" t="s">
        <v>317</v>
      </c>
      <c r="V381" s="28" t="s">
        <v>322</v>
      </c>
      <c r="X381" s="28" t="s">
        <v>317</v>
      </c>
      <c r="Y381" s="28" t="s">
        <v>322</v>
      </c>
      <c r="AA381" s="2" t="s">
        <v>115</v>
      </c>
      <c r="AB381" s="2" t="str">
        <f t="shared" si="525"/>
        <v>-</v>
      </c>
      <c r="AC381" s="2" t="s">
        <v>421</v>
      </c>
      <c r="AD381" s="2" t="str">
        <f t="shared" si="526"/>
        <v>_</v>
      </c>
      <c r="AE381" s="2" t="s">
        <v>444</v>
      </c>
      <c r="AF381" s="2" t="str">
        <f t="shared" si="527"/>
        <v>_</v>
      </c>
      <c r="AG381" s="28" t="s">
        <v>36</v>
      </c>
      <c r="AH381" s="2" t="str">
        <f t="shared" si="528"/>
        <v>_</v>
      </c>
      <c r="AI381" s="28" t="s">
        <v>72</v>
      </c>
    </row>
    <row r="382" spans="1:35" x14ac:dyDescent="0.25">
      <c r="B382" s="2"/>
      <c r="AA382" s="2"/>
      <c r="AB382" s="2"/>
      <c r="AC382" s="2"/>
      <c r="AD382" s="2"/>
      <c r="AE382" s="2"/>
      <c r="AF382" s="2"/>
      <c r="AH382" s="2"/>
    </row>
    <row r="383" spans="1:35" x14ac:dyDescent="0.25">
      <c r="B383" s="2" t="str">
        <f t="shared" ref="B383:B398" si="529">_xlfn.CONCAT("@",AA383,AB383,AC383,AD383,AE383,AF383,AG383,AH383,AI383)</f>
        <v>@line_offset-path_narrow_vegetation_z12</v>
      </c>
      <c r="C383" s="28" t="s">
        <v>425</v>
      </c>
      <c r="D383" s="28" t="s">
        <v>429</v>
      </c>
      <c r="F383" s="28" t="s">
        <v>425</v>
      </c>
      <c r="G383" s="28" t="s">
        <v>429</v>
      </c>
      <c r="I383" s="28" t="s">
        <v>425</v>
      </c>
      <c r="J383" s="28" t="s">
        <v>429</v>
      </c>
      <c r="L383" s="28" t="s">
        <v>425</v>
      </c>
      <c r="M383" s="28" t="s">
        <v>429</v>
      </c>
      <c r="U383" s="28" t="s">
        <v>350</v>
      </c>
      <c r="V383" s="28" t="s">
        <v>345</v>
      </c>
      <c r="X383" s="28" t="s">
        <v>350</v>
      </c>
      <c r="Y383" s="28" t="s">
        <v>345</v>
      </c>
      <c r="AA383" s="2" t="s">
        <v>341</v>
      </c>
      <c r="AB383" s="2" t="str">
        <f t="shared" ref="AB383:AB398" si="530">IF(NOT(ISBLANK(AC383)),"-","")</f>
        <v>-</v>
      </c>
      <c r="AC383" s="2" t="s">
        <v>67</v>
      </c>
      <c r="AD383" s="2" t="str">
        <f t="shared" ref="AD383:AD398" si="531">IF(NOT(ISBLANK(AE383)),"_","")</f>
        <v>_</v>
      </c>
      <c r="AE383" s="2" t="s">
        <v>68</v>
      </c>
      <c r="AF383" s="2" t="str">
        <f t="shared" ref="AF383:AF398" si="532">IF(NOT(ISBLANK(AG383)),"_","")</f>
        <v>_</v>
      </c>
      <c r="AG383" s="28" t="s">
        <v>36</v>
      </c>
      <c r="AH383" s="2" t="str">
        <f t="shared" ref="AH383:AH398" si="533">IF(NOT(ISBLANK(AI383)),"_","")</f>
        <v>_</v>
      </c>
      <c r="AI383" s="28" t="s">
        <v>105</v>
      </c>
    </row>
    <row r="384" spans="1:35" x14ac:dyDescent="0.25">
      <c r="B384" s="2" t="str">
        <f t="shared" si="529"/>
        <v>@line_offset-path_medium_vegetation_z12</v>
      </c>
      <c r="C384" s="28" t="s">
        <v>350</v>
      </c>
      <c r="D384" s="28" t="s">
        <v>345</v>
      </c>
      <c r="F384" s="28" t="s">
        <v>350</v>
      </c>
      <c r="G384" s="28" t="s">
        <v>345</v>
      </c>
      <c r="I384" s="28" t="s">
        <v>350</v>
      </c>
      <c r="J384" s="28" t="s">
        <v>345</v>
      </c>
      <c r="L384" s="28" t="s">
        <v>350</v>
      </c>
      <c r="M384" s="28" t="s">
        <v>345</v>
      </c>
      <c r="U384" s="28" t="s">
        <v>350</v>
      </c>
      <c r="V384" s="28" t="s">
        <v>345</v>
      </c>
      <c r="X384" s="28" t="s">
        <v>350</v>
      </c>
      <c r="Y384" s="28" t="s">
        <v>345</v>
      </c>
      <c r="AA384" s="2" t="s">
        <v>341</v>
      </c>
      <c r="AB384" s="2" t="str">
        <f t="shared" si="530"/>
        <v>-</v>
      </c>
      <c r="AC384" s="2" t="s">
        <v>67</v>
      </c>
      <c r="AD384" s="2" t="str">
        <f t="shared" si="531"/>
        <v>_</v>
      </c>
      <c r="AE384" s="2" t="s">
        <v>75</v>
      </c>
      <c r="AF384" s="2" t="str">
        <f t="shared" si="532"/>
        <v>_</v>
      </c>
      <c r="AG384" s="28" t="s">
        <v>36</v>
      </c>
      <c r="AH384" s="2" t="str">
        <f t="shared" si="533"/>
        <v>_</v>
      </c>
      <c r="AI384" s="28" t="s">
        <v>105</v>
      </c>
    </row>
    <row r="385" spans="2:35" x14ac:dyDescent="0.25">
      <c r="B385" s="2" t="str">
        <f t="shared" si="529"/>
        <v>@line_offset-path_wide_vegetation_z12</v>
      </c>
      <c r="C385" s="28" t="s">
        <v>426</v>
      </c>
      <c r="D385" s="28" t="s">
        <v>346</v>
      </c>
      <c r="F385" s="28" t="s">
        <v>426</v>
      </c>
      <c r="G385" s="28" t="s">
        <v>346</v>
      </c>
      <c r="I385" s="28" t="s">
        <v>426</v>
      </c>
      <c r="J385" s="28" t="s">
        <v>346</v>
      </c>
      <c r="L385" s="28" t="s">
        <v>426</v>
      </c>
      <c r="M385" s="28" t="s">
        <v>346</v>
      </c>
      <c r="U385" s="28" t="s">
        <v>350</v>
      </c>
      <c r="V385" s="28" t="s">
        <v>345</v>
      </c>
      <c r="X385" s="28" t="s">
        <v>350</v>
      </c>
      <c r="Y385" s="28" t="s">
        <v>345</v>
      </c>
      <c r="AA385" s="2" t="s">
        <v>341</v>
      </c>
      <c r="AB385" s="2" t="str">
        <f t="shared" si="530"/>
        <v>-</v>
      </c>
      <c r="AC385" s="2" t="s">
        <v>67</v>
      </c>
      <c r="AD385" s="2" t="str">
        <f t="shared" si="531"/>
        <v>_</v>
      </c>
      <c r="AE385" s="2" t="s">
        <v>73</v>
      </c>
      <c r="AF385" s="2" t="str">
        <f t="shared" si="532"/>
        <v>_</v>
      </c>
      <c r="AG385" s="28" t="s">
        <v>36</v>
      </c>
      <c r="AH385" s="2" t="str">
        <f t="shared" si="533"/>
        <v>_</v>
      </c>
      <c r="AI385" s="28" t="s">
        <v>105</v>
      </c>
    </row>
    <row r="386" spans="2:35" x14ac:dyDescent="0.25">
      <c r="B386" s="2" t="str">
        <f t="shared" si="529"/>
        <v>@line_offset-path_widest_vegetation_z12</v>
      </c>
      <c r="C386" s="28" t="s">
        <v>426</v>
      </c>
      <c r="D386" s="28" t="s">
        <v>346</v>
      </c>
      <c r="F386" s="28" t="s">
        <v>426</v>
      </c>
      <c r="G386" s="28" t="s">
        <v>346</v>
      </c>
      <c r="I386" s="28" t="s">
        <v>426</v>
      </c>
      <c r="J386" s="28" t="s">
        <v>346</v>
      </c>
      <c r="L386" s="28" t="s">
        <v>426</v>
      </c>
      <c r="M386" s="28" t="s">
        <v>346</v>
      </c>
      <c r="U386" s="28" t="s">
        <v>350</v>
      </c>
      <c r="V386" s="28" t="s">
        <v>345</v>
      </c>
      <c r="X386" s="28" t="s">
        <v>350</v>
      </c>
      <c r="Y386" s="28" t="s">
        <v>345</v>
      </c>
      <c r="AA386" s="2" t="s">
        <v>341</v>
      </c>
      <c r="AB386" s="2" t="str">
        <f t="shared" si="530"/>
        <v>-</v>
      </c>
      <c r="AC386" s="2" t="s">
        <v>67</v>
      </c>
      <c r="AD386" s="2" t="str">
        <f t="shared" si="531"/>
        <v>_</v>
      </c>
      <c r="AE386" s="2" t="s">
        <v>286</v>
      </c>
      <c r="AF386" s="2" t="str">
        <f t="shared" si="532"/>
        <v>_</v>
      </c>
      <c r="AG386" s="28" t="s">
        <v>36</v>
      </c>
      <c r="AH386" s="2" t="str">
        <f t="shared" si="533"/>
        <v>_</v>
      </c>
      <c r="AI386" s="28" t="s">
        <v>105</v>
      </c>
    </row>
    <row r="387" spans="2:35" x14ac:dyDescent="0.25">
      <c r="B387" s="2" t="str">
        <f t="shared" si="529"/>
        <v>@line_offset-path_narrow_vegetation_z14</v>
      </c>
      <c r="C387" s="28" t="s">
        <v>427</v>
      </c>
      <c r="D387" s="28" t="s">
        <v>345</v>
      </c>
      <c r="F387" s="28" t="s">
        <v>427</v>
      </c>
      <c r="G387" s="28" t="s">
        <v>345</v>
      </c>
      <c r="I387" s="28" t="s">
        <v>427</v>
      </c>
      <c r="J387" s="28" t="s">
        <v>345</v>
      </c>
      <c r="L387" s="28" t="s">
        <v>427</v>
      </c>
      <c r="M387" s="28" t="s">
        <v>345</v>
      </c>
      <c r="U387" s="28" t="s">
        <v>346</v>
      </c>
      <c r="V387" s="28" t="s">
        <v>346</v>
      </c>
      <c r="X387" s="28" t="s">
        <v>346</v>
      </c>
      <c r="Y387" s="28" t="s">
        <v>346</v>
      </c>
      <c r="AA387" s="2" t="s">
        <v>341</v>
      </c>
      <c r="AB387" s="2" t="str">
        <f t="shared" si="530"/>
        <v>-</v>
      </c>
      <c r="AC387" s="2" t="s">
        <v>67</v>
      </c>
      <c r="AD387" s="2" t="str">
        <f t="shared" si="531"/>
        <v>_</v>
      </c>
      <c r="AE387" s="2" t="s">
        <v>68</v>
      </c>
      <c r="AF387" s="2" t="str">
        <f t="shared" si="532"/>
        <v>_</v>
      </c>
      <c r="AG387" s="28" t="s">
        <v>36</v>
      </c>
      <c r="AH387" s="2" t="str">
        <f t="shared" si="533"/>
        <v>_</v>
      </c>
      <c r="AI387" s="28" t="s">
        <v>70</v>
      </c>
    </row>
    <row r="388" spans="2:35" x14ac:dyDescent="0.25">
      <c r="B388" s="2" t="str">
        <f t="shared" si="529"/>
        <v>@line_offset-path_medium_vegetation_z14</v>
      </c>
      <c r="C388" s="28" t="s">
        <v>426</v>
      </c>
      <c r="D388" s="28" t="s">
        <v>346</v>
      </c>
      <c r="F388" s="28" t="s">
        <v>426</v>
      </c>
      <c r="G388" s="28" t="s">
        <v>346</v>
      </c>
      <c r="I388" s="28" t="s">
        <v>426</v>
      </c>
      <c r="J388" s="28" t="s">
        <v>346</v>
      </c>
      <c r="L388" s="28" t="s">
        <v>426</v>
      </c>
      <c r="M388" s="28" t="s">
        <v>346</v>
      </c>
      <c r="U388" s="28" t="s">
        <v>346</v>
      </c>
      <c r="V388" s="28" t="s">
        <v>346</v>
      </c>
      <c r="X388" s="28" t="s">
        <v>346</v>
      </c>
      <c r="Y388" s="28" t="s">
        <v>346</v>
      </c>
      <c r="AA388" s="2" t="s">
        <v>341</v>
      </c>
      <c r="AB388" s="2" t="str">
        <f t="shared" si="530"/>
        <v>-</v>
      </c>
      <c r="AC388" s="2" t="s">
        <v>67</v>
      </c>
      <c r="AD388" s="2" t="str">
        <f t="shared" si="531"/>
        <v>_</v>
      </c>
      <c r="AE388" s="2" t="s">
        <v>75</v>
      </c>
      <c r="AF388" s="2" t="str">
        <f t="shared" si="532"/>
        <v>_</v>
      </c>
      <c r="AG388" s="28" t="s">
        <v>36</v>
      </c>
      <c r="AH388" s="2" t="str">
        <f t="shared" si="533"/>
        <v>_</v>
      </c>
      <c r="AI388" s="28" t="s">
        <v>70</v>
      </c>
    </row>
    <row r="389" spans="2:35" x14ac:dyDescent="0.25">
      <c r="B389" s="2" t="str">
        <f t="shared" si="529"/>
        <v>@line_offset-path_wide_vegetation_z14</v>
      </c>
      <c r="C389" s="28" t="s">
        <v>345</v>
      </c>
      <c r="D389" s="28" t="s">
        <v>430</v>
      </c>
      <c r="F389" s="28" t="s">
        <v>345</v>
      </c>
      <c r="G389" s="28" t="s">
        <v>430</v>
      </c>
      <c r="I389" s="28" t="s">
        <v>345</v>
      </c>
      <c r="J389" s="28" t="s">
        <v>430</v>
      </c>
      <c r="L389" s="28" t="s">
        <v>345</v>
      </c>
      <c r="M389" s="28" t="s">
        <v>430</v>
      </c>
      <c r="U389" s="28" t="s">
        <v>346</v>
      </c>
      <c r="V389" s="28" t="s">
        <v>346</v>
      </c>
      <c r="X389" s="28" t="s">
        <v>346</v>
      </c>
      <c r="Y389" s="28" t="s">
        <v>346</v>
      </c>
      <c r="AA389" s="2" t="s">
        <v>341</v>
      </c>
      <c r="AB389" s="2" t="str">
        <f t="shared" si="530"/>
        <v>-</v>
      </c>
      <c r="AC389" s="2" t="s">
        <v>67</v>
      </c>
      <c r="AD389" s="2" t="str">
        <f t="shared" si="531"/>
        <v>_</v>
      </c>
      <c r="AE389" s="2" t="s">
        <v>73</v>
      </c>
      <c r="AF389" s="2" t="str">
        <f t="shared" si="532"/>
        <v>_</v>
      </c>
      <c r="AG389" s="28" t="s">
        <v>36</v>
      </c>
      <c r="AH389" s="2" t="str">
        <f t="shared" si="533"/>
        <v>_</v>
      </c>
      <c r="AI389" s="28" t="s">
        <v>70</v>
      </c>
    </row>
    <row r="390" spans="2:35" x14ac:dyDescent="0.25">
      <c r="B390" s="2" t="str">
        <f t="shared" si="529"/>
        <v>@line_offset-path_widest_vegetation_z14</v>
      </c>
      <c r="C390" s="28" t="s">
        <v>345</v>
      </c>
      <c r="D390" s="28" t="s">
        <v>430</v>
      </c>
      <c r="F390" s="28" t="s">
        <v>345</v>
      </c>
      <c r="G390" s="28" t="s">
        <v>430</v>
      </c>
      <c r="I390" s="28" t="s">
        <v>345</v>
      </c>
      <c r="J390" s="28" t="s">
        <v>430</v>
      </c>
      <c r="L390" s="28" t="s">
        <v>345</v>
      </c>
      <c r="M390" s="28" t="s">
        <v>430</v>
      </c>
      <c r="U390" s="28" t="s">
        <v>346</v>
      </c>
      <c r="V390" s="28" t="s">
        <v>346</v>
      </c>
      <c r="X390" s="28" t="s">
        <v>346</v>
      </c>
      <c r="Y390" s="28" t="s">
        <v>346</v>
      </c>
      <c r="AA390" s="2" t="s">
        <v>341</v>
      </c>
      <c r="AB390" s="2" t="str">
        <f t="shared" si="530"/>
        <v>-</v>
      </c>
      <c r="AC390" s="2" t="s">
        <v>67</v>
      </c>
      <c r="AD390" s="2" t="str">
        <f t="shared" si="531"/>
        <v>_</v>
      </c>
      <c r="AE390" s="2" t="s">
        <v>286</v>
      </c>
      <c r="AF390" s="2" t="str">
        <f t="shared" si="532"/>
        <v>_</v>
      </c>
      <c r="AG390" s="28" t="s">
        <v>36</v>
      </c>
      <c r="AH390" s="2" t="str">
        <f t="shared" si="533"/>
        <v>_</v>
      </c>
      <c r="AI390" s="28" t="s">
        <v>70</v>
      </c>
    </row>
    <row r="391" spans="2:35" x14ac:dyDescent="0.25">
      <c r="B391" s="2" t="str">
        <f t="shared" si="529"/>
        <v>@line_offset-path_narrow_vegetation_z16</v>
      </c>
      <c r="C391" s="28" t="s">
        <v>346</v>
      </c>
      <c r="D391" s="28" t="s">
        <v>431</v>
      </c>
      <c r="F391" s="28" t="s">
        <v>346</v>
      </c>
      <c r="G391" s="28" t="s">
        <v>431</v>
      </c>
      <c r="I391" s="28" t="s">
        <v>346</v>
      </c>
      <c r="J391" s="28" t="s">
        <v>431</v>
      </c>
      <c r="L391" s="28" t="s">
        <v>346</v>
      </c>
      <c r="M391" s="28" t="s">
        <v>431</v>
      </c>
      <c r="U391" s="28" t="s">
        <v>347</v>
      </c>
      <c r="V391" s="28" t="s">
        <v>432</v>
      </c>
      <c r="X391" s="28" t="s">
        <v>347</v>
      </c>
      <c r="Y391" s="28" t="s">
        <v>432</v>
      </c>
      <c r="AA391" s="2" t="s">
        <v>341</v>
      </c>
      <c r="AB391" s="2" t="str">
        <f t="shared" si="530"/>
        <v>-</v>
      </c>
      <c r="AC391" s="2" t="s">
        <v>67</v>
      </c>
      <c r="AD391" s="2" t="str">
        <f t="shared" si="531"/>
        <v>_</v>
      </c>
      <c r="AE391" s="2" t="s">
        <v>68</v>
      </c>
      <c r="AF391" s="2" t="str">
        <f t="shared" si="532"/>
        <v>_</v>
      </c>
      <c r="AG391" s="28" t="s">
        <v>36</v>
      </c>
      <c r="AH391" s="2" t="str">
        <f t="shared" si="533"/>
        <v>_</v>
      </c>
      <c r="AI391" s="28" t="s">
        <v>71</v>
      </c>
    </row>
    <row r="392" spans="2:35" x14ac:dyDescent="0.25">
      <c r="B392" s="2" t="str">
        <f t="shared" si="529"/>
        <v>@line_offset-path_medium_vegetation_z16</v>
      </c>
      <c r="C392" s="28" t="s">
        <v>428</v>
      </c>
      <c r="D392" s="28" t="s">
        <v>432</v>
      </c>
      <c r="F392" s="28" t="s">
        <v>428</v>
      </c>
      <c r="G392" s="28" t="s">
        <v>432</v>
      </c>
      <c r="I392" s="28" t="s">
        <v>428</v>
      </c>
      <c r="J392" s="28" t="s">
        <v>432</v>
      </c>
      <c r="L392" s="28" t="s">
        <v>428</v>
      </c>
      <c r="M392" s="28" t="s">
        <v>432</v>
      </c>
      <c r="U392" s="28" t="s">
        <v>347</v>
      </c>
      <c r="V392" s="28" t="s">
        <v>432</v>
      </c>
      <c r="X392" s="28" t="s">
        <v>347</v>
      </c>
      <c r="Y392" s="28" t="s">
        <v>432</v>
      </c>
      <c r="AA392" s="2" t="s">
        <v>341</v>
      </c>
      <c r="AB392" s="2" t="str">
        <f t="shared" si="530"/>
        <v>-</v>
      </c>
      <c r="AC392" s="2" t="s">
        <v>67</v>
      </c>
      <c r="AD392" s="2" t="str">
        <f t="shared" si="531"/>
        <v>_</v>
      </c>
      <c r="AE392" s="2" t="s">
        <v>75</v>
      </c>
      <c r="AF392" s="2" t="str">
        <f t="shared" si="532"/>
        <v>_</v>
      </c>
      <c r="AG392" s="28" t="s">
        <v>36</v>
      </c>
      <c r="AH392" s="2" t="str">
        <f t="shared" si="533"/>
        <v>_</v>
      </c>
      <c r="AI392" s="28" t="s">
        <v>71</v>
      </c>
    </row>
    <row r="393" spans="2:35" x14ac:dyDescent="0.25">
      <c r="B393" s="2" t="str">
        <f t="shared" si="529"/>
        <v>@line_offset-path_wide_vegetation_z16</v>
      </c>
      <c r="C393" s="28" t="s">
        <v>347</v>
      </c>
      <c r="D393" s="28" t="s">
        <v>433</v>
      </c>
      <c r="F393" s="28" t="s">
        <v>347</v>
      </c>
      <c r="G393" s="28" t="s">
        <v>433</v>
      </c>
      <c r="I393" s="28" t="s">
        <v>347</v>
      </c>
      <c r="J393" s="28" t="s">
        <v>433</v>
      </c>
      <c r="L393" s="28" t="s">
        <v>347</v>
      </c>
      <c r="M393" s="28" t="s">
        <v>433</v>
      </c>
      <c r="U393" s="28" t="s">
        <v>347</v>
      </c>
      <c r="V393" s="28" t="s">
        <v>432</v>
      </c>
      <c r="X393" s="28" t="s">
        <v>347</v>
      </c>
      <c r="Y393" s="28" t="s">
        <v>432</v>
      </c>
      <c r="AA393" s="2" t="s">
        <v>341</v>
      </c>
      <c r="AB393" s="2" t="str">
        <f t="shared" si="530"/>
        <v>-</v>
      </c>
      <c r="AC393" s="2" t="s">
        <v>67</v>
      </c>
      <c r="AD393" s="2" t="str">
        <f t="shared" si="531"/>
        <v>_</v>
      </c>
      <c r="AE393" s="2" t="s">
        <v>73</v>
      </c>
      <c r="AF393" s="2" t="str">
        <f t="shared" si="532"/>
        <v>_</v>
      </c>
      <c r="AG393" s="28" t="s">
        <v>36</v>
      </c>
      <c r="AH393" s="2" t="str">
        <f t="shared" si="533"/>
        <v>_</v>
      </c>
      <c r="AI393" s="28" t="s">
        <v>71</v>
      </c>
    </row>
    <row r="394" spans="2:35" x14ac:dyDescent="0.25">
      <c r="B394" s="2" t="str">
        <f t="shared" si="529"/>
        <v>@line_offset-path_widest_vegetation_z16</v>
      </c>
      <c r="C394" s="28" t="s">
        <v>347</v>
      </c>
      <c r="D394" s="28" t="s">
        <v>433</v>
      </c>
      <c r="F394" s="28" t="s">
        <v>347</v>
      </c>
      <c r="G394" s="28" t="s">
        <v>433</v>
      </c>
      <c r="I394" s="28" t="s">
        <v>347</v>
      </c>
      <c r="J394" s="28" t="s">
        <v>433</v>
      </c>
      <c r="L394" s="28" t="s">
        <v>347</v>
      </c>
      <c r="M394" s="28" t="s">
        <v>433</v>
      </c>
      <c r="U394" s="28" t="s">
        <v>347</v>
      </c>
      <c r="V394" s="28" t="s">
        <v>432</v>
      </c>
      <c r="X394" s="28" t="s">
        <v>347</v>
      </c>
      <c r="Y394" s="28" t="s">
        <v>432</v>
      </c>
      <c r="AA394" s="2" t="s">
        <v>341</v>
      </c>
      <c r="AB394" s="2" t="str">
        <f t="shared" si="530"/>
        <v>-</v>
      </c>
      <c r="AC394" s="2" t="s">
        <v>67</v>
      </c>
      <c r="AD394" s="2" t="str">
        <f t="shared" si="531"/>
        <v>_</v>
      </c>
      <c r="AE394" s="2" t="s">
        <v>286</v>
      </c>
      <c r="AF394" s="2" t="str">
        <f t="shared" si="532"/>
        <v>_</v>
      </c>
      <c r="AG394" s="28" t="s">
        <v>36</v>
      </c>
      <c r="AH394" s="2" t="str">
        <f t="shared" si="533"/>
        <v>_</v>
      </c>
      <c r="AI394" s="28" t="s">
        <v>71</v>
      </c>
    </row>
    <row r="395" spans="2:35" x14ac:dyDescent="0.25">
      <c r="B395" s="2" t="str">
        <f t="shared" si="529"/>
        <v>@line_offset-path_narrow_vegetation_z18</v>
      </c>
      <c r="C395" s="28" t="s">
        <v>428</v>
      </c>
      <c r="D395" s="28" t="s">
        <v>434</v>
      </c>
      <c r="F395" s="28" t="s">
        <v>428</v>
      </c>
      <c r="G395" s="28" t="s">
        <v>434</v>
      </c>
      <c r="I395" s="28" t="s">
        <v>428</v>
      </c>
      <c r="J395" s="28" t="s">
        <v>434</v>
      </c>
      <c r="L395" s="28" t="s">
        <v>428</v>
      </c>
      <c r="M395" s="28" t="s">
        <v>434</v>
      </c>
      <c r="U395" s="28" t="s">
        <v>343</v>
      </c>
      <c r="V395" s="28" t="s">
        <v>435</v>
      </c>
      <c r="X395" s="28" t="s">
        <v>343</v>
      </c>
      <c r="Y395" s="28" t="s">
        <v>435</v>
      </c>
      <c r="AA395" s="2" t="s">
        <v>341</v>
      </c>
      <c r="AB395" s="2" t="str">
        <f t="shared" si="530"/>
        <v>-</v>
      </c>
      <c r="AC395" s="2" t="s">
        <v>67</v>
      </c>
      <c r="AD395" s="2" t="str">
        <f t="shared" si="531"/>
        <v>_</v>
      </c>
      <c r="AE395" s="2" t="s">
        <v>68</v>
      </c>
      <c r="AF395" s="2" t="str">
        <f t="shared" si="532"/>
        <v>_</v>
      </c>
      <c r="AG395" s="28" t="s">
        <v>36</v>
      </c>
      <c r="AH395" s="2" t="str">
        <f t="shared" si="533"/>
        <v>_</v>
      </c>
      <c r="AI395" s="28" t="s">
        <v>72</v>
      </c>
    </row>
    <row r="396" spans="2:35" x14ac:dyDescent="0.25">
      <c r="B396" s="2" t="str">
        <f t="shared" si="529"/>
        <v>@line_offset-path_medium_vegetation_z18</v>
      </c>
      <c r="C396" s="28" t="s">
        <v>343</v>
      </c>
      <c r="D396" s="28" t="s">
        <v>435</v>
      </c>
      <c r="F396" s="28" t="s">
        <v>343</v>
      </c>
      <c r="G396" s="28" t="s">
        <v>435</v>
      </c>
      <c r="I396" s="28" t="s">
        <v>343</v>
      </c>
      <c r="J396" s="28" t="s">
        <v>435</v>
      </c>
      <c r="L396" s="28" t="s">
        <v>343</v>
      </c>
      <c r="M396" s="28" t="s">
        <v>435</v>
      </c>
      <c r="U396" s="28" t="s">
        <v>343</v>
      </c>
      <c r="V396" s="28" t="s">
        <v>435</v>
      </c>
      <c r="X396" s="28" t="s">
        <v>343</v>
      </c>
      <c r="Y396" s="28" t="s">
        <v>435</v>
      </c>
      <c r="AA396" s="2" t="s">
        <v>341</v>
      </c>
      <c r="AB396" s="2" t="str">
        <f t="shared" si="530"/>
        <v>-</v>
      </c>
      <c r="AC396" s="2" t="s">
        <v>67</v>
      </c>
      <c r="AD396" s="2" t="str">
        <f t="shared" si="531"/>
        <v>_</v>
      </c>
      <c r="AE396" s="2" t="s">
        <v>75</v>
      </c>
      <c r="AF396" s="2" t="str">
        <f t="shared" si="532"/>
        <v>_</v>
      </c>
      <c r="AG396" s="28" t="s">
        <v>36</v>
      </c>
      <c r="AH396" s="2" t="str">
        <f t="shared" si="533"/>
        <v>_</v>
      </c>
      <c r="AI396" s="28" t="s">
        <v>72</v>
      </c>
    </row>
    <row r="397" spans="2:35" x14ac:dyDescent="0.25">
      <c r="B397" s="2" t="str">
        <f t="shared" si="529"/>
        <v>@line_offset-path_wide_vegetation_z18</v>
      </c>
      <c r="C397" s="28" t="s">
        <v>348</v>
      </c>
      <c r="D397" s="28" t="s">
        <v>436</v>
      </c>
      <c r="F397" s="28" t="s">
        <v>348</v>
      </c>
      <c r="G397" s="28" t="s">
        <v>436</v>
      </c>
      <c r="I397" s="28" t="s">
        <v>348</v>
      </c>
      <c r="J397" s="28" t="s">
        <v>436</v>
      </c>
      <c r="L397" s="28" t="s">
        <v>348</v>
      </c>
      <c r="M397" s="28" t="s">
        <v>436</v>
      </c>
      <c r="U397" s="28" t="s">
        <v>343</v>
      </c>
      <c r="V397" s="28" t="s">
        <v>435</v>
      </c>
      <c r="X397" s="28" t="s">
        <v>343</v>
      </c>
      <c r="Y397" s="28" t="s">
        <v>435</v>
      </c>
      <c r="AA397" s="2" t="s">
        <v>341</v>
      </c>
      <c r="AB397" s="2" t="str">
        <f t="shared" si="530"/>
        <v>-</v>
      </c>
      <c r="AC397" s="2" t="s">
        <v>67</v>
      </c>
      <c r="AD397" s="2" t="str">
        <f t="shared" si="531"/>
        <v>_</v>
      </c>
      <c r="AE397" s="2" t="s">
        <v>73</v>
      </c>
      <c r="AF397" s="2" t="str">
        <f t="shared" si="532"/>
        <v>_</v>
      </c>
      <c r="AG397" s="28" t="s">
        <v>36</v>
      </c>
      <c r="AH397" s="2" t="str">
        <f t="shared" si="533"/>
        <v>_</v>
      </c>
      <c r="AI397" s="28" t="s">
        <v>72</v>
      </c>
    </row>
    <row r="398" spans="2:35" x14ac:dyDescent="0.25">
      <c r="B398" s="2" t="str">
        <f t="shared" si="529"/>
        <v>@line_offset-path_widest_vegetation_z18</v>
      </c>
      <c r="C398" s="28" t="s">
        <v>343</v>
      </c>
      <c r="D398" s="28" t="s">
        <v>436</v>
      </c>
      <c r="F398" s="28" t="s">
        <v>343</v>
      </c>
      <c r="G398" s="28" t="s">
        <v>436</v>
      </c>
      <c r="I398" s="28" t="s">
        <v>343</v>
      </c>
      <c r="J398" s="28" t="s">
        <v>436</v>
      </c>
      <c r="L398" s="28" t="s">
        <v>343</v>
      </c>
      <c r="M398" s="28" t="s">
        <v>436</v>
      </c>
      <c r="U398" s="28" t="s">
        <v>343</v>
      </c>
      <c r="V398" s="28" t="s">
        <v>435</v>
      </c>
      <c r="X398" s="28" t="s">
        <v>343</v>
      </c>
      <c r="Y398" s="28" t="s">
        <v>435</v>
      </c>
      <c r="AA398" s="2" t="s">
        <v>341</v>
      </c>
      <c r="AB398" s="2" t="str">
        <f t="shared" si="530"/>
        <v>-</v>
      </c>
      <c r="AC398" s="2" t="s">
        <v>67</v>
      </c>
      <c r="AD398" s="2" t="str">
        <f t="shared" si="531"/>
        <v>_</v>
      </c>
      <c r="AE398" s="2" t="s">
        <v>286</v>
      </c>
      <c r="AF398" s="2" t="str">
        <f t="shared" si="532"/>
        <v>_</v>
      </c>
      <c r="AG398" s="28" t="s">
        <v>36</v>
      </c>
      <c r="AH398" s="2" t="str">
        <f t="shared" si="533"/>
        <v>_</v>
      </c>
      <c r="AI398" s="28" t="s">
        <v>72</v>
      </c>
    </row>
    <row r="399" spans="2:35" x14ac:dyDescent="0.25">
      <c r="B399" s="2"/>
      <c r="AA399" s="2"/>
      <c r="AB399" s="2"/>
      <c r="AC399" s="2"/>
      <c r="AD399" s="2"/>
      <c r="AE399" s="2"/>
      <c r="AF399" s="2"/>
      <c r="AH399" s="2"/>
    </row>
    <row r="400" spans="2:35" x14ac:dyDescent="0.25">
      <c r="B400" s="2"/>
      <c r="AA400" s="2"/>
      <c r="AB400" s="2"/>
      <c r="AC400" s="2"/>
      <c r="AD400" s="2"/>
      <c r="AE400" s="2"/>
      <c r="AF400" s="2"/>
      <c r="AH400" s="2"/>
    </row>
    <row r="401" spans="2:35" x14ac:dyDescent="0.25">
      <c r="B401" s="2" t="str">
        <f t="shared" ref="B401" si="534">_xlfn.CONCAT("@",AA401,AB401,AC401,AD401,AE401,AF401,AG401,AH401,AI401)</f>
        <v>@line_width-path_track_all_mud_z12</v>
      </c>
      <c r="C401" s="28" t="s">
        <v>93</v>
      </c>
      <c r="D401" s="28" t="s">
        <v>119</v>
      </c>
      <c r="F401" s="28" t="s">
        <v>93</v>
      </c>
      <c r="G401" s="28" t="s">
        <v>119</v>
      </c>
      <c r="I401" s="28" t="s">
        <v>93</v>
      </c>
      <c r="J401" s="28" t="s">
        <v>119</v>
      </c>
      <c r="L401" s="28" t="s">
        <v>93</v>
      </c>
      <c r="M401" s="28" t="s">
        <v>119</v>
      </c>
      <c r="U401" s="28" t="s">
        <v>93</v>
      </c>
      <c r="V401" s="28" t="s">
        <v>119</v>
      </c>
      <c r="X401" s="28" t="s">
        <v>93</v>
      </c>
      <c r="Y401" s="28" t="s">
        <v>119</v>
      </c>
      <c r="AA401" s="2" t="s">
        <v>115</v>
      </c>
      <c r="AB401" s="2" t="str">
        <f t="shared" ref="AB401" si="535">IF(NOT(ISBLANK(AC401)),"-","")</f>
        <v>-</v>
      </c>
      <c r="AC401" s="2" t="s">
        <v>421</v>
      </c>
      <c r="AD401" s="2" t="str">
        <f t="shared" ref="AD401" si="536">IF(NOT(ISBLANK(AE401)),"_","")</f>
        <v>_</v>
      </c>
      <c r="AE401" s="2" t="s">
        <v>444</v>
      </c>
      <c r="AF401" s="2" t="str">
        <f t="shared" ref="AF401" si="537">IF(NOT(ISBLANK(AG401)),"_","")</f>
        <v>_</v>
      </c>
      <c r="AG401" s="28" t="s">
        <v>38</v>
      </c>
      <c r="AH401" s="2" t="str">
        <f t="shared" ref="AH401" si="538">IF(NOT(ISBLANK(AI401)),"_","")</f>
        <v>_</v>
      </c>
      <c r="AI401" s="28" t="s">
        <v>105</v>
      </c>
    </row>
    <row r="402" spans="2:35" x14ac:dyDescent="0.25">
      <c r="B402" s="2" t="str">
        <f t="shared" ref="B402" si="539">_xlfn.CONCAT("@",AA402,AB402,AC402,AD402,AE402,AF402,AG402,AH402,AI402)</f>
        <v>@line_width-path_track_all_mud_z14</v>
      </c>
      <c r="C402" s="28" t="s">
        <v>107</v>
      </c>
      <c r="D402" s="28" t="s">
        <v>122</v>
      </c>
      <c r="F402" s="28" t="s">
        <v>107</v>
      </c>
      <c r="G402" s="28" t="s">
        <v>122</v>
      </c>
      <c r="I402" s="28" t="s">
        <v>107</v>
      </c>
      <c r="J402" s="28" t="s">
        <v>122</v>
      </c>
      <c r="L402" s="28" t="s">
        <v>107</v>
      </c>
      <c r="M402" s="28" t="s">
        <v>122</v>
      </c>
      <c r="U402" s="28" t="s">
        <v>107</v>
      </c>
      <c r="V402" s="28" t="s">
        <v>122</v>
      </c>
      <c r="X402" s="28" t="s">
        <v>107</v>
      </c>
      <c r="Y402" s="28" t="s">
        <v>122</v>
      </c>
      <c r="AA402" s="2" t="s">
        <v>115</v>
      </c>
      <c r="AB402" s="2" t="str">
        <f t="shared" ref="AB402" si="540">IF(NOT(ISBLANK(AC402)),"-","")</f>
        <v>-</v>
      </c>
      <c r="AC402" s="2" t="s">
        <v>421</v>
      </c>
      <c r="AD402" s="2" t="str">
        <f t="shared" ref="AD402" si="541">IF(NOT(ISBLANK(AE402)),"_","")</f>
        <v>_</v>
      </c>
      <c r="AE402" s="2" t="s">
        <v>444</v>
      </c>
      <c r="AF402" s="2" t="str">
        <f t="shared" ref="AF402" si="542">IF(NOT(ISBLANK(AG402)),"_","")</f>
        <v>_</v>
      </c>
      <c r="AG402" s="28" t="s">
        <v>38</v>
      </c>
      <c r="AH402" s="2" t="str">
        <f t="shared" ref="AH402" si="543">IF(NOT(ISBLANK(AI402)),"_","")</f>
        <v>_</v>
      </c>
      <c r="AI402" s="28" t="s">
        <v>70</v>
      </c>
    </row>
    <row r="403" spans="2:35" x14ac:dyDescent="0.25">
      <c r="B403" s="2" t="str">
        <f t="shared" ref="B403" si="544">_xlfn.CONCAT("@",AA403,AB403,AC403,AD403,AE403,AF403,AG403,AH403,AI403)</f>
        <v>@line_width-path_track_all_mud_z16</v>
      </c>
      <c r="C403" s="28" t="s">
        <v>336</v>
      </c>
      <c r="D403" s="28" t="s">
        <v>123</v>
      </c>
      <c r="F403" s="28" t="s">
        <v>336</v>
      </c>
      <c r="G403" s="28" t="s">
        <v>123</v>
      </c>
      <c r="I403" s="28" t="s">
        <v>336</v>
      </c>
      <c r="J403" s="28" t="s">
        <v>123</v>
      </c>
      <c r="L403" s="28" t="s">
        <v>336</v>
      </c>
      <c r="M403" s="28" t="s">
        <v>123</v>
      </c>
      <c r="U403" s="28" t="s">
        <v>336</v>
      </c>
      <c r="V403" s="28" t="s">
        <v>123</v>
      </c>
      <c r="X403" s="28" t="s">
        <v>336</v>
      </c>
      <c r="Y403" s="28" t="s">
        <v>123</v>
      </c>
      <c r="AA403" s="2" t="s">
        <v>115</v>
      </c>
      <c r="AB403" s="2" t="str">
        <f t="shared" ref="AB403" si="545">IF(NOT(ISBLANK(AC403)),"-","")</f>
        <v>-</v>
      </c>
      <c r="AC403" s="2" t="s">
        <v>421</v>
      </c>
      <c r="AD403" s="2" t="str">
        <f t="shared" ref="AD403" si="546">IF(NOT(ISBLANK(AE403)),"_","")</f>
        <v>_</v>
      </c>
      <c r="AE403" s="2" t="s">
        <v>444</v>
      </c>
      <c r="AF403" s="2" t="str">
        <f t="shared" ref="AF403" si="547">IF(NOT(ISBLANK(AG403)),"_","")</f>
        <v>_</v>
      </c>
      <c r="AG403" s="28" t="s">
        <v>38</v>
      </c>
      <c r="AH403" s="2" t="str">
        <f t="shared" ref="AH403" si="548">IF(NOT(ISBLANK(AI403)),"_","")</f>
        <v>_</v>
      </c>
      <c r="AI403" s="28" t="s">
        <v>71</v>
      </c>
    </row>
    <row r="404" spans="2:35" x14ac:dyDescent="0.25">
      <c r="B404" s="2" t="str">
        <f t="shared" ref="B404" si="549">_xlfn.CONCAT("@",AA404,AB404,AC404,AD404,AE404,AF404,AG404,AH404,AI404)</f>
        <v>@line_width-path_track_all_mud_z18</v>
      </c>
      <c r="C404" s="28" t="s">
        <v>317</v>
      </c>
      <c r="D404" s="28" t="s">
        <v>322</v>
      </c>
      <c r="F404" s="28" t="s">
        <v>317</v>
      </c>
      <c r="G404" s="28" t="s">
        <v>322</v>
      </c>
      <c r="I404" s="28" t="s">
        <v>317</v>
      </c>
      <c r="J404" s="28" t="s">
        <v>322</v>
      </c>
      <c r="L404" s="28" t="s">
        <v>317</v>
      </c>
      <c r="M404" s="28" t="s">
        <v>322</v>
      </c>
      <c r="U404" s="28" t="s">
        <v>317</v>
      </c>
      <c r="V404" s="28" t="s">
        <v>322</v>
      </c>
      <c r="X404" s="28" t="s">
        <v>317</v>
      </c>
      <c r="Y404" s="28" t="s">
        <v>322</v>
      </c>
      <c r="AA404" s="2" t="s">
        <v>115</v>
      </c>
      <c r="AB404" s="2" t="str">
        <f t="shared" ref="AB404" si="550">IF(NOT(ISBLANK(AC404)),"-","")</f>
        <v>-</v>
      </c>
      <c r="AC404" s="2" t="s">
        <v>421</v>
      </c>
      <c r="AD404" s="2" t="str">
        <f t="shared" ref="AD404" si="551">IF(NOT(ISBLANK(AE404)),"_","")</f>
        <v>_</v>
      </c>
      <c r="AE404" s="2" t="s">
        <v>444</v>
      </c>
      <c r="AF404" s="2" t="str">
        <f t="shared" ref="AF404" si="552">IF(NOT(ISBLANK(AG404)),"_","")</f>
        <v>_</v>
      </c>
      <c r="AG404" s="28" t="s">
        <v>38</v>
      </c>
      <c r="AH404" s="2" t="str">
        <f t="shared" ref="AH404" si="553">IF(NOT(ISBLANK(AI404)),"_","")</f>
        <v>_</v>
      </c>
      <c r="AI404" s="28" t="s">
        <v>72</v>
      </c>
    </row>
    <row r="405" spans="2:35" x14ac:dyDescent="0.25">
      <c r="B405" s="2"/>
      <c r="AA405" s="2"/>
      <c r="AB405" s="2"/>
      <c r="AC405" s="2"/>
      <c r="AD405" s="2"/>
      <c r="AE405" s="2"/>
      <c r="AF405" s="2"/>
      <c r="AH405" s="2"/>
    </row>
    <row r="406" spans="2:35" x14ac:dyDescent="0.25">
      <c r="B406" s="2" t="str">
        <f t="shared" ref="B406:B421" si="554">_xlfn.CONCAT("@",AA406,AB406,AC406,AD406,AE406,AF406,AG406,AH406,AI406)</f>
        <v>@line_offset-path_narrow_mud_z12</v>
      </c>
      <c r="C406" s="28" t="s">
        <v>92</v>
      </c>
      <c r="D406" s="28" t="s">
        <v>95</v>
      </c>
      <c r="F406" s="28" t="s">
        <v>92</v>
      </c>
      <c r="G406" s="28" t="s">
        <v>95</v>
      </c>
      <c r="I406" s="28" t="s">
        <v>92</v>
      </c>
      <c r="J406" s="28" t="s">
        <v>95</v>
      </c>
      <c r="L406" s="28" t="s">
        <v>92</v>
      </c>
      <c r="M406" s="28" t="s">
        <v>95</v>
      </c>
      <c r="U406" s="28" t="s">
        <v>81</v>
      </c>
      <c r="V406" s="28" t="s">
        <v>84</v>
      </c>
      <c r="X406" s="28" t="s">
        <v>81</v>
      </c>
      <c r="Y406" s="28" t="s">
        <v>84</v>
      </c>
      <c r="AA406" s="2" t="s">
        <v>341</v>
      </c>
      <c r="AB406" s="2" t="str">
        <f t="shared" ref="AB406:AB421" si="555">IF(NOT(ISBLANK(AC406)),"-","")</f>
        <v>-</v>
      </c>
      <c r="AC406" s="2" t="s">
        <v>67</v>
      </c>
      <c r="AD406" s="2" t="str">
        <f t="shared" ref="AD406:AD421" si="556">IF(NOT(ISBLANK(AE406)),"_","")</f>
        <v>_</v>
      </c>
      <c r="AE406" s="2" t="s">
        <v>68</v>
      </c>
      <c r="AF406" s="2" t="str">
        <f t="shared" ref="AF406:AF421" si="557">IF(NOT(ISBLANK(AG406)),"_","")</f>
        <v>_</v>
      </c>
      <c r="AG406" s="28" t="s">
        <v>38</v>
      </c>
      <c r="AH406" s="2" t="str">
        <f t="shared" ref="AH406:AH421" si="558">IF(NOT(ISBLANK(AI406)),"_","")</f>
        <v>_</v>
      </c>
      <c r="AI406" s="28" t="s">
        <v>105</v>
      </c>
    </row>
    <row r="407" spans="2:35" x14ac:dyDescent="0.25">
      <c r="B407" s="2" t="str">
        <f t="shared" si="554"/>
        <v>@line_offset-path_medium_mud_z12</v>
      </c>
      <c r="C407" s="28" t="s">
        <v>81</v>
      </c>
      <c r="D407" s="28" t="s">
        <v>84</v>
      </c>
      <c r="F407" s="28" t="s">
        <v>81</v>
      </c>
      <c r="G407" s="28" t="s">
        <v>84</v>
      </c>
      <c r="I407" s="28" t="s">
        <v>81</v>
      </c>
      <c r="J407" s="28" t="s">
        <v>84</v>
      </c>
      <c r="L407" s="28" t="s">
        <v>81</v>
      </c>
      <c r="M407" s="28" t="s">
        <v>84</v>
      </c>
      <c r="U407" s="28" t="s">
        <v>81</v>
      </c>
      <c r="V407" s="28" t="s">
        <v>84</v>
      </c>
      <c r="X407" s="28" t="s">
        <v>81</v>
      </c>
      <c r="Y407" s="28" t="s">
        <v>84</v>
      </c>
      <c r="AA407" s="2" t="s">
        <v>341</v>
      </c>
      <c r="AB407" s="2" t="str">
        <f t="shared" si="555"/>
        <v>-</v>
      </c>
      <c r="AC407" s="2" t="s">
        <v>67</v>
      </c>
      <c r="AD407" s="2" t="str">
        <f t="shared" si="556"/>
        <v>_</v>
      </c>
      <c r="AE407" s="2" t="s">
        <v>75</v>
      </c>
      <c r="AF407" s="2" t="str">
        <f t="shared" si="557"/>
        <v>_</v>
      </c>
      <c r="AG407" s="28" t="s">
        <v>38</v>
      </c>
      <c r="AH407" s="2" t="str">
        <f t="shared" si="558"/>
        <v>_</v>
      </c>
      <c r="AI407" s="28" t="s">
        <v>105</v>
      </c>
    </row>
    <row r="408" spans="2:35" x14ac:dyDescent="0.25">
      <c r="B408" s="2" t="str">
        <f t="shared" si="554"/>
        <v>@line_offset-path_wide_mud_z12</v>
      </c>
      <c r="C408" s="28" t="s">
        <v>86</v>
      </c>
      <c r="D408" s="28" t="s">
        <v>88</v>
      </c>
      <c r="F408" s="28" t="s">
        <v>86</v>
      </c>
      <c r="G408" s="28" t="s">
        <v>88</v>
      </c>
      <c r="I408" s="28" t="s">
        <v>86</v>
      </c>
      <c r="J408" s="28" t="s">
        <v>88</v>
      </c>
      <c r="L408" s="28" t="s">
        <v>86</v>
      </c>
      <c r="M408" s="28" t="s">
        <v>88</v>
      </c>
      <c r="U408" s="28" t="s">
        <v>81</v>
      </c>
      <c r="V408" s="28" t="s">
        <v>84</v>
      </c>
      <c r="X408" s="28" t="s">
        <v>81</v>
      </c>
      <c r="Y408" s="28" t="s">
        <v>84</v>
      </c>
      <c r="AA408" s="2" t="s">
        <v>341</v>
      </c>
      <c r="AB408" s="2" t="str">
        <f t="shared" si="555"/>
        <v>-</v>
      </c>
      <c r="AC408" s="2" t="s">
        <v>67</v>
      </c>
      <c r="AD408" s="2" t="str">
        <f t="shared" si="556"/>
        <v>_</v>
      </c>
      <c r="AE408" s="2" t="s">
        <v>73</v>
      </c>
      <c r="AF408" s="2" t="str">
        <f t="shared" si="557"/>
        <v>_</v>
      </c>
      <c r="AG408" s="28" t="s">
        <v>38</v>
      </c>
      <c r="AH408" s="2" t="str">
        <f t="shared" si="558"/>
        <v>_</v>
      </c>
      <c r="AI408" s="28" t="s">
        <v>105</v>
      </c>
    </row>
    <row r="409" spans="2:35" x14ac:dyDescent="0.25">
      <c r="B409" s="2" t="str">
        <f t="shared" si="554"/>
        <v>@line_offset-path_widest_mud_z12</v>
      </c>
      <c r="C409" s="28" t="s">
        <v>86</v>
      </c>
      <c r="D409" s="28" t="s">
        <v>88</v>
      </c>
      <c r="F409" s="28" t="s">
        <v>86</v>
      </c>
      <c r="G409" s="28" t="s">
        <v>88</v>
      </c>
      <c r="I409" s="28" t="s">
        <v>86</v>
      </c>
      <c r="J409" s="28" t="s">
        <v>88</v>
      </c>
      <c r="L409" s="28" t="s">
        <v>86</v>
      </c>
      <c r="M409" s="28" t="s">
        <v>88</v>
      </c>
      <c r="U409" s="28" t="s">
        <v>81</v>
      </c>
      <c r="V409" s="28" t="s">
        <v>84</v>
      </c>
      <c r="X409" s="28" t="s">
        <v>81</v>
      </c>
      <c r="Y409" s="28" t="s">
        <v>84</v>
      </c>
      <c r="AA409" s="2" t="s">
        <v>341</v>
      </c>
      <c r="AB409" s="2" t="str">
        <f t="shared" si="555"/>
        <v>-</v>
      </c>
      <c r="AC409" s="2" t="s">
        <v>67</v>
      </c>
      <c r="AD409" s="2" t="str">
        <f t="shared" si="556"/>
        <v>_</v>
      </c>
      <c r="AE409" s="2" t="s">
        <v>286</v>
      </c>
      <c r="AF409" s="2" t="str">
        <f t="shared" si="557"/>
        <v>_</v>
      </c>
      <c r="AG409" s="28" t="s">
        <v>38</v>
      </c>
      <c r="AH409" s="2" t="str">
        <f t="shared" si="558"/>
        <v>_</v>
      </c>
      <c r="AI409" s="28" t="s">
        <v>105</v>
      </c>
    </row>
    <row r="410" spans="2:35" x14ac:dyDescent="0.25">
      <c r="B410" s="2" t="str">
        <f t="shared" si="554"/>
        <v>@line_offset-path_narrow_mud_z14</v>
      </c>
      <c r="C410" s="28" t="s">
        <v>76</v>
      </c>
      <c r="D410" s="28" t="s">
        <v>84</v>
      </c>
      <c r="F410" s="28" t="s">
        <v>76</v>
      </c>
      <c r="G410" s="28" t="s">
        <v>84</v>
      </c>
      <c r="I410" s="28" t="s">
        <v>76</v>
      </c>
      <c r="J410" s="28" t="s">
        <v>84</v>
      </c>
      <c r="L410" s="28" t="s">
        <v>76</v>
      </c>
      <c r="M410" s="28" t="s">
        <v>84</v>
      </c>
      <c r="U410" s="28" t="s">
        <v>88</v>
      </c>
      <c r="V410" s="28" t="s">
        <v>88</v>
      </c>
      <c r="X410" s="28" t="s">
        <v>88</v>
      </c>
      <c r="Y410" s="28" t="s">
        <v>88</v>
      </c>
      <c r="AA410" s="2" t="s">
        <v>341</v>
      </c>
      <c r="AB410" s="2" t="str">
        <f t="shared" si="555"/>
        <v>-</v>
      </c>
      <c r="AC410" s="2" t="s">
        <v>67</v>
      </c>
      <c r="AD410" s="2" t="str">
        <f t="shared" si="556"/>
        <v>_</v>
      </c>
      <c r="AE410" s="2" t="s">
        <v>68</v>
      </c>
      <c r="AF410" s="2" t="str">
        <f t="shared" si="557"/>
        <v>_</v>
      </c>
      <c r="AG410" s="28" t="s">
        <v>38</v>
      </c>
      <c r="AH410" s="2" t="str">
        <f t="shared" si="558"/>
        <v>_</v>
      </c>
      <c r="AI410" s="28" t="s">
        <v>70</v>
      </c>
    </row>
    <row r="411" spans="2:35" x14ac:dyDescent="0.25">
      <c r="B411" s="2" t="str">
        <f t="shared" si="554"/>
        <v>@line_offset-path_medium_mud_z14</v>
      </c>
      <c r="C411" s="28" t="s">
        <v>86</v>
      </c>
      <c r="D411" s="28" t="s">
        <v>88</v>
      </c>
      <c r="F411" s="28" t="s">
        <v>86</v>
      </c>
      <c r="G411" s="28" t="s">
        <v>88</v>
      </c>
      <c r="I411" s="28" t="s">
        <v>86</v>
      </c>
      <c r="J411" s="28" t="s">
        <v>88</v>
      </c>
      <c r="L411" s="28" t="s">
        <v>86</v>
      </c>
      <c r="M411" s="28" t="s">
        <v>88</v>
      </c>
      <c r="U411" s="28" t="s">
        <v>88</v>
      </c>
      <c r="V411" s="28" t="s">
        <v>88</v>
      </c>
      <c r="X411" s="28" t="s">
        <v>88</v>
      </c>
      <c r="Y411" s="28" t="s">
        <v>88</v>
      </c>
      <c r="AA411" s="2" t="s">
        <v>341</v>
      </c>
      <c r="AB411" s="2" t="str">
        <f t="shared" si="555"/>
        <v>-</v>
      </c>
      <c r="AC411" s="2" t="s">
        <v>67</v>
      </c>
      <c r="AD411" s="2" t="str">
        <f t="shared" si="556"/>
        <v>_</v>
      </c>
      <c r="AE411" s="2" t="s">
        <v>75</v>
      </c>
      <c r="AF411" s="2" t="str">
        <f t="shared" si="557"/>
        <v>_</v>
      </c>
      <c r="AG411" s="28" t="s">
        <v>38</v>
      </c>
      <c r="AH411" s="2" t="str">
        <f t="shared" si="558"/>
        <v>_</v>
      </c>
      <c r="AI411" s="28" t="s">
        <v>70</v>
      </c>
    </row>
    <row r="412" spans="2:35" x14ac:dyDescent="0.25">
      <c r="B412" s="2" t="str">
        <f t="shared" si="554"/>
        <v>@line_offset-path_wide_mud_z14</v>
      </c>
      <c r="C412" s="28" t="s">
        <v>84</v>
      </c>
      <c r="D412" s="28" t="s">
        <v>79</v>
      </c>
      <c r="F412" s="28" t="s">
        <v>84</v>
      </c>
      <c r="G412" s="28" t="s">
        <v>79</v>
      </c>
      <c r="I412" s="28" t="s">
        <v>84</v>
      </c>
      <c r="J412" s="28" t="s">
        <v>79</v>
      </c>
      <c r="L412" s="28" t="s">
        <v>84</v>
      </c>
      <c r="M412" s="28" t="s">
        <v>79</v>
      </c>
      <c r="U412" s="28" t="s">
        <v>88</v>
      </c>
      <c r="V412" s="28" t="s">
        <v>88</v>
      </c>
      <c r="X412" s="28" t="s">
        <v>88</v>
      </c>
      <c r="Y412" s="28" t="s">
        <v>88</v>
      </c>
      <c r="AA412" s="2" t="s">
        <v>341</v>
      </c>
      <c r="AB412" s="2" t="str">
        <f t="shared" si="555"/>
        <v>-</v>
      </c>
      <c r="AC412" s="2" t="s">
        <v>67</v>
      </c>
      <c r="AD412" s="2" t="str">
        <f t="shared" si="556"/>
        <v>_</v>
      </c>
      <c r="AE412" s="2" t="s">
        <v>73</v>
      </c>
      <c r="AF412" s="2" t="str">
        <f t="shared" si="557"/>
        <v>_</v>
      </c>
      <c r="AG412" s="28" t="s">
        <v>38</v>
      </c>
      <c r="AH412" s="2" t="str">
        <f t="shared" si="558"/>
        <v>_</v>
      </c>
      <c r="AI412" s="28" t="s">
        <v>70</v>
      </c>
    </row>
    <row r="413" spans="2:35" x14ac:dyDescent="0.25">
      <c r="B413" s="2" t="str">
        <f t="shared" si="554"/>
        <v>@line_offset-path_widest_mud_z14</v>
      </c>
      <c r="C413" s="28" t="s">
        <v>84</v>
      </c>
      <c r="D413" s="28" t="s">
        <v>79</v>
      </c>
      <c r="F413" s="28" t="s">
        <v>84</v>
      </c>
      <c r="G413" s="28" t="s">
        <v>79</v>
      </c>
      <c r="I413" s="28" t="s">
        <v>84</v>
      </c>
      <c r="J413" s="28" t="s">
        <v>79</v>
      </c>
      <c r="L413" s="28" t="s">
        <v>84</v>
      </c>
      <c r="M413" s="28" t="s">
        <v>79</v>
      </c>
      <c r="U413" s="28" t="s">
        <v>88</v>
      </c>
      <c r="V413" s="28" t="s">
        <v>88</v>
      </c>
      <c r="X413" s="28" t="s">
        <v>88</v>
      </c>
      <c r="Y413" s="28" t="s">
        <v>88</v>
      </c>
      <c r="AA413" s="2" t="s">
        <v>341</v>
      </c>
      <c r="AB413" s="2" t="str">
        <f t="shared" si="555"/>
        <v>-</v>
      </c>
      <c r="AC413" s="2" t="s">
        <v>67</v>
      </c>
      <c r="AD413" s="2" t="str">
        <f t="shared" si="556"/>
        <v>_</v>
      </c>
      <c r="AE413" s="2" t="s">
        <v>286</v>
      </c>
      <c r="AF413" s="2" t="str">
        <f t="shared" si="557"/>
        <v>_</v>
      </c>
      <c r="AG413" s="28" t="s">
        <v>38</v>
      </c>
      <c r="AH413" s="2" t="str">
        <f t="shared" si="558"/>
        <v>_</v>
      </c>
      <c r="AI413" s="28" t="s">
        <v>70</v>
      </c>
    </row>
    <row r="414" spans="2:35" x14ac:dyDescent="0.25">
      <c r="B414" s="2" t="str">
        <f t="shared" si="554"/>
        <v>@line_offset-path_narrow_mud_z16</v>
      </c>
      <c r="C414" s="28" t="s">
        <v>88</v>
      </c>
      <c r="D414" s="28" t="s">
        <v>83</v>
      </c>
      <c r="F414" s="28" t="s">
        <v>88</v>
      </c>
      <c r="G414" s="28" t="s">
        <v>83</v>
      </c>
      <c r="I414" s="28" t="s">
        <v>88</v>
      </c>
      <c r="J414" s="28" t="s">
        <v>83</v>
      </c>
      <c r="L414" s="28" t="s">
        <v>88</v>
      </c>
      <c r="M414" s="28" t="s">
        <v>83</v>
      </c>
      <c r="U414" s="28" t="s">
        <v>317</v>
      </c>
      <c r="V414" s="28" t="s">
        <v>89</v>
      </c>
      <c r="X414" s="28" t="s">
        <v>317</v>
      </c>
      <c r="Y414" s="28" t="s">
        <v>89</v>
      </c>
      <c r="AA414" s="2" t="s">
        <v>341</v>
      </c>
      <c r="AB414" s="2" t="str">
        <f t="shared" si="555"/>
        <v>-</v>
      </c>
      <c r="AC414" s="2" t="s">
        <v>67</v>
      </c>
      <c r="AD414" s="2" t="str">
        <f t="shared" si="556"/>
        <v>_</v>
      </c>
      <c r="AE414" s="2" t="s">
        <v>68</v>
      </c>
      <c r="AF414" s="2" t="str">
        <f t="shared" si="557"/>
        <v>_</v>
      </c>
      <c r="AG414" s="28" t="s">
        <v>38</v>
      </c>
      <c r="AH414" s="2" t="str">
        <f t="shared" si="558"/>
        <v>_</v>
      </c>
      <c r="AI414" s="28" t="s">
        <v>71</v>
      </c>
    </row>
    <row r="415" spans="2:35" x14ac:dyDescent="0.25">
      <c r="B415" s="2" t="str">
        <f t="shared" si="554"/>
        <v>@line_offset-path_medium_mud_z16</v>
      </c>
      <c r="C415" s="28" t="s">
        <v>82</v>
      </c>
      <c r="D415" s="28" t="s">
        <v>89</v>
      </c>
      <c r="F415" s="28" t="s">
        <v>82</v>
      </c>
      <c r="G415" s="28" t="s">
        <v>89</v>
      </c>
      <c r="I415" s="28" t="s">
        <v>82</v>
      </c>
      <c r="J415" s="28" t="s">
        <v>89</v>
      </c>
      <c r="L415" s="28" t="s">
        <v>82</v>
      </c>
      <c r="M415" s="28" t="s">
        <v>89</v>
      </c>
      <c r="U415" s="28" t="s">
        <v>317</v>
      </c>
      <c r="V415" s="28" t="s">
        <v>89</v>
      </c>
      <c r="X415" s="28" t="s">
        <v>317</v>
      </c>
      <c r="Y415" s="28" t="s">
        <v>89</v>
      </c>
      <c r="AA415" s="2" t="s">
        <v>341</v>
      </c>
      <c r="AB415" s="2" t="str">
        <f t="shared" si="555"/>
        <v>-</v>
      </c>
      <c r="AC415" s="2" t="s">
        <v>67</v>
      </c>
      <c r="AD415" s="2" t="str">
        <f t="shared" si="556"/>
        <v>_</v>
      </c>
      <c r="AE415" s="2" t="s">
        <v>75</v>
      </c>
      <c r="AF415" s="2" t="str">
        <f t="shared" si="557"/>
        <v>_</v>
      </c>
      <c r="AG415" s="28" t="s">
        <v>38</v>
      </c>
      <c r="AH415" s="2" t="str">
        <f t="shared" si="558"/>
        <v>_</v>
      </c>
      <c r="AI415" s="28" t="s">
        <v>71</v>
      </c>
    </row>
    <row r="416" spans="2:35" x14ac:dyDescent="0.25">
      <c r="B416" s="2" t="str">
        <f t="shared" si="554"/>
        <v>@line_offset-path_wide_mud_z16</v>
      </c>
      <c r="C416" s="28" t="s">
        <v>317</v>
      </c>
      <c r="D416" s="28" t="s">
        <v>85</v>
      </c>
      <c r="F416" s="28" t="s">
        <v>317</v>
      </c>
      <c r="G416" s="28" t="s">
        <v>85</v>
      </c>
      <c r="I416" s="28" t="s">
        <v>317</v>
      </c>
      <c r="J416" s="28" t="s">
        <v>85</v>
      </c>
      <c r="L416" s="28" t="s">
        <v>317</v>
      </c>
      <c r="M416" s="28" t="s">
        <v>85</v>
      </c>
      <c r="U416" s="28" t="s">
        <v>317</v>
      </c>
      <c r="V416" s="28" t="s">
        <v>89</v>
      </c>
      <c r="X416" s="28" t="s">
        <v>317</v>
      </c>
      <c r="Y416" s="28" t="s">
        <v>89</v>
      </c>
      <c r="AA416" s="2" t="s">
        <v>341</v>
      </c>
      <c r="AB416" s="2" t="str">
        <f t="shared" si="555"/>
        <v>-</v>
      </c>
      <c r="AC416" s="2" t="s">
        <v>67</v>
      </c>
      <c r="AD416" s="2" t="str">
        <f t="shared" si="556"/>
        <v>_</v>
      </c>
      <c r="AE416" s="2" t="s">
        <v>73</v>
      </c>
      <c r="AF416" s="2" t="str">
        <f t="shared" si="557"/>
        <v>_</v>
      </c>
      <c r="AG416" s="28" t="s">
        <v>38</v>
      </c>
      <c r="AH416" s="2" t="str">
        <f t="shared" si="558"/>
        <v>_</v>
      </c>
      <c r="AI416" s="28" t="s">
        <v>71</v>
      </c>
    </row>
    <row r="417" spans="2:35" x14ac:dyDescent="0.25">
      <c r="B417" s="2" t="str">
        <f t="shared" si="554"/>
        <v>@line_offset-path_widest_mud_z16</v>
      </c>
      <c r="C417" s="28" t="s">
        <v>317</v>
      </c>
      <c r="D417" s="28" t="s">
        <v>85</v>
      </c>
      <c r="F417" s="28" t="s">
        <v>317</v>
      </c>
      <c r="G417" s="28" t="s">
        <v>85</v>
      </c>
      <c r="I417" s="28" t="s">
        <v>317</v>
      </c>
      <c r="J417" s="28" t="s">
        <v>85</v>
      </c>
      <c r="L417" s="28" t="s">
        <v>317</v>
      </c>
      <c r="M417" s="28" t="s">
        <v>85</v>
      </c>
      <c r="U417" s="28" t="s">
        <v>317</v>
      </c>
      <c r="V417" s="28" t="s">
        <v>89</v>
      </c>
      <c r="X417" s="28" t="s">
        <v>317</v>
      </c>
      <c r="Y417" s="28" t="s">
        <v>89</v>
      </c>
      <c r="AA417" s="2" t="s">
        <v>341</v>
      </c>
      <c r="AB417" s="2" t="str">
        <f t="shared" si="555"/>
        <v>-</v>
      </c>
      <c r="AC417" s="2" t="s">
        <v>67</v>
      </c>
      <c r="AD417" s="2" t="str">
        <f t="shared" si="556"/>
        <v>_</v>
      </c>
      <c r="AE417" s="2" t="s">
        <v>286</v>
      </c>
      <c r="AF417" s="2" t="str">
        <f t="shared" si="557"/>
        <v>_</v>
      </c>
      <c r="AG417" s="28" t="s">
        <v>38</v>
      </c>
      <c r="AH417" s="2" t="str">
        <f t="shared" si="558"/>
        <v>_</v>
      </c>
      <c r="AI417" s="28" t="s">
        <v>71</v>
      </c>
    </row>
    <row r="418" spans="2:35" x14ac:dyDescent="0.25">
      <c r="B418" s="2" t="str">
        <f t="shared" si="554"/>
        <v>@line_offset-path_narrow_mud_z18</v>
      </c>
      <c r="C418" s="28" t="s">
        <v>82</v>
      </c>
      <c r="D418" s="28" t="s">
        <v>318</v>
      </c>
      <c r="F418" s="28" t="s">
        <v>82</v>
      </c>
      <c r="G418" s="28" t="s">
        <v>318</v>
      </c>
      <c r="I418" s="28" t="s">
        <v>82</v>
      </c>
      <c r="J418" s="28" t="s">
        <v>318</v>
      </c>
      <c r="L418" s="28" t="s">
        <v>82</v>
      </c>
      <c r="M418" s="28" t="s">
        <v>318</v>
      </c>
      <c r="U418" s="28" t="s">
        <v>352</v>
      </c>
      <c r="V418" s="28" t="s">
        <v>423</v>
      </c>
      <c r="X418" s="28" t="s">
        <v>352</v>
      </c>
      <c r="Y418" s="28" t="s">
        <v>423</v>
      </c>
      <c r="AA418" s="2" t="s">
        <v>341</v>
      </c>
      <c r="AB418" s="2" t="str">
        <f t="shared" si="555"/>
        <v>-</v>
      </c>
      <c r="AC418" s="2" t="s">
        <v>67</v>
      </c>
      <c r="AD418" s="2" t="str">
        <f t="shared" si="556"/>
        <v>_</v>
      </c>
      <c r="AE418" s="2" t="s">
        <v>68</v>
      </c>
      <c r="AF418" s="2" t="str">
        <f t="shared" si="557"/>
        <v>_</v>
      </c>
      <c r="AG418" s="28" t="s">
        <v>38</v>
      </c>
      <c r="AH418" s="2" t="str">
        <f t="shared" si="558"/>
        <v>_</v>
      </c>
      <c r="AI418" s="28" t="s">
        <v>72</v>
      </c>
    </row>
    <row r="419" spans="2:35" x14ac:dyDescent="0.25">
      <c r="B419" s="2" t="str">
        <f t="shared" si="554"/>
        <v>@line_offset-path_medium_mud_z18</v>
      </c>
      <c r="C419" s="28" t="s">
        <v>352</v>
      </c>
      <c r="D419" s="28" t="s">
        <v>423</v>
      </c>
      <c r="F419" s="28" t="s">
        <v>352</v>
      </c>
      <c r="G419" s="28" t="s">
        <v>423</v>
      </c>
      <c r="I419" s="28" t="s">
        <v>352</v>
      </c>
      <c r="J419" s="28" t="s">
        <v>423</v>
      </c>
      <c r="L419" s="28" t="s">
        <v>352</v>
      </c>
      <c r="M419" s="28" t="s">
        <v>423</v>
      </c>
      <c r="U419" s="28" t="s">
        <v>352</v>
      </c>
      <c r="V419" s="28" t="s">
        <v>423</v>
      </c>
      <c r="X419" s="28" t="s">
        <v>352</v>
      </c>
      <c r="Y419" s="28" t="s">
        <v>423</v>
      </c>
      <c r="AA419" s="2" t="s">
        <v>341</v>
      </c>
      <c r="AB419" s="2" t="str">
        <f t="shared" si="555"/>
        <v>-</v>
      </c>
      <c r="AC419" s="2" t="s">
        <v>67</v>
      </c>
      <c r="AD419" s="2" t="str">
        <f t="shared" si="556"/>
        <v>_</v>
      </c>
      <c r="AE419" s="2" t="s">
        <v>75</v>
      </c>
      <c r="AF419" s="2" t="str">
        <f t="shared" si="557"/>
        <v>_</v>
      </c>
      <c r="AG419" s="28" t="s">
        <v>38</v>
      </c>
      <c r="AH419" s="2" t="str">
        <f t="shared" si="558"/>
        <v>_</v>
      </c>
      <c r="AI419" s="28" t="s">
        <v>72</v>
      </c>
    </row>
    <row r="420" spans="2:35" x14ac:dyDescent="0.25">
      <c r="B420" s="2" t="str">
        <f t="shared" si="554"/>
        <v>@line_offset-path_wide_mud_z18</v>
      </c>
      <c r="C420" s="28" t="s">
        <v>325</v>
      </c>
      <c r="D420" s="28" t="s">
        <v>424</v>
      </c>
      <c r="F420" s="28" t="s">
        <v>325</v>
      </c>
      <c r="G420" s="28" t="s">
        <v>424</v>
      </c>
      <c r="I420" s="28" t="s">
        <v>325</v>
      </c>
      <c r="J420" s="28" t="s">
        <v>424</v>
      </c>
      <c r="L420" s="28" t="s">
        <v>325</v>
      </c>
      <c r="M420" s="28" t="s">
        <v>424</v>
      </c>
      <c r="U420" s="28" t="s">
        <v>352</v>
      </c>
      <c r="V420" s="28" t="s">
        <v>423</v>
      </c>
      <c r="X420" s="28" t="s">
        <v>352</v>
      </c>
      <c r="Y420" s="28" t="s">
        <v>423</v>
      </c>
      <c r="AA420" s="2" t="s">
        <v>341</v>
      </c>
      <c r="AB420" s="2" t="str">
        <f t="shared" si="555"/>
        <v>-</v>
      </c>
      <c r="AC420" s="2" t="s">
        <v>67</v>
      </c>
      <c r="AD420" s="2" t="str">
        <f t="shared" si="556"/>
        <v>_</v>
      </c>
      <c r="AE420" s="2" t="s">
        <v>73</v>
      </c>
      <c r="AF420" s="2" t="str">
        <f t="shared" si="557"/>
        <v>_</v>
      </c>
      <c r="AG420" s="28" t="s">
        <v>38</v>
      </c>
      <c r="AH420" s="2" t="str">
        <f t="shared" si="558"/>
        <v>_</v>
      </c>
      <c r="AI420" s="28" t="s">
        <v>72</v>
      </c>
    </row>
    <row r="421" spans="2:35" x14ac:dyDescent="0.25">
      <c r="B421" s="2" t="str">
        <f t="shared" si="554"/>
        <v>@line_offset-path_widest_mud_z18</v>
      </c>
      <c r="C421" s="28" t="s">
        <v>352</v>
      </c>
      <c r="D421" s="28" t="s">
        <v>424</v>
      </c>
      <c r="F421" s="28" t="s">
        <v>352</v>
      </c>
      <c r="G421" s="28" t="s">
        <v>424</v>
      </c>
      <c r="I421" s="28" t="s">
        <v>352</v>
      </c>
      <c r="J421" s="28" t="s">
        <v>424</v>
      </c>
      <c r="L421" s="28" t="s">
        <v>352</v>
      </c>
      <c r="M421" s="28" t="s">
        <v>424</v>
      </c>
      <c r="U421" s="28" t="s">
        <v>352</v>
      </c>
      <c r="V421" s="28" t="s">
        <v>423</v>
      </c>
      <c r="X421" s="28" t="s">
        <v>352</v>
      </c>
      <c r="Y421" s="28" t="s">
        <v>423</v>
      </c>
      <c r="AA421" s="2" t="s">
        <v>341</v>
      </c>
      <c r="AB421" s="2" t="str">
        <f t="shared" si="555"/>
        <v>-</v>
      </c>
      <c r="AC421" s="2" t="s">
        <v>67</v>
      </c>
      <c r="AD421" s="2" t="str">
        <f t="shared" si="556"/>
        <v>_</v>
      </c>
      <c r="AE421" s="2" t="s">
        <v>286</v>
      </c>
      <c r="AF421" s="2" t="str">
        <f t="shared" si="557"/>
        <v>_</v>
      </c>
      <c r="AG421" s="28" t="s">
        <v>38</v>
      </c>
      <c r="AH421" s="2" t="str">
        <f t="shared" si="558"/>
        <v>_</v>
      </c>
      <c r="AI421" s="28" t="s">
        <v>72</v>
      </c>
    </row>
    <row r="422" spans="2:35" s="183" customFormat="1" x14ac:dyDescent="0.25">
      <c r="B422" s="182"/>
      <c r="AA422" s="182"/>
      <c r="AB422" s="182"/>
      <c r="AC422" s="182"/>
      <c r="AD422" s="182"/>
      <c r="AE422" s="182"/>
      <c r="AF422" s="182"/>
      <c r="AH422" s="182"/>
    </row>
    <row r="423" spans="2:35" s="183" customFormat="1" x14ac:dyDescent="0.25">
      <c r="B423" s="182"/>
      <c r="AA423" s="182"/>
      <c r="AB423" s="182"/>
      <c r="AC423" s="182"/>
      <c r="AD423" s="182"/>
      <c r="AE423" s="182"/>
    </row>
    <row r="424" spans="2:35" s="183" customFormat="1" x14ac:dyDescent="0.25">
      <c r="B424" s="182" t="str">
        <f t="shared" ref="B424:B426" si="559">_xlfn.CONCAT("@",AA424,AB424,AC424,AD424,AE424,AF424,AG424,AH424,AI424)</f>
        <v>@line_width-path_track_all_bicycle_no_or_discouraged_z14</v>
      </c>
      <c r="C424" s="183" t="s">
        <v>107</v>
      </c>
      <c r="D424" s="183" t="s">
        <v>122</v>
      </c>
      <c r="F424" s="183" t="s">
        <v>107</v>
      </c>
      <c r="G424" s="183" t="s">
        <v>122</v>
      </c>
      <c r="I424" s="183" t="s">
        <v>107</v>
      </c>
      <c r="J424" s="183" t="s">
        <v>122</v>
      </c>
      <c r="L424" s="183" t="s">
        <v>107</v>
      </c>
      <c r="M424" s="183" t="s">
        <v>122</v>
      </c>
      <c r="U424" s="183" t="s">
        <v>107</v>
      </c>
      <c r="V424" s="183" t="s">
        <v>122</v>
      </c>
      <c r="X424" s="183" t="s">
        <v>107</v>
      </c>
      <c r="Y424" s="183" t="s">
        <v>122</v>
      </c>
      <c r="AA424" s="182" t="s">
        <v>115</v>
      </c>
      <c r="AB424" s="182" t="str">
        <f t="shared" ref="AB424:AB426" si="560">IF(NOT(ISBLANK(AC424)),"-","")</f>
        <v>-</v>
      </c>
      <c r="AC424" s="182" t="s">
        <v>421</v>
      </c>
      <c r="AD424" s="182" t="str">
        <f t="shared" ref="AD424:AD426" si="561">IF(NOT(ISBLANK(AE424)),"_","")</f>
        <v>_</v>
      </c>
      <c r="AE424" s="182" t="s">
        <v>444</v>
      </c>
      <c r="AF424" s="182" t="str">
        <f t="shared" ref="AF424:AF426" si="562">IF(NOT(ISBLANK(AG424)),"_","")</f>
        <v>_</v>
      </c>
      <c r="AG424" s="183" t="s">
        <v>445</v>
      </c>
      <c r="AH424" s="182" t="str">
        <f t="shared" ref="AH424:AH426" si="563">IF(NOT(ISBLANK(AI424)),"_","")</f>
        <v>_</v>
      </c>
      <c r="AI424" s="183" t="s">
        <v>70</v>
      </c>
    </row>
    <row r="425" spans="2:35" s="183" customFormat="1" x14ac:dyDescent="0.25">
      <c r="B425" s="182" t="str">
        <f t="shared" si="559"/>
        <v>@line_width-path_track_all_bicycle_no_or_discouraged_z16</v>
      </c>
      <c r="C425" s="183" t="s">
        <v>336</v>
      </c>
      <c r="D425" s="183" t="s">
        <v>123</v>
      </c>
      <c r="F425" s="183" t="s">
        <v>336</v>
      </c>
      <c r="G425" s="183" t="s">
        <v>123</v>
      </c>
      <c r="I425" s="183" t="s">
        <v>336</v>
      </c>
      <c r="J425" s="183" t="s">
        <v>123</v>
      </c>
      <c r="L425" s="183" t="s">
        <v>336</v>
      </c>
      <c r="M425" s="183" t="s">
        <v>123</v>
      </c>
      <c r="U425" s="183" t="s">
        <v>336</v>
      </c>
      <c r="V425" s="183" t="s">
        <v>123</v>
      </c>
      <c r="X425" s="183" t="s">
        <v>336</v>
      </c>
      <c r="Y425" s="183" t="s">
        <v>123</v>
      </c>
      <c r="AA425" s="182" t="s">
        <v>115</v>
      </c>
      <c r="AB425" s="182" t="str">
        <f t="shared" si="560"/>
        <v>-</v>
      </c>
      <c r="AC425" s="182" t="s">
        <v>421</v>
      </c>
      <c r="AD425" s="182" t="str">
        <f t="shared" si="561"/>
        <v>_</v>
      </c>
      <c r="AE425" s="182" t="s">
        <v>444</v>
      </c>
      <c r="AF425" s="182" t="str">
        <f t="shared" si="562"/>
        <v>_</v>
      </c>
      <c r="AG425" s="183" t="s">
        <v>445</v>
      </c>
      <c r="AH425" s="182" t="str">
        <f t="shared" si="563"/>
        <v>_</v>
      </c>
      <c r="AI425" s="183" t="s">
        <v>71</v>
      </c>
    </row>
    <row r="426" spans="2:35" s="183" customFormat="1" x14ac:dyDescent="0.25">
      <c r="B426" s="182" t="str">
        <f t="shared" si="559"/>
        <v>@line_width-path_track_all_bicycle_no_or_discouraged_z18</v>
      </c>
      <c r="C426" s="183" t="s">
        <v>317</v>
      </c>
      <c r="D426" s="183" t="s">
        <v>322</v>
      </c>
      <c r="F426" s="183" t="s">
        <v>317</v>
      </c>
      <c r="G426" s="183" t="s">
        <v>322</v>
      </c>
      <c r="I426" s="183" t="s">
        <v>317</v>
      </c>
      <c r="J426" s="183" t="s">
        <v>322</v>
      </c>
      <c r="L426" s="183" t="s">
        <v>317</v>
      </c>
      <c r="M426" s="183" t="s">
        <v>322</v>
      </c>
      <c r="U426" s="183" t="s">
        <v>317</v>
      </c>
      <c r="V426" s="183" t="s">
        <v>322</v>
      </c>
      <c r="X426" s="183" t="s">
        <v>317</v>
      </c>
      <c r="Y426" s="183" t="s">
        <v>322</v>
      </c>
      <c r="AA426" s="182" t="s">
        <v>115</v>
      </c>
      <c r="AB426" s="182" t="str">
        <f t="shared" si="560"/>
        <v>-</v>
      </c>
      <c r="AC426" s="182" t="s">
        <v>421</v>
      </c>
      <c r="AD426" s="182" t="str">
        <f t="shared" si="561"/>
        <v>_</v>
      </c>
      <c r="AE426" s="182" t="s">
        <v>444</v>
      </c>
      <c r="AF426" s="182" t="str">
        <f t="shared" si="562"/>
        <v>_</v>
      </c>
      <c r="AG426" s="183" t="s">
        <v>445</v>
      </c>
      <c r="AH426" s="182" t="str">
        <f t="shared" si="563"/>
        <v>_</v>
      </c>
      <c r="AI426" s="183" t="s">
        <v>72</v>
      </c>
    </row>
    <row r="427" spans="2:35" s="183" customFormat="1" x14ac:dyDescent="0.25">
      <c r="B427" s="182"/>
      <c r="AA427" s="182"/>
      <c r="AB427" s="182"/>
      <c r="AC427" s="182"/>
      <c r="AD427" s="182"/>
      <c r="AE427" s="182"/>
      <c r="AF427" s="182"/>
      <c r="AH427" s="182"/>
    </row>
    <row r="428" spans="2:35" s="183" customFormat="1" x14ac:dyDescent="0.25">
      <c r="B428" s="182" t="str">
        <f t="shared" ref="B428:B439" si="564">_xlfn.CONCAT("@",AA428,AB428,AC428,AD428,AE428,AF428,AG428,AH428,AI428)</f>
        <v>@line_offset-path_narrow_bicycle_no_or_discouraged_z14</v>
      </c>
      <c r="C428" s="183" t="s">
        <v>427</v>
      </c>
      <c r="D428" s="183" t="s">
        <v>345</v>
      </c>
      <c r="F428" s="183" t="s">
        <v>427</v>
      </c>
      <c r="G428" s="183" t="s">
        <v>345</v>
      </c>
      <c r="I428" s="183" t="s">
        <v>427</v>
      </c>
      <c r="J428" s="183" t="s">
        <v>345</v>
      </c>
      <c r="L428" s="183" t="s">
        <v>427</v>
      </c>
      <c r="M428" s="183" t="s">
        <v>345</v>
      </c>
      <c r="U428" s="183" t="s">
        <v>345</v>
      </c>
      <c r="V428" s="183" t="s">
        <v>430</v>
      </c>
      <c r="X428" s="183" t="s">
        <v>345</v>
      </c>
      <c r="Y428" s="183" t="s">
        <v>430</v>
      </c>
      <c r="AA428" s="182" t="s">
        <v>341</v>
      </c>
      <c r="AB428" s="182" t="str">
        <f t="shared" ref="AB428:AB439" si="565">IF(NOT(ISBLANK(AC428)),"-","")</f>
        <v>-</v>
      </c>
      <c r="AC428" s="182" t="s">
        <v>67</v>
      </c>
      <c r="AD428" s="182" t="str">
        <f t="shared" ref="AD428:AD439" si="566">IF(NOT(ISBLANK(AE428)),"_","")</f>
        <v>_</v>
      </c>
      <c r="AE428" s="182" t="s">
        <v>68</v>
      </c>
      <c r="AF428" s="182" t="str">
        <f t="shared" ref="AF428:AF439" si="567">IF(NOT(ISBLANK(AG428)),"_","")</f>
        <v>_</v>
      </c>
      <c r="AG428" s="183" t="s">
        <v>445</v>
      </c>
      <c r="AH428" s="182" t="str">
        <f t="shared" ref="AH428:AH439" si="568">IF(NOT(ISBLANK(AI428)),"_","")</f>
        <v>_</v>
      </c>
      <c r="AI428" s="183" t="s">
        <v>70</v>
      </c>
    </row>
    <row r="429" spans="2:35" s="183" customFormat="1" x14ac:dyDescent="0.25">
      <c r="B429" s="182" t="str">
        <f t="shared" si="564"/>
        <v>@line_offset-path_medium_bicycle_no_or_discouraged_z14</v>
      </c>
      <c r="C429" s="183" t="s">
        <v>426</v>
      </c>
      <c r="D429" s="183" t="s">
        <v>346</v>
      </c>
      <c r="F429" s="183" t="s">
        <v>426</v>
      </c>
      <c r="G429" s="183" t="s">
        <v>346</v>
      </c>
      <c r="I429" s="183" t="s">
        <v>426</v>
      </c>
      <c r="J429" s="183" t="s">
        <v>346</v>
      </c>
      <c r="L429" s="183" t="s">
        <v>426</v>
      </c>
      <c r="M429" s="183" t="s">
        <v>346</v>
      </c>
      <c r="U429" s="183" t="s">
        <v>345</v>
      </c>
      <c r="V429" s="183" t="s">
        <v>430</v>
      </c>
      <c r="X429" s="183" t="s">
        <v>345</v>
      </c>
      <c r="Y429" s="183" t="s">
        <v>430</v>
      </c>
      <c r="AA429" s="182" t="s">
        <v>341</v>
      </c>
      <c r="AB429" s="182" t="str">
        <f t="shared" si="565"/>
        <v>-</v>
      </c>
      <c r="AC429" s="182" t="s">
        <v>67</v>
      </c>
      <c r="AD429" s="182" t="str">
        <f t="shared" si="566"/>
        <v>_</v>
      </c>
      <c r="AE429" s="182" t="s">
        <v>75</v>
      </c>
      <c r="AF429" s="182" t="str">
        <f t="shared" si="567"/>
        <v>_</v>
      </c>
      <c r="AG429" s="183" t="s">
        <v>445</v>
      </c>
      <c r="AH429" s="182" t="str">
        <f t="shared" si="568"/>
        <v>_</v>
      </c>
      <c r="AI429" s="183" t="s">
        <v>70</v>
      </c>
    </row>
    <row r="430" spans="2:35" s="183" customFormat="1" x14ac:dyDescent="0.25">
      <c r="B430" s="182" t="str">
        <f t="shared" si="564"/>
        <v>@line_offset-path_wide_bicycle_no_or_discouraged_z14</v>
      </c>
      <c r="C430" s="183" t="s">
        <v>345</v>
      </c>
      <c r="D430" s="183" t="s">
        <v>430</v>
      </c>
      <c r="F430" s="183" t="s">
        <v>345</v>
      </c>
      <c r="G430" s="183" t="s">
        <v>430</v>
      </c>
      <c r="I430" s="183" t="s">
        <v>345</v>
      </c>
      <c r="J430" s="183" t="s">
        <v>430</v>
      </c>
      <c r="L430" s="183" t="s">
        <v>345</v>
      </c>
      <c r="M430" s="183" t="s">
        <v>430</v>
      </c>
      <c r="U430" s="183" t="s">
        <v>345</v>
      </c>
      <c r="V430" s="183" t="s">
        <v>430</v>
      </c>
      <c r="X430" s="183" t="s">
        <v>345</v>
      </c>
      <c r="Y430" s="183" t="s">
        <v>430</v>
      </c>
      <c r="AA430" s="182" t="s">
        <v>341</v>
      </c>
      <c r="AB430" s="182" t="str">
        <f t="shared" si="565"/>
        <v>-</v>
      </c>
      <c r="AC430" s="182" t="s">
        <v>67</v>
      </c>
      <c r="AD430" s="182" t="str">
        <f t="shared" si="566"/>
        <v>_</v>
      </c>
      <c r="AE430" s="182" t="s">
        <v>73</v>
      </c>
      <c r="AF430" s="182" t="str">
        <f t="shared" si="567"/>
        <v>_</v>
      </c>
      <c r="AG430" s="183" t="s">
        <v>445</v>
      </c>
      <c r="AH430" s="182" t="str">
        <f t="shared" si="568"/>
        <v>_</v>
      </c>
      <c r="AI430" s="183" t="s">
        <v>70</v>
      </c>
    </row>
    <row r="431" spans="2:35" s="183" customFormat="1" x14ac:dyDescent="0.25">
      <c r="B431" s="182" t="str">
        <f t="shared" si="564"/>
        <v>@line_offset-path_widest_bicycle_no_or_discouraged_z14</v>
      </c>
      <c r="C431" s="183" t="s">
        <v>345</v>
      </c>
      <c r="D431" s="183" t="s">
        <v>430</v>
      </c>
      <c r="F431" s="183" t="s">
        <v>345</v>
      </c>
      <c r="G431" s="183" t="s">
        <v>430</v>
      </c>
      <c r="I431" s="183" t="s">
        <v>345</v>
      </c>
      <c r="J431" s="183" t="s">
        <v>430</v>
      </c>
      <c r="L431" s="183" t="s">
        <v>345</v>
      </c>
      <c r="M431" s="183" t="s">
        <v>430</v>
      </c>
      <c r="U431" s="183" t="s">
        <v>345</v>
      </c>
      <c r="V431" s="183" t="s">
        <v>430</v>
      </c>
      <c r="X431" s="183" t="s">
        <v>345</v>
      </c>
      <c r="Y431" s="183" t="s">
        <v>430</v>
      </c>
      <c r="AA431" s="182" t="s">
        <v>341</v>
      </c>
      <c r="AB431" s="182" t="str">
        <f t="shared" si="565"/>
        <v>-</v>
      </c>
      <c r="AC431" s="182" t="s">
        <v>67</v>
      </c>
      <c r="AD431" s="182" t="str">
        <f t="shared" si="566"/>
        <v>_</v>
      </c>
      <c r="AE431" s="182" t="s">
        <v>286</v>
      </c>
      <c r="AF431" s="182" t="str">
        <f t="shared" si="567"/>
        <v>_</v>
      </c>
      <c r="AG431" s="183" t="s">
        <v>445</v>
      </c>
      <c r="AH431" s="182" t="str">
        <f t="shared" si="568"/>
        <v>_</v>
      </c>
      <c r="AI431" s="183" t="s">
        <v>70</v>
      </c>
    </row>
    <row r="432" spans="2:35" s="183" customFormat="1" x14ac:dyDescent="0.25">
      <c r="B432" s="182" t="str">
        <f t="shared" si="564"/>
        <v>@line_offset-path_narrow_bicycle_no_or_discouraged_z16</v>
      </c>
      <c r="C432" s="183" t="s">
        <v>346</v>
      </c>
      <c r="D432" s="183" t="s">
        <v>431</v>
      </c>
      <c r="F432" s="183" t="s">
        <v>346</v>
      </c>
      <c r="G432" s="183" t="s">
        <v>431</v>
      </c>
      <c r="I432" s="183" t="s">
        <v>346</v>
      </c>
      <c r="J432" s="183" t="s">
        <v>431</v>
      </c>
      <c r="L432" s="183" t="s">
        <v>346</v>
      </c>
      <c r="M432" s="183" t="s">
        <v>431</v>
      </c>
      <c r="U432" s="183" t="s">
        <v>347</v>
      </c>
      <c r="V432" s="183" t="s">
        <v>433</v>
      </c>
      <c r="X432" s="183" t="s">
        <v>347</v>
      </c>
      <c r="Y432" s="183" t="s">
        <v>433</v>
      </c>
      <c r="AA432" s="182" t="s">
        <v>341</v>
      </c>
      <c r="AB432" s="182" t="str">
        <f t="shared" si="565"/>
        <v>-</v>
      </c>
      <c r="AC432" s="182" t="s">
        <v>67</v>
      </c>
      <c r="AD432" s="182" t="str">
        <f t="shared" si="566"/>
        <v>_</v>
      </c>
      <c r="AE432" s="182" t="s">
        <v>68</v>
      </c>
      <c r="AF432" s="182" t="str">
        <f t="shared" si="567"/>
        <v>_</v>
      </c>
      <c r="AG432" s="183" t="s">
        <v>445</v>
      </c>
      <c r="AH432" s="182" t="str">
        <f t="shared" si="568"/>
        <v>_</v>
      </c>
      <c r="AI432" s="183" t="s">
        <v>71</v>
      </c>
    </row>
    <row r="433" spans="2:35" s="183" customFormat="1" x14ac:dyDescent="0.25">
      <c r="B433" s="182" t="str">
        <f t="shared" si="564"/>
        <v>@line_offset-path_medium_bicycle_no_or_discouraged_z16</v>
      </c>
      <c r="C433" s="183" t="s">
        <v>428</v>
      </c>
      <c r="D433" s="183" t="s">
        <v>432</v>
      </c>
      <c r="F433" s="183" t="s">
        <v>428</v>
      </c>
      <c r="G433" s="183" t="s">
        <v>432</v>
      </c>
      <c r="I433" s="183" t="s">
        <v>428</v>
      </c>
      <c r="J433" s="183" t="s">
        <v>432</v>
      </c>
      <c r="L433" s="183" t="s">
        <v>428</v>
      </c>
      <c r="M433" s="183" t="s">
        <v>432</v>
      </c>
      <c r="U433" s="183" t="s">
        <v>347</v>
      </c>
      <c r="V433" s="183" t="s">
        <v>433</v>
      </c>
      <c r="X433" s="183" t="s">
        <v>347</v>
      </c>
      <c r="Y433" s="183" t="s">
        <v>433</v>
      </c>
      <c r="AA433" s="182" t="s">
        <v>341</v>
      </c>
      <c r="AB433" s="182" t="str">
        <f t="shared" si="565"/>
        <v>-</v>
      </c>
      <c r="AC433" s="182" t="s">
        <v>67</v>
      </c>
      <c r="AD433" s="182" t="str">
        <f t="shared" si="566"/>
        <v>_</v>
      </c>
      <c r="AE433" s="182" t="s">
        <v>75</v>
      </c>
      <c r="AF433" s="182" t="str">
        <f t="shared" si="567"/>
        <v>_</v>
      </c>
      <c r="AG433" s="183" t="s">
        <v>445</v>
      </c>
      <c r="AH433" s="182" t="str">
        <f t="shared" si="568"/>
        <v>_</v>
      </c>
      <c r="AI433" s="183" t="s">
        <v>71</v>
      </c>
    </row>
    <row r="434" spans="2:35" s="183" customFormat="1" x14ac:dyDescent="0.25">
      <c r="B434" s="182" t="str">
        <f t="shared" si="564"/>
        <v>@line_offset-path_wide_bicycle_no_or_discouraged_z16</v>
      </c>
      <c r="C434" s="183" t="s">
        <v>347</v>
      </c>
      <c r="D434" s="183" t="s">
        <v>433</v>
      </c>
      <c r="F434" s="183" t="s">
        <v>347</v>
      </c>
      <c r="G434" s="183" t="s">
        <v>433</v>
      </c>
      <c r="I434" s="183" t="s">
        <v>347</v>
      </c>
      <c r="J434" s="183" t="s">
        <v>433</v>
      </c>
      <c r="L434" s="183" t="s">
        <v>347</v>
      </c>
      <c r="M434" s="183" t="s">
        <v>433</v>
      </c>
      <c r="U434" s="183" t="s">
        <v>347</v>
      </c>
      <c r="V434" s="183" t="s">
        <v>433</v>
      </c>
      <c r="X434" s="183" t="s">
        <v>347</v>
      </c>
      <c r="Y434" s="183" t="s">
        <v>433</v>
      </c>
      <c r="AA434" s="182" t="s">
        <v>341</v>
      </c>
      <c r="AB434" s="182" t="str">
        <f t="shared" si="565"/>
        <v>-</v>
      </c>
      <c r="AC434" s="182" t="s">
        <v>67</v>
      </c>
      <c r="AD434" s="182" t="str">
        <f t="shared" si="566"/>
        <v>_</v>
      </c>
      <c r="AE434" s="182" t="s">
        <v>73</v>
      </c>
      <c r="AF434" s="182" t="str">
        <f t="shared" si="567"/>
        <v>_</v>
      </c>
      <c r="AG434" s="183" t="s">
        <v>445</v>
      </c>
      <c r="AH434" s="182" t="str">
        <f t="shared" si="568"/>
        <v>_</v>
      </c>
      <c r="AI434" s="183" t="s">
        <v>71</v>
      </c>
    </row>
    <row r="435" spans="2:35" s="183" customFormat="1" x14ac:dyDescent="0.25">
      <c r="B435" s="182" t="str">
        <f t="shared" si="564"/>
        <v>@line_offset-path_widest_bicycle_no_or_discouraged_z16</v>
      </c>
      <c r="C435" s="183" t="s">
        <v>347</v>
      </c>
      <c r="D435" s="183" t="s">
        <v>433</v>
      </c>
      <c r="F435" s="183" t="s">
        <v>347</v>
      </c>
      <c r="G435" s="183" t="s">
        <v>433</v>
      </c>
      <c r="I435" s="183" t="s">
        <v>347</v>
      </c>
      <c r="J435" s="183" t="s">
        <v>433</v>
      </c>
      <c r="L435" s="183" t="s">
        <v>347</v>
      </c>
      <c r="M435" s="183" t="s">
        <v>433</v>
      </c>
      <c r="U435" s="183" t="s">
        <v>347</v>
      </c>
      <c r="V435" s="183" t="s">
        <v>433</v>
      </c>
      <c r="X435" s="183" t="s">
        <v>347</v>
      </c>
      <c r="Y435" s="183" t="s">
        <v>433</v>
      </c>
      <c r="AA435" s="182" t="s">
        <v>341</v>
      </c>
      <c r="AB435" s="182" t="str">
        <f t="shared" si="565"/>
        <v>-</v>
      </c>
      <c r="AC435" s="182" t="s">
        <v>67</v>
      </c>
      <c r="AD435" s="182" t="str">
        <f t="shared" si="566"/>
        <v>_</v>
      </c>
      <c r="AE435" s="182" t="s">
        <v>286</v>
      </c>
      <c r="AF435" s="182" t="str">
        <f t="shared" si="567"/>
        <v>_</v>
      </c>
      <c r="AG435" s="183" t="s">
        <v>445</v>
      </c>
      <c r="AH435" s="182" t="str">
        <f t="shared" si="568"/>
        <v>_</v>
      </c>
      <c r="AI435" s="183" t="s">
        <v>71</v>
      </c>
    </row>
    <row r="436" spans="2:35" s="183" customFormat="1" x14ac:dyDescent="0.25">
      <c r="B436" s="182" t="str">
        <f t="shared" si="564"/>
        <v>@line_offset-path_narrow_bicycle_no_or_discouraged_z18</v>
      </c>
      <c r="C436" s="183" t="s">
        <v>428</v>
      </c>
      <c r="D436" s="183" t="s">
        <v>434</v>
      </c>
      <c r="F436" s="183" t="s">
        <v>428</v>
      </c>
      <c r="G436" s="183" t="s">
        <v>434</v>
      </c>
      <c r="I436" s="183" t="s">
        <v>428</v>
      </c>
      <c r="J436" s="183" t="s">
        <v>434</v>
      </c>
      <c r="L436" s="183" t="s">
        <v>428</v>
      </c>
      <c r="M436" s="183" t="s">
        <v>434</v>
      </c>
      <c r="U436" s="183" t="s">
        <v>348</v>
      </c>
      <c r="V436" s="183" t="s">
        <v>436</v>
      </c>
      <c r="X436" s="183" t="s">
        <v>348</v>
      </c>
      <c r="Y436" s="183" t="s">
        <v>436</v>
      </c>
      <c r="AA436" s="182" t="s">
        <v>341</v>
      </c>
      <c r="AB436" s="182" t="str">
        <f t="shared" si="565"/>
        <v>-</v>
      </c>
      <c r="AC436" s="182" t="s">
        <v>67</v>
      </c>
      <c r="AD436" s="182" t="str">
        <f t="shared" si="566"/>
        <v>_</v>
      </c>
      <c r="AE436" s="182" t="s">
        <v>68</v>
      </c>
      <c r="AF436" s="182" t="str">
        <f t="shared" si="567"/>
        <v>_</v>
      </c>
      <c r="AG436" s="183" t="s">
        <v>445</v>
      </c>
      <c r="AH436" s="182" t="str">
        <f t="shared" si="568"/>
        <v>_</v>
      </c>
      <c r="AI436" s="183" t="s">
        <v>72</v>
      </c>
    </row>
    <row r="437" spans="2:35" s="183" customFormat="1" x14ac:dyDescent="0.25">
      <c r="B437" s="182" t="str">
        <f t="shared" si="564"/>
        <v>@line_offset-path_medium_bicycle_no_or_discouraged_z18</v>
      </c>
      <c r="C437" s="183" t="s">
        <v>343</v>
      </c>
      <c r="D437" s="183" t="s">
        <v>435</v>
      </c>
      <c r="F437" s="183" t="s">
        <v>343</v>
      </c>
      <c r="G437" s="183" t="s">
        <v>435</v>
      </c>
      <c r="I437" s="183" t="s">
        <v>343</v>
      </c>
      <c r="J437" s="183" t="s">
        <v>435</v>
      </c>
      <c r="L437" s="183" t="s">
        <v>343</v>
      </c>
      <c r="M437" s="183" t="s">
        <v>435</v>
      </c>
      <c r="U437" s="183" t="s">
        <v>348</v>
      </c>
      <c r="V437" s="183" t="s">
        <v>436</v>
      </c>
      <c r="X437" s="183" t="s">
        <v>348</v>
      </c>
      <c r="Y437" s="183" t="s">
        <v>436</v>
      </c>
      <c r="AA437" s="182" t="s">
        <v>341</v>
      </c>
      <c r="AB437" s="182" t="str">
        <f t="shared" si="565"/>
        <v>-</v>
      </c>
      <c r="AC437" s="182" t="s">
        <v>67</v>
      </c>
      <c r="AD437" s="182" t="str">
        <f t="shared" si="566"/>
        <v>_</v>
      </c>
      <c r="AE437" s="182" t="s">
        <v>75</v>
      </c>
      <c r="AF437" s="182" t="str">
        <f t="shared" si="567"/>
        <v>_</v>
      </c>
      <c r="AG437" s="183" t="s">
        <v>445</v>
      </c>
      <c r="AH437" s="182" t="str">
        <f t="shared" si="568"/>
        <v>_</v>
      </c>
      <c r="AI437" s="183" t="s">
        <v>72</v>
      </c>
    </row>
    <row r="438" spans="2:35" s="183" customFormat="1" x14ac:dyDescent="0.25">
      <c r="B438" s="182" t="str">
        <f t="shared" si="564"/>
        <v>@line_offset-path_wide_bicycle_no_or_discouraged_z18</v>
      </c>
      <c r="C438" s="183" t="s">
        <v>348</v>
      </c>
      <c r="D438" s="183" t="s">
        <v>436</v>
      </c>
      <c r="F438" s="183" t="s">
        <v>348</v>
      </c>
      <c r="G438" s="183" t="s">
        <v>436</v>
      </c>
      <c r="I438" s="183" t="s">
        <v>348</v>
      </c>
      <c r="J438" s="183" t="s">
        <v>436</v>
      </c>
      <c r="L438" s="183" t="s">
        <v>348</v>
      </c>
      <c r="M438" s="183" t="s">
        <v>436</v>
      </c>
      <c r="U438" s="183" t="s">
        <v>348</v>
      </c>
      <c r="V438" s="183" t="s">
        <v>436</v>
      </c>
      <c r="X438" s="183" t="s">
        <v>348</v>
      </c>
      <c r="Y438" s="183" t="s">
        <v>436</v>
      </c>
      <c r="AA438" s="182" t="s">
        <v>341</v>
      </c>
      <c r="AB438" s="182" t="str">
        <f t="shared" si="565"/>
        <v>-</v>
      </c>
      <c r="AC438" s="182" t="s">
        <v>67</v>
      </c>
      <c r="AD438" s="182" t="str">
        <f t="shared" si="566"/>
        <v>_</v>
      </c>
      <c r="AE438" s="182" t="s">
        <v>73</v>
      </c>
      <c r="AF438" s="182" t="str">
        <f t="shared" si="567"/>
        <v>_</v>
      </c>
      <c r="AG438" s="183" t="s">
        <v>445</v>
      </c>
      <c r="AH438" s="182" t="str">
        <f t="shared" si="568"/>
        <v>_</v>
      </c>
      <c r="AI438" s="183" t="s">
        <v>72</v>
      </c>
    </row>
    <row r="439" spans="2:35" s="183" customFormat="1" x14ac:dyDescent="0.25">
      <c r="B439" s="182" t="str">
        <f t="shared" si="564"/>
        <v>@line_offset-path_widest_bicycle_no_or_discouraged_z18</v>
      </c>
      <c r="C439" s="183" t="s">
        <v>348</v>
      </c>
      <c r="D439" s="183" t="s">
        <v>436</v>
      </c>
      <c r="F439" s="183" t="s">
        <v>348</v>
      </c>
      <c r="G439" s="183" t="s">
        <v>436</v>
      </c>
      <c r="I439" s="183" t="s">
        <v>348</v>
      </c>
      <c r="J439" s="183" t="s">
        <v>436</v>
      </c>
      <c r="L439" s="183" t="s">
        <v>348</v>
      </c>
      <c r="M439" s="183" t="s">
        <v>436</v>
      </c>
      <c r="U439" s="183" t="s">
        <v>348</v>
      </c>
      <c r="V439" s="183" t="s">
        <v>436</v>
      </c>
      <c r="X439" s="183" t="s">
        <v>348</v>
      </c>
      <c r="Y439" s="183" t="s">
        <v>436</v>
      </c>
      <c r="AA439" s="182" t="s">
        <v>341</v>
      </c>
      <c r="AB439" s="182" t="str">
        <f t="shared" si="565"/>
        <v>-</v>
      </c>
      <c r="AC439" s="182" t="s">
        <v>67</v>
      </c>
      <c r="AD439" s="182" t="str">
        <f t="shared" si="566"/>
        <v>_</v>
      </c>
      <c r="AE439" s="182" t="s">
        <v>286</v>
      </c>
      <c r="AF439" s="182" t="str">
        <f t="shared" si="567"/>
        <v>_</v>
      </c>
      <c r="AG439" s="183" t="s">
        <v>445</v>
      </c>
      <c r="AH439" s="182" t="str">
        <f t="shared" si="568"/>
        <v>_</v>
      </c>
      <c r="AI439" s="183" t="s">
        <v>72</v>
      </c>
    </row>
    <row r="440" spans="2:35" s="183" customFormat="1" x14ac:dyDescent="0.25">
      <c r="B440" s="182"/>
      <c r="AA440" s="182"/>
      <c r="AB440" s="182"/>
      <c r="AC440" s="182"/>
      <c r="AD440" s="182"/>
      <c r="AE440" s="182"/>
      <c r="AF440" s="182"/>
      <c r="AH440" s="182"/>
    </row>
    <row r="441" spans="2:35" s="183" customFormat="1" x14ac:dyDescent="0.25">
      <c r="B441" s="182"/>
      <c r="AA441" s="182"/>
      <c r="AB441" s="182"/>
      <c r="AC441" s="182"/>
      <c r="AD441" s="182"/>
      <c r="AE441" s="182"/>
    </row>
    <row r="442" spans="2:35" s="183" customFormat="1" x14ac:dyDescent="0.25">
      <c r="B442" s="182" t="str">
        <f t="shared" ref="B442:B444" si="569">_xlfn.CONCAT("@",AA442,AB442,AC442,AD442,AE442,AF442,AG442,AH442,AI442)</f>
        <v>@line_width-path_track_all_any_no_or_discouraged_z14</v>
      </c>
      <c r="C442" s="183" t="s">
        <v>81</v>
      </c>
      <c r="D442" s="183" t="s">
        <v>84</v>
      </c>
      <c r="F442" s="183" t="s">
        <v>81</v>
      </c>
      <c r="G442" s="183" t="s">
        <v>84</v>
      </c>
      <c r="I442" s="183" t="s">
        <v>81</v>
      </c>
      <c r="J442" s="183" t="s">
        <v>84</v>
      </c>
      <c r="L442" s="183" t="s">
        <v>81</v>
      </c>
      <c r="M442" s="183" t="s">
        <v>84</v>
      </c>
      <c r="U442" s="183" t="s">
        <v>81</v>
      </c>
      <c r="V442" s="183" t="s">
        <v>84</v>
      </c>
      <c r="X442" s="183" t="s">
        <v>81</v>
      </c>
      <c r="Y442" s="183" t="s">
        <v>84</v>
      </c>
      <c r="AA442" s="182" t="s">
        <v>115</v>
      </c>
      <c r="AB442" s="182" t="str">
        <f t="shared" ref="AB442:AB444" si="570">IF(NOT(ISBLANK(AC442)),"-","")</f>
        <v>-</v>
      </c>
      <c r="AC442" s="182" t="s">
        <v>421</v>
      </c>
      <c r="AD442" s="182" t="str">
        <f t="shared" ref="AD442:AD444" si="571">IF(NOT(ISBLANK(AE442)),"_","")</f>
        <v>_</v>
      </c>
      <c r="AE442" s="182" t="s">
        <v>444</v>
      </c>
      <c r="AF442" s="182" t="str">
        <f t="shared" ref="AF442:AF444" si="572">IF(NOT(ISBLANK(AG442)),"_","")</f>
        <v>_</v>
      </c>
      <c r="AG442" s="183" t="s">
        <v>446</v>
      </c>
      <c r="AH442" s="182" t="str">
        <f t="shared" ref="AH442:AH444" si="573">IF(NOT(ISBLANK(AI442)),"_","")</f>
        <v>_</v>
      </c>
      <c r="AI442" s="183" t="s">
        <v>70</v>
      </c>
    </row>
    <row r="443" spans="2:35" s="183" customFormat="1" x14ac:dyDescent="0.25">
      <c r="B443" s="182" t="str">
        <f t="shared" si="569"/>
        <v>@line_width-path_track_all_any_no_or_discouraged_z16</v>
      </c>
      <c r="C443" s="183" t="s">
        <v>84</v>
      </c>
      <c r="D443" s="183" t="s">
        <v>82</v>
      </c>
      <c r="F443" s="183" t="s">
        <v>84</v>
      </c>
      <c r="G443" s="183" t="s">
        <v>82</v>
      </c>
      <c r="I443" s="183" t="s">
        <v>84</v>
      </c>
      <c r="J443" s="183" t="s">
        <v>82</v>
      </c>
      <c r="L443" s="183" t="s">
        <v>84</v>
      </c>
      <c r="M443" s="183" t="s">
        <v>82</v>
      </c>
      <c r="U443" s="183" t="s">
        <v>84</v>
      </c>
      <c r="V443" s="183" t="s">
        <v>82</v>
      </c>
      <c r="X443" s="183" t="s">
        <v>84</v>
      </c>
      <c r="Y443" s="183" t="s">
        <v>82</v>
      </c>
      <c r="AA443" s="182" t="s">
        <v>115</v>
      </c>
      <c r="AB443" s="182" t="str">
        <f t="shared" si="570"/>
        <v>-</v>
      </c>
      <c r="AC443" s="182" t="s">
        <v>421</v>
      </c>
      <c r="AD443" s="182" t="str">
        <f t="shared" si="571"/>
        <v>_</v>
      </c>
      <c r="AE443" s="182" t="s">
        <v>444</v>
      </c>
      <c r="AF443" s="182" t="str">
        <f t="shared" si="572"/>
        <v>_</v>
      </c>
      <c r="AG443" s="183" t="s">
        <v>446</v>
      </c>
      <c r="AH443" s="182" t="str">
        <f t="shared" si="573"/>
        <v>_</v>
      </c>
      <c r="AI443" s="183" t="s">
        <v>71</v>
      </c>
    </row>
    <row r="444" spans="2:35" s="183" customFormat="1" x14ac:dyDescent="0.25">
      <c r="B444" s="182" t="str">
        <f t="shared" si="569"/>
        <v>@line_width-path_track_all_any_no_or_discouraged_z18</v>
      </c>
      <c r="C444" s="183" t="s">
        <v>317</v>
      </c>
      <c r="D444" s="183" t="s">
        <v>83</v>
      </c>
      <c r="F444" s="183" t="s">
        <v>317</v>
      </c>
      <c r="G444" s="183" t="s">
        <v>83</v>
      </c>
      <c r="I444" s="183" t="s">
        <v>317</v>
      </c>
      <c r="J444" s="183" t="s">
        <v>83</v>
      </c>
      <c r="L444" s="183" t="s">
        <v>317</v>
      </c>
      <c r="M444" s="183" t="s">
        <v>83</v>
      </c>
      <c r="U444" s="183" t="s">
        <v>317</v>
      </c>
      <c r="V444" s="183" t="s">
        <v>83</v>
      </c>
      <c r="X444" s="183" t="s">
        <v>317</v>
      </c>
      <c r="Y444" s="183" t="s">
        <v>83</v>
      </c>
      <c r="AA444" s="182" t="s">
        <v>115</v>
      </c>
      <c r="AB444" s="182" t="str">
        <f t="shared" si="570"/>
        <v>-</v>
      </c>
      <c r="AC444" s="182" t="s">
        <v>421</v>
      </c>
      <c r="AD444" s="182" t="str">
        <f t="shared" si="571"/>
        <v>_</v>
      </c>
      <c r="AE444" s="182" t="s">
        <v>444</v>
      </c>
      <c r="AF444" s="182" t="str">
        <f t="shared" si="572"/>
        <v>_</v>
      </c>
      <c r="AG444" s="183" t="s">
        <v>446</v>
      </c>
      <c r="AH444" s="182" t="str">
        <f t="shared" si="573"/>
        <v>_</v>
      </c>
      <c r="AI444" s="183" t="s">
        <v>72</v>
      </c>
    </row>
    <row r="445" spans="2:35" s="183" customFormat="1" x14ac:dyDescent="0.25">
      <c r="B445" s="182"/>
      <c r="AA445" s="182"/>
      <c r="AB445" s="182"/>
      <c r="AC445" s="182"/>
      <c r="AD445" s="182"/>
      <c r="AE445" s="182"/>
      <c r="AF445" s="182"/>
      <c r="AH445" s="182"/>
    </row>
    <row r="446" spans="2:35" s="183" customFormat="1" x14ac:dyDescent="0.25">
      <c r="B446" s="182" t="str">
        <f t="shared" ref="B446:B457" si="574">_xlfn.CONCAT("@",AA446,AB446,AC446,AD446,AE446,AF446,AG446,AH446,AI446)</f>
        <v>@line_gap_width-path_narrow_any_no_or_discouraged_z14</v>
      </c>
      <c r="C446" s="183" t="s">
        <v>76</v>
      </c>
      <c r="D446" s="183" t="s">
        <v>80</v>
      </c>
      <c r="F446" s="183" t="s">
        <v>76</v>
      </c>
      <c r="G446" s="183" t="s">
        <v>80</v>
      </c>
      <c r="I446" s="183" t="s">
        <v>76</v>
      </c>
      <c r="J446" s="183" t="s">
        <v>80</v>
      </c>
      <c r="L446" s="183" t="s">
        <v>76</v>
      </c>
      <c r="M446" s="183" t="s">
        <v>80</v>
      </c>
      <c r="U446" s="183" t="s">
        <v>84</v>
      </c>
      <c r="V446" s="183" t="s">
        <v>128</v>
      </c>
      <c r="X446" s="183" t="s">
        <v>84</v>
      </c>
      <c r="Y446" s="183" t="s">
        <v>128</v>
      </c>
      <c r="AA446" s="182" t="s">
        <v>447</v>
      </c>
      <c r="AB446" s="182" t="str">
        <f t="shared" ref="AB446:AB457" si="575">IF(NOT(ISBLANK(AC446)),"-","")</f>
        <v>-</v>
      </c>
      <c r="AC446" s="182" t="s">
        <v>67</v>
      </c>
      <c r="AD446" s="182" t="str">
        <f t="shared" ref="AD446:AD457" si="576">IF(NOT(ISBLANK(AE446)),"_","")</f>
        <v>_</v>
      </c>
      <c r="AE446" s="182" t="s">
        <v>68</v>
      </c>
      <c r="AF446" s="182" t="str">
        <f t="shared" ref="AF446:AF457" si="577">IF(NOT(ISBLANK(AG446)),"_","")</f>
        <v>_</v>
      </c>
      <c r="AG446" s="183" t="s">
        <v>446</v>
      </c>
      <c r="AH446" s="182" t="str">
        <f t="shared" ref="AH446:AH457" si="578">IF(NOT(ISBLANK(AI446)),"_","")</f>
        <v>_</v>
      </c>
      <c r="AI446" s="183" t="s">
        <v>70</v>
      </c>
    </row>
    <row r="447" spans="2:35" s="183" customFormat="1" x14ac:dyDescent="0.25">
      <c r="B447" s="182" t="str">
        <f t="shared" si="574"/>
        <v>@line_gap_width-path_medium_any_no_or_discouraged_z14</v>
      </c>
      <c r="C447" s="183" t="s">
        <v>86</v>
      </c>
      <c r="D447" s="183" t="s">
        <v>382</v>
      </c>
      <c r="F447" s="183" t="s">
        <v>86</v>
      </c>
      <c r="G447" s="183" t="s">
        <v>382</v>
      </c>
      <c r="I447" s="183" t="s">
        <v>86</v>
      </c>
      <c r="J447" s="183" t="s">
        <v>382</v>
      </c>
      <c r="L447" s="183" t="s">
        <v>86</v>
      </c>
      <c r="M447" s="183" t="s">
        <v>382</v>
      </c>
      <c r="U447" s="183" t="s">
        <v>84</v>
      </c>
      <c r="V447" s="183" t="s">
        <v>128</v>
      </c>
      <c r="X447" s="183" t="s">
        <v>84</v>
      </c>
      <c r="Y447" s="183" t="s">
        <v>128</v>
      </c>
      <c r="AA447" s="182" t="s">
        <v>447</v>
      </c>
      <c r="AB447" s="182" t="str">
        <f t="shared" si="575"/>
        <v>-</v>
      </c>
      <c r="AC447" s="182" t="s">
        <v>67</v>
      </c>
      <c r="AD447" s="182" t="str">
        <f t="shared" si="576"/>
        <v>_</v>
      </c>
      <c r="AE447" s="182" t="s">
        <v>75</v>
      </c>
      <c r="AF447" s="182" t="str">
        <f t="shared" si="577"/>
        <v>_</v>
      </c>
      <c r="AG447" s="183" t="s">
        <v>446</v>
      </c>
      <c r="AH447" s="182" t="str">
        <f t="shared" si="578"/>
        <v>_</v>
      </c>
      <c r="AI447" s="183" t="s">
        <v>70</v>
      </c>
    </row>
    <row r="448" spans="2:35" s="183" customFormat="1" x14ac:dyDescent="0.25">
      <c r="B448" s="182" t="str">
        <f t="shared" si="574"/>
        <v>@line_gap_width-path_wide_any_no_or_discouraged_z14</v>
      </c>
      <c r="C448" s="183" t="s">
        <v>84</v>
      </c>
      <c r="D448" s="183" t="s">
        <v>128</v>
      </c>
      <c r="F448" s="183" t="s">
        <v>84</v>
      </c>
      <c r="G448" s="183" t="s">
        <v>128</v>
      </c>
      <c r="I448" s="183" t="s">
        <v>84</v>
      </c>
      <c r="J448" s="183" t="s">
        <v>128</v>
      </c>
      <c r="L448" s="183" t="s">
        <v>84</v>
      </c>
      <c r="M448" s="183" t="s">
        <v>128</v>
      </c>
      <c r="U448" s="183" t="s">
        <v>84</v>
      </c>
      <c r="V448" s="183" t="s">
        <v>128</v>
      </c>
      <c r="X448" s="183" t="s">
        <v>84</v>
      </c>
      <c r="Y448" s="183" t="s">
        <v>128</v>
      </c>
      <c r="AA448" s="182" t="s">
        <v>447</v>
      </c>
      <c r="AB448" s="182" t="str">
        <f t="shared" si="575"/>
        <v>-</v>
      </c>
      <c r="AC448" s="182" t="s">
        <v>67</v>
      </c>
      <c r="AD448" s="182" t="str">
        <f t="shared" si="576"/>
        <v>_</v>
      </c>
      <c r="AE448" s="182" t="s">
        <v>73</v>
      </c>
      <c r="AF448" s="182" t="str">
        <f t="shared" si="577"/>
        <v>_</v>
      </c>
      <c r="AG448" s="183" t="s">
        <v>446</v>
      </c>
      <c r="AH448" s="182" t="str">
        <f t="shared" si="578"/>
        <v>_</v>
      </c>
      <c r="AI448" s="183" t="s">
        <v>70</v>
      </c>
    </row>
    <row r="449" spans="1:39" s="183" customFormat="1" x14ac:dyDescent="0.25">
      <c r="B449" s="182" t="str">
        <f t="shared" si="574"/>
        <v>@line_gap_width-path_widest_any_no_or_discouraged_z14</v>
      </c>
      <c r="C449" s="183" t="s">
        <v>84</v>
      </c>
      <c r="D449" s="183" t="s">
        <v>128</v>
      </c>
      <c r="F449" s="183" t="s">
        <v>84</v>
      </c>
      <c r="G449" s="183" t="s">
        <v>128</v>
      </c>
      <c r="I449" s="183" t="s">
        <v>84</v>
      </c>
      <c r="J449" s="183" t="s">
        <v>128</v>
      </c>
      <c r="L449" s="183" t="s">
        <v>84</v>
      </c>
      <c r="M449" s="183" t="s">
        <v>128</v>
      </c>
      <c r="U449" s="183" t="s">
        <v>84</v>
      </c>
      <c r="V449" s="183" t="s">
        <v>128</v>
      </c>
      <c r="X449" s="183" t="s">
        <v>84</v>
      </c>
      <c r="Y449" s="183" t="s">
        <v>128</v>
      </c>
      <c r="AA449" s="182" t="s">
        <v>447</v>
      </c>
      <c r="AB449" s="182" t="str">
        <f t="shared" si="575"/>
        <v>-</v>
      </c>
      <c r="AC449" s="182" t="s">
        <v>67</v>
      </c>
      <c r="AD449" s="182" t="str">
        <f t="shared" si="576"/>
        <v>_</v>
      </c>
      <c r="AE449" s="182" t="s">
        <v>286</v>
      </c>
      <c r="AF449" s="182" t="str">
        <f t="shared" si="577"/>
        <v>_</v>
      </c>
      <c r="AG449" s="183" t="s">
        <v>446</v>
      </c>
      <c r="AH449" s="182" t="str">
        <f t="shared" si="578"/>
        <v>_</v>
      </c>
      <c r="AI449" s="183" t="s">
        <v>70</v>
      </c>
    </row>
    <row r="450" spans="1:39" s="183" customFormat="1" x14ac:dyDescent="0.25">
      <c r="B450" s="182" t="str">
        <f t="shared" si="574"/>
        <v>@line_gap_width-path_narrow_any_no_or_discouraged_z16</v>
      </c>
      <c r="C450" s="183" t="s">
        <v>88</v>
      </c>
      <c r="D450" s="183" t="s">
        <v>82</v>
      </c>
      <c r="F450" s="183" t="s">
        <v>88</v>
      </c>
      <c r="G450" s="183" t="s">
        <v>82</v>
      </c>
      <c r="I450" s="183" t="s">
        <v>88</v>
      </c>
      <c r="J450" s="183" t="s">
        <v>82</v>
      </c>
      <c r="L450" s="183" t="s">
        <v>88</v>
      </c>
      <c r="M450" s="183" t="s">
        <v>82</v>
      </c>
      <c r="U450" s="183" t="s">
        <v>327</v>
      </c>
      <c r="V450" s="183" t="s">
        <v>85</v>
      </c>
      <c r="X450" s="183" t="s">
        <v>327</v>
      </c>
      <c r="Y450" s="183" t="s">
        <v>85</v>
      </c>
      <c r="AA450" s="182" t="s">
        <v>447</v>
      </c>
      <c r="AB450" s="182" t="str">
        <f t="shared" si="575"/>
        <v>-</v>
      </c>
      <c r="AC450" s="182" t="s">
        <v>67</v>
      </c>
      <c r="AD450" s="182" t="str">
        <f t="shared" si="576"/>
        <v>_</v>
      </c>
      <c r="AE450" s="182" t="s">
        <v>68</v>
      </c>
      <c r="AF450" s="182" t="str">
        <f t="shared" si="577"/>
        <v>_</v>
      </c>
      <c r="AG450" s="183" t="s">
        <v>446</v>
      </c>
      <c r="AH450" s="182" t="str">
        <f t="shared" si="578"/>
        <v>_</v>
      </c>
      <c r="AI450" s="183" t="s">
        <v>71</v>
      </c>
    </row>
    <row r="451" spans="1:39" s="183" customFormat="1" x14ac:dyDescent="0.25">
      <c r="B451" s="182" t="str">
        <f t="shared" si="574"/>
        <v>@line_gap_width-path_medium_any_no_or_discouraged_z16</v>
      </c>
      <c r="C451" s="183" t="s">
        <v>130</v>
      </c>
      <c r="D451" s="183" t="s">
        <v>131</v>
      </c>
      <c r="F451" s="183" t="s">
        <v>130</v>
      </c>
      <c r="G451" s="183" t="s">
        <v>131</v>
      </c>
      <c r="I451" s="183" t="s">
        <v>130</v>
      </c>
      <c r="J451" s="183" t="s">
        <v>131</v>
      </c>
      <c r="L451" s="183" t="s">
        <v>130</v>
      </c>
      <c r="M451" s="183" t="s">
        <v>131</v>
      </c>
      <c r="U451" s="183" t="s">
        <v>327</v>
      </c>
      <c r="V451" s="183" t="s">
        <v>85</v>
      </c>
      <c r="X451" s="183" t="s">
        <v>327</v>
      </c>
      <c r="Y451" s="183" t="s">
        <v>85</v>
      </c>
      <c r="AA451" s="182" t="s">
        <v>447</v>
      </c>
      <c r="AB451" s="182" t="str">
        <f t="shared" si="575"/>
        <v>-</v>
      </c>
      <c r="AC451" s="182" t="s">
        <v>67</v>
      </c>
      <c r="AD451" s="182" t="str">
        <f t="shared" si="576"/>
        <v>_</v>
      </c>
      <c r="AE451" s="182" t="s">
        <v>75</v>
      </c>
      <c r="AF451" s="182" t="str">
        <f t="shared" si="577"/>
        <v>_</v>
      </c>
      <c r="AG451" s="183" t="s">
        <v>446</v>
      </c>
      <c r="AH451" s="182" t="str">
        <f t="shared" si="578"/>
        <v>_</v>
      </c>
      <c r="AI451" s="183" t="s">
        <v>71</v>
      </c>
    </row>
    <row r="452" spans="1:39" s="183" customFormat="1" x14ac:dyDescent="0.25">
      <c r="B452" s="182" t="str">
        <f t="shared" si="574"/>
        <v>@line_gap_width-path_wide_any_no_or_discouraged_z16</v>
      </c>
      <c r="C452" s="183" t="s">
        <v>327</v>
      </c>
      <c r="D452" s="183" t="s">
        <v>85</v>
      </c>
      <c r="F452" s="183" t="s">
        <v>327</v>
      </c>
      <c r="G452" s="183" t="s">
        <v>85</v>
      </c>
      <c r="I452" s="183" t="s">
        <v>327</v>
      </c>
      <c r="J452" s="183" t="s">
        <v>85</v>
      </c>
      <c r="L452" s="183" t="s">
        <v>327</v>
      </c>
      <c r="M452" s="183" t="s">
        <v>85</v>
      </c>
      <c r="U452" s="183" t="s">
        <v>327</v>
      </c>
      <c r="V452" s="183" t="s">
        <v>85</v>
      </c>
      <c r="X452" s="183" t="s">
        <v>327</v>
      </c>
      <c r="Y452" s="183" t="s">
        <v>85</v>
      </c>
      <c r="AA452" s="182" t="s">
        <v>447</v>
      </c>
      <c r="AB452" s="182" t="str">
        <f t="shared" si="575"/>
        <v>-</v>
      </c>
      <c r="AC452" s="182" t="s">
        <v>67</v>
      </c>
      <c r="AD452" s="182" t="str">
        <f t="shared" si="576"/>
        <v>_</v>
      </c>
      <c r="AE452" s="182" t="s">
        <v>73</v>
      </c>
      <c r="AF452" s="182" t="str">
        <f t="shared" si="577"/>
        <v>_</v>
      </c>
      <c r="AG452" s="183" t="s">
        <v>446</v>
      </c>
      <c r="AH452" s="182" t="str">
        <f t="shared" si="578"/>
        <v>_</v>
      </c>
      <c r="AI452" s="183" t="s">
        <v>71</v>
      </c>
    </row>
    <row r="453" spans="1:39" s="183" customFormat="1" x14ac:dyDescent="0.25">
      <c r="B453" s="182" t="str">
        <f t="shared" si="574"/>
        <v>@line_gap_width-path_widest_any_no_or_discouraged_z16</v>
      </c>
      <c r="C453" s="183" t="s">
        <v>327</v>
      </c>
      <c r="D453" s="183" t="s">
        <v>85</v>
      </c>
      <c r="F453" s="183" t="s">
        <v>327</v>
      </c>
      <c r="G453" s="183" t="s">
        <v>85</v>
      </c>
      <c r="I453" s="183" t="s">
        <v>327</v>
      </c>
      <c r="J453" s="183" t="s">
        <v>85</v>
      </c>
      <c r="L453" s="183" t="s">
        <v>327</v>
      </c>
      <c r="M453" s="183" t="s">
        <v>85</v>
      </c>
      <c r="U453" s="183" t="s">
        <v>327</v>
      </c>
      <c r="V453" s="183" t="s">
        <v>85</v>
      </c>
      <c r="X453" s="183" t="s">
        <v>327</v>
      </c>
      <c r="Y453" s="183" t="s">
        <v>85</v>
      </c>
      <c r="AA453" s="182" t="s">
        <v>447</v>
      </c>
      <c r="AB453" s="182" t="str">
        <f t="shared" si="575"/>
        <v>-</v>
      </c>
      <c r="AC453" s="182" t="s">
        <v>67</v>
      </c>
      <c r="AD453" s="182" t="str">
        <f t="shared" si="576"/>
        <v>_</v>
      </c>
      <c r="AE453" s="182" t="s">
        <v>286</v>
      </c>
      <c r="AF453" s="182" t="str">
        <f t="shared" si="577"/>
        <v>_</v>
      </c>
      <c r="AG453" s="183" t="s">
        <v>446</v>
      </c>
      <c r="AH453" s="182" t="str">
        <f t="shared" si="578"/>
        <v>_</v>
      </c>
      <c r="AI453" s="183" t="s">
        <v>71</v>
      </c>
    </row>
    <row r="454" spans="1:39" s="183" customFormat="1" x14ac:dyDescent="0.25">
      <c r="B454" s="182" t="str">
        <f t="shared" si="574"/>
        <v>@line_gap_width-path_narrow_any_no_or_discouraged_z18</v>
      </c>
      <c r="C454" s="183" t="s">
        <v>317</v>
      </c>
      <c r="D454" s="183" t="s">
        <v>322</v>
      </c>
      <c r="F454" s="183" t="s">
        <v>317</v>
      </c>
      <c r="G454" s="183" t="s">
        <v>322</v>
      </c>
      <c r="I454" s="183" t="s">
        <v>317</v>
      </c>
      <c r="J454" s="183" t="s">
        <v>322</v>
      </c>
      <c r="L454" s="183" t="s">
        <v>317</v>
      </c>
      <c r="M454" s="183" t="s">
        <v>322</v>
      </c>
      <c r="U454" s="183" t="s">
        <v>439</v>
      </c>
      <c r="V454" s="183" t="s">
        <v>443</v>
      </c>
      <c r="X454" s="183" t="s">
        <v>439</v>
      </c>
      <c r="Y454" s="183" t="s">
        <v>443</v>
      </c>
      <c r="AA454" s="182" t="s">
        <v>447</v>
      </c>
      <c r="AB454" s="182" t="str">
        <f t="shared" si="575"/>
        <v>-</v>
      </c>
      <c r="AC454" s="182" t="s">
        <v>67</v>
      </c>
      <c r="AD454" s="182" t="str">
        <f t="shared" si="576"/>
        <v>_</v>
      </c>
      <c r="AE454" s="182" t="s">
        <v>68</v>
      </c>
      <c r="AF454" s="182" t="str">
        <f t="shared" si="577"/>
        <v>_</v>
      </c>
      <c r="AG454" s="183" t="s">
        <v>446</v>
      </c>
      <c r="AH454" s="182" t="str">
        <f t="shared" si="578"/>
        <v>_</v>
      </c>
      <c r="AI454" s="183" t="s">
        <v>72</v>
      </c>
    </row>
    <row r="455" spans="1:39" s="183" customFormat="1" x14ac:dyDescent="0.25">
      <c r="B455" s="182" t="str">
        <f t="shared" si="574"/>
        <v>@line_gap_width-path_medium_any_no_or_discouraged_z18</v>
      </c>
      <c r="C455" s="183" t="s">
        <v>318</v>
      </c>
      <c r="D455" s="183" t="s">
        <v>334</v>
      </c>
      <c r="F455" s="183" t="s">
        <v>318</v>
      </c>
      <c r="G455" s="183" t="s">
        <v>334</v>
      </c>
      <c r="I455" s="183" t="s">
        <v>318</v>
      </c>
      <c r="J455" s="183" t="s">
        <v>334</v>
      </c>
      <c r="L455" s="183" t="s">
        <v>318</v>
      </c>
      <c r="M455" s="183" t="s">
        <v>334</v>
      </c>
      <c r="U455" s="183" t="s">
        <v>439</v>
      </c>
      <c r="V455" s="183" t="s">
        <v>443</v>
      </c>
      <c r="X455" s="183" t="s">
        <v>439</v>
      </c>
      <c r="Y455" s="183" t="s">
        <v>443</v>
      </c>
      <c r="AA455" s="182" t="s">
        <v>447</v>
      </c>
      <c r="AB455" s="182" t="str">
        <f t="shared" si="575"/>
        <v>-</v>
      </c>
      <c r="AC455" s="182" t="s">
        <v>67</v>
      </c>
      <c r="AD455" s="182" t="str">
        <f t="shared" si="576"/>
        <v>_</v>
      </c>
      <c r="AE455" s="182" t="s">
        <v>75</v>
      </c>
      <c r="AF455" s="182" t="str">
        <f t="shared" si="577"/>
        <v>_</v>
      </c>
      <c r="AG455" s="183" t="s">
        <v>446</v>
      </c>
      <c r="AH455" s="182" t="str">
        <f t="shared" si="578"/>
        <v>_</v>
      </c>
      <c r="AI455" s="183" t="s">
        <v>72</v>
      </c>
    </row>
    <row r="456" spans="1:39" s="183" customFormat="1" x14ac:dyDescent="0.25">
      <c r="B456" s="182" t="str">
        <f t="shared" si="574"/>
        <v>@line_gap_width-path_wide_any_no_or_discouraged_z18</v>
      </c>
      <c r="C456" s="183" t="s">
        <v>439</v>
      </c>
      <c r="D456" s="183" t="s">
        <v>443</v>
      </c>
      <c r="F456" s="183" t="s">
        <v>439</v>
      </c>
      <c r="G456" s="183" t="s">
        <v>443</v>
      </c>
      <c r="I456" s="183" t="s">
        <v>439</v>
      </c>
      <c r="J456" s="183" t="s">
        <v>443</v>
      </c>
      <c r="L456" s="183" t="s">
        <v>439</v>
      </c>
      <c r="M456" s="183" t="s">
        <v>443</v>
      </c>
      <c r="U456" s="183" t="s">
        <v>439</v>
      </c>
      <c r="V456" s="183" t="s">
        <v>443</v>
      </c>
      <c r="X456" s="183" t="s">
        <v>439</v>
      </c>
      <c r="Y456" s="183" t="s">
        <v>443</v>
      </c>
      <c r="AA456" s="182" t="s">
        <v>447</v>
      </c>
      <c r="AB456" s="182" t="str">
        <f t="shared" si="575"/>
        <v>-</v>
      </c>
      <c r="AC456" s="182" t="s">
        <v>67</v>
      </c>
      <c r="AD456" s="182" t="str">
        <f t="shared" si="576"/>
        <v>_</v>
      </c>
      <c r="AE456" s="182" t="s">
        <v>73</v>
      </c>
      <c r="AF456" s="182" t="str">
        <f t="shared" si="577"/>
        <v>_</v>
      </c>
      <c r="AG456" s="183" t="s">
        <v>446</v>
      </c>
      <c r="AH456" s="182" t="str">
        <f t="shared" si="578"/>
        <v>_</v>
      </c>
      <c r="AI456" s="183" t="s">
        <v>72</v>
      </c>
    </row>
    <row r="457" spans="1:39" s="183" customFormat="1" x14ac:dyDescent="0.25">
      <c r="B457" s="182" t="str">
        <f t="shared" si="574"/>
        <v>@line_gap_width-path_widest_any_no_or_discouraged_z18</v>
      </c>
      <c r="C457" s="183" t="s">
        <v>439</v>
      </c>
      <c r="D457" s="183" t="s">
        <v>443</v>
      </c>
      <c r="F457" s="183" t="s">
        <v>439</v>
      </c>
      <c r="G457" s="183" t="s">
        <v>443</v>
      </c>
      <c r="I457" s="183" t="s">
        <v>439</v>
      </c>
      <c r="J457" s="183" t="s">
        <v>443</v>
      </c>
      <c r="L457" s="183" t="s">
        <v>439</v>
      </c>
      <c r="M457" s="183" t="s">
        <v>443</v>
      </c>
      <c r="U457" s="183" t="s">
        <v>439</v>
      </c>
      <c r="V457" s="183" t="s">
        <v>443</v>
      </c>
      <c r="X457" s="183" t="s">
        <v>439</v>
      </c>
      <c r="Y457" s="183" t="s">
        <v>443</v>
      </c>
      <c r="AA457" s="182" t="s">
        <v>447</v>
      </c>
      <c r="AB457" s="182" t="str">
        <f t="shared" si="575"/>
        <v>-</v>
      </c>
      <c r="AC457" s="182" t="s">
        <v>67</v>
      </c>
      <c r="AD457" s="182" t="str">
        <f t="shared" si="576"/>
        <v>_</v>
      </c>
      <c r="AE457" s="182" t="s">
        <v>286</v>
      </c>
      <c r="AF457" s="182" t="str">
        <f t="shared" si="577"/>
        <v>_</v>
      </c>
      <c r="AG457" s="183" t="s">
        <v>446</v>
      </c>
      <c r="AH457" s="182" t="str">
        <f t="shared" si="578"/>
        <v>_</v>
      </c>
      <c r="AI457" s="183" t="s">
        <v>72</v>
      </c>
    </row>
    <row r="458" spans="1:39" x14ac:dyDescent="0.25">
      <c r="AA458" s="2"/>
      <c r="AB458" s="2"/>
      <c r="AC458" s="2"/>
      <c r="AD458" s="2"/>
      <c r="AE458" s="2"/>
    </row>
    <row r="459" spans="1:39" x14ac:dyDescent="0.25">
      <c r="B459" s="2" t="str">
        <f t="shared" ref="B459:B462" si="579">_xlfn.CONCAT("@",AA459,AB459,AC459,AD459,AE459,AF459,AG459,AH459,AI459)</f>
        <v>@color-obstacle_vegetation</v>
      </c>
      <c r="C459" s="50" t="s">
        <v>183</v>
      </c>
      <c r="D459" s="51" t="str">
        <f>C459</f>
        <v>"#4a9100"</v>
      </c>
      <c r="F459" s="50" t="s">
        <v>183</v>
      </c>
      <c r="G459" s="51" t="str">
        <f>F459</f>
        <v>"#4a9100"</v>
      </c>
      <c r="I459" s="50" t="s">
        <v>183</v>
      </c>
      <c r="J459" s="51" t="str">
        <f>I459</f>
        <v>"#4a9100"</v>
      </c>
      <c r="L459" s="50" t="s">
        <v>183</v>
      </c>
      <c r="M459" s="51" t="str">
        <f>L459</f>
        <v>"#4a9100"</v>
      </c>
      <c r="U459" s="50" t="s">
        <v>183</v>
      </c>
      <c r="V459" s="51" t="str">
        <f>U459</f>
        <v>"#4a9100"</v>
      </c>
      <c r="X459" s="50" t="s">
        <v>183</v>
      </c>
      <c r="Y459" s="51" t="str">
        <f>X459</f>
        <v>"#4a9100"</v>
      </c>
      <c r="AA459" s="2" t="s">
        <v>6</v>
      </c>
      <c r="AB459" s="2" t="str">
        <f>IF(NOT(ISBLANK(AC459)),"-","")</f>
        <v>-</v>
      </c>
      <c r="AC459" s="2" t="s">
        <v>35</v>
      </c>
      <c r="AD459" s="2" t="str">
        <f>IF(NOT(ISBLANK(AE459)),"_","")</f>
        <v>_</v>
      </c>
      <c r="AE459" s="2" t="s">
        <v>36</v>
      </c>
      <c r="AF459" s="2" t="str">
        <f>IF(NOT(ISBLANK(AG459)),"_","")</f>
        <v/>
      </c>
      <c r="AG459" s="2"/>
      <c r="AH459" s="2" t="str">
        <f>IF(NOT(ISBLANK(AI459)),"_","")</f>
        <v/>
      </c>
      <c r="AI459" s="2"/>
      <c r="AJ459" s="2"/>
      <c r="AK459" s="2"/>
      <c r="AL459" s="2"/>
      <c r="AM459" s="2"/>
    </row>
    <row r="460" spans="1:39" x14ac:dyDescent="0.25">
      <c r="B460" s="2" t="str">
        <f t="shared" si="579"/>
        <v>@color-surface_mud</v>
      </c>
      <c r="C460" s="52" t="s">
        <v>184</v>
      </c>
      <c r="D460" s="53" t="str">
        <f>C460</f>
        <v>"#0e84ed"</v>
      </c>
      <c r="F460" s="52" t="s">
        <v>184</v>
      </c>
      <c r="G460" s="53" t="str">
        <f>F460</f>
        <v>"#0e84ed"</v>
      </c>
      <c r="I460" s="52" t="s">
        <v>184</v>
      </c>
      <c r="J460" s="53" t="str">
        <f>I460</f>
        <v>"#0e84ed"</v>
      </c>
      <c r="L460" s="52" t="s">
        <v>184</v>
      </c>
      <c r="M460" s="53" t="str">
        <f>L460</f>
        <v>"#0e84ed"</v>
      </c>
      <c r="U460" s="52" t="s">
        <v>184</v>
      </c>
      <c r="V460" s="53" t="str">
        <f>U460</f>
        <v>"#0e84ed"</v>
      </c>
      <c r="X460" s="52" t="s">
        <v>184</v>
      </c>
      <c r="Y460" s="53" t="str">
        <f>X460</f>
        <v>"#0e84ed"</v>
      </c>
      <c r="AA460" s="2" t="s">
        <v>6</v>
      </c>
      <c r="AB460" s="2" t="str">
        <f>IF(NOT(ISBLANK(AC460)),"-","")</f>
        <v>-</v>
      </c>
      <c r="AC460" s="2" t="s">
        <v>37</v>
      </c>
      <c r="AD460" s="2" t="str">
        <f>IF(NOT(ISBLANK(AE460)),"_","")</f>
        <v>_</v>
      </c>
      <c r="AE460" s="2" t="s">
        <v>38</v>
      </c>
      <c r="AF460" s="2" t="str">
        <f>IF(NOT(ISBLANK(AG460)),"_","")</f>
        <v/>
      </c>
      <c r="AG460" s="2"/>
      <c r="AH460" s="2" t="str">
        <f>IF(NOT(ISBLANK(AI460)),"_","")</f>
        <v/>
      </c>
      <c r="AI460" s="2"/>
    </row>
    <row r="461" spans="1:39" x14ac:dyDescent="0.25">
      <c r="B461" s="2" t="str">
        <f t="shared" si="579"/>
        <v>@color-access_no</v>
      </c>
      <c r="C461" s="54" t="s">
        <v>185</v>
      </c>
      <c r="D461" s="55" t="str">
        <f>C461</f>
        <v>"#ff003d"</v>
      </c>
      <c r="F461" s="54" t="s">
        <v>185</v>
      </c>
      <c r="G461" s="55" t="str">
        <f>F461</f>
        <v>"#ff003d"</v>
      </c>
      <c r="I461" s="54" t="s">
        <v>185</v>
      </c>
      <c r="J461" s="55" t="str">
        <f>I461</f>
        <v>"#ff003d"</v>
      </c>
      <c r="L461" s="54" t="s">
        <v>185</v>
      </c>
      <c r="M461" s="55" t="str">
        <f>L461</f>
        <v>"#ff003d"</v>
      </c>
      <c r="U461" s="54" t="s">
        <v>185</v>
      </c>
      <c r="V461" s="55" t="str">
        <f>U461</f>
        <v>"#ff003d"</v>
      </c>
      <c r="X461" s="54" t="s">
        <v>185</v>
      </c>
      <c r="Y461" s="55" t="str">
        <f>X461</f>
        <v>"#ff003d"</v>
      </c>
      <c r="AA461" s="2" t="s">
        <v>6</v>
      </c>
      <c r="AB461" s="2" t="str">
        <f>IF(NOT(ISBLANK(AC461)),"-","")</f>
        <v>-</v>
      </c>
      <c r="AC461" s="2" t="s">
        <v>39</v>
      </c>
      <c r="AD461" s="2" t="str">
        <f>IF(NOT(ISBLANK(AE461)),"_","")</f>
        <v>_</v>
      </c>
      <c r="AE461" s="2" t="s">
        <v>40</v>
      </c>
      <c r="AF461" s="2" t="str">
        <f>IF(NOT(ISBLANK(AG461)),"_","")</f>
        <v/>
      </c>
      <c r="AG461" s="2"/>
      <c r="AH461" s="2" t="str">
        <f>IF(NOT(ISBLANK(AI461)),"_","")</f>
        <v/>
      </c>
      <c r="AI461" s="2"/>
    </row>
    <row r="462" spans="1:39" x14ac:dyDescent="0.25">
      <c r="B462" s="2" t="str">
        <f t="shared" si="579"/>
        <v>@color-access_discouraged</v>
      </c>
      <c r="C462" s="56" t="s">
        <v>186</v>
      </c>
      <c r="D462" s="57" t="str">
        <f>C462</f>
        <v>"#ff6a00"</v>
      </c>
      <c r="F462" s="56" t="s">
        <v>186</v>
      </c>
      <c r="G462" s="57" t="str">
        <f>F462</f>
        <v>"#ff6a00"</v>
      </c>
      <c r="I462" s="56" t="s">
        <v>186</v>
      </c>
      <c r="J462" s="57" t="str">
        <f>I462</f>
        <v>"#ff6a00"</v>
      </c>
      <c r="L462" s="56" t="s">
        <v>186</v>
      </c>
      <c r="M462" s="57" t="str">
        <f>L462</f>
        <v>"#ff6a00"</v>
      </c>
      <c r="U462" s="56" t="s">
        <v>186</v>
      </c>
      <c r="V462" s="57" t="str">
        <f>U462</f>
        <v>"#ff6a00"</v>
      </c>
      <c r="X462" s="56" t="s">
        <v>186</v>
      </c>
      <c r="Y462" s="57" t="str">
        <f>X462</f>
        <v>"#ff6a00"</v>
      </c>
      <c r="AA462" s="2" t="s">
        <v>6</v>
      </c>
      <c r="AB462" s="2" t="str">
        <f>IF(NOT(ISBLANK(AC462)),"-","")</f>
        <v>-</v>
      </c>
      <c r="AC462" s="2" t="s">
        <v>39</v>
      </c>
      <c r="AD462" s="2" t="str">
        <f>IF(NOT(ISBLANK(AE462)),"_","")</f>
        <v>_</v>
      </c>
      <c r="AE462" s="2" t="s">
        <v>41</v>
      </c>
      <c r="AF462" s="2" t="str">
        <f>IF(NOT(ISBLANK(AG462)),"_","")</f>
        <v/>
      </c>
      <c r="AG462" s="2"/>
      <c r="AH462" s="2" t="str">
        <f>IF(NOT(ISBLANK(AI462)),"_","")</f>
        <v/>
      </c>
      <c r="AI462" s="2"/>
    </row>
    <row r="463" spans="1:39" x14ac:dyDescent="0.25">
      <c r="B463" s="2"/>
      <c r="AA463" s="2"/>
      <c r="AB463" s="2"/>
      <c r="AC463" s="2"/>
      <c r="AD463" s="2"/>
      <c r="AE463" s="2"/>
    </row>
    <row r="464" spans="1:39" s="5" customFormat="1" x14ac:dyDescent="0.25">
      <c r="A464" s="184" t="s">
        <v>387</v>
      </c>
      <c r="B464" s="184"/>
      <c r="C464" s="184"/>
      <c r="D464" s="184"/>
      <c r="F464" s="184"/>
      <c r="G464" s="184"/>
      <c r="I464" s="184"/>
      <c r="J464" s="184"/>
      <c r="L464" s="184"/>
      <c r="M464" s="184"/>
      <c r="O464" s="184"/>
      <c r="P464" s="184"/>
      <c r="R464" s="184"/>
      <c r="S464" s="184"/>
      <c r="U464" s="184"/>
      <c r="V464" s="184"/>
      <c r="X464" s="184"/>
      <c r="Y464" s="184"/>
      <c r="AA464" s="184"/>
      <c r="AB464" s="184"/>
      <c r="AC464" s="184"/>
      <c r="AD464" s="184"/>
      <c r="AE464" s="184"/>
      <c r="AF464" s="184"/>
      <c r="AG464" s="184"/>
      <c r="AH464" s="184"/>
      <c r="AI464" s="184"/>
    </row>
    <row r="465" spans="1:35" x14ac:dyDescent="0.25">
      <c r="B465" s="2"/>
      <c r="AA465" s="2"/>
      <c r="AB465" s="2"/>
      <c r="AC465" s="2"/>
      <c r="AD465" s="2"/>
      <c r="AE465" s="2"/>
    </row>
    <row r="466" spans="1:35" x14ac:dyDescent="0.25">
      <c r="B466" s="2" t="str">
        <f t="shared" ref="B466" si="580">_xlfn.CONCAT("@",AA466,AB466,AC466,AD466,AE466,AF466,AG466,AH466,AI466)</f>
        <v>@color-piste_trail_ski_case</v>
      </c>
      <c r="C466" s="110" t="s">
        <v>287</v>
      </c>
      <c r="D466" s="110" t="s">
        <v>287</v>
      </c>
      <c r="F466" s="110" t="s">
        <v>287</v>
      </c>
      <c r="G466" s="110" t="s">
        <v>287</v>
      </c>
      <c r="I466" s="110" t="s">
        <v>287</v>
      </c>
      <c r="J466" s="110" t="s">
        <v>287</v>
      </c>
      <c r="L466" s="110" t="s">
        <v>287</v>
      </c>
      <c r="M466" s="110" t="s">
        <v>287</v>
      </c>
      <c r="U466" s="46" t="s">
        <v>218</v>
      </c>
      <c r="V466" s="46" t="s">
        <v>218</v>
      </c>
      <c r="X466" s="31" t="s">
        <v>272</v>
      </c>
      <c r="Y466" s="31" t="s">
        <v>272</v>
      </c>
      <c r="AA466" s="2" t="s">
        <v>6</v>
      </c>
      <c r="AB466" s="2" t="str">
        <f t="shared" ref="AB466" si="581">IF(NOT(ISBLANK(AC466)),"-","")</f>
        <v>-</v>
      </c>
      <c r="AC466" s="2" t="s">
        <v>388</v>
      </c>
      <c r="AD466" s="2" t="str">
        <f t="shared" ref="AD466" si="582">IF(NOT(ISBLANK(AE466)),"_","")</f>
        <v>_</v>
      </c>
      <c r="AE466" s="2" t="s">
        <v>389</v>
      </c>
      <c r="AF466" s="2" t="str">
        <f t="shared" ref="AF466" si="583">IF(NOT(ISBLANK(AG466)),"_","")</f>
        <v>_</v>
      </c>
      <c r="AG466" s="28" t="s">
        <v>17</v>
      </c>
      <c r="AH466" s="2" t="str">
        <f t="shared" ref="AH466" si="584">IF(NOT(ISBLANK(AI466)),"_","")</f>
        <v/>
      </c>
    </row>
    <row r="467" spans="1:35" x14ac:dyDescent="0.25">
      <c r="B467" s="2" t="str">
        <f t="shared" ref="B467" si="585">_xlfn.CONCAT("@",AA467,AB467,AC467,AD467,AE467,AF467,AG467,AH467,AI467)</f>
        <v>@color-piste_trail_ski_line_osm</v>
      </c>
      <c r="C467" s="110" t="s">
        <v>287</v>
      </c>
      <c r="D467" s="110" t="s">
        <v>287</v>
      </c>
      <c r="F467" s="110" t="s">
        <v>287</v>
      </c>
      <c r="G467" s="110" t="s">
        <v>287</v>
      </c>
      <c r="I467" s="110" t="s">
        <v>287</v>
      </c>
      <c r="J467" s="110" t="s">
        <v>287</v>
      </c>
      <c r="L467" s="110" t="s">
        <v>287</v>
      </c>
      <c r="M467" s="110" t="s">
        <v>287</v>
      </c>
      <c r="U467" s="126" t="s">
        <v>392</v>
      </c>
      <c r="V467" s="126" t="s">
        <v>392</v>
      </c>
      <c r="X467" s="126" t="s">
        <v>392</v>
      </c>
      <c r="Y467" s="126" t="s">
        <v>392</v>
      </c>
      <c r="AA467" s="2" t="s">
        <v>6</v>
      </c>
      <c r="AB467" s="2" t="str">
        <f t="shared" ref="AB467" si="586">IF(NOT(ISBLANK(AC467)),"-","")</f>
        <v>-</v>
      </c>
      <c r="AC467" s="2" t="s">
        <v>388</v>
      </c>
      <c r="AD467" s="2" t="str">
        <f t="shared" ref="AD467" si="587">IF(NOT(ISBLANK(AE467)),"_","")</f>
        <v>_</v>
      </c>
      <c r="AE467" s="2" t="s">
        <v>389</v>
      </c>
      <c r="AF467" s="2" t="str">
        <f t="shared" ref="AF467" si="588">IF(NOT(ISBLANK(AG467)),"_","")</f>
        <v>_</v>
      </c>
      <c r="AG467" s="28" t="s">
        <v>13</v>
      </c>
      <c r="AH467" s="2" t="str">
        <f t="shared" ref="AH467" si="589">IF(NOT(ISBLANK(AI467)),"_","")</f>
        <v>_</v>
      </c>
      <c r="AI467" s="28" t="s">
        <v>391</v>
      </c>
    </row>
    <row r="468" spans="1:35" x14ac:dyDescent="0.25">
      <c r="B468" s="2" t="str">
        <f t="shared" ref="B468" si="590">_xlfn.CONCAT("@",AA468,AB468,AC468,AD468,AE468,AF468,AG468,AH468,AI468)</f>
        <v>@color-piste_trail_ski_line_lipas</v>
      </c>
      <c r="C468" s="110" t="s">
        <v>287</v>
      </c>
      <c r="D468" s="110" t="s">
        <v>287</v>
      </c>
      <c r="F468" s="110" t="s">
        <v>287</v>
      </c>
      <c r="G468" s="110" t="s">
        <v>287</v>
      </c>
      <c r="I468" s="110" t="s">
        <v>287</v>
      </c>
      <c r="J468" s="110" t="s">
        <v>287</v>
      </c>
      <c r="L468" s="110" t="s">
        <v>287</v>
      </c>
      <c r="M468" s="110" t="s">
        <v>287</v>
      </c>
      <c r="U468" s="127" t="s">
        <v>394</v>
      </c>
      <c r="V468" s="127" t="s">
        <v>394</v>
      </c>
      <c r="X468" s="127" t="s">
        <v>394</v>
      </c>
      <c r="Y468" s="127" t="s">
        <v>394</v>
      </c>
      <c r="AA468" s="2" t="s">
        <v>6</v>
      </c>
      <c r="AB468" s="2" t="str">
        <f t="shared" ref="AB468" si="591">IF(NOT(ISBLANK(AC468)),"-","")</f>
        <v>-</v>
      </c>
      <c r="AC468" s="2" t="s">
        <v>388</v>
      </c>
      <c r="AD468" s="2" t="str">
        <f t="shared" ref="AD468" si="592">IF(NOT(ISBLANK(AE468)),"_","")</f>
        <v>_</v>
      </c>
      <c r="AE468" s="2" t="s">
        <v>389</v>
      </c>
      <c r="AF468" s="2" t="str">
        <f t="shared" ref="AF468" si="593">IF(NOT(ISBLANK(AG468)),"_","")</f>
        <v>_</v>
      </c>
      <c r="AG468" s="28" t="s">
        <v>13</v>
      </c>
      <c r="AH468" s="2" t="str">
        <f t="shared" ref="AH468" si="594">IF(NOT(ISBLANK(AI468)),"_","")</f>
        <v>_</v>
      </c>
      <c r="AI468" s="28" t="s">
        <v>393</v>
      </c>
    </row>
    <row r="469" spans="1:35" x14ac:dyDescent="0.25">
      <c r="B469" s="2" t="str">
        <f t="shared" ref="B469" si="595">_xlfn.CONCAT("@",AA469,AB469,AC469,AD469,AE469,AF469,AG469,AH469,AI469)</f>
        <v>@color-piste_trail_ski_center</v>
      </c>
      <c r="C469" s="110" t="s">
        <v>287</v>
      </c>
      <c r="D469" s="110" t="s">
        <v>287</v>
      </c>
      <c r="F469" s="110" t="s">
        <v>287</v>
      </c>
      <c r="G469" s="110" t="s">
        <v>287</v>
      </c>
      <c r="I469" s="110" t="s">
        <v>287</v>
      </c>
      <c r="J469" s="110" t="s">
        <v>287</v>
      </c>
      <c r="L469" s="110" t="s">
        <v>287</v>
      </c>
      <c r="M469" s="110" t="s">
        <v>287</v>
      </c>
      <c r="U469" s="46" t="s">
        <v>218</v>
      </c>
      <c r="V469" s="46" t="s">
        <v>218</v>
      </c>
      <c r="X469" s="31" t="s">
        <v>272</v>
      </c>
      <c r="Y469" s="31" t="s">
        <v>272</v>
      </c>
      <c r="AA469" s="2" t="s">
        <v>6</v>
      </c>
      <c r="AB469" s="2" t="str">
        <f t="shared" ref="AB469" si="596">IF(NOT(ISBLANK(AC469)),"-","")</f>
        <v>-</v>
      </c>
      <c r="AC469" s="2" t="s">
        <v>388</v>
      </c>
      <c r="AD469" s="2" t="str">
        <f t="shared" ref="AD469" si="597">IF(NOT(ISBLANK(AE469)),"_","")</f>
        <v>_</v>
      </c>
      <c r="AE469" s="2" t="s">
        <v>389</v>
      </c>
      <c r="AF469" s="2" t="str">
        <f t="shared" ref="AF469" si="598">IF(NOT(ISBLANK(AG469)),"_","")</f>
        <v>_</v>
      </c>
      <c r="AG469" s="28" t="s">
        <v>390</v>
      </c>
      <c r="AH469" s="2" t="str">
        <f t="shared" ref="AH469" si="599">IF(NOT(ISBLANK(AI469)),"_","")</f>
        <v/>
      </c>
    </row>
    <row r="470" spans="1:35" x14ac:dyDescent="0.25">
      <c r="B470" s="2"/>
      <c r="AA470" s="2"/>
      <c r="AB470" s="2"/>
      <c r="AC470" s="2"/>
      <c r="AD470" s="2"/>
      <c r="AE470" s="2"/>
    </row>
    <row r="471" spans="1:35" s="5" customFormat="1" x14ac:dyDescent="0.25">
      <c r="A471" s="184" t="s">
        <v>386</v>
      </c>
      <c r="B471" s="184"/>
      <c r="C471" s="184"/>
      <c r="D471" s="184"/>
      <c r="F471" s="184"/>
      <c r="G471" s="184"/>
      <c r="I471" s="184"/>
      <c r="J471" s="184"/>
      <c r="L471" s="184"/>
      <c r="M471" s="184"/>
      <c r="O471" s="184"/>
      <c r="P471" s="184"/>
      <c r="R471" s="184"/>
      <c r="S471" s="184"/>
      <c r="U471" s="184"/>
      <c r="V471" s="184"/>
      <c r="X471" s="184"/>
      <c r="Y471" s="184"/>
      <c r="AA471" s="184"/>
      <c r="AB471" s="184"/>
      <c r="AC471" s="184"/>
      <c r="AD471" s="184"/>
      <c r="AE471" s="184"/>
      <c r="AF471" s="184"/>
      <c r="AG471" s="184"/>
      <c r="AH471" s="184"/>
      <c r="AI471" s="184"/>
    </row>
    <row r="472" spans="1:35" x14ac:dyDescent="0.25">
      <c r="B472" s="2"/>
      <c r="AA472" s="2"/>
      <c r="AB472" s="2"/>
      <c r="AC472" s="2"/>
      <c r="AD472" s="2"/>
      <c r="AE472" s="2"/>
    </row>
    <row r="473" spans="1:35" s="2" customFormat="1" x14ac:dyDescent="0.25">
      <c r="A473" s="185"/>
      <c r="B473" s="3" t="s">
        <v>457</v>
      </c>
      <c r="C473" s="27"/>
      <c r="D473" s="6"/>
      <c r="E473" s="7"/>
      <c r="F473" s="6"/>
      <c r="G473" s="6"/>
      <c r="H473" s="7"/>
      <c r="I473" s="6"/>
      <c r="J473" s="6"/>
      <c r="K473" s="7"/>
      <c r="L473" s="6"/>
      <c r="M473" s="6"/>
      <c r="N473" s="7"/>
      <c r="O473" s="6"/>
      <c r="P473" s="6"/>
      <c r="Q473" s="7"/>
      <c r="R473" s="6"/>
      <c r="S473" s="6"/>
      <c r="T473" s="7"/>
      <c r="U473" s="6"/>
      <c r="V473" s="6"/>
      <c r="W473" s="7"/>
      <c r="X473" s="6"/>
      <c r="Y473" s="6"/>
      <c r="AA473" s="4"/>
      <c r="AB473" s="4" t="str">
        <f t="shared" ref="AB473:AB599" si="600">IF(NOT(ISBLANK(AC473)),"-","")</f>
        <v/>
      </c>
      <c r="AC473" s="4"/>
      <c r="AD473" s="4" t="str">
        <f t="shared" ref="AD473:AD599" si="601">IF(NOT(ISBLANK(AE473)),"_","")</f>
        <v/>
      </c>
      <c r="AE473" s="4"/>
      <c r="AF473" s="4" t="str">
        <f t="shared" ref="AF473:AF599" si="602">IF(NOT(ISBLANK(AG473)),"_","")</f>
        <v/>
      </c>
      <c r="AG473" s="4"/>
      <c r="AH473" s="4" t="str">
        <f t="shared" ref="AH473:AH526" si="603">IF(NOT(ISBLANK(AI473)),"_","")</f>
        <v/>
      </c>
      <c r="AI473" s="4"/>
    </row>
    <row r="474" spans="1:35" x14ac:dyDescent="0.25">
      <c r="B474" s="2"/>
      <c r="AA474" s="2"/>
      <c r="AB474" s="2"/>
      <c r="AC474" s="2"/>
      <c r="AD474" s="2"/>
      <c r="AE474" s="2"/>
    </row>
    <row r="475" spans="1:35" x14ac:dyDescent="0.25">
      <c r="B475" s="2" t="str">
        <f t="shared" ref="B475" si="604">_xlfn.CONCAT("@",AA475,AB475,AC475,AD475,AE475,AF475,AG475,AH475,AI475)</f>
        <v>@color-cycleway_case</v>
      </c>
      <c r="C475" s="38" t="s">
        <v>218</v>
      </c>
      <c r="D475" s="38" t="s">
        <v>218</v>
      </c>
      <c r="F475" s="37" t="s">
        <v>210</v>
      </c>
      <c r="G475" s="37" t="s">
        <v>210</v>
      </c>
      <c r="I475" s="38" t="s">
        <v>218</v>
      </c>
      <c r="J475" s="38" t="s">
        <v>218</v>
      </c>
      <c r="L475" s="37" t="s">
        <v>210</v>
      </c>
      <c r="M475" s="37" t="s">
        <v>210</v>
      </c>
      <c r="U475" s="38" t="s">
        <v>218</v>
      </c>
      <c r="V475" s="38" t="s">
        <v>218</v>
      </c>
      <c r="X475" s="37" t="s">
        <v>210</v>
      </c>
      <c r="Y475" s="37" t="s">
        <v>210</v>
      </c>
      <c r="AA475" s="2" t="s">
        <v>6</v>
      </c>
      <c r="AB475" s="2" t="str">
        <f t="shared" ref="AB475" si="605">IF(NOT(ISBLANK(AC475)),"-","")</f>
        <v>-</v>
      </c>
      <c r="AC475" s="2" t="s">
        <v>12</v>
      </c>
      <c r="AD475" s="2" t="str">
        <f t="shared" ref="AD475" si="606">IF(NOT(ISBLANK(AE475)),"_","")</f>
        <v>_</v>
      </c>
      <c r="AE475" s="2" t="s">
        <v>17</v>
      </c>
      <c r="AF475" s="2" t="str">
        <f t="shared" ref="AF475" si="607">IF(NOT(ISBLANK(AG475)),"_","")</f>
        <v/>
      </c>
      <c r="AH475" s="2" t="str">
        <f t="shared" si="603"/>
        <v/>
      </c>
    </row>
    <row r="476" spans="1:35" x14ac:dyDescent="0.25">
      <c r="B476" s="2" t="str">
        <f>_xlfn.CONCAT("@",AA476,AB476,AC476,AD476,AE476,AF476,AG476,AH476,AI476)</f>
        <v>@color-footway_case</v>
      </c>
      <c r="C476" s="38" t="s">
        <v>218</v>
      </c>
      <c r="D476" s="38" t="s">
        <v>218</v>
      </c>
      <c r="F476" s="37" t="s">
        <v>210</v>
      </c>
      <c r="G476" s="37" t="s">
        <v>210</v>
      </c>
      <c r="I476" s="38" t="s">
        <v>218</v>
      </c>
      <c r="J476" s="38" t="s">
        <v>218</v>
      </c>
      <c r="L476" s="37" t="s">
        <v>210</v>
      </c>
      <c r="M476" s="37" t="s">
        <v>210</v>
      </c>
      <c r="U476" s="38" t="s">
        <v>218</v>
      </c>
      <c r="V476" s="38" t="s">
        <v>218</v>
      </c>
      <c r="X476" s="37" t="s">
        <v>210</v>
      </c>
      <c r="Y476" s="37" t="s">
        <v>210</v>
      </c>
      <c r="AA476" s="2" t="s">
        <v>6</v>
      </c>
      <c r="AB476" s="2" t="str">
        <f t="shared" ref="AB476:AB479" si="608">IF(NOT(ISBLANK(AC476)),"-","")</f>
        <v>-</v>
      </c>
      <c r="AC476" s="2" t="s">
        <v>34</v>
      </c>
      <c r="AD476" s="2" t="str">
        <f t="shared" ref="AD476:AD479" si="609">IF(NOT(ISBLANK(AE476)),"_","")</f>
        <v>_</v>
      </c>
      <c r="AE476" s="2" t="s">
        <v>17</v>
      </c>
      <c r="AF476" s="2" t="str">
        <f t="shared" ref="AF476:AF479" si="610">IF(NOT(ISBLANK(AG476)),"_","")</f>
        <v/>
      </c>
      <c r="AG476" s="2"/>
      <c r="AH476" s="2" t="str">
        <f>IF(NOT(ISBLANK(AI476)),"_","")</f>
        <v/>
      </c>
      <c r="AI476" s="2"/>
    </row>
    <row r="477" spans="1:35" x14ac:dyDescent="0.25">
      <c r="B477" s="2"/>
      <c r="AA477" s="2"/>
      <c r="AB477" s="2"/>
      <c r="AC477" s="2"/>
      <c r="AD477" s="2"/>
      <c r="AE477" s="2"/>
    </row>
    <row r="478" spans="1:35" x14ac:dyDescent="0.25">
      <c r="B478" s="2" t="str">
        <f t="shared" ref="B478" si="611">_xlfn.CONCAT("@",AA478,AB478,AC478,AD478,AE478,AF478,AG478,AH478,AI478)</f>
        <v>@case_width-cycleway_default_z12</v>
      </c>
      <c r="C478" s="28" t="s">
        <v>108</v>
      </c>
      <c r="D478" s="28" t="s">
        <v>108</v>
      </c>
      <c r="F478" s="28" t="s">
        <v>108</v>
      </c>
      <c r="G478" s="28" t="s">
        <v>108</v>
      </c>
      <c r="I478" s="28" t="s">
        <v>108</v>
      </c>
      <c r="J478" s="28" t="s">
        <v>86</v>
      </c>
      <c r="L478" s="28" t="s">
        <v>108</v>
      </c>
      <c r="M478" s="28" t="s">
        <v>86</v>
      </c>
      <c r="U478" s="28" t="s">
        <v>108</v>
      </c>
      <c r="V478" s="28" t="s">
        <v>108</v>
      </c>
      <c r="X478" s="28" t="s">
        <v>108</v>
      </c>
      <c r="Y478" s="28" t="s">
        <v>108</v>
      </c>
      <c r="AA478" s="2" t="s">
        <v>74</v>
      </c>
      <c r="AB478" s="2" t="str">
        <f t="shared" ref="AB478" si="612">IF(NOT(ISBLANK(AC478)),"-","")</f>
        <v>-</v>
      </c>
      <c r="AC478" s="2" t="s">
        <v>12</v>
      </c>
      <c r="AD478" s="2" t="str">
        <f t="shared" ref="AD478" si="613">IF(NOT(ISBLANK(AE478)),"_","")</f>
        <v>_</v>
      </c>
      <c r="AE478" s="2" t="s">
        <v>255</v>
      </c>
      <c r="AF478" s="2" t="str">
        <f t="shared" ref="AF478" si="614">IF(NOT(ISBLANK(AG478)),"_","")</f>
        <v>_</v>
      </c>
      <c r="AG478" s="28" t="s">
        <v>105</v>
      </c>
      <c r="AH478" s="2" t="str">
        <f t="shared" ref="AH478" si="615">IF(NOT(ISBLANK(AI478)),"_","")</f>
        <v/>
      </c>
    </row>
    <row r="479" spans="1:35" x14ac:dyDescent="0.25">
      <c r="B479" s="2" t="str">
        <f t="shared" ref="B479" si="616">_xlfn.CONCAT("@",AA479,AB479,AC479,AD479,AE479,AF479,AG479,AH479,AI479)</f>
        <v>@case_width-cycleway_default_z14</v>
      </c>
      <c r="C479" s="28" t="s">
        <v>108</v>
      </c>
      <c r="D479" s="28" t="s">
        <v>108</v>
      </c>
      <c r="F479" s="28" t="s">
        <v>108</v>
      </c>
      <c r="G479" s="28" t="s">
        <v>108</v>
      </c>
      <c r="I479" s="28" t="s">
        <v>124</v>
      </c>
      <c r="J479" s="28" t="s">
        <v>303</v>
      </c>
      <c r="L479" s="28" t="s">
        <v>124</v>
      </c>
      <c r="M479" s="28" t="s">
        <v>303</v>
      </c>
      <c r="U479" s="28" t="s">
        <v>108</v>
      </c>
      <c r="V479" s="28" t="s">
        <v>108</v>
      </c>
      <c r="X479" s="28" t="s">
        <v>108</v>
      </c>
      <c r="Y479" s="28" t="s">
        <v>108</v>
      </c>
      <c r="AA479" s="2" t="s">
        <v>74</v>
      </c>
      <c r="AB479" s="2" t="str">
        <f t="shared" si="608"/>
        <v>-</v>
      </c>
      <c r="AC479" s="2" t="s">
        <v>12</v>
      </c>
      <c r="AD479" s="2" t="str">
        <f t="shared" si="609"/>
        <v>_</v>
      </c>
      <c r="AE479" s="2" t="s">
        <v>255</v>
      </c>
      <c r="AF479" s="2" t="str">
        <f t="shared" si="610"/>
        <v>_</v>
      </c>
      <c r="AG479" s="28" t="s">
        <v>70</v>
      </c>
      <c r="AH479" s="2" t="str">
        <f t="shared" ref="AH479" si="617">IF(NOT(ISBLANK(AI479)),"_","")</f>
        <v/>
      </c>
    </row>
    <row r="480" spans="1:35" x14ac:dyDescent="0.25">
      <c r="B480" s="2" t="str">
        <f t="shared" ref="B480" si="618">_xlfn.CONCAT("@",AA480,AB480,AC480,AD480,AE480,AF480,AG480,AH480,AI480)</f>
        <v>@case_width-cycleway_default_z15</v>
      </c>
      <c r="C480" s="28" t="s">
        <v>84</v>
      </c>
      <c r="D480" s="28" t="s">
        <v>88</v>
      </c>
      <c r="F480" s="28" t="s">
        <v>84</v>
      </c>
      <c r="G480" s="28" t="s">
        <v>88</v>
      </c>
      <c r="I480" s="28" t="s">
        <v>79</v>
      </c>
      <c r="J480" s="28" t="s">
        <v>82</v>
      </c>
      <c r="L480" s="28" t="s">
        <v>79</v>
      </c>
      <c r="M480" s="28" t="s">
        <v>82</v>
      </c>
      <c r="U480" s="28" t="s">
        <v>84</v>
      </c>
      <c r="V480" s="28" t="s">
        <v>88</v>
      </c>
      <c r="X480" s="28" t="s">
        <v>84</v>
      </c>
      <c r="Y480" s="28" t="s">
        <v>88</v>
      </c>
      <c r="AA480" s="2" t="s">
        <v>74</v>
      </c>
      <c r="AB480" s="2" t="str">
        <f t="shared" ref="AB480" si="619">IF(NOT(ISBLANK(AC480)),"-","")</f>
        <v>-</v>
      </c>
      <c r="AC480" s="2" t="s">
        <v>12</v>
      </c>
      <c r="AD480" s="2" t="str">
        <f t="shared" ref="AD480" si="620">IF(NOT(ISBLANK(AE480)),"_","")</f>
        <v>_</v>
      </c>
      <c r="AE480" s="2" t="s">
        <v>255</v>
      </c>
      <c r="AF480" s="2" t="str">
        <f t="shared" ref="AF480" si="621">IF(NOT(ISBLANK(AG480)),"_","")</f>
        <v>_</v>
      </c>
      <c r="AG480" s="28" t="s">
        <v>323</v>
      </c>
      <c r="AH480" s="2" t="str">
        <f t="shared" ref="AH480" si="622">IF(NOT(ISBLANK(AI480)),"_","")</f>
        <v/>
      </c>
    </row>
    <row r="481" spans="1:35" x14ac:dyDescent="0.25">
      <c r="B481" s="2" t="str">
        <f t="shared" ref="B481" si="623">_xlfn.CONCAT("@",AA481,AB481,AC481,AD481,AE481,AF481,AG481,AH481,AI481)</f>
        <v>@case_width-cycleway_default_z16</v>
      </c>
      <c r="C481" s="28" t="s">
        <v>82</v>
      </c>
      <c r="D481" s="28" t="s">
        <v>130</v>
      </c>
      <c r="F481" s="28" t="s">
        <v>82</v>
      </c>
      <c r="G481" s="28" t="s">
        <v>130</v>
      </c>
      <c r="I481" s="28" t="s">
        <v>317</v>
      </c>
      <c r="J481" s="28" t="s">
        <v>327</v>
      </c>
      <c r="L481" s="28" t="s">
        <v>317</v>
      </c>
      <c r="M481" s="28" t="s">
        <v>327</v>
      </c>
      <c r="U481" s="28" t="s">
        <v>82</v>
      </c>
      <c r="V481" s="28" t="s">
        <v>130</v>
      </c>
      <c r="X481" s="28" t="s">
        <v>82</v>
      </c>
      <c r="Y481" s="28" t="s">
        <v>130</v>
      </c>
      <c r="AA481" s="2" t="s">
        <v>74</v>
      </c>
      <c r="AB481" s="2" t="str">
        <f t="shared" ref="AB481" si="624">IF(NOT(ISBLANK(AC481)),"-","")</f>
        <v>-</v>
      </c>
      <c r="AC481" s="2" t="s">
        <v>12</v>
      </c>
      <c r="AD481" s="2" t="str">
        <f t="shared" ref="AD481" si="625">IF(NOT(ISBLANK(AE481)),"_","")</f>
        <v>_</v>
      </c>
      <c r="AE481" s="2" t="s">
        <v>255</v>
      </c>
      <c r="AF481" s="2" t="str">
        <f t="shared" ref="AF481" si="626">IF(NOT(ISBLANK(AG481)),"_","")</f>
        <v>_</v>
      </c>
      <c r="AG481" s="28" t="s">
        <v>71</v>
      </c>
      <c r="AH481" s="2" t="str">
        <f t="shared" ref="AH481" si="627">IF(NOT(ISBLANK(AI481)),"_","")</f>
        <v/>
      </c>
    </row>
    <row r="482" spans="1:35" x14ac:dyDescent="0.25">
      <c r="B482" s="2" t="str">
        <f t="shared" ref="B482" si="628">_xlfn.CONCAT("@",AA482,AB482,AC482,AD482,AE482,AF482,AG482,AH482,AI482)</f>
        <v>@case_width-cycleway_default_z18</v>
      </c>
      <c r="C482" s="28" t="s">
        <v>322</v>
      </c>
      <c r="D482" s="28" t="s">
        <v>324</v>
      </c>
      <c r="F482" s="28" t="s">
        <v>322</v>
      </c>
      <c r="G482" s="28" t="s">
        <v>324</v>
      </c>
      <c r="I482" s="28" t="s">
        <v>325</v>
      </c>
      <c r="J482" s="28" t="s">
        <v>141</v>
      </c>
      <c r="L482" s="28" t="s">
        <v>325</v>
      </c>
      <c r="M482" s="28" t="s">
        <v>141</v>
      </c>
      <c r="U482" s="28" t="s">
        <v>322</v>
      </c>
      <c r="V482" s="28" t="s">
        <v>324</v>
      </c>
      <c r="X482" s="28" t="s">
        <v>322</v>
      </c>
      <c r="Y482" s="28" t="s">
        <v>324</v>
      </c>
      <c r="AA482" s="2" t="s">
        <v>74</v>
      </c>
      <c r="AB482" s="2" t="str">
        <f t="shared" ref="AB482" si="629">IF(NOT(ISBLANK(AC482)),"-","")</f>
        <v>-</v>
      </c>
      <c r="AC482" s="2" t="s">
        <v>12</v>
      </c>
      <c r="AD482" s="2" t="str">
        <f t="shared" ref="AD482" si="630">IF(NOT(ISBLANK(AE482)),"_","")</f>
        <v>_</v>
      </c>
      <c r="AE482" s="2" t="s">
        <v>255</v>
      </c>
      <c r="AF482" s="2" t="str">
        <f t="shared" ref="AF482" si="631">IF(NOT(ISBLANK(AG482)),"_","")</f>
        <v>_</v>
      </c>
      <c r="AG482" s="28" t="s">
        <v>72</v>
      </c>
      <c r="AH482" s="2" t="str">
        <f t="shared" ref="AH482" si="632">IF(NOT(ISBLANK(AI482)),"_","")</f>
        <v/>
      </c>
    </row>
    <row r="483" spans="1:35" x14ac:dyDescent="0.25">
      <c r="B483" s="2"/>
      <c r="AA483" s="2"/>
      <c r="AB483" s="2"/>
      <c r="AC483" s="2"/>
      <c r="AD483" s="2"/>
      <c r="AE483" s="2"/>
    </row>
    <row r="484" spans="1:35" s="2" customFormat="1" x14ac:dyDescent="0.25">
      <c r="A484" s="185"/>
      <c r="B484" s="3" t="s">
        <v>458</v>
      </c>
      <c r="C484" s="27"/>
      <c r="D484" s="6"/>
      <c r="E484" s="7"/>
      <c r="F484" s="6"/>
      <c r="G484" s="6"/>
      <c r="H484" s="7"/>
      <c r="I484" s="6"/>
      <c r="J484" s="6"/>
      <c r="K484" s="7"/>
      <c r="L484" s="6"/>
      <c r="M484" s="6"/>
      <c r="N484" s="7"/>
      <c r="O484" s="6"/>
      <c r="P484" s="6"/>
      <c r="Q484" s="7"/>
      <c r="R484" s="6"/>
      <c r="S484" s="6"/>
      <c r="T484" s="7"/>
      <c r="U484" s="6"/>
      <c r="V484" s="6"/>
      <c r="W484" s="7"/>
      <c r="X484" s="6"/>
      <c r="Y484" s="6"/>
      <c r="AA484" s="4"/>
      <c r="AB484" s="4"/>
      <c r="AC484" s="4"/>
      <c r="AD484" s="4"/>
      <c r="AE484" s="4"/>
      <c r="AF484" s="4"/>
      <c r="AG484" s="4"/>
      <c r="AH484" s="4"/>
      <c r="AI484" s="4"/>
    </row>
    <row r="485" spans="1:35" x14ac:dyDescent="0.25">
      <c r="B485" s="2"/>
      <c r="AA485" s="2"/>
      <c r="AB485" s="2"/>
      <c r="AC485" s="2"/>
      <c r="AD485" s="2"/>
      <c r="AE485" s="2"/>
    </row>
    <row r="486" spans="1:35" x14ac:dyDescent="0.25">
      <c r="B486" s="2" t="str">
        <f>_xlfn.CONCAT("@",AA486,AB486,AC486,AD486,AE486,AF486,AG486,AH486,AI486)</f>
        <v>@color-cycleway_line</v>
      </c>
      <c r="C486" s="133" t="s">
        <v>181</v>
      </c>
      <c r="D486" s="133" t="str">
        <f>C486</f>
        <v>"#3046d7"</v>
      </c>
      <c r="F486" s="133" t="s">
        <v>181</v>
      </c>
      <c r="G486" s="133" t="str">
        <f>F486</f>
        <v>"#3046d7"</v>
      </c>
      <c r="I486" s="133" t="s">
        <v>181</v>
      </c>
      <c r="J486" s="133" t="str">
        <f>I486</f>
        <v>"#3046d7"</v>
      </c>
      <c r="L486" s="133" t="s">
        <v>181</v>
      </c>
      <c r="M486" s="133" t="str">
        <f>L486</f>
        <v>"#3046d7"</v>
      </c>
      <c r="U486" s="133" t="s">
        <v>181</v>
      </c>
      <c r="V486" s="133" t="str">
        <f>U486</f>
        <v>"#3046d7"</v>
      </c>
      <c r="X486" s="133" t="s">
        <v>181</v>
      </c>
      <c r="Y486" s="133" t="str">
        <f>X486</f>
        <v>"#3046d7"</v>
      </c>
      <c r="AA486" s="2" t="s">
        <v>6</v>
      </c>
      <c r="AB486" s="2" t="str">
        <f>IF(NOT(ISBLANK(AC486)),"-","")</f>
        <v>-</v>
      </c>
      <c r="AC486" s="2" t="s">
        <v>12</v>
      </c>
      <c r="AD486" s="2" t="str">
        <f>IF(NOT(ISBLANK(AE486)),"_","")</f>
        <v>_</v>
      </c>
      <c r="AE486" s="2" t="s">
        <v>13</v>
      </c>
      <c r="AF486" s="2" t="str">
        <f>IF(NOT(ISBLANK(AG486)),"_","")</f>
        <v/>
      </c>
      <c r="AH486" s="2" t="str">
        <f>IF(NOT(ISBLANK(AI486)),"_","")</f>
        <v/>
      </c>
    </row>
    <row r="487" spans="1:35" x14ac:dyDescent="0.25">
      <c r="B487" s="2" t="str">
        <f>_xlfn.CONCAT("@",AA487,AB487,AC487,AD487,AE487,AF487,AG487,AH487,AI487)</f>
        <v>@color-footway_line</v>
      </c>
      <c r="C487" s="48" t="s">
        <v>182</v>
      </c>
      <c r="D487" s="49" t="str">
        <f>C487</f>
        <v>"#a43820"</v>
      </c>
      <c r="F487" s="48" t="s">
        <v>182</v>
      </c>
      <c r="G487" s="49" t="str">
        <f>F487</f>
        <v>"#a43820"</v>
      </c>
      <c r="I487" s="48" t="s">
        <v>182</v>
      </c>
      <c r="J487" s="49" t="str">
        <f>I487</f>
        <v>"#a43820"</v>
      </c>
      <c r="L487" s="48" t="s">
        <v>182</v>
      </c>
      <c r="M487" s="49" t="str">
        <f>L487</f>
        <v>"#a43820"</v>
      </c>
      <c r="U487" s="48" t="s">
        <v>182</v>
      </c>
      <c r="V487" s="49" t="str">
        <f>U487</f>
        <v>"#a43820"</v>
      </c>
      <c r="X487" s="48" t="s">
        <v>182</v>
      </c>
      <c r="Y487" s="49" t="str">
        <f>X487</f>
        <v>"#a43820"</v>
      </c>
      <c r="AA487" s="2" t="s">
        <v>6</v>
      </c>
      <c r="AB487" s="2" t="str">
        <f>IF(NOT(ISBLANK(AC487)),"-","")</f>
        <v>-</v>
      </c>
      <c r="AC487" s="2" t="s">
        <v>34</v>
      </c>
      <c r="AD487" s="2" t="str">
        <f>IF(NOT(ISBLANK(AE487)),"_","")</f>
        <v>_</v>
      </c>
      <c r="AE487" s="2" t="s">
        <v>13</v>
      </c>
      <c r="AF487" s="2" t="str">
        <f>IF(NOT(ISBLANK(AG487)),"_","")</f>
        <v/>
      </c>
      <c r="AG487" s="2"/>
      <c r="AH487" s="2" t="str">
        <f>IF(NOT(ISBLANK(AI487)),"_","")</f>
        <v/>
      </c>
      <c r="AI487" s="2"/>
    </row>
    <row r="488" spans="1:35" x14ac:dyDescent="0.25">
      <c r="AA488" s="2"/>
      <c r="AB488" s="2" t="str">
        <f t="shared" si="600"/>
        <v/>
      </c>
      <c r="AC488" s="2"/>
      <c r="AD488" s="2" t="str">
        <f t="shared" si="601"/>
        <v/>
      </c>
      <c r="AE488" s="2"/>
      <c r="AF488" s="28" t="str">
        <f t="shared" si="602"/>
        <v/>
      </c>
      <c r="AH488" s="28" t="str">
        <f t="shared" si="603"/>
        <v/>
      </c>
    </row>
    <row r="489" spans="1:35" x14ac:dyDescent="0.25">
      <c r="B489" s="2" t="str">
        <f t="shared" ref="B489" si="633">_xlfn.CONCAT("@",AA489,AB489,AC489,AD489,AE489,AF489,AG489,AH489,AI489)</f>
        <v>@line_width-cycleway_paved_or_uk_z12</v>
      </c>
      <c r="C489" s="28" t="s">
        <v>80</v>
      </c>
      <c r="D489" s="28" t="s">
        <v>80</v>
      </c>
      <c r="F489" s="28" t="s">
        <v>80</v>
      </c>
      <c r="G489" s="28" t="s">
        <v>80</v>
      </c>
      <c r="I489" s="28" t="s">
        <v>119</v>
      </c>
      <c r="J489" s="28" t="s">
        <v>119</v>
      </c>
      <c r="L489" s="28" t="s">
        <v>119</v>
      </c>
      <c r="M489" s="28" t="s">
        <v>119</v>
      </c>
      <c r="U489" s="28" t="s">
        <v>80</v>
      </c>
      <c r="V489" s="28" t="s">
        <v>80</v>
      </c>
      <c r="X489" s="28" t="s">
        <v>80</v>
      </c>
      <c r="Y489" s="28" t="s">
        <v>80</v>
      </c>
      <c r="AA489" s="2" t="s">
        <v>115</v>
      </c>
      <c r="AB489" s="2" t="str">
        <f t="shared" ref="AB489" si="634">IF(NOT(ISBLANK(AC489)),"-","")</f>
        <v>-</v>
      </c>
      <c r="AC489" s="2" t="s">
        <v>12</v>
      </c>
      <c r="AD489" s="2" t="str">
        <f t="shared" ref="AD489" si="635">IF(NOT(ISBLANK(AE489)),"_","")</f>
        <v>_</v>
      </c>
      <c r="AE489" s="2" t="s">
        <v>24</v>
      </c>
      <c r="AF489" s="2" t="str">
        <f t="shared" ref="AF489" si="636">IF(NOT(ISBLANK(AG489)),"_","")</f>
        <v>_</v>
      </c>
      <c r="AG489" s="28" t="s">
        <v>105</v>
      </c>
      <c r="AH489" s="2" t="str">
        <f t="shared" ref="AH489" si="637">IF(NOT(ISBLANK(AI489)),"_","")</f>
        <v/>
      </c>
    </row>
    <row r="490" spans="1:35" x14ac:dyDescent="0.25">
      <c r="B490" s="2" t="str">
        <f t="shared" ref="B490" si="638">_xlfn.CONCAT("@",AA490,AB490,AC490,AD490,AE490,AF490,AG490,AH490,AI490)</f>
        <v>@line_width-cycleway_paved_or_uk_z14</v>
      </c>
      <c r="C490" s="28" t="s">
        <v>119</v>
      </c>
      <c r="D490" s="28" t="s">
        <v>86</v>
      </c>
      <c r="F490" s="28" t="s">
        <v>119</v>
      </c>
      <c r="G490" s="28" t="s">
        <v>86</v>
      </c>
      <c r="I490" s="28" t="s">
        <v>108</v>
      </c>
      <c r="J490" s="28" t="s">
        <v>336</v>
      </c>
      <c r="L490" s="28" t="s">
        <v>108</v>
      </c>
      <c r="M490" s="28" t="s">
        <v>336</v>
      </c>
      <c r="U490" s="28" t="s">
        <v>119</v>
      </c>
      <c r="V490" s="28" t="s">
        <v>86</v>
      </c>
      <c r="X490" s="28" t="s">
        <v>119</v>
      </c>
      <c r="Y490" s="28" t="s">
        <v>86</v>
      </c>
      <c r="AA490" s="2" t="s">
        <v>115</v>
      </c>
      <c r="AB490" s="2" t="str">
        <f t="shared" ref="AB490" si="639">IF(NOT(ISBLANK(AC490)),"-","")</f>
        <v>-</v>
      </c>
      <c r="AC490" s="2" t="s">
        <v>12</v>
      </c>
      <c r="AD490" s="2" t="str">
        <f t="shared" ref="AD490" si="640">IF(NOT(ISBLANK(AE490)),"_","")</f>
        <v>_</v>
      </c>
      <c r="AE490" s="2" t="s">
        <v>24</v>
      </c>
      <c r="AF490" s="2" t="str">
        <f t="shared" ref="AF490" si="641">IF(NOT(ISBLANK(AG490)),"_","")</f>
        <v>_</v>
      </c>
      <c r="AG490" s="28" t="s">
        <v>70</v>
      </c>
      <c r="AH490" s="2" t="str">
        <f t="shared" ref="AH490" si="642">IF(NOT(ISBLANK(AI490)),"_","")</f>
        <v/>
      </c>
    </row>
    <row r="491" spans="1:35" x14ac:dyDescent="0.25">
      <c r="B491" s="2" t="str">
        <f t="shared" ref="B491" si="643">_xlfn.CONCAT("@",AA491,AB491,AC491,AD491,AE491,AF491,AG491,AH491,AI491)</f>
        <v>@line_width-cycleway_paved_or_uk_z16</v>
      </c>
      <c r="C491" s="28" t="s">
        <v>84</v>
      </c>
      <c r="D491" s="28" t="s">
        <v>88</v>
      </c>
      <c r="F491" s="28" t="s">
        <v>84</v>
      </c>
      <c r="G491" s="28" t="s">
        <v>88</v>
      </c>
      <c r="I491" s="28" t="s">
        <v>78</v>
      </c>
      <c r="J491" s="28" t="s">
        <v>79</v>
      </c>
      <c r="L491" s="28" t="s">
        <v>78</v>
      </c>
      <c r="M491" s="28" t="s">
        <v>79</v>
      </c>
      <c r="U491" s="28" t="s">
        <v>84</v>
      </c>
      <c r="V491" s="28" t="s">
        <v>88</v>
      </c>
      <c r="X491" s="28" t="s">
        <v>84</v>
      </c>
      <c r="Y491" s="28" t="s">
        <v>88</v>
      </c>
      <c r="AA491" s="2" t="s">
        <v>115</v>
      </c>
      <c r="AB491" s="2" t="str">
        <f t="shared" ref="AB491" si="644">IF(NOT(ISBLANK(AC491)),"-","")</f>
        <v>-</v>
      </c>
      <c r="AC491" s="2" t="s">
        <v>12</v>
      </c>
      <c r="AD491" s="2" t="str">
        <f t="shared" ref="AD491" si="645">IF(NOT(ISBLANK(AE491)),"_","")</f>
        <v>_</v>
      </c>
      <c r="AE491" s="2" t="s">
        <v>24</v>
      </c>
      <c r="AF491" s="2" t="str">
        <f t="shared" ref="AF491" si="646">IF(NOT(ISBLANK(AG491)),"_","")</f>
        <v>_</v>
      </c>
      <c r="AG491" s="28" t="s">
        <v>71</v>
      </c>
      <c r="AH491" s="2" t="str">
        <f t="shared" ref="AH491" si="647">IF(NOT(ISBLANK(AI491)),"_","")</f>
        <v/>
      </c>
    </row>
    <row r="492" spans="1:35" x14ac:dyDescent="0.25">
      <c r="B492" s="2" t="str">
        <f t="shared" ref="B492" si="648">_xlfn.CONCAT("@",AA492,AB492,AC492,AD492,AE492,AF492,AG492,AH492,AI492)</f>
        <v>@line_width-cycleway_paved_or_uk_z18</v>
      </c>
      <c r="C492" s="28" t="s">
        <v>82</v>
      </c>
      <c r="D492" s="28" t="s">
        <v>327</v>
      </c>
      <c r="F492" s="28" t="s">
        <v>82</v>
      </c>
      <c r="G492" s="28" t="s">
        <v>327</v>
      </c>
      <c r="I492" s="28" t="s">
        <v>130</v>
      </c>
      <c r="J492" s="28" t="s">
        <v>322</v>
      </c>
      <c r="L492" s="28" t="s">
        <v>130</v>
      </c>
      <c r="M492" s="28" t="s">
        <v>322</v>
      </c>
      <c r="U492" s="28" t="s">
        <v>82</v>
      </c>
      <c r="V492" s="28" t="s">
        <v>327</v>
      </c>
      <c r="X492" s="28" t="s">
        <v>82</v>
      </c>
      <c r="Y492" s="28" t="s">
        <v>327</v>
      </c>
      <c r="AA492" s="2" t="s">
        <v>115</v>
      </c>
      <c r="AB492" s="2" t="str">
        <f t="shared" ref="AB492" si="649">IF(NOT(ISBLANK(AC492)),"-","")</f>
        <v>-</v>
      </c>
      <c r="AC492" s="2" t="s">
        <v>12</v>
      </c>
      <c r="AD492" s="2" t="str">
        <f t="shared" ref="AD492" si="650">IF(NOT(ISBLANK(AE492)),"_","")</f>
        <v>_</v>
      </c>
      <c r="AE492" s="2" t="s">
        <v>24</v>
      </c>
      <c r="AF492" s="2" t="str">
        <f t="shared" ref="AF492" si="651">IF(NOT(ISBLANK(AG492)),"_","")</f>
        <v>_</v>
      </c>
      <c r="AG492" s="28" t="s">
        <v>72</v>
      </c>
      <c r="AH492" s="2" t="str">
        <f t="shared" ref="AH492" si="652">IF(NOT(ISBLANK(AI492)),"_","")</f>
        <v/>
      </c>
    </row>
    <row r="493" spans="1:35" x14ac:dyDescent="0.25">
      <c r="AA493" s="2"/>
      <c r="AB493" s="2"/>
      <c r="AC493" s="2"/>
      <c r="AD493" s="2"/>
      <c r="AE493" s="2"/>
    </row>
    <row r="494" spans="1:35" x14ac:dyDescent="0.25">
      <c r="B494" s="2" t="str">
        <f t="shared" ref="B494:B497" si="653">_xlfn.CONCAT("@",AA494,AB494,AC494,AD494,AE494,AF494,AG494,AH494,AI494)</f>
        <v>@line_width-cycleway_unpaved_z12</v>
      </c>
      <c r="C494" s="28" t="s">
        <v>108</v>
      </c>
      <c r="D494" s="28" t="s">
        <v>108</v>
      </c>
      <c r="F494" s="28" t="s">
        <v>108</v>
      </c>
      <c r="G494" s="28" t="s">
        <v>108</v>
      </c>
      <c r="I494" s="28" t="s">
        <v>122</v>
      </c>
      <c r="J494" s="28" t="s">
        <v>122</v>
      </c>
      <c r="L494" s="28" t="s">
        <v>122</v>
      </c>
      <c r="M494" s="28" t="s">
        <v>122</v>
      </c>
      <c r="U494" s="28" t="s">
        <v>80</v>
      </c>
      <c r="V494" s="28" t="s">
        <v>80</v>
      </c>
      <c r="X494" s="28" t="s">
        <v>80</v>
      </c>
      <c r="Y494" s="28" t="s">
        <v>80</v>
      </c>
      <c r="AA494" s="2" t="s">
        <v>115</v>
      </c>
      <c r="AB494" s="2" t="str">
        <f t="shared" ref="AB494:AB497" si="654">IF(NOT(ISBLANK(AC494)),"-","")</f>
        <v>-</v>
      </c>
      <c r="AC494" s="2" t="s">
        <v>12</v>
      </c>
      <c r="AD494" s="2" t="str">
        <f t="shared" ref="AD494:AD497" si="655">IF(NOT(ISBLANK(AE494)),"_","")</f>
        <v>_</v>
      </c>
      <c r="AE494" s="2" t="s">
        <v>21</v>
      </c>
      <c r="AF494" s="2" t="str">
        <f t="shared" ref="AF494:AF497" si="656">IF(NOT(ISBLANK(AG494)),"_","")</f>
        <v>_</v>
      </c>
      <c r="AG494" s="28" t="s">
        <v>105</v>
      </c>
      <c r="AH494" s="2" t="str">
        <f t="shared" ref="AH494:AH497" si="657">IF(NOT(ISBLANK(AI494)),"_","")</f>
        <v/>
      </c>
    </row>
    <row r="495" spans="1:35" x14ac:dyDescent="0.25">
      <c r="B495" s="2" t="str">
        <f t="shared" si="653"/>
        <v>@line_width-cycleway_unpaved_z14</v>
      </c>
      <c r="C495" s="28" t="s">
        <v>122</v>
      </c>
      <c r="D495" s="28" t="s">
        <v>330</v>
      </c>
      <c r="F495" s="28" t="s">
        <v>122</v>
      </c>
      <c r="G495" s="28" t="s">
        <v>330</v>
      </c>
      <c r="I495" s="28" t="s">
        <v>337</v>
      </c>
      <c r="J495" s="28" t="s">
        <v>338</v>
      </c>
      <c r="L495" s="28" t="s">
        <v>337</v>
      </c>
      <c r="M495" s="28" t="s">
        <v>338</v>
      </c>
      <c r="U495" s="28" t="s">
        <v>119</v>
      </c>
      <c r="V495" s="28" t="s">
        <v>86</v>
      </c>
      <c r="X495" s="28" t="s">
        <v>119</v>
      </c>
      <c r="Y495" s="28" t="s">
        <v>86</v>
      </c>
      <c r="AA495" s="2" t="s">
        <v>115</v>
      </c>
      <c r="AB495" s="2" t="str">
        <f t="shared" si="654"/>
        <v>-</v>
      </c>
      <c r="AC495" s="2" t="s">
        <v>12</v>
      </c>
      <c r="AD495" s="2" t="str">
        <f t="shared" si="655"/>
        <v>_</v>
      </c>
      <c r="AE495" s="2" t="s">
        <v>21</v>
      </c>
      <c r="AF495" s="2" t="str">
        <f t="shared" si="656"/>
        <v>_</v>
      </c>
      <c r="AG495" s="28" t="s">
        <v>70</v>
      </c>
      <c r="AH495" s="2" t="str">
        <f t="shared" si="657"/>
        <v/>
      </c>
    </row>
    <row r="496" spans="1:35" x14ac:dyDescent="0.25">
      <c r="B496" s="2" t="str">
        <f t="shared" si="653"/>
        <v>@line_width-cycleway_unpaved_z16</v>
      </c>
      <c r="C496" s="28" t="s">
        <v>124</v>
      </c>
      <c r="D496" s="28" t="s">
        <v>82</v>
      </c>
      <c r="F496" s="28" t="s">
        <v>124</v>
      </c>
      <c r="G496" s="28" t="s">
        <v>82</v>
      </c>
      <c r="I496" s="28" t="s">
        <v>123</v>
      </c>
      <c r="J496" s="28" t="s">
        <v>87</v>
      </c>
      <c r="L496" s="28" t="s">
        <v>123</v>
      </c>
      <c r="M496" s="28" t="s">
        <v>87</v>
      </c>
      <c r="U496" s="28" t="s">
        <v>84</v>
      </c>
      <c r="V496" s="28" t="s">
        <v>88</v>
      </c>
      <c r="X496" s="28" t="s">
        <v>84</v>
      </c>
      <c r="Y496" s="28" t="s">
        <v>88</v>
      </c>
      <c r="AA496" s="2" t="s">
        <v>115</v>
      </c>
      <c r="AB496" s="2" t="str">
        <f t="shared" si="654"/>
        <v>-</v>
      </c>
      <c r="AC496" s="2" t="s">
        <v>12</v>
      </c>
      <c r="AD496" s="2" t="str">
        <f t="shared" si="655"/>
        <v>_</v>
      </c>
      <c r="AE496" s="2" t="s">
        <v>21</v>
      </c>
      <c r="AF496" s="2" t="str">
        <f t="shared" si="656"/>
        <v>_</v>
      </c>
      <c r="AG496" s="28" t="s">
        <v>71</v>
      </c>
      <c r="AH496" s="2" t="str">
        <f t="shared" si="657"/>
        <v/>
      </c>
    </row>
    <row r="497" spans="2:34" x14ac:dyDescent="0.25">
      <c r="B497" s="2" t="str">
        <f t="shared" si="653"/>
        <v>@line_width-cycleway_unpaved_z18</v>
      </c>
      <c r="C497" s="28" t="s">
        <v>83</v>
      </c>
      <c r="D497" s="28" t="s">
        <v>85</v>
      </c>
      <c r="F497" s="28" t="s">
        <v>83</v>
      </c>
      <c r="G497" s="28" t="s">
        <v>85</v>
      </c>
      <c r="I497" s="28" t="s">
        <v>131</v>
      </c>
      <c r="J497" s="28" t="s">
        <v>141</v>
      </c>
      <c r="L497" s="28" t="s">
        <v>131</v>
      </c>
      <c r="M497" s="28" t="s">
        <v>141</v>
      </c>
      <c r="U497" s="28" t="s">
        <v>82</v>
      </c>
      <c r="V497" s="28" t="s">
        <v>327</v>
      </c>
      <c r="X497" s="28" t="s">
        <v>82</v>
      </c>
      <c r="Y497" s="28" t="s">
        <v>327</v>
      </c>
      <c r="AA497" s="2" t="s">
        <v>115</v>
      </c>
      <c r="AB497" s="2" t="str">
        <f t="shared" si="654"/>
        <v>-</v>
      </c>
      <c r="AC497" s="2" t="s">
        <v>12</v>
      </c>
      <c r="AD497" s="2" t="str">
        <f t="shared" si="655"/>
        <v>_</v>
      </c>
      <c r="AE497" s="2" t="s">
        <v>21</v>
      </c>
      <c r="AF497" s="2" t="str">
        <f t="shared" si="656"/>
        <v>_</v>
      </c>
      <c r="AG497" s="28" t="s">
        <v>72</v>
      </c>
      <c r="AH497" s="2" t="str">
        <f t="shared" si="657"/>
        <v/>
      </c>
    </row>
    <row r="498" spans="2:34" x14ac:dyDescent="0.25">
      <c r="AA498" s="2"/>
      <c r="AB498" s="2"/>
      <c r="AC498" s="2"/>
      <c r="AD498" s="2"/>
      <c r="AE498" s="2"/>
    </row>
    <row r="499" spans="2:34" x14ac:dyDescent="0.25">
      <c r="B499" s="2" t="str">
        <f t="shared" ref="B499:B502" si="658">_xlfn.CONCAT("@",AA499,AB499,AC499,AD499,AE499,AF499,AG499,AH499,AI499)</f>
        <v>@line_width-footway_default_z12</v>
      </c>
      <c r="C499" s="28" t="s">
        <v>92</v>
      </c>
      <c r="D499" s="28" t="s">
        <v>112</v>
      </c>
      <c r="F499" s="28" t="s">
        <v>92</v>
      </c>
      <c r="G499" s="28" t="s">
        <v>112</v>
      </c>
      <c r="I499" s="28" t="s">
        <v>92</v>
      </c>
      <c r="J499" s="28" t="s">
        <v>112</v>
      </c>
      <c r="L499" s="28" t="s">
        <v>92</v>
      </c>
      <c r="M499" s="28" t="s">
        <v>112</v>
      </c>
      <c r="U499" s="28" t="s">
        <v>92</v>
      </c>
      <c r="V499" s="28" t="s">
        <v>112</v>
      </c>
      <c r="X499" s="28" t="s">
        <v>92</v>
      </c>
      <c r="Y499" s="28" t="s">
        <v>112</v>
      </c>
      <c r="AA499" s="2" t="s">
        <v>115</v>
      </c>
      <c r="AB499" s="2" t="str">
        <f t="shared" ref="AB499:AB502" si="659">IF(NOT(ISBLANK(AC499)),"-","")</f>
        <v>-</v>
      </c>
      <c r="AC499" s="2" t="s">
        <v>34</v>
      </c>
      <c r="AD499" s="2" t="str">
        <f t="shared" ref="AD499:AD502" si="660">IF(NOT(ISBLANK(AE499)),"_","")</f>
        <v>_</v>
      </c>
      <c r="AE499" s="2" t="s">
        <v>255</v>
      </c>
      <c r="AF499" s="2" t="str">
        <f t="shared" ref="AF499:AF502" si="661">IF(NOT(ISBLANK(AG499)),"_","")</f>
        <v>_</v>
      </c>
      <c r="AG499" s="28" t="s">
        <v>105</v>
      </c>
      <c r="AH499" s="2" t="str">
        <f t="shared" ref="AH499:AH502" si="662">IF(NOT(ISBLANK(AI499)),"_","")</f>
        <v/>
      </c>
    </row>
    <row r="500" spans="2:34" x14ac:dyDescent="0.25">
      <c r="B500" s="2" t="str">
        <f t="shared" si="658"/>
        <v>@line_width-footway_default_z14</v>
      </c>
      <c r="C500" s="28" t="s">
        <v>80</v>
      </c>
      <c r="D500" s="28" t="s">
        <v>86</v>
      </c>
      <c r="F500" s="28" t="s">
        <v>80</v>
      </c>
      <c r="G500" s="28" t="s">
        <v>86</v>
      </c>
      <c r="I500" s="28" t="s">
        <v>80</v>
      </c>
      <c r="J500" s="28" t="s">
        <v>86</v>
      </c>
      <c r="L500" s="28" t="s">
        <v>80</v>
      </c>
      <c r="M500" s="28" t="s">
        <v>86</v>
      </c>
      <c r="U500" s="28" t="s">
        <v>80</v>
      </c>
      <c r="V500" s="28" t="s">
        <v>86</v>
      </c>
      <c r="X500" s="28" t="s">
        <v>80</v>
      </c>
      <c r="Y500" s="28" t="s">
        <v>86</v>
      </c>
      <c r="AA500" s="2" t="s">
        <v>115</v>
      </c>
      <c r="AB500" s="2" t="str">
        <f t="shared" si="659"/>
        <v>-</v>
      </c>
      <c r="AC500" s="2" t="s">
        <v>34</v>
      </c>
      <c r="AD500" s="2" t="str">
        <f t="shared" si="660"/>
        <v>_</v>
      </c>
      <c r="AE500" s="2" t="s">
        <v>255</v>
      </c>
      <c r="AF500" s="2" t="str">
        <f t="shared" si="661"/>
        <v>_</v>
      </c>
      <c r="AG500" s="28" t="s">
        <v>70</v>
      </c>
      <c r="AH500" s="2" t="str">
        <f t="shared" si="662"/>
        <v/>
      </c>
    </row>
    <row r="501" spans="2:34" x14ac:dyDescent="0.25">
      <c r="B501" s="2" t="str">
        <f t="shared" si="658"/>
        <v>@line_width-footway_default_z16</v>
      </c>
      <c r="C501" s="28" t="s">
        <v>86</v>
      </c>
      <c r="D501" s="28" t="s">
        <v>88</v>
      </c>
      <c r="F501" s="28" t="s">
        <v>86</v>
      </c>
      <c r="G501" s="28" t="s">
        <v>88</v>
      </c>
      <c r="I501" s="28" t="s">
        <v>86</v>
      </c>
      <c r="J501" s="28" t="s">
        <v>88</v>
      </c>
      <c r="L501" s="28" t="s">
        <v>86</v>
      </c>
      <c r="M501" s="28" t="s">
        <v>88</v>
      </c>
      <c r="U501" s="28" t="s">
        <v>86</v>
      </c>
      <c r="V501" s="28" t="s">
        <v>88</v>
      </c>
      <c r="X501" s="28" t="s">
        <v>86</v>
      </c>
      <c r="Y501" s="28" t="s">
        <v>88</v>
      </c>
      <c r="AA501" s="2" t="s">
        <v>115</v>
      </c>
      <c r="AB501" s="2" t="str">
        <f t="shared" si="659"/>
        <v>-</v>
      </c>
      <c r="AC501" s="2" t="s">
        <v>34</v>
      </c>
      <c r="AD501" s="2" t="str">
        <f t="shared" si="660"/>
        <v>_</v>
      </c>
      <c r="AE501" s="2" t="s">
        <v>255</v>
      </c>
      <c r="AF501" s="2" t="str">
        <f t="shared" si="661"/>
        <v>_</v>
      </c>
      <c r="AG501" s="28" t="s">
        <v>71</v>
      </c>
      <c r="AH501" s="2" t="str">
        <f t="shared" si="662"/>
        <v/>
      </c>
    </row>
    <row r="502" spans="2:34" x14ac:dyDescent="0.25">
      <c r="B502" s="2" t="str">
        <f t="shared" si="658"/>
        <v>@line_width-footway_default_z18</v>
      </c>
      <c r="C502" s="28" t="s">
        <v>88</v>
      </c>
      <c r="D502" s="28" t="s">
        <v>82</v>
      </c>
      <c r="F502" s="28" t="s">
        <v>88</v>
      </c>
      <c r="G502" s="28" t="s">
        <v>82</v>
      </c>
      <c r="I502" s="28" t="s">
        <v>88</v>
      </c>
      <c r="J502" s="28" t="s">
        <v>82</v>
      </c>
      <c r="L502" s="28" t="s">
        <v>88</v>
      </c>
      <c r="M502" s="28" t="s">
        <v>82</v>
      </c>
      <c r="U502" s="28" t="s">
        <v>88</v>
      </c>
      <c r="V502" s="28" t="s">
        <v>82</v>
      </c>
      <c r="X502" s="28" t="s">
        <v>88</v>
      </c>
      <c r="Y502" s="28" t="s">
        <v>82</v>
      </c>
      <c r="AA502" s="2" t="s">
        <v>115</v>
      </c>
      <c r="AB502" s="2" t="str">
        <f t="shared" si="659"/>
        <v>-</v>
      </c>
      <c r="AC502" s="2" t="s">
        <v>34</v>
      </c>
      <c r="AD502" s="2" t="str">
        <f t="shared" si="660"/>
        <v>_</v>
      </c>
      <c r="AE502" s="2" t="s">
        <v>255</v>
      </c>
      <c r="AF502" s="2" t="str">
        <f t="shared" si="661"/>
        <v>_</v>
      </c>
      <c r="AG502" s="28" t="s">
        <v>72</v>
      </c>
      <c r="AH502" s="2" t="str">
        <f t="shared" si="662"/>
        <v/>
      </c>
    </row>
    <row r="503" spans="2:34" x14ac:dyDescent="0.25">
      <c r="AA503" s="2"/>
      <c r="AB503" s="2"/>
      <c r="AC503" s="2"/>
      <c r="AD503" s="2"/>
      <c r="AE503" s="2"/>
    </row>
    <row r="504" spans="2:34" x14ac:dyDescent="0.25">
      <c r="B504" s="2" t="str">
        <f t="shared" ref="B504:B507" si="663">_xlfn.CONCAT("@",AA504,AB504,AC504,AD504,AE504,AF504,AG504,AH504,AI504)</f>
        <v>@line_offset-footway_left_z12</v>
      </c>
      <c r="C504" s="28" t="s">
        <v>349</v>
      </c>
      <c r="D504" s="28" t="s">
        <v>350</v>
      </c>
      <c r="F504" s="28" t="s">
        <v>349</v>
      </c>
      <c r="G504" s="28" t="s">
        <v>350</v>
      </c>
      <c r="I504" s="28" t="s">
        <v>349</v>
      </c>
      <c r="J504" s="28" t="s">
        <v>350</v>
      </c>
      <c r="L504" s="28" t="s">
        <v>349</v>
      </c>
      <c r="M504" s="28" t="s">
        <v>350</v>
      </c>
      <c r="U504" s="28" t="s">
        <v>349</v>
      </c>
      <c r="V504" s="28" t="s">
        <v>350</v>
      </c>
      <c r="X504" s="28" t="s">
        <v>349</v>
      </c>
      <c r="Y504" s="28" t="s">
        <v>350</v>
      </c>
      <c r="AA504" s="2" t="s">
        <v>341</v>
      </c>
      <c r="AB504" s="2" t="str">
        <f t="shared" ref="AB504:AB507" si="664">IF(NOT(ISBLANK(AC504)),"-","")</f>
        <v>-</v>
      </c>
      <c r="AC504" s="2" t="s">
        <v>34</v>
      </c>
      <c r="AD504" s="2" t="str">
        <f t="shared" ref="AD504:AD507" si="665">IF(NOT(ISBLANK(AE504)),"_","")</f>
        <v>_</v>
      </c>
      <c r="AE504" s="2" t="s">
        <v>342</v>
      </c>
      <c r="AF504" s="2" t="str">
        <f t="shared" ref="AF504:AF507" si="666">IF(NOT(ISBLANK(AG504)),"_","")</f>
        <v>_</v>
      </c>
      <c r="AG504" s="28" t="s">
        <v>105</v>
      </c>
      <c r="AH504" s="2" t="str">
        <f t="shared" ref="AH504:AH507" si="667">IF(NOT(ISBLANK(AI504)),"_","")</f>
        <v/>
      </c>
    </row>
    <row r="505" spans="2:34" x14ac:dyDescent="0.25">
      <c r="B505" s="2" t="str">
        <f t="shared" si="663"/>
        <v>@line_offset-footway_left_z14</v>
      </c>
      <c r="C505" s="28" t="s">
        <v>345</v>
      </c>
      <c r="D505" s="28" t="s">
        <v>346</v>
      </c>
      <c r="F505" s="28" t="s">
        <v>345</v>
      </c>
      <c r="G505" s="28" t="s">
        <v>346</v>
      </c>
      <c r="I505" s="28" t="s">
        <v>345</v>
      </c>
      <c r="J505" s="28" t="s">
        <v>346</v>
      </c>
      <c r="L505" s="28" t="s">
        <v>345</v>
      </c>
      <c r="M505" s="28" t="s">
        <v>346</v>
      </c>
      <c r="U505" s="28" t="s">
        <v>345</v>
      </c>
      <c r="V505" s="28" t="s">
        <v>346</v>
      </c>
      <c r="X505" s="28" t="s">
        <v>345</v>
      </c>
      <c r="Y505" s="28" t="s">
        <v>346</v>
      </c>
      <c r="AA505" s="2" t="s">
        <v>341</v>
      </c>
      <c r="AB505" s="2" t="str">
        <f t="shared" si="664"/>
        <v>-</v>
      </c>
      <c r="AC505" s="2" t="s">
        <v>34</v>
      </c>
      <c r="AD505" s="2" t="str">
        <f t="shared" si="665"/>
        <v>_</v>
      </c>
      <c r="AE505" s="2" t="s">
        <v>342</v>
      </c>
      <c r="AF505" s="2" t="str">
        <f t="shared" si="666"/>
        <v>_</v>
      </c>
      <c r="AG505" s="28" t="s">
        <v>70</v>
      </c>
      <c r="AH505" s="2" t="str">
        <f t="shared" si="667"/>
        <v/>
      </c>
    </row>
    <row r="506" spans="2:34" x14ac:dyDescent="0.25">
      <c r="B506" s="2" t="str">
        <f t="shared" si="663"/>
        <v>@line_offset-footway_left_z16</v>
      </c>
      <c r="C506" s="28" t="s">
        <v>344</v>
      </c>
      <c r="D506" s="28" t="s">
        <v>347</v>
      </c>
      <c r="F506" s="28" t="s">
        <v>344</v>
      </c>
      <c r="G506" s="28" t="s">
        <v>347</v>
      </c>
      <c r="I506" s="28" t="s">
        <v>344</v>
      </c>
      <c r="J506" s="28" t="s">
        <v>347</v>
      </c>
      <c r="L506" s="28" t="s">
        <v>344</v>
      </c>
      <c r="M506" s="28" t="s">
        <v>347</v>
      </c>
      <c r="U506" s="28" t="s">
        <v>344</v>
      </c>
      <c r="V506" s="28" t="s">
        <v>347</v>
      </c>
      <c r="X506" s="28" t="s">
        <v>344</v>
      </c>
      <c r="Y506" s="28" t="s">
        <v>347</v>
      </c>
      <c r="AA506" s="2" t="s">
        <v>341</v>
      </c>
      <c r="AB506" s="2" t="str">
        <f t="shared" si="664"/>
        <v>-</v>
      </c>
      <c r="AC506" s="2" t="s">
        <v>34</v>
      </c>
      <c r="AD506" s="2" t="str">
        <f t="shared" si="665"/>
        <v>_</v>
      </c>
      <c r="AE506" s="2" t="s">
        <v>342</v>
      </c>
      <c r="AF506" s="2" t="str">
        <f t="shared" si="666"/>
        <v>_</v>
      </c>
      <c r="AG506" s="28" t="s">
        <v>71</v>
      </c>
      <c r="AH506" s="2" t="str">
        <f t="shared" si="667"/>
        <v/>
      </c>
    </row>
    <row r="507" spans="2:34" x14ac:dyDescent="0.25">
      <c r="B507" s="2" t="str">
        <f t="shared" si="663"/>
        <v>@line_offset-footway_left_z18</v>
      </c>
      <c r="C507" s="28" t="s">
        <v>343</v>
      </c>
      <c r="D507" s="28" t="s">
        <v>348</v>
      </c>
      <c r="F507" s="28" t="s">
        <v>343</v>
      </c>
      <c r="G507" s="28" t="s">
        <v>348</v>
      </c>
      <c r="I507" s="28" t="s">
        <v>343</v>
      </c>
      <c r="J507" s="28" t="s">
        <v>348</v>
      </c>
      <c r="L507" s="28" t="s">
        <v>343</v>
      </c>
      <c r="M507" s="28" t="s">
        <v>348</v>
      </c>
      <c r="U507" s="28" t="s">
        <v>343</v>
      </c>
      <c r="V507" s="28" t="s">
        <v>348</v>
      </c>
      <c r="X507" s="28" t="s">
        <v>343</v>
      </c>
      <c r="Y507" s="28" t="s">
        <v>348</v>
      </c>
      <c r="AA507" s="2" t="s">
        <v>341</v>
      </c>
      <c r="AB507" s="2" t="str">
        <f t="shared" si="664"/>
        <v>-</v>
      </c>
      <c r="AC507" s="2" t="s">
        <v>34</v>
      </c>
      <c r="AD507" s="2" t="str">
        <f t="shared" si="665"/>
        <v>_</v>
      </c>
      <c r="AE507" s="2" t="s">
        <v>342</v>
      </c>
      <c r="AF507" s="2" t="str">
        <f t="shared" si="666"/>
        <v>_</v>
      </c>
      <c r="AG507" s="28" t="s">
        <v>72</v>
      </c>
      <c r="AH507" s="2" t="str">
        <f t="shared" si="667"/>
        <v/>
      </c>
    </row>
    <row r="508" spans="2:34" x14ac:dyDescent="0.25">
      <c r="AA508" s="2"/>
      <c r="AB508" s="2"/>
      <c r="AC508" s="2"/>
      <c r="AD508" s="2"/>
      <c r="AE508" s="2"/>
    </row>
    <row r="509" spans="2:34" x14ac:dyDescent="0.25">
      <c r="B509" s="2" t="str">
        <f t="shared" ref="B509:B512" si="668">_xlfn.CONCAT("@",AA509,AB509,AC509,AD509,AE509,AF509,AG509,AH509,AI509)</f>
        <v>@line_offset-footway_right_z12</v>
      </c>
      <c r="C509" s="28" t="s">
        <v>80</v>
      </c>
      <c r="D509" s="28" t="s">
        <v>81</v>
      </c>
      <c r="F509" s="28" t="s">
        <v>349</v>
      </c>
      <c r="G509" s="28" t="s">
        <v>350</v>
      </c>
      <c r="I509" s="28" t="s">
        <v>349</v>
      </c>
      <c r="J509" s="28" t="s">
        <v>350</v>
      </c>
      <c r="L509" s="28" t="s">
        <v>349</v>
      </c>
      <c r="M509" s="28" t="s">
        <v>350</v>
      </c>
      <c r="U509" s="28" t="s">
        <v>80</v>
      </c>
      <c r="V509" s="28" t="s">
        <v>81</v>
      </c>
      <c r="X509" s="28" t="s">
        <v>349</v>
      </c>
      <c r="Y509" s="28" t="s">
        <v>350</v>
      </c>
      <c r="AA509" s="2" t="s">
        <v>341</v>
      </c>
      <c r="AB509" s="2" t="str">
        <f t="shared" ref="AB509:AB512" si="669">IF(NOT(ISBLANK(AC509)),"-","")</f>
        <v>-</v>
      </c>
      <c r="AC509" s="2" t="s">
        <v>34</v>
      </c>
      <c r="AD509" s="2" t="str">
        <f t="shared" ref="AD509:AD512" si="670">IF(NOT(ISBLANK(AE509)),"_","")</f>
        <v>_</v>
      </c>
      <c r="AE509" s="2" t="s">
        <v>351</v>
      </c>
      <c r="AF509" s="2" t="str">
        <f t="shared" ref="AF509:AF512" si="671">IF(NOT(ISBLANK(AG509)),"_","")</f>
        <v>_</v>
      </c>
      <c r="AG509" s="28" t="s">
        <v>105</v>
      </c>
      <c r="AH509" s="2" t="str">
        <f t="shared" ref="AH509:AH512" si="672">IF(NOT(ISBLANK(AI509)),"_","")</f>
        <v/>
      </c>
    </row>
    <row r="510" spans="2:34" x14ac:dyDescent="0.25">
      <c r="B510" s="2" t="str">
        <f t="shared" si="668"/>
        <v>@line_offset-footway_right_z14</v>
      </c>
      <c r="C510" s="28" t="s">
        <v>84</v>
      </c>
      <c r="D510" s="28" t="s">
        <v>88</v>
      </c>
      <c r="F510" s="28" t="s">
        <v>345</v>
      </c>
      <c r="G510" s="28" t="s">
        <v>346</v>
      </c>
      <c r="I510" s="28" t="s">
        <v>345</v>
      </c>
      <c r="J510" s="28" t="s">
        <v>346</v>
      </c>
      <c r="L510" s="28" t="s">
        <v>345</v>
      </c>
      <c r="M510" s="28" t="s">
        <v>346</v>
      </c>
      <c r="U510" s="28" t="s">
        <v>84</v>
      </c>
      <c r="V510" s="28" t="s">
        <v>88</v>
      </c>
      <c r="X510" s="28" t="s">
        <v>345</v>
      </c>
      <c r="Y510" s="28" t="s">
        <v>346</v>
      </c>
      <c r="AA510" s="2" t="s">
        <v>341</v>
      </c>
      <c r="AB510" s="2" t="str">
        <f t="shared" si="669"/>
        <v>-</v>
      </c>
      <c r="AC510" s="2" t="s">
        <v>34</v>
      </c>
      <c r="AD510" s="2" t="str">
        <f t="shared" si="670"/>
        <v>_</v>
      </c>
      <c r="AE510" s="2" t="s">
        <v>351</v>
      </c>
      <c r="AF510" s="2" t="str">
        <f t="shared" si="671"/>
        <v>_</v>
      </c>
      <c r="AG510" s="28" t="s">
        <v>70</v>
      </c>
      <c r="AH510" s="2" t="str">
        <f t="shared" si="672"/>
        <v/>
      </c>
    </row>
    <row r="511" spans="2:34" x14ac:dyDescent="0.25">
      <c r="B511" s="2" t="str">
        <f t="shared" si="668"/>
        <v>@line_offset-footway_right_z16</v>
      </c>
      <c r="C511" s="28" t="s">
        <v>130</v>
      </c>
      <c r="D511" s="28" t="s">
        <v>317</v>
      </c>
      <c r="F511" s="28" t="s">
        <v>344</v>
      </c>
      <c r="G511" s="28" t="s">
        <v>347</v>
      </c>
      <c r="I511" s="28" t="s">
        <v>344</v>
      </c>
      <c r="J511" s="28" t="s">
        <v>347</v>
      </c>
      <c r="L511" s="28" t="s">
        <v>344</v>
      </c>
      <c r="M511" s="28" t="s">
        <v>347</v>
      </c>
      <c r="U511" s="28" t="s">
        <v>130</v>
      </c>
      <c r="V511" s="28" t="s">
        <v>317</v>
      </c>
      <c r="X511" s="28" t="s">
        <v>344</v>
      </c>
      <c r="Y511" s="28" t="s">
        <v>347</v>
      </c>
      <c r="AA511" s="2" t="s">
        <v>341</v>
      </c>
      <c r="AB511" s="2" t="str">
        <f t="shared" si="669"/>
        <v>-</v>
      </c>
      <c r="AC511" s="2" t="s">
        <v>34</v>
      </c>
      <c r="AD511" s="2" t="str">
        <f t="shared" si="670"/>
        <v>_</v>
      </c>
      <c r="AE511" s="2" t="s">
        <v>351</v>
      </c>
      <c r="AF511" s="2" t="str">
        <f t="shared" si="671"/>
        <v>_</v>
      </c>
      <c r="AG511" s="28" t="s">
        <v>71</v>
      </c>
      <c r="AH511" s="2" t="str">
        <f t="shared" si="672"/>
        <v/>
      </c>
    </row>
    <row r="512" spans="2:34" x14ac:dyDescent="0.25">
      <c r="B512" s="2" t="str">
        <f t="shared" si="668"/>
        <v>@line_offset-footway_right_z18</v>
      </c>
      <c r="C512" s="28" t="s">
        <v>352</v>
      </c>
      <c r="D512" s="28" t="s">
        <v>325</v>
      </c>
      <c r="F512" s="28" t="s">
        <v>343</v>
      </c>
      <c r="G512" s="28" t="s">
        <v>348</v>
      </c>
      <c r="I512" s="28" t="s">
        <v>343</v>
      </c>
      <c r="J512" s="28" t="s">
        <v>348</v>
      </c>
      <c r="L512" s="28" t="s">
        <v>343</v>
      </c>
      <c r="M512" s="28" t="s">
        <v>348</v>
      </c>
      <c r="U512" s="28" t="s">
        <v>352</v>
      </c>
      <c r="V512" s="28" t="s">
        <v>325</v>
      </c>
      <c r="X512" s="28" t="s">
        <v>343</v>
      </c>
      <c r="Y512" s="28" t="s">
        <v>348</v>
      </c>
      <c r="AA512" s="2" t="s">
        <v>341</v>
      </c>
      <c r="AB512" s="2" t="str">
        <f t="shared" si="669"/>
        <v>-</v>
      </c>
      <c r="AC512" s="2" t="s">
        <v>34</v>
      </c>
      <c r="AD512" s="2" t="str">
        <f t="shared" si="670"/>
        <v>_</v>
      </c>
      <c r="AE512" s="2" t="s">
        <v>351</v>
      </c>
      <c r="AF512" s="2" t="str">
        <f t="shared" si="671"/>
        <v>_</v>
      </c>
      <c r="AG512" s="28" t="s">
        <v>72</v>
      </c>
      <c r="AH512" s="2" t="str">
        <f t="shared" si="672"/>
        <v/>
      </c>
    </row>
    <row r="513" spans="1:35" x14ac:dyDescent="0.25">
      <c r="B513" s="2"/>
      <c r="AA513" s="2"/>
      <c r="AB513" s="2"/>
      <c r="AC513" s="2"/>
      <c r="AD513" s="2"/>
      <c r="AE513" s="2"/>
    </row>
    <row r="514" spans="1:35" x14ac:dyDescent="0.25">
      <c r="B514" s="2" t="str">
        <f t="shared" ref="B514:B515" si="673">_xlfn.CONCAT("@",AA514,AB514,AC514,AD514,AE514,AF514,AG514,AH514,AI514)</f>
        <v>@dasharray-cycleway_paved_default_dash</v>
      </c>
      <c r="C514" s="28" t="s">
        <v>82</v>
      </c>
      <c r="D514" s="28" t="s">
        <v>82</v>
      </c>
      <c r="F514" s="28" t="s">
        <v>82</v>
      </c>
      <c r="G514" s="28" t="s">
        <v>82</v>
      </c>
      <c r="I514" s="28" t="s">
        <v>82</v>
      </c>
      <c r="J514" s="28" t="s">
        <v>82</v>
      </c>
      <c r="L514" s="28" t="s">
        <v>82</v>
      </c>
      <c r="M514" s="28" t="s">
        <v>82</v>
      </c>
      <c r="U514" s="28" t="s">
        <v>82</v>
      </c>
      <c r="V514" s="28" t="s">
        <v>82</v>
      </c>
      <c r="X514" s="28" t="s">
        <v>82</v>
      </c>
      <c r="Y514" s="28" t="s">
        <v>82</v>
      </c>
      <c r="AA514" s="2" t="s">
        <v>371</v>
      </c>
      <c r="AB514" s="2" t="str">
        <f t="shared" ref="AB514" si="674">IF(NOT(ISBLANK(AC514)),"-","")</f>
        <v>-</v>
      </c>
      <c r="AC514" s="2" t="s">
        <v>12</v>
      </c>
      <c r="AD514" s="2" t="str">
        <f t="shared" ref="AD514" si="675">IF(NOT(ISBLANK(AE514)),"_","")</f>
        <v>_</v>
      </c>
      <c r="AE514" s="2" t="s">
        <v>384</v>
      </c>
      <c r="AF514" s="2" t="str">
        <f t="shared" ref="AF514" si="676">IF(NOT(ISBLANK(AG514)),"_","")</f>
        <v>_</v>
      </c>
      <c r="AG514" s="28" t="s">
        <v>255</v>
      </c>
      <c r="AH514" s="2" t="str">
        <f t="shared" ref="AH514:AH515" si="677">IF(NOT(ISBLANK(AI514)),"_","")</f>
        <v>_</v>
      </c>
      <c r="AI514" s="28" t="s">
        <v>373</v>
      </c>
    </row>
    <row r="515" spans="1:35" x14ac:dyDescent="0.25">
      <c r="B515" s="2" t="str">
        <f t="shared" si="673"/>
        <v>@dasharray-cycleway_paved_default_gap</v>
      </c>
      <c r="C515" s="28" t="s">
        <v>80</v>
      </c>
      <c r="D515" s="28" t="s">
        <v>80</v>
      </c>
      <c r="F515" s="28" t="s">
        <v>80</v>
      </c>
      <c r="G515" s="28" t="s">
        <v>80</v>
      </c>
      <c r="I515" s="28" t="s">
        <v>80</v>
      </c>
      <c r="J515" s="28" t="s">
        <v>80</v>
      </c>
      <c r="L515" s="28" t="s">
        <v>80</v>
      </c>
      <c r="M515" s="28" t="s">
        <v>80</v>
      </c>
      <c r="U515" s="28" t="s">
        <v>80</v>
      </c>
      <c r="V515" s="28" t="s">
        <v>80</v>
      </c>
      <c r="X515" s="28" t="s">
        <v>80</v>
      </c>
      <c r="Y515" s="28" t="s">
        <v>80</v>
      </c>
      <c r="AA515" s="2" t="s">
        <v>371</v>
      </c>
      <c r="AB515" s="2" t="str">
        <f t="shared" ref="AB515:AB516" si="678">IF(NOT(ISBLANK(AC515)),"-","")</f>
        <v>-</v>
      </c>
      <c r="AC515" s="2" t="s">
        <v>12</v>
      </c>
      <c r="AD515" s="2" t="str">
        <f t="shared" ref="AD515:AD516" si="679">IF(NOT(ISBLANK(AE515)),"_","")</f>
        <v>_</v>
      </c>
      <c r="AE515" s="2" t="s">
        <v>384</v>
      </c>
      <c r="AF515" s="2" t="str">
        <f t="shared" ref="AF515:AF516" si="680">IF(NOT(ISBLANK(AG515)),"_","")</f>
        <v>_</v>
      </c>
      <c r="AG515" s="28" t="s">
        <v>255</v>
      </c>
      <c r="AH515" s="2" t="str">
        <f t="shared" si="677"/>
        <v>_</v>
      </c>
      <c r="AI515" s="28" t="s">
        <v>374</v>
      </c>
    </row>
    <row r="516" spans="1:35" x14ac:dyDescent="0.25">
      <c r="B516" s="2" t="str">
        <f t="shared" ref="B516:B517" si="681">_xlfn.CONCAT("@",AA516,AB516,AC516,AD516,AE516,AF516,AG516,AH516,AI516)</f>
        <v>@dasharray-cycleway_unpaved_default_dash</v>
      </c>
      <c r="C516" s="28" t="s">
        <v>76</v>
      </c>
      <c r="D516" s="28" t="s">
        <v>76</v>
      </c>
      <c r="F516" s="28" t="s">
        <v>76</v>
      </c>
      <c r="G516" s="28" t="s">
        <v>76</v>
      </c>
      <c r="I516" s="28" t="s">
        <v>76</v>
      </c>
      <c r="J516" s="28" t="s">
        <v>76</v>
      </c>
      <c r="L516" s="28" t="s">
        <v>76</v>
      </c>
      <c r="M516" s="28" t="s">
        <v>76</v>
      </c>
      <c r="U516" s="28" t="s">
        <v>82</v>
      </c>
      <c r="V516" s="28" t="s">
        <v>82</v>
      </c>
      <c r="X516" s="28" t="s">
        <v>82</v>
      </c>
      <c r="Y516" s="28" t="s">
        <v>82</v>
      </c>
      <c r="AA516" s="2" t="s">
        <v>371</v>
      </c>
      <c r="AB516" s="2" t="str">
        <f t="shared" si="678"/>
        <v>-</v>
      </c>
      <c r="AC516" s="2" t="s">
        <v>12</v>
      </c>
      <c r="AD516" s="2" t="str">
        <f t="shared" si="679"/>
        <v>_</v>
      </c>
      <c r="AE516" s="2" t="s">
        <v>21</v>
      </c>
      <c r="AF516" s="2" t="str">
        <f t="shared" si="680"/>
        <v>_</v>
      </c>
      <c r="AG516" s="28" t="s">
        <v>255</v>
      </c>
      <c r="AH516" s="2" t="str">
        <f t="shared" ref="AH516:AH517" si="682">IF(NOT(ISBLANK(AI516)),"_","")</f>
        <v>_</v>
      </c>
      <c r="AI516" s="28" t="s">
        <v>373</v>
      </c>
    </row>
    <row r="517" spans="1:35" x14ac:dyDescent="0.25">
      <c r="B517" s="2" t="str">
        <f t="shared" si="681"/>
        <v>@dasharray-cycleway_unpaved_default_gap</v>
      </c>
      <c r="C517" s="28" t="s">
        <v>91</v>
      </c>
      <c r="D517" s="28" t="s">
        <v>91</v>
      </c>
      <c r="F517" s="28" t="s">
        <v>91</v>
      </c>
      <c r="G517" s="28" t="s">
        <v>91</v>
      </c>
      <c r="I517" s="28" t="s">
        <v>91</v>
      </c>
      <c r="J517" s="28" t="s">
        <v>91</v>
      </c>
      <c r="L517" s="28" t="s">
        <v>91</v>
      </c>
      <c r="M517" s="28" t="s">
        <v>91</v>
      </c>
      <c r="U517" s="28" t="s">
        <v>80</v>
      </c>
      <c r="V517" s="28" t="s">
        <v>80</v>
      </c>
      <c r="X517" s="28" t="s">
        <v>80</v>
      </c>
      <c r="Y517" s="28" t="s">
        <v>80</v>
      </c>
      <c r="AA517" s="2" t="s">
        <v>371</v>
      </c>
      <c r="AB517" s="2" t="str">
        <f t="shared" ref="AB517:AB518" si="683">IF(NOT(ISBLANK(AC517)),"-","")</f>
        <v>-</v>
      </c>
      <c r="AC517" s="2" t="s">
        <v>12</v>
      </c>
      <c r="AD517" s="2" t="str">
        <f t="shared" ref="AD517:AD518" si="684">IF(NOT(ISBLANK(AE517)),"_","")</f>
        <v>_</v>
      </c>
      <c r="AE517" s="2" t="s">
        <v>21</v>
      </c>
      <c r="AF517" s="2" t="str">
        <f t="shared" ref="AF517:AF518" si="685">IF(NOT(ISBLANK(AG517)),"_","")</f>
        <v>_</v>
      </c>
      <c r="AG517" s="28" t="s">
        <v>255</v>
      </c>
      <c r="AH517" s="2" t="str">
        <f t="shared" si="682"/>
        <v>_</v>
      </c>
      <c r="AI517" s="28" t="s">
        <v>374</v>
      </c>
    </row>
    <row r="518" spans="1:35" x14ac:dyDescent="0.25">
      <c r="B518" s="2" t="str">
        <f t="shared" ref="B518:B519" si="686">_xlfn.CONCAT("@",AA518,AB518,AC518,AD518,AE518,AF518,AG518,AH518,AI518)</f>
        <v>@dasharray-cycleway_unknown_default_dash</v>
      </c>
      <c r="C518" s="28" t="s">
        <v>86</v>
      </c>
      <c r="D518" s="28" t="s">
        <v>86</v>
      </c>
      <c r="F518" s="28" t="s">
        <v>86</v>
      </c>
      <c r="G518" s="28" t="s">
        <v>86</v>
      </c>
      <c r="I518" s="28" t="s">
        <v>86</v>
      </c>
      <c r="J518" s="28" t="s">
        <v>86</v>
      </c>
      <c r="L518" s="28" t="s">
        <v>86</v>
      </c>
      <c r="M518" s="28" t="s">
        <v>86</v>
      </c>
      <c r="U518" s="28" t="s">
        <v>82</v>
      </c>
      <c r="V518" s="28" t="s">
        <v>82</v>
      </c>
      <c r="X518" s="28" t="s">
        <v>82</v>
      </c>
      <c r="Y518" s="28" t="s">
        <v>82</v>
      </c>
      <c r="AA518" s="2" t="s">
        <v>371</v>
      </c>
      <c r="AB518" s="2" t="str">
        <f t="shared" si="683"/>
        <v>-</v>
      </c>
      <c r="AC518" s="2" t="s">
        <v>12</v>
      </c>
      <c r="AD518" s="2" t="str">
        <f t="shared" si="684"/>
        <v>_</v>
      </c>
      <c r="AE518" s="2" t="s">
        <v>385</v>
      </c>
      <c r="AF518" s="2" t="str">
        <f t="shared" si="685"/>
        <v>_</v>
      </c>
      <c r="AG518" s="28" t="s">
        <v>255</v>
      </c>
      <c r="AH518" s="2" t="str">
        <f t="shared" ref="AH518:AH519" si="687">IF(NOT(ISBLANK(AI518)),"_","")</f>
        <v>_</v>
      </c>
      <c r="AI518" s="28" t="s">
        <v>373</v>
      </c>
    </row>
    <row r="519" spans="1:35" x14ac:dyDescent="0.25">
      <c r="B519" s="2" t="str">
        <f t="shared" si="686"/>
        <v>@dasharray-cycleway_unknown_default_gap</v>
      </c>
      <c r="C519" s="28" t="s">
        <v>80</v>
      </c>
      <c r="D519" s="28" t="s">
        <v>80</v>
      </c>
      <c r="F519" s="28" t="s">
        <v>80</v>
      </c>
      <c r="G519" s="28" t="s">
        <v>80</v>
      </c>
      <c r="I519" s="28" t="s">
        <v>80</v>
      </c>
      <c r="J519" s="28" t="s">
        <v>80</v>
      </c>
      <c r="L519" s="28" t="s">
        <v>80</v>
      </c>
      <c r="M519" s="28" t="s">
        <v>80</v>
      </c>
      <c r="U519" s="28" t="s">
        <v>80</v>
      </c>
      <c r="V519" s="28" t="s">
        <v>80</v>
      </c>
      <c r="X519" s="28" t="s">
        <v>80</v>
      </c>
      <c r="Y519" s="28" t="s">
        <v>80</v>
      </c>
      <c r="AA519" s="2" t="s">
        <v>371</v>
      </c>
      <c r="AB519" s="2" t="str">
        <f t="shared" ref="AB519" si="688">IF(NOT(ISBLANK(AC519)),"-","")</f>
        <v>-</v>
      </c>
      <c r="AC519" s="2" t="s">
        <v>12</v>
      </c>
      <c r="AD519" s="2" t="str">
        <f t="shared" ref="AD519" si="689">IF(NOT(ISBLANK(AE519)),"_","")</f>
        <v>_</v>
      </c>
      <c r="AE519" s="2" t="s">
        <v>385</v>
      </c>
      <c r="AF519" s="2" t="str">
        <f t="shared" ref="AF519" si="690">IF(NOT(ISBLANK(AG519)),"_","")</f>
        <v>_</v>
      </c>
      <c r="AG519" s="28" t="s">
        <v>255</v>
      </c>
      <c r="AH519" s="2" t="str">
        <f t="shared" si="687"/>
        <v>_</v>
      </c>
      <c r="AI519" s="28" t="s">
        <v>374</v>
      </c>
    </row>
    <row r="520" spans="1:35" x14ac:dyDescent="0.25">
      <c r="AB520" s="28" t="str">
        <f t="shared" ref="AB520:AB523" si="691">IF(NOT(ISBLANK(AC520)),"-","")</f>
        <v/>
      </c>
      <c r="AD520" s="28" t="str">
        <f t="shared" ref="AD520:AD523" si="692">IF(NOT(ISBLANK(AE520)),"_","")</f>
        <v/>
      </c>
      <c r="AF520" s="28" t="str">
        <f t="shared" ref="AF520:AF523" si="693">IF(NOT(ISBLANK(AG520)),"_","")</f>
        <v/>
      </c>
      <c r="AH520" s="28" t="str">
        <f t="shared" si="603"/>
        <v/>
      </c>
    </row>
    <row r="521" spans="1:35" s="5" customFormat="1" x14ac:dyDescent="0.25">
      <c r="A521" s="184" t="s">
        <v>451</v>
      </c>
      <c r="B521" s="184"/>
      <c r="C521" s="184"/>
      <c r="D521" s="184"/>
      <c r="F521" s="184"/>
      <c r="G521" s="184"/>
      <c r="I521" s="184"/>
      <c r="J521" s="184"/>
      <c r="L521" s="184"/>
      <c r="M521" s="184"/>
      <c r="O521" s="184"/>
      <c r="P521" s="184"/>
      <c r="R521" s="184"/>
      <c r="S521" s="184"/>
      <c r="U521" s="184"/>
      <c r="V521" s="184"/>
      <c r="X521" s="184"/>
      <c r="Y521" s="184"/>
      <c r="AA521" s="184"/>
      <c r="AB521" s="184" t="str">
        <f t="shared" si="691"/>
        <v/>
      </c>
      <c r="AC521" s="184"/>
      <c r="AD521" s="184" t="str">
        <f t="shared" si="692"/>
        <v/>
      </c>
      <c r="AE521" s="184"/>
      <c r="AF521" s="184" t="str">
        <f t="shared" si="693"/>
        <v/>
      </c>
      <c r="AG521" s="184"/>
      <c r="AH521" s="184" t="str">
        <f t="shared" si="603"/>
        <v/>
      </c>
      <c r="AI521" s="184"/>
    </row>
    <row r="522" spans="1:35" x14ac:dyDescent="0.25">
      <c r="AB522" s="28" t="str">
        <f t="shared" si="691"/>
        <v/>
      </c>
      <c r="AD522" s="28" t="str">
        <f t="shared" si="692"/>
        <v/>
      </c>
      <c r="AF522" s="2" t="str">
        <f t="shared" si="693"/>
        <v/>
      </c>
      <c r="AH522" s="2" t="str">
        <f t="shared" si="603"/>
        <v/>
      </c>
    </row>
    <row r="523" spans="1:35" x14ac:dyDescent="0.25">
      <c r="B523" s="2" t="str">
        <f t="shared" ref="B523:B548" si="694">_xlfn.CONCAT("@",AA523,AB523,AC523,AD523,AE523,AF523,AG523,AH523,AI523)</f>
        <v>@color-building_area_residential</v>
      </c>
      <c r="C523" s="58" t="s">
        <v>250</v>
      </c>
      <c r="D523" s="58" t="s">
        <v>250</v>
      </c>
      <c r="F523" s="59" t="s">
        <v>241</v>
      </c>
      <c r="G523" s="78" t="s">
        <v>222</v>
      </c>
      <c r="I523" s="58" t="s">
        <v>250</v>
      </c>
      <c r="J523" s="58" t="s">
        <v>250</v>
      </c>
      <c r="L523" s="59" t="s">
        <v>241</v>
      </c>
      <c r="M523" s="78" t="s">
        <v>222</v>
      </c>
      <c r="U523" s="58" t="s">
        <v>250</v>
      </c>
      <c r="V523" s="58" t="s">
        <v>250</v>
      </c>
      <c r="X523" s="59" t="s">
        <v>241</v>
      </c>
      <c r="Y523" s="78" t="s">
        <v>222</v>
      </c>
      <c r="AA523" s="2" t="s">
        <v>6</v>
      </c>
      <c r="AB523" s="2" t="str">
        <f t="shared" si="691"/>
        <v>-</v>
      </c>
      <c r="AC523" s="2" t="s">
        <v>246</v>
      </c>
      <c r="AD523" s="2" t="str">
        <f t="shared" si="692"/>
        <v>_</v>
      </c>
      <c r="AE523" s="2" t="s">
        <v>252</v>
      </c>
      <c r="AF523" s="2" t="str">
        <f t="shared" si="693"/>
        <v>_</v>
      </c>
      <c r="AG523" s="2" t="s">
        <v>60</v>
      </c>
      <c r="AH523" s="2" t="str">
        <f t="shared" si="603"/>
        <v/>
      </c>
      <c r="AI523" s="2"/>
    </row>
    <row r="524" spans="1:35" x14ac:dyDescent="0.25">
      <c r="B524" s="2" t="str">
        <f t="shared" si="694"/>
        <v>@color-building_area_generic</v>
      </c>
      <c r="C524" s="60" t="s">
        <v>249</v>
      </c>
      <c r="D524" s="60" t="s">
        <v>249</v>
      </c>
      <c r="F524" s="61" t="s">
        <v>247</v>
      </c>
      <c r="G524" s="109" t="s">
        <v>353</v>
      </c>
      <c r="I524" s="60" t="s">
        <v>249</v>
      </c>
      <c r="J524" s="60" t="s">
        <v>249</v>
      </c>
      <c r="L524" s="61" t="s">
        <v>247</v>
      </c>
      <c r="M524" s="109" t="s">
        <v>353</v>
      </c>
      <c r="U524" s="60" t="s">
        <v>249</v>
      </c>
      <c r="V524" s="60" t="s">
        <v>249</v>
      </c>
      <c r="X524" s="61" t="s">
        <v>247</v>
      </c>
      <c r="Y524" s="109" t="s">
        <v>353</v>
      </c>
      <c r="AA524" s="2" t="s">
        <v>6</v>
      </c>
      <c r="AB524" s="2" t="str">
        <f t="shared" ref="AB524" si="695">IF(NOT(ISBLANK(AC524)),"-","")</f>
        <v>-</v>
      </c>
      <c r="AC524" s="2" t="s">
        <v>246</v>
      </c>
      <c r="AD524" s="2" t="str">
        <f t="shared" ref="AD524" si="696">IF(NOT(ISBLANK(AE524)),"_","")</f>
        <v>_</v>
      </c>
      <c r="AE524" s="2" t="s">
        <v>252</v>
      </c>
      <c r="AF524" s="2" t="str">
        <f t="shared" ref="AF524" si="697">IF(NOT(ISBLANK(AG524)),"_","")</f>
        <v>_</v>
      </c>
      <c r="AG524" s="2" t="s">
        <v>248</v>
      </c>
      <c r="AH524" s="2" t="str">
        <f t="shared" si="603"/>
        <v/>
      </c>
      <c r="AI524" s="2"/>
    </row>
    <row r="525" spans="1:35" x14ac:dyDescent="0.25">
      <c r="B525" s="2" t="str">
        <f t="shared" si="694"/>
        <v>@color-building_line_top</v>
      </c>
      <c r="C525" s="60" t="s">
        <v>249</v>
      </c>
      <c r="D525" s="60" t="s">
        <v>249</v>
      </c>
      <c r="F525" s="61" t="s">
        <v>247</v>
      </c>
      <c r="G525" s="109" t="s">
        <v>353</v>
      </c>
      <c r="I525" s="60" t="s">
        <v>249</v>
      </c>
      <c r="J525" s="60" t="s">
        <v>249</v>
      </c>
      <c r="L525" s="61" t="s">
        <v>247</v>
      </c>
      <c r="M525" s="109" t="s">
        <v>353</v>
      </c>
      <c r="U525" s="60" t="s">
        <v>249</v>
      </c>
      <c r="V525" s="60" t="s">
        <v>249</v>
      </c>
      <c r="X525" s="61" t="s">
        <v>247</v>
      </c>
      <c r="Y525" s="109" t="s">
        <v>353</v>
      </c>
      <c r="AA525" s="2" t="s">
        <v>6</v>
      </c>
      <c r="AB525" s="2" t="str">
        <f t="shared" ref="AB525:AB526" si="698">IF(NOT(ISBLANK(AC525)),"-","")</f>
        <v>-</v>
      </c>
      <c r="AC525" s="2" t="s">
        <v>246</v>
      </c>
      <c r="AD525" s="2" t="str">
        <f t="shared" ref="AD525:AD526" si="699">IF(NOT(ISBLANK(AE525)),"_","")</f>
        <v>_</v>
      </c>
      <c r="AE525" s="2" t="s">
        <v>13</v>
      </c>
      <c r="AF525" s="2" t="str">
        <f t="shared" ref="AF525:AF526" si="700">IF(NOT(ISBLANK(AG525)),"_","")</f>
        <v>_</v>
      </c>
      <c r="AG525" s="2" t="s">
        <v>251</v>
      </c>
      <c r="AH525" s="2" t="str">
        <f t="shared" si="603"/>
        <v/>
      </c>
      <c r="AI525" s="2"/>
    </row>
    <row r="526" spans="1:35" x14ac:dyDescent="0.25">
      <c r="AB526" s="28" t="str">
        <f t="shared" si="698"/>
        <v/>
      </c>
      <c r="AD526" s="28" t="str">
        <f t="shared" si="699"/>
        <v/>
      </c>
      <c r="AF526" s="2" t="str">
        <f t="shared" si="700"/>
        <v/>
      </c>
      <c r="AH526" s="2" t="str">
        <f t="shared" si="603"/>
        <v/>
      </c>
    </row>
    <row r="527" spans="1:35" x14ac:dyDescent="0.25">
      <c r="AB527" s="28" t="str">
        <f t="shared" ref="AB527:AB533" si="701">IF(NOT(ISBLANK(AC527)),"-","")</f>
        <v/>
      </c>
      <c r="AD527" s="28" t="str">
        <f t="shared" ref="AD527:AD533" si="702">IF(NOT(ISBLANK(AE527)),"_","")</f>
        <v/>
      </c>
      <c r="AF527" s="2" t="str">
        <f t="shared" ref="AF527:AF533" si="703">IF(NOT(ISBLANK(AG527)),"_","")</f>
        <v/>
      </c>
      <c r="AH527" s="2" t="str">
        <f t="shared" ref="AH527:AH533" si="704">IF(NOT(ISBLANK(AI527)),"_","")</f>
        <v/>
      </c>
    </row>
    <row r="528" spans="1:35" x14ac:dyDescent="0.25">
      <c r="B528" s="2" t="str">
        <f>_xlfn.CONCAT("@",AA528,AB528,AC528,AD528,AE528,AF528,AG528,AH528,AI528)</f>
        <v>@icon_size-gate_z14</v>
      </c>
      <c r="C528" s="28" t="s">
        <v>120</v>
      </c>
      <c r="D528" s="28" t="s">
        <v>91</v>
      </c>
      <c r="F528" s="28" t="s">
        <v>120</v>
      </c>
      <c r="G528" s="28" t="s">
        <v>91</v>
      </c>
      <c r="I528" s="28" t="s">
        <v>120</v>
      </c>
      <c r="J528" s="28" t="s">
        <v>91</v>
      </c>
      <c r="L528" s="28" t="s">
        <v>120</v>
      </c>
      <c r="M528" s="28" t="s">
        <v>91</v>
      </c>
      <c r="U528" s="28" t="s">
        <v>120</v>
      </c>
      <c r="V528" s="28" t="s">
        <v>91</v>
      </c>
      <c r="X528" s="28" t="s">
        <v>120</v>
      </c>
      <c r="Y528" s="28" t="s">
        <v>91</v>
      </c>
      <c r="AA528" s="2" t="s">
        <v>467</v>
      </c>
      <c r="AB528" s="2" t="str">
        <f t="shared" si="701"/>
        <v>-</v>
      </c>
      <c r="AC528" s="2" t="s">
        <v>471</v>
      </c>
      <c r="AD528" s="2" t="str">
        <f t="shared" si="702"/>
        <v>_</v>
      </c>
      <c r="AE528" s="2" t="s">
        <v>70</v>
      </c>
      <c r="AF528" s="2" t="str">
        <f t="shared" si="703"/>
        <v/>
      </c>
      <c r="AG528" s="185"/>
      <c r="AH528" s="2" t="str">
        <f t="shared" si="704"/>
        <v/>
      </c>
      <c r="AI528" s="2"/>
    </row>
    <row r="529" spans="2:35" x14ac:dyDescent="0.25">
      <c r="B529" s="2" t="str">
        <f t="shared" ref="B529" si="705">_xlfn.CONCAT("@",AA529,AB529,AC529,AD529,AE529,AF529,AG529,AH529,AI529)</f>
        <v>@icon_size-gate_z16</v>
      </c>
      <c r="C529" s="28" t="s">
        <v>92</v>
      </c>
      <c r="D529" s="28" t="s">
        <v>76</v>
      </c>
      <c r="F529" s="28" t="s">
        <v>92</v>
      </c>
      <c r="G529" s="28" t="s">
        <v>76</v>
      </c>
      <c r="I529" s="28" t="s">
        <v>92</v>
      </c>
      <c r="J529" s="28" t="s">
        <v>76</v>
      </c>
      <c r="L529" s="28" t="s">
        <v>92</v>
      </c>
      <c r="M529" s="28" t="s">
        <v>76</v>
      </c>
      <c r="U529" s="28" t="s">
        <v>92</v>
      </c>
      <c r="V529" s="28" t="s">
        <v>76</v>
      </c>
      <c r="X529" s="28" t="s">
        <v>92</v>
      </c>
      <c r="Y529" s="28" t="s">
        <v>76</v>
      </c>
      <c r="AA529" s="2" t="s">
        <v>467</v>
      </c>
      <c r="AB529" s="2" t="str">
        <f t="shared" ref="AB529" si="706">IF(NOT(ISBLANK(AC529)),"-","")</f>
        <v>-</v>
      </c>
      <c r="AC529" s="2" t="s">
        <v>471</v>
      </c>
      <c r="AD529" s="2" t="str">
        <f t="shared" ref="AD529" si="707">IF(NOT(ISBLANK(AE529)),"_","")</f>
        <v>_</v>
      </c>
      <c r="AE529" s="2" t="s">
        <v>71</v>
      </c>
      <c r="AF529" s="2" t="str">
        <f t="shared" ref="AF529" si="708">IF(NOT(ISBLANK(AG529)),"_","")</f>
        <v/>
      </c>
      <c r="AG529" s="185"/>
      <c r="AH529" s="2" t="str">
        <f t="shared" ref="AH529" si="709">IF(NOT(ISBLANK(AI529)),"_","")</f>
        <v/>
      </c>
      <c r="AI529" s="2"/>
    </row>
    <row r="530" spans="2:35" x14ac:dyDescent="0.25">
      <c r="B530" s="2" t="str">
        <f t="shared" ref="B530" si="710">_xlfn.CONCAT("@",AA530,AB530,AC530,AD530,AE530,AF530,AG530,AH530,AI530)</f>
        <v>@icon_size-gate_z18</v>
      </c>
      <c r="C530" s="28" t="s">
        <v>76</v>
      </c>
      <c r="D530" s="28" t="s">
        <v>80</v>
      </c>
      <c r="F530" s="28" t="s">
        <v>76</v>
      </c>
      <c r="G530" s="28" t="s">
        <v>80</v>
      </c>
      <c r="I530" s="28" t="s">
        <v>76</v>
      </c>
      <c r="J530" s="28" t="s">
        <v>80</v>
      </c>
      <c r="L530" s="28" t="s">
        <v>76</v>
      </c>
      <c r="M530" s="28" t="s">
        <v>80</v>
      </c>
      <c r="U530" s="28" t="s">
        <v>76</v>
      </c>
      <c r="V530" s="28" t="s">
        <v>80</v>
      </c>
      <c r="X530" s="28" t="s">
        <v>76</v>
      </c>
      <c r="Y530" s="28" t="s">
        <v>80</v>
      </c>
      <c r="AA530" s="2" t="s">
        <v>467</v>
      </c>
      <c r="AB530" s="2" t="str">
        <f t="shared" ref="AB530" si="711">IF(NOT(ISBLANK(AC530)),"-","")</f>
        <v>-</v>
      </c>
      <c r="AC530" s="2" t="s">
        <v>471</v>
      </c>
      <c r="AD530" s="2" t="str">
        <f t="shared" ref="AD530" si="712">IF(NOT(ISBLANK(AE530)),"_","")</f>
        <v>_</v>
      </c>
      <c r="AE530" s="2" t="s">
        <v>72</v>
      </c>
      <c r="AF530" s="2" t="str">
        <f t="shared" ref="AF530" si="713">IF(NOT(ISBLANK(AG530)),"_","")</f>
        <v/>
      </c>
      <c r="AG530" s="185"/>
      <c r="AH530" s="2" t="str">
        <f t="shared" ref="AH530" si="714">IF(NOT(ISBLANK(AI530)),"_","")</f>
        <v/>
      </c>
      <c r="AI530" s="2"/>
    </row>
    <row r="531" spans="2:35" x14ac:dyDescent="0.25">
      <c r="AB531" s="28" t="str">
        <f t="shared" si="701"/>
        <v/>
      </c>
      <c r="AD531" s="28" t="str">
        <f t="shared" si="702"/>
        <v/>
      </c>
      <c r="AF531" s="2" t="str">
        <f t="shared" si="703"/>
        <v/>
      </c>
      <c r="AH531" s="2" t="str">
        <f t="shared" si="704"/>
        <v/>
      </c>
    </row>
    <row r="532" spans="2:35" x14ac:dyDescent="0.25">
      <c r="AB532" s="28" t="str">
        <f t="shared" ref="AB532" si="715">IF(NOT(ISBLANK(AC532)),"-","")</f>
        <v/>
      </c>
      <c r="AD532" s="28" t="str">
        <f t="shared" ref="AD532" si="716">IF(NOT(ISBLANK(AE532)),"_","")</f>
        <v/>
      </c>
      <c r="AF532" s="2" t="str">
        <f t="shared" ref="AF532" si="717">IF(NOT(ISBLANK(AG532)),"_","")</f>
        <v/>
      </c>
      <c r="AH532" s="2" t="str">
        <f t="shared" ref="AH532" si="718">IF(NOT(ISBLANK(AI532)),"_","")</f>
        <v/>
      </c>
    </row>
    <row r="533" spans="2:35" x14ac:dyDescent="0.25">
      <c r="B533" s="2" t="str">
        <f t="shared" ref="B533" si="719">_xlfn.CONCAT("@",AA533,AB533,AC533,AD533,AE533,AF533,AG533,AH533,AI533)</f>
        <v>@color-power_line_all</v>
      </c>
      <c r="C533" s="186" t="s">
        <v>463</v>
      </c>
      <c r="D533" s="186" t="s">
        <v>463</v>
      </c>
      <c r="F533" s="187" t="s">
        <v>464</v>
      </c>
      <c r="G533" s="187" t="s">
        <v>464</v>
      </c>
      <c r="I533" s="186" t="s">
        <v>463</v>
      </c>
      <c r="J533" s="186" t="s">
        <v>463</v>
      </c>
      <c r="L533" s="187" t="s">
        <v>464</v>
      </c>
      <c r="M533" s="187" t="s">
        <v>464</v>
      </c>
      <c r="U533" s="186" t="s">
        <v>463</v>
      </c>
      <c r="V533" s="186" t="s">
        <v>463</v>
      </c>
      <c r="X533" s="187" t="s">
        <v>464</v>
      </c>
      <c r="Y533" s="187" t="s">
        <v>464</v>
      </c>
      <c r="AA533" s="2" t="s">
        <v>6</v>
      </c>
      <c r="AB533" s="2" t="str">
        <f t="shared" si="701"/>
        <v>-</v>
      </c>
      <c r="AC533" s="2" t="s">
        <v>462</v>
      </c>
      <c r="AD533" s="2" t="str">
        <f t="shared" si="702"/>
        <v>_</v>
      </c>
      <c r="AE533" s="2" t="s">
        <v>13</v>
      </c>
      <c r="AF533" s="2" t="str">
        <f t="shared" si="703"/>
        <v>_</v>
      </c>
      <c r="AG533" s="2" t="s">
        <v>444</v>
      </c>
      <c r="AH533" s="2" t="str">
        <f t="shared" si="704"/>
        <v/>
      </c>
      <c r="AI533" s="2"/>
    </row>
    <row r="534" spans="2:35" x14ac:dyDescent="0.25">
      <c r="AB534" s="28" t="str">
        <f t="shared" ref="AB534" si="720">IF(NOT(ISBLANK(AC534)),"-","")</f>
        <v/>
      </c>
      <c r="AD534" s="28" t="str">
        <f t="shared" ref="AD534" si="721">IF(NOT(ISBLANK(AE534)),"_","")</f>
        <v/>
      </c>
      <c r="AF534" s="2" t="str">
        <f t="shared" ref="AF534" si="722">IF(NOT(ISBLANK(AG534)),"_","")</f>
        <v/>
      </c>
      <c r="AH534" s="2" t="str">
        <f t="shared" ref="AH534" si="723">IF(NOT(ISBLANK(AI534)),"_","")</f>
        <v/>
      </c>
    </row>
    <row r="535" spans="2:35" x14ac:dyDescent="0.25">
      <c r="AB535" s="28" t="str">
        <f t="shared" ref="AB535" si="724">IF(NOT(ISBLANK(AC535)),"-","")</f>
        <v/>
      </c>
      <c r="AD535" s="28" t="str">
        <f t="shared" ref="AD535" si="725">IF(NOT(ISBLANK(AE535)),"_","")</f>
        <v/>
      </c>
      <c r="AF535" s="2" t="str">
        <f t="shared" ref="AF535" si="726">IF(NOT(ISBLANK(AG535)),"_","")</f>
        <v/>
      </c>
      <c r="AH535" s="2" t="str">
        <f t="shared" ref="AH535" si="727">IF(NOT(ISBLANK(AI535)),"_","")</f>
        <v/>
      </c>
    </row>
    <row r="536" spans="2:35" x14ac:dyDescent="0.25">
      <c r="B536" s="2" t="str">
        <f t="shared" si="694"/>
        <v>@color-contours_line</v>
      </c>
      <c r="C536" s="62" t="s">
        <v>187</v>
      </c>
      <c r="D536" s="63" t="str">
        <f>C536</f>
        <v>"#916f4c"</v>
      </c>
      <c r="F536" s="64" t="s">
        <v>260</v>
      </c>
      <c r="G536" s="64" t="str">
        <f>F536</f>
        <v>"#5f472f"</v>
      </c>
      <c r="I536" s="62" t="s">
        <v>187</v>
      </c>
      <c r="J536" s="63" t="str">
        <f>I536</f>
        <v>"#916f4c"</v>
      </c>
      <c r="L536" s="64" t="s">
        <v>260</v>
      </c>
      <c r="M536" s="64" t="str">
        <f>L536</f>
        <v>"#5f472f"</v>
      </c>
      <c r="U536" s="62" t="s">
        <v>187</v>
      </c>
      <c r="V536" s="63" t="str">
        <f>U536</f>
        <v>"#916f4c"</v>
      </c>
      <c r="X536" s="64" t="s">
        <v>260</v>
      </c>
      <c r="Y536" s="64" t="str">
        <f>X536</f>
        <v>"#5f472f"</v>
      </c>
      <c r="AA536" s="2" t="s">
        <v>6</v>
      </c>
      <c r="AB536" s="2" t="str">
        <f t="shared" ref="AB536:AB543" si="728">IF(NOT(ISBLANK(AC536)),"-","")</f>
        <v>-</v>
      </c>
      <c r="AC536" s="2" t="s">
        <v>63</v>
      </c>
      <c r="AD536" s="2" t="str">
        <f t="shared" ref="AD536:AD543" si="729">IF(NOT(ISBLANK(AE536)),"_","")</f>
        <v>_</v>
      </c>
      <c r="AE536" s="2" t="s">
        <v>13</v>
      </c>
      <c r="AF536" s="2" t="str">
        <f>IF(NOT(ISBLANK(AG536)),"_","")</f>
        <v/>
      </c>
      <c r="AG536" s="2"/>
      <c r="AH536" s="2" t="str">
        <f>IF(NOT(ISBLANK(AI536)),"_","")</f>
        <v/>
      </c>
      <c r="AI536" s="2"/>
    </row>
    <row r="537" spans="2:35" x14ac:dyDescent="0.25">
      <c r="B537" s="2" t="str">
        <f t="shared" ref="B537" si="730">_xlfn.CONCAT("@",AA537,AB537,AC537,AD537,AE537,AF537,AG537,AH537,AI537)</f>
        <v>@color-water_contours_line_1500</v>
      </c>
      <c r="C537" s="101" t="s">
        <v>305</v>
      </c>
      <c r="D537" s="105" t="s">
        <v>310</v>
      </c>
      <c r="F537" s="102" t="s">
        <v>306</v>
      </c>
      <c r="G537" s="102" t="s">
        <v>306</v>
      </c>
      <c r="I537" s="101" t="s">
        <v>305</v>
      </c>
      <c r="J537" s="105" t="s">
        <v>310</v>
      </c>
      <c r="L537" s="102" t="s">
        <v>306</v>
      </c>
      <c r="M537" s="102" t="s">
        <v>306</v>
      </c>
      <c r="U537" s="101" t="s">
        <v>305</v>
      </c>
      <c r="V537" s="105" t="s">
        <v>310</v>
      </c>
      <c r="X537" s="102" t="s">
        <v>306</v>
      </c>
      <c r="Y537" s="102" t="s">
        <v>306</v>
      </c>
      <c r="AA537" s="2" t="s">
        <v>6</v>
      </c>
      <c r="AB537" s="2" t="str">
        <f t="shared" si="728"/>
        <v>-</v>
      </c>
      <c r="AC537" s="2" t="s">
        <v>304</v>
      </c>
      <c r="AD537" s="2" t="str">
        <f t="shared" si="729"/>
        <v>_</v>
      </c>
      <c r="AE537" s="2" t="s">
        <v>13</v>
      </c>
      <c r="AF537" s="2" t="str">
        <f>IF(NOT(ISBLANK(AG537)),"_","")</f>
        <v>_</v>
      </c>
      <c r="AG537" s="2">
        <v>1500</v>
      </c>
      <c r="AH537" s="2" t="str">
        <f>IF(NOT(ISBLANK(AI537)),"_","")</f>
        <v/>
      </c>
      <c r="AI537" s="2"/>
    </row>
    <row r="538" spans="2:35" x14ac:dyDescent="0.25">
      <c r="B538" s="2" t="str">
        <f t="shared" ref="B538" si="731">_xlfn.CONCAT("@",AA538,AB538,AC538,AD538,AE538,AF538,AG538,AH538,AI538)</f>
        <v>@color-water_contours_line_3000</v>
      </c>
      <c r="C538" s="103" t="s">
        <v>308</v>
      </c>
      <c r="D538" s="106" t="s">
        <v>311</v>
      </c>
      <c r="F538" s="102" t="s">
        <v>306</v>
      </c>
      <c r="G538" s="102" t="s">
        <v>306</v>
      </c>
      <c r="I538" s="103" t="s">
        <v>308</v>
      </c>
      <c r="J538" s="106" t="s">
        <v>311</v>
      </c>
      <c r="L538" s="102" t="s">
        <v>306</v>
      </c>
      <c r="M538" s="102" t="s">
        <v>306</v>
      </c>
      <c r="U538" s="103" t="s">
        <v>308</v>
      </c>
      <c r="V538" s="106" t="s">
        <v>311</v>
      </c>
      <c r="X538" s="102" t="s">
        <v>306</v>
      </c>
      <c r="Y538" s="102" t="s">
        <v>306</v>
      </c>
      <c r="AA538" s="2" t="s">
        <v>6</v>
      </c>
      <c r="AB538" s="2" t="str">
        <f t="shared" si="728"/>
        <v>-</v>
      </c>
      <c r="AC538" s="2" t="s">
        <v>304</v>
      </c>
      <c r="AD538" s="2" t="str">
        <f t="shared" si="729"/>
        <v>_</v>
      </c>
      <c r="AE538" s="2" t="s">
        <v>13</v>
      </c>
      <c r="AF538" s="2" t="str">
        <f>IF(NOT(ISBLANK(AG538)),"_","")</f>
        <v>_</v>
      </c>
      <c r="AG538" s="2">
        <v>3000</v>
      </c>
      <c r="AH538" s="2" t="str">
        <f>IF(NOT(ISBLANK(AI538)),"_","")</f>
        <v/>
      </c>
      <c r="AI538" s="2"/>
    </row>
    <row r="539" spans="2:35" x14ac:dyDescent="0.25">
      <c r="B539" s="2" t="str">
        <f t="shared" ref="B539" si="732">_xlfn.CONCAT("@",AA539,AB539,AC539,AD539,AE539,AF539,AG539,AH539,AI539)</f>
        <v>@color-water_contours_line_6000</v>
      </c>
      <c r="C539" s="104" t="s">
        <v>309</v>
      </c>
      <c r="D539" s="107" t="s">
        <v>312</v>
      </c>
      <c r="F539" s="102" t="s">
        <v>306</v>
      </c>
      <c r="G539" s="102" t="s">
        <v>306</v>
      </c>
      <c r="I539" s="104" t="s">
        <v>309</v>
      </c>
      <c r="J539" s="107" t="s">
        <v>312</v>
      </c>
      <c r="L539" s="102" t="s">
        <v>306</v>
      </c>
      <c r="M539" s="102" t="s">
        <v>306</v>
      </c>
      <c r="U539" s="104" t="s">
        <v>309</v>
      </c>
      <c r="V539" s="107" t="s">
        <v>312</v>
      </c>
      <c r="X539" s="102" t="s">
        <v>306</v>
      </c>
      <c r="Y539" s="102" t="s">
        <v>306</v>
      </c>
      <c r="AA539" s="2" t="s">
        <v>6</v>
      </c>
      <c r="AB539" s="2" t="str">
        <f t="shared" si="728"/>
        <v>-</v>
      </c>
      <c r="AC539" s="2" t="s">
        <v>304</v>
      </c>
      <c r="AD539" s="2" t="str">
        <f t="shared" si="729"/>
        <v>_</v>
      </c>
      <c r="AE539" s="2" t="s">
        <v>13</v>
      </c>
      <c r="AF539" s="2" t="str">
        <f>IF(NOT(ISBLANK(AG539)),"_","")</f>
        <v>_</v>
      </c>
      <c r="AG539" s="2">
        <v>6000</v>
      </c>
      <c r="AH539" s="2" t="str">
        <f t="shared" ref="AH539:AH560" si="733">IF(NOT(ISBLANK(AI539)),"_","")</f>
        <v/>
      </c>
      <c r="AI539" s="2"/>
    </row>
    <row r="540" spans="2:35" x14ac:dyDescent="0.25">
      <c r="B540" s="2" t="str">
        <f t="shared" ref="B540:B541" si="734">_xlfn.CONCAT("@",AA540,AB540,AC540,AD540,AE540,AF540,AG540,AH540,AI540)</f>
        <v>@color-water_contours_line_over6000</v>
      </c>
      <c r="C540" s="105" t="s">
        <v>310</v>
      </c>
      <c r="D540" s="108" t="s">
        <v>313</v>
      </c>
      <c r="F540" s="102" t="s">
        <v>306</v>
      </c>
      <c r="G540" s="102" t="s">
        <v>306</v>
      </c>
      <c r="I540" s="105" t="s">
        <v>310</v>
      </c>
      <c r="J540" s="108" t="s">
        <v>313</v>
      </c>
      <c r="L540" s="102" t="s">
        <v>306</v>
      </c>
      <c r="M540" s="102" t="s">
        <v>306</v>
      </c>
      <c r="U540" s="105" t="s">
        <v>310</v>
      </c>
      <c r="V540" s="108" t="s">
        <v>313</v>
      </c>
      <c r="X540" s="102" t="s">
        <v>306</v>
      </c>
      <c r="Y540" s="102" t="s">
        <v>306</v>
      </c>
      <c r="AA540" s="2" t="s">
        <v>6</v>
      </c>
      <c r="AB540" s="2" t="str">
        <f t="shared" si="728"/>
        <v>-</v>
      </c>
      <c r="AC540" s="2" t="s">
        <v>304</v>
      </c>
      <c r="AD540" s="2" t="str">
        <f t="shared" si="729"/>
        <v>_</v>
      </c>
      <c r="AE540" s="2" t="s">
        <v>13</v>
      </c>
      <c r="AF540" s="2" t="str">
        <f>IF(NOT(ISBLANK(AG540)),"_","")</f>
        <v>_</v>
      </c>
      <c r="AG540" s="2" t="s">
        <v>307</v>
      </c>
      <c r="AH540" s="2" t="str">
        <f t="shared" si="733"/>
        <v/>
      </c>
      <c r="AI540" s="2"/>
    </row>
    <row r="541" spans="2:35" x14ac:dyDescent="0.25">
      <c r="B541" s="2" t="str">
        <f t="shared" si="734"/>
        <v>@color-water_contours_label</v>
      </c>
      <c r="C541" s="104" t="s">
        <v>309</v>
      </c>
      <c r="D541" s="107" t="s">
        <v>312</v>
      </c>
      <c r="F541" s="102" t="s">
        <v>306</v>
      </c>
      <c r="G541" s="102" t="s">
        <v>306</v>
      </c>
      <c r="I541" s="104" t="s">
        <v>309</v>
      </c>
      <c r="J541" s="107" t="s">
        <v>312</v>
      </c>
      <c r="L541" s="102" t="s">
        <v>306</v>
      </c>
      <c r="M541" s="102" t="s">
        <v>306</v>
      </c>
      <c r="U541" s="104" t="s">
        <v>309</v>
      </c>
      <c r="V541" s="107" t="s">
        <v>312</v>
      </c>
      <c r="X541" s="102" t="s">
        <v>306</v>
      </c>
      <c r="Y541" s="102" t="s">
        <v>306</v>
      </c>
      <c r="AA541" s="2" t="s">
        <v>6</v>
      </c>
      <c r="AB541" s="2" t="str">
        <f t="shared" si="728"/>
        <v>-</v>
      </c>
      <c r="AC541" s="2" t="s">
        <v>304</v>
      </c>
      <c r="AD541" s="2" t="str">
        <f t="shared" si="729"/>
        <v>_</v>
      </c>
      <c r="AE541" s="2" t="s">
        <v>262</v>
      </c>
      <c r="AF541" s="2" t="str">
        <f t="shared" ref="AF541:AF560" si="735">IF(NOT(ISBLANK(AG541)),"_","")</f>
        <v/>
      </c>
      <c r="AG541" s="2"/>
      <c r="AH541" s="2" t="str">
        <f t="shared" si="733"/>
        <v/>
      </c>
      <c r="AI541" s="2"/>
    </row>
    <row r="542" spans="2:35" x14ac:dyDescent="0.25">
      <c r="B542" s="2" t="str">
        <f t="shared" ref="B542" si="736">_xlfn.CONCAT("@",AA542,AB542,AC542,AD542,AE542,AF542,AG542,AH542,AI542)</f>
        <v>@color-water_shipping_lane</v>
      </c>
      <c r="C542" s="47" t="s">
        <v>210</v>
      </c>
      <c r="D542" s="47" t="s">
        <v>210</v>
      </c>
      <c r="F542" s="46" t="s">
        <v>218</v>
      </c>
      <c r="G542" s="46" t="s">
        <v>218</v>
      </c>
      <c r="I542" s="47" t="s">
        <v>210</v>
      </c>
      <c r="J542" s="47" t="s">
        <v>210</v>
      </c>
      <c r="L542" s="46" t="s">
        <v>218</v>
      </c>
      <c r="M542" s="46" t="s">
        <v>218</v>
      </c>
      <c r="U542" s="47" t="s">
        <v>210</v>
      </c>
      <c r="V542" s="47" t="s">
        <v>210</v>
      </c>
      <c r="X542" s="46" t="s">
        <v>218</v>
      </c>
      <c r="Y542" s="46" t="s">
        <v>218</v>
      </c>
      <c r="AA542" s="2" t="s">
        <v>6</v>
      </c>
      <c r="AB542" s="2" t="str">
        <f t="shared" si="728"/>
        <v>-</v>
      </c>
      <c r="AC542" s="2" t="s">
        <v>314</v>
      </c>
      <c r="AD542" s="2" t="str">
        <f t="shared" si="729"/>
        <v/>
      </c>
      <c r="AE542" s="2"/>
      <c r="AF542" s="2" t="str">
        <f t="shared" si="735"/>
        <v/>
      </c>
      <c r="AG542" s="2"/>
      <c r="AH542" s="2" t="str">
        <f t="shared" si="733"/>
        <v/>
      </c>
      <c r="AI542" s="2"/>
    </row>
    <row r="543" spans="2:35" x14ac:dyDescent="0.25">
      <c r="B543" s="2" t="str">
        <f t="shared" si="694"/>
        <v>@color-cliff_line</v>
      </c>
      <c r="C543" s="47" t="s">
        <v>210</v>
      </c>
      <c r="D543" s="47" t="s">
        <v>210</v>
      </c>
      <c r="F543" s="46" t="s">
        <v>218</v>
      </c>
      <c r="G543" s="46" t="s">
        <v>218</v>
      </c>
      <c r="I543" s="47" t="s">
        <v>210</v>
      </c>
      <c r="J543" s="47" t="s">
        <v>210</v>
      </c>
      <c r="L543" s="46" t="s">
        <v>218</v>
      </c>
      <c r="M543" s="46" t="s">
        <v>218</v>
      </c>
      <c r="U543" s="47" t="s">
        <v>210</v>
      </c>
      <c r="V543" s="47" t="s">
        <v>210</v>
      </c>
      <c r="X543" s="46" t="s">
        <v>218</v>
      </c>
      <c r="Y543" s="46" t="s">
        <v>218</v>
      </c>
      <c r="AA543" s="2" t="s">
        <v>6</v>
      </c>
      <c r="AB543" s="2" t="str">
        <f t="shared" si="728"/>
        <v>-</v>
      </c>
      <c r="AC543" s="2" t="s">
        <v>261</v>
      </c>
      <c r="AD543" s="2" t="str">
        <f t="shared" si="729"/>
        <v>_</v>
      </c>
      <c r="AE543" s="2" t="s">
        <v>13</v>
      </c>
      <c r="AF543" s="2" t="str">
        <f t="shared" si="735"/>
        <v/>
      </c>
      <c r="AG543" s="2"/>
      <c r="AH543" s="2" t="str">
        <f t="shared" si="733"/>
        <v/>
      </c>
      <c r="AI543" s="2"/>
    </row>
    <row r="544" spans="2:35" x14ac:dyDescent="0.25">
      <c r="AB544" s="28" t="str">
        <f t="shared" si="600"/>
        <v/>
      </c>
      <c r="AD544" s="28" t="str">
        <f t="shared" si="601"/>
        <v/>
      </c>
      <c r="AF544" s="2" t="str">
        <f t="shared" si="735"/>
        <v/>
      </c>
      <c r="AH544" s="2" t="str">
        <f t="shared" si="733"/>
        <v/>
      </c>
    </row>
    <row r="545" spans="2:34" x14ac:dyDescent="0.25">
      <c r="B545" s="2" t="str">
        <f t="shared" si="694"/>
        <v>@line_width-ditch_z12</v>
      </c>
      <c r="C545" s="28" t="s">
        <v>91</v>
      </c>
      <c r="D545" s="28" t="s">
        <v>76</v>
      </c>
      <c r="F545" s="28" t="s">
        <v>91</v>
      </c>
      <c r="G545" s="28" t="s">
        <v>76</v>
      </c>
      <c r="I545" s="28" t="s">
        <v>91</v>
      </c>
      <c r="J545" s="28" t="s">
        <v>76</v>
      </c>
      <c r="L545" s="28" t="s">
        <v>91</v>
      </c>
      <c r="M545" s="28" t="s">
        <v>76</v>
      </c>
      <c r="O545" s="28" t="s">
        <v>91</v>
      </c>
      <c r="P545" s="28" t="s">
        <v>76</v>
      </c>
      <c r="R545" s="28" t="s">
        <v>91</v>
      </c>
      <c r="S545" s="28" t="s">
        <v>76</v>
      </c>
      <c r="U545" s="28" t="s">
        <v>91</v>
      </c>
      <c r="V545" s="28" t="s">
        <v>76</v>
      </c>
      <c r="X545" s="28" t="s">
        <v>91</v>
      </c>
      <c r="Y545" s="28" t="s">
        <v>76</v>
      </c>
      <c r="AA545" s="2" t="s">
        <v>115</v>
      </c>
      <c r="AB545" s="2" t="str">
        <f t="shared" si="600"/>
        <v>-</v>
      </c>
      <c r="AC545" s="28" t="s">
        <v>315</v>
      </c>
      <c r="AD545" s="2" t="str">
        <f t="shared" si="601"/>
        <v>_</v>
      </c>
      <c r="AE545" s="28" t="s">
        <v>105</v>
      </c>
      <c r="AF545" s="2" t="str">
        <f t="shared" si="735"/>
        <v/>
      </c>
      <c r="AH545" s="2" t="str">
        <f t="shared" si="733"/>
        <v/>
      </c>
    </row>
    <row r="546" spans="2:34" x14ac:dyDescent="0.25">
      <c r="B546" s="2" t="str">
        <f t="shared" si="694"/>
        <v>@line_width-ditch_z14</v>
      </c>
      <c r="C546" s="28" t="s">
        <v>80</v>
      </c>
      <c r="D546" s="28" t="s">
        <v>81</v>
      </c>
      <c r="F546" s="28" t="s">
        <v>80</v>
      </c>
      <c r="G546" s="28" t="s">
        <v>81</v>
      </c>
      <c r="I546" s="28" t="s">
        <v>80</v>
      </c>
      <c r="J546" s="28" t="s">
        <v>81</v>
      </c>
      <c r="L546" s="28" t="s">
        <v>80</v>
      </c>
      <c r="M546" s="28" t="s">
        <v>81</v>
      </c>
      <c r="O546" s="28" t="s">
        <v>80</v>
      </c>
      <c r="P546" s="28" t="s">
        <v>81</v>
      </c>
      <c r="R546" s="28" t="s">
        <v>80</v>
      </c>
      <c r="S546" s="28" t="s">
        <v>81</v>
      </c>
      <c r="U546" s="28" t="s">
        <v>80</v>
      </c>
      <c r="V546" s="28" t="s">
        <v>81</v>
      </c>
      <c r="X546" s="28" t="s">
        <v>80</v>
      </c>
      <c r="Y546" s="28" t="s">
        <v>81</v>
      </c>
      <c r="AA546" s="2" t="s">
        <v>115</v>
      </c>
      <c r="AB546" s="2" t="str">
        <f t="shared" si="600"/>
        <v>-</v>
      </c>
      <c r="AC546" s="28" t="s">
        <v>315</v>
      </c>
      <c r="AD546" s="2" t="str">
        <f t="shared" si="601"/>
        <v>_</v>
      </c>
      <c r="AE546" s="28" t="s">
        <v>70</v>
      </c>
      <c r="AF546" s="2" t="str">
        <f t="shared" si="735"/>
        <v/>
      </c>
      <c r="AH546" s="2" t="str">
        <f t="shared" si="733"/>
        <v/>
      </c>
    </row>
    <row r="547" spans="2:34" x14ac:dyDescent="0.25">
      <c r="B547" s="2" t="str">
        <f t="shared" si="694"/>
        <v>@line_width-ditch_z16</v>
      </c>
      <c r="C547" s="28" t="s">
        <v>88</v>
      </c>
      <c r="D547" s="28" t="s">
        <v>88</v>
      </c>
      <c r="F547" s="28" t="s">
        <v>88</v>
      </c>
      <c r="G547" s="28" t="s">
        <v>88</v>
      </c>
      <c r="I547" s="28" t="s">
        <v>88</v>
      </c>
      <c r="J547" s="28" t="s">
        <v>88</v>
      </c>
      <c r="L547" s="28" t="s">
        <v>88</v>
      </c>
      <c r="M547" s="28" t="s">
        <v>88</v>
      </c>
      <c r="O547" s="28" t="s">
        <v>88</v>
      </c>
      <c r="P547" s="28" t="s">
        <v>88</v>
      </c>
      <c r="R547" s="28" t="s">
        <v>88</v>
      </c>
      <c r="S547" s="28" t="s">
        <v>88</v>
      </c>
      <c r="U547" s="28" t="s">
        <v>88</v>
      </c>
      <c r="V547" s="28" t="s">
        <v>88</v>
      </c>
      <c r="X547" s="28" t="s">
        <v>88</v>
      </c>
      <c r="Y547" s="28" t="s">
        <v>88</v>
      </c>
      <c r="AA547" s="2" t="s">
        <v>115</v>
      </c>
      <c r="AB547" s="2" t="str">
        <f t="shared" si="600"/>
        <v>-</v>
      </c>
      <c r="AC547" s="28" t="s">
        <v>315</v>
      </c>
      <c r="AD547" s="2" t="str">
        <f t="shared" si="601"/>
        <v>_</v>
      </c>
      <c r="AE547" s="28" t="s">
        <v>71</v>
      </c>
      <c r="AF547" s="2" t="str">
        <f t="shared" si="735"/>
        <v/>
      </c>
      <c r="AH547" s="2" t="str">
        <f t="shared" si="733"/>
        <v/>
      </c>
    </row>
    <row r="548" spans="2:34" x14ac:dyDescent="0.25">
      <c r="B548" s="2" t="str">
        <f t="shared" si="694"/>
        <v>@line_width-ditch_z18</v>
      </c>
      <c r="C548" s="28" t="s">
        <v>317</v>
      </c>
      <c r="D548" s="28" t="s">
        <v>317</v>
      </c>
      <c r="F548" s="28" t="s">
        <v>317</v>
      </c>
      <c r="G548" s="28" t="s">
        <v>317</v>
      </c>
      <c r="I548" s="28" t="s">
        <v>317</v>
      </c>
      <c r="J548" s="28" t="s">
        <v>317</v>
      </c>
      <c r="L548" s="28" t="s">
        <v>317</v>
      </c>
      <c r="M548" s="28" t="s">
        <v>317</v>
      </c>
      <c r="O548" s="28" t="s">
        <v>317</v>
      </c>
      <c r="P548" s="28" t="s">
        <v>317</v>
      </c>
      <c r="R548" s="28" t="s">
        <v>317</v>
      </c>
      <c r="S548" s="28" t="s">
        <v>317</v>
      </c>
      <c r="U548" s="28" t="s">
        <v>317</v>
      </c>
      <c r="V548" s="28" t="s">
        <v>317</v>
      </c>
      <c r="X548" s="28" t="s">
        <v>317</v>
      </c>
      <c r="Y548" s="28" t="s">
        <v>317</v>
      </c>
      <c r="AA548" s="2" t="s">
        <v>115</v>
      </c>
      <c r="AB548" s="2" t="str">
        <f t="shared" si="600"/>
        <v>-</v>
      </c>
      <c r="AC548" s="28" t="s">
        <v>315</v>
      </c>
      <c r="AD548" s="2" t="str">
        <f t="shared" si="601"/>
        <v>_</v>
      </c>
      <c r="AE548" s="28" t="s">
        <v>72</v>
      </c>
      <c r="AF548" s="2" t="str">
        <f t="shared" si="735"/>
        <v/>
      </c>
      <c r="AH548" s="2" t="str">
        <f t="shared" si="733"/>
        <v/>
      </c>
    </row>
    <row r="549" spans="2:34" x14ac:dyDescent="0.25">
      <c r="B549" s="2"/>
      <c r="AA549" s="2"/>
      <c r="AB549" s="2"/>
      <c r="AD549" s="2"/>
      <c r="AF549" s="2"/>
      <c r="AH549" s="2"/>
    </row>
    <row r="550" spans="2:34" x14ac:dyDescent="0.25">
      <c r="B550" s="2" t="str">
        <f t="shared" ref="B550:B553" si="737">_xlfn.CONCAT("@",AA550,AB550,AC550,AD550,AE550,AF550,AG550,AH550,AI550)</f>
        <v>@line_width-stream_z12</v>
      </c>
      <c r="C550" s="28" t="s">
        <v>76</v>
      </c>
      <c r="D550" s="28" t="s">
        <v>81</v>
      </c>
      <c r="F550" s="28" t="s">
        <v>76</v>
      </c>
      <c r="G550" s="28" t="s">
        <v>81</v>
      </c>
      <c r="I550" s="28" t="s">
        <v>76</v>
      </c>
      <c r="J550" s="28" t="s">
        <v>81</v>
      </c>
      <c r="L550" s="28" t="s">
        <v>76</v>
      </c>
      <c r="M550" s="28" t="s">
        <v>81</v>
      </c>
      <c r="O550" s="28" t="s">
        <v>76</v>
      </c>
      <c r="P550" s="28" t="s">
        <v>81</v>
      </c>
      <c r="R550" s="28" t="s">
        <v>76</v>
      </c>
      <c r="S550" s="28" t="s">
        <v>81</v>
      </c>
      <c r="U550" s="28" t="s">
        <v>76</v>
      </c>
      <c r="V550" s="28" t="s">
        <v>81</v>
      </c>
      <c r="X550" s="28" t="s">
        <v>76</v>
      </c>
      <c r="Y550" s="28" t="s">
        <v>81</v>
      </c>
      <c r="AA550" s="2" t="s">
        <v>115</v>
      </c>
      <c r="AB550" s="2" t="str">
        <f t="shared" ref="AB550:AB553" si="738">IF(NOT(ISBLANK(AC550)),"-","")</f>
        <v>-</v>
      </c>
      <c r="AC550" s="28" t="s">
        <v>316</v>
      </c>
      <c r="AD550" s="2" t="str">
        <f t="shared" ref="AD550:AD553" si="739">IF(NOT(ISBLANK(AE550)),"_","")</f>
        <v>_</v>
      </c>
      <c r="AE550" s="28" t="s">
        <v>105</v>
      </c>
      <c r="AF550" s="2" t="str">
        <f t="shared" si="735"/>
        <v/>
      </c>
      <c r="AH550" s="2" t="str">
        <f t="shared" si="733"/>
        <v/>
      </c>
    </row>
    <row r="551" spans="2:34" x14ac:dyDescent="0.25">
      <c r="B551" s="2" t="str">
        <f t="shared" si="737"/>
        <v>@line_width-stream_z14</v>
      </c>
      <c r="C551" s="28" t="s">
        <v>86</v>
      </c>
      <c r="D551" s="28" t="s">
        <v>84</v>
      </c>
      <c r="F551" s="28" t="s">
        <v>86</v>
      </c>
      <c r="G551" s="28" t="s">
        <v>84</v>
      </c>
      <c r="I551" s="28" t="s">
        <v>86</v>
      </c>
      <c r="J551" s="28" t="s">
        <v>84</v>
      </c>
      <c r="L551" s="28" t="s">
        <v>86</v>
      </c>
      <c r="M551" s="28" t="s">
        <v>84</v>
      </c>
      <c r="O551" s="28" t="s">
        <v>86</v>
      </c>
      <c r="P551" s="28" t="s">
        <v>84</v>
      </c>
      <c r="R551" s="28" t="s">
        <v>86</v>
      </c>
      <c r="S551" s="28" t="s">
        <v>84</v>
      </c>
      <c r="U551" s="28" t="s">
        <v>86</v>
      </c>
      <c r="V551" s="28" t="s">
        <v>84</v>
      </c>
      <c r="X551" s="28" t="s">
        <v>86</v>
      </c>
      <c r="Y551" s="28" t="s">
        <v>84</v>
      </c>
      <c r="AA551" s="2" t="s">
        <v>115</v>
      </c>
      <c r="AB551" s="2" t="str">
        <f t="shared" si="738"/>
        <v>-</v>
      </c>
      <c r="AC551" s="28" t="s">
        <v>316</v>
      </c>
      <c r="AD551" s="2" t="str">
        <f t="shared" si="739"/>
        <v>_</v>
      </c>
      <c r="AE551" s="28" t="s">
        <v>70</v>
      </c>
      <c r="AF551" s="2" t="str">
        <f t="shared" si="735"/>
        <v/>
      </c>
      <c r="AH551" s="2" t="str">
        <f t="shared" si="733"/>
        <v/>
      </c>
    </row>
    <row r="552" spans="2:34" x14ac:dyDescent="0.25">
      <c r="B552" s="2" t="str">
        <f t="shared" si="737"/>
        <v>@line_width-stream_z16</v>
      </c>
      <c r="C552" s="28" t="s">
        <v>82</v>
      </c>
      <c r="D552" s="28" t="s">
        <v>82</v>
      </c>
      <c r="F552" s="28" t="s">
        <v>82</v>
      </c>
      <c r="G552" s="28" t="s">
        <v>82</v>
      </c>
      <c r="I552" s="28" t="s">
        <v>82</v>
      </c>
      <c r="J552" s="28" t="s">
        <v>82</v>
      </c>
      <c r="L552" s="28" t="s">
        <v>82</v>
      </c>
      <c r="M552" s="28" t="s">
        <v>82</v>
      </c>
      <c r="O552" s="28" t="s">
        <v>82</v>
      </c>
      <c r="P552" s="28" t="s">
        <v>82</v>
      </c>
      <c r="R552" s="28" t="s">
        <v>82</v>
      </c>
      <c r="S552" s="28" t="s">
        <v>82</v>
      </c>
      <c r="U552" s="28" t="s">
        <v>82</v>
      </c>
      <c r="V552" s="28" t="s">
        <v>82</v>
      </c>
      <c r="X552" s="28" t="s">
        <v>82</v>
      </c>
      <c r="Y552" s="28" t="s">
        <v>82</v>
      </c>
      <c r="AA552" s="2" t="s">
        <v>115</v>
      </c>
      <c r="AB552" s="2" t="str">
        <f t="shared" si="738"/>
        <v>-</v>
      </c>
      <c r="AC552" s="28" t="s">
        <v>316</v>
      </c>
      <c r="AD552" s="2" t="str">
        <f t="shared" si="739"/>
        <v>_</v>
      </c>
      <c r="AE552" s="28" t="s">
        <v>71</v>
      </c>
      <c r="AF552" s="2" t="str">
        <f t="shared" si="735"/>
        <v/>
      </c>
      <c r="AH552" s="2" t="str">
        <f t="shared" si="733"/>
        <v/>
      </c>
    </row>
    <row r="553" spans="2:34" x14ac:dyDescent="0.25">
      <c r="B553" s="2" t="str">
        <f t="shared" si="737"/>
        <v>@line_width-stream_z18</v>
      </c>
      <c r="C553" s="28" t="s">
        <v>318</v>
      </c>
      <c r="D553" s="28" t="s">
        <v>318</v>
      </c>
      <c r="F553" s="28" t="s">
        <v>318</v>
      </c>
      <c r="G553" s="28" t="s">
        <v>318</v>
      </c>
      <c r="I553" s="28" t="s">
        <v>318</v>
      </c>
      <c r="J553" s="28" t="s">
        <v>318</v>
      </c>
      <c r="L553" s="28" t="s">
        <v>318</v>
      </c>
      <c r="M553" s="28" t="s">
        <v>318</v>
      </c>
      <c r="O553" s="28" t="s">
        <v>318</v>
      </c>
      <c r="P553" s="28" t="s">
        <v>318</v>
      </c>
      <c r="R553" s="28" t="s">
        <v>318</v>
      </c>
      <c r="S553" s="28" t="s">
        <v>318</v>
      </c>
      <c r="U553" s="28" t="s">
        <v>318</v>
      </c>
      <c r="V553" s="28" t="s">
        <v>318</v>
      </c>
      <c r="X553" s="28" t="s">
        <v>318</v>
      </c>
      <c r="Y553" s="28" t="s">
        <v>318</v>
      </c>
      <c r="AA553" s="2" t="s">
        <v>115</v>
      </c>
      <c r="AB553" s="2" t="str">
        <f t="shared" si="738"/>
        <v>-</v>
      </c>
      <c r="AC553" s="28" t="s">
        <v>316</v>
      </c>
      <c r="AD553" s="2" t="str">
        <f t="shared" si="739"/>
        <v>_</v>
      </c>
      <c r="AE553" s="28" t="s">
        <v>72</v>
      </c>
      <c r="AF553" s="2" t="str">
        <f t="shared" si="735"/>
        <v/>
      </c>
      <c r="AH553" s="2" t="str">
        <f t="shared" si="733"/>
        <v/>
      </c>
    </row>
    <row r="554" spans="2:34" x14ac:dyDescent="0.25">
      <c r="B554" s="2"/>
      <c r="AA554" s="2"/>
      <c r="AB554" s="2"/>
      <c r="AD554" s="2"/>
      <c r="AF554" s="2"/>
      <c r="AH554" s="2"/>
    </row>
    <row r="555" spans="2:34" x14ac:dyDescent="0.25">
      <c r="B555" s="2" t="str">
        <f t="shared" ref="B555:B557" si="740">_xlfn.CONCAT("@",AA555,AB555,AC555,AD555,AE555,AF555,AG555,AH555,AI555)</f>
        <v>@line_width-canal_z13</v>
      </c>
      <c r="C555" s="28" t="s">
        <v>91</v>
      </c>
      <c r="D555" s="28" t="s">
        <v>76</v>
      </c>
      <c r="F555" s="28" t="s">
        <v>91</v>
      </c>
      <c r="G555" s="28" t="s">
        <v>76</v>
      </c>
      <c r="I555" s="28" t="s">
        <v>91</v>
      </c>
      <c r="J555" s="28" t="s">
        <v>76</v>
      </c>
      <c r="L555" s="28" t="s">
        <v>91</v>
      </c>
      <c r="M555" s="28" t="s">
        <v>76</v>
      </c>
      <c r="O555" s="28" t="s">
        <v>91</v>
      </c>
      <c r="P555" s="28" t="s">
        <v>76</v>
      </c>
      <c r="R555" s="28" t="s">
        <v>91</v>
      </c>
      <c r="S555" s="28" t="s">
        <v>76</v>
      </c>
      <c r="U555" s="28" t="s">
        <v>91</v>
      </c>
      <c r="V555" s="28" t="s">
        <v>76</v>
      </c>
      <c r="X555" s="28" t="s">
        <v>91</v>
      </c>
      <c r="Y555" s="28" t="s">
        <v>76</v>
      </c>
      <c r="AA555" s="2" t="s">
        <v>115</v>
      </c>
      <c r="AB555" s="2" t="str">
        <f t="shared" ref="AB555:AB557" si="741">IF(NOT(ISBLANK(AC555)),"-","")</f>
        <v>-</v>
      </c>
      <c r="AC555" s="28" t="s">
        <v>319</v>
      </c>
      <c r="AD555" s="2" t="str">
        <f t="shared" ref="AD555:AD557" si="742">IF(NOT(ISBLANK(AE555)),"_","")</f>
        <v>_</v>
      </c>
      <c r="AE555" s="28" t="s">
        <v>320</v>
      </c>
      <c r="AF555" s="2" t="str">
        <f t="shared" si="735"/>
        <v/>
      </c>
      <c r="AH555" s="2" t="str">
        <f t="shared" si="733"/>
        <v/>
      </c>
    </row>
    <row r="556" spans="2:34" x14ac:dyDescent="0.25">
      <c r="B556" s="2" t="str">
        <f t="shared" si="740"/>
        <v>@line_width-canal_z16</v>
      </c>
      <c r="C556" s="28" t="s">
        <v>124</v>
      </c>
      <c r="D556" s="28" t="s">
        <v>82</v>
      </c>
      <c r="F556" s="28" t="s">
        <v>124</v>
      </c>
      <c r="G556" s="28" t="s">
        <v>82</v>
      </c>
      <c r="I556" s="28" t="s">
        <v>124</v>
      </c>
      <c r="J556" s="28" t="s">
        <v>82</v>
      </c>
      <c r="L556" s="28" t="s">
        <v>124</v>
      </c>
      <c r="M556" s="28" t="s">
        <v>82</v>
      </c>
      <c r="O556" s="28" t="s">
        <v>124</v>
      </c>
      <c r="P556" s="28" t="s">
        <v>82</v>
      </c>
      <c r="R556" s="28" t="s">
        <v>124</v>
      </c>
      <c r="S556" s="28" t="s">
        <v>82</v>
      </c>
      <c r="U556" s="28" t="s">
        <v>124</v>
      </c>
      <c r="V556" s="28" t="s">
        <v>82</v>
      </c>
      <c r="X556" s="28" t="s">
        <v>124</v>
      </c>
      <c r="Y556" s="28" t="s">
        <v>82</v>
      </c>
      <c r="AA556" s="2" t="s">
        <v>115</v>
      </c>
      <c r="AB556" s="2" t="str">
        <f t="shared" si="741"/>
        <v>-</v>
      </c>
      <c r="AC556" s="28" t="s">
        <v>319</v>
      </c>
      <c r="AD556" s="2" t="str">
        <f t="shared" si="742"/>
        <v>_</v>
      </c>
      <c r="AE556" s="28" t="s">
        <v>71</v>
      </c>
      <c r="AF556" s="2" t="str">
        <f t="shared" si="735"/>
        <v/>
      </c>
      <c r="AH556" s="2" t="str">
        <f t="shared" si="733"/>
        <v/>
      </c>
    </row>
    <row r="557" spans="2:34" x14ac:dyDescent="0.25">
      <c r="B557" s="2" t="str">
        <f t="shared" si="740"/>
        <v>@line_width-canal_z20</v>
      </c>
      <c r="C557" s="28" t="s">
        <v>82</v>
      </c>
      <c r="D557" s="28" t="s">
        <v>83</v>
      </c>
      <c r="F557" s="28" t="s">
        <v>82</v>
      </c>
      <c r="G557" s="28" t="s">
        <v>83</v>
      </c>
      <c r="I557" s="28" t="s">
        <v>82</v>
      </c>
      <c r="J557" s="28" t="s">
        <v>83</v>
      </c>
      <c r="L557" s="28" t="s">
        <v>82</v>
      </c>
      <c r="M557" s="28" t="s">
        <v>83</v>
      </c>
      <c r="O557" s="28" t="s">
        <v>82</v>
      </c>
      <c r="P557" s="28" t="s">
        <v>83</v>
      </c>
      <c r="R557" s="28" t="s">
        <v>82</v>
      </c>
      <c r="S557" s="28" t="s">
        <v>83</v>
      </c>
      <c r="U557" s="28" t="s">
        <v>82</v>
      </c>
      <c r="V557" s="28" t="s">
        <v>83</v>
      </c>
      <c r="X557" s="28" t="s">
        <v>82</v>
      </c>
      <c r="Y557" s="28" t="s">
        <v>83</v>
      </c>
      <c r="AA557" s="2" t="s">
        <v>115</v>
      </c>
      <c r="AB557" s="2" t="str">
        <f t="shared" si="741"/>
        <v>-</v>
      </c>
      <c r="AC557" s="28" t="s">
        <v>319</v>
      </c>
      <c r="AD557" s="2" t="str">
        <f t="shared" si="742"/>
        <v>_</v>
      </c>
      <c r="AE557" s="28" t="s">
        <v>135</v>
      </c>
      <c r="AF557" s="2" t="str">
        <f t="shared" si="735"/>
        <v/>
      </c>
      <c r="AH557" s="2" t="str">
        <f t="shared" si="733"/>
        <v/>
      </c>
    </row>
    <row r="558" spans="2:34" x14ac:dyDescent="0.25">
      <c r="B558" s="2"/>
      <c r="AA558" s="2"/>
      <c r="AB558" s="2"/>
      <c r="AD558" s="2"/>
      <c r="AF558" s="2"/>
      <c r="AH558" s="2"/>
    </row>
    <row r="559" spans="2:34" x14ac:dyDescent="0.25">
      <c r="B559" s="2" t="str">
        <f t="shared" ref="B559:B560" si="743">_xlfn.CONCAT("@",AA559,AB559,AC559,AD559,AE559,AF559,AG559,AH559,AI559)</f>
        <v>@line_width-river_z10</v>
      </c>
      <c r="C559" s="28" t="s">
        <v>92</v>
      </c>
      <c r="D559" s="28" t="s">
        <v>93</v>
      </c>
      <c r="F559" s="28" t="s">
        <v>92</v>
      </c>
      <c r="G559" s="28" t="s">
        <v>93</v>
      </c>
      <c r="I559" s="28" t="s">
        <v>92</v>
      </c>
      <c r="J559" s="28" t="s">
        <v>93</v>
      </c>
      <c r="L559" s="28" t="s">
        <v>92</v>
      </c>
      <c r="M559" s="28" t="s">
        <v>93</v>
      </c>
      <c r="O559" s="28" t="s">
        <v>92</v>
      </c>
      <c r="P559" s="28" t="s">
        <v>93</v>
      </c>
      <c r="R559" s="28" t="s">
        <v>92</v>
      </c>
      <c r="S559" s="28" t="s">
        <v>93</v>
      </c>
      <c r="U559" s="28" t="s">
        <v>92</v>
      </c>
      <c r="V559" s="28" t="s">
        <v>93</v>
      </c>
      <c r="X559" s="28" t="s">
        <v>92</v>
      </c>
      <c r="Y559" s="28" t="s">
        <v>93</v>
      </c>
      <c r="AA559" s="2" t="s">
        <v>115</v>
      </c>
      <c r="AB559" s="2" t="str">
        <f t="shared" ref="AB559:AB560" si="744">IF(NOT(ISBLANK(AC559)),"-","")</f>
        <v>-</v>
      </c>
      <c r="AC559" s="28" t="s">
        <v>321</v>
      </c>
      <c r="AD559" s="2" t="str">
        <f t="shared" ref="AD559:AD560" si="745">IF(NOT(ISBLANK(AE559)),"_","")</f>
        <v>_</v>
      </c>
      <c r="AE559" s="28" t="s">
        <v>99</v>
      </c>
      <c r="AF559" s="2" t="str">
        <f t="shared" si="735"/>
        <v/>
      </c>
      <c r="AH559" s="2" t="str">
        <f t="shared" si="733"/>
        <v/>
      </c>
    </row>
    <row r="560" spans="2:34" x14ac:dyDescent="0.25">
      <c r="B560" s="2" t="str">
        <f t="shared" si="743"/>
        <v>@line_width-river_z20</v>
      </c>
      <c r="C560" s="28" t="s">
        <v>82</v>
      </c>
      <c r="D560" s="28" t="s">
        <v>322</v>
      </c>
      <c r="F560" s="28" t="s">
        <v>82</v>
      </c>
      <c r="G560" s="28" t="s">
        <v>322</v>
      </c>
      <c r="I560" s="28" t="s">
        <v>82</v>
      </c>
      <c r="J560" s="28" t="s">
        <v>322</v>
      </c>
      <c r="L560" s="28" t="s">
        <v>82</v>
      </c>
      <c r="M560" s="28" t="s">
        <v>322</v>
      </c>
      <c r="O560" s="28" t="s">
        <v>82</v>
      </c>
      <c r="P560" s="28" t="s">
        <v>322</v>
      </c>
      <c r="R560" s="28" t="s">
        <v>82</v>
      </c>
      <c r="S560" s="28" t="s">
        <v>322</v>
      </c>
      <c r="U560" s="28" t="s">
        <v>82</v>
      </c>
      <c r="V560" s="28" t="s">
        <v>322</v>
      </c>
      <c r="X560" s="28" t="s">
        <v>82</v>
      </c>
      <c r="Y560" s="28" t="s">
        <v>322</v>
      </c>
      <c r="AA560" s="2" t="s">
        <v>115</v>
      </c>
      <c r="AB560" s="2" t="str">
        <f t="shared" si="744"/>
        <v>-</v>
      </c>
      <c r="AC560" s="28" t="s">
        <v>321</v>
      </c>
      <c r="AD560" s="2" t="str">
        <f t="shared" si="745"/>
        <v>_</v>
      </c>
      <c r="AE560" s="28" t="s">
        <v>135</v>
      </c>
      <c r="AF560" s="2" t="str">
        <f t="shared" si="735"/>
        <v/>
      </c>
      <c r="AH560" s="2" t="str">
        <f t="shared" si="733"/>
        <v/>
      </c>
    </row>
    <row r="561" spans="1:35" x14ac:dyDescent="0.25">
      <c r="AA561" s="2"/>
    </row>
    <row r="562" spans="1:35" s="5" customFormat="1" x14ac:dyDescent="0.25">
      <c r="A562" s="184" t="s">
        <v>453</v>
      </c>
      <c r="B562" s="184"/>
      <c r="C562" s="184"/>
      <c r="D562" s="184"/>
      <c r="F562" s="184"/>
      <c r="G562" s="184"/>
      <c r="I562" s="184"/>
      <c r="J562" s="184"/>
      <c r="L562" s="184"/>
      <c r="M562" s="184"/>
      <c r="O562" s="184"/>
      <c r="P562" s="184"/>
      <c r="R562" s="184"/>
      <c r="S562" s="184"/>
      <c r="U562" s="184"/>
      <c r="V562" s="184"/>
      <c r="X562" s="184"/>
      <c r="Y562" s="184"/>
      <c r="AA562" s="184"/>
      <c r="AB562" s="184" t="str">
        <f t="shared" si="600"/>
        <v/>
      </c>
      <c r="AC562" s="184"/>
      <c r="AD562" s="184" t="str">
        <f t="shared" si="601"/>
        <v/>
      </c>
      <c r="AE562" s="184"/>
      <c r="AF562" s="184" t="str">
        <f t="shared" si="602"/>
        <v/>
      </c>
      <c r="AG562" s="184"/>
      <c r="AH562" s="184" t="str">
        <f t="shared" ref="AH562:AH599" si="746">IF(NOT(ISBLANK(AI562)),"_","")</f>
        <v/>
      </c>
      <c r="AI562" s="184"/>
    </row>
    <row r="563" spans="1:35" x14ac:dyDescent="0.25">
      <c r="AB563" s="28" t="str">
        <f t="shared" si="600"/>
        <v/>
      </c>
      <c r="AD563" s="28" t="str">
        <f t="shared" si="601"/>
        <v/>
      </c>
      <c r="AF563" s="2" t="str">
        <f t="shared" si="602"/>
        <v/>
      </c>
      <c r="AH563" s="2" t="str">
        <f t="shared" si="746"/>
        <v/>
      </c>
    </row>
    <row r="564" spans="1:35" s="2" customFormat="1" x14ac:dyDescent="0.25">
      <c r="A564" s="185"/>
      <c r="B564" s="3" t="s">
        <v>459</v>
      </c>
      <c r="C564" s="27"/>
      <c r="D564" s="6"/>
      <c r="E564" s="7"/>
      <c r="F564" s="6"/>
      <c r="G564" s="6"/>
      <c r="H564" s="7"/>
      <c r="I564" s="6"/>
      <c r="J564" s="6"/>
      <c r="K564" s="7"/>
      <c r="L564" s="6"/>
      <c r="M564" s="6"/>
      <c r="N564" s="7"/>
      <c r="O564" s="6"/>
      <c r="P564" s="6"/>
      <c r="Q564" s="7"/>
      <c r="R564" s="6"/>
      <c r="S564" s="6"/>
      <c r="T564" s="7"/>
      <c r="U564" s="6"/>
      <c r="V564" s="6"/>
      <c r="W564" s="7"/>
      <c r="X564" s="6"/>
      <c r="Y564" s="6"/>
      <c r="AA564" s="4"/>
      <c r="AB564" s="4" t="str">
        <f t="shared" si="600"/>
        <v/>
      </c>
      <c r="AC564" s="4"/>
      <c r="AD564" s="4" t="str">
        <f t="shared" si="601"/>
        <v/>
      </c>
      <c r="AE564" s="4"/>
      <c r="AF564" s="4" t="str">
        <f t="shared" si="602"/>
        <v/>
      </c>
      <c r="AG564" s="4"/>
      <c r="AH564" s="4" t="str">
        <f t="shared" si="746"/>
        <v/>
      </c>
      <c r="AI564" s="4"/>
    </row>
    <row r="565" spans="1:35" x14ac:dyDescent="0.25">
      <c r="AB565" s="28" t="str">
        <f t="shared" si="600"/>
        <v/>
      </c>
      <c r="AD565" s="28" t="str">
        <f t="shared" si="601"/>
        <v/>
      </c>
      <c r="AF565" s="28" t="str">
        <f t="shared" si="602"/>
        <v/>
      </c>
      <c r="AH565" s="28" t="str">
        <f t="shared" si="746"/>
        <v/>
      </c>
    </row>
    <row r="566" spans="1:35" x14ac:dyDescent="0.25">
      <c r="B566" s="2" t="str">
        <f t="shared" ref="B566:B590" si="747">_xlfn.CONCAT("@",AA566,AB566,AC566,AD566,AE566,AF566,AG566,AH566,AI566)</f>
        <v>@color-background</v>
      </c>
      <c r="C566" s="134" t="s">
        <v>188</v>
      </c>
      <c r="D566" s="38" t="s">
        <v>218</v>
      </c>
      <c r="F566" s="37" t="s">
        <v>210</v>
      </c>
      <c r="G566" s="37" t="s">
        <v>210</v>
      </c>
      <c r="I566" s="134" t="s">
        <v>188</v>
      </c>
      <c r="J566" s="38" t="s">
        <v>218</v>
      </c>
      <c r="L566" s="37" t="s">
        <v>210</v>
      </c>
      <c r="M566" s="37" t="s">
        <v>210</v>
      </c>
      <c r="U566" s="134" t="s">
        <v>188</v>
      </c>
      <c r="V566" s="38" t="s">
        <v>218</v>
      </c>
      <c r="X566" s="37" t="s">
        <v>210</v>
      </c>
      <c r="Y566" s="37" t="s">
        <v>210</v>
      </c>
      <c r="AA566" s="2" t="s">
        <v>6</v>
      </c>
      <c r="AB566" s="2" t="str">
        <f t="shared" si="600"/>
        <v>-</v>
      </c>
      <c r="AC566" s="2" t="s">
        <v>62</v>
      </c>
      <c r="AD566" s="2" t="str">
        <f t="shared" si="601"/>
        <v/>
      </c>
      <c r="AE566" s="2"/>
      <c r="AF566" s="2" t="str">
        <f t="shared" si="602"/>
        <v/>
      </c>
      <c r="AG566" s="2"/>
      <c r="AH566" s="2" t="str">
        <f t="shared" si="746"/>
        <v/>
      </c>
      <c r="AI566" s="2"/>
    </row>
    <row r="567" spans="1:35" x14ac:dyDescent="0.25">
      <c r="B567" s="2" t="str">
        <f t="shared" si="747"/>
        <v>@color-water</v>
      </c>
      <c r="C567" s="135" t="s">
        <v>189</v>
      </c>
      <c r="D567" s="136" t="s">
        <v>190</v>
      </c>
      <c r="F567" s="137" t="s">
        <v>229</v>
      </c>
      <c r="G567" s="137" t="s">
        <v>229</v>
      </c>
      <c r="I567" s="135" t="s">
        <v>189</v>
      </c>
      <c r="J567" s="136" t="s">
        <v>190</v>
      </c>
      <c r="L567" s="137" t="s">
        <v>229</v>
      </c>
      <c r="M567" s="137" t="s">
        <v>229</v>
      </c>
      <c r="U567" s="138" t="s">
        <v>397</v>
      </c>
      <c r="V567" s="136" t="s">
        <v>190</v>
      </c>
      <c r="X567" s="137" t="s">
        <v>229</v>
      </c>
      <c r="Y567" s="137" t="s">
        <v>229</v>
      </c>
      <c r="AA567" s="2" t="s">
        <v>6</v>
      </c>
      <c r="AB567" s="2" t="str">
        <f t="shared" si="600"/>
        <v>-</v>
      </c>
      <c r="AC567" s="2" t="s">
        <v>14</v>
      </c>
      <c r="AD567" s="2" t="str">
        <f t="shared" si="601"/>
        <v/>
      </c>
      <c r="AE567" s="2"/>
      <c r="AF567" s="2" t="str">
        <f t="shared" si="602"/>
        <v/>
      </c>
      <c r="AG567" s="2"/>
      <c r="AH567" s="2" t="str">
        <f t="shared" si="746"/>
        <v/>
      </c>
      <c r="AI567" s="2"/>
    </row>
    <row r="568" spans="1:35" x14ac:dyDescent="0.25">
      <c r="B568" s="2" t="str">
        <f t="shared" si="747"/>
        <v>@color-landcover_field</v>
      </c>
      <c r="C568" s="139" t="s">
        <v>191</v>
      </c>
      <c r="D568" s="140" t="s">
        <v>192</v>
      </c>
      <c r="F568" s="141" t="s">
        <v>232</v>
      </c>
      <c r="G568" s="141" t="s">
        <v>232</v>
      </c>
      <c r="I568" s="142" t="s">
        <v>354</v>
      </c>
      <c r="J568" s="140" t="s">
        <v>192</v>
      </c>
      <c r="L568" s="141" t="s">
        <v>232</v>
      </c>
      <c r="M568" s="141" t="s">
        <v>232</v>
      </c>
      <c r="U568" s="143" t="s">
        <v>398</v>
      </c>
      <c r="V568" s="144" t="s">
        <v>399</v>
      </c>
      <c r="X568" s="141" t="s">
        <v>232</v>
      </c>
      <c r="Y568" s="141" t="s">
        <v>232</v>
      </c>
      <c r="AA568" s="2" t="s">
        <v>6</v>
      </c>
      <c r="AB568" s="2" t="str">
        <f t="shared" si="600"/>
        <v>-</v>
      </c>
      <c r="AC568" s="2" t="s">
        <v>47</v>
      </c>
      <c r="AD568" s="2" t="str">
        <f t="shared" si="601"/>
        <v>_</v>
      </c>
      <c r="AE568" s="2" t="s">
        <v>42</v>
      </c>
      <c r="AF568" s="2" t="str">
        <f t="shared" si="602"/>
        <v/>
      </c>
      <c r="AG568" s="2"/>
      <c r="AH568" s="2" t="str">
        <f t="shared" si="746"/>
        <v/>
      </c>
      <c r="AI568" s="2"/>
    </row>
    <row r="569" spans="1:35" x14ac:dyDescent="0.25">
      <c r="B569" s="2" t="str">
        <f t="shared" si="747"/>
        <v>@color-landcover_meadow</v>
      </c>
      <c r="C569" s="145" t="s">
        <v>193</v>
      </c>
      <c r="D569" s="146" t="s">
        <v>194</v>
      </c>
      <c r="F569" s="147" t="s">
        <v>231</v>
      </c>
      <c r="G569" s="147" t="s">
        <v>231</v>
      </c>
      <c r="I569" s="148" t="s">
        <v>355</v>
      </c>
      <c r="J569" s="146" t="s">
        <v>194</v>
      </c>
      <c r="L569" s="147" t="s">
        <v>231</v>
      </c>
      <c r="M569" s="147" t="s">
        <v>231</v>
      </c>
      <c r="U569" s="149" t="s">
        <v>400</v>
      </c>
      <c r="V569" s="150" t="s">
        <v>401</v>
      </c>
      <c r="X569" s="151" t="s">
        <v>404</v>
      </c>
      <c r="Y569" s="151" t="s">
        <v>404</v>
      </c>
      <c r="AA569" s="2" t="s">
        <v>6</v>
      </c>
      <c r="AB569" s="2" t="str">
        <f t="shared" si="600"/>
        <v>-</v>
      </c>
      <c r="AC569" s="2" t="s">
        <v>47</v>
      </c>
      <c r="AD569" s="2" t="str">
        <f t="shared" si="601"/>
        <v>_</v>
      </c>
      <c r="AE569" s="2" t="s">
        <v>43</v>
      </c>
      <c r="AF569" s="2" t="str">
        <f t="shared" si="602"/>
        <v/>
      </c>
      <c r="AG569" s="2"/>
      <c r="AH569" s="2" t="str">
        <f t="shared" si="746"/>
        <v/>
      </c>
      <c r="AI569" s="2"/>
    </row>
    <row r="570" spans="1:35" x14ac:dyDescent="0.25">
      <c r="B570" s="2" t="str">
        <f t="shared" si="747"/>
        <v>@color-landcover_bare_rock</v>
      </c>
      <c r="C570" s="152" t="s">
        <v>195</v>
      </c>
      <c r="D570" s="152" t="s">
        <v>195</v>
      </c>
      <c r="F570" s="153" t="s">
        <v>236</v>
      </c>
      <c r="G570" s="153" t="s">
        <v>236</v>
      </c>
      <c r="I570" s="152" t="s">
        <v>195</v>
      </c>
      <c r="J570" s="152" t="s">
        <v>195</v>
      </c>
      <c r="L570" s="153" t="s">
        <v>236</v>
      </c>
      <c r="M570" s="153" t="s">
        <v>236</v>
      </c>
      <c r="U570" s="152" t="s">
        <v>195</v>
      </c>
      <c r="V570" s="152" t="s">
        <v>195</v>
      </c>
      <c r="X570" s="153" t="s">
        <v>236</v>
      </c>
      <c r="Y570" s="153" t="s">
        <v>236</v>
      </c>
      <c r="AA570" s="2" t="s">
        <v>6</v>
      </c>
      <c r="AB570" s="2" t="str">
        <f t="shared" si="600"/>
        <v>-</v>
      </c>
      <c r="AC570" s="2" t="s">
        <v>47</v>
      </c>
      <c r="AD570" s="2" t="str">
        <f t="shared" si="601"/>
        <v>_</v>
      </c>
      <c r="AE570" s="2" t="s">
        <v>44</v>
      </c>
      <c r="AF570" s="2" t="str">
        <f t="shared" si="602"/>
        <v/>
      </c>
      <c r="AG570" s="2"/>
      <c r="AH570" s="2" t="str">
        <f t="shared" si="746"/>
        <v/>
      </c>
      <c r="AI570" s="2"/>
    </row>
    <row r="571" spans="1:35" x14ac:dyDescent="0.25">
      <c r="B571" s="2" t="str">
        <f t="shared" si="747"/>
        <v>@color-landcover_sand</v>
      </c>
      <c r="C571" s="154" t="s">
        <v>196</v>
      </c>
      <c r="D571" s="38" t="s">
        <v>218</v>
      </c>
      <c r="F571" s="155" t="s">
        <v>237</v>
      </c>
      <c r="G571" s="37" t="s">
        <v>210</v>
      </c>
      <c r="I571" s="154" t="s">
        <v>196</v>
      </c>
      <c r="J571" s="38" t="s">
        <v>218</v>
      </c>
      <c r="L571" s="155" t="s">
        <v>237</v>
      </c>
      <c r="M571" s="37" t="s">
        <v>210</v>
      </c>
      <c r="U571" s="156" t="s">
        <v>402</v>
      </c>
      <c r="V571" s="38" t="s">
        <v>218</v>
      </c>
      <c r="X571" s="155" t="s">
        <v>237</v>
      </c>
      <c r="Y571" s="37" t="s">
        <v>210</v>
      </c>
      <c r="AA571" s="2" t="s">
        <v>6</v>
      </c>
      <c r="AB571" s="2" t="str">
        <f t="shared" si="600"/>
        <v>-</v>
      </c>
      <c r="AC571" s="2" t="s">
        <v>47</v>
      </c>
      <c r="AD571" s="2" t="str">
        <f t="shared" si="601"/>
        <v>_</v>
      </c>
      <c r="AE571" s="2" t="s">
        <v>45</v>
      </c>
      <c r="AF571" s="2" t="str">
        <f t="shared" si="602"/>
        <v/>
      </c>
      <c r="AG571" s="2"/>
      <c r="AH571" s="2" t="str">
        <f t="shared" si="746"/>
        <v/>
      </c>
      <c r="AI571" s="2"/>
    </row>
    <row r="572" spans="1:35" x14ac:dyDescent="0.25">
      <c r="B572" s="2" t="str">
        <f t="shared" si="747"/>
        <v>@color-landcover_allotments</v>
      </c>
      <c r="C572" s="157" t="s">
        <v>197</v>
      </c>
      <c r="D572" s="157" t="s">
        <v>197</v>
      </c>
      <c r="F572" s="158" t="s">
        <v>238</v>
      </c>
      <c r="G572" s="158" t="s">
        <v>238</v>
      </c>
      <c r="I572" s="157" t="s">
        <v>197</v>
      </c>
      <c r="J572" s="157" t="s">
        <v>197</v>
      </c>
      <c r="L572" s="158" t="s">
        <v>238</v>
      </c>
      <c r="M572" s="158" t="s">
        <v>238</v>
      </c>
      <c r="U572" s="157" t="s">
        <v>197</v>
      </c>
      <c r="V572" s="157" t="s">
        <v>197</v>
      </c>
      <c r="X572" s="158" t="s">
        <v>238</v>
      </c>
      <c r="Y572" s="158" t="s">
        <v>238</v>
      </c>
      <c r="AA572" s="2" t="s">
        <v>6</v>
      </c>
      <c r="AB572" s="2" t="str">
        <f t="shared" si="600"/>
        <v>-</v>
      </c>
      <c r="AC572" s="2" t="s">
        <v>47</v>
      </c>
      <c r="AD572" s="2" t="str">
        <f t="shared" si="601"/>
        <v>_</v>
      </c>
      <c r="AE572" s="2" t="s">
        <v>46</v>
      </c>
      <c r="AF572" s="2" t="str">
        <f t="shared" si="602"/>
        <v/>
      </c>
      <c r="AG572" s="2"/>
      <c r="AH572" s="2" t="str">
        <f t="shared" si="746"/>
        <v/>
      </c>
      <c r="AI572" s="2"/>
    </row>
    <row r="573" spans="1:35" x14ac:dyDescent="0.25">
      <c r="B573" s="2" t="str">
        <f t="shared" si="747"/>
        <v>@color-landcover_heath_fell</v>
      </c>
      <c r="C573" s="159" t="s">
        <v>198</v>
      </c>
      <c r="D573" s="38" t="s">
        <v>218</v>
      </c>
      <c r="F573" s="160" t="s">
        <v>239</v>
      </c>
      <c r="G573" s="37" t="s">
        <v>210</v>
      </c>
      <c r="I573" s="159" t="s">
        <v>198</v>
      </c>
      <c r="J573" s="38" t="s">
        <v>218</v>
      </c>
      <c r="L573" s="160" t="s">
        <v>239</v>
      </c>
      <c r="M573" s="37" t="s">
        <v>210</v>
      </c>
      <c r="U573" s="159" t="s">
        <v>198</v>
      </c>
      <c r="V573" s="38" t="s">
        <v>218</v>
      </c>
      <c r="X573" s="160" t="s">
        <v>239</v>
      </c>
      <c r="Y573" s="37" t="s">
        <v>210</v>
      </c>
      <c r="AA573" s="2" t="s">
        <v>6</v>
      </c>
      <c r="AB573" s="2" t="str">
        <f t="shared" si="600"/>
        <v>-</v>
      </c>
      <c r="AC573" s="2" t="s">
        <v>47</v>
      </c>
      <c r="AD573" s="2" t="str">
        <f t="shared" si="601"/>
        <v>_</v>
      </c>
      <c r="AE573" s="2" t="s">
        <v>48</v>
      </c>
      <c r="AF573" s="2" t="str">
        <f t="shared" si="602"/>
        <v/>
      </c>
      <c r="AG573" s="2"/>
      <c r="AH573" s="2" t="str">
        <f t="shared" si="746"/>
        <v/>
      </c>
      <c r="AI573" s="2"/>
    </row>
    <row r="574" spans="1:35" x14ac:dyDescent="0.25">
      <c r="B574" s="2" t="str">
        <f t="shared" si="747"/>
        <v>@color-landcover_grass</v>
      </c>
      <c r="C574" s="161" t="s">
        <v>199</v>
      </c>
      <c r="D574" s="38" t="s">
        <v>218</v>
      </c>
      <c r="F574" s="162" t="s">
        <v>266</v>
      </c>
      <c r="G574" s="37" t="s">
        <v>210</v>
      </c>
      <c r="I574" s="161" t="s">
        <v>199</v>
      </c>
      <c r="J574" s="38" t="s">
        <v>218</v>
      </c>
      <c r="L574" s="162" t="s">
        <v>266</v>
      </c>
      <c r="M574" s="37" t="s">
        <v>210</v>
      </c>
      <c r="U574" s="161" t="s">
        <v>199</v>
      </c>
      <c r="V574" s="38" t="s">
        <v>218</v>
      </c>
      <c r="X574" s="162" t="s">
        <v>266</v>
      </c>
      <c r="Y574" s="37" t="s">
        <v>210</v>
      </c>
      <c r="AA574" s="2" t="s">
        <v>6</v>
      </c>
      <c r="AB574" s="2" t="str">
        <f t="shared" si="600"/>
        <v>-</v>
      </c>
      <c r="AC574" s="2" t="s">
        <v>47</v>
      </c>
      <c r="AD574" s="2" t="str">
        <f t="shared" si="601"/>
        <v>_</v>
      </c>
      <c r="AE574" s="2" t="s">
        <v>49</v>
      </c>
      <c r="AF574" s="2" t="str">
        <f t="shared" si="602"/>
        <v/>
      </c>
      <c r="AG574" s="2"/>
      <c r="AH574" s="2" t="str">
        <f t="shared" si="746"/>
        <v/>
      </c>
      <c r="AI574" s="2"/>
    </row>
    <row r="575" spans="1:35" x14ac:dyDescent="0.25">
      <c r="B575" s="2" t="str">
        <f t="shared" si="747"/>
        <v>@color-landcover_quarry</v>
      </c>
      <c r="C575" s="163" t="s">
        <v>200</v>
      </c>
      <c r="D575" s="163" t="s">
        <v>200</v>
      </c>
      <c r="F575" s="164" t="s">
        <v>240</v>
      </c>
      <c r="G575" s="164" t="s">
        <v>240</v>
      </c>
      <c r="I575" s="163" t="s">
        <v>200</v>
      </c>
      <c r="J575" s="163" t="s">
        <v>200</v>
      </c>
      <c r="L575" s="164" t="s">
        <v>240</v>
      </c>
      <c r="M575" s="164" t="s">
        <v>240</v>
      </c>
      <c r="U575" s="163" t="s">
        <v>200</v>
      </c>
      <c r="V575" s="163" t="s">
        <v>200</v>
      </c>
      <c r="X575" s="164" t="s">
        <v>240</v>
      </c>
      <c r="Y575" s="164" t="s">
        <v>240</v>
      </c>
      <c r="AA575" s="2" t="s">
        <v>6</v>
      </c>
      <c r="AB575" s="2" t="str">
        <f t="shared" si="600"/>
        <v>-</v>
      </c>
      <c r="AC575" s="2" t="s">
        <v>47</v>
      </c>
      <c r="AD575" s="2" t="str">
        <f t="shared" si="601"/>
        <v>_</v>
      </c>
      <c r="AE575" s="2" t="s">
        <v>50</v>
      </c>
      <c r="AF575" s="2" t="str">
        <f t="shared" si="602"/>
        <v/>
      </c>
      <c r="AG575" s="2"/>
      <c r="AH575" s="2" t="str">
        <f t="shared" si="746"/>
        <v/>
      </c>
      <c r="AI575" s="2"/>
    </row>
    <row r="576" spans="1:35" x14ac:dyDescent="0.25">
      <c r="B576" s="2" t="str">
        <f t="shared" si="747"/>
        <v>@color-landcover_storage</v>
      </c>
      <c r="C576" s="165" t="s">
        <v>201</v>
      </c>
      <c r="D576" s="165" t="s">
        <v>201</v>
      </c>
      <c r="F576" s="166" t="s">
        <v>253</v>
      </c>
      <c r="G576" s="166" t="s">
        <v>253</v>
      </c>
      <c r="I576" s="165" t="s">
        <v>201</v>
      </c>
      <c r="J576" s="165" t="s">
        <v>201</v>
      </c>
      <c r="L576" s="166" t="s">
        <v>253</v>
      </c>
      <c r="M576" s="166" t="s">
        <v>253</v>
      </c>
      <c r="U576" s="165" t="s">
        <v>201</v>
      </c>
      <c r="V576" s="165" t="s">
        <v>201</v>
      </c>
      <c r="X576" s="166" t="s">
        <v>253</v>
      </c>
      <c r="Y576" s="166" t="s">
        <v>253</v>
      </c>
      <c r="AA576" s="2" t="s">
        <v>6</v>
      </c>
      <c r="AB576" s="2" t="str">
        <f t="shared" si="600"/>
        <v>-</v>
      </c>
      <c r="AC576" s="2" t="s">
        <v>47</v>
      </c>
      <c r="AD576" s="2" t="str">
        <f t="shared" si="601"/>
        <v>_</v>
      </c>
      <c r="AE576" s="2" t="s">
        <v>51</v>
      </c>
      <c r="AF576" s="2" t="str">
        <f t="shared" si="602"/>
        <v/>
      </c>
      <c r="AG576" s="2"/>
      <c r="AH576" s="2" t="str">
        <f t="shared" si="746"/>
        <v/>
      </c>
      <c r="AI576" s="2"/>
    </row>
    <row r="577" spans="1:35" x14ac:dyDescent="0.25">
      <c r="B577" s="2" t="str">
        <f t="shared" si="747"/>
        <v>@color-landcover_wood</v>
      </c>
      <c r="C577" s="167" t="s">
        <v>202</v>
      </c>
      <c r="D577" s="167" t="s">
        <v>202</v>
      </c>
      <c r="F577" s="168" t="s">
        <v>230</v>
      </c>
      <c r="G577" s="168" t="s">
        <v>230</v>
      </c>
      <c r="I577" s="167" t="s">
        <v>202</v>
      </c>
      <c r="J577" s="167" t="s">
        <v>202</v>
      </c>
      <c r="L577" s="168" t="s">
        <v>230</v>
      </c>
      <c r="M577" s="168" t="s">
        <v>230</v>
      </c>
      <c r="U577" s="167" t="s">
        <v>202</v>
      </c>
      <c r="V577" s="167" t="s">
        <v>202</v>
      </c>
      <c r="X577" s="168" t="s">
        <v>230</v>
      </c>
      <c r="Y577" s="168" t="s">
        <v>230</v>
      </c>
      <c r="AA577" s="2" t="s">
        <v>6</v>
      </c>
      <c r="AB577" s="2" t="str">
        <f t="shared" si="600"/>
        <v>-</v>
      </c>
      <c r="AC577" s="2" t="s">
        <v>47</v>
      </c>
      <c r="AD577" s="2" t="str">
        <f t="shared" si="601"/>
        <v>_</v>
      </c>
      <c r="AE577" s="2" t="s">
        <v>52</v>
      </c>
      <c r="AF577" s="2" t="str">
        <f t="shared" si="602"/>
        <v/>
      </c>
      <c r="AG577" s="2"/>
      <c r="AH577" s="2" t="str">
        <f t="shared" si="746"/>
        <v/>
      </c>
      <c r="AI577" s="2"/>
    </row>
    <row r="578" spans="1:35" x14ac:dyDescent="0.25">
      <c r="B578" s="2" t="str">
        <f t="shared" si="747"/>
        <v>@color-landcover_parking_area</v>
      </c>
      <c r="C578" s="169" t="s">
        <v>203</v>
      </c>
      <c r="D578" s="169" t="s">
        <v>203</v>
      </c>
      <c r="F578" s="170" t="s">
        <v>241</v>
      </c>
      <c r="G578" s="170" t="s">
        <v>241</v>
      </c>
      <c r="I578" s="169" t="s">
        <v>203</v>
      </c>
      <c r="J578" s="169" t="s">
        <v>203</v>
      </c>
      <c r="L578" s="170" t="s">
        <v>241</v>
      </c>
      <c r="M578" s="170" t="s">
        <v>241</v>
      </c>
      <c r="U578" s="169" t="s">
        <v>203</v>
      </c>
      <c r="V578" s="169" t="s">
        <v>203</v>
      </c>
      <c r="X578" s="170" t="s">
        <v>241</v>
      </c>
      <c r="Y578" s="170" t="s">
        <v>241</v>
      </c>
      <c r="AA578" s="2" t="s">
        <v>6</v>
      </c>
      <c r="AB578" s="2" t="str">
        <f t="shared" si="600"/>
        <v>-</v>
      </c>
      <c r="AC578" s="2" t="s">
        <v>47</v>
      </c>
      <c r="AD578" s="2" t="str">
        <f t="shared" si="601"/>
        <v>_</v>
      </c>
      <c r="AE578" s="2" t="s">
        <v>53</v>
      </c>
      <c r="AF578" s="2" t="str">
        <f t="shared" si="602"/>
        <v/>
      </c>
      <c r="AG578" s="2"/>
      <c r="AH578" s="2" t="str">
        <f t="shared" si="746"/>
        <v/>
      </c>
      <c r="AI578" s="2"/>
    </row>
    <row r="579" spans="1:35" x14ac:dyDescent="0.25">
      <c r="B579" s="2" t="str">
        <f t="shared" si="747"/>
        <v>@color-landcover_railway</v>
      </c>
      <c r="C579" s="171" t="s">
        <v>204</v>
      </c>
      <c r="D579" s="171" t="s">
        <v>204</v>
      </c>
      <c r="F579" s="172" t="s">
        <v>242</v>
      </c>
      <c r="G579" s="172" t="s">
        <v>242</v>
      </c>
      <c r="I579" s="171" t="s">
        <v>204</v>
      </c>
      <c r="J579" s="171" t="s">
        <v>204</v>
      </c>
      <c r="L579" s="172" t="s">
        <v>242</v>
      </c>
      <c r="M579" s="172" t="s">
        <v>242</v>
      </c>
      <c r="U579" s="171" t="s">
        <v>204</v>
      </c>
      <c r="V579" s="171" t="s">
        <v>204</v>
      </c>
      <c r="X579" s="172" t="s">
        <v>242</v>
      </c>
      <c r="Y579" s="172" t="s">
        <v>242</v>
      </c>
      <c r="AA579" s="2" t="s">
        <v>6</v>
      </c>
      <c r="AB579" s="2" t="str">
        <f t="shared" si="600"/>
        <v>-</v>
      </c>
      <c r="AC579" s="2" t="s">
        <v>47</v>
      </c>
      <c r="AD579" s="2" t="str">
        <f t="shared" si="601"/>
        <v>_</v>
      </c>
      <c r="AE579" s="2" t="s">
        <v>54</v>
      </c>
      <c r="AF579" s="2" t="str">
        <f t="shared" si="602"/>
        <v/>
      </c>
      <c r="AG579" s="2"/>
      <c r="AH579" s="2" t="str">
        <f t="shared" si="746"/>
        <v/>
      </c>
      <c r="AI579" s="2"/>
    </row>
    <row r="580" spans="1:35" x14ac:dyDescent="0.25">
      <c r="B580" s="2" t="str">
        <f t="shared" si="747"/>
        <v>@color-landcover_school</v>
      </c>
      <c r="C580" s="173" t="s">
        <v>206</v>
      </c>
      <c r="D580" s="173" t="s">
        <v>206</v>
      </c>
      <c r="F580" s="166" t="s">
        <v>253</v>
      </c>
      <c r="G580" s="166" t="s">
        <v>253</v>
      </c>
      <c r="I580" s="173" t="s">
        <v>206</v>
      </c>
      <c r="J580" s="173" t="s">
        <v>206</v>
      </c>
      <c r="L580" s="166" t="s">
        <v>253</v>
      </c>
      <c r="M580" s="166" t="s">
        <v>253</v>
      </c>
      <c r="U580" s="173" t="s">
        <v>206</v>
      </c>
      <c r="V580" s="173" t="s">
        <v>206</v>
      </c>
      <c r="X580" s="166" t="s">
        <v>253</v>
      </c>
      <c r="Y580" s="166" t="s">
        <v>253</v>
      </c>
      <c r="AA580" s="2" t="s">
        <v>6</v>
      </c>
      <c r="AB580" s="2" t="str">
        <f t="shared" si="600"/>
        <v>-</v>
      </c>
      <c r="AC580" s="2" t="s">
        <v>47</v>
      </c>
      <c r="AD580" s="2" t="str">
        <f t="shared" si="601"/>
        <v>_</v>
      </c>
      <c r="AE580" s="2" t="s">
        <v>55</v>
      </c>
      <c r="AF580" s="2" t="str">
        <f t="shared" si="602"/>
        <v/>
      </c>
      <c r="AG580" s="2"/>
      <c r="AH580" s="2" t="str">
        <f t="shared" si="746"/>
        <v/>
      </c>
      <c r="AI580" s="2"/>
    </row>
    <row r="581" spans="1:35" x14ac:dyDescent="0.25">
      <c r="B581" s="2" t="str">
        <f t="shared" si="747"/>
        <v>@color-landcover_cemetery</v>
      </c>
      <c r="C581" s="174" t="s">
        <v>205</v>
      </c>
      <c r="D581" s="174" t="s">
        <v>205</v>
      </c>
      <c r="F581" s="175" t="s">
        <v>243</v>
      </c>
      <c r="G581" s="175" t="s">
        <v>243</v>
      </c>
      <c r="I581" s="174" t="s">
        <v>205</v>
      </c>
      <c r="J581" s="174" t="s">
        <v>205</v>
      </c>
      <c r="L581" s="175" t="s">
        <v>243</v>
      </c>
      <c r="M581" s="175" t="s">
        <v>243</v>
      </c>
      <c r="U581" s="174" t="s">
        <v>205</v>
      </c>
      <c r="V581" s="174" t="s">
        <v>205</v>
      </c>
      <c r="X581" s="175" t="s">
        <v>243</v>
      </c>
      <c r="Y581" s="175" t="s">
        <v>243</v>
      </c>
      <c r="AA581" s="2" t="s">
        <v>6</v>
      </c>
      <c r="AB581" s="2" t="str">
        <f t="shared" si="600"/>
        <v>-</v>
      </c>
      <c r="AC581" s="2" t="s">
        <v>47</v>
      </c>
      <c r="AD581" s="2" t="str">
        <f t="shared" si="601"/>
        <v>_</v>
      </c>
      <c r="AE581" s="2" t="s">
        <v>57</v>
      </c>
      <c r="AF581" s="2" t="str">
        <f t="shared" si="602"/>
        <v/>
      </c>
      <c r="AG581" s="2"/>
      <c r="AH581" s="2" t="str">
        <f t="shared" si="746"/>
        <v/>
      </c>
      <c r="AI581" s="2"/>
    </row>
    <row r="582" spans="1:35" x14ac:dyDescent="0.25">
      <c r="B582" s="2" t="str">
        <f t="shared" si="747"/>
        <v>@color-landcover_hospital</v>
      </c>
      <c r="C582" s="173" t="s">
        <v>206</v>
      </c>
      <c r="D582" s="173" t="s">
        <v>206</v>
      </c>
      <c r="F582" s="166" t="s">
        <v>253</v>
      </c>
      <c r="G582" s="166" t="s">
        <v>253</v>
      </c>
      <c r="I582" s="173" t="s">
        <v>206</v>
      </c>
      <c r="J582" s="173" t="s">
        <v>206</v>
      </c>
      <c r="L582" s="166" t="s">
        <v>253</v>
      </c>
      <c r="M582" s="166" t="s">
        <v>253</v>
      </c>
      <c r="U582" s="173" t="s">
        <v>206</v>
      </c>
      <c r="V582" s="173" t="s">
        <v>206</v>
      </c>
      <c r="X582" s="166" t="s">
        <v>253</v>
      </c>
      <c r="Y582" s="166" t="s">
        <v>253</v>
      </c>
      <c r="AA582" s="2" t="s">
        <v>6</v>
      </c>
      <c r="AB582" s="2" t="str">
        <f t="shared" si="600"/>
        <v>-</v>
      </c>
      <c r="AC582" s="2" t="s">
        <v>47</v>
      </c>
      <c r="AD582" s="2" t="str">
        <f t="shared" si="601"/>
        <v>_</v>
      </c>
      <c r="AE582" s="2" t="s">
        <v>56</v>
      </c>
      <c r="AF582" s="2" t="str">
        <f t="shared" si="602"/>
        <v/>
      </c>
      <c r="AG582" s="2"/>
      <c r="AH582" s="2" t="str">
        <f t="shared" si="746"/>
        <v/>
      </c>
      <c r="AI582" s="2"/>
    </row>
    <row r="583" spans="1:35" x14ac:dyDescent="0.25">
      <c r="B583" s="2" t="str">
        <f t="shared" si="747"/>
        <v>@color-landcover_industrial</v>
      </c>
      <c r="C583" s="173" t="s">
        <v>206</v>
      </c>
      <c r="D583" s="173" t="s">
        <v>206</v>
      </c>
      <c r="F583" s="166" t="s">
        <v>253</v>
      </c>
      <c r="G583" s="166" t="s">
        <v>253</v>
      </c>
      <c r="I583" s="173" t="s">
        <v>206</v>
      </c>
      <c r="J583" s="173" t="s">
        <v>206</v>
      </c>
      <c r="L583" s="166" t="s">
        <v>253</v>
      </c>
      <c r="M583" s="166" t="s">
        <v>253</v>
      </c>
      <c r="U583" s="173" t="s">
        <v>206</v>
      </c>
      <c r="V583" s="173" t="s">
        <v>206</v>
      </c>
      <c r="X583" s="166" t="s">
        <v>253</v>
      </c>
      <c r="Y583" s="166" t="s">
        <v>253</v>
      </c>
      <c r="AA583" s="2" t="s">
        <v>6</v>
      </c>
      <c r="AB583" s="2" t="str">
        <f t="shared" si="600"/>
        <v>-</v>
      </c>
      <c r="AC583" s="2" t="s">
        <v>47</v>
      </c>
      <c r="AD583" s="2" t="str">
        <f t="shared" si="601"/>
        <v>_</v>
      </c>
      <c r="AE583" s="2" t="s">
        <v>58</v>
      </c>
      <c r="AF583" s="2" t="str">
        <f t="shared" si="602"/>
        <v/>
      </c>
      <c r="AG583" s="2"/>
      <c r="AH583" s="2" t="str">
        <f t="shared" si="746"/>
        <v/>
      </c>
      <c r="AI583" s="2"/>
    </row>
    <row r="584" spans="1:35" x14ac:dyDescent="0.25">
      <c r="B584" s="2" t="str">
        <f t="shared" si="747"/>
        <v>@color-landcover_commercial</v>
      </c>
      <c r="C584" s="173" t="s">
        <v>206</v>
      </c>
      <c r="D584" s="173" t="s">
        <v>206</v>
      </c>
      <c r="F584" s="166" t="s">
        <v>253</v>
      </c>
      <c r="G584" s="166" t="s">
        <v>253</v>
      </c>
      <c r="I584" s="173" t="s">
        <v>206</v>
      </c>
      <c r="J584" s="173" t="s">
        <v>206</v>
      </c>
      <c r="L584" s="166" t="s">
        <v>253</v>
      </c>
      <c r="M584" s="166" t="s">
        <v>253</v>
      </c>
      <c r="U584" s="173" t="s">
        <v>206</v>
      </c>
      <c r="V584" s="173" t="s">
        <v>206</v>
      </c>
      <c r="X584" s="166" t="s">
        <v>253</v>
      </c>
      <c r="Y584" s="166" t="s">
        <v>253</v>
      </c>
      <c r="AA584" s="2" t="s">
        <v>6</v>
      </c>
      <c r="AB584" s="2" t="str">
        <f t="shared" si="600"/>
        <v>-</v>
      </c>
      <c r="AC584" s="2" t="s">
        <v>47</v>
      </c>
      <c r="AD584" s="2" t="str">
        <f t="shared" si="601"/>
        <v>_</v>
      </c>
      <c r="AE584" s="2" t="s">
        <v>59</v>
      </c>
      <c r="AF584" s="2" t="str">
        <f t="shared" si="602"/>
        <v/>
      </c>
      <c r="AG584" s="2"/>
      <c r="AH584" s="2" t="str">
        <f t="shared" si="746"/>
        <v/>
      </c>
      <c r="AI584" s="2"/>
    </row>
    <row r="585" spans="1:35" x14ac:dyDescent="0.25">
      <c r="B585" s="2" t="str">
        <f t="shared" si="747"/>
        <v>@color-landcover_residential</v>
      </c>
      <c r="C585" s="173" t="s">
        <v>206</v>
      </c>
      <c r="D585" s="173" t="s">
        <v>206</v>
      </c>
      <c r="F585" s="166" t="s">
        <v>253</v>
      </c>
      <c r="G585" s="166" t="s">
        <v>253</v>
      </c>
      <c r="I585" s="173" t="s">
        <v>206</v>
      </c>
      <c r="J585" s="173" t="s">
        <v>206</v>
      </c>
      <c r="L585" s="166" t="s">
        <v>253</v>
      </c>
      <c r="M585" s="166" t="s">
        <v>253</v>
      </c>
      <c r="U585" s="173" t="s">
        <v>206</v>
      </c>
      <c r="V585" s="173" t="s">
        <v>206</v>
      </c>
      <c r="X585" s="166" t="s">
        <v>253</v>
      </c>
      <c r="Y585" s="166" t="s">
        <v>253</v>
      </c>
      <c r="AA585" s="2" t="s">
        <v>6</v>
      </c>
      <c r="AB585" s="2" t="str">
        <f t="shared" si="600"/>
        <v>-</v>
      </c>
      <c r="AC585" s="2" t="s">
        <v>47</v>
      </c>
      <c r="AD585" s="2" t="str">
        <f t="shared" si="601"/>
        <v>_</v>
      </c>
      <c r="AE585" s="2" t="s">
        <v>60</v>
      </c>
      <c r="AF585" s="2" t="str">
        <f t="shared" si="602"/>
        <v/>
      </c>
      <c r="AG585" s="2"/>
      <c r="AH585" s="2" t="str">
        <f t="shared" si="746"/>
        <v/>
      </c>
      <c r="AI585" s="2"/>
    </row>
    <row r="586" spans="1:35" x14ac:dyDescent="0.25">
      <c r="B586" s="2" t="str">
        <f t="shared" si="747"/>
        <v>@color-landcover_built-up</v>
      </c>
      <c r="C586" s="173" t="s">
        <v>206</v>
      </c>
      <c r="D586" s="173" t="s">
        <v>206</v>
      </c>
      <c r="F586" s="166" t="s">
        <v>253</v>
      </c>
      <c r="G586" s="166" t="s">
        <v>253</v>
      </c>
      <c r="I586" s="173" t="s">
        <v>206</v>
      </c>
      <c r="J586" s="173" t="s">
        <v>206</v>
      </c>
      <c r="L586" s="166" t="s">
        <v>253</v>
      </c>
      <c r="M586" s="166" t="s">
        <v>253</v>
      </c>
      <c r="U586" s="173" t="s">
        <v>206</v>
      </c>
      <c r="V586" s="173" t="s">
        <v>206</v>
      </c>
      <c r="X586" s="166" t="s">
        <v>253</v>
      </c>
      <c r="Y586" s="166" t="s">
        <v>253</v>
      </c>
      <c r="AA586" s="2" t="s">
        <v>6</v>
      </c>
      <c r="AB586" s="2" t="str">
        <f t="shared" si="600"/>
        <v>-</v>
      </c>
      <c r="AC586" s="2" t="s">
        <v>47</v>
      </c>
      <c r="AD586" s="2" t="str">
        <f t="shared" si="601"/>
        <v>_</v>
      </c>
      <c r="AE586" s="2" t="s">
        <v>61</v>
      </c>
      <c r="AF586" s="2" t="str">
        <f t="shared" si="602"/>
        <v/>
      </c>
      <c r="AG586" s="2"/>
      <c r="AH586" s="2" t="str">
        <f t="shared" si="746"/>
        <v/>
      </c>
      <c r="AI586" s="2"/>
    </row>
    <row r="587" spans="1:35" x14ac:dyDescent="0.25">
      <c r="B587" s="2" t="str">
        <f t="shared" si="747"/>
        <v>@color-landcover_ice_shelf</v>
      </c>
      <c r="C587" s="134" t="s">
        <v>188</v>
      </c>
      <c r="D587" s="134" t="s">
        <v>188</v>
      </c>
      <c r="F587" s="176" t="s">
        <v>244</v>
      </c>
      <c r="G587" s="176" t="s">
        <v>244</v>
      </c>
      <c r="I587" s="134" t="s">
        <v>188</v>
      </c>
      <c r="J587" s="134" t="s">
        <v>188</v>
      </c>
      <c r="L587" s="176" t="s">
        <v>244</v>
      </c>
      <c r="M587" s="176" t="s">
        <v>244</v>
      </c>
      <c r="U587" s="134" t="s">
        <v>188</v>
      </c>
      <c r="V587" s="134" t="s">
        <v>188</v>
      </c>
      <c r="X587" s="176" t="s">
        <v>244</v>
      </c>
      <c r="Y587" s="176" t="s">
        <v>244</v>
      </c>
      <c r="AA587" s="2" t="s">
        <v>6</v>
      </c>
      <c r="AB587" s="2" t="str">
        <f t="shared" ref="AB587:AB598" si="748">IF(NOT(ISBLANK(AC587)),"-","")</f>
        <v>-</v>
      </c>
      <c r="AC587" s="2" t="s">
        <v>47</v>
      </c>
      <c r="AD587" s="2" t="str">
        <f t="shared" ref="AD587:AD598" si="749">IF(NOT(ISBLANK(AE587)),"_","")</f>
        <v>_</v>
      </c>
      <c r="AE587" s="2" t="s">
        <v>233</v>
      </c>
      <c r="AF587" s="2" t="str">
        <f t="shared" ref="AF587:AF598" si="750">IF(NOT(ISBLANK(AG587)),"_","")</f>
        <v/>
      </c>
      <c r="AG587" s="2"/>
      <c r="AH587" s="2" t="str">
        <f t="shared" si="746"/>
        <v/>
      </c>
      <c r="AI587" s="2"/>
    </row>
    <row r="588" spans="1:35" x14ac:dyDescent="0.25">
      <c r="B588" s="2" t="str">
        <f t="shared" si="747"/>
        <v>@color-landcover_glacier</v>
      </c>
      <c r="C588" s="134" t="s">
        <v>188</v>
      </c>
      <c r="D588" s="134" t="s">
        <v>188</v>
      </c>
      <c r="F588" s="176" t="s">
        <v>244</v>
      </c>
      <c r="G588" s="176" t="s">
        <v>244</v>
      </c>
      <c r="I588" s="134" t="s">
        <v>188</v>
      </c>
      <c r="J588" s="134" t="s">
        <v>188</v>
      </c>
      <c r="L588" s="176" t="s">
        <v>244</v>
      </c>
      <c r="M588" s="176" t="s">
        <v>244</v>
      </c>
      <c r="U588" s="134" t="s">
        <v>188</v>
      </c>
      <c r="V588" s="134" t="s">
        <v>188</v>
      </c>
      <c r="X588" s="176" t="s">
        <v>244</v>
      </c>
      <c r="Y588" s="176" t="s">
        <v>244</v>
      </c>
      <c r="AA588" s="2" t="s">
        <v>6</v>
      </c>
      <c r="AB588" s="2" t="str">
        <f t="shared" ref="AB588" si="751">IF(NOT(ISBLANK(AC588)),"-","")</f>
        <v>-</v>
      </c>
      <c r="AC588" s="2" t="s">
        <v>47</v>
      </c>
      <c r="AD588" s="2" t="str">
        <f t="shared" ref="AD588" si="752">IF(NOT(ISBLANK(AE588)),"_","")</f>
        <v>_</v>
      </c>
      <c r="AE588" s="2" t="s">
        <v>256</v>
      </c>
      <c r="AF588" s="2" t="str">
        <f t="shared" ref="AF588" si="753">IF(NOT(ISBLANK(AG588)),"_","")</f>
        <v/>
      </c>
      <c r="AG588" s="2"/>
      <c r="AH588" s="2" t="str">
        <f t="shared" si="746"/>
        <v/>
      </c>
      <c r="AI588" s="2"/>
    </row>
    <row r="589" spans="1:35" x14ac:dyDescent="0.25">
      <c r="B589" s="2" t="str">
        <f t="shared" si="747"/>
        <v>@color-landcover_sport_play</v>
      </c>
      <c r="C589" s="177" t="s">
        <v>235</v>
      </c>
      <c r="D589" s="177" t="s">
        <v>235</v>
      </c>
      <c r="F589" s="178" t="s">
        <v>245</v>
      </c>
      <c r="G589" s="178" t="s">
        <v>245</v>
      </c>
      <c r="I589" s="177" t="s">
        <v>235</v>
      </c>
      <c r="J589" s="177" t="s">
        <v>235</v>
      </c>
      <c r="L589" s="178" t="s">
        <v>245</v>
      </c>
      <c r="M589" s="178" t="s">
        <v>245</v>
      </c>
      <c r="U589" s="177" t="s">
        <v>235</v>
      </c>
      <c r="V589" s="177" t="s">
        <v>235</v>
      </c>
      <c r="X589" s="178" t="s">
        <v>245</v>
      </c>
      <c r="Y589" s="178" t="s">
        <v>245</v>
      </c>
      <c r="AA589" s="2" t="s">
        <v>6</v>
      </c>
      <c r="AB589" s="2" t="str">
        <f t="shared" si="748"/>
        <v>-</v>
      </c>
      <c r="AC589" s="2" t="s">
        <v>47</v>
      </c>
      <c r="AD589" s="2" t="str">
        <f t="shared" si="749"/>
        <v>_</v>
      </c>
      <c r="AE589" s="2" t="s">
        <v>234</v>
      </c>
      <c r="AF589" s="2" t="str">
        <f t="shared" si="750"/>
        <v/>
      </c>
      <c r="AG589" s="2"/>
      <c r="AH589" s="2" t="str">
        <f t="shared" si="746"/>
        <v/>
      </c>
      <c r="AI589" s="2"/>
    </row>
    <row r="590" spans="1:35" x14ac:dyDescent="0.25">
      <c r="B590" s="2" t="str">
        <f t="shared" si="747"/>
        <v>@color-landcover_line_generic</v>
      </c>
      <c r="C590" s="179" t="s">
        <v>254</v>
      </c>
      <c r="D590" s="179" t="s">
        <v>254</v>
      </c>
      <c r="F590" s="166" t="s">
        <v>253</v>
      </c>
      <c r="G590" s="166" t="s">
        <v>253</v>
      </c>
      <c r="I590" s="179" t="s">
        <v>254</v>
      </c>
      <c r="J590" s="179" t="s">
        <v>254</v>
      </c>
      <c r="L590" s="166" t="s">
        <v>253</v>
      </c>
      <c r="M590" s="166" t="s">
        <v>253</v>
      </c>
      <c r="U590" s="179" t="s">
        <v>254</v>
      </c>
      <c r="V590" s="179" t="s">
        <v>254</v>
      </c>
      <c r="X590" s="166" t="s">
        <v>253</v>
      </c>
      <c r="Y590" s="166" t="s">
        <v>253</v>
      </c>
      <c r="AA590" s="2" t="s">
        <v>6</v>
      </c>
      <c r="AB590" s="2" t="str">
        <f t="shared" si="748"/>
        <v>-</v>
      </c>
      <c r="AC590" s="2" t="s">
        <v>47</v>
      </c>
      <c r="AD590" s="2" t="str">
        <f t="shared" si="749"/>
        <v>_</v>
      </c>
      <c r="AE590" s="2" t="s">
        <v>13</v>
      </c>
      <c r="AF590" s="2" t="str">
        <f t="shared" si="750"/>
        <v>_</v>
      </c>
      <c r="AG590" s="2" t="s">
        <v>248</v>
      </c>
      <c r="AH590" s="2" t="str">
        <f t="shared" si="746"/>
        <v/>
      </c>
      <c r="AI590" s="2"/>
    </row>
    <row r="591" spans="1:35" x14ac:dyDescent="0.25">
      <c r="AB591" s="28" t="str">
        <f t="shared" si="748"/>
        <v/>
      </c>
      <c r="AD591" s="28" t="str">
        <f t="shared" si="749"/>
        <v/>
      </c>
      <c r="AF591" s="28" t="str">
        <f t="shared" si="750"/>
        <v/>
      </c>
      <c r="AH591" s="28" t="str">
        <f t="shared" ref="AH591:AH598" si="754">IF(NOT(ISBLANK(AI591)),"_","")</f>
        <v/>
      </c>
    </row>
    <row r="592" spans="1:35" s="2" customFormat="1" x14ac:dyDescent="0.25">
      <c r="A592" s="185"/>
      <c r="B592" s="3" t="s">
        <v>357</v>
      </c>
      <c r="C592" s="27"/>
      <c r="D592" s="6"/>
      <c r="E592" s="7"/>
      <c r="F592" s="6"/>
      <c r="G592" s="6"/>
      <c r="H592" s="7"/>
      <c r="I592" s="6"/>
      <c r="J592" s="6"/>
      <c r="K592" s="7"/>
      <c r="L592" s="6"/>
      <c r="M592" s="6"/>
      <c r="N592" s="7"/>
      <c r="O592" s="6"/>
      <c r="P592" s="6"/>
      <c r="Q592" s="7"/>
      <c r="R592" s="6"/>
      <c r="S592" s="6"/>
      <c r="T592" s="7"/>
      <c r="U592" s="6"/>
      <c r="V592" s="6"/>
      <c r="W592" s="7"/>
      <c r="X592" s="6"/>
      <c r="Y592" s="6"/>
      <c r="AA592" s="4"/>
      <c r="AB592" s="4" t="str">
        <f t="shared" si="748"/>
        <v/>
      </c>
      <c r="AC592" s="4"/>
      <c r="AD592" s="4" t="str">
        <f t="shared" si="749"/>
        <v/>
      </c>
      <c r="AE592" s="4"/>
      <c r="AF592" s="4" t="str">
        <f t="shared" si="750"/>
        <v/>
      </c>
      <c r="AG592" s="4"/>
      <c r="AH592" s="4" t="str">
        <f t="shared" si="754"/>
        <v/>
      </c>
      <c r="AI592" s="4"/>
    </row>
    <row r="593" spans="2:34" x14ac:dyDescent="0.25">
      <c r="AB593" s="28" t="str">
        <f t="shared" ref="AB593" si="755">IF(NOT(ISBLANK(AC593)),"-","")</f>
        <v/>
      </c>
      <c r="AD593" s="28" t="str">
        <f t="shared" ref="AD593" si="756">IF(NOT(ISBLANK(AE593)),"_","")</f>
        <v/>
      </c>
      <c r="AF593" s="28" t="str">
        <f t="shared" ref="AF593" si="757">IF(NOT(ISBLANK(AG593)),"_","")</f>
        <v/>
      </c>
      <c r="AH593" s="28" t="str">
        <f t="shared" ref="AH593" si="758">IF(NOT(ISBLANK(AI593)),"_","")</f>
        <v/>
      </c>
    </row>
    <row r="594" spans="2:34" x14ac:dyDescent="0.25">
      <c r="B594" s="2" t="str">
        <f t="shared" ref="B594:B597" si="759">_xlfn.CONCAT("@",AA594,AB594,AC594,AD594,AE594,AF594,AG594,AH594,AI594)</f>
        <v>@opacity-landcover_clearcut_mid</v>
      </c>
      <c r="C594" s="28" t="s">
        <v>91</v>
      </c>
      <c r="D594" s="28" t="s">
        <v>91</v>
      </c>
      <c r="F594" s="28" t="s">
        <v>91</v>
      </c>
      <c r="G594" s="28" t="s">
        <v>91</v>
      </c>
      <c r="I594" s="28" t="s">
        <v>361</v>
      </c>
      <c r="J594" s="28" t="s">
        <v>361</v>
      </c>
      <c r="L594" s="28" t="s">
        <v>361</v>
      </c>
      <c r="M594" s="28" t="s">
        <v>361</v>
      </c>
      <c r="O594" s="28" t="s">
        <v>362</v>
      </c>
      <c r="P594" s="28" t="s">
        <v>362</v>
      </c>
      <c r="R594" s="28" t="s">
        <v>362</v>
      </c>
      <c r="S594" s="28" t="s">
        <v>362</v>
      </c>
      <c r="U594" s="28" t="s">
        <v>362</v>
      </c>
      <c r="V594" s="28" t="s">
        <v>362</v>
      </c>
      <c r="X594" s="28" t="s">
        <v>362</v>
      </c>
      <c r="Y594" s="28" t="s">
        <v>362</v>
      </c>
      <c r="AA594" s="28" t="s">
        <v>378</v>
      </c>
      <c r="AB594" s="28" t="str">
        <f t="shared" ref="AB594:AB597" si="760">IF(NOT(ISBLANK(AC594)),"-","")</f>
        <v>-</v>
      </c>
      <c r="AC594" s="28" t="s">
        <v>47</v>
      </c>
      <c r="AD594" s="28" t="str">
        <f t="shared" ref="AD594:AD597" si="761">IF(NOT(ISBLANK(AE594)),"_","")</f>
        <v>_</v>
      </c>
      <c r="AE594" s="28" t="s">
        <v>369</v>
      </c>
      <c r="AF594" s="28" t="str">
        <f t="shared" ref="AF594:AF597" si="762">IF(NOT(ISBLANK(AG594)),"_","")</f>
        <v>_</v>
      </c>
      <c r="AG594" s="28" t="s">
        <v>360</v>
      </c>
      <c r="AH594" s="28" t="str">
        <f t="shared" ref="AH594:AH597" si="763">IF(NOT(ISBLANK(AI594)),"_","")</f>
        <v/>
      </c>
    </row>
    <row r="595" spans="2:34" x14ac:dyDescent="0.25">
      <c r="B595" s="2" t="str">
        <f t="shared" si="759"/>
        <v>@opacity-landcover_clearcut_full</v>
      </c>
      <c r="C595" s="28" t="s">
        <v>76</v>
      </c>
      <c r="D595" s="28" t="s">
        <v>76</v>
      </c>
      <c r="F595" s="28" t="s">
        <v>76</v>
      </c>
      <c r="G595" s="28" t="s">
        <v>76</v>
      </c>
      <c r="I595" s="28" t="s">
        <v>91</v>
      </c>
      <c r="J595" s="28" t="s">
        <v>91</v>
      </c>
      <c r="L595" s="28" t="s">
        <v>91</v>
      </c>
      <c r="M595" s="28" t="s">
        <v>91</v>
      </c>
      <c r="O595" s="28" t="s">
        <v>120</v>
      </c>
      <c r="P595" s="28" t="s">
        <v>120</v>
      </c>
      <c r="R595" s="28" t="s">
        <v>120</v>
      </c>
      <c r="S595" s="28" t="s">
        <v>120</v>
      </c>
      <c r="U595" s="28" t="s">
        <v>120</v>
      </c>
      <c r="V595" s="28" t="s">
        <v>120</v>
      </c>
      <c r="X595" s="28" t="s">
        <v>120</v>
      </c>
      <c r="Y595" s="28" t="s">
        <v>120</v>
      </c>
      <c r="AA595" s="28" t="s">
        <v>378</v>
      </c>
      <c r="AB595" s="28" t="str">
        <f t="shared" si="760"/>
        <v>-</v>
      </c>
      <c r="AC595" s="28" t="s">
        <v>47</v>
      </c>
      <c r="AD595" s="28" t="str">
        <f t="shared" si="761"/>
        <v>_</v>
      </c>
      <c r="AE595" s="28" t="s">
        <v>369</v>
      </c>
      <c r="AF595" s="28" t="str">
        <f t="shared" si="762"/>
        <v>_</v>
      </c>
      <c r="AG595" s="28" t="s">
        <v>359</v>
      </c>
      <c r="AH595" s="28" t="str">
        <f t="shared" si="763"/>
        <v/>
      </c>
    </row>
    <row r="596" spans="2:34" x14ac:dyDescent="0.25">
      <c r="B596" s="2" t="str">
        <f t="shared" si="759"/>
        <v>@opacity-landcover_field_mid</v>
      </c>
      <c r="C596" s="28" t="s">
        <v>91</v>
      </c>
      <c r="D596" s="28" t="s">
        <v>91</v>
      </c>
      <c r="F596" s="28" t="s">
        <v>91</v>
      </c>
      <c r="G596" s="28" t="s">
        <v>91</v>
      </c>
      <c r="I596" s="28" t="s">
        <v>91</v>
      </c>
      <c r="J596" s="28" t="s">
        <v>91</v>
      </c>
      <c r="L596" s="28" t="s">
        <v>91</v>
      </c>
      <c r="M596" s="28" t="s">
        <v>91</v>
      </c>
      <c r="O596" s="28" t="s">
        <v>91</v>
      </c>
      <c r="P596" s="28" t="s">
        <v>91</v>
      </c>
      <c r="R596" s="28" t="s">
        <v>91</v>
      </c>
      <c r="S596" s="28" t="s">
        <v>91</v>
      </c>
      <c r="U596" s="28" t="s">
        <v>362</v>
      </c>
      <c r="V596" s="28" t="s">
        <v>362</v>
      </c>
      <c r="X596" s="28" t="s">
        <v>362</v>
      </c>
      <c r="Y596" s="28" t="s">
        <v>362</v>
      </c>
      <c r="AA596" s="28" t="s">
        <v>378</v>
      </c>
      <c r="AB596" s="28" t="str">
        <f t="shared" si="760"/>
        <v>-</v>
      </c>
      <c r="AC596" s="28" t="s">
        <v>47</v>
      </c>
      <c r="AD596" s="28" t="str">
        <f t="shared" si="761"/>
        <v>_</v>
      </c>
      <c r="AE596" s="28" t="s">
        <v>42</v>
      </c>
      <c r="AF596" s="28" t="str">
        <f t="shared" si="762"/>
        <v>_</v>
      </c>
      <c r="AG596" s="28" t="s">
        <v>360</v>
      </c>
      <c r="AH596" s="28" t="str">
        <f t="shared" si="763"/>
        <v/>
      </c>
    </row>
    <row r="597" spans="2:34" x14ac:dyDescent="0.25">
      <c r="B597" s="2" t="str">
        <f t="shared" si="759"/>
        <v>@opacity-landcover_field_full</v>
      </c>
      <c r="C597" s="28" t="s">
        <v>76</v>
      </c>
      <c r="D597" s="28" t="s">
        <v>76</v>
      </c>
      <c r="F597" s="28" t="s">
        <v>76</v>
      </c>
      <c r="G597" s="28" t="s">
        <v>76</v>
      </c>
      <c r="I597" s="28" t="s">
        <v>76</v>
      </c>
      <c r="J597" s="28" t="s">
        <v>76</v>
      </c>
      <c r="L597" s="28" t="s">
        <v>76</v>
      </c>
      <c r="M597" s="28" t="s">
        <v>76</v>
      </c>
      <c r="O597" s="28" t="s">
        <v>76</v>
      </c>
      <c r="P597" s="28" t="s">
        <v>76</v>
      </c>
      <c r="R597" s="28" t="s">
        <v>76</v>
      </c>
      <c r="S597" s="28" t="s">
        <v>76</v>
      </c>
      <c r="U597" s="28" t="s">
        <v>120</v>
      </c>
      <c r="V597" s="28" t="s">
        <v>120</v>
      </c>
      <c r="X597" s="28" t="s">
        <v>120</v>
      </c>
      <c r="Y597" s="28" t="s">
        <v>120</v>
      </c>
      <c r="AA597" s="28" t="s">
        <v>378</v>
      </c>
      <c r="AB597" s="28" t="str">
        <f t="shared" si="760"/>
        <v>-</v>
      </c>
      <c r="AC597" s="28" t="s">
        <v>47</v>
      </c>
      <c r="AD597" s="28" t="str">
        <f t="shared" si="761"/>
        <v>_</v>
      </c>
      <c r="AE597" s="28" t="s">
        <v>42</v>
      </c>
      <c r="AF597" s="28" t="str">
        <f t="shared" si="762"/>
        <v>_</v>
      </c>
      <c r="AG597" s="28" t="s">
        <v>359</v>
      </c>
      <c r="AH597" s="28" t="str">
        <f t="shared" si="763"/>
        <v/>
      </c>
    </row>
    <row r="598" spans="2:34" x14ac:dyDescent="0.25">
      <c r="B598" s="2" t="str">
        <f t="shared" ref="B598" si="764">_xlfn.CONCAT("@",AA598,AB598,AC598,AD598,AE598,AF598,AG598,AH598,AI598)</f>
        <v>@opacity-landcover_scrub_mid</v>
      </c>
      <c r="C598" s="28" t="s">
        <v>91</v>
      </c>
      <c r="D598" s="28" t="s">
        <v>91</v>
      </c>
      <c r="F598" s="28" t="s">
        <v>91</v>
      </c>
      <c r="G598" s="28" t="s">
        <v>91</v>
      </c>
      <c r="I598" s="28" t="s">
        <v>361</v>
      </c>
      <c r="J598" s="28" t="s">
        <v>361</v>
      </c>
      <c r="L598" s="28" t="s">
        <v>361</v>
      </c>
      <c r="M598" s="28" t="s">
        <v>361</v>
      </c>
      <c r="O598" s="28" t="s">
        <v>362</v>
      </c>
      <c r="P598" s="28" t="s">
        <v>362</v>
      </c>
      <c r="R598" s="28" t="s">
        <v>362</v>
      </c>
      <c r="S598" s="28" t="s">
        <v>362</v>
      </c>
      <c r="U598" s="28" t="s">
        <v>362</v>
      </c>
      <c r="V598" s="28" t="s">
        <v>362</v>
      </c>
      <c r="X598" s="28" t="s">
        <v>362</v>
      </c>
      <c r="Y598" s="28" t="s">
        <v>362</v>
      </c>
      <c r="AA598" s="28" t="s">
        <v>378</v>
      </c>
      <c r="AB598" s="28" t="str">
        <f t="shared" si="748"/>
        <v>-</v>
      </c>
      <c r="AC598" s="28" t="s">
        <v>47</v>
      </c>
      <c r="AD598" s="28" t="str">
        <f t="shared" si="749"/>
        <v>_</v>
      </c>
      <c r="AE598" s="28" t="s">
        <v>358</v>
      </c>
      <c r="AF598" s="28" t="str">
        <f t="shared" si="750"/>
        <v>_</v>
      </c>
      <c r="AG598" s="28" t="s">
        <v>360</v>
      </c>
      <c r="AH598" s="28" t="str">
        <f t="shared" si="754"/>
        <v/>
      </c>
    </row>
    <row r="599" spans="2:34" x14ac:dyDescent="0.25">
      <c r="B599" s="2" t="str">
        <f t="shared" ref="B599" si="765">_xlfn.CONCAT("@",AA599,AB599,AC599,AD599,AE599,AF599,AG599,AH599,AI599)</f>
        <v>@opacity-landcover_scrub_full</v>
      </c>
      <c r="C599" s="28" t="s">
        <v>76</v>
      </c>
      <c r="D599" s="28" t="s">
        <v>76</v>
      </c>
      <c r="F599" s="28" t="s">
        <v>76</v>
      </c>
      <c r="G599" s="28" t="s">
        <v>76</v>
      </c>
      <c r="I599" s="28" t="s">
        <v>91</v>
      </c>
      <c r="J599" s="28" t="s">
        <v>91</v>
      </c>
      <c r="L599" s="28" t="s">
        <v>91</v>
      </c>
      <c r="M599" s="28" t="s">
        <v>91</v>
      </c>
      <c r="O599" s="28" t="s">
        <v>120</v>
      </c>
      <c r="P599" s="28" t="s">
        <v>120</v>
      </c>
      <c r="R599" s="28" t="s">
        <v>120</v>
      </c>
      <c r="S599" s="28" t="s">
        <v>120</v>
      </c>
      <c r="U599" s="28" t="s">
        <v>120</v>
      </c>
      <c r="V599" s="28" t="s">
        <v>120</v>
      </c>
      <c r="X599" s="28" t="s">
        <v>120</v>
      </c>
      <c r="Y599" s="28" t="s">
        <v>120</v>
      </c>
      <c r="AA599" s="28" t="s">
        <v>378</v>
      </c>
      <c r="AB599" s="28" t="str">
        <f t="shared" si="600"/>
        <v>-</v>
      </c>
      <c r="AC599" s="28" t="s">
        <v>47</v>
      </c>
      <c r="AD599" s="28" t="str">
        <f t="shared" si="601"/>
        <v>_</v>
      </c>
      <c r="AE599" s="28" t="s">
        <v>358</v>
      </c>
      <c r="AF599" s="28" t="str">
        <f t="shared" si="602"/>
        <v>_</v>
      </c>
      <c r="AG599" s="28" t="s">
        <v>359</v>
      </c>
      <c r="AH599" s="28" t="str">
        <f t="shared" si="746"/>
        <v/>
      </c>
    </row>
    <row r="600" spans="2:34" x14ac:dyDescent="0.25">
      <c r="B600" s="2" t="str">
        <f t="shared" ref="B600:B602" si="766">_xlfn.CONCAT("@",AA600,AB600,AC600,AD600,AE600,AF600,AG600,AH600,AI600)</f>
        <v>@opacity-landcover_wetland_full</v>
      </c>
      <c r="C600" s="28" t="s">
        <v>76</v>
      </c>
      <c r="D600" s="28" t="s">
        <v>76</v>
      </c>
      <c r="F600" s="28" t="s">
        <v>76</v>
      </c>
      <c r="G600" s="28" t="s">
        <v>76</v>
      </c>
      <c r="I600" s="28" t="s">
        <v>91</v>
      </c>
      <c r="J600" s="28" t="s">
        <v>91</v>
      </c>
      <c r="L600" s="28" t="s">
        <v>76</v>
      </c>
      <c r="M600" s="28" t="s">
        <v>91</v>
      </c>
      <c r="O600" s="28" t="s">
        <v>120</v>
      </c>
      <c r="P600" s="28" t="s">
        <v>120</v>
      </c>
      <c r="R600" s="28" t="s">
        <v>120</v>
      </c>
      <c r="S600" s="28" t="s">
        <v>120</v>
      </c>
      <c r="U600" s="28" t="s">
        <v>91</v>
      </c>
      <c r="V600" s="28" t="s">
        <v>91</v>
      </c>
      <c r="X600" s="28" t="s">
        <v>76</v>
      </c>
      <c r="Y600" s="28" t="s">
        <v>91</v>
      </c>
      <c r="AA600" s="28" t="s">
        <v>378</v>
      </c>
      <c r="AB600" s="28" t="str">
        <f t="shared" ref="AB600:AB602" si="767">IF(NOT(ISBLANK(AC600)),"-","")</f>
        <v>-</v>
      </c>
      <c r="AC600" s="28" t="s">
        <v>47</v>
      </c>
      <c r="AD600" s="28" t="str">
        <f t="shared" ref="AD600:AD602" si="768">IF(NOT(ISBLANK(AE600)),"_","")</f>
        <v>_</v>
      </c>
      <c r="AE600" s="28" t="s">
        <v>363</v>
      </c>
      <c r="AF600" s="28" t="str">
        <f t="shared" ref="AF600:AF602" si="769">IF(NOT(ISBLANK(AG600)),"_","")</f>
        <v>_</v>
      </c>
      <c r="AG600" s="28" t="s">
        <v>359</v>
      </c>
      <c r="AH600" s="28" t="str">
        <f t="shared" ref="AH600:AH602" si="770">IF(NOT(ISBLANK(AI600)),"_","")</f>
        <v/>
      </c>
    </row>
    <row r="601" spans="2:34" x14ac:dyDescent="0.25">
      <c r="B601" s="2" t="str">
        <f t="shared" si="766"/>
        <v>@opacity-landuse_sport_play_mid</v>
      </c>
      <c r="C601" s="28" t="s">
        <v>91</v>
      </c>
      <c r="D601" s="28" t="s">
        <v>91</v>
      </c>
      <c r="F601" s="28" t="s">
        <v>91</v>
      </c>
      <c r="G601" s="28" t="s">
        <v>91</v>
      </c>
      <c r="I601" s="28" t="s">
        <v>91</v>
      </c>
      <c r="J601" s="28" t="s">
        <v>91</v>
      </c>
      <c r="L601" s="28" t="s">
        <v>91</v>
      </c>
      <c r="M601" s="28" t="s">
        <v>91</v>
      </c>
      <c r="O601" s="28" t="s">
        <v>91</v>
      </c>
      <c r="P601" s="28" t="s">
        <v>91</v>
      </c>
      <c r="R601" s="28" t="s">
        <v>91</v>
      </c>
      <c r="S601" s="28" t="s">
        <v>91</v>
      </c>
      <c r="U601" s="28" t="s">
        <v>91</v>
      </c>
      <c r="V601" s="28" t="s">
        <v>91</v>
      </c>
      <c r="X601" s="28" t="s">
        <v>91</v>
      </c>
      <c r="Y601" s="28" t="s">
        <v>91</v>
      </c>
      <c r="AA601" s="28" t="s">
        <v>378</v>
      </c>
      <c r="AB601" s="28" t="str">
        <f t="shared" si="767"/>
        <v>-</v>
      </c>
      <c r="AC601" s="28" t="s">
        <v>370</v>
      </c>
      <c r="AD601" s="28" t="str">
        <f t="shared" si="768"/>
        <v>_</v>
      </c>
      <c r="AE601" s="28" t="s">
        <v>234</v>
      </c>
      <c r="AF601" s="28" t="str">
        <f t="shared" si="769"/>
        <v>_</v>
      </c>
      <c r="AG601" s="28" t="s">
        <v>360</v>
      </c>
      <c r="AH601" s="28" t="str">
        <f t="shared" si="770"/>
        <v/>
      </c>
    </row>
    <row r="602" spans="2:34" x14ac:dyDescent="0.25">
      <c r="B602" s="2" t="str">
        <f t="shared" si="766"/>
        <v>@opacity-landuse_sport_play_full</v>
      </c>
      <c r="C602" s="28" t="s">
        <v>76</v>
      </c>
      <c r="D602" s="28" t="s">
        <v>76</v>
      </c>
      <c r="F602" s="28" t="s">
        <v>76</v>
      </c>
      <c r="G602" s="28" t="s">
        <v>76</v>
      </c>
      <c r="I602" s="28" t="s">
        <v>76</v>
      </c>
      <c r="J602" s="28" t="s">
        <v>76</v>
      </c>
      <c r="L602" s="28" t="s">
        <v>76</v>
      </c>
      <c r="M602" s="28" t="s">
        <v>76</v>
      </c>
      <c r="O602" s="28" t="s">
        <v>76</v>
      </c>
      <c r="P602" s="28" t="s">
        <v>76</v>
      </c>
      <c r="R602" s="28" t="s">
        <v>76</v>
      </c>
      <c r="S602" s="28" t="s">
        <v>76</v>
      </c>
      <c r="U602" s="28" t="s">
        <v>76</v>
      </c>
      <c r="V602" s="28" t="s">
        <v>76</v>
      </c>
      <c r="X602" s="28" t="s">
        <v>76</v>
      </c>
      <c r="Y602" s="28" t="s">
        <v>76</v>
      </c>
      <c r="AA602" s="28" t="s">
        <v>378</v>
      </c>
      <c r="AB602" s="28" t="str">
        <f t="shared" si="767"/>
        <v>-</v>
      </c>
      <c r="AC602" s="28" t="s">
        <v>370</v>
      </c>
      <c r="AD602" s="28" t="str">
        <f t="shared" si="768"/>
        <v>_</v>
      </c>
      <c r="AE602" s="28" t="s">
        <v>234</v>
      </c>
      <c r="AF602" s="28" t="str">
        <f t="shared" si="769"/>
        <v>_</v>
      </c>
      <c r="AG602" s="28" t="s">
        <v>359</v>
      </c>
      <c r="AH602" s="28" t="str">
        <f t="shared" si="770"/>
        <v/>
      </c>
    </row>
    <row r="603" spans="2:34" x14ac:dyDescent="0.25">
      <c r="B603" s="2" t="str">
        <f t="shared" ref="B603" si="771">_xlfn.CONCAT("@",AA603,AB603,AC603,AD603,AE603,AF603,AG603,AH603,AI603)</f>
        <v>@opacity-portected_area_outline-inner_full</v>
      </c>
      <c r="C603" s="28" t="s">
        <v>116</v>
      </c>
      <c r="D603" s="28" t="s">
        <v>116</v>
      </c>
      <c r="F603" s="28" t="s">
        <v>366</v>
      </c>
      <c r="G603" s="28" t="s">
        <v>366</v>
      </c>
      <c r="I603" s="28" t="s">
        <v>366</v>
      </c>
      <c r="J603" s="28" t="s">
        <v>366</v>
      </c>
      <c r="L603" s="28" t="s">
        <v>367</v>
      </c>
      <c r="M603" s="28" t="s">
        <v>367</v>
      </c>
      <c r="O603" s="28" t="s">
        <v>366</v>
      </c>
      <c r="P603" s="28" t="s">
        <v>366</v>
      </c>
      <c r="R603" s="28" t="s">
        <v>367</v>
      </c>
      <c r="S603" s="28" t="s">
        <v>367</v>
      </c>
      <c r="U603" s="28" t="s">
        <v>116</v>
      </c>
      <c r="V603" s="28" t="s">
        <v>116</v>
      </c>
      <c r="X603" s="28" t="s">
        <v>116</v>
      </c>
      <c r="Y603" s="28" t="s">
        <v>116</v>
      </c>
      <c r="AA603" s="28" t="s">
        <v>378</v>
      </c>
      <c r="AB603" s="28" t="str">
        <f t="shared" ref="AB603" si="772">IF(NOT(ISBLANK(AC603)),"-","")</f>
        <v>-</v>
      </c>
      <c r="AC603" s="28" t="s">
        <v>364</v>
      </c>
      <c r="AD603" s="28" t="str">
        <f t="shared" ref="AD603" si="773">IF(NOT(ISBLANK(AE603)),"_","")</f>
        <v>_</v>
      </c>
      <c r="AE603" s="28" t="s">
        <v>365</v>
      </c>
      <c r="AF603" s="28" t="str">
        <f t="shared" ref="AF603" si="774">IF(NOT(ISBLANK(AG603)),"_","")</f>
        <v>_</v>
      </c>
      <c r="AG603" s="28" t="s">
        <v>359</v>
      </c>
      <c r="AH603" s="28" t="str">
        <f t="shared" ref="AH603" si="775">IF(NOT(ISBLANK(AI603)),"_","")</f>
        <v/>
      </c>
    </row>
    <row r="604" spans="2:34" x14ac:dyDescent="0.25">
      <c r="B604" s="2" t="str">
        <f t="shared" ref="B604" si="776">_xlfn.CONCAT("@",AA604,AB604,AC604,AD604,AE604,AF604,AG604,AH604,AI604)</f>
        <v>@opacity-portected_area_outline-outer_full</v>
      </c>
      <c r="C604" s="28" t="s">
        <v>76</v>
      </c>
      <c r="D604" s="28" t="s">
        <v>76</v>
      </c>
      <c r="F604" s="28" t="s">
        <v>118</v>
      </c>
      <c r="G604" s="28" t="s">
        <v>118</v>
      </c>
      <c r="I604" s="28" t="s">
        <v>91</v>
      </c>
      <c r="J604" s="28" t="s">
        <v>91</v>
      </c>
      <c r="L604" s="28" t="s">
        <v>361</v>
      </c>
      <c r="M604" s="28" t="s">
        <v>361</v>
      </c>
      <c r="O604" s="28" t="s">
        <v>120</v>
      </c>
      <c r="P604" s="28" t="s">
        <v>120</v>
      </c>
      <c r="R604" s="28" t="s">
        <v>362</v>
      </c>
      <c r="S604" s="28" t="s">
        <v>362</v>
      </c>
      <c r="U604" s="28" t="s">
        <v>76</v>
      </c>
      <c r="V604" s="28" t="s">
        <v>76</v>
      </c>
      <c r="X604" s="28" t="s">
        <v>118</v>
      </c>
      <c r="Y604" s="28" t="s">
        <v>118</v>
      </c>
      <c r="AA604" s="28" t="s">
        <v>378</v>
      </c>
      <c r="AB604" s="28" t="str">
        <f t="shared" ref="AB604" si="777">IF(NOT(ISBLANK(AC604)),"-","")</f>
        <v>-</v>
      </c>
      <c r="AC604" s="28" t="s">
        <v>364</v>
      </c>
      <c r="AD604" s="28" t="str">
        <f t="shared" ref="AD604" si="778">IF(NOT(ISBLANK(AE604)),"_","")</f>
        <v>_</v>
      </c>
      <c r="AE604" s="28" t="s">
        <v>368</v>
      </c>
      <c r="AF604" s="28" t="str">
        <f t="shared" ref="AF604" si="779">IF(NOT(ISBLANK(AG604)),"_","")</f>
        <v>_</v>
      </c>
      <c r="AG604" s="28" t="s">
        <v>359</v>
      </c>
      <c r="AH604" s="28" t="str">
        <f t="shared" ref="AH604" si="780">IF(NOT(ISBLANK(AI604)),"_","")</f>
        <v/>
      </c>
    </row>
  </sheetData>
  <pageMargins left="0.7" right="0.7" top="0.75" bottom="0.75" header="0.3" footer="0.3"/>
  <pageSetup paperSize="9" orientation="portrait" r:id="rId1"/>
  <headerFooter>
    <oddHeader>&amp;R&amp;"Aptos"&amp;11&amp;K000000 TUNI Luottamuksellinen - Confidential (3Y)&amp;1#_x000D_</oddHeader>
  </headerFooter>
  <ignoredErrors>
    <ignoredError sqref="C298 C301 M297:T297 M298:T298 M299:T299 M301:T301 M302:T302 M303:T303 M305:T305 M306:T306 M307:T307 M309:T309 M310:T310 M311:T311 D301:E301 E297 E298 E299 E300 D309:E311 E302 E303 E305 E306 E307 H301 H297:L297 H298:L298 H299:L299 H300:L300 H309:L311 H302:L302 H303:L303 H305 H306:L306 H307:L307 J301:K301 J305:K305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6C7575-2DFB-4488-B949-F4B967A0C1C1}">
  <sheetPr codeName="Sheet3"/>
  <dimension ref="A1:AC71"/>
  <sheetViews>
    <sheetView topLeftCell="C1" workbookViewId="0">
      <selection activeCell="F98" sqref="F98"/>
    </sheetView>
  </sheetViews>
  <sheetFormatPr defaultRowHeight="13.5" x14ac:dyDescent="0.25"/>
  <cols>
    <col min="1" max="1" width="2.7109375" style="2" customWidth="1"/>
    <col min="2" max="2" width="35.7109375" style="2" customWidth="1"/>
    <col min="3" max="3" width="8.7109375" style="2" customWidth="1"/>
    <col min="4" max="4" width="8.7109375" style="7" customWidth="1"/>
    <col min="5" max="5" width="35.7109375" style="7" customWidth="1"/>
    <col min="6" max="6" width="8.7109375" style="2" customWidth="1"/>
    <col min="7" max="7" width="8.7109375" style="7" customWidth="1"/>
    <col min="8" max="8" width="35.7109375" style="2" customWidth="1"/>
    <col min="9" max="9" width="8.7109375" style="2" customWidth="1"/>
    <col min="10" max="10" width="8.7109375" style="7" customWidth="1"/>
    <col min="11" max="11" width="35.7109375" style="2" customWidth="1"/>
    <col min="12" max="12" width="8.7109375" style="2" customWidth="1"/>
    <col min="13" max="13" width="8.7109375" style="7" customWidth="1"/>
    <col min="14" max="14" width="35.7109375" style="2" customWidth="1"/>
    <col min="15" max="15" width="8.7109375" style="2" customWidth="1"/>
    <col min="16" max="16" width="8.7109375" style="7" customWidth="1"/>
    <col min="17" max="17" width="35.7109375" style="2" customWidth="1"/>
    <col min="18" max="18" width="8.7109375" style="2" customWidth="1"/>
    <col min="19" max="19" width="8.7109375" style="7" customWidth="1"/>
    <col min="20" max="20" width="2.7109375" style="2" customWidth="1"/>
    <col min="21" max="21" width="12.7109375" style="2" customWidth="1"/>
    <col min="22" max="22" width="2.7109375" style="2" customWidth="1"/>
    <col min="23" max="23" width="12.7109375" style="2" customWidth="1"/>
    <col min="24" max="24" width="2.7109375" style="2" customWidth="1"/>
    <col min="25" max="25" width="12.7109375" style="2" customWidth="1"/>
    <col min="26" max="26" width="2.7109375" style="2" customWidth="1"/>
    <col min="27" max="27" width="12.7109375" style="2" customWidth="1"/>
    <col min="28" max="28" width="2.7109375" style="2" customWidth="1"/>
    <col min="29" max="29" width="12.7109375" style="2" customWidth="1"/>
  </cols>
  <sheetData>
    <row r="1" spans="1:29" x14ac:dyDescent="0.25">
      <c r="B1" s="1" t="s">
        <v>136</v>
      </c>
    </row>
    <row r="3" spans="1:29" x14ac:dyDescent="0.25">
      <c r="B3" s="9" t="s">
        <v>100</v>
      </c>
      <c r="C3" s="1"/>
      <c r="D3" s="5"/>
      <c r="E3" s="8" t="s">
        <v>101</v>
      </c>
      <c r="F3" s="1"/>
      <c r="G3" s="10"/>
      <c r="H3" s="9" t="s">
        <v>22</v>
      </c>
      <c r="I3" s="1"/>
      <c r="J3" s="5"/>
      <c r="K3" s="8" t="s">
        <v>102</v>
      </c>
      <c r="L3" s="1"/>
      <c r="M3" s="10"/>
      <c r="N3" s="9" t="s">
        <v>103</v>
      </c>
      <c r="O3" s="1"/>
      <c r="P3" s="5"/>
      <c r="Q3" s="8" t="s">
        <v>104</v>
      </c>
      <c r="R3" s="1"/>
      <c r="S3" s="10"/>
      <c r="T3" s="1"/>
      <c r="U3" s="1"/>
      <c r="V3" s="1"/>
      <c r="W3" s="1"/>
      <c r="X3" s="1"/>
      <c r="Y3" s="1"/>
      <c r="Z3" s="1"/>
      <c r="AA3" s="1"/>
      <c r="AB3" s="1"/>
      <c r="AC3" s="1"/>
    </row>
    <row r="4" spans="1:29" x14ac:dyDescent="0.25">
      <c r="A4" s="1"/>
      <c r="B4" s="9" t="s">
        <v>0</v>
      </c>
      <c r="C4" s="1" t="s">
        <v>1</v>
      </c>
      <c r="D4" s="5" t="s">
        <v>15</v>
      </c>
      <c r="E4" s="8"/>
      <c r="F4" s="1" t="s">
        <v>1</v>
      </c>
      <c r="G4" s="10" t="s">
        <v>15</v>
      </c>
      <c r="H4" s="9" t="s">
        <v>0</v>
      </c>
      <c r="I4" s="1" t="s">
        <v>1</v>
      </c>
      <c r="J4" s="5" t="s">
        <v>15</v>
      </c>
      <c r="K4" s="8" t="s">
        <v>0</v>
      </c>
      <c r="L4" s="1" t="s">
        <v>1</v>
      </c>
      <c r="M4" s="10" t="s">
        <v>15</v>
      </c>
      <c r="N4" s="9" t="s">
        <v>0</v>
      </c>
      <c r="O4" s="1" t="s">
        <v>1</v>
      </c>
      <c r="P4" s="5" t="s">
        <v>15</v>
      </c>
      <c r="Q4" s="8" t="s">
        <v>0</v>
      </c>
      <c r="R4" s="1" t="s">
        <v>1</v>
      </c>
      <c r="S4" s="10" t="s">
        <v>15</v>
      </c>
      <c r="T4" s="1"/>
      <c r="U4" s="1" t="s">
        <v>3</v>
      </c>
      <c r="V4" s="1"/>
      <c r="W4" s="1" t="s">
        <v>2</v>
      </c>
      <c r="X4" s="1"/>
      <c r="Y4" s="1" t="s">
        <v>8</v>
      </c>
      <c r="Z4" s="1"/>
      <c r="AA4" s="1" t="s">
        <v>69</v>
      </c>
      <c r="AB4" s="1"/>
      <c r="AC4" s="1" t="s">
        <v>65</v>
      </c>
    </row>
    <row r="5" spans="1:29" x14ac:dyDescent="0.25">
      <c r="A5" s="3" t="s">
        <v>113</v>
      </c>
      <c r="B5" s="11"/>
      <c r="C5" s="3"/>
      <c r="D5" s="6"/>
      <c r="E5" s="13"/>
      <c r="F5" s="3"/>
      <c r="G5" s="12"/>
      <c r="H5" s="11"/>
      <c r="I5" s="3"/>
      <c r="J5" s="6"/>
      <c r="K5" s="13"/>
      <c r="L5" s="3"/>
      <c r="M5" s="12"/>
      <c r="N5" s="11"/>
      <c r="O5" s="3"/>
      <c r="P5" s="6"/>
      <c r="Q5" s="13"/>
      <c r="R5" s="3"/>
      <c r="S5" s="12"/>
      <c r="T5" s="4"/>
      <c r="U5" s="4"/>
      <c r="V5" s="4"/>
      <c r="W5" s="4"/>
      <c r="X5" s="4"/>
      <c r="Y5" s="4"/>
      <c r="Z5" s="4"/>
      <c r="AA5" s="4"/>
      <c r="AB5" s="4"/>
      <c r="AC5" s="4"/>
    </row>
    <row r="6" spans="1:29" x14ac:dyDescent="0.25">
      <c r="B6" s="14" t="str">
        <f>_xlfn.CONCAT("@",U6,V6,W6,X6,Y6,Z6,AA6,AB6,AC6,"-(",B$3,")")</f>
        <v>@case_width-path_narrow-z11-(mtb)</v>
      </c>
      <c r="C6" s="7" t="str">
        <f>D6</f>
        <v>1.0</v>
      </c>
      <c r="D6" s="5" t="s">
        <v>76</v>
      </c>
      <c r="E6" s="15" t="str">
        <f>_xlfn.CONCAT("@",U6,V6,W6,X6,Y6,Z6,AA6,AB6,AC6,"-(",E$3,")")</f>
        <v>@case_width-path_narrow-z11-(mtb-hc)</v>
      </c>
      <c r="F6" s="7" t="str">
        <f t="shared" ref="F6:F18" si="0">G6</f>
        <v>2.0</v>
      </c>
      <c r="G6" s="10" t="s">
        <v>81</v>
      </c>
      <c r="H6" s="14" t="str">
        <f>_xlfn.CONCAT("@",U6,V6,W6,X6,Y6,Z6,AA6,AB6,AC6,"-(",H$3,")")</f>
        <v>@case_width-path_narrow-z11-(gr)</v>
      </c>
      <c r="I6" s="7" t="str">
        <f>J6</f>
        <v>0.5</v>
      </c>
      <c r="J6" s="5" t="s">
        <v>91</v>
      </c>
      <c r="K6" s="15" t="str">
        <f>_xlfn.CONCAT("@",U6,V6,W6,X6,Y6,Z6,AA6,AB6,AC6,"-(",K$3,")")</f>
        <v>@case_width-path_narrow-z11-(gr-hc)</v>
      </c>
      <c r="L6" s="7">
        <f>M6</f>
        <v>0</v>
      </c>
      <c r="M6" s="10"/>
      <c r="N6" s="18" t="str">
        <f>_xlfn.CONCAT("@",U6,V6,W6,X6,Y6,Z6,AA6,AB6,AC6,"-(",N$3,")")</f>
        <v>@case_width-path_narrow-z11-(wnt)</v>
      </c>
      <c r="O6" s="19" t="str">
        <f t="shared" ref="O6:O20" si="1">P6</f>
        <v>0.5</v>
      </c>
      <c r="P6" s="17" t="s">
        <v>91</v>
      </c>
      <c r="Q6" s="20" t="str">
        <f>_xlfn.CONCAT("@",U6,V6,W6,X6,Y6,Z6,AA6,AB6,AC6,"-(",Q$3,")")</f>
        <v>@case_width-path_narrow-z11-(wnt-hc)</v>
      </c>
      <c r="R6" s="19">
        <f>S6</f>
        <v>0</v>
      </c>
      <c r="S6" s="21"/>
      <c r="U6" s="1" t="s">
        <v>74</v>
      </c>
      <c r="V6" s="2" t="str">
        <f t="shared" ref="V6:V20" si="2">IF(NOT(ISBLANK(W6)),"-","")</f>
        <v>-</v>
      </c>
      <c r="W6" s="1" t="s">
        <v>67</v>
      </c>
      <c r="X6" s="2" t="str">
        <f>IF(NOT(ISBLANK(Y6)),"_","")</f>
        <v>_</v>
      </c>
      <c r="Y6" s="1" t="s">
        <v>68</v>
      </c>
      <c r="Z6" s="2" t="str">
        <f t="shared" ref="Z6:Z20" si="3">IF(NOT(ISBLANK(AA6)),"_","")</f>
        <v/>
      </c>
      <c r="AB6" s="2" t="str">
        <f t="shared" ref="AB6:AB20" si="4">IF(NOT(ISBLANK(AC6)),"-","")</f>
        <v>-</v>
      </c>
      <c r="AC6" s="1" t="s">
        <v>66</v>
      </c>
    </row>
    <row r="7" spans="1:29" x14ac:dyDescent="0.25">
      <c r="B7" s="14" t="str">
        <f t="shared" ref="B7:B17" si="5">_xlfn.CONCAT("@",U7,V7,W7,X7,Y7,Z7,AA7,AB7,AC7,"-(",B$3,")")</f>
        <v>@case_width-path_narrow-z12-(mtb)</v>
      </c>
      <c r="C7" s="7" t="str">
        <f t="shared" ref="C7:C17" si="6">D7</f>
        <v>1.1</v>
      </c>
      <c r="D7" s="5" t="s">
        <v>106</v>
      </c>
      <c r="E7" s="15" t="str">
        <f t="shared" ref="E7:E17" si="7">_xlfn.CONCAT("@",U7,V7,W7,X7,Y7,Z7,AA7,AB7,AC7,"-(",E$3,")")</f>
        <v>@case_width-path_narrow-z12-(mtb-hc)</v>
      </c>
      <c r="F7" s="7" t="str">
        <f t="shared" si="0"/>
        <v>2.2</v>
      </c>
      <c r="G7" s="10" t="s">
        <v>108</v>
      </c>
      <c r="H7" s="14" t="str">
        <f t="shared" ref="H7:H17" si="8">_xlfn.CONCAT("@",U7,V7,W7,X7,Y7,Z7,AA7,AB7,AC7,"-(",H$3,")")</f>
        <v>@case_width-path_narrow-z12-(gr)</v>
      </c>
      <c r="I7" s="7" t="str">
        <f t="shared" ref="I7:I18" si="9">J7</f>
        <v>0.7</v>
      </c>
      <c r="J7" s="5" t="s">
        <v>111</v>
      </c>
      <c r="K7" s="15" t="str">
        <f t="shared" ref="K7:K20" si="10">_xlfn.CONCAT("@",U7,V7,W7,X7,Y7,Z7,AA7,AB7,AC7,"-(",K$3,")")</f>
        <v>@case_width-path_narrow-z12-(gr-hc)</v>
      </c>
      <c r="L7" s="7">
        <f t="shared" ref="L7:L18" si="11">M7</f>
        <v>0</v>
      </c>
      <c r="M7" s="10"/>
      <c r="N7" s="18" t="str">
        <f t="shared" ref="N7:N20" si="12">_xlfn.CONCAT("@",U7,V7,W7,X7,Y7,Z7,AA7,AB7,AC7,"-(",N$3,")")</f>
        <v>@case_width-path_narrow-z12-(wnt)</v>
      </c>
      <c r="O7" s="19" t="str">
        <f t="shared" si="1"/>
        <v>0.6</v>
      </c>
      <c r="P7" s="17" t="s">
        <v>118</v>
      </c>
      <c r="Q7" s="20" t="str">
        <f t="shared" ref="Q7:Q20" si="13">_xlfn.CONCAT("@",U7,V7,W7,X7,Y7,Z7,AA7,AB7,AC7,"-(",Q$3,")")</f>
        <v>@case_width-path_narrow-z12-(wnt-hc)</v>
      </c>
      <c r="R7" s="19">
        <f t="shared" ref="R7:R19" si="14">S7</f>
        <v>0</v>
      </c>
      <c r="S7" s="21"/>
      <c r="U7" s="1" t="s">
        <v>74</v>
      </c>
      <c r="V7" s="2" t="str">
        <f t="shared" si="2"/>
        <v>-</v>
      </c>
      <c r="W7" s="1" t="s">
        <v>67</v>
      </c>
      <c r="X7" s="2" t="str">
        <f t="shared" ref="X7:X19" si="15">IF(NOT(ISBLANK(Y7)),"_","")</f>
        <v>_</v>
      </c>
      <c r="Y7" s="1" t="s">
        <v>68</v>
      </c>
      <c r="Z7" s="2" t="str">
        <f t="shared" si="3"/>
        <v/>
      </c>
      <c r="AB7" s="2" t="str">
        <f t="shared" si="4"/>
        <v>-</v>
      </c>
      <c r="AC7" s="1" t="s">
        <v>105</v>
      </c>
    </row>
    <row r="8" spans="1:29" x14ac:dyDescent="0.25">
      <c r="B8" s="14" t="str">
        <f t="shared" si="5"/>
        <v>@case_width-path_narrow-z14-(mtb)</v>
      </c>
      <c r="C8" s="7" t="str">
        <f t="shared" si="6"/>
        <v>1.3</v>
      </c>
      <c r="D8" s="5" t="s">
        <v>77</v>
      </c>
      <c r="E8" s="15" t="str">
        <f t="shared" si="7"/>
        <v>@case_width-path_narrow-z14-(mtb-hc)</v>
      </c>
      <c r="F8" s="7" t="str">
        <f t="shared" si="0"/>
        <v>2.5</v>
      </c>
      <c r="G8" s="10" t="s">
        <v>86</v>
      </c>
      <c r="H8" s="14" t="str">
        <f t="shared" si="8"/>
        <v>@case_width-path_narrow-z14-(gr)</v>
      </c>
      <c r="I8" s="7" t="str">
        <f t="shared" si="9"/>
        <v>1.0</v>
      </c>
      <c r="J8" s="5" t="s">
        <v>76</v>
      </c>
      <c r="K8" s="15" t="str">
        <f t="shared" si="10"/>
        <v>@case_width-path_narrow-z14-(gr-hc)</v>
      </c>
      <c r="L8" s="7">
        <f t="shared" si="11"/>
        <v>0</v>
      </c>
      <c r="M8" s="10"/>
      <c r="N8" s="18" t="str">
        <f t="shared" si="12"/>
        <v>@case_width-path_narrow-z14-(wnt)</v>
      </c>
      <c r="O8" s="19" t="str">
        <f t="shared" si="1"/>
        <v>1.0</v>
      </c>
      <c r="P8" s="17" t="s">
        <v>76</v>
      </c>
      <c r="Q8" s="20" t="str">
        <f t="shared" si="13"/>
        <v>@case_width-path_narrow-z14-(wnt-hc)</v>
      </c>
      <c r="R8" s="19">
        <f t="shared" si="14"/>
        <v>0</v>
      </c>
      <c r="S8" s="21"/>
      <c r="U8" s="1" t="s">
        <v>74</v>
      </c>
      <c r="V8" s="2" t="str">
        <f t="shared" si="2"/>
        <v>-</v>
      </c>
      <c r="W8" s="1" t="s">
        <v>67</v>
      </c>
      <c r="X8" s="2" t="str">
        <f t="shared" si="15"/>
        <v>_</v>
      </c>
      <c r="Y8" s="1" t="s">
        <v>68</v>
      </c>
      <c r="Z8" s="2" t="str">
        <f t="shared" si="3"/>
        <v/>
      </c>
      <c r="AB8" s="2" t="str">
        <f t="shared" si="4"/>
        <v>-</v>
      </c>
      <c r="AC8" s="1" t="s">
        <v>70</v>
      </c>
    </row>
    <row r="9" spans="1:29" x14ac:dyDescent="0.25">
      <c r="B9" s="14" t="str">
        <f t="shared" si="5"/>
        <v>@case_width-path_narrow-z16-(mtb)</v>
      </c>
      <c r="C9" s="7" t="str">
        <f t="shared" si="6"/>
        <v>3.5</v>
      </c>
      <c r="D9" s="5" t="s">
        <v>78</v>
      </c>
      <c r="E9" s="15" t="str">
        <f t="shared" si="7"/>
        <v>@case_width-path_narrow-z16-(mtb-hc)</v>
      </c>
      <c r="F9" s="7" t="str">
        <f t="shared" si="0"/>
        <v>3.0</v>
      </c>
      <c r="G9" s="10" t="s">
        <v>84</v>
      </c>
      <c r="H9" s="14" t="str">
        <f t="shared" si="8"/>
        <v>@case_width-path_narrow-z16-(gr)</v>
      </c>
      <c r="I9" s="7" t="str">
        <f t="shared" si="9"/>
        <v>1.0</v>
      </c>
      <c r="J9" s="5" t="s">
        <v>76</v>
      </c>
      <c r="K9" s="15" t="str">
        <f t="shared" si="10"/>
        <v>@case_width-path_narrow-z16-(gr-hc)</v>
      </c>
      <c r="L9" s="7">
        <f t="shared" si="11"/>
        <v>0</v>
      </c>
      <c r="M9" s="10"/>
      <c r="N9" s="18" t="str">
        <f t="shared" si="12"/>
        <v>@case_width-path_narrow-z16-(wnt)</v>
      </c>
      <c r="O9" s="19" t="str">
        <f t="shared" si="1"/>
        <v>1.8</v>
      </c>
      <c r="P9" s="17" t="s">
        <v>119</v>
      </c>
      <c r="Q9" s="20" t="str">
        <f t="shared" si="13"/>
        <v>@case_width-path_narrow-z16-(wnt-hc)</v>
      </c>
      <c r="R9" s="19">
        <f t="shared" si="14"/>
        <v>0</v>
      </c>
      <c r="S9" s="21"/>
      <c r="U9" s="1" t="s">
        <v>74</v>
      </c>
      <c r="V9" s="2" t="str">
        <f t="shared" si="2"/>
        <v>-</v>
      </c>
      <c r="W9" s="1" t="s">
        <v>67</v>
      </c>
      <c r="X9" s="2" t="str">
        <f t="shared" si="15"/>
        <v>_</v>
      </c>
      <c r="Y9" s="1" t="s">
        <v>68</v>
      </c>
      <c r="Z9" s="2" t="str">
        <f t="shared" si="3"/>
        <v/>
      </c>
      <c r="AB9" s="2" t="str">
        <f t="shared" si="4"/>
        <v>-</v>
      </c>
      <c r="AC9" s="1" t="s">
        <v>71</v>
      </c>
    </row>
    <row r="10" spans="1:29" x14ac:dyDescent="0.25">
      <c r="B10" s="14" t="str">
        <f t="shared" si="5"/>
        <v>@case_width-path_narrow-z18-(mtb)</v>
      </c>
      <c r="C10" s="7" t="str">
        <f t="shared" si="6"/>
        <v>5.0</v>
      </c>
      <c r="D10" s="5" t="s">
        <v>79</v>
      </c>
      <c r="E10" s="15" t="str">
        <f t="shared" si="7"/>
        <v>@case_width-path_narrow-z18-(mtb-hc)</v>
      </c>
      <c r="F10" s="7" t="str">
        <f t="shared" si="0"/>
        <v>7.5</v>
      </c>
      <c r="G10" s="10" t="s">
        <v>87</v>
      </c>
      <c r="H10" s="14" t="str">
        <f t="shared" si="8"/>
        <v>@case_width-path_narrow-z18-(gr)</v>
      </c>
      <c r="I10" s="7" t="str">
        <f t="shared" si="9"/>
        <v>1.5</v>
      </c>
      <c r="J10" s="5" t="s">
        <v>80</v>
      </c>
      <c r="K10" s="15" t="str">
        <f t="shared" si="10"/>
        <v>@case_width-path_narrow-z18-(gr-hc)</v>
      </c>
      <c r="L10" s="7">
        <f t="shared" si="11"/>
        <v>0</v>
      </c>
      <c r="M10" s="10"/>
      <c r="N10" s="18" t="str">
        <f t="shared" si="12"/>
        <v>@case_width-path_narrow-z18-(wnt)</v>
      </c>
      <c r="O10" s="19" t="str">
        <f t="shared" si="1"/>
        <v>2.4</v>
      </c>
      <c r="P10" s="17" t="s">
        <v>95</v>
      </c>
      <c r="Q10" s="20" t="str">
        <f t="shared" si="13"/>
        <v>@case_width-path_narrow-z18-(wnt-hc)</v>
      </c>
      <c r="R10" s="19">
        <f t="shared" si="14"/>
        <v>0</v>
      </c>
      <c r="S10" s="21"/>
      <c r="U10" s="1" t="s">
        <v>74</v>
      </c>
      <c r="V10" s="2" t="str">
        <f t="shared" si="2"/>
        <v>-</v>
      </c>
      <c r="W10" s="1" t="s">
        <v>67</v>
      </c>
      <c r="X10" s="2" t="str">
        <f t="shared" si="15"/>
        <v>_</v>
      </c>
      <c r="Y10" s="1" t="s">
        <v>68</v>
      </c>
      <c r="Z10" s="2" t="str">
        <f t="shared" si="3"/>
        <v/>
      </c>
      <c r="AB10" s="2" t="str">
        <f t="shared" si="4"/>
        <v>-</v>
      </c>
      <c r="AC10" s="1" t="s">
        <v>72</v>
      </c>
    </row>
    <row r="11" spans="1:29" x14ac:dyDescent="0.25">
      <c r="B11" s="14" t="str">
        <f t="shared" si="5"/>
        <v>@case_width-path_medium-z11-(mtb)</v>
      </c>
      <c r="C11" s="7" t="str">
        <f t="shared" si="6"/>
        <v>1.5</v>
      </c>
      <c r="D11" s="5" t="s">
        <v>80</v>
      </c>
      <c r="E11" s="15" t="str">
        <f t="shared" si="7"/>
        <v>@case_width-path_medium-z11-(mtb-hc)</v>
      </c>
      <c r="F11" s="7" t="str">
        <f t="shared" si="0"/>
        <v>3.0</v>
      </c>
      <c r="G11" s="10" t="s">
        <v>84</v>
      </c>
      <c r="H11" s="14" t="str">
        <f t="shared" si="8"/>
        <v>@case_width-path_medium-z11-(gr)</v>
      </c>
      <c r="I11" s="7" t="str">
        <f t="shared" si="9"/>
        <v>0.8</v>
      </c>
      <c r="J11" s="5" t="s">
        <v>92</v>
      </c>
      <c r="K11" s="15" t="str">
        <f t="shared" si="10"/>
        <v>@case_width-path_medium-z11-(gr-hc)</v>
      </c>
      <c r="L11" s="7">
        <f t="shared" si="11"/>
        <v>0</v>
      </c>
      <c r="M11" s="10"/>
      <c r="N11" s="14" t="str">
        <f t="shared" si="12"/>
        <v>@case_width-path_medium-z11-(wnt)</v>
      </c>
      <c r="O11" s="7" t="str">
        <f t="shared" si="1"/>
        <v>0.5</v>
      </c>
      <c r="P11" s="5" t="s">
        <v>91</v>
      </c>
      <c r="Q11" s="15" t="str">
        <f t="shared" si="13"/>
        <v>@case_width-path_medium-z11-(wnt-hc)</v>
      </c>
      <c r="R11" s="7">
        <f t="shared" si="14"/>
        <v>0</v>
      </c>
      <c r="S11" s="10"/>
      <c r="U11" s="1" t="s">
        <v>74</v>
      </c>
      <c r="V11" s="2" t="str">
        <f t="shared" si="2"/>
        <v>-</v>
      </c>
      <c r="W11" s="1" t="s">
        <v>67</v>
      </c>
      <c r="X11" s="2" t="str">
        <f t="shared" si="15"/>
        <v>_</v>
      </c>
      <c r="Y11" s="1" t="s">
        <v>75</v>
      </c>
      <c r="Z11" s="2" t="str">
        <f t="shared" si="3"/>
        <v/>
      </c>
      <c r="AB11" s="2" t="str">
        <f t="shared" si="4"/>
        <v>-</v>
      </c>
      <c r="AC11" s="1" t="s">
        <v>66</v>
      </c>
    </row>
    <row r="12" spans="1:29" x14ac:dyDescent="0.25">
      <c r="B12" s="14" t="str">
        <f t="shared" si="5"/>
        <v>@case_width-path_medium-z12-(mtb)</v>
      </c>
      <c r="C12" s="7" t="str">
        <f t="shared" si="6"/>
        <v>1.7</v>
      </c>
      <c r="D12" s="5" t="s">
        <v>107</v>
      </c>
      <c r="E12" s="15" t="str">
        <f t="shared" si="7"/>
        <v>@case_width-path_medium-z12-(mtb-hc)</v>
      </c>
      <c r="F12" s="7" t="str">
        <f t="shared" si="0"/>
        <v>3.4</v>
      </c>
      <c r="G12" s="10" t="s">
        <v>110</v>
      </c>
      <c r="H12" s="14" t="str">
        <f t="shared" si="8"/>
        <v>@case_width-path_medium-z12-(gr)</v>
      </c>
      <c r="I12" s="7" t="str">
        <f t="shared" si="9"/>
        <v>0.9</v>
      </c>
      <c r="J12" s="5" t="s">
        <v>112</v>
      </c>
      <c r="K12" s="15" t="str">
        <f t="shared" si="10"/>
        <v>@case_width-path_medium-z12-(gr-hc)</v>
      </c>
      <c r="L12" s="7">
        <f t="shared" si="11"/>
        <v>0</v>
      </c>
      <c r="M12" s="10"/>
      <c r="N12" s="14" t="str">
        <f t="shared" si="12"/>
        <v>@case_width-path_medium-z12-(wnt)</v>
      </c>
      <c r="O12" s="7" t="str">
        <f t="shared" si="1"/>
        <v>0.6</v>
      </c>
      <c r="P12" s="5" t="s">
        <v>118</v>
      </c>
      <c r="Q12" s="15" t="str">
        <f t="shared" si="13"/>
        <v>@case_width-path_medium-z12-(wnt-hc)</v>
      </c>
      <c r="R12" s="7">
        <f t="shared" si="14"/>
        <v>0</v>
      </c>
      <c r="S12" s="10"/>
      <c r="U12" s="1" t="s">
        <v>74</v>
      </c>
      <c r="V12" s="2" t="str">
        <f t="shared" si="2"/>
        <v>-</v>
      </c>
      <c r="W12" s="1" t="s">
        <v>67</v>
      </c>
      <c r="X12" s="2" t="str">
        <f t="shared" si="15"/>
        <v>_</v>
      </c>
      <c r="Y12" s="1" t="s">
        <v>75</v>
      </c>
      <c r="Z12" s="2" t="str">
        <f t="shared" si="3"/>
        <v/>
      </c>
      <c r="AB12" s="2" t="str">
        <f t="shared" si="4"/>
        <v>-</v>
      </c>
      <c r="AC12" s="1" t="s">
        <v>105</v>
      </c>
    </row>
    <row r="13" spans="1:29" x14ac:dyDescent="0.25">
      <c r="B13" s="14" t="str">
        <f t="shared" si="5"/>
        <v>@case_width-path_medium-z14-(mtb)</v>
      </c>
      <c r="C13" s="7" t="str">
        <f t="shared" si="6"/>
        <v>2.0</v>
      </c>
      <c r="D13" s="5" t="s">
        <v>81</v>
      </c>
      <c r="E13" s="15" t="str">
        <f t="shared" si="7"/>
        <v>@case_width-path_medium-z14-(mtb-hc)</v>
      </c>
      <c r="F13" s="7" t="str">
        <f t="shared" si="0"/>
        <v>4.0</v>
      </c>
      <c r="G13" s="10" t="s">
        <v>88</v>
      </c>
      <c r="H13" s="14" t="str">
        <f t="shared" si="8"/>
        <v>@case_width-path_medium-z14-(gr)</v>
      </c>
      <c r="I13" s="7" t="str">
        <f t="shared" si="9"/>
        <v>1.2</v>
      </c>
      <c r="J13" s="5" t="s">
        <v>93</v>
      </c>
      <c r="K13" s="15" t="str">
        <f t="shared" si="10"/>
        <v>@case_width-path_medium-z14-(gr-hc)</v>
      </c>
      <c r="L13" s="7">
        <f t="shared" si="11"/>
        <v>0</v>
      </c>
      <c r="M13" s="10"/>
      <c r="N13" s="14" t="str">
        <f t="shared" si="12"/>
        <v>@case_width-path_medium-z14-(wnt)</v>
      </c>
      <c r="O13" s="7" t="str">
        <f t="shared" si="1"/>
        <v>1.0</v>
      </c>
      <c r="P13" s="5" t="s">
        <v>76</v>
      </c>
      <c r="Q13" s="15" t="str">
        <f t="shared" si="13"/>
        <v>@case_width-path_medium-z14-(wnt-hc)</v>
      </c>
      <c r="R13" s="7">
        <f t="shared" si="14"/>
        <v>0</v>
      </c>
      <c r="S13" s="10"/>
      <c r="U13" s="1" t="s">
        <v>74</v>
      </c>
      <c r="V13" s="2" t="str">
        <f t="shared" si="2"/>
        <v>-</v>
      </c>
      <c r="W13" s="1" t="s">
        <v>67</v>
      </c>
      <c r="X13" s="2" t="str">
        <f t="shared" si="15"/>
        <v>_</v>
      </c>
      <c r="Y13" s="1" t="s">
        <v>75</v>
      </c>
      <c r="Z13" s="2" t="str">
        <f t="shared" si="3"/>
        <v/>
      </c>
      <c r="AB13" s="2" t="str">
        <f t="shared" si="4"/>
        <v>-</v>
      </c>
      <c r="AC13" s="1" t="s">
        <v>70</v>
      </c>
    </row>
    <row r="14" spans="1:29" x14ac:dyDescent="0.25">
      <c r="B14" s="14" t="str">
        <f t="shared" si="5"/>
        <v>@case_width-path_medium-z16-(mtb)</v>
      </c>
      <c r="C14" s="7" t="str">
        <f t="shared" si="6"/>
        <v>6.0</v>
      </c>
      <c r="D14" s="5" t="s">
        <v>82</v>
      </c>
      <c r="E14" s="15" t="str">
        <f t="shared" si="7"/>
        <v>@case_width-path_medium-z16-(mtb-hc)</v>
      </c>
      <c r="F14" s="7" t="str">
        <f t="shared" si="0"/>
        <v>6.0</v>
      </c>
      <c r="G14" s="10" t="s">
        <v>82</v>
      </c>
      <c r="H14" s="14" t="str">
        <f t="shared" si="8"/>
        <v>@case_width-path_medium-z16-(gr)</v>
      </c>
      <c r="I14" s="7" t="str">
        <f t="shared" si="9"/>
        <v>1.6</v>
      </c>
      <c r="J14" s="5" t="s">
        <v>94</v>
      </c>
      <c r="K14" s="15" t="str">
        <f t="shared" si="10"/>
        <v>@case_width-path_medium-z16-(gr-hc)</v>
      </c>
      <c r="L14" s="7">
        <f t="shared" si="11"/>
        <v>0</v>
      </c>
      <c r="M14" s="10"/>
      <c r="N14" s="14" t="str">
        <f t="shared" si="12"/>
        <v>@case_width-path_medium-z16-(wnt)</v>
      </c>
      <c r="O14" s="7" t="str">
        <f t="shared" si="1"/>
        <v>1.8</v>
      </c>
      <c r="P14" s="5" t="s">
        <v>119</v>
      </c>
      <c r="Q14" s="15" t="str">
        <f t="shared" si="13"/>
        <v>@case_width-path_medium-z16-(wnt-hc)</v>
      </c>
      <c r="R14" s="7">
        <f t="shared" si="14"/>
        <v>0</v>
      </c>
      <c r="S14" s="10"/>
      <c r="U14" s="1" t="s">
        <v>74</v>
      </c>
      <c r="V14" s="2" t="str">
        <f t="shared" si="2"/>
        <v>-</v>
      </c>
      <c r="W14" s="1" t="s">
        <v>67</v>
      </c>
      <c r="X14" s="2" t="str">
        <f t="shared" si="15"/>
        <v>_</v>
      </c>
      <c r="Y14" s="1" t="s">
        <v>75</v>
      </c>
      <c r="Z14" s="2" t="str">
        <f t="shared" si="3"/>
        <v/>
      </c>
      <c r="AB14" s="2" t="str">
        <f t="shared" si="4"/>
        <v>-</v>
      </c>
      <c r="AC14" s="1" t="s">
        <v>71</v>
      </c>
    </row>
    <row r="15" spans="1:29" x14ac:dyDescent="0.25">
      <c r="B15" s="14" t="str">
        <f t="shared" si="5"/>
        <v>@case_width-path_medium-z18-(mtb)</v>
      </c>
      <c r="C15" s="7" t="str">
        <f t="shared" si="6"/>
        <v>9.0</v>
      </c>
      <c r="D15" s="5" t="s">
        <v>83</v>
      </c>
      <c r="E15" s="15" t="str">
        <f t="shared" si="7"/>
        <v>@case_width-path_medium-z18-(mtb-hc)</v>
      </c>
      <c r="F15" s="7" t="str">
        <f t="shared" si="0"/>
        <v>13.5</v>
      </c>
      <c r="G15" s="10" t="s">
        <v>89</v>
      </c>
      <c r="H15" s="14" t="str">
        <f t="shared" si="8"/>
        <v>@case_width-path_medium-z18-(gr)</v>
      </c>
      <c r="I15" s="7" t="str">
        <f t="shared" si="9"/>
        <v>2.4</v>
      </c>
      <c r="J15" s="5" t="s">
        <v>95</v>
      </c>
      <c r="K15" s="15" t="str">
        <f t="shared" si="10"/>
        <v>@case_width-path_medium-z18-(gr-hc)</v>
      </c>
      <c r="L15" s="7">
        <f t="shared" si="11"/>
        <v>0</v>
      </c>
      <c r="M15" s="10"/>
      <c r="N15" s="14" t="str">
        <f t="shared" si="12"/>
        <v>@case_width-path_medium-z18-(wnt)</v>
      </c>
      <c r="O15" s="7" t="str">
        <f t="shared" si="1"/>
        <v>2.4</v>
      </c>
      <c r="P15" s="5" t="s">
        <v>95</v>
      </c>
      <c r="Q15" s="15" t="str">
        <f t="shared" si="13"/>
        <v>@case_width-path_medium-z18-(wnt-hc)</v>
      </c>
      <c r="R15" s="7">
        <f t="shared" si="14"/>
        <v>0</v>
      </c>
      <c r="S15" s="10"/>
      <c r="U15" s="1" t="s">
        <v>74</v>
      </c>
      <c r="V15" s="2" t="str">
        <f t="shared" si="2"/>
        <v>-</v>
      </c>
      <c r="W15" s="1" t="s">
        <v>67</v>
      </c>
      <c r="X15" s="2" t="str">
        <f t="shared" si="15"/>
        <v>_</v>
      </c>
      <c r="Y15" s="1" t="s">
        <v>75</v>
      </c>
      <c r="Z15" s="2" t="str">
        <f t="shared" si="3"/>
        <v/>
      </c>
      <c r="AB15" s="2" t="str">
        <f t="shared" si="4"/>
        <v>-</v>
      </c>
      <c r="AC15" s="1" t="s">
        <v>72</v>
      </c>
    </row>
    <row r="16" spans="1:29" x14ac:dyDescent="0.25">
      <c r="B16" s="14" t="str">
        <f t="shared" si="5"/>
        <v>@case_width-path_wide-z11-(mtb)</v>
      </c>
      <c r="C16" s="7" t="str">
        <f t="shared" si="6"/>
        <v>2.0</v>
      </c>
      <c r="D16" s="5" t="s">
        <v>81</v>
      </c>
      <c r="E16" s="15" t="str">
        <f t="shared" si="7"/>
        <v>@case_width-path_wide-z11-(mtb-hc)</v>
      </c>
      <c r="F16" s="7" t="str">
        <f t="shared" si="0"/>
        <v>4.0</v>
      </c>
      <c r="G16" s="10" t="s">
        <v>88</v>
      </c>
      <c r="H16" s="14" t="str">
        <f t="shared" si="8"/>
        <v>@case_width-path_wide-z11-(gr)</v>
      </c>
      <c r="I16" s="7" t="str">
        <f t="shared" si="9"/>
        <v>1.5</v>
      </c>
      <c r="J16" s="5" t="s">
        <v>80</v>
      </c>
      <c r="K16" s="15" t="str">
        <f t="shared" si="10"/>
        <v>@case_width-path_wide-z11-(gr-hc)</v>
      </c>
      <c r="L16" s="7">
        <f t="shared" si="11"/>
        <v>0</v>
      </c>
      <c r="M16" s="10"/>
      <c r="N16" s="18" t="str">
        <f t="shared" si="12"/>
        <v>@case_width-path_wide-z11-(wnt)</v>
      </c>
      <c r="O16" s="19" t="str">
        <f t="shared" si="1"/>
        <v>0.5</v>
      </c>
      <c r="P16" s="17" t="s">
        <v>91</v>
      </c>
      <c r="Q16" s="20" t="str">
        <f t="shared" si="13"/>
        <v>@case_width-path_wide-z11-(wnt-hc)</v>
      </c>
      <c r="R16" s="19">
        <f t="shared" si="14"/>
        <v>0</v>
      </c>
      <c r="S16" s="21"/>
      <c r="U16" s="1" t="s">
        <v>74</v>
      </c>
      <c r="V16" s="2" t="str">
        <f t="shared" si="2"/>
        <v>-</v>
      </c>
      <c r="W16" s="1" t="s">
        <v>67</v>
      </c>
      <c r="X16" s="2" t="str">
        <f t="shared" si="15"/>
        <v>_</v>
      </c>
      <c r="Y16" s="1" t="s">
        <v>73</v>
      </c>
      <c r="Z16" s="2" t="str">
        <f t="shared" si="3"/>
        <v/>
      </c>
      <c r="AB16" s="2" t="str">
        <f t="shared" si="4"/>
        <v>-</v>
      </c>
      <c r="AC16" s="1" t="s">
        <v>66</v>
      </c>
    </row>
    <row r="17" spans="1:29" x14ac:dyDescent="0.25">
      <c r="B17" s="14" t="str">
        <f t="shared" si="5"/>
        <v>@case_width-path_wide-z12-(mtb)</v>
      </c>
      <c r="C17" s="7" t="str">
        <f t="shared" si="6"/>
        <v>2.4</v>
      </c>
      <c r="D17" s="5" t="s">
        <v>95</v>
      </c>
      <c r="E17" s="15" t="str">
        <f t="shared" si="7"/>
        <v>@case_width-path_wide-z12-(mtb-hc)</v>
      </c>
      <c r="F17" s="7" t="str">
        <f t="shared" si="0"/>
        <v>4.8</v>
      </c>
      <c r="G17" s="10" t="s">
        <v>109</v>
      </c>
      <c r="H17" s="14" t="str">
        <f t="shared" si="8"/>
        <v>@case_width-path_wide-z12-(gr)</v>
      </c>
      <c r="I17" s="7" t="str">
        <f t="shared" si="9"/>
        <v>1.5</v>
      </c>
      <c r="J17" s="5" t="s">
        <v>80</v>
      </c>
      <c r="K17" s="15" t="str">
        <f t="shared" si="10"/>
        <v>@case_width-path_wide-z12-(gr-hc)</v>
      </c>
      <c r="L17" s="7">
        <f t="shared" si="11"/>
        <v>0</v>
      </c>
      <c r="M17" s="10"/>
      <c r="N17" s="18" t="str">
        <f t="shared" si="12"/>
        <v>@case_width-path_wide-z12-(wnt)</v>
      </c>
      <c r="O17" s="19" t="str">
        <f t="shared" si="1"/>
        <v>0.6</v>
      </c>
      <c r="P17" s="17" t="s">
        <v>118</v>
      </c>
      <c r="Q17" s="20" t="str">
        <f t="shared" si="13"/>
        <v>@case_width-path_wide-z12-(wnt-hc)</v>
      </c>
      <c r="R17" s="19">
        <f t="shared" si="14"/>
        <v>0</v>
      </c>
      <c r="S17" s="21"/>
      <c r="U17" s="1" t="s">
        <v>74</v>
      </c>
      <c r="V17" s="2" t="str">
        <f t="shared" si="2"/>
        <v>-</v>
      </c>
      <c r="W17" s="1" t="s">
        <v>67</v>
      </c>
      <c r="X17" s="2" t="str">
        <f t="shared" si="15"/>
        <v>_</v>
      </c>
      <c r="Y17" s="1" t="s">
        <v>73</v>
      </c>
      <c r="Z17" s="2" t="str">
        <f t="shared" si="3"/>
        <v/>
      </c>
      <c r="AB17" s="2" t="str">
        <f t="shared" si="4"/>
        <v>-</v>
      </c>
      <c r="AC17" s="1" t="s">
        <v>105</v>
      </c>
    </row>
    <row r="18" spans="1:29" x14ac:dyDescent="0.25">
      <c r="B18" s="14" t="str">
        <f>_xlfn.CONCAT("@",U18,V18,W18,X18,Y18,Z18,AA18,AB18,AC18,"-(",B$3,")")</f>
        <v>@case_width-path_wide-z14-(mtb)</v>
      </c>
      <c r="C18" s="7" t="str">
        <f>D18</f>
        <v>3.0</v>
      </c>
      <c r="D18" s="5" t="s">
        <v>84</v>
      </c>
      <c r="E18" s="15" t="str">
        <f>_xlfn.CONCAT("@",U18,V18,W18,X18,Y18,Z18,AA18,AB18,AC18,"-(",E$3,")")</f>
        <v>@case_width-path_wide-z14-(mtb-hc)</v>
      </c>
      <c r="F18" s="7" t="str">
        <f t="shared" si="0"/>
        <v>6.0</v>
      </c>
      <c r="G18" s="10" t="s">
        <v>82</v>
      </c>
      <c r="H18" s="14" t="str">
        <f>_xlfn.CONCAT("@",U18,V18,W18,X18,Y18,Z18,AA18,AB18,AC18,"-(",H$3,")")</f>
        <v>@case_width-path_wide-z14-(gr)</v>
      </c>
      <c r="I18" s="7" t="str">
        <f t="shared" si="9"/>
        <v>1.6</v>
      </c>
      <c r="J18" s="5" t="s">
        <v>94</v>
      </c>
      <c r="K18" s="15" t="str">
        <f t="shared" si="10"/>
        <v>@case_width-path_wide-z14-(gr-hc)</v>
      </c>
      <c r="L18" s="7">
        <f t="shared" si="11"/>
        <v>0</v>
      </c>
      <c r="M18" s="10"/>
      <c r="N18" s="18" t="str">
        <f t="shared" si="12"/>
        <v>@case_width-path_wide-z14-(wnt)</v>
      </c>
      <c r="O18" s="19" t="str">
        <f t="shared" si="1"/>
        <v>1.0</v>
      </c>
      <c r="P18" s="17" t="s">
        <v>76</v>
      </c>
      <c r="Q18" s="20" t="str">
        <f t="shared" si="13"/>
        <v>@case_width-path_wide-z14-(wnt-hc)</v>
      </c>
      <c r="R18" s="19">
        <f t="shared" si="14"/>
        <v>0</v>
      </c>
      <c r="S18" s="21"/>
      <c r="U18" s="1" t="s">
        <v>74</v>
      </c>
      <c r="V18" s="2" t="str">
        <f t="shared" si="2"/>
        <v>-</v>
      </c>
      <c r="W18" s="1" t="s">
        <v>67</v>
      </c>
      <c r="X18" s="2" t="str">
        <f t="shared" si="15"/>
        <v>_</v>
      </c>
      <c r="Y18" s="1" t="s">
        <v>73</v>
      </c>
      <c r="Z18" s="2" t="str">
        <f t="shared" si="3"/>
        <v/>
      </c>
      <c r="AB18" s="2" t="str">
        <f t="shared" si="4"/>
        <v>-</v>
      </c>
      <c r="AC18" s="1" t="s">
        <v>70</v>
      </c>
    </row>
    <row r="19" spans="1:29" x14ac:dyDescent="0.25">
      <c r="B19" s="14" t="str">
        <f>_xlfn.CONCAT("@",U19,V19,W19,X19,Y19,Z19,AA19,AB19,AC19,"-(",B$3,")")</f>
        <v>@case_width-path_wide-z16-(mtb)</v>
      </c>
      <c r="C19" s="7" t="str">
        <f t="shared" ref="C19:C20" si="16">D19</f>
        <v>9.0</v>
      </c>
      <c r="D19" s="5" t="s">
        <v>83</v>
      </c>
      <c r="E19" s="15" t="str">
        <f>_xlfn.CONCAT("@",U19,V19,W19,X19,Y19,Z19,AA19,AB19,AC19,"-(",E$3,")")</f>
        <v>@case_width-path_wide-z16-(mtb-hc)</v>
      </c>
      <c r="F19" s="7" t="str">
        <f>G19</f>
        <v>9.0</v>
      </c>
      <c r="G19" s="10" t="s">
        <v>83</v>
      </c>
      <c r="H19" s="14" t="str">
        <f>_xlfn.CONCAT("@",U19,V19,W19,X19,Y19,Z19,AA19,AB19,AC19,"-(",H$3,")")</f>
        <v>@case_width-path_wide-z16-(gr)</v>
      </c>
      <c r="I19" s="7" t="str">
        <f t="shared" ref="I19:I20" si="17">J19</f>
        <v>2.4</v>
      </c>
      <c r="J19" s="5" t="s">
        <v>95</v>
      </c>
      <c r="K19" s="15" t="str">
        <f t="shared" si="10"/>
        <v>@case_width-path_wide-z16-(gr-hc)</v>
      </c>
      <c r="L19" s="7">
        <f t="shared" ref="L19:L20" si="18">M19</f>
        <v>0</v>
      </c>
      <c r="M19" s="10"/>
      <c r="N19" s="18" t="str">
        <f t="shared" si="12"/>
        <v>@case_width-path_wide-z16-(wnt)</v>
      </c>
      <c r="O19" s="19" t="str">
        <f t="shared" si="1"/>
        <v>1.8</v>
      </c>
      <c r="P19" s="17" t="s">
        <v>119</v>
      </c>
      <c r="Q19" s="20" t="str">
        <f t="shared" si="13"/>
        <v>@case_width-path_wide-z16-(wnt-hc)</v>
      </c>
      <c r="R19" s="19">
        <f t="shared" si="14"/>
        <v>0</v>
      </c>
      <c r="S19" s="21"/>
      <c r="U19" s="1" t="s">
        <v>74</v>
      </c>
      <c r="V19" s="2" t="str">
        <f t="shared" si="2"/>
        <v>-</v>
      </c>
      <c r="W19" s="1" t="s">
        <v>67</v>
      </c>
      <c r="X19" s="2" t="str">
        <f t="shared" si="15"/>
        <v>_</v>
      </c>
      <c r="Y19" s="1" t="s">
        <v>73</v>
      </c>
      <c r="Z19" s="2" t="str">
        <f t="shared" si="3"/>
        <v/>
      </c>
      <c r="AB19" s="2" t="str">
        <f t="shared" si="4"/>
        <v>-</v>
      </c>
      <c r="AC19" s="1" t="s">
        <v>71</v>
      </c>
    </row>
    <row r="20" spans="1:29" x14ac:dyDescent="0.25">
      <c r="B20" s="14" t="str">
        <f>_xlfn.CONCAT("@",U20,V20,W20,X20,Y20,Z20,AA20,AB20,AC20,"-(",B$3,")")</f>
        <v>@case_width-path_wide-z18-(mtb)</v>
      </c>
      <c r="C20" s="7" t="str">
        <f t="shared" si="16"/>
        <v>15.0</v>
      </c>
      <c r="D20" s="5" t="s">
        <v>85</v>
      </c>
      <c r="E20" s="15" t="str">
        <f>_xlfn.CONCAT("@",U20,V20,W20,X20,Y20,Z20,AA20,AB20,AC20,"-(",E$3,")")</f>
        <v>@case_width-path_wide-z18-(mtb-hc)</v>
      </c>
      <c r="F20" s="7" t="str">
        <f>G20</f>
        <v>22.5</v>
      </c>
      <c r="G20" s="10" t="s">
        <v>90</v>
      </c>
      <c r="H20" s="14" t="str">
        <f>_xlfn.CONCAT("@",U20,V20,W20,X20,Y20,Z20,AA20,AB20,AC20,"-(",H$3,")")</f>
        <v>@case_width-path_wide-z18-(gr)</v>
      </c>
      <c r="I20" s="7" t="str">
        <f t="shared" si="17"/>
        <v>3.6</v>
      </c>
      <c r="J20" s="5" t="s">
        <v>96</v>
      </c>
      <c r="K20" s="15" t="str">
        <f t="shared" si="10"/>
        <v>@case_width-path_wide-z18-(gr-hc)</v>
      </c>
      <c r="L20" s="7">
        <f t="shared" si="18"/>
        <v>0</v>
      </c>
      <c r="M20" s="10"/>
      <c r="N20" s="18" t="str">
        <f t="shared" si="12"/>
        <v>@case_width-path_wide-z18-(wnt)</v>
      </c>
      <c r="O20" s="19" t="str">
        <f t="shared" si="1"/>
        <v>2.4</v>
      </c>
      <c r="P20" s="17" t="s">
        <v>95</v>
      </c>
      <c r="Q20" s="20" t="str">
        <f t="shared" si="13"/>
        <v>@case_width-path_wide-z18-(wnt-hc)</v>
      </c>
      <c r="R20" s="19">
        <f t="shared" ref="R20" si="19">S20</f>
        <v>0</v>
      </c>
      <c r="S20" s="21"/>
      <c r="U20" s="1" t="s">
        <v>74</v>
      </c>
      <c r="V20" s="2" t="str">
        <f t="shared" si="2"/>
        <v>-</v>
      </c>
      <c r="W20" s="1" t="s">
        <v>67</v>
      </c>
      <c r="X20" s="2" t="str">
        <f t="shared" ref="X20" si="20">IF(NOT(ISBLANK(Y20)),"_","")</f>
        <v>_</v>
      </c>
      <c r="Y20" s="1" t="s">
        <v>73</v>
      </c>
      <c r="Z20" s="2" t="str">
        <f t="shared" si="3"/>
        <v/>
      </c>
      <c r="AB20" s="2" t="str">
        <f t="shared" si="4"/>
        <v>-</v>
      </c>
      <c r="AC20" s="1" t="s">
        <v>72</v>
      </c>
    </row>
    <row r="21" spans="1:29" x14ac:dyDescent="0.25">
      <c r="A21" s="3" t="s">
        <v>114</v>
      </c>
      <c r="B21" s="11"/>
      <c r="C21" s="3"/>
      <c r="D21" s="6"/>
      <c r="E21" s="13"/>
      <c r="F21" s="3"/>
      <c r="G21" s="12"/>
      <c r="H21" s="11"/>
      <c r="I21" s="3"/>
      <c r="J21" s="6"/>
      <c r="K21" s="13"/>
      <c r="L21" s="3"/>
      <c r="M21" s="12"/>
      <c r="N21" s="11"/>
      <c r="O21" s="3"/>
      <c r="P21" s="6"/>
      <c r="Q21" s="13"/>
      <c r="R21" s="3"/>
      <c r="S21" s="12"/>
      <c r="T21" s="4"/>
      <c r="U21" s="3"/>
      <c r="V21" s="4"/>
      <c r="W21" s="3"/>
      <c r="X21" s="4"/>
      <c r="Y21" s="3"/>
      <c r="Z21" s="4"/>
      <c r="AA21" s="4"/>
      <c r="AB21" s="4"/>
      <c r="AC21" s="3"/>
    </row>
    <row r="22" spans="1:29" x14ac:dyDescent="0.25">
      <c r="B22" s="14" t="str">
        <f>_xlfn.CONCAT("@",U22,V22,W22,X22,Y22,Z22,AA22,AB22,AC22,"-(",B$3,")")</f>
        <v>@line_width-path_narrow-z11-(mtb)</v>
      </c>
      <c r="C22" s="7" t="str">
        <f>D22</f>
        <v>0.3</v>
      </c>
      <c r="D22" s="5" t="s">
        <v>120</v>
      </c>
      <c r="E22" s="15" t="str">
        <f>_xlfn.CONCAT("@",U22,V22,W22,X22,Y22,Z22,AA22,AB22,AC22,"-(",E$3,")")</f>
        <v>@line_width-path_narrow-z11-(mtb-hc)</v>
      </c>
      <c r="F22" s="7" t="str">
        <f t="shared" ref="F22:F34" si="21">G22</f>
        <v>0.5</v>
      </c>
      <c r="G22" s="10" t="s">
        <v>91</v>
      </c>
      <c r="H22" s="14" t="str">
        <f>_xlfn.CONCAT("@",U22,V22,W22,X22,Y22,Z22,AA22,AB22,AC22,"-(",H$3,")")</f>
        <v>@line_width-path_narrow-z11-(gr)</v>
      </c>
      <c r="I22" s="7" t="str">
        <f>J22</f>
        <v>0.3</v>
      </c>
      <c r="J22" s="5" t="s">
        <v>120</v>
      </c>
      <c r="K22" s="15" t="str">
        <f>_xlfn.CONCAT("@",U22,V22,W22,X22,Y22,Z22,AA22,AB22,AC22,"-(",K$3,")")</f>
        <v>@line_width-path_narrow-z11-(gr-hc)</v>
      </c>
      <c r="L22" s="7">
        <f>M22</f>
        <v>0</v>
      </c>
      <c r="M22" s="10"/>
      <c r="N22" s="18" t="str">
        <f>_xlfn.CONCAT("@",U22,V22,W22,X22,Y22,Z22,AA22,AB22,AC22,"-(",N$3,")")</f>
        <v>@line_width-path_narrow-z11-(wnt)</v>
      </c>
      <c r="O22" s="19" t="str">
        <f t="shared" ref="O22:O36" si="22">P22</f>
        <v>0.5</v>
      </c>
      <c r="P22" s="17" t="s">
        <v>91</v>
      </c>
      <c r="Q22" s="20" t="str">
        <f>_xlfn.CONCAT("@",U22,V22,W22,X22,Y22,Z22,AA22,AB22,AC22,"-(",Q$3,")")</f>
        <v>@line_width-path_narrow-z11-(wnt-hc)</v>
      </c>
      <c r="R22" s="19" t="str">
        <f>S22</f>
        <v>0.5</v>
      </c>
      <c r="S22" s="25" t="str">
        <f t="shared" ref="S22:S26" si="23">G22</f>
        <v>0.5</v>
      </c>
      <c r="U22" s="1" t="s">
        <v>115</v>
      </c>
      <c r="V22" s="2" t="str">
        <f t="shared" ref="V22:V36" si="24">IF(NOT(ISBLANK(W22)),"-","")</f>
        <v>-</v>
      </c>
      <c r="W22" s="1" t="s">
        <v>67</v>
      </c>
      <c r="X22" s="2" t="str">
        <f>IF(NOT(ISBLANK(Y22)),"_","")</f>
        <v>_</v>
      </c>
      <c r="Y22" s="1" t="s">
        <v>68</v>
      </c>
      <c r="Z22" s="2" t="str">
        <f t="shared" ref="Z22:Z36" si="25">IF(NOT(ISBLANK(AA22)),"_","")</f>
        <v/>
      </c>
      <c r="AB22" s="2" t="str">
        <f t="shared" ref="AB22:AB36" si="26">IF(NOT(ISBLANK(AC22)),"-","")</f>
        <v>-</v>
      </c>
      <c r="AC22" s="1" t="s">
        <v>66</v>
      </c>
    </row>
    <row r="23" spans="1:29" x14ac:dyDescent="0.25">
      <c r="B23" s="14" t="str">
        <f t="shared" ref="B23:B33" si="27">_xlfn.CONCAT("@",U23,V23,W23,X23,Y23,Z23,AA23,AB23,AC23,"-(",B$3,")")</f>
        <v>@line_width-path_narrow-z12-(mtb)</v>
      </c>
      <c r="C23" s="7" t="str">
        <f t="shared" ref="C23:C33" si="28">D23</f>
        <v>0.4</v>
      </c>
      <c r="D23" s="5" t="s">
        <v>116</v>
      </c>
      <c r="E23" s="15" t="str">
        <f t="shared" ref="E23:E33" si="29">_xlfn.CONCAT("@",U23,V23,W23,X23,Y23,Z23,AA23,AB23,AC23,"-(",E$3,")")</f>
        <v>@line_width-path_narrow-z12-(mtb-hc)</v>
      </c>
      <c r="F23" s="7" t="str">
        <f t="shared" si="21"/>
        <v>0.6</v>
      </c>
      <c r="G23" s="10" t="s">
        <v>118</v>
      </c>
      <c r="H23" s="14" t="str">
        <f t="shared" ref="H23:H33" si="30">_xlfn.CONCAT("@",U23,V23,W23,X23,Y23,Z23,AA23,AB23,AC23,"-(",H$3,")")</f>
        <v>@line_width-path_narrow-z12-(gr)</v>
      </c>
      <c r="I23" s="7" t="str">
        <f t="shared" ref="I23:I36" si="31">J23</f>
        <v>0.4</v>
      </c>
      <c r="J23" s="5" t="s">
        <v>116</v>
      </c>
      <c r="K23" s="15" t="str">
        <f t="shared" ref="K23:K36" si="32">_xlfn.CONCAT("@",U23,V23,W23,X23,Y23,Z23,AA23,AB23,AC23,"-(",K$3,")")</f>
        <v>@line_width-path_narrow-z12-(gr-hc)</v>
      </c>
      <c r="L23" s="7">
        <f t="shared" ref="L23:L36" si="33">M23</f>
        <v>0</v>
      </c>
      <c r="M23" s="10"/>
      <c r="N23" s="18" t="str">
        <f t="shared" ref="N23:N36" si="34">_xlfn.CONCAT("@",U23,V23,W23,X23,Y23,Z23,AA23,AB23,AC23,"-(",N$3,")")</f>
        <v>@line_width-path_narrow-z12-(wnt)</v>
      </c>
      <c r="O23" s="19" t="str">
        <f t="shared" si="22"/>
        <v>0.6</v>
      </c>
      <c r="P23" s="17" t="s">
        <v>118</v>
      </c>
      <c r="Q23" s="20" t="str">
        <f t="shared" ref="Q23:Q36" si="35">_xlfn.CONCAT("@",U23,V23,W23,X23,Y23,Z23,AA23,AB23,AC23,"-(",Q$3,")")</f>
        <v>@line_width-path_narrow-z12-(wnt-hc)</v>
      </c>
      <c r="R23" s="19" t="str">
        <f t="shared" ref="R23:R36" si="36">S23</f>
        <v>0.6</v>
      </c>
      <c r="S23" s="25" t="str">
        <f t="shared" si="23"/>
        <v>0.6</v>
      </c>
      <c r="U23" s="1" t="s">
        <v>115</v>
      </c>
      <c r="V23" s="2" t="str">
        <f t="shared" si="24"/>
        <v>-</v>
      </c>
      <c r="W23" s="1" t="s">
        <v>67</v>
      </c>
      <c r="X23" s="2" t="str">
        <f t="shared" ref="X23:X36" si="37">IF(NOT(ISBLANK(Y23)),"_","")</f>
        <v>_</v>
      </c>
      <c r="Y23" s="1" t="s">
        <v>68</v>
      </c>
      <c r="Z23" s="2" t="str">
        <f t="shared" si="25"/>
        <v/>
      </c>
      <c r="AB23" s="2" t="str">
        <f t="shared" si="26"/>
        <v>-</v>
      </c>
      <c r="AC23" s="1" t="s">
        <v>105</v>
      </c>
    </row>
    <row r="24" spans="1:29" x14ac:dyDescent="0.25">
      <c r="B24" s="14" t="str">
        <f t="shared" si="27"/>
        <v>@line_width-path_narrow-z14-(mtb)</v>
      </c>
      <c r="C24" s="7" t="str">
        <f t="shared" si="28"/>
        <v>0.7</v>
      </c>
      <c r="D24" s="5" t="s">
        <v>111</v>
      </c>
      <c r="E24" s="15" t="str">
        <f t="shared" si="29"/>
        <v>@line_width-path_narrow-z14-(mtb-hc)</v>
      </c>
      <c r="F24" s="7" t="str">
        <f t="shared" si="21"/>
        <v>1.2</v>
      </c>
      <c r="G24" s="10" t="s">
        <v>93</v>
      </c>
      <c r="H24" s="14" t="str">
        <f t="shared" si="30"/>
        <v>@line_width-path_narrow-z14-(gr)</v>
      </c>
      <c r="I24" s="7" t="str">
        <f t="shared" si="31"/>
        <v>0.5</v>
      </c>
      <c r="J24" s="5" t="s">
        <v>91</v>
      </c>
      <c r="K24" s="15" t="str">
        <f t="shared" si="32"/>
        <v>@line_width-path_narrow-z14-(gr-hc)</v>
      </c>
      <c r="L24" s="7">
        <f t="shared" si="33"/>
        <v>0</v>
      </c>
      <c r="M24" s="10"/>
      <c r="N24" s="18" t="str">
        <f t="shared" si="34"/>
        <v>@line_width-path_narrow-z14-(wnt)</v>
      </c>
      <c r="O24" s="19" t="str">
        <f t="shared" si="22"/>
        <v>1.0</v>
      </c>
      <c r="P24" s="17" t="s">
        <v>76</v>
      </c>
      <c r="Q24" s="20" t="str">
        <f t="shared" si="35"/>
        <v>@line_width-path_narrow-z14-(wnt-hc)</v>
      </c>
      <c r="R24" s="19" t="str">
        <f t="shared" si="36"/>
        <v>1.2</v>
      </c>
      <c r="S24" s="25" t="str">
        <f t="shared" si="23"/>
        <v>1.2</v>
      </c>
      <c r="U24" s="1" t="s">
        <v>115</v>
      </c>
      <c r="V24" s="2" t="str">
        <f t="shared" si="24"/>
        <v>-</v>
      </c>
      <c r="W24" s="1" t="s">
        <v>67</v>
      </c>
      <c r="X24" s="2" t="str">
        <f t="shared" si="37"/>
        <v>_</v>
      </c>
      <c r="Y24" s="1" t="s">
        <v>68</v>
      </c>
      <c r="Z24" s="2" t="str">
        <f t="shared" si="25"/>
        <v/>
      </c>
      <c r="AB24" s="2" t="str">
        <f t="shared" si="26"/>
        <v>-</v>
      </c>
      <c r="AC24" s="1" t="s">
        <v>70</v>
      </c>
    </row>
    <row r="25" spans="1:29" x14ac:dyDescent="0.25">
      <c r="B25" s="14" t="str">
        <f t="shared" si="27"/>
        <v>@line_width-path_narrow-z16-(mtb)</v>
      </c>
      <c r="C25" s="7" t="str">
        <f t="shared" si="28"/>
        <v>1.2</v>
      </c>
      <c r="D25" s="5" t="s">
        <v>93</v>
      </c>
      <c r="E25" s="15" t="str">
        <f t="shared" si="29"/>
        <v>@line_width-path_narrow-z16-(mtb-hc)</v>
      </c>
      <c r="F25" s="7" t="str">
        <f t="shared" si="21"/>
        <v>1.5</v>
      </c>
      <c r="G25" s="10" t="s">
        <v>80</v>
      </c>
      <c r="H25" s="14" t="str">
        <f t="shared" si="30"/>
        <v>@line_width-path_narrow-z16-(gr)</v>
      </c>
      <c r="I25" s="7" t="str">
        <f t="shared" si="31"/>
        <v>1.0</v>
      </c>
      <c r="J25" s="5" t="s">
        <v>76</v>
      </c>
      <c r="K25" s="15" t="str">
        <f t="shared" si="32"/>
        <v>@line_width-path_narrow-z16-(gr-hc)</v>
      </c>
      <c r="L25" s="7">
        <f t="shared" si="33"/>
        <v>0</v>
      </c>
      <c r="M25" s="10"/>
      <c r="N25" s="18" t="str">
        <f t="shared" si="34"/>
        <v>@line_width-path_narrow-z16-(wnt)</v>
      </c>
      <c r="O25" s="19" t="str">
        <f t="shared" si="22"/>
        <v>1.8</v>
      </c>
      <c r="P25" s="17" t="s">
        <v>119</v>
      </c>
      <c r="Q25" s="20" t="str">
        <f t="shared" si="35"/>
        <v>@line_width-path_narrow-z16-(wnt-hc)</v>
      </c>
      <c r="R25" s="19" t="str">
        <f t="shared" si="36"/>
        <v>1.5</v>
      </c>
      <c r="S25" s="25" t="str">
        <f t="shared" si="23"/>
        <v>1.5</v>
      </c>
      <c r="U25" s="1" t="s">
        <v>115</v>
      </c>
      <c r="V25" s="2" t="str">
        <f t="shared" si="24"/>
        <v>-</v>
      </c>
      <c r="W25" s="1" t="s">
        <v>67</v>
      </c>
      <c r="X25" s="2" t="str">
        <f t="shared" si="37"/>
        <v>_</v>
      </c>
      <c r="Y25" s="1" t="s">
        <v>68</v>
      </c>
      <c r="Z25" s="2" t="str">
        <f t="shared" si="25"/>
        <v/>
      </c>
      <c r="AB25" s="2" t="str">
        <f t="shared" si="26"/>
        <v>-</v>
      </c>
      <c r="AC25" s="1" t="s">
        <v>71</v>
      </c>
    </row>
    <row r="26" spans="1:29" x14ac:dyDescent="0.25">
      <c r="B26" s="14" t="str">
        <f t="shared" si="27"/>
        <v>@line_width-path_narrow-z18-(mtb)</v>
      </c>
      <c r="C26" s="7" t="str">
        <f t="shared" si="28"/>
        <v>2.3</v>
      </c>
      <c r="D26" s="5" t="s">
        <v>117</v>
      </c>
      <c r="E26" s="15" t="str">
        <f t="shared" si="29"/>
        <v>@line_width-path_narrow-z18-(mtb-hc)</v>
      </c>
      <c r="F26" s="7" t="str">
        <f t="shared" si="21"/>
        <v>3.0</v>
      </c>
      <c r="G26" s="10" t="s">
        <v>84</v>
      </c>
      <c r="H26" s="14" t="str">
        <f t="shared" si="30"/>
        <v>@line_width-path_narrow-z18-(gr)</v>
      </c>
      <c r="I26" s="7" t="str">
        <f t="shared" si="31"/>
        <v>1.0</v>
      </c>
      <c r="J26" s="5" t="s">
        <v>76</v>
      </c>
      <c r="K26" s="15" t="str">
        <f t="shared" si="32"/>
        <v>@line_width-path_narrow-z18-(gr-hc)</v>
      </c>
      <c r="L26" s="7">
        <f t="shared" si="33"/>
        <v>0</v>
      </c>
      <c r="M26" s="10"/>
      <c r="N26" s="18" t="str">
        <f t="shared" si="34"/>
        <v>@line_width-path_narrow-z18-(wnt)</v>
      </c>
      <c r="O26" s="19" t="str">
        <f t="shared" si="22"/>
        <v>2.4</v>
      </c>
      <c r="P26" s="17" t="s">
        <v>95</v>
      </c>
      <c r="Q26" s="20" t="str">
        <f t="shared" si="35"/>
        <v>@line_width-path_narrow-z18-(wnt-hc)</v>
      </c>
      <c r="R26" s="19" t="str">
        <f t="shared" si="36"/>
        <v>3.0</v>
      </c>
      <c r="S26" s="25" t="str">
        <f t="shared" si="23"/>
        <v>3.0</v>
      </c>
      <c r="U26" s="1" t="s">
        <v>115</v>
      </c>
      <c r="V26" s="2" t="str">
        <f t="shared" si="24"/>
        <v>-</v>
      </c>
      <c r="W26" s="1" t="s">
        <v>67</v>
      </c>
      <c r="X26" s="2" t="str">
        <f t="shared" si="37"/>
        <v>_</v>
      </c>
      <c r="Y26" s="1" t="s">
        <v>68</v>
      </c>
      <c r="Z26" s="2" t="str">
        <f t="shared" si="25"/>
        <v/>
      </c>
      <c r="AB26" s="2" t="str">
        <f t="shared" si="26"/>
        <v>-</v>
      </c>
      <c r="AC26" s="1" t="s">
        <v>72</v>
      </c>
    </row>
    <row r="27" spans="1:29" x14ac:dyDescent="0.25">
      <c r="B27" s="14" t="str">
        <f t="shared" si="27"/>
        <v>@line_width-path_medium-z11-(mtb)</v>
      </c>
      <c r="C27" s="7" t="str">
        <f t="shared" si="28"/>
        <v>0.5</v>
      </c>
      <c r="D27" s="5" t="s">
        <v>91</v>
      </c>
      <c r="E27" s="15" t="str">
        <f t="shared" si="29"/>
        <v>@line_width-path_medium-z11-(mtb-hc)</v>
      </c>
      <c r="F27" s="7" t="str">
        <f t="shared" si="21"/>
        <v>0.7</v>
      </c>
      <c r="G27" s="10" t="s">
        <v>111</v>
      </c>
      <c r="H27" s="14" t="str">
        <f t="shared" si="30"/>
        <v>@line_width-path_medium-z11-(gr)</v>
      </c>
      <c r="I27" s="7" t="str">
        <f t="shared" si="31"/>
        <v>0.5</v>
      </c>
      <c r="J27" s="5" t="s">
        <v>91</v>
      </c>
      <c r="K27" s="15" t="str">
        <f t="shared" si="32"/>
        <v>@line_width-path_medium-z11-(gr-hc)</v>
      </c>
      <c r="L27" s="7">
        <f t="shared" si="33"/>
        <v>0</v>
      </c>
      <c r="M27" s="10"/>
      <c r="N27" s="14" t="str">
        <f t="shared" si="34"/>
        <v>@line_width-path_medium-z11-(wnt)</v>
      </c>
      <c r="O27" s="7" t="str">
        <f t="shared" si="22"/>
        <v>0.5</v>
      </c>
      <c r="P27" s="7" t="str">
        <f t="shared" ref="P27:P31" si="38">D27</f>
        <v>0.5</v>
      </c>
      <c r="Q27" s="15" t="str">
        <f t="shared" si="35"/>
        <v>@line_width-path_medium-z11-(wnt-hc)</v>
      </c>
      <c r="R27" s="7" t="str">
        <f t="shared" si="36"/>
        <v>0.7</v>
      </c>
      <c r="S27" s="16" t="str">
        <f t="shared" ref="S27:S36" si="39">G27</f>
        <v>0.7</v>
      </c>
      <c r="U27" s="1" t="s">
        <v>115</v>
      </c>
      <c r="V27" s="2" t="str">
        <f t="shared" si="24"/>
        <v>-</v>
      </c>
      <c r="W27" s="1" t="s">
        <v>67</v>
      </c>
      <c r="X27" s="2" t="str">
        <f t="shared" si="37"/>
        <v>_</v>
      </c>
      <c r="Y27" s="1" t="s">
        <v>75</v>
      </c>
      <c r="Z27" s="2" t="str">
        <f t="shared" si="25"/>
        <v/>
      </c>
      <c r="AB27" s="2" t="str">
        <f t="shared" si="26"/>
        <v>-</v>
      </c>
      <c r="AC27" s="1" t="s">
        <v>66</v>
      </c>
    </row>
    <row r="28" spans="1:29" x14ac:dyDescent="0.25">
      <c r="B28" s="14" t="str">
        <f t="shared" si="27"/>
        <v>@line_width-path_medium-z12-(mtb)</v>
      </c>
      <c r="C28" s="7" t="str">
        <f t="shared" si="28"/>
        <v>0.6</v>
      </c>
      <c r="D28" s="5" t="s">
        <v>118</v>
      </c>
      <c r="E28" s="15" t="str">
        <f t="shared" si="29"/>
        <v>@line_width-path_medium-z12-(mtb-hc)</v>
      </c>
      <c r="F28" s="7" t="str">
        <f t="shared" si="21"/>
        <v>0.9</v>
      </c>
      <c r="G28" s="10" t="s">
        <v>112</v>
      </c>
      <c r="H28" s="14" t="str">
        <f t="shared" si="30"/>
        <v>@line_width-path_medium-z12-(gr)</v>
      </c>
      <c r="I28" s="7" t="str">
        <f t="shared" si="31"/>
        <v>0.6</v>
      </c>
      <c r="J28" s="5" t="s">
        <v>118</v>
      </c>
      <c r="K28" s="15" t="str">
        <f t="shared" si="32"/>
        <v>@line_width-path_medium-z12-(gr-hc)</v>
      </c>
      <c r="L28" s="7">
        <f t="shared" si="33"/>
        <v>0</v>
      </c>
      <c r="M28" s="10"/>
      <c r="N28" s="14" t="str">
        <f t="shared" si="34"/>
        <v>@line_width-path_medium-z12-(wnt)</v>
      </c>
      <c r="O28" s="7" t="str">
        <f t="shared" si="22"/>
        <v>0.6</v>
      </c>
      <c r="P28" s="7" t="str">
        <f t="shared" si="38"/>
        <v>0.6</v>
      </c>
      <c r="Q28" s="15" t="str">
        <f t="shared" si="35"/>
        <v>@line_width-path_medium-z12-(wnt-hc)</v>
      </c>
      <c r="R28" s="7" t="str">
        <f t="shared" si="36"/>
        <v>0.9</v>
      </c>
      <c r="S28" s="16" t="str">
        <f t="shared" si="39"/>
        <v>0.9</v>
      </c>
      <c r="U28" s="1" t="s">
        <v>115</v>
      </c>
      <c r="V28" s="2" t="str">
        <f t="shared" si="24"/>
        <v>-</v>
      </c>
      <c r="W28" s="1" t="s">
        <v>67</v>
      </c>
      <c r="X28" s="2" t="str">
        <f t="shared" si="37"/>
        <v>_</v>
      </c>
      <c r="Y28" s="1" t="s">
        <v>75</v>
      </c>
      <c r="Z28" s="2" t="str">
        <f t="shared" si="25"/>
        <v/>
      </c>
      <c r="AB28" s="2" t="str">
        <f t="shared" si="26"/>
        <v>-</v>
      </c>
      <c r="AC28" s="1" t="s">
        <v>105</v>
      </c>
    </row>
    <row r="29" spans="1:29" x14ac:dyDescent="0.25">
      <c r="B29" s="14" t="str">
        <f t="shared" si="27"/>
        <v>@line_width-path_medium-z14-(mtb)</v>
      </c>
      <c r="C29" s="7" t="str">
        <f t="shared" si="28"/>
        <v>1.0</v>
      </c>
      <c r="D29" s="5" t="s">
        <v>76</v>
      </c>
      <c r="E29" s="15" t="str">
        <f t="shared" si="29"/>
        <v>@line_width-path_medium-z14-(mtb-hc)</v>
      </c>
      <c r="F29" s="7" t="str">
        <f t="shared" si="21"/>
        <v>1.5</v>
      </c>
      <c r="G29" s="10" t="s">
        <v>80</v>
      </c>
      <c r="H29" s="14" t="str">
        <f t="shared" si="30"/>
        <v>@line_width-path_medium-z14-(gr)</v>
      </c>
      <c r="I29" s="7" t="str">
        <f t="shared" si="31"/>
        <v>0.8</v>
      </c>
      <c r="J29" s="5" t="s">
        <v>92</v>
      </c>
      <c r="K29" s="15" t="str">
        <f t="shared" si="32"/>
        <v>@line_width-path_medium-z14-(gr-hc)</v>
      </c>
      <c r="L29" s="7">
        <f t="shared" si="33"/>
        <v>0</v>
      </c>
      <c r="M29" s="10"/>
      <c r="N29" s="14" t="str">
        <f t="shared" si="34"/>
        <v>@line_width-path_medium-z14-(wnt)</v>
      </c>
      <c r="O29" s="7" t="str">
        <f t="shared" si="22"/>
        <v>1.0</v>
      </c>
      <c r="P29" s="7" t="str">
        <f t="shared" si="38"/>
        <v>1.0</v>
      </c>
      <c r="Q29" s="15" t="str">
        <f t="shared" si="35"/>
        <v>@line_width-path_medium-z14-(wnt-hc)</v>
      </c>
      <c r="R29" s="7" t="str">
        <f t="shared" si="36"/>
        <v>1.5</v>
      </c>
      <c r="S29" s="16" t="str">
        <f t="shared" si="39"/>
        <v>1.5</v>
      </c>
      <c r="U29" s="1" t="s">
        <v>115</v>
      </c>
      <c r="V29" s="2" t="str">
        <f t="shared" si="24"/>
        <v>-</v>
      </c>
      <c r="W29" s="1" t="s">
        <v>67</v>
      </c>
      <c r="X29" s="2" t="str">
        <f t="shared" si="37"/>
        <v>_</v>
      </c>
      <c r="Y29" s="1" t="s">
        <v>75</v>
      </c>
      <c r="Z29" s="2" t="str">
        <f t="shared" si="25"/>
        <v/>
      </c>
      <c r="AB29" s="2" t="str">
        <f t="shared" si="26"/>
        <v>-</v>
      </c>
      <c r="AC29" s="1" t="s">
        <v>70</v>
      </c>
    </row>
    <row r="30" spans="1:29" x14ac:dyDescent="0.25">
      <c r="B30" s="14" t="str">
        <f t="shared" si="27"/>
        <v>@line_width-path_medium-z16-(mtb)</v>
      </c>
      <c r="C30" s="7" t="str">
        <f t="shared" si="28"/>
        <v>1.8</v>
      </c>
      <c r="D30" s="5" t="s">
        <v>119</v>
      </c>
      <c r="E30" s="15" t="str">
        <f t="shared" si="29"/>
        <v>@line_width-path_medium-z16-(mtb-hc)</v>
      </c>
      <c r="F30" s="7" t="str">
        <f t="shared" si="21"/>
        <v>2.7</v>
      </c>
      <c r="G30" s="10" t="s">
        <v>122</v>
      </c>
      <c r="H30" s="14" t="str">
        <f t="shared" si="30"/>
        <v>@line_width-path_medium-z16-(gr)</v>
      </c>
      <c r="I30" s="7" t="str">
        <f t="shared" si="31"/>
        <v>1.2</v>
      </c>
      <c r="J30" s="5" t="s">
        <v>93</v>
      </c>
      <c r="K30" s="15" t="str">
        <f t="shared" si="32"/>
        <v>@line_width-path_medium-z16-(gr-hc)</v>
      </c>
      <c r="L30" s="7">
        <f t="shared" si="33"/>
        <v>0</v>
      </c>
      <c r="M30" s="10"/>
      <c r="N30" s="14" t="str">
        <f t="shared" si="34"/>
        <v>@line_width-path_medium-z16-(wnt)</v>
      </c>
      <c r="O30" s="7" t="str">
        <f t="shared" si="22"/>
        <v>1.8</v>
      </c>
      <c r="P30" s="7" t="str">
        <f t="shared" si="38"/>
        <v>1.8</v>
      </c>
      <c r="Q30" s="15" t="str">
        <f t="shared" si="35"/>
        <v>@line_width-path_medium-z16-(wnt-hc)</v>
      </c>
      <c r="R30" s="7" t="str">
        <f t="shared" si="36"/>
        <v>2.7</v>
      </c>
      <c r="S30" s="16" t="str">
        <f t="shared" si="39"/>
        <v>2.7</v>
      </c>
      <c r="U30" s="1" t="s">
        <v>115</v>
      </c>
      <c r="V30" s="2" t="str">
        <f t="shared" si="24"/>
        <v>-</v>
      </c>
      <c r="W30" s="1" t="s">
        <v>67</v>
      </c>
      <c r="X30" s="2" t="str">
        <f t="shared" si="37"/>
        <v>_</v>
      </c>
      <c r="Y30" s="1" t="s">
        <v>75</v>
      </c>
      <c r="Z30" s="2" t="str">
        <f t="shared" si="25"/>
        <v/>
      </c>
      <c r="AB30" s="2" t="str">
        <f t="shared" si="26"/>
        <v>-</v>
      </c>
      <c r="AC30" s="1" t="s">
        <v>71</v>
      </c>
    </row>
    <row r="31" spans="1:29" x14ac:dyDescent="0.25">
      <c r="B31" s="14" t="str">
        <f t="shared" si="27"/>
        <v>@line_width-path_medium-z18-(mtb)</v>
      </c>
      <c r="C31" s="7" t="str">
        <f t="shared" si="28"/>
        <v>3.5</v>
      </c>
      <c r="D31" s="5" t="s">
        <v>78</v>
      </c>
      <c r="E31" s="15" t="str">
        <f t="shared" si="29"/>
        <v>@line_width-path_medium-z18-(mtb-hc)</v>
      </c>
      <c r="F31" s="7" t="str">
        <f t="shared" si="21"/>
        <v>5.2</v>
      </c>
      <c r="G31" s="10" t="s">
        <v>123</v>
      </c>
      <c r="H31" s="14" t="str">
        <f t="shared" si="30"/>
        <v>@line_width-path_medium-z18-(gr)</v>
      </c>
      <c r="I31" s="7" t="str">
        <f t="shared" si="31"/>
        <v>1.6</v>
      </c>
      <c r="J31" s="5" t="s">
        <v>94</v>
      </c>
      <c r="K31" s="15" t="str">
        <f t="shared" si="32"/>
        <v>@line_width-path_medium-z18-(gr-hc)</v>
      </c>
      <c r="L31" s="7">
        <f t="shared" si="33"/>
        <v>0</v>
      </c>
      <c r="M31" s="10"/>
      <c r="N31" s="14" t="str">
        <f t="shared" si="34"/>
        <v>@line_width-path_medium-z18-(wnt)</v>
      </c>
      <c r="O31" s="7" t="str">
        <f t="shared" si="22"/>
        <v>3.5</v>
      </c>
      <c r="P31" s="7" t="str">
        <f t="shared" si="38"/>
        <v>3.5</v>
      </c>
      <c r="Q31" s="15" t="str">
        <f t="shared" si="35"/>
        <v>@line_width-path_medium-z18-(wnt-hc)</v>
      </c>
      <c r="R31" s="7" t="str">
        <f t="shared" si="36"/>
        <v>5.2</v>
      </c>
      <c r="S31" s="16" t="str">
        <f t="shared" si="39"/>
        <v>5.2</v>
      </c>
      <c r="U31" s="1" t="s">
        <v>115</v>
      </c>
      <c r="V31" s="2" t="str">
        <f t="shared" si="24"/>
        <v>-</v>
      </c>
      <c r="W31" s="1" t="s">
        <v>67</v>
      </c>
      <c r="X31" s="2" t="str">
        <f t="shared" si="37"/>
        <v>_</v>
      </c>
      <c r="Y31" s="1" t="s">
        <v>75</v>
      </c>
      <c r="Z31" s="2" t="str">
        <f t="shared" si="25"/>
        <v/>
      </c>
      <c r="AB31" s="2" t="str">
        <f t="shared" si="26"/>
        <v>-</v>
      </c>
      <c r="AC31" s="1" t="s">
        <v>72</v>
      </c>
    </row>
    <row r="32" spans="1:29" x14ac:dyDescent="0.25">
      <c r="B32" s="14" t="str">
        <f t="shared" si="27"/>
        <v>@line_width-path_wide-z11-(mtb)</v>
      </c>
      <c r="C32" s="7" t="str">
        <f t="shared" si="28"/>
        <v>0.7</v>
      </c>
      <c r="D32" s="5" t="s">
        <v>111</v>
      </c>
      <c r="E32" s="15" t="str">
        <f t="shared" si="29"/>
        <v>@line_width-path_wide-z11-(mtb-hc)</v>
      </c>
      <c r="F32" s="7" t="str">
        <f t="shared" si="21"/>
        <v>1.5</v>
      </c>
      <c r="G32" s="10" t="s">
        <v>80</v>
      </c>
      <c r="H32" s="14" t="str">
        <f t="shared" si="30"/>
        <v>@line_width-path_wide-z11-(gr)</v>
      </c>
      <c r="I32" s="7" t="str">
        <f t="shared" si="31"/>
        <v>1.0</v>
      </c>
      <c r="J32" s="5" t="s">
        <v>76</v>
      </c>
      <c r="K32" s="15" t="str">
        <f t="shared" si="32"/>
        <v>@line_width-path_wide-z11-(gr-hc)</v>
      </c>
      <c r="L32" s="7">
        <f t="shared" si="33"/>
        <v>0</v>
      </c>
      <c r="M32" s="10"/>
      <c r="N32" s="18" t="str">
        <f t="shared" si="34"/>
        <v>@line_width-path_wide-z11-(wnt)</v>
      </c>
      <c r="O32" s="19" t="str">
        <f t="shared" si="22"/>
        <v>0.5</v>
      </c>
      <c r="P32" s="17" t="s">
        <v>91</v>
      </c>
      <c r="Q32" s="20" t="str">
        <f t="shared" si="35"/>
        <v>@line_width-path_wide-z11-(wnt-hc)</v>
      </c>
      <c r="R32" s="19" t="str">
        <f t="shared" si="36"/>
        <v>1.5</v>
      </c>
      <c r="S32" s="25" t="str">
        <f t="shared" si="39"/>
        <v>1.5</v>
      </c>
      <c r="U32" s="1" t="s">
        <v>115</v>
      </c>
      <c r="V32" s="2" t="str">
        <f t="shared" si="24"/>
        <v>-</v>
      </c>
      <c r="W32" s="1" t="s">
        <v>67</v>
      </c>
      <c r="X32" s="2" t="str">
        <f t="shared" si="37"/>
        <v>_</v>
      </c>
      <c r="Y32" s="1" t="s">
        <v>73</v>
      </c>
      <c r="Z32" s="2" t="str">
        <f t="shared" si="25"/>
        <v/>
      </c>
      <c r="AB32" s="2" t="str">
        <f t="shared" si="26"/>
        <v>-</v>
      </c>
      <c r="AC32" s="1" t="s">
        <v>66</v>
      </c>
    </row>
    <row r="33" spans="1:29" x14ac:dyDescent="0.25">
      <c r="B33" s="14" t="str">
        <f t="shared" si="27"/>
        <v>@line_width-path_wide-z12-(mtb)</v>
      </c>
      <c r="C33" s="7" t="str">
        <f t="shared" si="28"/>
        <v>1.0</v>
      </c>
      <c r="D33" s="5" t="s">
        <v>76</v>
      </c>
      <c r="E33" s="15" t="str">
        <f t="shared" si="29"/>
        <v>@line_width-path_wide-z12-(mtb-hc)</v>
      </c>
      <c r="F33" s="7" t="str">
        <f t="shared" si="21"/>
        <v>1.8</v>
      </c>
      <c r="G33" s="10" t="s">
        <v>119</v>
      </c>
      <c r="H33" s="14" t="str">
        <f t="shared" si="30"/>
        <v>@line_width-path_wide-z12-(gr)</v>
      </c>
      <c r="I33" s="7" t="str">
        <f t="shared" si="31"/>
        <v>1.2</v>
      </c>
      <c r="J33" s="5" t="s">
        <v>93</v>
      </c>
      <c r="K33" s="15" t="str">
        <f t="shared" si="32"/>
        <v>@line_width-path_wide-z12-(gr-hc)</v>
      </c>
      <c r="L33" s="7">
        <f t="shared" si="33"/>
        <v>0</v>
      </c>
      <c r="M33" s="10"/>
      <c r="N33" s="18" t="str">
        <f t="shared" si="34"/>
        <v>@line_width-path_wide-z12-(wnt)</v>
      </c>
      <c r="O33" s="19" t="str">
        <f t="shared" si="22"/>
        <v>0.6</v>
      </c>
      <c r="P33" s="17" t="s">
        <v>118</v>
      </c>
      <c r="Q33" s="20" t="str">
        <f t="shared" si="35"/>
        <v>@line_width-path_wide-z12-(wnt-hc)</v>
      </c>
      <c r="R33" s="19" t="str">
        <f t="shared" si="36"/>
        <v>1.8</v>
      </c>
      <c r="S33" s="25" t="str">
        <f t="shared" si="39"/>
        <v>1.8</v>
      </c>
      <c r="U33" s="1" t="s">
        <v>115</v>
      </c>
      <c r="V33" s="2" t="str">
        <f t="shared" si="24"/>
        <v>-</v>
      </c>
      <c r="W33" s="1" t="s">
        <v>67</v>
      </c>
      <c r="X33" s="2" t="str">
        <f t="shared" si="37"/>
        <v>_</v>
      </c>
      <c r="Y33" s="1" t="s">
        <v>73</v>
      </c>
      <c r="Z33" s="2" t="str">
        <f t="shared" si="25"/>
        <v/>
      </c>
      <c r="AB33" s="2" t="str">
        <f t="shared" si="26"/>
        <v>-</v>
      </c>
      <c r="AC33" s="1" t="s">
        <v>105</v>
      </c>
    </row>
    <row r="34" spans="1:29" x14ac:dyDescent="0.25">
      <c r="B34" s="14" t="str">
        <f>_xlfn.CONCAT("@",U34,V34,W34,X34,Y34,Z34,AA34,AB34,AC34,"-(",B$3,")")</f>
        <v>@line_width-path_wide-z14-(mtb)</v>
      </c>
      <c r="C34" s="7" t="str">
        <f>D34</f>
        <v>1.7</v>
      </c>
      <c r="D34" s="5" t="s">
        <v>107</v>
      </c>
      <c r="E34" s="15" t="str">
        <f>_xlfn.CONCAT("@",U34,V34,W34,X34,Y34,Z34,AA34,AB34,AC34,"-(",E$3,")")</f>
        <v>@line_width-path_wide-z14-(mtb-hc)</v>
      </c>
      <c r="F34" s="7" t="str">
        <f t="shared" si="21"/>
        <v>2.7</v>
      </c>
      <c r="G34" s="10" t="s">
        <v>122</v>
      </c>
      <c r="H34" s="14" t="str">
        <f>_xlfn.CONCAT("@",U34,V34,W34,X34,Y34,Z34,AA34,AB34,AC34,"-(",H$3,")")</f>
        <v>@line_width-path_wide-z14-(gr)</v>
      </c>
      <c r="I34" s="7" t="str">
        <f t="shared" si="31"/>
        <v>1.5</v>
      </c>
      <c r="J34" s="5" t="s">
        <v>80</v>
      </c>
      <c r="K34" s="15" t="str">
        <f t="shared" si="32"/>
        <v>@line_width-path_wide-z14-(gr-hc)</v>
      </c>
      <c r="L34" s="7">
        <f t="shared" si="33"/>
        <v>0</v>
      </c>
      <c r="M34" s="10"/>
      <c r="N34" s="18" t="str">
        <f t="shared" si="34"/>
        <v>@line_width-path_wide-z14-(wnt)</v>
      </c>
      <c r="O34" s="19" t="str">
        <f t="shared" si="22"/>
        <v>1.0</v>
      </c>
      <c r="P34" s="17" t="s">
        <v>76</v>
      </c>
      <c r="Q34" s="20" t="str">
        <f t="shared" si="35"/>
        <v>@line_width-path_wide-z14-(wnt-hc)</v>
      </c>
      <c r="R34" s="19" t="str">
        <f t="shared" si="36"/>
        <v>2.7</v>
      </c>
      <c r="S34" s="25" t="str">
        <f t="shared" si="39"/>
        <v>2.7</v>
      </c>
      <c r="U34" s="1" t="s">
        <v>115</v>
      </c>
      <c r="V34" s="2" t="str">
        <f t="shared" si="24"/>
        <v>-</v>
      </c>
      <c r="W34" s="1" t="s">
        <v>67</v>
      </c>
      <c r="X34" s="2" t="str">
        <f t="shared" si="37"/>
        <v>_</v>
      </c>
      <c r="Y34" s="1" t="s">
        <v>73</v>
      </c>
      <c r="Z34" s="2" t="str">
        <f t="shared" si="25"/>
        <v/>
      </c>
      <c r="AB34" s="2" t="str">
        <f t="shared" si="26"/>
        <v>-</v>
      </c>
      <c r="AC34" s="1" t="s">
        <v>70</v>
      </c>
    </row>
    <row r="35" spans="1:29" x14ac:dyDescent="0.25">
      <c r="B35" s="14" t="str">
        <f>_xlfn.CONCAT("@",U35,V35,W35,X35,Y35,Z35,AA35,AB35,AC35,"-(",B$3,")")</f>
        <v>@line_width-path_wide-z16-(mtb)</v>
      </c>
      <c r="C35" s="7" t="str">
        <f t="shared" ref="C35:C36" si="40">D35</f>
        <v>3.1</v>
      </c>
      <c r="D35" s="5" t="s">
        <v>121</v>
      </c>
      <c r="E35" s="15" t="str">
        <f>_xlfn.CONCAT("@",U35,V35,W35,X35,Y35,Z35,AA35,AB35,AC35,"-(",E$3,")")</f>
        <v>@line_width-path_wide-z16-(mtb-hc)</v>
      </c>
      <c r="F35" s="7" t="str">
        <f>G35</f>
        <v>4.5</v>
      </c>
      <c r="G35" s="10" t="s">
        <v>124</v>
      </c>
      <c r="H35" s="14" t="str">
        <f>_xlfn.CONCAT("@",U35,V35,W35,X35,Y35,Z35,AA35,AB35,AC35,"-(",H$3,")")</f>
        <v>@line_width-path_wide-z16-(gr)</v>
      </c>
      <c r="I35" s="7" t="str">
        <f t="shared" si="31"/>
        <v>1.6</v>
      </c>
      <c r="J35" s="5" t="s">
        <v>94</v>
      </c>
      <c r="K35" s="15" t="str">
        <f t="shared" si="32"/>
        <v>@line_width-path_wide-z16-(gr-hc)</v>
      </c>
      <c r="L35" s="7">
        <f t="shared" si="33"/>
        <v>0</v>
      </c>
      <c r="M35" s="10"/>
      <c r="N35" s="18" t="str">
        <f t="shared" si="34"/>
        <v>@line_width-path_wide-z16-(wnt)</v>
      </c>
      <c r="O35" s="19" t="str">
        <f t="shared" si="22"/>
        <v>1.8</v>
      </c>
      <c r="P35" s="17" t="s">
        <v>119</v>
      </c>
      <c r="Q35" s="20" t="str">
        <f t="shared" si="35"/>
        <v>@line_width-path_wide-z16-(wnt-hc)</v>
      </c>
      <c r="R35" s="19" t="str">
        <f t="shared" si="36"/>
        <v>4.5</v>
      </c>
      <c r="S35" s="25" t="str">
        <f t="shared" si="39"/>
        <v>4.5</v>
      </c>
      <c r="U35" s="1" t="s">
        <v>115</v>
      </c>
      <c r="V35" s="2" t="str">
        <f t="shared" si="24"/>
        <v>-</v>
      </c>
      <c r="W35" s="1" t="s">
        <v>67</v>
      </c>
      <c r="X35" s="2" t="str">
        <f t="shared" si="37"/>
        <v>_</v>
      </c>
      <c r="Y35" s="1" t="s">
        <v>73</v>
      </c>
      <c r="Z35" s="2" t="str">
        <f t="shared" si="25"/>
        <v/>
      </c>
      <c r="AB35" s="2" t="str">
        <f t="shared" si="26"/>
        <v>-</v>
      </c>
      <c r="AC35" s="1" t="s">
        <v>71</v>
      </c>
    </row>
    <row r="36" spans="1:29" x14ac:dyDescent="0.25">
      <c r="B36" s="14" t="str">
        <f>_xlfn.CONCAT("@",U36,V36,W36,X36,Y36,Z36,AA36,AB36,AC36,"-(",B$3,")")</f>
        <v>@line_width-path_wide-z18-(mtb)</v>
      </c>
      <c r="C36" s="7" t="str">
        <f t="shared" si="40"/>
        <v>6.0</v>
      </c>
      <c r="D36" s="5" t="s">
        <v>82</v>
      </c>
      <c r="E36" s="15" t="str">
        <f>_xlfn.CONCAT("@",U36,V36,W36,X36,Y36,Z36,AA36,AB36,AC36,"-(",E$3,")")</f>
        <v>@line_width-path_wide-z18-(mtb-hc)</v>
      </c>
      <c r="F36" s="7" t="str">
        <f>G36</f>
        <v>8.2</v>
      </c>
      <c r="G36" s="10" t="s">
        <v>125</v>
      </c>
      <c r="H36" s="14" t="str">
        <f>_xlfn.CONCAT("@",U36,V36,W36,X36,Y36,Z36,AA36,AB36,AC36,"-(",H$3,")")</f>
        <v>@line_width-path_wide-z18-(gr)</v>
      </c>
      <c r="I36" s="7" t="str">
        <f t="shared" si="31"/>
        <v>2.4</v>
      </c>
      <c r="J36" s="5" t="s">
        <v>95</v>
      </c>
      <c r="K36" s="15" t="str">
        <f t="shared" si="32"/>
        <v>@line_width-path_wide-z18-(gr-hc)</v>
      </c>
      <c r="L36" s="7">
        <f t="shared" si="33"/>
        <v>0</v>
      </c>
      <c r="M36" s="10"/>
      <c r="N36" s="18" t="str">
        <f t="shared" si="34"/>
        <v>@line_width-path_wide-z18-(wnt)</v>
      </c>
      <c r="O36" s="19" t="str">
        <f t="shared" si="22"/>
        <v>2.4</v>
      </c>
      <c r="P36" s="17" t="s">
        <v>95</v>
      </c>
      <c r="Q36" s="20" t="str">
        <f t="shared" si="35"/>
        <v>@line_width-path_wide-z18-(wnt-hc)</v>
      </c>
      <c r="R36" s="19" t="str">
        <f t="shared" si="36"/>
        <v>8.2</v>
      </c>
      <c r="S36" s="25" t="str">
        <f t="shared" si="39"/>
        <v>8.2</v>
      </c>
      <c r="U36" s="1" t="s">
        <v>115</v>
      </c>
      <c r="V36" s="2" t="str">
        <f t="shared" si="24"/>
        <v>-</v>
      </c>
      <c r="W36" s="1" t="s">
        <v>67</v>
      </c>
      <c r="X36" s="2" t="str">
        <f t="shared" si="37"/>
        <v>_</v>
      </c>
      <c r="Y36" s="1" t="s">
        <v>73</v>
      </c>
      <c r="Z36" s="2" t="str">
        <f t="shared" si="25"/>
        <v/>
      </c>
      <c r="AB36" s="2" t="str">
        <f t="shared" si="26"/>
        <v>-</v>
      </c>
      <c r="AC36" s="1" t="s">
        <v>72</v>
      </c>
    </row>
    <row r="37" spans="1:29" x14ac:dyDescent="0.25">
      <c r="A37" s="3" t="s">
        <v>126</v>
      </c>
      <c r="B37" s="11"/>
      <c r="C37" s="3"/>
      <c r="D37" s="6"/>
      <c r="E37" s="13"/>
      <c r="F37" s="3"/>
      <c r="G37" s="12"/>
      <c r="H37" s="11"/>
      <c r="I37" s="3"/>
      <c r="J37" s="6"/>
      <c r="K37" s="13"/>
      <c r="L37" s="3"/>
      <c r="M37" s="12"/>
      <c r="N37" s="11"/>
      <c r="O37" s="3"/>
      <c r="P37" s="6"/>
      <c r="Q37" s="13"/>
      <c r="R37" s="3"/>
      <c r="S37" s="12"/>
      <c r="T37" s="4"/>
      <c r="U37" s="3"/>
      <c r="V37" s="4"/>
      <c r="W37" s="3"/>
      <c r="X37" s="4"/>
      <c r="Y37" s="3"/>
      <c r="Z37" s="4"/>
      <c r="AA37" s="4"/>
      <c r="AB37" s="4"/>
      <c r="AC37" s="3"/>
    </row>
    <row r="38" spans="1:29" x14ac:dyDescent="0.25">
      <c r="B38" s="14" t="str">
        <f>_xlfn.CONCAT("@",U38,V38,W38,X38,Y38,Z38,AA38,AB38,AC38,"-(",B$3,")")</f>
        <v>@case_width-track-z10-(mtb)</v>
      </c>
      <c r="C38" s="7" t="str">
        <f>D38</f>
        <v>2.0</v>
      </c>
      <c r="D38" s="5" t="s">
        <v>81</v>
      </c>
      <c r="E38" s="15" t="str">
        <f>_xlfn.CONCAT("@",U38,V38,W38,X38,Y38,Z38,AA38,AB38,AC38,"-(",E$3,")")</f>
        <v>@case_width-track-z10-(mtb-hc)</v>
      </c>
      <c r="F38" s="7" t="str">
        <f t="shared" ref="F38:F43" si="41">G38</f>
        <v>4.0</v>
      </c>
      <c r="G38" s="10" t="s">
        <v>88</v>
      </c>
      <c r="H38" s="14" t="str">
        <f>_xlfn.CONCAT("@",U38,V38,W38,X38,Y38,Z38,AA38,AB38,AC38,"-(",H$3,")")</f>
        <v>@case_width-track-z10-(gr)</v>
      </c>
      <c r="I38" s="7" t="str">
        <f>J38</f>
        <v>2.0</v>
      </c>
      <c r="J38" s="5" t="s">
        <v>81</v>
      </c>
      <c r="K38" s="15" t="str">
        <f>_xlfn.CONCAT("@",U38,V38,W38,X38,Y38,Z38,AA38,AB38,AC38,"-(",K$3,")")</f>
        <v>@case_width-track-z10-(gr-hc)</v>
      </c>
      <c r="L38" s="7">
        <f>M38</f>
        <v>0</v>
      </c>
      <c r="M38" s="10"/>
      <c r="N38" s="14" t="str">
        <f>_xlfn.CONCAT("@",U38,V38,W38,X38,Y38,Z38,AA38,AB38,AC38,"-(",N$3,")")</f>
        <v>@case_width-track-z10-(wnt)</v>
      </c>
      <c r="O38" s="7" t="str">
        <f t="shared" ref="O38:O43" si="42">P38</f>
        <v>2.0</v>
      </c>
      <c r="P38" s="7" t="str">
        <f>D38</f>
        <v>2.0</v>
      </c>
      <c r="Q38" s="15" t="str">
        <f>_xlfn.CONCAT("@",U38,V38,W38,X38,Y38,Z38,AA38,AB38,AC38,"-(",Q$3,")")</f>
        <v>@case_width-track-z10-(wnt-hc)</v>
      </c>
      <c r="R38" s="7" t="str">
        <f>S38</f>
        <v>4.0</v>
      </c>
      <c r="S38" s="16" t="str">
        <f>G38</f>
        <v>4.0</v>
      </c>
      <c r="U38" s="1" t="s">
        <v>74</v>
      </c>
      <c r="V38" s="2" t="str">
        <f t="shared" ref="V38" si="43">IF(NOT(ISBLANK(W38)),"-","")</f>
        <v>-</v>
      </c>
      <c r="W38" s="1" t="s">
        <v>98</v>
      </c>
      <c r="X38" s="2" t="str">
        <f>IF(NOT(ISBLANK(Y38)),"_","")</f>
        <v/>
      </c>
      <c r="Y38" s="1"/>
      <c r="Z38" s="2" t="str">
        <f t="shared" ref="Z38" si="44">IF(NOT(ISBLANK(AA38)),"_","")</f>
        <v/>
      </c>
      <c r="AB38" s="2" t="str">
        <f t="shared" ref="AB38" si="45">IF(NOT(ISBLANK(AC38)),"-","")</f>
        <v>-</v>
      </c>
      <c r="AC38" s="1" t="s">
        <v>99</v>
      </c>
    </row>
    <row r="39" spans="1:29" x14ac:dyDescent="0.25">
      <c r="B39" s="14" t="str">
        <f>_xlfn.CONCAT("@",U39,V39,W39,X39,Y39,Z39,AA39,AB39,AC39,"-(",B$3,")")</f>
        <v>@case_width-track-z11-(mtb)</v>
      </c>
      <c r="C39" s="7" t="str">
        <f>D39</f>
        <v>3.0</v>
      </c>
      <c r="D39" s="5" t="s">
        <v>84</v>
      </c>
      <c r="E39" s="15" t="str">
        <f>_xlfn.CONCAT("@",U39,V39,W39,X39,Y39,Z39,AA39,AB39,AC39,"-(",E$3,")")</f>
        <v>@case_width-track-z11-(mtb-hc)</v>
      </c>
      <c r="F39" s="7" t="str">
        <f t="shared" si="41"/>
        <v>4.0</v>
      </c>
      <c r="G39" s="10" t="s">
        <v>88</v>
      </c>
      <c r="H39" s="14" t="str">
        <f>_xlfn.CONCAT("@",U39,V39,W39,X39,Y39,Z39,AA39,AB39,AC39,"-(",H$3,")")</f>
        <v>@case_width-track-z11-(gr)</v>
      </c>
      <c r="I39" s="7" t="str">
        <f>J39</f>
        <v>3.0</v>
      </c>
      <c r="J39" s="5" t="s">
        <v>84</v>
      </c>
      <c r="K39" s="15" t="str">
        <f>_xlfn.CONCAT("@",U39,V39,W39,X39,Y39,Z39,AA39,AB39,AC39,"-(",K$3,")")</f>
        <v>@case_width-track-z11-(gr-hc)</v>
      </c>
      <c r="L39" s="7">
        <f>M39</f>
        <v>0</v>
      </c>
      <c r="M39" s="10"/>
      <c r="N39" s="14" t="str">
        <f>_xlfn.CONCAT("@",U39,V39,W39,X39,Y39,Z39,AA39,AB39,AC39,"-(",N$3,")")</f>
        <v>@case_width-track-z11-(wnt)</v>
      </c>
      <c r="O39" s="7" t="str">
        <f t="shared" si="42"/>
        <v>3.0</v>
      </c>
      <c r="P39" s="7" t="str">
        <f t="shared" ref="P39:P43" si="46">D39</f>
        <v>3.0</v>
      </c>
      <c r="Q39" s="15" t="str">
        <f>_xlfn.CONCAT("@",U39,V39,W39,X39,Y39,Z39,AA39,AB39,AC39,"-(",Q$3,")")</f>
        <v>@case_width-track-z11-(wnt-hc)</v>
      </c>
      <c r="R39" s="7" t="str">
        <f>S39</f>
        <v>4.0</v>
      </c>
      <c r="S39" s="16" t="str">
        <f t="shared" ref="S39:S43" si="47">G39</f>
        <v>4.0</v>
      </c>
      <c r="U39" s="1" t="s">
        <v>74</v>
      </c>
      <c r="V39" s="2" t="str">
        <f t="shared" ref="V39:V43" si="48">IF(NOT(ISBLANK(W39)),"-","")</f>
        <v>-</v>
      </c>
      <c r="W39" s="1" t="s">
        <v>98</v>
      </c>
      <c r="X39" s="2" t="str">
        <f>IF(NOT(ISBLANK(Y39)),"_","")</f>
        <v/>
      </c>
      <c r="Y39" s="1"/>
      <c r="Z39" s="2" t="str">
        <f t="shared" ref="Z39:Z43" si="49">IF(NOT(ISBLANK(AA39)),"_","")</f>
        <v/>
      </c>
      <c r="AB39" s="2" t="str">
        <f t="shared" ref="AB39:AB43" si="50">IF(NOT(ISBLANK(AC39)),"-","")</f>
        <v>-</v>
      </c>
      <c r="AC39" s="1" t="s">
        <v>66</v>
      </c>
    </row>
    <row r="40" spans="1:29" x14ac:dyDescent="0.25">
      <c r="B40" s="14" t="str">
        <f t="shared" ref="B40:B43" si="51">_xlfn.CONCAT("@",U40,V40,W40,X40,Y40,Z40,AA40,AB40,AC40,"-(",B$3,")")</f>
        <v>@case_width-track-z12-(mtb)</v>
      </c>
      <c r="C40" s="7" t="str">
        <f t="shared" ref="C40:C43" si="52">D40</f>
        <v>3.2</v>
      </c>
      <c r="D40" s="5" t="s">
        <v>127</v>
      </c>
      <c r="E40" s="15" t="str">
        <f t="shared" ref="E40:E43" si="53">_xlfn.CONCAT("@",U40,V40,W40,X40,Y40,Z40,AA40,AB40,AC40,"-(",E$3,")")</f>
        <v>@case_width-track-z12-(mtb-hc)</v>
      </c>
      <c r="F40" s="7" t="str">
        <f t="shared" si="41"/>
        <v>4.4</v>
      </c>
      <c r="G40" s="10" t="s">
        <v>128</v>
      </c>
      <c r="H40" s="14" t="str">
        <f t="shared" ref="H40:H43" si="54">_xlfn.CONCAT("@",U40,V40,W40,X40,Y40,Z40,AA40,AB40,AC40,"-(",H$3,")")</f>
        <v>@case_width-track-z12-(gr)</v>
      </c>
      <c r="I40" s="7" t="str">
        <f t="shared" ref="I40:I43" si="55">J40</f>
        <v>3.2</v>
      </c>
      <c r="J40" s="5" t="s">
        <v>127</v>
      </c>
      <c r="K40" s="15" t="str">
        <f t="shared" ref="K40:K43" si="56">_xlfn.CONCAT("@",U40,V40,W40,X40,Y40,Z40,AA40,AB40,AC40,"-(",K$3,")")</f>
        <v>@case_width-track-z12-(gr-hc)</v>
      </c>
      <c r="L40" s="7">
        <f t="shared" ref="L40:L43" si="57">M40</f>
        <v>0</v>
      </c>
      <c r="M40" s="10"/>
      <c r="N40" s="14" t="str">
        <f t="shared" ref="N40:N43" si="58">_xlfn.CONCAT("@",U40,V40,W40,X40,Y40,Z40,AA40,AB40,AC40,"-(",N$3,")")</f>
        <v>@case_width-track-z12-(wnt)</v>
      </c>
      <c r="O40" s="7" t="str">
        <f t="shared" si="42"/>
        <v>3.2</v>
      </c>
      <c r="P40" s="7" t="str">
        <f t="shared" si="46"/>
        <v>3.2</v>
      </c>
      <c r="Q40" s="15" t="str">
        <f t="shared" ref="Q40:Q43" si="59">_xlfn.CONCAT("@",U40,V40,W40,X40,Y40,Z40,AA40,AB40,AC40,"-(",Q$3,")")</f>
        <v>@case_width-track-z12-(wnt-hc)</v>
      </c>
      <c r="R40" s="7" t="str">
        <f t="shared" ref="R40:R43" si="60">S40</f>
        <v>4.4</v>
      </c>
      <c r="S40" s="16" t="str">
        <f t="shared" si="47"/>
        <v>4.4</v>
      </c>
      <c r="U40" s="1" t="s">
        <v>74</v>
      </c>
      <c r="V40" s="2" t="str">
        <f t="shared" si="48"/>
        <v>-</v>
      </c>
      <c r="W40" s="1" t="s">
        <v>98</v>
      </c>
      <c r="X40" s="2" t="str">
        <f t="shared" ref="X40:X43" si="61">IF(NOT(ISBLANK(Y40)),"_","")</f>
        <v/>
      </c>
      <c r="Y40" s="1"/>
      <c r="Z40" s="2" t="str">
        <f t="shared" si="49"/>
        <v/>
      </c>
      <c r="AB40" s="2" t="str">
        <f t="shared" si="50"/>
        <v>-</v>
      </c>
      <c r="AC40" s="1" t="s">
        <v>105</v>
      </c>
    </row>
    <row r="41" spans="1:29" x14ac:dyDescent="0.25">
      <c r="B41" s="14" t="str">
        <f t="shared" si="51"/>
        <v>@case_width-track-z14-(mtb)</v>
      </c>
      <c r="C41" s="7" t="str">
        <f t="shared" si="52"/>
        <v>4.0</v>
      </c>
      <c r="D41" s="5" t="s">
        <v>88</v>
      </c>
      <c r="E41" s="15" t="str">
        <f t="shared" si="53"/>
        <v>@case_width-track-z14-(mtb-hc)</v>
      </c>
      <c r="F41" s="7" t="str">
        <f t="shared" si="41"/>
        <v>6.0</v>
      </c>
      <c r="G41" s="10" t="s">
        <v>82</v>
      </c>
      <c r="H41" s="14" t="str">
        <f t="shared" si="54"/>
        <v>@case_width-track-z14-(gr)</v>
      </c>
      <c r="I41" s="7" t="str">
        <f t="shared" si="55"/>
        <v>4.0</v>
      </c>
      <c r="J41" s="5" t="s">
        <v>88</v>
      </c>
      <c r="K41" s="15" t="str">
        <f t="shared" si="56"/>
        <v>@case_width-track-z14-(gr-hc)</v>
      </c>
      <c r="L41" s="7">
        <f t="shared" si="57"/>
        <v>0</v>
      </c>
      <c r="M41" s="10"/>
      <c r="N41" s="14" t="str">
        <f t="shared" si="58"/>
        <v>@case_width-track-z14-(wnt)</v>
      </c>
      <c r="O41" s="7" t="str">
        <f t="shared" si="42"/>
        <v>4.0</v>
      </c>
      <c r="P41" s="7" t="str">
        <f t="shared" si="46"/>
        <v>4.0</v>
      </c>
      <c r="Q41" s="15" t="str">
        <f t="shared" si="59"/>
        <v>@case_width-track-z14-(wnt-hc)</v>
      </c>
      <c r="R41" s="7" t="str">
        <f t="shared" si="60"/>
        <v>6.0</v>
      </c>
      <c r="S41" s="16" t="str">
        <f t="shared" si="47"/>
        <v>6.0</v>
      </c>
      <c r="U41" s="1" t="s">
        <v>74</v>
      </c>
      <c r="V41" s="2" t="str">
        <f t="shared" si="48"/>
        <v>-</v>
      </c>
      <c r="W41" s="1" t="s">
        <v>98</v>
      </c>
      <c r="X41" s="2" t="str">
        <f t="shared" si="61"/>
        <v/>
      </c>
      <c r="Y41" s="1"/>
      <c r="Z41" s="2" t="str">
        <f t="shared" si="49"/>
        <v/>
      </c>
      <c r="AB41" s="2" t="str">
        <f t="shared" si="50"/>
        <v>-</v>
      </c>
      <c r="AC41" s="1" t="s">
        <v>70</v>
      </c>
    </row>
    <row r="42" spans="1:29" x14ac:dyDescent="0.25">
      <c r="B42" s="14" t="str">
        <f t="shared" si="51"/>
        <v>@case_width-track-z16-(mtb)</v>
      </c>
      <c r="C42" s="7" t="str">
        <f t="shared" si="52"/>
        <v>9.0</v>
      </c>
      <c r="D42" s="5" t="s">
        <v>83</v>
      </c>
      <c r="E42" s="15" t="str">
        <f t="shared" si="53"/>
        <v>@case_width-track-z16-(mtb-hc)</v>
      </c>
      <c r="F42" s="7" t="str">
        <f t="shared" si="41"/>
        <v>13.5</v>
      </c>
      <c r="G42" s="10" t="s">
        <v>89</v>
      </c>
      <c r="H42" s="14" t="str">
        <f t="shared" si="54"/>
        <v>@case_width-track-z16-(gr)</v>
      </c>
      <c r="I42" s="7" t="str">
        <f t="shared" si="55"/>
        <v>9.0</v>
      </c>
      <c r="J42" s="5" t="s">
        <v>83</v>
      </c>
      <c r="K42" s="15" t="str">
        <f t="shared" si="56"/>
        <v>@case_width-track-z16-(gr-hc)</v>
      </c>
      <c r="L42" s="7">
        <f t="shared" si="57"/>
        <v>0</v>
      </c>
      <c r="M42" s="10"/>
      <c r="N42" s="14" t="str">
        <f t="shared" si="58"/>
        <v>@case_width-track-z16-(wnt)</v>
      </c>
      <c r="O42" s="7" t="str">
        <f t="shared" si="42"/>
        <v>9.0</v>
      </c>
      <c r="P42" s="7" t="str">
        <f t="shared" si="46"/>
        <v>9.0</v>
      </c>
      <c r="Q42" s="15" t="str">
        <f t="shared" si="59"/>
        <v>@case_width-track-z16-(wnt-hc)</v>
      </c>
      <c r="R42" s="7" t="str">
        <f t="shared" si="60"/>
        <v>13.5</v>
      </c>
      <c r="S42" s="16" t="str">
        <f t="shared" si="47"/>
        <v>13.5</v>
      </c>
      <c r="U42" s="1" t="s">
        <v>74</v>
      </c>
      <c r="V42" s="2" t="str">
        <f t="shared" si="48"/>
        <v>-</v>
      </c>
      <c r="W42" s="1" t="s">
        <v>98</v>
      </c>
      <c r="X42" s="2" t="str">
        <f t="shared" si="61"/>
        <v/>
      </c>
      <c r="Y42" s="1"/>
      <c r="Z42" s="2" t="str">
        <f t="shared" si="49"/>
        <v/>
      </c>
      <c r="AB42" s="2" t="str">
        <f t="shared" si="50"/>
        <v>-</v>
      </c>
      <c r="AC42" s="1" t="s">
        <v>71</v>
      </c>
    </row>
    <row r="43" spans="1:29" x14ac:dyDescent="0.25">
      <c r="B43" s="14" t="str">
        <f t="shared" si="51"/>
        <v>@case_width-track-z18-(mtb)</v>
      </c>
      <c r="C43" s="7" t="str">
        <f t="shared" si="52"/>
        <v>15.0</v>
      </c>
      <c r="D43" s="5" t="s">
        <v>85</v>
      </c>
      <c r="E43" s="15" t="str">
        <f t="shared" si="53"/>
        <v>@case_width-track-z18-(mtb-hc)</v>
      </c>
      <c r="F43" s="7" t="str">
        <f t="shared" si="41"/>
        <v>22.5</v>
      </c>
      <c r="G43" s="10" t="s">
        <v>90</v>
      </c>
      <c r="H43" s="14" t="str">
        <f t="shared" si="54"/>
        <v>@case_width-track-z18-(gr)</v>
      </c>
      <c r="I43" s="7" t="str">
        <f t="shared" si="55"/>
        <v>15.0</v>
      </c>
      <c r="J43" s="5" t="s">
        <v>85</v>
      </c>
      <c r="K43" s="15" t="str">
        <f t="shared" si="56"/>
        <v>@case_width-track-z18-(gr-hc)</v>
      </c>
      <c r="L43" s="7">
        <f t="shared" si="57"/>
        <v>0</v>
      </c>
      <c r="M43" s="10"/>
      <c r="N43" s="14" t="str">
        <f t="shared" si="58"/>
        <v>@case_width-track-z18-(wnt)</v>
      </c>
      <c r="O43" s="7" t="str">
        <f t="shared" si="42"/>
        <v>15.0</v>
      </c>
      <c r="P43" s="7" t="str">
        <f t="shared" si="46"/>
        <v>15.0</v>
      </c>
      <c r="Q43" s="15" t="str">
        <f t="shared" si="59"/>
        <v>@case_width-track-z18-(wnt-hc)</v>
      </c>
      <c r="R43" s="7" t="str">
        <f t="shared" si="60"/>
        <v>22.5</v>
      </c>
      <c r="S43" s="16" t="str">
        <f t="shared" si="47"/>
        <v>22.5</v>
      </c>
      <c r="U43" s="1" t="s">
        <v>74</v>
      </c>
      <c r="V43" s="2" t="str">
        <f t="shared" si="48"/>
        <v>-</v>
      </c>
      <c r="W43" s="1" t="s">
        <v>98</v>
      </c>
      <c r="X43" s="2" t="str">
        <f t="shared" si="61"/>
        <v/>
      </c>
      <c r="Y43" s="1"/>
      <c r="Z43" s="2" t="str">
        <f t="shared" si="49"/>
        <v/>
      </c>
      <c r="AB43" s="2" t="str">
        <f t="shared" si="50"/>
        <v>-</v>
      </c>
      <c r="AC43" s="1" t="s">
        <v>72</v>
      </c>
    </row>
    <row r="44" spans="1:29" x14ac:dyDescent="0.25">
      <c r="A44" s="3" t="s">
        <v>129</v>
      </c>
      <c r="B44" s="11"/>
      <c r="C44" s="3"/>
      <c r="D44" s="6"/>
      <c r="E44" s="13"/>
      <c r="F44" s="3"/>
      <c r="G44" s="12"/>
      <c r="H44" s="11"/>
      <c r="I44" s="3"/>
      <c r="J44" s="6"/>
      <c r="K44" s="13"/>
      <c r="L44" s="3"/>
      <c r="M44" s="12"/>
      <c r="N44" s="11"/>
      <c r="O44" s="3"/>
      <c r="P44" s="6"/>
      <c r="Q44" s="13"/>
      <c r="R44" s="3"/>
      <c r="S44" s="12"/>
      <c r="T44" s="4"/>
      <c r="U44" s="3"/>
      <c r="V44" s="4"/>
      <c r="W44" s="3"/>
      <c r="X44" s="4"/>
      <c r="Y44" s="3"/>
      <c r="Z44" s="4"/>
      <c r="AA44" s="4"/>
      <c r="AB44" s="4"/>
      <c r="AC44" s="3"/>
    </row>
    <row r="45" spans="1:29" x14ac:dyDescent="0.25">
      <c r="B45" s="14" t="str">
        <f>_xlfn.CONCAT("@",U45,V45,W45,X45,Y45,Z45,AA45,AB45,AC45,"-(",B$3,")")</f>
        <v>@line_width-track-z10-(mtb)</v>
      </c>
      <c r="C45" s="7" t="str">
        <f>D45</f>
        <v>0.5</v>
      </c>
      <c r="D45" s="5" t="s">
        <v>91</v>
      </c>
      <c r="E45" s="15" t="str">
        <f>_xlfn.CONCAT("@",U45,V45,W45,X45,Y45,Z45,AA45,AB45,AC45,"-(",E$3,")")</f>
        <v>@line_width-track-z10-(mtb-hc)</v>
      </c>
      <c r="F45" s="7" t="str">
        <f t="shared" ref="F45:F71" si="62">G45</f>
        <v>1.3</v>
      </c>
      <c r="G45" s="10" t="s">
        <v>77</v>
      </c>
      <c r="H45" s="14" t="str">
        <f>_xlfn.CONCAT("@",U45,V45,W45,X45,Y45,Z45,AA45,AB45,AC45,"-(",H$3,")")</f>
        <v>@line_width-track-z10-(gr)</v>
      </c>
      <c r="I45" s="7" t="str">
        <f>J45</f>
        <v>0.8</v>
      </c>
      <c r="J45" s="5" t="s">
        <v>92</v>
      </c>
      <c r="K45" s="15" t="str">
        <f>_xlfn.CONCAT("@",U45,V45,W45,X45,Y45,Z45,AA45,AB45,AC45,"-(",K$3,")")</f>
        <v>@line_width-track-z10-(gr-hc)</v>
      </c>
      <c r="L45" s="7">
        <f>M45</f>
        <v>0</v>
      </c>
      <c r="M45" s="10"/>
      <c r="N45" s="22" t="str">
        <f>_xlfn.CONCAT("@",U45,V45,W45,X45,Y45,Z45,AA45,AB45,AC45,"-(",N$3,")")</f>
        <v>@line_width-track-z10-(wnt)</v>
      </c>
      <c r="O45" s="23" t="str">
        <f t="shared" ref="O45:O71" si="63">P45</f>
        <v>0.5</v>
      </c>
      <c r="P45" s="7" t="str">
        <f t="shared" ref="P45:P50" si="64">D45</f>
        <v>0.5</v>
      </c>
      <c r="Q45" s="24" t="str">
        <f>_xlfn.CONCAT("@",U45,V45,W45,X45,Y45,Z45,AA45,AB45,AC45,"-(",Q$3,")")</f>
        <v>@line_width-track-z10-(wnt-hc)</v>
      </c>
      <c r="R45" s="23" t="str">
        <f>S45</f>
        <v>1.3</v>
      </c>
      <c r="S45" s="16" t="str">
        <f t="shared" ref="S45:S50" si="65">G45</f>
        <v>1.3</v>
      </c>
      <c r="U45" s="1" t="s">
        <v>115</v>
      </c>
      <c r="V45" s="2" t="str">
        <f t="shared" ref="V45" si="66">IF(NOT(ISBLANK(W45)),"-","")</f>
        <v>-</v>
      </c>
      <c r="W45" s="1" t="s">
        <v>98</v>
      </c>
      <c r="Y45" s="1"/>
      <c r="Z45" s="2" t="str">
        <f t="shared" ref="Z45" si="67">IF(NOT(ISBLANK(AA45)),"_","")</f>
        <v/>
      </c>
      <c r="AB45" s="2" t="str">
        <f t="shared" ref="AB45" si="68">IF(NOT(ISBLANK(AC45)),"-","")</f>
        <v>-</v>
      </c>
      <c r="AC45" s="1" t="s">
        <v>99</v>
      </c>
    </row>
    <row r="46" spans="1:29" x14ac:dyDescent="0.25">
      <c r="B46" s="14" t="str">
        <f t="shared" ref="B46:B50" si="69">_xlfn.CONCAT("@",U46,V46,W46,X46,Y46,Z46,AA46,AB46,AC46,"-(",B$3,")")</f>
        <v>@line_width-track-z11-(mtb)</v>
      </c>
      <c r="C46" s="7" t="str">
        <f t="shared" ref="C46:C50" si="70">D46</f>
        <v>0.6</v>
      </c>
      <c r="D46" s="5" t="s">
        <v>118</v>
      </c>
      <c r="E46" s="15" t="str">
        <f t="shared" ref="E46:E50" si="71">_xlfn.CONCAT("@",U46,V46,W46,X46,Y46,Z46,AA46,AB46,AC46,"-(",E$3,")")</f>
        <v>@line_width-track-z11-(mtb-hc)</v>
      </c>
      <c r="F46" s="7" t="str">
        <f t="shared" si="62"/>
        <v>1.5</v>
      </c>
      <c r="G46" s="10" t="s">
        <v>80</v>
      </c>
      <c r="H46" s="14" t="str">
        <f t="shared" ref="H46:H50" si="72">_xlfn.CONCAT("@",U46,V46,W46,X46,Y46,Z46,AA46,AB46,AC46,"-(",H$3,")")</f>
        <v>@line_width-track-z11-(gr)</v>
      </c>
      <c r="I46" s="7" t="str">
        <f t="shared" ref="I46:I50" si="73">J46</f>
        <v>0.9</v>
      </c>
      <c r="J46" s="5" t="s">
        <v>112</v>
      </c>
      <c r="K46" s="15" t="str">
        <f t="shared" ref="K46:K50" si="74">_xlfn.CONCAT("@",U46,V46,W46,X46,Y46,Z46,AA46,AB46,AC46,"-(",K$3,")")</f>
        <v>@line_width-track-z11-(gr-hc)</v>
      </c>
      <c r="L46" s="7">
        <f t="shared" ref="L46:L50" si="75">M46</f>
        <v>0</v>
      </c>
      <c r="M46" s="10"/>
      <c r="N46" s="22" t="str">
        <f t="shared" ref="N46:N50" si="76">_xlfn.CONCAT("@",U46,V46,W46,X46,Y46,Z46,AA46,AB46,AC46,"-(",N$3,")")</f>
        <v>@line_width-track-z11-(wnt)</v>
      </c>
      <c r="O46" s="23" t="str">
        <f t="shared" si="63"/>
        <v>0.6</v>
      </c>
      <c r="P46" s="7" t="str">
        <f t="shared" si="64"/>
        <v>0.6</v>
      </c>
      <c r="Q46" s="24" t="str">
        <f t="shared" ref="Q46:Q50" si="77">_xlfn.CONCAT("@",U46,V46,W46,X46,Y46,Z46,AA46,AB46,AC46,"-(",Q$3,")")</f>
        <v>@line_width-track-z11-(wnt-hc)</v>
      </c>
      <c r="R46" s="23" t="str">
        <f t="shared" ref="R46:R50" si="78">S46</f>
        <v>1.5</v>
      </c>
      <c r="S46" s="16" t="str">
        <f t="shared" si="65"/>
        <v>1.5</v>
      </c>
      <c r="U46" s="1" t="s">
        <v>115</v>
      </c>
      <c r="V46" s="2" t="str">
        <f t="shared" ref="V46:V50" si="79">IF(NOT(ISBLANK(W46)),"-","")</f>
        <v>-</v>
      </c>
      <c r="W46" s="1" t="s">
        <v>98</v>
      </c>
      <c r="Y46" s="1"/>
      <c r="Z46" s="2" t="str">
        <f t="shared" ref="Z46:Z50" si="80">IF(NOT(ISBLANK(AA46)),"_","")</f>
        <v/>
      </c>
      <c r="AB46" s="2" t="str">
        <f t="shared" ref="AB46:AB50" si="81">IF(NOT(ISBLANK(AC46)),"-","")</f>
        <v>-</v>
      </c>
      <c r="AC46" s="1" t="s">
        <v>66</v>
      </c>
    </row>
    <row r="47" spans="1:29" x14ac:dyDescent="0.25">
      <c r="B47" s="14" t="str">
        <f t="shared" si="69"/>
        <v>@line_width-track-z12-(mtb)</v>
      </c>
      <c r="C47" s="7" t="str">
        <f t="shared" si="70"/>
        <v>0.9</v>
      </c>
      <c r="D47" s="5" t="s">
        <v>112</v>
      </c>
      <c r="E47" s="15" t="str">
        <f t="shared" si="71"/>
        <v>@line_width-track-z12-(mtb-hc)</v>
      </c>
      <c r="F47" s="7" t="str">
        <f t="shared" si="62"/>
        <v>1.7</v>
      </c>
      <c r="G47" s="10" t="s">
        <v>107</v>
      </c>
      <c r="H47" s="14" t="str">
        <f t="shared" si="72"/>
        <v>@line_width-track-z12-(gr)</v>
      </c>
      <c r="I47" s="7" t="str">
        <f t="shared" si="73"/>
        <v>1.2</v>
      </c>
      <c r="J47" s="5" t="s">
        <v>93</v>
      </c>
      <c r="K47" s="15" t="str">
        <f t="shared" si="74"/>
        <v>@line_width-track-z12-(gr-hc)</v>
      </c>
      <c r="L47" s="7">
        <f t="shared" si="75"/>
        <v>0</v>
      </c>
      <c r="M47" s="10"/>
      <c r="N47" s="22" t="str">
        <f t="shared" si="76"/>
        <v>@line_width-track-z12-(wnt)</v>
      </c>
      <c r="O47" s="23" t="str">
        <f t="shared" si="63"/>
        <v>0.9</v>
      </c>
      <c r="P47" s="7" t="str">
        <f t="shared" si="64"/>
        <v>0.9</v>
      </c>
      <c r="Q47" s="24" t="str">
        <f t="shared" si="77"/>
        <v>@line_width-track-z12-(wnt-hc)</v>
      </c>
      <c r="R47" s="23" t="str">
        <f t="shared" si="78"/>
        <v>1.7</v>
      </c>
      <c r="S47" s="16" t="str">
        <f t="shared" si="65"/>
        <v>1.7</v>
      </c>
      <c r="U47" s="1" t="s">
        <v>115</v>
      </c>
      <c r="V47" s="2" t="str">
        <f t="shared" si="79"/>
        <v>-</v>
      </c>
      <c r="W47" s="1" t="s">
        <v>98</v>
      </c>
      <c r="Y47" s="1"/>
      <c r="Z47" s="2" t="str">
        <f t="shared" si="80"/>
        <v/>
      </c>
      <c r="AB47" s="2" t="str">
        <f t="shared" si="81"/>
        <v>-</v>
      </c>
      <c r="AC47" s="1" t="s">
        <v>105</v>
      </c>
    </row>
    <row r="48" spans="1:29" x14ac:dyDescent="0.25">
      <c r="B48" s="14" t="str">
        <f t="shared" si="69"/>
        <v>@line_width-track-z14-(mtb)</v>
      </c>
      <c r="C48" s="7" t="str">
        <f t="shared" si="70"/>
        <v>1.3</v>
      </c>
      <c r="D48" s="5" t="s">
        <v>77</v>
      </c>
      <c r="E48" s="15" t="str">
        <f t="shared" si="71"/>
        <v>@line_width-track-z14-(mtb-hc)</v>
      </c>
      <c r="F48" s="7" t="str">
        <f t="shared" si="62"/>
        <v>2.0</v>
      </c>
      <c r="G48" s="10" t="s">
        <v>81</v>
      </c>
      <c r="H48" s="14" t="str">
        <f t="shared" si="72"/>
        <v>@line_width-track-z14-(gr)</v>
      </c>
      <c r="I48" s="7" t="str">
        <f t="shared" si="73"/>
        <v>1.6</v>
      </c>
      <c r="J48" s="5" t="s">
        <v>94</v>
      </c>
      <c r="K48" s="15" t="str">
        <f t="shared" si="74"/>
        <v>@line_width-track-z14-(gr-hc)</v>
      </c>
      <c r="L48" s="7">
        <f t="shared" si="75"/>
        <v>0</v>
      </c>
      <c r="M48" s="10"/>
      <c r="N48" s="22" t="str">
        <f t="shared" si="76"/>
        <v>@line_width-track-z14-(wnt)</v>
      </c>
      <c r="O48" s="23" t="str">
        <f t="shared" si="63"/>
        <v>1.3</v>
      </c>
      <c r="P48" s="7" t="str">
        <f t="shared" si="64"/>
        <v>1.3</v>
      </c>
      <c r="Q48" s="24" t="str">
        <f t="shared" si="77"/>
        <v>@line_width-track-z14-(wnt-hc)</v>
      </c>
      <c r="R48" s="23" t="str">
        <f t="shared" si="78"/>
        <v>2.0</v>
      </c>
      <c r="S48" s="16" t="str">
        <f t="shared" si="65"/>
        <v>2.0</v>
      </c>
      <c r="U48" s="1" t="s">
        <v>115</v>
      </c>
      <c r="V48" s="2" t="str">
        <f t="shared" si="79"/>
        <v>-</v>
      </c>
      <c r="W48" s="1" t="s">
        <v>98</v>
      </c>
      <c r="Y48" s="1"/>
      <c r="Z48" s="2" t="str">
        <f t="shared" si="80"/>
        <v/>
      </c>
      <c r="AB48" s="2" t="str">
        <f t="shared" si="81"/>
        <v>-</v>
      </c>
      <c r="AC48" s="1" t="s">
        <v>70</v>
      </c>
    </row>
    <row r="49" spans="1:29" x14ac:dyDescent="0.25">
      <c r="B49" s="14" t="str">
        <f t="shared" si="69"/>
        <v>@line_width-track-z16-(mtb)</v>
      </c>
      <c r="C49" s="7" t="str">
        <f t="shared" si="70"/>
        <v>3.5</v>
      </c>
      <c r="D49" s="5" t="s">
        <v>78</v>
      </c>
      <c r="E49" s="15" t="str">
        <f t="shared" si="71"/>
        <v>@line_width-track-z16-(mtb-hc)</v>
      </c>
      <c r="F49" s="7" t="str">
        <f t="shared" si="62"/>
        <v>5.2</v>
      </c>
      <c r="G49" s="10" t="s">
        <v>123</v>
      </c>
      <c r="H49" s="14" t="str">
        <f t="shared" si="72"/>
        <v>@line_width-track-z16-(gr)</v>
      </c>
      <c r="I49" s="7" t="str">
        <f t="shared" si="73"/>
        <v>4.0</v>
      </c>
      <c r="J49" s="5" t="s">
        <v>88</v>
      </c>
      <c r="K49" s="15" t="str">
        <f t="shared" si="74"/>
        <v>@line_width-track-z16-(gr-hc)</v>
      </c>
      <c r="L49" s="7">
        <f t="shared" si="75"/>
        <v>0</v>
      </c>
      <c r="M49" s="10"/>
      <c r="N49" s="22" t="str">
        <f t="shared" si="76"/>
        <v>@line_width-track-z16-(wnt)</v>
      </c>
      <c r="O49" s="23" t="str">
        <f t="shared" si="63"/>
        <v>3.5</v>
      </c>
      <c r="P49" s="7" t="str">
        <f t="shared" si="64"/>
        <v>3.5</v>
      </c>
      <c r="Q49" s="24" t="str">
        <f t="shared" si="77"/>
        <v>@line_width-track-z16-(wnt-hc)</v>
      </c>
      <c r="R49" s="23" t="str">
        <f t="shared" si="78"/>
        <v>5.2</v>
      </c>
      <c r="S49" s="16" t="str">
        <f t="shared" si="65"/>
        <v>5.2</v>
      </c>
      <c r="U49" s="1" t="s">
        <v>115</v>
      </c>
      <c r="V49" s="2" t="str">
        <f t="shared" si="79"/>
        <v>-</v>
      </c>
      <c r="W49" s="1" t="s">
        <v>98</v>
      </c>
      <c r="Y49" s="1"/>
      <c r="Z49" s="2" t="str">
        <f t="shared" si="80"/>
        <v/>
      </c>
      <c r="AB49" s="2" t="str">
        <f t="shared" si="81"/>
        <v>-</v>
      </c>
      <c r="AC49" s="1" t="s">
        <v>71</v>
      </c>
    </row>
    <row r="50" spans="1:29" x14ac:dyDescent="0.25">
      <c r="B50" s="14" t="str">
        <f t="shared" si="69"/>
        <v>@line_width-track-z18-(mtb)</v>
      </c>
      <c r="C50" s="7" t="str">
        <f t="shared" si="70"/>
        <v>7.0</v>
      </c>
      <c r="D50" s="5" t="s">
        <v>130</v>
      </c>
      <c r="E50" s="15" t="str">
        <f t="shared" si="71"/>
        <v>@line_width-track-z18-(mtb-hc)</v>
      </c>
      <c r="F50" s="7" t="str">
        <f t="shared" si="62"/>
        <v>10.5</v>
      </c>
      <c r="G50" s="10" t="s">
        <v>131</v>
      </c>
      <c r="H50" s="14" t="str">
        <f t="shared" si="72"/>
        <v>@line_width-track-z18-(gr)</v>
      </c>
      <c r="I50" s="7" t="str">
        <f t="shared" si="73"/>
        <v>5.0</v>
      </c>
      <c r="J50" s="5" t="s">
        <v>79</v>
      </c>
      <c r="K50" s="15" t="str">
        <f t="shared" si="74"/>
        <v>@line_width-track-z18-(gr-hc)</v>
      </c>
      <c r="L50" s="7">
        <f t="shared" si="75"/>
        <v>0</v>
      </c>
      <c r="M50" s="10"/>
      <c r="N50" s="22" t="str">
        <f t="shared" si="76"/>
        <v>@line_width-track-z18-(wnt)</v>
      </c>
      <c r="O50" s="23" t="str">
        <f t="shared" si="63"/>
        <v>7.0</v>
      </c>
      <c r="P50" s="7" t="str">
        <f t="shared" si="64"/>
        <v>7.0</v>
      </c>
      <c r="Q50" s="24" t="str">
        <f t="shared" si="77"/>
        <v>@line_width-track-z18-(wnt-hc)</v>
      </c>
      <c r="R50" s="23" t="str">
        <f t="shared" si="78"/>
        <v>10.5</v>
      </c>
      <c r="S50" s="16" t="str">
        <f t="shared" si="65"/>
        <v>10.5</v>
      </c>
      <c r="U50" s="1" t="s">
        <v>115</v>
      </c>
      <c r="V50" s="2" t="str">
        <f t="shared" si="79"/>
        <v>-</v>
      </c>
      <c r="W50" s="1" t="s">
        <v>98</v>
      </c>
      <c r="Y50" s="1"/>
      <c r="Z50" s="2" t="str">
        <f t="shared" si="80"/>
        <v/>
      </c>
      <c r="AB50" s="2" t="str">
        <f t="shared" si="81"/>
        <v>-</v>
      </c>
      <c r="AC50" s="1" t="s">
        <v>72</v>
      </c>
    </row>
    <row r="51" spans="1:29" x14ac:dyDescent="0.25">
      <c r="A51" s="3" t="s">
        <v>132</v>
      </c>
      <c r="B51" s="11"/>
      <c r="C51" s="3"/>
      <c r="D51" s="6"/>
      <c r="E51" s="13"/>
      <c r="F51" s="3"/>
      <c r="G51" s="12"/>
      <c r="H51" s="11"/>
      <c r="I51" s="3"/>
      <c r="J51" s="6"/>
      <c r="K51" s="13"/>
      <c r="L51" s="3"/>
      <c r="M51" s="12"/>
      <c r="N51" s="11"/>
      <c r="O51" s="3"/>
      <c r="P51" s="6"/>
      <c r="Q51" s="13"/>
      <c r="R51" s="3"/>
      <c r="S51" s="12"/>
      <c r="T51" s="4"/>
      <c r="U51" s="3"/>
      <c r="V51" s="4"/>
      <c r="W51" s="3"/>
      <c r="X51" s="4"/>
      <c r="Y51" s="3"/>
      <c r="Z51" s="4"/>
      <c r="AA51" s="4"/>
      <c r="AB51" s="4"/>
      <c r="AC51" s="3"/>
    </row>
    <row r="52" spans="1:29" x14ac:dyDescent="0.25">
      <c r="B52" s="14" t="str">
        <f>_xlfn.CONCAT("@",U52,V52,W52,X52,Y52,Z52,AA52,AB52,AC52,"-(",B$3,")")</f>
        <v>@case_width-motorway-z5-(mtb)</v>
      </c>
      <c r="C52" s="7" t="str">
        <f>D52</f>
        <v>1.0</v>
      </c>
      <c r="D52" s="5" t="s">
        <v>76</v>
      </c>
      <c r="E52" s="15" t="str">
        <f>_xlfn.CONCAT("@",U52,V52,W52,X52,Y52,Z52,AA52,AB52,AC52,"-(",E$3,")")</f>
        <v>@case_width-motorway-z5-(mtb-hc)</v>
      </c>
      <c r="F52" s="7" t="str">
        <f t="shared" si="62"/>
        <v>1.0</v>
      </c>
      <c r="G52" s="10" t="s">
        <v>76</v>
      </c>
      <c r="H52" s="14" t="str">
        <f>_xlfn.CONCAT("@",U52,V52,W52,X52,Y52,Z52,AA52,AB52,AC52,"-(",H$3,")")</f>
        <v>@case_width-motorway-z5-(gr)</v>
      </c>
      <c r="I52" s="7" t="str">
        <f>J52</f>
        <v>1.0</v>
      </c>
      <c r="J52" s="7" t="str">
        <f>D52</f>
        <v>1.0</v>
      </c>
      <c r="K52" s="15" t="str">
        <f>_xlfn.CONCAT("@",U52,V52,W52,X52,Y52,Z52,AA52,AB52,AC52,"-(",K$3,")")</f>
        <v>@case_width-motorway-z5-(gr-hc)</v>
      </c>
      <c r="L52" s="7" t="str">
        <f>M52</f>
        <v>1.0</v>
      </c>
      <c r="M52" s="16" t="str">
        <f>G52</f>
        <v>1.0</v>
      </c>
      <c r="N52" s="22" t="str">
        <f>_xlfn.CONCAT("@",U52,V52,W52,X52,Y52,Z52,AA52,AB52,AC52,"-(",N$3,")")</f>
        <v>@case_width-motorway-z5-(wnt)</v>
      </c>
      <c r="O52" s="23" t="str">
        <f t="shared" si="63"/>
        <v>1.0</v>
      </c>
      <c r="P52" s="7" t="str">
        <f t="shared" ref="P52:P61" si="82">D52</f>
        <v>1.0</v>
      </c>
      <c r="Q52" s="24" t="str">
        <f>_xlfn.CONCAT("@",U52,V52,W52,X52,Y52,Z52,AA52,AB52,AC52,"-(",Q$3,")")</f>
        <v>@case_width-motorway-z5-(wnt-hc)</v>
      </c>
      <c r="R52" s="23" t="str">
        <f>S52</f>
        <v>1.0</v>
      </c>
      <c r="S52" s="16" t="str">
        <f t="shared" ref="S52:S61" si="83">G52</f>
        <v>1.0</v>
      </c>
      <c r="U52" s="1" t="s">
        <v>74</v>
      </c>
      <c r="V52" s="2" t="str">
        <f t="shared" ref="V52" si="84">IF(NOT(ISBLANK(W52)),"-","")</f>
        <v>-</v>
      </c>
      <c r="W52" s="1" t="s">
        <v>16</v>
      </c>
      <c r="Y52" s="1"/>
      <c r="Z52" s="2" t="str">
        <f t="shared" ref="Z52" si="85">IF(NOT(ISBLANK(AA52)),"_","")</f>
        <v/>
      </c>
      <c r="AB52" s="2" t="str">
        <f t="shared" ref="AB52" si="86">IF(NOT(ISBLANK(AC52)),"-","")</f>
        <v>-</v>
      </c>
      <c r="AC52" s="1" t="s">
        <v>133</v>
      </c>
    </row>
    <row r="53" spans="1:29" x14ac:dyDescent="0.25">
      <c r="B53" s="14" t="str">
        <f t="shared" ref="B53:B55" si="87">_xlfn.CONCAT("@",U53,V53,W53,X53,Y53,Z53,AA53,AB53,AC53,"-(",B$3,")")</f>
        <v>@case_width-motorway-z6-(mtb)</v>
      </c>
      <c r="C53" s="7" t="str">
        <f t="shared" ref="C53:C55" si="88">D53</f>
        <v>2.4</v>
      </c>
      <c r="D53" s="5" t="s">
        <v>95</v>
      </c>
      <c r="E53" s="15" t="str">
        <f t="shared" ref="E53:E55" si="89">_xlfn.CONCAT("@",U53,V53,W53,X53,Y53,Z53,AA53,AB53,AC53,"-(",E$3,")")</f>
        <v>@case_width-motorway-z6-(mtb-hc)</v>
      </c>
      <c r="F53" s="7" t="str">
        <f t="shared" si="62"/>
        <v>2.4</v>
      </c>
      <c r="G53" s="10" t="s">
        <v>95</v>
      </c>
      <c r="H53" s="14" t="str">
        <f t="shared" ref="H53:H55" si="90">_xlfn.CONCAT("@",U53,V53,W53,X53,Y53,Z53,AA53,AB53,AC53,"-(",H$3,")")</f>
        <v>@case_width-motorway-z6-(gr)</v>
      </c>
      <c r="I53" s="7" t="str">
        <f t="shared" ref="I53:I55" si="91">J53</f>
        <v>2.4</v>
      </c>
      <c r="J53" s="7" t="str">
        <f t="shared" ref="J53:J55" si="92">D53</f>
        <v>2.4</v>
      </c>
      <c r="K53" s="15" t="str">
        <f t="shared" ref="K53:K55" si="93">_xlfn.CONCAT("@",U53,V53,W53,X53,Y53,Z53,AA53,AB53,AC53,"-(",K$3,")")</f>
        <v>@case_width-motorway-z6-(gr-hc)</v>
      </c>
      <c r="L53" s="7" t="str">
        <f t="shared" ref="L53:L55" si="94">M53</f>
        <v>2.4</v>
      </c>
      <c r="M53" s="16" t="str">
        <f t="shared" ref="M53:M55" si="95">G53</f>
        <v>2.4</v>
      </c>
      <c r="N53" s="22" t="str">
        <f t="shared" ref="N53:N55" si="96">_xlfn.CONCAT("@",U53,V53,W53,X53,Y53,Z53,AA53,AB53,AC53,"-(",N$3,")")</f>
        <v>@case_width-motorway-z6-(wnt)</v>
      </c>
      <c r="O53" s="23" t="str">
        <f t="shared" si="63"/>
        <v>2.4</v>
      </c>
      <c r="P53" s="7" t="str">
        <f t="shared" si="82"/>
        <v>2.4</v>
      </c>
      <c r="Q53" s="24" t="str">
        <f t="shared" ref="Q53:Q55" si="97">_xlfn.CONCAT("@",U53,V53,W53,X53,Y53,Z53,AA53,AB53,AC53,"-(",Q$3,")")</f>
        <v>@case_width-motorway-z6-(wnt-hc)</v>
      </c>
      <c r="R53" s="23" t="str">
        <f t="shared" ref="R53:R55" si="98">S53</f>
        <v>2.4</v>
      </c>
      <c r="S53" s="16" t="str">
        <f t="shared" si="83"/>
        <v>2.4</v>
      </c>
      <c r="U53" s="1" t="s">
        <v>74</v>
      </c>
      <c r="V53" s="2" t="str">
        <f t="shared" ref="V53:V55" si="99">IF(NOT(ISBLANK(W53)),"-","")</f>
        <v>-</v>
      </c>
      <c r="W53" s="1" t="s">
        <v>16</v>
      </c>
      <c r="Y53" s="1"/>
      <c r="Z53" s="2" t="str">
        <f t="shared" ref="Z53:Z55" si="100">IF(NOT(ISBLANK(AA53)),"_","")</f>
        <v/>
      </c>
      <c r="AB53" s="2" t="str">
        <f t="shared" ref="AB53:AB55" si="101">IF(NOT(ISBLANK(AC53)),"-","")</f>
        <v>-</v>
      </c>
      <c r="AC53" s="1" t="s">
        <v>134</v>
      </c>
    </row>
    <row r="54" spans="1:29" x14ac:dyDescent="0.25">
      <c r="B54" s="14" t="str">
        <f t="shared" si="87"/>
        <v>@case_width-motorway-z10-(mtb)</v>
      </c>
      <c r="C54" s="7" t="str">
        <f t="shared" si="88"/>
        <v>4.5</v>
      </c>
      <c r="D54" s="5" t="s">
        <v>124</v>
      </c>
      <c r="E54" s="15" t="str">
        <f t="shared" si="89"/>
        <v>@case_width-motorway-z10-(mtb-hc)</v>
      </c>
      <c r="F54" s="7" t="str">
        <f t="shared" si="62"/>
        <v>4.5</v>
      </c>
      <c r="G54" s="10" t="s">
        <v>124</v>
      </c>
      <c r="H54" s="14" t="str">
        <f t="shared" si="90"/>
        <v>@case_width-motorway-z10-(gr)</v>
      </c>
      <c r="I54" s="7" t="str">
        <f t="shared" si="91"/>
        <v>4.5</v>
      </c>
      <c r="J54" s="7" t="str">
        <f t="shared" si="92"/>
        <v>4.5</v>
      </c>
      <c r="K54" s="15" t="str">
        <f t="shared" si="93"/>
        <v>@case_width-motorway-z10-(gr-hc)</v>
      </c>
      <c r="L54" s="7" t="str">
        <f t="shared" si="94"/>
        <v>4.5</v>
      </c>
      <c r="M54" s="16" t="str">
        <f t="shared" si="95"/>
        <v>4.5</v>
      </c>
      <c r="N54" s="22" t="str">
        <f t="shared" si="96"/>
        <v>@case_width-motorway-z10-(wnt)</v>
      </c>
      <c r="O54" s="23" t="str">
        <f t="shared" si="63"/>
        <v>4.5</v>
      </c>
      <c r="P54" s="7" t="str">
        <f t="shared" si="82"/>
        <v>4.5</v>
      </c>
      <c r="Q54" s="24" t="str">
        <f t="shared" si="97"/>
        <v>@case_width-motorway-z10-(wnt-hc)</v>
      </c>
      <c r="R54" s="23" t="str">
        <f t="shared" si="98"/>
        <v>4.5</v>
      </c>
      <c r="S54" s="16" t="str">
        <f t="shared" si="83"/>
        <v>4.5</v>
      </c>
      <c r="U54" s="1" t="s">
        <v>74</v>
      </c>
      <c r="V54" s="2" t="str">
        <f t="shared" si="99"/>
        <v>-</v>
      </c>
      <c r="W54" s="1" t="s">
        <v>16</v>
      </c>
      <c r="Y54" s="1"/>
      <c r="Z54" s="2" t="str">
        <f t="shared" si="100"/>
        <v/>
      </c>
      <c r="AB54" s="2" t="str">
        <f t="shared" si="101"/>
        <v>-</v>
      </c>
      <c r="AC54" s="1" t="s">
        <v>99</v>
      </c>
    </row>
    <row r="55" spans="1:29" x14ac:dyDescent="0.25">
      <c r="B55" s="14" t="str">
        <f t="shared" si="87"/>
        <v>@case_width-motorway-z20-(mtb)</v>
      </c>
      <c r="C55" s="7" t="str">
        <f t="shared" si="88"/>
        <v>22.0</v>
      </c>
      <c r="D55" s="5" t="s">
        <v>137</v>
      </c>
      <c r="E55" s="15" t="str">
        <f t="shared" si="89"/>
        <v>@case_width-motorway-z20-(mtb-hc)</v>
      </c>
      <c r="F55" s="7" t="str">
        <f t="shared" si="62"/>
        <v>36.0</v>
      </c>
      <c r="G55" s="10" t="s">
        <v>138</v>
      </c>
      <c r="H55" s="14" t="str">
        <f t="shared" si="90"/>
        <v>@case_width-motorway-z20-(gr)</v>
      </c>
      <c r="I55" s="7" t="str">
        <f t="shared" si="91"/>
        <v>22.0</v>
      </c>
      <c r="J55" s="7" t="str">
        <f t="shared" si="92"/>
        <v>22.0</v>
      </c>
      <c r="K55" s="15" t="str">
        <f t="shared" si="93"/>
        <v>@case_width-motorway-z20-(gr-hc)</v>
      </c>
      <c r="L55" s="7" t="str">
        <f t="shared" si="94"/>
        <v>36.0</v>
      </c>
      <c r="M55" s="16" t="str">
        <f t="shared" si="95"/>
        <v>36.0</v>
      </c>
      <c r="N55" s="22" t="str">
        <f t="shared" si="96"/>
        <v>@case_width-motorway-z20-(wnt)</v>
      </c>
      <c r="O55" s="23" t="str">
        <f t="shared" si="63"/>
        <v>22.0</v>
      </c>
      <c r="P55" s="7" t="str">
        <f t="shared" si="82"/>
        <v>22.0</v>
      </c>
      <c r="Q55" s="24" t="str">
        <f t="shared" si="97"/>
        <v>@case_width-motorway-z20-(wnt-hc)</v>
      </c>
      <c r="R55" s="23" t="str">
        <f t="shared" si="98"/>
        <v>36.0</v>
      </c>
      <c r="S55" s="16" t="str">
        <f t="shared" si="83"/>
        <v>36.0</v>
      </c>
      <c r="U55" s="1" t="s">
        <v>74</v>
      </c>
      <c r="V55" s="2" t="str">
        <f t="shared" si="99"/>
        <v>-</v>
      </c>
      <c r="W55" s="1" t="s">
        <v>16</v>
      </c>
      <c r="Y55" s="1"/>
      <c r="Z55" s="2" t="str">
        <f t="shared" si="100"/>
        <v/>
      </c>
      <c r="AB55" s="2" t="str">
        <f t="shared" si="101"/>
        <v>-</v>
      </c>
      <c r="AC55" s="1" t="s">
        <v>135</v>
      </c>
    </row>
    <row r="56" spans="1:29" x14ac:dyDescent="0.25">
      <c r="A56" s="3" t="s">
        <v>139</v>
      </c>
      <c r="B56" s="11"/>
      <c r="C56" s="3"/>
      <c r="D56" s="6"/>
      <c r="E56" s="13"/>
      <c r="F56" s="3"/>
      <c r="G56" s="12"/>
      <c r="H56" s="11"/>
      <c r="I56" s="3"/>
      <c r="J56" s="6"/>
      <c r="K56" s="13"/>
      <c r="L56" s="3"/>
      <c r="M56" s="12"/>
      <c r="N56" s="11"/>
      <c r="O56" s="3"/>
      <c r="P56" s="6"/>
      <c r="Q56" s="13"/>
      <c r="R56" s="3"/>
      <c r="S56" s="12"/>
      <c r="T56" s="4"/>
      <c r="U56" s="3"/>
      <c r="V56" s="4"/>
      <c r="W56" s="3"/>
      <c r="X56" s="4"/>
      <c r="Y56" s="3"/>
      <c r="Z56" s="4"/>
      <c r="AA56" s="4"/>
      <c r="AB56" s="4"/>
      <c r="AC56" s="3"/>
    </row>
    <row r="57" spans="1:29" x14ac:dyDescent="0.25">
      <c r="B57" s="14" t="str">
        <f>_xlfn.CONCAT("@",U57,V57,W57,X57,Y57,Z57,AA57,AB57,AC57,"-(",B$3,")")</f>
        <v>@line_width-motorway-z7-(mtb)</v>
      </c>
      <c r="C57" s="7" t="str">
        <f>D57</f>
        <v>0.5</v>
      </c>
      <c r="D57" s="5" t="s">
        <v>91</v>
      </c>
      <c r="E57" s="15" t="str">
        <f>_xlfn.CONCAT("@",U57,V57,W57,X57,Y57,Z57,AA57,AB57,AC57,"-(",E$3,")")</f>
        <v>@line_width-motorway-z7-(mtb-hc)</v>
      </c>
      <c r="F57" s="7" t="str">
        <f t="shared" si="62"/>
        <v>0.5</v>
      </c>
      <c r="G57" s="10" t="s">
        <v>91</v>
      </c>
      <c r="H57" s="14" t="str">
        <f>_xlfn.CONCAT("@",U57,V57,W57,X57,Y57,Z57,AA57,AB57,AC57,"-(",H$3,")")</f>
        <v>@line_width-motorway-z7-(gr)</v>
      </c>
      <c r="I57" s="7" t="str">
        <f>J57</f>
        <v>0.5</v>
      </c>
      <c r="J57" s="7" t="str">
        <f t="shared" ref="J57:J61" si="102">D57</f>
        <v>0.5</v>
      </c>
      <c r="K57" s="15" t="str">
        <f>_xlfn.CONCAT("@",U57,V57,W57,X57,Y57,Z57,AA57,AB57,AC57,"-(",K$3,")")</f>
        <v>@line_width-motorway-z7-(gr-hc)</v>
      </c>
      <c r="L57" s="7" t="str">
        <f>M57</f>
        <v>0.5</v>
      </c>
      <c r="M57" s="16" t="str">
        <f t="shared" ref="M57:M61" si="103">G57</f>
        <v>0.5</v>
      </c>
      <c r="N57" s="22" t="str">
        <f>_xlfn.CONCAT("@",U57,V57,W57,X57,Y57,Z57,AA57,AB57,AC57,"-(",N$3,")")</f>
        <v>@line_width-motorway-z7-(wnt)</v>
      </c>
      <c r="O57" s="23" t="str">
        <f t="shared" si="63"/>
        <v>0.5</v>
      </c>
      <c r="P57" s="7" t="str">
        <f t="shared" si="82"/>
        <v>0.5</v>
      </c>
      <c r="Q57" s="24" t="str">
        <f>_xlfn.CONCAT("@",U57,V57,W57,X57,Y57,Z57,AA57,AB57,AC57,"-(",Q$3,")")</f>
        <v>@line_width-motorway-z7-(wnt-hc)</v>
      </c>
      <c r="R57" s="23" t="str">
        <f>S57</f>
        <v>0.5</v>
      </c>
      <c r="S57" s="16" t="str">
        <f t="shared" si="83"/>
        <v>0.5</v>
      </c>
      <c r="U57" s="1" t="s">
        <v>115</v>
      </c>
      <c r="V57" s="2" t="str">
        <f t="shared" ref="V57:V60" si="104">IF(NOT(ISBLANK(W57)),"-","")</f>
        <v>-</v>
      </c>
      <c r="W57" s="1" t="s">
        <v>16</v>
      </c>
      <c r="Y57" s="1"/>
      <c r="Z57" s="2" t="str">
        <f t="shared" ref="Z57:Z60" si="105">IF(NOT(ISBLANK(AA57)),"_","")</f>
        <v/>
      </c>
      <c r="AB57" s="2" t="str">
        <f t="shared" ref="AB57:AB60" si="106">IF(NOT(ISBLANK(AC57)),"-","")</f>
        <v>-</v>
      </c>
      <c r="AC57" s="1" t="s">
        <v>140</v>
      </c>
    </row>
    <row r="58" spans="1:29" x14ac:dyDescent="0.25">
      <c r="B58" s="14" t="str">
        <f t="shared" ref="B58:B60" si="107">_xlfn.CONCAT("@",U58,V58,W58,X58,Y58,Z58,AA58,AB58,AC58,"-(",B$3,")")</f>
        <v>@line_width-motorway-z10-(mtb)</v>
      </c>
      <c r="C58" s="7" t="str">
        <f t="shared" ref="C58:C61" si="108">D58</f>
        <v>1.5</v>
      </c>
      <c r="D58" s="5" t="s">
        <v>80</v>
      </c>
      <c r="E58" s="15" t="str">
        <f t="shared" ref="E58:E60" si="109">_xlfn.CONCAT("@",U58,V58,W58,X58,Y58,Z58,AA58,AB58,AC58,"-(",E$3,")")</f>
        <v>@line_width-motorway-z10-(mtb-hc)</v>
      </c>
      <c r="F58" s="7" t="str">
        <f t="shared" si="62"/>
        <v>2.5</v>
      </c>
      <c r="G58" s="10" t="s">
        <v>86</v>
      </c>
      <c r="H58" s="14" t="str">
        <f t="shared" ref="H58:H60" si="110">_xlfn.CONCAT("@",U58,V58,W58,X58,Y58,Z58,AA58,AB58,AC58,"-(",H$3,")")</f>
        <v>@line_width-motorway-z10-(gr)</v>
      </c>
      <c r="I58" s="7" t="str">
        <f t="shared" ref="I58:I61" si="111">J58</f>
        <v>1.5</v>
      </c>
      <c r="J58" s="7" t="str">
        <f t="shared" si="102"/>
        <v>1.5</v>
      </c>
      <c r="K58" s="15" t="str">
        <f t="shared" ref="K58:K60" si="112">_xlfn.CONCAT("@",U58,V58,W58,X58,Y58,Z58,AA58,AB58,AC58,"-(",K$3,")")</f>
        <v>@line_width-motorway-z10-(gr-hc)</v>
      </c>
      <c r="L58" s="7" t="str">
        <f t="shared" ref="L58:L61" si="113">M58</f>
        <v>2.5</v>
      </c>
      <c r="M58" s="16" t="str">
        <f t="shared" si="103"/>
        <v>2.5</v>
      </c>
      <c r="N58" s="22" t="str">
        <f t="shared" ref="N58:N60" si="114">_xlfn.CONCAT("@",U58,V58,W58,X58,Y58,Z58,AA58,AB58,AC58,"-(",N$3,")")</f>
        <v>@line_width-motorway-z10-(wnt)</v>
      </c>
      <c r="O58" s="23" t="str">
        <f t="shared" si="63"/>
        <v>1.5</v>
      </c>
      <c r="P58" s="7" t="str">
        <f t="shared" si="82"/>
        <v>1.5</v>
      </c>
      <c r="Q58" s="24" t="str">
        <f t="shared" ref="Q58:Q60" si="115">_xlfn.CONCAT("@",U58,V58,W58,X58,Y58,Z58,AA58,AB58,AC58,"-(",Q$3,")")</f>
        <v>@line_width-motorway-z10-(wnt-hc)</v>
      </c>
      <c r="R58" s="23" t="str">
        <f t="shared" ref="R58:R61" si="116">S58</f>
        <v>2.5</v>
      </c>
      <c r="S58" s="16" t="str">
        <f t="shared" si="83"/>
        <v>2.5</v>
      </c>
      <c r="U58" s="1" t="s">
        <v>115</v>
      </c>
      <c r="V58" s="2" t="str">
        <f t="shared" si="104"/>
        <v>-</v>
      </c>
      <c r="W58" s="1" t="s">
        <v>16</v>
      </c>
      <c r="Y58" s="1"/>
      <c r="Z58" s="2" t="str">
        <f t="shared" si="105"/>
        <v/>
      </c>
      <c r="AB58" s="2" t="str">
        <f t="shared" si="106"/>
        <v>-</v>
      </c>
      <c r="AC58" s="1" t="s">
        <v>99</v>
      </c>
    </row>
    <row r="59" spans="1:29" x14ac:dyDescent="0.25">
      <c r="B59" s="14" t="str">
        <f t="shared" si="107"/>
        <v>@line_width-motorway-z12-(mtb)</v>
      </c>
      <c r="C59" s="7" t="str">
        <f t="shared" si="108"/>
        <v>3.0</v>
      </c>
      <c r="D59" s="5" t="s">
        <v>84</v>
      </c>
      <c r="E59" s="15" t="str">
        <f t="shared" si="109"/>
        <v>@line_width-motorway-z12-(mtb-hc)</v>
      </c>
      <c r="F59" s="7" t="str">
        <f t="shared" si="62"/>
        <v>4.5</v>
      </c>
      <c r="G59" s="10" t="s">
        <v>124</v>
      </c>
      <c r="H59" s="14" t="str">
        <f t="shared" si="110"/>
        <v>@line_width-motorway-z12-(gr)</v>
      </c>
      <c r="I59" s="7" t="str">
        <f t="shared" si="111"/>
        <v>3.0</v>
      </c>
      <c r="J59" s="7" t="str">
        <f t="shared" si="102"/>
        <v>3.0</v>
      </c>
      <c r="K59" s="15" t="str">
        <f t="shared" si="112"/>
        <v>@line_width-motorway-z12-(gr-hc)</v>
      </c>
      <c r="L59" s="7" t="str">
        <f t="shared" si="113"/>
        <v>4.5</v>
      </c>
      <c r="M59" s="16" t="str">
        <f t="shared" si="103"/>
        <v>4.5</v>
      </c>
      <c r="N59" s="22" t="str">
        <f t="shared" si="114"/>
        <v>@line_width-motorway-z12-(wnt)</v>
      </c>
      <c r="O59" s="23" t="str">
        <f t="shared" si="63"/>
        <v>3.0</v>
      </c>
      <c r="P59" s="7" t="str">
        <f t="shared" si="82"/>
        <v>3.0</v>
      </c>
      <c r="Q59" s="24" t="str">
        <f t="shared" si="115"/>
        <v>@line_width-motorway-z12-(wnt-hc)</v>
      </c>
      <c r="R59" s="23" t="str">
        <f t="shared" si="116"/>
        <v>4.5</v>
      </c>
      <c r="S59" s="16" t="str">
        <f t="shared" si="83"/>
        <v>4.5</v>
      </c>
      <c r="U59" s="1" t="s">
        <v>115</v>
      </c>
      <c r="V59" s="2" t="str">
        <f t="shared" si="104"/>
        <v>-</v>
      </c>
      <c r="W59" s="1" t="s">
        <v>16</v>
      </c>
      <c r="Y59" s="1"/>
      <c r="Z59" s="2" t="str">
        <f t="shared" si="105"/>
        <v/>
      </c>
      <c r="AB59" s="2" t="str">
        <f t="shared" si="106"/>
        <v>-</v>
      </c>
      <c r="AC59" s="1" t="s">
        <v>105</v>
      </c>
    </row>
    <row r="60" spans="1:29" x14ac:dyDescent="0.25">
      <c r="B60" s="14" t="str">
        <f t="shared" si="107"/>
        <v>@line_width-motorway-z14-(mtb)</v>
      </c>
      <c r="C60" s="7" t="str">
        <f t="shared" si="108"/>
        <v>4.0</v>
      </c>
      <c r="D60" s="5" t="s">
        <v>88</v>
      </c>
      <c r="E60" s="15" t="str">
        <f t="shared" si="109"/>
        <v>@line_width-motorway-z14-(mtb-hc)</v>
      </c>
      <c r="F60" s="7" t="str">
        <f t="shared" si="62"/>
        <v>7.0</v>
      </c>
      <c r="G60" s="10" t="s">
        <v>130</v>
      </c>
      <c r="H60" s="14" t="str">
        <f t="shared" si="110"/>
        <v>@line_width-motorway-z14-(gr)</v>
      </c>
      <c r="I60" s="7" t="str">
        <f t="shared" si="111"/>
        <v>4.0</v>
      </c>
      <c r="J60" s="7" t="str">
        <f t="shared" si="102"/>
        <v>4.0</v>
      </c>
      <c r="K60" s="15" t="str">
        <f t="shared" si="112"/>
        <v>@line_width-motorway-z14-(gr-hc)</v>
      </c>
      <c r="L60" s="7" t="str">
        <f t="shared" si="113"/>
        <v>7.0</v>
      </c>
      <c r="M60" s="16" t="str">
        <f t="shared" si="103"/>
        <v>7.0</v>
      </c>
      <c r="N60" s="22" t="str">
        <f t="shared" si="114"/>
        <v>@line_width-motorway-z14-(wnt)</v>
      </c>
      <c r="O60" s="23" t="str">
        <f t="shared" si="63"/>
        <v>4.0</v>
      </c>
      <c r="P60" s="7" t="str">
        <f t="shared" si="82"/>
        <v>4.0</v>
      </c>
      <c r="Q60" s="24" t="str">
        <f t="shared" si="115"/>
        <v>@line_width-motorway-z14-(wnt-hc)</v>
      </c>
      <c r="R60" s="23" t="str">
        <f t="shared" si="116"/>
        <v>7.0</v>
      </c>
      <c r="S60" s="16" t="str">
        <f t="shared" si="83"/>
        <v>7.0</v>
      </c>
      <c r="U60" s="1" t="s">
        <v>115</v>
      </c>
      <c r="V60" s="2" t="str">
        <f t="shared" si="104"/>
        <v>-</v>
      </c>
      <c r="W60" s="1" t="s">
        <v>16</v>
      </c>
      <c r="Y60" s="1"/>
      <c r="Z60" s="2" t="str">
        <f t="shared" si="105"/>
        <v/>
      </c>
      <c r="AB60" s="2" t="str">
        <f t="shared" si="106"/>
        <v>-</v>
      </c>
      <c r="AC60" s="1" t="s">
        <v>70</v>
      </c>
    </row>
    <row r="61" spans="1:29" x14ac:dyDescent="0.25">
      <c r="B61" s="14" t="str">
        <f t="shared" ref="B61" si="117">_xlfn.CONCAT("@",U61,V61,W61,X61,Y61,Z61,AA61,AB61,AC61,"-(",B$3,")")</f>
        <v>@line_width-motorway-z20-(mtb)</v>
      </c>
      <c r="C61" s="7" t="str">
        <f t="shared" si="108"/>
        <v>18.0</v>
      </c>
      <c r="D61" s="5" t="s">
        <v>141</v>
      </c>
      <c r="E61" s="15" t="str">
        <f t="shared" ref="E61" si="118">_xlfn.CONCAT("@",U61,V61,W61,X61,Y61,Z61,AA61,AB61,AC61,"-(",E$3,")")</f>
        <v>@line_width-motorway-z20-(mtb-hc)</v>
      </c>
      <c r="F61" s="7" t="str">
        <f t="shared" si="62"/>
        <v>24.0</v>
      </c>
      <c r="G61" s="10" t="s">
        <v>142</v>
      </c>
      <c r="H61" s="14" t="str">
        <f t="shared" ref="H61" si="119">_xlfn.CONCAT("@",U61,V61,W61,X61,Y61,Z61,AA61,AB61,AC61,"-(",H$3,")")</f>
        <v>@line_width-motorway-z20-(gr)</v>
      </c>
      <c r="I61" s="7" t="str">
        <f t="shared" si="111"/>
        <v>18.0</v>
      </c>
      <c r="J61" s="7" t="str">
        <f t="shared" si="102"/>
        <v>18.0</v>
      </c>
      <c r="K61" s="15" t="str">
        <f t="shared" ref="K61" si="120">_xlfn.CONCAT("@",U61,V61,W61,X61,Y61,Z61,AA61,AB61,AC61,"-(",K$3,")")</f>
        <v>@line_width-motorway-z20-(gr-hc)</v>
      </c>
      <c r="L61" s="7" t="str">
        <f t="shared" si="113"/>
        <v>24.0</v>
      </c>
      <c r="M61" s="16" t="str">
        <f t="shared" si="103"/>
        <v>24.0</v>
      </c>
      <c r="N61" s="22" t="str">
        <f t="shared" ref="N61" si="121">_xlfn.CONCAT("@",U61,V61,W61,X61,Y61,Z61,AA61,AB61,AC61,"-(",N$3,")")</f>
        <v>@line_width-motorway-z20-(wnt)</v>
      </c>
      <c r="O61" s="23" t="str">
        <f t="shared" si="63"/>
        <v>18.0</v>
      </c>
      <c r="P61" s="7" t="str">
        <f t="shared" si="82"/>
        <v>18.0</v>
      </c>
      <c r="Q61" s="24" t="str">
        <f t="shared" ref="Q61" si="122">_xlfn.CONCAT("@",U61,V61,W61,X61,Y61,Z61,AA61,AB61,AC61,"-(",Q$3,")")</f>
        <v>@line_width-motorway-z20-(wnt-hc)</v>
      </c>
      <c r="R61" s="23" t="str">
        <f t="shared" si="116"/>
        <v>24.0</v>
      </c>
      <c r="S61" s="16" t="str">
        <f t="shared" si="83"/>
        <v>24.0</v>
      </c>
      <c r="U61" s="1" t="s">
        <v>115</v>
      </c>
      <c r="V61" s="2" t="str">
        <f t="shared" ref="V61" si="123">IF(NOT(ISBLANK(W61)),"-","")</f>
        <v>-</v>
      </c>
      <c r="W61" s="1" t="s">
        <v>16</v>
      </c>
      <c r="Y61" s="1"/>
      <c r="Z61" s="2" t="str">
        <f t="shared" ref="Z61" si="124">IF(NOT(ISBLANK(AA61)),"_","")</f>
        <v/>
      </c>
      <c r="AB61" s="2" t="str">
        <f t="shared" ref="AB61" si="125">IF(NOT(ISBLANK(AC61)),"-","")</f>
        <v>-</v>
      </c>
      <c r="AC61" s="1" t="s">
        <v>135</v>
      </c>
    </row>
    <row r="62" spans="1:29" x14ac:dyDescent="0.25">
      <c r="A62" s="3" t="s">
        <v>143</v>
      </c>
      <c r="B62" s="11"/>
      <c r="C62" s="3"/>
      <c r="D62" s="6"/>
      <c r="E62" s="13"/>
      <c r="F62" s="3"/>
      <c r="G62" s="12"/>
      <c r="H62" s="11"/>
      <c r="I62" s="3"/>
      <c r="J62" s="6"/>
      <c r="K62" s="13"/>
      <c r="L62" s="3"/>
      <c r="M62" s="12"/>
      <c r="N62" s="11"/>
      <c r="O62" s="3"/>
      <c r="P62" s="6"/>
      <c r="Q62" s="13"/>
      <c r="R62" s="3"/>
      <c r="S62" s="12"/>
      <c r="T62" s="4"/>
      <c r="U62" s="3"/>
      <c r="V62" s="4"/>
      <c r="W62" s="3"/>
      <c r="X62" s="4"/>
      <c r="Y62" s="3"/>
      <c r="Z62" s="4"/>
      <c r="AA62" s="4"/>
      <c r="AB62" s="4"/>
      <c r="AC62" s="3"/>
    </row>
    <row r="63" spans="1:29" x14ac:dyDescent="0.25">
      <c r="B63" s="14" t="str">
        <f>_xlfn.CONCAT("@",U63,V63,W63,X63,Y63,Z63,AA63,AB63,AC63,"-(",B$3,")")</f>
        <v>@case_width-trunk-z6-(mtb)</v>
      </c>
      <c r="C63" s="7" t="str">
        <f>D63</f>
        <v>2.5</v>
      </c>
      <c r="D63" s="5" t="s">
        <v>86</v>
      </c>
      <c r="E63" s="15" t="str">
        <f>_xlfn.CONCAT("@",U63,V63,W63,X63,Y63,Z63,AA63,AB63,AC63,"-(",E$3,")")</f>
        <v>@case_width-trunk-z6-(mtb-hc)</v>
      </c>
      <c r="F63" s="7" t="str">
        <f t="shared" si="62"/>
        <v>2.5</v>
      </c>
      <c r="G63" s="16" t="str">
        <f>D63</f>
        <v>2.5</v>
      </c>
      <c r="H63" s="14" t="str">
        <f>_xlfn.CONCAT("@",U63,V63,W63,X63,Y63,Z63,AA63,AB63,AC63,"-(",H$3,")")</f>
        <v>@case_width-trunk-z6-(gr)</v>
      </c>
      <c r="I63" s="7" t="str">
        <f>J63</f>
        <v>2.5</v>
      </c>
      <c r="J63" s="7" t="str">
        <f>D63</f>
        <v>2.5</v>
      </c>
      <c r="K63" s="15" t="str">
        <f>_xlfn.CONCAT("@",U63,V63,W63,X63,Y63,Z63,AA63,AB63,AC63,"-(",K$3,")")</f>
        <v>@case_width-trunk-z6-(gr-hc)</v>
      </c>
      <c r="L63" s="7" t="str">
        <f>M63</f>
        <v>2.5</v>
      </c>
      <c r="M63" s="16" t="str">
        <f>G63</f>
        <v>2.5</v>
      </c>
      <c r="N63" s="22" t="str">
        <f>_xlfn.CONCAT("@",U63,V63,W63,X63,Y63,Z63,AA63,AB63,AC63,"-(",N$3,")")</f>
        <v>@case_width-trunk-z6-(wnt)</v>
      </c>
      <c r="O63" s="23" t="str">
        <f t="shared" si="63"/>
        <v>2.5</v>
      </c>
      <c r="P63" s="7" t="str">
        <f t="shared" ref="P63:P65" si="126">D63</f>
        <v>2.5</v>
      </c>
      <c r="Q63" s="24" t="str">
        <f>_xlfn.CONCAT("@",U63,V63,W63,X63,Y63,Z63,AA63,AB63,AC63,"-(",Q$3,")")</f>
        <v>@case_width-trunk-z6-(wnt-hc)</v>
      </c>
      <c r="R63" s="23" t="str">
        <f>S63</f>
        <v>2.5</v>
      </c>
      <c r="S63" s="16" t="str">
        <f t="shared" ref="S63:S65" si="127">G63</f>
        <v>2.5</v>
      </c>
      <c r="U63" s="1" t="s">
        <v>74</v>
      </c>
      <c r="V63" s="2" t="str">
        <f t="shared" ref="V63:V65" si="128">IF(NOT(ISBLANK(W63)),"-","")</f>
        <v>-</v>
      </c>
      <c r="W63" s="1" t="s">
        <v>18</v>
      </c>
      <c r="Y63" s="1"/>
      <c r="Z63" s="2" t="str">
        <f t="shared" ref="Z63:Z65" si="129">IF(NOT(ISBLANK(AA63)),"_","")</f>
        <v/>
      </c>
      <c r="AB63" s="2" t="str">
        <f t="shared" ref="AB63:AB65" si="130">IF(NOT(ISBLANK(AC63)),"-","")</f>
        <v>-</v>
      </c>
      <c r="AC63" s="1" t="s">
        <v>134</v>
      </c>
    </row>
    <row r="64" spans="1:29" x14ac:dyDescent="0.25">
      <c r="B64" s="14" t="str">
        <f t="shared" ref="B64:B65" si="131">_xlfn.CONCAT("@",U64,V64,W64,X64,Y64,Z64,AA64,AB64,AC64,"-(",B$3,")")</f>
        <v>@case_width-trunk-z10-(mtb)</v>
      </c>
      <c r="C64" s="7" t="str">
        <f t="shared" ref="C64:C65" si="132">D64</f>
        <v>4.0</v>
      </c>
      <c r="D64" s="5" t="s">
        <v>88</v>
      </c>
      <c r="E64" s="15" t="str">
        <f t="shared" ref="E64:E65" si="133">_xlfn.CONCAT("@",U64,V64,W64,X64,Y64,Z64,AA64,AB64,AC64,"-(",E$3,")")</f>
        <v>@case_width-trunk-z10-(mtb-hc)</v>
      </c>
      <c r="F64" s="7" t="str">
        <f t="shared" si="62"/>
        <v>4.0</v>
      </c>
      <c r="G64" s="16" t="str">
        <f t="shared" ref="G64:G65" si="134">D64</f>
        <v>4.0</v>
      </c>
      <c r="H64" s="14" t="str">
        <f t="shared" ref="H64:H65" si="135">_xlfn.CONCAT("@",U64,V64,W64,X64,Y64,Z64,AA64,AB64,AC64,"-(",H$3,")")</f>
        <v>@case_width-trunk-z10-(gr)</v>
      </c>
      <c r="I64" s="7" t="str">
        <f t="shared" ref="I64:I65" si="136">J64</f>
        <v>4.0</v>
      </c>
      <c r="J64" s="7" t="str">
        <f t="shared" ref="J64:J65" si="137">D64</f>
        <v>4.0</v>
      </c>
      <c r="K64" s="15" t="str">
        <f t="shared" ref="K64:K65" si="138">_xlfn.CONCAT("@",U64,V64,W64,X64,Y64,Z64,AA64,AB64,AC64,"-(",K$3,")")</f>
        <v>@case_width-trunk-z10-(gr-hc)</v>
      </c>
      <c r="L64" s="7" t="str">
        <f t="shared" ref="L64:L65" si="139">M64</f>
        <v>4.0</v>
      </c>
      <c r="M64" s="16" t="str">
        <f t="shared" ref="M64:M65" si="140">G64</f>
        <v>4.0</v>
      </c>
      <c r="N64" s="22" t="str">
        <f t="shared" ref="N64:N65" si="141">_xlfn.CONCAT("@",U64,V64,W64,X64,Y64,Z64,AA64,AB64,AC64,"-(",N$3,")")</f>
        <v>@case_width-trunk-z10-(wnt)</v>
      </c>
      <c r="O64" s="23" t="str">
        <f t="shared" si="63"/>
        <v>4.0</v>
      </c>
      <c r="P64" s="7" t="str">
        <f t="shared" si="126"/>
        <v>4.0</v>
      </c>
      <c r="Q64" s="24" t="str">
        <f t="shared" ref="Q64:Q65" si="142">_xlfn.CONCAT("@",U64,V64,W64,X64,Y64,Z64,AA64,AB64,AC64,"-(",Q$3,")")</f>
        <v>@case_width-trunk-z10-(wnt-hc)</v>
      </c>
      <c r="R64" s="23" t="str">
        <f t="shared" ref="R64:R65" si="143">S64</f>
        <v>4.0</v>
      </c>
      <c r="S64" s="16" t="str">
        <f t="shared" si="127"/>
        <v>4.0</v>
      </c>
      <c r="U64" s="1" t="s">
        <v>74</v>
      </c>
      <c r="V64" s="2" t="str">
        <f t="shared" si="128"/>
        <v>-</v>
      </c>
      <c r="W64" s="1" t="s">
        <v>18</v>
      </c>
      <c r="Y64" s="1"/>
      <c r="Z64" s="2" t="str">
        <f t="shared" si="129"/>
        <v/>
      </c>
      <c r="AB64" s="2" t="str">
        <f t="shared" si="130"/>
        <v>-</v>
      </c>
      <c r="AC64" s="1" t="s">
        <v>99</v>
      </c>
    </row>
    <row r="65" spans="1:29" x14ac:dyDescent="0.25">
      <c r="B65" s="14" t="str">
        <f t="shared" si="131"/>
        <v>@case_width-trunk-z20-(mtb)</v>
      </c>
      <c r="C65" s="7" t="str">
        <f t="shared" si="132"/>
        <v>22.0</v>
      </c>
      <c r="D65" s="5" t="s">
        <v>137</v>
      </c>
      <c r="E65" s="15" t="str">
        <f t="shared" si="133"/>
        <v>@case_width-trunk-z20-(mtb-hc)</v>
      </c>
      <c r="F65" s="7" t="str">
        <f t="shared" si="62"/>
        <v>22.0</v>
      </c>
      <c r="G65" s="16" t="str">
        <f t="shared" si="134"/>
        <v>22.0</v>
      </c>
      <c r="H65" s="14" t="str">
        <f t="shared" si="135"/>
        <v>@case_width-trunk-z20-(gr)</v>
      </c>
      <c r="I65" s="7" t="str">
        <f t="shared" si="136"/>
        <v>22.0</v>
      </c>
      <c r="J65" s="7" t="str">
        <f t="shared" si="137"/>
        <v>22.0</v>
      </c>
      <c r="K65" s="15" t="str">
        <f t="shared" si="138"/>
        <v>@case_width-trunk-z20-(gr-hc)</v>
      </c>
      <c r="L65" s="7" t="str">
        <f t="shared" si="139"/>
        <v>22.0</v>
      </c>
      <c r="M65" s="16" t="str">
        <f t="shared" si="140"/>
        <v>22.0</v>
      </c>
      <c r="N65" s="22" t="str">
        <f t="shared" si="141"/>
        <v>@case_width-trunk-z20-(wnt)</v>
      </c>
      <c r="O65" s="23" t="str">
        <f t="shared" si="63"/>
        <v>22.0</v>
      </c>
      <c r="P65" s="7" t="str">
        <f t="shared" si="126"/>
        <v>22.0</v>
      </c>
      <c r="Q65" s="24" t="str">
        <f t="shared" si="142"/>
        <v>@case_width-trunk-z20-(wnt-hc)</v>
      </c>
      <c r="R65" s="23" t="str">
        <f t="shared" si="143"/>
        <v>22.0</v>
      </c>
      <c r="S65" s="16" t="str">
        <f t="shared" si="127"/>
        <v>22.0</v>
      </c>
      <c r="U65" s="1" t="s">
        <v>74</v>
      </c>
      <c r="V65" s="2" t="str">
        <f t="shared" si="128"/>
        <v>-</v>
      </c>
      <c r="W65" s="1" t="s">
        <v>18</v>
      </c>
      <c r="Y65" s="1"/>
      <c r="Z65" s="2" t="str">
        <f t="shared" si="129"/>
        <v/>
      </c>
      <c r="AB65" s="2" t="str">
        <f t="shared" si="130"/>
        <v>-</v>
      </c>
      <c r="AC65" s="1" t="s">
        <v>135</v>
      </c>
    </row>
    <row r="66" spans="1:29" x14ac:dyDescent="0.25">
      <c r="A66" s="3" t="s">
        <v>144</v>
      </c>
      <c r="B66" s="11"/>
      <c r="C66" s="3"/>
      <c r="D66" s="6"/>
      <c r="E66" s="13"/>
      <c r="F66" s="3"/>
      <c r="G66" s="12"/>
      <c r="H66" s="11"/>
      <c r="I66" s="3"/>
      <c r="J66" s="6"/>
      <c r="K66" s="13"/>
      <c r="L66" s="3"/>
      <c r="M66" s="12"/>
      <c r="N66" s="11"/>
      <c r="O66" s="3"/>
      <c r="P66" s="6"/>
      <c r="Q66" s="13"/>
      <c r="R66" s="3"/>
      <c r="S66" s="12"/>
      <c r="T66" s="4"/>
      <c r="U66" s="3"/>
      <c r="V66" s="4"/>
      <c r="W66" s="3"/>
      <c r="X66" s="4"/>
      <c r="Y66" s="3"/>
      <c r="Z66" s="4"/>
      <c r="AA66" s="4"/>
      <c r="AB66" s="4"/>
      <c r="AC66" s="3"/>
    </row>
    <row r="67" spans="1:29" x14ac:dyDescent="0.25">
      <c r="B67" s="14" t="str">
        <f>_xlfn.CONCAT("@",U67,V67,W67,X67,Y67,Z67,AA67,AB67,AC67,"-(",B$3,")")</f>
        <v>@line_width-trunk-z7-(mtb)</v>
      </c>
      <c r="C67" s="7" t="str">
        <f>D67</f>
        <v>0.5</v>
      </c>
      <c r="D67" s="5" t="s">
        <v>91</v>
      </c>
      <c r="E67" s="15" t="str">
        <f>_xlfn.CONCAT("@",U67,V67,W67,X67,Y67,Z67,AA67,AB67,AC67,"-(",E$3,")")</f>
        <v>@line_width-trunk-z7-(mtb-hc)</v>
      </c>
      <c r="F67" s="7" t="str">
        <f t="shared" si="62"/>
        <v>0.5</v>
      </c>
      <c r="G67" s="16" t="str">
        <f t="shared" ref="G67:G71" si="144">D67</f>
        <v>0.5</v>
      </c>
      <c r="H67" s="14" t="str">
        <f>_xlfn.CONCAT("@",U67,V67,W67,X67,Y67,Z67,AA67,AB67,AC67,"-(",H$3,")")</f>
        <v>@line_width-trunk-z7-(gr)</v>
      </c>
      <c r="I67" s="7" t="str">
        <f>J67</f>
        <v>0.5</v>
      </c>
      <c r="J67" s="7" t="str">
        <f t="shared" ref="J67:J71" si="145">D67</f>
        <v>0.5</v>
      </c>
      <c r="K67" s="15" t="str">
        <f>_xlfn.CONCAT("@",U67,V67,W67,X67,Y67,Z67,AA67,AB67,AC67,"-(",K$3,")")</f>
        <v>@line_width-trunk-z7-(gr-hc)</v>
      </c>
      <c r="L67" s="7" t="str">
        <f>M67</f>
        <v>0.5</v>
      </c>
      <c r="M67" s="16" t="str">
        <f t="shared" ref="M67:M71" si="146">G67</f>
        <v>0.5</v>
      </c>
      <c r="N67" s="22" t="str">
        <f>_xlfn.CONCAT("@",U67,V67,W67,X67,Y67,Z67,AA67,AB67,AC67,"-(",N$3,")")</f>
        <v>@line_width-trunk-z7-(wnt)</v>
      </c>
      <c r="O67" s="23" t="str">
        <f t="shared" si="63"/>
        <v>0.5</v>
      </c>
      <c r="P67" s="7" t="str">
        <f t="shared" ref="P67:P71" si="147">D67</f>
        <v>0.5</v>
      </c>
      <c r="Q67" s="24" t="str">
        <f>_xlfn.CONCAT("@",U67,V67,W67,X67,Y67,Z67,AA67,AB67,AC67,"-(",Q$3,")")</f>
        <v>@line_width-trunk-z7-(wnt-hc)</v>
      </c>
      <c r="R67" s="23" t="str">
        <f>S67</f>
        <v>0.5</v>
      </c>
      <c r="S67" s="16" t="str">
        <f t="shared" ref="S67:S71" si="148">G67</f>
        <v>0.5</v>
      </c>
      <c r="U67" s="1" t="s">
        <v>115</v>
      </c>
      <c r="V67" s="2" t="str">
        <f t="shared" ref="V67:V71" si="149">IF(NOT(ISBLANK(W67)),"-","")</f>
        <v>-</v>
      </c>
      <c r="W67" s="1" t="s">
        <v>18</v>
      </c>
      <c r="Y67" s="1"/>
      <c r="Z67" s="2" t="str">
        <f t="shared" ref="Z67:Z71" si="150">IF(NOT(ISBLANK(AA67)),"_","")</f>
        <v/>
      </c>
      <c r="AB67" s="2" t="str">
        <f t="shared" ref="AB67:AB71" si="151">IF(NOT(ISBLANK(AC67)),"-","")</f>
        <v>-</v>
      </c>
      <c r="AC67" s="1" t="s">
        <v>140</v>
      </c>
    </row>
    <row r="68" spans="1:29" x14ac:dyDescent="0.25">
      <c r="B68" s="14" t="str">
        <f t="shared" ref="B68:B71" si="152">_xlfn.CONCAT("@",U68,V68,W68,X68,Y68,Z68,AA68,AB68,AC68,"-(",B$3,")")</f>
        <v>@line_width-trunk-z10-(mtb)</v>
      </c>
      <c r="C68" s="7" t="str">
        <f t="shared" ref="C68:C71" si="153">D68</f>
        <v>2.0</v>
      </c>
      <c r="D68" s="5" t="s">
        <v>81</v>
      </c>
      <c r="E68" s="15" t="str">
        <f t="shared" ref="E68:E71" si="154">_xlfn.CONCAT("@",U68,V68,W68,X68,Y68,Z68,AA68,AB68,AC68,"-(",E$3,")")</f>
        <v>@line_width-trunk-z10-(mtb-hc)</v>
      </c>
      <c r="F68" s="7" t="str">
        <f t="shared" si="62"/>
        <v>2.0</v>
      </c>
      <c r="G68" s="16" t="str">
        <f t="shared" si="144"/>
        <v>2.0</v>
      </c>
      <c r="H68" s="14" t="str">
        <f t="shared" ref="H68:H71" si="155">_xlfn.CONCAT("@",U68,V68,W68,X68,Y68,Z68,AA68,AB68,AC68,"-(",H$3,")")</f>
        <v>@line_width-trunk-z10-(gr)</v>
      </c>
      <c r="I68" s="7" t="str">
        <f t="shared" ref="I68:I71" si="156">J68</f>
        <v>2.0</v>
      </c>
      <c r="J68" s="7" t="str">
        <f t="shared" si="145"/>
        <v>2.0</v>
      </c>
      <c r="K68" s="15" t="str">
        <f t="shared" ref="K68:K71" si="157">_xlfn.CONCAT("@",U68,V68,W68,X68,Y68,Z68,AA68,AB68,AC68,"-(",K$3,")")</f>
        <v>@line_width-trunk-z10-(gr-hc)</v>
      </c>
      <c r="L68" s="7" t="str">
        <f t="shared" ref="L68:L71" si="158">M68</f>
        <v>2.0</v>
      </c>
      <c r="M68" s="16" t="str">
        <f t="shared" si="146"/>
        <v>2.0</v>
      </c>
      <c r="N68" s="22" t="str">
        <f t="shared" ref="N68:N71" si="159">_xlfn.CONCAT("@",U68,V68,W68,X68,Y68,Z68,AA68,AB68,AC68,"-(",N$3,")")</f>
        <v>@line_width-trunk-z10-(wnt)</v>
      </c>
      <c r="O68" s="23" t="str">
        <f t="shared" si="63"/>
        <v>2.0</v>
      </c>
      <c r="P68" s="7" t="str">
        <f t="shared" si="147"/>
        <v>2.0</v>
      </c>
      <c r="Q68" s="24" t="str">
        <f t="shared" ref="Q68:Q71" si="160">_xlfn.CONCAT("@",U68,V68,W68,X68,Y68,Z68,AA68,AB68,AC68,"-(",Q$3,")")</f>
        <v>@line_width-trunk-z10-(wnt-hc)</v>
      </c>
      <c r="R68" s="23" t="str">
        <f t="shared" ref="R68:R71" si="161">S68</f>
        <v>2.0</v>
      </c>
      <c r="S68" s="16" t="str">
        <f t="shared" si="148"/>
        <v>2.0</v>
      </c>
      <c r="U68" s="1" t="s">
        <v>115</v>
      </c>
      <c r="V68" s="2" t="str">
        <f t="shared" si="149"/>
        <v>-</v>
      </c>
      <c r="W68" s="1" t="s">
        <v>18</v>
      </c>
      <c r="Y68" s="1"/>
      <c r="Z68" s="2" t="str">
        <f t="shared" si="150"/>
        <v/>
      </c>
      <c r="AB68" s="2" t="str">
        <f t="shared" si="151"/>
        <v>-</v>
      </c>
      <c r="AC68" s="1" t="s">
        <v>99</v>
      </c>
    </row>
    <row r="69" spans="1:29" x14ac:dyDescent="0.25">
      <c r="B69" s="14" t="str">
        <f t="shared" si="152"/>
        <v>@line_width-trunk-z12-(mtb)</v>
      </c>
      <c r="C69" s="7" t="str">
        <f t="shared" si="153"/>
        <v>3.4</v>
      </c>
      <c r="D69" s="5" t="s">
        <v>110</v>
      </c>
      <c r="E69" s="15" t="str">
        <f t="shared" si="154"/>
        <v>@line_width-trunk-z12-(mtb-hc)</v>
      </c>
      <c r="F69" s="7" t="str">
        <f t="shared" si="62"/>
        <v>3.4</v>
      </c>
      <c r="G69" s="16" t="str">
        <f t="shared" si="144"/>
        <v>3.4</v>
      </c>
      <c r="H69" s="14" t="str">
        <f t="shared" si="155"/>
        <v>@line_width-trunk-z12-(gr)</v>
      </c>
      <c r="I69" s="7" t="str">
        <f t="shared" si="156"/>
        <v>3.4</v>
      </c>
      <c r="J69" s="7" t="str">
        <f t="shared" si="145"/>
        <v>3.4</v>
      </c>
      <c r="K69" s="15" t="str">
        <f t="shared" si="157"/>
        <v>@line_width-trunk-z12-(gr-hc)</v>
      </c>
      <c r="L69" s="7" t="str">
        <f t="shared" si="158"/>
        <v>3.4</v>
      </c>
      <c r="M69" s="16" t="str">
        <f t="shared" si="146"/>
        <v>3.4</v>
      </c>
      <c r="N69" s="22" t="str">
        <f t="shared" si="159"/>
        <v>@line_width-trunk-z12-(wnt)</v>
      </c>
      <c r="O69" s="23" t="str">
        <f t="shared" si="63"/>
        <v>3.4</v>
      </c>
      <c r="P69" s="7" t="str">
        <f t="shared" si="147"/>
        <v>3.4</v>
      </c>
      <c r="Q69" s="24" t="str">
        <f t="shared" si="160"/>
        <v>@line_width-trunk-z12-(wnt-hc)</v>
      </c>
      <c r="R69" s="23" t="str">
        <f t="shared" si="161"/>
        <v>3.4</v>
      </c>
      <c r="S69" s="16" t="str">
        <f t="shared" si="148"/>
        <v>3.4</v>
      </c>
      <c r="U69" s="1" t="s">
        <v>115</v>
      </c>
      <c r="V69" s="2" t="str">
        <f t="shared" si="149"/>
        <v>-</v>
      </c>
      <c r="W69" s="1" t="s">
        <v>18</v>
      </c>
      <c r="Y69" s="1"/>
      <c r="Z69" s="2" t="str">
        <f t="shared" si="150"/>
        <v/>
      </c>
      <c r="AB69" s="2" t="str">
        <f t="shared" si="151"/>
        <v>-</v>
      </c>
      <c r="AC69" s="1" t="s">
        <v>105</v>
      </c>
    </row>
    <row r="70" spans="1:29" x14ac:dyDescent="0.25">
      <c r="B70" s="14" t="str">
        <f t="shared" si="152"/>
        <v>@line_width-trunk-z14-(mtb)</v>
      </c>
      <c r="C70" s="7" t="str">
        <f t="shared" si="153"/>
        <v>4.6</v>
      </c>
      <c r="D70" s="5" t="s">
        <v>145</v>
      </c>
      <c r="E70" s="15" t="str">
        <f t="shared" si="154"/>
        <v>@line_width-trunk-z14-(mtb-hc)</v>
      </c>
      <c r="F70" s="7" t="str">
        <f t="shared" si="62"/>
        <v>4.6</v>
      </c>
      <c r="G70" s="16" t="str">
        <f t="shared" si="144"/>
        <v>4.6</v>
      </c>
      <c r="H70" s="14" t="str">
        <f t="shared" si="155"/>
        <v>@line_width-trunk-z14-(gr)</v>
      </c>
      <c r="I70" s="7" t="str">
        <f t="shared" si="156"/>
        <v>4.6</v>
      </c>
      <c r="J70" s="7" t="str">
        <f t="shared" si="145"/>
        <v>4.6</v>
      </c>
      <c r="K70" s="15" t="str">
        <f t="shared" si="157"/>
        <v>@line_width-trunk-z14-(gr-hc)</v>
      </c>
      <c r="L70" s="7" t="str">
        <f t="shared" si="158"/>
        <v>4.6</v>
      </c>
      <c r="M70" s="16" t="str">
        <f t="shared" si="146"/>
        <v>4.6</v>
      </c>
      <c r="N70" s="22" t="str">
        <f t="shared" si="159"/>
        <v>@line_width-trunk-z14-(wnt)</v>
      </c>
      <c r="O70" s="23" t="str">
        <f t="shared" si="63"/>
        <v>4.6</v>
      </c>
      <c r="P70" s="7" t="str">
        <f t="shared" si="147"/>
        <v>4.6</v>
      </c>
      <c r="Q70" s="24" t="str">
        <f t="shared" si="160"/>
        <v>@line_width-trunk-z14-(wnt-hc)</v>
      </c>
      <c r="R70" s="23" t="str">
        <f t="shared" si="161"/>
        <v>4.6</v>
      </c>
      <c r="S70" s="16" t="str">
        <f t="shared" si="148"/>
        <v>4.6</v>
      </c>
      <c r="U70" s="1" t="s">
        <v>115</v>
      </c>
      <c r="V70" s="2" t="str">
        <f t="shared" si="149"/>
        <v>-</v>
      </c>
      <c r="W70" s="1" t="s">
        <v>18</v>
      </c>
      <c r="Y70" s="1"/>
      <c r="Z70" s="2" t="str">
        <f t="shared" si="150"/>
        <v/>
      </c>
      <c r="AB70" s="2" t="str">
        <f t="shared" si="151"/>
        <v>-</v>
      </c>
      <c r="AC70" s="1" t="s">
        <v>70</v>
      </c>
    </row>
    <row r="71" spans="1:29" x14ac:dyDescent="0.25">
      <c r="B71" s="14" t="str">
        <f t="shared" si="152"/>
        <v>@line_width-trunk-z20-(mtb)</v>
      </c>
      <c r="C71" s="7" t="str">
        <f t="shared" si="153"/>
        <v>18.0</v>
      </c>
      <c r="D71" s="5" t="s">
        <v>141</v>
      </c>
      <c r="E71" s="15" t="str">
        <f t="shared" si="154"/>
        <v>@line_width-trunk-z20-(mtb-hc)</v>
      </c>
      <c r="F71" s="7" t="str">
        <f t="shared" si="62"/>
        <v>18.0</v>
      </c>
      <c r="G71" s="16" t="str">
        <f t="shared" si="144"/>
        <v>18.0</v>
      </c>
      <c r="H71" s="14" t="str">
        <f t="shared" si="155"/>
        <v>@line_width-trunk-z20-(gr)</v>
      </c>
      <c r="I71" s="7" t="str">
        <f t="shared" si="156"/>
        <v>18.0</v>
      </c>
      <c r="J71" s="7" t="str">
        <f t="shared" si="145"/>
        <v>18.0</v>
      </c>
      <c r="K71" s="15" t="str">
        <f t="shared" si="157"/>
        <v>@line_width-trunk-z20-(gr-hc)</v>
      </c>
      <c r="L71" s="7" t="str">
        <f t="shared" si="158"/>
        <v>18.0</v>
      </c>
      <c r="M71" s="16" t="str">
        <f t="shared" si="146"/>
        <v>18.0</v>
      </c>
      <c r="N71" s="22" t="str">
        <f t="shared" si="159"/>
        <v>@line_width-trunk-z20-(wnt)</v>
      </c>
      <c r="O71" s="23" t="str">
        <f t="shared" si="63"/>
        <v>18.0</v>
      </c>
      <c r="P71" s="7" t="str">
        <f t="shared" si="147"/>
        <v>18.0</v>
      </c>
      <c r="Q71" s="24" t="str">
        <f t="shared" si="160"/>
        <v>@line_width-trunk-z20-(wnt-hc)</v>
      </c>
      <c r="R71" s="23" t="str">
        <f t="shared" si="161"/>
        <v>18.0</v>
      </c>
      <c r="S71" s="16" t="str">
        <f t="shared" si="148"/>
        <v>18.0</v>
      </c>
      <c r="U71" s="1" t="s">
        <v>115</v>
      </c>
      <c r="V71" s="2" t="str">
        <f t="shared" si="149"/>
        <v>-</v>
      </c>
      <c r="W71" s="1" t="s">
        <v>18</v>
      </c>
      <c r="Y71" s="1"/>
      <c r="Z71" s="2" t="str">
        <f t="shared" si="150"/>
        <v/>
      </c>
      <c r="AB71" s="2" t="str">
        <f t="shared" si="151"/>
        <v>-</v>
      </c>
      <c r="AC71" s="1" t="s">
        <v>135</v>
      </c>
    </row>
  </sheetData>
  <pageMargins left="0.7" right="0.7" top="0.75" bottom="0.75" header="0.3" footer="0.3"/>
  <headerFooter>
    <oddHeader>&amp;R&amp;"Aptos"&amp;11&amp;K000000 TUNI Luottamuksellinen - Confidential (3Y)&amp;1#_x000D_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60977F-E3B1-4573-8250-3C6795A76A7E}">
  <sheetPr codeName="Sheet2"/>
  <dimension ref="A2:R66"/>
  <sheetViews>
    <sheetView workbookViewId="0"/>
  </sheetViews>
  <sheetFormatPr defaultRowHeight="13.5" x14ac:dyDescent="0.25"/>
  <cols>
    <col min="1" max="1" width="2.7109375" style="2" customWidth="1"/>
    <col min="2" max="2" width="62.28515625" style="2" customWidth="1"/>
    <col min="3" max="3" width="12.7109375" style="2" customWidth="1"/>
    <col min="4" max="4" width="12.7109375" style="7" customWidth="1"/>
    <col min="5" max="5" width="2.7109375" style="2" customWidth="1"/>
    <col min="6" max="6" width="12.7109375" style="2" customWidth="1"/>
    <col min="7" max="7" width="2.7109375" style="2" customWidth="1"/>
    <col min="8" max="8" width="12.7109375" style="2" customWidth="1"/>
    <col min="9" max="9" width="2.7109375" style="2" customWidth="1"/>
    <col min="10" max="10" width="12.7109375" style="2" customWidth="1"/>
    <col min="11" max="11" width="2.7109375" style="2" customWidth="1"/>
    <col min="12" max="12" width="12.7109375" style="2" customWidth="1"/>
    <col min="13" max="13" width="2.7109375" style="2" customWidth="1"/>
    <col min="14" max="14" width="12.7109375" style="2" customWidth="1"/>
    <col min="15" max="15" width="2.7109375" style="2" customWidth="1"/>
    <col min="16" max="16" width="12.7109375" style="2" customWidth="1"/>
    <col min="17" max="17" width="2.7109375" style="2" customWidth="1"/>
    <col min="18" max="18" width="12.7109375" style="2" customWidth="1"/>
  </cols>
  <sheetData>
    <row r="2" spans="1:18" x14ac:dyDescent="0.25">
      <c r="A2" s="1"/>
      <c r="B2" s="1" t="s">
        <v>0</v>
      </c>
      <c r="C2" s="1" t="s">
        <v>1</v>
      </c>
      <c r="D2" s="5" t="s">
        <v>15</v>
      </c>
      <c r="E2" s="1"/>
      <c r="F2" s="1" t="s">
        <v>3</v>
      </c>
      <c r="G2" s="1"/>
      <c r="H2" s="1" t="s">
        <v>2</v>
      </c>
      <c r="I2" s="1"/>
      <c r="J2" s="1" t="s">
        <v>8</v>
      </c>
      <c r="K2" s="1"/>
      <c r="L2" s="1" t="s">
        <v>69</v>
      </c>
      <c r="M2" s="1"/>
      <c r="N2" s="1" t="s">
        <v>65</v>
      </c>
      <c r="O2" s="1"/>
      <c r="P2" s="1" t="s">
        <v>4</v>
      </c>
      <c r="Q2" s="1"/>
      <c r="R2" s="1" t="s">
        <v>5</v>
      </c>
    </row>
    <row r="3" spans="1:18" x14ac:dyDescent="0.25">
      <c r="A3" s="3" t="s">
        <v>64</v>
      </c>
      <c r="B3" s="3"/>
      <c r="C3" s="3"/>
      <c r="D3" s="6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</row>
    <row r="4" spans="1:18" x14ac:dyDescent="0.25">
      <c r="B4" s="1" t="str">
        <f>_xlfn.CONCAT("@",F4,G4,H4,I4,J4,K4,L4,M4,N4,O4,"(",P4,Q4,R4,")")</f>
        <v>@case_width-path_narrow-z11-(def)</v>
      </c>
      <c r="C4" s="5" t="str">
        <f>D4</f>
        <v>1.0</v>
      </c>
      <c r="D4" s="7" t="s">
        <v>76</v>
      </c>
      <c r="F4" s="2" t="s">
        <v>74</v>
      </c>
      <c r="G4" s="2" t="str">
        <f t="shared" ref="G4" si="0">IF(NOT(ISBLANK(H4)),"-","")</f>
        <v>-</v>
      </c>
      <c r="H4" s="2" t="s">
        <v>67</v>
      </c>
      <c r="I4" s="2" t="str">
        <f>IF(NOT(ISBLANK(J4)),"_","")</f>
        <v>_</v>
      </c>
      <c r="J4" s="2" t="s">
        <v>68</v>
      </c>
      <c r="K4" s="2" t="str">
        <f t="shared" ref="K4:K41" si="1">IF(NOT(ISBLANK(L4)),"_","")</f>
        <v/>
      </c>
      <c r="M4" s="2" t="str">
        <f t="shared" ref="M4:Q15" si="2">IF(NOT(ISBLANK(N4)),"-","")</f>
        <v>-</v>
      </c>
      <c r="N4" s="2" t="s">
        <v>66</v>
      </c>
      <c r="O4" s="2" t="str">
        <f t="shared" si="2"/>
        <v>-</v>
      </c>
      <c r="P4" s="2" t="s">
        <v>10</v>
      </c>
      <c r="Q4" s="2" t="str">
        <f t="shared" si="2"/>
        <v/>
      </c>
    </row>
    <row r="5" spans="1:18" x14ac:dyDescent="0.25">
      <c r="B5" s="1" t="str">
        <f t="shared" ref="B5:B7" si="3">_xlfn.CONCAT("@",F5,G5,H5,I5,J5,K5,L5,M5,N5,O5,"(",P5,Q5,R5,")")</f>
        <v>@case_width-path_narrow-z14-(def)</v>
      </c>
      <c r="C5" s="5" t="str">
        <f t="shared" ref="C5:C28" si="4">D5</f>
        <v>1.3</v>
      </c>
      <c r="D5" s="7" t="s">
        <v>77</v>
      </c>
      <c r="F5" s="2" t="s">
        <v>74</v>
      </c>
      <c r="G5" s="2" t="str">
        <f t="shared" ref="G5:G6" si="5">IF(NOT(ISBLANK(H5)),"-","")</f>
        <v>-</v>
      </c>
      <c r="H5" s="2" t="s">
        <v>67</v>
      </c>
      <c r="I5" s="2" t="str">
        <f t="shared" ref="I5:I28" si="6">IF(NOT(ISBLANK(J5)),"_","")</f>
        <v>_</v>
      </c>
      <c r="J5" s="2" t="s">
        <v>68</v>
      </c>
      <c r="K5" s="2" t="str">
        <f t="shared" si="1"/>
        <v/>
      </c>
      <c r="M5" s="2" t="str">
        <f t="shared" si="2"/>
        <v>-</v>
      </c>
      <c r="N5" s="2" t="s">
        <v>70</v>
      </c>
      <c r="O5" s="2" t="str">
        <f t="shared" si="2"/>
        <v>-</v>
      </c>
      <c r="P5" s="2" t="s">
        <v>10</v>
      </c>
      <c r="Q5" s="2" t="str">
        <f t="shared" si="2"/>
        <v/>
      </c>
    </row>
    <row r="6" spans="1:18" x14ac:dyDescent="0.25">
      <c r="B6" s="1" t="str">
        <f t="shared" si="3"/>
        <v>@case_width-path_narrow-z16-(def)</v>
      </c>
      <c r="C6" s="5" t="str">
        <f t="shared" si="4"/>
        <v>3.5</v>
      </c>
      <c r="D6" s="7" t="s">
        <v>78</v>
      </c>
      <c r="F6" s="2" t="s">
        <v>74</v>
      </c>
      <c r="G6" s="2" t="str">
        <f t="shared" si="5"/>
        <v>-</v>
      </c>
      <c r="H6" s="2" t="s">
        <v>67</v>
      </c>
      <c r="I6" s="2" t="str">
        <f t="shared" si="6"/>
        <v>_</v>
      </c>
      <c r="J6" s="2" t="s">
        <v>68</v>
      </c>
      <c r="K6" s="2" t="str">
        <f t="shared" si="1"/>
        <v/>
      </c>
      <c r="M6" s="2" t="str">
        <f t="shared" si="2"/>
        <v>-</v>
      </c>
      <c r="N6" s="2" t="s">
        <v>71</v>
      </c>
      <c r="O6" s="2" t="str">
        <f t="shared" si="2"/>
        <v>-</v>
      </c>
      <c r="P6" s="2" t="s">
        <v>10</v>
      </c>
      <c r="Q6" s="2" t="str">
        <f t="shared" si="2"/>
        <v/>
      </c>
    </row>
    <row r="7" spans="1:18" x14ac:dyDescent="0.25">
      <c r="B7" s="1" t="str">
        <f t="shared" si="3"/>
        <v>@case_width-path_narrow-z18-(def)</v>
      </c>
      <c r="C7" s="5" t="str">
        <f t="shared" si="4"/>
        <v>5.0</v>
      </c>
      <c r="D7" s="7" t="s">
        <v>79</v>
      </c>
      <c r="F7" s="2" t="s">
        <v>74</v>
      </c>
      <c r="G7" s="2" t="str">
        <f t="shared" ref="G7:G19" si="7">IF(NOT(ISBLANK(H7)),"-","")</f>
        <v>-</v>
      </c>
      <c r="H7" s="2" t="s">
        <v>67</v>
      </c>
      <c r="I7" s="2" t="str">
        <f t="shared" si="6"/>
        <v>_</v>
      </c>
      <c r="J7" s="2" t="s">
        <v>68</v>
      </c>
      <c r="K7" s="2" t="str">
        <f t="shared" si="1"/>
        <v/>
      </c>
      <c r="M7" s="2" t="str">
        <f t="shared" si="2"/>
        <v>-</v>
      </c>
      <c r="N7" s="2" t="s">
        <v>72</v>
      </c>
      <c r="O7" s="2" t="str">
        <f t="shared" si="2"/>
        <v>-</v>
      </c>
      <c r="P7" s="2" t="s">
        <v>10</v>
      </c>
      <c r="Q7" s="2" t="str">
        <f t="shared" si="2"/>
        <v/>
      </c>
    </row>
    <row r="8" spans="1:18" x14ac:dyDescent="0.25">
      <c r="B8" s="1" t="str">
        <f t="shared" ref="B8:B15" si="8">_xlfn.CONCAT("@",F8,G8,H8,I8,J8,K8,L8,M8,N8,O8,"(",P8,Q8,R8,")")</f>
        <v>@case_width-path_medium-z11-(def)</v>
      </c>
      <c r="C8" s="5" t="str">
        <f t="shared" si="4"/>
        <v>1.5</v>
      </c>
      <c r="D8" s="7" t="s">
        <v>80</v>
      </c>
      <c r="F8" s="2" t="s">
        <v>74</v>
      </c>
      <c r="G8" s="2" t="str">
        <f t="shared" si="7"/>
        <v>-</v>
      </c>
      <c r="H8" s="2" t="s">
        <v>67</v>
      </c>
      <c r="I8" s="2" t="str">
        <f t="shared" si="6"/>
        <v>_</v>
      </c>
      <c r="J8" s="2" t="s">
        <v>75</v>
      </c>
      <c r="K8" s="2" t="str">
        <f t="shared" si="1"/>
        <v/>
      </c>
      <c r="M8" s="2" t="str">
        <f t="shared" si="2"/>
        <v>-</v>
      </c>
      <c r="N8" s="2" t="s">
        <v>66</v>
      </c>
      <c r="O8" s="2" t="str">
        <f t="shared" si="2"/>
        <v>-</v>
      </c>
      <c r="P8" s="2" t="s">
        <v>10</v>
      </c>
    </row>
    <row r="9" spans="1:18" x14ac:dyDescent="0.25">
      <c r="B9" s="1" t="str">
        <f t="shared" si="8"/>
        <v>@case_width-path_medium-z14-(def)</v>
      </c>
      <c r="C9" s="5" t="str">
        <f t="shared" si="4"/>
        <v>2.0</v>
      </c>
      <c r="D9" s="7" t="s">
        <v>81</v>
      </c>
      <c r="F9" s="2" t="s">
        <v>74</v>
      </c>
      <c r="G9" s="2" t="str">
        <f t="shared" si="7"/>
        <v>-</v>
      </c>
      <c r="H9" s="2" t="s">
        <v>67</v>
      </c>
      <c r="I9" s="2" t="str">
        <f t="shared" si="6"/>
        <v>_</v>
      </c>
      <c r="J9" s="2" t="s">
        <v>75</v>
      </c>
      <c r="K9" s="2" t="str">
        <f t="shared" si="1"/>
        <v/>
      </c>
      <c r="M9" s="2" t="str">
        <f t="shared" si="2"/>
        <v>-</v>
      </c>
      <c r="N9" s="2" t="s">
        <v>70</v>
      </c>
      <c r="O9" s="2" t="str">
        <f t="shared" si="2"/>
        <v>-</v>
      </c>
      <c r="P9" s="2" t="s">
        <v>10</v>
      </c>
    </row>
    <row r="10" spans="1:18" x14ac:dyDescent="0.25">
      <c r="B10" s="1" t="str">
        <f t="shared" si="8"/>
        <v>@case_width-path_medium-z16-(def)</v>
      </c>
      <c r="C10" s="5" t="str">
        <f t="shared" si="4"/>
        <v>6.0</v>
      </c>
      <c r="D10" s="7" t="s">
        <v>82</v>
      </c>
      <c r="F10" s="2" t="s">
        <v>74</v>
      </c>
      <c r="G10" s="2" t="str">
        <f t="shared" si="7"/>
        <v>-</v>
      </c>
      <c r="H10" s="2" t="s">
        <v>67</v>
      </c>
      <c r="I10" s="2" t="str">
        <f t="shared" si="6"/>
        <v>_</v>
      </c>
      <c r="J10" s="2" t="s">
        <v>75</v>
      </c>
      <c r="K10" s="2" t="str">
        <f t="shared" si="1"/>
        <v/>
      </c>
      <c r="M10" s="2" t="str">
        <f t="shared" si="2"/>
        <v>-</v>
      </c>
      <c r="N10" s="2" t="s">
        <v>71</v>
      </c>
      <c r="O10" s="2" t="str">
        <f t="shared" si="2"/>
        <v>-</v>
      </c>
      <c r="P10" s="2" t="s">
        <v>10</v>
      </c>
    </row>
    <row r="11" spans="1:18" x14ac:dyDescent="0.25">
      <c r="B11" s="1" t="str">
        <f t="shared" si="8"/>
        <v>@case_width-path_medium-z18-(def)</v>
      </c>
      <c r="C11" s="5" t="str">
        <f t="shared" si="4"/>
        <v>9.0</v>
      </c>
      <c r="D11" s="7" t="s">
        <v>83</v>
      </c>
      <c r="F11" s="2" t="s">
        <v>74</v>
      </c>
      <c r="G11" s="2" t="str">
        <f t="shared" si="7"/>
        <v>-</v>
      </c>
      <c r="H11" s="2" t="s">
        <v>67</v>
      </c>
      <c r="I11" s="2" t="str">
        <f t="shared" si="6"/>
        <v>_</v>
      </c>
      <c r="J11" s="2" t="s">
        <v>75</v>
      </c>
      <c r="K11" s="2" t="str">
        <f t="shared" si="1"/>
        <v/>
      </c>
      <c r="M11" s="2" t="str">
        <f t="shared" si="2"/>
        <v>-</v>
      </c>
      <c r="N11" s="2" t="s">
        <v>72</v>
      </c>
      <c r="O11" s="2" t="str">
        <f t="shared" si="2"/>
        <v>-</v>
      </c>
      <c r="P11" s="2" t="s">
        <v>10</v>
      </c>
    </row>
    <row r="12" spans="1:18" x14ac:dyDescent="0.25">
      <c r="B12" s="1" t="str">
        <f t="shared" si="8"/>
        <v>@case_width-path_wide-z11-(def)</v>
      </c>
      <c r="C12" s="5" t="str">
        <f t="shared" si="4"/>
        <v>2.0</v>
      </c>
      <c r="D12" s="7" t="s">
        <v>81</v>
      </c>
      <c r="F12" s="2" t="s">
        <v>74</v>
      </c>
      <c r="G12" s="2" t="str">
        <f t="shared" si="7"/>
        <v>-</v>
      </c>
      <c r="H12" s="2" t="s">
        <v>67</v>
      </c>
      <c r="I12" s="2" t="str">
        <f t="shared" si="6"/>
        <v>_</v>
      </c>
      <c r="J12" s="2" t="s">
        <v>73</v>
      </c>
      <c r="K12" s="2" t="str">
        <f t="shared" si="1"/>
        <v/>
      </c>
      <c r="M12" s="2" t="str">
        <f t="shared" si="2"/>
        <v>-</v>
      </c>
      <c r="N12" s="2" t="s">
        <v>66</v>
      </c>
      <c r="O12" s="2" t="str">
        <f t="shared" si="2"/>
        <v>-</v>
      </c>
      <c r="P12" s="2" t="s">
        <v>10</v>
      </c>
    </row>
    <row r="13" spans="1:18" x14ac:dyDescent="0.25">
      <c r="B13" s="1" t="str">
        <f t="shared" si="8"/>
        <v>@case_width-path_wide-z14-(def)</v>
      </c>
      <c r="C13" s="5" t="str">
        <f t="shared" si="4"/>
        <v>3.0</v>
      </c>
      <c r="D13" s="7" t="s">
        <v>84</v>
      </c>
      <c r="F13" s="2" t="s">
        <v>74</v>
      </c>
      <c r="G13" s="2" t="str">
        <f t="shared" si="7"/>
        <v>-</v>
      </c>
      <c r="H13" s="2" t="s">
        <v>67</v>
      </c>
      <c r="I13" s="2" t="str">
        <f t="shared" si="6"/>
        <v>_</v>
      </c>
      <c r="J13" s="2" t="s">
        <v>73</v>
      </c>
      <c r="K13" s="2" t="str">
        <f t="shared" si="1"/>
        <v/>
      </c>
      <c r="M13" s="2" t="str">
        <f t="shared" si="2"/>
        <v>-</v>
      </c>
      <c r="N13" s="2" t="s">
        <v>70</v>
      </c>
      <c r="O13" s="2" t="str">
        <f t="shared" si="2"/>
        <v>-</v>
      </c>
      <c r="P13" s="2" t="s">
        <v>10</v>
      </c>
    </row>
    <row r="14" spans="1:18" x14ac:dyDescent="0.25">
      <c r="B14" s="1" t="str">
        <f t="shared" si="8"/>
        <v>@case_width-path_wide-z16-(def)</v>
      </c>
      <c r="C14" s="5" t="str">
        <f t="shared" si="4"/>
        <v>9.0</v>
      </c>
      <c r="D14" s="7" t="s">
        <v>83</v>
      </c>
      <c r="F14" s="2" t="s">
        <v>74</v>
      </c>
      <c r="G14" s="2" t="str">
        <f t="shared" si="7"/>
        <v>-</v>
      </c>
      <c r="H14" s="2" t="s">
        <v>67</v>
      </c>
      <c r="I14" s="2" t="str">
        <f t="shared" si="6"/>
        <v>_</v>
      </c>
      <c r="J14" s="2" t="s">
        <v>73</v>
      </c>
      <c r="K14" s="2" t="str">
        <f t="shared" si="1"/>
        <v/>
      </c>
      <c r="M14" s="2" t="str">
        <f t="shared" si="2"/>
        <v>-</v>
      </c>
      <c r="N14" s="2" t="s">
        <v>71</v>
      </c>
      <c r="O14" s="2" t="str">
        <f t="shared" si="2"/>
        <v>-</v>
      </c>
      <c r="P14" s="2" t="s">
        <v>10</v>
      </c>
    </row>
    <row r="15" spans="1:18" x14ac:dyDescent="0.25">
      <c r="B15" s="1" t="str">
        <f t="shared" si="8"/>
        <v>@case_width-path_wide-z18-(def)</v>
      </c>
      <c r="C15" s="5" t="str">
        <f t="shared" si="4"/>
        <v>15.0</v>
      </c>
      <c r="D15" s="7" t="s">
        <v>85</v>
      </c>
      <c r="F15" s="2" t="s">
        <v>74</v>
      </c>
      <c r="G15" s="2" t="str">
        <f t="shared" si="7"/>
        <v>-</v>
      </c>
      <c r="H15" s="2" t="s">
        <v>67</v>
      </c>
      <c r="I15" s="2" t="str">
        <f t="shared" si="6"/>
        <v>_</v>
      </c>
      <c r="J15" s="2" t="s">
        <v>73</v>
      </c>
      <c r="K15" s="2" t="str">
        <f t="shared" si="1"/>
        <v/>
      </c>
      <c r="M15" s="2" t="str">
        <f t="shared" si="2"/>
        <v>-</v>
      </c>
      <c r="N15" s="2" t="s">
        <v>72</v>
      </c>
      <c r="O15" s="2" t="str">
        <f t="shared" si="2"/>
        <v>-</v>
      </c>
      <c r="P15" s="2" t="s">
        <v>10</v>
      </c>
    </row>
    <row r="16" spans="1:18" x14ac:dyDescent="0.25">
      <c r="B16" s="1"/>
      <c r="C16" s="5"/>
    </row>
    <row r="17" spans="2:18" x14ac:dyDescent="0.25">
      <c r="B17" s="1" t="str">
        <f>_xlfn.CONCAT("@",F17,G17,H17,I17,J17,K17,L17,M17,N17,O17,"(",P17,Q17,R17,")")</f>
        <v>@case_width-path_narrow-z11-(def-hc)</v>
      </c>
      <c r="C17" s="5" t="str">
        <f>D17</f>
        <v>2.0</v>
      </c>
      <c r="D17" s="7" t="s">
        <v>81</v>
      </c>
      <c r="F17" s="2" t="s">
        <v>74</v>
      </c>
      <c r="G17" s="2" t="str">
        <f t="shared" si="7"/>
        <v>-</v>
      </c>
      <c r="H17" s="2" t="s">
        <v>67</v>
      </c>
      <c r="I17" s="2" t="str">
        <f t="shared" si="6"/>
        <v>_</v>
      </c>
      <c r="J17" s="2" t="s">
        <v>68</v>
      </c>
      <c r="K17" s="2" t="str">
        <f t="shared" si="1"/>
        <v/>
      </c>
      <c r="M17" s="2" t="str">
        <f t="shared" ref="M17:M28" si="9">IF(NOT(ISBLANK(N17)),"-","")</f>
        <v>-</v>
      </c>
      <c r="N17" s="2" t="s">
        <v>66</v>
      </c>
      <c r="O17" s="2" t="str">
        <f t="shared" ref="O17:O28" si="10">IF(NOT(ISBLANK(P17)),"-","")</f>
        <v>-</v>
      </c>
      <c r="P17" s="2" t="s">
        <v>10</v>
      </c>
      <c r="Q17" s="2" t="str">
        <f t="shared" ref="Q17:Q28" si="11">IF(NOT(ISBLANK(R17)),"-","")</f>
        <v>-</v>
      </c>
      <c r="R17" s="2" t="s">
        <v>11</v>
      </c>
    </row>
    <row r="18" spans="2:18" x14ac:dyDescent="0.25">
      <c r="B18" s="1" t="str">
        <f t="shared" ref="B18:B28" si="12">_xlfn.CONCAT("@",F18,G18,H18,I18,J18,K18,L18,M18,N18,O18,"(",P18,Q18,R18,")")</f>
        <v>@case_width-path_narrow-z14-(def-hc)</v>
      </c>
      <c r="C18" s="5" t="str">
        <f t="shared" si="4"/>
        <v>2.5</v>
      </c>
      <c r="D18" s="7" t="s">
        <v>86</v>
      </c>
      <c r="F18" s="2" t="s">
        <v>74</v>
      </c>
      <c r="G18" s="2" t="str">
        <f t="shared" si="7"/>
        <v>-</v>
      </c>
      <c r="H18" s="2" t="s">
        <v>67</v>
      </c>
      <c r="I18" s="2" t="str">
        <f t="shared" si="6"/>
        <v>_</v>
      </c>
      <c r="J18" s="2" t="s">
        <v>68</v>
      </c>
      <c r="K18" s="2" t="str">
        <f t="shared" si="1"/>
        <v/>
      </c>
      <c r="M18" s="2" t="str">
        <f t="shared" si="9"/>
        <v>-</v>
      </c>
      <c r="N18" s="2" t="s">
        <v>70</v>
      </c>
      <c r="O18" s="2" t="str">
        <f t="shared" si="10"/>
        <v>-</v>
      </c>
      <c r="P18" s="2" t="s">
        <v>10</v>
      </c>
      <c r="Q18" s="2" t="str">
        <f t="shared" si="11"/>
        <v>-</v>
      </c>
      <c r="R18" s="2" t="s">
        <v>11</v>
      </c>
    </row>
    <row r="19" spans="2:18" x14ac:dyDescent="0.25">
      <c r="B19" s="1" t="str">
        <f t="shared" si="12"/>
        <v>@case_width-path_narrow-z16-(def-hc)</v>
      </c>
      <c r="C19" s="5" t="str">
        <f t="shared" si="4"/>
        <v>3.0</v>
      </c>
      <c r="D19" s="7" t="s">
        <v>84</v>
      </c>
      <c r="F19" s="2" t="s">
        <v>74</v>
      </c>
      <c r="G19" s="2" t="str">
        <f t="shared" si="7"/>
        <v>-</v>
      </c>
      <c r="H19" s="2" t="s">
        <v>67</v>
      </c>
      <c r="I19" s="2" t="str">
        <f t="shared" si="6"/>
        <v>_</v>
      </c>
      <c r="J19" s="2" t="s">
        <v>68</v>
      </c>
      <c r="K19" s="2" t="str">
        <f t="shared" si="1"/>
        <v/>
      </c>
      <c r="M19" s="2" t="str">
        <f t="shared" si="9"/>
        <v>-</v>
      </c>
      <c r="N19" s="2" t="s">
        <v>71</v>
      </c>
      <c r="O19" s="2" t="str">
        <f t="shared" si="10"/>
        <v>-</v>
      </c>
      <c r="P19" s="2" t="s">
        <v>10</v>
      </c>
      <c r="Q19" s="2" t="str">
        <f t="shared" si="11"/>
        <v>-</v>
      </c>
      <c r="R19" s="2" t="s">
        <v>11</v>
      </c>
    </row>
    <row r="20" spans="2:18" x14ac:dyDescent="0.25">
      <c r="B20" s="1" t="str">
        <f t="shared" si="12"/>
        <v>@case_width-path_narrow-z18-(def-hc)</v>
      </c>
      <c r="C20" s="5" t="str">
        <f t="shared" si="4"/>
        <v>7.5</v>
      </c>
      <c r="D20" s="7" t="s">
        <v>87</v>
      </c>
      <c r="F20" s="2" t="s">
        <v>74</v>
      </c>
      <c r="G20" s="2" t="str">
        <f t="shared" ref="G20:G28" si="13">IF(NOT(ISBLANK(H20)),"-","")</f>
        <v>-</v>
      </c>
      <c r="H20" s="2" t="s">
        <v>67</v>
      </c>
      <c r="I20" s="2" t="str">
        <f t="shared" si="6"/>
        <v>_</v>
      </c>
      <c r="J20" s="2" t="s">
        <v>68</v>
      </c>
      <c r="K20" s="2" t="str">
        <f t="shared" si="1"/>
        <v/>
      </c>
      <c r="M20" s="2" t="str">
        <f t="shared" si="9"/>
        <v>-</v>
      </c>
      <c r="N20" s="2" t="s">
        <v>72</v>
      </c>
      <c r="O20" s="2" t="str">
        <f t="shared" si="10"/>
        <v>-</v>
      </c>
      <c r="P20" s="2" t="s">
        <v>10</v>
      </c>
      <c r="Q20" s="2" t="str">
        <f t="shared" si="11"/>
        <v>-</v>
      </c>
      <c r="R20" s="2" t="s">
        <v>11</v>
      </c>
    </row>
    <row r="21" spans="2:18" x14ac:dyDescent="0.25">
      <c r="B21" s="1" t="str">
        <f t="shared" si="12"/>
        <v>@case_width-path_medium-z11-(def-hc)</v>
      </c>
      <c r="C21" s="5" t="str">
        <f t="shared" si="4"/>
        <v>3.0</v>
      </c>
      <c r="D21" s="7" t="s">
        <v>84</v>
      </c>
      <c r="F21" s="2" t="s">
        <v>74</v>
      </c>
      <c r="G21" s="2" t="str">
        <f t="shared" si="13"/>
        <v>-</v>
      </c>
      <c r="H21" s="2" t="s">
        <v>67</v>
      </c>
      <c r="I21" s="2" t="str">
        <f t="shared" si="6"/>
        <v>_</v>
      </c>
      <c r="J21" s="2" t="s">
        <v>75</v>
      </c>
      <c r="K21" s="2" t="str">
        <f t="shared" si="1"/>
        <v/>
      </c>
      <c r="M21" s="2" t="str">
        <f t="shared" si="9"/>
        <v>-</v>
      </c>
      <c r="N21" s="2" t="s">
        <v>66</v>
      </c>
      <c r="O21" s="2" t="str">
        <f t="shared" si="10"/>
        <v>-</v>
      </c>
      <c r="P21" s="2" t="s">
        <v>10</v>
      </c>
      <c r="Q21" s="2" t="str">
        <f t="shared" si="11"/>
        <v>-</v>
      </c>
      <c r="R21" s="2" t="s">
        <v>11</v>
      </c>
    </row>
    <row r="22" spans="2:18" x14ac:dyDescent="0.25">
      <c r="B22" s="1" t="str">
        <f t="shared" si="12"/>
        <v>@case_width-path_medium-z14-(def-hc)</v>
      </c>
      <c r="C22" s="5" t="str">
        <f t="shared" si="4"/>
        <v>4.0</v>
      </c>
      <c r="D22" s="7" t="s">
        <v>88</v>
      </c>
      <c r="F22" s="2" t="s">
        <v>74</v>
      </c>
      <c r="G22" s="2" t="str">
        <f t="shared" si="13"/>
        <v>-</v>
      </c>
      <c r="H22" s="2" t="s">
        <v>67</v>
      </c>
      <c r="I22" s="2" t="str">
        <f t="shared" si="6"/>
        <v>_</v>
      </c>
      <c r="J22" s="2" t="s">
        <v>75</v>
      </c>
      <c r="K22" s="2" t="str">
        <f t="shared" si="1"/>
        <v/>
      </c>
      <c r="M22" s="2" t="str">
        <f t="shared" si="9"/>
        <v>-</v>
      </c>
      <c r="N22" s="2" t="s">
        <v>70</v>
      </c>
      <c r="O22" s="2" t="str">
        <f t="shared" si="10"/>
        <v>-</v>
      </c>
      <c r="P22" s="2" t="s">
        <v>10</v>
      </c>
      <c r="Q22" s="2" t="str">
        <f t="shared" si="11"/>
        <v>-</v>
      </c>
      <c r="R22" s="2" t="s">
        <v>11</v>
      </c>
    </row>
    <row r="23" spans="2:18" x14ac:dyDescent="0.25">
      <c r="B23" s="1" t="str">
        <f t="shared" si="12"/>
        <v>@case_width-path_medium-z16-(def-hc)</v>
      </c>
      <c r="C23" s="5" t="str">
        <f t="shared" si="4"/>
        <v>6.0</v>
      </c>
      <c r="D23" s="7" t="s">
        <v>82</v>
      </c>
      <c r="F23" s="2" t="s">
        <v>74</v>
      </c>
      <c r="G23" s="2" t="str">
        <f t="shared" si="13"/>
        <v>-</v>
      </c>
      <c r="H23" s="2" t="s">
        <v>67</v>
      </c>
      <c r="I23" s="2" t="str">
        <f t="shared" si="6"/>
        <v>_</v>
      </c>
      <c r="J23" s="2" t="s">
        <v>75</v>
      </c>
      <c r="K23" s="2" t="str">
        <f t="shared" si="1"/>
        <v/>
      </c>
      <c r="M23" s="2" t="str">
        <f t="shared" si="9"/>
        <v>-</v>
      </c>
      <c r="N23" s="2" t="s">
        <v>71</v>
      </c>
      <c r="O23" s="2" t="str">
        <f t="shared" si="10"/>
        <v>-</v>
      </c>
      <c r="P23" s="2" t="s">
        <v>10</v>
      </c>
      <c r="Q23" s="2" t="str">
        <f t="shared" si="11"/>
        <v>-</v>
      </c>
      <c r="R23" s="2" t="s">
        <v>11</v>
      </c>
    </row>
    <row r="24" spans="2:18" x14ac:dyDescent="0.25">
      <c r="B24" s="1" t="str">
        <f t="shared" si="12"/>
        <v>@case_width-path_medium-z18-(def-hc)</v>
      </c>
      <c r="C24" s="5" t="str">
        <f t="shared" si="4"/>
        <v>13.5</v>
      </c>
      <c r="D24" s="7" t="s">
        <v>89</v>
      </c>
      <c r="F24" s="2" t="s">
        <v>74</v>
      </c>
      <c r="G24" s="2" t="str">
        <f t="shared" si="13"/>
        <v>-</v>
      </c>
      <c r="H24" s="2" t="s">
        <v>67</v>
      </c>
      <c r="I24" s="2" t="str">
        <f t="shared" si="6"/>
        <v>_</v>
      </c>
      <c r="J24" s="2" t="s">
        <v>75</v>
      </c>
      <c r="K24" s="2" t="str">
        <f t="shared" si="1"/>
        <v/>
      </c>
      <c r="M24" s="2" t="str">
        <f t="shared" si="9"/>
        <v>-</v>
      </c>
      <c r="N24" s="2" t="s">
        <v>72</v>
      </c>
      <c r="O24" s="2" t="str">
        <f t="shared" si="10"/>
        <v>-</v>
      </c>
      <c r="P24" s="2" t="s">
        <v>10</v>
      </c>
      <c r="Q24" s="2" t="str">
        <f t="shared" si="11"/>
        <v>-</v>
      </c>
      <c r="R24" s="2" t="s">
        <v>11</v>
      </c>
    </row>
    <row r="25" spans="2:18" x14ac:dyDescent="0.25">
      <c r="B25" s="1" t="str">
        <f t="shared" si="12"/>
        <v>@case_width-path_wide-z11-(def-hc)</v>
      </c>
      <c r="C25" s="5" t="str">
        <f t="shared" si="4"/>
        <v>4.0</v>
      </c>
      <c r="D25" s="7" t="s">
        <v>88</v>
      </c>
      <c r="F25" s="2" t="s">
        <v>74</v>
      </c>
      <c r="G25" s="2" t="str">
        <f t="shared" si="13"/>
        <v>-</v>
      </c>
      <c r="H25" s="2" t="s">
        <v>67</v>
      </c>
      <c r="I25" s="2" t="str">
        <f t="shared" si="6"/>
        <v>_</v>
      </c>
      <c r="J25" s="2" t="s">
        <v>73</v>
      </c>
      <c r="K25" s="2" t="str">
        <f t="shared" si="1"/>
        <v/>
      </c>
      <c r="M25" s="2" t="str">
        <f t="shared" si="9"/>
        <v>-</v>
      </c>
      <c r="N25" s="2" t="s">
        <v>66</v>
      </c>
      <c r="O25" s="2" t="str">
        <f t="shared" si="10"/>
        <v>-</v>
      </c>
      <c r="P25" s="2" t="s">
        <v>10</v>
      </c>
      <c r="Q25" s="2" t="str">
        <f t="shared" si="11"/>
        <v>-</v>
      </c>
      <c r="R25" s="2" t="s">
        <v>11</v>
      </c>
    </row>
    <row r="26" spans="2:18" x14ac:dyDescent="0.25">
      <c r="B26" s="1" t="str">
        <f t="shared" si="12"/>
        <v>@case_width-path_wide-z14-(def-hc)</v>
      </c>
      <c r="C26" s="5" t="str">
        <f t="shared" si="4"/>
        <v>6.0</v>
      </c>
      <c r="D26" s="7" t="s">
        <v>82</v>
      </c>
      <c r="F26" s="2" t="s">
        <v>74</v>
      </c>
      <c r="G26" s="2" t="str">
        <f t="shared" si="13"/>
        <v>-</v>
      </c>
      <c r="H26" s="2" t="s">
        <v>67</v>
      </c>
      <c r="I26" s="2" t="str">
        <f t="shared" si="6"/>
        <v>_</v>
      </c>
      <c r="J26" s="2" t="s">
        <v>73</v>
      </c>
      <c r="K26" s="2" t="str">
        <f t="shared" si="1"/>
        <v/>
      </c>
      <c r="M26" s="2" t="str">
        <f t="shared" si="9"/>
        <v>-</v>
      </c>
      <c r="N26" s="2" t="s">
        <v>70</v>
      </c>
      <c r="O26" s="2" t="str">
        <f t="shared" si="10"/>
        <v>-</v>
      </c>
      <c r="P26" s="2" t="s">
        <v>10</v>
      </c>
      <c r="Q26" s="2" t="str">
        <f t="shared" si="11"/>
        <v>-</v>
      </c>
      <c r="R26" s="2" t="s">
        <v>11</v>
      </c>
    </row>
    <row r="27" spans="2:18" x14ac:dyDescent="0.25">
      <c r="B27" s="1" t="str">
        <f t="shared" si="12"/>
        <v>@case_width-path_wide-z16-(def-hc)</v>
      </c>
      <c r="C27" s="5" t="str">
        <f t="shared" si="4"/>
        <v>9.0</v>
      </c>
      <c r="D27" s="7" t="s">
        <v>83</v>
      </c>
      <c r="F27" s="2" t="s">
        <v>74</v>
      </c>
      <c r="G27" s="2" t="str">
        <f t="shared" si="13"/>
        <v>-</v>
      </c>
      <c r="H27" s="2" t="s">
        <v>67</v>
      </c>
      <c r="I27" s="2" t="str">
        <f t="shared" si="6"/>
        <v>_</v>
      </c>
      <c r="J27" s="2" t="s">
        <v>73</v>
      </c>
      <c r="K27" s="2" t="str">
        <f t="shared" si="1"/>
        <v/>
      </c>
      <c r="M27" s="2" t="str">
        <f t="shared" si="9"/>
        <v>-</v>
      </c>
      <c r="N27" s="2" t="s">
        <v>71</v>
      </c>
      <c r="O27" s="2" t="str">
        <f t="shared" si="10"/>
        <v>-</v>
      </c>
      <c r="P27" s="2" t="s">
        <v>10</v>
      </c>
      <c r="Q27" s="2" t="str">
        <f t="shared" si="11"/>
        <v>-</v>
      </c>
      <c r="R27" s="2" t="s">
        <v>11</v>
      </c>
    </row>
    <row r="28" spans="2:18" x14ac:dyDescent="0.25">
      <c r="B28" s="1" t="str">
        <f t="shared" si="12"/>
        <v>@case_width-path_wide-z18-(def-hc)</v>
      </c>
      <c r="C28" s="5" t="str">
        <f t="shared" si="4"/>
        <v>22.5</v>
      </c>
      <c r="D28" s="7" t="s">
        <v>90</v>
      </c>
      <c r="F28" s="2" t="s">
        <v>74</v>
      </c>
      <c r="G28" s="2" t="str">
        <f t="shared" si="13"/>
        <v>-</v>
      </c>
      <c r="H28" s="2" t="s">
        <v>67</v>
      </c>
      <c r="I28" s="2" t="str">
        <f t="shared" si="6"/>
        <v>_</v>
      </c>
      <c r="J28" s="2" t="s">
        <v>73</v>
      </c>
      <c r="K28" s="2" t="str">
        <f t="shared" si="1"/>
        <v/>
      </c>
      <c r="M28" s="2" t="str">
        <f t="shared" si="9"/>
        <v>-</v>
      </c>
      <c r="N28" s="2" t="s">
        <v>72</v>
      </c>
      <c r="O28" s="2" t="str">
        <f t="shared" si="10"/>
        <v>-</v>
      </c>
      <c r="P28" s="2" t="s">
        <v>10</v>
      </c>
      <c r="Q28" s="2" t="str">
        <f t="shared" si="11"/>
        <v>-</v>
      </c>
      <c r="R28" s="2" t="s">
        <v>11</v>
      </c>
    </row>
    <row r="30" spans="2:18" x14ac:dyDescent="0.25">
      <c r="B30" s="1" t="str">
        <f>_xlfn.CONCAT("@",F30,G30,H30,I30,J30,K30,L30,M30,N30,O30,"(",P30,Q30,R30,")")</f>
        <v>@case_width-path_narrow-z11-(gr)</v>
      </c>
      <c r="C30" s="5" t="str">
        <f>D30</f>
        <v>0.5</v>
      </c>
      <c r="D30" s="7" t="s">
        <v>91</v>
      </c>
      <c r="F30" s="2" t="s">
        <v>74</v>
      </c>
      <c r="G30" s="2" t="str">
        <f t="shared" ref="G30:G41" si="14">IF(NOT(ISBLANK(H30)),"-","")</f>
        <v>-</v>
      </c>
      <c r="H30" s="2" t="s">
        <v>67</v>
      </c>
      <c r="I30" s="2" t="str">
        <f>IF(NOT(ISBLANK(J30)),"_","")</f>
        <v>_</v>
      </c>
      <c r="J30" s="2" t="s">
        <v>68</v>
      </c>
      <c r="K30" s="2" t="str">
        <f t="shared" si="1"/>
        <v/>
      </c>
      <c r="M30" s="2" t="str">
        <f t="shared" ref="M30:M41" si="15">IF(NOT(ISBLANK(N30)),"-","")</f>
        <v>-</v>
      </c>
      <c r="N30" s="2" t="s">
        <v>66</v>
      </c>
      <c r="O30" s="2" t="str">
        <f t="shared" ref="O30:O41" si="16">IF(NOT(ISBLANK(P30)),"-","")</f>
        <v>-</v>
      </c>
      <c r="P30" s="2" t="s">
        <v>22</v>
      </c>
      <c r="Q30" s="2" t="str">
        <f t="shared" ref="Q30:Q33" si="17">IF(NOT(ISBLANK(R30)),"-","")</f>
        <v/>
      </c>
    </row>
    <row r="31" spans="2:18" x14ac:dyDescent="0.25">
      <c r="B31" s="1" t="str">
        <f t="shared" ref="B31:B41" si="18">_xlfn.CONCAT("@",F31,G31,H31,I31,J31,K31,L31,M31,N31,O31,"(",P31,Q31,R31,")")</f>
        <v>@case_width-path_narrow-z14-(gr)</v>
      </c>
      <c r="C31" s="5" t="str">
        <f t="shared" ref="C31:C41" si="19">D31</f>
        <v>1.0</v>
      </c>
      <c r="D31" s="7" t="s">
        <v>76</v>
      </c>
      <c r="F31" s="2" t="s">
        <v>74</v>
      </c>
      <c r="G31" s="2" t="str">
        <f t="shared" si="14"/>
        <v>-</v>
      </c>
      <c r="H31" s="2" t="s">
        <v>67</v>
      </c>
      <c r="I31" s="2" t="str">
        <f t="shared" ref="I31:I41" si="20">IF(NOT(ISBLANK(J31)),"_","")</f>
        <v>_</v>
      </c>
      <c r="J31" s="2" t="s">
        <v>68</v>
      </c>
      <c r="K31" s="2" t="str">
        <f t="shared" si="1"/>
        <v/>
      </c>
      <c r="M31" s="2" t="str">
        <f t="shared" si="15"/>
        <v>-</v>
      </c>
      <c r="N31" s="2" t="s">
        <v>70</v>
      </c>
      <c r="O31" s="2" t="str">
        <f t="shared" si="16"/>
        <v>-</v>
      </c>
      <c r="P31" s="2" t="s">
        <v>22</v>
      </c>
      <c r="Q31" s="2" t="str">
        <f t="shared" si="17"/>
        <v/>
      </c>
    </row>
    <row r="32" spans="2:18" x14ac:dyDescent="0.25">
      <c r="B32" s="1" t="str">
        <f t="shared" si="18"/>
        <v>@case_width-path_narrow-z16-(gr)</v>
      </c>
      <c r="C32" s="5" t="str">
        <f t="shared" si="19"/>
        <v>1.0</v>
      </c>
      <c r="D32" s="7" t="s">
        <v>76</v>
      </c>
      <c r="F32" s="2" t="s">
        <v>74</v>
      </c>
      <c r="G32" s="2" t="str">
        <f t="shared" si="14"/>
        <v>-</v>
      </c>
      <c r="H32" s="2" t="s">
        <v>67</v>
      </c>
      <c r="I32" s="2" t="str">
        <f t="shared" si="20"/>
        <v>_</v>
      </c>
      <c r="J32" s="2" t="s">
        <v>68</v>
      </c>
      <c r="K32" s="2" t="str">
        <f t="shared" si="1"/>
        <v/>
      </c>
      <c r="M32" s="2" t="str">
        <f t="shared" si="15"/>
        <v>-</v>
      </c>
      <c r="N32" s="2" t="s">
        <v>71</v>
      </c>
      <c r="O32" s="2" t="str">
        <f t="shared" si="16"/>
        <v>-</v>
      </c>
      <c r="P32" s="2" t="s">
        <v>22</v>
      </c>
      <c r="Q32" s="2" t="str">
        <f t="shared" si="17"/>
        <v/>
      </c>
    </row>
    <row r="33" spans="1:18" x14ac:dyDescent="0.25">
      <c r="B33" s="1" t="str">
        <f t="shared" si="18"/>
        <v>@case_width-path_narrow-z18-(gr)</v>
      </c>
      <c r="C33" s="5" t="str">
        <f t="shared" si="19"/>
        <v>1.5</v>
      </c>
      <c r="D33" s="7" t="s">
        <v>80</v>
      </c>
      <c r="F33" s="2" t="s">
        <v>74</v>
      </c>
      <c r="G33" s="2" t="str">
        <f t="shared" si="14"/>
        <v>-</v>
      </c>
      <c r="H33" s="2" t="s">
        <v>67</v>
      </c>
      <c r="I33" s="2" t="str">
        <f t="shared" si="20"/>
        <v>_</v>
      </c>
      <c r="J33" s="2" t="s">
        <v>68</v>
      </c>
      <c r="K33" s="2" t="str">
        <f t="shared" si="1"/>
        <v/>
      </c>
      <c r="M33" s="2" t="str">
        <f t="shared" si="15"/>
        <v>-</v>
      </c>
      <c r="N33" s="2" t="s">
        <v>72</v>
      </c>
      <c r="O33" s="2" t="str">
        <f t="shared" si="16"/>
        <v>-</v>
      </c>
      <c r="P33" s="2" t="s">
        <v>22</v>
      </c>
      <c r="Q33" s="2" t="str">
        <f t="shared" si="17"/>
        <v/>
      </c>
    </row>
    <row r="34" spans="1:18" x14ac:dyDescent="0.25">
      <c r="B34" s="1" t="str">
        <f t="shared" si="18"/>
        <v>@case_width-path_medium-z11-(gr)</v>
      </c>
      <c r="C34" s="5" t="str">
        <f t="shared" si="19"/>
        <v>0.8</v>
      </c>
      <c r="D34" s="7" t="s">
        <v>92</v>
      </c>
      <c r="F34" s="2" t="s">
        <v>74</v>
      </c>
      <c r="G34" s="2" t="str">
        <f t="shared" si="14"/>
        <v>-</v>
      </c>
      <c r="H34" s="2" t="s">
        <v>67</v>
      </c>
      <c r="I34" s="2" t="str">
        <f t="shared" si="20"/>
        <v>_</v>
      </c>
      <c r="J34" s="2" t="s">
        <v>75</v>
      </c>
      <c r="K34" s="2" t="str">
        <f t="shared" si="1"/>
        <v/>
      </c>
      <c r="M34" s="2" t="str">
        <f t="shared" si="15"/>
        <v>-</v>
      </c>
      <c r="N34" s="2" t="s">
        <v>66</v>
      </c>
      <c r="O34" s="2" t="str">
        <f t="shared" si="16"/>
        <v>-</v>
      </c>
      <c r="P34" s="2" t="s">
        <v>22</v>
      </c>
    </row>
    <row r="35" spans="1:18" x14ac:dyDescent="0.25">
      <c r="B35" s="1" t="str">
        <f t="shared" si="18"/>
        <v>@case_width-path_medium-z14-(gr)</v>
      </c>
      <c r="C35" s="5" t="str">
        <f t="shared" si="19"/>
        <v>1.2</v>
      </c>
      <c r="D35" s="7" t="s">
        <v>93</v>
      </c>
      <c r="F35" s="2" t="s">
        <v>74</v>
      </c>
      <c r="G35" s="2" t="str">
        <f t="shared" si="14"/>
        <v>-</v>
      </c>
      <c r="H35" s="2" t="s">
        <v>67</v>
      </c>
      <c r="I35" s="2" t="str">
        <f t="shared" si="20"/>
        <v>_</v>
      </c>
      <c r="J35" s="2" t="s">
        <v>75</v>
      </c>
      <c r="K35" s="2" t="str">
        <f t="shared" si="1"/>
        <v/>
      </c>
      <c r="M35" s="2" t="str">
        <f t="shared" si="15"/>
        <v>-</v>
      </c>
      <c r="N35" s="2" t="s">
        <v>70</v>
      </c>
      <c r="O35" s="2" t="str">
        <f t="shared" si="16"/>
        <v>-</v>
      </c>
      <c r="P35" s="2" t="s">
        <v>22</v>
      </c>
    </row>
    <row r="36" spans="1:18" x14ac:dyDescent="0.25">
      <c r="B36" s="1" t="str">
        <f t="shared" si="18"/>
        <v>@case_width-path_medium-z16-(gr)</v>
      </c>
      <c r="C36" s="5" t="str">
        <f t="shared" si="19"/>
        <v>1.6</v>
      </c>
      <c r="D36" s="7" t="s">
        <v>94</v>
      </c>
      <c r="F36" s="2" t="s">
        <v>74</v>
      </c>
      <c r="G36" s="2" t="str">
        <f t="shared" si="14"/>
        <v>-</v>
      </c>
      <c r="H36" s="2" t="s">
        <v>67</v>
      </c>
      <c r="I36" s="2" t="str">
        <f t="shared" si="20"/>
        <v>_</v>
      </c>
      <c r="J36" s="2" t="s">
        <v>75</v>
      </c>
      <c r="K36" s="2" t="str">
        <f t="shared" si="1"/>
        <v/>
      </c>
      <c r="M36" s="2" t="str">
        <f t="shared" si="15"/>
        <v>-</v>
      </c>
      <c r="N36" s="2" t="s">
        <v>71</v>
      </c>
      <c r="O36" s="2" t="str">
        <f t="shared" si="16"/>
        <v>-</v>
      </c>
      <c r="P36" s="2" t="s">
        <v>22</v>
      </c>
    </row>
    <row r="37" spans="1:18" x14ac:dyDescent="0.25">
      <c r="B37" s="1" t="str">
        <f t="shared" si="18"/>
        <v>@case_width-path_medium-z18-(gr)</v>
      </c>
      <c r="C37" s="5" t="str">
        <f t="shared" si="19"/>
        <v>2.4</v>
      </c>
      <c r="D37" s="7" t="s">
        <v>95</v>
      </c>
      <c r="F37" s="2" t="s">
        <v>74</v>
      </c>
      <c r="G37" s="2" t="str">
        <f t="shared" si="14"/>
        <v>-</v>
      </c>
      <c r="H37" s="2" t="s">
        <v>67</v>
      </c>
      <c r="I37" s="2" t="str">
        <f t="shared" si="20"/>
        <v>_</v>
      </c>
      <c r="J37" s="2" t="s">
        <v>75</v>
      </c>
      <c r="K37" s="2" t="str">
        <f t="shared" si="1"/>
        <v/>
      </c>
      <c r="M37" s="2" t="str">
        <f t="shared" si="15"/>
        <v>-</v>
      </c>
      <c r="N37" s="2" t="s">
        <v>72</v>
      </c>
      <c r="O37" s="2" t="str">
        <f t="shared" si="16"/>
        <v>-</v>
      </c>
      <c r="P37" s="2" t="s">
        <v>22</v>
      </c>
    </row>
    <row r="38" spans="1:18" x14ac:dyDescent="0.25">
      <c r="B38" s="1" t="str">
        <f t="shared" si="18"/>
        <v>@case_width-path_wide-z11-(gr)</v>
      </c>
      <c r="C38" s="5" t="str">
        <f t="shared" si="19"/>
        <v>1.5</v>
      </c>
      <c r="D38" s="7" t="s">
        <v>80</v>
      </c>
      <c r="F38" s="2" t="s">
        <v>74</v>
      </c>
      <c r="G38" s="2" t="str">
        <f t="shared" si="14"/>
        <v>-</v>
      </c>
      <c r="H38" s="2" t="s">
        <v>67</v>
      </c>
      <c r="I38" s="2" t="str">
        <f t="shared" si="20"/>
        <v>_</v>
      </c>
      <c r="J38" s="2" t="s">
        <v>73</v>
      </c>
      <c r="K38" s="2" t="str">
        <f t="shared" si="1"/>
        <v/>
      </c>
      <c r="M38" s="2" t="str">
        <f t="shared" si="15"/>
        <v>-</v>
      </c>
      <c r="N38" s="2" t="s">
        <v>66</v>
      </c>
      <c r="O38" s="2" t="str">
        <f t="shared" si="16"/>
        <v>-</v>
      </c>
      <c r="P38" s="2" t="s">
        <v>22</v>
      </c>
    </row>
    <row r="39" spans="1:18" x14ac:dyDescent="0.25">
      <c r="B39" s="1" t="str">
        <f t="shared" si="18"/>
        <v>@case_width-path_wide-z14-(gr)</v>
      </c>
      <c r="C39" s="5" t="str">
        <f t="shared" si="19"/>
        <v>1.6</v>
      </c>
      <c r="D39" s="7" t="s">
        <v>94</v>
      </c>
      <c r="F39" s="2" t="s">
        <v>74</v>
      </c>
      <c r="G39" s="2" t="str">
        <f t="shared" si="14"/>
        <v>-</v>
      </c>
      <c r="H39" s="2" t="s">
        <v>67</v>
      </c>
      <c r="I39" s="2" t="str">
        <f t="shared" si="20"/>
        <v>_</v>
      </c>
      <c r="J39" s="2" t="s">
        <v>73</v>
      </c>
      <c r="K39" s="2" t="str">
        <f t="shared" si="1"/>
        <v/>
      </c>
      <c r="M39" s="2" t="str">
        <f t="shared" si="15"/>
        <v>-</v>
      </c>
      <c r="N39" s="2" t="s">
        <v>70</v>
      </c>
      <c r="O39" s="2" t="str">
        <f t="shared" si="16"/>
        <v>-</v>
      </c>
      <c r="P39" s="2" t="s">
        <v>22</v>
      </c>
    </row>
    <row r="40" spans="1:18" x14ac:dyDescent="0.25">
      <c r="B40" s="1" t="str">
        <f t="shared" si="18"/>
        <v>@case_width-path_wide-z16-(gr)</v>
      </c>
      <c r="C40" s="5" t="str">
        <f t="shared" si="19"/>
        <v>2.4</v>
      </c>
      <c r="D40" s="7" t="s">
        <v>95</v>
      </c>
      <c r="F40" s="2" t="s">
        <v>74</v>
      </c>
      <c r="G40" s="2" t="str">
        <f t="shared" si="14"/>
        <v>-</v>
      </c>
      <c r="H40" s="2" t="s">
        <v>67</v>
      </c>
      <c r="I40" s="2" t="str">
        <f t="shared" si="20"/>
        <v>_</v>
      </c>
      <c r="J40" s="2" t="s">
        <v>73</v>
      </c>
      <c r="K40" s="2" t="str">
        <f t="shared" si="1"/>
        <v/>
      </c>
      <c r="M40" s="2" t="str">
        <f t="shared" si="15"/>
        <v>-</v>
      </c>
      <c r="N40" s="2" t="s">
        <v>71</v>
      </c>
      <c r="O40" s="2" t="str">
        <f t="shared" si="16"/>
        <v>-</v>
      </c>
      <c r="P40" s="2" t="s">
        <v>22</v>
      </c>
    </row>
    <row r="41" spans="1:18" x14ac:dyDescent="0.25">
      <c r="B41" s="1" t="str">
        <f t="shared" si="18"/>
        <v>@case_width-path_wide-z18-(gr)</v>
      </c>
      <c r="C41" s="5" t="str">
        <f t="shared" si="19"/>
        <v>3.6</v>
      </c>
      <c r="D41" s="7" t="s">
        <v>96</v>
      </c>
      <c r="F41" s="2" t="s">
        <v>74</v>
      </c>
      <c r="G41" s="2" t="str">
        <f t="shared" si="14"/>
        <v>-</v>
      </c>
      <c r="H41" s="2" t="s">
        <v>67</v>
      </c>
      <c r="I41" s="2" t="str">
        <f t="shared" si="20"/>
        <v>_</v>
      </c>
      <c r="J41" s="2" t="s">
        <v>73</v>
      </c>
      <c r="K41" s="2" t="str">
        <f t="shared" si="1"/>
        <v/>
      </c>
      <c r="M41" s="2" t="str">
        <f t="shared" si="15"/>
        <v>-</v>
      </c>
      <c r="N41" s="2" t="s">
        <v>72</v>
      </c>
      <c r="O41" s="2" t="str">
        <f t="shared" si="16"/>
        <v>-</v>
      </c>
      <c r="P41" s="2" t="s">
        <v>22</v>
      </c>
    </row>
    <row r="43" spans="1:18" x14ac:dyDescent="0.25">
      <c r="A43" s="3" t="s">
        <v>97</v>
      </c>
      <c r="B43" s="3"/>
      <c r="C43" s="3"/>
      <c r="D43" s="6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</row>
    <row r="44" spans="1:18" x14ac:dyDescent="0.25">
      <c r="B44" s="1" t="str">
        <f>_xlfn.CONCAT("@",F44,G44,H44,I44,J44,K44,L44,M44,N44,O44,"(",P44,Q44,R44,")")</f>
        <v>@case_width-track-z10-(def)</v>
      </c>
      <c r="C44" s="5" t="str">
        <f>D44</f>
        <v>2.0</v>
      </c>
      <c r="D44" s="7" t="s">
        <v>81</v>
      </c>
      <c r="F44" s="2" t="s">
        <v>74</v>
      </c>
      <c r="G44" s="2" t="str">
        <f t="shared" ref="G44" si="21">IF(NOT(ISBLANK(H44)),"-","")</f>
        <v>-</v>
      </c>
      <c r="H44" s="2" t="s">
        <v>98</v>
      </c>
      <c r="I44" s="2" t="str">
        <f>IF(NOT(ISBLANK(J44)),"_","")</f>
        <v/>
      </c>
      <c r="K44" s="2" t="str">
        <f t="shared" ref="K44:K60" si="22">IF(NOT(ISBLANK(L44)),"_","")</f>
        <v/>
      </c>
      <c r="M44" s="2" t="str">
        <f t="shared" ref="M44" si="23">IF(NOT(ISBLANK(N44)),"-","")</f>
        <v>-</v>
      </c>
      <c r="N44" s="2" t="s">
        <v>99</v>
      </c>
      <c r="O44" s="2" t="str">
        <f t="shared" ref="O44" si="24">IF(NOT(ISBLANK(P44)),"-","")</f>
        <v>-</v>
      </c>
      <c r="P44" s="2" t="s">
        <v>10</v>
      </c>
      <c r="Q44" s="2" t="str">
        <f t="shared" ref="Q44" si="25">IF(NOT(ISBLANK(R44)),"-","")</f>
        <v/>
      </c>
    </row>
    <row r="45" spans="1:18" x14ac:dyDescent="0.25">
      <c r="B45" s="1" t="str">
        <f>_xlfn.CONCAT("@",F45,G45,H45,I45,J45,K45,L45,M45,N45,O45,"(",P45,Q45,R45,")")</f>
        <v>@case_width-track-z11-(def)</v>
      </c>
      <c r="C45" s="5" t="str">
        <f>D45</f>
        <v>3.0</v>
      </c>
      <c r="D45" s="7" t="s">
        <v>84</v>
      </c>
      <c r="F45" s="2" t="s">
        <v>74</v>
      </c>
      <c r="G45" s="2" t="str">
        <f t="shared" ref="G45:G50" si="26">IF(NOT(ISBLANK(H45)),"-","")</f>
        <v>-</v>
      </c>
      <c r="H45" s="2" t="s">
        <v>98</v>
      </c>
      <c r="I45" s="2" t="str">
        <f>IF(NOT(ISBLANK(J45)),"_","")</f>
        <v/>
      </c>
      <c r="K45" s="2" t="str">
        <f t="shared" si="22"/>
        <v/>
      </c>
      <c r="M45" s="2" t="str">
        <f t="shared" ref="M45:M50" si="27">IF(NOT(ISBLANK(N45)),"-","")</f>
        <v>-</v>
      </c>
      <c r="N45" s="2" t="s">
        <v>66</v>
      </c>
      <c r="O45" s="2" t="str">
        <f t="shared" ref="O45:O50" si="28">IF(NOT(ISBLANK(P45)),"-","")</f>
        <v>-</v>
      </c>
      <c r="P45" s="2" t="s">
        <v>10</v>
      </c>
      <c r="Q45" s="2" t="str">
        <f t="shared" ref="Q45:Q50" si="29">IF(NOT(ISBLANK(R45)),"-","")</f>
        <v/>
      </c>
    </row>
    <row r="46" spans="1:18" x14ac:dyDescent="0.25">
      <c r="B46" s="1" t="str">
        <f t="shared" ref="B46:B48" si="30">_xlfn.CONCAT("@",F46,G46,H46,I46,J46,K46,L46,M46,N46,O46,"(",P46,Q46,R46,")")</f>
        <v>@case_width-track-z14-(def)</v>
      </c>
      <c r="C46" s="5" t="str">
        <f t="shared" ref="C46:C48" si="31">D46</f>
        <v>4.0</v>
      </c>
      <c r="D46" s="7" t="s">
        <v>88</v>
      </c>
      <c r="F46" s="2" t="s">
        <v>74</v>
      </c>
      <c r="G46" s="2" t="str">
        <f t="shared" si="26"/>
        <v>-</v>
      </c>
      <c r="H46" s="2" t="s">
        <v>98</v>
      </c>
      <c r="I46" s="2" t="str">
        <f t="shared" ref="I46:I48" si="32">IF(NOT(ISBLANK(J46)),"_","")</f>
        <v/>
      </c>
      <c r="K46" s="2" t="str">
        <f t="shared" si="22"/>
        <v/>
      </c>
      <c r="M46" s="2" t="str">
        <f t="shared" si="27"/>
        <v>-</v>
      </c>
      <c r="N46" s="2" t="s">
        <v>70</v>
      </c>
      <c r="O46" s="2" t="str">
        <f t="shared" si="28"/>
        <v>-</v>
      </c>
      <c r="P46" s="2" t="s">
        <v>10</v>
      </c>
      <c r="Q46" s="2" t="str">
        <f t="shared" si="29"/>
        <v/>
      </c>
    </row>
    <row r="47" spans="1:18" x14ac:dyDescent="0.25">
      <c r="B47" s="1" t="str">
        <f t="shared" si="30"/>
        <v>@case_width-track-z16-(def)</v>
      </c>
      <c r="C47" s="5" t="str">
        <f t="shared" si="31"/>
        <v>9.0</v>
      </c>
      <c r="D47" s="7" t="s">
        <v>83</v>
      </c>
      <c r="F47" s="2" t="s">
        <v>74</v>
      </c>
      <c r="G47" s="2" t="str">
        <f t="shared" si="26"/>
        <v>-</v>
      </c>
      <c r="H47" s="2" t="s">
        <v>98</v>
      </c>
      <c r="I47" s="2" t="str">
        <f t="shared" si="32"/>
        <v/>
      </c>
      <c r="K47" s="2" t="str">
        <f t="shared" si="22"/>
        <v/>
      </c>
      <c r="M47" s="2" t="str">
        <f t="shared" si="27"/>
        <v>-</v>
      </c>
      <c r="N47" s="2" t="s">
        <v>71</v>
      </c>
      <c r="O47" s="2" t="str">
        <f t="shared" si="28"/>
        <v>-</v>
      </c>
      <c r="P47" s="2" t="s">
        <v>10</v>
      </c>
      <c r="Q47" s="2" t="str">
        <f t="shared" si="29"/>
        <v/>
      </c>
    </row>
    <row r="48" spans="1:18" x14ac:dyDescent="0.25">
      <c r="B48" s="1" t="str">
        <f t="shared" si="30"/>
        <v>@case_width-track-z18-(def)</v>
      </c>
      <c r="C48" s="5" t="str">
        <f t="shared" si="31"/>
        <v>15.0</v>
      </c>
      <c r="D48" s="7" t="s">
        <v>85</v>
      </c>
      <c r="F48" s="2" t="s">
        <v>74</v>
      </c>
      <c r="G48" s="2" t="str">
        <f t="shared" si="26"/>
        <v>-</v>
      </c>
      <c r="H48" s="2" t="s">
        <v>98</v>
      </c>
      <c r="I48" s="2" t="str">
        <f t="shared" si="32"/>
        <v/>
      </c>
      <c r="K48" s="2" t="str">
        <f t="shared" si="22"/>
        <v/>
      </c>
      <c r="M48" s="2" t="str">
        <f t="shared" si="27"/>
        <v>-</v>
      </c>
      <c r="N48" s="2" t="s">
        <v>72</v>
      </c>
      <c r="O48" s="2" t="str">
        <f t="shared" si="28"/>
        <v>-</v>
      </c>
      <c r="P48" s="2" t="s">
        <v>10</v>
      </c>
      <c r="Q48" s="2" t="str">
        <f t="shared" si="29"/>
        <v/>
      </c>
    </row>
    <row r="49" spans="2:18" x14ac:dyDescent="0.25">
      <c r="B49" s="1"/>
      <c r="C49" s="5"/>
    </row>
    <row r="50" spans="2:18" x14ac:dyDescent="0.25">
      <c r="B50" s="1" t="str">
        <f>_xlfn.CONCAT("@",F50,G50,H50,I50,J50,K50,L50,M50,N50,O50,"(",P50,Q50,R50,")")</f>
        <v>@case_width-track-z10-(def-hc)</v>
      </c>
      <c r="C50" s="5" t="str">
        <f>D50</f>
        <v>4.0</v>
      </c>
      <c r="D50" s="7" t="s">
        <v>88</v>
      </c>
      <c r="F50" s="2" t="s">
        <v>74</v>
      </c>
      <c r="G50" s="2" t="str">
        <f t="shared" si="26"/>
        <v>-</v>
      </c>
      <c r="H50" s="2" t="s">
        <v>98</v>
      </c>
      <c r="I50" s="2" t="str">
        <f>IF(NOT(ISBLANK(J50)),"_","")</f>
        <v/>
      </c>
      <c r="K50" s="2" t="str">
        <f t="shared" si="22"/>
        <v/>
      </c>
      <c r="M50" s="2" t="str">
        <f t="shared" si="27"/>
        <v>-</v>
      </c>
      <c r="N50" s="2" t="s">
        <v>99</v>
      </c>
      <c r="O50" s="2" t="str">
        <f t="shared" si="28"/>
        <v>-</v>
      </c>
      <c r="P50" s="2" t="s">
        <v>10</v>
      </c>
      <c r="Q50" s="2" t="str">
        <f t="shared" si="29"/>
        <v>-</v>
      </c>
      <c r="R50" s="2" t="s">
        <v>11</v>
      </c>
    </row>
    <row r="51" spans="2:18" x14ac:dyDescent="0.25">
      <c r="B51" s="1" t="str">
        <f>_xlfn.CONCAT("@",F51,G51,H51,I51,J51,K51,L51,M51,N51,O51,"(",P51,Q51,R51,")")</f>
        <v>@case_width-track-z11-(def-hc)</v>
      </c>
      <c r="C51" s="5" t="str">
        <f>D51</f>
        <v>4.0</v>
      </c>
      <c r="D51" s="7" t="s">
        <v>88</v>
      </c>
      <c r="F51" s="2" t="s">
        <v>74</v>
      </c>
      <c r="G51" s="2" t="str">
        <f t="shared" ref="G51:G54" si="33">IF(NOT(ISBLANK(H51)),"-","")</f>
        <v>-</v>
      </c>
      <c r="H51" s="2" t="s">
        <v>98</v>
      </c>
      <c r="I51" s="2" t="str">
        <f>IF(NOT(ISBLANK(J51)),"_","")</f>
        <v/>
      </c>
      <c r="K51" s="2" t="str">
        <f t="shared" si="22"/>
        <v/>
      </c>
      <c r="M51" s="2" t="str">
        <f t="shared" ref="M51:M54" si="34">IF(NOT(ISBLANK(N51)),"-","")</f>
        <v>-</v>
      </c>
      <c r="N51" s="2" t="s">
        <v>66</v>
      </c>
      <c r="O51" s="2" t="str">
        <f t="shared" ref="O51:O54" si="35">IF(NOT(ISBLANK(P51)),"-","")</f>
        <v>-</v>
      </c>
      <c r="P51" s="2" t="s">
        <v>10</v>
      </c>
      <c r="Q51" s="2" t="str">
        <f t="shared" ref="Q51:Q54" si="36">IF(NOT(ISBLANK(R51)),"-","")</f>
        <v>-</v>
      </c>
      <c r="R51" s="2" t="s">
        <v>11</v>
      </c>
    </row>
    <row r="52" spans="2:18" x14ac:dyDescent="0.25">
      <c r="B52" s="1" t="str">
        <f t="shared" ref="B52:B54" si="37">_xlfn.CONCAT("@",F52,G52,H52,I52,J52,K52,L52,M52,N52,O52,"(",P52,Q52,R52,")")</f>
        <v>@case_width-track-z14-(def-hc)</v>
      </c>
      <c r="C52" s="5" t="str">
        <f t="shared" ref="C52:C54" si="38">D52</f>
        <v>6.0</v>
      </c>
      <c r="D52" s="7" t="s">
        <v>82</v>
      </c>
      <c r="F52" s="2" t="s">
        <v>74</v>
      </c>
      <c r="G52" s="2" t="str">
        <f t="shared" si="33"/>
        <v>-</v>
      </c>
      <c r="H52" s="2" t="s">
        <v>98</v>
      </c>
      <c r="I52" s="2" t="str">
        <f t="shared" ref="I52:I54" si="39">IF(NOT(ISBLANK(J52)),"_","")</f>
        <v/>
      </c>
      <c r="K52" s="2" t="str">
        <f t="shared" si="22"/>
        <v/>
      </c>
      <c r="M52" s="2" t="str">
        <f t="shared" si="34"/>
        <v>-</v>
      </c>
      <c r="N52" s="2" t="s">
        <v>70</v>
      </c>
      <c r="O52" s="2" t="str">
        <f t="shared" si="35"/>
        <v>-</v>
      </c>
      <c r="P52" s="2" t="s">
        <v>10</v>
      </c>
      <c r="Q52" s="2" t="str">
        <f t="shared" si="36"/>
        <v>-</v>
      </c>
      <c r="R52" s="2" t="s">
        <v>11</v>
      </c>
    </row>
    <row r="53" spans="2:18" x14ac:dyDescent="0.25">
      <c r="B53" s="1" t="str">
        <f t="shared" si="37"/>
        <v>@case_width-track-z16-(def-hc)</v>
      </c>
      <c r="C53" s="5" t="str">
        <f t="shared" si="38"/>
        <v>13.5</v>
      </c>
      <c r="D53" s="7" t="s">
        <v>89</v>
      </c>
      <c r="F53" s="2" t="s">
        <v>74</v>
      </c>
      <c r="G53" s="2" t="str">
        <f t="shared" si="33"/>
        <v>-</v>
      </c>
      <c r="H53" s="2" t="s">
        <v>98</v>
      </c>
      <c r="I53" s="2" t="str">
        <f t="shared" si="39"/>
        <v/>
      </c>
      <c r="K53" s="2" t="str">
        <f t="shared" si="22"/>
        <v/>
      </c>
      <c r="M53" s="2" t="str">
        <f t="shared" si="34"/>
        <v>-</v>
      </c>
      <c r="N53" s="2" t="s">
        <v>71</v>
      </c>
      <c r="O53" s="2" t="str">
        <f t="shared" si="35"/>
        <v>-</v>
      </c>
      <c r="P53" s="2" t="s">
        <v>10</v>
      </c>
      <c r="Q53" s="2" t="str">
        <f t="shared" si="36"/>
        <v>-</v>
      </c>
      <c r="R53" s="2" t="s">
        <v>11</v>
      </c>
    </row>
    <row r="54" spans="2:18" x14ac:dyDescent="0.25">
      <c r="B54" s="1" t="str">
        <f t="shared" si="37"/>
        <v>@case_width-track-z18-(def-hc)</v>
      </c>
      <c r="C54" s="5" t="str">
        <f t="shared" si="38"/>
        <v>22.5</v>
      </c>
      <c r="D54" s="7" t="s">
        <v>90</v>
      </c>
      <c r="F54" s="2" t="s">
        <v>74</v>
      </c>
      <c r="G54" s="2" t="str">
        <f t="shared" si="33"/>
        <v>-</v>
      </c>
      <c r="H54" s="2" t="s">
        <v>98</v>
      </c>
      <c r="I54" s="2" t="str">
        <f t="shared" si="39"/>
        <v/>
      </c>
      <c r="K54" s="2" t="str">
        <f t="shared" si="22"/>
        <v/>
      </c>
      <c r="M54" s="2" t="str">
        <f t="shared" si="34"/>
        <v>-</v>
      </c>
      <c r="N54" s="2" t="s">
        <v>72</v>
      </c>
      <c r="O54" s="2" t="str">
        <f t="shared" si="35"/>
        <v>-</v>
      </c>
      <c r="P54" s="2" t="s">
        <v>10</v>
      </c>
      <c r="Q54" s="2" t="str">
        <f t="shared" si="36"/>
        <v>-</v>
      </c>
      <c r="R54" s="2" t="s">
        <v>11</v>
      </c>
    </row>
    <row r="56" spans="2:18" x14ac:dyDescent="0.25">
      <c r="B56" s="1" t="str">
        <f>_xlfn.CONCAT("@",F56,G56,H56,I56,J56,K56,L56,M56,N56,O56,"(",P56,Q56,R56,")")</f>
        <v>@case_width-track-z10-(gr)</v>
      </c>
      <c r="C56" s="5" t="str">
        <f>D56</f>
        <v>2.0</v>
      </c>
      <c r="D56" s="7" t="s">
        <v>81</v>
      </c>
      <c r="F56" s="2" t="s">
        <v>74</v>
      </c>
      <c r="G56" s="2" t="str">
        <f t="shared" ref="G56:G60" si="40">IF(NOT(ISBLANK(H56)),"-","")</f>
        <v>-</v>
      </c>
      <c r="H56" s="2" t="s">
        <v>98</v>
      </c>
      <c r="I56" s="2" t="str">
        <f>IF(NOT(ISBLANK(J56)),"_","")</f>
        <v/>
      </c>
      <c r="K56" s="2" t="str">
        <f t="shared" si="22"/>
        <v/>
      </c>
      <c r="M56" s="2" t="str">
        <f t="shared" ref="M56:M60" si="41">IF(NOT(ISBLANK(N56)),"-","")</f>
        <v>-</v>
      </c>
      <c r="N56" s="2" t="s">
        <v>99</v>
      </c>
      <c r="O56" s="2" t="str">
        <f t="shared" ref="O56:O60" si="42">IF(NOT(ISBLANK(P56)),"-","")</f>
        <v>-</v>
      </c>
      <c r="P56" s="2" t="s">
        <v>22</v>
      </c>
      <c r="Q56" s="2" t="str">
        <f t="shared" ref="Q56:Q60" si="43">IF(NOT(ISBLANK(R56)),"-","")</f>
        <v/>
      </c>
    </row>
    <row r="57" spans="2:18" x14ac:dyDescent="0.25">
      <c r="B57" s="1" t="str">
        <f>_xlfn.CONCAT("@",F57,G57,H57,I57,J57,K57,L57,M57,N57,O57,"(",P57,Q57,R57,")")</f>
        <v>@case_width-track-z11-(gr)</v>
      </c>
      <c r="C57" s="5" t="str">
        <f>D57</f>
        <v>3.0</v>
      </c>
      <c r="D57" s="7" t="s">
        <v>84</v>
      </c>
      <c r="F57" s="2" t="s">
        <v>74</v>
      </c>
      <c r="G57" s="2" t="str">
        <f t="shared" si="40"/>
        <v>-</v>
      </c>
      <c r="H57" s="2" t="s">
        <v>98</v>
      </c>
      <c r="I57" s="2" t="str">
        <f>IF(NOT(ISBLANK(J57)),"_","")</f>
        <v/>
      </c>
      <c r="K57" s="2" t="str">
        <f t="shared" si="22"/>
        <v/>
      </c>
      <c r="M57" s="2" t="str">
        <f t="shared" si="41"/>
        <v>-</v>
      </c>
      <c r="N57" s="2" t="s">
        <v>66</v>
      </c>
      <c r="O57" s="2" t="str">
        <f t="shared" si="42"/>
        <v>-</v>
      </c>
      <c r="P57" s="2" t="s">
        <v>22</v>
      </c>
      <c r="Q57" s="2" t="str">
        <f t="shared" si="43"/>
        <v/>
      </c>
    </row>
    <row r="58" spans="2:18" x14ac:dyDescent="0.25">
      <c r="B58" s="1" t="str">
        <f t="shared" ref="B58:B60" si="44">_xlfn.CONCAT("@",F58,G58,H58,I58,J58,K58,L58,M58,N58,O58,"(",P58,Q58,R58,")")</f>
        <v>@case_width-track-z14-(gr)</v>
      </c>
      <c r="C58" s="5" t="str">
        <f t="shared" ref="C58:C60" si="45">D58</f>
        <v>4.0</v>
      </c>
      <c r="D58" s="7" t="s">
        <v>88</v>
      </c>
      <c r="F58" s="2" t="s">
        <v>74</v>
      </c>
      <c r="G58" s="2" t="str">
        <f t="shared" si="40"/>
        <v>-</v>
      </c>
      <c r="H58" s="2" t="s">
        <v>98</v>
      </c>
      <c r="I58" s="2" t="str">
        <f t="shared" ref="I58:I60" si="46">IF(NOT(ISBLANK(J58)),"_","")</f>
        <v/>
      </c>
      <c r="K58" s="2" t="str">
        <f t="shared" si="22"/>
        <v/>
      </c>
      <c r="M58" s="2" t="str">
        <f t="shared" si="41"/>
        <v>-</v>
      </c>
      <c r="N58" s="2" t="s">
        <v>70</v>
      </c>
      <c r="O58" s="2" t="str">
        <f t="shared" si="42"/>
        <v>-</v>
      </c>
      <c r="P58" s="2" t="s">
        <v>22</v>
      </c>
      <c r="Q58" s="2" t="str">
        <f t="shared" si="43"/>
        <v/>
      </c>
    </row>
    <row r="59" spans="2:18" x14ac:dyDescent="0.25">
      <c r="B59" s="1" t="str">
        <f t="shared" si="44"/>
        <v>@case_width-track-z16-(gr)</v>
      </c>
      <c r="C59" s="5" t="str">
        <f t="shared" si="45"/>
        <v>9.0</v>
      </c>
      <c r="D59" s="7" t="s">
        <v>83</v>
      </c>
      <c r="F59" s="2" t="s">
        <v>74</v>
      </c>
      <c r="G59" s="2" t="str">
        <f t="shared" si="40"/>
        <v>-</v>
      </c>
      <c r="H59" s="2" t="s">
        <v>98</v>
      </c>
      <c r="I59" s="2" t="str">
        <f t="shared" si="46"/>
        <v/>
      </c>
      <c r="K59" s="2" t="str">
        <f t="shared" si="22"/>
        <v/>
      </c>
      <c r="M59" s="2" t="str">
        <f t="shared" si="41"/>
        <v>-</v>
      </c>
      <c r="N59" s="2" t="s">
        <v>71</v>
      </c>
      <c r="O59" s="2" t="str">
        <f t="shared" si="42"/>
        <v>-</v>
      </c>
      <c r="P59" s="2" t="s">
        <v>22</v>
      </c>
      <c r="Q59" s="2" t="str">
        <f t="shared" si="43"/>
        <v/>
      </c>
    </row>
    <row r="60" spans="2:18" x14ac:dyDescent="0.25">
      <c r="B60" s="1" t="str">
        <f t="shared" si="44"/>
        <v>@case_width-track-z18-(gr)</v>
      </c>
      <c r="C60" s="5" t="str">
        <f t="shared" si="45"/>
        <v>15.0</v>
      </c>
      <c r="D60" s="7" t="s">
        <v>85</v>
      </c>
      <c r="F60" s="2" t="s">
        <v>74</v>
      </c>
      <c r="G60" s="2" t="str">
        <f t="shared" si="40"/>
        <v>-</v>
      </c>
      <c r="H60" s="2" t="s">
        <v>98</v>
      </c>
      <c r="I60" s="2" t="str">
        <f t="shared" si="46"/>
        <v/>
      </c>
      <c r="K60" s="2" t="str">
        <f t="shared" si="22"/>
        <v/>
      </c>
      <c r="M60" s="2" t="str">
        <f t="shared" si="41"/>
        <v>-</v>
      </c>
      <c r="N60" s="2" t="s">
        <v>72</v>
      </c>
      <c r="O60" s="2" t="str">
        <f t="shared" si="42"/>
        <v>-</v>
      </c>
      <c r="P60" s="2" t="s">
        <v>22</v>
      </c>
      <c r="Q60" s="2" t="str">
        <f t="shared" si="43"/>
        <v/>
      </c>
    </row>
    <row r="62" spans="2:18" x14ac:dyDescent="0.25">
      <c r="B62" s="1" t="str">
        <f>_xlfn.CONCAT("@",F62,G62,H62,I62,J62,K62,L62,M62,N62,O62,"(",P62,Q62,R62,")")</f>
        <v>@case_width-track-z10-(gr-hc)</v>
      </c>
      <c r="C62" s="5" t="str">
        <f>D62</f>
        <v>2.0</v>
      </c>
      <c r="D62" s="7" t="s">
        <v>81</v>
      </c>
      <c r="F62" s="2" t="s">
        <v>74</v>
      </c>
      <c r="G62" s="2" t="str">
        <f t="shared" ref="G62:G66" si="47">IF(NOT(ISBLANK(H62)),"-","")</f>
        <v>-</v>
      </c>
      <c r="H62" s="2" t="s">
        <v>98</v>
      </c>
      <c r="I62" s="2" t="str">
        <f>IF(NOT(ISBLANK(J62)),"_","")</f>
        <v/>
      </c>
      <c r="K62" s="2" t="str">
        <f t="shared" ref="K62:K66" si="48">IF(NOT(ISBLANK(L62)),"_","")</f>
        <v/>
      </c>
      <c r="M62" s="2" t="str">
        <f t="shared" ref="M62:M66" si="49">IF(NOT(ISBLANK(N62)),"-","")</f>
        <v>-</v>
      </c>
      <c r="N62" s="2" t="s">
        <v>99</v>
      </c>
      <c r="O62" s="2" t="str">
        <f t="shared" ref="O62:O66" si="50">IF(NOT(ISBLANK(P62)),"-","")</f>
        <v>-</v>
      </c>
      <c r="P62" s="2" t="s">
        <v>22</v>
      </c>
      <c r="Q62" s="2" t="str">
        <f t="shared" ref="Q62:Q66" si="51">IF(NOT(ISBLANK(R62)),"-","")</f>
        <v>-</v>
      </c>
      <c r="R62" s="2" t="s">
        <v>11</v>
      </c>
    </row>
    <row r="63" spans="2:18" x14ac:dyDescent="0.25">
      <c r="B63" s="1" t="str">
        <f>_xlfn.CONCAT("@",F63,G63,H63,I63,J63,K63,L63,M63,N63,O63,"(",P63,Q63,R63,")")</f>
        <v>@case_width-track-z11-(gr-hc)</v>
      </c>
      <c r="C63" s="5" t="str">
        <f>D63</f>
        <v>3.0</v>
      </c>
      <c r="D63" s="7" t="s">
        <v>84</v>
      </c>
      <c r="F63" s="2" t="s">
        <v>74</v>
      </c>
      <c r="G63" s="2" t="str">
        <f t="shared" si="47"/>
        <v>-</v>
      </c>
      <c r="H63" s="2" t="s">
        <v>98</v>
      </c>
      <c r="I63" s="2" t="str">
        <f>IF(NOT(ISBLANK(J63)),"_","")</f>
        <v/>
      </c>
      <c r="K63" s="2" t="str">
        <f t="shared" si="48"/>
        <v/>
      </c>
      <c r="M63" s="2" t="str">
        <f t="shared" si="49"/>
        <v>-</v>
      </c>
      <c r="N63" s="2" t="s">
        <v>66</v>
      </c>
      <c r="O63" s="2" t="str">
        <f t="shared" si="50"/>
        <v>-</v>
      </c>
      <c r="P63" s="2" t="s">
        <v>22</v>
      </c>
      <c r="Q63" s="2" t="str">
        <f t="shared" si="51"/>
        <v>-</v>
      </c>
      <c r="R63" s="2" t="s">
        <v>11</v>
      </c>
    </row>
    <row r="64" spans="2:18" x14ac:dyDescent="0.25">
      <c r="B64" s="1" t="str">
        <f t="shared" ref="B64:B66" si="52">_xlfn.CONCAT("@",F64,G64,H64,I64,J64,K64,L64,M64,N64,O64,"(",P64,Q64,R64,")")</f>
        <v>@case_width-track-z14-(gr-hc)</v>
      </c>
      <c r="C64" s="5" t="str">
        <f t="shared" ref="C64:C66" si="53">D64</f>
        <v>4.0</v>
      </c>
      <c r="D64" s="7" t="s">
        <v>88</v>
      </c>
      <c r="F64" s="2" t="s">
        <v>74</v>
      </c>
      <c r="G64" s="2" t="str">
        <f t="shared" si="47"/>
        <v>-</v>
      </c>
      <c r="H64" s="2" t="s">
        <v>98</v>
      </c>
      <c r="I64" s="2" t="str">
        <f t="shared" ref="I64:I66" si="54">IF(NOT(ISBLANK(J64)),"_","")</f>
        <v/>
      </c>
      <c r="K64" s="2" t="str">
        <f t="shared" si="48"/>
        <v/>
      </c>
      <c r="M64" s="2" t="str">
        <f t="shared" si="49"/>
        <v>-</v>
      </c>
      <c r="N64" s="2" t="s">
        <v>70</v>
      </c>
      <c r="O64" s="2" t="str">
        <f t="shared" si="50"/>
        <v>-</v>
      </c>
      <c r="P64" s="2" t="s">
        <v>22</v>
      </c>
      <c r="Q64" s="2" t="str">
        <f t="shared" si="51"/>
        <v>-</v>
      </c>
      <c r="R64" s="2" t="s">
        <v>11</v>
      </c>
    </row>
    <row r="65" spans="2:18" x14ac:dyDescent="0.25">
      <c r="B65" s="1" t="str">
        <f t="shared" si="52"/>
        <v>@case_width-track-z16-(gr-hc)</v>
      </c>
      <c r="C65" s="5" t="str">
        <f t="shared" si="53"/>
        <v>9.0</v>
      </c>
      <c r="D65" s="7" t="s">
        <v>83</v>
      </c>
      <c r="F65" s="2" t="s">
        <v>74</v>
      </c>
      <c r="G65" s="2" t="str">
        <f t="shared" si="47"/>
        <v>-</v>
      </c>
      <c r="H65" s="2" t="s">
        <v>98</v>
      </c>
      <c r="I65" s="2" t="str">
        <f t="shared" si="54"/>
        <v/>
      </c>
      <c r="K65" s="2" t="str">
        <f t="shared" si="48"/>
        <v/>
      </c>
      <c r="M65" s="2" t="str">
        <f t="shared" si="49"/>
        <v>-</v>
      </c>
      <c r="N65" s="2" t="s">
        <v>71</v>
      </c>
      <c r="O65" s="2" t="str">
        <f t="shared" si="50"/>
        <v>-</v>
      </c>
      <c r="P65" s="2" t="s">
        <v>22</v>
      </c>
      <c r="Q65" s="2" t="str">
        <f t="shared" si="51"/>
        <v>-</v>
      </c>
      <c r="R65" s="2" t="s">
        <v>11</v>
      </c>
    </row>
    <row r="66" spans="2:18" x14ac:dyDescent="0.25">
      <c r="B66" s="1" t="str">
        <f t="shared" si="52"/>
        <v>@case_width-track-z18-(gr-hc)</v>
      </c>
      <c r="C66" s="5" t="str">
        <f t="shared" si="53"/>
        <v>15.0</v>
      </c>
      <c r="D66" s="7" t="s">
        <v>85</v>
      </c>
      <c r="F66" s="2" t="s">
        <v>74</v>
      </c>
      <c r="G66" s="2" t="str">
        <f t="shared" si="47"/>
        <v>-</v>
      </c>
      <c r="H66" s="2" t="s">
        <v>98</v>
      </c>
      <c r="I66" s="2" t="str">
        <f t="shared" si="54"/>
        <v/>
      </c>
      <c r="K66" s="2" t="str">
        <f t="shared" si="48"/>
        <v/>
      </c>
      <c r="M66" s="2" t="str">
        <f t="shared" si="49"/>
        <v>-</v>
      </c>
      <c r="N66" s="2" t="s">
        <v>72</v>
      </c>
      <c r="O66" s="2" t="str">
        <f t="shared" si="50"/>
        <v>-</v>
      </c>
      <c r="P66" s="2" t="s">
        <v>22</v>
      </c>
      <c r="Q66" s="2" t="str">
        <f t="shared" si="51"/>
        <v>-</v>
      </c>
      <c r="R66" s="2" t="s">
        <v>11</v>
      </c>
    </row>
  </sheetData>
  <pageMargins left="0.7" right="0.7" top="0.75" bottom="0.75" header="0.3" footer="0.3"/>
  <headerFooter>
    <oddHeader>&amp;R&amp;"Aptos"&amp;11&amp;K000000 TUNI Luottamuksellinen - Confidential (3Y)&amp;1#_x000D_</oddHeader>
  </headerFooter>
</worksheet>
</file>

<file path=docMetadata/LabelInfo.xml><?xml version="1.0" encoding="utf-8"?>
<clbl:labelList xmlns:clbl="http://schemas.microsoft.com/office/2020/mipLabelMetadata">
  <clbl:label id="{74814fa1-1a0b-42d1-967a-caddbf829325}" enabled="1" method="Standard" siteId="{fa6944af-cc7c-4cd8-9154-c01132798910}" contentBits="1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style_variables</vt:lpstr>
      <vt:lpstr>#OLD2 style_variables_linetypes</vt:lpstr>
      <vt:lpstr>#OLD style_variables_linetypes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Tapio Kaasalainen (TAU)</dc:creator>
  <cp:lastModifiedBy>Tapio Kaasalainen (TAU)</cp:lastModifiedBy>
  <dcterms:created xsi:type="dcterms:W3CDTF">2024-10-27T05:30:53Z</dcterms:created>
  <dcterms:modified xsi:type="dcterms:W3CDTF">2026-01-06T06:45:56Z</dcterms:modified>
</cp:coreProperties>
</file>