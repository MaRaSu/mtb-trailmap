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51A51900-3113-4FEA-A393-470B0488DDD9}" xr6:coauthVersionLast="47" xr6:coauthVersionMax="47" xr10:uidLastSave="{00000000-0000-0000-0000-000000000000}"/>
  <bookViews>
    <workbookView xWindow="-120" yWindow="-15" windowWidth="194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7" i="5" l="1"/>
  <c r="G109" i="5"/>
  <c r="G115" i="5"/>
  <c r="G114" i="5"/>
  <c r="G113" i="5"/>
  <c r="G112" i="5"/>
  <c r="G121" i="5"/>
  <c r="AH102" i="5"/>
  <c r="AF102" i="5"/>
  <c r="AD102" i="5"/>
  <c r="AB102" i="5"/>
  <c r="B102" i="5"/>
  <c r="AH101" i="5"/>
  <c r="AF101" i="5"/>
  <c r="AD101" i="5"/>
  <c r="AB101" i="5"/>
  <c r="B101" i="5"/>
  <c r="AH100" i="5"/>
  <c r="AF100" i="5"/>
  <c r="AD100" i="5"/>
  <c r="AB100" i="5"/>
  <c r="B100" i="5"/>
  <c r="AH99" i="5"/>
  <c r="AF99" i="5"/>
  <c r="AD99" i="5"/>
  <c r="AB99" i="5"/>
  <c r="B99" i="5"/>
  <c r="AH98" i="5"/>
  <c r="AF98" i="5"/>
  <c r="AD98" i="5"/>
  <c r="AB98" i="5"/>
  <c r="B98" i="5"/>
  <c r="AH97" i="5"/>
  <c r="AF97" i="5"/>
  <c r="AD97" i="5"/>
  <c r="AB97" i="5"/>
  <c r="B97" i="5"/>
  <c r="AH96" i="5"/>
  <c r="AF96" i="5"/>
  <c r="AD96" i="5"/>
  <c r="AB96" i="5"/>
  <c r="B96" i="5"/>
  <c r="AH95" i="5"/>
  <c r="AF95" i="5"/>
  <c r="AD95" i="5"/>
  <c r="AB95" i="5"/>
  <c r="B95" i="5"/>
  <c r="AH94" i="5"/>
  <c r="AF94" i="5"/>
  <c r="AD94" i="5"/>
  <c r="AB94" i="5"/>
  <c r="B94" i="5"/>
  <c r="AH93" i="5"/>
  <c r="AF93" i="5"/>
  <c r="AD93" i="5"/>
  <c r="AB93" i="5"/>
  <c r="B93" i="5"/>
  <c r="AH92" i="5"/>
  <c r="AF92" i="5"/>
  <c r="AD92" i="5"/>
  <c r="AB92" i="5"/>
  <c r="B92" i="5"/>
  <c r="AH91" i="5"/>
  <c r="AF91" i="5"/>
  <c r="AD91" i="5"/>
  <c r="AB91" i="5"/>
  <c r="B91" i="5"/>
  <c r="AH90" i="5"/>
  <c r="AF90" i="5"/>
  <c r="AD90" i="5"/>
  <c r="AB90" i="5"/>
  <c r="B90" i="5"/>
  <c r="AH89" i="5"/>
  <c r="AF89" i="5"/>
  <c r="B89" i="5" s="1"/>
  <c r="AD89" i="5"/>
  <c r="AB89" i="5"/>
  <c r="AH88" i="5"/>
  <c r="AF88" i="5"/>
  <c r="AD88" i="5"/>
  <c r="AB88" i="5"/>
  <c r="B88" i="5"/>
  <c r="AH87" i="5"/>
  <c r="AF87" i="5"/>
  <c r="B87" i="5" s="1"/>
  <c r="AD87" i="5"/>
  <c r="AB87" i="5"/>
  <c r="AH197" i="5"/>
  <c r="AH196" i="5"/>
  <c r="AH195" i="5"/>
  <c r="AH194" i="5"/>
  <c r="AH193" i="5"/>
  <c r="AH192" i="5"/>
  <c r="AH191" i="5"/>
  <c r="AH190" i="5"/>
  <c r="AH189" i="5"/>
  <c r="AH187" i="5"/>
  <c r="AH186" i="5"/>
  <c r="AH184" i="5"/>
  <c r="AH183" i="5"/>
  <c r="AH182" i="5"/>
  <c r="AH181" i="5"/>
  <c r="AH180" i="5"/>
  <c r="AH179" i="5"/>
  <c r="AH177" i="5"/>
  <c r="AH176" i="5"/>
  <c r="AH174" i="5"/>
  <c r="AH173" i="5"/>
  <c r="AH172" i="5"/>
  <c r="AH171" i="5"/>
  <c r="AH170" i="5"/>
  <c r="AH169" i="5"/>
  <c r="AH28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H201" i="5"/>
  <c r="AH200" i="5"/>
  <c r="AH199" i="5"/>
  <c r="AH198" i="5"/>
  <c r="AH188" i="5"/>
  <c r="AH185" i="5"/>
  <c r="AH178" i="5"/>
  <c r="AH175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B42" i="5" s="1"/>
  <c r="AB44" i="5"/>
  <c r="AD44" i="5"/>
  <c r="AF44" i="5"/>
  <c r="AF39" i="5"/>
  <c r="AD39" i="5"/>
  <c r="AB39" i="5"/>
  <c r="B39" i="5" s="1"/>
  <c r="AF40" i="5"/>
  <c r="AD40" i="5"/>
  <c r="AB40" i="5"/>
  <c r="B40" i="5" s="1"/>
  <c r="AF38" i="5"/>
  <c r="AD38" i="5"/>
  <c r="AB38" i="5"/>
  <c r="B38" i="5" s="1"/>
  <c r="AF190" i="5"/>
  <c r="AD190" i="5"/>
  <c r="AB190" i="5"/>
  <c r="V190" i="5"/>
  <c r="U190" i="5"/>
  <c r="J190" i="5"/>
  <c r="I190" i="5"/>
  <c r="AF180" i="5"/>
  <c r="AD180" i="5"/>
  <c r="AB180" i="5"/>
  <c r="B180" i="5" s="1"/>
  <c r="V180" i="5"/>
  <c r="U180" i="5"/>
  <c r="J180" i="5"/>
  <c r="I180" i="5"/>
  <c r="AF170" i="5"/>
  <c r="AD170" i="5"/>
  <c r="AB170" i="5"/>
  <c r="B170" i="5" s="1"/>
  <c r="V170" i="5"/>
  <c r="U170" i="5"/>
  <c r="J170" i="5"/>
  <c r="I170" i="5"/>
  <c r="AF158" i="5"/>
  <c r="AD158" i="5"/>
  <c r="AB158" i="5"/>
  <c r="V158" i="5"/>
  <c r="U158" i="5"/>
  <c r="J158" i="5"/>
  <c r="I158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B83" i="5" s="1"/>
  <c r="AF82" i="5"/>
  <c r="AD82" i="5"/>
  <c r="AB82" i="5"/>
  <c r="B82" i="5" s="1"/>
  <c r="AF81" i="5"/>
  <c r="AD81" i="5"/>
  <c r="AB81" i="5"/>
  <c r="B81" i="5" s="1"/>
  <c r="AF79" i="5"/>
  <c r="AD79" i="5"/>
  <c r="AB79" i="5"/>
  <c r="B79" i="5" s="1"/>
  <c r="AF78" i="5"/>
  <c r="AD78" i="5"/>
  <c r="AB78" i="5"/>
  <c r="B78" i="5" s="1"/>
  <c r="AF77" i="5"/>
  <c r="AD77" i="5"/>
  <c r="AB77" i="5"/>
  <c r="B77" i="5" s="1"/>
  <c r="AF75" i="5"/>
  <c r="AD75" i="5"/>
  <c r="AB75" i="5"/>
  <c r="B75" i="5" s="1"/>
  <c r="AF74" i="5"/>
  <c r="AD74" i="5"/>
  <c r="AB74" i="5"/>
  <c r="B74" i="5" s="1"/>
  <c r="AF73" i="5"/>
  <c r="AD73" i="5"/>
  <c r="AB73" i="5"/>
  <c r="B73" i="5" s="1"/>
  <c r="AF71" i="5"/>
  <c r="AD71" i="5"/>
  <c r="AB71" i="5"/>
  <c r="AF70" i="5"/>
  <c r="AD70" i="5"/>
  <c r="AB70" i="5"/>
  <c r="AF69" i="5"/>
  <c r="AD69" i="5"/>
  <c r="AB69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B47" i="5" s="1"/>
  <c r="AF46" i="5"/>
  <c r="AD46" i="5"/>
  <c r="AB46" i="5"/>
  <c r="B46" i="5" s="1"/>
  <c r="AF43" i="5"/>
  <c r="AD43" i="5"/>
  <c r="AB43" i="5"/>
  <c r="B43" i="5" s="1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B21" i="5" s="1"/>
  <c r="AF20" i="5"/>
  <c r="AD20" i="5"/>
  <c r="AB20" i="5"/>
  <c r="B20" i="5" s="1"/>
  <c r="AF19" i="5"/>
  <c r="AD19" i="5"/>
  <c r="AB19" i="5"/>
  <c r="B19" i="5" s="1"/>
  <c r="AF18" i="5"/>
  <c r="AD18" i="5"/>
  <c r="AB18" i="5"/>
  <c r="B18" i="5" s="1"/>
  <c r="AF17" i="5"/>
  <c r="AD17" i="5"/>
  <c r="AB17" i="5"/>
  <c r="B17" i="5" s="1"/>
  <c r="AF16" i="5"/>
  <c r="AD16" i="5"/>
  <c r="AB16" i="5"/>
  <c r="B16" i="5" s="1"/>
  <c r="AF15" i="5"/>
  <c r="AD15" i="5"/>
  <c r="AB15" i="5"/>
  <c r="B15" i="5" s="1"/>
  <c r="AF14" i="5"/>
  <c r="AD14" i="5"/>
  <c r="AB14" i="5"/>
  <c r="B14" i="5" s="1"/>
  <c r="AF13" i="5"/>
  <c r="AD13" i="5"/>
  <c r="AB13" i="5"/>
  <c r="B13" i="5" s="1"/>
  <c r="AF12" i="5"/>
  <c r="AD12" i="5"/>
  <c r="AB12" i="5"/>
  <c r="B12" i="5" s="1"/>
  <c r="AF11" i="5"/>
  <c r="AD11" i="5"/>
  <c r="AB11" i="5"/>
  <c r="B11" i="5" s="1"/>
  <c r="AF122" i="5"/>
  <c r="AD122" i="5"/>
  <c r="AB122" i="5"/>
  <c r="B122" i="5" s="1"/>
  <c r="AF147" i="5"/>
  <c r="AD147" i="5"/>
  <c r="AB147" i="5"/>
  <c r="B147" i="5" s="1"/>
  <c r="G197" i="5"/>
  <c r="G196" i="5"/>
  <c r="G187" i="5"/>
  <c r="G186" i="5"/>
  <c r="G177" i="5"/>
  <c r="G176" i="5"/>
  <c r="G166" i="5"/>
  <c r="G165" i="5"/>
  <c r="D197" i="5"/>
  <c r="D196" i="5"/>
  <c r="D187" i="5"/>
  <c r="D186" i="5"/>
  <c r="D177" i="5"/>
  <c r="D176" i="5"/>
  <c r="D166" i="5"/>
  <c r="D165" i="5"/>
  <c r="AF157" i="5"/>
  <c r="AD157" i="5"/>
  <c r="AB157" i="5"/>
  <c r="V157" i="5"/>
  <c r="U157" i="5"/>
  <c r="J157" i="5"/>
  <c r="I157" i="5"/>
  <c r="AF108" i="5"/>
  <c r="AD108" i="5"/>
  <c r="AB108" i="5"/>
  <c r="AF106" i="5"/>
  <c r="AD106" i="5"/>
  <c r="AB106" i="5"/>
  <c r="AF149" i="5"/>
  <c r="AD149" i="5"/>
  <c r="AB149" i="5"/>
  <c r="B149" i="5" s="1"/>
  <c r="AF120" i="5"/>
  <c r="AD120" i="5"/>
  <c r="AB120" i="5"/>
  <c r="AF119" i="5"/>
  <c r="AD119" i="5"/>
  <c r="AB119" i="5"/>
  <c r="AF118" i="5"/>
  <c r="AD118" i="5"/>
  <c r="AB118" i="5"/>
  <c r="AF117" i="5"/>
  <c r="AD117" i="5"/>
  <c r="AB117" i="5"/>
  <c r="AF116" i="5"/>
  <c r="AD116" i="5"/>
  <c r="AB116" i="5"/>
  <c r="AF148" i="5"/>
  <c r="AD148" i="5"/>
  <c r="AB148" i="5"/>
  <c r="AF146" i="5"/>
  <c r="AD146" i="5"/>
  <c r="AB146" i="5"/>
  <c r="B146" i="5" s="1"/>
  <c r="V189" i="5"/>
  <c r="V179" i="5"/>
  <c r="V164" i="5"/>
  <c r="V163" i="5"/>
  <c r="V169" i="5"/>
  <c r="V175" i="5"/>
  <c r="J164" i="5"/>
  <c r="I164" i="5"/>
  <c r="J175" i="5"/>
  <c r="J185" i="5"/>
  <c r="V185" i="5" s="1"/>
  <c r="J195" i="5"/>
  <c r="V195" i="5" s="1"/>
  <c r="J189" i="5"/>
  <c r="J179" i="5"/>
  <c r="U154" i="5"/>
  <c r="U153" i="5"/>
  <c r="U152" i="5"/>
  <c r="U163" i="5"/>
  <c r="U164" i="5"/>
  <c r="AF161" i="5"/>
  <c r="AD161" i="5"/>
  <c r="AB161" i="5"/>
  <c r="AF159" i="5"/>
  <c r="AD159" i="5"/>
  <c r="AB159" i="5"/>
  <c r="J169" i="5"/>
  <c r="J154" i="5"/>
  <c r="I154" i="5"/>
  <c r="I153" i="5"/>
  <c r="I152" i="5"/>
  <c r="J166" i="5"/>
  <c r="J165" i="5"/>
  <c r="J177" i="5"/>
  <c r="J176" i="5"/>
  <c r="J186" i="5"/>
  <c r="J187" i="5"/>
  <c r="J196" i="5"/>
  <c r="J197" i="5"/>
  <c r="AF203" i="5"/>
  <c r="AD203" i="5"/>
  <c r="AB203" i="5"/>
  <c r="V203" i="5"/>
  <c r="AF200" i="5"/>
  <c r="AD200" i="5"/>
  <c r="AB200" i="5"/>
  <c r="AF214" i="5"/>
  <c r="AD214" i="5"/>
  <c r="AB214" i="5"/>
  <c r="J214" i="5"/>
  <c r="I214" i="5"/>
  <c r="D214" i="5"/>
  <c r="AF213" i="5"/>
  <c r="AD213" i="5"/>
  <c r="AB213" i="5"/>
  <c r="J213" i="5"/>
  <c r="I213" i="5"/>
  <c r="D213" i="5"/>
  <c r="AF212" i="5"/>
  <c r="AD212" i="5"/>
  <c r="AB212" i="5"/>
  <c r="V212" i="5"/>
  <c r="AF211" i="5"/>
  <c r="AD211" i="5"/>
  <c r="AB211" i="5"/>
  <c r="J211" i="5"/>
  <c r="I211" i="5"/>
  <c r="AF210" i="5"/>
  <c r="AD210" i="5"/>
  <c r="AB210" i="5"/>
  <c r="J210" i="5"/>
  <c r="I210" i="5"/>
  <c r="AF209" i="5"/>
  <c r="AD209" i="5"/>
  <c r="AB209" i="5"/>
  <c r="J209" i="5"/>
  <c r="I209" i="5"/>
  <c r="AF208" i="5"/>
  <c r="AD208" i="5"/>
  <c r="AB208" i="5"/>
  <c r="J208" i="5"/>
  <c r="I208" i="5"/>
  <c r="AF207" i="5"/>
  <c r="AD207" i="5"/>
  <c r="AB207" i="5"/>
  <c r="AF206" i="5"/>
  <c r="AD206" i="5"/>
  <c r="AB206" i="5"/>
  <c r="V221" i="5"/>
  <c r="V229" i="5"/>
  <c r="AF229" i="5"/>
  <c r="AD229" i="5"/>
  <c r="AB229" i="5"/>
  <c r="AF221" i="5"/>
  <c r="AD221" i="5"/>
  <c r="AB221" i="5"/>
  <c r="AF223" i="5"/>
  <c r="AD223" i="5"/>
  <c r="AB223" i="5"/>
  <c r="J223" i="5"/>
  <c r="I223" i="5"/>
  <c r="D223" i="5"/>
  <c r="AF222" i="5"/>
  <c r="AD222" i="5"/>
  <c r="AB222" i="5"/>
  <c r="J222" i="5"/>
  <c r="I222" i="5"/>
  <c r="D222" i="5"/>
  <c r="AF220" i="5"/>
  <c r="AD220" i="5"/>
  <c r="AB220" i="5"/>
  <c r="B220" i="5" s="1"/>
  <c r="J220" i="5"/>
  <c r="I220" i="5"/>
  <c r="AF219" i="5"/>
  <c r="AD219" i="5"/>
  <c r="AB219" i="5"/>
  <c r="J219" i="5"/>
  <c r="I219" i="5"/>
  <c r="AF218" i="5"/>
  <c r="AD218" i="5"/>
  <c r="AB218" i="5"/>
  <c r="B218" i="5" s="1"/>
  <c r="J218" i="5"/>
  <c r="I218" i="5"/>
  <c r="AF217" i="5"/>
  <c r="AD217" i="5"/>
  <c r="AB217" i="5"/>
  <c r="J217" i="5"/>
  <c r="I217" i="5"/>
  <c r="AF216" i="5"/>
  <c r="AD216" i="5"/>
  <c r="AB216" i="5"/>
  <c r="B216" i="5" s="1"/>
  <c r="AF215" i="5"/>
  <c r="AD215" i="5"/>
  <c r="AB215" i="5"/>
  <c r="J228" i="5"/>
  <c r="J227" i="5"/>
  <c r="I228" i="5"/>
  <c r="I227" i="5"/>
  <c r="J226" i="5"/>
  <c r="J225" i="5"/>
  <c r="I226" i="5"/>
  <c r="I225" i="5"/>
  <c r="AF227" i="5"/>
  <c r="AD227" i="5"/>
  <c r="AB227" i="5"/>
  <c r="AF225" i="5"/>
  <c r="AD225" i="5"/>
  <c r="AB225" i="5"/>
  <c r="AF228" i="5"/>
  <c r="AD228" i="5"/>
  <c r="AB228" i="5"/>
  <c r="AF226" i="5"/>
  <c r="AD226" i="5"/>
  <c r="AB226" i="5"/>
  <c r="J202" i="5"/>
  <c r="J201" i="5"/>
  <c r="I201" i="5"/>
  <c r="I202" i="5"/>
  <c r="AF202" i="5"/>
  <c r="AD202" i="5"/>
  <c r="AB202" i="5"/>
  <c r="B202" i="5" s="1"/>
  <c r="AF201" i="5"/>
  <c r="AD201" i="5"/>
  <c r="AB201" i="5"/>
  <c r="B201" i="5" s="1"/>
  <c r="J231" i="5"/>
  <c r="J230" i="5"/>
  <c r="J205" i="5"/>
  <c r="D231" i="5"/>
  <c r="D230" i="5"/>
  <c r="D205" i="5"/>
  <c r="J204" i="5"/>
  <c r="D204" i="5"/>
  <c r="U189" i="5"/>
  <c r="U179" i="5"/>
  <c r="U169" i="5"/>
  <c r="U195" i="5"/>
  <c r="U185" i="5"/>
  <c r="U175" i="5"/>
  <c r="AF175" i="5"/>
  <c r="AD175" i="5"/>
  <c r="AB175" i="5"/>
  <c r="I175" i="5"/>
  <c r="AF185" i="5"/>
  <c r="AD185" i="5"/>
  <c r="AB185" i="5"/>
  <c r="I185" i="5"/>
  <c r="I195" i="5"/>
  <c r="AF195" i="5"/>
  <c r="AD195" i="5"/>
  <c r="AB195" i="5"/>
  <c r="AF173" i="5"/>
  <c r="AD173" i="5"/>
  <c r="AB173" i="5"/>
  <c r="AF171" i="5"/>
  <c r="AD171" i="5"/>
  <c r="AB171" i="5"/>
  <c r="AF169" i="5"/>
  <c r="AD169" i="5"/>
  <c r="AB169" i="5"/>
  <c r="B169" i="5" s="1"/>
  <c r="I169" i="5"/>
  <c r="AF187" i="5"/>
  <c r="AD187" i="5"/>
  <c r="AB187" i="5"/>
  <c r="B187" i="5" s="1"/>
  <c r="AF186" i="5"/>
  <c r="AD186" i="5"/>
  <c r="AB186" i="5"/>
  <c r="B186" i="5" s="1"/>
  <c r="AF184" i="5"/>
  <c r="AD184" i="5"/>
  <c r="AB184" i="5"/>
  <c r="B184" i="5" s="1"/>
  <c r="AF183" i="5"/>
  <c r="AD183" i="5"/>
  <c r="AB183" i="5"/>
  <c r="AF182" i="5"/>
  <c r="AD182" i="5"/>
  <c r="AB182" i="5"/>
  <c r="B182" i="5" s="1"/>
  <c r="AF181" i="5"/>
  <c r="AD181" i="5"/>
  <c r="AB181" i="5"/>
  <c r="B181" i="5" s="1"/>
  <c r="AF179" i="5"/>
  <c r="AD179" i="5"/>
  <c r="AB179" i="5"/>
  <c r="B179" i="5" s="1"/>
  <c r="I179" i="5"/>
  <c r="AF178" i="5"/>
  <c r="AF193" i="5"/>
  <c r="AD193" i="5"/>
  <c r="AB193" i="5"/>
  <c r="AF191" i="5"/>
  <c r="AD191" i="5"/>
  <c r="AB191" i="5"/>
  <c r="B191" i="5" s="1"/>
  <c r="I189" i="5"/>
  <c r="AF189" i="5"/>
  <c r="AD189" i="5"/>
  <c r="AB189" i="5"/>
  <c r="B189" i="5" s="1"/>
  <c r="AF197" i="5"/>
  <c r="AF196" i="5"/>
  <c r="AF194" i="5"/>
  <c r="AF192" i="5"/>
  <c r="AF188" i="5"/>
  <c r="AD197" i="5"/>
  <c r="AB197" i="5"/>
  <c r="AD196" i="5"/>
  <c r="AB196" i="5"/>
  <c r="AD194" i="5"/>
  <c r="AB194" i="5"/>
  <c r="AD192" i="5"/>
  <c r="AB192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239" i="5"/>
  <c r="AF238" i="5"/>
  <c r="AF237" i="5"/>
  <c r="AF236" i="5"/>
  <c r="AF235" i="5"/>
  <c r="AF234" i="5"/>
  <c r="AF233" i="5"/>
  <c r="AF232" i="5"/>
  <c r="AF231" i="5"/>
  <c r="AF230" i="5"/>
  <c r="AF224" i="5"/>
  <c r="AF205" i="5"/>
  <c r="AF204" i="5"/>
  <c r="AF199" i="5"/>
  <c r="AF198" i="5"/>
  <c r="AF177" i="5"/>
  <c r="AF176" i="5"/>
  <c r="AD239" i="5"/>
  <c r="AD238" i="5"/>
  <c r="AD237" i="5"/>
  <c r="AD236" i="5"/>
  <c r="AD235" i="5"/>
  <c r="AD234" i="5"/>
  <c r="AD233" i="5"/>
  <c r="AD232" i="5"/>
  <c r="AD231" i="5"/>
  <c r="AD230" i="5"/>
  <c r="AD224" i="5"/>
  <c r="AD205" i="5"/>
  <c r="AD204" i="5"/>
  <c r="AD199" i="5"/>
  <c r="AD198" i="5"/>
  <c r="AD177" i="5"/>
  <c r="AD176" i="5"/>
  <c r="AB239" i="5"/>
  <c r="B239" i="5" s="1"/>
  <c r="AB238" i="5"/>
  <c r="B238" i="5" s="1"/>
  <c r="AB237" i="5"/>
  <c r="B237" i="5" s="1"/>
  <c r="AB236" i="5"/>
  <c r="B236" i="5" s="1"/>
  <c r="AB235" i="5"/>
  <c r="B235" i="5" s="1"/>
  <c r="AB234" i="5"/>
  <c r="B234" i="5" s="1"/>
  <c r="AB233" i="5"/>
  <c r="AB232" i="5"/>
  <c r="AB231" i="5"/>
  <c r="B231" i="5" s="1"/>
  <c r="AB230" i="5"/>
  <c r="B230" i="5" s="1"/>
  <c r="AB224" i="5"/>
  <c r="AB205" i="5"/>
  <c r="B205" i="5" s="1"/>
  <c r="AB204" i="5"/>
  <c r="B204" i="5" s="1"/>
  <c r="AB199" i="5"/>
  <c r="AB198" i="5"/>
  <c r="AB177" i="5"/>
  <c r="B177" i="5" s="1"/>
  <c r="I231" i="5"/>
  <c r="I230" i="5"/>
  <c r="I205" i="5"/>
  <c r="I204" i="5"/>
  <c r="AF174" i="5"/>
  <c r="AF172" i="5"/>
  <c r="AD174" i="5"/>
  <c r="AD172" i="5"/>
  <c r="AB176" i="5"/>
  <c r="B176" i="5" s="1"/>
  <c r="AB174" i="5"/>
  <c r="AB172" i="5"/>
  <c r="AF168" i="5"/>
  <c r="AF167" i="5"/>
  <c r="AF166" i="5"/>
  <c r="AF165" i="5"/>
  <c r="AF164" i="5"/>
  <c r="AF163" i="5"/>
  <c r="AF162" i="5"/>
  <c r="AF160" i="5"/>
  <c r="AF156" i="5"/>
  <c r="AF155" i="5"/>
  <c r="AF154" i="5"/>
  <c r="AF153" i="5"/>
  <c r="AF152" i="5"/>
  <c r="AF151" i="5"/>
  <c r="AF150" i="5"/>
  <c r="AF145" i="5"/>
  <c r="AF144" i="5"/>
  <c r="AF143" i="5"/>
  <c r="AF142" i="5"/>
  <c r="AF141" i="5"/>
  <c r="AF140" i="5"/>
  <c r="AF139" i="5"/>
  <c r="AF138" i="5"/>
  <c r="AF137" i="5"/>
  <c r="AF136" i="5"/>
  <c r="AF135" i="5"/>
  <c r="AF134" i="5"/>
  <c r="AF133" i="5"/>
  <c r="AF132" i="5"/>
  <c r="AF131" i="5"/>
  <c r="AF130" i="5"/>
  <c r="AF129" i="5"/>
  <c r="AF128" i="5"/>
  <c r="AF127" i="5"/>
  <c r="AF126" i="5"/>
  <c r="AF125" i="5"/>
  <c r="AF124" i="5"/>
  <c r="AF123" i="5"/>
  <c r="AF121" i="5"/>
  <c r="AF115" i="5"/>
  <c r="AF114" i="5"/>
  <c r="AF113" i="5"/>
  <c r="AF112" i="5"/>
  <c r="AF111" i="5"/>
  <c r="AF110" i="5"/>
  <c r="AF109" i="5"/>
  <c r="AF107" i="5"/>
  <c r="AF105" i="5"/>
  <c r="AF63" i="5"/>
  <c r="AF61" i="5"/>
  <c r="AF60" i="5"/>
  <c r="AF59" i="5"/>
  <c r="AF58" i="5"/>
  <c r="AF57" i="5"/>
  <c r="AF56" i="5"/>
  <c r="AF55" i="5"/>
  <c r="AF54" i="5"/>
  <c r="AD168" i="5"/>
  <c r="AD167" i="5"/>
  <c r="AD166" i="5"/>
  <c r="AD165" i="5"/>
  <c r="AD164" i="5"/>
  <c r="AD163" i="5"/>
  <c r="AD162" i="5"/>
  <c r="AD160" i="5"/>
  <c r="AD156" i="5"/>
  <c r="AD155" i="5"/>
  <c r="AD154" i="5"/>
  <c r="AD153" i="5"/>
  <c r="AD152" i="5"/>
  <c r="AD151" i="5"/>
  <c r="AD150" i="5"/>
  <c r="AD145" i="5"/>
  <c r="AD144" i="5"/>
  <c r="AD143" i="5"/>
  <c r="AD142" i="5"/>
  <c r="AD141" i="5"/>
  <c r="AD140" i="5"/>
  <c r="AD139" i="5"/>
  <c r="AD138" i="5"/>
  <c r="AD137" i="5"/>
  <c r="AD136" i="5"/>
  <c r="AD135" i="5"/>
  <c r="AD134" i="5"/>
  <c r="AD133" i="5"/>
  <c r="AD132" i="5"/>
  <c r="AD131" i="5"/>
  <c r="AD130" i="5"/>
  <c r="AD129" i="5"/>
  <c r="AD128" i="5"/>
  <c r="AD127" i="5"/>
  <c r="AD126" i="5"/>
  <c r="AD125" i="5"/>
  <c r="AD124" i="5"/>
  <c r="AD123" i="5"/>
  <c r="AD121" i="5"/>
  <c r="AD115" i="5"/>
  <c r="AD114" i="5"/>
  <c r="AD113" i="5"/>
  <c r="AD112" i="5"/>
  <c r="AD111" i="5"/>
  <c r="AD110" i="5"/>
  <c r="AD109" i="5"/>
  <c r="AD107" i="5"/>
  <c r="AD105" i="5"/>
  <c r="AD63" i="5"/>
  <c r="AD61" i="5"/>
  <c r="AD60" i="5"/>
  <c r="AD59" i="5"/>
  <c r="AD58" i="5"/>
  <c r="AD57" i="5"/>
  <c r="AD56" i="5"/>
  <c r="AD55" i="5"/>
  <c r="AB168" i="5"/>
  <c r="AB167" i="5"/>
  <c r="AB166" i="5"/>
  <c r="AB165" i="5"/>
  <c r="AB164" i="5"/>
  <c r="AB163" i="5"/>
  <c r="AB162" i="5"/>
  <c r="AB160" i="5"/>
  <c r="AB156" i="5"/>
  <c r="AB155" i="5"/>
  <c r="AB154" i="5"/>
  <c r="AB153" i="5"/>
  <c r="AB152" i="5"/>
  <c r="AB151" i="5"/>
  <c r="AB150" i="5"/>
  <c r="AB145" i="5"/>
  <c r="AB144" i="5"/>
  <c r="AB143" i="5"/>
  <c r="AB142" i="5"/>
  <c r="AB141" i="5"/>
  <c r="AB140" i="5"/>
  <c r="AB139" i="5"/>
  <c r="AB138" i="5"/>
  <c r="AB137" i="5"/>
  <c r="AB136" i="5"/>
  <c r="AB135" i="5"/>
  <c r="AB134" i="5"/>
  <c r="AB133" i="5"/>
  <c r="AB132" i="5"/>
  <c r="AB131" i="5"/>
  <c r="AB130" i="5"/>
  <c r="AB129" i="5"/>
  <c r="AB128" i="5"/>
  <c r="AB127" i="5"/>
  <c r="AB126" i="5"/>
  <c r="AB125" i="5"/>
  <c r="AB124" i="5"/>
  <c r="AB123" i="5"/>
  <c r="AB121" i="5"/>
  <c r="AB115" i="5"/>
  <c r="AB114" i="5"/>
  <c r="AB113" i="5"/>
  <c r="AB112" i="5"/>
  <c r="AB111" i="5"/>
  <c r="AB110" i="5"/>
  <c r="AB109" i="5"/>
  <c r="AB107" i="5"/>
  <c r="AB105" i="5"/>
  <c r="AB63" i="5"/>
  <c r="AB61" i="5"/>
  <c r="AB60" i="5"/>
  <c r="AB59" i="5"/>
  <c r="AB58" i="5"/>
  <c r="AB57" i="5"/>
  <c r="AB56" i="5"/>
  <c r="AB55" i="5"/>
  <c r="AB54" i="5"/>
  <c r="D115" i="5"/>
  <c r="D121" i="5"/>
  <c r="D114" i="5"/>
  <c r="D113" i="5"/>
  <c r="D112" i="5"/>
  <c r="D109" i="5"/>
  <c r="D107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48" i="5" l="1"/>
  <c r="B175" i="5"/>
  <c r="B185" i="5"/>
  <c r="B59" i="5"/>
  <c r="B58" i="5"/>
  <c r="B57" i="5"/>
  <c r="B56" i="5"/>
  <c r="B55" i="5"/>
  <c r="B190" i="5"/>
  <c r="B48" i="5"/>
  <c r="B207" i="5"/>
  <c r="B229" i="5"/>
  <c r="B221" i="5"/>
  <c r="B223" i="5"/>
  <c r="B222" i="5"/>
  <c r="B128" i="5"/>
  <c r="B127" i="5"/>
  <c r="B126" i="5"/>
  <c r="B125" i="5"/>
  <c r="B121" i="5"/>
  <c r="B115" i="5"/>
  <c r="B114" i="5"/>
  <c r="B113" i="5"/>
  <c r="B112" i="5"/>
  <c r="B109" i="5"/>
  <c r="B107" i="5"/>
  <c r="B61" i="5"/>
  <c r="B60" i="5"/>
  <c r="B120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203" i="5"/>
  <c r="B200" i="5"/>
  <c r="B214" i="5"/>
  <c r="B213" i="5"/>
  <c r="B212" i="5"/>
  <c r="B211" i="5"/>
  <c r="B209" i="5"/>
  <c r="B183" i="5"/>
  <c r="B66" i="5"/>
  <c r="B65" i="5"/>
  <c r="B64" i="5"/>
  <c r="B164" i="5"/>
  <c r="B163" i="5"/>
  <c r="B154" i="5"/>
  <c r="B153" i="5"/>
  <c r="B152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18" i="5"/>
  <c r="B62" i="5"/>
  <c r="B108" i="5"/>
  <c r="B72" i="5"/>
  <c r="B119" i="5"/>
  <c r="B106" i="5"/>
  <c r="B80" i="5"/>
  <c r="B29" i="5"/>
  <c r="B157" i="5"/>
  <c r="B195" i="5"/>
  <c r="B173" i="5"/>
  <c r="B171" i="5"/>
  <c r="B193" i="5"/>
  <c r="B197" i="5"/>
  <c r="B196" i="5"/>
  <c r="B194" i="5"/>
  <c r="B192" i="5"/>
  <c r="B174" i="5"/>
  <c r="B172" i="5"/>
  <c r="B228" i="5"/>
  <c r="B227" i="5"/>
  <c r="B226" i="5"/>
  <c r="B225" i="5"/>
  <c r="B210" i="5"/>
  <c r="B208" i="5"/>
  <c r="B217" i="5"/>
  <c r="B219" i="5"/>
  <c r="B166" i="5"/>
  <c r="B165" i="5"/>
  <c r="B162" i="5"/>
  <c r="B161" i="5"/>
  <c r="B160" i="5"/>
  <c r="B159" i="5"/>
  <c r="B158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<sst xmlns="http://schemas.openxmlformats.org/spreadsheetml/2006/main" count="2435" uniqueCount="329">
  <si>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</si>
  <si>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</si>
  <si>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</si>
  <si>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</si>
  <si>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</si>
  <si>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</si>
  <si>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</si>
  <si>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</si>
  <si>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</si>
  <si>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</si>
  <si>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</si>
  <si>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</si>
  <si>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</si>
  <si>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</si>
  <si>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</si>
  <si>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</si>
  <si>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</si>
  <si>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</si>
  <si>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</si>
  <si>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</si>
  <si>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</si>
  <si>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</si>
  <si>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</si>
  <si>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</si>
  <si>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</si>
  <si>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</si>
  <si>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</si>
  <si>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</si>
  <si>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</si>
  <si>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</si>
  <si>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</si>
  <si>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</si>
  <si>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</si>
  <si>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</si>
  <si>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</si>
  <si>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</si>
  <si>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</si>
  <si>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</si>
  <si>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</si>
  <si>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</si>
  <si>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</si>
  <si>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</si>
  <si>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</si>
  <si>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</si>
  <si>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</si>
  <si>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</si>
  <si>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</si>
  <si>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</si>
  <si>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</si>
  <si>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</si>
  <si>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</si>
  <si>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</si>
  <si>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</si>
  <si>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</si>
  <si>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</si>
  <si>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</si>
  <si>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</si>
  <si>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</si>
  <si>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</si>
  <si>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</si>
  <si>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</si>
  <si>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</si>
  <si>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</si>
  <si>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</si>
  <si>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</si>
  <si>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</si>
  <si>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</si>
  <si>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</si>
  <si>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</si>
  <si>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</si>
  <si>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</si>
  <si>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</si>
  <si>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</si>
  <si>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</si>
  <si>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</si>
  <si>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</si>
  <si>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</si>
  <si>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</si>
  <si>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</si>
  <si>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</si>
  <si>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</si>
  <si>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</si>
  <si>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</si>
  <si>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</si>
  <si>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</si>
  <si>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</si>
  <si>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</si>
  <si>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</si>
  <si>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</si>
  <si>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</si>
  <si>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</si>
  <si>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</si>
  <si>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</si>
  <si>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</si>
  <si>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</si>
  <si>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</si>
  <si>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</si>
  <si>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</si>
  <si>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</si>
  <si>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</si>
  <si>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</si>
  <si>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</si>
  <si>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</si>
  <si>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</si>
  <si>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</si>
  <si>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</si>
  <si>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</si>
  <si>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</si>
  <si>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</si>
  <si>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</si>
  <si>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</si>
  <si>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</si>
  <si>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</si>
  <si>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</si>
  <si>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</si>
  <si>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</si>
  <si>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</si>
  <si>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</si>
  <si>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</si>
  <si>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</si>
  <si>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</si>
  <si>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</si>
  <si>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</si>
  <si>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</si>
  <si>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</si>
  <si>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</si>
  <si>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</si>
  <si>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</si>
  <si>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</si>
  <si>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</si>
  <si>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</si>
  <si>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</si>
  <si>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</si>
  <si>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</si>
  <si>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</si>
  <si>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</si>
  <si>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</si>
  <si>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</si>
  <si>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</si>
  <si>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</si>
  <si>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</si>
  <si>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</si>
  <si>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</si>
  <si>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</si>
  <si>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</si>
  <si>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</si>
  <si>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</si>
  <si>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</si>
  <si>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</si>
  <si>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</si>
  <si>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</si>
  <si>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</si>
  <si>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</si>
  <si>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</si>
  <si>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</si>
  <si>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</si>
  <si>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</si>
  <si>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</si>
  <si>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</si>
  <si>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</si>
  <si>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</si>
  <si>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</si>
  <si>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</si>
  <si>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</si>
  <si>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</si>
  <si>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</si>
  <si>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</si>
  <si>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</si>
  <si>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</si>
  <si>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</si>
  <si>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</si>
  <si>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</si>
  <si>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</si>
  <si>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</si>
  <si>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</si>
  <si>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</si>
  <si>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</si>
  <si>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</si>
  <si>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</si>
  <si>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</si>
  <si>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</si>
  <si>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</si>
  <si>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</si>
  <si>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</si>
  <si>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</si>
  <si>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</si>
  <si>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</si>
  <si>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</si>
  <si>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</si>
  <si>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</si>
  <si>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</si>
  <si>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</si>
  <si>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</si>
  <si>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</si>
  <si>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</si>
  <si>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</si>
  <si>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</si>
  <si>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</si>
  <si>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</si>
  <si>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</si>
  <si>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</si>
  <si>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</si>
  <si>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</si>
  <si>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</si>
  <si>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</si>
  <si>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</si>
  <si>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</si>
  <si>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</si>
  <si>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</si>
  <si>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</si>
  <si>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</si>
  <si>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</si>
  <si>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</si>
  <si>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</si>
  <si>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</si>
  <si>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</si>
  <si>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</si>
  <si>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</si>
  <si>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</si>
  <si>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</si>
  <si>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</si>
  <si>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</si>
  <si>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</si>
  <si>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</si>
  <si>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</si>
  <si>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</si>
  <si>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</si>
  <si>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</si>
  <si>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</si>
  <si>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</si>
  <si>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</si>
  <si>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</si>
  <si>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</si>
  <si>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</si>
  <si>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</si>
  <si>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</si>
  <si>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</si>
  <si>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</si>
  <si>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</si>
  <si>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</si>
  <si>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</si>
  <si>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</si>
  <si>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</si>
  <si>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</si>
  <si>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</si>
  <si>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</si>
  <si>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</si>
  <si>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</si>
  <si>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</si>
  <si>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</si>
  <si>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</si>
  <si>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</si>
  <si>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</si>
  <si>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</si>
  <si>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</si>
  <si>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</si>
  <si>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</si>
  <si>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</si>
  <si>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</si>
  <si>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</si>
  <si>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</si>
  <si>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</si>
  <si>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</si>
  <si>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</si>
  <si>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</si>
  <si>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</si>
  <si>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</si>
  <si>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</si>
  <si>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</si>
  <si>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</si>
  <si>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</si>
  <si>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</si>
  <si>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</si>
  <si>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</si>
  <si>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</si>
  <si>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</si>
  <si>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</si>
  <si>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</si>
  <si>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</si>
  <si>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</si>
  <si>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</si>
  <si>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</si>
  <si>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</si>
  <si>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</si>
  <si>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</si>
  <si>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</si>
  <si>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</si>
  <si>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</si>
  <si>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</si>
  <si>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</si>
  <si>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</si>
  <si>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</si>
  <si>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</si>
  <si>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</si>
  <si>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</si>
  <si>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</si>
  <si>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</si>
  <si>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</si>
  <si>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</si>
  <si>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</si>
  <si>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</si>
  <si>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</si>
  <si>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</si>
  <si>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</si>
  <si>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</si>
  <si>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</si>
  <si>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</si>
  <si>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</si>
  <si>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</si>
  <si>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</si>
  <si>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</si>
  <si>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</si>
  <si>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</si>
  <si>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</si>
  <si>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</si>
  <si>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</si>
  <si>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</si>
  <si>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</si>
  <si>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</si>
  <si>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</si>
  <si>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</si>
  <si>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</si>
  <si>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</si>
  <si>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</si>
  <si>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</si>
  <si>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</si>
  <si>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path &amp; track cases</t>
  </si>
  <si>
    <t>path &amp; track lines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</si>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</sst>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1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258"/>
  <sheetViews>
    <sheetView tabSelected="1" topLeftCell="A3" zoomScale="85" zoomScaleNormal="85" workbookViewId="0">
      <pane ySplit="4" topLeftCell="A31" activePane="bottomLeft" state="frozen"/>
      <selection activeCell="A3" sqref="A3"/>
      <selection pane="bottomLeft" activeCell="J36" sqref="J36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219</v>
      </c>
    </row>
    <row r="3" spans="1:35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5" s="26" customFormat="1" x14ac:dyDescent="0.25">
      <c r="C4" s="26" t="s">
        <v>224</v>
      </c>
      <c r="F4" s="26" t="s">
        <v>225</v>
      </c>
    </row>
    <row r="5" spans="1:35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5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  <c r="AH6" s="1"/>
      <c r="AI6" s="1" t="s">
        <v>323</v>
      </c>
    </row>
    <row r="7" spans="1:35" s="5" customFormat="1" x14ac:dyDescent="0.25">
      <c r="A7" s="27" t="s">
        <v>271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270</v>
      </c>
      <c r="C8" s="28" t="s">
        <v>269</v>
      </c>
      <c r="D8" s="28" t="s">
        <v>269</v>
      </c>
      <c r="F8" s="28" t="s">
        <v>272</v>
      </c>
      <c r="G8" s="28" t="s">
        <v>272</v>
      </c>
      <c r="I8" s="28" t="s">
        <v>269</v>
      </c>
      <c r="J8" s="28" t="s">
        <v>269</v>
      </c>
      <c r="L8" s="28" t="s">
        <v>272</v>
      </c>
      <c r="M8" s="28" t="s">
        <v>272</v>
      </c>
      <c r="O8" s="28" t="s">
        <v>269</v>
      </c>
      <c r="P8" s="28" t="s">
        <v>269</v>
      </c>
      <c r="R8" s="28" t="s">
        <v>272</v>
      </c>
      <c r="S8" s="28" t="s">
        <v>272</v>
      </c>
      <c r="U8" s="28" t="s">
        <v>269</v>
      </c>
      <c r="V8" s="28" t="s">
        <v>269</v>
      </c>
      <c r="X8" s="28" t="s">
        <v>272</v>
      </c>
      <c r="Y8" s="28" t="s">
        <v>272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293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217</v>
      </c>
      <c r="D11" s="37" t="s">
        <v>217</v>
      </c>
      <c r="F11" s="38" t="s">
        <v>227</v>
      </c>
      <c r="G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276</v>
      </c>
      <c r="AD11" s="2" t="str">
        <f t="shared" ref="AD11" si="1">IF(NOT(ISBLANK(AE11)),"_","")</f>
        <v>_</v>
      </c>
      <c r="AE11" s="2" t="s">
        <v>277</v>
      </c>
      <c r="AF11" s="2" t="str">
        <f t="shared" ref="AF11" si="2">IF(NOT(ISBLANK(AG11)),"_","")</f>
        <v>_</v>
      </c>
      <c r="AG11" s="2" t="s">
        <v>267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227</v>
      </c>
      <c r="D12" s="38" t="s">
        <v>227</v>
      </c>
      <c r="F12" s="37" t="s">
        <v>217</v>
      </c>
      <c r="G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5">IF(NOT(ISBLANK(AC12)),"-","")</f>
        <v>-</v>
      </c>
      <c r="AC12" s="2" t="s">
        <v>276</v>
      </c>
      <c r="AD12" s="2" t="str">
        <f t="shared" ref="AD12" si="6">IF(NOT(ISBLANK(AE12)),"_","")</f>
        <v>_</v>
      </c>
      <c r="AE12" s="2" t="s">
        <v>277</v>
      </c>
      <c r="AF12" s="2" t="str">
        <f t="shared" ref="AF12" si="7">IF(NOT(ISBLANK(AG12)),"_","")</f>
        <v>_</v>
      </c>
      <c r="AG12" s="2" t="s">
        <v>278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279</v>
      </c>
      <c r="D13" s="39" t="s">
        <v>279</v>
      </c>
      <c r="F13" s="39" t="s">
        <v>279</v>
      </c>
      <c r="G13" s="39" t="s">
        <v>279</v>
      </c>
      <c r="I13" s="39" t="s">
        <v>279</v>
      </c>
      <c r="L13" s="39" t="s">
        <v>279</v>
      </c>
      <c r="O13" s="39" t="s">
        <v>279</v>
      </c>
      <c r="R13" s="39" t="s">
        <v>279</v>
      </c>
      <c r="U13" s="39" t="s">
        <v>279</v>
      </c>
      <c r="X13" s="39" t="s">
        <v>279</v>
      </c>
      <c r="AA13" s="2" t="s">
        <v>6</v>
      </c>
      <c r="AB13" s="2" t="str">
        <f t="shared" ref="AB13:AB14" si="8">IF(NOT(ISBLANK(AC13)),"-","")</f>
        <v>-</v>
      </c>
      <c r="AC13" s="2" t="s">
        <v>276</v>
      </c>
      <c r="AD13" s="2" t="str">
        <f t="shared" ref="AD13:AD14" si="9">IF(NOT(ISBLANK(AE13)),"_","")</f>
        <v>_</v>
      </c>
      <c r="AE13" s="2" t="s">
        <v>277</v>
      </c>
      <c r="AF13" s="2" t="str">
        <f t="shared" ref="AF13:AF14" si="10">IF(NOT(ISBLANK(AG13)),"_","")</f>
        <v>_</v>
      </c>
      <c r="AG13" s="2" t="s">
        <v>44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283</v>
      </c>
      <c r="D14" s="29" t="s">
        <v>283</v>
      </c>
      <c r="F14" s="30" t="s">
        <v>284</v>
      </c>
      <c r="G14" s="38" t="s">
        <v>227</v>
      </c>
      <c r="AA14" s="2" t="s">
        <v>6</v>
      </c>
      <c r="AB14" s="2" t="str">
        <f t="shared" si="8"/>
        <v>-</v>
      </c>
      <c r="AC14" s="2" t="s">
        <v>276</v>
      </c>
      <c r="AD14" s="2" t="str">
        <f t="shared" si="9"/>
        <v>_</v>
      </c>
      <c r="AE14" s="2" t="s">
        <v>281</v>
      </c>
      <c r="AF14" s="2" t="str">
        <f t="shared" si="10"/>
        <v>_</v>
      </c>
      <c r="AG14" s="2" t="s">
        <v>282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286</v>
      </c>
      <c r="D15" s="31" t="s">
        <v>286</v>
      </c>
      <c r="F15" s="32" t="s">
        <v>287</v>
      </c>
      <c r="G15" s="37" t="s">
        <v>217</v>
      </c>
      <c r="AA15" s="2" t="s">
        <v>6</v>
      </c>
      <c r="AB15" s="2" t="str">
        <f t="shared" ref="AB15:AB16" si="11">IF(NOT(ISBLANK(AC15)),"-","")</f>
        <v>-</v>
      </c>
      <c r="AC15" s="2" t="s">
        <v>285</v>
      </c>
      <c r="AD15" s="2" t="str">
        <f t="shared" ref="AD15:AD16" si="12">IF(NOT(ISBLANK(AE15)),"_","")</f>
        <v>_</v>
      </c>
      <c r="AE15" s="2" t="s">
        <v>281</v>
      </c>
      <c r="AF15" s="2" t="str">
        <f t="shared" ref="AF15:AF16" si="13">IF(NOT(ISBLANK(AG15)),"_","")</f>
        <v>_</v>
      </c>
      <c r="AG15" s="2" t="s">
        <v>282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283</v>
      </c>
      <c r="D16" s="29" t="s">
        <v>283</v>
      </c>
      <c r="F16" s="30" t="s">
        <v>284</v>
      </c>
      <c r="G16" s="38" t="s">
        <v>227</v>
      </c>
      <c r="AA16" s="2" t="s">
        <v>6</v>
      </c>
      <c r="AB16" s="2" t="str">
        <f t="shared" si="11"/>
        <v>-</v>
      </c>
      <c r="AC16" s="2" t="s">
        <v>276</v>
      </c>
      <c r="AD16" s="2" t="str">
        <f t="shared" si="12"/>
        <v>_</v>
      </c>
      <c r="AE16" s="2" t="s">
        <v>281</v>
      </c>
      <c r="AF16" s="2" t="str">
        <f t="shared" si="13"/>
        <v>_</v>
      </c>
      <c r="AG16" s="2" t="s">
        <v>288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286</v>
      </c>
      <c r="D17" s="31" t="s">
        <v>286</v>
      </c>
      <c r="F17" s="32" t="s">
        <v>287</v>
      </c>
      <c r="G17" s="37" t="s">
        <v>217</v>
      </c>
      <c r="AA17" s="2" t="s">
        <v>6</v>
      </c>
      <c r="AB17" s="2" t="str">
        <f t="shared" ref="AB17:AB18" si="14">IF(NOT(ISBLANK(AC17)),"-","")</f>
        <v>-</v>
      </c>
      <c r="AC17" s="2" t="s">
        <v>285</v>
      </c>
      <c r="AD17" s="2" t="str">
        <f t="shared" ref="AD17:AD18" si="15">IF(NOT(ISBLANK(AE17)),"_","")</f>
        <v>_</v>
      </c>
      <c r="AE17" s="2" t="s">
        <v>281</v>
      </c>
      <c r="AF17" s="2" t="str">
        <f t="shared" ref="AF17:AF18" si="16">IF(NOT(ISBLANK(AG17)),"_","")</f>
        <v>_</v>
      </c>
      <c r="AG17" s="2" t="s">
        <v>288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283</v>
      </c>
      <c r="D18" s="29" t="s">
        <v>283</v>
      </c>
      <c r="F18" s="30" t="s">
        <v>284</v>
      </c>
      <c r="G18" s="38" t="s">
        <v>227</v>
      </c>
      <c r="AA18" s="2" t="s">
        <v>6</v>
      </c>
      <c r="AB18" s="2" t="str">
        <f t="shared" si="14"/>
        <v>-</v>
      </c>
      <c r="AC18" s="2" t="s">
        <v>276</v>
      </c>
      <c r="AD18" s="2" t="str">
        <f t="shared" si="15"/>
        <v>_</v>
      </c>
      <c r="AE18" s="2" t="s">
        <v>281</v>
      </c>
      <c r="AF18" s="2" t="str">
        <f t="shared" si="16"/>
        <v>_</v>
      </c>
      <c r="AG18" s="2" t="s">
        <v>289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286</v>
      </c>
      <c r="D19" s="31" t="s">
        <v>286</v>
      </c>
      <c r="F19" s="32" t="s">
        <v>287</v>
      </c>
      <c r="G19" s="37" t="s">
        <v>217</v>
      </c>
      <c r="AA19" s="2" t="s">
        <v>6</v>
      </c>
      <c r="AB19" s="2" t="str">
        <f t="shared" ref="AB19:AB20" si="17">IF(NOT(ISBLANK(AC19)),"-","")</f>
        <v>-</v>
      </c>
      <c r="AC19" s="2" t="s">
        <v>285</v>
      </c>
      <c r="AD19" s="2" t="str">
        <f t="shared" ref="AD19:AD20" si="18">IF(NOT(ISBLANK(AE19)),"_","")</f>
        <v>_</v>
      </c>
      <c r="AE19" s="2" t="s">
        <v>281</v>
      </c>
      <c r="AF19" s="2" t="str">
        <f t="shared" ref="AF19:AF20" si="19">IF(NOT(ISBLANK(AG19)),"_","")</f>
        <v>_</v>
      </c>
      <c r="AG19" s="2" t="s">
        <v>289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283</v>
      </c>
      <c r="D20" s="29" t="s">
        <v>283</v>
      </c>
      <c r="F20" s="30" t="s">
        <v>284</v>
      </c>
      <c r="G20" s="38" t="s">
        <v>227</v>
      </c>
      <c r="AA20" s="2" t="s">
        <v>6</v>
      </c>
      <c r="AB20" s="2" t="str">
        <f t="shared" si="17"/>
        <v>-</v>
      </c>
      <c r="AC20" s="2" t="s">
        <v>276</v>
      </c>
      <c r="AD20" s="2" t="str">
        <f t="shared" si="18"/>
        <v>_</v>
      </c>
      <c r="AE20" s="2" t="s">
        <v>281</v>
      </c>
      <c r="AF20" s="2" t="str">
        <f t="shared" si="19"/>
        <v>_</v>
      </c>
      <c r="AG20" s="2" t="s">
        <v>290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286</v>
      </c>
      <c r="D21" s="31" t="s">
        <v>286</v>
      </c>
      <c r="F21" s="32" t="s">
        <v>287</v>
      </c>
      <c r="G21" s="37" t="s">
        <v>217</v>
      </c>
      <c r="AA21" s="2" t="s">
        <v>6</v>
      </c>
      <c r="AB21" s="2" t="str">
        <f t="shared" ref="AB21:AB22" si="20">IF(NOT(ISBLANK(AC21)),"-","")</f>
        <v>-</v>
      </c>
      <c r="AC21" s="2" t="s">
        <v>285</v>
      </c>
      <c r="AD21" s="2" t="str">
        <f t="shared" ref="AD21:AD22" si="21">IF(NOT(ISBLANK(AE21)),"_","")</f>
        <v>_</v>
      </c>
      <c r="AE21" s="2" t="s">
        <v>281</v>
      </c>
      <c r="AF21" s="2" t="str">
        <f t="shared" ref="AF21:AF22" si="22">IF(NOT(ISBLANK(AG21)),"_","")</f>
        <v>_</v>
      </c>
      <c r="AG21" s="2" t="s">
        <v>290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283</v>
      </c>
      <c r="D22" s="29" t="s">
        <v>283</v>
      </c>
      <c r="F22" s="30" t="s">
        <v>284</v>
      </c>
      <c r="G22" s="38" t="s">
        <v>227</v>
      </c>
      <c r="AA22" s="2" t="s">
        <v>6</v>
      </c>
      <c r="AB22" s="2" t="str">
        <f t="shared" si="20"/>
        <v>-</v>
      </c>
      <c r="AC22" s="2" t="s">
        <v>276</v>
      </c>
      <c r="AD22" s="2" t="str">
        <f t="shared" si="21"/>
        <v>_</v>
      </c>
      <c r="AE22" s="2" t="s">
        <v>281</v>
      </c>
      <c r="AF22" s="2" t="str">
        <f t="shared" si="22"/>
        <v>_</v>
      </c>
      <c r="AG22" s="2" t="s">
        <v>291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286</v>
      </c>
      <c r="D23" s="31" t="s">
        <v>286</v>
      </c>
      <c r="F23" s="32" t="s">
        <v>287</v>
      </c>
      <c r="G23" s="37" t="s">
        <v>217</v>
      </c>
      <c r="AA23" s="2" t="s">
        <v>6</v>
      </c>
      <c r="AB23" s="2" t="str">
        <f t="shared" ref="AB23:AB24" si="23">IF(NOT(ISBLANK(AC23)),"-","")</f>
        <v>-</v>
      </c>
      <c r="AC23" s="2" t="s">
        <v>285</v>
      </c>
      <c r="AD23" s="2" t="str">
        <f t="shared" ref="AD23:AD24" si="24">IF(NOT(ISBLANK(AE23)),"_","")</f>
        <v>_</v>
      </c>
      <c r="AE23" s="2" t="s">
        <v>281</v>
      </c>
      <c r="AF23" s="2" t="str">
        <f t="shared" ref="AF23:AF24" si="25">IF(NOT(ISBLANK(AG23)),"_","")</f>
        <v>_</v>
      </c>
      <c r="AG23" s="2" t="s">
        <v>291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283</v>
      </c>
      <c r="D24" s="29" t="s">
        <v>283</v>
      </c>
      <c r="F24" s="30" t="s">
        <v>284</v>
      </c>
      <c r="G24" s="38" t="s">
        <v>227</v>
      </c>
      <c r="AA24" s="2" t="s">
        <v>6</v>
      </c>
      <c r="AB24" s="2" t="str">
        <f t="shared" si="23"/>
        <v>-</v>
      </c>
      <c r="AC24" s="2" t="s">
        <v>276</v>
      </c>
      <c r="AD24" s="2" t="str">
        <f t="shared" si="24"/>
        <v>_</v>
      </c>
      <c r="AE24" s="2" t="s">
        <v>281</v>
      </c>
      <c r="AF24" s="2" t="str">
        <f t="shared" si="25"/>
        <v>_</v>
      </c>
      <c r="AG24" s="2" t="s">
        <v>292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286</v>
      </c>
      <c r="D25" s="31" t="s">
        <v>286</v>
      </c>
      <c r="F25" s="32" t="s">
        <v>287</v>
      </c>
      <c r="G25" s="37" t="s">
        <v>217</v>
      </c>
      <c r="AA25" s="2" t="s">
        <v>6</v>
      </c>
      <c r="AB25" s="2" t="str">
        <f t="shared" ref="AB25:AB43" si="26">IF(NOT(ISBLANK(AC25)),"-","")</f>
        <v>-</v>
      </c>
      <c r="AC25" s="2" t="s">
        <v>285</v>
      </c>
      <c r="AD25" s="2" t="str">
        <f t="shared" ref="AD25:AD43" si="27">IF(NOT(ISBLANK(AE25)),"_","")</f>
        <v>_</v>
      </c>
      <c r="AE25" s="2" t="s">
        <v>281</v>
      </c>
      <c r="AF25" s="2" t="str">
        <f t="shared" ref="AF25:AF43" si="28">IF(NOT(ISBLANK(AG25)),"_","")</f>
        <v>_</v>
      </c>
      <c r="AG25" s="2" t="s">
        <v>292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6" t="s">
        <v>315</v>
      </c>
      <c r="D26" s="166" t="s">
        <v>315</v>
      </c>
      <c r="F26" s="167" t="s">
        <v>316</v>
      </c>
      <c r="G26" s="38" t="s">
        <v>227</v>
      </c>
      <c r="AA26" s="2" t="s">
        <v>6</v>
      </c>
      <c r="AB26" s="2" t="str">
        <f t="shared" si="26"/>
        <v>-</v>
      </c>
      <c r="AC26" s="2" t="s">
        <v>276</v>
      </c>
      <c r="AD26" s="2" t="str">
        <f t="shared" si="27"/>
        <v>_</v>
      </c>
      <c r="AE26" s="2" t="s">
        <v>281</v>
      </c>
      <c r="AF26" s="2" t="str">
        <f t="shared" si="28"/>
        <v>_</v>
      </c>
      <c r="AG26" s="2" t="s">
        <v>314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286</v>
      </c>
      <c r="D27" s="31" t="s">
        <v>286</v>
      </c>
      <c r="F27" s="32" t="s">
        <v>287</v>
      </c>
      <c r="G27" s="37" t="s">
        <v>217</v>
      </c>
      <c r="AA27" s="2" t="s">
        <v>6</v>
      </c>
      <c r="AB27" s="2" t="str">
        <f t="shared" ref="AB27:AB28" si="29">IF(NOT(ISBLANK(AC27)),"-","")</f>
        <v>-</v>
      </c>
      <c r="AC27" s="2" t="s">
        <v>285</v>
      </c>
      <c r="AD27" s="2" t="str">
        <f t="shared" ref="AD27:AD28" si="30">IF(NOT(ISBLANK(AE27)),"_","")</f>
        <v>_</v>
      </c>
      <c r="AE27" s="2" t="s">
        <v>281</v>
      </c>
      <c r="AF27" s="2" t="str">
        <f t="shared" ref="AF27:AF28" si="31">IF(NOT(ISBLANK(AG27)),"_","")</f>
        <v>_</v>
      </c>
      <c r="AG27" s="2" t="s">
        <v>314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8" t="s">
        <v>317</v>
      </c>
      <c r="D28" s="168" t="s">
        <v>317</v>
      </c>
      <c r="F28" s="169" t="s">
        <v>318</v>
      </c>
      <c r="G28" s="38" t="s">
        <v>227</v>
      </c>
      <c r="AA28" s="2" t="s">
        <v>6</v>
      </c>
      <c r="AB28" s="2" t="str">
        <f t="shared" si="29"/>
        <v>-</v>
      </c>
      <c r="AC28" s="2" t="s">
        <v>276</v>
      </c>
      <c r="AD28" s="2" t="str">
        <f t="shared" si="30"/>
        <v>_</v>
      </c>
      <c r="AE28" s="2" t="s">
        <v>281</v>
      </c>
      <c r="AF28" s="2" t="str">
        <f t="shared" si="31"/>
        <v>_</v>
      </c>
      <c r="AG28" s="2" t="s">
        <v>325</v>
      </c>
      <c r="AH28" s="170" t="str">
        <f t="shared" si="3"/>
        <v>_</v>
      </c>
      <c r="AI28" s="2" t="s">
        <v>282</v>
      </c>
    </row>
    <row r="29" spans="2:35" x14ac:dyDescent="0.25">
      <c r="B29" s="2" t="str">
        <f t="shared" si="4"/>
        <v>@color-label_halo_place_country_other</v>
      </c>
      <c r="C29" s="31" t="s">
        <v>286</v>
      </c>
      <c r="D29" s="31" t="s">
        <v>286</v>
      </c>
      <c r="F29" s="32" t="s">
        <v>287</v>
      </c>
      <c r="G29" s="37" t="s">
        <v>217</v>
      </c>
      <c r="AA29" s="2" t="s">
        <v>6</v>
      </c>
      <c r="AB29" s="2" t="str">
        <f t="shared" ref="AB29:AB30" si="32">IF(NOT(ISBLANK(AC29)),"-","")</f>
        <v>-</v>
      </c>
      <c r="AC29" s="2" t="s">
        <v>285</v>
      </c>
      <c r="AD29" s="2" t="str">
        <f t="shared" ref="AD29:AD30" si="33">IF(NOT(ISBLANK(AE29)),"_","")</f>
        <v>_</v>
      </c>
      <c r="AE29" s="2" t="s">
        <v>281</v>
      </c>
      <c r="AF29" s="2" t="str">
        <f t="shared" ref="AF29:AF30" si="34">IF(NOT(ISBLANK(AG29)),"_","")</f>
        <v>_</v>
      </c>
      <c r="AG29" s="2" t="s">
        <v>325</v>
      </c>
      <c r="AH29" s="2" t="str">
        <f t="shared" si="3"/>
        <v>_</v>
      </c>
      <c r="AI29" s="2" t="s">
        <v>282</v>
      </c>
    </row>
    <row r="30" spans="2:35" x14ac:dyDescent="0.25">
      <c r="B30" s="2" t="str">
        <f t="shared" si="4"/>
        <v>@color-label_place_country_minor</v>
      </c>
      <c r="C30" s="168" t="s">
        <v>317</v>
      </c>
      <c r="D30" s="168" t="s">
        <v>317</v>
      </c>
      <c r="F30" s="169" t="s">
        <v>318</v>
      </c>
      <c r="G30" s="38" t="s">
        <v>227</v>
      </c>
      <c r="AA30" s="2" t="s">
        <v>6</v>
      </c>
      <c r="AB30" s="2" t="str">
        <f t="shared" si="32"/>
        <v>-</v>
      </c>
      <c r="AC30" s="2" t="s">
        <v>276</v>
      </c>
      <c r="AD30" s="2" t="str">
        <f t="shared" si="33"/>
        <v>_</v>
      </c>
      <c r="AE30" s="2" t="s">
        <v>281</v>
      </c>
      <c r="AF30" s="2" t="str">
        <f t="shared" si="34"/>
        <v>_</v>
      </c>
      <c r="AG30" s="2" t="s">
        <v>325</v>
      </c>
      <c r="AH30" s="2" t="str">
        <f t="shared" si="3"/>
        <v>_</v>
      </c>
      <c r="AI30" s="2" t="s">
        <v>32</v>
      </c>
    </row>
    <row r="31" spans="2:35" x14ac:dyDescent="0.25">
      <c r="B31" s="2" t="str">
        <f t="shared" si="4"/>
        <v>@color-label_halo_place_country_minor</v>
      </c>
      <c r="C31" s="31" t="s">
        <v>286</v>
      </c>
      <c r="D31" s="31" t="s">
        <v>286</v>
      </c>
      <c r="F31" s="32" t="s">
        <v>287</v>
      </c>
      <c r="G31" s="37" t="s">
        <v>217</v>
      </c>
      <c r="AA31" s="2" t="s">
        <v>6</v>
      </c>
      <c r="AB31" s="2" t="str">
        <f t="shared" ref="AB31:AB32" si="35">IF(NOT(ISBLANK(AC31)),"-","")</f>
        <v>-</v>
      </c>
      <c r="AC31" s="2" t="s">
        <v>285</v>
      </c>
      <c r="AD31" s="2" t="str">
        <f t="shared" ref="AD31:AD32" si="36">IF(NOT(ISBLANK(AE31)),"_","")</f>
        <v>_</v>
      </c>
      <c r="AE31" s="2" t="s">
        <v>281</v>
      </c>
      <c r="AF31" s="2" t="str">
        <f t="shared" ref="AF31:AF32" si="37">IF(NOT(ISBLANK(AG31)),"_","")</f>
        <v>_</v>
      </c>
      <c r="AG31" s="2" t="s">
        <v>325</v>
      </c>
      <c r="AH31" s="2" t="str">
        <f t="shared" si="3"/>
        <v>_</v>
      </c>
      <c r="AI31" s="2" t="s">
        <v>32</v>
      </c>
    </row>
    <row r="32" spans="2:35" x14ac:dyDescent="0.25">
      <c r="B32" s="2" t="str">
        <f t="shared" si="4"/>
        <v>@color-label_place_country_medium</v>
      </c>
      <c r="C32" s="168" t="s">
        <v>317</v>
      </c>
      <c r="D32" s="168" t="s">
        <v>317</v>
      </c>
      <c r="F32" s="169" t="s">
        <v>318</v>
      </c>
      <c r="G32" s="38" t="s">
        <v>227</v>
      </c>
      <c r="AA32" s="2" t="s">
        <v>6</v>
      </c>
      <c r="AB32" s="2" t="str">
        <f t="shared" si="35"/>
        <v>-</v>
      </c>
      <c r="AC32" s="2" t="s">
        <v>276</v>
      </c>
      <c r="AD32" s="2" t="str">
        <f t="shared" si="36"/>
        <v>_</v>
      </c>
      <c r="AE32" s="2" t="s">
        <v>281</v>
      </c>
      <c r="AF32" s="2" t="str">
        <f t="shared" si="37"/>
        <v>_</v>
      </c>
      <c r="AG32" s="2" t="s">
        <v>325</v>
      </c>
      <c r="AH32" s="2" t="str">
        <f t="shared" si="3"/>
        <v>_</v>
      </c>
      <c r="AI32" s="2" t="s">
        <v>82</v>
      </c>
    </row>
    <row r="33" spans="2:35" x14ac:dyDescent="0.25">
      <c r="B33" s="2" t="str">
        <f t="shared" si="4"/>
        <v>@color-label_halo_place_country_medium</v>
      </c>
      <c r="C33" s="31" t="s">
        <v>286</v>
      </c>
      <c r="D33" s="31" t="s">
        <v>286</v>
      </c>
      <c r="F33" s="32" t="s">
        <v>287</v>
      </c>
      <c r="G33" s="37" t="s">
        <v>217</v>
      </c>
      <c r="AA33" s="2" t="s">
        <v>6</v>
      </c>
      <c r="AB33" s="2" t="str">
        <f t="shared" ref="AB33:AB34" si="38">IF(NOT(ISBLANK(AC33)),"-","")</f>
        <v>-</v>
      </c>
      <c r="AC33" s="2" t="s">
        <v>285</v>
      </c>
      <c r="AD33" s="2" t="str">
        <f t="shared" ref="AD33:AD34" si="39">IF(NOT(ISBLANK(AE33)),"_","")</f>
        <v>_</v>
      </c>
      <c r="AE33" s="2" t="s">
        <v>281</v>
      </c>
      <c r="AF33" s="2" t="str">
        <f t="shared" ref="AF33:AF34" si="40">IF(NOT(ISBLANK(AG33)),"_","")</f>
        <v>_</v>
      </c>
      <c r="AG33" s="2" t="s">
        <v>325</v>
      </c>
      <c r="AH33" s="2" t="str">
        <f t="shared" si="3"/>
        <v>_</v>
      </c>
      <c r="AI33" s="2" t="s">
        <v>82</v>
      </c>
    </row>
    <row r="34" spans="2:35" x14ac:dyDescent="0.25">
      <c r="B34" s="2" t="str">
        <f t="shared" si="4"/>
        <v>@color-label_place_country_major</v>
      </c>
      <c r="C34" s="168" t="s">
        <v>317</v>
      </c>
      <c r="D34" s="168" t="s">
        <v>317</v>
      </c>
      <c r="F34" s="169" t="s">
        <v>318</v>
      </c>
      <c r="G34" s="38" t="s">
        <v>227</v>
      </c>
      <c r="AA34" s="2" t="s">
        <v>6</v>
      </c>
      <c r="AB34" s="2" t="str">
        <f t="shared" si="38"/>
        <v>-</v>
      </c>
      <c r="AC34" s="2" t="s">
        <v>276</v>
      </c>
      <c r="AD34" s="2" t="str">
        <f t="shared" si="39"/>
        <v>_</v>
      </c>
      <c r="AE34" s="2" t="s">
        <v>281</v>
      </c>
      <c r="AF34" s="2" t="str">
        <f t="shared" si="40"/>
        <v>_</v>
      </c>
      <c r="AG34" s="2" t="s">
        <v>325</v>
      </c>
      <c r="AH34" s="2" t="str">
        <f t="shared" si="3"/>
        <v>_</v>
      </c>
      <c r="AI34" s="2" t="s">
        <v>324</v>
      </c>
    </row>
    <row r="35" spans="2:35" x14ac:dyDescent="0.25">
      <c r="B35" s="2" t="str">
        <f t="shared" si="4"/>
        <v>@color-label_halo_place_country_major</v>
      </c>
      <c r="C35" s="31" t="s">
        <v>286</v>
      </c>
      <c r="D35" s="31" t="s">
        <v>286</v>
      </c>
      <c r="F35" s="32" t="s">
        <v>287</v>
      </c>
      <c r="G35" s="37" t="s">
        <v>217</v>
      </c>
      <c r="AA35" s="2" t="s">
        <v>6</v>
      </c>
      <c r="AB35" s="2" t="str">
        <f t="shared" ref="AB35" si="41">IF(NOT(ISBLANK(AC35)),"-","")</f>
        <v>-</v>
      </c>
      <c r="AC35" s="2" t="s">
        <v>285</v>
      </c>
      <c r="AD35" s="2" t="str">
        <f t="shared" ref="AD35" si="42">IF(NOT(ISBLANK(AE35)),"_","")</f>
        <v>_</v>
      </c>
      <c r="AE35" s="2" t="s">
        <v>281</v>
      </c>
      <c r="AF35" s="2" t="str">
        <f t="shared" ref="AF35" si="43">IF(NOT(ISBLANK(AG35)),"_","")</f>
        <v>_</v>
      </c>
      <c r="AG35" s="2" t="s">
        <v>325</v>
      </c>
      <c r="AH35" s="2" t="str">
        <f t="shared" si="3"/>
        <v>_</v>
      </c>
      <c r="AI35" s="2" t="s">
        <v>324</v>
      </c>
    </row>
    <row r="36" spans="2:35" x14ac:dyDescent="0.25">
      <c r="B36" s="2" t="str">
        <f t="shared" si="4"/>
        <v>@color-label_place_protected_area</v>
      </c>
      <c r="C36" s="164" t="s">
        <v>312</v>
      </c>
      <c r="D36" s="164" t="s">
        <v>312</v>
      </c>
      <c r="F36" s="165" t="s">
        <v>313</v>
      </c>
      <c r="G36" s="38" t="s">
        <v>227</v>
      </c>
      <c r="AA36" s="2" t="s">
        <v>6</v>
      </c>
      <c r="AB36" s="2" t="str">
        <f t="shared" si="26"/>
        <v>-</v>
      </c>
      <c r="AC36" s="2" t="s">
        <v>276</v>
      </c>
      <c r="AD36" s="2" t="str">
        <f t="shared" si="27"/>
        <v>_</v>
      </c>
      <c r="AE36" s="2" t="s">
        <v>281</v>
      </c>
      <c r="AF36" s="2" t="str">
        <f t="shared" si="28"/>
        <v>_</v>
      </c>
      <c r="AG36" s="2" t="s">
        <v>311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227</v>
      </c>
      <c r="D37" s="38" t="s">
        <v>227</v>
      </c>
      <c r="F37" s="37" t="s">
        <v>217</v>
      </c>
      <c r="G37" s="37" t="s">
        <v>217</v>
      </c>
      <c r="AA37" s="2" t="s">
        <v>6</v>
      </c>
      <c r="AB37" s="2" t="str">
        <f t="shared" ref="AB37:AB38" si="44">IF(NOT(ISBLANK(AC37)),"-","")</f>
        <v>-</v>
      </c>
      <c r="AC37" s="2" t="s">
        <v>285</v>
      </c>
      <c r="AD37" s="2" t="str">
        <f t="shared" ref="AD37:AD38" si="45">IF(NOT(ISBLANK(AE37)),"_","")</f>
        <v>_</v>
      </c>
      <c r="AE37" s="2" t="s">
        <v>281</v>
      </c>
      <c r="AF37" s="2" t="str">
        <f t="shared" ref="AF37:AF38" si="46">IF(NOT(ISBLANK(AG37)),"_","")</f>
        <v>_</v>
      </c>
      <c r="AG37" s="2" t="s">
        <v>311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4" t="s">
        <v>312</v>
      </c>
      <c r="D38" s="164" t="s">
        <v>312</v>
      </c>
      <c r="F38" s="165" t="s">
        <v>313</v>
      </c>
      <c r="G38" s="38" t="s">
        <v>227</v>
      </c>
      <c r="AA38" s="2" t="s">
        <v>6</v>
      </c>
      <c r="AB38" s="2" t="str">
        <f t="shared" si="44"/>
        <v>-</v>
      </c>
      <c r="AC38" s="2" t="s">
        <v>276</v>
      </c>
      <c r="AD38" s="2" t="str">
        <f t="shared" si="45"/>
        <v>_</v>
      </c>
      <c r="AE38" s="2" t="s">
        <v>281</v>
      </c>
      <c r="AF38" s="2" t="str">
        <f t="shared" si="46"/>
        <v>_</v>
      </c>
      <c r="AG38" s="2" t="s">
        <v>319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299</v>
      </c>
      <c r="D39" s="35" t="s">
        <v>299</v>
      </c>
      <c r="F39" s="36" t="s">
        <v>300</v>
      </c>
      <c r="G39" s="38" t="s">
        <v>227</v>
      </c>
      <c r="AA39" s="2" t="s">
        <v>6</v>
      </c>
      <c r="AB39" s="2" t="str">
        <f t="shared" ref="AB39" si="47">IF(NOT(ISBLANK(AC39)),"-","")</f>
        <v>-</v>
      </c>
      <c r="AC39" s="2" t="s">
        <v>276</v>
      </c>
      <c r="AD39" s="2" t="str">
        <f t="shared" ref="AD39" si="48">IF(NOT(ISBLANK(AE39)),"_","")</f>
        <v>_</v>
      </c>
      <c r="AE39" s="2" t="s">
        <v>281</v>
      </c>
      <c r="AF39" s="2" t="str">
        <f t="shared" ref="AF39" si="49">IF(NOT(ISBLANK(AG39)),"_","")</f>
        <v>_</v>
      </c>
      <c r="AG39" s="2" t="s">
        <v>320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227</v>
      </c>
      <c r="D40" s="38" t="s">
        <v>227</v>
      </c>
      <c r="F40" s="37" t="s">
        <v>217</v>
      </c>
      <c r="G40" s="37" t="s">
        <v>217</v>
      </c>
      <c r="AA40" s="2" t="s">
        <v>6</v>
      </c>
      <c r="AB40" s="2" t="str">
        <f t="shared" ref="AB40" si="50">IF(NOT(ISBLANK(AC40)),"-","")</f>
        <v>-</v>
      </c>
      <c r="AC40" s="2" t="s">
        <v>285</v>
      </c>
      <c r="AD40" s="2" t="str">
        <f t="shared" ref="AD40" si="51">IF(NOT(ISBLANK(AE40)),"_","")</f>
        <v>_</v>
      </c>
      <c r="AE40" s="2" t="s">
        <v>281</v>
      </c>
      <c r="AF40" s="2" t="str">
        <f t="shared" ref="AF40" si="52">IF(NOT(ISBLANK(AG40)),"_","")</f>
        <v>_</v>
      </c>
      <c r="AG40" s="2" t="s">
        <v>321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295</v>
      </c>
      <c r="D42" s="37" t="s">
        <v>217</v>
      </c>
      <c r="F42" s="34" t="s">
        <v>296</v>
      </c>
      <c r="G42" s="38" t="s">
        <v>227</v>
      </c>
      <c r="AA42" s="2" t="s">
        <v>322</v>
      </c>
      <c r="AB42" s="2" t="str">
        <f t="shared" ref="AB42" si="54">IF(NOT(ISBLANK(AC42)),"-","")</f>
        <v>-</v>
      </c>
      <c r="AC42" s="2" t="s">
        <v>276</v>
      </c>
      <c r="AD42" s="2" t="str">
        <f t="shared" ref="AD42" si="55">IF(NOT(ISBLANK(AE42)),"_","")</f>
        <v>_</v>
      </c>
      <c r="AE42" s="2" t="s">
        <v>294</v>
      </c>
      <c r="AF42" s="2" t="str">
        <f t="shared" ref="AF42" si="56">IF(NOT(ISBLANK(AG42)),"_","")</f>
        <v>_</v>
      </c>
      <c r="AG42" s="2" t="s">
        <v>74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295</v>
      </c>
      <c r="D43" s="37" t="s">
        <v>217</v>
      </c>
      <c r="F43" s="34" t="s">
        <v>296</v>
      </c>
      <c r="G43" s="38" t="s">
        <v>227</v>
      </c>
      <c r="AA43" s="2" t="s">
        <v>6</v>
      </c>
      <c r="AB43" s="2" t="str">
        <f t="shared" si="26"/>
        <v>-</v>
      </c>
      <c r="AC43" s="2" t="s">
        <v>276</v>
      </c>
      <c r="AD43" s="2" t="str">
        <f t="shared" si="27"/>
        <v>_</v>
      </c>
      <c r="AE43" s="2" t="s">
        <v>294</v>
      </c>
      <c r="AF43" s="2" t="str">
        <f t="shared" si="28"/>
        <v>_</v>
      </c>
      <c r="AG43" s="2" t="s">
        <v>74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227</v>
      </c>
      <c r="D44" s="38" t="s">
        <v>227</v>
      </c>
      <c r="F44" s="37" t="s">
        <v>217</v>
      </c>
      <c r="G44" s="37" t="s">
        <v>217</v>
      </c>
      <c r="AA44" s="2" t="s">
        <v>6</v>
      </c>
      <c r="AB44" s="2" t="str">
        <f t="shared" ref="AB44:AB46" si="58">IF(NOT(ISBLANK(AC44)),"-","")</f>
        <v>-</v>
      </c>
      <c r="AC44" s="2" t="s">
        <v>285</v>
      </c>
      <c r="AD44" s="2" t="str">
        <f t="shared" ref="AD44:AD46" si="59">IF(NOT(ISBLANK(AE44)),"_","")</f>
        <v>_</v>
      </c>
      <c r="AE44" s="2" t="s">
        <v>294</v>
      </c>
      <c r="AF44" s="2" t="str">
        <f t="shared" ref="AF44:AF46" si="60">IF(NOT(ISBLANK(AG44)),"_","")</f>
        <v>_</v>
      </c>
      <c r="AG44" s="2" t="s">
        <v>74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295</v>
      </c>
      <c r="D46" s="37" t="s">
        <v>217</v>
      </c>
      <c r="F46" s="34" t="s">
        <v>296</v>
      </c>
      <c r="G46" s="38" t="s">
        <v>227</v>
      </c>
      <c r="AA46" s="2" t="s">
        <v>6</v>
      </c>
      <c r="AB46" s="2" t="str">
        <f t="shared" si="58"/>
        <v>-</v>
      </c>
      <c r="AC46" s="2" t="s">
        <v>276</v>
      </c>
      <c r="AD46" s="2" t="str">
        <f t="shared" si="59"/>
        <v>_</v>
      </c>
      <c r="AE46" s="2" t="s">
        <v>294</v>
      </c>
      <c r="AF46" s="2" t="str">
        <f t="shared" si="60"/>
        <v>_</v>
      </c>
      <c r="AG46" s="2" t="s">
        <v>32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227</v>
      </c>
      <c r="D47" s="38" t="s">
        <v>227</v>
      </c>
      <c r="F47" s="37" t="s">
        <v>217</v>
      </c>
      <c r="G47" s="37" t="s">
        <v>217</v>
      </c>
      <c r="AA47" s="2" t="s">
        <v>6</v>
      </c>
      <c r="AB47" s="2" t="str">
        <f t="shared" ref="AB47:AB48" si="63">IF(NOT(ISBLANK(AC47)),"-","")</f>
        <v>-</v>
      </c>
      <c r="AC47" s="2" t="s">
        <v>285</v>
      </c>
      <c r="AD47" s="2" t="str">
        <f t="shared" ref="AD47:AD48" si="64">IF(NOT(ISBLANK(AE47)),"_","")</f>
        <v>_</v>
      </c>
      <c r="AE47" s="2" t="s">
        <v>294</v>
      </c>
      <c r="AF47" s="2" t="str">
        <f t="shared" ref="AF47:AF48" si="65">IF(NOT(ISBLANK(AG47)),"_","")</f>
        <v>_</v>
      </c>
      <c r="AG47" s="2" t="s">
        <v>32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295</v>
      </c>
      <c r="D48" s="37" t="s">
        <v>217</v>
      </c>
      <c r="F48" s="34" t="s">
        <v>296</v>
      </c>
      <c r="G48" s="38" t="s">
        <v>227</v>
      </c>
      <c r="AA48" s="2" t="s">
        <v>6</v>
      </c>
      <c r="AB48" s="2" t="str">
        <f t="shared" si="63"/>
        <v>-</v>
      </c>
      <c r="AC48" s="2" t="s">
        <v>276</v>
      </c>
      <c r="AD48" s="2" t="str">
        <f t="shared" si="64"/>
        <v>_</v>
      </c>
      <c r="AE48" s="2" t="s">
        <v>294</v>
      </c>
      <c r="AF48" s="2" t="str">
        <f t="shared" si="65"/>
        <v>_</v>
      </c>
      <c r="AG48" s="2" t="s">
        <v>297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227</v>
      </c>
      <c r="D49" s="38" t="s">
        <v>227</v>
      </c>
      <c r="F49" s="37" t="s">
        <v>217</v>
      </c>
      <c r="G49" s="37" t="s">
        <v>217</v>
      </c>
      <c r="AA49" s="2" t="s">
        <v>6</v>
      </c>
      <c r="AB49" s="2" t="str">
        <f t="shared" ref="AB49:AB51" si="66">IF(NOT(ISBLANK(AC49)),"-","")</f>
        <v>-</v>
      </c>
      <c r="AC49" s="2" t="s">
        <v>285</v>
      </c>
      <c r="AD49" s="2" t="str">
        <f t="shared" ref="AD49:AD51" si="67">IF(NOT(ISBLANK(AE49)),"_","")</f>
        <v>_</v>
      </c>
      <c r="AE49" s="2" t="s">
        <v>294</v>
      </c>
      <c r="AF49" s="2" t="str">
        <f t="shared" ref="AF49:AF51" si="68">IF(NOT(ISBLANK(AG49)),"_","")</f>
        <v>_</v>
      </c>
      <c r="AG49" s="2" t="s">
        <v>297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299</v>
      </c>
      <c r="D50" s="37" t="s">
        <v>217</v>
      </c>
      <c r="F50" s="36" t="s">
        <v>300</v>
      </c>
      <c r="G50" s="38" t="s">
        <v>227</v>
      </c>
      <c r="AA50" s="2" t="s">
        <v>6</v>
      </c>
      <c r="AB50" s="2" t="str">
        <f t="shared" si="66"/>
        <v>-</v>
      </c>
      <c r="AC50" s="2" t="s">
        <v>276</v>
      </c>
      <c r="AD50" s="2" t="str">
        <f t="shared" si="67"/>
        <v>_</v>
      </c>
      <c r="AE50" s="2" t="s">
        <v>298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227</v>
      </c>
      <c r="D51" s="38" t="s">
        <v>227</v>
      </c>
      <c r="F51" s="37" t="s">
        <v>217</v>
      </c>
      <c r="G51" s="37" t="s">
        <v>217</v>
      </c>
      <c r="AA51" s="2" t="s">
        <v>6</v>
      </c>
      <c r="AB51" s="2" t="str">
        <f t="shared" si="66"/>
        <v>-</v>
      </c>
      <c r="AC51" s="2" t="s">
        <v>285</v>
      </c>
      <c r="AD51" s="2" t="str">
        <f t="shared" si="67"/>
        <v>_</v>
      </c>
      <c r="AE51" s="2" t="s">
        <v>298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40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173</v>
      </c>
      <c r="D54" s="41" t="s">
        <v>181</v>
      </c>
      <c r="F54" s="40" t="s">
        <v>173</v>
      </c>
      <c r="G54" s="41" t="s">
        <v>181</v>
      </c>
      <c r="I54" s="42" t="str">
        <f t="shared" ref="I54:J61" si="70">C54</f>
        <v>"#0ac5a0"</v>
      </c>
      <c r="J54" s="43" t="str">
        <f t="shared" si="70"/>
        <v>"#00c7b0"</v>
      </c>
      <c r="U54" s="44"/>
      <c r="V54" s="44"/>
      <c r="X54" s="44"/>
      <c r="Y54" s="44"/>
      <c r="AA54" s="2" t="s">
        <v>6</v>
      </c>
      <c r="AB54" s="2" t="str">
        <f t="shared" ref="AB54:AB168" si="71">IF(NOT(ISBLANK(AC54)),"-","")</f>
        <v>-</v>
      </c>
      <c r="AC54" s="2" t="s">
        <v>7</v>
      </c>
      <c r="AD54" s="2" t="str">
        <f t="shared" ref="AD54:AD172" si="72">IF(NOT(ISBLANK(AE54)),"_","")</f>
        <v>_</v>
      </c>
      <c r="AE54" s="2" t="s">
        <v>9</v>
      </c>
      <c r="AF54" s="2" t="str">
        <f t="shared" ref="AF54:AF172" si="73">IF(NOT(ISBLANK(AG54)),"_","")</f>
        <v/>
      </c>
      <c r="AG54" s="2"/>
      <c r="AH54" s="2" t="str">
        <f t="shared" ref="AH54:AH66" si="74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174</v>
      </c>
      <c r="D55" s="46" t="s">
        <v>182</v>
      </c>
      <c r="F55" s="45" t="s">
        <v>174</v>
      </c>
      <c r="G55" s="46" t="s">
        <v>182</v>
      </c>
      <c r="I55" s="47" t="str">
        <f t="shared" si="70"/>
        <v>"#75e009"</v>
      </c>
      <c r="J55" s="48" t="str">
        <f t="shared" si="70"/>
        <v>"#66cc00"</v>
      </c>
      <c r="U55" s="44"/>
      <c r="V55" s="44"/>
      <c r="X55" s="44"/>
      <c r="Y55" s="44"/>
      <c r="AA55" s="2" t="s">
        <v>6</v>
      </c>
      <c r="AB55" s="2" t="str">
        <f t="shared" si="71"/>
        <v>-</v>
      </c>
      <c r="AC55" s="2" t="s">
        <v>7</v>
      </c>
      <c r="AD55" s="2" t="str">
        <f t="shared" si="72"/>
        <v>_</v>
      </c>
      <c r="AE55" s="2">
        <v>0</v>
      </c>
      <c r="AF55" s="2" t="str">
        <f t="shared" si="73"/>
        <v/>
      </c>
      <c r="AH55" s="2" t="str">
        <f t="shared" si="74"/>
        <v/>
      </c>
    </row>
    <row r="56" spans="1:35" x14ac:dyDescent="0.25">
      <c r="B56" s="2" t="str">
        <f t="shared" si="69"/>
        <v>@color-mtb:scale_1</v>
      </c>
      <c r="C56" s="49" t="s">
        <v>175</v>
      </c>
      <c r="D56" s="50" t="s">
        <v>183</v>
      </c>
      <c r="F56" s="49" t="s">
        <v>175</v>
      </c>
      <c r="G56" s="50" t="s">
        <v>183</v>
      </c>
      <c r="I56" s="51" t="str">
        <f t="shared" si="70"/>
        <v>"#d7dc00"</v>
      </c>
      <c r="J56" s="52" t="str">
        <f t="shared" si="70"/>
        <v>"#c5c900"</v>
      </c>
      <c r="U56" s="44"/>
      <c r="V56" s="44"/>
      <c r="X56" s="44"/>
      <c r="Y56" s="44"/>
      <c r="AA56" s="2" t="s">
        <v>6</v>
      </c>
      <c r="AB56" s="2" t="str">
        <f t="shared" si="71"/>
        <v>-</v>
      </c>
      <c r="AC56" s="2" t="s">
        <v>7</v>
      </c>
      <c r="AD56" s="2" t="str">
        <f t="shared" si="72"/>
        <v>_</v>
      </c>
      <c r="AE56" s="2">
        <v>1</v>
      </c>
      <c r="AF56" s="2" t="str">
        <f t="shared" si="73"/>
        <v/>
      </c>
      <c r="AH56" s="2" t="str">
        <f t="shared" si="74"/>
        <v/>
      </c>
    </row>
    <row r="57" spans="1:35" x14ac:dyDescent="0.25">
      <c r="B57" s="2" t="str">
        <f t="shared" si="69"/>
        <v>@color-mtb:scale_2</v>
      </c>
      <c r="C57" s="53" t="s">
        <v>176</v>
      </c>
      <c r="D57" s="54" t="s">
        <v>184</v>
      </c>
      <c r="F57" s="53" t="s">
        <v>176</v>
      </c>
      <c r="G57" s="54" t="s">
        <v>184</v>
      </c>
      <c r="I57" s="55" t="str">
        <f t="shared" si="70"/>
        <v>"#feb13e"</v>
      </c>
      <c r="J57" s="56" t="str">
        <f t="shared" si="70"/>
        <v>"#f09000"</v>
      </c>
      <c r="U57" s="44"/>
      <c r="V57" s="44"/>
      <c r="X57" s="44"/>
      <c r="Y57" s="44"/>
      <c r="AA57" s="2" t="s">
        <v>6</v>
      </c>
      <c r="AB57" s="2" t="str">
        <f t="shared" si="71"/>
        <v>-</v>
      </c>
      <c r="AC57" s="2" t="s">
        <v>7</v>
      </c>
      <c r="AD57" s="2" t="str">
        <f t="shared" si="72"/>
        <v>_</v>
      </c>
      <c r="AE57" s="2">
        <v>2</v>
      </c>
      <c r="AF57" s="2" t="str">
        <f t="shared" si="73"/>
        <v/>
      </c>
      <c r="AH57" s="2" t="str">
        <f t="shared" si="74"/>
        <v/>
      </c>
    </row>
    <row r="58" spans="1:35" x14ac:dyDescent="0.25">
      <c r="B58" s="2" t="str">
        <f t="shared" si="69"/>
        <v>@color-mtb:scale_3</v>
      </c>
      <c r="C58" s="57" t="s">
        <v>177</v>
      </c>
      <c r="D58" s="57" t="s">
        <v>177</v>
      </c>
      <c r="F58" s="57" t="s">
        <v>177</v>
      </c>
      <c r="G58" s="57" t="s">
        <v>177</v>
      </c>
      <c r="I58" s="58" t="str">
        <f t="shared" si="70"/>
        <v>"#ff4f5e"</v>
      </c>
      <c r="J58" s="58" t="str">
        <f t="shared" si="70"/>
        <v>"#ff4f5e"</v>
      </c>
      <c r="U58" s="44"/>
      <c r="V58" s="44"/>
      <c r="X58" s="44"/>
      <c r="Y58" s="44"/>
      <c r="AA58" s="2" t="s">
        <v>6</v>
      </c>
      <c r="AB58" s="2" t="str">
        <f t="shared" si="71"/>
        <v>-</v>
      </c>
      <c r="AC58" s="2" t="s">
        <v>7</v>
      </c>
      <c r="AD58" s="2" t="str">
        <f t="shared" si="72"/>
        <v>_</v>
      </c>
      <c r="AE58" s="2">
        <v>3</v>
      </c>
      <c r="AF58" s="2" t="str">
        <f t="shared" si="73"/>
        <v/>
      </c>
      <c r="AH58" s="2" t="str">
        <f t="shared" si="74"/>
        <v/>
      </c>
    </row>
    <row r="59" spans="1:35" x14ac:dyDescent="0.25">
      <c r="B59" s="2" t="str">
        <f t="shared" si="69"/>
        <v>@color-mtb:scale_4</v>
      </c>
      <c r="C59" s="59" t="s">
        <v>178</v>
      </c>
      <c r="D59" s="60" t="s">
        <v>185</v>
      </c>
      <c r="F59" s="59" t="s">
        <v>178</v>
      </c>
      <c r="G59" s="60" t="s">
        <v>185</v>
      </c>
      <c r="I59" s="61" t="str">
        <f t="shared" si="70"/>
        <v>"#e50bdd"</v>
      </c>
      <c r="J59" s="62" t="str">
        <f t="shared" si="70"/>
        <v>"#d600ce"</v>
      </c>
      <c r="U59" s="44"/>
      <c r="V59" s="44"/>
      <c r="X59" s="44"/>
      <c r="Y59" s="44"/>
      <c r="AA59" s="2" t="s">
        <v>6</v>
      </c>
      <c r="AB59" s="2" t="str">
        <f t="shared" si="71"/>
        <v>-</v>
      </c>
      <c r="AC59" s="2" t="s">
        <v>7</v>
      </c>
      <c r="AD59" s="2" t="str">
        <f t="shared" si="72"/>
        <v>_</v>
      </c>
      <c r="AE59" s="2">
        <v>4</v>
      </c>
      <c r="AF59" s="2" t="str">
        <f t="shared" si="73"/>
        <v/>
      </c>
      <c r="AH59" s="2" t="str">
        <f t="shared" si="74"/>
        <v/>
      </c>
    </row>
    <row r="60" spans="1:35" x14ac:dyDescent="0.25">
      <c r="B60" s="2" t="str">
        <f t="shared" si="69"/>
        <v>@color-mtb:scale_5</v>
      </c>
      <c r="C60" s="63" t="s">
        <v>179</v>
      </c>
      <c r="D60" s="64" t="s">
        <v>186</v>
      </c>
      <c r="F60" s="63" t="s">
        <v>179</v>
      </c>
      <c r="G60" s="64" t="s">
        <v>186</v>
      </c>
      <c r="I60" s="65" t="str">
        <f t="shared" si="70"/>
        <v>"#9600c8"</v>
      </c>
      <c r="J60" s="66" t="str">
        <f t="shared" si="70"/>
        <v>"#7a3391"</v>
      </c>
      <c r="U60" s="44"/>
      <c r="V60" s="44"/>
      <c r="X60" s="44"/>
      <c r="Y60" s="44"/>
      <c r="AA60" s="2" t="s">
        <v>6</v>
      </c>
      <c r="AB60" s="2" t="str">
        <f t="shared" si="71"/>
        <v>-</v>
      </c>
      <c r="AC60" s="2" t="s">
        <v>7</v>
      </c>
      <c r="AD60" s="2" t="str">
        <f t="shared" si="72"/>
        <v>_</v>
      </c>
      <c r="AE60" s="2">
        <v>5</v>
      </c>
      <c r="AF60" s="2" t="str">
        <f t="shared" si="73"/>
        <v/>
      </c>
      <c r="AH60" s="2" t="str">
        <f t="shared" si="74"/>
        <v/>
      </c>
    </row>
    <row r="61" spans="1:35" x14ac:dyDescent="0.25">
      <c r="B61" s="2" t="str">
        <f t="shared" si="69"/>
        <v>@color-mtb:scale_6</v>
      </c>
      <c r="C61" s="67" t="s">
        <v>180</v>
      </c>
      <c r="D61" s="68" t="s">
        <v>187</v>
      </c>
      <c r="F61" s="67" t="s">
        <v>180</v>
      </c>
      <c r="G61" s="68" t="s">
        <v>187</v>
      </c>
      <c r="I61" s="69" t="str">
        <f t="shared" si="70"/>
        <v>"#8100ac"</v>
      </c>
      <c r="J61" s="70" t="str">
        <f t="shared" si="70"/>
        <v>"#593266"</v>
      </c>
      <c r="U61" s="44"/>
      <c r="V61" s="44"/>
      <c r="X61" s="44"/>
      <c r="Y61" s="44"/>
      <c r="AA61" s="2" t="s">
        <v>6</v>
      </c>
      <c r="AB61" s="2" t="str">
        <f t="shared" si="71"/>
        <v>-</v>
      </c>
      <c r="AC61" s="2" t="s">
        <v>7</v>
      </c>
      <c r="AD61" s="2" t="str">
        <f t="shared" si="72"/>
        <v>_</v>
      </c>
      <c r="AE61" s="2">
        <v>6</v>
      </c>
      <c r="AF61" s="2" t="str">
        <f t="shared" si="73"/>
        <v/>
      </c>
      <c r="AH61" s="2" t="str">
        <f t="shared" si="74"/>
        <v/>
      </c>
    </row>
    <row r="62" spans="1:35" x14ac:dyDescent="0.25">
      <c r="B62" s="2" t="str">
        <f t="shared" si="69"/>
        <v>@color-mtb:scale_null</v>
      </c>
      <c r="C62" s="38" t="s">
        <v>227</v>
      </c>
      <c r="D62" s="38" t="s">
        <v>227</v>
      </c>
      <c r="F62" s="31" t="s">
        <v>286</v>
      </c>
      <c r="G62" s="31" t="s">
        <v>286</v>
      </c>
      <c r="I62" s="38" t="s">
        <v>227</v>
      </c>
      <c r="J62" s="38" t="s">
        <v>227</v>
      </c>
      <c r="L62" s="31" t="s">
        <v>286</v>
      </c>
      <c r="M62" s="31" t="s">
        <v>286</v>
      </c>
      <c r="U62" s="44"/>
      <c r="V62" s="44"/>
      <c r="X62" s="44"/>
      <c r="Y62" s="44"/>
      <c r="AA62" s="2" t="s">
        <v>6</v>
      </c>
      <c r="AB62" s="2" t="str">
        <f t="shared" ref="AB62" si="75">IF(NOT(ISBLANK(AC62)),"-","")</f>
        <v>-</v>
      </c>
      <c r="AC62" s="2" t="s">
        <v>7</v>
      </c>
      <c r="AD62" s="2" t="str">
        <f t="shared" ref="AD62" si="76">IF(NOT(ISBLANK(AE62)),"_","")</f>
        <v>_</v>
      </c>
      <c r="AE62" s="2" t="s">
        <v>310</v>
      </c>
      <c r="AF62" s="2" t="str">
        <f t="shared" ref="AF62" si="77">IF(NOT(ISBLANK(AG62)),"_","")</f>
        <v/>
      </c>
      <c r="AH62" s="2" t="str">
        <f t="shared" si="74"/>
        <v/>
      </c>
    </row>
    <row r="63" spans="1:35" x14ac:dyDescent="0.25">
      <c r="B63" s="2"/>
      <c r="AA63" s="2"/>
      <c r="AB63" s="2" t="str">
        <f t="shared" si="71"/>
        <v/>
      </c>
      <c r="AC63" s="2"/>
      <c r="AD63" s="2" t="str">
        <f t="shared" si="72"/>
        <v/>
      </c>
      <c r="AE63" s="2"/>
      <c r="AF63" s="28" t="str">
        <f t="shared" si="73"/>
        <v/>
      </c>
      <c r="AH63" s="28" t="str">
        <f t="shared" si="74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174</v>
      </c>
      <c r="V64" s="46" t="s">
        <v>182</v>
      </c>
      <c r="AA64" s="2" t="s">
        <v>6</v>
      </c>
      <c r="AB64" s="2" t="str">
        <f t="shared" ref="AB64" si="78">IF(NOT(ISBLANK(AC64)),"-","")</f>
        <v>-</v>
      </c>
      <c r="AC64" s="2" t="s">
        <v>230</v>
      </c>
      <c r="AD64" s="2" t="str">
        <f t="shared" ref="AD64" si="79">IF(NOT(ISBLANK(AE64)),"_","")</f>
        <v>_</v>
      </c>
      <c r="AE64" s="2">
        <v>1</v>
      </c>
      <c r="AF64" s="2" t="str">
        <f t="shared" ref="AF64" si="80">IF(NOT(ISBLANK(AG64)),"_","")</f>
        <v/>
      </c>
      <c r="AH64" s="2" t="str">
        <f t="shared" si="74"/>
        <v/>
      </c>
    </row>
    <row r="65" spans="1:35" x14ac:dyDescent="0.25">
      <c r="B65" s="2" t="str">
        <f t="shared" ref="B65:B66" si="81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175</v>
      </c>
      <c r="V65" s="50" t="s">
        <v>183</v>
      </c>
      <c r="AA65" s="2" t="s">
        <v>6</v>
      </c>
      <c r="AB65" s="2" t="str">
        <f t="shared" ref="AB65:AB66" si="82">IF(NOT(ISBLANK(AC65)),"-","")</f>
        <v>-</v>
      </c>
      <c r="AC65" s="2" t="s">
        <v>230</v>
      </c>
      <c r="AD65" s="2" t="str">
        <f t="shared" ref="AD65:AD69" si="83">IF(NOT(ISBLANK(AE65)),"_","")</f>
        <v>_</v>
      </c>
      <c r="AE65" s="2">
        <v>2</v>
      </c>
      <c r="AF65" s="2" t="str">
        <f t="shared" ref="AF65:AF69" si="84">IF(NOT(ISBLANK(AG65)),"_","")</f>
        <v/>
      </c>
      <c r="AH65" s="2" t="str">
        <f t="shared" si="74"/>
        <v/>
      </c>
    </row>
    <row r="66" spans="1:35" x14ac:dyDescent="0.25">
      <c r="B66" s="2" t="str">
        <f t="shared" si="81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176</v>
      </c>
      <c r="V66" s="54" t="s">
        <v>184</v>
      </c>
      <c r="AA66" s="2" t="s">
        <v>6</v>
      </c>
      <c r="AB66" s="2" t="str">
        <f t="shared" si="82"/>
        <v>-</v>
      </c>
      <c r="AC66" s="2" t="s">
        <v>230</v>
      </c>
      <c r="AD66" s="2" t="str">
        <f t="shared" si="83"/>
        <v>_</v>
      </c>
      <c r="AE66" s="2">
        <v>3</v>
      </c>
      <c r="AF66" s="2" t="str">
        <f t="shared" si="84"/>
        <v/>
      </c>
      <c r="AH66" s="2" t="str">
        <f t="shared" si="74"/>
        <v/>
      </c>
    </row>
    <row r="67" spans="1:35" x14ac:dyDescent="0.25">
      <c r="B67" s="2"/>
      <c r="AA67" s="2"/>
      <c r="AB67" s="2"/>
      <c r="AC67" s="2"/>
      <c r="AD67" s="2"/>
      <c r="AE67" s="2"/>
    </row>
    <row r="68" spans="1:35" s="5" customFormat="1" x14ac:dyDescent="0.25">
      <c r="A68" s="27" t="s">
        <v>326</v>
      </c>
      <c r="B68" s="27"/>
      <c r="C68" s="27"/>
      <c r="D68" s="27"/>
      <c r="F68" s="27"/>
      <c r="G68" s="27"/>
      <c r="I68" s="27"/>
      <c r="J68" s="27"/>
      <c r="L68" s="27"/>
      <c r="M68" s="27"/>
      <c r="O68" s="27"/>
      <c r="P68" s="27"/>
      <c r="R68" s="27"/>
      <c r="S68" s="27"/>
      <c r="U68" s="27"/>
      <c r="V68" s="27"/>
      <c r="X68" s="27"/>
      <c r="Y68" s="27"/>
      <c r="AA68" s="27"/>
      <c r="AB68" s="27"/>
      <c r="AC68" s="27"/>
      <c r="AD68" s="27"/>
      <c r="AE68" s="27"/>
      <c r="AF68" s="27"/>
      <c r="AG68" s="27"/>
      <c r="AH68" s="27"/>
      <c r="AI68" s="27"/>
    </row>
    <row r="69" spans="1:35" x14ac:dyDescent="0.25">
      <c r="B69" s="2" t="str">
        <f t="shared" ref="B69:B84" si="85">_xlfn.CONCAT("@",AA69,AB69,AC69,AD69,AE69,AF69,AG69,AH69,AI69)</f>
        <v>@case_width-path_narrow_z11</v>
      </c>
      <c r="C69" s="28" t="s">
        <v>301</v>
      </c>
      <c r="D69" s="28" t="s">
        <v>302</v>
      </c>
      <c r="F69" s="28" t="s">
        <v>301</v>
      </c>
      <c r="G69" s="28" t="s">
        <v>302</v>
      </c>
      <c r="I69" s="28" t="s">
        <v>98</v>
      </c>
      <c r="L69" s="28" t="s">
        <v>98</v>
      </c>
      <c r="AA69" s="2" t="s">
        <v>81</v>
      </c>
      <c r="AB69" s="2" t="str">
        <f t="shared" ref="AB69" si="86">IF(NOT(ISBLANK(AC69)),"-","")</f>
        <v>-</v>
      </c>
      <c r="AC69" s="2" t="s">
        <v>74</v>
      </c>
      <c r="AD69" s="2" t="str">
        <f t="shared" si="83"/>
        <v>_</v>
      </c>
      <c r="AE69" s="2" t="s">
        <v>75</v>
      </c>
      <c r="AF69" s="2" t="str">
        <f t="shared" si="84"/>
        <v>_</v>
      </c>
      <c r="AG69" s="28" t="s">
        <v>73</v>
      </c>
      <c r="AH69" s="2" t="str">
        <f t="shared" ref="AH69:AH84" si="87">IF(NOT(ISBLANK(AI69)),"_","")</f>
        <v/>
      </c>
    </row>
    <row r="70" spans="1:35" x14ac:dyDescent="0.25">
      <c r="B70" s="2" t="str">
        <f t="shared" si="85"/>
        <v>@case_width-path_medium_z11</v>
      </c>
      <c r="C70" s="28" t="s">
        <v>87</v>
      </c>
      <c r="D70" s="28" t="s">
        <v>306</v>
      </c>
      <c r="F70" s="28" t="s">
        <v>87</v>
      </c>
      <c r="G70" s="28" t="s">
        <v>306</v>
      </c>
      <c r="I70" s="28" t="s">
        <v>99</v>
      </c>
      <c r="L70" s="28" t="s">
        <v>99</v>
      </c>
      <c r="AA70" s="2" t="s">
        <v>81</v>
      </c>
      <c r="AB70" s="2" t="str">
        <f t="shared" ref="AB70" si="88">IF(NOT(ISBLANK(AC70)),"-","")</f>
        <v>-</v>
      </c>
      <c r="AC70" s="2" t="s">
        <v>74</v>
      </c>
      <c r="AD70" s="2" t="str">
        <f t="shared" ref="AD70" si="89">IF(NOT(ISBLANK(AE70)),"_","")</f>
        <v>_</v>
      </c>
      <c r="AE70" s="2" t="s">
        <v>82</v>
      </c>
      <c r="AF70" s="2" t="str">
        <f t="shared" ref="AF70" si="90">IF(NOT(ISBLANK(AG70)),"_","")</f>
        <v>_</v>
      </c>
      <c r="AG70" s="28" t="s">
        <v>73</v>
      </c>
      <c r="AH70" s="2" t="str">
        <f t="shared" si="87"/>
        <v/>
      </c>
    </row>
    <row r="71" spans="1:35" x14ac:dyDescent="0.25">
      <c r="B71" s="2" t="str">
        <f t="shared" si="85"/>
        <v>@case_width-path_wide_z11</v>
      </c>
      <c r="C71" s="28" t="s">
        <v>302</v>
      </c>
      <c r="D71" s="28" t="s">
        <v>304</v>
      </c>
      <c r="F71" s="28" t="s">
        <v>302</v>
      </c>
      <c r="G71" s="28" t="s">
        <v>304</v>
      </c>
      <c r="I71" s="28" t="s">
        <v>87</v>
      </c>
      <c r="L71" s="28" t="s">
        <v>87</v>
      </c>
      <c r="AA71" s="2" t="s">
        <v>81</v>
      </c>
      <c r="AB71" s="2" t="str">
        <f t="shared" ref="AB71:AB74" si="91">IF(NOT(ISBLANK(AC71)),"-","")</f>
        <v>-</v>
      </c>
      <c r="AC71" s="2" t="s">
        <v>74</v>
      </c>
      <c r="AD71" s="2" t="str">
        <f t="shared" ref="AD71:AD74" si="92">IF(NOT(ISBLANK(AE71)),"_","")</f>
        <v>_</v>
      </c>
      <c r="AE71" s="2" t="s">
        <v>80</v>
      </c>
      <c r="AF71" s="2" t="str">
        <f t="shared" ref="AF71:AF74" si="93">IF(NOT(ISBLANK(AG71)),"_","")</f>
        <v>_</v>
      </c>
      <c r="AG71" s="28" t="s">
        <v>73</v>
      </c>
      <c r="AH71" s="2" t="str">
        <f t="shared" si="87"/>
        <v/>
      </c>
    </row>
    <row r="72" spans="1:35" x14ac:dyDescent="0.25">
      <c r="B72" s="2" t="str">
        <f t="shared" si="85"/>
        <v>@case_width-path_widest_z11</v>
      </c>
      <c r="C72" s="28" t="s">
        <v>302</v>
      </c>
      <c r="D72" s="28" t="s">
        <v>304</v>
      </c>
      <c r="F72" s="28" t="s">
        <v>302</v>
      </c>
      <c r="G72" s="28" t="s">
        <v>304</v>
      </c>
      <c r="I72" s="28" t="s">
        <v>87</v>
      </c>
      <c r="L72" s="28" t="s">
        <v>87</v>
      </c>
      <c r="AA72" s="2" t="s">
        <v>81</v>
      </c>
      <c r="AB72" s="2" t="str">
        <f t="shared" ref="AB72" si="94">IF(NOT(ISBLANK(AC72)),"-","")</f>
        <v>-</v>
      </c>
      <c r="AC72" s="2" t="s">
        <v>74</v>
      </c>
      <c r="AD72" s="2" t="str">
        <f t="shared" ref="AD72" si="95">IF(NOT(ISBLANK(AE72)),"_","")</f>
        <v>_</v>
      </c>
      <c r="AE72" s="2" t="s">
        <v>303</v>
      </c>
      <c r="AF72" s="2" t="str">
        <f t="shared" ref="AF72" si="96">IF(NOT(ISBLANK(AG72)),"_","")</f>
        <v>_</v>
      </c>
      <c r="AG72" s="28" t="s">
        <v>73</v>
      </c>
      <c r="AH72" s="2" t="str">
        <f t="shared" si="87"/>
        <v/>
      </c>
    </row>
    <row r="73" spans="1:35" x14ac:dyDescent="0.25">
      <c r="B73" s="2" t="str">
        <f t="shared" si="85"/>
        <v>@case_width-path_narrow_z14</v>
      </c>
      <c r="C73" s="28" t="s">
        <v>84</v>
      </c>
      <c r="D73" s="28" t="s">
        <v>93</v>
      </c>
      <c r="F73" s="28" t="s">
        <v>84</v>
      </c>
      <c r="G73" s="28" t="s">
        <v>93</v>
      </c>
      <c r="I73" s="28" t="s">
        <v>301</v>
      </c>
      <c r="L73" s="28" t="s">
        <v>301</v>
      </c>
      <c r="AA73" s="2" t="s">
        <v>81</v>
      </c>
      <c r="AB73" s="2" t="str">
        <f t="shared" si="91"/>
        <v>-</v>
      </c>
      <c r="AC73" s="2" t="s">
        <v>74</v>
      </c>
      <c r="AD73" s="2" t="str">
        <f t="shared" si="92"/>
        <v>_</v>
      </c>
      <c r="AE73" s="2" t="s">
        <v>75</v>
      </c>
      <c r="AF73" s="2" t="str">
        <f t="shared" si="93"/>
        <v>_</v>
      </c>
      <c r="AG73" s="28" t="s">
        <v>77</v>
      </c>
      <c r="AH73" s="2" t="str">
        <f t="shared" si="87"/>
        <v/>
      </c>
    </row>
    <row r="74" spans="1:35" x14ac:dyDescent="0.25">
      <c r="B74" s="2" t="str">
        <f t="shared" si="85"/>
        <v>@case_width-path_medium_z14</v>
      </c>
      <c r="C74" s="28" t="s">
        <v>302</v>
      </c>
      <c r="D74" s="28" t="s">
        <v>304</v>
      </c>
      <c r="F74" s="28" t="s">
        <v>302</v>
      </c>
      <c r="G74" s="28" t="s">
        <v>304</v>
      </c>
      <c r="I74" s="28" t="s">
        <v>100</v>
      </c>
      <c r="L74" s="28" t="s">
        <v>100</v>
      </c>
      <c r="AA74" s="2" t="s">
        <v>81</v>
      </c>
      <c r="AB74" s="2" t="str">
        <f t="shared" si="91"/>
        <v>-</v>
      </c>
      <c r="AC74" s="2" t="s">
        <v>74</v>
      </c>
      <c r="AD74" s="2" t="str">
        <f t="shared" si="92"/>
        <v>_</v>
      </c>
      <c r="AE74" s="2" t="s">
        <v>82</v>
      </c>
      <c r="AF74" s="2" t="str">
        <f t="shared" si="93"/>
        <v>_</v>
      </c>
      <c r="AG74" s="28" t="s">
        <v>77</v>
      </c>
      <c r="AH74" s="2" t="str">
        <f t="shared" si="87"/>
        <v/>
      </c>
    </row>
    <row r="75" spans="1:35" x14ac:dyDescent="0.25">
      <c r="B75" s="2" t="str">
        <f t="shared" si="85"/>
        <v>@case_width-path_wide_z14</v>
      </c>
      <c r="C75" s="28" t="s">
        <v>306</v>
      </c>
      <c r="D75" s="28" t="s">
        <v>305</v>
      </c>
      <c r="F75" s="28" t="s">
        <v>306</v>
      </c>
      <c r="G75" s="28" t="s">
        <v>305</v>
      </c>
      <c r="I75" s="28" t="s">
        <v>101</v>
      </c>
      <c r="L75" s="28" t="s">
        <v>101</v>
      </c>
      <c r="AA75" s="2" t="s">
        <v>81</v>
      </c>
      <c r="AB75" s="2" t="str">
        <f t="shared" ref="AB75:AB78" si="97">IF(NOT(ISBLANK(AC75)),"-","")</f>
        <v>-</v>
      </c>
      <c r="AC75" s="2" t="s">
        <v>74</v>
      </c>
      <c r="AD75" s="2" t="str">
        <f t="shared" ref="AD75:AD78" si="98">IF(NOT(ISBLANK(AE75)),"_","")</f>
        <v>_</v>
      </c>
      <c r="AE75" s="2" t="s">
        <v>80</v>
      </c>
      <c r="AF75" s="2" t="str">
        <f t="shared" ref="AF75:AF78" si="99">IF(NOT(ISBLANK(AG75)),"_","")</f>
        <v>_</v>
      </c>
      <c r="AG75" s="28" t="s">
        <v>77</v>
      </c>
      <c r="AH75" s="2" t="str">
        <f t="shared" si="87"/>
        <v/>
      </c>
    </row>
    <row r="76" spans="1:35" x14ac:dyDescent="0.25">
      <c r="B76" s="2" t="str">
        <f t="shared" si="85"/>
        <v>@case_width-path_widest_z14</v>
      </c>
      <c r="C76" s="28" t="s">
        <v>306</v>
      </c>
      <c r="D76" s="28" t="s">
        <v>305</v>
      </c>
      <c r="F76" s="28" t="s">
        <v>306</v>
      </c>
      <c r="G76" s="28" t="s">
        <v>305</v>
      </c>
      <c r="I76" s="28" t="s">
        <v>101</v>
      </c>
      <c r="L76" s="28" t="s">
        <v>101</v>
      </c>
      <c r="AA76" s="2" t="s">
        <v>81</v>
      </c>
      <c r="AB76" s="2" t="str">
        <f t="shared" ref="AB76" si="100">IF(NOT(ISBLANK(AC76)),"-","")</f>
        <v>-</v>
      </c>
      <c r="AC76" s="2" t="s">
        <v>74</v>
      </c>
      <c r="AD76" s="2" t="str">
        <f t="shared" ref="AD76" si="101">IF(NOT(ISBLANK(AE76)),"_","")</f>
        <v>_</v>
      </c>
      <c r="AE76" s="2" t="s">
        <v>303</v>
      </c>
      <c r="AF76" s="2" t="str">
        <f t="shared" ref="AF76" si="102">IF(NOT(ISBLANK(AG76)),"_","")</f>
        <v>_</v>
      </c>
      <c r="AG76" s="28" t="s">
        <v>77</v>
      </c>
      <c r="AH76" s="2" t="str">
        <f t="shared" si="87"/>
        <v/>
      </c>
    </row>
    <row r="77" spans="1:35" x14ac:dyDescent="0.25">
      <c r="B77" s="2" t="str">
        <f t="shared" si="85"/>
        <v>@case_width-path_narrow_z16</v>
      </c>
      <c r="C77" s="28" t="s">
        <v>306</v>
      </c>
      <c r="D77" s="28" t="s">
        <v>306</v>
      </c>
      <c r="F77" s="28" t="s">
        <v>306</v>
      </c>
      <c r="G77" s="28" t="s">
        <v>306</v>
      </c>
      <c r="I77" s="28" t="s">
        <v>301</v>
      </c>
      <c r="L77" s="28" t="s">
        <v>301</v>
      </c>
      <c r="AA77" s="2" t="s">
        <v>81</v>
      </c>
      <c r="AB77" s="2" t="str">
        <f t="shared" si="97"/>
        <v>-</v>
      </c>
      <c r="AC77" s="2" t="s">
        <v>74</v>
      </c>
      <c r="AD77" s="2" t="str">
        <f t="shared" si="98"/>
        <v>_</v>
      </c>
      <c r="AE77" s="2" t="s">
        <v>75</v>
      </c>
      <c r="AF77" s="2" t="str">
        <f t="shared" si="99"/>
        <v>_</v>
      </c>
      <c r="AG77" s="28" t="s">
        <v>78</v>
      </c>
      <c r="AH77" s="2" t="str">
        <f t="shared" si="87"/>
        <v/>
      </c>
    </row>
    <row r="78" spans="1:35" x14ac:dyDescent="0.25">
      <c r="B78" s="2" t="str">
        <f t="shared" si="85"/>
        <v>@case_width-path_medium_z16</v>
      </c>
      <c r="C78" s="28" t="s">
        <v>305</v>
      </c>
      <c r="D78" s="28" t="s">
        <v>305</v>
      </c>
      <c r="F78" s="28" t="s">
        <v>305</v>
      </c>
      <c r="G78" s="28" t="s">
        <v>305</v>
      </c>
      <c r="I78" s="28" t="s">
        <v>101</v>
      </c>
      <c r="L78" s="28" t="s">
        <v>101</v>
      </c>
      <c r="AA78" s="2" t="s">
        <v>81</v>
      </c>
      <c r="AB78" s="2" t="str">
        <f t="shared" si="97"/>
        <v>-</v>
      </c>
      <c r="AC78" s="2" t="s">
        <v>74</v>
      </c>
      <c r="AD78" s="2" t="str">
        <f t="shared" si="98"/>
        <v>_</v>
      </c>
      <c r="AE78" s="2" t="s">
        <v>82</v>
      </c>
      <c r="AF78" s="2" t="str">
        <f t="shared" si="99"/>
        <v>_</v>
      </c>
      <c r="AG78" s="28" t="s">
        <v>78</v>
      </c>
      <c r="AH78" s="2" t="str">
        <f t="shared" si="87"/>
        <v/>
      </c>
    </row>
    <row r="79" spans="1:35" x14ac:dyDescent="0.25">
      <c r="B79" s="2" t="str">
        <f t="shared" si="85"/>
        <v>@case_width-path_wide_z16</v>
      </c>
      <c r="C79" s="28" t="s">
        <v>307</v>
      </c>
      <c r="D79" s="28" t="s">
        <v>307</v>
      </c>
      <c r="F79" s="28" t="s">
        <v>307</v>
      </c>
      <c r="G79" s="28" t="s">
        <v>307</v>
      </c>
      <c r="I79" s="28" t="s">
        <v>102</v>
      </c>
      <c r="L79" s="28" t="s">
        <v>102</v>
      </c>
      <c r="AA79" s="2" t="s">
        <v>81</v>
      </c>
      <c r="AB79" s="2" t="str">
        <f t="shared" ref="AB79:AB82" si="103">IF(NOT(ISBLANK(AC79)),"-","")</f>
        <v>-</v>
      </c>
      <c r="AC79" s="2" t="s">
        <v>74</v>
      </c>
      <c r="AD79" s="2" t="str">
        <f t="shared" ref="AD79:AD82" si="104">IF(NOT(ISBLANK(AE79)),"_","")</f>
        <v>_</v>
      </c>
      <c r="AE79" s="2" t="s">
        <v>80</v>
      </c>
      <c r="AF79" s="2" t="str">
        <f t="shared" ref="AF79:AF82" si="105">IF(NOT(ISBLANK(AG79)),"_","")</f>
        <v>_</v>
      </c>
      <c r="AG79" s="28" t="s">
        <v>78</v>
      </c>
      <c r="AH79" s="2" t="str">
        <f t="shared" si="87"/>
        <v/>
      </c>
    </row>
    <row r="80" spans="1:35" x14ac:dyDescent="0.25">
      <c r="B80" s="2" t="str">
        <f t="shared" si="85"/>
        <v>@case_width-path_widest_z16</v>
      </c>
      <c r="C80" s="28" t="s">
        <v>307</v>
      </c>
      <c r="D80" s="28" t="s">
        <v>307</v>
      </c>
      <c r="F80" s="28" t="s">
        <v>307</v>
      </c>
      <c r="G80" s="28" t="s">
        <v>307</v>
      </c>
      <c r="I80" s="28" t="s">
        <v>102</v>
      </c>
      <c r="L80" s="28" t="s">
        <v>102</v>
      </c>
      <c r="AA80" s="2" t="s">
        <v>81</v>
      </c>
      <c r="AB80" s="2" t="str">
        <f t="shared" ref="AB80" si="106">IF(NOT(ISBLANK(AC80)),"-","")</f>
        <v>-</v>
      </c>
      <c r="AC80" s="2" t="s">
        <v>74</v>
      </c>
      <c r="AD80" s="2" t="str">
        <f t="shared" ref="AD80" si="107">IF(NOT(ISBLANK(AE80)),"_","")</f>
        <v>_</v>
      </c>
      <c r="AE80" s="2" t="s">
        <v>303</v>
      </c>
      <c r="AF80" s="2" t="str">
        <f t="shared" ref="AF80" si="108">IF(NOT(ISBLANK(AG80)),"_","")</f>
        <v>_</v>
      </c>
      <c r="AG80" s="28" t="s">
        <v>78</v>
      </c>
      <c r="AH80" s="2" t="str">
        <f t="shared" si="87"/>
        <v/>
      </c>
    </row>
    <row r="81" spans="1:35" x14ac:dyDescent="0.25">
      <c r="B81" s="2" t="str">
        <f t="shared" si="85"/>
        <v>@case_width-path_narrow_z18</v>
      </c>
      <c r="C81" s="28" t="s">
        <v>308</v>
      </c>
      <c r="D81" s="28" t="s">
        <v>94</v>
      </c>
      <c r="F81" s="28" t="s">
        <v>308</v>
      </c>
      <c r="G81" s="28" t="s">
        <v>94</v>
      </c>
      <c r="I81" s="28" t="s">
        <v>87</v>
      </c>
      <c r="L81" s="28" t="s">
        <v>87</v>
      </c>
      <c r="AA81" s="2" t="s">
        <v>81</v>
      </c>
      <c r="AB81" s="2" t="str">
        <f t="shared" si="103"/>
        <v>-</v>
      </c>
      <c r="AC81" s="2" t="s">
        <v>74</v>
      </c>
      <c r="AD81" s="2" t="str">
        <f t="shared" si="104"/>
        <v>_</v>
      </c>
      <c r="AE81" s="2" t="s">
        <v>75</v>
      </c>
      <c r="AF81" s="2" t="str">
        <f t="shared" si="105"/>
        <v>_</v>
      </c>
      <c r="AG81" s="28" t="s">
        <v>79</v>
      </c>
      <c r="AH81" s="2" t="str">
        <f t="shared" si="87"/>
        <v/>
      </c>
    </row>
    <row r="82" spans="1:35" x14ac:dyDescent="0.25">
      <c r="B82" s="2" t="str">
        <f t="shared" si="85"/>
        <v>@case_width-path_medium_z18</v>
      </c>
      <c r="C82" s="28" t="s">
        <v>307</v>
      </c>
      <c r="D82" s="28" t="s">
        <v>96</v>
      </c>
      <c r="F82" s="28" t="s">
        <v>307</v>
      </c>
      <c r="G82" s="28" t="s">
        <v>96</v>
      </c>
      <c r="I82" s="28" t="s">
        <v>102</v>
      </c>
      <c r="L82" s="28" t="s">
        <v>102</v>
      </c>
      <c r="AA82" s="2" t="s">
        <v>81</v>
      </c>
      <c r="AB82" s="2" t="str">
        <f t="shared" si="103"/>
        <v>-</v>
      </c>
      <c r="AC82" s="2" t="s">
        <v>74</v>
      </c>
      <c r="AD82" s="2" t="str">
        <f t="shared" si="104"/>
        <v>_</v>
      </c>
      <c r="AE82" s="2" t="s">
        <v>82</v>
      </c>
      <c r="AF82" s="2" t="str">
        <f t="shared" si="105"/>
        <v>_</v>
      </c>
      <c r="AG82" s="28" t="s">
        <v>79</v>
      </c>
      <c r="AH82" s="2" t="str">
        <f t="shared" si="87"/>
        <v/>
      </c>
    </row>
    <row r="83" spans="1:35" x14ac:dyDescent="0.25">
      <c r="B83" s="2" t="str">
        <f t="shared" si="85"/>
        <v>@case_width-path_wide_z18</v>
      </c>
      <c r="C83" s="28" t="s">
        <v>309</v>
      </c>
      <c r="D83" s="28" t="s">
        <v>97</v>
      </c>
      <c r="F83" s="28" t="s">
        <v>309</v>
      </c>
      <c r="G83" s="28" t="s">
        <v>97</v>
      </c>
      <c r="I83" s="28" t="s">
        <v>103</v>
      </c>
      <c r="L83" s="28" t="s">
        <v>103</v>
      </c>
      <c r="AA83" s="2" t="s">
        <v>81</v>
      </c>
      <c r="AB83" s="2" t="str">
        <f t="shared" ref="AB83" si="109">IF(NOT(ISBLANK(AC83)),"-","")</f>
        <v>-</v>
      </c>
      <c r="AC83" s="2" t="s">
        <v>74</v>
      </c>
      <c r="AD83" s="2" t="str">
        <f t="shared" ref="AD83" si="110">IF(NOT(ISBLANK(AE83)),"_","")</f>
        <v>_</v>
      </c>
      <c r="AE83" s="2" t="s">
        <v>80</v>
      </c>
      <c r="AF83" s="2" t="str">
        <f t="shared" ref="AF83" si="111">IF(NOT(ISBLANK(AG83)),"_","")</f>
        <v>_</v>
      </c>
      <c r="AG83" s="28" t="s">
        <v>79</v>
      </c>
      <c r="AH83" s="2" t="str">
        <f t="shared" si="87"/>
        <v/>
      </c>
    </row>
    <row r="84" spans="1:35" x14ac:dyDescent="0.25">
      <c r="B84" s="2" t="str">
        <f t="shared" si="85"/>
        <v>@case_width-path_widest_z18</v>
      </c>
      <c r="C84" s="28" t="s">
        <v>309</v>
      </c>
      <c r="D84" s="28" t="s">
        <v>97</v>
      </c>
      <c r="F84" s="28" t="s">
        <v>309</v>
      </c>
      <c r="G84" s="28" t="s">
        <v>97</v>
      </c>
      <c r="I84" s="28" t="s">
        <v>103</v>
      </c>
      <c r="L84" s="28" t="s">
        <v>103</v>
      </c>
      <c r="AA84" s="2" t="s">
        <v>81</v>
      </c>
      <c r="AB84" s="2" t="str">
        <f t="shared" ref="AB84" si="112">IF(NOT(ISBLANK(AC84)),"-","")</f>
        <v>-</v>
      </c>
      <c r="AC84" s="2" t="s">
        <v>74</v>
      </c>
      <c r="AD84" s="2" t="str">
        <f t="shared" ref="AD84" si="113">IF(NOT(ISBLANK(AE84)),"_","")</f>
        <v>_</v>
      </c>
      <c r="AE84" s="2" t="s">
        <v>303</v>
      </c>
      <c r="AF84" s="2" t="str">
        <f t="shared" ref="AF84" si="114">IF(NOT(ISBLANK(AG84)),"_","")</f>
        <v>_</v>
      </c>
      <c r="AG84" s="28" t="s">
        <v>79</v>
      </c>
      <c r="AH84" s="2" t="str">
        <f t="shared" si="87"/>
        <v/>
      </c>
    </row>
    <row r="85" spans="1:35" x14ac:dyDescent="0.25">
      <c r="B85" s="2"/>
      <c r="AA85" s="2"/>
      <c r="AB85" s="2"/>
      <c r="AC85" s="2"/>
      <c r="AD85" s="2"/>
      <c r="AE85" s="2"/>
    </row>
    <row r="86" spans="1:35" s="5" customFormat="1" x14ac:dyDescent="0.25">
      <c r="A86" s="27" t="s">
        <v>327</v>
      </c>
      <c r="B86" s="27"/>
      <c r="C86" s="27"/>
      <c r="D86" s="27"/>
      <c r="F86" s="27"/>
      <c r="G86" s="27"/>
      <c r="I86" s="27"/>
      <c r="J86" s="27"/>
      <c r="L86" s="27"/>
      <c r="M86" s="27"/>
      <c r="O86" s="27"/>
      <c r="P86" s="27"/>
      <c r="R86" s="27"/>
      <c r="S86" s="27"/>
      <c r="U86" s="27"/>
      <c r="V86" s="27"/>
      <c r="X86" s="27"/>
      <c r="Y86" s="27"/>
      <c r="AA86" s="27"/>
      <c r="AB86" s="27"/>
      <c r="AC86" s="27"/>
      <c r="AD86" s="27"/>
      <c r="AE86" s="27"/>
      <c r="AF86" s="27"/>
      <c r="AG86" s="27"/>
      <c r="AH86" s="27"/>
      <c r="AI86" s="27"/>
    </row>
    <row r="87" spans="1:35" x14ac:dyDescent="0.25">
      <c r="B87" s="2" t="str">
        <f t="shared" ref="B87:B102" si="115">_xlfn.CONCAT("@",AA87,AB87,AC87,AD87,AE87,AF87,AG87,AH87,AI87)</f>
        <v>@line_width-path_narrow_z12</v>
      </c>
      <c r="C87" s="28" t="s">
        <v>123</v>
      </c>
      <c r="D87" s="28" t="s">
        <v>125</v>
      </c>
      <c r="F87" s="28" t="s">
        <v>123</v>
      </c>
      <c r="G87" s="28" t="s">
        <v>125</v>
      </c>
      <c r="I87" s="28" t="s">
        <v>123</v>
      </c>
      <c r="L87" s="28" t="s">
        <v>123</v>
      </c>
      <c r="AA87" s="2" t="s">
        <v>122</v>
      </c>
      <c r="AB87" s="2" t="str">
        <f t="shared" ref="AB87:AB102" si="116">IF(NOT(ISBLANK(AC87)),"-","")</f>
        <v>-</v>
      </c>
      <c r="AC87" s="2" t="s">
        <v>74</v>
      </c>
      <c r="AD87" s="2" t="str">
        <f t="shared" ref="AD87:AD102" si="117">IF(NOT(ISBLANK(AE87)),"_","")</f>
        <v>_</v>
      </c>
      <c r="AE87" s="2" t="s">
        <v>75</v>
      </c>
      <c r="AF87" s="2" t="str">
        <f t="shared" ref="AF87:AF102" si="118">IF(NOT(ISBLANK(AG87)),"_","")</f>
        <v>_</v>
      </c>
      <c r="AG87" s="28" t="s">
        <v>112</v>
      </c>
      <c r="AH87" s="2" t="str">
        <f t="shared" ref="AH87:AH102" si="119">IF(NOT(ISBLANK(AI87)),"_","")</f>
        <v/>
      </c>
    </row>
    <row r="88" spans="1:35" x14ac:dyDescent="0.25">
      <c r="B88" s="2" t="str">
        <f t="shared" si="115"/>
        <v>@line_width-path_medium_z12</v>
      </c>
      <c r="C88" s="28" t="s">
        <v>125</v>
      </c>
      <c r="D88" s="28" t="s">
        <v>119</v>
      </c>
      <c r="F88" s="28" t="s">
        <v>125</v>
      </c>
      <c r="G88" s="28" t="s">
        <v>119</v>
      </c>
      <c r="I88" s="28" t="s">
        <v>125</v>
      </c>
      <c r="L88" s="28" t="s">
        <v>125</v>
      </c>
      <c r="AA88" s="2" t="s">
        <v>122</v>
      </c>
      <c r="AB88" s="2" t="str">
        <f t="shared" si="116"/>
        <v>-</v>
      </c>
      <c r="AC88" s="2" t="s">
        <v>74</v>
      </c>
      <c r="AD88" s="2" t="str">
        <f t="shared" si="117"/>
        <v>_</v>
      </c>
      <c r="AE88" s="2" t="s">
        <v>82</v>
      </c>
      <c r="AF88" s="2" t="str">
        <f t="shared" si="118"/>
        <v>_</v>
      </c>
      <c r="AG88" s="28" t="s">
        <v>112</v>
      </c>
      <c r="AH88" s="2" t="str">
        <f t="shared" si="119"/>
        <v/>
      </c>
    </row>
    <row r="89" spans="1:35" x14ac:dyDescent="0.25">
      <c r="B89" s="2" t="str">
        <f t="shared" si="115"/>
        <v>@line_width-path_wide_z12</v>
      </c>
      <c r="C89" s="28" t="s">
        <v>100</v>
      </c>
      <c r="D89" s="28" t="s">
        <v>126</v>
      </c>
      <c r="F89" s="28" t="s">
        <v>100</v>
      </c>
      <c r="G89" s="28" t="s">
        <v>126</v>
      </c>
      <c r="I89" s="28" t="s">
        <v>100</v>
      </c>
      <c r="L89" s="28" t="s">
        <v>100</v>
      </c>
      <c r="AA89" s="2" t="s">
        <v>122</v>
      </c>
      <c r="AB89" s="2" t="str">
        <f t="shared" si="116"/>
        <v>-</v>
      </c>
      <c r="AC89" s="2" t="s">
        <v>74</v>
      </c>
      <c r="AD89" s="2" t="str">
        <f t="shared" si="117"/>
        <v>_</v>
      </c>
      <c r="AE89" s="2" t="s">
        <v>80</v>
      </c>
      <c r="AF89" s="2" t="str">
        <f t="shared" si="118"/>
        <v>_</v>
      </c>
      <c r="AG89" s="28" t="s">
        <v>112</v>
      </c>
      <c r="AH89" s="2" t="str">
        <f t="shared" si="119"/>
        <v/>
      </c>
    </row>
    <row r="90" spans="1:35" x14ac:dyDescent="0.25">
      <c r="B90" s="2" t="str">
        <f t="shared" si="115"/>
        <v>@line_width-path_widest_z12</v>
      </c>
      <c r="C90" s="28" t="s">
        <v>100</v>
      </c>
      <c r="D90" s="28" t="s">
        <v>126</v>
      </c>
      <c r="F90" s="28" t="s">
        <v>100</v>
      </c>
      <c r="G90" s="28" t="s">
        <v>126</v>
      </c>
      <c r="I90" s="28" t="s">
        <v>100</v>
      </c>
      <c r="L90" s="28" t="s">
        <v>100</v>
      </c>
      <c r="AA90" s="2" t="s">
        <v>122</v>
      </c>
      <c r="AB90" s="2" t="str">
        <f t="shared" si="116"/>
        <v>-</v>
      </c>
      <c r="AC90" s="2" t="s">
        <v>74</v>
      </c>
      <c r="AD90" s="2" t="str">
        <f t="shared" si="117"/>
        <v>_</v>
      </c>
      <c r="AE90" s="2" t="s">
        <v>303</v>
      </c>
      <c r="AF90" s="2" t="str">
        <f t="shared" si="118"/>
        <v>_</v>
      </c>
      <c r="AG90" s="28" t="s">
        <v>112</v>
      </c>
      <c r="AH90" s="2" t="str">
        <f t="shared" si="119"/>
        <v/>
      </c>
    </row>
    <row r="91" spans="1:35" x14ac:dyDescent="0.25">
      <c r="B91" s="2" t="str">
        <f t="shared" si="115"/>
        <v>@line_width-path_narrow_z14</v>
      </c>
      <c r="C91" s="28" t="s">
        <v>99</v>
      </c>
      <c r="D91" s="28" t="s">
        <v>100</v>
      </c>
      <c r="F91" s="28" t="s">
        <v>99</v>
      </c>
      <c r="G91" s="28" t="s">
        <v>100</v>
      </c>
      <c r="I91" s="28" t="s">
        <v>98</v>
      </c>
      <c r="L91" s="28" t="s">
        <v>98</v>
      </c>
      <c r="AA91" s="2" t="s">
        <v>122</v>
      </c>
      <c r="AB91" s="2" t="str">
        <f t="shared" si="116"/>
        <v>-</v>
      </c>
      <c r="AC91" s="2" t="s">
        <v>74</v>
      </c>
      <c r="AD91" s="2" t="str">
        <f t="shared" si="117"/>
        <v>_</v>
      </c>
      <c r="AE91" s="2" t="s">
        <v>75</v>
      </c>
      <c r="AF91" s="2" t="str">
        <f t="shared" si="118"/>
        <v>_</v>
      </c>
      <c r="AG91" s="28" t="s">
        <v>77</v>
      </c>
      <c r="AH91" s="2" t="str">
        <f t="shared" si="119"/>
        <v/>
      </c>
    </row>
    <row r="92" spans="1:35" x14ac:dyDescent="0.25">
      <c r="B92" s="2" t="str">
        <f t="shared" si="115"/>
        <v>@line_width-path_medium_z14</v>
      </c>
      <c r="C92" s="28" t="s">
        <v>83</v>
      </c>
      <c r="D92" s="28" t="s">
        <v>87</v>
      </c>
      <c r="F92" s="28" t="s">
        <v>83</v>
      </c>
      <c r="G92" s="28" t="s">
        <v>87</v>
      </c>
      <c r="I92" s="28" t="s">
        <v>99</v>
      </c>
      <c r="L92" s="28" t="s">
        <v>99</v>
      </c>
      <c r="AA92" s="2" t="s">
        <v>122</v>
      </c>
      <c r="AB92" s="2" t="str">
        <f t="shared" si="116"/>
        <v>-</v>
      </c>
      <c r="AC92" s="2" t="s">
        <v>74</v>
      </c>
      <c r="AD92" s="2" t="str">
        <f t="shared" si="117"/>
        <v>_</v>
      </c>
      <c r="AE92" s="2" t="s">
        <v>82</v>
      </c>
      <c r="AF92" s="2" t="str">
        <f t="shared" si="118"/>
        <v>_</v>
      </c>
      <c r="AG92" s="28" t="s">
        <v>77</v>
      </c>
      <c r="AH92" s="2" t="str">
        <f t="shared" si="119"/>
        <v/>
      </c>
    </row>
    <row r="93" spans="1:35" x14ac:dyDescent="0.25">
      <c r="B93" s="2" t="str">
        <f t="shared" si="115"/>
        <v>@line_width-path_wide_z14</v>
      </c>
      <c r="C93" s="28" t="s">
        <v>126</v>
      </c>
      <c r="D93" s="28" t="s">
        <v>129</v>
      </c>
      <c r="F93" s="28" t="s">
        <v>126</v>
      </c>
      <c r="G93" s="28" t="s">
        <v>129</v>
      </c>
      <c r="I93" s="28" t="s">
        <v>87</v>
      </c>
      <c r="L93" s="28" t="s">
        <v>87</v>
      </c>
      <c r="AA93" s="2" t="s">
        <v>122</v>
      </c>
      <c r="AB93" s="2" t="str">
        <f t="shared" si="116"/>
        <v>-</v>
      </c>
      <c r="AC93" s="2" t="s">
        <v>74</v>
      </c>
      <c r="AD93" s="2" t="str">
        <f t="shared" si="117"/>
        <v>_</v>
      </c>
      <c r="AE93" s="2" t="s">
        <v>80</v>
      </c>
      <c r="AF93" s="2" t="str">
        <f t="shared" si="118"/>
        <v>_</v>
      </c>
      <c r="AG93" s="28" t="s">
        <v>77</v>
      </c>
      <c r="AH93" s="2" t="str">
        <f t="shared" si="119"/>
        <v/>
      </c>
    </row>
    <row r="94" spans="1:35" x14ac:dyDescent="0.25">
      <c r="B94" s="2" t="str">
        <f t="shared" si="115"/>
        <v>@line_width-path_widest_z14</v>
      </c>
      <c r="C94" s="28" t="s">
        <v>126</v>
      </c>
      <c r="D94" s="28" t="s">
        <v>129</v>
      </c>
      <c r="F94" s="28" t="s">
        <v>126</v>
      </c>
      <c r="G94" s="28" t="s">
        <v>129</v>
      </c>
      <c r="I94" s="28" t="s">
        <v>87</v>
      </c>
      <c r="L94" s="28" t="s">
        <v>87</v>
      </c>
      <c r="AA94" s="2" t="s">
        <v>122</v>
      </c>
      <c r="AB94" s="2" t="str">
        <f t="shared" si="116"/>
        <v>-</v>
      </c>
      <c r="AC94" s="2" t="s">
        <v>74</v>
      </c>
      <c r="AD94" s="2" t="str">
        <f t="shared" si="117"/>
        <v>_</v>
      </c>
      <c r="AE94" s="2" t="s">
        <v>303</v>
      </c>
      <c r="AF94" s="2" t="str">
        <f t="shared" si="118"/>
        <v>_</v>
      </c>
      <c r="AG94" s="28" t="s">
        <v>77</v>
      </c>
      <c r="AH94" s="2" t="str">
        <f t="shared" si="119"/>
        <v/>
      </c>
    </row>
    <row r="95" spans="1:35" x14ac:dyDescent="0.25">
      <c r="B95" s="2" t="str">
        <f t="shared" si="115"/>
        <v>@line_width-path_narrow_z16</v>
      </c>
      <c r="C95" s="28" t="s">
        <v>83</v>
      </c>
      <c r="D95" s="28" t="s">
        <v>88</v>
      </c>
      <c r="F95" s="28" t="s">
        <v>83</v>
      </c>
      <c r="G95" s="28" t="s">
        <v>88</v>
      </c>
      <c r="I95" s="28" t="s">
        <v>83</v>
      </c>
      <c r="L95" s="28" t="s">
        <v>83</v>
      </c>
      <c r="AA95" s="2" t="s">
        <v>122</v>
      </c>
      <c r="AB95" s="2" t="str">
        <f t="shared" si="116"/>
        <v>-</v>
      </c>
      <c r="AC95" s="2" t="s">
        <v>74</v>
      </c>
      <c r="AD95" s="2" t="str">
        <f t="shared" si="117"/>
        <v>_</v>
      </c>
      <c r="AE95" s="2" t="s">
        <v>75</v>
      </c>
      <c r="AF95" s="2" t="str">
        <f t="shared" si="118"/>
        <v>_</v>
      </c>
      <c r="AG95" s="28" t="s">
        <v>78</v>
      </c>
      <c r="AH95" s="2" t="str">
        <f t="shared" si="119"/>
        <v/>
      </c>
    </row>
    <row r="96" spans="1:35" x14ac:dyDescent="0.25">
      <c r="B96" s="2" t="str">
        <f t="shared" si="115"/>
        <v>@line_width-path_medium_z16</v>
      </c>
      <c r="C96" s="28" t="s">
        <v>126</v>
      </c>
      <c r="D96" s="28" t="s">
        <v>129</v>
      </c>
      <c r="F96" s="28" t="s">
        <v>126</v>
      </c>
      <c r="G96" s="28" t="s">
        <v>129</v>
      </c>
      <c r="I96" s="28" t="s">
        <v>100</v>
      </c>
      <c r="L96" s="28" t="s">
        <v>100</v>
      </c>
      <c r="AA96" s="2" t="s">
        <v>122</v>
      </c>
      <c r="AB96" s="2" t="str">
        <f t="shared" si="116"/>
        <v>-</v>
      </c>
      <c r="AC96" s="2" t="s">
        <v>74</v>
      </c>
      <c r="AD96" s="2" t="str">
        <f t="shared" si="117"/>
        <v>_</v>
      </c>
      <c r="AE96" s="2" t="s">
        <v>82</v>
      </c>
      <c r="AF96" s="2" t="str">
        <f t="shared" si="118"/>
        <v>_</v>
      </c>
      <c r="AG96" s="28" t="s">
        <v>78</v>
      </c>
      <c r="AH96" s="2" t="str">
        <f t="shared" si="119"/>
        <v/>
      </c>
    </row>
    <row r="97" spans="1:39" x14ac:dyDescent="0.25">
      <c r="B97" s="2" t="str">
        <f t="shared" si="115"/>
        <v>@line_width-path_wide_z16</v>
      </c>
      <c r="C97" s="28" t="s">
        <v>91</v>
      </c>
      <c r="D97" s="28" t="s">
        <v>131</v>
      </c>
      <c r="F97" s="28" t="s">
        <v>91</v>
      </c>
      <c r="G97" s="28" t="s">
        <v>131</v>
      </c>
      <c r="I97" s="28" t="s">
        <v>101</v>
      </c>
      <c r="L97" s="28" t="s">
        <v>101</v>
      </c>
      <c r="AA97" s="2" t="s">
        <v>122</v>
      </c>
      <c r="AB97" s="2" t="str">
        <f t="shared" si="116"/>
        <v>-</v>
      </c>
      <c r="AC97" s="2" t="s">
        <v>74</v>
      </c>
      <c r="AD97" s="2" t="str">
        <f t="shared" si="117"/>
        <v>_</v>
      </c>
      <c r="AE97" s="2" t="s">
        <v>80</v>
      </c>
      <c r="AF97" s="2" t="str">
        <f t="shared" si="118"/>
        <v>_</v>
      </c>
      <c r="AG97" s="28" t="s">
        <v>78</v>
      </c>
      <c r="AH97" s="2" t="str">
        <f t="shared" si="119"/>
        <v/>
      </c>
    </row>
    <row r="98" spans="1:39" x14ac:dyDescent="0.25">
      <c r="B98" s="2" t="str">
        <f t="shared" si="115"/>
        <v>@line_width-path_widest_z16</v>
      </c>
      <c r="C98" s="28" t="s">
        <v>91</v>
      </c>
      <c r="D98" s="28" t="s">
        <v>131</v>
      </c>
      <c r="F98" s="28" t="s">
        <v>91</v>
      </c>
      <c r="G98" s="28" t="s">
        <v>131</v>
      </c>
      <c r="I98" s="28" t="s">
        <v>101</v>
      </c>
      <c r="L98" s="28" t="s">
        <v>101</v>
      </c>
      <c r="AA98" s="2" t="s">
        <v>122</v>
      </c>
      <c r="AB98" s="2" t="str">
        <f t="shared" si="116"/>
        <v>-</v>
      </c>
      <c r="AC98" s="2" t="s">
        <v>74</v>
      </c>
      <c r="AD98" s="2" t="str">
        <f t="shared" si="117"/>
        <v>_</v>
      </c>
      <c r="AE98" s="2" t="s">
        <v>303</v>
      </c>
      <c r="AF98" s="2" t="str">
        <f t="shared" si="118"/>
        <v>_</v>
      </c>
      <c r="AG98" s="28" t="s">
        <v>78</v>
      </c>
      <c r="AH98" s="2" t="str">
        <f t="shared" si="119"/>
        <v/>
      </c>
    </row>
    <row r="99" spans="1:39" x14ac:dyDescent="0.25">
      <c r="B99" s="2" t="str">
        <f t="shared" si="115"/>
        <v>@line_width-path_narrow_z18</v>
      </c>
      <c r="C99" s="28" t="s">
        <v>88</v>
      </c>
      <c r="D99" s="28" t="s">
        <v>91</v>
      </c>
      <c r="F99" s="28" t="s">
        <v>88</v>
      </c>
      <c r="G99" s="28" t="s">
        <v>91</v>
      </c>
      <c r="I99" s="28" t="s">
        <v>83</v>
      </c>
      <c r="L99" s="28" t="s">
        <v>83</v>
      </c>
      <c r="AA99" s="2" t="s">
        <v>122</v>
      </c>
      <c r="AB99" s="2" t="str">
        <f t="shared" si="116"/>
        <v>-</v>
      </c>
      <c r="AC99" s="2" t="s">
        <v>74</v>
      </c>
      <c r="AD99" s="2" t="str">
        <f t="shared" si="117"/>
        <v>_</v>
      </c>
      <c r="AE99" s="2" t="s">
        <v>75</v>
      </c>
      <c r="AF99" s="2" t="str">
        <f t="shared" si="118"/>
        <v>_</v>
      </c>
      <c r="AG99" s="28" t="s">
        <v>79</v>
      </c>
      <c r="AH99" s="2" t="str">
        <f t="shared" si="119"/>
        <v/>
      </c>
    </row>
    <row r="100" spans="1:39" x14ac:dyDescent="0.25">
      <c r="B100" s="2" t="str">
        <f t="shared" si="115"/>
        <v>@line_width-path_medium_z18</v>
      </c>
      <c r="C100" s="28" t="s">
        <v>85</v>
      </c>
      <c r="D100" s="28" t="s">
        <v>130</v>
      </c>
      <c r="F100" s="28" t="s">
        <v>85</v>
      </c>
      <c r="G100" s="28" t="s">
        <v>130</v>
      </c>
      <c r="I100" s="28" t="s">
        <v>101</v>
      </c>
      <c r="L100" s="28" t="s">
        <v>101</v>
      </c>
      <c r="AA100" s="2" t="s">
        <v>122</v>
      </c>
      <c r="AB100" s="2" t="str">
        <f t="shared" si="116"/>
        <v>-</v>
      </c>
      <c r="AC100" s="2" t="s">
        <v>74</v>
      </c>
      <c r="AD100" s="2" t="str">
        <f t="shared" si="117"/>
        <v>_</v>
      </c>
      <c r="AE100" s="2" t="s">
        <v>82</v>
      </c>
      <c r="AF100" s="2" t="str">
        <f t="shared" si="118"/>
        <v>_</v>
      </c>
      <c r="AG100" s="28" t="s">
        <v>79</v>
      </c>
      <c r="AH100" s="2" t="str">
        <f t="shared" si="119"/>
        <v/>
      </c>
    </row>
    <row r="101" spans="1:39" x14ac:dyDescent="0.25">
      <c r="B101" s="2" t="str">
        <f t="shared" si="115"/>
        <v>@line_width-path_wide_z18</v>
      </c>
      <c r="C101" s="28" t="s">
        <v>328</v>
      </c>
      <c r="D101" s="28" t="s">
        <v>132</v>
      </c>
      <c r="F101" s="28" t="s">
        <v>328</v>
      </c>
      <c r="G101" s="28" t="s">
        <v>132</v>
      </c>
      <c r="I101" s="28" t="s">
        <v>102</v>
      </c>
      <c r="L101" s="28" t="s">
        <v>102</v>
      </c>
      <c r="AA101" s="2" t="s">
        <v>122</v>
      </c>
      <c r="AB101" s="2" t="str">
        <f t="shared" si="116"/>
        <v>-</v>
      </c>
      <c r="AC101" s="2" t="s">
        <v>74</v>
      </c>
      <c r="AD101" s="2" t="str">
        <f t="shared" si="117"/>
        <v>_</v>
      </c>
      <c r="AE101" s="2" t="s">
        <v>80</v>
      </c>
      <c r="AF101" s="2" t="str">
        <f t="shared" si="118"/>
        <v>_</v>
      </c>
      <c r="AG101" s="28" t="s">
        <v>79</v>
      </c>
      <c r="AH101" s="2" t="str">
        <f t="shared" si="119"/>
        <v/>
      </c>
    </row>
    <row r="102" spans="1:39" x14ac:dyDescent="0.25">
      <c r="B102" s="2" t="str">
        <f t="shared" si="115"/>
        <v>@line_width-path_widest_z18</v>
      </c>
      <c r="C102" s="28" t="s">
        <v>328</v>
      </c>
      <c r="D102" s="28" t="s">
        <v>132</v>
      </c>
      <c r="F102" s="28" t="s">
        <v>328</v>
      </c>
      <c r="G102" s="28" t="s">
        <v>132</v>
      </c>
      <c r="I102" s="28" t="s">
        <v>102</v>
      </c>
      <c r="L102" s="28" t="s">
        <v>102</v>
      </c>
      <c r="AA102" s="2" t="s">
        <v>122</v>
      </c>
      <c r="AB102" s="2" t="str">
        <f t="shared" si="116"/>
        <v>-</v>
      </c>
      <c r="AC102" s="2" t="s">
        <v>74</v>
      </c>
      <c r="AD102" s="2" t="str">
        <f t="shared" si="117"/>
        <v>_</v>
      </c>
      <c r="AE102" s="2" t="s">
        <v>303</v>
      </c>
      <c r="AF102" s="2" t="str">
        <f t="shared" si="118"/>
        <v>_</v>
      </c>
      <c r="AG102" s="28" t="s">
        <v>79</v>
      </c>
      <c r="AH102" s="2" t="str">
        <f t="shared" si="119"/>
        <v/>
      </c>
    </row>
    <row r="103" spans="1:39" x14ac:dyDescent="0.25">
      <c r="B103" s="2"/>
      <c r="AA103" s="2"/>
      <c r="AB103" s="2"/>
      <c r="AC103" s="2"/>
      <c r="AD103" s="2"/>
      <c r="AE103" s="2"/>
    </row>
    <row r="104" spans="1:39" x14ac:dyDescent="0.25">
      <c r="B104" s="2"/>
      <c r="AA104" s="2"/>
      <c r="AB104" s="2"/>
      <c r="AC104" s="2"/>
      <c r="AD104" s="2"/>
      <c r="AE104" s="2"/>
    </row>
    <row r="105" spans="1:39" s="2" customFormat="1" x14ac:dyDescent="0.25">
      <c r="A105" s="3" t="s">
        <v>41</v>
      </c>
      <c r="B105" s="3"/>
      <c r="C105" s="27"/>
      <c r="D105" s="6"/>
      <c r="E105" s="7"/>
      <c r="F105" s="6"/>
      <c r="G105" s="6"/>
      <c r="H105" s="7"/>
      <c r="I105" s="6"/>
      <c r="J105" s="6"/>
      <c r="K105" s="7"/>
      <c r="L105" s="6"/>
      <c r="M105" s="6"/>
      <c r="N105" s="7"/>
      <c r="O105" s="6"/>
      <c r="P105" s="6"/>
      <c r="Q105" s="7"/>
      <c r="R105" s="6"/>
      <c r="S105" s="6"/>
      <c r="T105" s="7"/>
      <c r="U105" s="6"/>
      <c r="V105" s="6"/>
      <c r="W105" s="7"/>
      <c r="X105" s="6"/>
      <c r="Y105" s="6"/>
      <c r="AA105" s="4"/>
      <c r="AB105" s="4" t="str">
        <f t="shared" si="71"/>
        <v/>
      </c>
      <c r="AC105" s="4"/>
      <c r="AD105" s="4" t="str">
        <f t="shared" si="72"/>
        <v/>
      </c>
      <c r="AE105" s="4"/>
      <c r="AF105" s="4" t="str">
        <f t="shared" si="73"/>
        <v/>
      </c>
      <c r="AG105" s="4"/>
      <c r="AH105" s="4" t="str">
        <f t="shared" ref="AH105:AH205" si="120">IF(NOT(ISBLANK(AI105)),"_","")</f>
        <v/>
      </c>
      <c r="AI105" s="4"/>
    </row>
    <row r="106" spans="1:39" x14ac:dyDescent="0.25">
      <c r="B106" s="2" t="str">
        <f t="shared" ref="B106:B109" si="121">_xlfn.CONCAT("@",AA106,AB106,AC106,AD106,AE106,AF106,AG106,AH106,AI106)</f>
        <v>@color-cycleway_case</v>
      </c>
      <c r="C106" s="71" t="s">
        <v>227</v>
      </c>
      <c r="D106" s="71" t="s">
        <v>227</v>
      </c>
      <c r="F106" s="72" t="s">
        <v>217</v>
      </c>
      <c r="G106" s="72" t="s">
        <v>217</v>
      </c>
      <c r="AA106" s="2" t="s">
        <v>6</v>
      </c>
      <c r="AB106" s="2" t="str">
        <f t="shared" ref="AB106" si="122">IF(NOT(ISBLANK(AC106)),"-","")</f>
        <v>-</v>
      </c>
      <c r="AC106" s="2" t="s">
        <v>12</v>
      </c>
      <c r="AD106" s="2" t="str">
        <f t="shared" ref="AD106" si="123">IF(NOT(ISBLANK(AE106)),"_","")</f>
        <v>_</v>
      </c>
      <c r="AE106" s="2" t="s">
        <v>17</v>
      </c>
      <c r="AF106" s="2" t="str">
        <f t="shared" ref="AF106" si="124">IF(NOT(ISBLANK(AG106)),"_","")</f>
        <v/>
      </c>
      <c r="AH106" s="2" t="str">
        <f t="shared" si="120"/>
        <v/>
      </c>
    </row>
    <row r="107" spans="1:39" x14ac:dyDescent="0.25">
      <c r="B107" s="2" t="str">
        <f t="shared" si="121"/>
        <v>@color-cycleway_line</v>
      </c>
      <c r="C107" s="73" t="s">
        <v>188</v>
      </c>
      <c r="D107" s="74" t="str">
        <f>C107</f>
        <v>"#3046d7"</v>
      </c>
      <c r="F107" s="73" t="s">
        <v>188</v>
      </c>
      <c r="G107" s="74" t="str">
        <f>F107</f>
        <v>"#3046d7"</v>
      </c>
      <c r="AA107" s="2" t="s">
        <v>6</v>
      </c>
      <c r="AB107" s="2" t="str">
        <f t="shared" si="71"/>
        <v>-</v>
      </c>
      <c r="AC107" s="2" t="s">
        <v>12</v>
      </c>
      <c r="AD107" s="2" t="str">
        <f t="shared" si="72"/>
        <v>_</v>
      </c>
      <c r="AE107" s="2" t="s">
        <v>13</v>
      </c>
      <c r="AF107" s="2" t="str">
        <f t="shared" si="73"/>
        <v/>
      </c>
      <c r="AH107" s="2" t="str">
        <f t="shared" si="120"/>
        <v/>
      </c>
    </row>
    <row r="108" spans="1:39" x14ac:dyDescent="0.25">
      <c r="B108" s="2" t="str">
        <f t="shared" si="121"/>
        <v>@color-footway_case</v>
      </c>
      <c r="C108" s="71" t="s">
        <v>227</v>
      </c>
      <c r="D108" s="71" t="s">
        <v>227</v>
      </c>
      <c r="F108" s="72" t="s">
        <v>217</v>
      </c>
      <c r="G108" s="72" t="s">
        <v>217</v>
      </c>
      <c r="AA108" s="2" t="s">
        <v>6</v>
      </c>
      <c r="AB108" s="2" t="str">
        <f t="shared" ref="AB108" si="125">IF(NOT(ISBLANK(AC108)),"-","")</f>
        <v>-</v>
      </c>
      <c r="AC108" s="2" t="s">
        <v>35</v>
      </c>
      <c r="AD108" s="2" t="str">
        <f t="shared" ref="AD108" si="126">IF(NOT(ISBLANK(AE108)),"_","")</f>
        <v>_</v>
      </c>
      <c r="AE108" s="2" t="s">
        <v>17</v>
      </c>
      <c r="AF108" s="2" t="str">
        <f t="shared" ref="AF108" si="127">IF(NOT(ISBLANK(AG108)),"_","")</f>
        <v/>
      </c>
      <c r="AG108" s="2"/>
      <c r="AH108" s="2" t="str">
        <f t="shared" si="120"/>
        <v/>
      </c>
      <c r="AI108" s="2"/>
    </row>
    <row r="109" spans="1:39" x14ac:dyDescent="0.25">
      <c r="B109" s="2" t="str">
        <f t="shared" si="121"/>
        <v>@color-footway_line</v>
      </c>
      <c r="C109" s="75" t="s">
        <v>189</v>
      </c>
      <c r="D109" s="76" t="str">
        <f>C109</f>
        <v>"#a43820"</v>
      </c>
      <c r="F109" s="75" t="s">
        <v>189</v>
      </c>
      <c r="G109" s="76" t="str">
        <f>F109</f>
        <v>"#a43820"</v>
      </c>
      <c r="AA109" s="2" t="s">
        <v>6</v>
      </c>
      <c r="AB109" s="2" t="str">
        <f t="shared" si="71"/>
        <v>-</v>
      </c>
      <c r="AC109" s="2" t="s">
        <v>35</v>
      </c>
      <c r="AD109" s="2" t="str">
        <f t="shared" si="72"/>
        <v>_</v>
      </c>
      <c r="AE109" s="2" t="s">
        <v>13</v>
      </c>
      <c r="AF109" s="2" t="str">
        <f t="shared" si="73"/>
        <v/>
      </c>
      <c r="AG109" s="2"/>
      <c r="AH109" s="2" t="str">
        <f t="shared" si="120"/>
        <v/>
      </c>
      <c r="AI109" s="2"/>
    </row>
    <row r="110" spans="1:39" x14ac:dyDescent="0.25">
      <c r="AA110" s="2"/>
      <c r="AB110" s="2" t="str">
        <f t="shared" si="71"/>
        <v/>
      </c>
      <c r="AC110" s="2"/>
      <c r="AD110" s="2" t="str">
        <f t="shared" si="72"/>
        <v/>
      </c>
      <c r="AE110" s="2"/>
      <c r="AF110" s="28" t="str">
        <f t="shared" si="73"/>
        <v/>
      </c>
      <c r="AH110" s="28" t="str">
        <f t="shared" si="120"/>
        <v/>
      </c>
    </row>
    <row r="111" spans="1:39" s="2" customFormat="1" x14ac:dyDescent="0.25">
      <c r="A111" s="3" t="s">
        <v>42</v>
      </c>
      <c r="B111" s="3"/>
      <c r="C111" s="27"/>
      <c r="D111" s="6"/>
      <c r="E111" s="7"/>
      <c r="F111" s="6"/>
      <c r="G111" s="6"/>
      <c r="H111" s="7"/>
      <c r="I111" s="6"/>
      <c r="J111" s="6"/>
      <c r="K111" s="7"/>
      <c r="L111" s="6"/>
      <c r="M111" s="6"/>
      <c r="N111" s="7"/>
      <c r="O111" s="6"/>
      <c r="P111" s="6"/>
      <c r="Q111" s="7"/>
      <c r="R111" s="6"/>
      <c r="S111" s="6"/>
      <c r="T111" s="7"/>
      <c r="U111" s="6"/>
      <c r="V111" s="6"/>
      <c r="W111" s="7"/>
      <c r="X111" s="6"/>
      <c r="Y111" s="6"/>
      <c r="AA111" s="4"/>
      <c r="AB111" s="4" t="str">
        <f t="shared" si="71"/>
        <v/>
      </c>
      <c r="AC111" s="4"/>
      <c r="AD111" s="4" t="str">
        <f t="shared" si="72"/>
        <v/>
      </c>
      <c r="AE111" s="4"/>
      <c r="AF111" s="4" t="str">
        <f t="shared" si="73"/>
        <v/>
      </c>
      <c r="AG111" s="4"/>
      <c r="AH111" s="4" t="str">
        <f t="shared" si="120"/>
        <v/>
      </c>
      <c r="AI111" s="4"/>
    </row>
    <row r="112" spans="1:39" x14ac:dyDescent="0.25">
      <c r="B112" s="2" t="str">
        <f t="shared" ref="B112:B115" si="128">_xlfn.CONCAT("@",AA112,AB112,AC112,AD112,AE112,AF112,AG112,AH112,AI112)</f>
        <v>@color-obstacle_vegetation</v>
      </c>
      <c r="C112" s="77" t="s">
        <v>190</v>
      </c>
      <c r="D112" s="78" t="str">
        <f>C112</f>
        <v>"#4a9100"</v>
      </c>
      <c r="F112" s="77" t="s">
        <v>190</v>
      </c>
      <c r="G112" s="78" t="str">
        <f>F112</f>
        <v>"#4a9100"</v>
      </c>
      <c r="AA112" s="2" t="s">
        <v>6</v>
      </c>
      <c r="AB112" s="2" t="str">
        <f t="shared" si="71"/>
        <v>-</v>
      </c>
      <c r="AC112" s="2" t="s">
        <v>36</v>
      </c>
      <c r="AD112" s="2" t="str">
        <f t="shared" si="72"/>
        <v>_</v>
      </c>
      <c r="AE112" s="2" t="s">
        <v>37</v>
      </c>
      <c r="AF112" s="2" t="str">
        <f t="shared" si="73"/>
        <v/>
      </c>
      <c r="AG112" s="2"/>
      <c r="AH112" s="2" t="str">
        <f t="shared" si="120"/>
        <v/>
      </c>
      <c r="AI112" s="2"/>
      <c r="AJ112" s="2"/>
      <c r="AK112" s="2"/>
      <c r="AL112" s="2"/>
      <c r="AM112" s="2"/>
    </row>
    <row r="113" spans="1:35" x14ac:dyDescent="0.25">
      <c r="B113" s="2" t="str">
        <f t="shared" si="128"/>
        <v>@color-surface_mud</v>
      </c>
      <c r="C113" s="79" t="s">
        <v>191</v>
      </c>
      <c r="D113" s="80" t="str">
        <f>C113</f>
        <v>"#0e84ed"</v>
      </c>
      <c r="F113" s="79" t="s">
        <v>191</v>
      </c>
      <c r="G113" s="80" t="str">
        <f>F113</f>
        <v>"#0e84ed"</v>
      </c>
      <c r="AA113" s="2" t="s">
        <v>6</v>
      </c>
      <c r="AB113" s="2" t="str">
        <f t="shared" si="71"/>
        <v>-</v>
      </c>
      <c r="AC113" s="2" t="s">
        <v>38</v>
      </c>
      <c r="AD113" s="2" t="str">
        <f t="shared" si="72"/>
        <v>_</v>
      </c>
      <c r="AE113" s="2" t="s">
        <v>39</v>
      </c>
      <c r="AF113" s="2" t="str">
        <f t="shared" si="73"/>
        <v/>
      </c>
      <c r="AG113" s="2"/>
      <c r="AH113" s="2" t="str">
        <f t="shared" si="120"/>
        <v/>
      </c>
      <c r="AI113" s="2"/>
    </row>
    <row r="114" spans="1:35" x14ac:dyDescent="0.25">
      <c r="B114" s="2" t="str">
        <f t="shared" si="128"/>
        <v>@color-access_no</v>
      </c>
      <c r="C114" s="81" t="s">
        <v>192</v>
      </c>
      <c r="D114" s="82" t="str">
        <f>C114</f>
        <v>"#ff003d"</v>
      </c>
      <c r="F114" s="81" t="s">
        <v>192</v>
      </c>
      <c r="G114" s="82" t="str">
        <f>F114</f>
        <v>"#ff003d"</v>
      </c>
      <c r="AA114" s="2" t="s">
        <v>6</v>
      </c>
      <c r="AB114" s="2" t="str">
        <f t="shared" si="71"/>
        <v>-</v>
      </c>
      <c r="AC114" s="2" t="s">
        <v>43</v>
      </c>
      <c r="AD114" s="2" t="str">
        <f t="shared" si="72"/>
        <v>_</v>
      </c>
      <c r="AE114" s="2" t="s">
        <v>44</v>
      </c>
      <c r="AF114" s="2" t="str">
        <f t="shared" si="73"/>
        <v/>
      </c>
      <c r="AG114" s="2"/>
      <c r="AH114" s="2" t="str">
        <f t="shared" si="120"/>
        <v/>
      </c>
      <c r="AI114" s="2"/>
    </row>
    <row r="115" spans="1:35" x14ac:dyDescent="0.25">
      <c r="B115" s="2" t="str">
        <f t="shared" si="128"/>
        <v>@color-access_discouraged</v>
      </c>
      <c r="C115" s="83" t="s">
        <v>193</v>
      </c>
      <c r="D115" s="84" t="str">
        <f>C115</f>
        <v>"#ff6a00"</v>
      </c>
      <c r="F115" s="83" t="s">
        <v>193</v>
      </c>
      <c r="G115" s="84" t="str">
        <f>F115</f>
        <v>"#ff6a00"</v>
      </c>
      <c r="AA115" s="2" t="s">
        <v>6</v>
      </c>
      <c r="AB115" s="2" t="str">
        <f t="shared" si="71"/>
        <v>-</v>
      </c>
      <c r="AC115" s="2" t="s">
        <v>43</v>
      </c>
      <c r="AD115" s="2" t="str">
        <f t="shared" si="72"/>
        <v>_</v>
      </c>
      <c r="AE115" s="2" t="s">
        <v>45</v>
      </c>
      <c r="AF115" s="2" t="str">
        <f t="shared" si="73"/>
        <v/>
      </c>
      <c r="AG115" s="2"/>
      <c r="AH115" s="2" t="str">
        <f t="shared" si="120"/>
        <v/>
      </c>
      <c r="AI115" s="2"/>
    </row>
    <row r="116" spans="1:35" x14ac:dyDescent="0.25">
      <c r="AB116" s="28" t="str">
        <f t="shared" ref="AB116:AB118" si="129">IF(NOT(ISBLANK(AC116)),"-","")</f>
        <v/>
      </c>
      <c r="AD116" s="28" t="str">
        <f t="shared" ref="AD116:AD118" si="130">IF(NOT(ISBLANK(AE116)),"_","")</f>
        <v/>
      </c>
      <c r="AF116" s="28" t="str">
        <f t="shared" ref="AF116:AF118" si="131">IF(NOT(ISBLANK(AG116)),"_","")</f>
        <v/>
      </c>
      <c r="AH116" s="28" t="str">
        <f t="shared" si="120"/>
        <v/>
      </c>
    </row>
    <row r="117" spans="1:35" s="2" customFormat="1" x14ac:dyDescent="0.25">
      <c r="A117" s="3" t="s">
        <v>273</v>
      </c>
      <c r="B117" s="3"/>
      <c r="C117" s="27"/>
      <c r="D117" s="6"/>
      <c r="E117" s="7"/>
      <c r="F117" s="6"/>
      <c r="G117" s="6"/>
      <c r="H117" s="7"/>
      <c r="I117" s="6"/>
      <c r="J117" s="6"/>
      <c r="K117" s="7"/>
      <c r="L117" s="6"/>
      <c r="M117" s="6"/>
      <c r="N117" s="7"/>
      <c r="O117" s="6"/>
      <c r="P117" s="6"/>
      <c r="Q117" s="7"/>
      <c r="R117" s="6"/>
      <c r="S117" s="6"/>
      <c r="T117" s="7"/>
      <c r="U117" s="6"/>
      <c r="V117" s="6"/>
      <c r="W117" s="7"/>
      <c r="X117" s="6"/>
      <c r="Y117" s="6"/>
      <c r="AA117" s="4"/>
      <c r="AB117" s="4" t="str">
        <f t="shared" si="129"/>
        <v/>
      </c>
      <c r="AC117" s="4"/>
      <c r="AD117" s="4" t="str">
        <f t="shared" si="130"/>
        <v/>
      </c>
      <c r="AE117" s="4"/>
      <c r="AF117" s="4" t="str">
        <f t="shared" si="131"/>
        <v/>
      </c>
      <c r="AG117" s="4"/>
      <c r="AH117" s="4" t="str">
        <f t="shared" si="120"/>
        <v/>
      </c>
      <c r="AI117" s="4"/>
    </row>
    <row r="118" spans="1:35" x14ac:dyDescent="0.25">
      <c r="B118" s="2" t="str">
        <f t="shared" ref="B118:B122" si="132">_xlfn.CONCAT("@",AA118,AB118,AC118,AD118,AE118,AF118,AG118,AH118,AI118)</f>
        <v>@color-building_area_residential</v>
      </c>
      <c r="C118" s="85" t="s">
        <v>262</v>
      </c>
      <c r="D118" s="85" t="s">
        <v>262</v>
      </c>
      <c r="F118" s="86" t="s">
        <v>252</v>
      </c>
      <c r="G118" s="87" t="s">
        <v>261</v>
      </c>
      <c r="AA118" s="2" t="s">
        <v>6</v>
      </c>
      <c r="AB118" s="2" t="str">
        <f t="shared" si="129"/>
        <v>-</v>
      </c>
      <c r="AC118" s="2" t="s">
        <v>258</v>
      </c>
      <c r="AD118" s="2" t="str">
        <f t="shared" si="130"/>
        <v>_</v>
      </c>
      <c r="AE118" s="2" t="s">
        <v>264</v>
      </c>
      <c r="AF118" s="2" t="str">
        <f t="shared" si="131"/>
        <v>_</v>
      </c>
      <c r="AG118" s="2" t="s">
        <v>67</v>
      </c>
      <c r="AH118" s="2" t="str">
        <f t="shared" si="120"/>
        <v/>
      </c>
      <c r="AI118" s="2"/>
    </row>
    <row r="119" spans="1:35" x14ac:dyDescent="0.25">
      <c r="B119" s="2" t="str">
        <f t="shared" si="132"/>
        <v>@color-building_area_generic</v>
      </c>
      <c r="C119" s="87" t="s">
        <v>261</v>
      </c>
      <c r="D119" s="87" t="s">
        <v>261</v>
      </c>
      <c r="F119" s="88" t="s">
        <v>259</v>
      </c>
      <c r="G119" s="85" t="s">
        <v>262</v>
      </c>
      <c r="AA119" s="2" t="s">
        <v>6</v>
      </c>
      <c r="AB119" s="2" t="str">
        <f t="shared" ref="AB119" si="133">IF(NOT(ISBLANK(AC119)),"-","")</f>
        <v>-</v>
      </c>
      <c r="AC119" s="2" t="s">
        <v>258</v>
      </c>
      <c r="AD119" s="2" t="str">
        <f t="shared" ref="AD119" si="134">IF(NOT(ISBLANK(AE119)),"_","")</f>
        <v>_</v>
      </c>
      <c r="AE119" s="2" t="s">
        <v>264</v>
      </c>
      <c r="AF119" s="2" t="str">
        <f t="shared" ref="AF119" si="135">IF(NOT(ISBLANK(AG119)),"_","")</f>
        <v>_</v>
      </c>
      <c r="AG119" s="2" t="s">
        <v>260</v>
      </c>
      <c r="AH119" s="2" t="str">
        <f t="shared" si="120"/>
        <v/>
      </c>
      <c r="AI119" s="2"/>
    </row>
    <row r="120" spans="1:35" x14ac:dyDescent="0.25">
      <c r="B120" s="2" t="str">
        <f t="shared" si="132"/>
        <v>@color-building_line_top</v>
      </c>
      <c r="C120" s="87" t="s">
        <v>261</v>
      </c>
      <c r="D120" s="87" t="s">
        <v>261</v>
      </c>
      <c r="F120" s="88" t="s">
        <v>259</v>
      </c>
      <c r="G120" s="85" t="s">
        <v>262</v>
      </c>
      <c r="AA120" s="2" t="s">
        <v>6</v>
      </c>
      <c r="AB120" s="2" t="str">
        <f t="shared" ref="AB120" si="136">IF(NOT(ISBLANK(AC120)),"-","")</f>
        <v>-</v>
      </c>
      <c r="AC120" s="2" t="s">
        <v>258</v>
      </c>
      <c r="AD120" s="2" t="str">
        <f t="shared" ref="AD120" si="137">IF(NOT(ISBLANK(AE120)),"_","")</f>
        <v>_</v>
      </c>
      <c r="AE120" s="2" t="s">
        <v>13</v>
      </c>
      <c r="AF120" s="2" t="str">
        <f t="shared" ref="AF120" si="138">IF(NOT(ISBLANK(AG120)),"_","")</f>
        <v>_</v>
      </c>
      <c r="AG120" s="2" t="s">
        <v>263</v>
      </c>
      <c r="AH120" s="2" t="str">
        <f t="shared" si="120"/>
        <v/>
      </c>
      <c r="AI120" s="2"/>
    </row>
    <row r="121" spans="1:35" x14ac:dyDescent="0.25">
      <c r="B121" s="2" t="str">
        <f t="shared" si="132"/>
        <v>@color-contours_line</v>
      </c>
      <c r="C121" s="89" t="s">
        <v>194</v>
      </c>
      <c r="D121" s="90" t="str">
        <f>C121</f>
        <v>"#916f4c"</v>
      </c>
      <c r="F121" s="91" t="s">
        <v>274</v>
      </c>
      <c r="G121" s="91" t="str">
        <f>F121</f>
        <v>"#5f472f"</v>
      </c>
      <c r="AA121" s="2" t="s">
        <v>6</v>
      </c>
      <c r="AB121" s="2" t="str">
        <f>IF(NOT(ISBLANK(AC121)),"-","")</f>
        <v>-</v>
      </c>
      <c r="AC121" s="2" t="s">
        <v>70</v>
      </c>
      <c r="AD121" s="2" t="str">
        <f>IF(NOT(ISBLANK(AE121)),"_","")</f>
        <v>_</v>
      </c>
      <c r="AE121" s="2" t="s">
        <v>13</v>
      </c>
      <c r="AF121" s="2" t="str">
        <f>IF(NOT(ISBLANK(AG121)),"_","")</f>
        <v/>
      </c>
      <c r="AG121" s="2"/>
      <c r="AH121" s="2" t="str">
        <f>IF(NOT(ISBLANK(AI121)),"_","")</f>
        <v/>
      </c>
      <c r="AI121" s="2"/>
    </row>
    <row r="122" spans="1:35" x14ac:dyDescent="0.25">
      <c r="B122" s="2" t="str">
        <f t="shared" si="132"/>
        <v>@color-cliff_line</v>
      </c>
      <c r="C122" s="72" t="s">
        <v>217</v>
      </c>
      <c r="D122" s="72" t="s">
        <v>217</v>
      </c>
      <c r="F122" s="71" t="s">
        <v>227</v>
      </c>
      <c r="G122" s="71" t="s">
        <v>227</v>
      </c>
      <c r="AA122" s="2" t="s">
        <v>6</v>
      </c>
      <c r="AB122" s="2" t="str">
        <f>IF(NOT(ISBLANK(AC122)),"-","")</f>
        <v>-</v>
      </c>
      <c r="AC122" s="2" t="s">
        <v>275</v>
      </c>
      <c r="AD122" s="2" t="str">
        <f>IF(NOT(ISBLANK(AE122)),"_","")</f>
        <v>_</v>
      </c>
      <c r="AE122" s="2" t="s">
        <v>13</v>
      </c>
      <c r="AF122" s="2" t="str">
        <f>IF(NOT(ISBLANK(AG122)),"_","")</f>
        <v/>
      </c>
      <c r="AG122" s="2"/>
      <c r="AH122" s="2" t="str">
        <f>IF(NOT(ISBLANK(AI122)),"_","")</f>
        <v/>
      </c>
      <c r="AI122" s="2"/>
    </row>
    <row r="123" spans="1:35" x14ac:dyDescent="0.25">
      <c r="AB123" s="28" t="str">
        <f t="shared" si="71"/>
        <v/>
      </c>
      <c r="AD123" s="28" t="str">
        <f t="shared" si="72"/>
        <v/>
      </c>
      <c r="AF123" s="28" t="str">
        <f t="shared" si="73"/>
        <v/>
      </c>
      <c r="AH123" s="28" t="str">
        <f t="shared" ref="AH123:AH223" si="139">IF(NOT(ISBLANK(AI123)),"_","")</f>
        <v/>
      </c>
    </row>
    <row r="124" spans="1:35" s="2" customFormat="1" x14ac:dyDescent="0.25">
      <c r="A124" s="3" t="s">
        <v>257</v>
      </c>
      <c r="B124" s="3"/>
      <c r="C124" s="27"/>
      <c r="D124" s="6"/>
      <c r="E124" s="7"/>
      <c r="F124" s="6"/>
      <c r="G124" s="6"/>
      <c r="H124" s="7"/>
      <c r="I124" s="6"/>
      <c r="J124" s="6"/>
      <c r="K124" s="7"/>
      <c r="L124" s="6"/>
      <c r="M124" s="6"/>
      <c r="N124" s="7"/>
      <c r="O124" s="6"/>
      <c r="P124" s="6"/>
      <c r="Q124" s="7"/>
      <c r="R124" s="6"/>
      <c r="S124" s="6"/>
      <c r="T124" s="7"/>
      <c r="U124" s="6"/>
      <c r="V124" s="6"/>
      <c r="W124" s="7"/>
      <c r="X124" s="6"/>
      <c r="Y124" s="6"/>
      <c r="AA124" s="4"/>
      <c r="AB124" s="4" t="str">
        <f t="shared" si="71"/>
        <v/>
      </c>
      <c r="AC124" s="4"/>
      <c r="AD124" s="4" t="str">
        <f t="shared" si="72"/>
        <v/>
      </c>
      <c r="AE124" s="4"/>
      <c r="AF124" s="4" t="str">
        <f t="shared" si="73"/>
        <v/>
      </c>
      <c r="AG124" s="4"/>
      <c r="AH124" s="4" t="str">
        <f t="shared" si="139"/>
        <v/>
      </c>
      <c r="AI124" s="4"/>
    </row>
    <row r="125" spans="1:35" x14ac:dyDescent="0.25">
      <c r="B125" s="2" t="str">
        <f t="shared" ref="B125:B149" si="140">_xlfn.CONCAT("@",AA125,AB125,AC125,AD125,AE125,AF125,AG125,AH125,AI125)</f>
        <v>@color-background</v>
      </c>
      <c r="C125" s="92" t="s">
        <v>195</v>
      </c>
      <c r="D125" s="38" t="s">
        <v>227</v>
      </c>
      <c r="F125" s="72" t="s">
        <v>217</v>
      </c>
      <c r="G125" s="72" t="s">
        <v>217</v>
      </c>
      <c r="AA125" s="2" t="s">
        <v>6</v>
      </c>
      <c r="AB125" s="2" t="str">
        <f t="shared" si="71"/>
        <v>-</v>
      </c>
      <c r="AC125" s="2" t="s">
        <v>69</v>
      </c>
      <c r="AD125" s="2" t="str">
        <f t="shared" si="72"/>
        <v/>
      </c>
      <c r="AE125" s="2"/>
      <c r="AF125" s="2" t="str">
        <f t="shared" si="73"/>
        <v/>
      </c>
      <c r="AG125" s="2"/>
      <c r="AH125" s="2" t="str">
        <f t="shared" si="139"/>
        <v/>
      </c>
      <c r="AI125" s="2"/>
    </row>
    <row r="126" spans="1:35" x14ac:dyDescent="0.25">
      <c r="B126" s="2" t="str">
        <f t="shared" si="140"/>
        <v>@color-water</v>
      </c>
      <c r="C126" s="93" t="s">
        <v>196</v>
      </c>
      <c r="D126" s="94" t="s">
        <v>197</v>
      </c>
      <c r="F126" s="95" t="s">
        <v>240</v>
      </c>
      <c r="G126" s="95" t="s">
        <v>240</v>
      </c>
      <c r="AA126" s="2" t="s">
        <v>6</v>
      </c>
      <c r="AB126" s="2" t="str">
        <f t="shared" si="71"/>
        <v>-</v>
      </c>
      <c r="AC126" s="2" t="s">
        <v>14</v>
      </c>
      <c r="AD126" s="2" t="str">
        <f t="shared" si="72"/>
        <v/>
      </c>
      <c r="AE126" s="2"/>
      <c r="AF126" s="2" t="str">
        <f t="shared" si="73"/>
        <v/>
      </c>
      <c r="AG126" s="2"/>
      <c r="AH126" s="2" t="str">
        <f t="shared" si="139"/>
        <v/>
      </c>
      <c r="AI126" s="2"/>
    </row>
    <row r="127" spans="1:35" x14ac:dyDescent="0.25">
      <c r="B127" s="2" t="str">
        <f t="shared" si="140"/>
        <v>@color-landcover_field</v>
      </c>
      <c r="C127" s="96" t="s">
        <v>198</v>
      </c>
      <c r="D127" s="97" t="s">
        <v>199</v>
      </c>
      <c r="F127" s="98" t="s">
        <v>243</v>
      </c>
      <c r="G127" s="98" t="s">
        <v>243</v>
      </c>
      <c r="AA127" s="2" t="s">
        <v>6</v>
      </c>
      <c r="AB127" s="2" t="str">
        <f t="shared" si="71"/>
        <v>-</v>
      </c>
      <c r="AC127" s="2" t="s">
        <v>54</v>
      </c>
      <c r="AD127" s="2" t="str">
        <f t="shared" si="72"/>
        <v>_</v>
      </c>
      <c r="AE127" s="2" t="s">
        <v>49</v>
      </c>
      <c r="AF127" s="2" t="str">
        <f t="shared" si="73"/>
        <v/>
      </c>
      <c r="AG127" s="2"/>
      <c r="AH127" s="2" t="str">
        <f t="shared" si="139"/>
        <v/>
      </c>
      <c r="AI127" s="2"/>
    </row>
    <row r="128" spans="1:35" x14ac:dyDescent="0.25">
      <c r="B128" s="2" t="str">
        <f t="shared" si="140"/>
        <v>@color-landcover_meadow</v>
      </c>
      <c r="C128" s="99" t="s">
        <v>200</v>
      </c>
      <c r="D128" s="100" t="s">
        <v>201</v>
      </c>
      <c r="F128" s="101" t="s">
        <v>242</v>
      </c>
      <c r="G128" s="101" t="s">
        <v>242</v>
      </c>
      <c r="AA128" s="2" t="s">
        <v>6</v>
      </c>
      <c r="AB128" s="2" t="str">
        <f t="shared" si="71"/>
        <v>-</v>
      </c>
      <c r="AC128" s="2" t="s">
        <v>54</v>
      </c>
      <c r="AD128" s="2" t="str">
        <f t="shared" si="72"/>
        <v>_</v>
      </c>
      <c r="AE128" s="2" t="s">
        <v>50</v>
      </c>
      <c r="AF128" s="2" t="str">
        <f t="shared" si="73"/>
        <v/>
      </c>
      <c r="AG128" s="2"/>
      <c r="AH128" s="2" t="str">
        <f t="shared" si="139"/>
        <v/>
      </c>
      <c r="AI128" s="2"/>
    </row>
    <row r="129" spans="2:35" x14ac:dyDescent="0.25">
      <c r="B129" s="2" t="str">
        <f t="shared" si="140"/>
        <v>@color-landcover_bare_rock</v>
      </c>
      <c r="C129" s="102" t="s">
        <v>202</v>
      </c>
      <c r="D129" s="102" t="s">
        <v>202</v>
      </c>
      <c r="F129" s="103" t="s">
        <v>247</v>
      </c>
      <c r="G129" s="103" t="s">
        <v>247</v>
      </c>
      <c r="AA129" s="2" t="s">
        <v>6</v>
      </c>
      <c r="AB129" s="2" t="str">
        <f t="shared" si="71"/>
        <v>-</v>
      </c>
      <c r="AC129" s="2" t="s">
        <v>54</v>
      </c>
      <c r="AD129" s="2" t="str">
        <f t="shared" si="72"/>
        <v>_</v>
      </c>
      <c r="AE129" s="2" t="s">
        <v>51</v>
      </c>
      <c r="AF129" s="2" t="str">
        <f t="shared" si="73"/>
        <v/>
      </c>
      <c r="AG129" s="2"/>
      <c r="AH129" s="2" t="str">
        <f t="shared" si="139"/>
        <v/>
      </c>
      <c r="AI129" s="2"/>
    </row>
    <row r="130" spans="2:35" x14ac:dyDescent="0.25">
      <c r="B130" s="2" t="str">
        <f t="shared" si="140"/>
        <v>@color-landcover_sand</v>
      </c>
      <c r="C130" s="104" t="s">
        <v>203</v>
      </c>
      <c r="D130" s="38" t="s">
        <v>227</v>
      </c>
      <c r="F130" s="105" t="s">
        <v>248</v>
      </c>
      <c r="G130" s="72" t="s">
        <v>217</v>
      </c>
      <c r="AA130" s="2" t="s">
        <v>6</v>
      </c>
      <c r="AB130" s="2" t="str">
        <f t="shared" si="71"/>
        <v>-</v>
      </c>
      <c r="AC130" s="2" t="s">
        <v>54</v>
      </c>
      <c r="AD130" s="2" t="str">
        <f t="shared" si="72"/>
        <v>_</v>
      </c>
      <c r="AE130" s="2" t="s">
        <v>52</v>
      </c>
      <c r="AF130" s="2" t="str">
        <f t="shared" si="73"/>
        <v/>
      </c>
      <c r="AG130" s="2"/>
      <c r="AH130" s="2" t="str">
        <f t="shared" si="139"/>
        <v/>
      </c>
      <c r="AI130" s="2"/>
    </row>
    <row r="131" spans="2:35" x14ac:dyDescent="0.25">
      <c r="B131" s="2" t="str">
        <f t="shared" si="140"/>
        <v>@color-landcover_allotments</v>
      </c>
      <c r="C131" s="106" t="s">
        <v>204</v>
      </c>
      <c r="D131" s="106" t="s">
        <v>204</v>
      </c>
      <c r="F131" s="107" t="s">
        <v>249</v>
      </c>
      <c r="G131" s="107" t="s">
        <v>249</v>
      </c>
      <c r="AA131" s="2" t="s">
        <v>6</v>
      </c>
      <c r="AB131" s="2" t="str">
        <f t="shared" si="71"/>
        <v>-</v>
      </c>
      <c r="AC131" s="2" t="s">
        <v>54</v>
      </c>
      <c r="AD131" s="2" t="str">
        <f t="shared" si="72"/>
        <v>_</v>
      </c>
      <c r="AE131" s="2" t="s">
        <v>53</v>
      </c>
      <c r="AF131" s="2" t="str">
        <f t="shared" si="73"/>
        <v/>
      </c>
      <c r="AG131" s="2"/>
      <c r="AH131" s="2" t="str">
        <f t="shared" si="139"/>
        <v/>
      </c>
      <c r="AI131" s="2"/>
    </row>
    <row r="132" spans="2:35" x14ac:dyDescent="0.25">
      <c r="B132" s="2" t="str">
        <f t="shared" si="140"/>
        <v>@color-landcover_heath_fell</v>
      </c>
      <c r="C132" s="108" t="s">
        <v>205</v>
      </c>
      <c r="D132" s="38" t="s">
        <v>227</v>
      </c>
      <c r="F132" s="109" t="s">
        <v>250</v>
      </c>
      <c r="G132" s="72" t="s">
        <v>217</v>
      </c>
      <c r="AA132" s="2" t="s">
        <v>6</v>
      </c>
      <c r="AB132" s="2" t="str">
        <f t="shared" si="71"/>
        <v>-</v>
      </c>
      <c r="AC132" s="2" t="s">
        <v>54</v>
      </c>
      <c r="AD132" s="2" t="str">
        <f t="shared" si="72"/>
        <v>_</v>
      </c>
      <c r="AE132" s="2" t="s">
        <v>55</v>
      </c>
      <c r="AF132" s="2" t="str">
        <f t="shared" si="73"/>
        <v/>
      </c>
      <c r="AG132" s="2"/>
      <c r="AH132" s="2" t="str">
        <f t="shared" si="139"/>
        <v/>
      </c>
      <c r="AI132" s="2"/>
    </row>
    <row r="133" spans="2:35" x14ac:dyDescent="0.25">
      <c r="B133" s="2" t="str">
        <f t="shared" si="140"/>
        <v>@color-landcover_grass</v>
      </c>
      <c r="C133" s="110" t="s">
        <v>206</v>
      </c>
      <c r="D133" s="38" t="s">
        <v>227</v>
      </c>
      <c r="F133" s="111" t="s">
        <v>280</v>
      </c>
      <c r="G133" s="72" t="s">
        <v>217</v>
      </c>
      <c r="AA133" s="2" t="s">
        <v>6</v>
      </c>
      <c r="AB133" s="2" t="str">
        <f t="shared" si="71"/>
        <v>-</v>
      </c>
      <c r="AC133" s="2" t="s">
        <v>54</v>
      </c>
      <c r="AD133" s="2" t="str">
        <f t="shared" si="72"/>
        <v>_</v>
      </c>
      <c r="AE133" s="2" t="s">
        <v>56</v>
      </c>
      <c r="AF133" s="2" t="str">
        <f t="shared" si="73"/>
        <v/>
      </c>
      <c r="AG133" s="2"/>
      <c r="AH133" s="2" t="str">
        <f t="shared" si="139"/>
        <v/>
      </c>
      <c r="AI133" s="2"/>
    </row>
    <row r="134" spans="2:35" x14ac:dyDescent="0.25">
      <c r="B134" s="2" t="str">
        <f t="shared" si="140"/>
        <v>@color-landcover_quarry</v>
      </c>
      <c r="C134" s="112" t="s">
        <v>207</v>
      </c>
      <c r="D134" s="112" t="s">
        <v>207</v>
      </c>
      <c r="F134" s="113" t="s">
        <v>251</v>
      </c>
      <c r="G134" s="113" t="s">
        <v>251</v>
      </c>
      <c r="AA134" s="2" t="s">
        <v>6</v>
      </c>
      <c r="AB134" s="2" t="str">
        <f t="shared" si="71"/>
        <v>-</v>
      </c>
      <c r="AC134" s="2" t="s">
        <v>54</v>
      </c>
      <c r="AD134" s="2" t="str">
        <f t="shared" si="72"/>
        <v>_</v>
      </c>
      <c r="AE134" s="2" t="s">
        <v>57</v>
      </c>
      <c r="AF134" s="2" t="str">
        <f t="shared" si="73"/>
        <v/>
      </c>
      <c r="AG134" s="2"/>
      <c r="AH134" s="2" t="str">
        <f t="shared" si="139"/>
        <v/>
      </c>
      <c r="AI134" s="2"/>
    </row>
    <row r="135" spans="2:35" x14ac:dyDescent="0.25">
      <c r="B135" s="2" t="str">
        <f t="shared" si="140"/>
        <v>@color-landcover_storage</v>
      </c>
      <c r="C135" s="114" t="s">
        <v>208</v>
      </c>
      <c r="D135" s="114" t="s">
        <v>208</v>
      </c>
      <c r="F135" s="115" t="s">
        <v>265</v>
      </c>
      <c r="G135" s="115" t="s">
        <v>265</v>
      </c>
      <c r="AA135" s="2" t="s">
        <v>6</v>
      </c>
      <c r="AB135" s="2" t="str">
        <f t="shared" si="71"/>
        <v>-</v>
      </c>
      <c r="AC135" s="2" t="s">
        <v>54</v>
      </c>
      <c r="AD135" s="2" t="str">
        <f t="shared" si="72"/>
        <v>_</v>
      </c>
      <c r="AE135" s="2" t="s">
        <v>58</v>
      </c>
      <c r="AF135" s="2" t="str">
        <f t="shared" si="73"/>
        <v/>
      </c>
      <c r="AG135" s="2"/>
      <c r="AH135" s="2" t="str">
        <f t="shared" si="139"/>
        <v/>
      </c>
      <c r="AI135" s="2"/>
    </row>
    <row r="136" spans="2:35" x14ac:dyDescent="0.25">
      <c r="B136" s="2" t="str">
        <f t="shared" si="140"/>
        <v>@color-landcover_wood</v>
      </c>
      <c r="C136" s="116" t="s">
        <v>209</v>
      </c>
      <c r="D136" s="116" t="s">
        <v>209</v>
      </c>
      <c r="F136" s="117" t="s">
        <v>241</v>
      </c>
      <c r="G136" s="117" t="s">
        <v>241</v>
      </c>
      <c r="AA136" s="2" t="s">
        <v>6</v>
      </c>
      <c r="AB136" s="2" t="str">
        <f t="shared" si="71"/>
        <v>-</v>
      </c>
      <c r="AC136" s="2" t="s">
        <v>54</v>
      </c>
      <c r="AD136" s="2" t="str">
        <f t="shared" si="72"/>
        <v>_</v>
      </c>
      <c r="AE136" s="2" t="s">
        <v>59</v>
      </c>
      <c r="AF136" s="2" t="str">
        <f t="shared" si="73"/>
        <v/>
      </c>
      <c r="AG136" s="2"/>
      <c r="AH136" s="2" t="str">
        <f t="shared" si="139"/>
        <v/>
      </c>
      <c r="AI136" s="2"/>
    </row>
    <row r="137" spans="2:35" x14ac:dyDescent="0.25">
      <c r="B137" s="2" t="str">
        <f t="shared" si="140"/>
        <v>@color-landcover_parking_area</v>
      </c>
      <c r="C137" s="118" t="s">
        <v>210</v>
      </c>
      <c r="D137" s="118" t="s">
        <v>210</v>
      </c>
      <c r="F137" s="119" t="s">
        <v>252</v>
      </c>
      <c r="G137" s="119" t="s">
        <v>252</v>
      </c>
      <c r="AA137" s="2" t="s">
        <v>6</v>
      </c>
      <c r="AB137" s="2" t="str">
        <f t="shared" si="71"/>
        <v>-</v>
      </c>
      <c r="AC137" s="2" t="s">
        <v>54</v>
      </c>
      <c r="AD137" s="2" t="str">
        <f t="shared" si="72"/>
        <v>_</v>
      </c>
      <c r="AE137" s="2" t="s">
        <v>60</v>
      </c>
      <c r="AF137" s="2" t="str">
        <f t="shared" si="73"/>
        <v/>
      </c>
      <c r="AG137" s="2"/>
      <c r="AH137" s="2" t="str">
        <f t="shared" si="139"/>
        <v/>
      </c>
      <c r="AI137" s="2"/>
    </row>
    <row r="138" spans="2:35" x14ac:dyDescent="0.25">
      <c r="B138" s="2" t="str">
        <f t="shared" si="140"/>
        <v>@color-landcover_railway</v>
      </c>
      <c r="C138" s="120" t="s">
        <v>211</v>
      </c>
      <c r="D138" s="120" t="s">
        <v>211</v>
      </c>
      <c r="F138" s="121" t="s">
        <v>253</v>
      </c>
      <c r="G138" s="121" t="s">
        <v>253</v>
      </c>
      <c r="AA138" s="2" t="s">
        <v>6</v>
      </c>
      <c r="AB138" s="2" t="str">
        <f t="shared" si="71"/>
        <v>-</v>
      </c>
      <c r="AC138" s="2" t="s">
        <v>54</v>
      </c>
      <c r="AD138" s="2" t="str">
        <f t="shared" si="72"/>
        <v>_</v>
      </c>
      <c r="AE138" s="2" t="s">
        <v>61</v>
      </c>
      <c r="AF138" s="2" t="str">
        <f t="shared" si="73"/>
        <v/>
      </c>
      <c r="AG138" s="2"/>
      <c r="AH138" s="2" t="str">
        <f t="shared" si="139"/>
        <v/>
      </c>
      <c r="AI138" s="2"/>
    </row>
    <row r="139" spans="2:35" x14ac:dyDescent="0.25">
      <c r="B139" s="2" t="str">
        <f t="shared" si="140"/>
        <v>@color-landcover_school</v>
      </c>
      <c r="C139" s="122" t="s">
        <v>213</v>
      </c>
      <c r="D139" s="122" t="s">
        <v>213</v>
      </c>
      <c r="F139" s="115" t="s">
        <v>265</v>
      </c>
      <c r="G139" s="115" t="s">
        <v>265</v>
      </c>
      <c r="AA139" s="2" t="s">
        <v>6</v>
      </c>
      <c r="AB139" s="2" t="str">
        <f t="shared" si="71"/>
        <v>-</v>
      </c>
      <c r="AC139" s="2" t="s">
        <v>54</v>
      </c>
      <c r="AD139" s="2" t="str">
        <f t="shared" si="72"/>
        <v>_</v>
      </c>
      <c r="AE139" s="2" t="s">
        <v>62</v>
      </c>
      <c r="AF139" s="2" t="str">
        <f t="shared" si="73"/>
        <v/>
      </c>
      <c r="AG139" s="2"/>
      <c r="AH139" s="2" t="str">
        <f t="shared" si="139"/>
        <v/>
      </c>
      <c r="AI139" s="2"/>
    </row>
    <row r="140" spans="2:35" x14ac:dyDescent="0.25">
      <c r="B140" s="2" t="str">
        <f t="shared" si="140"/>
        <v>@color-landcover_cemetery</v>
      </c>
      <c r="C140" s="123" t="s">
        <v>212</v>
      </c>
      <c r="D140" s="123" t="s">
        <v>212</v>
      </c>
      <c r="F140" s="124" t="s">
        <v>254</v>
      </c>
      <c r="G140" s="124" t="s">
        <v>254</v>
      </c>
      <c r="AA140" s="2" t="s">
        <v>6</v>
      </c>
      <c r="AB140" s="2" t="str">
        <f t="shared" si="71"/>
        <v>-</v>
      </c>
      <c r="AC140" s="2" t="s">
        <v>54</v>
      </c>
      <c r="AD140" s="2" t="str">
        <f t="shared" si="72"/>
        <v>_</v>
      </c>
      <c r="AE140" s="2" t="s">
        <v>64</v>
      </c>
      <c r="AF140" s="2" t="str">
        <f t="shared" si="73"/>
        <v/>
      </c>
      <c r="AG140" s="2"/>
      <c r="AH140" s="2" t="str">
        <f t="shared" si="139"/>
        <v/>
      </c>
      <c r="AI140" s="2"/>
    </row>
    <row r="141" spans="2:35" x14ac:dyDescent="0.25">
      <c r="B141" s="2" t="str">
        <f t="shared" si="140"/>
        <v>@color-landcover_hospital</v>
      </c>
      <c r="C141" s="122" t="s">
        <v>213</v>
      </c>
      <c r="D141" s="122" t="s">
        <v>213</v>
      </c>
      <c r="F141" s="115" t="s">
        <v>265</v>
      </c>
      <c r="G141" s="115" t="s">
        <v>265</v>
      </c>
      <c r="AA141" s="2" t="s">
        <v>6</v>
      </c>
      <c r="AB141" s="2" t="str">
        <f t="shared" si="71"/>
        <v>-</v>
      </c>
      <c r="AC141" s="2" t="s">
        <v>54</v>
      </c>
      <c r="AD141" s="2" t="str">
        <f t="shared" si="72"/>
        <v>_</v>
      </c>
      <c r="AE141" s="2" t="s">
        <v>63</v>
      </c>
      <c r="AF141" s="2" t="str">
        <f t="shared" si="73"/>
        <v/>
      </c>
      <c r="AG141" s="2"/>
      <c r="AH141" s="2" t="str">
        <f t="shared" si="139"/>
        <v/>
      </c>
      <c r="AI141" s="2"/>
    </row>
    <row r="142" spans="2:35" x14ac:dyDescent="0.25">
      <c r="B142" s="2" t="str">
        <f t="shared" si="140"/>
        <v>@color-landcover_industrial</v>
      </c>
      <c r="C142" s="122" t="s">
        <v>213</v>
      </c>
      <c r="D142" s="122" t="s">
        <v>213</v>
      </c>
      <c r="F142" s="115" t="s">
        <v>265</v>
      </c>
      <c r="G142" s="115" t="s">
        <v>265</v>
      </c>
      <c r="AA142" s="2" t="s">
        <v>6</v>
      </c>
      <c r="AB142" s="2" t="str">
        <f t="shared" si="71"/>
        <v>-</v>
      </c>
      <c r="AC142" s="2" t="s">
        <v>54</v>
      </c>
      <c r="AD142" s="2" t="str">
        <f t="shared" si="72"/>
        <v>_</v>
      </c>
      <c r="AE142" s="2" t="s">
        <v>65</v>
      </c>
      <c r="AF142" s="2" t="str">
        <f t="shared" si="73"/>
        <v/>
      </c>
      <c r="AG142" s="2"/>
      <c r="AH142" s="2" t="str">
        <f t="shared" si="139"/>
        <v/>
      </c>
      <c r="AI142" s="2"/>
    </row>
    <row r="143" spans="2:35" x14ac:dyDescent="0.25">
      <c r="B143" s="2" t="str">
        <f t="shared" si="140"/>
        <v>@color-landcover_commercial</v>
      </c>
      <c r="C143" s="122" t="s">
        <v>213</v>
      </c>
      <c r="D143" s="122" t="s">
        <v>213</v>
      </c>
      <c r="F143" s="115" t="s">
        <v>265</v>
      </c>
      <c r="G143" s="115" t="s">
        <v>265</v>
      </c>
      <c r="AA143" s="2" t="s">
        <v>6</v>
      </c>
      <c r="AB143" s="2" t="str">
        <f t="shared" si="71"/>
        <v>-</v>
      </c>
      <c r="AC143" s="2" t="s">
        <v>54</v>
      </c>
      <c r="AD143" s="2" t="str">
        <f t="shared" si="72"/>
        <v>_</v>
      </c>
      <c r="AE143" s="2" t="s">
        <v>66</v>
      </c>
      <c r="AF143" s="2" t="str">
        <f t="shared" si="73"/>
        <v/>
      </c>
      <c r="AG143" s="2"/>
      <c r="AH143" s="2" t="str">
        <f t="shared" si="139"/>
        <v/>
      </c>
      <c r="AI143" s="2"/>
    </row>
    <row r="144" spans="2:35" x14ac:dyDescent="0.25">
      <c r="B144" s="2" t="str">
        <f t="shared" si="140"/>
        <v>@color-landcover_residential</v>
      </c>
      <c r="C144" s="122" t="s">
        <v>213</v>
      </c>
      <c r="D144" s="122" t="s">
        <v>213</v>
      </c>
      <c r="F144" s="115" t="s">
        <v>265</v>
      </c>
      <c r="G144" s="115" t="s">
        <v>265</v>
      </c>
      <c r="AA144" s="2" t="s">
        <v>6</v>
      </c>
      <c r="AB144" s="2" t="str">
        <f t="shared" si="71"/>
        <v>-</v>
      </c>
      <c r="AC144" s="2" t="s">
        <v>54</v>
      </c>
      <c r="AD144" s="2" t="str">
        <f t="shared" si="72"/>
        <v>_</v>
      </c>
      <c r="AE144" s="2" t="s">
        <v>67</v>
      </c>
      <c r="AF144" s="2" t="str">
        <f t="shared" si="73"/>
        <v/>
      </c>
      <c r="AG144" s="2"/>
      <c r="AH144" s="2" t="str">
        <f t="shared" si="139"/>
        <v/>
      </c>
      <c r="AI144" s="2"/>
    </row>
    <row r="145" spans="1:35" x14ac:dyDescent="0.25">
      <c r="B145" s="2" t="str">
        <f t="shared" si="140"/>
        <v>@color-landcover_built-up</v>
      </c>
      <c r="C145" s="122" t="s">
        <v>213</v>
      </c>
      <c r="D145" s="122" t="s">
        <v>213</v>
      </c>
      <c r="F145" s="115" t="s">
        <v>265</v>
      </c>
      <c r="G145" s="115" t="s">
        <v>265</v>
      </c>
      <c r="AA145" s="2" t="s">
        <v>6</v>
      </c>
      <c r="AB145" s="2" t="str">
        <f t="shared" si="71"/>
        <v>-</v>
      </c>
      <c r="AC145" s="2" t="s">
        <v>54</v>
      </c>
      <c r="AD145" s="2" t="str">
        <f t="shared" si="72"/>
        <v>_</v>
      </c>
      <c r="AE145" s="2" t="s">
        <v>68</v>
      </c>
      <c r="AF145" s="2" t="str">
        <f t="shared" si="73"/>
        <v/>
      </c>
      <c r="AG145" s="2"/>
      <c r="AH145" s="2" t="str">
        <f t="shared" si="139"/>
        <v/>
      </c>
      <c r="AI145" s="2"/>
    </row>
    <row r="146" spans="1:35" x14ac:dyDescent="0.25">
      <c r="B146" s="2" t="str">
        <f t="shared" si="140"/>
        <v>@color-landcover_ice_shelf</v>
      </c>
      <c r="C146" s="92" t="s">
        <v>195</v>
      </c>
      <c r="D146" s="92" t="s">
        <v>195</v>
      </c>
      <c r="F146" s="125" t="s">
        <v>255</v>
      </c>
      <c r="G146" s="125" t="s">
        <v>255</v>
      </c>
      <c r="AA146" s="2" t="s">
        <v>6</v>
      </c>
      <c r="AB146" s="2" t="str">
        <f t="shared" ref="AB146:AB149" si="141">IF(NOT(ISBLANK(AC146)),"-","")</f>
        <v>-</v>
      </c>
      <c r="AC146" s="2" t="s">
        <v>54</v>
      </c>
      <c r="AD146" s="2" t="str">
        <f t="shared" ref="AD146:AD149" si="142">IF(NOT(ISBLANK(AE146)),"_","")</f>
        <v>_</v>
      </c>
      <c r="AE146" s="2" t="s">
        <v>244</v>
      </c>
      <c r="AF146" s="2" t="str">
        <f t="shared" ref="AF146:AF149" si="143">IF(NOT(ISBLANK(AG146)),"_","")</f>
        <v/>
      </c>
      <c r="AG146" s="2"/>
      <c r="AH146" s="2" t="str">
        <f t="shared" si="139"/>
        <v/>
      </c>
      <c r="AI146" s="2"/>
    </row>
    <row r="147" spans="1:35" x14ac:dyDescent="0.25">
      <c r="B147" s="2" t="str">
        <f t="shared" si="140"/>
        <v>@color-landcover_glacier</v>
      </c>
      <c r="C147" s="92" t="s">
        <v>195</v>
      </c>
      <c r="D147" s="92" t="s">
        <v>195</v>
      </c>
      <c r="F147" s="125" t="s">
        <v>255</v>
      </c>
      <c r="G147" s="125" t="s">
        <v>255</v>
      </c>
      <c r="AA147" s="2" t="s">
        <v>6</v>
      </c>
      <c r="AB147" s="2" t="str">
        <f t="shared" ref="AB147" si="144">IF(NOT(ISBLANK(AC147)),"-","")</f>
        <v>-</v>
      </c>
      <c r="AC147" s="2" t="s">
        <v>54</v>
      </c>
      <c r="AD147" s="2" t="str">
        <f t="shared" ref="AD147" si="145">IF(NOT(ISBLANK(AE147)),"_","")</f>
        <v>_</v>
      </c>
      <c r="AE147" s="2" t="s">
        <v>268</v>
      </c>
      <c r="AF147" s="2" t="str">
        <f t="shared" ref="AF147" si="146">IF(NOT(ISBLANK(AG147)),"_","")</f>
        <v/>
      </c>
      <c r="AG147" s="2"/>
      <c r="AH147" s="2" t="str">
        <f t="shared" si="139"/>
        <v/>
      </c>
      <c r="AI147" s="2"/>
    </row>
    <row r="148" spans="1:35" x14ac:dyDescent="0.25">
      <c r="B148" s="2" t="str">
        <f t="shared" si="140"/>
        <v>@color-landcover_sport_play</v>
      </c>
      <c r="C148" s="126" t="s">
        <v>246</v>
      </c>
      <c r="D148" s="126" t="s">
        <v>246</v>
      </c>
      <c r="F148" s="127" t="s">
        <v>256</v>
      </c>
      <c r="G148" s="127" t="s">
        <v>256</v>
      </c>
      <c r="AA148" s="2" t="s">
        <v>6</v>
      </c>
      <c r="AB148" s="2" t="str">
        <f t="shared" si="141"/>
        <v>-</v>
      </c>
      <c r="AC148" s="2" t="s">
        <v>54</v>
      </c>
      <c r="AD148" s="2" t="str">
        <f t="shared" si="142"/>
        <v>_</v>
      </c>
      <c r="AE148" s="2" t="s">
        <v>245</v>
      </c>
      <c r="AF148" s="2" t="str">
        <f t="shared" si="143"/>
        <v/>
      </c>
      <c r="AG148" s="2"/>
      <c r="AH148" s="2" t="str">
        <f t="shared" si="139"/>
        <v/>
      </c>
      <c r="AI148" s="2"/>
    </row>
    <row r="149" spans="1:35" x14ac:dyDescent="0.25">
      <c r="B149" s="2" t="str">
        <f t="shared" si="140"/>
        <v>@color-landcover_line_generic</v>
      </c>
      <c r="C149" s="128" t="s">
        <v>266</v>
      </c>
      <c r="D149" s="128" t="s">
        <v>266</v>
      </c>
      <c r="F149" s="115" t="s">
        <v>265</v>
      </c>
      <c r="G149" s="115" t="s">
        <v>265</v>
      </c>
      <c r="AA149" s="2" t="s">
        <v>6</v>
      </c>
      <c r="AB149" s="2" t="str">
        <f t="shared" si="141"/>
        <v>-</v>
      </c>
      <c r="AC149" s="2" t="s">
        <v>54</v>
      </c>
      <c r="AD149" s="2" t="str">
        <f t="shared" si="142"/>
        <v>_</v>
      </c>
      <c r="AE149" s="2" t="s">
        <v>13</v>
      </c>
      <c r="AF149" s="2" t="str">
        <f t="shared" si="143"/>
        <v>_</v>
      </c>
      <c r="AG149" s="2" t="s">
        <v>260</v>
      </c>
      <c r="AH149" s="2" t="str">
        <f t="shared" si="139"/>
        <v/>
      </c>
      <c r="AI149" s="2"/>
    </row>
    <row r="150" spans="1:35" x14ac:dyDescent="0.25">
      <c r="AB150" s="28" t="str">
        <f t="shared" si="71"/>
        <v/>
      </c>
      <c r="AD150" s="28" t="str">
        <f t="shared" si="72"/>
        <v/>
      </c>
      <c r="AF150" s="28" t="str">
        <f t="shared" si="73"/>
        <v/>
      </c>
      <c r="AH150" s="28" t="str">
        <f t="shared" si="139"/>
        <v/>
      </c>
    </row>
    <row r="151" spans="1:35" s="2" customFormat="1" x14ac:dyDescent="0.25">
      <c r="A151" s="3" t="s">
        <v>46</v>
      </c>
      <c r="B151" s="3"/>
      <c r="C151" s="27"/>
      <c r="D151" s="6"/>
      <c r="E151" s="7"/>
      <c r="F151" s="6"/>
      <c r="G151" s="6"/>
      <c r="H151" s="7"/>
      <c r="I151" s="6"/>
      <c r="J151" s="6"/>
      <c r="K151" s="7"/>
      <c r="L151" s="6"/>
      <c r="M151" s="6"/>
      <c r="N151" s="7"/>
      <c r="O151" s="6"/>
      <c r="P151" s="6"/>
      <c r="Q151" s="7"/>
      <c r="R151" s="6"/>
      <c r="S151" s="6"/>
      <c r="T151" s="7"/>
      <c r="U151" s="6"/>
      <c r="V151" s="6"/>
      <c r="W151" s="7"/>
      <c r="X151" s="6"/>
      <c r="Y151" s="6"/>
      <c r="AA151" s="4"/>
      <c r="AB151" s="4" t="str">
        <f t="shared" si="71"/>
        <v/>
      </c>
      <c r="AC151" s="4"/>
      <c r="AD151" s="4" t="str">
        <f t="shared" si="72"/>
        <v/>
      </c>
      <c r="AE151" s="4"/>
      <c r="AF151" s="4" t="str">
        <f t="shared" si="73"/>
        <v/>
      </c>
      <c r="AG151" s="4"/>
      <c r="AH151" s="4" t="str">
        <f t="shared" si="139"/>
        <v/>
      </c>
      <c r="AI151" s="4"/>
    </row>
    <row r="152" spans="1:35" x14ac:dyDescent="0.25">
      <c r="B152" s="2" t="str">
        <f t="shared" ref="B152:B154" si="147">_xlfn.CONCAT("@",AA152,AB152,AC152,AD152,AE152,AF152,AG152,AH152,AI152)</f>
        <v>@color-motorway_case_farzoom</v>
      </c>
      <c r="C152" s="129" t="s">
        <v>214</v>
      </c>
      <c r="D152" s="72" t="s">
        <v>217</v>
      </c>
      <c r="F152" s="129" t="s">
        <v>214</v>
      </c>
      <c r="G152" s="129" t="s">
        <v>214</v>
      </c>
      <c r="I152" s="130" t="str">
        <f>C152</f>
        <v>"#bf440f"</v>
      </c>
      <c r="J152" s="72" t="s">
        <v>217</v>
      </c>
      <c r="U152" s="130" t="str">
        <f>C152</f>
        <v>"#bf440f"</v>
      </c>
      <c r="AA152" s="2" t="s">
        <v>6</v>
      </c>
      <c r="AB152" s="2" t="str">
        <f t="shared" si="71"/>
        <v>-</v>
      </c>
      <c r="AC152" s="2" t="s">
        <v>16</v>
      </c>
      <c r="AD152" s="2" t="str">
        <f t="shared" si="72"/>
        <v>_</v>
      </c>
      <c r="AE152" s="2" t="s">
        <v>17</v>
      </c>
      <c r="AF152" s="2" t="str">
        <f t="shared" si="73"/>
        <v>_</v>
      </c>
      <c r="AG152" s="2" t="s">
        <v>21</v>
      </c>
      <c r="AH152" s="2" t="str">
        <f t="shared" si="139"/>
        <v/>
      </c>
      <c r="AI152" s="2"/>
    </row>
    <row r="153" spans="1:35" x14ac:dyDescent="0.25">
      <c r="B153" s="2" t="str">
        <f t="shared" si="147"/>
        <v>@color-motorway_case_default</v>
      </c>
      <c r="C153" s="131" t="s">
        <v>215</v>
      </c>
      <c r="D153" s="72" t="s">
        <v>217</v>
      </c>
      <c r="F153" s="72" t="s">
        <v>217</v>
      </c>
      <c r="G153" s="72" t="s">
        <v>217</v>
      </c>
      <c r="I153" s="132" t="str">
        <f>C153</f>
        <v>"#a15412"</v>
      </c>
      <c r="J153" s="72" t="s">
        <v>217</v>
      </c>
      <c r="U153" s="132" t="str">
        <f>C153</f>
        <v>"#a15412"</v>
      </c>
      <c r="AA153" s="2" t="s">
        <v>6</v>
      </c>
      <c r="AB153" s="2" t="str">
        <f t="shared" si="71"/>
        <v>-</v>
      </c>
      <c r="AC153" s="2" t="s">
        <v>16</v>
      </c>
      <c r="AD153" s="2" t="str">
        <f t="shared" si="72"/>
        <v>_</v>
      </c>
      <c r="AE153" s="2" t="s">
        <v>17</v>
      </c>
      <c r="AF153" s="2" t="str">
        <f t="shared" si="73"/>
        <v>_</v>
      </c>
      <c r="AG153" s="2" t="s">
        <v>267</v>
      </c>
      <c r="AH153" s="2" t="str">
        <f t="shared" si="139"/>
        <v/>
      </c>
      <c r="AI153" s="2"/>
    </row>
    <row r="154" spans="1:35" x14ac:dyDescent="0.25">
      <c r="B154" s="2" t="str">
        <f t="shared" si="147"/>
        <v>@color-motorway_line_default</v>
      </c>
      <c r="C154" s="133" t="s">
        <v>216</v>
      </c>
      <c r="D154" s="134" t="s">
        <v>218</v>
      </c>
      <c r="F154" s="134" t="s">
        <v>218</v>
      </c>
      <c r="G154" s="134" t="s">
        <v>218</v>
      </c>
      <c r="I154" s="135" t="str">
        <f>C154</f>
        <v>"#ffcc88"</v>
      </c>
      <c r="J154" s="136" t="str">
        <f>D154</f>
        <v>"#d6771e"</v>
      </c>
      <c r="U154" s="135" t="str">
        <f>C154</f>
        <v>"#ffcc88"</v>
      </c>
      <c r="AA154" s="2" t="s">
        <v>6</v>
      </c>
      <c r="AB154" s="2" t="str">
        <f t="shared" si="71"/>
        <v>-</v>
      </c>
      <c r="AC154" s="2" t="s">
        <v>16</v>
      </c>
      <c r="AD154" s="2" t="str">
        <f t="shared" si="72"/>
        <v>_</v>
      </c>
      <c r="AE154" s="2" t="s">
        <v>13</v>
      </c>
      <c r="AF154" s="2" t="str">
        <f t="shared" si="73"/>
        <v>_</v>
      </c>
      <c r="AG154" s="2" t="s">
        <v>267</v>
      </c>
      <c r="AH154" s="2" t="str">
        <f t="shared" si="139"/>
        <v/>
      </c>
      <c r="AI154" s="2"/>
    </row>
    <row r="155" spans="1:35" x14ac:dyDescent="0.25">
      <c r="AB155" s="28" t="str">
        <f t="shared" si="71"/>
        <v/>
      </c>
      <c r="AD155" s="28" t="str">
        <f t="shared" si="72"/>
        <v/>
      </c>
      <c r="AF155" s="28" t="str">
        <f t="shared" si="73"/>
        <v/>
      </c>
      <c r="AH155" s="28" t="str">
        <f t="shared" si="139"/>
        <v/>
      </c>
    </row>
    <row r="156" spans="1:35" s="2" customFormat="1" x14ac:dyDescent="0.25">
      <c r="A156" s="3" t="s">
        <v>48</v>
      </c>
      <c r="B156" s="3"/>
      <c r="C156" s="27"/>
      <c r="D156" s="6"/>
      <c r="E156" s="7"/>
      <c r="F156" s="6"/>
      <c r="G156" s="6"/>
      <c r="H156" s="7"/>
      <c r="I156" s="6"/>
      <c r="J156" s="6"/>
      <c r="K156" s="7"/>
      <c r="L156" s="6"/>
      <c r="M156" s="6"/>
      <c r="N156" s="7"/>
      <c r="O156" s="6"/>
      <c r="P156" s="6"/>
      <c r="Q156" s="7"/>
      <c r="R156" s="6"/>
      <c r="S156" s="6"/>
      <c r="T156" s="7"/>
      <c r="U156" s="6"/>
      <c r="V156" s="6"/>
      <c r="W156" s="7"/>
      <c r="X156" s="6"/>
      <c r="Y156" s="6"/>
      <c r="AA156" s="4"/>
      <c r="AB156" s="4" t="str">
        <f t="shared" si="71"/>
        <v/>
      </c>
      <c r="AC156" s="4"/>
      <c r="AD156" s="4" t="str">
        <f t="shared" si="72"/>
        <v/>
      </c>
      <c r="AE156" s="4"/>
      <c r="AF156" s="4" t="str">
        <f t="shared" si="73"/>
        <v/>
      </c>
      <c r="AG156" s="4"/>
      <c r="AH156" s="4" t="str">
        <f t="shared" si="139"/>
        <v/>
      </c>
      <c r="AI156" s="4"/>
    </row>
    <row r="157" spans="1:35" x14ac:dyDescent="0.25">
      <c r="B157" s="2" t="str">
        <f t="shared" ref="B157:B166" si="148">_xlfn.CONCAT("@",AA157,AB157,AC157,AD157,AE157,AF157,AG157,AH157,AI157)</f>
        <v>@color-trunk_case_bicycle_no_default</v>
      </c>
      <c r="C157" s="137" t="s">
        <v>231</v>
      </c>
      <c r="D157" s="72" t="s">
        <v>217</v>
      </c>
      <c r="F157" s="72" t="s">
        <v>217</v>
      </c>
      <c r="G157" s="72" t="s">
        <v>217</v>
      </c>
      <c r="I157" s="138" t="str">
        <f>C157</f>
        <v>"#bd430f"</v>
      </c>
      <c r="J157" s="37" t="str">
        <f>D157</f>
        <v>"#000000"</v>
      </c>
      <c r="U157" s="138" t="str">
        <f>C157</f>
        <v>"#bd430f"</v>
      </c>
      <c r="V157" s="37" t="str">
        <f>D157</f>
        <v>"#000000"</v>
      </c>
      <c r="AA157" s="28" t="s">
        <v>6</v>
      </c>
      <c r="AB157" s="2" t="str">
        <f t="shared" si="71"/>
        <v>-</v>
      </c>
      <c r="AC157" s="2" t="s">
        <v>19</v>
      </c>
      <c r="AD157" s="2" t="str">
        <f t="shared" ref="AD157" si="149">IF(NOT(ISBLANK(AE157)),"_","")</f>
        <v>_</v>
      </c>
      <c r="AE157" s="28" t="s">
        <v>17</v>
      </c>
      <c r="AF157" s="2" t="str">
        <f t="shared" ref="AF157" si="150">IF(NOT(ISBLANK(AG157)),"_","")</f>
        <v>_</v>
      </c>
      <c r="AG157" s="28" t="s">
        <v>24</v>
      </c>
      <c r="AH157" s="2" t="str">
        <f t="shared" si="139"/>
        <v>_</v>
      </c>
      <c r="AI157" s="28" t="s">
        <v>267</v>
      </c>
    </row>
    <row r="158" spans="1:35" x14ac:dyDescent="0.25">
      <c r="B158" s="2" t="str">
        <f t="shared" si="148"/>
        <v>@color-trunk_case_bicycle_no_farzoom</v>
      </c>
      <c r="C158" s="137" t="s">
        <v>231</v>
      </c>
      <c r="D158" s="72" t="s">
        <v>217</v>
      </c>
      <c r="F158" s="137" t="s">
        <v>231</v>
      </c>
      <c r="G158" s="137" t="s">
        <v>231</v>
      </c>
      <c r="I158" s="138" t="str">
        <f>C158</f>
        <v>"#bd430f"</v>
      </c>
      <c r="J158" s="37" t="str">
        <f>D158</f>
        <v>"#000000"</v>
      </c>
      <c r="U158" s="138" t="str">
        <f>C158</f>
        <v>"#bd430f"</v>
      </c>
      <c r="V158" s="37" t="str">
        <f>D158</f>
        <v>"#000000"</v>
      </c>
      <c r="AA158" s="28" t="s">
        <v>6</v>
      </c>
      <c r="AB158" s="2" t="str">
        <f t="shared" ref="AB158" si="151">IF(NOT(ISBLANK(AC158)),"-","")</f>
        <v>-</v>
      </c>
      <c r="AC158" s="2" t="s">
        <v>19</v>
      </c>
      <c r="AD158" s="2" t="str">
        <f t="shared" ref="AD158" si="152">IF(NOT(ISBLANK(AE158)),"_","")</f>
        <v>_</v>
      </c>
      <c r="AE158" s="28" t="s">
        <v>17</v>
      </c>
      <c r="AF158" s="2" t="str">
        <f t="shared" ref="AF158" si="153">IF(NOT(ISBLANK(AG158)),"_","")</f>
        <v>_</v>
      </c>
      <c r="AG158" s="28" t="s">
        <v>24</v>
      </c>
      <c r="AH158" s="2" t="str">
        <f t="shared" si="139"/>
        <v>_</v>
      </c>
      <c r="AI158" s="28" t="s">
        <v>21</v>
      </c>
    </row>
    <row r="159" spans="1:35" x14ac:dyDescent="0.25">
      <c r="B159" s="2" t="str">
        <f t="shared" si="148"/>
        <v>@color-trunk_case_unpaved_farzoom</v>
      </c>
      <c r="C159" s="139" t="s">
        <v>232</v>
      </c>
      <c r="D159" s="140" t="s">
        <v>234</v>
      </c>
      <c r="F159" s="140" t="s">
        <v>234</v>
      </c>
      <c r="G159" s="139" t="s">
        <v>232</v>
      </c>
      <c r="I159" s="139" t="s">
        <v>232</v>
      </c>
      <c r="J159" s="140" t="s">
        <v>234</v>
      </c>
      <c r="U159" s="44"/>
      <c r="V159" s="44"/>
      <c r="X159" s="44"/>
      <c r="Y159" s="44"/>
      <c r="AA159" s="28" t="s">
        <v>6</v>
      </c>
      <c r="AB159" s="2" t="str">
        <f>IF(NOT(ISBLANK(AC159)),"-","")</f>
        <v>-</v>
      </c>
      <c r="AC159" s="2" t="s">
        <v>19</v>
      </c>
      <c r="AD159" s="2" t="str">
        <f>IF(NOT(ISBLANK(AE159)),"_","")</f>
        <v>_</v>
      </c>
      <c r="AE159" s="28" t="s">
        <v>17</v>
      </c>
      <c r="AF159" s="2" t="str">
        <f>IF(NOT(ISBLANK(AG159)),"_","")</f>
        <v>_</v>
      </c>
      <c r="AG159" s="28" t="s">
        <v>22</v>
      </c>
      <c r="AH159" s="2" t="str">
        <f>IF(NOT(ISBLANK(AI159)),"_","")</f>
        <v>_</v>
      </c>
      <c r="AI159" s="28" t="s">
        <v>21</v>
      </c>
    </row>
    <row r="160" spans="1:35" x14ac:dyDescent="0.25">
      <c r="B160" s="2" t="str">
        <f t="shared" si="148"/>
        <v>@color-trunk_case_unpaved_default</v>
      </c>
      <c r="C160" s="141" t="s">
        <v>220</v>
      </c>
      <c r="D160" s="72" t="s">
        <v>217</v>
      </c>
      <c r="F160" s="72" t="s">
        <v>217</v>
      </c>
      <c r="G160" s="72" t="s">
        <v>217</v>
      </c>
      <c r="I160" s="141" t="s">
        <v>220</v>
      </c>
      <c r="J160" s="72" t="s">
        <v>217</v>
      </c>
      <c r="U160" s="44"/>
      <c r="V160" s="44"/>
      <c r="X160" s="44"/>
      <c r="Y160" s="44"/>
      <c r="AA160" s="28" t="s">
        <v>6</v>
      </c>
      <c r="AB160" s="28" t="str">
        <f t="shared" si="71"/>
        <v>-</v>
      </c>
      <c r="AC160" s="2" t="s">
        <v>19</v>
      </c>
      <c r="AD160" s="28" t="str">
        <f t="shared" si="72"/>
        <v>_</v>
      </c>
      <c r="AE160" s="28" t="s">
        <v>17</v>
      </c>
      <c r="AF160" s="28" t="str">
        <f t="shared" si="73"/>
        <v>_</v>
      </c>
      <c r="AG160" s="28" t="s">
        <v>22</v>
      </c>
      <c r="AH160" s="28" t="str">
        <f t="shared" ref="AH160:AH260" si="154">IF(NOT(ISBLANK(AI160)),"_","")</f>
        <v>_</v>
      </c>
      <c r="AI160" s="28" t="s">
        <v>267</v>
      </c>
    </row>
    <row r="161" spans="1:35" x14ac:dyDescent="0.25">
      <c r="B161" s="2" t="str">
        <f t="shared" si="148"/>
        <v>@color-trunk_case_paved_or_uk_farzoom</v>
      </c>
      <c r="C161" s="142" t="s">
        <v>233</v>
      </c>
      <c r="D161" s="72" t="s">
        <v>217</v>
      </c>
      <c r="F161" s="142" t="s">
        <v>233</v>
      </c>
      <c r="G161" s="142" t="s">
        <v>233</v>
      </c>
      <c r="I161" s="142" t="s">
        <v>233</v>
      </c>
      <c r="J161" s="72" t="s">
        <v>217</v>
      </c>
      <c r="U161" s="44"/>
      <c r="V161" s="44"/>
      <c r="X161" s="44"/>
      <c r="Y161" s="44"/>
      <c r="AA161" s="2" t="s">
        <v>6</v>
      </c>
      <c r="AB161" s="2" t="str">
        <f t="shared" si="71"/>
        <v>-</v>
      </c>
      <c r="AC161" s="2" t="s">
        <v>19</v>
      </c>
      <c r="AD161" s="2" t="str">
        <f t="shared" si="72"/>
        <v>_</v>
      </c>
      <c r="AE161" s="2" t="s">
        <v>17</v>
      </c>
      <c r="AF161" s="2" t="str">
        <f t="shared" si="73"/>
        <v>_</v>
      </c>
      <c r="AG161" s="2" t="s">
        <v>25</v>
      </c>
      <c r="AH161" s="2" t="str">
        <f t="shared" si="154"/>
        <v>_</v>
      </c>
      <c r="AI161" s="28" t="s">
        <v>21</v>
      </c>
    </row>
    <row r="162" spans="1:35" x14ac:dyDescent="0.25">
      <c r="B162" s="2" t="str">
        <f t="shared" si="148"/>
        <v>@color-trunk_case_paved_or_uk_default</v>
      </c>
      <c r="C162" s="143" t="s">
        <v>221</v>
      </c>
      <c r="D162" s="72" t="s">
        <v>217</v>
      </c>
      <c r="F162" s="72" t="s">
        <v>217</v>
      </c>
      <c r="G162" s="72" t="s">
        <v>217</v>
      </c>
      <c r="I162" s="143" t="s">
        <v>221</v>
      </c>
      <c r="J162" s="72" t="s">
        <v>217</v>
      </c>
      <c r="U162" s="44"/>
      <c r="V162" s="44"/>
      <c r="X162" s="44"/>
      <c r="Y162" s="44"/>
      <c r="AA162" s="2" t="s">
        <v>6</v>
      </c>
      <c r="AB162" s="2" t="str">
        <f t="shared" si="71"/>
        <v>-</v>
      </c>
      <c r="AC162" s="2" t="s">
        <v>19</v>
      </c>
      <c r="AD162" s="2" t="str">
        <f t="shared" si="72"/>
        <v>_</v>
      </c>
      <c r="AE162" s="2" t="s">
        <v>17</v>
      </c>
      <c r="AF162" s="2" t="str">
        <f t="shared" si="73"/>
        <v>_</v>
      </c>
      <c r="AG162" s="2" t="s">
        <v>25</v>
      </c>
      <c r="AH162" s="2" t="str">
        <f t="shared" si="154"/>
        <v>_</v>
      </c>
      <c r="AI162" s="28" t="s">
        <v>267</v>
      </c>
    </row>
    <row r="163" spans="1:35" x14ac:dyDescent="0.25">
      <c r="B163" s="2" t="str">
        <f t="shared" si="148"/>
        <v>@color-trunk_line_default</v>
      </c>
      <c r="C163" s="144" t="s">
        <v>222</v>
      </c>
      <c r="D163" s="145" t="s">
        <v>223</v>
      </c>
      <c r="F163" s="144" t="s">
        <v>222</v>
      </c>
      <c r="G163" s="145" t="s">
        <v>223</v>
      </c>
      <c r="I163" s="44"/>
      <c r="J163" s="44"/>
      <c r="L163" s="44"/>
      <c r="M163" s="44"/>
      <c r="U163" s="146" t="str">
        <f>C163</f>
        <v>"#ffeeaa"</v>
      </c>
      <c r="V163" s="147" t="str">
        <f>D163</f>
        <v>"#ffc72e"</v>
      </c>
      <c r="AA163" s="2" t="s">
        <v>6</v>
      </c>
      <c r="AB163" s="2" t="str">
        <f t="shared" si="71"/>
        <v>-</v>
      </c>
      <c r="AC163" s="2" t="s">
        <v>19</v>
      </c>
      <c r="AD163" s="2" t="str">
        <f t="shared" si="72"/>
        <v>_</v>
      </c>
      <c r="AE163" s="2" t="s">
        <v>13</v>
      </c>
      <c r="AF163" s="2" t="str">
        <f t="shared" si="73"/>
        <v>_</v>
      </c>
      <c r="AG163" s="2" t="s">
        <v>267</v>
      </c>
      <c r="AH163" s="2" t="str">
        <f t="shared" si="154"/>
        <v/>
      </c>
      <c r="AI163" s="2"/>
    </row>
    <row r="164" spans="1:35" x14ac:dyDescent="0.25">
      <c r="B164" s="2" t="str">
        <f t="shared" si="148"/>
        <v>@color-trunk_line_bicycle_no</v>
      </c>
      <c r="C164" s="133" t="s">
        <v>216</v>
      </c>
      <c r="D164" s="134" t="s">
        <v>218</v>
      </c>
      <c r="F164" s="133" t="s">
        <v>216</v>
      </c>
      <c r="G164" s="134" t="s">
        <v>218</v>
      </c>
      <c r="I164" s="135" t="str">
        <f>C164</f>
        <v>"#ffcc88"</v>
      </c>
      <c r="J164" s="136" t="str">
        <f>D164</f>
        <v>"#d6771e"</v>
      </c>
      <c r="U164" s="135" t="str">
        <f>C164</f>
        <v>"#ffcc88"</v>
      </c>
      <c r="V164" s="136" t="str">
        <f>D164</f>
        <v>"#d6771e"</v>
      </c>
      <c r="AA164" s="2" t="s">
        <v>6</v>
      </c>
      <c r="AB164" s="2" t="str">
        <f t="shared" si="71"/>
        <v>-</v>
      </c>
      <c r="AC164" s="2" t="s">
        <v>19</v>
      </c>
      <c r="AD164" s="2" t="str">
        <f t="shared" si="72"/>
        <v>_</v>
      </c>
      <c r="AE164" s="2" t="s">
        <v>13</v>
      </c>
      <c r="AF164" s="2" t="str">
        <f t="shared" si="73"/>
        <v>_</v>
      </c>
      <c r="AG164" s="2" t="s">
        <v>24</v>
      </c>
      <c r="AH164" s="2" t="str">
        <f t="shared" si="154"/>
        <v/>
      </c>
      <c r="AI164" s="2"/>
    </row>
    <row r="165" spans="1:35" x14ac:dyDescent="0.25">
      <c r="B165" s="2" t="str">
        <f t="shared" si="148"/>
        <v>@color-trunk_line_unpaved_default</v>
      </c>
      <c r="C165" s="148" t="s">
        <v>226</v>
      </c>
      <c r="D165" s="149" t="str">
        <f>C165</f>
        <v>"#eddfca"</v>
      </c>
      <c r="F165" s="148" t="s">
        <v>226</v>
      </c>
      <c r="G165" s="149" t="str">
        <f>F165</f>
        <v>"#eddfca"</v>
      </c>
      <c r="I165" s="148" t="s">
        <v>226</v>
      </c>
      <c r="J165" s="149" t="str">
        <f>I165</f>
        <v>"#eddfca"</v>
      </c>
      <c r="U165" s="44"/>
      <c r="V165" s="44"/>
      <c r="X165" s="44"/>
      <c r="Y165" s="44"/>
      <c r="AA165" s="2" t="s">
        <v>6</v>
      </c>
      <c r="AB165" s="2" t="str">
        <f t="shared" si="71"/>
        <v>-</v>
      </c>
      <c r="AC165" s="2" t="s">
        <v>19</v>
      </c>
      <c r="AD165" s="2" t="str">
        <f t="shared" si="72"/>
        <v>_</v>
      </c>
      <c r="AE165" s="2" t="s">
        <v>13</v>
      </c>
      <c r="AF165" s="2" t="str">
        <f t="shared" si="73"/>
        <v>_</v>
      </c>
      <c r="AG165" s="2" t="s">
        <v>22</v>
      </c>
      <c r="AH165" s="2" t="str">
        <f t="shared" si="154"/>
        <v>_</v>
      </c>
      <c r="AI165" s="28" t="s">
        <v>267</v>
      </c>
    </row>
    <row r="166" spans="1:35" x14ac:dyDescent="0.25">
      <c r="B166" s="2" t="str">
        <f t="shared" si="148"/>
        <v>@color-trunk_line_paved_or_uk_default</v>
      </c>
      <c r="C166" s="71" t="s">
        <v>227</v>
      </c>
      <c r="D166" s="38" t="str">
        <f>C166</f>
        <v>"#ffffff"</v>
      </c>
      <c r="F166" s="71" t="s">
        <v>227</v>
      </c>
      <c r="G166" s="38" t="str">
        <f>F166</f>
        <v>"#ffffff"</v>
      </c>
      <c r="I166" s="71" t="s">
        <v>227</v>
      </c>
      <c r="J166" s="38" t="str">
        <f>I166</f>
        <v>"#ffffff"</v>
      </c>
      <c r="U166" s="44"/>
      <c r="V166" s="44"/>
      <c r="X166" s="44"/>
      <c r="Y166" s="44"/>
      <c r="AA166" s="28" t="s">
        <v>6</v>
      </c>
      <c r="AB166" s="28" t="str">
        <f t="shared" si="71"/>
        <v>-</v>
      </c>
      <c r="AC166" s="28" t="s">
        <v>19</v>
      </c>
      <c r="AD166" s="28" t="str">
        <f t="shared" si="72"/>
        <v>_</v>
      </c>
      <c r="AE166" s="28" t="s">
        <v>13</v>
      </c>
      <c r="AF166" s="28" t="str">
        <f t="shared" si="73"/>
        <v>_</v>
      </c>
      <c r="AG166" s="28" t="s">
        <v>25</v>
      </c>
      <c r="AH166" s="28" t="str">
        <f t="shared" si="154"/>
        <v>_</v>
      </c>
      <c r="AI166" s="28" t="s">
        <v>267</v>
      </c>
    </row>
    <row r="167" spans="1:35" x14ac:dyDescent="0.25">
      <c r="B167" s="2"/>
      <c r="AB167" s="28" t="str">
        <f t="shared" si="71"/>
        <v/>
      </c>
      <c r="AD167" s="28" t="str">
        <f t="shared" si="72"/>
        <v/>
      </c>
      <c r="AF167" s="28" t="str">
        <f t="shared" si="73"/>
        <v/>
      </c>
      <c r="AH167" s="28" t="str">
        <f t="shared" si="154"/>
        <v/>
      </c>
    </row>
    <row r="168" spans="1:35" s="2" customFormat="1" x14ac:dyDescent="0.25">
      <c r="A168" s="3" t="s">
        <v>47</v>
      </c>
      <c r="B168" s="3"/>
      <c r="C168" s="27"/>
      <c r="D168" s="6"/>
      <c r="E168" s="7"/>
      <c r="F168" s="6"/>
      <c r="G168" s="6"/>
      <c r="H168" s="7"/>
      <c r="I168" s="6"/>
      <c r="J168" s="6"/>
      <c r="K168" s="7"/>
      <c r="L168" s="6"/>
      <c r="M168" s="6"/>
      <c r="N168" s="7"/>
      <c r="O168" s="6"/>
      <c r="P168" s="6"/>
      <c r="Q168" s="7"/>
      <c r="R168" s="6"/>
      <c r="S168" s="6"/>
      <c r="T168" s="7"/>
      <c r="U168" s="6"/>
      <c r="V168" s="6"/>
      <c r="W168" s="7"/>
      <c r="X168" s="6"/>
      <c r="Y168" s="6"/>
      <c r="AA168" s="4"/>
      <c r="AB168" s="4" t="str">
        <f t="shared" si="71"/>
        <v/>
      </c>
      <c r="AC168" s="4"/>
      <c r="AD168" s="4" t="str">
        <f t="shared" si="72"/>
        <v/>
      </c>
      <c r="AE168" s="4"/>
      <c r="AF168" s="4" t="str">
        <f t="shared" si="73"/>
        <v/>
      </c>
      <c r="AG168" s="4"/>
      <c r="AH168" s="4" t="str">
        <f t="shared" si="154"/>
        <v/>
      </c>
      <c r="AI168" s="4"/>
    </row>
    <row r="169" spans="1:35" x14ac:dyDescent="0.25">
      <c r="B169" s="2" t="str">
        <f t="shared" ref="B169:B177" si="155">_xlfn.CONCAT("@",AA169,AB169,AC169,AD169,AE169,AF169,AG169,AH169,AI169)</f>
        <v>@color-primary_case_bicycle_no_default</v>
      </c>
      <c r="C169" s="137" t="s">
        <v>231</v>
      </c>
      <c r="D169" s="72" t="s">
        <v>217</v>
      </c>
      <c r="F169" s="72" t="s">
        <v>217</v>
      </c>
      <c r="G169" s="72" t="s">
        <v>217</v>
      </c>
      <c r="I169" s="138" t="str">
        <f>C169</f>
        <v>"#bd430f"</v>
      </c>
      <c r="J169" s="37" t="str">
        <f>D169</f>
        <v>"#000000"</v>
      </c>
      <c r="U169" s="138" t="str">
        <f>C169</f>
        <v>"#bd430f"</v>
      </c>
      <c r="V169" s="37" t="str">
        <f>D169</f>
        <v>"#000000"</v>
      </c>
      <c r="AA169" s="28" t="s">
        <v>6</v>
      </c>
      <c r="AB169" s="2" t="str">
        <f t="shared" ref="AB169:AB239" si="156">IF(NOT(ISBLANK(AC169)),"-","")</f>
        <v>-</v>
      </c>
      <c r="AC169" s="2" t="s">
        <v>26</v>
      </c>
      <c r="AD169" s="2" t="str">
        <f t="shared" si="72"/>
        <v>_</v>
      </c>
      <c r="AE169" s="28" t="s">
        <v>17</v>
      </c>
      <c r="AF169" s="2" t="str">
        <f t="shared" si="73"/>
        <v>_</v>
      </c>
      <c r="AG169" s="28" t="s">
        <v>24</v>
      </c>
      <c r="AH169" s="2" t="str">
        <f t="shared" si="154"/>
        <v>_</v>
      </c>
      <c r="AI169" s="28" t="s">
        <v>267</v>
      </c>
    </row>
    <row r="170" spans="1:35" x14ac:dyDescent="0.25">
      <c r="B170" s="2" t="str">
        <f t="shared" si="155"/>
        <v>@color-primary_case_bicycle_no_farzoom</v>
      </c>
      <c r="C170" s="137" t="s">
        <v>231</v>
      </c>
      <c r="D170" s="72" t="s">
        <v>217</v>
      </c>
      <c r="F170" s="137" t="s">
        <v>231</v>
      </c>
      <c r="G170" s="137" t="s">
        <v>231</v>
      </c>
      <c r="I170" s="138" t="str">
        <f>C170</f>
        <v>"#bd430f"</v>
      </c>
      <c r="J170" s="37" t="str">
        <f>D170</f>
        <v>"#000000"</v>
      </c>
      <c r="U170" s="138" t="str">
        <f>C170</f>
        <v>"#bd430f"</v>
      </c>
      <c r="V170" s="37" t="str">
        <f>D170</f>
        <v>"#000000"</v>
      </c>
      <c r="AA170" s="28" t="s">
        <v>6</v>
      </c>
      <c r="AB170" s="2" t="str">
        <f t="shared" ref="AB170" si="157">IF(NOT(ISBLANK(AC170)),"-","")</f>
        <v>-</v>
      </c>
      <c r="AC170" s="2" t="s">
        <v>26</v>
      </c>
      <c r="AD170" s="2" t="str">
        <f t="shared" ref="AD170" si="158">IF(NOT(ISBLANK(AE170)),"_","")</f>
        <v>_</v>
      </c>
      <c r="AE170" s="28" t="s">
        <v>17</v>
      </c>
      <c r="AF170" s="2" t="str">
        <f t="shared" ref="AF170" si="159">IF(NOT(ISBLANK(AG170)),"_","")</f>
        <v>_</v>
      </c>
      <c r="AG170" s="28" t="s">
        <v>24</v>
      </c>
      <c r="AH170" s="2" t="str">
        <f t="shared" si="154"/>
        <v>_</v>
      </c>
      <c r="AI170" s="28" t="s">
        <v>21</v>
      </c>
    </row>
    <row r="171" spans="1:35" x14ac:dyDescent="0.25">
      <c r="B171" s="2" t="str">
        <f t="shared" si="155"/>
        <v>@color-primary_case_unpaved_farzoom</v>
      </c>
      <c r="C171" s="139" t="s">
        <v>232</v>
      </c>
      <c r="D171" s="140" t="s">
        <v>234</v>
      </c>
      <c r="F171" s="140" t="s">
        <v>234</v>
      </c>
      <c r="G171" s="139" t="s">
        <v>232</v>
      </c>
      <c r="I171" s="139" t="s">
        <v>232</v>
      </c>
      <c r="J171" s="140" t="s">
        <v>234</v>
      </c>
      <c r="U171" s="44"/>
      <c r="V171" s="44"/>
      <c r="X171" s="44"/>
      <c r="Y171" s="44"/>
      <c r="AA171" s="28" t="s">
        <v>6</v>
      </c>
      <c r="AB171" s="2" t="str">
        <f>IF(NOT(ISBLANK(AC171)),"-","")</f>
        <v>-</v>
      </c>
      <c r="AC171" s="2" t="s">
        <v>26</v>
      </c>
      <c r="AD171" s="2" t="str">
        <f>IF(NOT(ISBLANK(AE171)),"_","")</f>
        <v>_</v>
      </c>
      <c r="AE171" s="28" t="s">
        <v>17</v>
      </c>
      <c r="AF171" s="2" t="str">
        <f>IF(NOT(ISBLANK(AG171)),"_","")</f>
        <v>_</v>
      </c>
      <c r="AG171" s="28" t="s">
        <v>22</v>
      </c>
      <c r="AH171" s="2" t="str">
        <f>IF(NOT(ISBLANK(AI171)),"_","")</f>
        <v>_</v>
      </c>
      <c r="AI171" s="28" t="s">
        <v>21</v>
      </c>
    </row>
    <row r="172" spans="1:35" x14ac:dyDescent="0.25">
      <c r="B172" s="2" t="str">
        <f t="shared" si="155"/>
        <v>@color-primary_case_unpaved_default</v>
      </c>
      <c r="C172" s="141" t="s">
        <v>220</v>
      </c>
      <c r="D172" s="140" t="s">
        <v>234</v>
      </c>
      <c r="F172" s="72" t="s">
        <v>217</v>
      </c>
      <c r="G172" s="72" t="s">
        <v>217</v>
      </c>
      <c r="I172" s="141" t="s">
        <v>220</v>
      </c>
      <c r="J172" s="140" t="s">
        <v>234</v>
      </c>
      <c r="U172" s="44"/>
      <c r="V172" s="44"/>
      <c r="X172" s="44"/>
      <c r="Y172" s="44"/>
      <c r="AA172" s="28" t="s">
        <v>6</v>
      </c>
      <c r="AB172" s="2" t="str">
        <f t="shared" si="156"/>
        <v>-</v>
      </c>
      <c r="AC172" s="2" t="s">
        <v>26</v>
      </c>
      <c r="AD172" s="2" t="str">
        <f t="shared" si="72"/>
        <v>_</v>
      </c>
      <c r="AE172" s="28" t="s">
        <v>17</v>
      </c>
      <c r="AF172" s="2" t="str">
        <f t="shared" si="73"/>
        <v>_</v>
      </c>
      <c r="AG172" s="28" t="s">
        <v>22</v>
      </c>
      <c r="AH172" s="28" t="str">
        <f t="shared" ref="AH172:AH174" si="160">IF(NOT(ISBLANK(AI172)),"_","")</f>
        <v>_</v>
      </c>
      <c r="AI172" s="28" t="s">
        <v>267</v>
      </c>
    </row>
    <row r="173" spans="1:35" x14ac:dyDescent="0.25">
      <c r="B173" s="2" t="str">
        <f t="shared" si="155"/>
        <v>@color-primary_case_paved_or_uk_farzoom</v>
      </c>
      <c r="C173" s="142" t="s">
        <v>233</v>
      </c>
      <c r="D173" s="72" t="s">
        <v>217</v>
      </c>
      <c r="F173" s="142" t="s">
        <v>233</v>
      </c>
      <c r="G173" s="142" t="s">
        <v>233</v>
      </c>
      <c r="I173" s="142" t="s">
        <v>233</v>
      </c>
      <c r="J173" s="72" t="s">
        <v>217</v>
      </c>
      <c r="U173" s="44"/>
      <c r="V173" s="44"/>
      <c r="X173" s="44"/>
      <c r="Y173" s="44"/>
      <c r="AA173" s="2" t="s">
        <v>6</v>
      </c>
      <c r="AB173" s="2" t="str">
        <f t="shared" si="156"/>
        <v>-</v>
      </c>
      <c r="AC173" s="2" t="s">
        <v>26</v>
      </c>
      <c r="AD173" s="2" t="str">
        <f t="shared" ref="AD173" si="161">IF(NOT(ISBLANK(AE173)),"_","")</f>
        <v>_</v>
      </c>
      <c r="AE173" s="2" t="s">
        <v>17</v>
      </c>
      <c r="AF173" s="2" t="str">
        <f t="shared" ref="AF173" si="162">IF(NOT(ISBLANK(AG173)),"_","")</f>
        <v>_</v>
      </c>
      <c r="AG173" s="2" t="s">
        <v>25</v>
      </c>
      <c r="AH173" s="2" t="str">
        <f t="shared" si="160"/>
        <v>_</v>
      </c>
      <c r="AI173" s="28" t="s">
        <v>21</v>
      </c>
    </row>
    <row r="174" spans="1:35" x14ac:dyDescent="0.25">
      <c r="B174" s="2" t="str">
        <f t="shared" si="155"/>
        <v>@color-primary_case_paved_or_uk_default</v>
      </c>
      <c r="C174" s="143" t="s">
        <v>221</v>
      </c>
      <c r="D174" s="72" t="s">
        <v>217</v>
      </c>
      <c r="F174" s="72" t="s">
        <v>217</v>
      </c>
      <c r="G174" s="72" t="s">
        <v>217</v>
      </c>
      <c r="I174" s="143" t="s">
        <v>221</v>
      </c>
      <c r="J174" s="72" t="s">
        <v>217</v>
      </c>
      <c r="U174" s="44"/>
      <c r="V174" s="44"/>
      <c r="X174" s="44"/>
      <c r="Y174" s="44"/>
      <c r="AA174" s="2" t="s">
        <v>6</v>
      </c>
      <c r="AB174" s="2" t="str">
        <f t="shared" si="156"/>
        <v>-</v>
      </c>
      <c r="AC174" s="28" t="s">
        <v>26</v>
      </c>
      <c r="AD174" s="2" t="str">
        <f t="shared" ref="AD174:AD239" si="163">IF(NOT(ISBLANK(AE174)),"_","")</f>
        <v>_</v>
      </c>
      <c r="AE174" s="2" t="s">
        <v>17</v>
      </c>
      <c r="AF174" s="2" t="str">
        <f t="shared" ref="AF174:AF239" si="164">IF(NOT(ISBLANK(AG174)),"_","")</f>
        <v>_</v>
      </c>
      <c r="AG174" s="2" t="s">
        <v>25</v>
      </c>
      <c r="AH174" s="2" t="str">
        <f t="shared" si="160"/>
        <v>_</v>
      </c>
      <c r="AI174" s="28" t="s">
        <v>267</v>
      </c>
    </row>
    <row r="175" spans="1:35" x14ac:dyDescent="0.25">
      <c r="B175" s="2" t="str">
        <f t="shared" si="155"/>
        <v>@color-primary_line_bicycle_no</v>
      </c>
      <c r="C175" s="150" t="s">
        <v>236</v>
      </c>
      <c r="D175" s="134" t="s">
        <v>218</v>
      </c>
      <c r="F175" s="150" t="s">
        <v>236</v>
      </c>
      <c r="G175" s="134" t="s">
        <v>218</v>
      </c>
      <c r="I175" s="151" t="str">
        <f>C175</f>
        <v>"#ffcc8a"</v>
      </c>
      <c r="J175" s="136" t="str">
        <f>D175</f>
        <v>"#d6771e"</v>
      </c>
      <c r="U175" s="151" t="str">
        <f>C175</f>
        <v>"#ffcc8a"</v>
      </c>
      <c r="V175" s="136" t="str">
        <f>D175</f>
        <v>"#d6771e"</v>
      </c>
      <c r="AA175" s="28" t="s">
        <v>6</v>
      </c>
      <c r="AB175" s="2" t="str">
        <f t="shared" si="156"/>
        <v>-</v>
      </c>
      <c r="AC175" s="28" t="s">
        <v>26</v>
      </c>
      <c r="AD175" s="2" t="str">
        <f t="shared" si="163"/>
        <v>_</v>
      </c>
      <c r="AE175" s="28" t="s">
        <v>13</v>
      </c>
      <c r="AF175" s="2" t="str">
        <f t="shared" si="164"/>
        <v>_</v>
      </c>
      <c r="AG175" s="28" t="s">
        <v>24</v>
      </c>
      <c r="AH175" s="2" t="str">
        <f t="shared" ref="AH172:AH272" si="165">IF(NOT(ISBLANK(AI175)),"_","")</f>
        <v/>
      </c>
    </row>
    <row r="176" spans="1:35" x14ac:dyDescent="0.25">
      <c r="B176" s="2" t="str">
        <f t="shared" si="155"/>
        <v>@color-primary_line_unpaved_default</v>
      </c>
      <c r="C176" s="148" t="s">
        <v>226</v>
      </c>
      <c r="D176" s="149" t="str">
        <f>C176</f>
        <v>"#eddfca"</v>
      </c>
      <c r="F176" s="148" t="s">
        <v>226</v>
      </c>
      <c r="G176" s="149" t="str">
        <f>F176</f>
        <v>"#eddfca"</v>
      </c>
      <c r="I176" s="148" t="s">
        <v>226</v>
      </c>
      <c r="J176" s="149" t="str">
        <f>I176</f>
        <v>"#eddfca"</v>
      </c>
      <c r="U176" s="44"/>
      <c r="V176" s="44"/>
      <c r="X176" s="44"/>
      <c r="Y176" s="44"/>
      <c r="AA176" s="2" t="s">
        <v>6</v>
      </c>
      <c r="AB176" s="2" t="str">
        <f t="shared" si="156"/>
        <v>-</v>
      </c>
      <c r="AC176" s="2" t="s">
        <v>26</v>
      </c>
      <c r="AD176" s="2" t="str">
        <f t="shared" si="163"/>
        <v>_</v>
      </c>
      <c r="AE176" s="2" t="s">
        <v>13</v>
      </c>
      <c r="AF176" s="2" t="str">
        <f t="shared" si="164"/>
        <v>_</v>
      </c>
      <c r="AG176" s="2" t="s">
        <v>22</v>
      </c>
      <c r="AH176" s="2" t="str">
        <f t="shared" si="165"/>
        <v>_</v>
      </c>
      <c r="AI176" s="28" t="s">
        <v>267</v>
      </c>
    </row>
    <row r="177" spans="2:35" x14ac:dyDescent="0.25">
      <c r="B177" s="2" t="str">
        <f t="shared" si="155"/>
        <v>@color-primary_line_paved_or_uk_default</v>
      </c>
      <c r="C177" s="71" t="s">
        <v>227</v>
      </c>
      <c r="D177" s="38" t="str">
        <f>C177</f>
        <v>"#ffffff"</v>
      </c>
      <c r="F177" s="71" t="s">
        <v>227</v>
      </c>
      <c r="G177" s="38" t="str">
        <f>F177</f>
        <v>"#ffffff"</v>
      </c>
      <c r="I177" s="71" t="s">
        <v>227</v>
      </c>
      <c r="J177" s="38" t="str">
        <f>I177</f>
        <v>"#ffffff"</v>
      </c>
      <c r="U177" s="44"/>
      <c r="V177" s="44"/>
      <c r="X177" s="44"/>
      <c r="Y177" s="44"/>
      <c r="AA177" s="2" t="s">
        <v>6</v>
      </c>
      <c r="AB177" s="2" t="str">
        <f t="shared" si="156"/>
        <v>-</v>
      </c>
      <c r="AC177" s="2" t="s">
        <v>26</v>
      </c>
      <c r="AD177" s="2" t="str">
        <f t="shared" si="163"/>
        <v>_</v>
      </c>
      <c r="AE177" s="2" t="s">
        <v>13</v>
      </c>
      <c r="AF177" s="2" t="str">
        <f t="shared" si="164"/>
        <v>_</v>
      </c>
      <c r="AG177" s="28" t="s">
        <v>25</v>
      </c>
      <c r="AH177" s="28" t="str">
        <f t="shared" si="165"/>
        <v>_</v>
      </c>
      <c r="AI177" s="28" t="s">
        <v>267</v>
      </c>
    </row>
    <row r="178" spans="2:35" x14ac:dyDescent="0.25">
      <c r="B178" s="2"/>
      <c r="C178" s="26"/>
      <c r="D178" s="26"/>
      <c r="I178" s="26"/>
      <c r="AB178" s="2"/>
      <c r="AD178" s="2"/>
      <c r="AF178" s="2" t="str">
        <f t="shared" ref="AF178:AF187" si="166">IF(NOT(ISBLANK(AG178)),"_","")</f>
        <v/>
      </c>
      <c r="AH178" s="2" t="str">
        <f t="shared" si="165"/>
        <v/>
      </c>
    </row>
    <row r="179" spans="2:35" x14ac:dyDescent="0.25">
      <c r="B179" s="2" t="str">
        <f t="shared" ref="B179:B187" si="167">_xlfn.CONCAT("@",AA179,AB179,AC179,AD179,AE179,AF179,AG179,AH179,AI179)</f>
        <v>@color-secondary_case_bicycle_no_default</v>
      </c>
      <c r="C179" s="137" t="s">
        <v>231</v>
      </c>
      <c r="D179" s="72" t="s">
        <v>217</v>
      </c>
      <c r="F179" s="72" t="s">
        <v>217</v>
      </c>
      <c r="G179" s="72" t="s">
        <v>217</v>
      </c>
      <c r="I179" s="138" t="str">
        <f>C179</f>
        <v>"#bd430f"</v>
      </c>
      <c r="J179" s="37" t="str">
        <f>D179</f>
        <v>"#000000"</v>
      </c>
      <c r="U179" s="138" t="str">
        <f>C179</f>
        <v>"#bd430f"</v>
      </c>
      <c r="V179" s="37" t="str">
        <f>D179</f>
        <v>"#000000"</v>
      </c>
      <c r="AA179" s="28" t="s">
        <v>6</v>
      </c>
      <c r="AB179" s="2" t="str">
        <f t="shared" ref="AB179:AB187" si="168">IF(NOT(ISBLANK(AC179)),"-","")</f>
        <v>-</v>
      </c>
      <c r="AC179" s="2" t="s">
        <v>28</v>
      </c>
      <c r="AD179" s="2" t="str">
        <f t="shared" ref="AD179:AD187" si="169">IF(NOT(ISBLANK(AE179)),"_","")</f>
        <v>_</v>
      </c>
      <c r="AE179" s="28" t="s">
        <v>17</v>
      </c>
      <c r="AF179" s="2" t="str">
        <f t="shared" si="166"/>
        <v>_</v>
      </c>
      <c r="AG179" s="28" t="s">
        <v>24</v>
      </c>
      <c r="AH179" s="2" t="str">
        <f t="shared" si="165"/>
        <v>_</v>
      </c>
      <c r="AI179" s="28" t="s">
        <v>267</v>
      </c>
    </row>
    <row r="180" spans="2:35" x14ac:dyDescent="0.25">
      <c r="B180" s="2" t="str">
        <f t="shared" si="167"/>
        <v>@color-secondary_case_bicycle_no_farzoom</v>
      </c>
      <c r="C180" s="137" t="s">
        <v>231</v>
      </c>
      <c r="D180" s="72" t="s">
        <v>217</v>
      </c>
      <c r="F180" s="137" t="s">
        <v>231</v>
      </c>
      <c r="G180" s="137" t="s">
        <v>231</v>
      </c>
      <c r="I180" s="138" t="str">
        <f>C180</f>
        <v>"#bd430f"</v>
      </c>
      <c r="J180" s="37" t="str">
        <f>D180</f>
        <v>"#000000"</v>
      </c>
      <c r="U180" s="138" t="str">
        <f>C180</f>
        <v>"#bd430f"</v>
      </c>
      <c r="V180" s="37" t="str">
        <f>D180</f>
        <v>"#000000"</v>
      </c>
      <c r="AA180" s="28" t="s">
        <v>6</v>
      </c>
      <c r="AB180" s="2" t="str">
        <f t="shared" ref="AB180" si="170">IF(NOT(ISBLANK(AC180)),"-","")</f>
        <v>-</v>
      </c>
      <c r="AC180" s="2" t="s">
        <v>28</v>
      </c>
      <c r="AD180" s="2" t="str">
        <f t="shared" ref="AD180" si="171">IF(NOT(ISBLANK(AE180)),"_","")</f>
        <v>_</v>
      </c>
      <c r="AE180" s="28" t="s">
        <v>17</v>
      </c>
      <c r="AF180" s="2" t="str">
        <f t="shared" ref="AF180" si="172">IF(NOT(ISBLANK(AG180)),"_","")</f>
        <v>_</v>
      </c>
      <c r="AG180" s="28" t="s">
        <v>24</v>
      </c>
      <c r="AH180" s="2" t="str">
        <f t="shared" si="165"/>
        <v>_</v>
      </c>
      <c r="AI180" s="28" t="s">
        <v>21</v>
      </c>
    </row>
    <row r="181" spans="2:35" x14ac:dyDescent="0.25">
      <c r="B181" s="2" t="str">
        <f t="shared" si="167"/>
        <v>@color-secondary_case_unpaved_farzoom</v>
      </c>
      <c r="C181" s="139" t="s">
        <v>232</v>
      </c>
      <c r="D181" s="140" t="s">
        <v>234</v>
      </c>
      <c r="F181" s="140" t="s">
        <v>234</v>
      </c>
      <c r="G181" s="139" t="s">
        <v>232</v>
      </c>
      <c r="I181" s="139" t="s">
        <v>232</v>
      </c>
      <c r="J181" s="140" t="s">
        <v>234</v>
      </c>
      <c r="U181" s="44"/>
      <c r="V181" s="44"/>
      <c r="X181" s="44"/>
      <c r="Y181" s="44"/>
      <c r="AA181" s="28" t="s">
        <v>6</v>
      </c>
      <c r="AB181" s="2" t="str">
        <f>IF(NOT(ISBLANK(AC181)),"-","")</f>
        <v>-</v>
      </c>
      <c r="AC181" s="2" t="s">
        <v>28</v>
      </c>
      <c r="AD181" s="2" t="str">
        <f>IF(NOT(ISBLANK(AE181)),"_","")</f>
        <v>_</v>
      </c>
      <c r="AE181" s="28" t="s">
        <v>17</v>
      </c>
      <c r="AF181" s="2" t="str">
        <f>IF(NOT(ISBLANK(AG181)),"_","")</f>
        <v>_</v>
      </c>
      <c r="AG181" s="28" t="s">
        <v>22</v>
      </c>
      <c r="AH181" s="2" t="str">
        <f>IF(NOT(ISBLANK(AI181)),"_","")</f>
        <v>_</v>
      </c>
      <c r="AI181" s="28" t="s">
        <v>21</v>
      </c>
    </row>
    <row r="182" spans="2:35" x14ac:dyDescent="0.25">
      <c r="B182" s="2" t="str">
        <f t="shared" si="167"/>
        <v>@color-secondary_case_unpaved_default</v>
      </c>
      <c r="C182" s="140" t="s">
        <v>234</v>
      </c>
      <c r="D182" s="140" t="s">
        <v>234</v>
      </c>
      <c r="F182" s="72" t="s">
        <v>217</v>
      </c>
      <c r="G182" s="72" t="s">
        <v>217</v>
      </c>
      <c r="I182" s="140" t="s">
        <v>234</v>
      </c>
      <c r="J182" s="140" t="s">
        <v>234</v>
      </c>
      <c r="U182" s="44"/>
      <c r="V182" s="44"/>
      <c r="X182" s="44"/>
      <c r="Y182" s="44"/>
      <c r="AA182" s="28" t="s">
        <v>6</v>
      </c>
      <c r="AB182" s="2" t="str">
        <f t="shared" si="168"/>
        <v>-</v>
      </c>
      <c r="AC182" s="2" t="s">
        <v>28</v>
      </c>
      <c r="AD182" s="2" t="str">
        <f t="shared" si="169"/>
        <v>_</v>
      </c>
      <c r="AE182" s="28" t="s">
        <v>17</v>
      </c>
      <c r="AF182" s="2" t="str">
        <f t="shared" si="166"/>
        <v>_</v>
      </c>
      <c r="AG182" s="28" t="s">
        <v>22</v>
      </c>
      <c r="AH182" s="28" t="str">
        <f t="shared" ref="AH182:AH184" si="173">IF(NOT(ISBLANK(AI182)),"_","")</f>
        <v>_</v>
      </c>
      <c r="AI182" s="28" t="s">
        <v>267</v>
      </c>
    </row>
    <row r="183" spans="2:35" x14ac:dyDescent="0.25">
      <c r="B183" s="2" t="str">
        <f t="shared" si="167"/>
        <v>@color-secondary_case_paved_or_uk_farzoom</v>
      </c>
      <c r="C183" s="142" t="s">
        <v>233</v>
      </c>
      <c r="D183" s="72" t="s">
        <v>217</v>
      </c>
      <c r="F183" s="142" t="s">
        <v>233</v>
      </c>
      <c r="G183" s="142" t="s">
        <v>233</v>
      </c>
      <c r="I183" s="142" t="s">
        <v>233</v>
      </c>
      <c r="J183" s="72" t="s">
        <v>217</v>
      </c>
      <c r="U183" s="44"/>
      <c r="V183" s="44"/>
      <c r="X183" s="44"/>
      <c r="Y183" s="44"/>
      <c r="AA183" s="2" t="s">
        <v>6</v>
      </c>
      <c r="AB183" s="2" t="str">
        <f t="shared" si="168"/>
        <v>-</v>
      </c>
      <c r="AC183" s="2" t="s">
        <v>28</v>
      </c>
      <c r="AD183" s="2" t="str">
        <f t="shared" si="169"/>
        <v>_</v>
      </c>
      <c r="AE183" s="2" t="s">
        <v>17</v>
      </c>
      <c r="AF183" s="2" t="str">
        <f t="shared" si="166"/>
        <v>_</v>
      </c>
      <c r="AG183" s="2" t="s">
        <v>25</v>
      </c>
      <c r="AH183" s="2" t="str">
        <f t="shared" si="173"/>
        <v>_</v>
      </c>
      <c r="AI183" s="28" t="s">
        <v>21</v>
      </c>
    </row>
    <row r="184" spans="2:35" x14ac:dyDescent="0.25">
      <c r="B184" s="2" t="str">
        <f t="shared" si="167"/>
        <v>@color-secondary_case_paved_or_uk_default</v>
      </c>
      <c r="C184" s="152" t="s">
        <v>235</v>
      </c>
      <c r="D184" s="72" t="s">
        <v>217</v>
      </c>
      <c r="F184" s="72" t="s">
        <v>217</v>
      </c>
      <c r="G184" s="72" t="s">
        <v>217</v>
      </c>
      <c r="I184" s="152" t="s">
        <v>235</v>
      </c>
      <c r="J184" s="72" t="s">
        <v>217</v>
      </c>
      <c r="U184" s="44"/>
      <c r="V184" s="44"/>
      <c r="X184" s="44"/>
      <c r="Y184" s="44"/>
      <c r="AA184" s="2" t="s">
        <v>6</v>
      </c>
      <c r="AB184" s="2" t="str">
        <f t="shared" si="168"/>
        <v>-</v>
      </c>
      <c r="AC184" s="2" t="s">
        <v>28</v>
      </c>
      <c r="AD184" s="2" t="str">
        <f t="shared" si="169"/>
        <v>_</v>
      </c>
      <c r="AE184" s="2" t="s">
        <v>17</v>
      </c>
      <c r="AF184" s="2" t="str">
        <f t="shared" si="166"/>
        <v>_</v>
      </c>
      <c r="AG184" s="2" t="s">
        <v>25</v>
      </c>
      <c r="AH184" s="2" t="str">
        <f t="shared" si="173"/>
        <v>_</v>
      </c>
      <c r="AI184" s="28" t="s">
        <v>267</v>
      </c>
    </row>
    <row r="185" spans="2:35" x14ac:dyDescent="0.25">
      <c r="B185" s="2" t="str">
        <f t="shared" si="167"/>
        <v>@color-secondary_line_bicycle_no</v>
      </c>
      <c r="C185" s="150" t="s">
        <v>236</v>
      </c>
      <c r="D185" s="134" t="s">
        <v>218</v>
      </c>
      <c r="F185" s="150" t="s">
        <v>236</v>
      </c>
      <c r="G185" s="134" t="s">
        <v>218</v>
      </c>
      <c r="I185" s="151" t="str">
        <f>C185</f>
        <v>"#ffcc8a"</v>
      </c>
      <c r="J185" s="136" t="str">
        <f>D185</f>
        <v>"#d6771e"</v>
      </c>
      <c r="U185" s="151" t="str">
        <f>C185</f>
        <v>"#ffcc8a"</v>
      </c>
      <c r="V185" s="136" t="str">
        <f>J185</f>
        <v>"#d6771e"</v>
      </c>
      <c r="AA185" s="28" t="s">
        <v>6</v>
      </c>
      <c r="AB185" s="2" t="str">
        <f t="shared" si="168"/>
        <v>-</v>
      </c>
      <c r="AC185" s="2" t="s">
        <v>28</v>
      </c>
      <c r="AD185" s="2" t="str">
        <f t="shared" si="169"/>
        <v>_</v>
      </c>
      <c r="AE185" s="28" t="s">
        <v>13</v>
      </c>
      <c r="AF185" s="2" t="str">
        <f t="shared" si="166"/>
        <v>_</v>
      </c>
      <c r="AG185" s="28" t="s">
        <v>24</v>
      </c>
      <c r="AH185" s="2" t="str">
        <f t="shared" ref="AH182:AH239" si="174">IF(NOT(ISBLANK(AI185)),"_","")</f>
        <v/>
      </c>
    </row>
    <row r="186" spans="2:35" x14ac:dyDescent="0.25">
      <c r="B186" s="2" t="str">
        <f t="shared" si="167"/>
        <v>@color-secondary_line_unpaved_default</v>
      </c>
      <c r="C186" s="148" t="s">
        <v>226</v>
      </c>
      <c r="D186" s="149" t="str">
        <f>C186</f>
        <v>"#eddfca"</v>
      </c>
      <c r="F186" s="148" t="s">
        <v>226</v>
      </c>
      <c r="G186" s="149" t="str">
        <f>F186</f>
        <v>"#eddfca"</v>
      </c>
      <c r="I186" s="148" t="s">
        <v>226</v>
      </c>
      <c r="J186" s="149" t="str">
        <f>I186</f>
        <v>"#eddfca"</v>
      </c>
      <c r="U186" s="44"/>
      <c r="V186" s="44"/>
      <c r="X186" s="44"/>
      <c r="Y186" s="44"/>
      <c r="AA186" s="2" t="s">
        <v>6</v>
      </c>
      <c r="AB186" s="2" t="str">
        <f t="shared" si="168"/>
        <v>-</v>
      </c>
      <c r="AC186" s="2" t="s">
        <v>28</v>
      </c>
      <c r="AD186" s="2" t="str">
        <f t="shared" si="169"/>
        <v>_</v>
      </c>
      <c r="AE186" s="2" t="s">
        <v>13</v>
      </c>
      <c r="AF186" s="2" t="str">
        <f t="shared" si="166"/>
        <v>_</v>
      </c>
      <c r="AG186" s="2" t="s">
        <v>22</v>
      </c>
      <c r="AH186" s="2" t="str">
        <f t="shared" si="174"/>
        <v>_</v>
      </c>
      <c r="AI186" s="28" t="s">
        <v>267</v>
      </c>
    </row>
    <row r="187" spans="2:35" x14ac:dyDescent="0.25">
      <c r="B187" s="2" t="str">
        <f t="shared" si="167"/>
        <v>@color-secondary_line_paved_or_uk_default</v>
      </c>
      <c r="C187" s="71" t="s">
        <v>227</v>
      </c>
      <c r="D187" s="38" t="str">
        <f>C187</f>
        <v>"#ffffff"</v>
      </c>
      <c r="F187" s="71" t="s">
        <v>227</v>
      </c>
      <c r="G187" s="38" t="str">
        <f>F187</f>
        <v>"#ffffff"</v>
      </c>
      <c r="I187" s="71" t="s">
        <v>227</v>
      </c>
      <c r="J187" s="38" t="str">
        <f>I187</f>
        <v>"#ffffff"</v>
      </c>
      <c r="U187" s="44"/>
      <c r="V187" s="44"/>
      <c r="X187" s="44"/>
      <c r="Y187" s="44"/>
      <c r="AA187" s="2" t="s">
        <v>6</v>
      </c>
      <c r="AB187" s="2" t="str">
        <f t="shared" si="168"/>
        <v>-</v>
      </c>
      <c r="AC187" s="2" t="s">
        <v>28</v>
      </c>
      <c r="AD187" s="2" t="str">
        <f t="shared" si="169"/>
        <v>_</v>
      </c>
      <c r="AE187" s="2" t="s">
        <v>13</v>
      </c>
      <c r="AF187" s="2" t="str">
        <f t="shared" si="166"/>
        <v>_</v>
      </c>
      <c r="AG187" s="28" t="s">
        <v>25</v>
      </c>
      <c r="AH187" s="28" t="str">
        <f t="shared" si="174"/>
        <v>_</v>
      </c>
      <c r="AI187" s="28" t="s">
        <v>267</v>
      </c>
    </row>
    <row r="188" spans="2:35" x14ac:dyDescent="0.25">
      <c r="B188" s="2"/>
      <c r="C188" s="26"/>
      <c r="D188" s="26"/>
      <c r="I188" s="26"/>
      <c r="AB188" s="2"/>
      <c r="AD188" s="2"/>
      <c r="AF188" s="2" t="str">
        <f t="shared" si="164"/>
        <v/>
      </c>
      <c r="AH188" s="2" t="str">
        <f t="shared" si="174"/>
        <v/>
      </c>
    </row>
    <row r="189" spans="2:35" x14ac:dyDescent="0.25">
      <c r="B189" s="2" t="str">
        <f t="shared" ref="B189:B197" si="175">_xlfn.CONCAT("@",AA189,AB189,AC189,AD189,AE189,AF189,AG189,AH189,AI189)</f>
        <v>@color-tertiary_case_bicycle_no_default</v>
      </c>
      <c r="C189" s="137" t="s">
        <v>231</v>
      </c>
      <c r="D189" s="72" t="s">
        <v>217</v>
      </c>
      <c r="F189" s="72" t="s">
        <v>217</v>
      </c>
      <c r="G189" s="72" t="s">
        <v>217</v>
      </c>
      <c r="I189" s="138" t="str">
        <f>C189</f>
        <v>"#bd430f"</v>
      </c>
      <c r="J189" s="37" t="str">
        <f>D189</f>
        <v>"#000000"</v>
      </c>
      <c r="U189" s="138" t="str">
        <f>C189</f>
        <v>"#bd430f"</v>
      </c>
      <c r="V189" s="37" t="str">
        <f>D189</f>
        <v>"#000000"</v>
      </c>
      <c r="AA189" s="28" t="s">
        <v>6</v>
      </c>
      <c r="AB189" s="2" t="str">
        <f t="shared" ref="AB189:AB191" si="176">IF(NOT(ISBLANK(AC189)),"-","")</f>
        <v>-</v>
      </c>
      <c r="AC189" s="2" t="s">
        <v>27</v>
      </c>
      <c r="AD189" s="2" t="str">
        <f t="shared" ref="AD189:AD191" si="177">IF(NOT(ISBLANK(AE189)),"_","")</f>
        <v>_</v>
      </c>
      <c r="AE189" s="28" t="s">
        <v>17</v>
      </c>
      <c r="AF189" s="2" t="str">
        <f t="shared" ref="AF189:AF191" si="178">IF(NOT(ISBLANK(AG189)),"_","")</f>
        <v>_</v>
      </c>
      <c r="AG189" s="28" t="s">
        <v>24</v>
      </c>
      <c r="AH189" s="2" t="str">
        <f t="shared" si="174"/>
        <v>_</v>
      </c>
      <c r="AI189" s="28" t="s">
        <v>267</v>
      </c>
    </row>
    <row r="190" spans="2:35" x14ac:dyDescent="0.25">
      <c r="B190" s="2" t="str">
        <f t="shared" si="175"/>
        <v>@color-tertiary_case_bicycle_no_farzoom</v>
      </c>
      <c r="C190" s="137" t="s">
        <v>231</v>
      </c>
      <c r="D190" s="72" t="s">
        <v>217</v>
      </c>
      <c r="F190" s="137" t="s">
        <v>231</v>
      </c>
      <c r="G190" s="137" t="s">
        <v>231</v>
      </c>
      <c r="I190" s="138" t="str">
        <f>C190</f>
        <v>"#bd430f"</v>
      </c>
      <c r="J190" s="37" t="str">
        <f>D190</f>
        <v>"#000000"</v>
      </c>
      <c r="U190" s="138" t="str">
        <f>C190</f>
        <v>"#bd430f"</v>
      </c>
      <c r="V190" s="37" t="str">
        <f>D190</f>
        <v>"#000000"</v>
      </c>
      <c r="AA190" s="28" t="s">
        <v>6</v>
      </c>
      <c r="AB190" s="2" t="str">
        <f t="shared" ref="AB190" si="179">IF(NOT(ISBLANK(AC190)),"-","")</f>
        <v>-</v>
      </c>
      <c r="AC190" s="2" t="s">
        <v>27</v>
      </c>
      <c r="AD190" s="2" t="str">
        <f t="shared" ref="AD190" si="180">IF(NOT(ISBLANK(AE190)),"_","")</f>
        <v>_</v>
      </c>
      <c r="AE190" s="28" t="s">
        <v>17</v>
      </c>
      <c r="AF190" s="2" t="str">
        <f t="shared" ref="AF190" si="181">IF(NOT(ISBLANK(AG190)),"_","")</f>
        <v>_</v>
      </c>
      <c r="AG190" s="28" t="s">
        <v>24</v>
      </c>
      <c r="AH190" s="2" t="str">
        <f t="shared" si="174"/>
        <v>_</v>
      </c>
      <c r="AI190" s="28" t="s">
        <v>21</v>
      </c>
    </row>
    <row r="191" spans="2:35" x14ac:dyDescent="0.25">
      <c r="B191" s="2" t="str">
        <f t="shared" si="175"/>
        <v>@color-tertiary_case_unpaved_farzoom</v>
      </c>
      <c r="C191" s="139" t="s">
        <v>232</v>
      </c>
      <c r="D191" s="140" t="s">
        <v>234</v>
      </c>
      <c r="F191" s="140" t="s">
        <v>234</v>
      </c>
      <c r="G191" s="139" t="s">
        <v>232</v>
      </c>
      <c r="I191" s="139" t="s">
        <v>232</v>
      </c>
      <c r="J191" s="140" t="s">
        <v>234</v>
      </c>
      <c r="U191" s="44"/>
      <c r="V191" s="44"/>
      <c r="X191" s="44"/>
      <c r="Y191" s="44"/>
      <c r="AA191" s="28" t="s">
        <v>6</v>
      </c>
      <c r="AB191" s="2" t="str">
        <f t="shared" si="176"/>
        <v>-</v>
      </c>
      <c r="AC191" s="2" t="s">
        <v>27</v>
      </c>
      <c r="AD191" s="2" t="str">
        <f t="shared" si="177"/>
        <v>_</v>
      </c>
      <c r="AE191" s="28" t="s">
        <v>17</v>
      </c>
      <c r="AF191" s="2" t="str">
        <f t="shared" si="178"/>
        <v>_</v>
      </c>
      <c r="AG191" s="28" t="s">
        <v>22</v>
      </c>
      <c r="AH191" s="2" t="str">
        <f>IF(NOT(ISBLANK(AI191)),"_","")</f>
        <v>_</v>
      </c>
      <c r="AI191" s="28" t="s">
        <v>21</v>
      </c>
    </row>
    <row r="192" spans="2:35" x14ac:dyDescent="0.25">
      <c r="B192" s="2" t="str">
        <f t="shared" si="175"/>
        <v>@color-tertiary_case_unpaved_default</v>
      </c>
      <c r="C192" s="140" t="s">
        <v>234</v>
      </c>
      <c r="D192" s="140" t="s">
        <v>234</v>
      </c>
      <c r="F192" s="72" t="s">
        <v>217</v>
      </c>
      <c r="G192" s="72" t="s">
        <v>217</v>
      </c>
      <c r="I192" s="140" t="s">
        <v>234</v>
      </c>
      <c r="J192" s="140" t="s">
        <v>234</v>
      </c>
      <c r="U192" s="44"/>
      <c r="V192" s="44"/>
      <c r="X192" s="44"/>
      <c r="Y192" s="44"/>
      <c r="AA192" s="28" t="s">
        <v>6</v>
      </c>
      <c r="AB192" s="2" t="str">
        <f t="shared" ref="AB192:AB197" si="182">IF(NOT(ISBLANK(AC192)),"-","")</f>
        <v>-</v>
      </c>
      <c r="AC192" s="2" t="s">
        <v>27</v>
      </c>
      <c r="AD192" s="2" t="str">
        <f t="shared" ref="AD192:AD197" si="183">IF(NOT(ISBLANK(AE192)),"_","")</f>
        <v>_</v>
      </c>
      <c r="AE192" s="28" t="s">
        <v>17</v>
      </c>
      <c r="AF192" s="2" t="str">
        <f t="shared" si="164"/>
        <v>_</v>
      </c>
      <c r="AG192" s="28" t="s">
        <v>22</v>
      </c>
      <c r="AH192" s="28" t="str">
        <f t="shared" ref="AH192:AH197" si="184">IF(NOT(ISBLANK(AI192)),"_","")</f>
        <v>_</v>
      </c>
      <c r="AI192" s="28" t="s">
        <v>267</v>
      </c>
    </row>
    <row r="193" spans="1:35" x14ac:dyDescent="0.25">
      <c r="B193" s="2" t="str">
        <f t="shared" si="175"/>
        <v>@color-tertiary_case_paved_or_uk_farzoom</v>
      </c>
      <c r="C193" s="142" t="s">
        <v>233</v>
      </c>
      <c r="D193" s="72" t="s">
        <v>217</v>
      </c>
      <c r="F193" s="142" t="s">
        <v>233</v>
      </c>
      <c r="G193" s="142" t="s">
        <v>233</v>
      </c>
      <c r="I193" s="142" t="s">
        <v>233</v>
      </c>
      <c r="J193" s="72" t="s">
        <v>217</v>
      </c>
      <c r="U193" s="44"/>
      <c r="V193" s="44"/>
      <c r="X193" s="44"/>
      <c r="Y193" s="44"/>
      <c r="AA193" s="2" t="s">
        <v>6</v>
      </c>
      <c r="AB193" s="2" t="str">
        <f t="shared" ref="AB193" si="185">IF(NOT(ISBLANK(AC193)),"-","")</f>
        <v>-</v>
      </c>
      <c r="AC193" s="2" t="s">
        <v>27</v>
      </c>
      <c r="AD193" s="2" t="str">
        <f t="shared" ref="AD193" si="186">IF(NOT(ISBLANK(AE193)),"_","")</f>
        <v>_</v>
      </c>
      <c r="AE193" s="2" t="s">
        <v>17</v>
      </c>
      <c r="AF193" s="2" t="str">
        <f t="shared" ref="AF193" si="187">IF(NOT(ISBLANK(AG193)),"_","")</f>
        <v>_</v>
      </c>
      <c r="AG193" s="2" t="s">
        <v>25</v>
      </c>
      <c r="AH193" s="2" t="str">
        <f t="shared" si="184"/>
        <v>_</v>
      </c>
      <c r="AI193" s="28" t="s">
        <v>21</v>
      </c>
    </row>
    <row r="194" spans="1:35" x14ac:dyDescent="0.25">
      <c r="B194" s="2" t="str">
        <f t="shared" si="175"/>
        <v>@color-tertiary_case_paved_or_uk_default</v>
      </c>
      <c r="C194" s="152" t="s">
        <v>235</v>
      </c>
      <c r="D194" s="72" t="s">
        <v>217</v>
      </c>
      <c r="F194" s="72" t="s">
        <v>217</v>
      </c>
      <c r="G194" s="72" t="s">
        <v>217</v>
      </c>
      <c r="I194" s="152" t="s">
        <v>235</v>
      </c>
      <c r="J194" s="72" t="s">
        <v>217</v>
      </c>
      <c r="U194" s="44"/>
      <c r="V194" s="44"/>
      <c r="X194" s="44"/>
      <c r="Y194" s="44"/>
      <c r="AA194" s="2" t="s">
        <v>6</v>
      </c>
      <c r="AB194" s="2" t="str">
        <f t="shared" si="182"/>
        <v>-</v>
      </c>
      <c r="AC194" s="2" t="s">
        <v>27</v>
      </c>
      <c r="AD194" s="2" t="str">
        <f t="shared" si="183"/>
        <v>_</v>
      </c>
      <c r="AE194" s="2" t="s">
        <v>17</v>
      </c>
      <c r="AF194" s="2" t="str">
        <f t="shared" si="164"/>
        <v>_</v>
      </c>
      <c r="AG194" s="2" t="s">
        <v>25</v>
      </c>
      <c r="AH194" s="2" t="str">
        <f t="shared" si="184"/>
        <v>_</v>
      </c>
      <c r="AI194" s="28" t="s">
        <v>267</v>
      </c>
    </row>
    <row r="195" spans="1:35" x14ac:dyDescent="0.25">
      <c r="B195" s="2" t="str">
        <f t="shared" si="175"/>
        <v>@color-tertiary_line_bicycle_no</v>
      </c>
      <c r="C195" s="150" t="s">
        <v>236</v>
      </c>
      <c r="D195" s="134" t="s">
        <v>218</v>
      </c>
      <c r="F195" s="150" t="s">
        <v>236</v>
      </c>
      <c r="G195" s="134" t="s">
        <v>218</v>
      </c>
      <c r="I195" s="151" t="str">
        <f>C195</f>
        <v>"#ffcc8a"</v>
      </c>
      <c r="J195" s="136" t="str">
        <f>D195</f>
        <v>"#d6771e"</v>
      </c>
      <c r="U195" s="151" t="str">
        <f>C195</f>
        <v>"#ffcc8a"</v>
      </c>
      <c r="V195" s="136" t="str">
        <f>J195</f>
        <v>"#d6771e"</v>
      </c>
      <c r="AA195" s="28" t="s">
        <v>6</v>
      </c>
      <c r="AB195" s="2" t="str">
        <f t="shared" si="182"/>
        <v>-</v>
      </c>
      <c r="AC195" s="2" t="s">
        <v>27</v>
      </c>
      <c r="AD195" s="2" t="str">
        <f t="shared" si="183"/>
        <v>_</v>
      </c>
      <c r="AE195" s="28" t="s">
        <v>13</v>
      </c>
      <c r="AF195" s="2" t="str">
        <f t="shared" si="164"/>
        <v>_</v>
      </c>
      <c r="AG195" s="28" t="s">
        <v>24</v>
      </c>
      <c r="AH195" s="2" t="str">
        <f t="shared" si="184"/>
        <v/>
      </c>
    </row>
    <row r="196" spans="1:35" x14ac:dyDescent="0.25">
      <c r="B196" s="2" t="str">
        <f t="shared" si="175"/>
        <v>@color-tertiary_line_unpaved_default</v>
      </c>
      <c r="C196" s="148" t="s">
        <v>226</v>
      </c>
      <c r="D196" s="149" t="str">
        <f>C196</f>
        <v>"#eddfca"</v>
      </c>
      <c r="F196" s="148" t="s">
        <v>226</v>
      </c>
      <c r="G196" s="149" t="str">
        <f>F196</f>
        <v>"#eddfca"</v>
      </c>
      <c r="I196" s="148" t="s">
        <v>226</v>
      </c>
      <c r="J196" s="149" t="str">
        <f>I196</f>
        <v>"#eddfca"</v>
      </c>
      <c r="U196" s="44"/>
      <c r="V196" s="44"/>
      <c r="X196" s="44"/>
      <c r="Y196" s="44"/>
      <c r="AA196" s="2" t="s">
        <v>6</v>
      </c>
      <c r="AB196" s="2" t="str">
        <f t="shared" si="182"/>
        <v>-</v>
      </c>
      <c r="AC196" s="2" t="s">
        <v>27</v>
      </c>
      <c r="AD196" s="2" t="str">
        <f t="shared" si="183"/>
        <v>_</v>
      </c>
      <c r="AE196" s="2" t="s">
        <v>13</v>
      </c>
      <c r="AF196" s="2" t="str">
        <f t="shared" si="164"/>
        <v>_</v>
      </c>
      <c r="AG196" s="2" t="s">
        <v>22</v>
      </c>
      <c r="AH196" s="2" t="str">
        <f t="shared" si="184"/>
        <v>_</v>
      </c>
      <c r="AI196" s="28" t="s">
        <v>267</v>
      </c>
    </row>
    <row r="197" spans="1:35" x14ac:dyDescent="0.25">
      <c r="B197" s="2" t="str">
        <f t="shared" si="175"/>
        <v>@color-tertiary_line_paved_or_uk_default</v>
      </c>
      <c r="C197" s="71" t="s">
        <v>227</v>
      </c>
      <c r="D197" s="38" t="str">
        <f>C197</f>
        <v>"#ffffff"</v>
      </c>
      <c r="F197" s="71" t="s">
        <v>227</v>
      </c>
      <c r="G197" s="38" t="str">
        <f>F197</f>
        <v>"#ffffff"</v>
      </c>
      <c r="I197" s="71" t="s">
        <v>227</v>
      </c>
      <c r="J197" s="38" t="str">
        <f>I197</f>
        <v>"#ffffff"</v>
      </c>
      <c r="U197" s="44"/>
      <c r="V197" s="44"/>
      <c r="X197" s="44"/>
      <c r="Y197" s="44"/>
      <c r="AA197" s="2" t="s">
        <v>6</v>
      </c>
      <c r="AB197" s="2" t="str">
        <f t="shared" si="182"/>
        <v>-</v>
      </c>
      <c r="AC197" s="2" t="s">
        <v>27</v>
      </c>
      <c r="AD197" s="2" t="str">
        <f t="shared" si="183"/>
        <v>_</v>
      </c>
      <c r="AE197" s="2" t="s">
        <v>13</v>
      </c>
      <c r="AF197" s="2" t="str">
        <f t="shared" si="164"/>
        <v>_</v>
      </c>
      <c r="AG197" s="28" t="s">
        <v>25</v>
      </c>
      <c r="AH197" s="28" t="str">
        <f t="shared" si="184"/>
        <v>_</v>
      </c>
      <c r="AI197" s="28" t="s">
        <v>267</v>
      </c>
    </row>
    <row r="198" spans="1:35" x14ac:dyDescent="0.25">
      <c r="B198" s="2"/>
      <c r="AB198" s="28" t="str">
        <f t="shared" si="156"/>
        <v/>
      </c>
      <c r="AD198" s="28" t="str">
        <f t="shared" si="163"/>
        <v/>
      </c>
      <c r="AF198" s="28" t="str">
        <f t="shared" si="164"/>
        <v/>
      </c>
      <c r="AH198" s="28" t="str">
        <f t="shared" si="174"/>
        <v/>
      </c>
    </row>
    <row r="199" spans="1:35" s="2" customFormat="1" x14ac:dyDescent="0.25">
      <c r="A199" s="3" t="s">
        <v>228</v>
      </c>
      <c r="B199" s="3"/>
      <c r="C199" s="27"/>
      <c r="D199" s="6"/>
      <c r="E199" s="7"/>
      <c r="F199" s="6"/>
      <c r="G199" s="6"/>
      <c r="H199" s="7"/>
      <c r="I199" s="6"/>
      <c r="J199" s="6"/>
      <c r="K199" s="7"/>
      <c r="L199" s="6"/>
      <c r="M199" s="6"/>
      <c r="N199" s="7"/>
      <c r="O199" s="6"/>
      <c r="P199" s="6"/>
      <c r="Q199" s="7"/>
      <c r="R199" s="6"/>
      <c r="S199" s="6"/>
      <c r="T199" s="7"/>
      <c r="U199" s="6"/>
      <c r="V199" s="6"/>
      <c r="W199" s="7"/>
      <c r="X199" s="6"/>
      <c r="Y199" s="6"/>
      <c r="AA199" s="4"/>
      <c r="AB199" s="4" t="str">
        <f t="shared" si="156"/>
        <v/>
      </c>
      <c r="AC199" s="4"/>
      <c r="AD199" s="4" t="str">
        <f t="shared" si="163"/>
        <v/>
      </c>
      <c r="AE199" s="4"/>
      <c r="AF199" s="4" t="str">
        <f t="shared" si="164"/>
        <v/>
      </c>
      <c r="AG199" s="4"/>
      <c r="AH199" s="4" t="str">
        <f t="shared" si="174"/>
        <v/>
      </c>
      <c r="AI199" s="4"/>
    </row>
    <row r="200" spans="1:35" x14ac:dyDescent="0.25">
      <c r="B200" s="2" t="str">
        <f t="shared" ref="B200:B205" si="188">_xlfn.CONCAT("@",AA200,AB200,AC200,AD200,AE200,AF200,AG200,AH200,AI200)</f>
        <v>@color-raceway_case</v>
      </c>
      <c r="C200" s="44"/>
      <c r="D200" s="44"/>
      <c r="F200" s="44"/>
      <c r="G200" s="44"/>
      <c r="I200" s="44"/>
      <c r="J200" s="44"/>
      <c r="L200" s="44"/>
      <c r="M200" s="44"/>
      <c r="U200" s="72" t="s">
        <v>217</v>
      </c>
      <c r="V200" s="72" t="s">
        <v>217</v>
      </c>
      <c r="AA200" s="2" t="s">
        <v>6</v>
      </c>
      <c r="AB200" s="2" t="str">
        <f t="shared" ref="AB200" si="189">IF(NOT(ISBLANK(AC200)),"-","")</f>
        <v>-</v>
      </c>
      <c r="AC200" s="2" t="s">
        <v>29</v>
      </c>
      <c r="AD200" s="2" t="str">
        <f t="shared" ref="AD200" si="190">IF(NOT(ISBLANK(AE200)),"_","")</f>
        <v>_</v>
      </c>
      <c r="AE200" s="2" t="s">
        <v>17</v>
      </c>
      <c r="AF200" s="2" t="str">
        <f t="shared" ref="AF200" si="191">IF(NOT(ISBLANK(AG200)),"_","")</f>
        <v/>
      </c>
      <c r="AG200" s="2"/>
      <c r="AH200" s="2" t="str">
        <f t="shared" si="174"/>
        <v/>
      </c>
      <c r="AI200" s="2"/>
    </row>
    <row r="201" spans="1:35" x14ac:dyDescent="0.25">
      <c r="B201" s="2" t="str">
        <f t="shared" si="188"/>
        <v>@color-raceway_case_unpaved</v>
      </c>
      <c r="C201" s="153" t="s">
        <v>237</v>
      </c>
      <c r="D201" s="140" t="s">
        <v>234</v>
      </c>
      <c r="F201" s="72" t="s">
        <v>217</v>
      </c>
      <c r="G201" s="72" t="s">
        <v>217</v>
      </c>
      <c r="I201" s="154" t="str">
        <f>C201</f>
        <v>"#af9564"</v>
      </c>
      <c r="J201" s="155" t="str">
        <f>D201</f>
        <v>"#644507"</v>
      </c>
      <c r="U201" s="44"/>
      <c r="V201" s="44"/>
      <c r="X201" s="44"/>
      <c r="Y201" s="44"/>
      <c r="AA201" s="2" t="s">
        <v>6</v>
      </c>
      <c r="AB201" s="2" t="str">
        <f t="shared" ref="AB201:AB203" si="192">IF(NOT(ISBLANK(AC201)),"-","")</f>
        <v>-</v>
      </c>
      <c r="AC201" s="2" t="s">
        <v>29</v>
      </c>
      <c r="AD201" s="2" t="str">
        <f t="shared" ref="AD201:AD203" si="193">IF(NOT(ISBLANK(AE201)),"_","")</f>
        <v>_</v>
      </c>
      <c r="AE201" s="2" t="s">
        <v>17</v>
      </c>
      <c r="AF201" s="2" t="str">
        <f t="shared" ref="AF201:AF203" si="194">IF(NOT(ISBLANK(AG201)),"_","")</f>
        <v>_</v>
      </c>
      <c r="AG201" s="2" t="s">
        <v>22</v>
      </c>
      <c r="AH201" s="2" t="str">
        <f t="shared" si="174"/>
        <v/>
      </c>
      <c r="AI201" s="2"/>
    </row>
    <row r="202" spans="1:35" x14ac:dyDescent="0.25">
      <c r="B202" s="2" t="str">
        <f t="shared" si="188"/>
        <v>@color-raceway_case_paved_or_uk</v>
      </c>
      <c r="C202" s="156" t="s">
        <v>238</v>
      </c>
      <c r="D202" s="157" t="s">
        <v>239</v>
      </c>
      <c r="F202" s="72" t="s">
        <v>217</v>
      </c>
      <c r="G202" s="72" t="s">
        <v>217</v>
      </c>
      <c r="I202" s="158" t="str">
        <f>C202</f>
        <v>"#a8a6a4"</v>
      </c>
      <c r="J202" s="159" t="str">
        <f>D202</f>
        <v>"#4a4a4a"</v>
      </c>
      <c r="U202" s="44"/>
      <c r="V202" s="44"/>
      <c r="X202" s="44"/>
      <c r="Y202" s="44"/>
      <c r="AA202" s="2" t="s">
        <v>6</v>
      </c>
      <c r="AB202" s="2" t="str">
        <f t="shared" si="192"/>
        <v>-</v>
      </c>
      <c r="AC202" s="2" t="s">
        <v>29</v>
      </c>
      <c r="AD202" s="2" t="str">
        <f t="shared" si="193"/>
        <v>_</v>
      </c>
      <c r="AE202" s="2" t="s">
        <v>17</v>
      </c>
      <c r="AF202" s="2" t="str">
        <f t="shared" si="194"/>
        <v>_</v>
      </c>
      <c r="AG202" s="2" t="s">
        <v>25</v>
      </c>
      <c r="AH202" s="2" t="str">
        <f t="shared" si="174"/>
        <v/>
      </c>
      <c r="AI202" s="2"/>
    </row>
    <row r="203" spans="1:35" x14ac:dyDescent="0.25">
      <c r="B203" s="2" t="str">
        <f t="shared" si="188"/>
        <v>@color-raceway_line_default</v>
      </c>
      <c r="C203" s="44"/>
      <c r="D203" s="44"/>
      <c r="F203" s="44"/>
      <c r="G203" s="44"/>
      <c r="I203" s="44"/>
      <c r="J203" s="44"/>
      <c r="L203" s="44"/>
      <c r="M203" s="44"/>
      <c r="U203" s="71" t="s">
        <v>227</v>
      </c>
      <c r="V203" s="38" t="str">
        <f>U203</f>
        <v>"#ffffff"</v>
      </c>
      <c r="AA203" s="2" t="s">
        <v>6</v>
      </c>
      <c r="AB203" s="2" t="str">
        <f t="shared" si="192"/>
        <v>-</v>
      </c>
      <c r="AC203" s="2" t="s">
        <v>29</v>
      </c>
      <c r="AD203" s="2" t="str">
        <f t="shared" si="193"/>
        <v>_</v>
      </c>
      <c r="AE203" s="2" t="s">
        <v>13</v>
      </c>
      <c r="AF203" s="2" t="str">
        <f t="shared" si="194"/>
        <v>_</v>
      </c>
      <c r="AG203" s="2" t="s">
        <v>267</v>
      </c>
      <c r="AH203" s="2" t="str">
        <f t="shared" si="174"/>
        <v/>
      </c>
      <c r="AI203" s="2"/>
    </row>
    <row r="204" spans="1:35" x14ac:dyDescent="0.25">
      <c r="B204" s="2" t="str">
        <f t="shared" si="188"/>
        <v>@color-raceway_line_unpaved</v>
      </c>
      <c r="C204" s="148" t="s">
        <v>226</v>
      </c>
      <c r="D204" s="149" t="str">
        <f>C204</f>
        <v>"#eddfca"</v>
      </c>
      <c r="I204" s="149" t="str">
        <f>C204</f>
        <v>"#eddfca"</v>
      </c>
      <c r="J204" s="149" t="str">
        <f>C204</f>
        <v>"#eddfca"</v>
      </c>
      <c r="U204" s="44"/>
      <c r="V204" s="44"/>
      <c r="X204" s="44"/>
      <c r="Y204" s="44"/>
      <c r="AA204" s="2" t="s">
        <v>6</v>
      </c>
      <c r="AB204" s="2" t="str">
        <f t="shared" si="156"/>
        <v>-</v>
      </c>
      <c r="AC204" s="2" t="s">
        <v>29</v>
      </c>
      <c r="AD204" s="2" t="str">
        <f t="shared" si="163"/>
        <v>_</v>
      </c>
      <c r="AE204" s="2" t="s">
        <v>13</v>
      </c>
      <c r="AF204" s="2" t="str">
        <f t="shared" si="164"/>
        <v>_</v>
      </c>
      <c r="AG204" s="2" t="s">
        <v>22</v>
      </c>
      <c r="AH204" s="2" t="str">
        <f t="shared" si="174"/>
        <v/>
      </c>
      <c r="AI204" s="2"/>
    </row>
    <row r="205" spans="1:35" x14ac:dyDescent="0.25">
      <c r="B205" s="2" t="str">
        <f t="shared" si="188"/>
        <v>@color-raceway_line_paved_or_uk</v>
      </c>
      <c r="C205" s="26" t="s">
        <v>227</v>
      </c>
      <c r="D205" s="38" t="str">
        <f>C205</f>
        <v>"#ffffff"</v>
      </c>
      <c r="I205" s="38" t="str">
        <f>C205</f>
        <v>"#ffffff"</v>
      </c>
      <c r="J205" s="38" t="str">
        <f>C205</f>
        <v>"#ffffff"</v>
      </c>
      <c r="U205" s="44"/>
      <c r="V205" s="44"/>
      <c r="X205" s="44"/>
      <c r="Y205" s="44"/>
      <c r="AA205" s="2" t="s">
        <v>6</v>
      </c>
      <c r="AB205" s="2" t="str">
        <f t="shared" si="156"/>
        <v>-</v>
      </c>
      <c r="AC205" s="2" t="s">
        <v>29</v>
      </c>
      <c r="AD205" s="2" t="str">
        <f t="shared" si="163"/>
        <v>_</v>
      </c>
      <c r="AE205" s="2" t="s">
        <v>13</v>
      </c>
      <c r="AF205" s="2" t="str">
        <f t="shared" si="164"/>
        <v>_</v>
      </c>
      <c r="AG205" s="2" t="s">
        <v>25</v>
      </c>
      <c r="AH205" s="2" t="str">
        <f t="shared" si="174"/>
        <v/>
      </c>
      <c r="AI205" s="2"/>
    </row>
    <row r="206" spans="1:35" x14ac:dyDescent="0.25">
      <c r="B206" s="2"/>
      <c r="AB206" s="28" t="str">
        <f t="shared" si="156"/>
        <v/>
      </c>
      <c r="AD206" s="28" t="str">
        <f t="shared" si="163"/>
        <v/>
      </c>
      <c r="AF206" s="28" t="str">
        <f t="shared" si="164"/>
        <v/>
      </c>
      <c r="AH206" s="28" t="str">
        <f t="shared" si="174"/>
        <v/>
      </c>
    </row>
    <row r="207" spans="1:35" x14ac:dyDescent="0.25">
      <c r="B207" s="2" t="str">
        <f t="shared" ref="B207:B214" si="195">_xlfn.CONCAT("@",AA207,AB207,AC207,AD207,AE207,AF207,AG207,AH207,AI207)</f>
        <v>@color-driveway_case</v>
      </c>
      <c r="C207" s="44"/>
      <c r="D207" s="44"/>
      <c r="F207" s="44"/>
      <c r="G207" s="44"/>
      <c r="I207" s="44"/>
      <c r="J207" s="44"/>
      <c r="L207" s="44"/>
      <c r="M207" s="44"/>
      <c r="U207" s="72" t="s">
        <v>217</v>
      </c>
      <c r="V207" s="72" t="s">
        <v>217</v>
      </c>
      <c r="AA207" s="2" t="s">
        <v>6</v>
      </c>
      <c r="AB207" s="2" t="str">
        <f t="shared" si="156"/>
        <v>-</v>
      </c>
      <c r="AC207" s="2" t="s">
        <v>30</v>
      </c>
      <c r="AD207" s="2" t="str">
        <f t="shared" si="163"/>
        <v>_</v>
      </c>
      <c r="AE207" s="2" t="s">
        <v>17</v>
      </c>
      <c r="AF207" s="2" t="str">
        <f t="shared" si="164"/>
        <v/>
      </c>
      <c r="AG207" s="2"/>
      <c r="AH207" s="2" t="str">
        <f t="shared" si="174"/>
        <v/>
      </c>
      <c r="AI207" s="2"/>
    </row>
    <row r="208" spans="1:35" x14ac:dyDescent="0.25">
      <c r="B208" s="2" t="str">
        <f t="shared" si="195"/>
        <v>@color-driveway_case_unpaved_farzoom</v>
      </c>
      <c r="C208" s="139" t="s">
        <v>232</v>
      </c>
      <c r="D208" s="140" t="s">
        <v>234</v>
      </c>
      <c r="F208" s="140" t="s">
        <v>234</v>
      </c>
      <c r="G208" s="139" t="s">
        <v>232</v>
      </c>
      <c r="I208" s="160" t="str">
        <f t="shared" ref="I208:J211" si="196">C208</f>
        <v>"#b99346"</v>
      </c>
      <c r="J208" s="155" t="str">
        <f t="shared" si="196"/>
        <v>"#644507"</v>
      </c>
      <c r="U208" s="44"/>
      <c r="V208" s="44"/>
      <c r="X208" s="44"/>
      <c r="Y208" s="44"/>
      <c r="AA208" s="2" t="s">
        <v>6</v>
      </c>
      <c r="AB208" s="2" t="str">
        <f t="shared" si="156"/>
        <v>-</v>
      </c>
      <c r="AC208" s="2" t="s">
        <v>30</v>
      </c>
      <c r="AD208" s="2" t="str">
        <f t="shared" si="163"/>
        <v>_</v>
      </c>
      <c r="AE208" s="2" t="s">
        <v>17</v>
      </c>
      <c r="AF208" s="2" t="str">
        <f t="shared" si="164"/>
        <v>_</v>
      </c>
      <c r="AG208" s="2" t="s">
        <v>22</v>
      </c>
      <c r="AH208" s="2" t="str">
        <f t="shared" si="174"/>
        <v>_</v>
      </c>
      <c r="AI208" s="28" t="s">
        <v>21</v>
      </c>
    </row>
    <row r="209" spans="2:35" x14ac:dyDescent="0.25">
      <c r="B209" s="2" t="str">
        <f t="shared" si="195"/>
        <v>@color-driveway_case_unpaved</v>
      </c>
      <c r="C209" s="140" t="s">
        <v>234</v>
      </c>
      <c r="D209" s="140" t="s">
        <v>234</v>
      </c>
      <c r="F209" s="72" t="s">
        <v>217</v>
      </c>
      <c r="G209" s="72" t="s">
        <v>217</v>
      </c>
      <c r="I209" s="155" t="str">
        <f t="shared" si="196"/>
        <v>"#644507"</v>
      </c>
      <c r="J209" s="155" t="str">
        <f t="shared" si="196"/>
        <v>"#644507"</v>
      </c>
      <c r="U209" s="44"/>
      <c r="V209" s="44"/>
      <c r="X209" s="44"/>
      <c r="Y209" s="44"/>
      <c r="AA209" s="2" t="s">
        <v>6</v>
      </c>
      <c r="AB209" s="2" t="str">
        <f t="shared" si="156"/>
        <v>-</v>
      </c>
      <c r="AC209" s="2" t="s">
        <v>30</v>
      </c>
      <c r="AD209" s="2" t="str">
        <f t="shared" si="163"/>
        <v>_</v>
      </c>
      <c r="AE209" s="2" t="s">
        <v>17</v>
      </c>
      <c r="AF209" s="2" t="str">
        <f t="shared" si="164"/>
        <v>_</v>
      </c>
      <c r="AG209" s="2" t="s">
        <v>22</v>
      </c>
      <c r="AH209" s="2" t="str">
        <f t="shared" si="174"/>
        <v/>
      </c>
      <c r="AI209" s="2"/>
    </row>
    <row r="210" spans="2:35" x14ac:dyDescent="0.25">
      <c r="B210" s="2" t="str">
        <f t="shared" si="195"/>
        <v>@color-driveway_case_paved_or_uk_farzoom</v>
      </c>
      <c r="C210" s="142" t="s">
        <v>233</v>
      </c>
      <c r="D210" s="72" t="s">
        <v>217</v>
      </c>
      <c r="F210" s="142" t="s">
        <v>233</v>
      </c>
      <c r="G210" s="142" t="s">
        <v>233</v>
      </c>
      <c r="I210" s="161" t="str">
        <f t="shared" si="196"/>
        <v>"#808080"</v>
      </c>
      <c r="J210" s="37" t="str">
        <f t="shared" si="196"/>
        <v>"#000000"</v>
      </c>
      <c r="U210" s="44"/>
      <c r="V210" s="44"/>
      <c r="X210" s="44"/>
      <c r="Y210" s="44"/>
      <c r="AA210" s="2" t="s">
        <v>6</v>
      </c>
      <c r="AB210" s="2" t="str">
        <f t="shared" si="156"/>
        <v>-</v>
      </c>
      <c r="AC210" s="2" t="s">
        <v>30</v>
      </c>
      <c r="AD210" s="2" t="str">
        <f t="shared" si="163"/>
        <v>_</v>
      </c>
      <c r="AE210" s="2" t="s">
        <v>17</v>
      </c>
      <c r="AF210" s="2" t="str">
        <f t="shared" si="164"/>
        <v>_</v>
      </c>
      <c r="AG210" s="2" t="s">
        <v>25</v>
      </c>
      <c r="AH210" s="2" t="str">
        <f t="shared" si="174"/>
        <v>_</v>
      </c>
      <c r="AI210" s="28" t="s">
        <v>21</v>
      </c>
    </row>
    <row r="211" spans="2:35" x14ac:dyDescent="0.25">
      <c r="B211" s="2" t="str">
        <f t="shared" si="195"/>
        <v>@color-driveway_case_paved_or_uk</v>
      </c>
      <c r="C211" s="143" t="s">
        <v>221</v>
      </c>
      <c r="D211" s="72" t="s">
        <v>217</v>
      </c>
      <c r="F211" s="72" t="s">
        <v>217</v>
      </c>
      <c r="G211" s="72" t="s">
        <v>217</v>
      </c>
      <c r="I211" s="162" t="str">
        <f t="shared" si="196"/>
        <v>"#404040"</v>
      </c>
      <c r="J211" s="37" t="str">
        <f t="shared" si="196"/>
        <v>"#000000"</v>
      </c>
      <c r="Q211" s="7"/>
      <c r="U211" s="44"/>
      <c r="V211" s="44"/>
      <c r="X211" s="44"/>
      <c r="Y211" s="44"/>
      <c r="AA211" s="2" t="s">
        <v>6</v>
      </c>
      <c r="AB211" s="2" t="str">
        <f t="shared" si="156"/>
        <v>-</v>
      </c>
      <c r="AC211" s="2" t="s">
        <v>30</v>
      </c>
      <c r="AD211" s="2" t="str">
        <f t="shared" si="163"/>
        <v>_</v>
      </c>
      <c r="AE211" s="2" t="s">
        <v>17</v>
      </c>
      <c r="AF211" s="2" t="str">
        <f t="shared" si="164"/>
        <v>_</v>
      </c>
      <c r="AG211" s="2" t="s">
        <v>25</v>
      </c>
      <c r="AH211" s="2" t="str">
        <f t="shared" si="174"/>
        <v/>
      </c>
      <c r="AI211" s="2"/>
    </row>
    <row r="212" spans="2:35" x14ac:dyDescent="0.25">
      <c r="B212" s="2" t="str">
        <f t="shared" si="195"/>
        <v>@color-driveway_line_default</v>
      </c>
      <c r="C212" s="44"/>
      <c r="D212" s="44"/>
      <c r="F212" s="44"/>
      <c r="G212" s="44"/>
      <c r="I212" s="44"/>
      <c r="J212" s="44"/>
      <c r="L212" s="44"/>
      <c r="M212" s="44"/>
      <c r="U212" s="71" t="s">
        <v>227</v>
      </c>
      <c r="V212" s="38" t="str">
        <f>U212</f>
        <v>"#ffffff"</v>
      </c>
      <c r="AA212" s="2" t="s">
        <v>6</v>
      </c>
      <c r="AB212" s="2" t="str">
        <f t="shared" si="156"/>
        <v>-</v>
      </c>
      <c r="AC212" s="2" t="s">
        <v>30</v>
      </c>
      <c r="AD212" s="2" t="str">
        <f t="shared" si="163"/>
        <v>_</v>
      </c>
      <c r="AE212" s="2" t="s">
        <v>13</v>
      </c>
      <c r="AF212" s="2" t="str">
        <f t="shared" si="164"/>
        <v>_</v>
      </c>
      <c r="AG212" s="2" t="s">
        <v>267</v>
      </c>
      <c r="AH212" s="2" t="str">
        <f t="shared" si="174"/>
        <v/>
      </c>
      <c r="AI212" s="2"/>
    </row>
    <row r="213" spans="2:35" x14ac:dyDescent="0.25">
      <c r="B213" s="2" t="str">
        <f t="shared" si="195"/>
        <v>@color-driveway_line_unpaved</v>
      </c>
      <c r="C213" s="148" t="s">
        <v>226</v>
      </c>
      <c r="D213" s="38" t="str">
        <f t="shared" ref="D213:D214" si="197">C213</f>
        <v>"#eddfca"</v>
      </c>
      <c r="I213" s="149" t="str">
        <f>C213</f>
        <v>"#eddfca"</v>
      </c>
      <c r="J213" s="38" t="str">
        <f t="shared" ref="J213:J214" si="198">C213</f>
        <v>"#eddfca"</v>
      </c>
      <c r="U213" s="44"/>
      <c r="V213" s="44"/>
      <c r="X213" s="44"/>
      <c r="Y213" s="44"/>
      <c r="AA213" s="2" t="s">
        <v>6</v>
      </c>
      <c r="AB213" s="2" t="str">
        <f t="shared" si="156"/>
        <v>-</v>
      </c>
      <c r="AC213" s="2" t="s">
        <v>30</v>
      </c>
      <c r="AD213" s="2" t="str">
        <f t="shared" si="163"/>
        <v>_</v>
      </c>
      <c r="AE213" s="2" t="s">
        <v>13</v>
      </c>
      <c r="AF213" s="2" t="str">
        <f t="shared" si="164"/>
        <v>_</v>
      </c>
      <c r="AG213" s="2" t="s">
        <v>22</v>
      </c>
      <c r="AH213" s="2" t="str">
        <f t="shared" si="174"/>
        <v/>
      </c>
      <c r="AI213" s="2"/>
    </row>
    <row r="214" spans="2:35" x14ac:dyDescent="0.25">
      <c r="B214" s="2" t="str">
        <f t="shared" si="195"/>
        <v>@color-driveway_line_paved_or_uk</v>
      </c>
      <c r="C214" s="71" t="s">
        <v>227</v>
      </c>
      <c r="D214" s="38" t="str">
        <f t="shared" si="197"/>
        <v>"#ffffff"</v>
      </c>
      <c r="I214" s="38" t="str">
        <f>C214</f>
        <v>"#ffffff"</v>
      </c>
      <c r="J214" s="38" t="str">
        <f t="shared" si="198"/>
        <v>"#ffffff"</v>
      </c>
      <c r="U214" s="44"/>
      <c r="V214" s="44"/>
      <c r="X214" s="44"/>
      <c r="Y214" s="44"/>
      <c r="AA214" s="2" t="s">
        <v>6</v>
      </c>
      <c r="AB214" s="2" t="str">
        <f t="shared" si="156"/>
        <v>-</v>
      </c>
      <c r="AC214" s="2" t="s">
        <v>30</v>
      </c>
      <c r="AD214" s="2" t="str">
        <f t="shared" si="163"/>
        <v>_</v>
      </c>
      <c r="AE214" s="2" t="s">
        <v>13</v>
      </c>
      <c r="AF214" s="2" t="str">
        <f t="shared" si="164"/>
        <v>_</v>
      </c>
      <c r="AG214" s="2" t="s">
        <v>25</v>
      </c>
      <c r="AH214" s="2" t="str">
        <f t="shared" si="174"/>
        <v/>
      </c>
      <c r="AI214" s="2"/>
    </row>
    <row r="215" spans="2:35" x14ac:dyDescent="0.25">
      <c r="B215" s="2"/>
      <c r="AB215" s="28" t="str">
        <f t="shared" ref="AB215:AB223" si="199">IF(NOT(ISBLANK(AC215)),"-","")</f>
        <v/>
      </c>
      <c r="AD215" s="28" t="str">
        <f t="shared" ref="AD215:AD223" si="200">IF(NOT(ISBLANK(AE215)),"_","")</f>
        <v/>
      </c>
      <c r="AF215" s="28" t="str">
        <f t="shared" ref="AF215:AF223" si="201">IF(NOT(ISBLANK(AG215)),"_","")</f>
        <v/>
      </c>
      <c r="AH215" s="28" t="str">
        <f t="shared" si="174"/>
        <v/>
      </c>
    </row>
    <row r="216" spans="2:35" x14ac:dyDescent="0.25">
      <c r="B216" s="2" t="str">
        <f t="shared" ref="B216:B223" si="202">_xlfn.CONCAT("@",AA216,AB216,AC216,AD216,AE216,AF216,AG216,AH216,AI216)</f>
        <v>@color-service_case</v>
      </c>
      <c r="C216" s="44"/>
      <c r="D216" s="44"/>
      <c r="F216" s="44"/>
      <c r="G216" s="44"/>
      <c r="I216" s="44"/>
      <c r="J216" s="44"/>
      <c r="L216" s="44"/>
      <c r="M216" s="44"/>
      <c r="U216" s="72" t="s">
        <v>217</v>
      </c>
      <c r="V216" s="72" t="s">
        <v>217</v>
      </c>
      <c r="AA216" s="2" t="s">
        <v>6</v>
      </c>
      <c r="AB216" s="2" t="str">
        <f t="shared" si="199"/>
        <v>-</v>
      </c>
      <c r="AC216" s="2" t="s">
        <v>31</v>
      </c>
      <c r="AD216" s="2" t="str">
        <f t="shared" si="200"/>
        <v>_</v>
      </c>
      <c r="AE216" s="2" t="s">
        <v>17</v>
      </c>
      <c r="AF216" s="2" t="str">
        <f t="shared" si="201"/>
        <v/>
      </c>
      <c r="AG216" s="2"/>
      <c r="AH216" s="2" t="str">
        <f t="shared" si="174"/>
        <v/>
      </c>
      <c r="AI216" s="2"/>
    </row>
    <row r="217" spans="2:35" x14ac:dyDescent="0.25">
      <c r="B217" s="2" t="str">
        <f t="shared" si="202"/>
        <v>@color-service_case_unpaved_farzoom</v>
      </c>
      <c r="C217" s="139" t="s">
        <v>232</v>
      </c>
      <c r="D217" s="140" t="s">
        <v>234</v>
      </c>
      <c r="F217" s="140" t="s">
        <v>234</v>
      </c>
      <c r="G217" s="139" t="s">
        <v>232</v>
      </c>
      <c r="I217" s="160" t="str">
        <f t="shared" ref="I217:J220" si="203">C217</f>
        <v>"#b99346"</v>
      </c>
      <c r="J217" s="155" t="str">
        <f t="shared" si="203"/>
        <v>"#644507"</v>
      </c>
      <c r="U217" s="44"/>
      <c r="V217" s="44"/>
      <c r="X217" s="44"/>
      <c r="Y217" s="44"/>
      <c r="AA217" s="2" t="s">
        <v>6</v>
      </c>
      <c r="AB217" s="2" t="str">
        <f t="shared" si="199"/>
        <v>-</v>
      </c>
      <c r="AC217" s="2" t="s">
        <v>31</v>
      </c>
      <c r="AD217" s="2" t="str">
        <f t="shared" si="200"/>
        <v>_</v>
      </c>
      <c r="AE217" s="2" t="s">
        <v>17</v>
      </c>
      <c r="AF217" s="2" t="str">
        <f t="shared" si="201"/>
        <v>_</v>
      </c>
      <c r="AG217" s="2" t="s">
        <v>22</v>
      </c>
      <c r="AH217" s="2" t="str">
        <f t="shared" si="174"/>
        <v>_</v>
      </c>
      <c r="AI217" s="28" t="s">
        <v>21</v>
      </c>
    </row>
    <row r="218" spans="2:35" x14ac:dyDescent="0.25">
      <c r="B218" s="2" t="str">
        <f t="shared" si="202"/>
        <v>@color-service_case_unpaved</v>
      </c>
      <c r="C218" s="140" t="s">
        <v>234</v>
      </c>
      <c r="D218" s="140" t="s">
        <v>234</v>
      </c>
      <c r="F218" s="72" t="s">
        <v>217</v>
      </c>
      <c r="G218" s="72" t="s">
        <v>217</v>
      </c>
      <c r="I218" s="155" t="str">
        <f t="shared" si="203"/>
        <v>"#644507"</v>
      </c>
      <c r="J218" s="155" t="str">
        <f t="shared" si="203"/>
        <v>"#644507"</v>
      </c>
      <c r="U218" s="44"/>
      <c r="V218" s="44"/>
      <c r="X218" s="44"/>
      <c r="Y218" s="44"/>
      <c r="AA218" s="2" t="s">
        <v>6</v>
      </c>
      <c r="AB218" s="2" t="str">
        <f t="shared" si="199"/>
        <v>-</v>
      </c>
      <c r="AC218" s="2" t="s">
        <v>31</v>
      </c>
      <c r="AD218" s="2" t="str">
        <f t="shared" si="200"/>
        <v>_</v>
      </c>
      <c r="AE218" s="2" t="s">
        <v>17</v>
      </c>
      <c r="AF218" s="2" t="str">
        <f t="shared" si="201"/>
        <v>_</v>
      </c>
      <c r="AG218" s="2" t="s">
        <v>22</v>
      </c>
      <c r="AH218" s="2" t="str">
        <f t="shared" si="174"/>
        <v/>
      </c>
      <c r="AI218" s="2"/>
    </row>
    <row r="219" spans="2:35" x14ac:dyDescent="0.25">
      <c r="B219" s="2" t="str">
        <f t="shared" si="202"/>
        <v>@color-service_case_paved_or_uk_farzoom</v>
      </c>
      <c r="C219" s="142" t="s">
        <v>233</v>
      </c>
      <c r="D219" s="72" t="s">
        <v>217</v>
      </c>
      <c r="F219" s="72" t="s">
        <v>217</v>
      </c>
      <c r="G219" s="72" t="s">
        <v>217</v>
      </c>
      <c r="I219" s="161" t="str">
        <f t="shared" si="203"/>
        <v>"#808080"</v>
      </c>
      <c r="J219" s="37" t="str">
        <f t="shared" si="203"/>
        <v>"#000000"</v>
      </c>
      <c r="U219" s="44"/>
      <c r="V219" s="44"/>
      <c r="X219" s="44"/>
      <c r="Y219" s="44"/>
      <c r="AA219" s="2" t="s">
        <v>6</v>
      </c>
      <c r="AB219" s="2" t="str">
        <f t="shared" si="199"/>
        <v>-</v>
      </c>
      <c r="AC219" s="2" t="s">
        <v>31</v>
      </c>
      <c r="AD219" s="2" t="str">
        <f t="shared" si="200"/>
        <v>_</v>
      </c>
      <c r="AE219" s="2" t="s">
        <v>17</v>
      </c>
      <c r="AF219" s="2" t="str">
        <f t="shared" si="201"/>
        <v>_</v>
      </c>
      <c r="AG219" s="2" t="s">
        <v>25</v>
      </c>
      <c r="AH219" s="2" t="str">
        <f t="shared" si="174"/>
        <v>_</v>
      </c>
      <c r="AI219" s="28" t="s">
        <v>21</v>
      </c>
    </row>
    <row r="220" spans="2:35" x14ac:dyDescent="0.25">
      <c r="B220" s="2" t="str">
        <f t="shared" si="202"/>
        <v>@color-service_case_paved_or_uk</v>
      </c>
      <c r="C220" s="143" t="s">
        <v>221</v>
      </c>
      <c r="D220" s="72" t="s">
        <v>217</v>
      </c>
      <c r="F220" s="72" t="s">
        <v>217</v>
      </c>
      <c r="G220" s="72" t="s">
        <v>217</v>
      </c>
      <c r="I220" s="162" t="str">
        <f t="shared" si="203"/>
        <v>"#404040"</v>
      </c>
      <c r="J220" s="37" t="str">
        <f t="shared" si="203"/>
        <v>"#000000"</v>
      </c>
      <c r="Q220" s="7"/>
      <c r="U220" s="44"/>
      <c r="V220" s="44"/>
      <c r="X220" s="44"/>
      <c r="Y220" s="44"/>
      <c r="AA220" s="2" t="s">
        <v>6</v>
      </c>
      <c r="AB220" s="2" t="str">
        <f t="shared" si="199"/>
        <v>-</v>
      </c>
      <c r="AC220" s="2" t="s">
        <v>31</v>
      </c>
      <c r="AD220" s="2" t="str">
        <f t="shared" si="200"/>
        <v>_</v>
      </c>
      <c r="AE220" s="2" t="s">
        <v>17</v>
      </c>
      <c r="AF220" s="2" t="str">
        <f t="shared" si="201"/>
        <v>_</v>
      </c>
      <c r="AG220" s="2" t="s">
        <v>25</v>
      </c>
      <c r="AH220" s="2" t="str">
        <f t="shared" si="174"/>
        <v/>
      </c>
      <c r="AI220" s="2"/>
    </row>
    <row r="221" spans="2:35" x14ac:dyDescent="0.25">
      <c r="B221" s="2" t="str">
        <f t="shared" si="202"/>
        <v>@color-service_line_default</v>
      </c>
      <c r="C221" s="44"/>
      <c r="D221" s="44"/>
      <c r="F221" s="44"/>
      <c r="G221" s="44"/>
      <c r="I221" s="44"/>
      <c r="J221" s="44"/>
      <c r="L221" s="44"/>
      <c r="M221" s="44"/>
      <c r="U221" s="71" t="s">
        <v>227</v>
      </c>
      <c r="V221" s="38" t="str">
        <f>U221</f>
        <v>"#ffffff"</v>
      </c>
      <c r="AA221" s="2" t="s">
        <v>6</v>
      </c>
      <c r="AB221" s="2" t="str">
        <f t="shared" ref="AB221" si="204">IF(NOT(ISBLANK(AC221)),"-","")</f>
        <v>-</v>
      </c>
      <c r="AC221" s="2" t="s">
        <v>31</v>
      </c>
      <c r="AD221" s="2" t="str">
        <f t="shared" ref="AD221" si="205">IF(NOT(ISBLANK(AE221)),"_","")</f>
        <v>_</v>
      </c>
      <c r="AE221" s="2" t="s">
        <v>13</v>
      </c>
      <c r="AF221" s="2" t="str">
        <f t="shared" ref="AF221" si="206">IF(NOT(ISBLANK(AG221)),"_","")</f>
        <v>_</v>
      </c>
      <c r="AG221" s="2" t="s">
        <v>267</v>
      </c>
      <c r="AH221" s="2" t="str">
        <f t="shared" si="174"/>
        <v/>
      </c>
      <c r="AI221" s="2"/>
    </row>
    <row r="222" spans="2:35" x14ac:dyDescent="0.25">
      <c r="B222" s="2" t="str">
        <f t="shared" si="202"/>
        <v>@color-service_line_unpaved</v>
      </c>
      <c r="C222" s="148" t="s">
        <v>226</v>
      </c>
      <c r="D222" s="38" t="str">
        <f t="shared" ref="D222:D223" si="207">C222</f>
        <v>"#eddfca"</v>
      </c>
      <c r="I222" s="149" t="str">
        <f>C222</f>
        <v>"#eddfca"</v>
      </c>
      <c r="J222" s="38" t="str">
        <f t="shared" ref="J222:J223" si="208">C222</f>
        <v>"#eddfca"</v>
      </c>
      <c r="U222" s="44"/>
      <c r="V222" s="44"/>
      <c r="X222" s="44"/>
      <c r="Y222" s="44"/>
      <c r="AA222" s="2" t="s">
        <v>6</v>
      </c>
      <c r="AB222" s="2" t="str">
        <f t="shared" si="199"/>
        <v>-</v>
      </c>
      <c r="AC222" s="2" t="s">
        <v>31</v>
      </c>
      <c r="AD222" s="2" t="str">
        <f t="shared" si="200"/>
        <v>_</v>
      </c>
      <c r="AE222" s="2" t="s">
        <v>13</v>
      </c>
      <c r="AF222" s="2" t="str">
        <f t="shared" si="201"/>
        <v>_</v>
      </c>
      <c r="AG222" s="2" t="s">
        <v>22</v>
      </c>
      <c r="AH222" s="2" t="str">
        <f t="shared" si="174"/>
        <v/>
      </c>
      <c r="AI222" s="2"/>
    </row>
    <row r="223" spans="2:35" x14ac:dyDescent="0.25">
      <c r="B223" s="2" t="str">
        <f t="shared" si="202"/>
        <v>@color-service_line_paved_or_uk</v>
      </c>
      <c r="C223" s="71" t="s">
        <v>227</v>
      </c>
      <c r="D223" s="38" t="str">
        <f t="shared" si="207"/>
        <v>"#ffffff"</v>
      </c>
      <c r="I223" s="38" t="str">
        <f>C223</f>
        <v>"#ffffff"</v>
      </c>
      <c r="J223" s="38" t="str">
        <f t="shared" si="208"/>
        <v>"#ffffff"</v>
      </c>
      <c r="U223" s="44"/>
      <c r="V223" s="44"/>
      <c r="X223" s="44"/>
      <c r="Y223" s="44"/>
      <c r="AA223" s="2" t="s">
        <v>6</v>
      </c>
      <c r="AB223" s="2" t="str">
        <f t="shared" si="199"/>
        <v>-</v>
      </c>
      <c r="AC223" s="2" t="s">
        <v>31</v>
      </c>
      <c r="AD223" s="2" t="str">
        <f t="shared" si="200"/>
        <v>_</v>
      </c>
      <c r="AE223" s="2" t="s">
        <v>13</v>
      </c>
      <c r="AF223" s="2" t="str">
        <f t="shared" si="201"/>
        <v>_</v>
      </c>
      <c r="AG223" s="2" t="s">
        <v>25</v>
      </c>
      <c r="AH223" s="2" t="str">
        <f t="shared" si="174"/>
        <v/>
      </c>
      <c r="AI223" s="2"/>
    </row>
    <row r="224" spans="2:35" x14ac:dyDescent="0.25">
      <c r="B224" s="2"/>
      <c r="AB224" s="28" t="str">
        <f t="shared" si="156"/>
        <v/>
      </c>
      <c r="AD224" s="28" t="str">
        <f t="shared" si="163"/>
        <v/>
      </c>
      <c r="AF224" s="28" t="str">
        <f t="shared" si="164"/>
        <v/>
      </c>
      <c r="AH224" s="28" t="str">
        <f t="shared" si="174"/>
        <v/>
      </c>
    </row>
    <row r="225" spans="1:35" x14ac:dyDescent="0.25">
      <c r="B225" s="2" t="str">
        <f t="shared" ref="B225:B231" si="209">_xlfn.CONCAT("@",AA225,AB225,AC225,AD225,AE225,AF225,AG225,AH225,AI225)</f>
        <v>@color-minor_case_unpaved_farzoom</v>
      </c>
      <c r="C225" s="139" t="s">
        <v>232</v>
      </c>
      <c r="D225" s="140" t="s">
        <v>234</v>
      </c>
      <c r="F225" s="140" t="s">
        <v>234</v>
      </c>
      <c r="G225" s="139" t="s">
        <v>232</v>
      </c>
      <c r="I225" s="160" t="str">
        <f t="shared" ref="I225:J228" si="210">C225</f>
        <v>"#b99346"</v>
      </c>
      <c r="J225" s="155" t="str">
        <f t="shared" si="210"/>
        <v>"#644507"</v>
      </c>
      <c r="U225" s="44"/>
      <c r="V225" s="44"/>
      <c r="X225" s="44"/>
      <c r="Y225" s="44"/>
      <c r="AA225" s="2" t="s">
        <v>6</v>
      </c>
      <c r="AB225" s="2" t="str">
        <f t="shared" ref="AB225" si="211">IF(NOT(ISBLANK(AC225)),"-","")</f>
        <v>-</v>
      </c>
      <c r="AC225" s="2" t="s">
        <v>32</v>
      </c>
      <c r="AD225" s="2" t="str">
        <f t="shared" ref="AD225" si="212">IF(NOT(ISBLANK(AE225)),"_","")</f>
        <v>_</v>
      </c>
      <c r="AE225" s="2" t="s">
        <v>17</v>
      </c>
      <c r="AF225" s="2" t="str">
        <f t="shared" ref="AF225" si="213">IF(NOT(ISBLANK(AG225)),"_","")</f>
        <v>_</v>
      </c>
      <c r="AG225" s="2" t="s">
        <v>22</v>
      </c>
      <c r="AH225" s="2" t="str">
        <f t="shared" si="174"/>
        <v>_</v>
      </c>
      <c r="AI225" s="28" t="s">
        <v>21</v>
      </c>
    </row>
    <row r="226" spans="1:35" x14ac:dyDescent="0.25">
      <c r="B226" s="2" t="str">
        <f t="shared" si="209"/>
        <v>@color-minor_case_unpaved_default</v>
      </c>
      <c r="C226" s="140" t="s">
        <v>234</v>
      </c>
      <c r="D226" s="140" t="s">
        <v>234</v>
      </c>
      <c r="F226" s="72" t="s">
        <v>217</v>
      </c>
      <c r="G226" s="72" t="s">
        <v>217</v>
      </c>
      <c r="I226" s="155" t="str">
        <f t="shared" si="210"/>
        <v>"#644507"</v>
      </c>
      <c r="J226" s="155" t="str">
        <f t="shared" si="210"/>
        <v>"#644507"</v>
      </c>
      <c r="U226" s="44"/>
      <c r="V226" s="44"/>
      <c r="X226" s="44"/>
      <c r="Y226" s="44"/>
      <c r="AA226" s="2" t="s">
        <v>6</v>
      </c>
      <c r="AB226" s="2" t="str">
        <f t="shared" si="156"/>
        <v>-</v>
      </c>
      <c r="AC226" s="2" t="s">
        <v>32</v>
      </c>
      <c r="AD226" s="2" t="str">
        <f t="shared" si="163"/>
        <v>_</v>
      </c>
      <c r="AE226" s="2" t="s">
        <v>17</v>
      </c>
      <c r="AF226" s="2" t="str">
        <f t="shared" si="164"/>
        <v>_</v>
      </c>
      <c r="AG226" s="2" t="s">
        <v>22</v>
      </c>
      <c r="AH226" s="2" t="str">
        <f t="shared" si="174"/>
        <v>_</v>
      </c>
      <c r="AI226" s="28" t="s">
        <v>267</v>
      </c>
    </row>
    <row r="227" spans="1:35" x14ac:dyDescent="0.25">
      <c r="B227" s="2" t="str">
        <f t="shared" si="209"/>
        <v>@color-minor_case_paved_or_uk_farzoom</v>
      </c>
      <c r="C227" s="142" t="s">
        <v>233</v>
      </c>
      <c r="D227" s="72" t="s">
        <v>217</v>
      </c>
      <c r="F227" s="142" t="s">
        <v>233</v>
      </c>
      <c r="G227" s="142" t="s">
        <v>233</v>
      </c>
      <c r="I227" s="161" t="str">
        <f t="shared" si="210"/>
        <v>"#808080"</v>
      </c>
      <c r="J227" s="37" t="str">
        <f t="shared" si="210"/>
        <v>"#000000"</v>
      </c>
      <c r="U227" s="44"/>
      <c r="V227" s="44"/>
      <c r="X227" s="44"/>
      <c r="Y227" s="44"/>
      <c r="AA227" s="2" t="s">
        <v>6</v>
      </c>
      <c r="AB227" s="2" t="str">
        <f t="shared" ref="AB227" si="214">IF(NOT(ISBLANK(AC227)),"-","")</f>
        <v>-</v>
      </c>
      <c r="AC227" s="2" t="s">
        <v>32</v>
      </c>
      <c r="AD227" s="2" t="str">
        <f t="shared" ref="AD227" si="215">IF(NOT(ISBLANK(AE227)),"_","")</f>
        <v>_</v>
      </c>
      <c r="AE227" s="2" t="s">
        <v>17</v>
      </c>
      <c r="AF227" s="2" t="str">
        <f t="shared" ref="AF227" si="216">IF(NOT(ISBLANK(AG227)),"_","")</f>
        <v>_</v>
      </c>
      <c r="AG227" s="2" t="s">
        <v>25</v>
      </c>
      <c r="AH227" s="2" t="str">
        <f t="shared" si="174"/>
        <v>_</v>
      </c>
      <c r="AI227" s="28" t="s">
        <v>21</v>
      </c>
    </row>
    <row r="228" spans="1:35" x14ac:dyDescent="0.25">
      <c r="B228" s="2" t="str">
        <f t="shared" si="209"/>
        <v>@color-minor_case_paved_or_uk_default</v>
      </c>
      <c r="C228" s="143" t="s">
        <v>221</v>
      </c>
      <c r="D228" s="72" t="s">
        <v>217</v>
      </c>
      <c r="F228" s="72" t="s">
        <v>217</v>
      </c>
      <c r="G228" s="72" t="s">
        <v>217</v>
      </c>
      <c r="I228" s="162" t="str">
        <f t="shared" si="210"/>
        <v>"#404040"</v>
      </c>
      <c r="J228" s="37" t="str">
        <f t="shared" si="210"/>
        <v>"#000000"</v>
      </c>
      <c r="U228" s="44"/>
      <c r="V228" s="44"/>
      <c r="X228" s="44"/>
      <c r="Y228" s="44"/>
      <c r="AA228" s="2" t="s">
        <v>6</v>
      </c>
      <c r="AB228" s="2" t="str">
        <f t="shared" si="156"/>
        <v>-</v>
      </c>
      <c r="AC228" s="2" t="s">
        <v>32</v>
      </c>
      <c r="AD228" s="2" t="str">
        <f t="shared" si="163"/>
        <v>_</v>
      </c>
      <c r="AE228" s="2" t="s">
        <v>17</v>
      </c>
      <c r="AF228" s="2" t="str">
        <f t="shared" si="164"/>
        <v>_</v>
      </c>
      <c r="AG228" s="2" t="s">
        <v>25</v>
      </c>
      <c r="AH228" s="2" t="str">
        <f t="shared" si="174"/>
        <v>_</v>
      </c>
      <c r="AI228" s="28" t="s">
        <v>267</v>
      </c>
    </row>
    <row r="229" spans="1:35" x14ac:dyDescent="0.25">
      <c r="B229" s="2" t="str">
        <f t="shared" si="209"/>
        <v>@color-minor_line_default</v>
      </c>
      <c r="C229" s="44"/>
      <c r="D229" s="44"/>
      <c r="F229" s="44"/>
      <c r="G229" s="44"/>
      <c r="I229" s="44"/>
      <c r="J229" s="44"/>
      <c r="L229" s="44"/>
      <c r="M229" s="44"/>
      <c r="U229" s="71" t="s">
        <v>227</v>
      </c>
      <c r="V229" s="38" t="str">
        <f>U229</f>
        <v>"#ffffff"</v>
      </c>
      <c r="AA229" s="2" t="s">
        <v>6</v>
      </c>
      <c r="AB229" s="2" t="str">
        <f t="shared" ref="AB229" si="217">IF(NOT(ISBLANK(AC229)),"-","")</f>
        <v>-</v>
      </c>
      <c r="AC229" s="2" t="s">
        <v>32</v>
      </c>
      <c r="AD229" s="2" t="str">
        <f t="shared" ref="AD229" si="218">IF(NOT(ISBLANK(AE229)),"_","")</f>
        <v>_</v>
      </c>
      <c r="AE229" s="2" t="s">
        <v>13</v>
      </c>
      <c r="AF229" s="2" t="str">
        <f t="shared" ref="AF229" si="219">IF(NOT(ISBLANK(AG229)),"_","")</f>
        <v>_</v>
      </c>
      <c r="AG229" s="2" t="s">
        <v>267</v>
      </c>
      <c r="AH229" s="2" t="str">
        <f t="shared" si="174"/>
        <v/>
      </c>
      <c r="AI229" s="2"/>
    </row>
    <row r="230" spans="1:35" x14ac:dyDescent="0.25">
      <c r="B230" s="2" t="str">
        <f t="shared" si="209"/>
        <v>@color-minor_line_unpaved</v>
      </c>
      <c r="C230" s="148" t="s">
        <v>226</v>
      </c>
      <c r="D230" s="38" t="str">
        <f t="shared" ref="D230:D231" si="220">C230</f>
        <v>"#eddfca"</v>
      </c>
      <c r="I230" s="149" t="str">
        <f>C230</f>
        <v>"#eddfca"</v>
      </c>
      <c r="J230" s="38" t="str">
        <f t="shared" ref="J230:J231" si="221">C230</f>
        <v>"#eddfca"</v>
      </c>
      <c r="U230" s="44"/>
      <c r="V230" s="44"/>
      <c r="X230" s="44"/>
      <c r="Y230" s="44"/>
      <c r="AA230" s="2" t="s">
        <v>6</v>
      </c>
      <c r="AB230" s="2" t="str">
        <f t="shared" si="156"/>
        <v>-</v>
      </c>
      <c r="AC230" s="2" t="s">
        <v>32</v>
      </c>
      <c r="AD230" s="2" t="str">
        <f t="shared" si="163"/>
        <v>_</v>
      </c>
      <c r="AE230" s="2" t="s">
        <v>13</v>
      </c>
      <c r="AF230" s="2" t="str">
        <f t="shared" si="164"/>
        <v>_</v>
      </c>
      <c r="AG230" s="2" t="s">
        <v>22</v>
      </c>
      <c r="AH230" s="2" t="str">
        <f t="shared" si="174"/>
        <v/>
      </c>
      <c r="AI230" s="2"/>
    </row>
    <row r="231" spans="1:35" x14ac:dyDescent="0.25">
      <c r="B231" s="2" t="str">
        <f t="shared" si="209"/>
        <v>@color-minor_line_paved_or_uk</v>
      </c>
      <c r="C231" s="71" t="s">
        <v>227</v>
      </c>
      <c r="D231" s="38" t="str">
        <f t="shared" si="220"/>
        <v>"#ffffff"</v>
      </c>
      <c r="I231" s="38" t="str">
        <f>C231</f>
        <v>"#ffffff"</v>
      </c>
      <c r="J231" s="38" t="str">
        <f t="shared" si="221"/>
        <v>"#ffffff"</v>
      </c>
      <c r="U231" s="44"/>
      <c r="V231" s="44"/>
      <c r="X231" s="44"/>
      <c r="Y231" s="44"/>
      <c r="AA231" s="2" t="s">
        <v>6</v>
      </c>
      <c r="AB231" s="2" t="str">
        <f t="shared" si="156"/>
        <v>-</v>
      </c>
      <c r="AC231" s="2" t="s">
        <v>32</v>
      </c>
      <c r="AD231" s="2" t="str">
        <f t="shared" si="163"/>
        <v>_</v>
      </c>
      <c r="AE231" s="2" t="s">
        <v>13</v>
      </c>
      <c r="AF231" s="2" t="str">
        <f t="shared" si="164"/>
        <v>_</v>
      </c>
      <c r="AG231" s="2" t="s">
        <v>25</v>
      </c>
      <c r="AH231" s="2" t="str">
        <f t="shared" si="174"/>
        <v/>
      </c>
      <c r="AI231" s="2"/>
    </row>
    <row r="232" spans="1:35" x14ac:dyDescent="0.25">
      <c r="B232" s="2"/>
      <c r="AB232" s="28" t="str">
        <f t="shared" si="156"/>
        <v/>
      </c>
      <c r="AD232" s="28" t="str">
        <f t="shared" si="163"/>
        <v/>
      </c>
      <c r="AF232" s="28" t="str">
        <f t="shared" si="164"/>
        <v/>
      </c>
      <c r="AH232" s="28" t="str">
        <f t="shared" si="174"/>
        <v/>
      </c>
    </row>
    <row r="233" spans="1:35" s="2" customFormat="1" x14ac:dyDescent="0.25">
      <c r="A233" s="3" t="s">
        <v>229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56"/>
        <v/>
      </c>
      <c r="AC233" s="4"/>
      <c r="AD233" s="4" t="str">
        <f t="shared" si="163"/>
        <v/>
      </c>
      <c r="AE233" s="4"/>
      <c r="AF233" s="4" t="str">
        <f t="shared" si="164"/>
        <v/>
      </c>
      <c r="AG233" s="4"/>
      <c r="AH233" s="4" t="str">
        <f t="shared" si="174"/>
        <v/>
      </c>
      <c r="AI233" s="4"/>
    </row>
    <row r="234" spans="1:35" x14ac:dyDescent="0.25">
      <c r="B234" s="2" t="str">
        <f t="shared" ref="B234:B258" si="222">_xlfn.CONCAT("@",AA234,AB234,AC234,AD234,AE234,AF234,AG234,AH234,AI234)</f>
        <v>@color-motorway_link_line</v>
      </c>
      <c r="C234" s="135" t="s">
        <v>216</v>
      </c>
      <c r="D234" s="136" t="s">
        <v>218</v>
      </c>
      <c r="AA234" s="2" t="s">
        <v>6</v>
      </c>
      <c r="AB234" s="2" t="str">
        <f t="shared" si="156"/>
        <v>-</v>
      </c>
      <c r="AC234" s="2" t="s">
        <v>34</v>
      </c>
      <c r="AD234" s="2" t="str">
        <f t="shared" si="163"/>
        <v>_</v>
      </c>
      <c r="AE234" s="2" t="s">
        <v>13</v>
      </c>
      <c r="AF234" s="2" t="str">
        <f t="shared" si="164"/>
        <v/>
      </c>
      <c r="AG234" s="2"/>
      <c r="AH234" s="2" t="str">
        <f t="shared" si="174"/>
        <v/>
      </c>
      <c r="AI234" s="2"/>
    </row>
    <row r="235" spans="1:35" x14ac:dyDescent="0.25">
      <c r="B235" s="2" t="str">
        <f t="shared" si="222"/>
        <v>@color-motorway_link_case</v>
      </c>
      <c r="C235" s="132" t="s">
        <v>215</v>
      </c>
      <c r="D235" s="163" t="s">
        <v>18</v>
      </c>
      <c r="F235" s="72" t="s">
        <v>217</v>
      </c>
      <c r="G235" s="72" t="s">
        <v>217</v>
      </c>
      <c r="AA235" s="2" t="s">
        <v>6</v>
      </c>
      <c r="AB235" s="2" t="str">
        <f t="shared" si="156"/>
        <v>-</v>
      </c>
      <c r="AC235" s="2" t="s">
        <v>34</v>
      </c>
      <c r="AD235" s="2" t="str">
        <f t="shared" si="163"/>
        <v>_</v>
      </c>
      <c r="AE235" s="2" t="s">
        <v>17</v>
      </c>
      <c r="AF235" s="2" t="str">
        <f t="shared" si="164"/>
        <v/>
      </c>
      <c r="AG235" s="2"/>
      <c r="AH235" s="2" t="str">
        <f t="shared" si="174"/>
        <v/>
      </c>
      <c r="AI235" s="2"/>
    </row>
    <row r="236" spans="1:35" x14ac:dyDescent="0.25">
      <c r="B236" s="2" t="str">
        <f t="shared" si="222"/>
        <v>@color-trunk_primary_secondary_tertiary_link_line</v>
      </c>
      <c r="C236" s="146" t="s">
        <v>222</v>
      </c>
      <c r="D236" s="136" t="s">
        <v>218</v>
      </c>
      <c r="AA236" s="2" t="s">
        <v>6</v>
      </c>
      <c r="AB236" s="2" t="str">
        <f t="shared" si="156"/>
        <v>-</v>
      </c>
      <c r="AC236" s="2" t="s">
        <v>33</v>
      </c>
      <c r="AD236" s="2" t="str">
        <f t="shared" si="163"/>
        <v>_</v>
      </c>
      <c r="AE236" s="2" t="s">
        <v>13</v>
      </c>
      <c r="AF236" s="2" t="str">
        <f t="shared" si="164"/>
        <v/>
      </c>
      <c r="AG236" s="2"/>
      <c r="AH236" s="2" t="str">
        <f t="shared" si="174"/>
        <v/>
      </c>
      <c r="AI236" s="2"/>
    </row>
    <row r="237" spans="1:35" x14ac:dyDescent="0.25">
      <c r="B237" s="2" t="str">
        <f t="shared" si="222"/>
        <v>@color-trunk_primary_secondary_tertiary_link_line_bicycle_no</v>
      </c>
      <c r="C237" s="135" t="s">
        <v>216</v>
      </c>
      <c r="D237" s="147" t="s">
        <v>223</v>
      </c>
      <c r="AA237" s="2" t="s">
        <v>6</v>
      </c>
      <c r="AB237" s="2" t="str">
        <f t="shared" si="156"/>
        <v>-</v>
      </c>
      <c r="AC237" s="2" t="s">
        <v>33</v>
      </c>
      <c r="AD237" s="2" t="str">
        <f t="shared" si="163"/>
        <v>_</v>
      </c>
      <c r="AE237" s="2" t="s">
        <v>13</v>
      </c>
      <c r="AF237" s="2" t="str">
        <f t="shared" si="164"/>
        <v>_</v>
      </c>
      <c r="AG237" s="2" t="s">
        <v>24</v>
      </c>
      <c r="AH237" s="2" t="str">
        <f t="shared" si="174"/>
        <v/>
      </c>
      <c r="AI237" s="2"/>
    </row>
    <row r="238" spans="1:35" x14ac:dyDescent="0.25">
      <c r="B238" s="2" t="str">
        <f t="shared" si="222"/>
        <v>@color-trunk_primary_secondary_tertiary_link_line_unpaved</v>
      </c>
      <c r="I238" s="149" t="s">
        <v>226</v>
      </c>
      <c r="AA238" s="2" t="s">
        <v>6</v>
      </c>
      <c r="AB238" s="2" t="str">
        <f t="shared" si="156"/>
        <v>-</v>
      </c>
      <c r="AC238" s="2" t="s">
        <v>33</v>
      </c>
      <c r="AD238" s="2" t="str">
        <f t="shared" si="163"/>
        <v>_</v>
      </c>
      <c r="AE238" s="2" t="s">
        <v>13</v>
      </c>
      <c r="AF238" s="2" t="str">
        <f t="shared" si="164"/>
        <v>_</v>
      </c>
      <c r="AG238" s="2" t="s">
        <v>22</v>
      </c>
      <c r="AH238" s="2" t="str">
        <f t="shared" si="174"/>
        <v/>
      </c>
      <c r="AI238" s="2"/>
    </row>
    <row r="239" spans="1:35" x14ac:dyDescent="0.25">
      <c r="B239" s="2" t="str">
        <f t="shared" si="222"/>
        <v>@color-trunk_primary_secondary_tertiary_link_line_paved_or_uk</v>
      </c>
      <c r="I239" s="38" t="s">
        <v>227</v>
      </c>
      <c r="AA239" s="2" t="s">
        <v>6</v>
      </c>
      <c r="AB239" s="2" t="str">
        <f t="shared" si="156"/>
        <v>-</v>
      </c>
      <c r="AC239" s="2" t="s">
        <v>33</v>
      </c>
      <c r="AD239" s="2" t="str">
        <f t="shared" si="163"/>
        <v>_</v>
      </c>
      <c r="AE239" s="2" t="s">
        <v>13</v>
      </c>
      <c r="AF239" s="2" t="str">
        <f t="shared" si="164"/>
        <v>_</v>
      </c>
      <c r="AG239" s="2" t="s">
        <v>25</v>
      </c>
      <c r="AH239" s="2" t="str">
        <f t="shared" si="174"/>
        <v/>
      </c>
      <c r="AI239" s="2"/>
    </row>
    <row r="240" spans="1:35" x14ac:dyDescent="0.25">
      <c r="B240" s="2" t="str">
        <f t="shared" si="222"/>
        <v>@</v>
      </c>
    </row>
    <row r="241" spans="2:2" x14ac:dyDescent="0.25">
      <c r="B241" s="2" t="str">
        <f t="shared" si="222"/>
        <v>@</v>
      </c>
    </row>
    <row r="242" spans="2:2" x14ac:dyDescent="0.25">
      <c r="B242" s="2" t="str">
        <f t="shared" si="222"/>
        <v>@</v>
      </c>
    </row>
    <row r="243" spans="2:2" x14ac:dyDescent="0.25">
      <c r="B243" s="2" t="str">
        <f t="shared" si="222"/>
        <v>@</v>
      </c>
    </row>
    <row r="244" spans="2:2" x14ac:dyDescent="0.25">
      <c r="B244" s="2" t="str">
        <f t="shared" si="222"/>
        <v>@</v>
      </c>
    </row>
    <row r="245" spans="2:2" x14ac:dyDescent="0.25">
      <c r="B245" s="2" t="str">
        <f t="shared" si="222"/>
        <v>@</v>
      </c>
    </row>
    <row r="246" spans="2:2" x14ac:dyDescent="0.25">
      <c r="B246" s="2" t="str">
        <f t="shared" si="222"/>
        <v>@</v>
      </c>
    </row>
    <row r="247" spans="2:2" x14ac:dyDescent="0.25">
      <c r="B247" s="2" t="str">
        <f t="shared" si="222"/>
        <v>@</v>
      </c>
    </row>
    <row r="248" spans="2:2" x14ac:dyDescent="0.25">
      <c r="B248" s="2" t="str">
        <f t="shared" si="222"/>
        <v>@</v>
      </c>
    </row>
    <row r="249" spans="2:2" x14ac:dyDescent="0.25">
      <c r="B249" s="2" t="str">
        <f t="shared" si="222"/>
        <v>@</v>
      </c>
    </row>
    <row r="250" spans="2:2" x14ac:dyDescent="0.25">
      <c r="B250" s="2" t="str">
        <f t="shared" si="222"/>
        <v>@</v>
      </c>
    </row>
    <row r="251" spans="2:2" x14ac:dyDescent="0.25">
      <c r="B251" s="2" t="str">
        <f t="shared" si="222"/>
        <v>@</v>
      </c>
    </row>
    <row r="252" spans="2:2" x14ac:dyDescent="0.25">
      <c r="B252" s="2" t="str">
        <f t="shared" si="222"/>
        <v>@</v>
      </c>
    </row>
    <row r="253" spans="2:2" x14ac:dyDescent="0.25">
      <c r="B253" s="2" t="str">
        <f t="shared" si="222"/>
        <v>@</v>
      </c>
    </row>
    <row r="254" spans="2:2" x14ac:dyDescent="0.25">
      <c r="B254" s="2" t="str">
        <f t="shared" si="222"/>
        <v>@</v>
      </c>
    </row>
    <row r="255" spans="2:2" x14ac:dyDescent="0.25">
      <c r="B255" s="2" t="str">
        <f t="shared" si="222"/>
        <v>@</v>
      </c>
    </row>
    <row r="256" spans="2:2" x14ac:dyDescent="0.25">
      <c r="B256" s="2" t="str">
        <f t="shared" si="222"/>
        <v>@</v>
      </c>
    </row>
    <row r="257" spans="2:2" x14ac:dyDescent="0.25">
      <c r="B257" s="2" t="str">
        <f t="shared" si="222"/>
        <v>@</v>
      </c>
    </row>
    <row r="258" spans="2:2" x14ac:dyDescent="0.25">
      <c r="B258" s="2" t="str">
        <f t="shared" si="222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:C70 C71:C84 M69:Y69 M70:Y70 M71:Y71 M73:Y73 M74:Y74 M75:Y75 M77:Y77 M78:Y78 M79:Y79 M81:Y81 M82:Y82 M83:Y83 D69:L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2025-12-23T14:42:43Z</dcterms:modified>
</cp:coreProperties>
</file>