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9C501A0B-5A85-41CC-8D1A-50D21890CF83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66" i="5" l="1"/>
  <c r="AD166" i="5"/>
  <c r="AB166" i="5"/>
  <c r="V166" i="5"/>
  <c r="U166" i="5"/>
  <c r="J166" i="5"/>
  <c r="I166" i="5"/>
  <c r="B166" i="5"/>
  <c r="AF156" i="5"/>
  <c r="AD156" i="5"/>
  <c r="AB156" i="5"/>
  <c r="V156" i="5"/>
  <c r="U156" i="5"/>
  <c r="J156" i="5"/>
  <c r="I156" i="5"/>
  <c r="B156" i="5"/>
  <c r="AF146" i="5"/>
  <c r="B146" i="5" s="1"/>
  <c r="AD146" i="5"/>
  <c r="AB146" i="5"/>
  <c r="V146" i="5"/>
  <c r="U146" i="5"/>
  <c r="J146" i="5"/>
  <c r="I146" i="5"/>
  <c r="AF134" i="5"/>
  <c r="AD134" i="5"/>
  <c r="AB134" i="5"/>
  <c r="V134" i="5"/>
  <c r="U134" i="5"/>
  <c r="J134" i="5"/>
  <c r="I134" i="5"/>
  <c r="B134" i="5"/>
  <c r="AF35" i="5"/>
  <c r="AD35" i="5"/>
  <c r="AB35" i="5"/>
  <c r="B35" i="5"/>
  <c r="AF34" i="5"/>
  <c r="AD34" i="5"/>
  <c r="AB34" i="5"/>
  <c r="B34" i="5" s="1"/>
  <c r="AF33" i="5"/>
  <c r="AD33" i="5"/>
  <c r="AB33" i="5"/>
  <c r="B33" i="5"/>
  <c r="AF32" i="5"/>
  <c r="AD32" i="5"/>
  <c r="AB32" i="5"/>
  <c r="AF31" i="5"/>
  <c r="AD31" i="5"/>
  <c r="AB31" i="5"/>
  <c r="B31" i="5"/>
  <c r="AF30" i="5"/>
  <c r="AD30" i="5"/>
  <c r="AB30" i="5"/>
  <c r="AF29" i="5"/>
  <c r="AD29" i="5"/>
  <c r="B29" i="5" s="1"/>
  <c r="AB29" i="5"/>
  <c r="AF28" i="5"/>
  <c r="AD28" i="5"/>
  <c r="AB28" i="5"/>
  <c r="AF27" i="5"/>
  <c r="AD27" i="5"/>
  <c r="AB27" i="5"/>
  <c r="B27" i="5" s="1"/>
  <c r="AF26" i="5"/>
  <c r="AD26" i="5"/>
  <c r="AB26" i="5"/>
  <c r="B26" i="5" s="1"/>
  <c r="AF37" i="5"/>
  <c r="AD37" i="5"/>
  <c r="AB37" i="5"/>
  <c r="B37" i="5"/>
  <c r="AF36" i="5"/>
  <c r="AD36" i="5"/>
  <c r="AB36" i="5"/>
  <c r="AF56" i="5"/>
  <c r="AD56" i="5"/>
  <c r="AB56" i="5"/>
  <c r="AF77" i="5"/>
  <c r="B77" i="5" s="1"/>
  <c r="AD77" i="5"/>
  <c r="AB77" i="5"/>
  <c r="AF73" i="5"/>
  <c r="AD73" i="5"/>
  <c r="AB73" i="5"/>
  <c r="AF69" i="5"/>
  <c r="AD69" i="5"/>
  <c r="AB69" i="5"/>
  <c r="AF65" i="5"/>
  <c r="AD65" i="5"/>
  <c r="AB65" i="5"/>
  <c r="AF76" i="5"/>
  <c r="AD76" i="5"/>
  <c r="AB76" i="5"/>
  <c r="B76" i="5"/>
  <c r="AF75" i="5"/>
  <c r="AD75" i="5"/>
  <c r="AB75" i="5"/>
  <c r="AF74" i="5"/>
  <c r="AD74" i="5"/>
  <c r="AB74" i="5"/>
  <c r="B74" i="5"/>
  <c r="AF72" i="5"/>
  <c r="AD72" i="5"/>
  <c r="AB72" i="5"/>
  <c r="AF71" i="5"/>
  <c r="AD71" i="5"/>
  <c r="AB71" i="5"/>
  <c r="AF70" i="5"/>
  <c r="AD70" i="5"/>
  <c r="AB70" i="5"/>
  <c r="AF68" i="5"/>
  <c r="AD68" i="5"/>
  <c r="AB68" i="5"/>
  <c r="AF67" i="5"/>
  <c r="AD67" i="5"/>
  <c r="AB67" i="5"/>
  <c r="B67" i="5"/>
  <c r="AF66" i="5"/>
  <c r="AD66" i="5"/>
  <c r="AB66" i="5"/>
  <c r="AF64" i="5"/>
  <c r="AD64" i="5"/>
  <c r="AB64" i="5"/>
  <c r="AF63" i="5"/>
  <c r="AD63" i="5"/>
  <c r="AB63" i="5"/>
  <c r="AF62" i="5"/>
  <c r="AD62" i="5"/>
  <c r="AB62" i="5"/>
  <c r="AF45" i="5"/>
  <c r="AD45" i="5"/>
  <c r="AB45" i="5"/>
  <c r="B45" i="5" s="1"/>
  <c r="AF44" i="5"/>
  <c r="AD44" i="5"/>
  <c r="AB44" i="5"/>
  <c r="AF43" i="5"/>
  <c r="AD43" i="5"/>
  <c r="AB43" i="5"/>
  <c r="AF42" i="5"/>
  <c r="AD42" i="5"/>
  <c r="AB42" i="5"/>
  <c r="AF41" i="5"/>
  <c r="AD41" i="5"/>
  <c r="AB41" i="5"/>
  <c r="B41" i="5" s="1"/>
  <c r="AF40" i="5"/>
  <c r="AD40" i="5"/>
  <c r="AB40" i="5"/>
  <c r="AF39" i="5"/>
  <c r="AD39" i="5"/>
  <c r="AB39" i="5"/>
  <c r="AF38" i="5"/>
  <c r="AD38" i="5"/>
  <c r="AB38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B19" i="5" s="1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F98" i="5"/>
  <c r="AD98" i="5"/>
  <c r="AB98" i="5"/>
  <c r="AF123" i="5"/>
  <c r="AD123" i="5"/>
  <c r="AB123" i="5"/>
  <c r="G173" i="5"/>
  <c r="G172" i="5"/>
  <c r="G163" i="5"/>
  <c r="G162" i="5"/>
  <c r="G153" i="5"/>
  <c r="G152" i="5"/>
  <c r="G142" i="5"/>
  <c r="G141" i="5"/>
  <c r="D173" i="5"/>
  <c r="D172" i="5"/>
  <c r="D163" i="5"/>
  <c r="D162" i="5"/>
  <c r="D153" i="5"/>
  <c r="D152" i="5"/>
  <c r="D142" i="5"/>
  <c r="D141" i="5"/>
  <c r="AF133" i="5"/>
  <c r="AD133" i="5"/>
  <c r="AB133" i="5"/>
  <c r="V133" i="5"/>
  <c r="U133" i="5"/>
  <c r="J133" i="5"/>
  <c r="I133" i="5"/>
  <c r="AF84" i="5"/>
  <c r="AD84" i="5"/>
  <c r="AB84" i="5"/>
  <c r="AF82" i="5"/>
  <c r="AD82" i="5"/>
  <c r="AB82" i="5"/>
  <c r="AF125" i="5"/>
  <c r="AD125" i="5"/>
  <c r="AB125" i="5"/>
  <c r="AF96" i="5"/>
  <c r="AD96" i="5"/>
  <c r="AB96" i="5"/>
  <c r="AF95" i="5"/>
  <c r="AD95" i="5"/>
  <c r="AB95" i="5"/>
  <c r="AF94" i="5"/>
  <c r="AD94" i="5"/>
  <c r="AB94" i="5"/>
  <c r="AF93" i="5"/>
  <c r="AD93" i="5"/>
  <c r="AB93" i="5"/>
  <c r="AF92" i="5"/>
  <c r="AD92" i="5"/>
  <c r="AB92" i="5"/>
  <c r="AF124" i="5"/>
  <c r="AD124" i="5"/>
  <c r="AB124" i="5"/>
  <c r="AF122" i="5"/>
  <c r="AD122" i="5"/>
  <c r="AB122" i="5"/>
  <c r="V165" i="5"/>
  <c r="V155" i="5"/>
  <c r="V140" i="5"/>
  <c r="V139" i="5"/>
  <c r="V145" i="5"/>
  <c r="V151" i="5"/>
  <c r="J140" i="5"/>
  <c r="I140" i="5"/>
  <c r="J151" i="5"/>
  <c r="J161" i="5"/>
  <c r="V161" i="5" s="1"/>
  <c r="J171" i="5"/>
  <c r="V171" i="5" s="1"/>
  <c r="J165" i="5"/>
  <c r="J155" i="5"/>
  <c r="U130" i="5"/>
  <c r="U129" i="5"/>
  <c r="U128" i="5"/>
  <c r="U139" i="5"/>
  <c r="U140" i="5"/>
  <c r="AF137" i="5"/>
  <c r="AD137" i="5"/>
  <c r="AB137" i="5"/>
  <c r="AF135" i="5"/>
  <c r="AD135" i="5"/>
  <c r="AB135" i="5"/>
  <c r="J145" i="5"/>
  <c r="J130" i="5"/>
  <c r="I130" i="5"/>
  <c r="I129" i="5"/>
  <c r="I128" i="5"/>
  <c r="J142" i="5"/>
  <c r="J141" i="5"/>
  <c r="J153" i="5"/>
  <c r="J152" i="5"/>
  <c r="J162" i="5"/>
  <c r="J163" i="5"/>
  <c r="J172" i="5"/>
  <c r="J173" i="5"/>
  <c r="AF179" i="5"/>
  <c r="AD179" i="5"/>
  <c r="AB179" i="5"/>
  <c r="V179" i="5"/>
  <c r="AF176" i="5"/>
  <c r="AD176" i="5"/>
  <c r="AB176" i="5"/>
  <c r="AF190" i="5"/>
  <c r="AD190" i="5"/>
  <c r="AB190" i="5"/>
  <c r="J190" i="5"/>
  <c r="I190" i="5"/>
  <c r="D190" i="5"/>
  <c r="AF189" i="5"/>
  <c r="AD189" i="5"/>
  <c r="AB189" i="5"/>
  <c r="J189" i="5"/>
  <c r="I189" i="5"/>
  <c r="D189" i="5"/>
  <c r="AF188" i="5"/>
  <c r="AD188" i="5"/>
  <c r="AB188" i="5"/>
  <c r="V188" i="5"/>
  <c r="AF187" i="5"/>
  <c r="AD187" i="5"/>
  <c r="AB187" i="5"/>
  <c r="B187" i="5" s="1"/>
  <c r="J187" i="5"/>
  <c r="I187" i="5"/>
  <c r="AF186" i="5"/>
  <c r="AD186" i="5"/>
  <c r="AB186" i="5"/>
  <c r="J186" i="5"/>
  <c r="I186" i="5"/>
  <c r="AF185" i="5"/>
  <c r="AD185" i="5"/>
  <c r="AB185" i="5"/>
  <c r="J185" i="5"/>
  <c r="I185" i="5"/>
  <c r="AF184" i="5"/>
  <c r="AD184" i="5"/>
  <c r="AB184" i="5"/>
  <c r="J184" i="5"/>
  <c r="I184" i="5"/>
  <c r="AF183" i="5"/>
  <c r="AD183" i="5"/>
  <c r="AB183" i="5"/>
  <c r="AF182" i="5"/>
  <c r="AD182" i="5"/>
  <c r="AB182" i="5"/>
  <c r="V197" i="5"/>
  <c r="V205" i="5"/>
  <c r="AF205" i="5"/>
  <c r="AD205" i="5"/>
  <c r="AB205" i="5"/>
  <c r="AF197" i="5"/>
  <c r="AD197" i="5"/>
  <c r="AB197" i="5"/>
  <c r="AF199" i="5"/>
  <c r="AD199" i="5"/>
  <c r="AB199" i="5"/>
  <c r="J199" i="5"/>
  <c r="I199" i="5"/>
  <c r="D199" i="5"/>
  <c r="AF198" i="5"/>
  <c r="AD198" i="5"/>
  <c r="AB198" i="5"/>
  <c r="J198" i="5"/>
  <c r="I198" i="5"/>
  <c r="D198" i="5"/>
  <c r="AF196" i="5"/>
  <c r="AD196" i="5"/>
  <c r="AB196" i="5"/>
  <c r="B196" i="5" s="1"/>
  <c r="J196" i="5"/>
  <c r="I196" i="5"/>
  <c r="AF195" i="5"/>
  <c r="AD195" i="5"/>
  <c r="AB195" i="5"/>
  <c r="J195" i="5"/>
  <c r="I195" i="5"/>
  <c r="AF194" i="5"/>
  <c r="AD194" i="5"/>
  <c r="AB194" i="5"/>
  <c r="J194" i="5"/>
  <c r="I194" i="5"/>
  <c r="AF193" i="5"/>
  <c r="AD193" i="5"/>
  <c r="AB193" i="5"/>
  <c r="J193" i="5"/>
  <c r="I193" i="5"/>
  <c r="AF192" i="5"/>
  <c r="AD192" i="5"/>
  <c r="AB192" i="5"/>
  <c r="AF191" i="5"/>
  <c r="AD191" i="5"/>
  <c r="AB191" i="5"/>
  <c r="J204" i="5"/>
  <c r="J203" i="5"/>
  <c r="I204" i="5"/>
  <c r="I203" i="5"/>
  <c r="J202" i="5"/>
  <c r="J201" i="5"/>
  <c r="I202" i="5"/>
  <c r="I201" i="5"/>
  <c r="AF203" i="5"/>
  <c r="AD203" i="5"/>
  <c r="AB203" i="5"/>
  <c r="AF201" i="5"/>
  <c r="AD201" i="5"/>
  <c r="AB201" i="5"/>
  <c r="AF204" i="5"/>
  <c r="AD204" i="5"/>
  <c r="AB204" i="5"/>
  <c r="AF202" i="5"/>
  <c r="AD202" i="5"/>
  <c r="AB202" i="5"/>
  <c r="J178" i="5"/>
  <c r="J177" i="5"/>
  <c r="I177" i="5"/>
  <c r="I178" i="5"/>
  <c r="AF178" i="5"/>
  <c r="AD178" i="5"/>
  <c r="AB178" i="5"/>
  <c r="AF177" i="5"/>
  <c r="AD177" i="5"/>
  <c r="AB177" i="5"/>
  <c r="J207" i="5"/>
  <c r="J206" i="5"/>
  <c r="J181" i="5"/>
  <c r="D207" i="5"/>
  <c r="D206" i="5"/>
  <c r="D181" i="5"/>
  <c r="J180" i="5"/>
  <c r="D180" i="5"/>
  <c r="U165" i="5"/>
  <c r="U155" i="5"/>
  <c r="U145" i="5"/>
  <c r="U171" i="5"/>
  <c r="U161" i="5"/>
  <c r="U151" i="5"/>
  <c r="AF151" i="5"/>
  <c r="AD151" i="5"/>
  <c r="AB151" i="5"/>
  <c r="I151" i="5"/>
  <c r="AF161" i="5"/>
  <c r="AD161" i="5"/>
  <c r="AB161" i="5"/>
  <c r="I161" i="5"/>
  <c r="I171" i="5"/>
  <c r="AF171" i="5"/>
  <c r="AD171" i="5"/>
  <c r="AB171" i="5"/>
  <c r="AF149" i="5"/>
  <c r="AD149" i="5"/>
  <c r="AB149" i="5"/>
  <c r="AF147" i="5"/>
  <c r="AD147" i="5"/>
  <c r="AB147" i="5"/>
  <c r="B147" i="5" s="1"/>
  <c r="AF145" i="5"/>
  <c r="AD145" i="5"/>
  <c r="AB145" i="5"/>
  <c r="I145" i="5"/>
  <c r="AF163" i="5"/>
  <c r="AD163" i="5"/>
  <c r="AB163" i="5"/>
  <c r="AF162" i="5"/>
  <c r="AD162" i="5"/>
  <c r="AB162" i="5"/>
  <c r="AF160" i="5"/>
  <c r="AD160" i="5"/>
  <c r="AB160" i="5"/>
  <c r="AF159" i="5"/>
  <c r="AD159" i="5"/>
  <c r="AB159" i="5"/>
  <c r="AF158" i="5"/>
  <c r="AD158" i="5"/>
  <c r="AB158" i="5"/>
  <c r="AF157" i="5"/>
  <c r="AD157" i="5"/>
  <c r="AB157" i="5"/>
  <c r="AF155" i="5"/>
  <c r="AD155" i="5"/>
  <c r="AB155" i="5"/>
  <c r="I155" i="5"/>
  <c r="AF154" i="5"/>
  <c r="AF169" i="5"/>
  <c r="AD169" i="5"/>
  <c r="AB169" i="5"/>
  <c r="AF167" i="5"/>
  <c r="AD167" i="5"/>
  <c r="AB167" i="5"/>
  <c r="I165" i="5"/>
  <c r="AF165" i="5"/>
  <c r="AD165" i="5"/>
  <c r="AB165" i="5"/>
  <c r="AF173" i="5"/>
  <c r="AF172" i="5"/>
  <c r="AF170" i="5"/>
  <c r="AF168" i="5"/>
  <c r="AF164" i="5"/>
  <c r="AD173" i="5"/>
  <c r="AB173" i="5"/>
  <c r="AD172" i="5"/>
  <c r="AB172" i="5"/>
  <c r="AD170" i="5"/>
  <c r="AB170" i="5"/>
  <c r="AD168" i="5"/>
  <c r="AB168" i="5"/>
  <c r="I51" i="5"/>
  <c r="AF60" i="5"/>
  <c r="AD60" i="5"/>
  <c r="AB60" i="5"/>
  <c r="AF59" i="5"/>
  <c r="AD59" i="5"/>
  <c r="AB59" i="5"/>
  <c r="AF58" i="5"/>
  <c r="AD58" i="5"/>
  <c r="AB58" i="5"/>
  <c r="J55" i="5"/>
  <c r="J54" i="5"/>
  <c r="J53" i="5"/>
  <c r="J52" i="5"/>
  <c r="J51" i="5"/>
  <c r="J50" i="5"/>
  <c r="J49" i="5"/>
  <c r="J48" i="5"/>
  <c r="I53" i="5"/>
  <c r="I55" i="5"/>
  <c r="I54" i="5"/>
  <c r="I52" i="5"/>
  <c r="I50" i="5"/>
  <c r="I49" i="5"/>
  <c r="I48" i="5"/>
  <c r="AF215" i="5"/>
  <c r="AF214" i="5"/>
  <c r="AF213" i="5"/>
  <c r="AF212" i="5"/>
  <c r="AF211" i="5"/>
  <c r="AF210" i="5"/>
  <c r="AF209" i="5"/>
  <c r="AF208" i="5"/>
  <c r="AF207" i="5"/>
  <c r="AF206" i="5"/>
  <c r="AF200" i="5"/>
  <c r="AF181" i="5"/>
  <c r="AF180" i="5"/>
  <c r="AF175" i="5"/>
  <c r="AF174" i="5"/>
  <c r="AF153" i="5"/>
  <c r="AF152" i="5"/>
  <c r="AD215" i="5"/>
  <c r="AD214" i="5"/>
  <c r="AD213" i="5"/>
  <c r="AD212" i="5"/>
  <c r="AD211" i="5"/>
  <c r="AD210" i="5"/>
  <c r="AD209" i="5"/>
  <c r="AD208" i="5"/>
  <c r="AD207" i="5"/>
  <c r="AD206" i="5"/>
  <c r="AD200" i="5"/>
  <c r="AD181" i="5"/>
  <c r="AD180" i="5"/>
  <c r="AD175" i="5"/>
  <c r="AD174" i="5"/>
  <c r="AD153" i="5"/>
  <c r="AD152" i="5"/>
  <c r="AB215" i="5"/>
  <c r="AB214" i="5"/>
  <c r="AB213" i="5"/>
  <c r="AB212" i="5"/>
  <c r="AB211" i="5"/>
  <c r="AB210" i="5"/>
  <c r="AB209" i="5"/>
  <c r="AB208" i="5"/>
  <c r="AB207" i="5"/>
  <c r="AB206" i="5"/>
  <c r="AB200" i="5"/>
  <c r="AB181" i="5"/>
  <c r="AB180" i="5"/>
  <c r="AB175" i="5"/>
  <c r="AB174" i="5"/>
  <c r="AB153" i="5"/>
  <c r="I207" i="5"/>
  <c r="I206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I181" i="5"/>
  <c r="I180" i="5"/>
  <c r="AF150" i="5"/>
  <c r="AF148" i="5"/>
  <c r="AD150" i="5"/>
  <c r="AD148" i="5"/>
  <c r="AB152" i="5"/>
  <c r="AB150" i="5"/>
  <c r="AB148" i="5"/>
  <c r="AF144" i="5"/>
  <c r="AF143" i="5"/>
  <c r="AF142" i="5"/>
  <c r="AF141" i="5"/>
  <c r="AF140" i="5"/>
  <c r="AF139" i="5"/>
  <c r="AF138" i="5"/>
  <c r="AF136" i="5"/>
  <c r="AF132" i="5"/>
  <c r="AF131" i="5"/>
  <c r="AF130" i="5"/>
  <c r="AF129" i="5"/>
  <c r="AF128" i="5"/>
  <c r="AF127" i="5"/>
  <c r="AF126" i="5"/>
  <c r="AF121" i="5"/>
  <c r="AF120" i="5"/>
  <c r="AF119" i="5"/>
  <c r="AF118" i="5"/>
  <c r="AF117" i="5"/>
  <c r="AF116" i="5"/>
  <c r="AF115" i="5"/>
  <c r="AF114" i="5"/>
  <c r="AF113" i="5"/>
  <c r="AF112" i="5"/>
  <c r="AF111" i="5"/>
  <c r="AF110" i="5"/>
  <c r="AF109" i="5"/>
  <c r="AF108" i="5"/>
  <c r="AF107" i="5"/>
  <c r="AF106" i="5"/>
  <c r="AF105" i="5"/>
  <c r="AF104" i="5"/>
  <c r="AF103" i="5"/>
  <c r="AF102" i="5"/>
  <c r="AF101" i="5"/>
  <c r="AF100" i="5"/>
  <c r="AF99" i="5"/>
  <c r="AF97" i="5"/>
  <c r="AF91" i="5"/>
  <c r="AF90" i="5"/>
  <c r="AF89" i="5"/>
  <c r="AF88" i="5"/>
  <c r="AF87" i="5"/>
  <c r="AF86" i="5"/>
  <c r="AF85" i="5"/>
  <c r="AF83" i="5"/>
  <c r="AF81" i="5"/>
  <c r="AF57" i="5"/>
  <c r="AF55" i="5"/>
  <c r="AF54" i="5"/>
  <c r="AF53" i="5"/>
  <c r="AF52" i="5"/>
  <c r="AF51" i="5"/>
  <c r="AF50" i="5"/>
  <c r="AF49" i="5"/>
  <c r="AF48" i="5"/>
  <c r="AD144" i="5"/>
  <c r="AD143" i="5"/>
  <c r="AD142" i="5"/>
  <c r="AD141" i="5"/>
  <c r="AD140" i="5"/>
  <c r="AD139" i="5"/>
  <c r="AD138" i="5"/>
  <c r="AD136" i="5"/>
  <c r="AD132" i="5"/>
  <c r="AD131" i="5"/>
  <c r="AD130" i="5"/>
  <c r="AD129" i="5"/>
  <c r="AD128" i="5"/>
  <c r="AD127" i="5"/>
  <c r="AD126" i="5"/>
  <c r="AD121" i="5"/>
  <c r="AD120" i="5"/>
  <c r="AD119" i="5"/>
  <c r="AD118" i="5"/>
  <c r="AD117" i="5"/>
  <c r="AD116" i="5"/>
  <c r="AD115" i="5"/>
  <c r="AD114" i="5"/>
  <c r="AD113" i="5"/>
  <c r="AD112" i="5"/>
  <c r="AD111" i="5"/>
  <c r="AD110" i="5"/>
  <c r="AD109" i="5"/>
  <c r="AD108" i="5"/>
  <c r="AD107" i="5"/>
  <c r="AD106" i="5"/>
  <c r="AD105" i="5"/>
  <c r="AD104" i="5"/>
  <c r="AD103" i="5"/>
  <c r="AD102" i="5"/>
  <c r="AD101" i="5"/>
  <c r="AD100" i="5"/>
  <c r="AD99" i="5"/>
  <c r="AD97" i="5"/>
  <c r="AD91" i="5"/>
  <c r="AD90" i="5"/>
  <c r="AD89" i="5"/>
  <c r="AD88" i="5"/>
  <c r="AD87" i="5"/>
  <c r="AD86" i="5"/>
  <c r="AD85" i="5"/>
  <c r="AD83" i="5"/>
  <c r="AD81" i="5"/>
  <c r="AD57" i="5"/>
  <c r="AD55" i="5"/>
  <c r="AD54" i="5"/>
  <c r="AD53" i="5"/>
  <c r="AD52" i="5"/>
  <c r="AD51" i="5"/>
  <c r="AD50" i="5"/>
  <c r="AD49" i="5"/>
  <c r="AB144" i="5"/>
  <c r="AB143" i="5"/>
  <c r="AB142" i="5"/>
  <c r="AB141" i="5"/>
  <c r="AB140" i="5"/>
  <c r="AB139" i="5"/>
  <c r="AB138" i="5"/>
  <c r="AB136" i="5"/>
  <c r="AB132" i="5"/>
  <c r="AB131" i="5"/>
  <c r="AB130" i="5"/>
  <c r="AB129" i="5"/>
  <c r="AB128" i="5"/>
  <c r="AB127" i="5"/>
  <c r="AB126" i="5"/>
  <c r="AB121" i="5"/>
  <c r="AB120" i="5"/>
  <c r="AB119" i="5"/>
  <c r="AB118" i="5"/>
  <c r="AB117" i="5"/>
  <c r="AB116" i="5"/>
  <c r="AB115" i="5"/>
  <c r="AB114" i="5"/>
  <c r="AB113" i="5"/>
  <c r="AB112" i="5"/>
  <c r="AB111" i="5"/>
  <c r="AB110" i="5"/>
  <c r="AB109" i="5"/>
  <c r="AB108" i="5"/>
  <c r="AB107" i="5"/>
  <c r="AB106" i="5"/>
  <c r="AB105" i="5"/>
  <c r="AB104" i="5"/>
  <c r="AB103" i="5"/>
  <c r="AB102" i="5"/>
  <c r="AB101" i="5"/>
  <c r="AB100" i="5"/>
  <c r="AB99" i="5"/>
  <c r="AB97" i="5"/>
  <c r="AB91" i="5"/>
  <c r="AB90" i="5"/>
  <c r="AB89" i="5"/>
  <c r="AB88" i="5"/>
  <c r="AB87" i="5"/>
  <c r="AB86" i="5"/>
  <c r="AB85" i="5"/>
  <c r="AB83" i="5"/>
  <c r="AB81" i="5"/>
  <c r="AB57" i="5"/>
  <c r="AB55" i="5"/>
  <c r="AB54" i="5"/>
  <c r="AB53" i="5"/>
  <c r="AB52" i="5"/>
  <c r="AB51" i="5"/>
  <c r="AB50" i="5"/>
  <c r="AB49" i="5"/>
  <c r="AB48" i="5"/>
  <c r="D91" i="5"/>
  <c r="D97" i="5"/>
  <c r="D90" i="5"/>
  <c r="D89" i="5"/>
  <c r="D88" i="5"/>
  <c r="D85" i="5"/>
  <c r="D83" i="5"/>
  <c r="AD48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64" i="5" l="1"/>
  <c r="B15" i="5"/>
  <c r="B185" i="5"/>
  <c r="B32" i="5"/>
  <c r="B28" i="5"/>
  <c r="B30" i="5"/>
  <c r="B71" i="5"/>
  <c r="B36" i="5"/>
  <c r="B56" i="5"/>
  <c r="B73" i="5"/>
  <c r="B69" i="5"/>
  <c r="B75" i="5"/>
  <c r="B68" i="5"/>
  <c r="B39" i="5"/>
  <c r="B72" i="5"/>
  <c r="B38" i="5"/>
  <c r="B65" i="5"/>
  <c r="B63" i="5"/>
  <c r="B66" i="5"/>
  <c r="B70" i="5"/>
  <c r="B14" i="5"/>
  <c r="B98" i="5"/>
  <c r="B25" i="5"/>
  <c r="B62" i="5"/>
  <c r="B43" i="5"/>
  <c r="B177" i="5"/>
  <c r="B23" i="5"/>
  <c r="B22" i="5"/>
  <c r="B44" i="5"/>
  <c r="B17" i="5"/>
  <c r="B42" i="5"/>
  <c r="B40" i="5"/>
  <c r="B151" i="5"/>
  <c r="B13" i="5"/>
  <c r="B24" i="5"/>
  <c r="B21" i="5"/>
  <c r="B137" i="5"/>
  <c r="B12" i="5"/>
  <c r="B20" i="5"/>
  <c r="B18" i="5"/>
  <c r="B16" i="5"/>
  <c r="B149" i="5"/>
  <c r="B11" i="5"/>
  <c r="B155" i="5"/>
  <c r="B133" i="5"/>
  <c r="B94" i="5"/>
  <c r="B183" i="5"/>
  <c r="B123" i="5"/>
  <c r="B96" i="5"/>
  <c r="B179" i="5"/>
  <c r="B82" i="5"/>
  <c r="B159" i="5"/>
  <c r="B84" i="5"/>
  <c r="B160" i="5"/>
  <c r="B197" i="5"/>
  <c r="B190" i="5"/>
  <c r="B205" i="5"/>
  <c r="B125" i="5"/>
  <c r="B95" i="5"/>
  <c r="B199" i="5"/>
  <c r="B124" i="5"/>
  <c r="B122" i="5"/>
  <c r="B194" i="5"/>
  <c r="B135" i="5"/>
  <c r="B188" i="5"/>
  <c r="B203" i="5"/>
  <c r="B176" i="5"/>
  <c r="B202" i="5"/>
  <c r="B193" i="5"/>
  <c r="B178" i="5"/>
  <c r="B184" i="5"/>
  <c r="B60" i="5"/>
  <c r="B192" i="5"/>
  <c r="B189" i="5"/>
  <c r="B186" i="5"/>
  <c r="B198" i="5"/>
  <c r="B162" i="5"/>
  <c r="B195" i="5"/>
  <c r="B171" i="5"/>
  <c r="B204" i="5"/>
  <c r="B201" i="5"/>
  <c r="B173" i="5"/>
  <c r="B172" i="5"/>
  <c r="B170" i="5"/>
  <c r="B168" i="5"/>
  <c r="B150" i="5"/>
  <c r="B163" i="5"/>
  <c r="B161" i="5"/>
  <c r="B145" i="5"/>
  <c r="B158" i="5"/>
  <c r="B148" i="5"/>
  <c r="B157" i="5"/>
  <c r="B169" i="5"/>
  <c r="B165" i="5"/>
  <c r="B167" i="5"/>
  <c r="B58" i="5"/>
  <c r="B215" i="5"/>
  <c r="B214" i="5"/>
  <c r="B213" i="5"/>
  <c r="B212" i="5"/>
  <c r="B211" i="5"/>
  <c r="B210" i="5"/>
  <c r="B207" i="5"/>
  <c r="B206" i="5"/>
  <c r="B181" i="5"/>
  <c r="B180" i="5"/>
  <c r="B55" i="5"/>
  <c r="B152" i="5"/>
  <c r="B103" i="5"/>
  <c r="B140" i="5"/>
  <c r="B118" i="5"/>
  <c r="B111" i="5"/>
  <c r="B91" i="5"/>
  <c r="B141" i="5"/>
  <c r="B113" i="5"/>
  <c r="B89" i="5"/>
  <c r="B138" i="5"/>
  <c r="B105" i="5"/>
  <c r="B83" i="5"/>
  <c r="B136" i="5"/>
  <c r="B142" i="5"/>
  <c r="B88" i="5"/>
  <c r="B139" i="5"/>
  <c r="B153" i="5"/>
  <c r="B59" i="5"/>
  <c r="B120" i="5"/>
  <c r="B101" i="5"/>
  <c r="B119" i="5"/>
  <c r="B109" i="5"/>
  <c r="B104" i="5"/>
  <c r="B52" i="5"/>
  <c r="B90" i="5"/>
  <c r="B106" i="5"/>
  <c r="B130" i="5"/>
  <c r="B110" i="5"/>
  <c r="B108" i="5"/>
  <c r="B107" i="5"/>
  <c r="B129" i="5"/>
  <c r="B102" i="5"/>
  <c r="B116" i="5"/>
  <c r="B115" i="5"/>
  <c r="B114" i="5"/>
  <c r="B112" i="5"/>
  <c r="B85" i="5"/>
  <c r="B128" i="5"/>
  <c r="B121" i="5"/>
  <c r="B117" i="5"/>
  <c r="B97" i="5"/>
  <c r="B49" i="5"/>
  <c r="B51" i="5"/>
  <c r="B48" i="5"/>
  <c r="B54" i="5"/>
  <c r="B50" i="5"/>
  <c r="B53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<sst xmlns="http://schemas.openxmlformats.org/spreadsheetml/2006/main" count="2054" uniqueCount="329">
  <si>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</si>
  <si>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</si>
  <si>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</si>
  <si>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</si>
  <si>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</si>
  <si>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</si>
  <si>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</si>
  <si>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</si>
  <si>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</si>
  <si>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</si>
  <si>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</si>
  <si>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</si>
  <si>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</si>
  <si>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</si>
  <si>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</si>
  <si>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</si>
  <si>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</si>
  <si>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</si>
  <si>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</si>
  <si>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</si>
  <si>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</si>
  <si>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</si>
  <si>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</si>
  <si>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</si>
  <si>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</si>
  <si>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</si>
  <si>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</si>
  <si>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</si>
  <si>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</si>
  <si>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</si>
  <si>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</si>
  <si>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</si>
  <si>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</si>
  <si>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</si>
  <si>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</si>
  <si>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</si>
  <si>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</si>
  <si>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</si>
  <si>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</si>
  <si>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</si>
  <si>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</si>
  <si>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</si>
  <si>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</si>
  <si>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</si>
  <si>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</si>
  <si>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</si>
  <si>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</si>
  <si>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</si>
  <si>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</si>
  <si>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</si>
  <si>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</si>
  <si>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</si>
  <si>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</si>
  <si>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</si>
  <si>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</si>
  <si>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</si>
  <si>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</si>
  <si>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</si>
  <si>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</si>
  <si>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</si>
  <si>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</si>
  <si>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</si>
  <si>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</si>
  <si>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</si>
  <si>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</si>
  <si>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</si>
  <si>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</si>
  <si>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</si>
  <si>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</si>
  <si>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</si>
  <si>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</si>
  <si>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</si>
  <si>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</si>
  <si>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</si>
  <si>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</si>
  <si>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</si>
  <si>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</si>
  <si>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</si>
  <si>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</si>
  <si>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</si>
  <si>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</si>
  <si>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</si>
  <si>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</si>
  <si>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</si>
  <si>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</si>
  <si>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</si>
  <si>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</si>
  <si>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</si>
  <si>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</si>
  <si>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</si>
  <si>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</si>
  <si>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</si>
  <si>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</si>
  <si>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</si>
  <si>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</si>
  <si>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</si>
  <si>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</si>
  <si>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</si>
  <si>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</si>
  <si>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</si>
  <si>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</si>
  <si>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</si>
  <si>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</si>
  <si>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</si>
  <si>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</si>
  <si>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</si>
  <si>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</si>
  <si>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</si>
  <si>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</si>
  <si>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</si>
  <si>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</si>
  <si>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</si>
  <si>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</si>
  <si>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</si>
  <si>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</si>
  <si>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</si>
  <si>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</si>
  <si>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</si>
  <si>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</si>
  <si>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</si>
  <si>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</si>
  <si>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</si>
  <si>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</si>
  <si>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</si>
  <si>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</si>
  <si>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</si>
  <si>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</si>
  <si>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</si>
  <si>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</si>
  <si>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</si>
  <si>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</si>
  <si>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</si>
  <si>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</si>
  <si>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</si>
  <si>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</si>
  <si>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</si>
  <si>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</si>
  <si>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</si>
  <si>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</si>
  <si>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</si>
  <si>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</si>
  <si>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</si>
  <si>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</si>
  <si>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</si>
  <si>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</si>
  <si>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</si>
  <si>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</si>
  <si>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</si>
  <si>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</si>
  <si>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</si>
  <si>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</si>
  <si>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</si>
  <si>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</si>
  <si>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</si>
  <si>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</si>
  <si>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</si>
  <si>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</si>
  <si>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</si>
  <si>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</si>
  <si>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</si>
  <si>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</si>
  <si>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</si>
  <si>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</si>
  <si>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</si>
  <si>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</si>
  <si>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</si>
  <si>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</si>
  <si>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</si>
  <si>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</si>
  <si>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</si>
  <si>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</si>
  <si>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</si>
  <si>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</si>
  <si>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</si>
  <si>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</si>
  <si>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</si>
  <si>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</si>
  <si>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</si>
  <si>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</si>
  <si>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</si>
  <si>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</si>
  <si>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</si>
  <si>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</si>
  <si>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</si>
  <si>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</si>
  <si>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</si>
  <si>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</si>
  <si>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</si>
  <si>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</si>
  <si>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</si>
  <si>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</si>
  <si>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</si>
  <si>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</si>
  <si>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</si>
  <si>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</si>
  <si>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</si>
  <si>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</si>
  <si>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</si>
  <si>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</si>
  <si>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</si>
  <si>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</si>
  <si>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</si>
  <si>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</si>
  <si>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</si>
  <si>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</si>
  <si>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</si>
  <si>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</si>
  <si>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</si>
  <si>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</si>
  <si>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</si>
  <si>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</si>
  <si>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</si>
  <si>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</si>
  <si>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</si>
  <si>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</si>
  <si>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</si>
  <si>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</si>
  <si>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</si>
  <si>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</si>
  <si>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</si>
  <si>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</si>
  <si>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</si>
  <si>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</si>
  <si>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</si>
  <si>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</si>
  <si>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</si>
  <si>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</si>
  <si>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</si>
  <si>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</si>
  <si>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</si>
  <si>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</si>
  <si>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</si>
  <si>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</si>
  <si>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</si>
  <si>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paved_or_uk_farzoom</t>
  </si>
  <si>
    <t>unpaved_farzoom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</si>
  <si>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</si>
  <si>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</si>
  <si>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</si>
  <si>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</si>
  <si>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</si>
  <si>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</si>
  <si>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</si>
  <si>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</si>
  <si>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</si>
  <si>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</si>
  <si>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</si>
  <si>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</si>
  <si>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</si>
  <si>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</si>
  <si>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</si>
  <si>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</si>
  <si>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</si>
  <si>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</si>
  <si>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</si>
  <si>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</si>
  <si>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</si>
  <si>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</si>
  <si>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</si>
  <si>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</si>
  <si>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</si>
  <si>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</si>
  <si>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</si>
  <si>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</si>
  <si>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</si>
  <si>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</si>
  <si>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</si>
  <si>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</si>
  <si>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</si>
  <si>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</si>
  <si>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unpaved_default</t>
  </si>
  <si>
    <t>paved_or_uk_default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</si>
  <si>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</si>
  <si>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</si>
  <si>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</si>
  <si>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</si>
  <si>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</si>
  <si>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</si>
  <si>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</si>
  <si>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</si>
  <si>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</si>
  <si>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</si>
  <si>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</si>
  <si>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</si>
  <si>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</si>
  <si>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</si>
  <si>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</si>
  <si>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</si>
  <si>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</si>
  <si>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</si>
  <si>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</si>
  <si>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</si>
  <si>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</si>
  <si>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</si>
  <si>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</si>
  <si>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</si>
  <si>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</si>
  <si>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</si>
  <si>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</si>
  <si>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</si>
  <si>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</si>
  <si>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</si>
  <si>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</si>
  <si>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</si>
  <si>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</si>
  <si>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1</t>
  </si>
  <si>
    <t>2</t>
  </si>
  <si>
    <t>widest</t>
  </si>
  <si>
    <t>4</t>
  </si>
  <si>
    <t>6</t>
  </si>
  <si>
    <t>3</t>
  </si>
  <si>
    <t>9</t>
  </si>
  <si>
    <t>5</t>
  </si>
  <si>
    <t>15</t>
  </si>
  <si>
    <t>null</t>
  </si>
  <si>
    <t>protected_area</t>
  </si>
  <si>
    <t>"#666666"</t>
  </si>
  <si>
    <t>"#999999"</t>
  </si>
  <si>
    <t>state</t>
  </si>
  <si>
    <t>"#663333"</t>
  </si>
  <si>
    <t>"#cc9999"</t>
  </si>
  <si>
    <t>country_other</t>
  </si>
  <si>
    <t>"#323243"</t>
  </si>
  <si>
    <t>"#bcbccd"</t>
  </si>
  <si>
    <t>country_minor</t>
  </si>
  <si>
    <t>country_medium</t>
  </si>
  <si>
    <t>country_major</t>
  </si>
  <si>
    <t>bicycle_no_farzoom</t>
  </si>
  <si>
    <t>bicycle_no_default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</si>
</sst>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01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24" borderId="0" xfId="0" applyNumberFormat="1" applyFill="1" applyAlignment="1">
      <alignment horizontal="left"/>
    </xf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K234"/>
  <sheetViews>
    <sheetView tabSelected="1" topLeftCell="A3" zoomScale="85" zoomScaleNormal="85" workbookViewId="0">
      <pane ySplit="4" topLeftCell="A7" activePane="bottomLeft" state="frozen"/>
      <selection activeCell="A3" sqref="A3"/>
      <selection pane="bottomLeft" activeCell="G101" sqref="G101"/>
    </sheetView>
  </sheetViews>
  <sheetFormatPr defaultRowHeight="13.5" x14ac:dyDescent="0.25"/>
  <cols>
    <col min="1" max="1" width="2.7109375" style="28" customWidth="1"/>
    <col min="2" max="2" width="40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2.7109375" style="28" customWidth="1"/>
    <col min="34" max="16384" width="9.140625" style="28"/>
  </cols>
  <sheetData>
    <row r="1" spans="1:33" x14ac:dyDescent="0.25">
      <c r="A1" s="28" t="s">
        <v>219</v>
      </c>
    </row>
    <row r="3" spans="1:33" s="26" customFormat="1" x14ac:dyDescent="0.25">
      <c r="B3" s="26" t="s">
        <v>0</v>
      </c>
      <c r="C3" s="26" t="s">
        <v>107</v>
      </c>
      <c r="I3" s="26" t="s">
        <v>158</v>
      </c>
      <c r="O3" s="26" t="s">
        <v>163</v>
      </c>
      <c r="U3" s="26" t="s">
        <v>168</v>
      </c>
    </row>
    <row r="4" spans="1:33" s="26" customFormat="1" x14ac:dyDescent="0.25">
      <c r="C4" s="26" t="s">
        <v>224</v>
      </c>
      <c r="F4" s="26" t="s">
        <v>225</v>
      </c>
    </row>
    <row r="5" spans="1:33" s="26" customFormat="1" x14ac:dyDescent="0.25">
      <c r="C5" s="26" t="s">
        <v>153</v>
      </c>
      <c r="D5" s="26" t="s">
        <v>11</v>
      </c>
      <c r="F5" s="26" t="s">
        <v>153</v>
      </c>
      <c r="G5" s="26" t="s">
        <v>11</v>
      </c>
      <c r="I5" s="26" t="s">
        <v>153</v>
      </c>
      <c r="J5" s="26" t="s">
        <v>11</v>
      </c>
      <c r="L5" s="26" t="s">
        <v>153</v>
      </c>
      <c r="M5" s="26" t="s">
        <v>11</v>
      </c>
      <c r="O5" s="26" t="s">
        <v>153</v>
      </c>
      <c r="P5" s="26" t="s">
        <v>11</v>
      </c>
      <c r="R5" s="26" t="s">
        <v>153</v>
      </c>
      <c r="S5" s="26" t="s">
        <v>11</v>
      </c>
      <c r="U5" s="26" t="s">
        <v>153</v>
      </c>
      <c r="V5" s="26" t="s">
        <v>11</v>
      </c>
      <c r="X5" s="26" t="s">
        <v>153</v>
      </c>
      <c r="Y5" s="26" t="s">
        <v>11</v>
      </c>
    </row>
    <row r="6" spans="1:33" s="26" customFormat="1" x14ac:dyDescent="0.25">
      <c r="C6" s="26" t="s">
        <v>154</v>
      </c>
      <c r="D6" s="26" t="s">
        <v>156</v>
      </c>
      <c r="F6" s="26" t="s">
        <v>155</v>
      </c>
      <c r="G6" s="26" t="s">
        <v>157</v>
      </c>
      <c r="I6" s="26" t="s">
        <v>159</v>
      </c>
      <c r="J6" s="26" t="s">
        <v>161</v>
      </c>
      <c r="L6" s="26" t="s">
        <v>160</v>
      </c>
      <c r="M6" s="26" t="s">
        <v>162</v>
      </c>
      <c r="O6" s="26" t="s">
        <v>164</v>
      </c>
      <c r="P6" s="26" t="s">
        <v>166</v>
      </c>
      <c r="R6" s="26" t="s">
        <v>165</v>
      </c>
      <c r="S6" s="26" t="s">
        <v>167</v>
      </c>
      <c r="U6" s="26" t="s">
        <v>169</v>
      </c>
      <c r="V6" s="26" t="s">
        <v>171</v>
      </c>
      <c r="X6" s="26" t="s">
        <v>170</v>
      </c>
      <c r="Y6" s="26" t="s">
        <v>172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</row>
    <row r="7" spans="1:33" s="5" customFormat="1" x14ac:dyDescent="0.25">
      <c r="A7" s="27" t="s">
        <v>275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</row>
    <row r="8" spans="1:33" x14ac:dyDescent="0.25">
      <c r="B8" s="7" t="s">
        <v>274</v>
      </c>
      <c r="C8" s="28" t="s">
        <v>273</v>
      </c>
      <c r="D8" s="28" t="s">
        <v>273</v>
      </c>
      <c r="F8" s="28" t="s">
        <v>276</v>
      </c>
      <c r="G8" s="28" t="s">
        <v>276</v>
      </c>
      <c r="I8" s="28" t="s">
        <v>273</v>
      </c>
      <c r="J8" s="28" t="s">
        <v>273</v>
      </c>
      <c r="L8" s="28" t="s">
        <v>276</v>
      </c>
      <c r="M8" s="28" t="s">
        <v>276</v>
      </c>
      <c r="O8" s="28" t="s">
        <v>273</v>
      </c>
      <c r="P8" s="28" t="s">
        <v>273</v>
      </c>
      <c r="R8" s="28" t="s">
        <v>276</v>
      </c>
      <c r="S8" s="28" t="s">
        <v>276</v>
      </c>
      <c r="U8" s="28" t="s">
        <v>273</v>
      </c>
      <c r="V8" s="28" t="s">
        <v>273</v>
      </c>
      <c r="X8" s="28" t="s">
        <v>276</v>
      </c>
      <c r="Y8" s="28" t="s">
        <v>276</v>
      </c>
      <c r="AA8" s="2"/>
      <c r="AB8" s="2"/>
      <c r="AC8" s="2"/>
      <c r="AD8" s="2"/>
      <c r="AE8" s="2"/>
      <c r="AF8" s="2"/>
      <c r="AG8" s="2"/>
    </row>
    <row r="9" spans="1:33" s="26" customFormat="1" x14ac:dyDescent="0.25">
      <c r="AA9" s="1"/>
      <c r="AB9" s="1"/>
      <c r="AC9" s="1"/>
      <c r="AD9" s="1"/>
      <c r="AE9" s="1"/>
      <c r="AF9" s="1"/>
      <c r="AG9" s="1"/>
    </row>
    <row r="10" spans="1:33" s="5" customFormat="1" x14ac:dyDescent="0.25">
      <c r="A10" s="27" t="s">
        <v>297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</row>
    <row r="11" spans="1:33" x14ac:dyDescent="0.25">
      <c r="B11" s="2" t="str">
        <f>_xlfn.CONCAT("@",AA11,AB11,AC11,AD11,AE11,AF11,AG11)</f>
        <v>@color-label_parking_default</v>
      </c>
      <c r="C11" s="37" t="s">
        <v>217</v>
      </c>
      <c r="F11" s="38" t="s">
        <v>227</v>
      </c>
      <c r="I11" s="37" t="s">
        <v>217</v>
      </c>
      <c r="L11" s="38" t="s">
        <v>227</v>
      </c>
      <c r="O11" s="37" t="s">
        <v>217</v>
      </c>
      <c r="R11" s="38" t="s">
        <v>227</v>
      </c>
      <c r="U11" s="37" t="s">
        <v>217</v>
      </c>
      <c r="X11" s="38" t="s">
        <v>227</v>
      </c>
      <c r="AA11" s="2" t="s">
        <v>6</v>
      </c>
      <c r="AB11" s="2" t="str">
        <f t="shared" ref="AB11" si="0">IF(NOT(ISBLANK(AC11)),"-","")</f>
        <v>-</v>
      </c>
      <c r="AC11" s="2" t="s">
        <v>280</v>
      </c>
      <c r="AD11" s="2" t="str">
        <f t="shared" ref="AD11" si="1">IF(NOT(ISBLANK(AE11)),"_","")</f>
        <v>_</v>
      </c>
      <c r="AE11" s="2" t="s">
        <v>281</v>
      </c>
      <c r="AF11" s="2" t="str">
        <f t="shared" ref="AF11" si="2">IF(NOT(ISBLANK(AG11)),"_","")</f>
        <v>_</v>
      </c>
      <c r="AG11" s="2" t="s">
        <v>269</v>
      </c>
    </row>
    <row r="12" spans="1:33" x14ac:dyDescent="0.25">
      <c r="B12" s="2" t="str">
        <f>_xlfn.CONCAT("@",AA12,AB12,AC12,AD12,AE12,AF12,AG12)</f>
        <v>@color-label_parking_yes</v>
      </c>
      <c r="C12" s="38" t="s">
        <v>227</v>
      </c>
      <c r="F12" s="37" t="s">
        <v>217</v>
      </c>
      <c r="I12" s="38" t="s">
        <v>227</v>
      </c>
      <c r="L12" s="37" t="s">
        <v>217</v>
      </c>
      <c r="O12" s="38" t="s">
        <v>227</v>
      </c>
      <c r="R12" s="37" t="s">
        <v>217</v>
      </c>
      <c r="U12" s="38" t="s">
        <v>227</v>
      </c>
      <c r="X12" s="37" t="s">
        <v>217</v>
      </c>
      <c r="AA12" s="2" t="s">
        <v>6</v>
      </c>
      <c r="AB12" s="2" t="str">
        <f t="shared" ref="AB12" si="3">IF(NOT(ISBLANK(AC12)),"-","")</f>
        <v>-</v>
      </c>
      <c r="AC12" s="2" t="s">
        <v>280</v>
      </c>
      <c r="AD12" s="2" t="str">
        <f t="shared" ref="AD12" si="4">IF(NOT(ISBLANK(AE12)),"_","")</f>
        <v>_</v>
      </c>
      <c r="AE12" s="2" t="s">
        <v>281</v>
      </c>
      <c r="AF12" s="2" t="str">
        <f t="shared" ref="AF12" si="5">IF(NOT(ISBLANK(AG12)),"_","")</f>
        <v>_</v>
      </c>
      <c r="AG12" s="2" t="s">
        <v>282</v>
      </c>
    </row>
    <row r="13" spans="1:33" x14ac:dyDescent="0.25">
      <c r="B13" s="2" t="str">
        <f>_xlfn.CONCAT("@",AA13,AB13,AC13,AD13,AE13,AF13,AG13)</f>
        <v>@color-label_parking_no</v>
      </c>
      <c r="C13" s="39" t="s">
        <v>283</v>
      </c>
      <c r="F13" s="39" t="s">
        <v>283</v>
      </c>
      <c r="I13" s="39" t="s">
        <v>283</v>
      </c>
      <c r="L13" s="39" t="s">
        <v>283</v>
      </c>
      <c r="O13" s="39" t="s">
        <v>283</v>
      </c>
      <c r="R13" s="39" t="s">
        <v>283</v>
      </c>
      <c r="U13" s="39" t="s">
        <v>283</v>
      </c>
      <c r="X13" s="39" t="s">
        <v>283</v>
      </c>
      <c r="AA13" s="2" t="s">
        <v>6</v>
      </c>
      <c r="AB13" s="2" t="str">
        <f t="shared" ref="AB13:AB14" si="6">IF(NOT(ISBLANK(AC13)),"-","")</f>
        <v>-</v>
      </c>
      <c r="AC13" s="2" t="s">
        <v>280</v>
      </c>
      <c r="AD13" s="2" t="str">
        <f t="shared" ref="AD13:AD14" si="7">IF(NOT(ISBLANK(AE13)),"_","")</f>
        <v>_</v>
      </c>
      <c r="AE13" s="2" t="s">
        <v>281</v>
      </c>
      <c r="AF13" s="2" t="str">
        <f t="shared" ref="AF13:AF14" si="8">IF(NOT(ISBLANK(AG13)),"_","")</f>
        <v>_</v>
      </c>
      <c r="AG13" s="2" t="s">
        <v>44</v>
      </c>
    </row>
    <row r="14" spans="1:33" x14ac:dyDescent="0.25">
      <c r="B14" s="2" t="str">
        <f t="shared" ref="B14" si="9">_xlfn.CONCAT("@",AA14,AB14,AC14,AD14,AE14,AF14,AG14)</f>
        <v>@color-label_place_other</v>
      </c>
      <c r="C14" s="29" t="s">
        <v>287</v>
      </c>
      <c r="F14" s="30" t="s">
        <v>288</v>
      </c>
      <c r="AA14" s="2" t="s">
        <v>6</v>
      </c>
      <c r="AB14" s="2" t="str">
        <f t="shared" si="6"/>
        <v>-</v>
      </c>
      <c r="AC14" s="2" t="s">
        <v>280</v>
      </c>
      <c r="AD14" s="2" t="str">
        <f t="shared" si="7"/>
        <v>_</v>
      </c>
      <c r="AE14" s="2" t="s">
        <v>285</v>
      </c>
      <c r="AF14" s="2" t="str">
        <f t="shared" si="8"/>
        <v>_</v>
      </c>
      <c r="AG14" s="2" t="s">
        <v>286</v>
      </c>
    </row>
    <row r="15" spans="1:33" x14ac:dyDescent="0.25">
      <c r="B15" s="2" t="str">
        <f t="shared" ref="B15:B16" si="10">_xlfn.CONCAT("@",AA15,AB15,AC15,AD15,AE15,AF15,AG15)</f>
        <v>@color-label_halo_place_other</v>
      </c>
      <c r="C15" s="31" t="s">
        <v>290</v>
      </c>
      <c r="F15" s="32" t="s">
        <v>291</v>
      </c>
      <c r="AA15" s="2" t="s">
        <v>6</v>
      </c>
      <c r="AB15" s="2" t="str">
        <f t="shared" ref="AB15:AB16" si="11">IF(NOT(ISBLANK(AC15)),"-","")</f>
        <v>-</v>
      </c>
      <c r="AC15" s="2" t="s">
        <v>289</v>
      </c>
      <c r="AD15" s="2" t="str">
        <f t="shared" ref="AD15:AD16" si="12">IF(NOT(ISBLANK(AE15)),"_","")</f>
        <v>_</v>
      </c>
      <c r="AE15" s="2" t="s">
        <v>285</v>
      </c>
      <c r="AF15" s="2" t="str">
        <f t="shared" ref="AF15:AF16" si="13">IF(NOT(ISBLANK(AG15)),"_","")</f>
        <v>_</v>
      </c>
      <c r="AG15" s="2" t="s">
        <v>286</v>
      </c>
    </row>
    <row r="16" spans="1:33" x14ac:dyDescent="0.25">
      <c r="B16" s="2" t="str">
        <f t="shared" si="10"/>
        <v>@color-label_place_suburb_hamlet</v>
      </c>
      <c r="C16" s="29" t="s">
        <v>287</v>
      </c>
      <c r="F16" s="30" t="s">
        <v>288</v>
      </c>
      <c r="AA16" s="2" t="s">
        <v>6</v>
      </c>
      <c r="AB16" s="2" t="str">
        <f t="shared" si="11"/>
        <v>-</v>
      </c>
      <c r="AC16" s="2" t="s">
        <v>280</v>
      </c>
      <c r="AD16" s="2" t="str">
        <f t="shared" si="12"/>
        <v>_</v>
      </c>
      <c r="AE16" s="2" t="s">
        <v>285</v>
      </c>
      <c r="AF16" s="2" t="str">
        <f t="shared" si="13"/>
        <v>_</v>
      </c>
      <c r="AG16" s="2" t="s">
        <v>292</v>
      </c>
    </row>
    <row r="17" spans="2:33" x14ac:dyDescent="0.25">
      <c r="B17" s="2" t="str">
        <f t="shared" ref="B17:B18" si="14">_xlfn.CONCAT("@",AA17,AB17,AC17,AD17,AE17,AF17,AG17)</f>
        <v>@color-label_halo_place_suburb_hamlet</v>
      </c>
      <c r="C17" s="31" t="s">
        <v>290</v>
      </c>
      <c r="F17" s="32" t="s">
        <v>291</v>
      </c>
      <c r="AA17" s="2" t="s">
        <v>6</v>
      </c>
      <c r="AB17" s="2" t="str">
        <f t="shared" ref="AB17:AB18" si="15">IF(NOT(ISBLANK(AC17)),"-","")</f>
        <v>-</v>
      </c>
      <c r="AC17" s="2" t="s">
        <v>289</v>
      </c>
      <c r="AD17" s="2" t="str">
        <f t="shared" ref="AD17:AD18" si="16">IF(NOT(ISBLANK(AE17)),"_","")</f>
        <v>_</v>
      </c>
      <c r="AE17" s="2" t="s">
        <v>285</v>
      </c>
      <c r="AF17" s="2" t="str">
        <f t="shared" ref="AF17:AF18" si="17">IF(NOT(ISBLANK(AG17)),"_","")</f>
        <v>_</v>
      </c>
      <c r="AG17" s="2" t="s">
        <v>292</v>
      </c>
    </row>
    <row r="18" spans="2:33" x14ac:dyDescent="0.25">
      <c r="B18" s="2" t="str">
        <f t="shared" si="14"/>
        <v>@color-label_place_village</v>
      </c>
      <c r="C18" s="29" t="s">
        <v>287</v>
      </c>
      <c r="F18" s="30" t="s">
        <v>288</v>
      </c>
      <c r="AA18" s="2" t="s">
        <v>6</v>
      </c>
      <c r="AB18" s="2" t="str">
        <f t="shared" si="15"/>
        <v>-</v>
      </c>
      <c r="AC18" s="2" t="s">
        <v>280</v>
      </c>
      <c r="AD18" s="2" t="str">
        <f t="shared" si="16"/>
        <v>_</v>
      </c>
      <c r="AE18" s="2" t="s">
        <v>285</v>
      </c>
      <c r="AF18" s="2" t="str">
        <f t="shared" si="17"/>
        <v>_</v>
      </c>
      <c r="AG18" s="2" t="s">
        <v>293</v>
      </c>
    </row>
    <row r="19" spans="2:33" x14ac:dyDescent="0.25">
      <c r="B19" s="2" t="str">
        <f t="shared" ref="B19:B20" si="18">_xlfn.CONCAT("@",AA19,AB19,AC19,AD19,AE19,AF19,AG19)</f>
        <v>@color-label_halo_place_village</v>
      </c>
      <c r="C19" s="31" t="s">
        <v>290</v>
      </c>
      <c r="F19" s="32" t="s">
        <v>291</v>
      </c>
      <c r="AA19" s="2" t="s">
        <v>6</v>
      </c>
      <c r="AB19" s="2" t="str">
        <f t="shared" ref="AB19:AB20" si="19">IF(NOT(ISBLANK(AC19)),"-","")</f>
        <v>-</v>
      </c>
      <c r="AC19" s="2" t="s">
        <v>289</v>
      </c>
      <c r="AD19" s="2" t="str">
        <f t="shared" ref="AD19:AD20" si="20">IF(NOT(ISBLANK(AE19)),"_","")</f>
        <v>_</v>
      </c>
      <c r="AE19" s="2" t="s">
        <v>285</v>
      </c>
      <c r="AF19" s="2" t="str">
        <f t="shared" ref="AF19:AF20" si="21">IF(NOT(ISBLANK(AG19)),"_","")</f>
        <v>_</v>
      </c>
      <c r="AG19" s="2" t="s">
        <v>293</v>
      </c>
    </row>
    <row r="20" spans="2:33" x14ac:dyDescent="0.25">
      <c r="B20" s="2" t="str">
        <f t="shared" si="18"/>
        <v>@color-label_place_town</v>
      </c>
      <c r="C20" s="29" t="s">
        <v>287</v>
      </c>
      <c r="F20" s="30" t="s">
        <v>288</v>
      </c>
      <c r="AA20" s="2" t="s">
        <v>6</v>
      </c>
      <c r="AB20" s="2" t="str">
        <f t="shared" si="19"/>
        <v>-</v>
      </c>
      <c r="AC20" s="2" t="s">
        <v>280</v>
      </c>
      <c r="AD20" s="2" t="str">
        <f t="shared" si="20"/>
        <v>_</v>
      </c>
      <c r="AE20" s="2" t="s">
        <v>285</v>
      </c>
      <c r="AF20" s="2" t="str">
        <f t="shared" si="21"/>
        <v>_</v>
      </c>
      <c r="AG20" s="2" t="s">
        <v>294</v>
      </c>
    </row>
    <row r="21" spans="2:33" x14ac:dyDescent="0.25">
      <c r="B21" s="2" t="str">
        <f t="shared" ref="B21:B22" si="22">_xlfn.CONCAT("@",AA21,AB21,AC21,AD21,AE21,AF21,AG21)</f>
        <v>@color-label_halo_place_town</v>
      </c>
      <c r="C21" s="31" t="s">
        <v>290</v>
      </c>
      <c r="F21" s="32" t="s">
        <v>291</v>
      </c>
      <c r="AA21" s="2" t="s">
        <v>6</v>
      </c>
      <c r="AB21" s="2" t="str">
        <f t="shared" ref="AB21:AB22" si="23">IF(NOT(ISBLANK(AC21)),"-","")</f>
        <v>-</v>
      </c>
      <c r="AC21" s="2" t="s">
        <v>289</v>
      </c>
      <c r="AD21" s="2" t="str">
        <f t="shared" ref="AD21:AD22" si="24">IF(NOT(ISBLANK(AE21)),"_","")</f>
        <v>_</v>
      </c>
      <c r="AE21" s="2" t="s">
        <v>285</v>
      </c>
      <c r="AF21" s="2" t="str">
        <f t="shared" ref="AF21:AF22" si="25">IF(NOT(ISBLANK(AG21)),"_","")</f>
        <v>_</v>
      </c>
      <c r="AG21" s="2" t="s">
        <v>294</v>
      </c>
    </row>
    <row r="22" spans="2:33" x14ac:dyDescent="0.25">
      <c r="B22" s="2" t="str">
        <f t="shared" si="22"/>
        <v>@color-label_place_city</v>
      </c>
      <c r="C22" s="29" t="s">
        <v>287</v>
      </c>
      <c r="F22" s="30" t="s">
        <v>288</v>
      </c>
      <c r="AA22" s="2" t="s">
        <v>6</v>
      </c>
      <c r="AB22" s="2" t="str">
        <f t="shared" si="23"/>
        <v>-</v>
      </c>
      <c r="AC22" s="2" t="s">
        <v>280</v>
      </c>
      <c r="AD22" s="2" t="str">
        <f t="shared" si="24"/>
        <v>_</v>
      </c>
      <c r="AE22" s="2" t="s">
        <v>285</v>
      </c>
      <c r="AF22" s="2" t="str">
        <f t="shared" si="25"/>
        <v>_</v>
      </c>
      <c r="AG22" s="2" t="s">
        <v>295</v>
      </c>
    </row>
    <row r="23" spans="2:33" x14ac:dyDescent="0.25">
      <c r="B23" s="2" t="str">
        <f t="shared" ref="B23:B24" si="26">_xlfn.CONCAT("@",AA23,AB23,AC23,AD23,AE23,AF23,AG23)</f>
        <v>@color-label_halo_place_city</v>
      </c>
      <c r="C23" s="31" t="s">
        <v>290</v>
      </c>
      <c r="F23" s="32" t="s">
        <v>291</v>
      </c>
      <c r="AA23" s="2" t="s">
        <v>6</v>
      </c>
      <c r="AB23" s="2" t="str">
        <f t="shared" ref="AB23:AB24" si="27">IF(NOT(ISBLANK(AC23)),"-","")</f>
        <v>-</v>
      </c>
      <c r="AC23" s="2" t="s">
        <v>289</v>
      </c>
      <c r="AD23" s="2" t="str">
        <f t="shared" ref="AD23:AD24" si="28">IF(NOT(ISBLANK(AE23)),"_","")</f>
        <v>_</v>
      </c>
      <c r="AE23" s="2" t="s">
        <v>285</v>
      </c>
      <c r="AF23" s="2" t="str">
        <f t="shared" ref="AF23:AF24" si="29">IF(NOT(ISBLANK(AG23)),"_","")</f>
        <v>_</v>
      </c>
      <c r="AG23" s="2" t="s">
        <v>295</v>
      </c>
    </row>
    <row r="24" spans="2:33" x14ac:dyDescent="0.25">
      <c r="B24" s="2" t="str">
        <f t="shared" si="26"/>
        <v>@color-label_place_capital</v>
      </c>
      <c r="C24" s="29" t="s">
        <v>287</v>
      </c>
      <c r="F24" s="30" t="s">
        <v>288</v>
      </c>
      <c r="AA24" s="2" t="s">
        <v>6</v>
      </c>
      <c r="AB24" s="2" t="str">
        <f t="shared" si="27"/>
        <v>-</v>
      </c>
      <c r="AC24" s="2" t="s">
        <v>280</v>
      </c>
      <c r="AD24" s="2" t="str">
        <f t="shared" si="28"/>
        <v>_</v>
      </c>
      <c r="AE24" s="2" t="s">
        <v>285</v>
      </c>
      <c r="AF24" s="2" t="str">
        <f t="shared" si="29"/>
        <v>_</v>
      </c>
      <c r="AG24" s="2" t="s">
        <v>296</v>
      </c>
    </row>
    <row r="25" spans="2:33" x14ac:dyDescent="0.25">
      <c r="B25" s="2" t="str">
        <f t="shared" ref="B25:B38" si="30">_xlfn.CONCAT("@",AA25,AB25,AC25,AD25,AE25,AF25,AG25)</f>
        <v>@color-label_halo_place_capital</v>
      </c>
      <c r="C25" s="31" t="s">
        <v>290</v>
      </c>
      <c r="F25" s="32" t="s">
        <v>291</v>
      </c>
      <c r="AA25" s="2" t="s">
        <v>6</v>
      </c>
      <c r="AB25" s="2" t="str">
        <f t="shared" ref="AB25:AB38" si="31">IF(NOT(ISBLANK(AC25)),"-","")</f>
        <v>-</v>
      </c>
      <c r="AC25" s="2" t="s">
        <v>289</v>
      </c>
      <c r="AD25" s="2" t="str">
        <f t="shared" ref="AD25:AD38" si="32">IF(NOT(ISBLANK(AE25)),"_","")</f>
        <v>_</v>
      </c>
      <c r="AE25" s="2" t="s">
        <v>285</v>
      </c>
      <c r="AF25" s="2" t="str">
        <f t="shared" ref="AF25:AF38" si="33">IF(NOT(ISBLANK(AG25)),"_","")</f>
        <v>_</v>
      </c>
      <c r="AG25" s="2" t="s">
        <v>296</v>
      </c>
    </row>
    <row r="26" spans="2:33" x14ac:dyDescent="0.25">
      <c r="B26" s="2" t="str">
        <f t="shared" si="30"/>
        <v>@color-label_place_state</v>
      </c>
      <c r="C26" s="166" t="s">
        <v>319</v>
      </c>
      <c r="F26" s="167" t="s">
        <v>320</v>
      </c>
      <c r="AA26" s="2" t="s">
        <v>6</v>
      </c>
      <c r="AB26" s="2" t="str">
        <f t="shared" si="31"/>
        <v>-</v>
      </c>
      <c r="AC26" s="2" t="s">
        <v>280</v>
      </c>
      <c r="AD26" s="2" t="str">
        <f t="shared" si="32"/>
        <v>_</v>
      </c>
      <c r="AE26" s="2" t="s">
        <v>285</v>
      </c>
      <c r="AF26" s="2" t="str">
        <f t="shared" si="33"/>
        <v>_</v>
      </c>
      <c r="AG26" s="2" t="s">
        <v>318</v>
      </c>
    </row>
    <row r="27" spans="2:33" x14ac:dyDescent="0.25">
      <c r="B27" s="2" t="str">
        <f t="shared" ref="B27:B28" si="34">_xlfn.CONCAT("@",AA27,AB27,AC27,AD27,AE27,AF27,AG27)</f>
        <v>@color-label_halo_place_state</v>
      </c>
      <c r="C27" s="31" t="s">
        <v>290</v>
      </c>
      <c r="F27" s="32" t="s">
        <v>291</v>
      </c>
      <c r="AA27" s="2" t="s">
        <v>6</v>
      </c>
      <c r="AB27" s="2" t="str">
        <f t="shared" ref="AB27:AB28" si="35">IF(NOT(ISBLANK(AC27)),"-","")</f>
        <v>-</v>
      </c>
      <c r="AC27" s="2" t="s">
        <v>289</v>
      </c>
      <c r="AD27" s="2" t="str">
        <f t="shared" ref="AD27:AD28" si="36">IF(NOT(ISBLANK(AE27)),"_","")</f>
        <v>_</v>
      </c>
      <c r="AE27" s="2" t="s">
        <v>285</v>
      </c>
      <c r="AF27" s="2" t="str">
        <f t="shared" ref="AF27:AF28" si="37">IF(NOT(ISBLANK(AG27)),"_","")</f>
        <v>_</v>
      </c>
      <c r="AG27" s="2" t="s">
        <v>318</v>
      </c>
    </row>
    <row r="28" spans="2:33" x14ac:dyDescent="0.25">
      <c r="B28" s="2" t="str">
        <f t="shared" si="34"/>
        <v>@color-label_place_country_other</v>
      </c>
      <c r="C28" s="168" t="s">
        <v>322</v>
      </c>
      <c r="F28" s="169" t="s">
        <v>323</v>
      </c>
      <c r="AA28" s="2" t="s">
        <v>6</v>
      </c>
      <c r="AB28" s="2" t="str">
        <f t="shared" si="35"/>
        <v>-</v>
      </c>
      <c r="AC28" s="2" t="s">
        <v>280</v>
      </c>
      <c r="AD28" s="2" t="str">
        <f t="shared" si="36"/>
        <v>_</v>
      </c>
      <c r="AE28" s="2" t="s">
        <v>285</v>
      </c>
      <c r="AF28" s="2" t="str">
        <f t="shared" si="37"/>
        <v>_</v>
      </c>
      <c r="AG28" s="2" t="s">
        <v>321</v>
      </c>
    </row>
    <row r="29" spans="2:33" x14ac:dyDescent="0.25">
      <c r="B29" s="2" t="str">
        <f t="shared" ref="B29:B30" si="38">_xlfn.CONCAT("@",AA29,AB29,AC29,AD29,AE29,AF29,AG29)</f>
        <v>@color-label_halo_place_country_other</v>
      </c>
      <c r="C29" s="31" t="s">
        <v>290</v>
      </c>
      <c r="F29" s="32" t="s">
        <v>291</v>
      </c>
      <c r="AA29" s="2" t="s">
        <v>6</v>
      </c>
      <c r="AB29" s="2" t="str">
        <f t="shared" ref="AB29:AB30" si="39">IF(NOT(ISBLANK(AC29)),"-","")</f>
        <v>-</v>
      </c>
      <c r="AC29" s="2" t="s">
        <v>289</v>
      </c>
      <c r="AD29" s="2" t="str">
        <f t="shared" ref="AD29:AD30" si="40">IF(NOT(ISBLANK(AE29)),"_","")</f>
        <v>_</v>
      </c>
      <c r="AE29" s="2" t="s">
        <v>285</v>
      </c>
      <c r="AF29" s="2" t="str">
        <f t="shared" ref="AF29:AF30" si="41">IF(NOT(ISBLANK(AG29)),"_","")</f>
        <v>_</v>
      </c>
      <c r="AG29" s="2" t="s">
        <v>321</v>
      </c>
    </row>
    <row r="30" spans="2:33" x14ac:dyDescent="0.25">
      <c r="B30" s="2" t="str">
        <f t="shared" si="38"/>
        <v>@color-label_place_country_minor</v>
      </c>
      <c r="C30" s="168" t="s">
        <v>322</v>
      </c>
      <c r="F30" s="169" t="s">
        <v>323</v>
      </c>
      <c r="AA30" s="2" t="s">
        <v>6</v>
      </c>
      <c r="AB30" s="2" t="str">
        <f t="shared" si="39"/>
        <v>-</v>
      </c>
      <c r="AC30" s="2" t="s">
        <v>280</v>
      </c>
      <c r="AD30" s="2" t="str">
        <f t="shared" si="40"/>
        <v>_</v>
      </c>
      <c r="AE30" s="2" t="s">
        <v>285</v>
      </c>
      <c r="AF30" s="2" t="str">
        <f t="shared" si="41"/>
        <v>_</v>
      </c>
      <c r="AG30" s="2" t="s">
        <v>324</v>
      </c>
    </row>
    <row r="31" spans="2:33" x14ac:dyDescent="0.25">
      <c r="B31" s="2" t="str">
        <f t="shared" ref="B31:B32" si="42">_xlfn.CONCAT("@",AA31,AB31,AC31,AD31,AE31,AF31,AG31)</f>
        <v>@color-label_halo_place_country_minor</v>
      </c>
      <c r="C31" s="31" t="s">
        <v>290</v>
      </c>
      <c r="F31" s="32" t="s">
        <v>291</v>
      </c>
      <c r="AA31" s="2" t="s">
        <v>6</v>
      </c>
      <c r="AB31" s="2" t="str">
        <f t="shared" ref="AB31:AB32" si="43">IF(NOT(ISBLANK(AC31)),"-","")</f>
        <v>-</v>
      </c>
      <c r="AC31" s="2" t="s">
        <v>289</v>
      </c>
      <c r="AD31" s="2" t="str">
        <f t="shared" ref="AD31:AD32" si="44">IF(NOT(ISBLANK(AE31)),"_","")</f>
        <v>_</v>
      </c>
      <c r="AE31" s="2" t="s">
        <v>285</v>
      </c>
      <c r="AF31" s="2" t="str">
        <f t="shared" ref="AF31:AF32" si="45">IF(NOT(ISBLANK(AG31)),"_","")</f>
        <v>_</v>
      </c>
      <c r="AG31" s="2" t="s">
        <v>324</v>
      </c>
    </row>
    <row r="32" spans="2:33" x14ac:dyDescent="0.25">
      <c r="B32" s="2" t="str">
        <f t="shared" si="42"/>
        <v>@color-label_place_country_medium</v>
      </c>
      <c r="C32" s="168" t="s">
        <v>322</v>
      </c>
      <c r="F32" s="169" t="s">
        <v>323</v>
      </c>
      <c r="AA32" s="2" t="s">
        <v>6</v>
      </c>
      <c r="AB32" s="2" t="str">
        <f t="shared" si="43"/>
        <v>-</v>
      </c>
      <c r="AC32" s="2" t="s">
        <v>280</v>
      </c>
      <c r="AD32" s="2" t="str">
        <f t="shared" si="44"/>
        <v>_</v>
      </c>
      <c r="AE32" s="2" t="s">
        <v>285</v>
      </c>
      <c r="AF32" s="2" t="str">
        <f t="shared" si="45"/>
        <v>_</v>
      </c>
      <c r="AG32" s="2" t="s">
        <v>325</v>
      </c>
    </row>
    <row r="33" spans="1:33" x14ac:dyDescent="0.25">
      <c r="B33" s="2" t="str">
        <f t="shared" ref="B33:B34" si="46">_xlfn.CONCAT("@",AA33,AB33,AC33,AD33,AE33,AF33,AG33)</f>
        <v>@color-label_halo_place_country_medium</v>
      </c>
      <c r="C33" s="31" t="s">
        <v>290</v>
      </c>
      <c r="F33" s="32" t="s">
        <v>291</v>
      </c>
      <c r="AA33" s="2" t="s">
        <v>6</v>
      </c>
      <c r="AB33" s="2" t="str">
        <f t="shared" ref="AB33:AB34" si="47">IF(NOT(ISBLANK(AC33)),"-","")</f>
        <v>-</v>
      </c>
      <c r="AC33" s="2" t="s">
        <v>289</v>
      </c>
      <c r="AD33" s="2" t="str">
        <f t="shared" ref="AD33:AD34" si="48">IF(NOT(ISBLANK(AE33)),"_","")</f>
        <v>_</v>
      </c>
      <c r="AE33" s="2" t="s">
        <v>285</v>
      </c>
      <c r="AF33" s="2" t="str">
        <f t="shared" ref="AF33:AF34" si="49">IF(NOT(ISBLANK(AG33)),"_","")</f>
        <v>_</v>
      </c>
      <c r="AG33" s="2" t="s">
        <v>325</v>
      </c>
    </row>
    <row r="34" spans="1:33" x14ac:dyDescent="0.25">
      <c r="B34" s="2" t="str">
        <f t="shared" si="46"/>
        <v>@color-label_place_country_major</v>
      </c>
      <c r="C34" s="168" t="s">
        <v>322</v>
      </c>
      <c r="F34" s="169" t="s">
        <v>323</v>
      </c>
      <c r="AA34" s="2" t="s">
        <v>6</v>
      </c>
      <c r="AB34" s="2" t="str">
        <f t="shared" si="47"/>
        <v>-</v>
      </c>
      <c r="AC34" s="2" t="s">
        <v>280</v>
      </c>
      <c r="AD34" s="2" t="str">
        <f t="shared" si="48"/>
        <v>_</v>
      </c>
      <c r="AE34" s="2" t="s">
        <v>285</v>
      </c>
      <c r="AF34" s="2" t="str">
        <f t="shared" si="49"/>
        <v>_</v>
      </c>
      <c r="AG34" s="2" t="s">
        <v>326</v>
      </c>
    </row>
    <row r="35" spans="1:33" x14ac:dyDescent="0.25">
      <c r="B35" s="2" t="str">
        <f t="shared" ref="B35" si="50">_xlfn.CONCAT("@",AA35,AB35,AC35,AD35,AE35,AF35,AG35)</f>
        <v>@color-label_halo_place_country_major</v>
      </c>
      <c r="C35" s="31" t="s">
        <v>290</v>
      </c>
      <c r="F35" s="32" t="s">
        <v>291</v>
      </c>
      <c r="AA35" s="2" t="s">
        <v>6</v>
      </c>
      <c r="AB35" s="2" t="str">
        <f t="shared" ref="AB35" si="51">IF(NOT(ISBLANK(AC35)),"-","")</f>
        <v>-</v>
      </c>
      <c r="AC35" s="2" t="s">
        <v>289</v>
      </c>
      <c r="AD35" s="2" t="str">
        <f t="shared" ref="AD35" si="52">IF(NOT(ISBLANK(AE35)),"_","")</f>
        <v>_</v>
      </c>
      <c r="AE35" s="2" t="s">
        <v>285</v>
      </c>
      <c r="AF35" s="2" t="str">
        <f t="shared" ref="AF35" si="53">IF(NOT(ISBLANK(AG35)),"_","")</f>
        <v>_</v>
      </c>
      <c r="AG35" s="2" t="s">
        <v>326</v>
      </c>
    </row>
    <row r="36" spans="1:33" x14ac:dyDescent="0.25">
      <c r="B36" s="2" t="str">
        <f t="shared" si="30"/>
        <v>@color-label_place_protected_area</v>
      </c>
      <c r="C36" s="164" t="s">
        <v>316</v>
      </c>
      <c r="F36" s="165" t="s">
        <v>317</v>
      </c>
      <c r="AA36" s="2" t="s">
        <v>6</v>
      </c>
      <c r="AB36" s="2" t="str">
        <f t="shared" si="31"/>
        <v>-</v>
      </c>
      <c r="AC36" s="2" t="s">
        <v>280</v>
      </c>
      <c r="AD36" s="2" t="str">
        <f t="shared" si="32"/>
        <v>_</v>
      </c>
      <c r="AE36" s="2" t="s">
        <v>285</v>
      </c>
      <c r="AF36" s="2" t="str">
        <f t="shared" si="33"/>
        <v>_</v>
      </c>
      <c r="AG36" s="2" t="s">
        <v>315</v>
      </c>
    </row>
    <row r="37" spans="1:33" x14ac:dyDescent="0.25">
      <c r="B37" s="2" t="str">
        <f t="shared" ref="B37" si="54">_xlfn.CONCAT("@",AA37,AB37,AC37,AD37,AE37,AF37,AG37)</f>
        <v>@color-label_halo_place_protected_area</v>
      </c>
      <c r="C37" s="38" t="s">
        <v>227</v>
      </c>
      <c r="F37" s="37" t="s">
        <v>217</v>
      </c>
      <c r="AA37" s="2" t="s">
        <v>6</v>
      </c>
      <c r="AB37" s="2" t="str">
        <f t="shared" ref="AB37" si="55">IF(NOT(ISBLANK(AC37)),"-","")</f>
        <v>-</v>
      </c>
      <c r="AC37" s="2" t="s">
        <v>289</v>
      </c>
      <c r="AD37" s="2" t="str">
        <f t="shared" ref="AD37" si="56">IF(NOT(ISBLANK(AE37)),"_","")</f>
        <v>_</v>
      </c>
      <c r="AE37" s="2" t="s">
        <v>285</v>
      </c>
      <c r="AF37" s="2" t="str">
        <f t="shared" ref="AF37" si="57">IF(NOT(ISBLANK(AG37)),"_","")</f>
        <v>_</v>
      </c>
      <c r="AG37" s="2" t="s">
        <v>315</v>
      </c>
    </row>
    <row r="38" spans="1:33" x14ac:dyDescent="0.25">
      <c r="B38" s="2" t="str">
        <f t="shared" si="30"/>
        <v>@color-label_highway_path</v>
      </c>
      <c r="C38" s="33" t="s">
        <v>299</v>
      </c>
      <c r="F38" s="34" t="s">
        <v>300</v>
      </c>
      <c r="AA38" s="2" t="s">
        <v>6</v>
      </c>
      <c r="AB38" s="2" t="str">
        <f t="shared" si="31"/>
        <v>-</v>
      </c>
      <c r="AC38" s="2" t="s">
        <v>280</v>
      </c>
      <c r="AD38" s="2" t="str">
        <f t="shared" si="32"/>
        <v>_</v>
      </c>
      <c r="AE38" s="2" t="s">
        <v>298</v>
      </c>
      <c r="AF38" s="2" t="str">
        <f t="shared" si="33"/>
        <v>_</v>
      </c>
      <c r="AG38" s="2" t="s">
        <v>74</v>
      </c>
    </row>
    <row r="39" spans="1:33" x14ac:dyDescent="0.25">
      <c r="B39" s="2" t="str">
        <f t="shared" ref="B39:B40" si="58">_xlfn.CONCAT("@",AA39,AB39,AC39,AD39,AE39,AF39,AG39)</f>
        <v>@color-label_halo_highway_path</v>
      </c>
      <c r="C39" s="38" t="s">
        <v>227</v>
      </c>
      <c r="F39" s="37" t="s">
        <v>217</v>
      </c>
      <c r="AA39" s="2" t="s">
        <v>6</v>
      </c>
      <c r="AB39" s="2" t="str">
        <f t="shared" ref="AB39:AB40" si="59">IF(NOT(ISBLANK(AC39)),"-","")</f>
        <v>-</v>
      </c>
      <c r="AC39" s="2" t="s">
        <v>289</v>
      </c>
      <c r="AD39" s="2" t="str">
        <f t="shared" ref="AD39:AD40" si="60">IF(NOT(ISBLANK(AE39)),"_","")</f>
        <v>_</v>
      </c>
      <c r="AE39" s="2" t="s">
        <v>298</v>
      </c>
      <c r="AF39" s="2" t="str">
        <f t="shared" ref="AF39:AF40" si="61">IF(NOT(ISBLANK(AG39)),"_","")</f>
        <v>_</v>
      </c>
      <c r="AG39" s="2" t="s">
        <v>74</v>
      </c>
    </row>
    <row r="40" spans="1:33" x14ac:dyDescent="0.25">
      <c r="B40" s="2" t="str">
        <f t="shared" si="58"/>
        <v>@color-label_highway_minor</v>
      </c>
      <c r="C40" s="33" t="s">
        <v>299</v>
      </c>
      <c r="F40" s="34" t="s">
        <v>300</v>
      </c>
      <c r="AA40" s="2" t="s">
        <v>6</v>
      </c>
      <c r="AB40" s="2" t="str">
        <f t="shared" si="59"/>
        <v>-</v>
      </c>
      <c r="AC40" s="2" t="s">
        <v>280</v>
      </c>
      <c r="AD40" s="2" t="str">
        <f t="shared" si="60"/>
        <v>_</v>
      </c>
      <c r="AE40" s="2" t="s">
        <v>298</v>
      </c>
      <c r="AF40" s="2" t="str">
        <f t="shared" si="61"/>
        <v>_</v>
      </c>
      <c r="AG40" s="2" t="s">
        <v>32</v>
      </c>
    </row>
    <row r="41" spans="1:33" x14ac:dyDescent="0.25">
      <c r="B41" s="2" t="str">
        <f t="shared" ref="B41:B42" si="62">_xlfn.CONCAT("@",AA41,AB41,AC41,AD41,AE41,AF41,AG41)</f>
        <v>@color-label_halo_highway_minor</v>
      </c>
      <c r="C41" s="38" t="s">
        <v>227</v>
      </c>
      <c r="F41" s="37" t="s">
        <v>217</v>
      </c>
      <c r="AA41" s="2" t="s">
        <v>6</v>
      </c>
      <c r="AB41" s="2" t="str">
        <f t="shared" ref="AB41:AB42" si="63">IF(NOT(ISBLANK(AC41)),"-","")</f>
        <v>-</v>
      </c>
      <c r="AC41" s="2" t="s">
        <v>289</v>
      </c>
      <c r="AD41" s="2" t="str">
        <f t="shared" ref="AD41:AD42" si="64">IF(NOT(ISBLANK(AE41)),"_","")</f>
        <v>_</v>
      </c>
      <c r="AE41" s="2" t="s">
        <v>298</v>
      </c>
      <c r="AF41" s="2" t="str">
        <f t="shared" ref="AF41:AF42" si="65">IF(NOT(ISBLANK(AG41)),"_","")</f>
        <v>_</v>
      </c>
      <c r="AG41" s="2" t="s">
        <v>32</v>
      </c>
    </row>
    <row r="42" spans="1:33" x14ac:dyDescent="0.25">
      <c r="B42" s="2" t="str">
        <f t="shared" si="62"/>
        <v>@color-label_highway_trunk_primary_secondary_tertiary</v>
      </c>
      <c r="C42" s="33" t="s">
        <v>299</v>
      </c>
      <c r="F42" s="34" t="s">
        <v>300</v>
      </c>
      <c r="AA42" s="2" t="s">
        <v>6</v>
      </c>
      <c r="AB42" s="2" t="str">
        <f t="shared" si="63"/>
        <v>-</v>
      </c>
      <c r="AC42" s="2" t="s">
        <v>280</v>
      </c>
      <c r="AD42" s="2" t="str">
        <f t="shared" si="64"/>
        <v>_</v>
      </c>
      <c r="AE42" s="2" t="s">
        <v>298</v>
      </c>
      <c r="AF42" s="2" t="str">
        <f t="shared" si="65"/>
        <v>_</v>
      </c>
      <c r="AG42" s="2" t="s">
        <v>301</v>
      </c>
    </row>
    <row r="43" spans="1:33" x14ac:dyDescent="0.25">
      <c r="B43" s="2" t="str">
        <f t="shared" ref="B43:B45" si="66">_xlfn.CONCAT("@",AA43,AB43,AC43,AD43,AE43,AF43,AG43)</f>
        <v>@color-label_halo_highway_trunk_primary_secondary_tertiary</v>
      </c>
      <c r="C43" s="38" t="s">
        <v>227</v>
      </c>
      <c r="F43" s="37" t="s">
        <v>217</v>
      </c>
      <c r="AA43" s="2" t="s">
        <v>6</v>
      </c>
      <c r="AB43" s="2" t="str">
        <f t="shared" ref="AB43:AB45" si="67">IF(NOT(ISBLANK(AC43)),"-","")</f>
        <v>-</v>
      </c>
      <c r="AC43" s="2" t="s">
        <v>289</v>
      </c>
      <c r="AD43" s="2" t="str">
        <f t="shared" ref="AD43:AD45" si="68">IF(NOT(ISBLANK(AE43)),"_","")</f>
        <v>_</v>
      </c>
      <c r="AE43" s="2" t="s">
        <v>298</v>
      </c>
      <c r="AF43" s="2" t="str">
        <f t="shared" ref="AF43:AF45" si="69">IF(NOT(ISBLANK(AG43)),"_","")</f>
        <v>_</v>
      </c>
      <c r="AG43" s="2" t="s">
        <v>301</v>
      </c>
    </row>
    <row r="44" spans="1:33" x14ac:dyDescent="0.25">
      <c r="B44" s="2" t="str">
        <f t="shared" si="66"/>
        <v>@color-label_peak</v>
      </c>
      <c r="C44" s="35" t="s">
        <v>303</v>
      </c>
      <c r="F44" s="36" t="s">
        <v>304</v>
      </c>
      <c r="AA44" s="2" t="s">
        <v>6</v>
      </c>
      <c r="AB44" s="2" t="str">
        <f t="shared" si="67"/>
        <v>-</v>
      </c>
      <c r="AC44" s="2" t="s">
        <v>280</v>
      </c>
      <c r="AD44" s="2" t="str">
        <f t="shared" si="68"/>
        <v>_</v>
      </c>
      <c r="AE44" s="2" t="s">
        <v>302</v>
      </c>
      <c r="AF44" s="2" t="str">
        <f t="shared" si="69"/>
        <v/>
      </c>
      <c r="AG44" s="2"/>
    </row>
    <row r="45" spans="1:33" x14ac:dyDescent="0.25">
      <c r="B45" s="2" t="str">
        <f t="shared" si="66"/>
        <v>@color-label_halo_peak</v>
      </c>
      <c r="C45" s="38" t="s">
        <v>227</v>
      </c>
      <c r="F45" s="37" t="s">
        <v>217</v>
      </c>
      <c r="AA45" s="2" t="s">
        <v>6</v>
      </c>
      <c r="AB45" s="2" t="str">
        <f t="shared" si="67"/>
        <v>-</v>
      </c>
      <c r="AC45" s="2" t="s">
        <v>289</v>
      </c>
      <c r="AD45" s="2" t="str">
        <f t="shared" si="68"/>
        <v>_</v>
      </c>
      <c r="AE45" s="2" t="s">
        <v>302</v>
      </c>
      <c r="AF45" s="2" t="str">
        <f t="shared" si="69"/>
        <v/>
      </c>
      <c r="AG45" s="2"/>
    </row>
    <row r="46" spans="1:33" x14ac:dyDescent="0.25">
      <c r="AA46" s="2"/>
      <c r="AB46" s="2"/>
      <c r="AC46" s="2"/>
      <c r="AD46" s="2"/>
      <c r="AE46" s="2"/>
      <c r="AF46" s="2"/>
      <c r="AG46" s="2"/>
    </row>
    <row r="47" spans="1:33" s="5" customFormat="1" x14ac:dyDescent="0.25">
      <c r="A47" s="27" t="s">
        <v>40</v>
      </c>
      <c r="B47" s="27"/>
      <c r="C47" s="27"/>
      <c r="D47" s="27"/>
      <c r="F47" s="27"/>
      <c r="G47" s="27"/>
      <c r="I47" s="27"/>
      <c r="J47" s="27"/>
      <c r="L47" s="27"/>
      <c r="M47" s="27"/>
      <c r="O47" s="27"/>
      <c r="P47" s="27"/>
      <c r="R47" s="27"/>
      <c r="S47" s="27"/>
      <c r="U47" s="27"/>
      <c r="V47" s="27"/>
      <c r="X47" s="27"/>
      <c r="Y47" s="27"/>
      <c r="AA47" s="27"/>
      <c r="AB47" s="27"/>
      <c r="AC47" s="27"/>
      <c r="AD47" s="27"/>
      <c r="AE47" s="27"/>
      <c r="AF47" s="27"/>
      <c r="AG47" s="27"/>
    </row>
    <row r="48" spans="1:33" x14ac:dyDescent="0.25">
      <c r="B48" s="2" t="str">
        <f>_xlfn.CONCAT("@",AA48,AB48,AC48,AD48,AE48,AF48,AG48)</f>
        <v>@color-mtb:scale_0-</v>
      </c>
      <c r="C48" s="40" t="s">
        <v>173</v>
      </c>
      <c r="D48" s="41" t="s">
        <v>181</v>
      </c>
      <c r="F48" s="40" t="s">
        <v>173</v>
      </c>
      <c r="G48" s="41" t="s">
        <v>181</v>
      </c>
      <c r="I48" s="42" t="str">
        <f t="shared" ref="I48:J55" si="70">C48</f>
        <v>"#0ac5a0"</v>
      </c>
      <c r="J48" s="43" t="str">
        <f t="shared" si="70"/>
        <v>"#00c7b0"</v>
      </c>
      <c r="U48" s="44"/>
      <c r="V48" s="44"/>
      <c r="X48" s="44"/>
      <c r="Y48" s="44"/>
      <c r="AA48" s="2" t="s">
        <v>6</v>
      </c>
      <c r="AB48" s="2" t="str">
        <f t="shared" ref="AB48:AB144" si="71">IF(NOT(ISBLANK(AC48)),"-","")</f>
        <v>-</v>
      </c>
      <c r="AC48" s="2" t="s">
        <v>7</v>
      </c>
      <c r="AD48" s="2" t="str">
        <f t="shared" ref="AD48:AD148" si="72">IF(NOT(ISBLANK(AE48)),"_","")</f>
        <v>_</v>
      </c>
      <c r="AE48" s="2" t="s">
        <v>9</v>
      </c>
      <c r="AF48" s="2" t="str">
        <f t="shared" ref="AF48:AF148" si="73">IF(NOT(ISBLANK(AG48)),"_","")</f>
        <v/>
      </c>
      <c r="AG48" s="2"/>
    </row>
    <row r="49" spans="2:33" x14ac:dyDescent="0.25">
      <c r="B49" s="2" t="str">
        <f t="shared" ref="B49:B62" si="74">_xlfn.CONCAT("@",AA49,AB49,AC49,AD49,AE49,AF49,AG49)</f>
        <v>@color-mtb:scale_0</v>
      </c>
      <c r="C49" s="45" t="s">
        <v>174</v>
      </c>
      <c r="D49" s="46" t="s">
        <v>182</v>
      </c>
      <c r="F49" s="45" t="s">
        <v>174</v>
      </c>
      <c r="G49" s="46" t="s">
        <v>182</v>
      </c>
      <c r="I49" s="47" t="str">
        <f t="shared" si="70"/>
        <v>"#75e009"</v>
      </c>
      <c r="J49" s="48" t="str">
        <f t="shared" si="70"/>
        <v>"#66cc00"</v>
      </c>
      <c r="U49" s="44"/>
      <c r="V49" s="44"/>
      <c r="X49" s="44"/>
      <c r="Y49" s="44"/>
      <c r="AA49" s="2" t="s">
        <v>6</v>
      </c>
      <c r="AB49" s="2" t="str">
        <f t="shared" si="71"/>
        <v>-</v>
      </c>
      <c r="AC49" s="2" t="s">
        <v>7</v>
      </c>
      <c r="AD49" s="2" t="str">
        <f t="shared" si="72"/>
        <v>_</v>
      </c>
      <c r="AE49" s="2">
        <v>0</v>
      </c>
      <c r="AF49" s="2" t="str">
        <f t="shared" si="73"/>
        <v/>
      </c>
    </row>
    <row r="50" spans="2:33" x14ac:dyDescent="0.25">
      <c r="B50" s="2" t="str">
        <f t="shared" si="74"/>
        <v>@color-mtb:scale_1</v>
      </c>
      <c r="C50" s="49" t="s">
        <v>175</v>
      </c>
      <c r="D50" s="50" t="s">
        <v>183</v>
      </c>
      <c r="F50" s="49" t="s">
        <v>175</v>
      </c>
      <c r="G50" s="50" t="s">
        <v>183</v>
      </c>
      <c r="I50" s="51" t="str">
        <f t="shared" si="70"/>
        <v>"#d7dc00"</v>
      </c>
      <c r="J50" s="52" t="str">
        <f t="shared" si="70"/>
        <v>"#c5c900"</v>
      </c>
      <c r="U50" s="44"/>
      <c r="V50" s="44"/>
      <c r="X50" s="44"/>
      <c r="Y50" s="44"/>
      <c r="AA50" s="2" t="s">
        <v>6</v>
      </c>
      <c r="AB50" s="2" t="str">
        <f t="shared" si="71"/>
        <v>-</v>
      </c>
      <c r="AC50" s="2" t="s">
        <v>7</v>
      </c>
      <c r="AD50" s="2" t="str">
        <f t="shared" si="72"/>
        <v>_</v>
      </c>
      <c r="AE50" s="2">
        <v>1</v>
      </c>
      <c r="AF50" s="2" t="str">
        <f t="shared" si="73"/>
        <v/>
      </c>
    </row>
    <row r="51" spans="2:33" x14ac:dyDescent="0.25">
      <c r="B51" s="2" t="str">
        <f t="shared" si="74"/>
        <v>@color-mtb:scale_2</v>
      </c>
      <c r="C51" s="53" t="s">
        <v>176</v>
      </c>
      <c r="D51" s="54" t="s">
        <v>184</v>
      </c>
      <c r="F51" s="53" t="s">
        <v>176</v>
      </c>
      <c r="G51" s="54" t="s">
        <v>184</v>
      </c>
      <c r="I51" s="55" t="str">
        <f t="shared" si="70"/>
        <v>"#feb13e"</v>
      </c>
      <c r="J51" s="56" t="str">
        <f t="shared" si="70"/>
        <v>"#f09000"</v>
      </c>
      <c r="U51" s="44"/>
      <c r="V51" s="44"/>
      <c r="X51" s="44"/>
      <c r="Y51" s="44"/>
      <c r="AA51" s="2" t="s">
        <v>6</v>
      </c>
      <c r="AB51" s="2" t="str">
        <f t="shared" si="71"/>
        <v>-</v>
      </c>
      <c r="AC51" s="2" t="s">
        <v>7</v>
      </c>
      <c r="AD51" s="2" t="str">
        <f t="shared" si="72"/>
        <v>_</v>
      </c>
      <c r="AE51" s="2">
        <v>2</v>
      </c>
      <c r="AF51" s="2" t="str">
        <f t="shared" si="73"/>
        <v/>
      </c>
    </row>
    <row r="52" spans="2:33" x14ac:dyDescent="0.25">
      <c r="B52" s="2" t="str">
        <f t="shared" si="74"/>
        <v>@color-mtb:scale_3</v>
      </c>
      <c r="C52" s="57" t="s">
        <v>177</v>
      </c>
      <c r="D52" s="57" t="s">
        <v>177</v>
      </c>
      <c r="F52" s="57" t="s">
        <v>177</v>
      </c>
      <c r="G52" s="57" t="s">
        <v>177</v>
      </c>
      <c r="I52" s="58" t="str">
        <f t="shared" si="70"/>
        <v>"#ff4f5e"</v>
      </c>
      <c r="J52" s="58" t="str">
        <f t="shared" si="70"/>
        <v>"#ff4f5e"</v>
      </c>
      <c r="U52" s="44"/>
      <c r="V52" s="44"/>
      <c r="X52" s="44"/>
      <c r="Y52" s="44"/>
      <c r="AA52" s="2" t="s">
        <v>6</v>
      </c>
      <c r="AB52" s="2" t="str">
        <f t="shared" si="71"/>
        <v>-</v>
      </c>
      <c r="AC52" s="2" t="s">
        <v>7</v>
      </c>
      <c r="AD52" s="2" t="str">
        <f t="shared" si="72"/>
        <v>_</v>
      </c>
      <c r="AE52" s="2">
        <v>3</v>
      </c>
      <c r="AF52" s="2" t="str">
        <f t="shared" si="73"/>
        <v/>
      </c>
    </row>
    <row r="53" spans="2:33" x14ac:dyDescent="0.25">
      <c r="B53" s="2" t="str">
        <f t="shared" si="74"/>
        <v>@color-mtb:scale_4</v>
      </c>
      <c r="C53" s="59" t="s">
        <v>178</v>
      </c>
      <c r="D53" s="60" t="s">
        <v>185</v>
      </c>
      <c r="F53" s="59" t="s">
        <v>178</v>
      </c>
      <c r="G53" s="60" t="s">
        <v>185</v>
      </c>
      <c r="I53" s="61" t="str">
        <f t="shared" si="70"/>
        <v>"#e50bdd"</v>
      </c>
      <c r="J53" s="62" t="str">
        <f t="shared" si="70"/>
        <v>"#d600ce"</v>
      </c>
      <c r="U53" s="44"/>
      <c r="V53" s="44"/>
      <c r="X53" s="44"/>
      <c r="Y53" s="44"/>
      <c r="AA53" s="2" t="s">
        <v>6</v>
      </c>
      <c r="AB53" s="2" t="str">
        <f t="shared" si="71"/>
        <v>-</v>
      </c>
      <c r="AC53" s="2" t="s">
        <v>7</v>
      </c>
      <c r="AD53" s="2" t="str">
        <f t="shared" si="72"/>
        <v>_</v>
      </c>
      <c r="AE53" s="2">
        <v>4</v>
      </c>
      <c r="AF53" s="2" t="str">
        <f t="shared" si="73"/>
        <v/>
      </c>
    </row>
    <row r="54" spans="2:33" x14ac:dyDescent="0.25">
      <c r="B54" s="2" t="str">
        <f t="shared" si="74"/>
        <v>@color-mtb:scale_5</v>
      </c>
      <c r="C54" s="63" t="s">
        <v>179</v>
      </c>
      <c r="D54" s="64" t="s">
        <v>186</v>
      </c>
      <c r="F54" s="63" t="s">
        <v>179</v>
      </c>
      <c r="G54" s="64" t="s">
        <v>186</v>
      </c>
      <c r="I54" s="65" t="str">
        <f t="shared" si="70"/>
        <v>"#9600c8"</v>
      </c>
      <c r="J54" s="66" t="str">
        <f t="shared" si="70"/>
        <v>"#7a3391"</v>
      </c>
      <c r="U54" s="44"/>
      <c r="V54" s="44"/>
      <c r="X54" s="44"/>
      <c r="Y54" s="44"/>
      <c r="AA54" s="2" t="s">
        <v>6</v>
      </c>
      <c r="AB54" s="2" t="str">
        <f t="shared" si="71"/>
        <v>-</v>
      </c>
      <c r="AC54" s="2" t="s">
        <v>7</v>
      </c>
      <c r="AD54" s="2" t="str">
        <f t="shared" si="72"/>
        <v>_</v>
      </c>
      <c r="AE54" s="2">
        <v>5</v>
      </c>
      <c r="AF54" s="2" t="str">
        <f t="shared" si="73"/>
        <v/>
      </c>
    </row>
    <row r="55" spans="2:33" x14ac:dyDescent="0.25">
      <c r="B55" s="2" t="str">
        <f t="shared" si="74"/>
        <v>@color-mtb:scale_6</v>
      </c>
      <c r="C55" s="67" t="s">
        <v>180</v>
      </c>
      <c r="D55" s="68" t="s">
        <v>187</v>
      </c>
      <c r="F55" s="67" t="s">
        <v>180</v>
      </c>
      <c r="G55" s="68" t="s">
        <v>187</v>
      </c>
      <c r="I55" s="69" t="str">
        <f t="shared" si="70"/>
        <v>"#8100ac"</v>
      </c>
      <c r="J55" s="70" t="str">
        <f t="shared" si="70"/>
        <v>"#593266"</v>
      </c>
      <c r="U55" s="44"/>
      <c r="V55" s="44"/>
      <c r="X55" s="44"/>
      <c r="Y55" s="44"/>
      <c r="AA55" s="2" t="s">
        <v>6</v>
      </c>
      <c r="AB55" s="2" t="str">
        <f t="shared" si="71"/>
        <v>-</v>
      </c>
      <c r="AC55" s="2" t="s">
        <v>7</v>
      </c>
      <c r="AD55" s="2" t="str">
        <f t="shared" si="72"/>
        <v>_</v>
      </c>
      <c r="AE55" s="2">
        <v>6</v>
      </c>
      <c r="AF55" s="2" t="str">
        <f t="shared" si="73"/>
        <v/>
      </c>
    </row>
    <row r="56" spans="2:33" x14ac:dyDescent="0.25">
      <c r="B56" s="2" t="str">
        <f t="shared" ref="B56" si="75">_xlfn.CONCAT("@",AA56,AB56,AC56,AD56,AE56,AF56,AG56)</f>
        <v>@color-mtb:scale_null</v>
      </c>
      <c r="C56" s="38" t="s">
        <v>227</v>
      </c>
      <c r="D56" s="38" t="s">
        <v>227</v>
      </c>
      <c r="F56" s="31" t="s">
        <v>290</v>
      </c>
      <c r="G56" s="31" t="s">
        <v>290</v>
      </c>
      <c r="I56" s="38" t="s">
        <v>227</v>
      </c>
      <c r="J56" s="38" t="s">
        <v>227</v>
      </c>
      <c r="L56" s="31" t="s">
        <v>290</v>
      </c>
      <c r="M56" s="31" t="s">
        <v>290</v>
      </c>
      <c r="U56" s="44"/>
      <c r="V56" s="44"/>
      <c r="X56" s="44"/>
      <c r="Y56" s="44"/>
      <c r="AA56" s="2" t="s">
        <v>6</v>
      </c>
      <c r="AB56" s="2" t="str">
        <f t="shared" ref="AB56" si="76">IF(NOT(ISBLANK(AC56)),"-","")</f>
        <v>-</v>
      </c>
      <c r="AC56" s="2" t="s">
        <v>7</v>
      </c>
      <c r="AD56" s="2" t="str">
        <f t="shared" ref="AD56" si="77">IF(NOT(ISBLANK(AE56)),"_","")</f>
        <v>_</v>
      </c>
      <c r="AE56" s="2" t="s">
        <v>314</v>
      </c>
      <c r="AF56" s="2" t="str">
        <f t="shared" ref="AF56" si="78">IF(NOT(ISBLANK(AG56)),"_","")</f>
        <v/>
      </c>
    </row>
    <row r="57" spans="2:33" x14ac:dyDescent="0.25">
      <c r="B57" s="2"/>
      <c r="AA57" s="2"/>
      <c r="AB57" s="2" t="str">
        <f t="shared" si="71"/>
        <v/>
      </c>
      <c r="AC57" s="2"/>
      <c r="AD57" s="2" t="str">
        <f t="shared" si="72"/>
        <v/>
      </c>
      <c r="AE57" s="2"/>
      <c r="AF57" s="28" t="str">
        <f t="shared" si="73"/>
        <v/>
      </c>
    </row>
    <row r="58" spans="2:33" x14ac:dyDescent="0.25">
      <c r="B58" s="2" t="str">
        <f t="shared" si="74"/>
        <v>@color-mtb:winter_1</v>
      </c>
      <c r="C58" s="44"/>
      <c r="D58" s="44"/>
      <c r="F58" s="44"/>
      <c r="G58" s="44"/>
      <c r="I58" s="44"/>
      <c r="J58" s="44"/>
      <c r="L58" s="44"/>
      <c r="M58" s="44"/>
      <c r="O58" s="44"/>
      <c r="P58" s="44"/>
      <c r="R58" s="44"/>
      <c r="S58" s="44"/>
      <c r="U58" s="45" t="s">
        <v>174</v>
      </c>
      <c r="V58" s="46" t="s">
        <v>182</v>
      </c>
      <c r="AA58" s="2" t="s">
        <v>6</v>
      </c>
      <c r="AB58" s="2" t="str">
        <f t="shared" ref="AB58" si="79">IF(NOT(ISBLANK(AC58)),"-","")</f>
        <v>-</v>
      </c>
      <c r="AC58" s="2" t="s">
        <v>230</v>
      </c>
      <c r="AD58" s="2" t="str">
        <f t="shared" ref="AD58" si="80">IF(NOT(ISBLANK(AE58)),"_","")</f>
        <v>_</v>
      </c>
      <c r="AE58" s="2">
        <v>1</v>
      </c>
      <c r="AF58" s="2" t="str">
        <f t="shared" ref="AF58" si="81">IF(NOT(ISBLANK(AG58)),"_","")</f>
        <v/>
      </c>
    </row>
    <row r="59" spans="2:33" x14ac:dyDescent="0.25">
      <c r="B59" s="2" t="str">
        <f t="shared" si="74"/>
        <v>@color-mtb:winter_2</v>
      </c>
      <c r="C59" s="44"/>
      <c r="D59" s="44"/>
      <c r="F59" s="44"/>
      <c r="G59" s="44"/>
      <c r="I59" s="44"/>
      <c r="J59" s="44"/>
      <c r="L59" s="44"/>
      <c r="M59" s="44"/>
      <c r="O59" s="44"/>
      <c r="P59" s="44"/>
      <c r="R59" s="44"/>
      <c r="S59" s="44"/>
      <c r="U59" s="49" t="s">
        <v>175</v>
      </c>
      <c r="V59" s="50" t="s">
        <v>183</v>
      </c>
      <c r="AA59" s="2" t="s">
        <v>6</v>
      </c>
      <c r="AB59" s="2" t="str">
        <f t="shared" ref="AB59:AB60" si="82">IF(NOT(ISBLANK(AC59)),"-","")</f>
        <v>-</v>
      </c>
      <c r="AC59" s="2" t="s">
        <v>230</v>
      </c>
      <c r="AD59" s="2" t="str">
        <f t="shared" ref="AD59:AD62" si="83">IF(NOT(ISBLANK(AE59)),"_","")</f>
        <v>_</v>
      </c>
      <c r="AE59" s="2">
        <v>2</v>
      </c>
      <c r="AF59" s="2" t="str">
        <f t="shared" ref="AF59:AF62" si="84">IF(NOT(ISBLANK(AG59)),"_","")</f>
        <v/>
      </c>
    </row>
    <row r="60" spans="2:33" x14ac:dyDescent="0.25">
      <c r="B60" s="2" t="str">
        <f t="shared" si="74"/>
        <v>@color-mtb:winter_3</v>
      </c>
      <c r="C60" s="44"/>
      <c r="D60" s="44"/>
      <c r="F60" s="44"/>
      <c r="G60" s="44"/>
      <c r="I60" s="44"/>
      <c r="J60" s="44"/>
      <c r="L60" s="44"/>
      <c r="M60" s="44"/>
      <c r="O60" s="44"/>
      <c r="P60" s="44"/>
      <c r="R60" s="44"/>
      <c r="S60" s="44"/>
      <c r="U60" s="53" t="s">
        <v>176</v>
      </c>
      <c r="V60" s="54" t="s">
        <v>184</v>
      </c>
      <c r="AA60" s="2" t="s">
        <v>6</v>
      </c>
      <c r="AB60" s="2" t="str">
        <f t="shared" si="82"/>
        <v>-</v>
      </c>
      <c r="AC60" s="2" t="s">
        <v>230</v>
      </c>
      <c r="AD60" s="2" t="str">
        <f t="shared" si="83"/>
        <v>_</v>
      </c>
      <c r="AE60" s="2">
        <v>3</v>
      </c>
      <c r="AF60" s="2" t="str">
        <f t="shared" si="84"/>
        <v/>
      </c>
    </row>
    <row r="61" spans="2:33" x14ac:dyDescent="0.25">
      <c r="B61" s="2"/>
      <c r="AA61" s="2"/>
      <c r="AB61" s="2"/>
      <c r="AC61" s="2"/>
      <c r="AD61" s="2"/>
      <c r="AE61" s="2"/>
    </row>
    <row r="62" spans="2:33" x14ac:dyDescent="0.25">
      <c r="B62" s="2" t="str">
        <f t="shared" si="74"/>
        <v>@case_width-path_narrow_z11</v>
      </c>
      <c r="C62" s="28" t="s">
        <v>305</v>
      </c>
      <c r="D62" s="28" t="s">
        <v>306</v>
      </c>
      <c r="F62" s="28" t="s">
        <v>305</v>
      </c>
      <c r="G62" s="28" t="s">
        <v>306</v>
      </c>
      <c r="I62" s="28" t="s">
        <v>98</v>
      </c>
      <c r="L62" s="28" t="s">
        <v>98</v>
      </c>
      <c r="AA62" s="2" t="s">
        <v>81</v>
      </c>
      <c r="AB62" s="2" t="str">
        <f t="shared" ref="AB62" si="85">IF(NOT(ISBLANK(AC62)),"-","")</f>
        <v>-</v>
      </c>
      <c r="AC62" s="2" t="s">
        <v>74</v>
      </c>
      <c r="AD62" s="2" t="str">
        <f t="shared" si="83"/>
        <v>_</v>
      </c>
      <c r="AE62" s="2" t="s">
        <v>75</v>
      </c>
      <c r="AF62" s="2" t="str">
        <f t="shared" si="84"/>
        <v>_</v>
      </c>
      <c r="AG62" s="28" t="s">
        <v>73</v>
      </c>
    </row>
    <row r="63" spans="2:33" x14ac:dyDescent="0.25">
      <c r="B63" s="2" t="str">
        <f t="shared" ref="B63" si="86">_xlfn.CONCAT("@",AA63,AB63,AC63,AD63,AE63,AF63,AG63)</f>
        <v>@case_width-path_medium_z11</v>
      </c>
      <c r="C63" s="28" t="s">
        <v>87</v>
      </c>
      <c r="D63" s="28" t="s">
        <v>310</v>
      </c>
      <c r="F63" s="28" t="s">
        <v>87</v>
      </c>
      <c r="G63" s="28" t="s">
        <v>310</v>
      </c>
      <c r="I63" s="28" t="s">
        <v>99</v>
      </c>
      <c r="L63" s="28" t="s">
        <v>99</v>
      </c>
      <c r="AA63" s="2" t="s">
        <v>81</v>
      </c>
      <c r="AB63" s="2" t="str">
        <f t="shared" ref="AB63" si="87">IF(NOT(ISBLANK(AC63)),"-","")</f>
        <v>-</v>
      </c>
      <c r="AC63" s="2" t="s">
        <v>74</v>
      </c>
      <c r="AD63" s="2" t="str">
        <f t="shared" ref="AD63" si="88">IF(NOT(ISBLANK(AE63)),"_","")</f>
        <v>_</v>
      </c>
      <c r="AE63" s="2" t="s">
        <v>82</v>
      </c>
      <c r="AF63" s="2" t="str">
        <f t="shared" ref="AF63" si="89">IF(NOT(ISBLANK(AG63)),"_","")</f>
        <v>_</v>
      </c>
      <c r="AG63" s="28" t="s">
        <v>73</v>
      </c>
    </row>
    <row r="64" spans="2:33" x14ac:dyDescent="0.25">
      <c r="B64" s="2" t="str">
        <f t="shared" ref="B64:B67" si="90">_xlfn.CONCAT("@",AA64,AB64,AC64,AD64,AE64,AF64,AG64)</f>
        <v>@case_width-path_wide_z11</v>
      </c>
      <c r="C64" s="28" t="s">
        <v>306</v>
      </c>
      <c r="D64" s="28" t="s">
        <v>308</v>
      </c>
      <c r="F64" s="28" t="s">
        <v>306</v>
      </c>
      <c r="G64" s="28" t="s">
        <v>308</v>
      </c>
      <c r="I64" s="28" t="s">
        <v>87</v>
      </c>
      <c r="L64" s="28" t="s">
        <v>87</v>
      </c>
      <c r="AA64" s="2" t="s">
        <v>81</v>
      </c>
      <c r="AB64" s="2" t="str">
        <f t="shared" ref="AB64:AB67" si="91">IF(NOT(ISBLANK(AC64)),"-","")</f>
        <v>-</v>
      </c>
      <c r="AC64" s="2" t="s">
        <v>74</v>
      </c>
      <c r="AD64" s="2" t="str">
        <f t="shared" ref="AD64:AD67" si="92">IF(NOT(ISBLANK(AE64)),"_","")</f>
        <v>_</v>
      </c>
      <c r="AE64" s="2" t="s">
        <v>80</v>
      </c>
      <c r="AF64" s="2" t="str">
        <f t="shared" ref="AF64:AF67" si="93">IF(NOT(ISBLANK(AG64)),"_","")</f>
        <v>_</v>
      </c>
      <c r="AG64" s="28" t="s">
        <v>73</v>
      </c>
    </row>
    <row r="65" spans="2:33" x14ac:dyDescent="0.25">
      <c r="B65" s="2" t="str">
        <f t="shared" ref="B65" si="94">_xlfn.CONCAT("@",AA65,AB65,AC65,AD65,AE65,AF65,AG65)</f>
        <v>@case_width-path_widest_z11</v>
      </c>
      <c r="C65" s="28" t="s">
        <v>306</v>
      </c>
      <c r="D65" s="28" t="s">
        <v>308</v>
      </c>
      <c r="F65" s="28" t="s">
        <v>306</v>
      </c>
      <c r="G65" s="28" t="s">
        <v>308</v>
      </c>
      <c r="I65" s="28" t="s">
        <v>87</v>
      </c>
      <c r="L65" s="28" t="s">
        <v>87</v>
      </c>
      <c r="AA65" s="2" t="s">
        <v>81</v>
      </c>
      <c r="AB65" s="2" t="str">
        <f t="shared" ref="AB65" si="95">IF(NOT(ISBLANK(AC65)),"-","")</f>
        <v>-</v>
      </c>
      <c r="AC65" s="2" t="s">
        <v>74</v>
      </c>
      <c r="AD65" s="2" t="str">
        <f t="shared" ref="AD65" si="96">IF(NOT(ISBLANK(AE65)),"_","")</f>
        <v>_</v>
      </c>
      <c r="AE65" s="2" t="s">
        <v>307</v>
      </c>
      <c r="AF65" s="2" t="str">
        <f t="shared" ref="AF65" si="97">IF(NOT(ISBLANK(AG65)),"_","")</f>
        <v>_</v>
      </c>
      <c r="AG65" s="28" t="s">
        <v>73</v>
      </c>
    </row>
    <row r="66" spans="2:33" x14ac:dyDescent="0.25">
      <c r="B66" s="2" t="str">
        <f t="shared" si="90"/>
        <v>@case_width-path_narrow_z14</v>
      </c>
      <c r="C66" s="28" t="s">
        <v>84</v>
      </c>
      <c r="D66" s="28" t="s">
        <v>93</v>
      </c>
      <c r="F66" s="28" t="s">
        <v>84</v>
      </c>
      <c r="G66" s="28" t="s">
        <v>93</v>
      </c>
      <c r="I66" s="28" t="s">
        <v>305</v>
      </c>
      <c r="L66" s="28" t="s">
        <v>305</v>
      </c>
      <c r="AA66" s="2" t="s">
        <v>81</v>
      </c>
      <c r="AB66" s="2" t="str">
        <f t="shared" si="91"/>
        <v>-</v>
      </c>
      <c r="AC66" s="2" t="s">
        <v>74</v>
      </c>
      <c r="AD66" s="2" t="str">
        <f t="shared" si="92"/>
        <v>_</v>
      </c>
      <c r="AE66" s="2" t="s">
        <v>75</v>
      </c>
      <c r="AF66" s="2" t="str">
        <f t="shared" si="93"/>
        <v>_</v>
      </c>
      <c r="AG66" s="28" t="s">
        <v>77</v>
      </c>
    </row>
    <row r="67" spans="2:33" x14ac:dyDescent="0.25">
      <c r="B67" s="2" t="str">
        <f t="shared" si="90"/>
        <v>@case_width-path_medium_z14</v>
      </c>
      <c r="C67" s="28" t="s">
        <v>306</v>
      </c>
      <c r="D67" s="28" t="s">
        <v>308</v>
      </c>
      <c r="F67" s="28" t="s">
        <v>306</v>
      </c>
      <c r="G67" s="28" t="s">
        <v>308</v>
      </c>
      <c r="I67" s="28" t="s">
        <v>100</v>
      </c>
      <c r="L67" s="28" t="s">
        <v>100</v>
      </c>
      <c r="AA67" s="2" t="s">
        <v>81</v>
      </c>
      <c r="AB67" s="2" t="str">
        <f t="shared" si="91"/>
        <v>-</v>
      </c>
      <c r="AC67" s="2" t="s">
        <v>74</v>
      </c>
      <c r="AD67" s="2" t="str">
        <f t="shared" si="92"/>
        <v>_</v>
      </c>
      <c r="AE67" s="2" t="s">
        <v>82</v>
      </c>
      <c r="AF67" s="2" t="str">
        <f t="shared" si="93"/>
        <v>_</v>
      </c>
      <c r="AG67" s="28" t="s">
        <v>77</v>
      </c>
    </row>
    <row r="68" spans="2:33" x14ac:dyDescent="0.25">
      <c r="B68" s="2" t="str">
        <f t="shared" ref="B68:B71" si="98">_xlfn.CONCAT("@",AA68,AB68,AC68,AD68,AE68,AF68,AG68)</f>
        <v>@case_width-path_wide_z14</v>
      </c>
      <c r="C68" s="28" t="s">
        <v>310</v>
      </c>
      <c r="D68" s="28" t="s">
        <v>309</v>
      </c>
      <c r="F68" s="28" t="s">
        <v>310</v>
      </c>
      <c r="G68" s="28" t="s">
        <v>309</v>
      </c>
      <c r="I68" s="28" t="s">
        <v>101</v>
      </c>
      <c r="L68" s="28" t="s">
        <v>101</v>
      </c>
      <c r="AA68" s="2" t="s">
        <v>81</v>
      </c>
      <c r="AB68" s="2" t="str">
        <f t="shared" ref="AB68:AB71" si="99">IF(NOT(ISBLANK(AC68)),"-","")</f>
        <v>-</v>
      </c>
      <c r="AC68" s="2" t="s">
        <v>74</v>
      </c>
      <c r="AD68" s="2" t="str">
        <f t="shared" ref="AD68:AD71" si="100">IF(NOT(ISBLANK(AE68)),"_","")</f>
        <v>_</v>
      </c>
      <c r="AE68" s="2" t="s">
        <v>80</v>
      </c>
      <c r="AF68" s="2" t="str">
        <f t="shared" ref="AF68:AF71" si="101">IF(NOT(ISBLANK(AG68)),"_","")</f>
        <v>_</v>
      </c>
      <c r="AG68" s="28" t="s">
        <v>77</v>
      </c>
    </row>
    <row r="69" spans="2:33" x14ac:dyDescent="0.25">
      <c r="B69" s="2" t="str">
        <f t="shared" ref="B69" si="102">_xlfn.CONCAT("@",AA69,AB69,AC69,AD69,AE69,AF69,AG69)</f>
        <v>@case_width-path_widest_z14</v>
      </c>
      <c r="C69" s="28" t="s">
        <v>310</v>
      </c>
      <c r="D69" s="28" t="s">
        <v>309</v>
      </c>
      <c r="F69" s="28" t="s">
        <v>310</v>
      </c>
      <c r="G69" s="28" t="s">
        <v>309</v>
      </c>
      <c r="I69" s="28" t="s">
        <v>101</v>
      </c>
      <c r="L69" s="28" t="s">
        <v>101</v>
      </c>
      <c r="AA69" s="2" t="s">
        <v>81</v>
      </c>
      <c r="AB69" s="2" t="str">
        <f t="shared" ref="AB69" si="103">IF(NOT(ISBLANK(AC69)),"-","")</f>
        <v>-</v>
      </c>
      <c r="AC69" s="2" t="s">
        <v>74</v>
      </c>
      <c r="AD69" s="2" t="str">
        <f t="shared" ref="AD69" si="104">IF(NOT(ISBLANK(AE69)),"_","")</f>
        <v>_</v>
      </c>
      <c r="AE69" s="2" t="s">
        <v>307</v>
      </c>
      <c r="AF69" s="2" t="str">
        <f t="shared" ref="AF69" si="105">IF(NOT(ISBLANK(AG69)),"_","")</f>
        <v>_</v>
      </c>
      <c r="AG69" s="28" t="s">
        <v>77</v>
      </c>
    </row>
    <row r="70" spans="2:33" x14ac:dyDescent="0.25">
      <c r="B70" s="2" t="str">
        <f t="shared" si="98"/>
        <v>@case_width-path_narrow_z16</v>
      </c>
      <c r="C70" s="28" t="s">
        <v>310</v>
      </c>
      <c r="D70" s="28" t="s">
        <v>310</v>
      </c>
      <c r="F70" s="28" t="s">
        <v>310</v>
      </c>
      <c r="G70" s="28" t="s">
        <v>310</v>
      </c>
      <c r="I70" s="28" t="s">
        <v>305</v>
      </c>
      <c r="L70" s="28" t="s">
        <v>305</v>
      </c>
      <c r="AA70" s="2" t="s">
        <v>81</v>
      </c>
      <c r="AB70" s="2" t="str">
        <f t="shared" si="99"/>
        <v>-</v>
      </c>
      <c r="AC70" s="2" t="s">
        <v>74</v>
      </c>
      <c r="AD70" s="2" t="str">
        <f t="shared" si="100"/>
        <v>_</v>
      </c>
      <c r="AE70" s="2" t="s">
        <v>75</v>
      </c>
      <c r="AF70" s="2" t="str">
        <f t="shared" si="101"/>
        <v>_</v>
      </c>
      <c r="AG70" s="28" t="s">
        <v>78</v>
      </c>
    </row>
    <row r="71" spans="2:33" x14ac:dyDescent="0.25">
      <c r="B71" s="2" t="str">
        <f t="shared" si="98"/>
        <v>@case_width-path_medium_z16</v>
      </c>
      <c r="C71" s="28" t="s">
        <v>309</v>
      </c>
      <c r="D71" s="28" t="s">
        <v>309</v>
      </c>
      <c r="F71" s="28" t="s">
        <v>309</v>
      </c>
      <c r="G71" s="28" t="s">
        <v>309</v>
      </c>
      <c r="I71" s="28" t="s">
        <v>101</v>
      </c>
      <c r="L71" s="28" t="s">
        <v>101</v>
      </c>
      <c r="AA71" s="2" t="s">
        <v>81</v>
      </c>
      <c r="AB71" s="2" t="str">
        <f t="shared" si="99"/>
        <v>-</v>
      </c>
      <c r="AC71" s="2" t="s">
        <v>74</v>
      </c>
      <c r="AD71" s="2" t="str">
        <f t="shared" si="100"/>
        <v>_</v>
      </c>
      <c r="AE71" s="2" t="s">
        <v>82</v>
      </c>
      <c r="AF71" s="2" t="str">
        <f t="shared" si="101"/>
        <v>_</v>
      </c>
      <c r="AG71" s="28" t="s">
        <v>78</v>
      </c>
    </row>
    <row r="72" spans="2:33" x14ac:dyDescent="0.25">
      <c r="B72" s="2" t="str">
        <f t="shared" ref="B72:B75" si="106">_xlfn.CONCAT("@",AA72,AB72,AC72,AD72,AE72,AF72,AG72)</f>
        <v>@case_width-path_wide_z16</v>
      </c>
      <c r="C72" s="28" t="s">
        <v>311</v>
      </c>
      <c r="D72" s="28" t="s">
        <v>311</v>
      </c>
      <c r="F72" s="28" t="s">
        <v>311</v>
      </c>
      <c r="G72" s="28" t="s">
        <v>311</v>
      </c>
      <c r="I72" s="28" t="s">
        <v>102</v>
      </c>
      <c r="L72" s="28" t="s">
        <v>102</v>
      </c>
      <c r="AA72" s="2" t="s">
        <v>81</v>
      </c>
      <c r="AB72" s="2" t="str">
        <f t="shared" ref="AB72:AB75" si="107">IF(NOT(ISBLANK(AC72)),"-","")</f>
        <v>-</v>
      </c>
      <c r="AC72" s="2" t="s">
        <v>74</v>
      </c>
      <c r="AD72" s="2" t="str">
        <f t="shared" ref="AD72:AD75" si="108">IF(NOT(ISBLANK(AE72)),"_","")</f>
        <v>_</v>
      </c>
      <c r="AE72" s="2" t="s">
        <v>80</v>
      </c>
      <c r="AF72" s="2" t="str">
        <f t="shared" ref="AF72:AF75" si="109">IF(NOT(ISBLANK(AG72)),"_","")</f>
        <v>_</v>
      </c>
      <c r="AG72" s="28" t="s">
        <v>78</v>
      </c>
    </row>
    <row r="73" spans="2:33" x14ac:dyDescent="0.25">
      <c r="B73" s="2" t="str">
        <f t="shared" ref="B73" si="110">_xlfn.CONCAT("@",AA73,AB73,AC73,AD73,AE73,AF73,AG73)</f>
        <v>@case_width-path_widest_z16</v>
      </c>
      <c r="C73" s="28" t="s">
        <v>311</v>
      </c>
      <c r="D73" s="28" t="s">
        <v>311</v>
      </c>
      <c r="F73" s="28" t="s">
        <v>311</v>
      </c>
      <c r="G73" s="28" t="s">
        <v>311</v>
      </c>
      <c r="I73" s="28" t="s">
        <v>102</v>
      </c>
      <c r="L73" s="28" t="s">
        <v>102</v>
      </c>
      <c r="AA73" s="2" t="s">
        <v>81</v>
      </c>
      <c r="AB73" s="2" t="str">
        <f t="shared" ref="AB73" si="111">IF(NOT(ISBLANK(AC73)),"-","")</f>
        <v>-</v>
      </c>
      <c r="AC73" s="2" t="s">
        <v>74</v>
      </c>
      <c r="AD73" s="2" t="str">
        <f t="shared" ref="AD73" si="112">IF(NOT(ISBLANK(AE73)),"_","")</f>
        <v>_</v>
      </c>
      <c r="AE73" s="2" t="s">
        <v>307</v>
      </c>
      <c r="AF73" s="2" t="str">
        <f t="shared" ref="AF73" si="113">IF(NOT(ISBLANK(AG73)),"_","")</f>
        <v>_</v>
      </c>
      <c r="AG73" s="28" t="s">
        <v>78</v>
      </c>
    </row>
    <row r="74" spans="2:33" x14ac:dyDescent="0.25">
      <c r="B74" s="2" t="str">
        <f t="shared" si="106"/>
        <v>@case_width-path_narrow_z18</v>
      </c>
      <c r="C74" s="28" t="s">
        <v>312</v>
      </c>
      <c r="D74" s="28" t="s">
        <v>94</v>
      </c>
      <c r="F74" s="28" t="s">
        <v>312</v>
      </c>
      <c r="G74" s="28" t="s">
        <v>94</v>
      </c>
      <c r="I74" s="28" t="s">
        <v>87</v>
      </c>
      <c r="L74" s="28" t="s">
        <v>87</v>
      </c>
      <c r="AA74" s="2" t="s">
        <v>81</v>
      </c>
      <c r="AB74" s="2" t="str">
        <f t="shared" si="107"/>
        <v>-</v>
      </c>
      <c r="AC74" s="2" t="s">
        <v>74</v>
      </c>
      <c r="AD74" s="2" t="str">
        <f t="shared" si="108"/>
        <v>_</v>
      </c>
      <c r="AE74" s="2" t="s">
        <v>75</v>
      </c>
      <c r="AF74" s="2" t="str">
        <f t="shared" si="109"/>
        <v>_</v>
      </c>
      <c r="AG74" s="28" t="s">
        <v>79</v>
      </c>
    </row>
    <row r="75" spans="2:33" x14ac:dyDescent="0.25">
      <c r="B75" s="2" t="str">
        <f t="shared" si="106"/>
        <v>@case_width-path_medium_z18</v>
      </c>
      <c r="C75" s="28" t="s">
        <v>311</v>
      </c>
      <c r="D75" s="28" t="s">
        <v>96</v>
      </c>
      <c r="F75" s="28" t="s">
        <v>311</v>
      </c>
      <c r="G75" s="28" t="s">
        <v>96</v>
      </c>
      <c r="I75" s="28" t="s">
        <v>102</v>
      </c>
      <c r="L75" s="28" t="s">
        <v>102</v>
      </c>
      <c r="AA75" s="2" t="s">
        <v>81</v>
      </c>
      <c r="AB75" s="2" t="str">
        <f t="shared" si="107"/>
        <v>-</v>
      </c>
      <c r="AC75" s="2" t="s">
        <v>74</v>
      </c>
      <c r="AD75" s="2" t="str">
        <f t="shared" si="108"/>
        <v>_</v>
      </c>
      <c r="AE75" s="2" t="s">
        <v>82</v>
      </c>
      <c r="AF75" s="2" t="str">
        <f t="shared" si="109"/>
        <v>_</v>
      </c>
      <c r="AG75" s="28" t="s">
        <v>79</v>
      </c>
    </row>
    <row r="76" spans="2:33" x14ac:dyDescent="0.25">
      <c r="B76" s="2" t="str">
        <f t="shared" ref="B76" si="114">_xlfn.CONCAT("@",AA76,AB76,AC76,AD76,AE76,AF76,AG76)</f>
        <v>@case_width-path_wide_z18</v>
      </c>
      <c r="C76" s="28" t="s">
        <v>313</v>
      </c>
      <c r="D76" s="28" t="s">
        <v>97</v>
      </c>
      <c r="F76" s="28" t="s">
        <v>313</v>
      </c>
      <c r="G76" s="28" t="s">
        <v>97</v>
      </c>
      <c r="I76" s="28" t="s">
        <v>103</v>
      </c>
      <c r="L76" s="28" t="s">
        <v>103</v>
      </c>
      <c r="AA76" s="2" t="s">
        <v>81</v>
      </c>
      <c r="AB76" s="2" t="str">
        <f t="shared" ref="AB76" si="115">IF(NOT(ISBLANK(AC76)),"-","")</f>
        <v>-</v>
      </c>
      <c r="AC76" s="2" t="s">
        <v>74</v>
      </c>
      <c r="AD76" s="2" t="str">
        <f t="shared" ref="AD76" si="116">IF(NOT(ISBLANK(AE76)),"_","")</f>
        <v>_</v>
      </c>
      <c r="AE76" s="2" t="s">
        <v>80</v>
      </c>
      <c r="AF76" s="2" t="str">
        <f t="shared" ref="AF76" si="117">IF(NOT(ISBLANK(AG76)),"_","")</f>
        <v>_</v>
      </c>
      <c r="AG76" s="28" t="s">
        <v>79</v>
      </c>
    </row>
    <row r="77" spans="2:33" x14ac:dyDescent="0.25">
      <c r="B77" s="2" t="str">
        <f t="shared" ref="B77" si="118">_xlfn.CONCAT("@",AA77,AB77,AC77,AD77,AE77,AF77,AG77)</f>
        <v>@case_width-path_widest_z18</v>
      </c>
      <c r="C77" s="28" t="s">
        <v>313</v>
      </c>
      <c r="D77" s="28" t="s">
        <v>97</v>
      </c>
      <c r="F77" s="28" t="s">
        <v>313</v>
      </c>
      <c r="G77" s="28" t="s">
        <v>97</v>
      </c>
      <c r="I77" s="28" t="s">
        <v>103</v>
      </c>
      <c r="L77" s="28" t="s">
        <v>103</v>
      </c>
      <c r="AA77" s="2" t="s">
        <v>81</v>
      </c>
      <c r="AB77" s="2" t="str">
        <f t="shared" ref="AB77" si="119">IF(NOT(ISBLANK(AC77)),"-","")</f>
        <v>-</v>
      </c>
      <c r="AC77" s="2" t="s">
        <v>74</v>
      </c>
      <c r="AD77" s="2" t="str">
        <f t="shared" ref="AD77" si="120">IF(NOT(ISBLANK(AE77)),"_","")</f>
        <v>_</v>
      </c>
      <c r="AE77" s="2" t="s">
        <v>307</v>
      </c>
      <c r="AF77" s="2" t="str">
        <f t="shared" ref="AF77" si="121">IF(NOT(ISBLANK(AG77)),"_","")</f>
        <v>_</v>
      </c>
      <c r="AG77" s="28" t="s">
        <v>79</v>
      </c>
    </row>
    <row r="78" spans="2:33" x14ac:dyDescent="0.25">
      <c r="B78" s="2"/>
      <c r="AA78" s="2"/>
      <c r="AB78" s="2"/>
      <c r="AC78" s="2"/>
      <c r="AD78" s="2"/>
      <c r="AE78" s="2"/>
    </row>
    <row r="79" spans="2:33" x14ac:dyDescent="0.25">
      <c r="B79" s="2"/>
      <c r="AA79" s="2"/>
      <c r="AB79" s="2"/>
      <c r="AC79" s="2"/>
      <c r="AD79" s="2"/>
      <c r="AE79" s="2"/>
    </row>
    <row r="80" spans="2:33" x14ac:dyDescent="0.25">
      <c r="B80" s="2"/>
      <c r="AA80" s="2"/>
      <c r="AB80" s="2"/>
      <c r="AC80" s="2"/>
      <c r="AD80" s="2"/>
      <c r="AE80" s="2"/>
    </row>
    <row r="81" spans="1:37" s="2" customFormat="1" x14ac:dyDescent="0.25">
      <c r="A81" s="3" t="s">
        <v>41</v>
      </c>
      <c r="B81" s="3"/>
      <c r="C81" s="27"/>
      <c r="D81" s="6"/>
      <c r="E81" s="7"/>
      <c r="F81" s="6"/>
      <c r="G81" s="6"/>
      <c r="H81" s="7"/>
      <c r="I81" s="6"/>
      <c r="J81" s="6"/>
      <c r="K81" s="7"/>
      <c r="L81" s="6"/>
      <c r="M81" s="6"/>
      <c r="N81" s="7"/>
      <c r="O81" s="6"/>
      <c r="P81" s="6"/>
      <c r="Q81" s="7"/>
      <c r="R81" s="6"/>
      <c r="S81" s="6"/>
      <c r="T81" s="7"/>
      <c r="U81" s="6"/>
      <c r="V81" s="6"/>
      <c r="W81" s="7"/>
      <c r="X81" s="6"/>
      <c r="Y81" s="6"/>
      <c r="AA81" s="4"/>
      <c r="AB81" s="4" t="str">
        <f t="shared" si="71"/>
        <v/>
      </c>
      <c r="AC81" s="4"/>
      <c r="AD81" s="4" t="str">
        <f t="shared" si="72"/>
        <v/>
      </c>
      <c r="AE81" s="4"/>
      <c r="AF81" s="4" t="str">
        <f t="shared" si="73"/>
        <v/>
      </c>
      <c r="AG81" s="4"/>
    </row>
    <row r="82" spans="1:37" x14ac:dyDescent="0.25">
      <c r="B82" s="2" t="str">
        <f t="shared" ref="B82" si="122">_xlfn.CONCAT("@",AA82,AB82,AC82,AD82,AE82,AF82,AG82)</f>
        <v>@color-cycleway_case</v>
      </c>
      <c r="C82" s="71" t="s">
        <v>227</v>
      </c>
      <c r="D82" s="71" t="s">
        <v>227</v>
      </c>
      <c r="F82" s="72" t="s">
        <v>217</v>
      </c>
      <c r="AA82" s="2" t="s">
        <v>6</v>
      </c>
      <c r="AB82" s="2" t="str">
        <f t="shared" ref="AB82" si="123">IF(NOT(ISBLANK(AC82)),"-","")</f>
        <v>-</v>
      </c>
      <c r="AC82" s="2" t="s">
        <v>12</v>
      </c>
      <c r="AD82" s="2" t="str">
        <f t="shared" ref="AD82" si="124">IF(NOT(ISBLANK(AE82)),"_","")</f>
        <v>_</v>
      </c>
      <c r="AE82" s="2" t="s">
        <v>17</v>
      </c>
      <c r="AF82" s="2" t="str">
        <f t="shared" ref="AF82" si="125">IF(NOT(ISBLANK(AG82)),"_","")</f>
        <v/>
      </c>
    </row>
    <row r="83" spans="1:37" x14ac:dyDescent="0.25">
      <c r="B83" s="2" t="str">
        <f t="shared" ref="B83:B85" si="126">_xlfn.CONCAT("@",AA83,AB83,AC83,AD83,AE83,AF83,AG83)</f>
        <v>@color-cycleway_line</v>
      </c>
      <c r="C83" s="73" t="s">
        <v>188</v>
      </c>
      <c r="D83" s="74" t="str">
        <f>C83</f>
        <v>"#3046d7"</v>
      </c>
      <c r="AA83" s="2" t="s">
        <v>6</v>
      </c>
      <c r="AB83" s="2" t="str">
        <f t="shared" si="71"/>
        <v>-</v>
      </c>
      <c r="AC83" s="2" t="s">
        <v>12</v>
      </c>
      <c r="AD83" s="2" t="str">
        <f t="shared" si="72"/>
        <v>_</v>
      </c>
      <c r="AE83" s="2" t="s">
        <v>13</v>
      </c>
      <c r="AF83" s="2" t="str">
        <f t="shared" si="73"/>
        <v/>
      </c>
    </row>
    <row r="84" spans="1:37" x14ac:dyDescent="0.25">
      <c r="B84" s="2" t="str">
        <f t="shared" ref="B84" si="127">_xlfn.CONCAT("@",AA84,AB84,AC84,AD84,AE84,AF84,AG84)</f>
        <v>@color-footway_case</v>
      </c>
      <c r="C84" s="71" t="s">
        <v>227</v>
      </c>
      <c r="D84" s="71" t="s">
        <v>227</v>
      </c>
      <c r="F84" s="72" t="s">
        <v>217</v>
      </c>
      <c r="AA84" s="2" t="s">
        <v>6</v>
      </c>
      <c r="AB84" s="2" t="str">
        <f t="shared" ref="AB84" si="128">IF(NOT(ISBLANK(AC84)),"-","")</f>
        <v>-</v>
      </c>
      <c r="AC84" s="2" t="s">
        <v>35</v>
      </c>
      <c r="AD84" s="2" t="str">
        <f t="shared" ref="AD84" si="129">IF(NOT(ISBLANK(AE84)),"_","")</f>
        <v>_</v>
      </c>
      <c r="AE84" s="2" t="s">
        <v>17</v>
      </c>
      <c r="AF84" s="2" t="str">
        <f t="shared" ref="AF84" si="130">IF(NOT(ISBLANK(AG84)),"_","")</f>
        <v/>
      </c>
      <c r="AG84" s="2"/>
    </row>
    <row r="85" spans="1:37" x14ac:dyDescent="0.25">
      <c r="B85" s="2" t="str">
        <f t="shared" si="126"/>
        <v>@color-footway_line</v>
      </c>
      <c r="C85" s="75" t="s">
        <v>189</v>
      </c>
      <c r="D85" s="76" t="str">
        <f>C85</f>
        <v>"#a43820"</v>
      </c>
      <c r="AA85" s="2" t="s">
        <v>6</v>
      </c>
      <c r="AB85" s="2" t="str">
        <f t="shared" si="71"/>
        <v>-</v>
      </c>
      <c r="AC85" s="2" t="s">
        <v>35</v>
      </c>
      <c r="AD85" s="2" t="str">
        <f t="shared" si="72"/>
        <v>_</v>
      </c>
      <c r="AE85" s="2" t="s">
        <v>13</v>
      </c>
      <c r="AF85" s="2" t="str">
        <f t="shared" si="73"/>
        <v/>
      </c>
      <c r="AG85" s="2"/>
    </row>
    <row r="86" spans="1:37" x14ac:dyDescent="0.25">
      <c r="AA86" s="2"/>
      <c r="AB86" s="2" t="str">
        <f t="shared" si="71"/>
        <v/>
      </c>
      <c r="AC86" s="2"/>
      <c r="AD86" s="2" t="str">
        <f t="shared" si="72"/>
        <v/>
      </c>
      <c r="AE86" s="2"/>
      <c r="AF86" s="28" t="str">
        <f t="shared" si="73"/>
        <v/>
      </c>
    </row>
    <row r="87" spans="1:37" s="2" customFormat="1" x14ac:dyDescent="0.25">
      <c r="A87" s="3" t="s">
        <v>42</v>
      </c>
      <c r="B87" s="3"/>
      <c r="C87" s="27"/>
      <c r="D87" s="6"/>
      <c r="E87" s="7"/>
      <c r="F87" s="6"/>
      <c r="G87" s="6"/>
      <c r="H87" s="7"/>
      <c r="I87" s="6"/>
      <c r="J87" s="6"/>
      <c r="K87" s="7"/>
      <c r="L87" s="6"/>
      <c r="M87" s="6"/>
      <c r="N87" s="7"/>
      <c r="O87" s="6"/>
      <c r="P87" s="6"/>
      <c r="Q87" s="7"/>
      <c r="R87" s="6"/>
      <c r="S87" s="6"/>
      <c r="T87" s="7"/>
      <c r="U87" s="6"/>
      <c r="V87" s="6"/>
      <c r="W87" s="7"/>
      <c r="X87" s="6"/>
      <c r="Y87" s="6"/>
      <c r="AA87" s="4"/>
      <c r="AB87" s="4" t="str">
        <f t="shared" si="71"/>
        <v/>
      </c>
      <c r="AC87" s="4"/>
      <c r="AD87" s="4" t="str">
        <f t="shared" si="72"/>
        <v/>
      </c>
      <c r="AE87" s="4"/>
      <c r="AF87" s="4" t="str">
        <f t="shared" si="73"/>
        <v/>
      </c>
      <c r="AG87" s="4"/>
    </row>
    <row r="88" spans="1:37" x14ac:dyDescent="0.25">
      <c r="B88" s="2" t="str">
        <f t="shared" ref="B88:B91" si="131">_xlfn.CONCAT("@",AA88,AB88,AC88,AD88,AE88,AF88,AG88)</f>
        <v>@color-obstacle_vegetation</v>
      </c>
      <c r="C88" s="77" t="s">
        <v>190</v>
      </c>
      <c r="D88" s="78" t="str">
        <f>C88</f>
        <v>"#4a9100"</v>
      </c>
      <c r="AA88" s="2" t="s">
        <v>6</v>
      </c>
      <c r="AB88" s="2" t="str">
        <f t="shared" si="71"/>
        <v>-</v>
      </c>
      <c r="AC88" s="2" t="s">
        <v>36</v>
      </c>
      <c r="AD88" s="2" t="str">
        <f t="shared" si="72"/>
        <v>_</v>
      </c>
      <c r="AE88" s="2" t="s">
        <v>37</v>
      </c>
      <c r="AF88" s="2" t="str">
        <f t="shared" si="73"/>
        <v/>
      </c>
      <c r="AG88" s="2"/>
      <c r="AH88" s="2"/>
      <c r="AI88" s="2"/>
      <c r="AJ88" s="2"/>
      <c r="AK88" s="2"/>
    </row>
    <row r="89" spans="1:37" x14ac:dyDescent="0.25">
      <c r="B89" s="2" t="str">
        <f t="shared" si="131"/>
        <v>@color-surface_mud</v>
      </c>
      <c r="C89" s="79" t="s">
        <v>191</v>
      </c>
      <c r="D89" s="80" t="str">
        <f>C89</f>
        <v>"#0e84ed"</v>
      </c>
      <c r="AA89" s="2" t="s">
        <v>6</v>
      </c>
      <c r="AB89" s="2" t="str">
        <f t="shared" si="71"/>
        <v>-</v>
      </c>
      <c r="AC89" s="2" t="s">
        <v>38</v>
      </c>
      <c r="AD89" s="2" t="str">
        <f t="shared" si="72"/>
        <v>_</v>
      </c>
      <c r="AE89" s="2" t="s">
        <v>39</v>
      </c>
      <c r="AF89" s="2" t="str">
        <f t="shared" si="73"/>
        <v/>
      </c>
      <c r="AG89" s="2"/>
    </row>
    <row r="90" spans="1:37" x14ac:dyDescent="0.25">
      <c r="B90" s="2" t="str">
        <f t="shared" si="131"/>
        <v>@color-access_no</v>
      </c>
      <c r="C90" s="81" t="s">
        <v>192</v>
      </c>
      <c r="D90" s="82" t="str">
        <f>C90</f>
        <v>"#ff003d"</v>
      </c>
      <c r="AA90" s="2" t="s">
        <v>6</v>
      </c>
      <c r="AB90" s="2" t="str">
        <f t="shared" si="71"/>
        <v>-</v>
      </c>
      <c r="AC90" s="2" t="s">
        <v>43</v>
      </c>
      <c r="AD90" s="2" t="str">
        <f t="shared" si="72"/>
        <v>_</v>
      </c>
      <c r="AE90" s="2" t="s">
        <v>44</v>
      </c>
      <c r="AF90" s="2" t="str">
        <f t="shared" si="73"/>
        <v/>
      </c>
      <c r="AG90" s="2"/>
    </row>
    <row r="91" spans="1:37" x14ac:dyDescent="0.25">
      <c r="B91" s="2" t="str">
        <f t="shared" si="131"/>
        <v>@color-access_discouraged</v>
      </c>
      <c r="C91" s="83" t="s">
        <v>193</v>
      </c>
      <c r="D91" s="84" t="str">
        <f>C91</f>
        <v>"#ff6a00"</v>
      </c>
      <c r="AA91" s="2" t="s">
        <v>6</v>
      </c>
      <c r="AB91" s="2" t="str">
        <f t="shared" si="71"/>
        <v>-</v>
      </c>
      <c r="AC91" s="2" t="s">
        <v>43</v>
      </c>
      <c r="AD91" s="2" t="str">
        <f t="shared" si="72"/>
        <v>_</v>
      </c>
      <c r="AE91" s="2" t="s">
        <v>45</v>
      </c>
      <c r="AF91" s="2" t="str">
        <f t="shared" si="73"/>
        <v/>
      </c>
      <c r="AG91" s="2"/>
    </row>
    <row r="92" spans="1:37" x14ac:dyDescent="0.25">
      <c r="AB92" s="28" t="str">
        <f t="shared" ref="AB92:AB94" si="132">IF(NOT(ISBLANK(AC92)),"-","")</f>
        <v/>
      </c>
      <c r="AD92" s="28" t="str">
        <f t="shared" ref="AD92:AD94" si="133">IF(NOT(ISBLANK(AE92)),"_","")</f>
        <v/>
      </c>
      <c r="AF92" s="28" t="str">
        <f t="shared" ref="AF92:AF94" si="134">IF(NOT(ISBLANK(AG92)),"_","")</f>
        <v/>
      </c>
    </row>
    <row r="93" spans="1:37" s="2" customFormat="1" x14ac:dyDescent="0.25">
      <c r="A93" s="3" t="s">
        <v>277</v>
      </c>
      <c r="B93" s="3"/>
      <c r="C93" s="27"/>
      <c r="D93" s="6"/>
      <c r="E93" s="7"/>
      <c r="F93" s="6"/>
      <c r="G93" s="6"/>
      <c r="H93" s="7"/>
      <c r="I93" s="6"/>
      <c r="J93" s="6"/>
      <c r="K93" s="7"/>
      <c r="L93" s="6"/>
      <c r="M93" s="6"/>
      <c r="N93" s="7"/>
      <c r="O93" s="6"/>
      <c r="P93" s="6"/>
      <c r="Q93" s="7"/>
      <c r="R93" s="6"/>
      <c r="S93" s="6"/>
      <c r="T93" s="7"/>
      <c r="U93" s="6"/>
      <c r="V93" s="6"/>
      <c r="W93" s="7"/>
      <c r="X93" s="6"/>
      <c r="Y93" s="6"/>
      <c r="AA93" s="4"/>
      <c r="AB93" s="4" t="str">
        <f t="shared" si="132"/>
        <v/>
      </c>
      <c r="AC93" s="4"/>
      <c r="AD93" s="4" t="str">
        <f t="shared" si="133"/>
        <v/>
      </c>
      <c r="AE93" s="4"/>
      <c r="AF93" s="4" t="str">
        <f t="shared" si="134"/>
        <v/>
      </c>
      <c r="AG93" s="4"/>
    </row>
    <row r="94" spans="1:37" x14ac:dyDescent="0.25">
      <c r="B94" s="2" t="str">
        <f t="shared" ref="B94" si="135">_xlfn.CONCAT("@",AA94,AB94,AC94,AD94,AE94,AF94,AG94)</f>
        <v>@color-building_area_residential</v>
      </c>
      <c r="C94" s="85" t="s">
        <v>264</v>
      </c>
      <c r="F94" s="86" t="s">
        <v>254</v>
      </c>
      <c r="AA94" s="2" t="s">
        <v>6</v>
      </c>
      <c r="AB94" s="2" t="str">
        <f t="shared" si="132"/>
        <v>-</v>
      </c>
      <c r="AC94" s="2" t="s">
        <v>260</v>
      </c>
      <c r="AD94" s="2" t="str">
        <f t="shared" si="133"/>
        <v>_</v>
      </c>
      <c r="AE94" s="2" t="s">
        <v>266</v>
      </c>
      <c r="AF94" s="2" t="str">
        <f t="shared" si="134"/>
        <v>_</v>
      </c>
      <c r="AG94" s="2" t="s">
        <v>67</v>
      </c>
    </row>
    <row r="95" spans="1:37" x14ac:dyDescent="0.25">
      <c r="B95" s="2" t="str">
        <f t="shared" ref="B95" si="136">_xlfn.CONCAT("@",AA95,AB95,AC95,AD95,AE95,AF95,AG95)</f>
        <v>@color-building_area_generic</v>
      </c>
      <c r="C95" s="87" t="s">
        <v>263</v>
      </c>
      <c r="F95" s="88" t="s">
        <v>261</v>
      </c>
      <c r="AA95" s="2" t="s">
        <v>6</v>
      </c>
      <c r="AB95" s="2" t="str">
        <f t="shared" ref="AB95" si="137">IF(NOT(ISBLANK(AC95)),"-","")</f>
        <v>-</v>
      </c>
      <c r="AC95" s="2" t="s">
        <v>260</v>
      </c>
      <c r="AD95" s="2" t="str">
        <f t="shared" ref="AD95" si="138">IF(NOT(ISBLANK(AE95)),"_","")</f>
        <v>_</v>
      </c>
      <c r="AE95" s="2" t="s">
        <v>266</v>
      </c>
      <c r="AF95" s="2" t="str">
        <f t="shared" ref="AF95" si="139">IF(NOT(ISBLANK(AG95)),"_","")</f>
        <v>_</v>
      </c>
      <c r="AG95" s="2" t="s">
        <v>262</v>
      </c>
    </row>
    <row r="96" spans="1:37" x14ac:dyDescent="0.25">
      <c r="B96" s="2" t="str">
        <f t="shared" ref="B96" si="140">_xlfn.CONCAT("@",AA96,AB96,AC96,AD96,AE96,AF96,AG96)</f>
        <v>@color-building_line_top</v>
      </c>
      <c r="C96" s="87" t="s">
        <v>263</v>
      </c>
      <c r="F96" s="88" t="s">
        <v>261</v>
      </c>
      <c r="AA96" s="2" t="s">
        <v>6</v>
      </c>
      <c r="AB96" s="2" t="str">
        <f t="shared" ref="AB96" si="141">IF(NOT(ISBLANK(AC96)),"-","")</f>
        <v>-</v>
      </c>
      <c r="AC96" s="2" t="s">
        <v>260</v>
      </c>
      <c r="AD96" s="2" t="str">
        <f t="shared" ref="AD96" si="142">IF(NOT(ISBLANK(AE96)),"_","")</f>
        <v>_</v>
      </c>
      <c r="AE96" s="2" t="s">
        <v>13</v>
      </c>
      <c r="AF96" s="2" t="str">
        <f t="shared" ref="AF96" si="143">IF(NOT(ISBLANK(AG96)),"_","")</f>
        <v>_</v>
      </c>
      <c r="AG96" s="2" t="s">
        <v>265</v>
      </c>
    </row>
    <row r="97" spans="1:33" x14ac:dyDescent="0.25">
      <c r="B97" s="2" t="str">
        <f>_xlfn.CONCAT("@",AA97,AB97,AC97,AD97,AE97,AF97,AG97)</f>
        <v>@color-contours_line</v>
      </c>
      <c r="C97" s="89" t="s">
        <v>194</v>
      </c>
      <c r="D97" s="90" t="str">
        <f>C97</f>
        <v>"#916f4c"</v>
      </c>
      <c r="F97" s="91" t="s">
        <v>278</v>
      </c>
      <c r="G97" s="91" t="s">
        <v>278</v>
      </c>
      <c r="AA97" s="2" t="s">
        <v>6</v>
      </c>
      <c r="AB97" s="2" t="str">
        <f>IF(NOT(ISBLANK(AC97)),"-","")</f>
        <v>-</v>
      </c>
      <c r="AC97" s="2" t="s">
        <v>70</v>
      </c>
      <c r="AD97" s="2" t="str">
        <f>IF(NOT(ISBLANK(AE97)),"_","")</f>
        <v>_</v>
      </c>
      <c r="AE97" s="2" t="s">
        <v>13</v>
      </c>
      <c r="AF97" s="2" t="str">
        <f>IF(NOT(ISBLANK(AG97)),"_","")</f>
        <v/>
      </c>
      <c r="AG97" s="2"/>
    </row>
    <row r="98" spans="1:33" x14ac:dyDescent="0.25">
      <c r="B98" s="2" t="str">
        <f>_xlfn.CONCAT("@",AA98,AB98,AC98,AD98,AE98,AF98,AG98)</f>
        <v>@color-cliff_line</v>
      </c>
      <c r="C98" s="72" t="s">
        <v>217</v>
      </c>
      <c r="D98" s="72" t="s">
        <v>217</v>
      </c>
      <c r="F98" s="71" t="s">
        <v>227</v>
      </c>
      <c r="G98" s="71" t="s">
        <v>227</v>
      </c>
      <c r="AA98" s="2" t="s">
        <v>6</v>
      </c>
      <c r="AB98" s="2" t="str">
        <f>IF(NOT(ISBLANK(AC98)),"-","")</f>
        <v>-</v>
      </c>
      <c r="AC98" s="2" t="s">
        <v>279</v>
      </c>
      <c r="AD98" s="2" t="str">
        <f>IF(NOT(ISBLANK(AE98)),"_","")</f>
        <v>_</v>
      </c>
      <c r="AE98" s="2" t="s">
        <v>13</v>
      </c>
      <c r="AF98" s="2" t="str">
        <f>IF(NOT(ISBLANK(AG98)),"_","")</f>
        <v/>
      </c>
      <c r="AG98" s="2"/>
    </row>
    <row r="99" spans="1:33" x14ac:dyDescent="0.25">
      <c r="AB99" s="28" t="str">
        <f t="shared" si="71"/>
        <v/>
      </c>
      <c r="AD99" s="28" t="str">
        <f t="shared" si="72"/>
        <v/>
      </c>
      <c r="AF99" s="28" t="str">
        <f t="shared" si="73"/>
        <v/>
      </c>
    </row>
    <row r="100" spans="1:33" s="2" customFormat="1" x14ac:dyDescent="0.25">
      <c r="A100" s="3" t="s">
        <v>259</v>
      </c>
      <c r="B100" s="3"/>
      <c r="C100" s="27"/>
      <c r="D100" s="6"/>
      <c r="E100" s="7"/>
      <c r="F100" s="6"/>
      <c r="G100" s="6"/>
      <c r="H100" s="7"/>
      <c r="I100" s="6"/>
      <c r="J100" s="6"/>
      <c r="K100" s="7"/>
      <c r="L100" s="6"/>
      <c r="M100" s="6"/>
      <c r="N100" s="7"/>
      <c r="O100" s="6"/>
      <c r="P100" s="6"/>
      <c r="Q100" s="7"/>
      <c r="R100" s="6"/>
      <c r="S100" s="6"/>
      <c r="T100" s="7"/>
      <c r="U100" s="6"/>
      <c r="V100" s="6"/>
      <c r="W100" s="7"/>
      <c r="X100" s="6"/>
      <c r="Y100" s="6"/>
      <c r="AA100" s="4"/>
      <c r="AB100" s="4" t="str">
        <f t="shared" si="71"/>
        <v/>
      </c>
      <c r="AC100" s="4"/>
      <c r="AD100" s="4" t="str">
        <f t="shared" si="72"/>
        <v/>
      </c>
      <c r="AE100" s="4"/>
      <c r="AF100" s="4" t="str">
        <f t="shared" si="73"/>
        <v/>
      </c>
      <c r="AG100" s="4"/>
    </row>
    <row r="101" spans="1:33" x14ac:dyDescent="0.25">
      <c r="B101" s="2" t="str">
        <f t="shared" ref="B101:B121" si="144">_xlfn.CONCAT("@",AA101,AB101,AC101,AD101,AE101,AF101,AG101)</f>
        <v>@color-background</v>
      </c>
      <c r="C101" s="92" t="s">
        <v>195</v>
      </c>
      <c r="D101" s="38" t="s">
        <v>227</v>
      </c>
      <c r="F101" s="72" t="s">
        <v>217</v>
      </c>
      <c r="G101" s="72" t="s">
        <v>217</v>
      </c>
      <c r="AA101" s="2" t="s">
        <v>6</v>
      </c>
      <c r="AB101" s="2" t="str">
        <f t="shared" si="71"/>
        <v>-</v>
      </c>
      <c r="AC101" s="2" t="s">
        <v>69</v>
      </c>
      <c r="AD101" s="2" t="str">
        <f t="shared" si="72"/>
        <v/>
      </c>
      <c r="AE101" s="2"/>
      <c r="AF101" s="2" t="str">
        <f t="shared" si="73"/>
        <v/>
      </c>
      <c r="AG101" s="2"/>
    </row>
    <row r="102" spans="1:33" x14ac:dyDescent="0.25">
      <c r="B102" s="2" t="str">
        <f t="shared" si="144"/>
        <v>@color-water</v>
      </c>
      <c r="C102" s="93" t="s">
        <v>196</v>
      </c>
      <c r="D102" s="94" t="s">
        <v>197</v>
      </c>
      <c r="F102" s="95" t="s">
        <v>242</v>
      </c>
      <c r="AA102" s="2" t="s">
        <v>6</v>
      </c>
      <c r="AB102" s="2" t="str">
        <f t="shared" si="71"/>
        <v>-</v>
      </c>
      <c r="AC102" s="2" t="s">
        <v>14</v>
      </c>
      <c r="AD102" s="2" t="str">
        <f t="shared" si="72"/>
        <v/>
      </c>
      <c r="AE102" s="2"/>
      <c r="AF102" s="2" t="str">
        <f t="shared" si="73"/>
        <v/>
      </c>
      <c r="AG102" s="2"/>
    </row>
    <row r="103" spans="1:33" x14ac:dyDescent="0.25">
      <c r="B103" s="2" t="str">
        <f t="shared" si="144"/>
        <v>@color-landcover_field</v>
      </c>
      <c r="C103" s="96" t="s">
        <v>198</v>
      </c>
      <c r="D103" s="97" t="s">
        <v>199</v>
      </c>
      <c r="F103" s="98" t="s">
        <v>245</v>
      </c>
      <c r="AA103" s="2" t="s">
        <v>6</v>
      </c>
      <c r="AB103" s="2" t="str">
        <f t="shared" si="71"/>
        <v>-</v>
      </c>
      <c r="AC103" s="2" t="s">
        <v>54</v>
      </c>
      <c r="AD103" s="2" t="str">
        <f t="shared" si="72"/>
        <v>_</v>
      </c>
      <c r="AE103" s="2" t="s">
        <v>49</v>
      </c>
      <c r="AF103" s="2" t="str">
        <f t="shared" si="73"/>
        <v/>
      </c>
      <c r="AG103" s="2"/>
    </row>
    <row r="104" spans="1:33" x14ac:dyDescent="0.25">
      <c r="B104" s="2" t="str">
        <f t="shared" si="144"/>
        <v>@color-landcover_meadow</v>
      </c>
      <c r="C104" s="99" t="s">
        <v>200</v>
      </c>
      <c r="D104" s="100" t="s">
        <v>201</v>
      </c>
      <c r="F104" s="101" t="s">
        <v>244</v>
      </c>
      <c r="AA104" s="2" t="s">
        <v>6</v>
      </c>
      <c r="AB104" s="2" t="str">
        <f t="shared" si="71"/>
        <v>-</v>
      </c>
      <c r="AC104" s="2" t="s">
        <v>54</v>
      </c>
      <c r="AD104" s="2" t="str">
        <f t="shared" si="72"/>
        <v>_</v>
      </c>
      <c r="AE104" s="2" t="s">
        <v>50</v>
      </c>
      <c r="AF104" s="2" t="str">
        <f t="shared" si="73"/>
        <v/>
      </c>
      <c r="AG104" s="2"/>
    </row>
    <row r="105" spans="1:33" x14ac:dyDescent="0.25">
      <c r="B105" s="2" t="str">
        <f t="shared" si="144"/>
        <v>@color-landcover_bare_rock</v>
      </c>
      <c r="C105" s="102" t="s">
        <v>202</v>
      </c>
      <c r="F105" s="103" t="s">
        <v>249</v>
      </c>
      <c r="AA105" s="2" t="s">
        <v>6</v>
      </c>
      <c r="AB105" s="2" t="str">
        <f t="shared" si="71"/>
        <v>-</v>
      </c>
      <c r="AC105" s="2" t="s">
        <v>54</v>
      </c>
      <c r="AD105" s="2" t="str">
        <f t="shared" si="72"/>
        <v>_</v>
      </c>
      <c r="AE105" s="2" t="s">
        <v>51</v>
      </c>
      <c r="AF105" s="2" t="str">
        <f t="shared" si="73"/>
        <v/>
      </c>
      <c r="AG105" s="2"/>
    </row>
    <row r="106" spans="1:33" x14ac:dyDescent="0.25">
      <c r="B106" s="2" t="str">
        <f t="shared" si="144"/>
        <v>@color-landcover_sand</v>
      </c>
      <c r="C106" s="104" t="s">
        <v>203</v>
      </c>
      <c r="F106" s="105" t="s">
        <v>250</v>
      </c>
      <c r="AA106" s="2" t="s">
        <v>6</v>
      </c>
      <c r="AB106" s="2" t="str">
        <f t="shared" si="71"/>
        <v>-</v>
      </c>
      <c r="AC106" s="2" t="s">
        <v>54</v>
      </c>
      <c r="AD106" s="2" t="str">
        <f t="shared" si="72"/>
        <v>_</v>
      </c>
      <c r="AE106" s="2" t="s">
        <v>52</v>
      </c>
      <c r="AF106" s="2" t="str">
        <f t="shared" si="73"/>
        <v/>
      </c>
      <c r="AG106" s="2"/>
    </row>
    <row r="107" spans="1:33" x14ac:dyDescent="0.25">
      <c r="B107" s="2" t="str">
        <f t="shared" si="144"/>
        <v>@color-landcover_allotments</v>
      </c>
      <c r="C107" s="106" t="s">
        <v>204</v>
      </c>
      <c r="F107" s="107" t="s">
        <v>251</v>
      </c>
      <c r="AA107" s="2" t="s">
        <v>6</v>
      </c>
      <c r="AB107" s="2" t="str">
        <f t="shared" si="71"/>
        <v>-</v>
      </c>
      <c r="AC107" s="2" t="s">
        <v>54</v>
      </c>
      <c r="AD107" s="2" t="str">
        <f t="shared" si="72"/>
        <v>_</v>
      </c>
      <c r="AE107" s="2" t="s">
        <v>53</v>
      </c>
      <c r="AF107" s="2" t="str">
        <f t="shared" si="73"/>
        <v/>
      </c>
      <c r="AG107" s="2"/>
    </row>
    <row r="108" spans="1:33" x14ac:dyDescent="0.25">
      <c r="B108" s="2" t="str">
        <f t="shared" si="144"/>
        <v>@color-landcover_heath_fell</v>
      </c>
      <c r="C108" s="108" t="s">
        <v>205</v>
      </c>
      <c r="F108" s="109" t="s">
        <v>252</v>
      </c>
      <c r="AA108" s="2" t="s">
        <v>6</v>
      </c>
      <c r="AB108" s="2" t="str">
        <f t="shared" si="71"/>
        <v>-</v>
      </c>
      <c r="AC108" s="2" t="s">
        <v>54</v>
      </c>
      <c r="AD108" s="2" t="str">
        <f t="shared" si="72"/>
        <v>_</v>
      </c>
      <c r="AE108" s="2" t="s">
        <v>55</v>
      </c>
      <c r="AF108" s="2" t="str">
        <f t="shared" si="73"/>
        <v/>
      </c>
      <c r="AG108" s="2"/>
    </row>
    <row r="109" spans="1:33" x14ac:dyDescent="0.25">
      <c r="B109" s="2" t="str">
        <f t="shared" si="144"/>
        <v>@color-landcover_grass</v>
      </c>
      <c r="C109" s="110" t="s">
        <v>206</v>
      </c>
      <c r="F109" s="111" t="s">
        <v>284</v>
      </c>
      <c r="AA109" s="2" t="s">
        <v>6</v>
      </c>
      <c r="AB109" s="2" t="str">
        <f t="shared" si="71"/>
        <v>-</v>
      </c>
      <c r="AC109" s="2" t="s">
        <v>54</v>
      </c>
      <c r="AD109" s="2" t="str">
        <f t="shared" si="72"/>
        <v>_</v>
      </c>
      <c r="AE109" s="2" t="s">
        <v>56</v>
      </c>
      <c r="AF109" s="2" t="str">
        <f t="shared" si="73"/>
        <v/>
      </c>
      <c r="AG109" s="2"/>
    </row>
    <row r="110" spans="1:33" x14ac:dyDescent="0.25">
      <c r="B110" s="2" t="str">
        <f t="shared" si="144"/>
        <v>@color-landcover_quarry</v>
      </c>
      <c r="C110" s="112" t="s">
        <v>207</v>
      </c>
      <c r="F110" s="113" t="s">
        <v>253</v>
      </c>
      <c r="AA110" s="2" t="s">
        <v>6</v>
      </c>
      <c r="AB110" s="2" t="str">
        <f t="shared" si="71"/>
        <v>-</v>
      </c>
      <c r="AC110" s="2" t="s">
        <v>54</v>
      </c>
      <c r="AD110" s="2" t="str">
        <f t="shared" si="72"/>
        <v>_</v>
      </c>
      <c r="AE110" s="2" t="s">
        <v>57</v>
      </c>
      <c r="AF110" s="2" t="str">
        <f t="shared" si="73"/>
        <v/>
      </c>
      <c r="AG110" s="2"/>
    </row>
    <row r="111" spans="1:33" x14ac:dyDescent="0.25">
      <c r="B111" s="2" t="str">
        <f t="shared" si="144"/>
        <v>@color-landcover_storage</v>
      </c>
      <c r="C111" s="114" t="s">
        <v>208</v>
      </c>
      <c r="F111" s="115" t="s">
        <v>267</v>
      </c>
      <c r="AA111" s="2" t="s">
        <v>6</v>
      </c>
      <c r="AB111" s="2" t="str">
        <f t="shared" si="71"/>
        <v>-</v>
      </c>
      <c r="AC111" s="2" t="s">
        <v>54</v>
      </c>
      <c r="AD111" s="2" t="str">
        <f t="shared" si="72"/>
        <v>_</v>
      </c>
      <c r="AE111" s="2" t="s">
        <v>58</v>
      </c>
      <c r="AF111" s="2" t="str">
        <f t="shared" si="73"/>
        <v/>
      </c>
      <c r="AG111" s="2"/>
    </row>
    <row r="112" spans="1:33" x14ac:dyDescent="0.25">
      <c r="B112" s="2" t="str">
        <f t="shared" si="144"/>
        <v>@color-landcover_wood</v>
      </c>
      <c r="C112" s="116" t="s">
        <v>209</v>
      </c>
      <c r="F112" s="117" t="s">
        <v>243</v>
      </c>
      <c r="AA112" s="2" t="s">
        <v>6</v>
      </c>
      <c r="AB112" s="2" t="str">
        <f t="shared" si="71"/>
        <v>-</v>
      </c>
      <c r="AC112" s="2" t="s">
        <v>54</v>
      </c>
      <c r="AD112" s="2" t="str">
        <f t="shared" si="72"/>
        <v>_</v>
      </c>
      <c r="AE112" s="2" t="s">
        <v>59</v>
      </c>
      <c r="AF112" s="2" t="str">
        <f t="shared" si="73"/>
        <v/>
      </c>
      <c r="AG112" s="2"/>
    </row>
    <row r="113" spans="1:33" x14ac:dyDescent="0.25">
      <c r="B113" s="2" t="str">
        <f t="shared" si="144"/>
        <v>@color-landcover_parking_area</v>
      </c>
      <c r="C113" s="118" t="s">
        <v>210</v>
      </c>
      <c r="F113" s="119" t="s">
        <v>254</v>
      </c>
      <c r="AA113" s="2" t="s">
        <v>6</v>
      </c>
      <c r="AB113" s="2" t="str">
        <f t="shared" si="71"/>
        <v>-</v>
      </c>
      <c r="AC113" s="2" t="s">
        <v>54</v>
      </c>
      <c r="AD113" s="2" t="str">
        <f t="shared" si="72"/>
        <v>_</v>
      </c>
      <c r="AE113" s="2" t="s">
        <v>60</v>
      </c>
      <c r="AF113" s="2" t="str">
        <f t="shared" si="73"/>
        <v/>
      </c>
      <c r="AG113" s="2"/>
    </row>
    <row r="114" spans="1:33" x14ac:dyDescent="0.25">
      <c r="B114" s="2" t="str">
        <f t="shared" si="144"/>
        <v>@color-landcover_railway</v>
      </c>
      <c r="C114" s="120" t="s">
        <v>211</v>
      </c>
      <c r="F114" s="121" t="s">
        <v>255</v>
      </c>
      <c r="AA114" s="2" t="s">
        <v>6</v>
      </c>
      <c r="AB114" s="2" t="str">
        <f t="shared" si="71"/>
        <v>-</v>
      </c>
      <c r="AC114" s="2" t="s">
        <v>54</v>
      </c>
      <c r="AD114" s="2" t="str">
        <f t="shared" si="72"/>
        <v>_</v>
      </c>
      <c r="AE114" s="2" t="s">
        <v>61</v>
      </c>
      <c r="AF114" s="2" t="str">
        <f t="shared" si="73"/>
        <v/>
      </c>
      <c r="AG114" s="2"/>
    </row>
    <row r="115" spans="1:33" x14ac:dyDescent="0.25">
      <c r="B115" s="2" t="str">
        <f t="shared" si="144"/>
        <v>@color-landcover_school</v>
      </c>
      <c r="C115" s="122" t="s">
        <v>213</v>
      </c>
      <c r="F115" s="115" t="s">
        <v>267</v>
      </c>
      <c r="AA115" s="2" t="s">
        <v>6</v>
      </c>
      <c r="AB115" s="2" t="str">
        <f t="shared" si="71"/>
        <v>-</v>
      </c>
      <c r="AC115" s="2" t="s">
        <v>54</v>
      </c>
      <c r="AD115" s="2" t="str">
        <f t="shared" si="72"/>
        <v>_</v>
      </c>
      <c r="AE115" s="2" t="s">
        <v>62</v>
      </c>
      <c r="AF115" s="2" t="str">
        <f t="shared" si="73"/>
        <v/>
      </c>
      <c r="AG115" s="2"/>
    </row>
    <row r="116" spans="1:33" x14ac:dyDescent="0.25">
      <c r="B116" s="2" t="str">
        <f t="shared" si="144"/>
        <v>@color-landcover_cemetery</v>
      </c>
      <c r="C116" s="123" t="s">
        <v>212</v>
      </c>
      <c r="F116" s="124" t="s">
        <v>256</v>
      </c>
      <c r="AA116" s="2" t="s">
        <v>6</v>
      </c>
      <c r="AB116" s="2" t="str">
        <f t="shared" si="71"/>
        <v>-</v>
      </c>
      <c r="AC116" s="2" t="s">
        <v>54</v>
      </c>
      <c r="AD116" s="2" t="str">
        <f t="shared" si="72"/>
        <v>_</v>
      </c>
      <c r="AE116" s="2" t="s">
        <v>64</v>
      </c>
      <c r="AF116" s="2" t="str">
        <f t="shared" si="73"/>
        <v/>
      </c>
      <c r="AG116" s="2"/>
    </row>
    <row r="117" spans="1:33" x14ac:dyDescent="0.25">
      <c r="B117" s="2" t="str">
        <f t="shared" si="144"/>
        <v>@color-landcover_hospital</v>
      </c>
      <c r="C117" s="122" t="s">
        <v>213</v>
      </c>
      <c r="F117" s="115" t="s">
        <v>267</v>
      </c>
      <c r="AA117" s="2" t="s">
        <v>6</v>
      </c>
      <c r="AB117" s="2" t="str">
        <f t="shared" si="71"/>
        <v>-</v>
      </c>
      <c r="AC117" s="2" t="s">
        <v>54</v>
      </c>
      <c r="AD117" s="2" t="str">
        <f t="shared" si="72"/>
        <v>_</v>
      </c>
      <c r="AE117" s="2" t="s">
        <v>63</v>
      </c>
      <c r="AF117" s="2" t="str">
        <f t="shared" si="73"/>
        <v/>
      </c>
      <c r="AG117" s="2"/>
    </row>
    <row r="118" spans="1:33" x14ac:dyDescent="0.25">
      <c r="B118" s="2" t="str">
        <f t="shared" si="144"/>
        <v>@color-landcover_industrial</v>
      </c>
      <c r="C118" s="122" t="s">
        <v>213</v>
      </c>
      <c r="F118" s="115" t="s">
        <v>267</v>
      </c>
      <c r="AA118" s="2" t="s">
        <v>6</v>
      </c>
      <c r="AB118" s="2" t="str">
        <f t="shared" si="71"/>
        <v>-</v>
      </c>
      <c r="AC118" s="2" t="s">
        <v>54</v>
      </c>
      <c r="AD118" s="2" t="str">
        <f t="shared" si="72"/>
        <v>_</v>
      </c>
      <c r="AE118" s="2" t="s">
        <v>65</v>
      </c>
      <c r="AF118" s="2" t="str">
        <f t="shared" si="73"/>
        <v/>
      </c>
      <c r="AG118" s="2"/>
    </row>
    <row r="119" spans="1:33" x14ac:dyDescent="0.25">
      <c r="B119" s="2" t="str">
        <f t="shared" si="144"/>
        <v>@color-landcover_commercial</v>
      </c>
      <c r="C119" s="122" t="s">
        <v>213</v>
      </c>
      <c r="F119" s="115" t="s">
        <v>267</v>
      </c>
      <c r="AA119" s="2" t="s">
        <v>6</v>
      </c>
      <c r="AB119" s="2" t="str">
        <f t="shared" si="71"/>
        <v>-</v>
      </c>
      <c r="AC119" s="2" t="s">
        <v>54</v>
      </c>
      <c r="AD119" s="2" t="str">
        <f t="shared" si="72"/>
        <v>_</v>
      </c>
      <c r="AE119" s="2" t="s">
        <v>66</v>
      </c>
      <c r="AF119" s="2" t="str">
        <f t="shared" si="73"/>
        <v/>
      </c>
      <c r="AG119" s="2"/>
    </row>
    <row r="120" spans="1:33" x14ac:dyDescent="0.25">
      <c r="B120" s="2" t="str">
        <f t="shared" si="144"/>
        <v>@color-landcover_residential</v>
      </c>
      <c r="C120" s="122" t="s">
        <v>213</v>
      </c>
      <c r="F120" s="115" t="s">
        <v>267</v>
      </c>
      <c r="AA120" s="2" t="s">
        <v>6</v>
      </c>
      <c r="AB120" s="2" t="str">
        <f t="shared" si="71"/>
        <v>-</v>
      </c>
      <c r="AC120" s="2" t="s">
        <v>54</v>
      </c>
      <c r="AD120" s="2" t="str">
        <f t="shared" si="72"/>
        <v>_</v>
      </c>
      <c r="AE120" s="2" t="s">
        <v>67</v>
      </c>
      <c r="AF120" s="2" t="str">
        <f t="shared" si="73"/>
        <v/>
      </c>
      <c r="AG120" s="2"/>
    </row>
    <row r="121" spans="1:33" x14ac:dyDescent="0.25">
      <c r="B121" s="2" t="str">
        <f t="shared" si="144"/>
        <v>@color-landcover_built-up</v>
      </c>
      <c r="C121" s="122" t="s">
        <v>213</v>
      </c>
      <c r="F121" s="115" t="s">
        <v>267</v>
      </c>
      <c r="AA121" s="2" t="s">
        <v>6</v>
      </c>
      <c r="AB121" s="2" t="str">
        <f t="shared" si="71"/>
        <v>-</v>
      </c>
      <c r="AC121" s="2" t="s">
        <v>54</v>
      </c>
      <c r="AD121" s="2" t="str">
        <f t="shared" si="72"/>
        <v>_</v>
      </c>
      <c r="AE121" s="2" t="s">
        <v>68</v>
      </c>
      <c r="AF121" s="2" t="str">
        <f t="shared" si="73"/>
        <v/>
      </c>
      <c r="AG121" s="2"/>
    </row>
    <row r="122" spans="1:33" x14ac:dyDescent="0.25">
      <c r="B122" s="2" t="str">
        <f t="shared" ref="B122:B125" si="145">_xlfn.CONCAT("@",AA122,AB122,AC122,AD122,AE122,AF122,AG122)</f>
        <v>@color-landcover_ice_shelf</v>
      </c>
      <c r="C122" s="92" t="s">
        <v>195</v>
      </c>
      <c r="F122" s="125" t="s">
        <v>257</v>
      </c>
      <c r="AA122" s="2" t="s">
        <v>6</v>
      </c>
      <c r="AB122" s="2" t="str">
        <f t="shared" ref="AB122:AB125" si="146">IF(NOT(ISBLANK(AC122)),"-","")</f>
        <v>-</v>
      </c>
      <c r="AC122" s="2" t="s">
        <v>54</v>
      </c>
      <c r="AD122" s="2" t="str">
        <f t="shared" ref="AD122:AD125" si="147">IF(NOT(ISBLANK(AE122)),"_","")</f>
        <v>_</v>
      </c>
      <c r="AE122" s="2" t="s">
        <v>246</v>
      </c>
      <c r="AF122" s="2" t="str">
        <f t="shared" ref="AF122:AF125" si="148">IF(NOT(ISBLANK(AG122)),"_","")</f>
        <v/>
      </c>
      <c r="AG122" s="2"/>
    </row>
    <row r="123" spans="1:33" x14ac:dyDescent="0.25">
      <c r="B123" s="2" t="str">
        <f t="shared" ref="B123" si="149">_xlfn.CONCAT("@",AA123,AB123,AC123,AD123,AE123,AF123,AG123)</f>
        <v>@color-landcover_glacier</v>
      </c>
      <c r="C123" s="92" t="s">
        <v>195</v>
      </c>
      <c r="F123" s="125" t="s">
        <v>257</v>
      </c>
      <c r="AA123" s="2" t="s">
        <v>6</v>
      </c>
      <c r="AB123" s="2" t="str">
        <f t="shared" ref="AB123" si="150">IF(NOT(ISBLANK(AC123)),"-","")</f>
        <v>-</v>
      </c>
      <c r="AC123" s="2" t="s">
        <v>54</v>
      </c>
      <c r="AD123" s="2" t="str">
        <f t="shared" ref="AD123" si="151">IF(NOT(ISBLANK(AE123)),"_","")</f>
        <v>_</v>
      </c>
      <c r="AE123" s="2" t="s">
        <v>272</v>
      </c>
      <c r="AF123" s="2" t="str">
        <f t="shared" ref="AF123" si="152">IF(NOT(ISBLANK(AG123)),"_","")</f>
        <v/>
      </c>
      <c r="AG123" s="2"/>
    </row>
    <row r="124" spans="1:33" x14ac:dyDescent="0.25">
      <c r="B124" s="2" t="str">
        <f t="shared" si="145"/>
        <v>@color-landcover_sport_play</v>
      </c>
      <c r="C124" s="126" t="s">
        <v>248</v>
      </c>
      <c r="F124" s="127" t="s">
        <v>258</v>
      </c>
      <c r="AA124" s="2" t="s">
        <v>6</v>
      </c>
      <c r="AB124" s="2" t="str">
        <f t="shared" si="146"/>
        <v>-</v>
      </c>
      <c r="AC124" s="2" t="s">
        <v>54</v>
      </c>
      <c r="AD124" s="2" t="str">
        <f t="shared" si="147"/>
        <v>_</v>
      </c>
      <c r="AE124" s="2" t="s">
        <v>247</v>
      </c>
      <c r="AF124" s="2" t="str">
        <f t="shared" si="148"/>
        <v/>
      </c>
      <c r="AG124" s="2"/>
    </row>
    <row r="125" spans="1:33" x14ac:dyDescent="0.25">
      <c r="B125" s="2" t="str">
        <f t="shared" si="145"/>
        <v>@color-landcover_line_generic</v>
      </c>
      <c r="C125" s="128" t="s">
        <v>268</v>
      </c>
      <c r="F125" s="115" t="s">
        <v>267</v>
      </c>
      <c r="AA125" s="2" t="s">
        <v>6</v>
      </c>
      <c r="AB125" s="2" t="str">
        <f t="shared" si="146"/>
        <v>-</v>
      </c>
      <c r="AC125" s="2" t="s">
        <v>54</v>
      </c>
      <c r="AD125" s="2" t="str">
        <f t="shared" si="147"/>
        <v>_</v>
      </c>
      <c r="AE125" s="2" t="s">
        <v>13</v>
      </c>
      <c r="AF125" s="2" t="str">
        <f t="shared" si="148"/>
        <v>_</v>
      </c>
      <c r="AG125" s="2" t="s">
        <v>262</v>
      </c>
    </row>
    <row r="126" spans="1:33" x14ac:dyDescent="0.25">
      <c r="AB126" s="28" t="str">
        <f t="shared" si="71"/>
        <v/>
      </c>
      <c r="AD126" s="28" t="str">
        <f t="shared" si="72"/>
        <v/>
      </c>
      <c r="AF126" s="28" t="str">
        <f t="shared" si="73"/>
        <v/>
      </c>
    </row>
    <row r="127" spans="1:33" s="2" customFormat="1" x14ac:dyDescent="0.25">
      <c r="A127" s="3" t="s">
        <v>46</v>
      </c>
      <c r="B127" s="3"/>
      <c r="C127" s="27"/>
      <c r="D127" s="6"/>
      <c r="E127" s="7"/>
      <c r="F127" s="6"/>
      <c r="G127" s="6"/>
      <c r="H127" s="7"/>
      <c r="I127" s="6"/>
      <c r="J127" s="6"/>
      <c r="K127" s="7"/>
      <c r="L127" s="6"/>
      <c r="M127" s="6"/>
      <c r="N127" s="7"/>
      <c r="O127" s="6"/>
      <c r="P127" s="6"/>
      <c r="Q127" s="7"/>
      <c r="R127" s="6"/>
      <c r="S127" s="6"/>
      <c r="T127" s="7"/>
      <c r="U127" s="6"/>
      <c r="V127" s="6"/>
      <c r="W127" s="7"/>
      <c r="X127" s="6"/>
      <c r="Y127" s="6"/>
      <c r="AA127" s="4"/>
      <c r="AB127" s="4" t="str">
        <f t="shared" si="71"/>
        <v/>
      </c>
      <c r="AC127" s="4"/>
      <c r="AD127" s="4" t="str">
        <f t="shared" si="72"/>
        <v/>
      </c>
      <c r="AE127" s="4"/>
      <c r="AF127" s="4" t="str">
        <f t="shared" si="73"/>
        <v/>
      </c>
      <c r="AG127" s="4"/>
    </row>
    <row r="128" spans="1:33" x14ac:dyDescent="0.25">
      <c r="B128" s="2" t="str">
        <f t="shared" ref="B128:B130" si="153">_xlfn.CONCAT("@",AA128,AB128,AC128,AD128,AE128,AF128,AG128)</f>
        <v>@color-motorway_case_farzoom</v>
      </c>
      <c r="C128" s="129" t="s">
        <v>214</v>
      </c>
      <c r="D128" s="72" t="s">
        <v>217</v>
      </c>
      <c r="F128" s="129" t="s">
        <v>214</v>
      </c>
      <c r="G128" s="129" t="s">
        <v>214</v>
      </c>
      <c r="I128" s="130" t="str">
        <f>C128</f>
        <v>"#bf440f"</v>
      </c>
      <c r="J128" s="72" t="s">
        <v>217</v>
      </c>
      <c r="U128" s="130" t="str">
        <f>C128</f>
        <v>"#bf440f"</v>
      </c>
      <c r="AA128" s="2" t="s">
        <v>6</v>
      </c>
      <c r="AB128" s="2" t="str">
        <f t="shared" si="71"/>
        <v>-</v>
      </c>
      <c r="AC128" s="2" t="s">
        <v>16</v>
      </c>
      <c r="AD128" s="2" t="str">
        <f t="shared" si="72"/>
        <v>_</v>
      </c>
      <c r="AE128" s="2" t="s">
        <v>17</v>
      </c>
      <c r="AF128" s="2" t="str">
        <f t="shared" si="73"/>
        <v>_</v>
      </c>
      <c r="AG128" s="2" t="s">
        <v>21</v>
      </c>
    </row>
    <row r="129" spans="1:33" x14ac:dyDescent="0.25">
      <c r="B129" s="2" t="str">
        <f t="shared" si="153"/>
        <v>@color-motorway_case_default</v>
      </c>
      <c r="C129" s="131" t="s">
        <v>215</v>
      </c>
      <c r="D129" s="72" t="s">
        <v>217</v>
      </c>
      <c r="F129" s="72" t="s">
        <v>217</v>
      </c>
      <c r="G129" s="72" t="s">
        <v>217</v>
      </c>
      <c r="I129" s="132" t="str">
        <f>C129</f>
        <v>"#a15412"</v>
      </c>
      <c r="J129" s="72" t="s">
        <v>217</v>
      </c>
      <c r="U129" s="132" t="str">
        <f>C129</f>
        <v>"#a15412"</v>
      </c>
      <c r="AA129" s="2" t="s">
        <v>6</v>
      </c>
      <c r="AB129" s="2" t="str">
        <f t="shared" si="71"/>
        <v>-</v>
      </c>
      <c r="AC129" s="2" t="s">
        <v>16</v>
      </c>
      <c r="AD129" s="2" t="str">
        <f t="shared" si="72"/>
        <v>_</v>
      </c>
      <c r="AE129" s="2" t="s">
        <v>17</v>
      </c>
      <c r="AF129" s="2" t="str">
        <f t="shared" si="73"/>
        <v>_</v>
      </c>
      <c r="AG129" s="2" t="s">
        <v>269</v>
      </c>
    </row>
    <row r="130" spans="1:33" x14ac:dyDescent="0.25">
      <c r="B130" s="2" t="str">
        <f t="shared" si="153"/>
        <v>@color-motorway_line_default</v>
      </c>
      <c r="C130" s="133" t="s">
        <v>216</v>
      </c>
      <c r="D130" s="134" t="s">
        <v>218</v>
      </c>
      <c r="F130" s="134" t="s">
        <v>218</v>
      </c>
      <c r="G130" s="134" t="s">
        <v>218</v>
      </c>
      <c r="I130" s="135" t="str">
        <f>C130</f>
        <v>"#ffcc88"</v>
      </c>
      <c r="J130" s="136" t="str">
        <f>D130</f>
        <v>"#d6771e"</v>
      </c>
      <c r="U130" s="135" t="str">
        <f>C130</f>
        <v>"#ffcc88"</v>
      </c>
      <c r="AA130" s="2" t="s">
        <v>6</v>
      </c>
      <c r="AB130" s="2" t="str">
        <f t="shared" si="71"/>
        <v>-</v>
      </c>
      <c r="AC130" s="2" t="s">
        <v>16</v>
      </c>
      <c r="AD130" s="2" t="str">
        <f t="shared" si="72"/>
        <v>_</v>
      </c>
      <c r="AE130" s="2" t="s">
        <v>13</v>
      </c>
      <c r="AF130" s="2" t="str">
        <f t="shared" si="73"/>
        <v>_</v>
      </c>
      <c r="AG130" s="2" t="s">
        <v>269</v>
      </c>
    </row>
    <row r="131" spans="1:33" x14ac:dyDescent="0.25">
      <c r="AB131" s="28" t="str">
        <f t="shared" si="71"/>
        <v/>
      </c>
      <c r="AD131" s="28" t="str">
        <f t="shared" si="72"/>
        <v/>
      </c>
      <c r="AF131" s="28" t="str">
        <f t="shared" si="73"/>
        <v/>
      </c>
    </row>
    <row r="132" spans="1:33" s="2" customFormat="1" x14ac:dyDescent="0.25">
      <c r="A132" s="3" t="s">
        <v>48</v>
      </c>
      <c r="B132" s="3"/>
      <c r="C132" s="27"/>
      <c r="D132" s="6"/>
      <c r="E132" s="7"/>
      <c r="F132" s="6"/>
      <c r="G132" s="6"/>
      <c r="H132" s="7"/>
      <c r="I132" s="6"/>
      <c r="J132" s="6"/>
      <c r="K132" s="7"/>
      <c r="L132" s="6"/>
      <c r="M132" s="6"/>
      <c r="N132" s="7"/>
      <c r="O132" s="6"/>
      <c r="P132" s="6"/>
      <c r="Q132" s="7"/>
      <c r="R132" s="6"/>
      <c r="S132" s="6"/>
      <c r="T132" s="7"/>
      <c r="U132" s="6"/>
      <c r="V132" s="6"/>
      <c r="W132" s="7"/>
      <c r="X132" s="6"/>
      <c r="Y132" s="6"/>
      <c r="AA132" s="4"/>
      <c r="AB132" s="4" t="str">
        <f t="shared" si="71"/>
        <v/>
      </c>
      <c r="AC132" s="4"/>
      <c r="AD132" s="4" t="str">
        <f t="shared" si="72"/>
        <v/>
      </c>
      <c r="AE132" s="4"/>
      <c r="AF132" s="4" t="str">
        <f t="shared" si="73"/>
        <v/>
      </c>
      <c r="AG132" s="4"/>
    </row>
    <row r="133" spans="1:33" x14ac:dyDescent="0.25">
      <c r="B133" s="2" t="str">
        <f t="shared" ref="B133" si="154">_xlfn.CONCAT("@",AA133,AB133,AC133,AD133,AE133,AF133,AG133)</f>
        <v>@color-trunk_case_bicycle_no_default</v>
      </c>
      <c r="C133" s="137" t="s">
        <v>231</v>
      </c>
      <c r="D133" s="72" t="s">
        <v>217</v>
      </c>
      <c r="F133" s="72" t="s">
        <v>217</v>
      </c>
      <c r="G133" s="72" t="s">
        <v>217</v>
      </c>
      <c r="I133" s="138" t="str">
        <f>C133</f>
        <v>"#bd430f"</v>
      </c>
      <c r="J133" s="37" t="str">
        <f>D133</f>
        <v>"#000000"</v>
      </c>
      <c r="U133" s="138" t="str">
        <f>C133</f>
        <v>"#bd430f"</v>
      </c>
      <c r="V133" s="37" t="str">
        <f>D133</f>
        <v>"#000000"</v>
      </c>
      <c r="AA133" s="28" t="s">
        <v>6</v>
      </c>
      <c r="AB133" s="2" t="str">
        <f t="shared" si="71"/>
        <v>-</v>
      </c>
      <c r="AC133" s="2" t="s">
        <v>19</v>
      </c>
      <c r="AD133" s="2" t="str">
        <f t="shared" ref="AD133" si="155">IF(NOT(ISBLANK(AE133)),"_","")</f>
        <v>_</v>
      </c>
      <c r="AE133" s="28" t="s">
        <v>17</v>
      </c>
      <c r="AF133" s="2" t="str">
        <f t="shared" ref="AF133" si="156">IF(NOT(ISBLANK(AG133)),"_","")</f>
        <v>_</v>
      </c>
      <c r="AG133" s="28" t="s">
        <v>328</v>
      </c>
    </row>
    <row r="134" spans="1:33" x14ac:dyDescent="0.25">
      <c r="B134" s="2" t="str">
        <f t="shared" ref="B134" si="157">_xlfn.CONCAT("@",AA134,AB134,AC134,AD134,AE134,AF134,AG134)</f>
        <v>@color-trunk_case_bicycle_no_farzoom</v>
      </c>
      <c r="C134" s="137" t="s">
        <v>231</v>
      </c>
      <c r="D134" s="72" t="s">
        <v>217</v>
      </c>
      <c r="F134" s="137" t="s">
        <v>231</v>
      </c>
      <c r="G134" s="137" t="s">
        <v>231</v>
      </c>
      <c r="I134" s="138" t="str">
        <f>C134</f>
        <v>"#bd430f"</v>
      </c>
      <c r="J134" s="37" t="str">
        <f>D134</f>
        <v>"#000000"</v>
      </c>
      <c r="U134" s="138" t="str">
        <f>C134</f>
        <v>"#bd430f"</v>
      </c>
      <c r="V134" s="37" t="str">
        <f>D134</f>
        <v>"#000000"</v>
      </c>
      <c r="AA134" s="28" t="s">
        <v>6</v>
      </c>
      <c r="AB134" s="2" t="str">
        <f t="shared" ref="AB134" si="158">IF(NOT(ISBLANK(AC134)),"-","")</f>
        <v>-</v>
      </c>
      <c r="AC134" s="2" t="s">
        <v>19</v>
      </c>
      <c r="AD134" s="2" t="str">
        <f t="shared" ref="AD134" si="159">IF(NOT(ISBLANK(AE134)),"_","")</f>
        <v>_</v>
      </c>
      <c r="AE134" s="28" t="s">
        <v>17</v>
      </c>
      <c r="AF134" s="2" t="str">
        <f t="shared" ref="AF134" si="160">IF(NOT(ISBLANK(AG134)),"_","")</f>
        <v>_</v>
      </c>
      <c r="AG134" s="28" t="s">
        <v>327</v>
      </c>
    </row>
    <row r="135" spans="1:33" x14ac:dyDescent="0.25">
      <c r="B135" s="2" t="str">
        <f>_xlfn.CONCAT("@",AA135,AB135,AC135,AD135,AE135,AF135,AG135)</f>
        <v>@color-trunk_case_unpaved_farzoom</v>
      </c>
      <c r="C135" s="139" t="s">
        <v>232</v>
      </c>
      <c r="D135" s="140" t="s">
        <v>236</v>
      </c>
      <c r="F135" s="140" t="s">
        <v>236</v>
      </c>
      <c r="G135" s="139" t="s">
        <v>232</v>
      </c>
      <c r="I135" s="139" t="s">
        <v>232</v>
      </c>
      <c r="J135" s="140" t="s">
        <v>236</v>
      </c>
      <c r="U135" s="44"/>
      <c r="V135" s="44"/>
      <c r="X135" s="44"/>
      <c r="Y135" s="44"/>
      <c r="AA135" s="28" t="s">
        <v>6</v>
      </c>
      <c r="AB135" s="2" t="str">
        <f>IF(NOT(ISBLANK(AC135)),"-","")</f>
        <v>-</v>
      </c>
      <c r="AC135" s="2" t="s">
        <v>19</v>
      </c>
      <c r="AD135" s="2" t="str">
        <f>IF(NOT(ISBLANK(AE135)),"_","")</f>
        <v>_</v>
      </c>
      <c r="AE135" s="28" t="s">
        <v>17</v>
      </c>
      <c r="AF135" s="2" t="str">
        <f>IF(NOT(ISBLANK(AG135)),"_","")</f>
        <v>_</v>
      </c>
      <c r="AG135" s="28" t="s">
        <v>235</v>
      </c>
    </row>
    <row r="136" spans="1:33" x14ac:dyDescent="0.25">
      <c r="B136" s="2" t="str">
        <f t="shared" ref="B136:B234" si="161">_xlfn.CONCAT("@",AA136,AB136,AC136,AD136,AE136,AF136,AG136)</f>
        <v>@color-trunk_case_unpaved_default</v>
      </c>
      <c r="C136" s="141" t="s">
        <v>220</v>
      </c>
      <c r="D136" s="72" t="s">
        <v>217</v>
      </c>
      <c r="F136" s="72" t="s">
        <v>217</v>
      </c>
      <c r="G136" s="72" t="s">
        <v>217</v>
      </c>
      <c r="I136" s="141" t="s">
        <v>220</v>
      </c>
      <c r="J136" s="72" t="s">
        <v>217</v>
      </c>
      <c r="U136" s="44"/>
      <c r="V136" s="44"/>
      <c r="X136" s="44"/>
      <c r="Y136" s="44"/>
      <c r="AA136" s="28" t="s">
        <v>6</v>
      </c>
      <c r="AB136" s="28" t="str">
        <f t="shared" si="71"/>
        <v>-</v>
      </c>
      <c r="AC136" s="2" t="s">
        <v>19</v>
      </c>
      <c r="AD136" s="28" t="str">
        <f t="shared" si="72"/>
        <v>_</v>
      </c>
      <c r="AE136" s="28" t="s">
        <v>17</v>
      </c>
      <c r="AF136" s="28" t="str">
        <f t="shared" si="73"/>
        <v>_</v>
      </c>
      <c r="AG136" s="28" t="s">
        <v>270</v>
      </c>
    </row>
    <row r="137" spans="1:33" x14ac:dyDescent="0.25">
      <c r="B137" s="2" t="str">
        <f t="shared" ref="B137" si="162">_xlfn.CONCAT("@",AA137,AB137,AC137,AD137,AE137,AF137,AG137)</f>
        <v>@color-trunk_case_paved_or_uk_farzoom</v>
      </c>
      <c r="C137" s="142" t="s">
        <v>233</v>
      </c>
      <c r="D137" s="72" t="s">
        <v>217</v>
      </c>
      <c r="F137" s="142" t="s">
        <v>233</v>
      </c>
      <c r="G137" s="142" t="s">
        <v>233</v>
      </c>
      <c r="I137" s="142" t="s">
        <v>233</v>
      </c>
      <c r="J137" s="72" t="s">
        <v>217</v>
      </c>
      <c r="U137" s="44"/>
      <c r="V137" s="44"/>
      <c r="X137" s="44"/>
      <c r="Y137" s="44"/>
      <c r="AA137" s="2" t="s">
        <v>6</v>
      </c>
      <c r="AB137" s="2" t="str">
        <f t="shared" si="71"/>
        <v>-</v>
      </c>
      <c r="AC137" s="2" t="s">
        <v>19</v>
      </c>
      <c r="AD137" s="2" t="str">
        <f t="shared" si="72"/>
        <v>_</v>
      </c>
      <c r="AE137" s="2" t="s">
        <v>17</v>
      </c>
      <c r="AF137" s="2" t="str">
        <f t="shared" si="73"/>
        <v>_</v>
      </c>
      <c r="AG137" s="2" t="s">
        <v>234</v>
      </c>
    </row>
    <row r="138" spans="1:33" x14ac:dyDescent="0.25">
      <c r="B138" s="2" t="str">
        <f t="shared" si="161"/>
        <v>@color-trunk_case_paved_or_uk_default</v>
      </c>
      <c r="C138" s="143" t="s">
        <v>221</v>
      </c>
      <c r="D138" s="72" t="s">
        <v>217</v>
      </c>
      <c r="F138" s="72" t="s">
        <v>217</v>
      </c>
      <c r="G138" s="72" t="s">
        <v>217</v>
      </c>
      <c r="I138" s="143" t="s">
        <v>221</v>
      </c>
      <c r="J138" s="72" t="s">
        <v>217</v>
      </c>
      <c r="U138" s="44"/>
      <c r="V138" s="44"/>
      <c r="X138" s="44"/>
      <c r="Y138" s="44"/>
      <c r="AA138" s="2" t="s">
        <v>6</v>
      </c>
      <c r="AB138" s="2" t="str">
        <f t="shared" si="71"/>
        <v>-</v>
      </c>
      <c r="AC138" s="2" t="s">
        <v>19</v>
      </c>
      <c r="AD138" s="2" t="str">
        <f t="shared" si="72"/>
        <v>_</v>
      </c>
      <c r="AE138" s="2" t="s">
        <v>17</v>
      </c>
      <c r="AF138" s="2" t="str">
        <f t="shared" si="73"/>
        <v>_</v>
      </c>
      <c r="AG138" s="2" t="s">
        <v>271</v>
      </c>
    </row>
    <row r="139" spans="1:33" x14ac:dyDescent="0.25">
      <c r="B139" s="2" t="str">
        <f t="shared" si="161"/>
        <v>@color-trunk_line_default</v>
      </c>
      <c r="C139" s="144" t="s">
        <v>222</v>
      </c>
      <c r="D139" s="145" t="s">
        <v>223</v>
      </c>
      <c r="F139" s="144" t="s">
        <v>222</v>
      </c>
      <c r="G139" s="145" t="s">
        <v>223</v>
      </c>
      <c r="I139" s="44"/>
      <c r="J139" s="44"/>
      <c r="L139" s="44"/>
      <c r="M139" s="44"/>
      <c r="U139" s="146" t="str">
        <f>C139</f>
        <v>"#ffeeaa"</v>
      </c>
      <c r="V139" s="147" t="str">
        <f>D139</f>
        <v>"#ffc72e"</v>
      </c>
      <c r="AA139" s="2" t="s">
        <v>6</v>
      </c>
      <c r="AB139" s="2" t="str">
        <f t="shared" si="71"/>
        <v>-</v>
      </c>
      <c r="AC139" s="2" t="s">
        <v>19</v>
      </c>
      <c r="AD139" s="2" t="str">
        <f t="shared" si="72"/>
        <v>_</v>
      </c>
      <c r="AE139" s="2" t="s">
        <v>13</v>
      </c>
      <c r="AF139" s="2" t="str">
        <f t="shared" si="73"/>
        <v>_</v>
      </c>
      <c r="AG139" s="2" t="s">
        <v>269</v>
      </c>
    </row>
    <row r="140" spans="1:33" x14ac:dyDescent="0.25">
      <c r="B140" s="2" t="str">
        <f t="shared" si="161"/>
        <v>@color-trunk_line_bicycle_no</v>
      </c>
      <c r="C140" s="133" t="s">
        <v>216</v>
      </c>
      <c r="D140" s="134" t="s">
        <v>218</v>
      </c>
      <c r="F140" s="133" t="s">
        <v>216</v>
      </c>
      <c r="G140" s="134" t="s">
        <v>218</v>
      </c>
      <c r="I140" s="135" t="str">
        <f>C140</f>
        <v>"#ffcc88"</v>
      </c>
      <c r="J140" s="136" t="str">
        <f>D140</f>
        <v>"#d6771e"</v>
      </c>
      <c r="U140" s="135" t="str">
        <f>C140</f>
        <v>"#ffcc88"</v>
      </c>
      <c r="V140" s="136" t="str">
        <f>D140</f>
        <v>"#d6771e"</v>
      </c>
      <c r="AA140" s="2" t="s">
        <v>6</v>
      </c>
      <c r="AB140" s="2" t="str">
        <f t="shared" si="71"/>
        <v>-</v>
      </c>
      <c r="AC140" s="2" t="s">
        <v>19</v>
      </c>
      <c r="AD140" s="2" t="str">
        <f t="shared" si="72"/>
        <v>_</v>
      </c>
      <c r="AE140" s="2" t="s">
        <v>13</v>
      </c>
      <c r="AF140" s="2" t="str">
        <f t="shared" si="73"/>
        <v>_</v>
      </c>
      <c r="AG140" s="2" t="s">
        <v>24</v>
      </c>
    </row>
    <row r="141" spans="1:33" x14ac:dyDescent="0.25">
      <c r="B141" s="2" t="str">
        <f t="shared" si="161"/>
        <v>@color-trunk_line_unpaved_default</v>
      </c>
      <c r="C141" s="148" t="s">
        <v>226</v>
      </c>
      <c r="D141" s="149" t="str">
        <f>C141</f>
        <v>"#eddfca"</v>
      </c>
      <c r="F141" s="148" t="s">
        <v>226</v>
      </c>
      <c r="G141" s="149" t="str">
        <f>F141</f>
        <v>"#eddfca"</v>
      </c>
      <c r="I141" s="148" t="s">
        <v>226</v>
      </c>
      <c r="J141" s="149" t="str">
        <f>I141</f>
        <v>"#eddfca"</v>
      </c>
      <c r="U141" s="44"/>
      <c r="V141" s="44"/>
      <c r="X141" s="44"/>
      <c r="Y141" s="44"/>
      <c r="AA141" s="2" t="s">
        <v>6</v>
      </c>
      <c r="AB141" s="2" t="str">
        <f t="shared" si="71"/>
        <v>-</v>
      </c>
      <c r="AC141" s="2" t="s">
        <v>19</v>
      </c>
      <c r="AD141" s="2" t="str">
        <f t="shared" si="72"/>
        <v>_</v>
      </c>
      <c r="AE141" s="2" t="s">
        <v>13</v>
      </c>
      <c r="AF141" s="2" t="str">
        <f t="shared" si="73"/>
        <v>_</v>
      </c>
      <c r="AG141" s="2" t="s">
        <v>270</v>
      </c>
    </row>
    <row r="142" spans="1:33" x14ac:dyDescent="0.25">
      <c r="B142" s="2" t="str">
        <f t="shared" si="161"/>
        <v>@color-trunk_line_paved_or_uk_default</v>
      </c>
      <c r="C142" s="71" t="s">
        <v>227</v>
      </c>
      <c r="D142" s="38" t="str">
        <f>C142</f>
        <v>"#ffffff"</v>
      </c>
      <c r="F142" s="71" t="s">
        <v>227</v>
      </c>
      <c r="G142" s="38" t="str">
        <f>F142</f>
        <v>"#ffffff"</v>
      </c>
      <c r="I142" s="71" t="s">
        <v>227</v>
      </c>
      <c r="J142" s="38" t="str">
        <f>I142</f>
        <v>"#ffffff"</v>
      </c>
      <c r="U142" s="44"/>
      <c r="V142" s="44"/>
      <c r="X142" s="44"/>
      <c r="Y142" s="44"/>
      <c r="AA142" s="28" t="s">
        <v>6</v>
      </c>
      <c r="AB142" s="28" t="str">
        <f t="shared" si="71"/>
        <v>-</v>
      </c>
      <c r="AC142" s="28" t="s">
        <v>19</v>
      </c>
      <c r="AD142" s="28" t="str">
        <f t="shared" si="72"/>
        <v>_</v>
      </c>
      <c r="AE142" s="28" t="s">
        <v>13</v>
      </c>
      <c r="AF142" s="28" t="str">
        <f t="shared" si="73"/>
        <v>_</v>
      </c>
      <c r="AG142" s="28" t="s">
        <v>271</v>
      </c>
    </row>
    <row r="143" spans="1:33" x14ac:dyDescent="0.25">
      <c r="B143" s="2"/>
      <c r="AB143" s="28" t="str">
        <f t="shared" si="71"/>
        <v/>
      </c>
      <c r="AD143" s="28" t="str">
        <f t="shared" si="72"/>
        <v/>
      </c>
      <c r="AF143" s="28" t="str">
        <f t="shared" si="73"/>
        <v/>
      </c>
    </row>
    <row r="144" spans="1:33" s="2" customFormat="1" x14ac:dyDescent="0.25">
      <c r="A144" s="3" t="s">
        <v>47</v>
      </c>
      <c r="B144" s="3"/>
      <c r="C144" s="27"/>
      <c r="D144" s="6"/>
      <c r="E144" s="7"/>
      <c r="F144" s="6"/>
      <c r="G144" s="6"/>
      <c r="H144" s="7"/>
      <c r="I144" s="6"/>
      <c r="J144" s="6"/>
      <c r="K144" s="7"/>
      <c r="L144" s="6"/>
      <c r="M144" s="6"/>
      <c r="N144" s="7"/>
      <c r="O144" s="6"/>
      <c r="P144" s="6"/>
      <c r="Q144" s="7"/>
      <c r="R144" s="6"/>
      <c r="S144" s="6"/>
      <c r="T144" s="7"/>
      <c r="U144" s="6"/>
      <c r="V144" s="6"/>
      <c r="W144" s="7"/>
      <c r="X144" s="6"/>
      <c r="Y144" s="6"/>
      <c r="AA144" s="4"/>
      <c r="AB144" s="4" t="str">
        <f t="shared" si="71"/>
        <v/>
      </c>
      <c r="AC144" s="4"/>
      <c r="AD144" s="4" t="str">
        <f t="shared" si="72"/>
        <v/>
      </c>
      <c r="AE144" s="4"/>
      <c r="AF144" s="4" t="str">
        <f t="shared" si="73"/>
        <v/>
      </c>
      <c r="AG144" s="4"/>
    </row>
    <row r="145" spans="2:33" x14ac:dyDescent="0.25">
      <c r="B145" s="2" t="str">
        <f t="shared" si="161"/>
        <v>@color-primary_case_bicycle_no_default</v>
      </c>
      <c r="C145" s="137" t="s">
        <v>231</v>
      </c>
      <c r="D145" s="72" t="s">
        <v>217</v>
      </c>
      <c r="F145" s="72" t="s">
        <v>217</v>
      </c>
      <c r="G145" s="72" t="s">
        <v>217</v>
      </c>
      <c r="I145" s="138" t="str">
        <f>C145</f>
        <v>"#bd430f"</v>
      </c>
      <c r="J145" s="37" t="str">
        <f>D145</f>
        <v>"#000000"</v>
      </c>
      <c r="U145" s="138" t="str">
        <f>C145</f>
        <v>"#bd430f"</v>
      </c>
      <c r="V145" s="37" t="str">
        <f>D145</f>
        <v>"#000000"</v>
      </c>
      <c r="AA145" s="28" t="s">
        <v>6</v>
      </c>
      <c r="AB145" s="2" t="str">
        <f t="shared" ref="AB145:AB215" si="163">IF(NOT(ISBLANK(AC145)),"-","")</f>
        <v>-</v>
      </c>
      <c r="AC145" s="2" t="s">
        <v>26</v>
      </c>
      <c r="AD145" s="2" t="str">
        <f t="shared" si="72"/>
        <v>_</v>
      </c>
      <c r="AE145" s="28" t="s">
        <v>17</v>
      </c>
      <c r="AF145" s="2" t="str">
        <f t="shared" si="73"/>
        <v>_</v>
      </c>
      <c r="AG145" s="28" t="s">
        <v>328</v>
      </c>
    </row>
    <row r="146" spans="2:33" x14ac:dyDescent="0.25">
      <c r="B146" s="2" t="str">
        <f t="shared" ref="B146" si="164">_xlfn.CONCAT("@",AA146,AB146,AC146,AD146,AE146,AF146,AG146)</f>
        <v>@color-primary_case_bicycle_no_farzoom</v>
      </c>
      <c r="C146" s="137" t="s">
        <v>231</v>
      </c>
      <c r="D146" s="72" t="s">
        <v>217</v>
      </c>
      <c r="F146" s="137" t="s">
        <v>231</v>
      </c>
      <c r="G146" s="137" t="s">
        <v>231</v>
      </c>
      <c r="I146" s="138" t="str">
        <f>C146</f>
        <v>"#bd430f"</v>
      </c>
      <c r="J146" s="37" t="str">
        <f>D146</f>
        <v>"#000000"</v>
      </c>
      <c r="U146" s="138" t="str">
        <f>C146</f>
        <v>"#bd430f"</v>
      </c>
      <c r="V146" s="37" t="str">
        <f>D146</f>
        <v>"#000000"</v>
      </c>
      <c r="AA146" s="28" t="s">
        <v>6</v>
      </c>
      <c r="AB146" s="2" t="str">
        <f t="shared" ref="AB146" si="165">IF(NOT(ISBLANK(AC146)),"-","")</f>
        <v>-</v>
      </c>
      <c r="AC146" s="2" t="s">
        <v>26</v>
      </c>
      <c r="AD146" s="2" t="str">
        <f t="shared" ref="AD146" si="166">IF(NOT(ISBLANK(AE146)),"_","")</f>
        <v>_</v>
      </c>
      <c r="AE146" s="28" t="s">
        <v>17</v>
      </c>
      <c r="AF146" s="2" t="str">
        <f t="shared" ref="AF146" si="167">IF(NOT(ISBLANK(AG146)),"_","")</f>
        <v>_</v>
      </c>
      <c r="AG146" s="28" t="s">
        <v>327</v>
      </c>
    </row>
    <row r="147" spans="2:33" x14ac:dyDescent="0.25">
      <c r="B147" s="2" t="str">
        <f>_xlfn.CONCAT("@",AA147,AB147,AC147,AD147,AE147,AF147,AG147)</f>
        <v>@color-primary_case_unpaved_farzoom</v>
      </c>
      <c r="C147" s="139" t="s">
        <v>232</v>
      </c>
      <c r="D147" s="140" t="s">
        <v>236</v>
      </c>
      <c r="F147" s="140" t="s">
        <v>236</v>
      </c>
      <c r="G147" s="139" t="s">
        <v>232</v>
      </c>
      <c r="I147" s="139" t="s">
        <v>232</v>
      </c>
      <c r="J147" s="140" t="s">
        <v>236</v>
      </c>
      <c r="U147" s="44"/>
      <c r="V147" s="44"/>
      <c r="X147" s="44"/>
      <c r="Y147" s="44"/>
      <c r="AA147" s="28" t="s">
        <v>6</v>
      </c>
      <c r="AB147" s="2" t="str">
        <f>IF(NOT(ISBLANK(AC147)),"-","")</f>
        <v>-</v>
      </c>
      <c r="AC147" s="2" t="s">
        <v>26</v>
      </c>
      <c r="AD147" s="2" t="str">
        <f>IF(NOT(ISBLANK(AE147)),"_","")</f>
        <v>_</v>
      </c>
      <c r="AE147" s="28" t="s">
        <v>17</v>
      </c>
      <c r="AF147" s="2" t="str">
        <f>IF(NOT(ISBLANK(AG147)),"_","")</f>
        <v>_</v>
      </c>
      <c r="AG147" s="28" t="s">
        <v>235</v>
      </c>
    </row>
    <row r="148" spans="2:33" x14ac:dyDescent="0.25">
      <c r="B148" s="2" t="str">
        <f t="shared" si="161"/>
        <v>@color-primary_case_unpaved_default</v>
      </c>
      <c r="C148" s="141" t="s">
        <v>220</v>
      </c>
      <c r="D148" s="140" t="s">
        <v>236</v>
      </c>
      <c r="F148" s="72" t="s">
        <v>217</v>
      </c>
      <c r="G148" s="72" t="s">
        <v>217</v>
      </c>
      <c r="I148" s="141" t="s">
        <v>220</v>
      </c>
      <c r="J148" s="140" t="s">
        <v>236</v>
      </c>
      <c r="U148" s="44"/>
      <c r="V148" s="44"/>
      <c r="X148" s="44"/>
      <c r="Y148" s="44"/>
      <c r="AA148" s="28" t="s">
        <v>6</v>
      </c>
      <c r="AB148" s="2" t="str">
        <f t="shared" si="163"/>
        <v>-</v>
      </c>
      <c r="AC148" s="2" t="s">
        <v>26</v>
      </c>
      <c r="AD148" s="2" t="str">
        <f t="shared" si="72"/>
        <v>_</v>
      </c>
      <c r="AE148" s="28" t="s">
        <v>17</v>
      </c>
      <c r="AF148" s="2" t="str">
        <f t="shared" si="73"/>
        <v>_</v>
      </c>
      <c r="AG148" s="28" t="s">
        <v>270</v>
      </c>
    </row>
    <row r="149" spans="2:33" x14ac:dyDescent="0.25">
      <c r="B149" s="2" t="str">
        <f t="shared" si="161"/>
        <v>@color-primary_case_paved_or_uk_farzoom</v>
      </c>
      <c r="C149" s="142" t="s">
        <v>233</v>
      </c>
      <c r="D149" s="72" t="s">
        <v>217</v>
      </c>
      <c r="F149" s="142" t="s">
        <v>233</v>
      </c>
      <c r="G149" s="142" t="s">
        <v>233</v>
      </c>
      <c r="I149" s="142" t="s">
        <v>233</v>
      </c>
      <c r="J149" s="72" t="s">
        <v>217</v>
      </c>
      <c r="U149" s="44"/>
      <c r="V149" s="44"/>
      <c r="X149" s="44"/>
      <c r="Y149" s="44"/>
      <c r="AA149" s="2" t="s">
        <v>6</v>
      </c>
      <c r="AB149" s="2" t="str">
        <f t="shared" si="163"/>
        <v>-</v>
      </c>
      <c r="AC149" s="2" t="s">
        <v>26</v>
      </c>
      <c r="AD149" s="2" t="str">
        <f t="shared" ref="AD149" si="168">IF(NOT(ISBLANK(AE149)),"_","")</f>
        <v>_</v>
      </c>
      <c r="AE149" s="2" t="s">
        <v>17</v>
      </c>
      <c r="AF149" s="2" t="str">
        <f t="shared" ref="AF149" si="169">IF(NOT(ISBLANK(AG149)),"_","")</f>
        <v>_</v>
      </c>
      <c r="AG149" s="2" t="s">
        <v>234</v>
      </c>
    </row>
    <row r="150" spans="2:33" x14ac:dyDescent="0.25">
      <c r="B150" s="2" t="str">
        <f t="shared" si="161"/>
        <v>@color-primary_case_paved_or_uk_default</v>
      </c>
      <c r="C150" s="143" t="s">
        <v>221</v>
      </c>
      <c r="D150" s="72" t="s">
        <v>217</v>
      </c>
      <c r="F150" s="72" t="s">
        <v>217</v>
      </c>
      <c r="G150" s="72" t="s">
        <v>217</v>
      </c>
      <c r="I150" s="143" t="s">
        <v>221</v>
      </c>
      <c r="J150" s="72" t="s">
        <v>217</v>
      </c>
      <c r="U150" s="44"/>
      <c r="V150" s="44"/>
      <c r="X150" s="44"/>
      <c r="Y150" s="44"/>
      <c r="AA150" s="2" t="s">
        <v>6</v>
      </c>
      <c r="AB150" s="2" t="str">
        <f t="shared" si="163"/>
        <v>-</v>
      </c>
      <c r="AC150" s="28" t="s">
        <v>26</v>
      </c>
      <c r="AD150" s="2" t="str">
        <f t="shared" ref="AD150:AD215" si="170">IF(NOT(ISBLANK(AE150)),"_","")</f>
        <v>_</v>
      </c>
      <c r="AE150" s="2" t="s">
        <v>17</v>
      </c>
      <c r="AF150" s="2" t="str">
        <f t="shared" ref="AF150:AF215" si="171">IF(NOT(ISBLANK(AG150)),"_","")</f>
        <v>_</v>
      </c>
      <c r="AG150" s="2" t="s">
        <v>271</v>
      </c>
    </row>
    <row r="151" spans="2:33" x14ac:dyDescent="0.25">
      <c r="B151" s="2" t="str">
        <f t="shared" si="161"/>
        <v>@color-primary_line_bicycle_no</v>
      </c>
      <c r="C151" s="150" t="s">
        <v>238</v>
      </c>
      <c r="D151" s="134" t="s">
        <v>218</v>
      </c>
      <c r="F151" s="150" t="s">
        <v>238</v>
      </c>
      <c r="G151" s="134" t="s">
        <v>218</v>
      </c>
      <c r="I151" s="151" t="str">
        <f>C151</f>
        <v>"#ffcc8a"</v>
      </c>
      <c r="J151" s="136" t="str">
        <f>D151</f>
        <v>"#d6771e"</v>
      </c>
      <c r="U151" s="151" t="str">
        <f>C151</f>
        <v>"#ffcc8a"</v>
      </c>
      <c r="V151" s="136" t="str">
        <f>D151</f>
        <v>"#d6771e"</v>
      </c>
      <c r="AA151" s="28" t="s">
        <v>6</v>
      </c>
      <c r="AB151" s="2" t="str">
        <f t="shared" si="163"/>
        <v>-</v>
      </c>
      <c r="AC151" s="28" t="s">
        <v>26</v>
      </c>
      <c r="AD151" s="2" t="str">
        <f t="shared" si="170"/>
        <v>_</v>
      </c>
      <c r="AE151" s="28" t="s">
        <v>13</v>
      </c>
      <c r="AF151" s="2" t="str">
        <f t="shared" si="171"/>
        <v>_</v>
      </c>
      <c r="AG151" s="28" t="s">
        <v>24</v>
      </c>
    </row>
    <row r="152" spans="2:33" x14ac:dyDescent="0.25">
      <c r="B152" s="2" t="str">
        <f t="shared" si="161"/>
        <v>@color-primary_line_unpaved_default</v>
      </c>
      <c r="C152" s="148" t="s">
        <v>226</v>
      </c>
      <c r="D152" s="149" t="str">
        <f>C152</f>
        <v>"#eddfca"</v>
      </c>
      <c r="F152" s="148" t="s">
        <v>226</v>
      </c>
      <c r="G152" s="149" t="str">
        <f>F152</f>
        <v>"#eddfca"</v>
      </c>
      <c r="I152" s="148" t="s">
        <v>226</v>
      </c>
      <c r="J152" s="149" t="str">
        <f>I152</f>
        <v>"#eddfca"</v>
      </c>
      <c r="U152" s="44"/>
      <c r="V152" s="44"/>
      <c r="X152" s="44"/>
      <c r="Y152" s="44"/>
      <c r="AA152" s="2" t="s">
        <v>6</v>
      </c>
      <c r="AB152" s="2" t="str">
        <f t="shared" si="163"/>
        <v>-</v>
      </c>
      <c r="AC152" s="2" t="s">
        <v>26</v>
      </c>
      <c r="AD152" s="2" t="str">
        <f t="shared" si="170"/>
        <v>_</v>
      </c>
      <c r="AE152" s="2" t="s">
        <v>13</v>
      </c>
      <c r="AF152" s="2" t="str">
        <f t="shared" si="171"/>
        <v>_</v>
      </c>
      <c r="AG152" s="2" t="s">
        <v>270</v>
      </c>
    </row>
    <row r="153" spans="2:33" x14ac:dyDescent="0.25">
      <c r="B153" s="2" t="str">
        <f t="shared" si="161"/>
        <v>@color-primary_line_paved_or_uk_default</v>
      </c>
      <c r="C153" s="71" t="s">
        <v>227</v>
      </c>
      <c r="D153" s="38" t="str">
        <f>C153</f>
        <v>"#ffffff"</v>
      </c>
      <c r="F153" s="71" t="s">
        <v>227</v>
      </c>
      <c r="G153" s="38" t="str">
        <f>F153</f>
        <v>"#ffffff"</v>
      </c>
      <c r="I153" s="71" t="s">
        <v>227</v>
      </c>
      <c r="J153" s="38" t="str">
        <f>I153</f>
        <v>"#ffffff"</v>
      </c>
      <c r="U153" s="44"/>
      <c r="V153" s="44"/>
      <c r="X153" s="44"/>
      <c r="Y153" s="44"/>
      <c r="AA153" s="2" t="s">
        <v>6</v>
      </c>
      <c r="AB153" s="2" t="str">
        <f t="shared" si="163"/>
        <v>-</v>
      </c>
      <c r="AC153" s="2" t="s">
        <v>26</v>
      </c>
      <c r="AD153" s="2" t="str">
        <f t="shared" si="170"/>
        <v>_</v>
      </c>
      <c r="AE153" s="2" t="s">
        <v>13</v>
      </c>
      <c r="AF153" s="2" t="str">
        <f t="shared" si="171"/>
        <v>_</v>
      </c>
      <c r="AG153" s="2" t="s">
        <v>271</v>
      </c>
    </row>
    <row r="154" spans="2:33" x14ac:dyDescent="0.25">
      <c r="B154" s="2"/>
      <c r="C154" s="26"/>
      <c r="D154" s="26"/>
      <c r="I154" s="26"/>
      <c r="AB154" s="2"/>
      <c r="AD154" s="2"/>
      <c r="AF154" s="2" t="str">
        <f t="shared" ref="AF154:AF163" si="172">IF(NOT(ISBLANK(AG154)),"_","")</f>
        <v/>
      </c>
    </row>
    <row r="155" spans="2:33" x14ac:dyDescent="0.25">
      <c r="B155" s="2" t="str">
        <f t="shared" ref="B155:B163" si="173">_xlfn.CONCAT("@",AA155,AB155,AC155,AD155,AE155,AF155,AG155)</f>
        <v>@color-secondary_case_bicycle_no_default</v>
      </c>
      <c r="C155" s="137" t="s">
        <v>231</v>
      </c>
      <c r="D155" s="72" t="s">
        <v>217</v>
      </c>
      <c r="F155" s="72" t="s">
        <v>217</v>
      </c>
      <c r="G155" s="72" t="s">
        <v>217</v>
      </c>
      <c r="I155" s="138" t="str">
        <f>C155</f>
        <v>"#bd430f"</v>
      </c>
      <c r="J155" s="37" t="str">
        <f>D155</f>
        <v>"#000000"</v>
      </c>
      <c r="U155" s="138" t="str">
        <f>C155</f>
        <v>"#bd430f"</v>
      </c>
      <c r="V155" s="37" t="str">
        <f>D155</f>
        <v>"#000000"</v>
      </c>
      <c r="AA155" s="28" t="s">
        <v>6</v>
      </c>
      <c r="AB155" s="2" t="str">
        <f t="shared" ref="AB155:AB163" si="174">IF(NOT(ISBLANK(AC155)),"-","")</f>
        <v>-</v>
      </c>
      <c r="AC155" s="2" t="s">
        <v>28</v>
      </c>
      <c r="AD155" s="2" t="str">
        <f t="shared" ref="AD155:AD163" si="175">IF(NOT(ISBLANK(AE155)),"_","")</f>
        <v>_</v>
      </c>
      <c r="AE155" s="28" t="s">
        <v>17</v>
      </c>
      <c r="AF155" s="2" t="str">
        <f t="shared" si="172"/>
        <v>_</v>
      </c>
      <c r="AG155" s="28" t="s">
        <v>328</v>
      </c>
    </row>
    <row r="156" spans="2:33" x14ac:dyDescent="0.25">
      <c r="B156" s="2" t="str">
        <f t="shared" ref="B156" si="176">_xlfn.CONCAT("@",AA156,AB156,AC156,AD156,AE156,AF156,AG156)</f>
        <v>@color-secondary_case_bicycle_no_farzoom</v>
      </c>
      <c r="C156" s="137" t="s">
        <v>231</v>
      </c>
      <c r="D156" s="72" t="s">
        <v>217</v>
      </c>
      <c r="F156" s="137" t="s">
        <v>231</v>
      </c>
      <c r="G156" s="137" t="s">
        <v>231</v>
      </c>
      <c r="I156" s="138" t="str">
        <f>C156</f>
        <v>"#bd430f"</v>
      </c>
      <c r="J156" s="37" t="str">
        <f>D156</f>
        <v>"#000000"</v>
      </c>
      <c r="U156" s="138" t="str">
        <f>C156</f>
        <v>"#bd430f"</v>
      </c>
      <c r="V156" s="37" t="str">
        <f>D156</f>
        <v>"#000000"</v>
      </c>
      <c r="AA156" s="28" t="s">
        <v>6</v>
      </c>
      <c r="AB156" s="2" t="str">
        <f t="shared" ref="AB156" si="177">IF(NOT(ISBLANK(AC156)),"-","")</f>
        <v>-</v>
      </c>
      <c r="AC156" s="2" t="s">
        <v>28</v>
      </c>
      <c r="AD156" s="2" t="str">
        <f t="shared" ref="AD156" si="178">IF(NOT(ISBLANK(AE156)),"_","")</f>
        <v>_</v>
      </c>
      <c r="AE156" s="28" t="s">
        <v>17</v>
      </c>
      <c r="AF156" s="2" t="str">
        <f t="shared" ref="AF156" si="179">IF(NOT(ISBLANK(AG156)),"_","")</f>
        <v>_</v>
      </c>
      <c r="AG156" s="28" t="s">
        <v>327</v>
      </c>
    </row>
    <row r="157" spans="2:33" x14ac:dyDescent="0.25">
      <c r="B157" s="2" t="str">
        <f>_xlfn.CONCAT("@",AA157,AB157,AC157,AD157,AE157,AF157,AG157)</f>
        <v>@color-secondary_case_unpaved_farzoom</v>
      </c>
      <c r="C157" s="139" t="s">
        <v>232</v>
      </c>
      <c r="D157" s="140" t="s">
        <v>236</v>
      </c>
      <c r="F157" s="140" t="s">
        <v>236</v>
      </c>
      <c r="G157" s="139" t="s">
        <v>232</v>
      </c>
      <c r="I157" s="139" t="s">
        <v>232</v>
      </c>
      <c r="J157" s="140" t="s">
        <v>236</v>
      </c>
      <c r="U157" s="44"/>
      <c r="V157" s="44"/>
      <c r="X157" s="44"/>
      <c r="Y157" s="44"/>
      <c r="AA157" s="28" t="s">
        <v>6</v>
      </c>
      <c r="AB157" s="2" t="str">
        <f>IF(NOT(ISBLANK(AC157)),"-","")</f>
        <v>-</v>
      </c>
      <c r="AC157" s="2" t="s">
        <v>28</v>
      </c>
      <c r="AD157" s="2" t="str">
        <f>IF(NOT(ISBLANK(AE157)),"_","")</f>
        <v>_</v>
      </c>
      <c r="AE157" s="28" t="s">
        <v>17</v>
      </c>
      <c r="AF157" s="2" t="str">
        <f>IF(NOT(ISBLANK(AG157)),"_","")</f>
        <v>_</v>
      </c>
      <c r="AG157" s="28" t="s">
        <v>235</v>
      </c>
    </row>
    <row r="158" spans="2:33" x14ac:dyDescent="0.25">
      <c r="B158" s="2" t="str">
        <f t="shared" si="173"/>
        <v>@color-secondary_case_unpaved_default</v>
      </c>
      <c r="C158" s="140" t="s">
        <v>236</v>
      </c>
      <c r="D158" s="140" t="s">
        <v>236</v>
      </c>
      <c r="F158" s="72" t="s">
        <v>217</v>
      </c>
      <c r="G158" s="72" t="s">
        <v>217</v>
      </c>
      <c r="I158" s="140" t="s">
        <v>236</v>
      </c>
      <c r="J158" s="140" t="s">
        <v>236</v>
      </c>
      <c r="U158" s="44"/>
      <c r="V158" s="44"/>
      <c r="X158" s="44"/>
      <c r="Y158" s="44"/>
      <c r="AA158" s="28" t="s">
        <v>6</v>
      </c>
      <c r="AB158" s="2" t="str">
        <f t="shared" si="174"/>
        <v>-</v>
      </c>
      <c r="AC158" s="2" t="s">
        <v>28</v>
      </c>
      <c r="AD158" s="2" t="str">
        <f t="shared" si="175"/>
        <v>_</v>
      </c>
      <c r="AE158" s="28" t="s">
        <v>17</v>
      </c>
      <c r="AF158" s="2" t="str">
        <f t="shared" si="172"/>
        <v>_</v>
      </c>
      <c r="AG158" s="28" t="s">
        <v>270</v>
      </c>
    </row>
    <row r="159" spans="2:33" x14ac:dyDescent="0.25">
      <c r="B159" s="2" t="str">
        <f t="shared" si="173"/>
        <v>@color-secondary_case_paved_or_uk_farzoom</v>
      </c>
      <c r="C159" s="142" t="s">
        <v>233</v>
      </c>
      <c r="D159" s="72" t="s">
        <v>217</v>
      </c>
      <c r="F159" s="142" t="s">
        <v>233</v>
      </c>
      <c r="G159" s="142" t="s">
        <v>233</v>
      </c>
      <c r="I159" s="142" t="s">
        <v>233</v>
      </c>
      <c r="J159" s="72" t="s">
        <v>217</v>
      </c>
      <c r="U159" s="44"/>
      <c r="V159" s="44"/>
      <c r="X159" s="44"/>
      <c r="Y159" s="44"/>
      <c r="AA159" s="2" t="s">
        <v>6</v>
      </c>
      <c r="AB159" s="2" t="str">
        <f t="shared" si="174"/>
        <v>-</v>
      </c>
      <c r="AC159" s="2" t="s">
        <v>28</v>
      </c>
      <c r="AD159" s="2" t="str">
        <f t="shared" si="175"/>
        <v>_</v>
      </c>
      <c r="AE159" s="2" t="s">
        <v>17</v>
      </c>
      <c r="AF159" s="2" t="str">
        <f t="shared" si="172"/>
        <v>_</v>
      </c>
      <c r="AG159" s="2" t="s">
        <v>234</v>
      </c>
    </row>
    <row r="160" spans="2:33" x14ac:dyDescent="0.25">
      <c r="B160" s="2" t="str">
        <f t="shared" si="173"/>
        <v>@color-secondary_case_paved_or_uk_default</v>
      </c>
      <c r="C160" s="152" t="s">
        <v>237</v>
      </c>
      <c r="D160" s="72" t="s">
        <v>217</v>
      </c>
      <c r="F160" s="72" t="s">
        <v>217</v>
      </c>
      <c r="G160" s="72" t="s">
        <v>217</v>
      </c>
      <c r="I160" s="152" t="s">
        <v>237</v>
      </c>
      <c r="J160" s="72" t="s">
        <v>217</v>
      </c>
      <c r="U160" s="44"/>
      <c r="V160" s="44"/>
      <c r="X160" s="44"/>
      <c r="Y160" s="44"/>
      <c r="AA160" s="2" t="s">
        <v>6</v>
      </c>
      <c r="AB160" s="2" t="str">
        <f t="shared" si="174"/>
        <v>-</v>
      </c>
      <c r="AC160" s="2" t="s">
        <v>28</v>
      </c>
      <c r="AD160" s="2" t="str">
        <f t="shared" si="175"/>
        <v>_</v>
      </c>
      <c r="AE160" s="2" t="s">
        <v>17</v>
      </c>
      <c r="AF160" s="2" t="str">
        <f t="shared" si="172"/>
        <v>_</v>
      </c>
      <c r="AG160" s="2" t="s">
        <v>271</v>
      </c>
    </row>
    <row r="161" spans="1:33" x14ac:dyDescent="0.25">
      <c r="B161" s="2" t="str">
        <f t="shared" si="173"/>
        <v>@color-secondary_line_bicycle_no</v>
      </c>
      <c r="C161" s="150" t="s">
        <v>238</v>
      </c>
      <c r="D161" s="134" t="s">
        <v>218</v>
      </c>
      <c r="F161" s="150" t="s">
        <v>238</v>
      </c>
      <c r="G161" s="134" t="s">
        <v>218</v>
      </c>
      <c r="I161" s="151" t="str">
        <f>C161</f>
        <v>"#ffcc8a"</v>
      </c>
      <c r="J161" s="136" t="str">
        <f>D161</f>
        <v>"#d6771e"</v>
      </c>
      <c r="U161" s="151" t="str">
        <f>C161</f>
        <v>"#ffcc8a"</v>
      </c>
      <c r="V161" s="136" t="str">
        <f>J161</f>
        <v>"#d6771e"</v>
      </c>
      <c r="AA161" s="28" t="s">
        <v>6</v>
      </c>
      <c r="AB161" s="2" t="str">
        <f t="shared" si="174"/>
        <v>-</v>
      </c>
      <c r="AC161" s="2" t="s">
        <v>28</v>
      </c>
      <c r="AD161" s="2" t="str">
        <f t="shared" si="175"/>
        <v>_</v>
      </c>
      <c r="AE161" s="28" t="s">
        <v>13</v>
      </c>
      <c r="AF161" s="2" t="str">
        <f t="shared" si="172"/>
        <v>_</v>
      </c>
      <c r="AG161" s="28" t="s">
        <v>24</v>
      </c>
    </row>
    <row r="162" spans="1:33" x14ac:dyDescent="0.25">
      <c r="B162" s="2" t="str">
        <f t="shared" si="173"/>
        <v>@color-secondary_line_unpaved_default</v>
      </c>
      <c r="C162" s="148" t="s">
        <v>226</v>
      </c>
      <c r="D162" s="149" t="str">
        <f>C162</f>
        <v>"#eddfca"</v>
      </c>
      <c r="F162" s="148" t="s">
        <v>226</v>
      </c>
      <c r="G162" s="149" t="str">
        <f>F162</f>
        <v>"#eddfca"</v>
      </c>
      <c r="I162" s="148" t="s">
        <v>226</v>
      </c>
      <c r="J162" s="149" t="str">
        <f>I162</f>
        <v>"#eddfca"</v>
      </c>
      <c r="U162" s="44"/>
      <c r="V162" s="44"/>
      <c r="X162" s="44"/>
      <c r="Y162" s="44"/>
      <c r="AA162" s="2" t="s">
        <v>6</v>
      </c>
      <c r="AB162" s="2" t="str">
        <f t="shared" si="174"/>
        <v>-</v>
      </c>
      <c r="AC162" s="2" t="s">
        <v>28</v>
      </c>
      <c r="AD162" s="2" t="str">
        <f t="shared" si="175"/>
        <v>_</v>
      </c>
      <c r="AE162" s="2" t="s">
        <v>13</v>
      </c>
      <c r="AF162" s="2" t="str">
        <f t="shared" si="172"/>
        <v>_</v>
      </c>
      <c r="AG162" s="2" t="s">
        <v>270</v>
      </c>
    </row>
    <row r="163" spans="1:33" x14ac:dyDescent="0.25">
      <c r="B163" s="2" t="str">
        <f t="shared" si="173"/>
        <v>@color-secondary_line_paved_or_uk_default</v>
      </c>
      <c r="C163" s="71" t="s">
        <v>227</v>
      </c>
      <c r="D163" s="38" t="str">
        <f>C163</f>
        <v>"#ffffff"</v>
      </c>
      <c r="F163" s="71" t="s">
        <v>227</v>
      </c>
      <c r="G163" s="38" t="str">
        <f>F163</f>
        <v>"#ffffff"</v>
      </c>
      <c r="I163" s="71" t="s">
        <v>227</v>
      </c>
      <c r="J163" s="38" t="str">
        <f>I163</f>
        <v>"#ffffff"</v>
      </c>
      <c r="U163" s="44"/>
      <c r="V163" s="44"/>
      <c r="X163" s="44"/>
      <c r="Y163" s="44"/>
      <c r="AA163" s="2" t="s">
        <v>6</v>
      </c>
      <c r="AB163" s="2" t="str">
        <f t="shared" si="174"/>
        <v>-</v>
      </c>
      <c r="AC163" s="2" t="s">
        <v>28</v>
      </c>
      <c r="AD163" s="2" t="str">
        <f t="shared" si="175"/>
        <v>_</v>
      </c>
      <c r="AE163" s="2" t="s">
        <v>13</v>
      </c>
      <c r="AF163" s="2" t="str">
        <f t="shared" si="172"/>
        <v>_</v>
      </c>
      <c r="AG163" s="2" t="s">
        <v>271</v>
      </c>
    </row>
    <row r="164" spans="1:33" x14ac:dyDescent="0.25">
      <c r="B164" s="2"/>
      <c r="C164" s="26"/>
      <c r="D164" s="26"/>
      <c r="I164" s="26"/>
      <c r="AB164" s="2"/>
      <c r="AD164" s="2"/>
      <c r="AF164" s="2" t="str">
        <f t="shared" si="171"/>
        <v/>
      </c>
    </row>
    <row r="165" spans="1:33" x14ac:dyDescent="0.25">
      <c r="B165" s="2" t="str">
        <f t="shared" si="161"/>
        <v>@color-tertiary_case_bicycle_no_default</v>
      </c>
      <c r="C165" s="137" t="s">
        <v>231</v>
      </c>
      <c r="D165" s="72" t="s">
        <v>217</v>
      </c>
      <c r="F165" s="72" t="s">
        <v>217</v>
      </c>
      <c r="G165" s="72" t="s">
        <v>217</v>
      </c>
      <c r="I165" s="138" t="str">
        <f>C165</f>
        <v>"#bd430f"</v>
      </c>
      <c r="J165" s="37" t="str">
        <f>D165</f>
        <v>"#000000"</v>
      </c>
      <c r="U165" s="138" t="str">
        <f>C165</f>
        <v>"#bd430f"</v>
      </c>
      <c r="V165" s="37" t="str">
        <f>D165</f>
        <v>"#000000"</v>
      </c>
      <c r="AA165" s="28" t="s">
        <v>6</v>
      </c>
      <c r="AB165" s="2" t="str">
        <f t="shared" ref="AB165:AB167" si="180">IF(NOT(ISBLANK(AC165)),"-","")</f>
        <v>-</v>
      </c>
      <c r="AC165" s="2" t="s">
        <v>27</v>
      </c>
      <c r="AD165" s="2" t="str">
        <f t="shared" ref="AD165:AD167" si="181">IF(NOT(ISBLANK(AE165)),"_","")</f>
        <v>_</v>
      </c>
      <c r="AE165" s="28" t="s">
        <v>17</v>
      </c>
      <c r="AF165" s="2" t="str">
        <f t="shared" ref="AF165:AF167" si="182">IF(NOT(ISBLANK(AG165)),"_","")</f>
        <v>_</v>
      </c>
      <c r="AG165" s="28" t="s">
        <v>328</v>
      </c>
    </row>
    <row r="166" spans="1:33" x14ac:dyDescent="0.25">
      <c r="B166" s="2" t="str">
        <f t="shared" ref="B166" si="183">_xlfn.CONCAT("@",AA166,AB166,AC166,AD166,AE166,AF166,AG166)</f>
        <v>@color-tertiary_case_bicycle_no_farzoom</v>
      </c>
      <c r="C166" s="137" t="s">
        <v>231</v>
      </c>
      <c r="D166" s="72" t="s">
        <v>217</v>
      </c>
      <c r="F166" s="137" t="s">
        <v>231</v>
      </c>
      <c r="G166" s="137" t="s">
        <v>231</v>
      </c>
      <c r="I166" s="138" t="str">
        <f>C166</f>
        <v>"#bd430f"</v>
      </c>
      <c r="J166" s="37" t="str">
        <f>D166</f>
        <v>"#000000"</v>
      </c>
      <c r="U166" s="138" t="str">
        <f>C166</f>
        <v>"#bd430f"</v>
      </c>
      <c r="V166" s="37" t="str">
        <f>D166</f>
        <v>"#000000"</v>
      </c>
      <c r="AA166" s="28" t="s">
        <v>6</v>
      </c>
      <c r="AB166" s="2" t="str">
        <f t="shared" ref="AB166" si="184">IF(NOT(ISBLANK(AC166)),"-","")</f>
        <v>-</v>
      </c>
      <c r="AC166" s="2" t="s">
        <v>27</v>
      </c>
      <c r="AD166" s="2" t="str">
        <f t="shared" ref="AD166" si="185">IF(NOT(ISBLANK(AE166)),"_","")</f>
        <v>_</v>
      </c>
      <c r="AE166" s="28" t="s">
        <v>17</v>
      </c>
      <c r="AF166" s="2" t="str">
        <f t="shared" ref="AF166" si="186">IF(NOT(ISBLANK(AG166)),"_","")</f>
        <v>_</v>
      </c>
      <c r="AG166" s="28" t="s">
        <v>327</v>
      </c>
    </row>
    <row r="167" spans="1:33" x14ac:dyDescent="0.25">
      <c r="B167" s="2" t="str">
        <f t="shared" ref="B167" si="187">_xlfn.CONCAT("@",AA167,AB167,AC167,AD167,AE167,AF167,AG167)</f>
        <v>@color-tertiary_case_unpaved_farzoom</v>
      </c>
      <c r="C167" s="139" t="s">
        <v>232</v>
      </c>
      <c r="D167" s="140" t="s">
        <v>236</v>
      </c>
      <c r="F167" s="140" t="s">
        <v>236</v>
      </c>
      <c r="G167" s="139" t="s">
        <v>232</v>
      </c>
      <c r="I167" s="139" t="s">
        <v>232</v>
      </c>
      <c r="J167" s="140" t="s">
        <v>236</v>
      </c>
      <c r="U167" s="44"/>
      <c r="V167" s="44"/>
      <c r="X167" s="44"/>
      <c r="Y167" s="44"/>
      <c r="AA167" s="28" t="s">
        <v>6</v>
      </c>
      <c r="AB167" s="2" t="str">
        <f t="shared" si="180"/>
        <v>-</v>
      </c>
      <c r="AC167" s="2" t="s">
        <v>27</v>
      </c>
      <c r="AD167" s="2" t="str">
        <f t="shared" si="181"/>
        <v>_</v>
      </c>
      <c r="AE167" s="28" t="s">
        <v>17</v>
      </c>
      <c r="AF167" s="2" t="str">
        <f t="shared" si="182"/>
        <v>_</v>
      </c>
      <c r="AG167" s="28" t="s">
        <v>235</v>
      </c>
    </row>
    <row r="168" spans="1:33" x14ac:dyDescent="0.25">
      <c r="B168" s="2" t="str">
        <f t="shared" si="161"/>
        <v>@color-tertiary_case_unpaved_default</v>
      </c>
      <c r="C168" s="140" t="s">
        <v>236</v>
      </c>
      <c r="D168" s="140" t="s">
        <v>236</v>
      </c>
      <c r="F168" s="72" t="s">
        <v>217</v>
      </c>
      <c r="G168" s="72" t="s">
        <v>217</v>
      </c>
      <c r="I168" s="140" t="s">
        <v>236</v>
      </c>
      <c r="J168" s="140" t="s">
        <v>236</v>
      </c>
      <c r="U168" s="44"/>
      <c r="V168" s="44"/>
      <c r="X168" s="44"/>
      <c r="Y168" s="44"/>
      <c r="AA168" s="28" t="s">
        <v>6</v>
      </c>
      <c r="AB168" s="2" t="str">
        <f t="shared" ref="AB168:AB173" si="188">IF(NOT(ISBLANK(AC168)),"-","")</f>
        <v>-</v>
      </c>
      <c r="AC168" s="2" t="s">
        <v>27</v>
      </c>
      <c r="AD168" s="2" t="str">
        <f t="shared" ref="AD168:AD173" si="189">IF(NOT(ISBLANK(AE168)),"_","")</f>
        <v>_</v>
      </c>
      <c r="AE168" s="28" t="s">
        <v>17</v>
      </c>
      <c r="AF168" s="2" t="str">
        <f t="shared" si="171"/>
        <v>_</v>
      </c>
      <c r="AG168" s="28" t="s">
        <v>270</v>
      </c>
    </row>
    <row r="169" spans="1:33" x14ac:dyDescent="0.25">
      <c r="B169" s="2" t="str">
        <f t="shared" ref="B169" si="190">_xlfn.CONCAT("@",AA169,AB169,AC169,AD169,AE169,AF169,AG169)</f>
        <v>@color-tertiary_case_paved_or_uk_farzoom</v>
      </c>
      <c r="C169" s="142" t="s">
        <v>233</v>
      </c>
      <c r="D169" s="72" t="s">
        <v>217</v>
      </c>
      <c r="F169" s="142" t="s">
        <v>233</v>
      </c>
      <c r="G169" s="142" t="s">
        <v>233</v>
      </c>
      <c r="I169" s="142" t="s">
        <v>233</v>
      </c>
      <c r="J169" s="72" t="s">
        <v>217</v>
      </c>
      <c r="U169" s="44"/>
      <c r="V169" s="44"/>
      <c r="X169" s="44"/>
      <c r="Y169" s="44"/>
      <c r="AA169" s="2" t="s">
        <v>6</v>
      </c>
      <c r="AB169" s="2" t="str">
        <f t="shared" ref="AB169" si="191">IF(NOT(ISBLANK(AC169)),"-","")</f>
        <v>-</v>
      </c>
      <c r="AC169" s="2" t="s">
        <v>27</v>
      </c>
      <c r="AD169" s="2" t="str">
        <f t="shared" ref="AD169" si="192">IF(NOT(ISBLANK(AE169)),"_","")</f>
        <v>_</v>
      </c>
      <c r="AE169" s="2" t="s">
        <v>17</v>
      </c>
      <c r="AF169" s="2" t="str">
        <f t="shared" ref="AF169" si="193">IF(NOT(ISBLANK(AG169)),"_","")</f>
        <v>_</v>
      </c>
      <c r="AG169" s="2" t="s">
        <v>234</v>
      </c>
    </row>
    <row r="170" spans="1:33" x14ac:dyDescent="0.25">
      <c r="B170" s="2" t="str">
        <f t="shared" si="161"/>
        <v>@color-tertiary_case_paved_or_uk_default</v>
      </c>
      <c r="C170" s="152" t="s">
        <v>237</v>
      </c>
      <c r="D170" s="72" t="s">
        <v>217</v>
      </c>
      <c r="F170" s="72" t="s">
        <v>217</v>
      </c>
      <c r="G170" s="72" t="s">
        <v>217</v>
      </c>
      <c r="I170" s="152" t="s">
        <v>237</v>
      </c>
      <c r="J170" s="72" t="s">
        <v>217</v>
      </c>
      <c r="U170" s="44"/>
      <c r="V170" s="44"/>
      <c r="X170" s="44"/>
      <c r="Y170" s="44"/>
      <c r="AA170" s="2" t="s">
        <v>6</v>
      </c>
      <c r="AB170" s="2" t="str">
        <f t="shared" si="188"/>
        <v>-</v>
      </c>
      <c r="AC170" s="2" t="s">
        <v>27</v>
      </c>
      <c r="AD170" s="2" t="str">
        <f t="shared" si="189"/>
        <v>_</v>
      </c>
      <c r="AE170" s="2" t="s">
        <v>17</v>
      </c>
      <c r="AF170" s="2" t="str">
        <f t="shared" si="171"/>
        <v>_</v>
      </c>
      <c r="AG170" s="2" t="s">
        <v>271</v>
      </c>
    </row>
    <row r="171" spans="1:33" x14ac:dyDescent="0.25">
      <c r="B171" s="2" t="str">
        <f t="shared" ref="B171" si="194">_xlfn.CONCAT("@",AA171,AB171,AC171,AD171,AE171,AF171,AG171)</f>
        <v>@color-tertiary_line_bicycle_no</v>
      </c>
      <c r="C171" s="150" t="s">
        <v>238</v>
      </c>
      <c r="D171" s="134" t="s">
        <v>218</v>
      </c>
      <c r="F171" s="150" t="s">
        <v>238</v>
      </c>
      <c r="G171" s="134" t="s">
        <v>218</v>
      </c>
      <c r="I171" s="151" t="str">
        <f>C171</f>
        <v>"#ffcc8a"</v>
      </c>
      <c r="J171" s="136" t="str">
        <f>D171</f>
        <v>"#d6771e"</v>
      </c>
      <c r="U171" s="151" t="str">
        <f>C171</f>
        <v>"#ffcc8a"</v>
      </c>
      <c r="V171" s="136" t="str">
        <f>J171</f>
        <v>"#d6771e"</v>
      </c>
      <c r="AA171" s="28" t="s">
        <v>6</v>
      </c>
      <c r="AB171" s="2" t="str">
        <f t="shared" si="188"/>
        <v>-</v>
      </c>
      <c r="AC171" s="2" t="s">
        <v>27</v>
      </c>
      <c r="AD171" s="2" t="str">
        <f t="shared" si="189"/>
        <v>_</v>
      </c>
      <c r="AE171" s="28" t="s">
        <v>13</v>
      </c>
      <c r="AF171" s="2" t="str">
        <f t="shared" si="171"/>
        <v>_</v>
      </c>
      <c r="AG171" s="28" t="s">
        <v>24</v>
      </c>
    </row>
    <row r="172" spans="1:33" x14ac:dyDescent="0.25">
      <c r="B172" s="2" t="str">
        <f t="shared" si="161"/>
        <v>@color-tertiary_line_unpaved_default</v>
      </c>
      <c r="C172" s="148" t="s">
        <v>226</v>
      </c>
      <c r="D172" s="149" t="str">
        <f>C172</f>
        <v>"#eddfca"</v>
      </c>
      <c r="F172" s="148" t="s">
        <v>226</v>
      </c>
      <c r="G172" s="149" t="str">
        <f>F172</f>
        <v>"#eddfca"</v>
      </c>
      <c r="I172" s="148" t="s">
        <v>226</v>
      </c>
      <c r="J172" s="149" t="str">
        <f>I172</f>
        <v>"#eddfca"</v>
      </c>
      <c r="U172" s="44"/>
      <c r="V172" s="44"/>
      <c r="X172" s="44"/>
      <c r="Y172" s="44"/>
      <c r="AA172" s="2" t="s">
        <v>6</v>
      </c>
      <c r="AB172" s="2" t="str">
        <f t="shared" si="188"/>
        <v>-</v>
      </c>
      <c r="AC172" s="2" t="s">
        <v>27</v>
      </c>
      <c r="AD172" s="2" t="str">
        <f t="shared" si="189"/>
        <v>_</v>
      </c>
      <c r="AE172" s="2" t="s">
        <v>13</v>
      </c>
      <c r="AF172" s="2" t="str">
        <f t="shared" si="171"/>
        <v>_</v>
      </c>
      <c r="AG172" s="2" t="s">
        <v>270</v>
      </c>
    </row>
    <row r="173" spans="1:33" x14ac:dyDescent="0.25">
      <c r="B173" s="2" t="str">
        <f t="shared" si="161"/>
        <v>@color-tertiary_line_paved_or_uk_default</v>
      </c>
      <c r="C173" s="71" t="s">
        <v>227</v>
      </c>
      <c r="D173" s="38" t="str">
        <f>C173</f>
        <v>"#ffffff"</v>
      </c>
      <c r="F173" s="71" t="s">
        <v>227</v>
      </c>
      <c r="G173" s="38" t="str">
        <f>F173</f>
        <v>"#ffffff"</v>
      </c>
      <c r="I173" s="71" t="s">
        <v>227</v>
      </c>
      <c r="J173" s="38" t="str">
        <f>I173</f>
        <v>"#ffffff"</v>
      </c>
      <c r="U173" s="44"/>
      <c r="V173" s="44"/>
      <c r="X173" s="44"/>
      <c r="Y173" s="44"/>
      <c r="AA173" s="2" t="s">
        <v>6</v>
      </c>
      <c r="AB173" s="2" t="str">
        <f t="shared" si="188"/>
        <v>-</v>
      </c>
      <c r="AC173" s="2" t="s">
        <v>27</v>
      </c>
      <c r="AD173" s="2" t="str">
        <f t="shared" si="189"/>
        <v>_</v>
      </c>
      <c r="AE173" s="2" t="s">
        <v>13</v>
      </c>
      <c r="AF173" s="2" t="str">
        <f t="shared" si="171"/>
        <v>_</v>
      </c>
      <c r="AG173" s="2" t="s">
        <v>271</v>
      </c>
    </row>
    <row r="174" spans="1:33" x14ac:dyDescent="0.25">
      <c r="B174" s="2"/>
      <c r="AB174" s="28" t="str">
        <f t="shared" si="163"/>
        <v/>
      </c>
      <c r="AD174" s="28" t="str">
        <f t="shared" si="170"/>
        <v/>
      </c>
      <c r="AF174" s="28" t="str">
        <f t="shared" si="171"/>
        <v/>
      </c>
    </row>
    <row r="175" spans="1:33" s="2" customFormat="1" x14ac:dyDescent="0.25">
      <c r="A175" s="3" t="s">
        <v>228</v>
      </c>
      <c r="B175" s="3"/>
      <c r="C175" s="27"/>
      <c r="D175" s="6"/>
      <c r="E175" s="7"/>
      <c r="F175" s="6"/>
      <c r="G175" s="6"/>
      <c r="H175" s="7"/>
      <c r="I175" s="6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163"/>
        <v/>
      </c>
      <c r="AC175" s="4"/>
      <c r="AD175" s="4" t="str">
        <f t="shared" si="170"/>
        <v/>
      </c>
      <c r="AE175" s="4"/>
      <c r="AF175" s="4" t="str">
        <f t="shared" si="171"/>
        <v/>
      </c>
      <c r="AG175" s="4"/>
    </row>
    <row r="176" spans="1:33" x14ac:dyDescent="0.25">
      <c r="B176" s="2" t="str">
        <f t="shared" ref="B176" si="195">_xlfn.CONCAT("@",AA176,AB176,AC176,AD176,AE176,AF176,AG176)</f>
        <v>@color-raceway_case</v>
      </c>
      <c r="C176" s="44"/>
      <c r="D176" s="44"/>
      <c r="F176" s="44"/>
      <c r="G176" s="44"/>
      <c r="I176" s="44"/>
      <c r="J176" s="44"/>
      <c r="L176" s="44"/>
      <c r="M176" s="44"/>
      <c r="U176" s="72" t="s">
        <v>217</v>
      </c>
      <c r="V176" s="72" t="s">
        <v>217</v>
      </c>
      <c r="AA176" s="2" t="s">
        <v>6</v>
      </c>
      <c r="AB176" s="2" t="str">
        <f t="shared" ref="AB176" si="196">IF(NOT(ISBLANK(AC176)),"-","")</f>
        <v>-</v>
      </c>
      <c r="AC176" s="2" t="s">
        <v>29</v>
      </c>
      <c r="AD176" s="2" t="str">
        <f t="shared" ref="AD176" si="197">IF(NOT(ISBLANK(AE176)),"_","")</f>
        <v>_</v>
      </c>
      <c r="AE176" s="2" t="s">
        <v>17</v>
      </c>
      <c r="AF176" s="2" t="str">
        <f t="shared" ref="AF176" si="198">IF(NOT(ISBLANK(AG176)),"_","")</f>
        <v/>
      </c>
      <c r="AG176" s="2"/>
    </row>
    <row r="177" spans="2:33" x14ac:dyDescent="0.25">
      <c r="B177" s="2" t="str">
        <f t="shared" ref="B177:B179" si="199">_xlfn.CONCAT("@",AA177,AB177,AC177,AD177,AE177,AF177,AG177)</f>
        <v>@color-raceway_case_unpaved</v>
      </c>
      <c r="C177" s="153" t="s">
        <v>239</v>
      </c>
      <c r="D177" s="140" t="s">
        <v>236</v>
      </c>
      <c r="F177" s="72" t="s">
        <v>217</v>
      </c>
      <c r="I177" s="154" t="str">
        <f>C177</f>
        <v>"#af9564"</v>
      </c>
      <c r="J177" s="155" t="str">
        <f>D177</f>
        <v>"#644507"</v>
      </c>
      <c r="U177" s="44"/>
      <c r="V177" s="44"/>
      <c r="X177" s="44"/>
      <c r="Y177" s="44"/>
      <c r="AA177" s="2" t="s">
        <v>6</v>
      </c>
      <c r="AB177" s="2" t="str">
        <f t="shared" ref="AB177:AB179" si="200">IF(NOT(ISBLANK(AC177)),"-","")</f>
        <v>-</v>
      </c>
      <c r="AC177" s="2" t="s">
        <v>29</v>
      </c>
      <c r="AD177" s="2" t="str">
        <f t="shared" ref="AD177:AD179" si="201">IF(NOT(ISBLANK(AE177)),"_","")</f>
        <v>_</v>
      </c>
      <c r="AE177" s="2" t="s">
        <v>17</v>
      </c>
      <c r="AF177" s="2" t="str">
        <f t="shared" ref="AF177:AF179" si="202">IF(NOT(ISBLANK(AG177)),"_","")</f>
        <v>_</v>
      </c>
      <c r="AG177" s="2" t="s">
        <v>22</v>
      </c>
    </row>
    <row r="178" spans="2:33" x14ac:dyDescent="0.25">
      <c r="B178" s="2" t="str">
        <f t="shared" si="199"/>
        <v>@color-raceway_case_paved_or_uk</v>
      </c>
      <c r="C178" s="156" t="s">
        <v>240</v>
      </c>
      <c r="D178" s="157" t="s">
        <v>241</v>
      </c>
      <c r="F178" s="72" t="s">
        <v>217</v>
      </c>
      <c r="I178" s="158" t="str">
        <f>C178</f>
        <v>"#a8a6a4"</v>
      </c>
      <c r="J178" s="159" t="str">
        <f>D178</f>
        <v>"#4a4a4a"</v>
      </c>
      <c r="U178" s="44"/>
      <c r="V178" s="44"/>
      <c r="X178" s="44"/>
      <c r="Y178" s="44"/>
      <c r="AA178" s="2" t="s">
        <v>6</v>
      </c>
      <c r="AB178" s="2" t="str">
        <f t="shared" si="200"/>
        <v>-</v>
      </c>
      <c r="AC178" s="2" t="s">
        <v>29</v>
      </c>
      <c r="AD178" s="2" t="str">
        <f t="shared" si="201"/>
        <v>_</v>
      </c>
      <c r="AE178" s="2" t="s">
        <v>17</v>
      </c>
      <c r="AF178" s="2" t="str">
        <f t="shared" si="202"/>
        <v>_</v>
      </c>
      <c r="AG178" s="2" t="s">
        <v>25</v>
      </c>
    </row>
    <row r="179" spans="2:33" x14ac:dyDescent="0.25">
      <c r="B179" s="2" t="str">
        <f t="shared" si="199"/>
        <v>@color-raceway_line_default</v>
      </c>
      <c r="C179" s="44"/>
      <c r="D179" s="44"/>
      <c r="F179" s="44"/>
      <c r="G179" s="44"/>
      <c r="I179" s="44"/>
      <c r="J179" s="44"/>
      <c r="L179" s="44"/>
      <c r="M179" s="44"/>
      <c r="U179" s="71" t="s">
        <v>227</v>
      </c>
      <c r="V179" s="38" t="str">
        <f>U179</f>
        <v>"#ffffff"</v>
      </c>
      <c r="AA179" s="2" t="s">
        <v>6</v>
      </c>
      <c r="AB179" s="2" t="str">
        <f t="shared" si="200"/>
        <v>-</v>
      </c>
      <c r="AC179" s="2" t="s">
        <v>29</v>
      </c>
      <c r="AD179" s="2" t="str">
        <f t="shared" si="201"/>
        <v>_</v>
      </c>
      <c r="AE179" s="2" t="s">
        <v>13</v>
      </c>
      <c r="AF179" s="2" t="str">
        <f t="shared" si="202"/>
        <v>_</v>
      </c>
      <c r="AG179" s="2" t="s">
        <v>269</v>
      </c>
    </row>
    <row r="180" spans="2:33" x14ac:dyDescent="0.25">
      <c r="B180" s="2" t="str">
        <f t="shared" si="161"/>
        <v>@color-raceway_line_unpaved</v>
      </c>
      <c r="C180" s="148" t="s">
        <v>226</v>
      </c>
      <c r="D180" s="149" t="str">
        <f>C180</f>
        <v>"#eddfca"</v>
      </c>
      <c r="I180" s="149" t="str">
        <f>C180</f>
        <v>"#eddfca"</v>
      </c>
      <c r="J180" s="149" t="str">
        <f>C180</f>
        <v>"#eddfca"</v>
      </c>
      <c r="U180" s="44"/>
      <c r="V180" s="44"/>
      <c r="X180" s="44"/>
      <c r="Y180" s="44"/>
      <c r="AA180" s="2" t="s">
        <v>6</v>
      </c>
      <c r="AB180" s="2" t="str">
        <f t="shared" si="163"/>
        <v>-</v>
      </c>
      <c r="AC180" s="2" t="s">
        <v>29</v>
      </c>
      <c r="AD180" s="2" t="str">
        <f t="shared" si="170"/>
        <v>_</v>
      </c>
      <c r="AE180" s="2" t="s">
        <v>13</v>
      </c>
      <c r="AF180" s="2" t="str">
        <f t="shared" si="171"/>
        <v>_</v>
      </c>
      <c r="AG180" s="2" t="s">
        <v>22</v>
      </c>
    </row>
    <row r="181" spans="2:33" x14ac:dyDescent="0.25">
      <c r="B181" s="2" t="str">
        <f t="shared" si="161"/>
        <v>@color-raceway_line_paved_or_uk</v>
      </c>
      <c r="C181" s="26" t="s">
        <v>227</v>
      </c>
      <c r="D181" s="38" t="str">
        <f>C181</f>
        <v>"#ffffff"</v>
      </c>
      <c r="I181" s="38" t="str">
        <f>C181</f>
        <v>"#ffffff"</v>
      </c>
      <c r="J181" s="38" t="str">
        <f>C181</f>
        <v>"#ffffff"</v>
      </c>
      <c r="U181" s="44"/>
      <c r="V181" s="44"/>
      <c r="X181" s="44"/>
      <c r="Y181" s="44"/>
      <c r="AA181" s="2" t="s">
        <v>6</v>
      </c>
      <c r="AB181" s="2" t="str">
        <f t="shared" si="163"/>
        <v>-</v>
      </c>
      <c r="AC181" s="2" t="s">
        <v>29</v>
      </c>
      <c r="AD181" s="2" t="str">
        <f t="shared" si="170"/>
        <v>_</v>
      </c>
      <c r="AE181" s="2" t="s">
        <v>13</v>
      </c>
      <c r="AF181" s="2" t="str">
        <f t="shared" si="171"/>
        <v>_</v>
      </c>
      <c r="AG181" s="2" t="s">
        <v>25</v>
      </c>
    </row>
    <row r="182" spans="2:33" x14ac:dyDescent="0.25">
      <c r="B182" s="2"/>
      <c r="AB182" s="28" t="str">
        <f t="shared" si="163"/>
        <v/>
      </c>
      <c r="AD182" s="28" t="str">
        <f t="shared" si="170"/>
        <v/>
      </c>
      <c r="AF182" s="28" t="str">
        <f t="shared" si="171"/>
        <v/>
      </c>
    </row>
    <row r="183" spans="2:33" x14ac:dyDescent="0.25">
      <c r="B183" s="2" t="str">
        <f t="shared" ref="B183:B190" si="203">_xlfn.CONCAT("@",AA183,AB183,AC183,AD183,AE183,AF183,AG183)</f>
        <v>@color-driveway_case</v>
      </c>
      <c r="C183" s="44"/>
      <c r="D183" s="44"/>
      <c r="F183" s="44"/>
      <c r="G183" s="44"/>
      <c r="I183" s="44"/>
      <c r="J183" s="44"/>
      <c r="L183" s="44"/>
      <c r="M183" s="44"/>
      <c r="U183" s="72" t="s">
        <v>217</v>
      </c>
      <c r="V183" s="72" t="s">
        <v>217</v>
      </c>
      <c r="AA183" s="2" t="s">
        <v>6</v>
      </c>
      <c r="AB183" s="2" t="str">
        <f t="shared" si="163"/>
        <v>-</v>
      </c>
      <c r="AC183" s="2" t="s">
        <v>30</v>
      </c>
      <c r="AD183" s="2" t="str">
        <f t="shared" si="170"/>
        <v>_</v>
      </c>
      <c r="AE183" s="2" t="s">
        <v>17</v>
      </c>
      <c r="AF183" s="2" t="str">
        <f t="shared" si="171"/>
        <v/>
      </c>
      <c r="AG183" s="2"/>
    </row>
    <row r="184" spans="2:33" x14ac:dyDescent="0.25">
      <c r="B184" s="2" t="str">
        <f t="shared" si="203"/>
        <v>@color-driveway_case_unpaved_farzoom</v>
      </c>
      <c r="C184" s="139" t="s">
        <v>232</v>
      </c>
      <c r="D184" s="140" t="s">
        <v>236</v>
      </c>
      <c r="F184" s="140" t="s">
        <v>236</v>
      </c>
      <c r="G184" s="139" t="s">
        <v>232</v>
      </c>
      <c r="I184" s="160" t="str">
        <f t="shared" ref="I184:J187" si="204">C184</f>
        <v>"#b99346"</v>
      </c>
      <c r="J184" s="155" t="str">
        <f t="shared" si="204"/>
        <v>"#644507"</v>
      </c>
      <c r="U184" s="44"/>
      <c r="V184" s="44"/>
      <c r="X184" s="44"/>
      <c r="Y184" s="44"/>
      <c r="AA184" s="2" t="s">
        <v>6</v>
      </c>
      <c r="AB184" s="2" t="str">
        <f t="shared" si="163"/>
        <v>-</v>
      </c>
      <c r="AC184" s="2" t="s">
        <v>30</v>
      </c>
      <c r="AD184" s="2" t="str">
        <f t="shared" si="170"/>
        <v>_</v>
      </c>
      <c r="AE184" s="2" t="s">
        <v>17</v>
      </c>
      <c r="AF184" s="2" t="str">
        <f t="shared" si="171"/>
        <v>_</v>
      </c>
      <c r="AG184" s="2" t="s">
        <v>235</v>
      </c>
    </row>
    <row r="185" spans="2:33" x14ac:dyDescent="0.25">
      <c r="B185" s="2" t="str">
        <f t="shared" si="203"/>
        <v>@color-driveway_case_unpaved</v>
      </c>
      <c r="C185" s="140" t="s">
        <v>236</v>
      </c>
      <c r="D185" s="140" t="s">
        <v>236</v>
      </c>
      <c r="F185" s="72" t="s">
        <v>217</v>
      </c>
      <c r="I185" s="155" t="str">
        <f t="shared" si="204"/>
        <v>"#644507"</v>
      </c>
      <c r="J185" s="155" t="str">
        <f t="shared" si="204"/>
        <v>"#644507"</v>
      </c>
      <c r="U185" s="44"/>
      <c r="V185" s="44"/>
      <c r="X185" s="44"/>
      <c r="Y185" s="44"/>
      <c r="AA185" s="2" t="s">
        <v>6</v>
      </c>
      <c r="AB185" s="2" t="str">
        <f t="shared" si="163"/>
        <v>-</v>
      </c>
      <c r="AC185" s="2" t="s">
        <v>30</v>
      </c>
      <c r="AD185" s="2" t="str">
        <f t="shared" si="170"/>
        <v>_</v>
      </c>
      <c r="AE185" s="2" t="s">
        <v>17</v>
      </c>
      <c r="AF185" s="2" t="str">
        <f t="shared" si="171"/>
        <v>_</v>
      </c>
      <c r="AG185" s="2" t="s">
        <v>22</v>
      </c>
    </row>
    <row r="186" spans="2:33" x14ac:dyDescent="0.25">
      <c r="B186" s="2" t="str">
        <f t="shared" si="203"/>
        <v>@color-driveway_case_paved_or_uk_farzoom</v>
      </c>
      <c r="C186" s="142" t="s">
        <v>233</v>
      </c>
      <c r="D186" s="72" t="s">
        <v>217</v>
      </c>
      <c r="F186" s="142" t="s">
        <v>233</v>
      </c>
      <c r="G186" s="142" t="s">
        <v>233</v>
      </c>
      <c r="I186" s="161" t="str">
        <f t="shared" si="204"/>
        <v>"#808080"</v>
      </c>
      <c r="J186" s="37" t="str">
        <f t="shared" si="204"/>
        <v>"#000000"</v>
      </c>
      <c r="U186" s="44"/>
      <c r="V186" s="44"/>
      <c r="X186" s="44"/>
      <c r="Y186" s="44"/>
      <c r="AA186" s="2" t="s">
        <v>6</v>
      </c>
      <c r="AB186" s="2" t="str">
        <f t="shared" si="163"/>
        <v>-</v>
      </c>
      <c r="AC186" s="2" t="s">
        <v>30</v>
      </c>
      <c r="AD186" s="2" t="str">
        <f t="shared" si="170"/>
        <v>_</v>
      </c>
      <c r="AE186" s="2" t="s">
        <v>17</v>
      </c>
      <c r="AF186" s="2" t="str">
        <f t="shared" si="171"/>
        <v>_</v>
      </c>
      <c r="AG186" s="2" t="s">
        <v>234</v>
      </c>
    </row>
    <row r="187" spans="2:33" x14ac:dyDescent="0.25">
      <c r="B187" s="2" t="str">
        <f t="shared" si="203"/>
        <v>@color-driveway_case_paved_or_uk</v>
      </c>
      <c r="C187" s="143" t="s">
        <v>221</v>
      </c>
      <c r="D187" s="72" t="s">
        <v>217</v>
      </c>
      <c r="F187" s="72" t="s">
        <v>217</v>
      </c>
      <c r="I187" s="162" t="str">
        <f t="shared" si="204"/>
        <v>"#404040"</v>
      </c>
      <c r="J187" s="37" t="str">
        <f t="shared" si="204"/>
        <v>"#000000"</v>
      </c>
      <c r="Q187" s="7"/>
      <c r="U187" s="44"/>
      <c r="V187" s="44"/>
      <c r="X187" s="44"/>
      <c r="Y187" s="44"/>
      <c r="AA187" s="2" t="s">
        <v>6</v>
      </c>
      <c r="AB187" s="2" t="str">
        <f t="shared" si="163"/>
        <v>-</v>
      </c>
      <c r="AC187" s="2" t="s">
        <v>30</v>
      </c>
      <c r="AD187" s="2" t="str">
        <f t="shared" si="170"/>
        <v>_</v>
      </c>
      <c r="AE187" s="2" t="s">
        <v>17</v>
      </c>
      <c r="AF187" s="2" t="str">
        <f t="shared" si="171"/>
        <v>_</v>
      </c>
      <c r="AG187" s="2" t="s">
        <v>25</v>
      </c>
    </row>
    <row r="188" spans="2:33" x14ac:dyDescent="0.25">
      <c r="B188" s="2" t="str">
        <f t="shared" si="203"/>
        <v>@color-driveway_line_default</v>
      </c>
      <c r="C188" s="44"/>
      <c r="D188" s="44"/>
      <c r="F188" s="44"/>
      <c r="G188" s="44"/>
      <c r="I188" s="44"/>
      <c r="J188" s="44"/>
      <c r="L188" s="44"/>
      <c r="M188" s="44"/>
      <c r="U188" s="71" t="s">
        <v>227</v>
      </c>
      <c r="V188" s="38" t="str">
        <f>U188</f>
        <v>"#ffffff"</v>
      </c>
      <c r="AA188" s="2" t="s">
        <v>6</v>
      </c>
      <c r="AB188" s="2" t="str">
        <f t="shared" si="163"/>
        <v>-</v>
      </c>
      <c r="AC188" s="2" t="s">
        <v>30</v>
      </c>
      <c r="AD188" s="2" t="str">
        <f t="shared" si="170"/>
        <v>_</v>
      </c>
      <c r="AE188" s="2" t="s">
        <v>13</v>
      </c>
      <c r="AF188" s="2" t="str">
        <f t="shared" si="171"/>
        <v>_</v>
      </c>
      <c r="AG188" s="2" t="s">
        <v>269</v>
      </c>
    </row>
    <row r="189" spans="2:33" x14ac:dyDescent="0.25">
      <c r="B189" s="2" t="str">
        <f t="shared" si="203"/>
        <v>@color-driveway_line_unpaved</v>
      </c>
      <c r="C189" s="148" t="s">
        <v>226</v>
      </c>
      <c r="D189" s="38" t="str">
        <f t="shared" ref="D189:D190" si="205">C189</f>
        <v>"#eddfca"</v>
      </c>
      <c r="I189" s="149" t="str">
        <f>C189</f>
        <v>"#eddfca"</v>
      </c>
      <c r="J189" s="38" t="str">
        <f t="shared" ref="J189:J190" si="206">C189</f>
        <v>"#eddfca"</v>
      </c>
      <c r="U189" s="44"/>
      <c r="V189" s="44"/>
      <c r="X189" s="44"/>
      <c r="Y189" s="44"/>
      <c r="AA189" s="2" t="s">
        <v>6</v>
      </c>
      <c r="AB189" s="2" t="str">
        <f t="shared" si="163"/>
        <v>-</v>
      </c>
      <c r="AC189" s="2" t="s">
        <v>30</v>
      </c>
      <c r="AD189" s="2" t="str">
        <f t="shared" si="170"/>
        <v>_</v>
      </c>
      <c r="AE189" s="2" t="s">
        <v>13</v>
      </c>
      <c r="AF189" s="2" t="str">
        <f t="shared" si="171"/>
        <v>_</v>
      </c>
      <c r="AG189" s="2" t="s">
        <v>22</v>
      </c>
    </row>
    <row r="190" spans="2:33" x14ac:dyDescent="0.25">
      <c r="B190" s="2" t="str">
        <f t="shared" si="203"/>
        <v>@color-driveway_line_paved_or_uk</v>
      </c>
      <c r="C190" s="71" t="s">
        <v>227</v>
      </c>
      <c r="D190" s="38" t="str">
        <f t="shared" si="205"/>
        <v>"#ffffff"</v>
      </c>
      <c r="I190" s="38" t="str">
        <f>C190</f>
        <v>"#ffffff"</v>
      </c>
      <c r="J190" s="38" t="str">
        <f t="shared" si="206"/>
        <v>"#ffffff"</v>
      </c>
      <c r="U190" s="44"/>
      <c r="V190" s="44"/>
      <c r="X190" s="44"/>
      <c r="Y190" s="44"/>
      <c r="AA190" s="2" t="s">
        <v>6</v>
      </c>
      <c r="AB190" s="2" t="str">
        <f t="shared" si="163"/>
        <v>-</v>
      </c>
      <c r="AC190" s="2" t="s">
        <v>30</v>
      </c>
      <c r="AD190" s="2" t="str">
        <f t="shared" si="170"/>
        <v>_</v>
      </c>
      <c r="AE190" s="2" t="s">
        <v>13</v>
      </c>
      <c r="AF190" s="2" t="str">
        <f t="shared" si="171"/>
        <v>_</v>
      </c>
      <c r="AG190" s="2" t="s">
        <v>25</v>
      </c>
    </row>
    <row r="191" spans="2:33" x14ac:dyDescent="0.25">
      <c r="B191" s="2"/>
      <c r="AB191" s="28" t="str">
        <f t="shared" ref="AB191:AB199" si="207">IF(NOT(ISBLANK(AC191)),"-","")</f>
        <v/>
      </c>
      <c r="AD191" s="28" t="str">
        <f t="shared" ref="AD191:AD199" si="208">IF(NOT(ISBLANK(AE191)),"_","")</f>
        <v/>
      </c>
      <c r="AF191" s="28" t="str">
        <f t="shared" ref="AF191:AF199" si="209">IF(NOT(ISBLANK(AG191)),"_","")</f>
        <v/>
      </c>
    </row>
    <row r="192" spans="2:33" x14ac:dyDescent="0.25">
      <c r="B192" s="2" t="str">
        <f t="shared" ref="B192:B199" si="210">_xlfn.CONCAT("@",AA192,AB192,AC192,AD192,AE192,AF192,AG192)</f>
        <v>@color-service_case</v>
      </c>
      <c r="C192" s="44"/>
      <c r="D192" s="44"/>
      <c r="F192" s="44"/>
      <c r="G192" s="44"/>
      <c r="I192" s="44"/>
      <c r="J192" s="44"/>
      <c r="L192" s="44"/>
      <c r="M192" s="44"/>
      <c r="U192" s="72" t="s">
        <v>217</v>
      </c>
      <c r="V192" s="72" t="s">
        <v>217</v>
      </c>
      <c r="AA192" s="2" t="s">
        <v>6</v>
      </c>
      <c r="AB192" s="2" t="str">
        <f t="shared" si="207"/>
        <v>-</v>
      </c>
      <c r="AC192" s="2" t="s">
        <v>31</v>
      </c>
      <c r="AD192" s="2" t="str">
        <f t="shared" si="208"/>
        <v>_</v>
      </c>
      <c r="AE192" s="2" t="s">
        <v>17</v>
      </c>
      <c r="AF192" s="2" t="str">
        <f t="shared" si="209"/>
        <v/>
      </c>
      <c r="AG192" s="2"/>
    </row>
    <row r="193" spans="2:33" x14ac:dyDescent="0.25">
      <c r="B193" s="2" t="str">
        <f t="shared" si="210"/>
        <v>@color-service_case_unpaved_farzoom</v>
      </c>
      <c r="C193" s="139" t="s">
        <v>232</v>
      </c>
      <c r="D193" s="140" t="s">
        <v>236</v>
      </c>
      <c r="F193" s="140" t="s">
        <v>236</v>
      </c>
      <c r="G193" s="139" t="s">
        <v>232</v>
      </c>
      <c r="I193" s="160" t="str">
        <f t="shared" ref="I193:J196" si="211">C193</f>
        <v>"#b99346"</v>
      </c>
      <c r="J193" s="155" t="str">
        <f t="shared" si="211"/>
        <v>"#644507"</v>
      </c>
      <c r="U193" s="44"/>
      <c r="V193" s="44"/>
      <c r="X193" s="44"/>
      <c r="Y193" s="44"/>
      <c r="AA193" s="2" t="s">
        <v>6</v>
      </c>
      <c r="AB193" s="2" t="str">
        <f t="shared" si="207"/>
        <v>-</v>
      </c>
      <c r="AC193" s="2" t="s">
        <v>31</v>
      </c>
      <c r="AD193" s="2" t="str">
        <f t="shared" si="208"/>
        <v>_</v>
      </c>
      <c r="AE193" s="2" t="s">
        <v>17</v>
      </c>
      <c r="AF193" s="2" t="str">
        <f t="shared" si="209"/>
        <v>_</v>
      </c>
      <c r="AG193" s="2" t="s">
        <v>235</v>
      </c>
    </row>
    <row r="194" spans="2:33" x14ac:dyDescent="0.25">
      <c r="B194" s="2" t="str">
        <f t="shared" si="210"/>
        <v>@color-service_case_unpaved</v>
      </c>
      <c r="C194" s="140" t="s">
        <v>236</v>
      </c>
      <c r="D194" s="140" t="s">
        <v>236</v>
      </c>
      <c r="F194" s="72" t="s">
        <v>217</v>
      </c>
      <c r="I194" s="155" t="str">
        <f t="shared" si="211"/>
        <v>"#644507"</v>
      </c>
      <c r="J194" s="155" t="str">
        <f t="shared" si="211"/>
        <v>"#644507"</v>
      </c>
      <c r="U194" s="44"/>
      <c r="V194" s="44"/>
      <c r="X194" s="44"/>
      <c r="Y194" s="44"/>
      <c r="AA194" s="2" t="s">
        <v>6</v>
      </c>
      <c r="AB194" s="2" t="str">
        <f t="shared" si="207"/>
        <v>-</v>
      </c>
      <c r="AC194" s="2" t="s">
        <v>31</v>
      </c>
      <c r="AD194" s="2" t="str">
        <f t="shared" si="208"/>
        <v>_</v>
      </c>
      <c r="AE194" s="2" t="s">
        <v>17</v>
      </c>
      <c r="AF194" s="2" t="str">
        <f t="shared" si="209"/>
        <v>_</v>
      </c>
      <c r="AG194" s="2" t="s">
        <v>22</v>
      </c>
    </row>
    <row r="195" spans="2:33" x14ac:dyDescent="0.25">
      <c r="B195" s="2" t="str">
        <f t="shared" si="210"/>
        <v>@color-service_case_paved_or_uk_farzoom</v>
      </c>
      <c r="C195" s="142" t="s">
        <v>233</v>
      </c>
      <c r="D195" s="72" t="s">
        <v>217</v>
      </c>
      <c r="F195" s="72" t="s">
        <v>217</v>
      </c>
      <c r="I195" s="161" t="str">
        <f t="shared" si="211"/>
        <v>"#808080"</v>
      </c>
      <c r="J195" s="37" t="str">
        <f t="shared" si="211"/>
        <v>"#000000"</v>
      </c>
      <c r="U195" s="44"/>
      <c r="V195" s="44"/>
      <c r="X195" s="44"/>
      <c r="Y195" s="44"/>
      <c r="AA195" s="2" t="s">
        <v>6</v>
      </c>
      <c r="AB195" s="2" t="str">
        <f t="shared" si="207"/>
        <v>-</v>
      </c>
      <c r="AC195" s="2" t="s">
        <v>31</v>
      </c>
      <c r="AD195" s="2" t="str">
        <f t="shared" si="208"/>
        <v>_</v>
      </c>
      <c r="AE195" s="2" t="s">
        <v>17</v>
      </c>
      <c r="AF195" s="2" t="str">
        <f t="shared" si="209"/>
        <v>_</v>
      </c>
      <c r="AG195" s="2" t="s">
        <v>234</v>
      </c>
    </row>
    <row r="196" spans="2:33" x14ac:dyDescent="0.25">
      <c r="B196" s="2" t="str">
        <f t="shared" si="210"/>
        <v>@color-service_case_paved_or_uk</v>
      </c>
      <c r="C196" s="143" t="s">
        <v>221</v>
      </c>
      <c r="D196" s="72" t="s">
        <v>217</v>
      </c>
      <c r="F196" s="72" t="s">
        <v>217</v>
      </c>
      <c r="I196" s="162" t="str">
        <f t="shared" si="211"/>
        <v>"#404040"</v>
      </c>
      <c r="J196" s="37" t="str">
        <f t="shared" si="211"/>
        <v>"#000000"</v>
      </c>
      <c r="Q196" s="7"/>
      <c r="U196" s="44"/>
      <c r="V196" s="44"/>
      <c r="X196" s="44"/>
      <c r="Y196" s="44"/>
      <c r="AA196" s="2" t="s">
        <v>6</v>
      </c>
      <c r="AB196" s="2" t="str">
        <f t="shared" si="207"/>
        <v>-</v>
      </c>
      <c r="AC196" s="2" t="s">
        <v>31</v>
      </c>
      <c r="AD196" s="2" t="str">
        <f t="shared" si="208"/>
        <v>_</v>
      </c>
      <c r="AE196" s="2" t="s">
        <v>17</v>
      </c>
      <c r="AF196" s="2" t="str">
        <f t="shared" si="209"/>
        <v>_</v>
      </c>
      <c r="AG196" s="2" t="s">
        <v>25</v>
      </c>
    </row>
    <row r="197" spans="2:33" x14ac:dyDescent="0.25">
      <c r="B197" s="2" t="str">
        <f t="shared" ref="B197" si="212">_xlfn.CONCAT("@",AA197,AB197,AC197,AD197,AE197,AF197,AG197)</f>
        <v>@color-service_line_default</v>
      </c>
      <c r="C197" s="44"/>
      <c r="D197" s="44"/>
      <c r="F197" s="44"/>
      <c r="G197" s="44"/>
      <c r="I197" s="44"/>
      <c r="J197" s="44"/>
      <c r="L197" s="44"/>
      <c r="M197" s="44"/>
      <c r="U197" s="71" t="s">
        <v>227</v>
      </c>
      <c r="V197" s="38" t="str">
        <f>U197</f>
        <v>"#ffffff"</v>
      </c>
      <c r="AA197" s="2" t="s">
        <v>6</v>
      </c>
      <c r="AB197" s="2" t="str">
        <f t="shared" ref="AB197" si="213">IF(NOT(ISBLANK(AC197)),"-","")</f>
        <v>-</v>
      </c>
      <c r="AC197" s="2" t="s">
        <v>31</v>
      </c>
      <c r="AD197" s="2" t="str">
        <f t="shared" ref="AD197" si="214">IF(NOT(ISBLANK(AE197)),"_","")</f>
        <v>_</v>
      </c>
      <c r="AE197" s="2" t="s">
        <v>13</v>
      </c>
      <c r="AF197" s="2" t="str">
        <f t="shared" ref="AF197" si="215">IF(NOT(ISBLANK(AG197)),"_","")</f>
        <v>_</v>
      </c>
      <c r="AG197" s="2" t="s">
        <v>269</v>
      </c>
    </row>
    <row r="198" spans="2:33" x14ac:dyDescent="0.25">
      <c r="B198" s="2" t="str">
        <f t="shared" si="210"/>
        <v>@color-service_line_unpaved</v>
      </c>
      <c r="C198" s="148" t="s">
        <v>226</v>
      </c>
      <c r="D198" s="38" t="str">
        <f t="shared" ref="D198:D199" si="216">C198</f>
        <v>"#eddfca"</v>
      </c>
      <c r="I198" s="149" t="str">
        <f>C198</f>
        <v>"#eddfca"</v>
      </c>
      <c r="J198" s="38" t="str">
        <f t="shared" ref="J198:J199" si="217">C198</f>
        <v>"#eddfca"</v>
      </c>
      <c r="U198" s="44"/>
      <c r="V198" s="44"/>
      <c r="X198" s="44"/>
      <c r="Y198" s="44"/>
      <c r="AA198" s="2" t="s">
        <v>6</v>
      </c>
      <c r="AB198" s="2" t="str">
        <f t="shared" si="207"/>
        <v>-</v>
      </c>
      <c r="AC198" s="2" t="s">
        <v>31</v>
      </c>
      <c r="AD198" s="2" t="str">
        <f t="shared" si="208"/>
        <v>_</v>
      </c>
      <c r="AE198" s="2" t="s">
        <v>13</v>
      </c>
      <c r="AF198" s="2" t="str">
        <f t="shared" si="209"/>
        <v>_</v>
      </c>
      <c r="AG198" s="2" t="s">
        <v>22</v>
      </c>
    </row>
    <row r="199" spans="2:33" x14ac:dyDescent="0.25">
      <c r="B199" s="2" t="str">
        <f t="shared" si="210"/>
        <v>@color-service_line_paved_or_uk</v>
      </c>
      <c r="C199" s="71" t="s">
        <v>227</v>
      </c>
      <c r="D199" s="38" t="str">
        <f t="shared" si="216"/>
        <v>"#ffffff"</v>
      </c>
      <c r="I199" s="38" t="str">
        <f>C199</f>
        <v>"#ffffff"</v>
      </c>
      <c r="J199" s="38" t="str">
        <f t="shared" si="217"/>
        <v>"#ffffff"</v>
      </c>
      <c r="U199" s="44"/>
      <c r="V199" s="44"/>
      <c r="X199" s="44"/>
      <c r="Y199" s="44"/>
      <c r="AA199" s="2" t="s">
        <v>6</v>
      </c>
      <c r="AB199" s="2" t="str">
        <f t="shared" si="207"/>
        <v>-</v>
      </c>
      <c r="AC199" s="2" t="s">
        <v>31</v>
      </c>
      <c r="AD199" s="2" t="str">
        <f t="shared" si="208"/>
        <v>_</v>
      </c>
      <c r="AE199" s="2" t="s">
        <v>13</v>
      </c>
      <c r="AF199" s="2" t="str">
        <f t="shared" si="209"/>
        <v>_</v>
      </c>
      <c r="AG199" s="2" t="s">
        <v>25</v>
      </c>
    </row>
    <row r="200" spans="2:33" x14ac:dyDescent="0.25">
      <c r="B200" s="2"/>
      <c r="AB200" s="28" t="str">
        <f t="shared" si="163"/>
        <v/>
      </c>
      <c r="AD200" s="28" t="str">
        <f t="shared" si="170"/>
        <v/>
      </c>
      <c r="AF200" s="28" t="str">
        <f t="shared" si="171"/>
        <v/>
      </c>
    </row>
    <row r="201" spans="2:33" x14ac:dyDescent="0.25">
      <c r="B201" s="2" t="str">
        <f t="shared" ref="B201" si="218">_xlfn.CONCAT("@",AA201,AB201,AC201,AD201,AE201,AF201,AG201)</f>
        <v>@color-minor_case_unpaved_farzoom</v>
      </c>
      <c r="C201" s="139" t="s">
        <v>232</v>
      </c>
      <c r="D201" s="140" t="s">
        <v>236</v>
      </c>
      <c r="F201" s="140" t="s">
        <v>236</v>
      </c>
      <c r="G201" s="139" t="s">
        <v>232</v>
      </c>
      <c r="I201" s="160" t="str">
        <f t="shared" ref="I201:J204" si="219">C201</f>
        <v>"#b99346"</v>
      </c>
      <c r="J201" s="155" t="str">
        <f t="shared" si="219"/>
        <v>"#644507"</v>
      </c>
      <c r="U201" s="44"/>
      <c r="V201" s="44"/>
      <c r="X201" s="44"/>
      <c r="Y201" s="44"/>
      <c r="AA201" s="2" t="s">
        <v>6</v>
      </c>
      <c r="AB201" s="2" t="str">
        <f t="shared" ref="AB201" si="220">IF(NOT(ISBLANK(AC201)),"-","")</f>
        <v>-</v>
      </c>
      <c r="AC201" s="2" t="s">
        <v>32</v>
      </c>
      <c r="AD201" s="2" t="str">
        <f t="shared" ref="AD201" si="221">IF(NOT(ISBLANK(AE201)),"_","")</f>
        <v>_</v>
      </c>
      <c r="AE201" s="2" t="s">
        <v>17</v>
      </c>
      <c r="AF201" s="2" t="str">
        <f t="shared" ref="AF201" si="222">IF(NOT(ISBLANK(AG201)),"_","")</f>
        <v>_</v>
      </c>
      <c r="AG201" s="2" t="s">
        <v>235</v>
      </c>
    </row>
    <row r="202" spans="2:33" x14ac:dyDescent="0.25">
      <c r="B202" s="2" t="str">
        <f t="shared" ref="B202:B205" si="223">_xlfn.CONCAT("@",AA202,AB202,AC202,AD202,AE202,AF202,AG202)</f>
        <v>@color-minor_case_unpaved_default</v>
      </c>
      <c r="C202" s="140" t="s">
        <v>236</v>
      </c>
      <c r="D202" s="140" t="s">
        <v>236</v>
      </c>
      <c r="F202" s="72" t="s">
        <v>217</v>
      </c>
      <c r="I202" s="155" t="str">
        <f t="shared" si="219"/>
        <v>"#644507"</v>
      </c>
      <c r="J202" s="155" t="str">
        <f t="shared" si="219"/>
        <v>"#644507"</v>
      </c>
      <c r="U202" s="44"/>
      <c r="V202" s="44"/>
      <c r="X202" s="44"/>
      <c r="Y202" s="44"/>
      <c r="AA202" s="2" t="s">
        <v>6</v>
      </c>
      <c r="AB202" s="2" t="str">
        <f t="shared" si="163"/>
        <v>-</v>
      </c>
      <c r="AC202" s="2" t="s">
        <v>32</v>
      </c>
      <c r="AD202" s="2" t="str">
        <f t="shared" si="170"/>
        <v>_</v>
      </c>
      <c r="AE202" s="2" t="s">
        <v>17</v>
      </c>
      <c r="AF202" s="2" t="str">
        <f t="shared" si="171"/>
        <v>_</v>
      </c>
      <c r="AG202" s="2" t="s">
        <v>270</v>
      </c>
    </row>
    <row r="203" spans="2:33" x14ac:dyDescent="0.25">
      <c r="B203" s="2" t="str">
        <f t="shared" ref="B203" si="224">_xlfn.CONCAT("@",AA203,AB203,AC203,AD203,AE203,AF203,AG203)</f>
        <v>@color-minor_case_paved_or_uk_farzoom</v>
      </c>
      <c r="C203" s="142" t="s">
        <v>233</v>
      </c>
      <c r="D203" s="72" t="s">
        <v>217</v>
      </c>
      <c r="F203" s="142" t="s">
        <v>233</v>
      </c>
      <c r="G203" s="142" t="s">
        <v>233</v>
      </c>
      <c r="I203" s="161" t="str">
        <f t="shared" si="219"/>
        <v>"#808080"</v>
      </c>
      <c r="J203" s="37" t="str">
        <f t="shared" si="219"/>
        <v>"#000000"</v>
      </c>
      <c r="U203" s="44"/>
      <c r="V203" s="44"/>
      <c r="X203" s="44"/>
      <c r="Y203" s="44"/>
      <c r="AA203" s="2" t="s">
        <v>6</v>
      </c>
      <c r="AB203" s="2" t="str">
        <f t="shared" ref="AB203" si="225">IF(NOT(ISBLANK(AC203)),"-","")</f>
        <v>-</v>
      </c>
      <c r="AC203" s="2" t="s">
        <v>32</v>
      </c>
      <c r="AD203" s="2" t="str">
        <f t="shared" ref="AD203" si="226">IF(NOT(ISBLANK(AE203)),"_","")</f>
        <v>_</v>
      </c>
      <c r="AE203" s="2" t="s">
        <v>17</v>
      </c>
      <c r="AF203" s="2" t="str">
        <f t="shared" ref="AF203" si="227">IF(NOT(ISBLANK(AG203)),"_","")</f>
        <v>_</v>
      </c>
      <c r="AG203" s="2" t="s">
        <v>234</v>
      </c>
    </row>
    <row r="204" spans="2:33" x14ac:dyDescent="0.25">
      <c r="B204" s="2" t="str">
        <f t="shared" si="223"/>
        <v>@color-minor_case_paved_or_uk_default</v>
      </c>
      <c r="C204" s="143" t="s">
        <v>221</v>
      </c>
      <c r="D204" s="72" t="s">
        <v>217</v>
      </c>
      <c r="F204" s="72" t="s">
        <v>217</v>
      </c>
      <c r="I204" s="162" t="str">
        <f t="shared" si="219"/>
        <v>"#404040"</v>
      </c>
      <c r="J204" s="37" t="str">
        <f t="shared" si="219"/>
        <v>"#000000"</v>
      </c>
      <c r="U204" s="44"/>
      <c r="V204" s="44"/>
      <c r="X204" s="44"/>
      <c r="Y204" s="44"/>
      <c r="AA204" s="2" t="s">
        <v>6</v>
      </c>
      <c r="AB204" s="2" t="str">
        <f t="shared" si="163"/>
        <v>-</v>
      </c>
      <c r="AC204" s="2" t="s">
        <v>32</v>
      </c>
      <c r="AD204" s="2" t="str">
        <f t="shared" si="170"/>
        <v>_</v>
      </c>
      <c r="AE204" s="2" t="s">
        <v>17</v>
      </c>
      <c r="AF204" s="2" t="str">
        <f t="shared" si="171"/>
        <v>_</v>
      </c>
      <c r="AG204" s="2" t="s">
        <v>271</v>
      </c>
    </row>
    <row r="205" spans="2:33" x14ac:dyDescent="0.25">
      <c r="B205" s="2" t="str">
        <f t="shared" si="223"/>
        <v>@color-minor_line_default</v>
      </c>
      <c r="C205" s="44"/>
      <c r="D205" s="44"/>
      <c r="F205" s="44"/>
      <c r="G205" s="44"/>
      <c r="I205" s="44"/>
      <c r="J205" s="44"/>
      <c r="L205" s="44"/>
      <c r="M205" s="44"/>
      <c r="U205" s="71" t="s">
        <v>227</v>
      </c>
      <c r="V205" s="38" t="str">
        <f>U205</f>
        <v>"#ffffff"</v>
      </c>
      <c r="AA205" s="2" t="s">
        <v>6</v>
      </c>
      <c r="AB205" s="2" t="str">
        <f t="shared" ref="AB205" si="228">IF(NOT(ISBLANK(AC205)),"-","")</f>
        <v>-</v>
      </c>
      <c r="AC205" s="2" t="s">
        <v>32</v>
      </c>
      <c r="AD205" s="2" t="str">
        <f t="shared" ref="AD205" si="229">IF(NOT(ISBLANK(AE205)),"_","")</f>
        <v>_</v>
      </c>
      <c r="AE205" s="2" t="s">
        <v>13</v>
      </c>
      <c r="AF205" s="2" t="str">
        <f t="shared" ref="AF205" si="230">IF(NOT(ISBLANK(AG205)),"_","")</f>
        <v>_</v>
      </c>
      <c r="AG205" s="2" t="s">
        <v>269</v>
      </c>
    </row>
    <row r="206" spans="2:33" x14ac:dyDescent="0.25">
      <c r="B206" s="2" t="str">
        <f t="shared" si="161"/>
        <v>@color-minor_line_unpaved</v>
      </c>
      <c r="C206" s="148" t="s">
        <v>226</v>
      </c>
      <c r="D206" s="38" t="str">
        <f t="shared" ref="D206:D207" si="231">C206</f>
        <v>"#eddfca"</v>
      </c>
      <c r="I206" s="149" t="str">
        <f>C206</f>
        <v>"#eddfca"</v>
      </c>
      <c r="J206" s="38" t="str">
        <f t="shared" ref="J206:J207" si="232">C206</f>
        <v>"#eddfca"</v>
      </c>
      <c r="U206" s="44"/>
      <c r="V206" s="44"/>
      <c r="X206" s="44"/>
      <c r="Y206" s="44"/>
      <c r="AA206" s="2" t="s">
        <v>6</v>
      </c>
      <c r="AB206" s="2" t="str">
        <f t="shared" si="163"/>
        <v>-</v>
      </c>
      <c r="AC206" s="2" t="s">
        <v>32</v>
      </c>
      <c r="AD206" s="2" t="str">
        <f t="shared" si="170"/>
        <v>_</v>
      </c>
      <c r="AE206" s="2" t="s">
        <v>13</v>
      </c>
      <c r="AF206" s="2" t="str">
        <f t="shared" si="171"/>
        <v>_</v>
      </c>
      <c r="AG206" s="2" t="s">
        <v>22</v>
      </c>
    </row>
    <row r="207" spans="2:33" x14ac:dyDescent="0.25">
      <c r="B207" s="2" t="str">
        <f t="shared" si="161"/>
        <v>@color-minor_line_paved_or_uk</v>
      </c>
      <c r="C207" s="71" t="s">
        <v>227</v>
      </c>
      <c r="D207" s="38" t="str">
        <f t="shared" si="231"/>
        <v>"#ffffff"</v>
      </c>
      <c r="I207" s="38" t="str">
        <f>C207</f>
        <v>"#ffffff"</v>
      </c>
      <c r="J207" s="38" t="str">
        <f t="shared" si="232"/>
        <v>"#ffffff"</v>
      </c>
      <c r="U207" s="44"/>
      <c r="V207" s="44"/>
      <c r="X207" s="44"/>
      <c r="Y207" s="44"/>
      <c r="AA207" s="2" t="s">
        <v>6</v>
      </c>
      <c r="AB207" s="2" t="str">
        <f t="shared" si="163"/>
        <v>-</v>
      </c>
      <c r="AC207" s="2" t="s">
        <v>32</v>
      </c>
      <c r="AD207" s="2" t="str">
        <f t="shared" si="170"/>
        <v>_</v>
      </c>
      <c r="AE207" s="2" t="s">
        <v>13</v>
      </c>
      <c r="AF207" s="2" t="str">
        <f t="shared" si="171"/>
        <v>_</v>
      </c>
      <c r="AG207" s="2" t="s">
        <v>25</v>
      </c>
    </row>
    <row r="208" spans="2:33" x14ac:dyDescent="0.25">
      <c r="B208" s="2"/>
      <c r="AB208" s="28" t="str">
        <f t="shared" si="163"/>
        <v/>
      </c>
      <c r="AD208" s="28" t="str">
        <f t="shared" si="170"/>
        <v/>
      </c>
      <c r="AF208" s="28" t="str">
        <f t="shared" si="171"/>
        <v/>
      </c>
    </row>
    <row r="209" spans="1:33" s="2" customFormat="1" x14ac:dyDescent="0.25">
      <c r="A209" s="3" t="s">
        <v>229</v>
      </c>
      <c r="B209" s="3"/>
      <c r="C209" s="27"/>
      <c r="D209" s="6"/>
      <c r="E209" s="7"/>
      <c r="F209" s="6"/>
      <c r="G209" s="6"/>
      <c r="H209" s="7"/>
      <c r="I209" s="6"/>
      <c r="J209" s="6"/>
      <c r="K209" s="7"/>
      <c r="L209" s="6"/>
      <c r="M209" s="6"/>
      <c r="N209" s="7"/>
      <c r="O209" s="6"/>
      <c r="P209" s="6"/>
      <c r="Q209" s="7"/>
      <c r="R209" s="6"/>
      <c r="S209" s="6"/>
      <c r="T209" s="7"/>
      <c r="U209" s="6"/>
      <c r="V209" s="6"/>
      <c r="W209" s="7"/>
      <c r="X209" s="6"/>
      <c r="Y209" s="6"/>
      <c r="AA209" s="4"/>
      <c r="AB209" s="4" t="str">
        <f t="shared" si="163"/>
        <v/>
      </c>
      <c r="AC209" s="4"/>
      <c r="AD209" s="4" t="str">
        <f t="shared" si="170"/>
        <v/>
      </c>
      <c r="AE209" s="4"/>
      <c r="AF209" s="4" t="str">
        <f t="shared" si="171"/>
        <v/>
      </c>
      <c r="AG209" s="4"/>
    </row>
    <row r="210" spans="1:33" x14ac:dyDescent="0.25">
      <c r="B210" s="2" t="str">
        <f t="shared" si="161"/>
        <v>@color-motorway_link_line</v>
      </c>
      <c r="C210" s="135" t="s">
        <v>216</v>
      </c>
      <c r="D210" s="136" t="s">
        <v>218</v>
      </c>
      <c r="AA210" s="2" t="s">
        <v>6</v>
      </c>
      <c r="AB210" s="2" t="str">
        <f t="shared" si="163"/>
        <v>-</v>
      </c>
      <c r="AC210" s="2" t="s">
        <v>34</v>
      </c>
      <c r="AD210" s="2" t="str">
        <f t="shared" si="170"/>
        <v>_</v>
      </c>
      <c r="AE210" s="2" t="s">
        <v>13</v>
      </c>
      <c r="AF210" s="2" t="str">
        <f t="shared" si="171"/>
        <v/>
      </c>
      <c r="AG210" s="2"/>
    </row>
    <row r="211" spans="1:33" x14ac:dyDescent="0.25">
      <c r="B211" s="2" t="str">
        <f t="shared" si="161"/>
        <v>@color-motorway_link_case</v>
      </c>
      <c r="C211" s="132" t="s">
        <v>215</v>
      </c>
      <c r="D211" s="163" t="s">
        <v>18</v>
      </c>
      <c r="F211" s="72" t="s">
        <v>217</v>
      </c>
      <c r="AA211" s="2" t="s">
        <v>6</v>
      </c>
      <c r="AB211" s="2" t="str">
        <f t="shared" si="163"/>
        <v>-</v>
      </c>
      <c r="AC211" s="2" t="s">
        <v>34</v>
      </c>
      <c r="AD211" s="2" t="str">
        <f t="shared" si="170"/>
        <v>_</v>
      </c>
      <c r="AE211" s="2" t="s">
        <v>17</v>
      </c>
      <c r="AF211" s="2" t="str">
        <f t="shared" si="171"/>
        <v/>
      </c>
      <c r="AG211" s="2"/>
    </row>
    <row r="212" spans="1:33" x14ac:dyDescent="0.25">
      <c r="B212" s="2" t="str">
        <f t="shared" si="161"/>
        <v>@color-trunk_primary_secondary_tertiary_link_line</v>
      </c>
      <c r="C212" s="146" t="s">
        <v>222</v>
      </c>
      <c r="D212" s="136" t="s">
        <v>218</v>
      </c>
      <c r="AA212" s="2" t="s">
        <v>6</v>
      </c>
      <c r="AB212" s="2" t="str">
        <f t="shared" si="163"/>
        <v>-</v>
      </c>
      <c r="AC212" s="2" t="s">
        <v>33</v>
      </c>
      <c r="AD212" s="2" t="str">
        <f t="shared" si="170"/>
        <v>_</v>
      </c>
      <c r="AE212" s="2" t="s">
        <v>13</v>
      </c>
      <c r="AF212" s="2" t="str">
        <f t="shared" si="171"/>
        <v/>
      </c>
      <c r="AG212" s="2"/>
    </row>
    <row r="213" spans="1:33" x14ac:dyDescent="0.25">
      <c r="B213" s="2" t="str">
        <f t="shared" si="161"/>
        <v>@color-trunk_primary_secondary_tertiary_link_line_bicycle_no</v>
      </c>
      <c r="C213" s="135" t="s">
        <v>216</v>
      </c>
      <c r="D213" s="147" t="s">
        <v>223</v>
      </c>
      <c r="AA213" s="2" t="s">
        <v>6</v>
      </c>
      <c r="AB213" s="2" t="str">
        <f t="shared" si="163"/>
        <v>-</v>
      </c>
      <c r="AC213" s="2" t="s">
        <v>33</v>
      </c>
      <c r="AD213" s="2" t="str">
        <f t="shared" si="170"/>
        <v>_</v>
      </c>
      <c r="AE213" s="2" t="s">
        <v>13</v>
      </c>
      <c r="AF213" s="2" t="str">
        <f t="shared" si="171"/>
        <v>_</v>
      </c>
      <c r="AG213" s="2" t="s">
        <v>24</v>
      </c>
    </row>
    <row r="214" spans="1:33" x14ac:dyDescent="0.25">
      <c r="B214" s="2" t="str">
        <f t="shared" si="161"/>
        <v>@color-trunk_primary_secondary_tertiary_link_line_unpaved</v>
      </c>
      <c r="I214" s="149" t="s">
        <v>226</v>
      </c>
      <c r="AA214" s="2" t="s">
        <v>6</v>
      </c>
      <c r="AB214" s="2" t="str">
        <f t="shared" si="163"/>
        <v>-</v>
      </c>
      <c r="AC214" s="2" t="s">
        <v>33</v>
      </c>
      <c r="AD214" s="2" t="str">
        <f t="shared" si="170"/>
        <v>_</v>
      </c>
      <c r="AE214" s="2" t="s">
        <v>13</v>
      </c>
      <c r="AF214" s="2" t="str">
        <f t="shared" si="171"/>
        <v>_</v>
      </c>
      <c r="AG214" s="2" t="s">
        <v>22</v>
      </c>
    </row>
    <row r="215" spans="1:33" x14ac:dyDescent="0.25">
      <c r="B215" s="2" t="str">
        <f t="shared" si="161"/>
        <v>@color-trunk_primary_secondary_tertiary_link_line_paved_or_uk</v>
      </c>
      <c r="I215" s="38" t="s">
        <v>227</v>
      </c>
      <c r="AA215" s="2" t="s">
        <v>6</v>
      </c>
      <c r="AB215" s="2" t="str">
        <f t="shared" si="163"/>
        <v>-</v>
      </c>
      <c r="AC215" s="2" t="s">
        <v>33</v>
      </c>
      <c r="AD215" s="2" t="str">
        <f t="shared" si="170"/>
        <v>_</v>
      </c>
      <c r="AE215" s="2" t="s">
        <v>13</v>
      </c>
      <c r="AF215" s="2" t="str">
        <f t="shared" si="171"/>
        <v>_</v>
      </c>
      <c r="AG215" s="2" t="s">
        <v>25</v>
      </c>
    </row>
    <row r="216" spans="1:33" x14ac:dyDescent="0.25">
      <c r="B216" s="2" t="str">
        <f t="shared" si="161"/>
        <v>@</v>
      </c>
    </row>
    <row r="217" spans="1:33" x14ac:dyDescent="0.25">
      <c r="B217" s="2" t="str">
        <f t="shared" si="161"/>
        <v>@</v>
      </c>
    </row>
    <row r="218" spans="1:33" x14ac:dyDescent="0.25">
      <c r="B218" s="2" t="str">
        <f t="shared" si="161"/>
        <v>@</v>
      </c>
    </row>
    <row r="219" spans="1:33" x14ac:dyDescent="0.25">
      <c r="B219" s="2" t="str">
        <f t="shared" si="161"/>
        <v>@</v>
      </c>
    </row>
    <row r="220" spans="1:33" x14ac:dyDescent="0.25">
      <c r="B220" s="2" t="str">
        <f t="shared" si="161"/>
        <v>@</v>
      </c>
    </row>
    <row r="221" spans="1:33" x14ac:dyDescent="0.25">
      <c r="B221" s="2" t="str">
        <f t="shared" si="161"/>
        <v>@</v>
      </c>
    </row>
    <row r="222" spans="1:33" x14ac:dyDescent="0.25">
      <c r="B222" s="2" t="str">
        <f t="shared" si="161"/>
        <v>@</v>
      </c>
    </row>
    <row r="223" spans="1:33" x14ac:dyDescent="0.25">
      <c r="B223" s="2" t="str">
        <f t="shared" si="161"/>
        <v>@</v>
      </c>
    </row>
    <row r="224" spans="1:33" x14ac:dyDescent="0.25">
      <c r="B224" s="2" t="str">
        <f t="shared" si="161"/>
        <v>@</v>
      </c>
    </row>
    <row r="225" spans="2:2" x14ac:dyDescent="0.25">
      <c r="B225" s="2" t="str">
        <f t="shared" si="161"/>
        <v>@</v>
      </c>
    </row>
    <row r="226" spans="2:2" x14ac:dyDescent="0.25">
      <c r="B226" s="2" t="str">
        <f t="shared" si="161"/>
        <v>@</v>
      </c>
    </row>
    <row r="227" spans="2:2" x14ac:dyDescent="0.25">
      <c r="B227" s="2" t="str">
        <f t="shared" si="161"/>
        <v>@</v>
      </c>
    </row>
    <row r="228" spans="2:2" x14ac:dyDescent="0.25">
      <c r="B228" s="2" t="str">
        <f t="shared" si="161"/>
        <v>@</v>
      </c>
    </row>
    <row r="229" spans="2:2" x14ac:dyDescent="0.25">
      <c r="B229" s="2" t="str">
        <f t="shared" si="161"/>
        <v>@</v>
      </c>
    </row>
    <row r="230" spans="2:2" x14ac:dyDescent="0.25">
      <c r="B230" s="2" t="str">
        <f t="shared" si="161"/>
        <v>@</v>
      </c>
    </row>
    <row r="231" spans="2:2" x14ac:dyDescent="0.25">
      <c r="B231" s="2" t="str">
        <f t="shared" si="161"/>
        <v>@</v>
      </c>
    </row>
    <row r="232" spans="2:2" x14ac:dyDescent="0.25">
      <c r="B232" s="2" t="str">
        <f t="shared" si="161"/>
        <v>@</v>
      </c>
    </row>
    <row r="233" spans="2:2" x14ac:dyDescent="0.25">
      <c r="B233" s="2" t="str">
        <f t="shared" si="161"/>
        <v>@</v>
      </c>
    </row>
    <row r="234" spans="2:2" x14ac:dyDescent="0.25">
      <c r="B234" s="2" t="str">
        <f t="shared" si="161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2:C63 C64:C77 M62:Y62 M63:Y63 M64:Y64 M66:Y66 M67:Y67 M68:Y68 M70:Y70 M71:Y71 M72:Y72 M74:Y74 M75:Y75 M76:Y76 D62:L7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9" t="s">
        <v>107</v>
      </c>
      <c r="C3" s="1"/>
      <c r="D3" s="5"/>
      <c r="E3" s="8" t="s">
        <v>108</v>
      </c>
      <c r="F3" s="1"/>
      <c r="G3" s="10"/>
      <c r="H3" s="9" t="s">
        <v>23</v>
      </c>
      <c r="I3" s="1"/>
      <c r="J3" s="5"/>
      <c r="K3" s="8" t="s">
        <v>109</v>
      </c>
      <c r="L3" s="1"/>
      <c r="M3" s="10"/>
      <c r="N3" s="9" t="s">
        <v>110</v>
      </c>
      <c r="O3" s="1"/>
      <c r="P3" s="5"/>
      <c r="Q3" s="8" t="s">
        <v>111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3" t="s">
        <v>120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83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88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98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98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113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115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118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125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84</v>
      </c>
      <c r="E8" s="15" t="str">
        <f t="shared" si="7"/>
        <v>@case_width-path_narrow-z14-(mtb-hc)</v>
      </c>
      <c r="F8" s="7" t="str">
        <f t="shared" si="0"/>
        <v>2.5</v>
      </c>
      <c r="G8" s="10" t="s">
        <v>93</v>
      </c>
      <c r="H8" s="14" t="str">
        <f t="shared" si="8"/>
        <v>@case_width-path_narrow-z14-(gr)</v>
      </c>
      <c r="I8" s="7" t="str">
        <f t="shared" si="9"/>
        <v>1.0</v>
      </c>
      <c r="J8" s="5" t="s">
        <v>83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83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85</v>
      </c>
      <c r="E9" s="15" t="str">
        <f t="shared" si="7"/>
        <v>@case_width-path_narrow-z16-(mtb-hc)</v>
      </c>
      <c r="F9" s="7" t="str">
        <f t="shared" si="0"/>
        <v>3.0</v>
      </c>
      <c r="G9" s="10" t="s">
        <v>91</v>
      </c>
      <c r="H9" s="14" t="str">
        <f t="shared" si="8"/>
        <v>@case_width-path_narrow-z16-(gr)</v>
      </c>
      <c r="I9" s="7" t="str">
        <f t="shared" si="9"/>
        <v>1.0</v>
      </c>
      <c r="J9" s="5" t="s">
        <v>83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126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86</v>
      </c>
      <c r="E10" s="15" t="str">
        <f t="shared" si="7"/>
        <v>@case_width-path_narrow-z18-(mtb-hc)</v>
      </c>
      <c r="F10" s="7" t="str">
        <f t="shared" si="0"/>
        <v>7.5</v>
      </c>
      <c r="G10" s="10" t="s">
        <v>94</v>
      </c>
      <c r="H10" s="14" t="str">
        <f t="shared" si="8"/>
        <v>@case_width-path_narrow-z18-(gr)</v>
      </c>
      <c r="I10" s="7" t="str">
        <f t="shared" si="9"/>
        <v>1.5</v>
      </c>
      <c r="J10" s="5" t="s">
        <v>87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102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87</v>
      </c>
      <c r="E11" s="15" t="str">
        <f t="shared" si="7"/>
        <v>@case_width-path_medium-z11-(mtb-hc)</v>
      </c>
      <c r="F11" s="7" t="str">
        <f t="shared" si="0"/>
        <v>3.0</v>
      </c>
      <c r="G11" s="10" t="s">
        <v>91</v>
      </c>
      <c r="H11" s="14" t="str">
        <f t="shared" si="8"/>
        <v>@case_width-path_medium-z11-(gr)</v>
      </c>
      <c r="I11" s="7" t="str">
        <f t="shared" si="9"/>
        <v>0.8</v>
      </c>
      <c r="J11" s="5" t="s">
        <v>99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98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114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117</v>
      </c>
      <c r="H12" s="14" t="str">
        <f t="shared" si="8"/>
        <v>@case_width-path_medium-z12-(gr)</v>
      </c>
      <c r="I12" s="7" t="str">
        <f t="shared" si="9"/>
        <v>0.9</v>
      </c>
      <c r="J12" s="5" t="s">
        <v>119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125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88</v>
      </c>
      <c r="E13" s="15" t="str">
        <f t="shared" si="7"/>
        <v>@case_width-path_medium-z14-(mtb-hc)</v>
      </c>
      <c r="F13" s="7" t="str">
        <f t="shared" si="0"/>
        <v>4.0</v>
      </c>
      <c r="G13" s="10" t="s">
        <v>95</v>
      </c>
      <c r="H13" s="14" t="str">
        <f t="shared" si="8"/>
        <v>@case_width-path_medium-z14-(gr)</v>
      </c>
      <c r="I13" s="7" t="str">
        <f t="shared" si="9"/>
        <v>1.2</v>
      </c>
      <c r="J13" s="5" t="s">
        <v>100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83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89</v>
      </c>
      <c r="E14" s="15" t="str">
        <f t="shared" si="7"/>
        <v>@case_width-path_medium-z16-(mtb-hc)</v>
      </c>
      <c r="F14" s="7" t="str">
        <f t="shared" si="0"/>
        <v>6.0</v>
      </c>
      <c r="G14" s="10" t="s">
        <v>89</v>
      </c>
      <c r="H14" s="14" t="str">
        <f t="shared" si="8"/>
        <v>@case_width-path_medium-z16-(gr)</v>
      </c>
      <c r="I14" s="7" t="str">
        <f t="shared" si="9"/>
        <v>1.6</v>
      </c>
      <c r="J14" s="5" t="s">
        <v>101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126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90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96</v>
      </c>
      <c r="H15" s="14" t="str">
        <f t="shared" si="8"/>
        <v>@case_width-path_medium-z18-(gr)</v>
      </c>
      <c r="I15" s="7" t="str">
        <f t="shared" si="9"/>
        <v>2.4</v>
      </c>
      <c r="J15" s="5" t="s">
        <v>102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102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88</v>
      </c>
      <c r="E16" s="15" t="str">
        <f t="shared" si="7"/>
        <v>@case_width-path_wide-z11-(mtb-hc)</v>
      </c>
      <c r="F16" s="7" t="str">
        <f t="shared" si="0"/>
        <v>4.0</v>
      </c>
      <c r="G16" s="10" t="s">
        <v>95</v>
      </c>
      <c r="H16" s="14" t="str">
        <f t="shared" si="8"/>
        <v>@case_width-path_wide-z11-(gr)</v>
      </c>
      <c r="I16" s="7" t="str">
        <f t="shared" si="9"/>
        <v>1.5</v>
      </c>
      <c r="J16" s="5" t="s">
        <v>87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98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102</v>
      </c>
      <c r="E17" s="15" t="str">
        <f t="shared" si="7"/>
        <v>@case_width-path_wide-z12-(mtb-hc)</v>
      </c>
      <c r="F17" s="7" t="str">
        <f t="shared" si="0"/>
        <v>4.8</v>
      </c>
      <c r="G17" s="10" t="s">
        <v>116</v>
      </c>
      <c r="H17" s="14" t="str">
        <f t="shared" si="8"/>
        <v>@case_width-path_wide-z12-(gr)</v>
      </c>
      <c r="I17" s="7" t="str">
        <f t="shared" si="9"/>
        <v>1.5</v>
      </c>
      <c r="J17" s="5" t="s">
        <v>87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125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91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89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101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83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90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90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102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126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92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97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103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102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3" t="s">
        <v>121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127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98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127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98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123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125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123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125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118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100</v>
      </c>
      <c r="H24" s="14" t="str">
        <f t="shared" si="30"/>
        <v>@line_width-path_narrow-z14-(gr)</v>
      </c>
      <c r="I24" s="7" t="str">
        <f t="shared" si="31"/>
        <v>0.5</v>
      </c>
      <c r="J24" s="5" t="s">
        <v>98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83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100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87</v>
      </c>
      <c r="H25" s="14" t="str">
        <f t="shared" si="30"/>
        <v>@line_width-path_narrow-z16-(gr)</v>
      </c>
      <c r="I25" s="7" t="str">
        <f t="shared" si="31"/>
        <v>1.0</v>
      </c>
      <c r="J25" s="5" t="s">
        <v>83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126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124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91</v>
      </c>
      <c r="H26" s="14" t="str">
        <f t="shared" si="30"/>
        <v>@line_width-path_narrow-z18-(gr)</v>
      </c>
      <c r="I26" s="7" t="str">
        <f t="shared" si="31"/>
        <v>1.0</v>
      </c>
      <c r="J26" s="5" t="s">
        <v>83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102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98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118</v>
      </c>
      <c r="H27" s="14" t="str">
        <f t="shared" si="30"/>
        <v>@line_width-path_medium-z11-(gr)</v>
      </c>
      <c r="I27" s="7" t="str">
        <f t="shared" si="31"/>
        <v>0.5</v>
      </c>
      <c r="J27" s="5" t="s">
        <v>98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125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119</v>
      </c>
      <c r="H28" s="14" t="str">
        <f t="shared" si="30"/>
        <v>@line_width-path_medium-z12-(gr)</v>
      </c>
      <c r="I28" s="7" t="str">
        <f t="shared" si="31"/>
        <v>0.6</v>
      </c>
      <c r="J28" s="5" t="s">
        <v>125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83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87</v>
      </c>
      <c r="H29" s="14" t="str">
        <f t="shared" si="30"/>
        <v>@line_width-path_medium-z14-(gr)</v>
      </c>
      <c r="I29" s="7" t="str">
        <f t="shared" si="31"/>
        <v>0.8</v>
      </c>
      <c r="J29" s="5" t="s">
        <v>99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126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129</v>
      </c>
      <c r="H30" s="14" t="str">
        <f t="shared" si="30"/>
        <v>@line_width-path_medium-z16-(gr)</v>
      </c>
      <c r="I30" s="7" t="str">
        <f t="shared" si="31"/>
        <v>1.2</v>
      </c>
      <c r="J30" s="5" t="s">
        <v>100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85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130</v>
      </c>
      <c r="H31" s="14" t="str">
        <f t="shared" si="30"/>
        <v>@line_width-path_medium-z18-(gr)</v>
      </c>
      <c r="I31" s="7" t="str">
        <f t="shared" si="31"/>
        <v>1.6</v>
      </c>
      <c r="J31" s="5" t="s">
        <v>101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118</v>
      </c>
      <c r="E32" s="15" t="str">
        <f t="shared" si="29"/>
        <v>@line_width-path_wide-z11-(mtb-hc)</v>
      </c>
      <c r="F32" s="7" t="str">
        <f t="shared" si="21"/>
        <v>1.5</v>
      </c>
      <c r="G32" s="10" t="s">
        <v>87</v>
      </c>
      <c r="H32" s="14" t="str">
        <f t="shared" si="30"/>
        <v>@line_width-path_wide-z11-(gr)</v>
      </c>
      <c r="I32" s="7" t="str">
        <f t="shared" si="31"/>
        <v>1.0</v>
      </c>
      <c r="J32" s="5" t="s">
        <v>83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98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83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126</v>
      </c>
      <c r="H33" s="14" t="str">
        <f t="shared" si="30"/>
        <v>@line_width-path_wide-z12-(gr)</v>
      </c>
      <c r="I33" s="7" t="str">
        <f t="shared" si="31"/>
        <v>1.2</v>
      </c>
      <c r="J33" s="5" t="s">
        <v>100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125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114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129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87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83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128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131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101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126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89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132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102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102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3" t="s">
        <v>133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88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95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88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91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95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91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134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135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134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95</v>
      </c>
      <c r="E41" s="15" t="str">
        <f t="shared" si="53"/>
        <v>@case_width-track-z14-(mtb-hc)</v>
      </c>
      <c r="F41" s="7" t="str">
        <f t="shared" si="41"/>
        <v>6.0</v>
      </c>
      <c r="G41" s="10" t="s">
        <v>89</v>
      </c>
      <c r="H41" s="14" t="str">
        <f t="shared" si="54"/>
        <v>@case_width-track-z14-(gr)</v>
      </c>
      <c r="I41" s="7" t="str">
        <f t="shared" si="55"/>
        <v>4.0</v>
      </c>
      <c r="J41" s="5" t="s">
        <v>95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90</v>
      </c>
      <c r="E42" s="15" t="str">
        <f t="shared" si="53"/>
        <v>@case_width-track-z16-(mtb-hc)</v>
      </c>
      <c r="F42" s="7" t="str">
        <f t="shared" si="41"/>
        <v>13.5</v>
      </c>
      <c r="G42" s="10" t="s">
        <v>96</v>
      </c>
      <c r="H42" s="14" t="str">
        <f t="shared" si="54"/>
        <v>@case_width-track-z16-(gr)</v>
      </c>
      <c r="I42" s="7" t="str">
        <f t="shared" si="55"/>
        <v>9.0</v>
      </c>
      <c r="J42" s="5" t="s">
        <v>90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92</v>
      </c>
      <c r="E43" s="15" t="str">
        <f t="shared" si="53"/>
        <v>@case_width-track-z18-(mtb-hc)</v>
      </c>
      <c r="F43" s="7" t="str">
        <f t="shared" si="41"/>
        <v>22.5</v>
      </c>
      <c r="G43" s="10" t="s">
        <v>97</v>
      </c>
      <c r="H43" s="14" t="str">
        <f t="shared" si="54"/>
        <v>@case_width-track-z18-(gr)</v>
      </c>
      <c r="I43" s="7" t="str">
        <f t="shared" si="55"/>
        <v>15.0</v>
      </c>
      <c r="J43" s="5" t="s">
        <v>92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3" t="s">
        <v>136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98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84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99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125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87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119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119</v>
      </c>
      <c r="E47" s="15" t="str">
        <f t="shared" si="71"/>
        <v>@line_width-track-z12-(mtb-hc)</v>
      </c>
      <c r="F47" s="7" t="str">
        <f t="shared" si="62"/>
        <v>1.7</v>
      </c>
      <c r="G47" s="10" t="s">
        <v>114</v>
      </c>
      <c r="H47" s="14" t="str">
        <f t="shared" si="72"/>
        <v>@line_width-track-z12-(gr)</v>
      </c>
      <c r="I47" s="7" t="str">
        <f t="shared" si="73"/>
        <v>1.2</v>
      </c>
      <c r="J47" s="5" t="s">
        <v>100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84</v>
      </c>
      <c r="E48" s="15" t="str">
        <f t="shared" si="71"/>
        <v>@line_width-track-z14-(mtb-hc)</v>
      </c>
      <c r="F48" s="7" t="str">
        <f t="shared" si="62"/>
        <v>2.0</v>
      </c>
      <c r="G48" s="10" t="s">
        <v>88</v>
      </c>
      <c r="H48" s="14" t="str">
        <f t="shared" si="72"/>
        <v>@line_width-track-z14-(gr)</v>
      </c>
      <c r="I48" s="7" t="str">
        <f t="shared" si="73"/>
        <v>1.6</v>
      </c>
      <c r="J48" s="5" t="s">
        <v>101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85</v>
      </c>
      <c r="E49" s="15" t="str">
        <f t="shared" si="71"/>
        <v>@line_width-track-z16-(mtb-hc)</v>
      </c>
      <c r="F49" s="7" t="str">
        <f t="shared" si="62"/>
        <v>5.2</v>
      </c>
      <c r="G49" s="10" t="s">
        <v>130</v>
      </c>
      <c r="H49" s="14" t="str">
        <f t="shared" si="72"/>
        <v>@line_width-track-z16-(gr)</v>
      </c>
      <c r="I49" s="7" t="str">
        <f t="shared" si="73"/>
        <v>4.0</v>
      </c>
      <c r="J49" s="5" t="s">
        <v>95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137</v>
      </c>
      <c r="E50" s="15" t="str">
        <f t="shared" si="71"/>
        <v>@line_width-track-z18-(mtb-hc)</v>
      </c>
      <c r="F50" s="7" t="str">
        <f t="shared" si="62"/>
        <v>10.5</v>
      </c>
      <c r="G50" s="10" t="s">
        <v>138</v>
      </c>
      <c r="H50" s="14" t="str">
        <f t="shared" si="72"/>
        <v>@line_width-track-z18-(gr)</v>
      </c>
      <c r="I50" s="7" t="str">
        <f t="shared" si="73"/>
        <v>5.0</v>
      </c>
      <c r="J50" s="5" t="s">
        <v>86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3" t="s">
        <v>139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83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83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102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102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131</v>
      </c>
      <c r="E54" s="15" t="str">
        <f t="shared" si="89"/>
        <v>@case_width-motorway-z10-(mtb-hc)</v>
      </c>
      <c r="F54" s="7" t="str">
        <f t="shared" si="62"/>
        <v>4.5</v>
      </c>
      <c r="G54" s="10" t="s">
        <v>131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144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145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3" t="s">
        <v>146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98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98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87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93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91</v>
      </c>
      <c r="E59" s="15" t="str">
        <f t="shared" si="109"/>
        <v>@line_width-motorway-z12-(mtb-hc)</v>
      </c>
      <c r="F59" s="7" t="str">
        <f t="shared" si="62"/>
        <v>4.5</v>
      </c>
      <c r="G59" s="10" t="s">
        <v>131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95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137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148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149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3" t="s">
        <v>150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93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95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144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3" t="s">
        <v>151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98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88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117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152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148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71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3" t="s">
        <v>104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2025-12-22T14:30:22Z</dcterms:modified>
</cp:coreProperties>
</file>