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8F6BA953-B54C-459A-A8B1-21CEE9FCB095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2" i="5" l="1"/>
  <c r="AF12" i="5"/>
  <c r="AD12" i="5"/>
  <c r="AB12" i="5"/>
  <c r="B12" i="5"/>
  <c r="AF54" i="5"/>
  <c r="AH54" i="5"/>
  <c r="AD54" i="5"/>
  <c r="AB54" i="5"/>
  <c r="B54" i="5"/>
  <c r="AH53" i="5"/>
  <c r="AF53" i="5"/>
  <c r="AD53" i="5"/>
  <c r="AB53" i="5"/>
  <c r="B53" i="5"/>
  <c r="AH67" i="5"/>
  <c r="AF67" i="5"/>
  <c r="AD67" i="5"/>
  <c r="AB67" i="5"/>
  <c r="B67" i="5"/>
  <c r="AH154" i="5"/>
  <c r="AF154" i="5"/>
  <c r="AD154" i="5"/>
  <c r="AB154" i="5"/>
  <c r="AH155" i="5"/>
  <c r="AF155" i="5"/>
  <c r="AD155" i="5"/>
  <c r="AB155" i="5"/>
  <c r="B155" i="5"/>
  <c r="AH153" i="5"/>
  <c r="AF153" i="5"/>
  <c r="AD153" i="5"/>
  <c r="AB153" i="5"/>
  <c r="AH152" i="5"/>
  <c r="AF152" i="5"/>
  <c r="AD152" i="5"/>
  <c r="AB152" i="5"/>
  <c r="B152" i="5"/>
  <c r="AH206" i="5"/>
  <c r="AF206" i="5"/>
  <c r="AD206" i="5"/>
  <c r="AB206" i="5"/>
  <c r="B206" i="5"/>
  <c r="AH205" i="5"/>
  <c r="AF205" i="5"/>
  <c r="AD205" i="5"/>
  <c r="AB205" i="5"/>
  <c r="AH204" i="5"/>
  <c r="AF204" i="5"/>
  <c r="AD204" i="5"/>
  <c r="AB204" i="5"/>
  <c r="AH203" i="5"/>
  <c r="AF203" i="5"/>
  <c r="AD203" i="5"/>
  <c r="AB203" i="5"/>
  <c r="AF202" i="5"/>
  <c r="AD202" i="5"/>
  <c r="AB202" i="5"/>
  <c r="AH202" i="5"/>
  <c r="AH201" i="5"/>
  <c r="AF201" i="5"/>
  <c r="AD201" i="5"/>
  <c r="AB201" i="5"/>
  <c r="B201" i="5" s="1"/>
  <c r="Y298" i="5"/>
  <c r="V298" i="5"/>
  <c r="Y309" i="5"/>
  <c r="V309" i="5"/>
  <c r="Y319" i="5"/>
  <c r="V319" i="5"/>
  <c r="Y329" i="5"/>
  <c r="V329" i="5"/>
  <c r="Y410" i="5"/>
  <c r="V410" i="5"/>
  <c r="Y397" i="5"/>
  <c r="V397" i="5"/>
  <c r="Y384" i="5"/>
  <c r="V384" i="5"/>
  <c r="V385" i="5"/>
  <c r="Y385" i="5"/>
  <c r="Y371" i="5"/>
  <c r="V371" i="5"/>
  <c r="Y358" i="5"/>
  <c r="V358" i="5"/>
  <c r="Y345" i="5"/>
  <c r="V345" i="5"/>
  <c r="AH149" i="5"/>
  <c r="AF149" i="5"/>
  <c r="AD149" i="5"/>
  <c r="AB149" i="5"/>
  <c r="AH148" i="5"/>
  <c r="AF148" i="5"/>
  <c r="AD148" i="5"/>
  <c r="AB148" i="5"/>
  <c r="AH147" i="5"/>
  <c r="AF147" i="5"/>
  <c r="AD147" i="5"/>
  <c r="AB147" i="5"/>
  <c r="AH146" i="5"/>
  <c r="AF146" i="5"/>
  <c r="AD146" i="5"/>
  <c r="AB146" i="5"/>
  <c r="B146" i="5"/>
  <c r="AH145" i="5"/>
  <c r="AF145" i="5"/>
  <c r="AD145" i="5"/>
  <c r="AB145" i="5"/>
  <c r="AH144" i="5"/>
  <c r="AF144" i="5"/>
  <c r="AD144" i="5"/>
  <c r="AB144" i="5"/>
  <c r="AH140" i="5"/>
  <c r="AF140" i="5"/>
  <c r="AD140" i="5"/>
  <c r="AB140" i="5"/>
  <c r="AH139" i="5"/>
  <c r="AF139" i="5"/>
  <c r="AD139" i="5"/>
  <c r="AB139" i="5"/>
  <c r="AH112" i="5"/>
  <c r="AF112" i="5"/>
  <c r="AD112" i="5"/>
  <c r="AB112" i="5"/>
  <c r="B112" i="5"/>
  <c r="AH143" i="5"/>
  <c r="AF143" i="5"/>
  <c r="AD143" i="5"/>
  <c r="AB143" i="5"/>
  <c r="AH142" i="5"/>
  <c r="AF142" i="5"/>
  <c r="AD142" i="5"/>
  <c r="AB142" i="5"/>
  <c r="AH138" i="5"/>
  <c r="AF138" i="5"/>
  <c r="AD138" i="5"/>
  <c r="AB138" i="5"/>
  <c r="AH137" i="5"/>
  <c r="AF137" i="5"/>
  <c r="AD137" i="5"/>
  <c r="AB137" i="5"/>
  <c r="Y411" i="5"/>
  <c r="V411" i="5"/>
  <c r="Y398" i="5"/>
  <c r="V398" i="5"/>
  <c r="Y372" i="5"/>
  <c r="V372" i="5"/>
  <c r="Y359" i="5"/>
  <c r="V359" i="5"/>
  <c r="Y346" i="5"/>
  <c r="V346" i="5"/>
  <c r="Y330" i="5"/>
  <c r="V330" i="5"/>
  <c r="Y320" i="5"/>
  <c r="V320" i="5"/>
  <c r="Y310" i="5"/>
  <c r="V310" i="5"/>
  <c r="Y299" i="5"/>
  <c r="V299" i="5"/>
  <c r="Y218" i="5"/>
  <c r="V218" i="5"/>
  <c r="Y212" i="5"/>
  <c r="V212" i="5"/>
  <c r="Y211" i="5"/>
  <c r="V211" i="5"/>
  <c r="Y210" i="5"/>
  <c r="V210" i="5"/>
  <c r="Y209" i="5"/>
  <c r="V209" i="5"/>
  <c r="Y174" i="5"/>
  <c r="V174" i="5"/>
  <c r="Y173" i="5"/>
  <c r="V173" i="5"/>
  <c r="AH71" i="5"/>
  <c r="AF71" i="5"/>
  <c r="AD71" i="5"/>
  <c r="AB71" i="5"/>
  <c r="AH403" i="5"/>
  <c r="AF403" i="5"/>
  <c r="AD403" i="5"/>
  <c r="AB403" i="5"/>
  <c r="AH402" i="5"/>
  <c r="AF402" i="5"/>
  <c r="AD402" i="5"/>
  <c r="AB402" i="5"/>
  <c r="AH401" i="5"/>
  <c r="AF401" i="5"/>
  <c r="AD401" i="5"/>
  <c r="AB401" i="5"/>
  <c r="AH400" i="5"/>
  <c r="AF400" i="5"/>
  <c r="AD400" i="5"/>
  <c r="AB400" i="5"/>
  <c r="AH335" i="5"/>
  <c r="AF335" i="5"/>
  <c r="AD335" i="5"/>
  <c r="AB335" i="5"/>
  <c r="B335" i="5"/>
  <c r="AH334" i="5"/>
  <c r="AF334" i="5"/>
  <c r="AD334" i="5"/>
  <c r="AB334" i="5"/>
  <c r="AH333" i="5"/>
  <c r="AF333" i="5"/>
  <c r="AD333" i="5"/>
  <c r="AB333" i="5"/>
  <c r="AH332" i="5"/>
  <c r="AF332" i="5"/>
  <c r="AD332" i="5"/>
  <c r="AB332" i="5"/>
  <c r="AH339" i="5"/>
  <c r="AF339" i="5"/>
  <c r="AD339" i="5"/>
  <c r="AB339" i="5"/>
  <c r="AH338" i="5"/>
  <c r="AF338" i="5"/>
  <c r="AD338" i="5"/>
  <c r="AB338" i="5"/>
  <c r="AH351" i="5"/>
  <c r="AF351" i="5"/>
  <c r="AD351" i="5"/>
  <c r="AB351" i="5"/>
  <c r="B351" i="5"/>
  <c r="AH350" i="5"/>
  <c r="AF350" i="5"/>
  <c r="AD350" i="5"/>
  <c r="AB350" i="5"/>
  <c r="AH349" i="5"/>
  <c r="AF349" i="5"/>
  <c r="AD349" i="5"/>
  <c r="AB349" i="5"/>
  <c r="AH348" i="5"/>
  <c r="AF348" i="5"/>
  <c r="AD348" i="5"/>
  <c r="AB348" i="5"/>
  <c r="AH377" i="5"/>
  <c r="AF377" i="5"/>
  <c r="AD377" i="5"/>
  <c r="AB377" i="5"/>
  <c r="AH376" i="5"/>
  <c r="AF376" i="5"/>
  <c r="AD376" i="5"/>
  <c r="AB376" i="5"/>
  <c r="AH375" i="5"/>
  <c r="AF375" i="5"/>
  <c r="AD375" i="5"/>
  <c r="AB375" i="5"/>
  <c r="AH374" i="5"/>
  <c r="AF374" i="5"/>
  <c r="AD374" i="5"/>
  <c r="AB374" i="5"/>
  <c r="AH364" i="5"/>
  <c r="AF364" i="5"/>
  <c r="AD364" i="5"/>
  <c r="AB364" i="5"/>
  <c r="AH363" i="5"/>
  <c r="AF363" i="5"/>
  <c r="AD363" i="5"/>
  <c r="AB363" i="5"/>
  <c r="AH362" i="5"/>
  <c r="AF362" i="5"/>
  <c r="AD362" i="5"/>
  <c r="AB362" i="5"/>
  <c r="AH361" i="5"/>
  <c r="AF361" i="5"/>
  <c r="AD361" i="5"/>
  <c r="AB361" i="5"/>
  <c r="AH388" i="5"/>
  <c r="AF388" i="5"/>
  <c r="AD388" i="5"/>
  <c r="AB388" i="5"/>
  <c r="AH387" i="5"/>
  <c r="AF387" i="5"/>
  <c r="AD387" i="5"/>
  <c r="AB387" i="5"/>
  <c r="AH390" i="5"/>
  <c r="AF390" i="5"/>
  <c r="AD390" i="5"/>
  <c r="AB390" i="5"/>
  <c r="B390" i="5"/>
  <c r="AH389" i="5"/>
  <c r="AF389" i="5"/>
  <c r="AD389" i="5"/>
  <c r="AB389" i="5"/>
  <c r="AB11" i="5"/>
  <c r="AD11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43" i="5"/>
  <c r="AD43" i="5"/>
  <c r="AB44" i="5"/>
  <c r="AD44" i="5"/>
  <c r="AB45" i="5"/>
  <c r="AD45" i="5"/>
  <c r="AB47" i="5"/>
  <c r="AD47" i="5"/>
  <c r="AB48" i="5"/>
  <c r="AD48" i="5"/>
  <c r="AB49" i="5"/>
  <c r="AD49" i="5"/>
  <c r="AB50" i="5"/>
  <c r="AD50" i="5"/>
  <c r="AB51" i="5"/>
  <c r="AD51" i="5"/>
  <c r="AB52" i="5"/>
  <c r="AD52" i="5"/>
  <c r="AH281" i="5"/>
  <c r="AF281" i="5"/>
  <c r="AD281" i="5"/>
  <c r="AB281" i="5"/>
  <c r="B281" i="5"/>
  <c r="AH280" i="5"/>
  <c r="AF280" i="5"/>
  <c r="AD280" i="5"/>
  <c r="AB280" i="5"/>
  <c r="B280" i="5" s="1"/>
  <c r="AH276" i="5"/>
  <c r="AF276" i="5"/>
  <c r="AD276" i="5"/>
  <c r="AB276" i="5"/>
  <c r="B276" i="5"/>
  <c r="AH275" i="5"/>
  <c r="AF275" i="5"/>
  <c r="AD275" i="5"/>
  <c r="AB275" i="5"/>
  <c r="B275" i="5" s="1"/>
  <c r="AH274" i="5"/>
  <c r="AF274" i="5"/>
  <c r="AD274" i="5"/>
  <c r="AB274" i="5"/>
  <c r="B274" i="5" s="1"/>
  <c r="AH273" i="5"/>
  <c r="AF273" i="5"/>
  <c r="AD273" i="5"/>
  <c r="AB273" i="5"/>
  <c r="AH283" i="5"/>
  <c r="AF283" i="5"/>
  <c r="AD283" i="5"/>
  <c r="AB283" i="5"/>
  <c r="AH282" i="5"/>
  <c r="AF282" i="5"/>
  <c r="AD282" i="5"/>
  <c r="AB282" i="5"/>
  <c r="AH279" i="5"/>
  <c r="AF279" i="5"/>
  <c r="AD279" i="5"/>
  <c r="AB279" i="5"/>
  <c r="B279" i="5"/>
  <c r="AH277" i="5"/>
  <c r="AF277" i="5"/>
  <c r="AD277" i="5"/>
  <c r="AB277" i="5"/>
  <c r="AH272" i="5"/>
  <c r="AF272" i="5"/>
  <c r="AD272" i="5"/>
  <c r="AB272" i="5"/>
  <c r="AH271" i="5"/>
  <c r="AF271" i="5"/>
  <c r="AD271" i="5"/>
  <c r="AB271" i="5"/>
  <c r="M411" i="5"/>
  <c r="M410" i="5"/>
  <c r="M398" i="5"/>
  <c r="M397" i="5"/>
  <c r="M385" i="5"/>
  <c r="M384" i="5"/>
  <c r="M372" i="5"/>
  <c r="M371" i="5"/>
  <c r="M359" i="5"/>
  <c r="M358" i="5"/>
  <c r="M346" i="5"/>
  <c r="M345" i="5"/>
  <c r="M330" i="5"/>
  <c r="M329" i="5"/>
  <c r="M320" i="5"/>
  <c r="M319" i="5"/>
  <c r="M310" i="5"/>
  <c r="M309" i="5"/>
  <c r="M299" i="5"/>
  <c r="M298" i="5"/>
  <c r="AH379" i="5"/>
  <c r="AF379" i="5"/>
  <c r="AD379" i="5"/>
  <c r="AB379" i="5"/>
  <c r="AH372" i="5"/>
  <c r="AF372" i="5"/>
  <c r="AD372" i="5"/>
  <c r="AB372" i="5"/>
  <c r="J372" i="5"/>
  <c r="G372" i="5"/>
  <c r="D372" i="5"/>
  <c r="B372" i="5"/>
  <c r="AH371" i="5"/>
  <c r="AF371" i="5"/>
  <c r="AD371" i="5"/>
  <c r="AB371" i="5"/>
  <c r="B371" i="5" s="1"/>
  <c r="J371" i="5"/>
  <c r="G371" i="5"/>
  <c r="D371" i="5"/>
  <c r="AH370" i="5"/>
  <c r="AF370" i="5"/>
  <c r="AD370" i="5"/>
  <c r="AB370" i="5"/>
  <c r="J370" i="5"/>
  <c r="I370" i="5"/>
  <c r="AH369" i="5"/>
  <c r="AF369" i="5"/>
  <c r="AD369" i="5"/>
  <c r="AB369" i="5"/>
  <c r="J369" i="5"/>
  <c r="I369" i="5"/>
  <c r="AH368" i="5"/>
  <c r="AF368" i="5"/>
  <c r="AD368" i="5"/>
  <c r="AB368" i="5"/>
  <c r="J368" i="5"/>
  <c r="I368" i="5"/>
  <c r="AH367" i="5"/>
  <c r="AF367" i="5"/>
  <c r="AD367" i="5"/>
  <c r="AB367" i="5"/>
  <c r="J367" i="5"/>
  <c r="I367" i="5"/>
  <c r="G385" i="5"/>
  <c r="G384" i="5"/>
  <c r="G398" i="5"/>
  <c r="G397" i="5"/>
  <c r="G359" i="5"/>
  <c r="G358" i="5"/>
  <c r="G346" i="5"/>
  <c r="G345" i="5"/>
  <c r="J359" i="5"/>
  <c r="J358" i="5"/>
  <c r="J412" i="5"/>
  <c r="I412" i="5"/>
  <c r="AH416" i="5"/>
  <c r="AF416" i="5"/>
  <c r="AD416" i="5"/>
  <c r="AB416" i="5"/>
  <c r="AH414" i="5"/>
  <c r="AF414" i="5"/>
  <c r="AD414" i="5"/>
  <c r="AB414" i="5"/>
  <c r="AH412" i="5"/>
  <c r="AF412" i="5"/>
  <c r="AD412" i="5"/>
  <c r="AB412" i="5"/>
  <c r="J413" i="5"/>
  <c r="I413" i="5"/>
  <c r="J411" i="5"/>
  <c r="G411" i="5"/>
  <c r="D411" i="5"/>
  <c r="J410" i="5"/>
  <c r="G410" i="5"/>
  <c r="D410" i="5"/>
  <c r="J409" i="5"/>
  <c r="I409" i="5"/>
  <c r="AH408" i="5"/>
  <c r="AF408" i="5"/>
  <c r="AD408" i="5"/>
  <c r="AB408" i="5"/>
  <c r="AH417" i="5"/>
  <c r="AF417" i="5"/>
  <c r="AD417" i="5"/>
  <c r="AB417" i="5"/>
  <c r="AH415" i="5"/>
  <c r="AF415" i="5"/>
  <c r="AD415" i="5"/>
  <c r="AB415" i="5"/>
  <c r="AH413" i="5"/>
  <c r="AF413" i="5"/>
  <c r="AD413" i="5"/>
  <c r="AB413" i="5"/>
  <c r="AH343" i="5"/>
  <c r="AF343" i="5"/>
  <c r="AD343" i="5"/>
  <c r="AB343" i="5"/>
  <c r="J343" i="5"/>
  <c r="I343" i="5"/>
  <c r="AH341" i="5"/>
  <c r="AF341" i="5"/>
  <c r="AD341" i="5"/>
  <c r="AB341" i="5"/>
  <c r="J341" i="5"/>
  <c r="I341" i="5"/>
  <c r="AH199" i="5"/>
  <c r="AF199" i="5"/>
  <c r="AD199" i="5"/>
  <c r="AB199" i="5"/>
  <c r="B199" i="5"/>
  <c r="AH198" i="5"/>
  <c r="AF198" i="5"/>
  <c r="AD198" i="5"/>
  <c r="AB198" i="5"/>
  <c r="AH197" i="5"/>
  <c r="AF197" i="5"/>
  <c r="AD197" i="5"/>
  <c r="AB197" i="5"/>
  <c r="AH196" i="5"/>
  <c r="AF196" i="5"/>
  <c r="AD196" i="5"/>
  <c r="AB196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91" i="5"/>
  <c r="AF191" i="5"/>
  <c r="AD191" i="5"/>
  <c r="AB191" i="5"/>
  <c r="AH189" i="5"/>
  <c r="AF189" i="5"/>
  <c r="AD189" i="5"/>
  <c r="AB189" i="5"/>
  <c r="AH188" i="5"/>
  <c r="AF188" i="5"/>
  <c r="AD188" i="5"/>
  <c r="AB188" i="5"/>
  <c r="AH187" i="5"/>
  <c r="AF187" i="5"/>
  <c r="AD187" i="5"/>
  <c r="AB187" i="5"/>
  <c r="B187" i="5"/>
  <c r="AH186" i="5"/>
  <c r="AF186" i="5"/>
  <c r="AD186" i="5"/>
  <c r="AB186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108" i="5"/>
  <c r="AF108" i="5"/>
  <c r="AD108" i="5"/>
  <c r="AB108" i="5"/>
  <c r="B108" i="5" s="1"/>
  <c r="AH107" i="5"/>
  <c r="AF107" i="5"/>
  <c r="AD107" i="5"/>
  <c r="AB107" i="5"/>
  <c r="AH106" i="5"/>
  <c r="AF106" i="5"/>
  <c r="AD106" i="5"/>
  <c r="AB106" i="5"/>
  <c r="AH105" i="5"/>
  <c r="AF105" i="5"/>
  <c r="AD105" i="5"/>
  <c r="AB105" i="5"/>
  <c r="AH109" i="5"/>
  <c r="AF109" i="5"/>
  <c r="AD109" i="5"/>
  <c r="AB109" i="5"/>
  <c r="AH184" i="5"/>
  <c r="AF184" i="5"/>
  <c r="AD184" i="5"/>
  <c r="AB184" i="5"/>
  <c r="AH183" i="5"/>
  <c r="AF183" i="5"/>
  <c r="AD183" i="5"/>
  <c r="AB183" i="5"/>
  <c r="B183" i="5"/>
  <c r="AH182" i="5"/>
  <c r="AF182" i="5"/>
  <c r="AD182" i="5"/>
  <c r="AB182" i="5"/>
  <c r="AH181" i="5"/>
  <c r="AF181" i="5"/>
  <c r="AD181" i="5"/>
  <c r="AB181" i="5"/>
  <c r="M218" i="5"/>
  <c r="J218" i="5"/>
  <c r="M212" i="5"/>
  <c r="J212" i="5"/>
  <c r="M211" i="5"/>
  <c r="J211" i="5"/>
  <c r="M210" i="5"/>
  <c r="J210" i="5"/>
  <c r="M209" i="5"/>
  <c r="J209" i="5"/>
  <c r="M174" i="5"/>
  <c r="M173" i="5"/>
  <c r="J174" i="5"/>
  <c r="J173" i="5"/>
  <c r="AH179" i="5"/>
  <c r="AF179" i="5"/>
  <c r="AD179" i="5"/>
  <c r="AB179" i="5"/>
  <c r="AH178" i="5"/>
  <c r="AF178" i="5"/>
  <c r="AD178" i="5"/>
  <c r="AB178" i="5"/>
  <c r="AH177" i="5"/>
  <c r="AF177" i="5"/>
  <c r="AD177" i="5"/>
  <c r="AB177" i="5"/>
  <c r="AH91" i="5"/>
  <c r="AF91" i="5"/>
  <c r="AD91" i="5"/>
  <c r="AB91" i="5"/>
  <c r="AH90" i="5"/>
  <c r="AF90" i="5"/>
  <c r="AD90" i="5"/>
  <c r="AB90" i="5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0" i="5"/>
  <c r="AF100" i="5"/>
  <c r="AD100" i="5"/>
  <c r="AB100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4" i="5"/>
  <c r="AF94" i="5"/>
  <c r="AD94" i="5"/>
  <c r="AB94" i="5"/>
  <c r="AH93" i="5"/>
  <c r="AF93" i="5"/>
  <c r="AD93" i="5"/>
  <c r="AB93" i="5"/>
  <c r="B93" i="5" s="1"/>
  <c r="AH99" i="5"/>
  <c r="AF99" i="5"/>
  <c r="AD99" i="5"/>
  <c r="AB99" i="5"/>
  <c r="AH166" i="5"/>
  <c r="AF166" i="5"/>
  <c r="AD166" i="5"/>
  <c r="AB166" i="5"/>
  <c r="AH170" i="5"/>
  <c r="AF170" i="5"/>
  <c r="AD170" i="5"/>
  <c r="AB170" i="5"/>
  <c r="AH169" i="5"/>
  <c r="AF169" i="5"/>
  <c r="AD169" i="5"/>
  <c r="AB169" i="5"/>
  <c r="AH168" i="5"/>
  <c r="AF168" i="5"/>
  <c r="AD168" i="5"/>
  <c r="AB168" i="5"/>
  <c r="AH167" i="5"/>
  <c r="AF167" i="5"/>
  <c r="AD167" i="5"/>
  <c r="AB167" i="5"/>
  <c r="AH176" i="5"/>
  <c r="AF176" i="5"/>
  <c r="AD176" i="5"/>
  <c r="AB176" i="5"/>
  <c r="AH242" i="5"/>
  <c r="AF242" i="5"/>
  <c r="AD242" i="5"/>
  <c r="AB242" i="5"/>
  <c r="AH241" i="5"/>
  <c r="AF241" i="5"/>
  <c r="AD241" i="5"/>
  <c r="AB241" i="5"/>
  <c r="AH239" i="5"/>
  <c r="AF239" i="5"/>
  <c r="AD239" i="5"/>
  <c r="AB239" i="5"/>
  <c r="AH238" i="5"/>
  <c r="AF238" i="5"/>
  <c r="AD238" i="5"/>
  <c r="AB238" i="5"/>
  <c r="AH237" i="5"/>
  <c r="AF237" i="5"/>
  <c r="AD237" i="5"/>
  <c r="AB237" i="5"/>
  <c r="AH235" i="5"/>
  <c r="AF235" i="5"/>
  <c r="AD235" i="5"/>
  <c r="AB235" i="5"/>
  <c r="AH234" i="5"/>
  <c r="AF234" i="5"/>
  <c r="AD234" i="5"/>
  <c r="AB234" i="5"/>
  <c r="AH233" i="5"/>
  <c r="AF233" i="5"/>
  <c r="AD233" i="5"/>
  <c r="AB233" i="5"/>
  <c r="AH232" i="5"/>
  <c r="AF232" i="5"/>
  <c r="AD232" i="5"/>
  <c r="AB232" i="5"/>
  <c r="AH230" i="5"/>
  <c r="AH229" i="5"/>
  <c r="AH228" i="5"/>
  <c r="AH227" i="5"/>
  <c r="AH226" i="5"/>
  <c r="AH225" i="5"/>
  <c r="AH224" i="5"/>
  <c r="AH223" i="5"/>
  <c r="AH222" i="5"/>
  <c r="AH221" i="5"/>
  <c r="AF230" i="5"/>
  <c r="AF229" i="5"/>
  <c r="AF228" i="5"/>
  <c r="AF227" i="5"/>
  <c r="AF226" i="5"/>
  <c r="AF225" i="5"/>
  <c r="AF224" i="5"/>
  <c r="AF223" i="5"/>
  <c r="AD230" i="5"/>
  <c r="AD229" i="5"/>
  <c r="AD228" i="5"/>
  <c r="AD227" i="5"/>
  <c r="AB230" i="5"/>
  <c r="AB229" i="5"/>
  <c r="AB228" i="5"/>
  <c r="AB227" i="5"/>
  <c r="AD223" i="5"/>
  <c r="AB223" i="5"/>
  <c r="AD224" i="5"/>
  <c r="AB224" i="5"/>
  <c r="AF222" i="5"/>
  <c r="AD222" i="5"/>
  <c r="AB222" i="5"/>
  <c r="AF221" i="5"/>
  <c r="AD221" i="5"/>
  <c r="AB221" i="5"/>
  <c r="AH220" i="5"/>
  <c r="AF220" i="5"/>
  <c r="AD220" i="5"/>
  <c r="AB220" i="5"/>
  <c r="AH219" i="5"/>
  <c r="AF219" i="5"/>
  <c r="AD219" i="5"/>
  <c r="AB219" i="5"/>
  <c r="G173" i="5"/>
  <c r="G174" i="5"/>
  <c r="G212" i="5"/>
  <c r="G211" i="5"/>
  <c r="G210" i="5"/>
  <c r="G209" i="5"/>
  <c r="G218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330" i="5"/>
  <c r="AH329" i="5"/>
  <c r="AH328" i="5"/>
  <c r="AH327" i="5"/>
  <c r="AH326" i="5"/>
  <c r="AH325" i="5"/>
  <c r="AH324" i="5"/>
  <c r="AH323" i="5"/>
  <c r="AH322" i="5"/>
  <c r="AH320" i="5"/>
  <c r="AH319" i="5"/>
  <c r="AH317" i="5"/>
  <c r="AH316" i="5"/>
  <c r="AH315" i="5"/>
  <c r="AH314" i="5"/>
  <c r="AH313" i="5"/>
  <c r="AH312" i="5"/>
  <c r="AH310" i="5"/>
  <c r="AH309" i="5"/>
  <c r="AH307" i="5"/>
  <c r="AH306" i="5"/>
  <c r="AH305" i="5"/>
  <c r="AH304" i="5"/>
  <c r="AH303" i="5"/>
  <c r="AH302" i="5"/>
  <c r="AH29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AH411" i="5"/>
  <c r="AH410" i="5"/>
  <c r="AH409" i="5"/>
  <c r="AH407" i="5"/>
  <c r="AH406" i="5"/>
  <c r="AH405" i="5"/>
  <c r="AH404" i="5"/>
  <c r="AH398" i="5"/>
  <c r="AH397" i="5"/>
  <c r="AH396" i="5"/>
  <c r="AH395" i="5"/>
  <c r="AH394" i="5"/>
  <c r="AH393" i="5"/>
  <c r="AH392" i="5"/>
  <c r="AH385" i="5"/>
  <c r="AH384" i="5"/>
  <c r="AH383" i="5"/>
  <c r="AH382" i="5"/>
  <c r="AH381" i="5"/>
  <c r="AH380" i="5"/>
  <c r="AH366" i="5"/>
  <c r="AH359" i="5"/>
  <c r="AH358" i="5"/>
  <c r="AH357" i="5"/>
  <c r="AH356" i="5"/>
  <c r="AH355" i="5"/>
  <c r="AH354" i="5"/>
  <c r="AH353" i="5"/>
  <c r="AH346" i="5"/>
  <c r="AH345" i="5"/>
  <c r="AH344" i="5"/>
  <c r="AH342" i="5"/>
  <c r="AH337" i="5"/>
  <c r="AH336" i="5"/>
  <c r="AH321" i="5"/>
  <c r="AH318" i="5"/>
  <c r="AH311" i="5"/>
  <c r="AH308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78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18" i="5"/>
  <c r="AH217" i="5"/>
  <c r="AH216" i="5"/>
  <c r="AH215" i="5"/>
  <c r="AH214" i="5"/>
  <c r="AH213" i="5"/>
  <c r="AH212" i="5"/>
  <c r="AH211" i="5"/>
  <c r="AH210" i="5"/>
  <c r="AH209" i="5"/>
  <c r="AH208" i="5"/>
  <c r="AH175" i="5"/>
  <c r="AH174" i="5"/>
  <c r="AH164" i="5"/>
  <c r="AH173" i="5"/>
  <c r="AH163" i="5"/>
  <c r="AH162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2" i="5"/>
  <c r="AH51" i="5"/>
  <c r="AH50" i="5"/>
  <c r="AH49" i="5"/>
  <c r="AH48" i="5"/>
  <c r="AH47" i="5"/>
  <c r="AH45" i="5"/>
  <c r="AH44" i="5"/>
  <c r="AH43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1" i="5"/>
  <c r="AF43" i="5"/>
  <c r="AF45" i="5"/>
  <c r="AF40" i="5"/>
  <c r="AF41" i="5"/>
  <c r="AF39" i="5"/>
  <c r="AF323" i="5"/>
  <c r="AD323" i="5"/>
  <c r="AB323" i="5"/>
  <c r="J323" i="5"/>
  <c r="I323" i="5"/>
  <c r="AF313" i="5"/>
  <c r="AD313" i="5"/>
  <c r="AB313" i="5"/>
  <c r="J313" i="5"/>
  <c r="I313" i="5"/>
  <c r="AF303" i="5"/>
  <c r="AD303" i="5"/>
  <c r="AB303" i="5"/>
  <c r="J303" i="5"/>
  <c r="I303" i="5"/>
  <c r="AF292" i="5"/>
  <c r="AD292" i="5"/>
  <c r="AB292" i="5"/>
  <c r="J292" i="5"/>
  <c r="I292" i="5"/>
  <c r="AF36" i="5"/>
  <c r="AF35" i="5"/>
  <c r="AF34" i="5"/>
  <c r="AF33" i="5"/>
  <c r="AF32" i="5"/>
  <c r="AF31" i="5"/>
  <c r="AF30" i="5"/>
  <c r="AF29" i="5"/>
  <c r="AF28" i="5"/>
  <c r="AF27" i="5"/>
  <c r="AF38" i="5"/>
  <c r="AF37" i="5"/>
  <c r="AF65" i="5"/>
  <c r="AD65" i="5"/>
  <c r="AB65" i="5"/>
  <c r="AF88" i="5"/>
  <c r="AD88" i="5"/>
  <c r="AB88" i="5"/>
  <c r="AF84" i="5"/>
  <c r="AD84" i="5"/>
  <c r="AB84" i="5"/>
  <c r="AF80" i="5"/>
  <c r="AD80" i="5"/>
  <c r="AB80" i="5"/>
  <c r="AF76" i="5"/>
  <c r="AD76" i="5"/>
  <c r="AB76" i="5"/>
  <c r="AF87" i="5"/>
  <c r="AD87" i="5"/>
  <c r="AB87" i="5"/>
  <c r="AF86" i="5"/>
  <c r="AD86" i="5"/>
  <c r="AB86" i="5"/>
  <c r="AF85" i="5"/>
  <c r="AD85" i="5"/>
  <c r="AB85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52" i="5"/>
  <c r="AF51" i="5"/>
  <c r="AF50" i="5"/>
  <c r="AF49" i="5"/>
  <c r="AF48" i="5"/>
  <c r="AF47" i="5"/>
  <c r="AF44" i="5"/>
  <c r="AF26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1" i="5"/>
  <c r="AD225" i="5"/>
  <c r="AB225" i="5"/>
  <c r="AF268" i="5"/>
  <c r="AD268" i="5"/>
  <c r="AB268" i="5"/>
  <c r="G330" i="5"/>
  <c r="G329" i="5"/>
  <c r="G320" i="5"/>
  <c r="G319" i="5"/>
  <c r="G310" i="5"/>
  <c r="G309" i="5"/>
  <c r="G299" i="5"/>
  <c r="G298" i="5"/>
  <c r="D330" i="5"/>
  <c r="D329" i="5"/>
  <c r="D320" i="5"/>
  <c r="D319" i="5"/>
  <c r="D310" i="5"/>
  <c r="D309" i="5"/>
  <c r="D299" i="5"/>
  <c r="D298" i="5"/>
  <c r="AF291" i="5"/>
  <c r="AD291" i="5"/>
  <c r="AB291" i="5"/>
  <c r="J291" i="5"/>
  <c r="I291" i="5"/>
  <c r="AF164" i="5"/>
  <c r="AD164" i="5"/>
  <c r="AB164" i="5"/>
  <c r="AF163" i="5"/>
  <c r="AD163" i="5"/>
  <c r="AB163" i="5"/>
  <c r="AF270" i="5"/>
  <c r="AD270" i="5"/>
  <c r="AB270" i="5"/>
  <c r="AF217" i="5"/>
  <c r="AD217" i="5"/>
  <c r="AB217" i="5"/>
  <c r="AF216" i="5"/>
  <c r="AD216" i="5"/>
  <c r="AB216" i="5"/>
  <c r="AF215" i="5"/>
  <c r="AD215" i="5"/>
  <c r="AB215" i="5"/>
  <c r="AF214" i="5"/>
  <c r="AD214" i="5"/>
  <c r="AB214" i="5"/>
  <c r="AF213" i="5"/>
  <c r="AD213" i="5"/>
  <c r="AB213" i="5"/>
  <c r="AF269" i="5"/>
  <c r="AD269" i="5"/>
  <c r="AB269" i="5"/>
  <c r="AF267" i="5"/>
  <c r="AD267" i="5"/>
  <c r="AB267" i="5"/>
  <c r="J297" i="5"/>
  <c r="I297" i="5"/>
  <c r="J308" i="5"/>
  <c r="J318" i="5"/>
  <c r="J328" i="5"/>
  <c r="J322" i="5"/>
  <c r="J312" i="5"/>
  <c r="AF295" i="5"/>
  <c r="AD295" i="5"/>
  <c r="AB295" i="5"/>
  <c r="AF293" i="5"/>
  <c r="AD293" i="5"/>
  <c r="AB293" i="5"/>
  <c r="J302" i="5"/>
  <c r="J288" i="5"/>
  <c r="I288" i="5"/>
  <c r="I287" i="5"/>
  <c r="I286" i="5"/>
  <c r="J299" i="5"/>
  <c r="J298" i="5"/>
  <c r="J310" i="5"/>
  <c r="J309" i="5"/>
  <c r="J319" i="5"/>
  <c r="J320" i="5"/>
  <c r="J329" i="5"/>
  <c r="J330" i="5"/>
  <c r="AF359" i="5"/>
  <c r="AD359" i="5"/>
  <c r="AB359" i="5"/>
  <c r="D359" i="5"/>
  <c r="AF358" i="5"/>
  <c r="AD358" i="5"/>
  <c r="AB358" i="5"/>
  <c r="D358" i="5"/>
  <c r="AF357" i="5"/>
  <c r="AD357" i="5"/>
  <c r="AB357" i="5"/>
  <c r="J357" i="5"/>
  <c r="I357" i="5"/>
  <c r="AF356" i="5"/>
  <c r="AD356" i="5"/>
  <c r="AB356" i="5"/>
  <c r="J356" i="5"/>
  <c r="I356" i="5"/>
  <c r="AF355" i="5"/>
  <c r="AD355" i="5"/>
  <c r="AB355" i="5"/>
  <c r="J355" i="5"/>
  <c r="I355" i="5"/>
  <c r="AF354" i="5"/>
  <c r="AD354" i="5"/>
  <c r="AB354" i="5"/>
  <c r="J354" i="5"/>
  <c r="I354" i="5"/>
  <c r="AF353" i="5"/>
  <c r="AD353" i="5"/>
  <c r="AB353" i="5"/>
  <c r="AF385" i="5"/>
  <c r="AD385" i="5"/>
  <c r="AB385" i="5"/>
  <c r="J385" i="5"/>
  <c r="I385" i="5"/>
  <c r="D385" i="5"/>
  <c r="AF384" i="5"/>
  <c r="AD384" i="5"/>
  <c r="AB384" i="5"/>
  <c r="J384" i="5"/>
  <c r="I384" i="5"/>
  <c r="D384" i="5"/>
  <c r="AF383" i="5"/>
  <c r="AD383" i="5"/>
  <c r="AB383" i="5"/>
  <c r="J383" i="5"/>
  <c r="I383" i="5"/>
  <c r="AF382" i="5"/>
  <c r="AD382" i="5"/>
  <c r="AB382" i="5"/>
  <c r="J382" i="5"/>
  <c r="I382" i="5"/>
  <c r="AF381" i="5"/>
  <c r="AD381" i="5"/>
  <c r="AB381" i="5"/>
  <c r="J381" i="5"/>
  <c r="I381" i="5"/>
  <c r="AF380" i="5"/>
  <c r="AD380" i="5"/>
  <c r="AB380" i="5"/>
  <c r="J380" i="5"/>
  <c r="I380" i="5"/>
  <c r="AF366" i="5"/>
  <c r="AD366" i="5"/>
  <c r="AB366" i="5"/>
  <c r="J396" i="5"/>
  <c r="J395" i="5"/>
  <c r="I396" i="5"/>
  <c r="I395" i="5"/>
  <c r="J394" i="5"/>
  <c r="J393" i="5"/>
  <c r="I394" i="5"/>
  <c r="I393" i="5"/>
  <c r="AF395" i="5"/>
  <c r="AD395" i="5"/>
  <c r="AB395" i="5"/>
  <c r="AF393" i="5"/>
  <c r="AD393" i="5"/>
  <c r="AB393" i="5"/>
  <c r="AF396" i="5"/>
  <c r="AD396" i="5"/>
  <c r="AB396" i="5"/>
  <c r="AF394" i="5"/>
  <c r="AD394" i="5"/>
  <c r="AB394" i="5"/>
  <c r="J344" i="5"/>
  <c r="J342" i="5"/>
  <c r="I342" i="5"/>
  <c r="I344" i="5"/>
  <c r="AF344" i="5"/>
  <c r="AD344" i="5"/>
  <c r="AB344" i="5"/>
  <c r="AF342" i="5"/>
  <c r="AD342" i="5"/>
  <c r="AB342" i="5"/>
  <c r="J398" i="5"/>
  <c r="J397" i="5"/>
  <c r="J346" i="5"/>
  <c r="D398" i="5"/>
  <c r="D397" i="5"/>
  <c r="D346" i="5"/>
  <c r="J345" i="5"/>
  <c r="D345" i="5"/>
  <c r="AF308" i="5"/>
  <c r="AD308" i="5"/>
  <c r="AB308" i="5"/>
  <c r="I308" i="5"/>
  <c r="AF318" i="5"/>
  <c r="AD318" i="5"/>
  <c r="AB318" i="5"/>
  <c r="I318" i="5"/>
  <c r="I328" i="5"/>
  <c r="AF328" i="5"/>
  <c r="AD328" i="5"/>
  <c r="AB328" i="5"/>
  <c r="AF306" i="5"/>
  <c r="AD306" i="5"/>
  <c r="AB306" i="5"/>
  <c r="AF304" i="5"/>
  <c r="AD304" i="5"/>
  <c r="AB304" i="5"/>
  <c r="AF302" i="5"/>
  <c r="AD302" i="5"/>
  <c r="AB302" i="5"/>
  <c r="I302" i="5"/>
  <c r="AF320" i="5"/>
  <c r="AD320" i="5"/>
  <c r="AB320" i="5"/>
  <c r="AF319" i="5"/>
  <c r="AD319" i="5"/>
  <c r="AB319" i="5"/>
  <c r="AF317" i="5"/>
  <c r="AD317" i="5"/>
  <c r="AB317" i="5"/>
  <c r="AF316" i="5"/>
  <c r="AD316" i="5"/>
  <c r="AB316" i="5"/>
  <c r="AF315" i="5"/>
  <c r="AD315" i="5"/>
  <c r="AB315" i="5"/>
  <c r="AF314" i="5"/>
  <c r="AD314" i="5"/>
  <c r="AB314" i="5"/>
  <c r="AF312" i="5"/>
  <c r="AD312" i="5"/>
  <c r="AB312" i="5"/>
  <c r="I312" i="5"/>
  <c r="AF311" i="5"/>
  <c r="AF326" i="5"/>
  <c r="AD326" i="5"/>
  <c r="AB326" i="5"/>
  <c r="AF324" i="5"/>
  <c r="AD324" i="5"/>
  <c r="AB324" i="5"/>
  <c r="I322" i="5"/>
  <c r="AF322" i="5"/>
  <c r="AD322" i="5"/>
  <c r="AB322" i="5"/>
  <c r="AF330" i="5"/>
  <c r="AF329" i="5"/>
  <c r="AF327" i="5"/>
  <c r="AF325" i="5"/>
  <c r="AF321" i="5"/>
  <c r="AD330" i="5"/>
  <c r="AB330" i="5"/>
  <c r="AD329" i="5"/>
  <c r="AB329" i="5"/>
  <c r="AD327" i="5"/>
  <c r="AB327" i="5"/>
  <c r="AD325" i="5"/>
  <c r="AB325" i="5"/>
  <c r="AF70" i="5"/>
  <c r="AD70" i="5"/>
  <c r="AB70" i="5"/>
  <c r="AF69" i="5"/>
  <c r="AD69" i="5"/>
  <c r="AB69" i="5"/>
  <c r="AF68" i="5"/>
  <c r="AD68" i="5"/>
  <c r="AB68" i="5"/>
  <c r="AF411" i="5"/>
  <c r="AF410" i="5"/>
  <c r="AF409" i="5"/>
  <c r="AF407" i="5"/>
  <c r="AF406" i="5"/>
  <c r="AF405" i="5"/>
  <c r="AF404" i="5"/>
  <c r="AF398" i="5"/>
  <c r="AF397" i="5"/>
  <c r="AF392" i="5"/>
  <c r="AF346" i="5"/>
  <c r="AF345" i="5"/>
  <c r="AF337" i="5"/>
  <c r="AF336" i="5"/>
  <c r="AF310" i="5"/>
  <c r="AF309" i="5"/>
  <c r="AD411" i="5"/>
  <c r="AD410" i="5"/>
  <c r="AD409" i="5"/>
  <c r="AD407" i="5"/>
  <c r="AD406" i="5"/>
  <c r="AD405" i="5"/>
  <c r="AD404" i="5"/>
  <c r="AD398" i="5"/>
  <c r="AD397" i="5"/>
  <c r="AD392" i="5"/>
  <c r="AD346" i="5"/>
  <c r="AD345" i="5"/>
  <c r="AD337" i="5"/>
  <c r="AD336" i="5"/>
  <c r="AD310" i="5"/>
  <c r="AD309" i="5"/>
  <c r="AB411" i="5"/>
  <c r="AB410" i="5"/>
  <c r="AB409" i="5"/>
  <c r="AB407" i="5"/>
  <c r="AB406" i="5"/>
  <c r="AB405" i="5"/>
  <c r="AB404" i="5"/>
  <c r="AB398" i="5"/>
  <c r="AB397" i="5"/>
  <c r="AB392" i="5"/>
  <c r="AB346" i="5"/>
  <c r="AB345" i="5"/>
  <c r="AB337" i="5"/>
  <c r="AB336" i="5"/>
  <c r="AB310" i="5"/>
  <c r="I398" i="5"/>
  <c r="I397" i="5"/>
  <c r="I346" i="5"/>
  <c r="I345" i="5"/>
  <c r="AF307" i="5"/>
  <c r="AF305" i="5"/>
  <c r="AD307" i="5"/>
  <c r="AD305" i="5"/>
  <c r="AB309" i="5"/>
  <c r="AB307" i="5"/>
  <c r="AB305" i="5"/>
  <c r="AF301" i="5"/>
  <c r="AF300" i="5"/>
  <c r="AF299" i="5"/>
  <c r="AF298" i="5"/>
  <c r="AF297" i="5"/>
  <c r="AF296" i="5"/>
  <c r="AF294" i="5"/>
  <c r="AF290" i="5"/>
  <c r="AF289" i="5"/>
  <c r="AF288" i="5"/>
  <c r="AF287" i="5"/>
  <c r="AF286" i="5"/>
  <c r="AF285" i="5"/>
  <c r="AF278" i="5"/>
  <c r="AF266" i="5"/>
  <c r="AF265" i="5"/>
  <c r="AF264" i="5"/>
  <c r="AF263" i="5"/>
  <c r="AF262" i="5"/>
  <c r="AF261" i="5"/>
  <c r="AF260" i="5"/>
  <c r="AF259" i="5"/>
  <c r="AF258" i="5"/>
  <c r="AF257" i="5"/>
  <c r="AF256" i="5"/>
  <c r="AF255" i="5"/>
  <c r="AF254" i="5"/>
  <c r="AF253" i="5"/>
  <c r="AF252" i="5"/>
  <c r="AF251" i="5"/>
  <c r="AF250" i="5"/>
  <c r="AF249" i="5"/>
  <c r="AF248" i="5"/>
  <c r="AF247" i="5"/>
  <c r="AF246" i="5"/>
  <c r="AF245" i="5"/>
  <c r="AF218" i="5"/>
  <c r="AF212" i="5"/>
  <c r="AF211" i="5"/>
  <c r="AF210" i="5"/>
  <c r="AF209" i="5"/>
  <c r="AF208" i="5"/>
  <c r="AF175" i="5"/>
  <c r="AF174" i="5"/>
  <c r="AF173" i="5"/>
  <c r="AF162" i="5"/>
  <c r="AF66" i="5"/>
  <c r="AF64" i="5"/>
  <c r="AF63" i="5"/>
  <c r="AF62" i="5"/>
  <c r="AF61" i="5"/>
  <c r="AF60" i="5"/>
  <c r="AF59" i="5"/>
  <c r="AF58" i="5"/>
  <c r="AF57" i="5"/>
  <c r="AD301" i="5"/>
  <c r="AD300" i="5"/>
  <c r="AD299" i="5"/>
  <c r="AD298" i="5"/>
  <c r="AD297" i="5"/>
  <c r="AD296" i="5"/>
  <c r="AD294" i="5"/>
  <c r="AD290" i="5"/>
  <c r="AD289" i="5"/>
  <c r="AD288" i="5"/>
  <c r="AD287" i="5"/>
  <c r="AD286" i="5"/>
  <c r="AD285" i="5"/>
  <c r="AD278" i="5"/>
  <c r="AD266" i="5"/>
  <c r="AD265" i="5"/>
  <c r="AD264" i="5"/>
  <c r="AD263" i="5"/>
  <c r="AD262" i="5"/>
  <c r="AD261" i="5"/>
  <c r="AD260" i="5"/>
  <c r="AD259" i="5"/>
  <c r="AD258" i="5"/>
  <c r="AD257" i="5"/>
  <c r="AD256" i="5"/>
  <c r="AD255" i="5"/>
  <c r="AD254" i="5"/>
  <c r="AD253" i="5"/>
  <c r="AD252" i="5"/>
  <c r="AD251" i="5"/>
  <c r="AD250" i="5"/>
  <c r="AD249" i="5"/>
  <c r="AD248" i="5"/>
  <c r="AD247" i="5"/>
  <c r="AD246" i="5"/>
  <c r="AD245" i="5"/>
  <c r="AD226" i="5"/>
  <c r="AD218" i="5"/>
  <c r="AD212" i="5"/>
  <c r="AD211" i="5"/>
  <c r="AD210" i="5"/>
  <c r="AD209" i="5"/>
  <c r="AD208" i="5"/>
  <c r="AD175" i="5"/>
  <c r="AD174" i="5"/>
  <c r="AD173" i="5"/>
  <c r="AD162" i="5"/>
  <c r="AD66" i="5"/>
  <c r="AD64" i="5"/>
  <c r="AD63" i="5"/>
  <c r="AD62" i="5"/>
  <c r="AD61" i="5"/>
  <c r="AD60" i="5"/>
  <c r="AD59" i="5"/>
  <c r="AD58" i="5"/>
  <c r="AB301" i="5"/>
  <c r="AB300" i="5"/>
  <c r="AB299" i="5"/>
  <c r="AB298" i="5"/>
  <c r="AB297" i="5"/>
  <c r="AB296" i="5"/>
  <c r="AB294" i="5"/>
  <c r="AB290" i="5"/>
  <c r="AB289" i="5"/>
  <c r="AB288" i="5"/>
  <c r="AB287" i="5"/>
  <c r="AB286" i="5"/>
  <c r="AB285" i="5"/>
  <c r="AB278" i="5"/>
  <c r="AB266" i="5"/>
  <c r="AB265" i="5"/>
  <c r="AB264" i="5"/>
  <c r="AB263" i="5"/>
  <c r="AB262" i="5"/>
  <c r="AB261" i="5"/>
  <c r="AB260" i="5"/>
  <c r="AB259" i="5"/>
  <c r="AB258" i="5"/>
  <c r="AB257" i="5"/>
  <c r="AB256" i="5"/>
  <c r="AB255" i="5"/>
  <c r="AB254" i="5"/>
  <c r="AB253" i="5"/>
  <c r="AB252" i="5"/>
  <c r="AB251" i="5"/>
  <c r="AB250" i="5"/>
  <c r="AB249" i="5"/>
  <c r="AB248" i="5"/>
  <c r="AB247" i="5"/>
  <c r="AB246" i="5"/>
  <c r="AB245" i="5"/>
  <c r="AB226" i="5"/>
  <c r="AB218" i="5"/>
  <c r="AB212" i="5"/>
  <c r="AB211" i="5"/>
  <c r="AB210" i="5"/>
  <c r="AB209" i="5"/>
  <c r="AB208" i="5"/>
  <c r="AB175" i="5"/>
  <c r="AB174" i="5"/>
  <c r="AB173" i="5"/>
  <c r="AB162" i="5"/>
  <c r="AB66" i="5"/>
  <c r="AB64" i="5"/>
  <c r="AB63" i="5"/>
  <c r="AB62" i="5"/>
  <c r="AB61" i="5"/>
  <c r="AB60" i="5"/>
  <c r="AB59" i="5"/>
  <c r="AB58" i="5"/>
  <c r="AB57" i="5"/>
  <c r="D212" i="5"/>
  <c r="D218" i="5"/>
  <c r="D211" i="5"/>
  <c r="D210" i="5"/>
  <c r="D209" i="5"/>
  <c r="D174" i="5"/>
  <c r="D173" i="5"/>
  <c r="AD57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49" i="5" l="1"/>
  <c r="B154" i="5"/>
  <c r="B204" i="5"/>
  <c r="B377" i="5"/>
  <c r="B153" i="5"/>
  <c r="B168" i="5"/>
  <c r="B143" i="5"/>
  <c r="B374" i="5"/>
  <c r="B338" i="5"/>
  <c r="B205" i="5"/>
  <c r="B203" i="5"/>
  <c r="B148" i="5"/>
  <c r="B144" i="5"/>
  <c r="B138" i="5"/>
  <c r="B332" i="5"/>
  <c r="B147" i="5"/>
  <c r="B202" i="5"/>
  <c r="B369" i="5"/>
  <c r="B412" i="5"/>
  <c r="B389" i="5"/>
  <c r="B140" i="5"/>
  <c r="B333" i="5"/>
  <c r="B145" i="5"/>
  <c r="B334" i="5"/>
  <c r="B364" i="5"/>
  <c r="B139" i="5"/>
  <c r="B402" i="5"/>
  <c r="B350" i="5"/>
  <c r="B142" i="5"/>
  <c r="B196" i="5"/>
  <c r="B137" i="5"/>
  <c r="B362" i="5"/>
  <c r="B361" i="5"/>
  <c r="B403" i="5"/>
  <c r="B401" i="5"/>
  <c r="B194" i="5"/>
  <c r="B388" i="5"/>
  <c r="B71" i="5"/>
  <c r="B339" i="5"/>
  <c r="B348" i="5"/>
  <c r="B400" i="5"/>
  <c r="B106" i="5"/>
  <c r="B387" i="5"/>
  <c r="B349" i="5"/>
  <c r="B375" i="5"/>
  <c r="B376" i="5"/>
  <c r="B363" i="5"/>
  <c r="B368" i="5"/>
  <c r="B282" i="5"/>
  <c r="B97" i="5"/>
  <c r="B96" i="5"/>
  <c r="B277" i="5"/>
  <c r="B273" i="5"/>
  <c r="B283" i="5"/>
  <c r="B343" i="5"/>
  <c r="B134" i="5"/>
  <c r="B132" i="5"/>
  <c r="B278" i="5"/>
  <c r="B416" i="5"/>
  <c r="B370" i="5"/>
  <c r="B367" i="5"/>
  <c r="B192" i="5"/>
  <c r="B184" i="5"/>
  <c r="B127" i="5"/>
  <c r="B417" i="5"/>
  <c r="B186" i="5"/>
  <c r="B414" i="5"/>
  <c r="B191" i="5"/>
  <c r="B413" i="5"/>
  <c r="B103" i="5"/>
  <c r="B133" i="5"/>
  <c r="B415" i="5"/>
  <c r="B130" i="5"/>
  <c r="B189" i="5"/>
  <c r="B341" i="5"/>
  <c r="B198" i="5"/>
  <c r="B197" i="5"/>
  <c r="B131" i="5"/>
  <c r="B193" i="5"/>
  <c r="B94" i="5"/>
  <c r="B188" i="5"/>
  <c r="B90" i="5"/>
  <c r="B179" i="5"/>
  <c r="B107" i="5"/>
  <c r="B109" i="5"/>
  <c r="B105" i="5"/>
  <c r="B230" i="5"/>
  <c r="B229" i="5"/>
  <c r="B178" i="5"/>
  <c r="B177" i="5"/>
  <c r="B100" i="5"/>
  <c r="B170" i="5"/>
  <c r="B181" i="5"/>
  <c r="B182" i="5"/>
  <c r="B99" i="5"/>
  <c r="B91" i="5"/>
  <c r="B101" i="5"/>
  <c r="B102" i="5"/>
  <c r="B166" i="5"/>
  <c r="B95" i="5"/>
  <c r="B241" i="5"/>
  <c r="B169" i="5"/>
  <c r="B167" i="5"/>
  <c r="B223" i="5"/>
  <c r="B176" i="5"/>
  <c r="B237" i="5"/>
  <c r="B309" i="5"/>
  <c r="B124" i="5"/>
  <c r="B43" i="5"/>
  <c r="B238" i="5"/>
  <c r="B222" i="5"/>
  <c r="B126" i="5"/>
  <c r="B242" i="5"/>
  <c r="B235" i="5"/>
  <c r="B233" i="5"/>
  <c r="B224" i="5"/>
  <c r="B234" i="5"/>
  <c r="B239" i="5"/>
  <c r="B220" i="5"/>
  <c r="B40" i="5"/>
  <c r="B41" i="5"/>
  <c r="B39" i="5"/>
  <c r="B15" i="5"/>
  <c r="B14" i="5"/>
  <c r="B13" i="5"/>
  <c r="B268" i="5"/>
  <c r="B219" i="5"/>
  <c r="B232" i="5"/>
  <c r="B227" i="5"/>
  <c r="B228" i="5"/>
  <c r="B22" i="5"/>
  <c r="B21" i="5"/>
  <c r="B20" i="5"/>
  <c r="B19" i="5"/>
  <c r="B18" i="5"/>
  <c r="B17" i="5"/>
  <c r="B16" i="5"/>
  <c r="B310" i="5"/>
  <c r="B225" i="5"/>
  <c r="B313" i="5"/>
  <c r="B303" i="5"/>
  <c r="B116" i="5"/>
  <c r="B114" i="5"/>
  <c r="B44" i="5"/>
  <c r="B267" i="5"/>
  <c r="B411" i="5"/>
  <c r="B410" i="5"/>
  <c r="B409" i="5"/>
  <c r="B407" i="5"/>
  <c r="B406" i="5"/>
  <c r="B397" i="5"/>
  <c r="B346" i="5"/>
  <c r="B345" i="5"/>
  <c r="B123" i="5"/>
  <c r="B47" i="5"/>
  <c r="B128" i="5"/>
  <c r="B125" i="5"/>
  <c r="B122" i="5"/>
  <c r="B117" i="5"/>
  <c r="B119" i="5"/>
  <c r="B48" i="5"/>
  <c r="B121" i="5"/>
  <c r="B118" i="5"/>
  <c r="B79" i="5"/>
  <c r="B78" i="5"/>
  <c r="B77" i="5"/>
  <c r="B221" i="5"/>
  <c r="B81" i="5"/>
  <c r="B82" i="5"/>
  <c r="B302" i="5"/>
  <c r="B320" i="5"/>
  <c r="B319" i="5"/>
  <c r="B317" i="5"/>
  <c r="B315" i="5"/>
  <c r="B314" i="5"/>
  <c r="B312" i="5"/>
  <c r="B322" i="5"/>
  <c r="B120" i="5"/>
  <c r="B11" i="5"/>
  <c r="B83" i="5"/>
  <c r="B398" i="5"/>
  <c r="B87" i="5"/>
  <c r="B86" i="5"/>
  <c r="B85" i="5"/>
  <c r="B270" i="5"/>
  <c r="B324" i="5"/>
  <c r="B383" i="5"/>
  <c r="B381" i="5"/>
  <c r="B344" i="5"/>
  <c r="B342" i="5"/>
  <c r="B115" i="5"/>
  <c r="B113" i="5"/>
  <c r="B269" i="5"/>
  <c r="B308" i="5"/>
  <c r="B318" i="5"/>
  <c r="B62" i="5"/>
  <c r="B61" i="5"/>
  <c r="B60" i="5"/>
  <c r="B59" i="5"/>
  <c r="B58" i="5"/>
  <c r="B323" i="5"/>
  <c r="B49" i="5"/>
  <c r="B385" i="5"/>
  <c r="B384" i="5"/>
  <c r="B249" i="5"/>
  <c r="B248" i="5"/>
  <c r="B247" i="5"/>
  <c r="B246" i="5"/>
  <c r="B218" i="5"/>
  <c r="B212" i="5"/>
  <c r="B211" i="5"/>
  <c r="B210" i="5"/>
  <c r="B209" i="5"/>
  <c r="B174" i="5"/>
  <c r="B173" i="5"/>
  <c r="B64" i="5"/>
  <c r="B63" i="5"/>
  <c r="B217" i="5"/>
  <c r="B88" i="5"/>
  <c r="B80" i="5"/>
  <c r="B75" i="5"/>
  <c r="B57" i="5"/>
  <c r="B38" i="5"/>
  <c r="B37" i="5"/>
  <c r="B35" i="5"/>
  <c r="B34" i="5"/>
  <c r="B33" i="5"/>
  <c r="B32" i="5"/>
  <c r="B31" i="5"/>
  <c r="B28" i="5"/>
  <c r="B27" i="5"/>
  <c r="B45" i="5"/>
  <c r="B74" i="5"/>
  <c r="B73" i="5"/>
  <c r="B52" i="5"/>
  <c r="B51" i="5"/>
  <c r="B50" i="5"/>
  <c r="B26" i="5"/>
  <c r="B25" i="5"/>
  <c r="B24" i="5"/>
  <c r="B23" i="5"/>
  <c r="B359" i="5"/>
  <c r="B358" i="5"/>
  <c r="B357" i="5"/>
  <c r="B355" i="5"/>
  <c r="B316" i="5"/>
  <c r="B70" i="5"/>
  <c r="B69" i="5"/>
  <c r="B68" i="5"/>
  <c r="B297" i="5"/>
  <c r="B288" i="5"/>
  <c r="B287" i="5"/>
  <c r="B286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15" i="5"/>
  <c r="B65" i="5"/>
  <c r="B164" i="5"/>
  <c r="B76" i="5"/>
  <c r="B216" i="5"/>
  <c r="B163" i="5"/>
  <c r="B84" i="5"/>
  <c r="B30" i="5"/>
  <c r="B291" i="5"/>
  <c r="B328" i="5"/>
  <c r="B306" i="5"/>
  <c r="B304" i="5"/>
  <c r="B326" i="5"/>
  <c r="B330" i="5"/>
  <c r="B329" i="5"/>
  <c r="B327" i="5"/>
  <c r="B325" i="5"/>
  <c r="B307" i="5"/>
  <c r="B305" i="5"/>
  <c r="B396" i="5"/>
  <c r="B395" i="5"/>
  <c r="B394" i="5"/>
  <c r="B393" i="5"/>
  <c r="B356" i="5"/>
  <c r="B354" i="5"/>
  <c r="B380" i="5"/>
  <c r="B382" i="5"/>
  <c r="B299" i="5"/>
  <c r="B298" i="5"/>
  <c r="B296" i="5"/>
  <c r="B295" i="5"/>
  <c r="B294" i="5"/>
  <c r="B293" i="5"/>
  <c r="B292" i="5"/>
  <c r="B36" i="5"/>
  <c r="B29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<sst xmlns="http://schemas.openxmlformats.org/spreadsheetml/2006/main" count="6058" uniqueCount="411">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</sst>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3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36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P95" sqref="P95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1" si="3">IF(NOT(ISBLANK(AI11)),"_","")</f>
        <v/>
      </c>
      <c r="AI11" s="2"/>
    </row>
    <row r="12" spans="1:35" x14ac:dyDescent="0.25">
      <c r="B12" s="2" t="str">
        <f>_xlfn.CONCAT("@",AA12,AB12,AC12,AD12,AE12,AF12,AG12,AH12,AI12)</f>
        <v>@color-label_halo_parking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4">IF(NOT(ISBLANK(AC12)),"-","")</f>
        <v>-</v>
      </c>
      <c r="AC12" s="2" t="s">
        <v>280</v>
      </c>
      <c r="AD12" s="2" t="str">
        <f t="shared" ref="AD12" si="5">IF(NOT(ISBLANK(AE12)),"_","")</f>
        <v>_</v>
      </c>
      <c r="AE12" s="2" t="s">
        <v>272</v>
      </c>
      <c r="AF12" s="2" t="str">
        <f t="shared" ref="AF12" si="6">IF(NOT(ISBLANK(AG12)),"_","")</f>
        <v/>
      </c>
      <c r="AG12" s="172"/>
      <c r="AH12" s="2" t="str">
        <f t="shared" ref="AH12" si="7">IF(NOT(ISBLANK(AI12)),"_","")</f>
        <v/>
      </c>
      <c r="AI12" s="2"/>
    </row>
    <row r="13" spans="1:35" x14ac:dyDescent="0.25">
      <c r="B13" s="2" t="str">
        <f t="shared" ref="B13:B41" si="8">_xlfn.CONCAT("@",AA13,AB13,AC13,AD13,AE13,AF13,AG13,AH13,AI13)</f>
        <v>@color-label_parking_yes</v>
      </c>
      <c r="C13" s="38" t="s">
        <v>222</v>
      </c>
      <c r="D13" s="38" t="s">
        <v>222</v>
      </c>
      <c r="F13" s="37" t="s">
        <v>214</v>
      </c>
      <c r="G13" s="37" t="s">
        <v>214</v>
      </c>
      <c r="I13" s="38" t="s">
        <v>222</v>
      </c>
      <c r="J13" s="38" t="s">
        <v>222</v>
      </c>
      <c r="L13" s="37" t="s">
        <v>214</v>
      </c>
      <c r="M13" s="37" t="s">
        <v>214</v>
      </c>
      <c r="O13" s="38" t="s">
        <v>222</v>
      </c>
      <c r="R13" s="37" t="s">
        <v>214</v>
      </c>
      <c r="U13" s="38" t="s">
        <v>222</v>
      </c>
      <c r="V13" s="38" t="s">
        <v>222</v>
      </c>
      <c r="X13" s="37" t="s">
        <v>214</v>
      </c>
      <c r="Y13" s="37" t="s">
        <v>214</v>
      </c>
      <c r="AA13" s="2" t="s">
        <v>6</v>
      </c>
      <c r="AB13" s="2" t="str">
        <f t="shared" ref="AB13" si="9">IF(NOT(ISBLANK(AC13)),"-","")</f>
        <v>-</v>
      </c>
      <c r="AC13" s="2" t="s">
        <v>271</v>
      </c>
      <c r="AD13" s="2" t="str">
        <f t="shared" ref="AD13" si="10">IF(NOT(ISBLANK(AE13)),"_","")</f>
        <v>_</v>
      </c>
      <c r="AE13" s="2" t="s">
        <v>272</v>
      </c>
      <c r="AF13" s="2" t="str">
        <f t="shared" ref="AF13" si="11">IF(NOT(ISBLANK(AG13)),"_","")</f>
        <v>_</v>
      </c>
      <c r="AG13" s="2" t="s">
        <v>273</v>
      </c>
      <c r="AH13" s="2" t="str">
        <f t="shared" si="3"/>
        <v/>
      </c>
      <c r="AI13" s="2"/>
    </row>
    <row r="14" spans="1:35" x14ac:dyDescent="0.25">
      <c r="B14" s="2" t="str">
        <f t="shared" si="8"/>
        <v>@color-label_parking_no</v>
      </c>
      <c r="C14" s="39" t="s">
        <v>274</v>
      </c>
      <c r="D14" s="39" t="s">
        <v>274</v>
      </c>
      <c r="F14" s="39" t="s">
        <v>274</v>
      </c>
      <c r="G14" s="39" t="s">
        <v>274</v>
      </c>
      <c r="I14" s="39" t="s">
        <v>274</v>
      </c>
      <c r="J14" s="39" t="s">
        <v>274</v>
      </c>
      <c r="L14" s="39" t="s">
        <v>274</v>
      </c>
      <c r="M14" s="39" t="s">
        <v>274</v>
      </c>
      <c r="O14" s="39" t="s">
        <v>274</v>
      </c>
      <c r="R14" s="39" t="s">
        <v>274</v>
      </c>
      <c r="U14" s="39" t="s">
        <v>274</v>
      </c>
      <c r="V14" s="39" t="s">
        <v>274</v>
      </c>
      <c r="X14" s="39" t="s">
        <v>274</v>
      </c>
      <c r="Y14" s="39" t="s">
        <v>274</v>
      </c>
      <c r="AA14" s="2" t="s">
        <v>6</v>
      </c>
      <c r="AB14" s="2" t="str">
        <f t="shared" ref="AB14:AB15" si="12">IF(NOT(ISBLANK(AC14)),"-","")</f>
        <v>-</v>
      </c>
      <c r="AC14" s="2" t="s">
        <v>271</v>
      </c>
      <c r="AD14" s="2" t="str">
        <f t="shared" ref="AD14:AD15" si="13">IF(NOT(ISBLANK(AE14)),"_","")</f>
        <v>_</v>
      </c>
      <c r="AE14" s="2" t="s">
        <v>272</v>
      </c>
      <c r="AF14" s="2" t="str">
        <f t="shared" ref="AF14:AF15" si="14">IF(NOT(ISBLANK(AG14)),"_","")</f>
        <v>_</v>
      </c>
      <c r="AG14" s="2" t="s">
        <v>41</v>
      </c>
      <c r="AH14" s="2" t="str">
        <f t="shared" si="3"/>
        <v/>
      </c>
      <c r="AI14" s="2"/>
    </row>
    <row r="15" spans="1:35" x14ac:dyDescent="0.25">
      <c r="B15" s="2" t="str">
        <f t="shared" si="8"/>
        <v>@color-label_place_other</v>
      </c>
      <c r="C15" s="29" t="s">
        <v>278</v>
      </c>
      <c r="D15" s="29" t="s">
        <v>278</v>
      </c>
      <c r="F15" s="30" t="s">
        <v>279</v>
      </c>
      <c r="G15" s="38" t="s">
        <v>222</v>
      </c>
      <c r="I15" s="29" t="s">
        <v>278</v>
      </c>
      <c r="J15" s="29" t="s">
        <v>278</v>
      </c>
      <c r="L15" s="30" t="s">
        <v>279</v>
      </c>
      <c r="M15" s="38" t="s">
        <v>222</v>
      </c>
      <c r="U15" s="29" t="s">
        <v>278</v>
      </c>
      <c r="V15" s="29" t="s">
        <v>278</v>
      </c>
      <c r="X15" s="30" t="s">
        <v>279</v>
      </c>
      <c r="Y15" s="38" t="s">
        <v>222</v>
      </c>
      <c r="AA15" s="2" t="s">
        <v>6</v>
      </c>
      <c r="AB15" s="2" t="str">
        <f t="shared" si="12"/>
        <v>-</v>
      </c>
      <c r="AC15" s="2" t="s">
        <v>271</v>
      </c>
      <c r="AD15" s="2" t="str">
        <f t="shared" si="13"/>
        <v>_</v>
      </c>
      <c r="AE15" s="2" t="s">
        <v>276</v>
      </c>
      <c r="AF15" s="2" t="str">
        <f t="shared" si="14"/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8"/>
        <v>@color-label_halo_place_other</v>
      </c>
      <c r="C16" s="31" t="s">
        <v>281</v>
      </c>
      <c r="D16" s="31" t="s">
        <v>281</v>
      </c>
      <c r="F16" s="32" t="s">
        <v>282</v>
      </c>
      <c r="G16" s="37" t="s">
        <v>214</v>
      </c>
      <c r="I16" s="31" t="s">
        <v>281</v>
      </c>
      <c r="J16" s="31" t="s">
        <v>281</v>
      </c>
      <c r="L16" s="32" t="s">
        <v>282</v>
      </c>
      <c r="M16" s="37" t="s">
        <v>214</v>
      </c>
      <c r="U16" s="31" t="s">
        <v>281</v>
      </c>
      <c r="V16" s="31" t="s">
        <v>281</v>
      </c>
      <c r="X16" s="32" t="s">
        <v>282</v>
      </c>
      <c r="Y16" s="37" t="s">
        <v>214</v>
      </c>
      <c r="AA16" s="2" t="s">
        <v>6</v>
      </c>
      <c r="AB16" s="2" t="str">
        <f t="shared" ref="AB16:AB17" si="15">IF(NOT(ISBLANK(AC16)),"-","")</f>
        <v>-</v>
      </c>
      <c r="AC16" s="2" t="s">
        <v>280</v>
      </c>
      <c r="AD16" s="2" t="str">
        <f t="shared" ref="AD16:AD17" si="16">IF(NOT(ISBLANK(AE16)),"_","")</f>
        <v>_</v>
      </c>
      <c r="AE16" s="2" t="s">
        <v>276</v>
      </c>
      <c r="AF16" s="2" t="str">
        <f t="shared" ref="AF16:AF17" si="17">IF(NOT(ISBLANK(AG16)),"_","")</f>
        <v>_</v>
      </c>
      <c r="AG16" s="2" t="s">
        <v>277</v>
      </c>
      <c r="AH16" s="2" t="str">
        <f t="shared" si="3"/>
        <v/>
      </c>
      <c r="AI16" s="2"/>
    </row>
    <row r="17" spans="2:35" x14ac:dyDescent="0.25">
      <c r="B17" s="2" t="str">
        <f t="shared" si="8"/>
        <v>@color-label_place_suburb_hamlet</v>
      </c>
      <c r="C17" s="29" t="s">
        <v>278</v>
      </c>
      <c r="D17" s="29" t="s">
        <v>278</v>
      </c>
      <c r="F17" s="30" t="s">
        <v>279</v>
      </c>
      <c r="G17" s="38" t="s">
        <v>222</v>
      </c>
      <c r="I17" s="29" t="s">
        <v>278</v>
      </c>
      <c r="J17" s="29" t="s">
        <v>278</v>
      </c>
      <c r="L17" s="30" t="s">
        <v>279</v>
      </c>
      <c r="M17" s="38" t="s">
        <v>222</v>
      </c>
      <c r="U17" s="29" t="s">
        <v>278</v>
      </c>
      <c r="V17" s="29" t="s">
        <v>278</v>
      </c>
      <c r="X17" s="30" t="s">
        <v>279</v>
      </c>
      <c r="Y17" s="38" t="s">
        <v>222</v>
      </c>
      <c r="AA17" s="2" t="s">
        <v>6</v>
      </c>
      <c r="AB17" s="2" t="str">
        <f t="shared" si="15"/>
        <v>-</v>
      </c>
      <c r="AC17" s="2" t="s">
        <v>271</v>
      </c>
      <c r="AD17" s="2" t="str">
        <f t="shared" si="16"/>
        <v>_</v>
      </c>
      <c r="AE17" s="2" t="s">
        <v>276</v>
      </c>
      <c r="AF17" s="2" t="str">
        <f t="shared" si="17"/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8"/>
        <v>@color-label_halo_place_suburb_hamlet</v>
      </c>
      <c r="C18" s="31" t="s">
        <v>281</v>
      </c>
      <c r="D18" s="31" t="s">
        <v>281</v>
      </c>
      <c r="F18" s="32" t="s">
        <v>282</v>
      </c>
      <c r="G18" s="37" t="s">
        <v>214</v>
      </c>
      <c r="I18" s="31" t="s">
        <v>281</v>
      </c>
      <c r="J18" s="31" t="s">
        <v>281</v>
      </c>
      <c r="L18" s="32" t="s">
        <v>282</v>
      </c>
      <c r="M18" s="37" t="s">
        <v>214</v>
      </c>
      <c r="U18" s="31" t="s">
        <v>281</v>
      </c>
      <c r="V18" s="31" t="s">
        <v>281</v>
      </c>
      <c r="X18" s="32" t="s">
        <v>282</v>
      </c>
      <c r="Y18" s="37" t="s">
        <v>214</v>
      </c>
      <c r="AA18" s="2" t="s">
        <v>6</v>
      </c>
      <c r="AB18" s="2" t="str">
        <f t="shared" ref="AB18:AB19" si="18">IF(NOT(ISBLANK(AC18)),"-","")</f>
        <v>-</v>
      </c>
      <c r="AC18" s="2" t="s">
        <v>280</v>
      </c>
      <c r="AD18" s="2" t="str">
        <f t="shared" ref="AD18:AD19" si="19">IF(NOT(ISBLANK(AE18)),"_","")</f>
        <v>_</v>
      </c>
      <c r="AE18" s="2" t="s">
        <v>276</v>
      </c>
      <c r="AF18" s="2" t="str">
        <f t="shared" ref="AF18:AF19" si="20">IF(NOT(ISBLANK(AG18)),"_","")</f>
        <v>_</v>
      </c>
      <c r="AG18" s="2" t="s">
        <v>283</v>
      </c>
      <c r="AH18" s="2" t="str">
        <f t="shared" si="3"/>
        <v/>
      </c>
      <c r="AI18" s="2"/>
    </row>
    <row r="19" spans="2:35" x14ac:dyDescent="0.25">
      <c r="B19" s="2" t="str">
        <f t="shared" si="8"/>
        <v>@color-label_place_village</v>
      </c>
      <c r="C19" s="29" t="s">
        <v>278</v>
      </c>
      <c r="D19" s="29" t="s">
        <v>278</v>
      </c>
      <c r="F19" s="30" t="s">
        <v>279</v>
      </c>
      <c r="G19" s="38" t="s">
        <v>222</v>
      </c>
      <c r="I19" s="29" t="s">
        <v>278</v>
      </c>
      <c r="J19" s="29" t="s">
        <v>278</v>
      </c>
      <c r="L19" s="30" t="s">
        <v>279</v>
      </c>
      <c r="M19" s="38" t="s">
        <v>222</v>
      </c>
      <c r="U19" s="29" t="s">
        <v>278</v>
      </c>
      <c r="V19" s="29" t="s">
        <v>278</v>
      </c>
      <c r="X19" s="30" t="s">
        <v>279</v>
      </c>
      <c r="Y19" s="38" t="s">
        <v>222</v>
      </c>
      <c r="AA19" s="2" t="s">
        <v>6</v>
      </c>
      <c r="AB19" s="2" t="str">
        <f t="shared" si="18"/>
        <v>-</v>
      </c>
      <c r="AC19" s="2" t="s">
        <v>271</v>
      </c>
      <c r="AD19" s="2" t="str">
        <f t="shared" si="19"/>
        <v>_</v>
      </c>
      <c r="AE19" s="2" t="s">
        <v>276</v>
      </c>
      <c r="AF19" s="2" t="str">
        <f t="shared" si="20"/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8"/>
        <v>@color-label_halo_place_village</v>
      </c>
      <c r="C20" s="31" t="s">
        <v>281</v>
      </c>
      <c r="D20" s="31" t="s">
        <v>281</v>
      </c>
      <c r="F20" s="32" t="s">
        <v>282</v>
      </c>
      <c r="G20" s="37" t="s">
        <v>214</v>
      </c>
      <c r="I20" s="31" t="s">
        <v>281</v>
      </c>
      <c r="J20" s="31" t="s">
        <v>281</v>
      </c>
      <c r="L20" s="32" t="s">
        <v>282</v>
      </c>
      <c r="M20" s="37" t="s">
        <v>214</v>
      </c>
      <c r="U20" s="31" t="s">
        <v>281</v>
      </c>
      <c r="V20" s="31" t="s">
        <v>281</v>
      </c>
      <c r="X20" s="32" t="s">
        <v>282</v>
      </c>
      <c r="Y20" s="37" t="s">
        <v>214</v>
      </c>
      <c r="AA20" s="2" t="s">
        <v>6</v>
      </c>
      <c r="AB20" s="2" t="str">
        <f t="shared" ref="AB20:AB21" si="21">IF(NOT(ISBLANK(AC20)),"-","")</f>
        <v>-</v>
      </c>
      <c r="AC20" s="2" t="s">
        <v>280</v>
      </c>
      <c r="AD20" s="2" t="str">
        <f t="shared" ref="AD20:AD21" si="22">IF(NOT(ISBLANK(AE20)),"_","")</f>
        <v>_</v>
      </c>
      <c r="AE20" s="2" t="s">
        <v>276</v>
      </c>
      <c r="AF20" s="2" t="str">
        <f t="shared" ref="AF20:AF21" si="23">IF(NOT(ISBLANK(AG20)),"_","")</f>
        <v>_</v>
      </c>
      <c r="AG20" s="2" t="s">
        <v>284</v>
      </c>
      <c r="AH20" s="2" t="str">
        <f t="shared" si="3"/>
        <v/>
      </c>
      <c r="AI20" s="2"/>
    </row>
    <row r="21" spans="2:35" x14ac:dyDescent="0.25">
      <c r="B21" s="2" t="str">
        <f t="shared" si="8"/>
        <v>@color-label_place_town</v>
      </c>
      <c r="C21" s="29" t="s">
        <v>278</v>
      </c>
      <c r="D21" s="29" t="s">
        <v>278</v>
      </c>
      <c r="F21" s="30" t="s">
        <v>279</v>
      </c>
      <c r="G21" s="38" t="s">
        <v>222</v>
      </c>
      <c r="I21" s="29" t="s">
        <v>278</v>
      </c>
      <c r="J21" s="29" t="s">
        <v>278</v>
      </c>
      <c r="L21" s="30" t="s">
        <v>279</v>
      </c>
      <c r="M21" s="38" t="s">
        <v>222</v>
      </c>
      <c r="U21" s="29" t="s">
        <v>278</v>
      </c>
      <c r="V21" s="29" t="s">
        <v>278</v>
      </c>
      <c r="X21" s="30" t="s">
        <v>279</v>
      </c>
      <c r="Y21" s="38" t="s">
        <v>222</v>
      </c>
      <c r="AA21" s="2" t="s">
        <v>6</v>
      </c>
      <c r="AB21" s="2" t="str">
        <f t="shared" si="21"/>
        <v>-</v>
      </c>
      <c r="AC21" s="2" t="s">
        <v>271</v>
      </c>
      <c r="AD21" s="2" t="str">
        <f t="shared" si="22"/>
        <v>_</v>
      </c>
      <c r="AE21" s="2" t="s">
        <v>276</v>
      </c>
      <c r="AF21" s="2" t="str">
        <f t="shared" si="23"/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8"/>
        <v>@color-label_halo_place_town</v>
      </c>
      <c r="C22" s="31" t="s">
        <v>281</v>
      </c>
      <c r="D22" s="31" t="s">
        <v>281</v>
      </c>
      <c r="F22" s="32" t="s">
        <v>282</v>
      </c>
      <c r="G22" s="37" t="s">
        <v>214</v>
      </c>
      <c r="I22" s="31" t="s">
        <v>281</v>
      </c>
      <c r="J22" s="31" t="s">
        <v>281</v>
      </c>
      <c r="L22" s="32" t="s">
        <v>282</v>
      </c>
      <c r="M22" s="37" t="s">
        <v>214</v>
      </c>
      <c r="U22" s="31" t="s">
        <v>281</v>
      </c>
      <c r="V22" s="31" t="s">
        <v>281</v>
      </c>
      <c r="X22" s="32" t="s">
        <v>282</v>
      </c>
      <c r="Y22" s="37" t="s">
        <v>214</v>
      </c>
      <c r="AA22" s="2" t="s">
        <v>6</v>
      </c>
      <c r="AB22" s="2" t="str">
        <f t="shared" ref="AB22:AB23" si="24">IF(NOT(ISBLANK(AC22)),"-","")</f>
        <v>-</v>
      </c>
      <c r="AC22" s="2" t="s">
        <v>280</v>
      </c>
      <c r="AD22" s="2" t="str">
        <f t="shared" ref="AD22:AD23" si="25">IF(NOT(ISBLANK(AE22)),"_","")</f>
        <v>_</v>
      </c>
      <c r="AE22" s="2" t="s">
        <v>276</v>
      </c>
      <c r="AF22" s="2" t="str">
        <f t="shared" ref="AF22:AF23" si="26">IF(NOT(ISBLANK(AG22)),"_","")</f>
        <v>_</v>
      </c>
      <c r="AG22" s="2" t="s">
        <v>285</v>
      </c>
      <c r="AH22" s="2" t="str">
        <f t="shared" si="3"/>
        <v/>
      </c>
      <c r="AI22" s="2"/>
    </row>
    <row r="23" spans="2:35" x14ac:dyDescent="0.25">
      <c r="B23" s="2" t="str">
        <f t="shared" si="8"/>
        <v>@color-label_place_city</v>
      </c>
      <c r="C23" s="29" t="s">
        <v>278</v>
      </c>
      <c r="D23" s="29" t="s">
        <v>278</v>
      </c>
      <c r="F23" s="30" t="s">
        <v>279</v>
      </c>
      <c r="G23" s="38" t="s">
        <v>222</v>
      </c>
      <c r="I23" s="29" t="s">
        <v>278</v>
      </c>
      <c r="J23" s="29" t="s">
        <v>278</v>
      </c>
      <c r="L23" s="30" t="s">
        <v>279</v>
      </c>
      <c r="M23" s="38" t="s">
        <v>222</v>
      </c>
      <c r="U23" s="29" t="s">
        <v>278</v>
      </c>
      <c r="V23" s="29" t="s">
        <v>278</v>
      </c>
      <c r="X23" s="30" t="s">
        <v>279</v>
      </c>
      <c r="Y23" s="38" t="s">
        <v>222</v>
      </c>
      <c r="AA23" s="2" t="s">
        <v>6</v>
      </c>
      <c r="AB23" s="2" t="str">
        <f t="shared" si="24"/>
        <v>-</v>
      </c>
      <c r="AC23" s="2" t="s">
        <v>271</v>
      </c>
      <c r="AD23" s="2" t="str">
        <f t="shared" si="25"/>
        <v>_</v>
      </c>
      <c r="AE23" s="2" t="s">
        <v>276</v>
      </c>
      <c r="AF23" s="2" t="str">
        <f t="shared" si="26"/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8"/>
        <v>@color-label_halo_place_city</v>
      </c>
      <c r="C24" s="31" t="s">
        <v>281</v>
      </c>
      <c r="D24" s="31" t="s">
        <v>281</v>
      </c>
      <c r="F24" s="32" t="s">
        <v>282</v>
      </c>
      <c r="G24" s="37" t="s">
        <v>214</v>
      </c>
      <c r="I24" s="31" t="s">
        <v>281</v>
      </c>
      <c r="J24" s="31" t="s">
        <v>281</v>
      </c>
      <c r="L24" s="32" t="s">
        <v>282</v>
      </c>
      <c r="M24" s="37" t="s">
        <v>214</v>
      </c>
      <c r="U24" s="31" t="s">
        <v>281</v>
      </c>
      <c r="V24" s="31" t="s">
        <v>281</v>
      </c>
      <c r="X24" s="32" t="s">
        <v>282</v>
      </c>
      <c r="Y24" s="37" t="s">
        <v>214</v>
      </c>
      <c r="AA24" s="2" t="s">
        <v>6</v>
      </c>
      <c r="AB24" s="2" t="str">
        <f t="shared" ref="AB24:AB25" si="27">IF(NOT(ISBLANK(AC24)),"-","")</f>
        <v>-</v>
      </c>
      <c r="AC24" s="2" t="s">
        <v>280</v>
      </c>
      <c r="AD24" s="2" t="str">
        <f t="shared" ref="AD24:AD25" si="28">IF(NOT(ISBLANK(AE24)),"_","")</f>
        <v>_</v>
      </c>
      <c r="AE24" s="2" t="s">
        <v>276</v>
      </c>
      <c r="AF24" s="2" t="str">
        <f t="shared" ref="AF24:AF25" si="29">IF(NOT(ISBLANK(AG24)),"_","")</f>
        <v>_</v>
      </c>
      <c r="AG24" s="2" t="s">
        <v>286</v>
      </c>
      <c r="AH24" s="2" t="str">
        <f t="shared" si="3"/>
        <v/>
      </c>
      <c r="AI24" s="2"/>
    </row>
    <row r="25" spans="2:35" x14ac:dyDescent="0.25">
      <c r="B25" s="2" t="str">
        <f t="shared" si="8"/>
        <v>@color-label_place_capital</v>
      </c>
      <c r="C25" s="29" t="s">
        <v>278</v>
      </c>
      <c r="D25" s="29" t="s">
        <v>278</v>
      </c>
      <c r="F25" s="30" t="s">
        <v>279</v>
      </c>
      <c r="G25" s="38" t="s">
        <v>222</v>
      </c>
      <c r="I25" s="29" t="s">
        <v>278</v>
      </c>
      <c r="J25" s="29" t="s">
        <v>278</v>
      </c>
      <c r="L25" s="30" t="s">
        <v>279</v>
      </c>
      <c r="M25" s="38" t="s">
        <v>222</v>
      </c>
      <c r="U25" s="29" t="s">
        <v>278</v>
      </c>
      <c r="V25" s="29" t="s">
        <v>278</v>
      </c>
      <c r="X25" s="30" t="s">
        <v>279</v>
      </c>
      <c r="Y25" s="38" t="s">
        <v>222</v>
      </c>
      <c r="AA25" s="2" t="s">
        <v>6</v>
      </c>
      <c r="AB25" s="2" t="str">
        <f t="shared" si="27"/>
        <v>-</v>
      </c>
      <c r="AC25" s="2" t="s">
        <v>271</v>
      </c>
      <c r="AD25" s="2" t="str">
        <f t="shared" si="28"/>
        <v>_</v>
      </c>
      <c r="AE25" s="2" t="s">
        <v>276</v>
      </c>
      <c r="AF25" s="2" t="str">
        <f t="shared" si="29"/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8"/>
        <v>@color-label_halo_place_capital</v>
      </c>
      <c r="C26" s="31" t="s">
        <v>281</v>
      </c>
      <c r="D26" s="31" t="s">
        <v>281</v>
      </c>
      <c r="F26" s="32" t="s">
        <v>282</v>
      </c>
      <c r="G26" s="37" t="s">
        <v>214</v>
      </c>
      <c r="I26" s="31" t="s">
        <v>281</v>
      </c>
      <c r="J26" s="31" t="s">
        <v>281</v>
      </c>
      <c r="L26" s="32" t="s">
        <v>282</v>
      </c>
      <c r="M26" s="37" t="s">
        <v>214</v>
      </c>
      <c r="U26" s="31" t="s">
        <v>281</v>
      </c>
      <c r="V26" s="31" t="s">
        <v>281</v>
      </c>
      <c r="X26" s="32" t="s">
        <v>282</v>
      </c>
      <c r="Y26" s="37" t="s">
        <v>214</v>
      </c>
      <c r="AA26" s="2" t="s">
        <v>6</v>
      </c>
      <c r="AB26" s="2" t="str">
        <f t="shared" ref="AB26:AB44" si="30">IF(NOT(ISBLANK(AC26)),"-","")</f>
        <v>-</v>
      </c>
      <c r="AC26" s="2" t="s">
        <v>280</v>
      </c>
      <c r="AD26" s="2" t="str">
        <f t="shared" ref="AD26:AD44" si="31">IF(NOT(ISBLANK(AE26)),"_","")</f>
        <v>_</v>
      </c>
      <c r="AE26" s="2" t="s">
        <v>276</v>
      </c>
      <c r="AF26" s="2" t="str">
        <f t="shared" ref="AF26:AF44" si="32">IF(NOT(ISBLANK(AG26)),"_","")</f>
        <v>_</v>
      </c>
      <c r="AG26" s="2" t="s">
        <v>287</v>
      </c>
      <c r="AH26" s="2" t="str">
        <f t="shared" si="3"/>
        <v/>
      </c>
      <c r="AI26" s="2"/>
    </row>
    <row r="27" spans="2:35" x14ac:dyDescent="0.25">
      <c r="B27" s="2" t="str">
        <f t="shared" si="8"/>
        <v>@color-label_place_state</v>
      </c>
      <c r="C27" s="136" t="s">
        <v>302</v>
      </c>
      <c r="D27" s="136" t="s">
        <v>302</v>
      </c>
      <c r="F27" s="137" t="s">
        <v>303</v>
      </c>
      <c r="G27" s="38" t="s">
        <v>222</v>
      </c>
      <c r="I27" s="136" t="s">
        <v>302</v>
      </c>
      <c r="J27" s="136" t="s">
        <v>302</v>
      </c>
      <c r="L27" s="137" t="s">
        <v>303</v>
      </c>
      <c r="M27" s="38" t="s">
        <v>222</v>
      </c>
      <c r="U27" s="136" t="s">
        <v>302</v>
      </c>
      <c r="V27" s="136" t="s">
        <v>302</v>
      </c>
      <c r="X27" s="137" t="s">
        <v>303</v>
      </c>
      <c r="Y27" s="38" t="s">
        <v>222</v>
      </c>
      <c r="AA27" s="2" t="s">
        <v>6</v>
      </c>
      <c r="AB27" s="2" t="str">
        <f t="shared" si="30"/>
        <v>-</v>
      </c>
      <c r="AC27" s="2" t="s">
        <v>271</v>
      </c>
      <c r="AD27" s="2" t="str">
        <f t="shared" si="31"/>
        <v>_</v>
      </c>
      <c r="AE27" s="2" t="s">
        <v>276</v>
      </c>
      <c r="AF27" s="2" t="str">
        <f t="shared" si="32"/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8"/>
        <v>@color-label_halo_place_state</v>
      </c>
      <c r="C28" s="31" t="s">
        <v>281</v>
      </c>
      <c r="D28" s="31" t="s">
        <v>281</v>
      </c>
      <c r="F28" s="32" t="s">
        <v>282</v>
      </c>
      <c r="G28" s="37" t="s">
        <v>214</v>
      </c>
      <c r="I28" s="31" t="s">
        <v>281</v>
      </c>
      <c r="J28" s="31" t="s">
        <v>281</v>
      </c>
      <c r="L28" s="32" t="s">
        <v>282</v>
      </c>
      <c r="M28" s="37" t="s">
        <v>214</v>
      </c>
      <c r="U28" s="31" t="s">
        <v>281</v>
      </c>
      <c r="V28" s="31" t="s">
        <v>281</v>
      </c>
      <c r="X28" s="32" t="s">
        <v>282</v>
      </c>
      <c r="Y28" s="37" t="s">
        <v>214</v>
      </c>
      <c r="AA28" s="2" t="s">
        <v>6</v>
      </c>
      <c r="AB28" s="2" t="str">
        <f t="shared" ref="AB28:AB29" si="33">IF(NOT(ISBLANK(AC28)),"-","")</f>
        <v>-</v>
      </c>
      <c r="AC28" s="2" t="s">
        <v>280</v>
      </c>
      <c r="AD28" s="2" t="str">
        <f t="shared" ref="AD28:AD29" si="34">IF(NOT(ISBLANK(AE28)),"_","")</f>
        <v>_</v>
      </c>
      <c r="AE28" s="2" t="s">
        <v>276</v>
      </c>
      <c r="AF28" s="2" t="str">
        <f t="shared" ref="AF28:AF29" si="35">IF(NOT(ISBLANK(AG28)),"_","")</f>
        <v>_</v>
      </c>
      <c r="AG28" s="2" t="s">
        <v>301</v>
      </c>
      <c r="AH28" s="2" t="str">
        <f t="shared" si="3"/>
        <v/>
      </c>
      <c r="AI28" s="2"/>
    </row>
    <row r="29" spans="2:35" x14ac:dyDescent="0.25">
      <c r="B29" s="2" t="str">
        <f t="shared" si="8"/>
        <v>@color-label_place_country_other</v>
      </c>
      <c r="C29" s="138" t="s">
        <v>304</v>
      </c>
      <c r="D29" s="138" t="s">
        <v>304</v>
      </c>
      <c r="F29" s="139" t="s">
        <v>305</v>
      </c>
      <c r="G29" s="38" t="s">
        <v>222</v>
      </c>
      <c r="I29" s="138" t="s">
        <v>304</v>
      </c>
      <c r="J29" s="138" t="s">
        <v>304</v>
      </c>
      <c r="L29" s="139" t="s">
        <v>305</v>
      </c>
      <c r="M29" s="38" t="s">
        <v>222</v>
      </c>
      <c r="U29" s="138" t="s">
        <v>304</v>
      </c>
      <c r="V29" s="138" t="s">
        <v>304</v>
      </c>
      <c r="X29" s="139" t="s">
        <v>305</v>
      </c>
      <c r="Y29" s="38" t="s">
        <v>222</v>
      </c>
      <c r="AA29" s="2" t="s">
        <v>6</v>
      </c>
      <c r="AB29" s="2" t="str">
        <f t="shared" si="33"/>
        <v>-</v>
      </c>
      <c r="AC29" s="2" t="s">
        <v>271</v>
      </c>
      <c r="AD29" s="2" t="str">
        <f t="shared" si="34"/>
        <v>_</v>
      </c>
      <c r="AE29" s="2" t="s">
        <v>276</v>
      </c>
      <c r="AF29" s="2" t="str">
        <f t="shared" si="35"/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8"/>
        <v>@color-label_halo_place_country_other</v>
      </c>
      <c r="C30" s="31" t="s">
        <v>281</v>
      </c>
      <c r="D30" s="31" t="s">
        <v>281</v>
      </c>
      <c r="F30" s="32" t="s">
        <v>282</v>
      </c>
      <c r="G30" s="37" t="s">
        <v>214</v>
      </c>
      <c r="I30" s="31" t="s">
        <v>281</v>
      </c>
      <c r="J30" s="31" t="s">
        <v>281</v>
      </c>
      <c r="L30" s="32" t="s">
        <v>282</v>
      </c>
      <c r="M30" s="37" t="s">
        <v>214</v>
      </c>
      <c r="U30" s="31" t="s">
        <v>281</v>
      </c>
      <c r="V30" s="31" t="s">
        <v>281</v>
      </c>
      <c r="X30" s="32" t="s">
        <v>282</v>
      </c>
      <c r="Y30" s="37" t="s">
        <v>214</v>
      </c>
      <c r="AA30" s="2" t="s">
        <v>6</v>
      </c>
      <c r="AB30" s="2" t="str">
        <f t="shared" ref="AB30:AB31" si="36">IF(NOT(ISBLANK(AC30)),"-","")</f>
        <v>-</v>
      </c>
      <c r="AC30" s="2" t="s">
        <v>280</v>
      </c>
      <c r="AD30" s="2" t="str">
        <f t="shared" ref="AD30:AD31" si="37">IF(NOT(ISBLANK(AE30)),"_","")</f>
        <v>_</v>
      </c>
      <c r="AE30" s="2" t="s">
        <v>276</v>
      </c>
      <c r="AF30" s="2" t="str">
        <f t="shared" ref="AF30:AF31" si="38">IF(NOT(ISBLANK(AG30)),"_","")</f>
        <v>_</v>
      </c>
      <c r="AG30" s="2" t="s">
        <v>312</v>
      </c>
      <c r="AH30" s="2" t="str">
        <f t="shared" si="3"/>
        <v>_</v>
      </c>
      <c r="AI30" s="2" t="s">
        <v>277</v>
      </c>
    </row>
    <row r="31" spans="2:35" x14ac:dyDescent="0.25">
      <c r="B31" s="2" t="str">
        <f t="shared" si="8"/>
        <v>@color-label_place_country_minor</v>
      </c>
      <c r="C31" s="138" t="s">
        <v>304</v>
      </c>
      <c r="D31" s="138" t="s">
        <v>304</v>
      </c>
      <c r="F31" s="139" t="s">
        <v>305</v>
      </c>
      <c r="G31" s="38" t="s">
        <v>222</v>
      </c>
      <c r="I31" s="138" t="s">
        <v>304</v>
      </c>
      <c r="J31" s="138" t="s">
        <v>304</v>
      </c>
      <c r="L31" s="139" t="s">
        <v>305</v>
      </c>
      <c r="M31" s="38" t="s">
        <v>222</v>
      </c>
      <c r="U31" s="138" t="s">
        <v>304</v>
      </c>
      <c r="V31" s="138" t="s">
        <v>304</v>
      </c>
      <c r="X31" s="139" t="s">
        <v>305</v>
      </c>
      <c r="Y31" s="38" t="s">
        <v>222</v>
      </c>
      <c r="AA31" s="2" t="s">
        <v>6</v>
      </c>
      <c r="AB31" s="2" t="str">
        <f t="shared" si="36"/>
        <v>-</v>
      </c>
      <c r="AC31" s="2" t="s">
        <v>271</v>
      </c>
      <c r="AD31" s="2" t="str">
        <f t="shared" si="37"/>
        <v>_</v>
      </c>
      <c r="AE31" s="2" t="s">
        <v>276</v>
      </c>
      <c r="AF31" s="2" t="str">
        <f t="shared" si="38"/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8"/>
        <v>@color-label_halo_place_country_minor</v>
      </c>
      <c r="C32" s="31" t="s">
        <v>281</v>
      </c>
      <c r="D32" s="31" t="s">
        <v>281</v>
      </c>
      <c r="F32" s="32" t="s">
        <v>282</v>
      </c>
      <c r="G32" s="37" t="s">
        <v>214</v>
      </c>
      <c r="I32" s="31" t="s">
        <v>281</v>
      </c>
      <c r="J32" s="31" t="s">
        <v>281</v>
      </c>
      <c r="L32" s="32" t="s">
        <v>282</v>
      </c>
      <c r="M32" s="37" t="s">
        <v>214</v>
      </c>
      <c r="U32" s="31" t="s">
        <v>281</v>
      </c>
      <c r="V32" s="31" t="s">
        <v>281</v>
      </c>
      <c r="X32" s="32" t="s">
        <v>282</v>
      </c>
      <c r="Y32" s="37" t="s">
        <v>214</v>
      </c>
      <c r="AA32" s="2" t="s">
        <v>6</v>
      </c>
      <c r="AB32" s="2" t="str">
        <f t="shared" ref="AB32:AB33" si="39">IF(NOT(ISBLANK(AC32)),"-","")</f>
        <v>-</v>
      </c>
      <c r="AC32" s="2" t="s">
        <v>280</v>
      </c>
      <c r="AD32" s="2" t="str">
        <f t="shared" ref="AD32:AD33" si="40">IF(NOT(ISBLANK(AE32)),"_","")</f>
        <v>_</v>
      </c>
      <c r="AE32" s="2" t="s">
        <v>276</v>
      </c>
      <c r="AF32" s="2" t="str">
        <f t="shared" ref="AF32:AF33" si="41">IF(NOT(ISBLANK(AG32)),"_","")</f>
        <v>_</v>
      </c>
      <c r="AG32" s="2" t="s">
        <v>312</v>
      </c>
      <c r="AH32" s="2" t="str">
        <f t="shared" si="3"/>
        <v>_</v>
      </c>
      <c r="AI32" s="2" t="s">
        <v>31</v>
      </c>
    </row>
    <row r="33" spans="2:35" x14ac:dyDescent="0.25">
      <c r="B33" s="2" t="str">
        <f t="shared" si="8"/>
        <v>@color-label_place_country_medium</v>
      </c>
      <c r="C33" s="138" t="s">
        <v>304</v>
      </c>
      <c r="D33" s="138" t="s">
        <v>304</v>
      </c>
      <c r="F33" s="139" t="s">
        <v>305</v>
      </c>
      <c r="G33" s="38" t="s">
        <v>222</v>
      </c>
      <c r="I33" s="138" t="s">
        <v>304</v>
      </c>
      <c r="J33" s="138" t="s">
        <v>304</v>
      </c>
      <c r="L33" s="139" t="s">
        <v>305</v>
      </c>
      <c r="M33" s="38" t="s">
        <v>222</v>
      </c>
      <c r="U33" s="138" t="s">
        <v>304</v>
      </c>
      <c r="V33" s="138" t="s">
        <v>304</v>
      </c>
      <c r="X33" s="139" t="s">
        <v>305</v>
      </c>
      <c r="Y33" s="38" t="s">
        <v>222</v>
      </c>
      <c r="AA33" s="2" t="s">
        <v>6</v>
      </c>
      <c r="AB33" s="2" t="str">
        <f t="shared" si="39"/>
        <v>-</v>
      </c>
      <c r="AC33" s="2" t="s">
        <v>271</v>
      </c>
      <c r="AD33" s="2" t="str">
        <f t="shared" si="40"/>
        <v>_</v>
      </c>
      <c r="AE33" s="2" t="s">
        <v>276</v>
      </c>
      <c r="AF33" s="2" t="str">
        <f t="shared" si="41"/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8"/>
        <v>@color-label_halo_place_country_medium</v>
      </c>
      <c r="C34" s="31" t="s">
        <v>281</v>
      </c>
      <c r="D34" s="31" t="s">
        <v>281</v>
      </c>
      <c r="F34" s="32" t="s">
        <v>282</v>
      </c>
      <c r="G34" s="37" t="s">
        <v>214</v>
      </c>
      <c r="I34" s="31" t="s">
        <v>281</v>
      </c>
      <c r="J34" s="31" t="s">
        <v>281</v>
      </c>
      <c r="L34" s="32" t="s">
        <v>282</v>
      </c>
      <c r="M34" s="37" t="s">
        <v>214</v>
      </c>
      <c r="U34" s="31" t="s">
        <v>281</v>
      </c>
      <c r="V34" s="31" t="s">
        <v>281</v>
      </c>
      <c r="X34" s="32" t="s">
        <v>282</v>
      </c>
      <c r="Y34" s="37" t="s">
        <v>214</v>
      </c>
      <c r="AA34" s="2" t="s">
        <v>6</v>
      </c>
      <c r="AB34" s="2" t="str">
        <f t="shared" ref="AB34:AB35" si="42">IF(NOT(ISBLANK(AC34)),"-","")</f>
        <v>-</v>
      </c>
      <c r="AC34" s="2" t="s">
        <v>280</v>
      </c>
      <c r="AD34" s="2" t="str">
        <f t="shared" ref="AD34:AD35" si="43">IF(NOT(ISBLANK(AE34)),"_","")</f>
        <v>_</v>
      </c>
      <c r="AE34" s="2" t="s">
        <v>276</v>
      </c>
      <c r="AF34" s="2" t="str">
        <f t="shared" ref="AF34:AF35" si="44">IF(NOT(ISBLANK(AG34)),"_","")</f>
        <v>_</v>
      </c>
      <c r="AG34" s="2" t="s">
        <v>312</v>
      </c>
      <c r="AH34" s="2" t="str">
        <f t="shared" si="3"/>
        <v>_</v>
      </c>
      <c r="AI34" s="2" t="s">
        <v>79</v>
      </c>
    </row>
    <row r="35" spans="2:35" x14ac:dyDescent="0.25">
      <c r="B35" s="2" t="str">
        <f t="shared" si="8"/>
        <v>@color-label_place_country_major</v>
      </c>
      <c r="C35" s="138" t="s">
        <v>304</v>
      </c>
      <c r="D35" s="138" t="s">
        <v>304</v>
      </c>
      <c r="F35" s="139" t="s">
        <v>305</v>
      </c>
      <c r="G35" s="38" t="s">
        <v>222</v>
      </c>
      <c r="I35" s="138" t="s">
        <v>304</v>
      </c>
      <c r="J35" s="138" t="s">
        <v>304</v>
      </c>
      <c r="L35" s="139" t="s">
        <v>305</v>
      </c>
      <c r="M35" s="38" t="s">
        <v>222</v>
      </c>
      <c r="U35" s="138" t="s">
        <v>304</v>
      </c>
      <c r="V35" s="138" t="s">
        <v>304</v>
      </c>
      <c r="X35" s="139" t="s">
        <v>305</v>
      </c>
      <c r="Y35" s="38" t="s">
        <v>222</v>
      </c>
      <c r="AA35" s="2" t="s">
        <v>6</v>
      </c>
      <c r="AB35" s="2" t="str">
        <f t="shared" si="42"/>
        <v>-</v>
      </c>
      <c r="AC35" s="2" t="s">
        <v>271</v>
      </c>
      <c r="AD35" s="2" t="str">
        <f t="shared" si="43"/>
        <v>_</v>
      </c>
      <c r="AE35" s="2" t="s">
        <v>276</v>
      </c>
      <c r="AF35" s="2" t="str">
        <f t="shared" si="44"/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8"/>
        <v>@color-label_halo_place_country_major</v>
      </c>
      <c r="C36" s="31" t="s">
        <v>281</v>
      </c>
      <c r="D36" s="31" t="s">
        <v>281</v>
      </c>
      <c r="F36" s="32" t="s">
        <v>282</v>
      </c>
      <c r="G36" s="37" t="s">
        <v>214</v>
      </c>
      <c r="I36" s="31" t="s">
        <v>281</v>
      </c>
      <c r="J36" s="31" t="s">
        <v>281</v>
      </c>
      <c r="L36" s="32" t="s">
        <v>282</v>
      </c>
      <c r="M36" s="37" t="s">
        <v>214</v>
      </c>
      <c r="U36" s="31" t="s">
        <v>281</v>
      </c>
      <c r="V36" s="31" t="s">
        <v>281</v>
      </c>
      <c r="X36" s="32" t="s">
        <v>282</v>
      </c>
      <c r="Y36" s="37" t="s">
        <v>214</v>
      </c>
      <c r="AA36" s="2" t="s">
        <v>6</v>
      </c>
      <c r="AB36" s="2" t="str">
        <f t="shared" ref="AB36" si="45">IF(NOT(ISBLANK(AC36)),"-","")</f>
        <v>-</v>
      </c>
      <c r="AC36" s="2" t="s">
        <v>280</v>
      </c>
      <c r="AD36" s="2" t="str">
        <f t="shared" ref="AD36" si="46">IF(NOT(ISBLANK(AE36)),"_","")</f>
        <v>_</v>
      </c>
      <c r="AE36" s="2" t="s">
        <v>276</v>
      </c>
      <c r="AF36" s="2" t="str">
        <f t="shared" ref="AF36" si="47">IF(NOT(ISBLANK(AG36)),"_","")</f>
        <v>_</v>
      </c>
      <c r="AG36" s="2" t="s">
        <v>312</v>
      </c>
      <c r="AH36" s="2" t="str">
        <f t="shared" si="3"/>
        <v>_</v>
      </c>
      <c r="AI36" s="2" t="s">
        <v>311</v>
      </c>
    </row>
    <row r="37" spans="2:35" x14ac:dyDescent="0.25">
      <c r="B37" s="2" t="str">
        <f t="shared" si="8"/>
        <v>@color-label_place_protected_area</v>
      </c>
      <c r="C37" s="134" t="s">
        <v>299</v>
      </c>
      <c r="D37" s="134" t="s">
        <v>299</v>
      </c>
      <c r="F37" s="135" t="s">
        <v>300</v>
      </c>
      <c r="G37" s="38" t="s">
        <v>222</v>
      </c>
      <c r="I37" s="134" t="s">
        <v>299</v>
      </c>
      <c r="J37" s="134" t="s">
        <v>299</v>
      </c>
      <c r="L37" s="135" t="s">
        <v>300</v>
      </c>
      <c r="M37" s="38" t="s">
        <v>222</v>
      </c>
      <c r="U37" s="134" t="s">
        <v>299</v>
      </c>
      <c r="V37" s="134" t="s">
        <v>299</v>
      </c>
      <c r="X37" s="135" t="s">
        <v>300</v>
      </c>
      <c r="Y37" s="38" t="s">
        <v>222</v>
      </c>
      <c r="AA37" s="2" t="s">
        <v>6</v>
      </c>
      <c r="AB37" s="2" t="str">
        <f t="shared" si="30"/>
        <v>-</v>
      </c>
      <c r="AC37" s="2" t="s">
        <v>271</v>
      </c>
      <c r="AD37" s="2" t="str">
        <f t="shared" si="31"/>
        <v>_</v>
      </c>
      <c r="AE37" s="2" t="s">
        <v>276</v>
      </c>
      <c r="AF37" s="2" t="str">
        <f t="shared" si="32"/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8"/>
        <v>@color-label_halo_place_protected_area</v>
      </c>
      <c r="C38" s="38" t="s">
        <v>222</v>
      </c>
      <c r="D38" s="38" t="s">
        <v>222</v>
      </c>
      <c r="F38" s="37" t="s">
        <v>214</v>
      </c>
      <c r="G38" s="37" t="s">
        <v>214</v>
      </c>
      <c r="I38" s="38" t="s">
        <v>222</v>
      </c>
      <c r="J38" s="38" t="s">
        <v>222</v>
      </c>
      <c r="L38" s="37" t="s">
        <v>214</v>
      </c>
      <c r="M38" s="37" t="s">
        <v>214</v>
      </c>
      <c r="U38" s="38" t="s">
        <v>222</v>
      </c>
      <c r="V38" s="38" t="s">
        <v>222</v>
      </c>
      <c r="X38" s="37" t="s">
        <v>214</v>
      </c>
      <c r="Y38" s="37" t="s">
        <v>214</v>
      </c>
      <c r="AA38" s="2" t="s">
        <v>6</v>
      </c>
      <c r="AB38" s="2" t="str">
        <f t="shared" ref="AB38:AB39" si="48">IF(NOT(ISBLANK(AC38)),"-","")</f>
        <v>-</v>
      </c>
      <c r="AC38" s="2" t="s">
        <v>280</v>
      </c>
      <c r="AD38" s="2" t="str">
        <f t="shared" ref="AD38:AD39" si="49">IF(NOT(ISBLANK(AE38)),"_","")</f>
        <v>_</v>
      </c>
      <c r="AE38" s="2" t="s">
        <v>276</v>
      </c>
      <c r="AF38" s="2" t="str">
        <f t="shared" ref="AF38:AF39" si="50">IF(NOT(ISBLANK(AG38)),"_","")</f>
        <v>_</v>
      </c>
      <c r="AG38" s="2" t="s">
        <v>298</v>
      </c>
      <c r="AH38" s="2" t="str">
        <f t="shared" si="3"/>
        <v/>
      </c>
      <c r="AI38" s="2"/>
    </row>
    <row r="39" spans="2:35" x14ac:dyDescent="0.25">
      <c r="B39" s="2" t="str">
        <f t="shared" si="8"/>
        <v>@color-label_place_poi-level_123_and_additions_farzoom</v>
      </c>
      <c r="C39" s="134" t="s">
        <v>299</v>
      </c>
      <c r="D39" s="134" t="s">
        <v>299</v>
      </c>
      <c r="F39" s="135" t="s">
        <v>300</v>
      </c>
      <c r="G39" s="38" t="s">
        <v>222</v>
      </c>
      <c r="I39" s="134" t="s">
        <v>299</v>
      </c>
      <c r="J39" s="134" t="s">
        <v>299</v>
      </c>
      <c r="L39" s="135" t="s">
        <v>300</v>
      </c>
      <c r="M39" s="38" t="s">
        <v>222</v>
      </c>
      <c r="U39" s="134" t="s">
        <v>299</v>
      </c>
      <c r="V39" s="134" t="s">
        <v>299</v>
      </c>
      <c r="X39" s="135" t="s">
        <v>300</v>
      </c>
      <c r="Y39" s="38" t="s">
        <v>222</v>
      </c>
      <c r="AA39" s="2" t="s">
        <v>6</v>
      </c>
      <c r="AB39" s="2" t="str">
        <f t="shared" si="48"/>
        <v>-</v>
      </c>
      <c r="AC39" s="2" t="s">
        <v>271</v>
      </c>
      <c r="AD39" s="2" t="str">
        <f t="shared" si="49"/>
        <v>_</v>
      </c>
      <c r="AE39" s="2" t="s">
        <v>276</v>
      </c>
      <c r="AF39" s="2" t="str">
        <f t="shared" si="50"/>
        <v>_</v>
      </c>
      <c r="AG39" s="2" t="s">
        <v>306</v>
      </c>
      <c r="AH39" s="2" t="str">
        <f t="shared" si="3"/>
        <v/>
      </c>
      <c r="AI39" s="2"/>
    </row>
    <row r="40" spans="2:35" x14ac:dyDescent="0.25">
      <c r="B40" s="2" t="str">
        <f t="shared" si="8"/>
        <v>@color-label_place_poi-level_123_and_additions_default</v>
      </c>
      <c r="C40" s="35" t="s">
        <v>294</v>
      </c>
      <c r="D40" s="35" t="s">
        <v>294</v>
      </c>
      <c r="F40" s="36" t="s">
        <v>295</v>
      </c>
      <c r="G40" s="38" t="s">
        <v>222</v>
      </c>
      <c r="I40" s="35" t="s">
        <v>294</v>
      </c>
      <c r="J40" s="35" t="s">
        <v>294</v>
      </c>
      <c r="L40" s="36" t="s">
        <v>295</v>
      </c>
      <c r="M40" s="38" t="s">
        <v>222</v>
      </c>
      <c r="U40" s="35" t="s">
        <v>294</v>
      </c>
      <c r="V40" s="35" t="s">
        <v>294</v>
      </c>
      <c r="X40" s="36" t="s">
        <v>295</v>
      </c>
      <c r="Y40" s="38" t="s">
        <v>222</v>
      </c>
      <c r="AA40" s="2" t="s">
        <v>6</v>
      </c>
      <c r="AB40" s="2" t="str">
        <f t="shared" ref="AB40" si="51">IF(NOT(ISBLANK(AC40)),"-","")</f>
        <v>-</v>
      </c>
      <c r="AC40" s="2" t="s">
        <v>271</v>
      </c>
      <c r="AD40" s="2" t="str">
        <f t="shared" ref="AD40" si="52">IF(NOT(ISBLANK(AE40)),"_","")</f>
        <v>_</v>
      </c>
      <c r="AE40" s="2" t="s">
        <v>276</v>
      </c>
      <c r="AF40" s="2" t="str">
        <f t="shared" ref="AF40" si="53">IF(NOT(ISBLANK(AG40)),"_","")</f>
        <v>_</v>
      </c>
      <c r="AG40" s="2" t="s">
        <v>307</v>
      </c>
      <c r="AH40" s="2" t="str">
        <f t="shared" si="3"/>
        <v/>
      </c>
      <c r="AI40" s="2"/>
    </row>
    <row r="41" spans="2:35" x14ac:dyDescent="0.25">
      <c r="B41" s="2" t="str">
        <f t="shared" si="8"/>
        <v>@color-label_halo_place_poi-level_123_and_additions</v>
      </c>
      <c r="C41" s="38" t="s">
        <v>222</v>
      </c>
      <c r="D41" s="38" t="s">
        <v>222</v>
      </c>
      <c r="F41" s="37" t="s">
        <v>214</v>
      </c>
      <c r="G41" s="37" t="s">
        <v>214</v>
      </c>
      <c r="I41" s="38" t="s">
        <v>222</v>
      </c>
      <c r="J41" s="38" t="s">
        <v>222</v>
      </c>
      <c r="L41" s="37" t="s">
        <v>214</v>
      </c>
      <c r="M41" s="37" t="s">
        <v>214</v>
      </c>
      <c r="U41" s="38" t="s">
        <v>222</v>
      </c>
      <c r="V41" s="38" t="s">
        <v>222</v>
      </c>
      <c r="X41" s="37" t="s">
        <v>214</v>
      </c>
      <c r="Y41" s="37" t="s">
        <v>214</v>
      </c>
      <c r="AA41" s="2" t="s">
        <v>6</v>
      </c>
      <c r="AB41" s="2" t="str">
        <f t="shared" ref="AB41" si="54">IF(NOT(ISBLANK(AC41)),"-","")</f>
        <v>-</v>
      </c>
      <c r="AC41" s="2" t="s">
        <v>280</v>
      </c>
      <c r="AD41" s="2" t="str">
        <f t="shared" ref="AD41" si="55">IF(NOT(ISBLANK(AE41)),"_","")</f>
        <v>_</v>
      </c>
      <c r="AE41" s="2" t="s">
        <v>276</v>
      </c>
      <c r="AF41" s="2" t="str">
        <f t="shared" ref="AF41" si="56">IF(NOT(ISBLANK(AG41)),"_","")</f>
        <v>_</v>
      </c>
      <c r="AG41" s="2" t="s">
        <v>308</v>
      </c>
      <c r="AH41" s="2" t="str">
        <f t="shared" si="3"/>
        <v/>
      </c>
      <c r="AI41" s="2"/>
    </row>
    <row r="42" spans="2:35" x14ac:dyDescent="0.25">
      <c r="AA42" s="2"/>
      <c r="AB42" s="2"/>
      <c r="AC42" s="2"/>
      <c r="AD42" s="2"/>
      <c r="AE42" s="2"/>
      <c r="AF42" s="2"/>
      <c r="AG42" s="2"/>
      <c r="AH42" s="2"/>
      <c r="AI42" s="2"/>
    </row>
    <row r="43" spans="2:35" x14ac:dyDescent="0.25">
      <c r="B43" s="2" t="str">
        <f t="shared" ref="B43:B45" si="57">_xlfn.CONCAT("@",AA43,AB43,AC43,AD43,AE43,AF43,AG43,AH43,AI43)</f>
        <v>@textsize-label_highway_path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309</v>
      </c>
      <c r="AB43" s="2" t="str">
        <f t="shared" ref="AB43" si="58">IF(NOT(ISBLANK(AC43)),"-","")</f>
        <v>-</v>
      </c>
      <c r="AC43" s="2" t="s">
        <v>271</v>
      </c>
      <c r="AD43" s="2" t="str">
        <f t="shared" ref="AD43" si="59">IF(NOT(ISBLANK(AE43)),"_","")</f>
        <v>_</v>
      </c>
      <c r="AE43" s="2" t="s">
        <v>289</v>
      </c>
      <c r="AF43" s="2" t="str">
        <f t="shared" ref="AF43" si="60">IF(NOT(ISBLANK(AG43)),"_","")</f>
        <v>_</v>
      </c>
      <c r="AG43" s="2" t="s">
        <v>71</v>
      </c>
      <c r="AH43" s="2" t="str">
        <f t="shared" ref="AH43:AH45" si="61">IF(NOT(ISBLANK(AI43)),"_","")</f>
        <v/>
      </c>
      <c r="AI43" s="2"/>
    </row>
    <row r="44" spans="2:35" x14ac:dyDescent="0.25">
      <c r="B44" s="2" t="str">
        <f t="shared" si="57"/>
        <v>@color-label_highway_path</v>
      </c>
      <c r="C44" s="33" t="s">
        <v>290</v>
      </c>
      <c r="D44" s="37" t="s">
        <v>214</v>
      </c>
      <c r="F44" s="34" t="s">
        <v>291</v>
      </c>
      <c r="G44" s="38" t="s">
        <v>222</v>
      </c>
      <c r="I44" s="33" t="s">
        <v>290</v>
      </c>
      <c r="J44" s="37" t="s">
        <v>214</v>
      </c>
      <c r="L44" s="34" t="s">
        <v>291</v>
      </c>
      <c r="M44" s="38" t="s">
        <v>222</v>
      </c>
      <c r="U44" s="33" t="s">
        <v>290</v>
      </c>
      <c r="V44" s="37" t="s">
        <v>214</v>
      </c>
      <c r="X44" s="34" t="s">
        <v>291</v>
      </c>
      <c r="Y44" s="38" t="s">
        <v>222</v>
      </c>
      <c r="AA44" s="2" t="s">
        <v>6</v>
      </c>
      <c r="AB44" s="2" t="str">
        <f t="shared" si="30"/>
        <v>-</v>
      </c>
      <c r="AC44" s="2" t="s">
        <v>271</v>
      </c>
      <c r="AD44" s="2" t="str">
        <f t="shared" si="31"/>
        <v>_</v>
      </c>
      <c r="AE44" s="2" t="s">
        <v>289</v>
      </c>
      <c r="AF44" s="2" t="str">
        <f t="shared" si="32"/>
        <v>_</v>
      </c>
      <c r="AG44" s="2" t="s">
        <v>71</v>
      </c>
      <c r="AH44" s="2" t="str">
        <f t="shared" si="61"/>
        <v/>
      </c>
      <c r="AI44" s="2"/>
    </row>
    <row r="45" spans="2:35" x14ac:dyDescent="0.25">
      <c r="B45" s="2" t="str">
        <f t="shared" si="57"/>
        <v>@color-label_halo_highway_path</v>
      </c>
      <c r="C45" s="38" t="s">
        <v>222</v>
      </c>
      <c r="D45" s="38" t="s">
        <v>222</v>
      </c>
      <c r="F45" s="37" t="s">
        <v>214</v>
      </c>
      <c r="G45" s="37" t="s">
        <v>214</v>
      </c>
      <c r="I45" s="38" t="s">
        <v>222</v>
      </c>
      <c r="J45" s="38" t="s">
        <v>222</v>
      </c>
      <c r="L45" s="37" t="s">
        <v>214</v>
      </c>
      <c r="M45" s="37" t="s">
        <v>214</v>
      </c>
      <c r="U45" s="38" t="s">
        <v>222</v>
      </c>
      <c r="V45" s="38" t="s">
        <v>222</v>
      </c>
      <c r="X45" s="37" t="s">
        <v>214</v>
      </c>
      <c r="Y45" s="37" t="s">
        <v>214</v>
      </c>
      <c r="AA45" s="2" t="s">
        <v>6</v>
      </c>
      <c r="AB45" s="2" t="str">
        <f t="shared" ref="AB45:AB47" si="62">IF(NOT(ISBLANK(AC45)),"-","")</f>
        <v>-</v>
      </c>
      <c r="AC45" s="2" t="s">
        <v>280</v>
      </c>
      <c r="AD45" s="2" t="str">
        <f t="shared" ref="AD45:AD47" si="63">IF(NOT(ISBLANK(AE45)),"_","")</f>
        <v>_</v>
      </c>
      <c r="AE45" s="2" t="s">
        <v>289</v>
      </c>
      <c r="AF45" s="2" t="str">
        <f t="shared" ref="AF45:AF47" si="64">IF(NOT(ISBLANK(AG45)),"_","")</f>
        <v>_</v>
      </c>
      <c r="AG45" s="2" t="s">
        <v>71</v>
      </c>
      <c r="AH45" s="2" t="str">
        <f t="shared" si="61"/>
        <v/>
      </c>
      <c r="AI45" s="2"/>
    </row>
    <row r="46" spans="2:35" x14ac:dyDescent="0.25">
      <c r="AA46" s="2"/>
      <c r="AB46" s="2"/>
      <c r="AC46" s="2"/>
      <c r="AD46" s="2"/>
      <c r="AE46" s="2"/>
      <c r="AF46" s="2"/>
      <c r="AG46" s="2"/>
      <c r="AH46" s="2"/>
      <c r="AI46" s="2"/>
    </row>
    <row r="47" spans="2:35" x14ac:dyDescent="0.25">
      <c r="B47" s="2" t="str">
        <f t="shared" ref="B47:B52" si="65">_xlfn.CONCAT("@",AA47,AB47,AC47,AD47,AE47,AF47,AG47,AH47,AI47)</f>
        <v>@color-label_highway_minor</v>
      </c>
      <c r="C47" s="33" t="s">
        <v>290</v>
      </c>
      <c r="D47" s="37" t="s">
        <v>214</v>
      </c>
      <c r="F47" s="34" t="s">
        <v>291</v>
      </c>
      <c r="G47" s="38" t="s">
        <v>222</v>
      </c>
      <c r="I47" s="33" t="s">
        <v>290</v>
      </c>
      <c r="J47" s="37" t="s">
        <v>214</v>
      </c>
      <c r="L47" s="34" t="s">
        <v>291</v>
      </c>
      <c r="M47" s="38" t="s">
        <v>222</v>
      </c>
      <c r="U47" s="33" t="s">
        <v>290</v>
      </c>
      <c r="V47" s="37" t="s">
        <v>214</v>
      </c>
      <c r="X47" s="34" t="s">
        <v>291</v>
      </c>
      <c r="Y47" s="38" t="s">
        <v>222</v>
      </c>
      <c r="AA47" s="2" t="s">
        <v>6</v>
      </c>
      <c r="AB47" s="2" t="str">
        <f t="shared" si="62"/>
        <v>-</v>
      </c>
      <c r="AC47" s="2" t="s">
        <v>271</v>
      </c>
      <c r="AD47" s="2" t="str">
        <f t="shared" si="63"/>
        <v>_</v>
      </c>
      <c r="AE47" s="2" t="s">
        <v>289</v>
      </c>
      <c r="AF47" s="2" t="str">
        <f t="shared" si="64"/>
        <v>_</v>
      </c>
      <c r="AG47" s="2" t="s">
        <v>31</v>
      </c>
      <c r="AH47" s="2" t="str">
        <f t="shared" ref="AH47:AH52" si="66">IF(NOT(ISBLANK(AI47)),"_","")</f>
        <v/>
      </c>
      <c r="AI47" s="2"/>
    </row>
    <row r="48" spans="2:35" x14ac:dyDescent="0.25">
      <c r="B48" s="2" t="str">
        <f t="shared" si="65"/>
        <v>@color-label_halo_highway_minor</v>
      </c>
      <c r="C48" s="38" t="s">
        <v>222</v>
      </c>
      <c r="D48" s="38" t="s">
        <v>222</v>
      </c>
      <c r="F48" s="37" t="s">
        <v>214</v>
      </c>
      <c r="G48" s="37" t="s">
        <v>214</v>
      </c>
      <c r="I48" s="38" t="s">
        <v>222</v>
      </c>
      <c r="J48" s="38" t="s">
        <v>222</v>
      </c>
      <c r="L48" s="37" t="s">
        <v>214</v>
      </c>
      <c r="M48" s="37" t="s">
        <v>214</v>
      </c>
      <c r="U48" s="38" t="s">
        <v>222</v>
      </c>
      <c r="V48" s="38" t="s">
        <v>222</v>
      </c>
      <c r="X48" s="37" t="s">
        <v>214</v>
      </c>
      <c r="Y48" s="37" t="s">
        <v>214</v>
      </c>
      <c r="AA48" s="2" t="s">
        <v>6</v>
      </c>
      <c r="AB48" s="2" t="str">
        <f t="shared" ref="AB48:AB49" si="67">IF(NOT(ISBLANK(AC48)),"-","")</f>
        <v>-</v>
      </c>
      <c r="AC48" s="2" t="s">
        <v>280</v>
      </c>
      <c r="AD48" s="2" t="str">
        <f t="shared" ref="AD48:AD49" si="68">IF(NOT(ISBLANK(AE48)),"_","")</f>
        <v>_</v>
      </c>
      <c r="AE48" s="2" t="s">
        <v>289</v>
      </c>
      <c r="AF48" s="2" t="str">
        <f t="shared" ref="AF48:AF49" si="69">IF(NOT(ISBLANK(AG48)),"_","")</f>
        <v>_</v>
      </c>
      <c r="AG48" s="2" t="s">
        <v>31</v>
      </c>
      <c r="AH48" s="2" t="str">
        <f t="shared" si="66"/>
        <v/>
      </c>
      <c r="AI48" s="2"/>
    </row>
    <row r="49" spans="1:35" x14ac:dyDescent="0.25">
      <c r="B49" s="2" t="str">
        <f t="shared" si="65"/>
        <v>@color-label_highway_trunk_primary_secondary_tertiary</v>
      </c>
      <c r="C49" s="33" t="s">
        <v>290</v>
      </c>
      <c r="D49" s="37" t="s">
        <v>214</v>
      </c>
      <c r="F49" s="34" t="s">
        <v>291</v>
      </c>
      <c r="G49" s="38" t="s">
        <v>222</v>
      </c>
      <c r="I49" s="33" t="s">
        <v>290</v>
      </c>
      <c r="J49" s="37" t="s">
        <v>214</v>
      </c>
      <c r="L49" s="34" t="s">
        <v>291</v>
      </c>
      <c r="M49" s="38" t="s">
        <v>222</v>
      </c>
      <c r="U49" s="33" t="s">
        <v>290</v>
      </c>
      <c r="V49" s="37" t="s">
        <v>214</v>
      </c>
      <c r="X49" s="34" t="s">
        <v>291</v>
      </c>
      <c r="Y49" s="38" t="s">
        <v>222</v>
      </c>
      <c r="AA49" s="2" t="s">
        <v>6</v>
      </c>
      <c r="AB49" s="2" t="str">
        <f t="shared" si="67"/>
        <v>-</v>
      </c>
      <c r="AC49" s="2" t="s">
        <v>271</v>
      </c>
      <c r="AD49" s="2" t="str">
        <f t="shared" si="68"/>
        <v>_</v>
      </c>
      <c r="AE49" s="2" t="s">
        <v>289</v>
      </c>
      <c r="AF49" s="2" t="str">
        <f t="shared" si="69"/>
        <v>_</v>
      </c>
      <c r="AG49" s="2" t="s">
        <v>292</v>
      </c>
      <c r="AH49" s="2" t="str">
        <f t="shared" si="66"/>
        <v/>
      </c>
      <c r="AI49" s="2"/>
    </row>
    <row r="50" spans="1:35" x14ac:dyDescent="0.25">
      <c r="B50" s="2" t="str">
        <f t="shared" si="65"/>
        <v>@color-label_halo_highway_trunk_primary_secondary_tertiary</v>
      </c>
      <c r="C50" s="38" t="s">
        <v>222</v>
      </c>
      <c r="D50" s="38" t="s">
        <v>222</v>
      </c>
      <c r="F50" s="37" t="s">
        <v>214</v>
      </c>
      <c r="G50" s="37" t="s">
        <v>214</v>
      </c>
      <c r="I50" s="38" t="s">
        <v>222</v>
      </c>
      <c r="J50" s="38" t="s">
        <v>222</v>
      </c>
      <c r="L50" s="37" t="s">
        <v>214</v>
      </c>
      <c r="M50" s="37" t="s">
        <v>214</v>
      </c>
      <c r="U50" s="38" t="s">
        <v>222</v>
      </c>
      <c r="V50" s="38" t="s">
        <v>222</v>
      </c>
      <c r="X50" s="37" t="s">
        <v>214</v>
      </c>
      <c r="Y50" s="37" t="s">
        <v>214</v>
      </c>
      <c r="AA50" s="2" t="s">
        <v>6</v>
      </c>
      <c r="AB50" s="2" t="str">
        <f t="shared" ref="AB50:AB52" si="70">IF(NOT(ISBLANK(AC50)),"-","")</f>
        <v>-</v>
      </c>
      <c r="AC50" s="2" t="s">
        <v>280</v>
      </c>
      <c r="AD50" s="2" t="str">
        <f t="shared" ref="AD50:AD52" si="71">IF(NOT(ISBLANK(AE50)),"_","")</f>
        <v>_</v>
      </c>
      <c r="AE50" s="2" t="s">
        <v>289</v>
      </c>
      <c r="AF50" s="2" t="str">
        <f t="shared" ref="AF50:AF52" si="72">IF(NOT(ISBLANK(AG50)),"_","")</f>
        <v>_</v>
      </c>
      <c r="AG50" s="2" t="s">
        <v>292</v>
      </c>
      <c r="AH50" s="2" t="str">
        <f t="shared" si="66"/>
        <v/>
      </c>
      <c r="AI50" s="2"/>
    </row>
    <row r="51" spans="1:35" x14ac:dyDescent="0.25">
      <c r="B51" s="2" t="str">
        <f t="shared" si="65"/>
        <v>@color-label_peak</v>
      </c>
      <c r="C51" s="35" t="s">
        <v>294</v>
      </c>
      <c r="D51" s="37" t="s">
        <v>214</v>
      </c>
      <c r="F51" s="36" t="s">
        <v>295</v>
      </c>
      <c r="G51" s="38" t="s">
        <v>222</v>
      </c>
      <c r="I51" s="35" t="s">
        <v>294</v>
      </c>
      <c r="J51" s="37" t="s">
        <v>214</v>
      </c>
      <c r="L51" s="36" t="s">
        <v>295</v>
      </c>
      <c r="M51" s="38" t="s">
        <v>222</v>
      </c>
      <c r="U51" s="35" t="s">
        <v>294</v>
      </c>
      <c r="V51" s="37" t="s">
        <v>214</v>
      </c>
      <c r="X51" s="36" t="s">
        <v>295</v>
      </c>
      <c r="Y51" s="38" t="s">
        <v>222</v>
      </c>
      <c r="AA51" s="2" t="s">
        <v>6</v>
      </c>
      <c r="AB51" s="2" t="str">
        <f t="shared" si="70"/>
        <v>-</v>
      </c>
      <c r="AC51" s="2" t="s">
        <v>271</v>
      </c>
      <c r="AD51" s="2" t="str">
        <f t="shared" si="71"/>
        <v>_</v>
      </c>
      <c r="AE51" s="2" t="s">
        <v>293</v>
      </c>
      <c r="AF51" s="2" t="str">
        <f t="shared" si="72"/>
        <v/>
      </c>
      <c r="AG51" s="2"/>
      <c r="AH51" s="2" t="str">
        <f t="shared" si="66"/>
        <v/>
      </c>
      <c r="AI51" s="2"/>
    </row>
    <row r="52" spans="1:35" x14ac:dyDescent="0.25">
      <c r="B52" s="2" t="str">
        <f t="shared" si="65"/>
        <v>@color-label_halo_peak</v>
      </c>
      <c r="C52" s="38" t="s">
        <v>222</v>
      </c>
      <c r="D52" s="38" t="s">
        <v>222</v>
      </c>
      <c r="F52" s="37" t="s">
        <v>214</v>
      </c>
      <c r="G52" s="37" t="s">
        <v>214</v>
      </c>
      <c r="I52" s="38" t="s">
        <v>222</v>
      </c>
      <c r="J52" s="38" t="s">
        <v>222</v>
      </c>
      <c r="L52" s="37" t="s">
        <v>214</v>
      </c>
      <c r="M52" s="37" t="s">
        <v>214</v>
      </c>
      <c r="U52" s="38" t="s">
        <v>222</v>
      </c>
      <c r="V52" s="38" t="s">
        <v>222</v>
      </c>
      <c r="X52" s="37" t="s">
        <v>214</v>
      </c>
      <c r="Y52" s="37" t="s">
        <v>214</v>
      </c>
      <c r="AA52" s="2" t="s">
        <v>6</v>
      </c>
      <c r="AB52" s="2" t="str">
        <f t="shared" si="70"/>
        <v>-</v>
      </c>
      <c r="AC52" s="2" t="s">
        <v>280</v>
      </c>
      <c r="AD52" s="2" t="str">
        <f t="shared" si="71"/>
        <v>_</v>
      </c>
      <c r="AE52" s="2" t="s">
        <v>293</v>
      </c>
      <c r="AF52" s="2" t="str">
        <f t="shared" si="72"/>
        <v/>
      </c>
      <c r="AG52" s="2"/>
      <c r="AH52" s="2" t="str">
        <f t="shared" si="66"/>
        <v/>
      </c>
      <c r="AI52" s="2"/>
    </row>
    <row r="53" spans="1:35" x14ac:dyDescent="0.25">
      <c r="B53" s="2" t="str">
        <f t="shared" ref="B53:B54" si="73">_xlfn.CONCAT("@",AA53,AB53,AC53,AD53,AE53,AF53,AG53,AH53,AI53)</f>
        <v>@color-label_airport_major</v>
      </c>
      <c r="C53" s="134" t="s">
        <v>299</v>
      </c>
      <c r="D53" s="134" t="s">
        <v>299</v>
      </c>
      <c r="F53" s="135" t="s">
        <v>300</v>
      </c>
      <c r="G53" s="38" t="s">
        <v>222</v>
      </c>
      <c r="I53" s="134" t="s">
        <v>299</v>
      </c>
      <c r="J53" s="134" t="s">
        <v>299</v>
      </c>
      <c r="L53" s="135" t="s">
        <v>300</v>
      </c>
      <c r="M53" s="38" t="s">
        <v>222</v>
      </c>
      <c r="U53" s="134" t="s">
        <v>299</v>
      </c>
      <c r="V53" s="134" t="s">
        <v>299</v>
      </c>
      <c r="X53" s="135" t="s">
        <v>300</v>
      </c>
      <c r="Y53" s="38" t="s">
        <v>222</v>
      </c>
      <c r="AA53" s="2" t="s">
        <v>6</v>
      </c>
      <c r="AB53" s="2" t="str">
        <f t="shared" ref="AB53:AB54" si="74">IF(NOT(ISBLANK(AC53)),"-","")</f>
        <v>-</v>
      </c>
      <c r="AC53" s="2" t="s">
        <v>271</v>
      </c>
      <c r="AD53" s="2" t="str">
        <f t="shared" ref="AD53:AD54" si="75">IF(NOT(ISBLANK(AE53)),"_","")</f>
        <v>_</v>
      </c>
      <c r="AE53" s="2" t="s">
        <v>410</v>
      </c>
      <c r="AF53" s="2" t="str">
        <f t="shared" ref="AF53" si="76">IF(NOT(ISBLANK(AG53)),"_","")</f>
        <v>_</v>
      </c>
      <c r="AG53" s="2" t="s">
        <v>311</v>
      </c>
      <c r="AH53" s="2" t="str">
        <f t="shared" ref="AH53:AH54" si="77">IF(NOT(ISBLANK(AI53)),"_","")</f>
        <v/>
      </c>
      <c r="AI53" s="2"/>
    </row>
    <row r="54" spans="1:35" x14ac:dyDescent="0.25">
      <c r="B54" s="2" t="str">
        <f t="shared" si="73"/>
        <v>@color-label_halo_airport_major</v>
      </c>
      <c r="C54" s="38" t="s">
        <v>222</v>
      </c>
      <c r="D54" s="38" t="s">
        <v>222</v>
      </c>
      <c r="F54" s="37" t="s">
        <v>214</v>
      </c>
      <c r="G54" s="37" t="s">
        <v>214</v>
      </c>
      <c r="I54" s="38" t="s">
        <v>222</v>
      </c>
      <c r="J54" s="38" t="s">
        <v>222</v>
      </c>
      <c r="L54" s="37" t="s">
        <v>214</v>
      </c>
      <c r="M54" s="37" t="s">
        <v>214</v>
      </c>
      <c r="U54" s="38" t="s">
        <v>222</v>
      </c>
      <c r="V54" s="38" t="s">
        <v>222</v>
      </c>
      <c r="X54" s="37" t="s">
        <v>214</v>
      </c>
      <c r="Y54" s="37" t="s">
        <v>214</v>
      </c>
      <c r="AA54" s="2" t="s">
        <v>6</v>
      </c>
      <c r="AB54" s="2" t="str">
        <f t="shared" si="74"/>
        <v>-</v>
      </c>
      <c r="AC54" s="2" t="s">
        <v>280</v>
      </c>
      <c r="AD54" s="2" t="str">
        <f t="shared" si="75"/>
        <v>_</v>
      </c>
      <c r="AE54" s="2" t="s">
        <v>410</v>
      </c>
      <c r="AF54" s="2" t="str">
        <f t="shared" ref="AF54" si="78">IF(NOT(ISBLANK(AG54)),"_","")</f>
        <v>_</v>
      </c>
      <c r="AG54" s="2" t="s">
        <v>311</v>
      </c>
      <c r="AH54" s="2" t="str">
        <f t="shared" si="77"/>
        <v/>
      </c>
      <c r="AI54" s="2"/>
    </row>
    <row r="55" spans="1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1:35" s="5" customFormat="1" x14ac:dyDescent="0.25">
      <c r="A56" s="27" t="s">
        <v>333</v>
      </c>
      <c r="B56" s="27"/>
      <c r="C56" s="27"/>
      <c r="D56" s="27"/>
      <c r="F56" s="27"/>
      <c r="G56" s="27"/>
      <c r="I56" s="27"/>
      <c r="J56" s="27"/>
      <c r="L56" s="27"/>
      <c r="M56" s="27"/>
      <c r="O56" s="27"/>
      <c r="P56" s="27"/>
      <c r="R56" s="27"/>
      <c r="S56" s="27"/>
      <c r="U56" s="27"/>
      <c r="V56" s="27"/>
      <c r="X56" s="27"/>
      <c r="Y56" s="27"/>
      <c r="AA56" s="27"/>
      <c r="AB56" s="27"/>
      <c r="AC56" s="27"/>
      <c r="AD56" s="27"/>
      <c r="AE56" s="27"/>
      <c r="AF56" s="27"/>
      <c r="AG56" s="27"/>
      <c r="AH56" s="27"/>
      <c r="AI56" s="27"/>
    </row>
    <row r="57" spans="1:35" x14ac:dyDescent="0.25">
      <c r="B57" s="2" t="str">
        <f t="shared" ref="B57:B65" si="79">_xlfn.CONCAT("@",AA57,AB57,AC57,AD57,AE57,AF57,AG57,AH57,AI57)</f>
        <v>@color-mtb:scale_0-</v>
      </c>
      <c r="C57" s="152" t="s">
        <v>170</v>
      </c>
      <c r="D57" s="153" t="s">
        <v>178</v>
      </c>
      <c r="F57" s="152" t="s">
        <v>170</v>
      </c>
      <c r="G57" s="153" t="s">
        <v>178</v>
      </c>
      <c r="I57" s="152" t="s">
        <v>170</v>
      </c>
      <c r="J57" s="153" t="s">
        <v>178</v>
      </c>
      <c r="L57" s="152" t="s">
        <v>170</v>
      </c>
      <c r="M57" s="153" t="s">
        <v>178</v>
      </c>
      <c r="U57" s="151" t="s">
        <v>297</v>
      </c>
      <c r="V57" s="151" t="s">
        <v>297</v>
      </c>
      <c r="X57" s="151" t="s">
        <v>297</v>
      </c>
      <c r="Y57" s="151" t="s">
        <v>297</v>
      </c>
      <c r="AA57" s="2" t="s">
        <v>6</v>
      </c>
      <c r="AB57" s="2" t="str">
        <f t="shared" ref="AB57:AB64" si="80">IF(NOT(ISBLANK(AC57)),"-","")</f>
        <v>-</v>
      </c>
      <c r="AC57" s="2" t="s">
        <v>7</v>
      </c>
      <c r="AD57" s="2" t="str">
        <f t="shared" ref="AD57:AD64" si="81">IF(NOT(ISBLANK(AE57)),"_","")</f>
        <v>_</v>
      </c>
      <c r="AE57" s="2" t="s">
        <v>9</v>
      </c>
      <c r="AF57" s="2" t="str">
        <f t="shared" ref="AF57:AF64" si="82">IF(NOT(ISBLANK(AG57)),"_","")</f>
        <v/>
      </c>
      <c r="AG57" s="2"/>
      <c r="AH57" s="2" t="str">
        <f t="shared" ref="AH57:AH70" si="83">IF(NOT(ISBLANK(AI57)),"_","")</f>
        <v/>
      </c>
      <c r="AI57" s="2"/>
    </row>
    <row r="58" spans="1:35" x14ac:dyDescent="0.25">
      <c r="B58" s="2" t="str">
        <f t="shared" si="79"/>
        <v>@color-mtb:scale_0</v>
      </c>
      <c r="C58" s="154" t="s">
        <v>171</v>
      </c>
      <c r="D58" s="155" t="s">
        <v>179</v>
      </c>
      <c r="F58" s="154" t="s">
        <v>171</v>
      </c>
      <c r="G58" s="155" t="s">
        <v>179</v>
      </c>
      <c r="I58" s="154" t="s">
        <v>171</v>
      </c>
      <c r="J58" s="155" t="s">
        <v>179</v>
      </c>
      <c r="L58" s="154" t="s">
        <v>171</v>
      </c>
      <c r="M58" s="155" t="s">
        <v>179</v>
      </c>
      <c r="U58" s="151" t="s">
        <v>297</v>
      </c>
      <c r="V58" s="151" t="s">
        <v>297</v>
      </c>
      <c r="X58" s="151" t="s">
        <v>297</v>
      </c>
      <c r="Y58" s="151" t="s">
        <v>297</v>
      </c>
      <c r="AA58" s="2" t="s">
        <v>6</v>
      </c>
      <c r="AB58" s="2" t="str">
        <f t="shared" si="80"/>
        <v>-</v>
      </c>
      <c r="AC58" s="2" t="s">
        <v>7</v>
      </c>
      <c r="AD58" s="2" t="str">
        <f t="shared" si="81"/>
        <v>_</v>
      </c>
      <c r="AE58" s="2">
        <v>0</v>
      </c>
      <c r="AF58" s="2" t="str">
        <f t="shared" si="82"/>
        <v/>
      </c>
      <c r="AH58" s="2" t="str">
        <f t="shared" si="83"/>
        <v/>
      </c>
    </row>
    <row r="59" spans="1:35" x14ac:dyDescent="0.25">
      <c r="B59" s="2" t="str">
        <f t="shared" si="79"/>
        <v>@color-mtb:scale_1</v>
      </c>
      <c r="C59" s="156" t="s">
        <v>172</v>
      </c>
      <c r="D59" s="157" t="s">
        <v>180</v>
      </c>
      <c r="F59" s="156" t="s">
        <v>172</v>
      </c>
      <c r="G59" s="157" t="s">
        <v>180</v>
      </c>
      <c r="I59" s="156" t="s">
        <v>172</v>
      </c>
      <c r="J59" s="157" t="s">
        <v>180</v>
      </c>
      <c r="L59" s="156" t="s">
        <v>172</v>
      </c>
      <c r="M59" s="157" t="s">
        <v>180</v>
      </c>
      <c r="U59" s="151" t="s">
        <v>297</v>
      </c>
      <c r="V59" s="151" t="s">
        <v>297</v>
      </c>
      <c r="X59" s="151" t="s">
        <v>297</v>
      </c>
      <c r="Y59" s="151" t="s">
        <v>297</v>
      </c>
      <c r="AA59" s="2" t="s">
        <v>6</v>
      </c>
      <c r="AB59" s="2" t="str">
        <f t="shared" si="80"/>
        <v>-</v>
      </c>
      <c r="AC59" s="2" t="s">
        <v>7</v>
      </c>
      <c r="AD59" s="2" t="str">
        <f t="shared" si="81"/>
        <v>_</v>
      </c>
      <c r="AE59" s="2">
        <v>1</v>
      </c>
      <c r="AF59" s="2" t="str">
        <f t="shared" si="82"/>
        <v/>
      </c>
      <c r="AH59" s="2" t="str">
        <f t="shared" si="83"/>
        <v/>
      </c>
    </row>
    <row r="60" spans="1:35" x14ac:dyDescent="0.25">
      <c r="B60" s="2" t="str">
        <f t="shared" si="79"/>
        <v>@color-mtb:scale_2</v>
      </c>
      <c r="C60" s="158" t="s">
        <v>173</v>
      </c>
      <c r="D60" s="159" t="s">
        <v>181</v>
      </c>
      <c r="F60" s="158" t="s">
        <v>173</v>
      </c>
      <c r="G60" s="159" t="s">
        <v>181</v>
      </c>
      <c r="I60" s="158" t="s">
        <v>173</v>
      </c>
      <c r="J60" s="159" t="s">
        <v>181</v>
      </c>
      <c r="L60" s="158" t="s">
        <v>173</v>
      </c>
      <c r="M60" s="159" t="s">
        <v>181</v>
      </c>
      <c r="U60" s="151" t="s">
        <v>297</v>
      </c>
      <c r="V60" s="151" t="s">
        <v>297</v>
      </c>
      <c r="X60" s="151" t="s">
        <v>297</v>
      </c>
      <c r="Y60" s="151" t="s">
        <v>297</v>
      </c>
      <c r="AA60" s="2" t="s">
        <v>6</v>
      </c>
      <c r="AB60" s="2" t="str">
        <f t="shared" si="80"/>
        <v>-</v>
      </c>
      <c r="AC60" s="2" t="s">
        <v>7</v>
      </c>
      <c r="AD60" s="2" t="str">
        <f t="shared" si="81"/>
        <v>_</v>
      </c>
      <c r="AE60" s="2">
        <v>2</v>
      </c>
      <c r="AF60" s="2" t="str">
        <f t="shared" si="82"/>
        <v/>
      </c>
      <c r="AH60" s="2" t="str">
        <f t="shared" si="83"/>
        <v/>
      </c>
    </row>
    <row r="61" spans="1:35" x14ac:dyDescent="0.25">
      <c r="B61" s="2" t="str">
        <f t="shared" si="79"/>
        <v>@color-mtb:scale_3</v>
      </c>
      <c r="C61" s="160" t="s">
        <v>174</v>
      </c>
      <c r="D61" s="160" t="s">
        <v>174</v>
      </c>
      <c r="F61" s="160" t="s">
        <v>174</v>
      </c>
      <c r="G61" s="160" t="s">
        <v>174</v>
      </c>
      <c r="I61" s="160" t="s">
        <v>174</v>
      </c>
      <c r="J61" s="160" t="s">
        <v>174</v>
      </c>
      <c r="L61" s="160" t="s">
        <v>174</v>
      </c>
      <c r="M61" s="160" t="s">
        <v>174</v>
      </c>
      <c r="U61" s="151" t="s">
        <v>297</v>
      </c>
      <c r="V61" s="151" t="s">
        <v>297</v>
      </c>
      <c r="X61" s="151" t="s">
        <v>297</v>
      </c>
      <c r="Y61" s="151" t="s">
        <v>297</v>
      </c>
      <c r="AA61" s="2" t="s">
        <v>6</v>
      </c>
      <c r="AB61" s="2" t="str">
        <f t="shared" si="80"/>
        <v>-</v>
      </c>
      <c r="AC61" s="2" t="s">
        <v>7</v>
      </c>
      <c r="AD61" s="2" t="str">
        <f t="shared" si="81"/>
        <v>_</v>
      </c>
      <c r="AE61" s="2">
        <v>3</v>
      </c>
      <c r="AF61" s="2" t="str">
        <f t="shared" si="82"/>
        <v/>
      </c>
      <c r="AH61" s="2" t="str">
        <f t="shared" si="83"/>
        <v/>
      </c>
    </row>
    <row r="62" spans="1:35" x14ac:dyDescent="0.25">
      <c r="B62" s="2" t="str">
        <f t="shared" si="79"/>
        <v>@color-mtb:scale_4</v>
      </c>
      <c r="C62" s="161" t="s">
        <v>175</v>
      </c>
      <c r="D62" s="162" t="s">
        <v>182</v>
      </c>
      <c r="F62" s="161" t="s">
        <v>175</v>
      </c>
      <c r="G62" s="162" t="s">
        <v>182</v>
      </c>
      <c r="I62" s="161" t="s">
        <v>175</v>
      </c>
      <c r="J62" s="162" t="s">
        <v>182</v>
      </c>
      <c r="L62" s="161" t="s">
        <v>175</v>
      </c>
      <c r="M62" s="162" t="s">
        <v>182</v>
      </c>
      <c r="U62" s="151" t="s">
        <v>297</v>
      </c>
      <c r="V62" s="151" t="s">
        <v>297</v>
      </c>
      <c r="X62" s="151" t="s">
        <v>297</v>
      </c>
      <c r="Y62" s="151" t="s">
        <v>297</v>
      </c>
      <c r="AA62" s="2" t="s">
        <v>6</v>
      </c>
      <c r="AB62" s="2" t="str">
        <f t="shared" si="80"/>
        <v>-</v>
      </c>
      <c r="AC62" s="2" t="s">
        <v>7</v>
      </c>
      <c r="AD62" s="2" t="str">
        <f t="shared" si="81"/>
        <v>_</v>
      </c>
      <c r="AE62" s="2">
        <v>4</v>
      </c>
      <c r="AF62" s="2" t="str">
        <f t="shared" si="82"/>
        <v/>
      </c>
      <c r="AH62" s="2" t="str">
        <f t="shared" si="83"/>
        <v/>
      </c>
    </row>
    <row r="63" spans="1:35" x14ac:dyDescent="0.25">
      <c r="B63" s="2" t="str">
        <f t="shared" si="79"/>
        <v>@color-mtb:scale_5</v>
      </c>
      <c r="C63" s="163" t="s">
        <v>176</v>
      </c>
      <c r="D63" s="164" t="s">
        <v>183</v>
      </c>
      <c r="F63" s="163" t="s">
        <v>176</v>
      </c>
      <c r="G63" s="164" t="s">
        <v>183</v>
      </c>
      <c r="I63" s="163" t="s">
        <v>176</v>
      </c>
      <c r="J63" s="164" t="s">
        <v>183</v>
      </c>
      <c r="L63" s="163" t="s">
        <v>176</v>
      </c>
      <c r="M63" s="164" t="s">
        <v>183</v>
      </c>
      <c r="U63" s="151" t="s">
        <v>297</v>
      </c>
      <c r="V63" s="151" t="s">
        <v>297</v>
      </c>
      <c r="X63" s="151" t="s">
        <v>297</v>
      </c>
      <c r="Y63" s="151" t="s">
        <v>297</v>
      </c>
      <c r="AA63" s="2" t="s">
        <v>6</v>
      </c>
      <c r="AB63" s="2" t="str">
        <f t="shared" si="80"/>
        <v>-</v>
      </c>
      <c r="AC63" s="2" t="s">
        <v>7</v>
      </c>
      <c r="AD63" s="2" t="str">
        <f t="shared" si="81"/>
        <v>_</v>
      </c>
      <c r="AE63" s="2">
        <v>5</v>
      </c>
      <c r="AF63" s="2" t="str">
        <f t="shared" si="82"/>
        <v/>
      </c>
      <c r="AH63" s="2" t="str">
        <f t="shared" si="83"/>
        <v/>
      </c>
    </row>
    <row r="64" spans="1:35" x14ac:dyDescent="0.25">
      <c r="B64" s="2" t="str">
        <f t="shared" si="79"/>
        <v>@color-mtb:scale_6</v>
      </c>
      <c r="C64" s="165" t="s">
        <v>177</v>
      </c>
      <c r="D64" s="166" t="s">
        <v>184</v>
      </c>
      <c r="F64" s="165" t="s">
        <v>177</v>
      </c>
      <c r="G64" s="166" t="s">
        <v>184</v>
      </c>
      <c r="I64" s="165" t="s">
        <v>177</v>
      </c>
      <c r="J64" s="166" t="s">
        <v>184</v>
      </c>
      <c r="L64" s="165" t="s">
        <v>177</v>
      </c>
      <c r="M64" s="166" t="s">
        <v>184</v>
      </c>
      <c r="U64" s="151" t="s">
        <v>297</v>
      </c>
      <c r="V64" s="151" t="s">
        <v>297</v>
      </c>
      <c r="X64" s="151" t="s">
        <v>297</v>
      </c>
      <c r="Y64" s="151" t="s">
        <v>297</v>
      </c>
      <c r="AA64" s="2" t="s">
        <v>6</v>
      </c>
      <c r="AB64" s="2" t="str">
        <f t="shared" si="80"/>
        <v>-</v>
      </c>
      <c r="AC64" s="2" t="s">
        <v>7</v>
      </c>
      <c r="AD64" s="2" t="str">
        <f t="shared" si="81"/>
        <v>_</v>
      </c>
      <c r="AE64" s="2">
        <v>6</v>
      </c>
      <c r="AF64" s="2" t="str">
        <f t="shared" si="82"/>
        <v/>
      </c>
      <c r="AH64" s="2" t="str">
        <f t="shared" si="83"/>
        <v/>
      </c>
    </row>
    <row r="65" spans="2:34" x14ac:dyDescent="0.25">
      <c r="B65" s="2" t="str">
        <f t="shared" si="79"/>
        <v>@color-mtb:scale_null</v>
      </c>
      <c r="C65" s="38" t="s">
        <v>222</v>
      </c>
      <c r="D65" s="38" t="s">
        <v>222</v>
      </c>
      <c r="F65" s="31" t="s">
        <v>281</v>
      </c>
      <c r="G65" s="31" t="s">
        <v>281</v>
      </c>
      <c r="I65" s="38" t="s">
        <v>222</v>
      </c>
      <c r="J65" s="38" t="s">
        <v>222</v>
      </c>
      <c r="L65" s="31" t="s">
        <v>281</v>
      </c>
      <c r="M65" s="31" t="s">
        <v>281</v>
      </c>
      <c r="U65" s="151" t="s">
        <v>297</v>
      </c>
      <c r="V65" s="151" t="s">
        <v>297</v>
      </c>
      <c r="X65" s="151" t="s">
        <v>297</v>
      </c>
      <c r="Y65" s="151" t="s">
        <v>297</v>
      </c>
      <c r="AA65" s="2" t="s">
        <v>6</v>
      </c>
      <c r="AB65" s="2" t="str">
        <f t="shared" ref="AB65" si="84">IF(NOT(ISBLANK(AC65)),"-","")</f>
        <v>-</v>
      </c>
      <c r="AC65" s="2" t="s">
        <v>7</v>
      </c>
      <c r="AD65" s="2" t="str">
        <f t="shared" ref="AD65" si="85">IF(NOT(ISBLANK(AE65)),"_","")</f>
        <v>_</v>
      </c>
      <c r="AE65" s="2" t="s">
        <v>297</v>
      </c>
      <c r="AF65" s="2" t="str">
        <f t="shared" ref="AF65" si="86">IF(NOT(ISBLANK(AG65)),"_","")</f>
        <v/>
      </c>
      <c r="AH65" s="2" t="str">
        <f t="shared" si="83"/>
        <v/>
      </c>
    </row>
    <row r="66" spans="2:34" x14ac:dyDescent="0.25">
      <c r="B66" s="2"/>
      <c r="AA66" s="2"/>
      <c r="AB66" s="2" t="str">
        <f>IF(NOT(ISBLANK(AC66)),"-","")</f>
        <v/>
      </c>
      <c r="AC66" s="2"/>
      <c r="AD66" s="2" t="str">
        <f>IF(NOT(ISBLANK(AE66)),"_","")</f>
        <v/>
      </c>
      <c r="AE66" s="2"/>
      <c r="AF66" s="28" t="str">
        <f>IF(NOT(ISBLANK(AG66)),"_","")</f>
        <v/>
      </c>
      <c r="AH66" s="28" t="str">
        <f t="shared" si="83"/>
        <v/>
      </c>
    </row>
    <row r="67" spans="2:34" x14ac:dyDescent="0.25">
      <c r="B67" s="2" t="str">
        <f>_xlfn.CONCAT("@",AA67,AB67,AC67,AD67,AE67,AF67,AG67,AH67,AI67)</f>
        <v>@color-mtb:winter_groomed</v>
      </c>
      <c r="C67" s="151" t="s">
        <v>297</v>
      </c>
      <c r="D67" s="151" t="s">
        <v>297</v>
      </c>
      <c r="F67" s="151" t="s">
        <v>297</v>
      </c>
      <c r="G67" s="151" t="s">
        <v>297</v>
      </c>
      <c r="I67" s="151" t="s">
        <v>297</v>
      </c>
      <c r="J67" s="151" t="s">
        <v>297</v>
      </c>
      <c r="L67" s="151" t="s">
        <v>297</v>
      </c>
      <c r="M67" s="151" t="s">
        <v>297</v>
      </c>
      <c r="O67" s="151" t="s">
        <v>297</v>
      </c>
      <c r="P67" s="151" t="s">
        <v>297</v>
      </c>
      <c r="R67" s="151" t="s">
        <v>297</v>
      </c>
      <c r="S67" s="151" t="s">
        <v>297</v>
      </c>
      <c r="U67" s="152" t="s">
        <v>170</v>
      </c>
      <c r="V67" s="153" t="s">
        <v>178</v>
      </c>
      <c r="X67" s="152" t="s">
        <v>170</v>
      </c>
      <c r="Y67" s="153" t="s">
        <v>178</v>
      </c>
      <c r="AA67" s="2" t="s">
        <v>6</v>
      </c>
      <c r="AB67" s="2" t="str">
        <f t="shared" ref="AB67" si="87">IF(NOT(ISBLANK(AC67)),"-","")</f>
        <v>-</v>
      </c>
      <c r="AC67" s="2" t="s">
        <v>225</v>
      </c>
      <c r="AD67" s="2" t="str">
        <f t="shared" ref="AD67" si="88">IF(NOT(ISBLANK(AE67)),"_","")</f>
        <v>_</v>
      </c>
      <c r="AE67" s="2" t="s">
        <v>409</v>
      </c>
      <c r="AF67" s="2" t="str">
        <f t="shared" ref="AF67" si="89">IF(NOT(ISBLANK(AG67)),"_","")</f>
        <v/>
      </c>
      <c r="AH67" s="2" t="str">
        <f t="shared" ref="AH67" si="90">IF(NOT(ISBLANK(AI67)),"_","")</f>
        <v/>
      </c>
    </row>
    <row r="68" spans="2:34" x14ac:dyDescent="0.25">
      <c r="B68" s="2" t="str">
        <f>_xlfn.CONCAT("@",AA68,AB68,AC68,AD68,AE68,AF68,AG68,AH68,AI68)</f>
        <v>@color-mtb:winter_1</v>
      </c>
      <c r="C68" s="151" t="s">
        <v>297</v>
      </c>
      <c r="D68" s="151" t="s">
        <v>297</v>
      </c>
      <c r="F68" s="151" t="s">
        <v>297</v>
      </c>
      <c r="G68" s="151" t="s">
        <v>297</v>
      </c>
      <c r="I68" s="151" t="s">
        <v>297</v>
      </c>
      <c r="J68" s="151" t="s">
        <v>297</v>
      </c>
      <c r="L68" s="151" t="s">
        <v>297</v>
      </c>
      <c r="M68" s="151" t="s">
        <v>297</v>
      </c>
      <c r="O68" s="151" t="s">
        <v>297</v>
      </c>
      <c r="P68" s="151" t="s">
        <v>297</v>
      </c>
      <c r="R68" s="151" t="s">
        <v>297</v>
      </c>
      <c r="S68" s="151" t="s">
        <v>297</v>
      </c>
      <c r="U68" s="40" t="s">
        <v>171</v>
      </c>
      <c r="V68" s="41" t="s">
        <v>179</v>
      </c>
      <c r="X68" s="40" t="s">
        <v>171</v>
      </c>
      <c r="Y68" s="41" t="s">
        <v>179</v>
      </c>
      <c r="AA68" s="2" t="s">
        <v>6</v>
      </c>
      <c r="AB68" s="2" t="str">
        <f t="shared" ref="AB68" si="91">IF(NOT(ISBLANK(AC68)),"-","")</f>
        <v>-</v>
      </c>
      <c r="AC68" s="2" t="s">
        <v>225</v>
      </c>
      <c r="AD68" s="2" t="str">
        <f t="shared" ref="AD68" si="92">IF(NOT(ISBLANK(AE68)),"_","")</f>
        <v>_</v>
      </c>
      <c r="AE68" s="2">
        <v>1</v>
      </c>
      <c r="AF68" s="2" t="str">
        <f t="shared" ref="AF68" si="93">IF(NOT(ISBLANK(AG68)),"_","")</f>
        <v/>
      </c>
      <c r="AH68" s="2" t="str">
        <f t="shared" si="83"/>
        <v/>
      </c>
    </row>
    <row r="69" spans="2:34" x14ac:dyDescent="0.25">
      <c r="B69" s="2" t="str">
        <f t="shared" ref="B69:B70" si="94">_xlfn.CONCAT("@",AA69,AB69,AC69,AD69,AE69,AF69,AG69,AH69,AI69)</f>
        <v>@color-mtb:winter_2</v>
      </c>
      <c r="C69" s="151" t="s">
        <v>297</v>
      </c>
      <c r="D69" s="151" t="s">
        <v>297</v>
      </c>
      <c r="F69" s="151" t="s">
        <v>297</v>
      </c>
      <c r="G69" s="151" t="s">
        <v>297</v>
      </c>
      <c r="I69" s="151" t="s">
        <v>297</v>
      </c>
      <c r="J69" s="151" t="s">
        <v>297</v>
      </c>
      <c r="L69" s="151" t="s">
        <v>297</v>
      </c>
      <c r="M69" s="151" t="s">
        <v>297</v>
      </c>
      <c r="O69" s="151" t="s">
        <v>297</v>
      </c>
      <c r="P69" s="151" t="s">
        <v>297</v>
      </c>
      <c r="R69" s="151" t="s">
        <v>297</v>
      </c>
      <c r="S69" s="151" t="s">
        <v>297</v>
      </c>
      <c r="U69" s="42" t="s">
        <v>172</v>
      </c>
      <c r="V69" s="43" t="s">
        <v>180</v>
      </c>
      <c r="X69" s="42" t="s">
        <v>172</v>
      </c>
      <c r="Y69" s="43" t="s">
        <v>180</v>
      </c>
      <c r="AA69" s="2" t="s">
        <v>6</v>
      </c>
      <c r="AB69" s="2" t="str">
        <f t="shared" ref="AB69:AB70" si="95">IF(NOT(ISBLANK(AC69)),"-","")</f>
        <v>-</v>
      </c>
      <c r="AC69" s="2" t="s">
        <v>225</v>
      </c>
      <c r="AD69" s="2" t="str">
        <f>IF(NOT(ISBLANK(AE69)),"_","")</f>
        <v>_</v>
      </c>
      <c r="AE69" s="2">
        <v>2</v>
      </c>
      <c r="AF69" s="2" t="str">
        <f>IF(NOT(ISBLANK(AG69)),"_","")</f>
        <v/>
      </c>
      <c r="AH69" s="2" t="str">
        <f t="shared" si="83"/>
        <v/>
      </c>
    </row>
    <row r="70" spans="2:34" x14ac:dyDescent="0.25">
      <c r="B70" s="2" t="str">
        <f t="shared" si="94"/>
        <v>@color-mtb:winter_3</v>
      </c>
      <c r="C70" s="151" t="s">
        <v>297</v>
      </c>
      <c r="D70" s="151" t="s">
        <v>297</v>
      </c>
      <c r="F70" s="151" t="s">
        <v>297</v>
      </c>
      <c r="G70" s="151" t="s">
        <v>297</v>
      </c>
      <c r="I70" s="151" t="s">
        <v>297</v>
      </c>
      <c r="J70" s="151" t="s">
        <v>297</v>
      </c>
      <c r="L70" s="151" t="s">
        <v>297</v>
      </c>
      <c r="M70" s="151" t="s">
        <v>297</v>
      </c>
      <c r="O70" s="151" t="s">
        <v>297</v>
      </c>
      <c r="P70" s="151" t="s">
        <v>297</v>
      </c>
      <c r="R70" s="151" t="s">
        <v>297</v>
      </c>
      <c r="S70" s="151" t="s">
        <v>297</v>
      </c>
      <c r="U70" s="44" t="s">
        <v>173</v>
      </c>
      <c r="V70" s="45" t="s">
        <v>181</v>
      </c>
      <c r="X70" s="44" t="s">
        <v>173</v>
      </c>
      <c r="Y70" s="45" t="s">
        <v>181</v>
      </c>
      <c r="AA70" s="2" t="s">
        <v>6</v>
      </c>
      <c r="AB70" s="2" t="str">
        <f t="shared" si="95"/>
        <v>-</v>
      </c>
      <c r="AC70" s="2" t="s">
        <v>225</v>
      </c>
      <c r="AD70" s="2" t="str">
        <f>IF(NOT(ISBLANK(AE70)),"_","")</f>
        <v>_</v>
      </c>
      <c r="AE70" s="2">
        <v>3</v>
      </c>
      <c r="AF70" s="2" t="str">
        <f>IF(NOT(ISBLANK(AG70)),"_","")</f>
        <v/>
      </c>
      <c r="AH70" s="2" t="str">
        <f t="shared" si="83"/>
        <v/>
      </c>
    </row>
    <row r="71" spans="2:34" x14ac:dyDescent="0.25">
      <c r="B71" s="2" t="str">
        <f t="shared" ref="B71" si="96">_xlfn.CONCAT("@",AA71,AB71,AC71,AD71,AE71,AF71,AG71,AH71,AI71)</f>
        <v>@color-mtb:winter_null</v>
      </c>
      <c r="C71" s="151" t="s">
        <v>297</v>
      </c>
      <c r="D71" s="151" t="s">
        <v>297</v>
      </c>
      <c r="F71" s="151" t="s">
        <v>297</v>
      </c>
      <c r="G71" s="151" t="s">
        <v>297</v>
      </c>
      <c r="I71" s="151" t="s">
        <v>297</v>
      </c>
      <c r="J71" s="151" t="s">
        <v>297</v>
      </c>
      <c r="L71" s="151" t="s">
        <v>297</v>
      </c>
      <c r="M71" s="151" t="s">
        <v>297</v>
      </c>
      <c r="O71" s="151" t="s">
        <v>297</v>
      </c>
      <c r="P71" s="151" t="s">
        <v>297</v>
      </c>
      <c r="R71" s="151" t="s">
        <v>297</v>
      </c>
      <c r="S71" s="151" t="s">
        <v>297</v>
      </c>
      <c r="U71" s="38" t="s">
        <v>222</v>
      </c>
      <c r="V71" s="38" t="s">
        <v>222</v>
      </c>
      <c r="X71" s="135" t="s">
        <v>300</v>
      </c>
      <c r="Y71" s="135" t="s">
        <v>300</v>
      </c>
      <c r="AA71" s="2" t="s">
        <v>6</v>
      </c>
      <c r="AB71" s="2" t="str">
        <f t="shared" ref="AB71" si="97">IF(NOT(ISBLANK(AC71)),"-","")</f>
        <v>-</v>
      </c>
      <c r="AC71" s="2" t="s">
        <v>225</v>
      </c>
      <c r="AD71" s="2" t="str">
        <f>IF(NOT(ISBLANK(AE71)),"_","")</f>
        <v>_</v>
      </c>
      <c r="AE71" s="2" t="s">
        <v>297</v>
      </c>
      <c r="AF71" s="2" t="str">
        <f>IF(NOT(ISBLANK(AG71)),"_","")</f>
        <v/>
      </c>
      <c r="AH71" s="2" t="str">
        <f t="shared" ref="AH71" si="98">IF(NOT(ISBLANK(AI71)),"_","")</f>
        <v/>
      </c>
    </row>
    <row r="72" spans="2:34" x14ac:dyDescent="0.25">
      <c r="B72" s="2"/>
      <c r="AA72" s="2"/>
      <c r="AB72" s="2"/>
      <c r="AC72" s="2"/>
      <c r="AD72" s="2"/>
      <c r="AE72" s="2"/>
    </row>
    <row r="73" spans="2:34" x14ac:dyDescent="0.25">
      <c r="B73" s="2" t="str">
        <f t="shared" ref="B73:B88" si="99">_xlfn.CONCAT("@",AA73,AB73,AC73,AD73,AE73,AF73,AG73,AH73,AI73)</f>
        <v>@case_width-path_narrow_z11</v>
      </c>
      <c r="C73" s="28" t="s">
        <v>80</v>
      </c>
      <c r="D73" s="28" t="s">
        <v>85</v>
      </c>
      <c r="F73" s="28" t="s">
        <v>80</v>
      </c>
      <c r="G73" s="28" t="s">
        <v>85</v>
      </c>
      <c r="I73" s="28" t="s">
        <v>95</v>
      </c>
      <c r="L73" s="28" t="s">
        <v>95</v>
      </c>
      <c r="U73" s="28" t="s">
        <v>84</v>
      </c>
      <c r="V73" s="28" t="s">
        <v>88</v>
      </c>
      <c r="X73" s="28" t="s">
        <v>84</v>
      </c>
      <c r="Y73" s="28" t="s">
        <v>88</v>
      </c>
      <c r="AA73" s="2" t="s">
        <v>78</v>
      </c>
      <c r="AB73" s="2" t="str">
        <f t="shared" ref="AB73" si="100">IF(NOT(ISBLANK(AC73)),"-","")</f>
        <v>-</v>
      </c>
      <c r="AC73" s="2" t="s">
        <v>71</v>
      </c>
      <c r="AD73" s="2" t="str">
        <f t="shared" ref="AD73" si="101">IF(NOT(ISBLANK(AE73)),"_","")</f>
        <v>_</v>
      </c>
      <c r="AE73" s="2" t="s">
        <v>72</v>
      </c>
      <c r="AF73" s="2" t="str">
        <f t="shared" ref="AF73" si="102">IF(NOT(ISBLANK(AG73)),"_","")</f>
        <v>_</v>
      </c>
      <c r="AG73" s="28" t="s">
        <v>70</v>
      </c>
      <c r="AH73" s="2" t="str">
        <f t="shared" ref="AH73:AH88" si="103">IF(NOT(ISBLANK(AI73)),"_","")</f>
        <v/>
      </c>
    </row>
    <row r="74" spans="2:34" x14ac:dyDescent="0.25">
      <c r="B74" s="2" t="str">
        <f t="shared" si="99"/>
        <v>@case_width-path_medium_z11</v>
      </c>
      <c r="C74" s="28" t="s">
        <v>84</v>
      </c>
      <c r="D74" s="28" t="s">
        <v>88</v>
      </c>
      <c r="F74" s="28" t="s">
        <v>84</v>
      </c>
      <c r="G74" s="28" t="s">
        <v>88</v>
      </c>
      <c r="I74" s="28" t="s">
        <v>96</v>
      </c>
      <c r="L74" s="28" t="s">
        <v>96</v>
      </c>
      <c r="U74" s="28" t="s">
        <v>84</v>
      </c>
      <c r="V74" s="28" t="s">
        <v>88</v>
      </c>
      <c r="X74" s="28" t="s">
        <v>84</v>
      </c>
      <c r="Y74" s="28" t="s">
        <v>88</v>
      </c>
      <c r="AA74" s="2" t="s">
        <v>78</v>
      </c>
      <c r="AB74" s="2" t="str">
        <f t="shared" ref="AB74" si="104">IF(NOT(ISBLANK(AC74)),"-","")</f>
        <v>-</v>
      </c>
      <c r="AC74" s="2" t="s">
        <v>71</v>
      </c>
      <c r="AD74" s="2" t="str">
        <f t="shared" ref="AD74" si="105">IF(NOT(ISBLANK(AE74)),"_","")</f>
        <v>_</v>
      </c>
      <c r="AE74" s="2" t="s">
        <v>79</v>
      </c>
      <c r="AF74" s="2" t="str">
        <f t="shared" ref="AF74" si="106">IF(NOT(ISBLANK(AG74)),"_","")</f>
        <v>_</v>
      </c>
      <c r="AG74" s="28" t="s">
        <v>70</v>
      </c>
      <c r="AH74" s="2" t="str">
        <f t="shared" si="103"/>
        <v/>
      </c>
    </row>
    <row r="75" spans="2:34" x14ac:dyDescent="0.25">
      <c r="B75" s="2" t="str">
        <f t="shared" si="99"/>
        <v>@case_width-path_wide_z11</v>
      </c>
      <c r="C75" s="28" t="s">
        <v>85</v>
      </c>
      <c r="D75" s="28" t="s">
        <v>92</v>
      </c>
      <c r="F75" s="28" t="s">
        <v>85</v>
      </c>
      <c r="G75" s="28" t="s">
        <v>92</v>
      </c>
      <c r="I75" s="28" t="s">
        <v>84</v>
      </c>
      <c r="L75" s="28" t="s">
        <v>84</v>
      </c>
      <c r="U75" s="28" t="s">
        <v>84</v>
      </c>
      <c r="V75" s="28" t="s">
        <v>88</v>
      </c>
      <c r="X75" s="28" t="s">
        <v>84</v>
      </c>
      <c r="Y75" s="28" t="s">
        <v>88</v>
      </c>
      <c r="AA75" s="2" t="s">
        <v>78</v>
      </c>
      <c r="AB75" s="2" t="str">
        <f t="shared" ref="AB75:AB78" si="107">IF(NOT(ISBLANK(AC75)),"-","")</f>
        <v>-</v>
      </c>
      <c r="AC75" s="2" t="s">
        <v>71</v>
      </c>
      <c r="AD75" s="2" t="str">
        <f t="shared" ref="AD75:AD78" si="108">IF(NOT(ISBLANK(AE75)),"_","")</f>
        <v>_</v>
      </c>
      <c r="AE75" s="2" t="s">
        <v>77</v>
      </c>
      <c r="AF75" s="2" t="str">
        <f t="shared" ref="AF75:AF78" si="109">IF(NOT(ISBLANK(AG75)),"_","")</f>
        <v>_</v>
      </c>
      <c r="AG75" s="28" t="s">
        <v>70</v>
      </c>
      <c r="AH75" s="2" t="str">
        <f t="shared" si="103"/>
        <v/>
      </c>
    </row>
    <row r="76" spans="2:34" x14ac:dyDescent="0.25">
      <c r="B76" s="2" t="str">
        <f t="shared" si="99"/>
        <v>@case_width-path_widest_z11</v>
      </c>
      <c r="C76" s="28" t="s">
        <v>85</v>
      </c>
      <c r="D76" s="28" t="s">
        <v>92</v>
      </c>
      <c r="F76" s="28" t="s">
        <v>85</v>
      </c>
      <c r="G76" s="28" t="s">
        <v>92</v>
      </c>
      <c r="I76" s="28" t="s">
        <v>84</v>
      </c>
      <c r="L76" s="28" t="s">
        <v>84</v>
      </c>
      <c r="U76" s="28" t="s">
        <v>84</v>
      </c>
      <c r="V76" s="28" t="s">
        <v>88</v>
      </c>
      <c r="X76" s="28" t="s">
        <v>84</v>
      </c>
      <c r="Y76" s="28" t="s">
        <v>88</v>
      </c>
      <c r="AA76" s="2" t="s">
        <v>78</v>
      </c>
      <c r="AB76" s="2" t="str">
        <f t="shared" ref="AB76" si="110">IF(NOT(ISBLANK(AC76)),"-","")</f>
        <v>-</v>
      </c>
      <c r="AC76" s="2" t="s">
        <v>71</v>
      </c>
      <c r="AD76" s="2" t="str">
        <f t="shared" ref="AD76" si="111">IF(NOT(ISBLANK(AE76)),"_","")</f>
        <v>_</v>
      </c>
      <c r="AE76" s="2" t="s">
        <v>296</v>
      </c>
      <c r="AF76" s="2" t="str">
        <f t="shared" ref="AF76" si="112">IF(NOT(ISBLANK(AG76)),"_","")</f>
        <v>_</v>
      </c>
      <c r="AG76" s="28" t="s">
        <v>70</v>
      </c>
      <c r="AH76" s="2" t="str">
        <f t="shared" si="103"/>
        <v/>
      </c>
    </row>
    <row r="77" spans="2:34" x14ac:dyDescent="0.25">
      <c r="B77" s="2" t="str">
        <f t="shared" si="99"/>
        <v>@case_width-path_narrow_z14</v>
      </c>
      <c r="C77" s="28" t="s">
        <v>81</v>
      </c>
      <c r="D77" s="28" t="s">
        <v>90</v>
      </c>
      <c r="F77" s="28" t="s">
        <v>81</v>
      </c>
      <c r="G77" s="28" t="s">
        <v>90</v>
      </c>
      <c r="I77" s="28" t="s">
        <v>80</v>
      </c>
      <c r="L77" s="28" t="s">
        <v>80</v>
      </c>
      <c r="U77" s="28" t="s">
        <v>85</v>
      </c>
      <c r="V77" s="28" t="s">
        <v>92</v>
      </c>
      <c r="X77" s="28" t="s">
        <v>85</v>
      </c>
      <c r="Y77" s="28" t="s">
        <v>92</v>
      </c>
      <c r="AA77" s="2" t="s">
        <v>78</v>
      </c>
      <c r="AB77" s="2" t="str">
        <f t="shared" si="107"/>
        <v>-</v>
      </c>
      <c r="AC77" s="2" t="s">
        <v>71</v>
      </c>
      <c r="AD77" s="2" t="str">
        <f t="shared" si="108"/>
        <v>_</v>
      </c>
      <c r="AE77" s="2" t="s">
        <v>72</v>
      </c>
      <c r="AF77" s="2" t="str">
        <f t="shared" si="109"/>
        <v>_</v>
      </c>
      <c r="AG77" s="28" t="s">
        <v>74</v>
      </c>
      <c r="AH77" s="2" t="str">
        <f t="shared" si="103"/>
        <v/>
      </c>
    </row>
    <row r="78" spans="2:34" x14ac:dyDescent="0.25">
      <c r="B78" s="2" t="str">
        <f t="shared" si="99"/>
        <v>@case_width-path_medium_z14</v>
      </c>
      <c r="C78" s="28" t="s">
        <v>85</v>
      </c>
      <c r="D78" s="28" t="s">
        <v>92</v>
      </c>
      <c r="F78" s="28" t="s">
        <v>85</v>
      </c>
      <c r="G78" s="28" t="s">
        <v>92</v>
      </c>
      <c r="I78" s="28" t="s">
        <v>97</v>
      </c>
      <c r="L78" s="28" t="s">
        <v>97</v>
      </c>
      <c r="U78" s="28" t="s">
        <v>85</v>
      </c>
      <c r="V78" s="28" t="s">
        <v>92</v>
      </c>
      <c r="X78" s="28" t="s">
        <v>85</v>
      </c>
      <c r="Y78" s="28" t="s">
        <v>92</v>
      </c>
      <c r="AA78" s="2" t="s">
        <v>78</v>
      </c>
      <c r="AB78" s="2" t="str">
        <f t="shared" si="107"/>
        <v>-</v>
      </c>
      <c r="AC78" s="2" t="s">
        <v>71</v>
      </c>
      <c r="AD78" s="2" t="str">
        <f t="shared" si="108"/>
        <v>_</v>
      </c>
      <c r="AE78" s="2" t="s">
        <v>79</v>
      </c>
      <c r="AF78" s="2" t="str">
        <f t="shared" si="109"/>
        <v>_</v>
      </c>
      <c r="AG78" s="28" t="s">
        <v>74</v>
      </c>
      <c r="AH78" s="2" t="str">
        <f t="shared" si="103"/>
        <v/>
      </c>
    </row>
    <row r="79" spans="2:34" x14ac:dyDescent="0.25">
      <c r="B79" s="2" t="str">
        <f t="shared" si="99"/>
        <v>@case_width-path_wide_z14</v>
      </c>
      <c r="C79" s="28" t="s">
        <v>88</v>
      </c>
      <c r="D79" s="28" t="s">
        <v>86</v>
      </c>
      <c r="F79" s="28" t="s">
        <v>88</v>
      </c>
      <c r="G79" s="28" t="s">
        <v>86</v>
      </c>
      <c r="I79" s="28" t="s">
        <v>98</v>
      </c>
      <c r="L79" s="28" t="s">
        <v>98</v>
      </c>
      <c r="U79" s="28" t="s">
        <v>85</v>
      </c>
      <c r="V79" s="28" t="s">
        <v>92</v>
      </c>
      <c r="X79" s="28" t="s">
        <v>85</v>
      </c>
      <c r="Y79" s="28" t="s">
        <v>92</v>
      </c>
      <c r="AA79" s="2" t="s">
        <v>78</v>
      </c>
      <c r="AB79" s="2" t="str">
        <f t="shared" ref="AB79:AB82" si="113">IF(NOT(ISBLANK(AC79)),"-","")</f>
        <v>-</v>
      </c>
      <c r="AC79" s="2" t="s">
        <v>71</v>
      </c>
      <c r="AD79" s="2" t="str">
        <f t="shared" ref="AD79:AD82" si="114">IF(NOT(ISBLANK(AE79)),"_","")</f>
        <v>_</v>
      </c>
      <c r="AE79" s="2" t="s">
        <v>77</v>
      </c>
      <c r="AF79" s="2" t="str">
        <f t="shared" ref="AF79:AF82" si="115">IF(NOT(ISBLANK(AG79)),"_","")</f>
        <v>_</v>
      </c>
      <c r="AG79" s="28" t="s">
        <v>74</v>
      </c>
      <c r="AH79" s="2" t="str">
        <f t="shared" si="103"/>
        <v/>
      </c>
    </row>
    <row r="80" spans="2:34" x14ac:dyDescent="0.25">
      <c r="B80" s="2" t="str">
        <f t="shared" si="99"/>
        <v>@case_width-path_widest_z14</v>
      </c>
      <c r="C80" s="28" t="s">
        <v>92</v>
      </c>
      <c r="D80" s="28" t="s">
        <v>86</v>
      </c>
      <c r="F80" s="28" t="s">
        <v>92</v>
      </c>
      <c r="G80" s="28" t="s">
        <v>86</v>
      </c>
      <c r="I80" s="28" t="s">
        <v>92</v>
      </c>
      <c r="J80" s="28" t="s">
        <v>86</v>
      </c>
      <c r="L80" s="28" t="s">
        <v>92</v>
      </c>
      <c r="M80" s="28" t="s">
        <v>86</v>
      </c>
      <c r="U80" s="28" t="s">
        <v>92</v>
      </c>
      <c r="V80" s="28" t="s">
        <v>86</v>
      </c>
      <c r="X80" s="28" t="s">
        <v>92</v>
      </c>
      <c r="Y80" s="28" t="s">
        <v>86</v>
      </c>
      <c r="AA80" s="2" t="s">
        <v>78</v>
      </c>
      <c r="AB80" s="2" t="str">
        <f t="shared" ref="AB80" si="116">IF(NOT(ISBLANK(AC80)),"-","")</f>
        <v>-</v>
      </c>
      <c r="AC80" s="2" t="s">
        <v>71</v>
      </c>
      <c r="AD80" s="2" t="str">
        <f t="shared" ref="AD80" si="117">IF(NOT(ISBLANK(AE80)),"_","")</f>
        <v>_</v>
      </c>
      <c r="AE80" s="2" t="s">
        <v>296</v>
      </c>
      <c r="AF80" s="2" t="str">
        <f t="shared" ref="AF80" si="118">IF(NOT(ISBLANK(AG80)),"_","")</f>
        <v>_</v>
      </c>
      <c r="AG80" s="28" t="s">
        <v>74</v>
      </c>
      <c r="AH80" s="2" t="str">
        <f t="shared" si="103"/>
        <v/>
      </c>
    </row>
    <row r="81" spans="2:34" x14ac:dyDescent="0.25">
      <c r="B81" s="2" t="str">
        <f t="shared" si="99"/>
        <v>@case_width-path_narrow_z16</v>
      </c>
      <c r="C81" s="28" t="s">
        <v>88</v>
      </c>
      <c r="D81" s="28" t="s">
        <v>88</v>
      </c>
      <c r="F81" s="28" t="s">
        <v>88</v>
      </c>
      <c r="G81" s="28" t="s">
        <v>88</v>
      </c>
      <c r="I81" s="28" t="s">
        <v>80</v>
      </c>
      <c r="L81" s="28" t="s">
        <v>80</v>
      </c>
      <c r="U81" s="28" t="s">
        <v>86</v>
      </c>
      <c r="V81" s="28" t="s">
        <v>86</v>
      </c>
      <c r="X81" s="28" t="s">
        <v>86</v>
      </c>
      <c r="Y81" s="28" t="s">
        <v>86</v>
      </c>
      <c r="AA81" s="2" t="s">
        <v>78</v>
      </c>
      <c r="AB81" s="2" t="str">
        <f t="shared" si="113"/>
        <v>-</v>
      </c>
      <c r="AC81" s="2" t="s">
        <v>71</v>
      </c>
      <c r="AD81" s="2" t="str">
        <f t="shared" si="114"/>
        <v>_</v>
      </c>
      <c r="AE81" s="2" t="s">
        <v>72</v>
      </c>
      <c r="AF81" s="2" t="str">
        <f t="shared" si="115"/>
        <v>_</v>
      </c>
      <c r="AG81" s="28" t="s">
        <v>75</v>
      </c>
      <c r="AH81" s="2" t="str">
        <f t="shared" si="103"/>
        <v/>
      </c>
    </row>
    <row r="82" spans="2:34" x14ac:dyDescent="0.25">
      <c r="B82" s="2" t="str">
        <f t="shared" si="99"/>
        <v>@case_width-path_medium_z16</v>
      </c>
      <c r="C82" s="28" t="s">
        <v>86</v>
      </c>
      <c r="D82" s="28" t="s">
        <v>86</v>
      </c>
      <c r="F82" s="28" t="s">
        <v>86</v>
      </c>
      <c r="G82" s="28" t="s">
        <v>86</v>
      </c>
      <c r="I82" s="28" t="s">
        <v>98</v>
      </c>
      <c r="L82" s="28" t="s">
        <v>98</v>
      </c>
      <c r="U82" s="28" t="s">
        <v>86</v>
      </c>
      <c r="V82" s="28" t="s">
        <v>86</v>
      </c>
      <c r="X82" s="28" t="s">
        <v>86</v>
      </c>
      <c r="Y82" s="28" t="s">
        <v>86</v>
      </c>
      <c r="AA82" s="2" t="s">
        <v>78</v>
      </c>
      <c r="AB82" s="2" t="str">
        <f t="shared" si="113"/>
        <v>-</v>
      </c>
      <c r="AC82" s="2" t="s">
        <v>71</v>
      </c>
      <c r="AD82" s="2" t="str">
        <f t="shared" si="114"/>
        <v>_</v>
      </c>
      <c r="AE82" s="2" t="s">
        <v>79</v>
      </c>
      <c r="AF82" s="2" t="str">
        <f t="shared" si="115"/>
        <v>_</v>
      </c>
      <c r="AG82" s="28" t="s">
        <v>75</v>
      </c>
      <c r="AH82" s="2" t="str">
        <f t="shared" si="103"/>
        <v/>
      </c>
    </row>
    <row r="83" spans="2:34" x14ac:dyDescent="0.25">
      <c r="B83" s="2" t="str">
        <f t="shared" si="99"/>
        <v>@case_width-path_wide_z16</v>
      </c>
      <c r="C83" s="28" t="s">
        <v>87</v>
      </c>
      <c r="D83" s="28" t="s">
        <v>87</v>
      </c>
      <c r="F83" s="28" t="s">
        <v>87</v>
      </c>
      <c r="G83" s="28" t="s">
        <v>87</v>
      </c>
      <c r="I83" s="28" t="s">
        <v>99</v>
      </c>
      <c r="L83" s="28" t="s">
        <v>99</v>
      </c>
      <c r="U83" s="28" t="s">
        <v>86</v>
      </c>
      <c r="V83" s="28" t="s">
        <v>86</v>
      </c>
      <c r="X83" s="28" t="s">
        <v>86</v>
      </c>
      <c r="Y83" s="28" t="s">
        <v>86</v>
      </c>
      <c r="AA83" s="2" t="s">
        <v>78</v>
      </c>
      <c r="AB83" s="2" t="str">
        <f t="shared" ref="AB83:AB86" si="119">IF(NOT(ISBLANK(AC83)),"-","")</f>
        <v>-</v>
      </c>
      <c r="AC83" s="2" t="s">
        <v>71</v>
      </c>
      <c r="AD83" s="2" t="str">
        <f t="shared" ref="AD83:AD86" si="120">IF(NOT(ISBLANK(AE83)),"_","")</f>
        <v>_</v>
      </c>
      <c r="AE83" s="2" t="s">
        <v>77</v>
      </c>
      <c r="AF83" s="2" t="str">
        <f t="shared" ref="AF83:AF86" si="121">IF(NOT(ISBLANK(AG83)),"_","")</f>
        <v>_</v>
      </c>
      <c r="AG83" s="28" t="s">
        <v>75</v>
      </c>
      <c r="AH83" s="2" t="str">
        <f t="shared" si="103"/>
        <v/>
      </c>
    </row>
    <row r="84" spans="2:34" x14ac:dyDescent="0.25">
      <c r="B84" s="2" t="str">
        <f t="shared" si="99"/>
        <v>@case_width-path_widest_z16</v>
      </c>
      <c r="C84" s="28" t="s">
        <v>87</v>
      </c>
      <c r="D84" s="28" t="s">
        <v>87</v>
      </c>
      <c r="F84" s="28" t="s">
        <v>87</v>
      </c>
      <c r="G84" s="28" t="s">
        <v>87</v>
      </c>
      <c r="I84" s="28" t="s">
        <v>87</v>
      </c>
      <c r="J84" s="28" t="s">
        <v>87</v>
      </c>
      <c r="L84" s="28" t="s">
        <v>87</v>
      </c>
      <c r="M84" s="28" t="s">
        <v>87</v>
      </c>
      <c r="U84" s="28" t="s">
        <v>87</v>
      </c>
      <c r="V84" s="28" t="s">
        <v>87</v>
      </c>
      <c r="X84" s="28" t="s">
        <v>87</v>
      </c>
      <c r="Y84" s="28" t="s">
        <v>87</v>
      </c>
      <c r="AA84" s="2" t="s">
        <v>78</v>
      </c>
      <c r="AB84" s="2" t="str">
        <f t="shared" ref="AB84" si="122">IF(NOT(ISBLANK(AC84)),"-","")</f>
        <v>-</v>
      </c>
      <c r="AC84" s="2" t="s">
        <v>71</v>
      </c>
      <c r="AD84" s="2" t="str">
        <f t="shared" ref="AD84" si="123">IF(NOT(ISBLANK(AE84)),"_","")</f>
        <v>_</v>
      </c>
      <c r="AE84" s="2" t="s">
        <v>296</v>
      </c>
      <c r="AF84" s="2" t="str">
        <f t="shared" ref="AF84" si="124">IF(NOT(ISBLANK(AG84)),"_","")</f>
        <v>_</v>
      </c>
      <c r="AG84" s="28" t="s">
        <v>75</v>
      </c>
      <c r="AH84" s="2" t="str">
        <f t="shared" si="103"/>
        <v/>
      </c>
    </row>
    <row r="85" spans="2:34" x14ac:dyDescent="0.25">
      <c r="B85" s="2" t="str">
        <f t="shared" si="99"/>
        <v>@case_width-path_narrow_z18</v>
      </c>
      <c r="C85" s="28" t="s">
        <v>83</v>
      </c>
      <c r="D85" s="28" t="s">
        <v>91</v>
      </c>
      <c r="F85" s="28" t="s">
        <v>83</v>
      </c>
      <c r="G85" s="28" t="s">
        <v>91</v>
      </c>
      <c r="I85" s="28" t="s">
        <v>84</v>
      </c>
      <c r="L85" s="28" t="s">
        <v>84</v>
      </c>
      <c r="U85" s="28" t="s">
        <v>87</v>
      </c>
      <c r="V85" s="28" t="s">
        <v>93</v>
      </c>
      <c r="X85" s="28" t="s">
        <v>87</v>
      </c>
      <c r="Y85" s="28" t="s">
        <v>93</v>
      </c>
      <c r="AA85" s="2" t="s">
        <v>78</v>
      </c>
      <c r="AB85" s="2" t="str">
        <f t="shared" si="119"/>
        <v>-</v>
      </c>
      <c r="AC85" s="2" t="s">
        <v>71</v>
      </c>
      <c r="AD85" s="2" t="str">
        <f t="shared" si="120"/>
        <v>_</v>
      </c>
      <c r="AE85" s="2" t="s">
        <v>72</v>
      </c>
      <c r="AF85" s="2" t="str">
        <f t="shared" si="121"/>
        <v>_</v>
      </c>
      <c r="AG85" s="28" t="s">
        <v>76</v>
      </c>
      <c r="AH85" s="2" t="str">
        <f t="shared" si="103"/>
        <v/>
      </c>
    </row>
    <row r="86" spans="2:34" x14ac:dyDescent="0.25">
      <c r="B86" s="2" t="str">
        <f t="shared" si="99"/>
        <v>@case_width-path_medium_z18</v>
      </c>
      <c r="C86" s="28" t="s">
        <v>87</v>
      </c>
      <c r="D86" s="28" t="s">
        <v>93</v>
      </c>
      <c r="F86" s="28" t="s">
        <v>87</v>
      </c>
      <c r="G86" s="28" t="s">
        <v>93</v>
      </c>
      <c r="I86" s="28" t="s">
        <v>99</v>
      </c>
      <c r="L86" s="28" t="s">
        <v>99</v>
      </c>
      <c r="U86" s="28" t="s">
        <v>87</v>
      </c>
      <c r="V86" s="28" t="s">
        <v>93</v>
      </c>
      <c r="X86" s="28" t="s">
        <v>87</v>
      </c>
      <c r="Y86" s="28" t="s">
        <v>93</v>
      </c>
      <c r="AA86" s="2" t="s">
        <v>78</v>
      </c>
      <c r="AB86" s="2" t="str">
        <f t="shared" si="119"/>
        <v>-</v>
      </c>
      <c r="AC86" s="2" t="s">
        <v>71</v>
      </c>
      <c r="AD86" s="2" t="str">
        <f t="shared" si="120"/>
        <v>_</v>
      </c>
      <c r="AE86" s="2" t="s">
        <v>79</v>
      </c>
      <c r="AF86" s="2" t="str">
        <f t="shared" si="121"/>
        <v>_</v>
      </c>
      <c r="AG86" s="28" t="s">
        <v>76</v>
      </c>
      <c r="AH86" s="2" t="str">
        <f t="shared" si="103"/>
        <v/>
      </c>
    </row>
    <row r="87" spans="2:34" x14ac:dyDescent="0.25">
      <c r="B87" s="2" t="str">
        <f t="shared" si="99"/>
        <v>@case_width-path_wide_z18</v>
      </c>
      <c r="C87" s="28" t="s">
        <v>89</v>
      </c>
      <c r="D87" s="28" t="s">
        <v>94</v>
      </c>
      <c r="F87" s="28" t="s">
        <v>89</v>
      </c>
      <c r="G87" s="28" t="s">
        <v>94</v>
      </c>
      <c r="I87" s="28" t="s">
        <v>100</v>
      </c>
      <c r="L87" s="28" t="s">
        <v>100</v>
      </c>
      <c r="U87" s="28" t="s">
        <v>87</v>
      </c>
      <c r="V87" s="28" t="s">
        <v>93</v>
      </c>
      <c r="X87" s="28" t="s">
        <v>87</v>
      </c>
      <c r="Y87" s="28" t="s">
        <v>93</v>
      </c>
      <c r="AA87" s="2" t="s">
        <v>78</v>
      </c>
      <c r="AB87" s="2" t="str">
        <f t="shared" ref="AB87" si="125">IF(NOT(ISBLANK(AC87)),"-","")</f>
        <v>-</v>
      </c>
      <c r="AC87" s="2" t="s">
        <v>71</v>
      </c>
      <c r="AD87" s="2" t="str">
        <f t="shared" ref="AD87" si="126">IF(NOT(ISBLANK(AE87)),"_","")</f>
        <v>_</v>
      </c>
      <c r="AE87" s="2" t="s">
        <v>77</v>
      </c>
      <c r="AF87" s="2" t="str">
        <f t="shared" ref="AF87" si="127">IF(NOT(ISBLANK(AG87)),"_","")</f>
        <v>_</v>
      </c>
      <c r="AG87" s="28" t="s">
        <v>76</v>
      </c>
      <c r="AH87" s="2" t="str">
        <f t="shared" si="103"/>
        <v/>
      </c>
    </row>
    <row r="88" spans="2:34" x14ac:dyDescent="0.25">
      <c r="B88" s="2" t="str">
        <f t="shared" si="99"/>
        <v>@case_width-path_widest_z18</v>
      </c>
      <c r="C88" s="28" t="s">
        <v>89</v>
      </c>
      <c r="D88" s="28" t="s">
        <v>94</v>
      </c>
      <c r="F88" s="28" t="s">
        <v>89</v>
      </c>
      <c r="G88" s="28" t="s">
        <v>94</v>
      </c>
      <c r="I88" s="28" t="s">
        <v>89</v>
      </c>
      <c r="J88" s="28" t="s">
        <v>94</v>
      </c>
      <c r="L88" s="28" t="s">
        <v>89</v>
      </c>
      <c r="M88" s="28" t="s">
        <v>94</v>
      </c>
      <c r="U88" s="28" t="s">
        <v>89</v>
      </c>
      <c r="V88" s="28" t="s">
        <v>94</v>
      </c>
      <c r="X88" s="28" t="s">
        <v>89</v>
      </c>
      <c r="Y88" s="28" t="s">
        <v>94</v>
      </c>
      <c r="AA88" s="2" t="s">
        <v>78</v>
      </c>
      <c r="AB88" s="2" t="str">
        <f t="shared" ref="AB88" si="128">IF(NOT(ISBLANK(AC88)),"-","")</f>
        <v>-</v>
      </c>
      <c r="AC88" s="2" t="s">
        <v>71</v>
      </c>
      <c r="AD88" s="2" t="str">
        <f t="shared" ref="AD88" si="129">IF(NOT(ISBLANK(AE88)),"_","")</f>
        <v>_</v>
      </c>
      <c r="AE88" s="2" t="s">
        <v>296</v>
      </c>
      <c r="AF88" s="2" t="str">
        <f t="shared" ref="AF88" si="130">IF(NOT(ISBLANK(AG88)),"_","")</f>
        <v>_</v>
      </c>
      <c r="AG88" s="28" t="s">
        <v>76</v>
      </c>
      <c r="AH88" s="2" t="str">
        <f t="shared" si="103"/>
        <v/>
      </c>
    </row>
    <row r="89" spans="2:34" x14ac:dyDescent="0.25">
      <c r="B89" s="2"/>
      <c r="AA89" s="2"/>
      <c r="AB89" s="2"/>
      <c r="AC89" s="2"/>
      <c r="AD89" s="2"/>
      <c r="AE89" s="2"/>
      <c r="AF89" s="2"/>
      <c r="AH89" s="2"/>
    </row>
    <row r="90" spans="2:34" x14ac:dyDescent="0.25">
      <c r="B90" s="2" t="str">
        <f t="shared" ref="B90" si="131">_xlfn.CONCAT("@",AA90,AB90,AC90,AD90,AE90,AF90,AG90,AH90,AI90)</f>
        <v>@color-path_track_footway_cycleway_railings</v>
      </c>
      <c r="C90" s="47" t="s">
        <v>214</v>
      </c>
      <c r="D90" s="47" t="s">
        <v>214</v>
      </c>
      <c r="F90" s="31" t="s">
        <v>281</v>
      </c>
      <c r="G90" s="31" t="s">
        <v>281</v>
      </c>
      <c r="I90" s="47" t="s">
        <v>214</v>
      </c>
      <c r="J90" s="47" t="s">
        <v>214</v>
      </c>
      <c r="L90" s="31" t="s">
        <v>281</v>
      </c>
      <c r="M90" s="31" t="s">
        <v>281</v>
      </c>
      <c r="U90" s="47" t="s">
        <v>214</v>
      </c>
      <c r="V90" s="47" t="s">
        <v>214</v>
      </c>
      <c r="X90" s="31" t="s">
        <v>281</v>
      </c>
      <c r="Y90" s="31" t="s">
        <v>281</v>
      </c>
      <c r="AA90" s="2" t="s">
        <v>6</v>
      </c>
      <c r="AB90" s="2" t="str">
        <f t="shared" ref="AB90" si="132">IF(NOT(ISBLANK(AC90)),"-","")</f>
        <v>-</v>
      </c>
      <c r="AC90" s="2" t="s">
        <v>349</v>
      </c>
      <c r="AD90" s="2" t="str">
        <f t="shared" ref="AD90" si="133">IF(NOT(ISBLANK(AE90)),"_","")</f>
        <v>_</v>
      </c>
      <c r="AE90" s="2" t="s">
        <v>342</v>
      </c>
      <c r="AF90" s="2" t="str">
        <f t="shared" ref="AF90" si="134">IF(NOT(ISBLANK(AG90)),"_","")</f>
        <v/>
      </c>
      <c r="AH90" s="2" t="str">
        <f t="shared" ref="AH90" si="135">IF(NOT(ISBLANK(AI90)),"_","")</f>
        <v/>
      </c>
    </row>
    <row r="91" spans="2:34" x14ac:dyDescent="0.25">
      <c r="B91" s="2" t="str">
        <f t="shared" ref="B91" si="136">_xlfn.CONCAT("@",AA91,AB91,AC91,AD91,AE91,AF91,AG91,AH91,AI91)</f>
        <v>@color-path_track_footway_cycleway_floor</v>
      </c>
      <c r="C91" s="46" t="s">
        <v>222</v>
      </c>
      <c r="D91" s="46" t="s">
        <v>222</v>
      </c>
      <c r="F91" s="47" t="s">
        <v>214</v>
      </c>
      <c r="G91" s="47" t="s">
        <v>214</v>
      </c>
      <c r="I91" s="46" t="s">
        <v>222</v>
      </c>
      <c r="J91" s="46" t="s">
        <v>222</v>
      </c>
      <c r="L91" s="47" t="s">
        <v>214</v>
      </c>
      <c r="M91" s="47" t="s">
        <v>214</v>
      </c>
      <c r="U91" s="46" t="s">
        <v>222</v>
      </c>
      <c r="V91" s="46" t="s">
        <v>222</v>
      </c>
      <c r="X91" s="47" t="s">
        <v>214</v>
      </c>
      <c r="Y91" s="47" t="s">
        <v>214</v>
      </c>
      <c r="AA91" s="2" t="s">
        <v>6</v>
      </c>
      <c r="AB91" s="2" t="str">
        <f t="shared" ref="AB91" si="137">IF(NOT(ISBLANK(AC91)),"-","")</f>
        <v>-</v>
      </c>
      <c r="AC91" s="2" t="s">
        <v>349</v>
      </c>
      <c r="AD91" s="2" t="str">
        <f t="shared" ref="AD91" si="138">IF(NOT(ISBLANK(AE91)),"_","")</f>
        <v>_</v>
      </c>
      <c r="AE91" s="2" t="s">
        <v>343</v>
      </c>
      <c r="AF91" s="2" t="str">
        <f t="shared" ref="AF91" si="139">IF(NOT(ISBLANK(AG91)),"_","")</f>
        <v/>
      </c>
      <c r="AH91" s="2" t="str">
        <f t="shared" ref="AH91" si="140">IF(NOT(ISBLANK(AI91)),"_","")</f>
        <v/>
      </c>
    </row>
    <row r="92" spans="2:34" x14ac:dyDescent="0.25">
      <c r="B92" s="2"/>
      <c r="AA92" s="2"/>
      <c r="AB92" s="2"/>
      <c r="AC92" s="2"/>
      <c r="AD92" s="2"/>
      <c r="AE92" s="2"/>
      <c r="AF92" s="2"/>
      <c r="AH92" s="2"/>
    </row>
    <row r="93" spans="2:34" x14ac:dyDescent="0.25">
      <c r="B93" s="2" t="str">
        <f t="shared" ref="B93" si="141">_xlfn.CONCAT("@",AA93,AB93,AC93,AD93,AE93,AF93,AG93,AH93,AI93)</f>
        <v>@case_width-path_track_footway_cycleway_railings_z12</v>
      </c>
      <c r="C93" s="28" t="s">
        <v>131</v>
      </c>
      <c r="D93" s="28" t="s">
        <v>131</v>
      </c>
      <c r="F93" s="28" t="s">
        <v>131</v>
      </c>
      <c r="G93" s="28" t="s">
        <v>131</v>
      </c>
      <c r="I93" s="28" t="s">
        <v>131</v>
      </c>
      <c r="J93" s="28" t="s">
        <v>82</v>
      </c>
      <c r="L93" s="28" t="s">
        <v>131</v>
      </c>
      <c r="M93" s="28" t="s">
        <v>82</v>
      </c>
      <c r="U93" s="28" t="s">
        <v>131</v>
      </c>
      <c r="V93" s="28" t="s">
        <v>131</v>
      </c>
      <c r="X93" s="28" t="s">
        <v>131</v>
      </c>
      <c r="Y93" s="28" t="s">
        <v>131</v>
      </c>
      <c r="AA93" s="2" t="s">
        <v>78</v>
      </c>
      <c r="AB93" s="2" t="str">
        <f t="shared" ref="AB93" si="142">IF(NOT(ISBLANK(AC93)),"-","")</f>
        <v>-</v>
      </c>
      <c r="AC93" s="2" t="s">
        <v>349</v>
      </c>
      <c r="AD93" s="2" t="str">
        <f t="shared" ref="AD93" si="143">IF(NOT(ISBLANK(AE93)),"_","")</f>
        <v>_</v>
      </c>
      <c r="AE93" s="2" t="s">
        <v>342</v>
      </c>
      <c r="AF93" s="2" t="str">
        <f t="shared" ref="AF93" si="144">IF(NOT(ISBLANK(AG93)),"_","")</f>
        <v>_</v>
      </c>
      <c r="AG93" s="28" t="s">
        <v>109</v>
      </c>
      <c r="AH93" s="2" t="str">
        <f t="shared" ref="AH93" si="145">IF(NOT(ISBLANK(AI93)),"_","")</f>
        <v/>
      </c>
    </row>
    <row r="94" spans="2:34" x14ac:dyDescent="0.25">
      <c r="B94" s="2" t="str">
        <f t="shared" ref="B94" si="146">_xlfn.CONCAT("@",AA94,AB94,AC94,AD94,AE94,AF94,AG94,AH94,AI94)</f>
        <v>@case_width-path_track_footway_cycleway_railings_z14</v>
      </c>
      <c r="C94" s="28" t="s">
        <v>344</v>
      </c>
      <c r="D94" s="28" t="s">
        <v>344</v>
      </c>
      <c r="F94" s="28" t="s">
        <v>344</v>
      </c>
      <c r="G94" s="28" t="s">
        <v>344</v>
      </c>
      <c r="I94" s="28" t="s">
        <v>86</v>
      </c>
      <c r="J94" s="28" t="s">
        <v>134</v>
      </c>
      <c r="L94" s="28" t="s">
        <v>86</v>
      </c>
      <c r="M94" s="28" t="s">
        <v>134</v>
      </c>
      <c r="U94" s="28" t="s">
        <v>344</v>
      </c>
      <c r="V94" s="28" t="s">
        <v>344</v>
      </c>
      <c r="X94" s="28" t="s">
        <v>344</v>
      </c>
      <c r="Y94" s="28" t="s">
        <v>344</v>
      </c>
      <c r="AA94" s="2" t="s">
        <v>78</v>
      </c>
      <c r="AB94" s="2" t="str">
        <f t="shared" ref="AB94" si="147">IF(NOT(ISBLANK(AC94)),"-","")</f>
        <v>-</v>
      </c>
      <c r="AC94" s="2" t="s">
        <v>349</v>
      </c>
      <c r="AD94" s="2" t="str">
        <f t="shared" ref="AD94" si="148">IF(NOT(ISBLANK(AE94)),"_","")</f>
        <v>_</v>
      </c>
      <c r="AE94" s="2" t="s">
        <v>342</v>
      </c>
      <c r="AF94" s="2" t="str">
        <f t="shared" ref="AF94" si="149">IF(NOT(ISBLANK(AG94)),"_","")</f>
        <v>_</v>
      </c>
      <c r="AG94" s="28" t="s">
        <v>74</v>
      </c>
      <c r="AH94" s="2" t="str">
        <f t="shared" ref="AH94" si="150">IF(NOT(ISBLANK(AI94)),"_","")</f>
        <v/>
      </c>
    </row>
    <row r="95" spans="2:34" x14ac:dyDescent="0.25">
      <c r="B95" s="2" t="str">
        <f t="shared" ref="B95" si="151">_xlfn.CONCAT("@",AA95,AB95,AC95,AD95,AE95,AF95,AG95,AH95,AI95)</f>
        <v>@case_width-path_track_footway_cycleway_railings_z15</v>
      </c>
      <c r="C95" s="28" t="s">
        <v>128</v>
      </c>
      <c r="D95" s="28" t="s">
        <v>313</v>
      </c>
      <c r="F95" s="28" t="s">
        <v>128</v>
      </c>
      <c r="G95" s="28" t="s">
        <v>86</v>
      </c>
      <c r="I95" s="28" t="s">
        <v>134</v>
      </c>
      <c r="J95" s="28" t="s">
        <v>327</v>
      </c>
      <c r="L95" s="28" t="s">
        <v>134</v>
      </c>
      <c r="M95" s="28" t="s">
        <v>327</v>
      </c>
      <c r="U95" s="28" t="s">
        <v>128</v>
      </c>
      <c r="V95" s="28" t="s">
        <v>313</v>
      </c>
      <c r="X95" s="28" t="s">
        <v>128</v>
      </c>
      <c r="Y95" s="28" t="s">
        <v>86</v>
      </c>
      <c r="AA95" s="2" t="s">
        <v>78</v>
      </c>
      <c r="AB95" s="2" t="str">
        <f t="shared" ref="AB95" si="152">IF(NOT(ISBLANK(AC95)),"-","")</f>
        <v>-</v>
      </c>
      <c r="AC95" s="2" t="s">
        <v>349</v>
      </c>
      <c r="AD95" s="2" t="str">
        <f t="shared" ref="AD95" si="153">IF(NOT(ISBLANK(AE95)),"_","")</f>
        <v>_</v>
      </c>
      <c r="AE95" s="2" t="s">
        <v>342</v>
      </c>
      <c r="AF95" s="2" t="str">
        <f t="shared" ref="AF95" si="154">IF(NOT(ISBLANK(AG95)),"_","")</f>
        <v>_</v>
      </c>
      <c r="AG95" s="28" t="s">
        <v>337</v>
      </c>
      <c r="AH95" s="2" t="str">
        <f t="shared" ref="AH95" si="155">IF(NOT(ISBLANK(AI95)),"_","")</f>
        <v/>
      </c>
    </row>
    <row r="96" spans="2:34" x14ac:dyDescent="0.25">
      <c r="B96" s="2" t="str">
        <f t="shared" ref="B96" si="156">_xlfn.CONCAT("@",AA96,AB96,AC96,AD96,AE96,AF96,AG96,AH96,AI96)</f>
        <v>@case_width-path_track_footway_cycleway_railings_z16</v>
      </c>
      <c r="C96" s="28" t="s">
        <v>340</v>
      </c>
      <c r="D96" s="28" t="s">
        <v>345</v>
      </c>
      <c r="F96" s="28" t="s">
        <v>340</v>
      </c>
      <c r="G96" s="28" t="s">
        <v>345</v>
      </c>
      <c r="I96" s="28" t="s">
        <v>135</v>
      </c>
      <c r="J96" s="28" t="s">
        <v>347</v>
      </c>
      <c r="L96" s="28" t="s">
        <v>135</v>
      </c>
      <c r="M96" s="28" t="s">
        <v>347</v>
      </c>
      <c r="U96" s="28" t="s">
        <v>340</v>
      </c>
      <c r="V96" s="28" t="s">
        <v>345</v>
      </c>
      <c r="X96" s="28" t="s">
        <v>340</v>
      </c>
      <c r="Y96" s="28" t="s">
        <v>345</v>
      </c>
      <c r="AA96" s="2" t="s">
        <v>78</v>
      </c>
      <c r="AB96" s="2" t="str">
        <f t="shared" ref="AB96" si="157">IF(NOT(ISBLANK(AC96)),"-","")</f>
        <v>-</v>
      </c>
      <c r="AC96" s="2" t="s">
        <v>349</v>
      </c>
      <c r="AD96" s="2" t="str">
        <f t="shared" ref="AD96" si="158">IF(NOT(ISBLANK(AE96)),"_","")</f>
        <v>_</v>
      </c>
      <c r="AE96" s="2" t="s">
        <v>342</v>
      </c>
      <c r="AF96" s="2" t="str">
        <f t="shared" ref="AF96" si="159">IF(NOT(ISBLANK(AG96)),"_","")</f>
        <v>_</v>
      </c>
      <c r="AG96" s="28" t="s">
        <v>75</v>
      </c>
      <c r="AH96" s="2" t="str">
        <f t="shared" ref="AH96" si="160">IF(NOT(ISBLANK(AI96)),"_","")</f>
        <v/>
      </c>
    </row>
    <row r="97" spans="1:35" x14ac:dyDescent="0.25">
      <c r="B97" s="2" t="str">
        <f t="shared" ref="B97" si="161">_xlfn.CONCAT("@",AA97,AB97,AC97,AD97,AE97,AF97,AG97,AH97,AI97)</f>
        <v>@case_width-path_track_footway_cycleway_railings_z18</v>
      </c>
      <c r="C97" s="28" t="s">
        <v>89</v>
      </c>
      <c r="D97" s="28" t="s">
        <v>339</v>
      </c>
      <c r="F97" s="28" t="s">
        <v>89</v>
      </c>
      <c r="G97" s="28" t="s">
        <v>339</v>
      </c>
      <c r="I97" s="28" t="s">
        <v>346</v>
      </c>
      <c r="J97" s="28" t="s">
        <v>348</v>
      </c>
      <c r="L97" s="28" t="s">
        <v>346</v>
      </c>
      <c r="M97" s="28" t="s">
        <v>348</v>
      </c>
      <c r="U97" s="28" t="s">
        <v>89</v>
      </c>
      <c r="V97" s="28" t="s">
        <v>339</v>
      </c>
      <c r="X97" s="28" t="s">
        <v>89</v>
      </c>
      <c r="Y97" s="28" t="s">
        <v>339</v>
      </c>
      <c r="AA97" s="2" t="s">
        <v>78</v>
      </c>
      <c r="AB97" s="2" t="str">
        <f t="shared" ref="AB97" si="162">IF(NOT(ISBLANK(AC97)),"-","")</f>
        <v>-</v>
      </c>
      <c r="AC97" s="2" t="s">
        <v>349</v>
      </c>
      <c r="AD97" s="2" t="str">
        <f t="shared" ref="AD97" si="163">IF(NOT(ISBLANK(AE97)),"_","")</f>
        <v>_</v>
      </c>
      <c r="AE97" s="2" t="s">
        <v>342</v>
      </c>
      <c r="AF97" s="2" t="str">
        <f t="shared" ref="AF97" si="164">IF(NOT(ISBLANK(AG97)),"_","")</f>
        <v>_</v>
      </c>
      <c r="AG97" s="28" t="s">
        <v>76</v>
      </c>
      <c r="AH97" s="2" t="str">
        <f t="shared" ref="AH97" si="165">IF(NOT(ISBLANK(AI97)),"_","")</f>
        <v/>
      </c>
    </row>
    <row r="98" spans="1:35" x14ac:dyDescent="0.25">
      <c r="B98" s="2"/>
      <c r="AA98" s="2"/>
      <c r="AB98" s="2"/>
      <c r="AC98" s="2"/>
      <c r="AD98" s="2"/>
      <c r="AE98" s="2"/>
      <c r="AF98" s="2"/>
      <c r="AH98" s="2"/>
    </row>
    <row r="99" spans="1:35" x14ac:dyDescent="0.25">
      <c r="B99" s="2" t="str">
        <f t="shared" ref="B99" si="166">_xlfn.CONCAT("@",AA99,AB99,AC99,AD99,AE99,AF99,AG99,AH99,AI99)</f>
        <v>@case_width-path_track_footway_cycleway_floor_z12</v>
      </c>
      <c r="C99" s="28" t="s">
        <v>112</v>
      </c>
      <c r="D99" s="28" t="s">
        <v>112</v>
      </c>
      <c r="F99" s="28" t="s">
        <v>112</v>
      </c>
      <c r="G99" s="28" t="s">
        <v>112</v>
      </c>
      <c r="I99" s="28" t="s">
        <v>112</v>
      </c>
      <c r="J99" s="28" t="s">
        <v>90</v>
      </c>
      <c r="L99" s="28" t="s">
        <v>112</v>
      </c>
      <c r="M99" s="28" t="s">
        <v>90</v>
      </c>
      <c r="U99" s="28" t="s">
        <v>112</v>
      </c>
      <c r="V99" s="28" t="s">
        <v>112</v>
      </c>
      <c r="X99" s="28" t="s">
        <v>112</v>
      </c>
      <c r="Y99" s="28" t="s">
        <v>112</v>
      </c>
      <c r="AA99" s="2" t="s">
        <v>78</v>
      </c>
      <c r="AB99" s="2" t="str">
        <f t="shared" ref="AB99" si="167">IF(NOT(ISBLANK(AC99)),"-","")</f>
        <v>-</v>
      </c>
      <c r="AC99" s="2" t="s">
        <v>349</v>
      </c>
      <c r="AD99" s="2" t="str">
        <f t="shared" ref="AD99" si="168">IF(NOT(ISBLANK(AE99)),"_","")</f>
        <v>_</v>
      </c>
      <c r="AE99" s="2" t="s">
        <v>343</v>
      </c>
      <c r="AF99" s="2" t="str">
        <f t="shared" ref="AF99" si="169">IF(NOT(ISBLANK(AG99)),"_","")</f>
        <v>_</v>
      </c>
      <c r="AG99" s="28" t="s">
        <v>109</v>
      </c>
      <c r="AH99" s="2" t="str">
        <f t="shared" ref="AH99" si="170">IF(NOT(ISBLANK(AI99)),"_","")</f>
        <v/>
      </c>
    </row>
    <row r="100" spans="1:35" x14ac:dyDescent="0.25">
      <c r="B100" s="2" t="str">
        <f t="shared" ref="B100" si="171">_xlfn.CONCAT("@",AA100,AB100,AC100,AD100,AE100,AF100,AG100,AH100,AI100)</f>
        <v>@case_width-path_track_footway_cycleway_floor_z14</v>
      </c>
      <c r="C100" s="28" t="s">
        <v>112</v>
      </c>
      <c r="D100" s="28" t="s">
        <v>112</v>
      </c>
      <c r="F100" s="28" t="s">
        <v>112</v>
      </c>
      <c r="G100" s="28" t="s">
        <v>112</v>
      </c>
      <c r="I100" s="28" t="s">
        <v>128</v>
      </c>
      <c r="J100" s="28" t="s">
        <v>313</v>
      </c>
      <c r="L100" s="28" t="s">
        <v>128</v>
      </c>
      <c r="M100" s="28" t="s">
        <v>313</v>
      </c>
      <c r="U100" s="28" t="s">
        <v>112</v>
      </c>
      <c r="V100" s="28" t="s">
        <v>112</v>
      </c>
      <c r="X100" s="28" t="s">
        <v>112</v>
      </c>
      <c r="Y100" s="28" t="s">
        <v>112</v>
      </c>
      <c r="AA100" s="2" t="s">
        <v>78</v>
      </c>
      <c r="AB100" s="2" t="str">
        <f t="shared" ref="AB100" si="172">IF(NOT(ISBLANK(AC100)),"-","")</f>
        <v>-</v>
      </c>
      <c r="AC100" s="2" t="s">
        <v>349</v>
      </c>
      <c r="AD100" s="2" t="str">
        <f t="shared" ref="AD100" si="173">IF(NOT(ISBLANK(AE100)),"_","")</f>
        <v>_</v>
      </c>
      <c r="AE100" s="2" t="s">
        <v>343</v>
      </c>
      <c r="AF100" s="2" t="str">
        <f t="shared" ref="AF100" si="174">IF(NOT(ISBLANK(AG100)),"_","")</f>
        <v>_</v>
      </c>
      <c r="AG100" s="28" t="s">
        <v>74</v>
      </c>
      <c r="AH100" s="2" t="str">
        <f t="shared" ref="AH100" si="175">IF(NOT(ISBLANK(AI100)),"_","")</f>
        <v/>
      </c>
    </row>
    <row r="101" spans="1:35" x14ac:dyDescent="0.25">
      <c r="B101" s="2" t="str">
        <f t="shared" ref="B101:B102" si="176">_xlfn.CONCAT("@",AA101,AB101,AC101,AD101,AE101,AF101,AG101,AH101,AI101)</f>
        <v>@case_width-path_track_footway_cycleway_floor_z15</v>
      </c>
      <c r="C101" s="28" t="s">
        <v>88</v>
      </c>
      <c r="D101" s="28" t="s">
        <v>92</v>
      </c>
      <c r="F101" s="28" t="s">
        <v>88</v>
      </c>
      <c r="G101" s="28" t="s">
        <v>92</v>
      </c>
      <c r="I101" s="28" t="s">
        <v>83</v>
      </c>
      <c r="J101" s="28" t="s">
        <v>86</v>
      </c>
      <c r="L101" s="28" t="s">
        <v>83</v>
      </c>
      <c r="M101" s="28" t="s">
        <v>86</v>
      </c>
      <c r="U101" s="28" t="s">
        <v>88</v>
      </c>
      <c r="V101" s="28" t="s">
        <v>92</v>
      </c>
      <c r="X101" s="28" t="s">
        <v>88</v>
      </c>
      <c r="Y101" s="28" t="s">
        <v>92</v>
      </c>
      <c r="AA101" s="2" t="s">
        <v>78</v>
      </c>
      <c r="AB101" s="2" t="str">
        <f t="shared" ref="AB101:AB102" si="177">IF(NOT(ISBLANK(AC101)),"-","")</f>
        <v>-</v>
      </c>
      <c r="AC101" s="2" t="s">
        <v>349</v>
      </c>
      <c r="AD101" s="2" t="str">
        <f t="shared" ref="AD101:AD102" si="178">IF(NOT(ISBLANK(AE101)),"_","")</f>
        <v>_</v>
      </c>
      <c r="AE101" s="2" t="s">
        <v>343</v>
      </c>
      <c r="AF101" s="2" t="str">
        <f t="shared" ref="AF101:AF102" si="179">IF(NOT(ISBLANK(AG101)),"_","")</f>
        <v>_</v>
      </c>
      <c r="AG101" s="28" t="s">
        <v>337</v>
      </c>
      <c r="AH101" s="2" t="str">
        <f t="shared" ref="AH101:AH102" si="180">IF(NOT(ISBLANK(AI101)),"_","")</f>
        <v/>
      </c>
    </row>
    <row r="102" spans="1:35" x14ac:dyDescent="0.25">
      <c r="B102" s="2" t="str">
        <f t="shared" si="176"/>
        <v>@case_width-path_track_footway_cycleway_floor_z16</v>
      </c>
      <c r="C102" s="28" t="s">
        <v>86</v>
      </c>
      <c r="D102" s="28" t="s">
        <v>134</v>
      </c>
      <c r="F102" s="28" t="s">
        <v>86</v>
      </c>
      <c r="G102" s="28" t="s">
        <v>134</v>
      </c>
      <c r="I102" s="28" t="s">
        <v>327</v>
      </c>
      <c r="J102" s="28" t="s">
        <v>341</v>
      </c>
      <c r="L102" s="28" t="s">
        <v>327</v>
      </c>
      <c r="M102" s="28" t="s">
        <v>341</v>
      </c>
      <c r="U102" s="28" t="s">
        <v>86</v>
      </c>
      <c r="V102" s="28" t="s">
        <v>134</v>
      </c>
      <c r="X102" s="28" t="s">
        <v>86</v>
      </c>
      <c r="Y102" s="28" t="s">
        <v>134</v>
      </c>
      <c r="AA102" s="2" t="s">
        <v>78</v>
      </c>
      <c r="AB102" s="2" t="str">
        <f t="shared" si="177"/>
        <v>-</v>
      </c>
      <c r="AC102" s="2" t="s">
        <v>349</v>
      </c>
      <c r="AD102" s="2" t="str">
        <f t="shared" si="178"/>
        <v>_</v>
      </c>
      <c r="AE102" s="2" t="s">
        <v>343</v>
      </c>
      <c r="AF102" s="2" t="str">
        <f t="shared" si="179"/>
        <v>_</v>
      </c>
      <c r="AG102" s="28" t="s">
        <v>75</v>
      </c>
      <c r="AH102" s="2" t="str">
        <f t="shared" si="180"/>
        <v/>
      </c>
    </row>
    <row r="103" spans="1:35" x14ac:dyDescent="0.25">
      <c r="B103" s="2" t="str">
        <f t="shared" ref="B103" si="181">_xlfn.CONCAT("@",AA103,AB103,AC103,AD103,AE103,AF103,AG103,AH103,AI103)</f>
        <v>@case_width-path_track_footway_cycleway_floor_z18</v>
      </c>
      <c r="C103" s="28" t="s">
        <v>332</v>
      </c>
      <c r="D103" s="28" t="s">
        <v>338</v>
      </c>
      <c r="F103" s="28" t="s">
        <v>332</v>
      </c>
      <c r="G103" s="28" t="s">
        <v>338</v>
      </c>
      <c r="I103" s="28" t="s">
        <v>339</v>
      </c>
      <c r="J103" s="28" t="s">
        <v>145</v>
      </c>
      <c r="L103" s="28" t="s">
        <v>339</v>
      </c>
      <c r="M103" s="28" t="s">
        <v>145</v>
      </c>
      <c r="U103" s="28" t="s">
        <v>332</v>
      </c>
      <c r="V103" s="28" t="s">
        <v>338</v>
      </c>
      <c r="X103" s="28" t="s">
        <v>332</v>
      </c>
      <c r="Y103" s="28" t="s">
        <v>338</v>
      </c>
      <c r="AA103" s="2" t="s">
        <v>78</v>
      </c>
      <c r="AB103" s="2" t="str">
        <f t="shared" ref="AB103" si="182">IF(NOT(ISBLANK(AC103)),"-","")</f>
        <v>-</v>
      </c>
      <c r="AC103" s="2" t="s">
        <v>349</v>
      </c>
      <c r="AD103" s="2" t="str">
        <f t="shared" ref="AD103" si="183">IF(NOT(ISBLANK(AE103)),"_","")</f>
        <v>_</v>
      </c>
      <c r="AE103" s="2" t="s">
        <v>343</v>
      </c>
      <c r="AF103" s="2" t="str">
        <f t="shared" ref="AF103" si="184">IF(NOT(ISBLANK(AG103)),"_","")</f>
        <v>_</v>
      </c>
      <c r="AG103" s="28" t="s">
        <v>76</v>
      </c>
      <c r="AH103" s="2" t="str">
        <f t="shared" ref="AH103" si="185">IF(NOT(ISBLANK(AI103)),"_","")</f>
        <v/>
      </c>
    </row>
    <row r="104" spans="1:35" x14ac:dyDescent="0.25">
      <c r="B104" s="2"/>
      <c r="AA104" s="2"/>
      <c r="AB104" s="2"/>
      <c r="AC104" s="2"/>
      <c r="AD104" s="2"/>
      <c r="AE104" s="2"/>
    </row>
    <row r="105" spans="1:35" x14ac:dyDescent="0.25">
      <c r="B105" s="2" t="str">
        <f>_xlfn.CONCAT("@",AA105,AB105,AC105,AD105,AE105,AF105,AG105,AH105,AI105)</f>
        <v>@case_width-track_default_z10</v>
      </c>
      <c r="C105" s="28" t="s">
        <v>85</v>
      </c>
      <c r="D105" s="28" t="s">
        <v>354</v>
      </c>
      <c r="F105" s="28" t="s">
        <v>85</v>
      </c>
      <c r="G105" s="28" t="s">
        <v>354</v>
      </c>
      <c r="I105" s="28" t="s">
        <v>85</v>
      </c>
      <c r="J105" s="28" t="s">
        <v>354</v>
      </c>
      <c r="L105" s="28" t="s">
        <v>85</v>
      </c>
      <c r="M105" s="28" t="s">
        <v>354</v>
      </c>
      <c r="U105" s="28" t="s">
        <v>85</v>
      </c>
      <c r="V105" s="28" t="s">
        <v>354</v>
      </c>
      <c r="X105" s="28" t="s">
        <v>85</v>
      </c>
      <c r="Y105" s="28" t="s">
        <v>354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103</v>
      </c>
      <c r="AH105" s="2" t="str">
        <f>IF(NOT(ISBLANK(AI105)),"_","")</f>
        <v/>
      </c>
    </row>
    <row r="106" spans="1:35" x14ac:dyDescent="0.25">
      <c r="B106" s="2" t="str">
        <f>_xlfn.CONCAT("@",AA106,AB106,AC106,AD106,AE106,AF106,AG106,AH106,AI106)</f>
        <v>@case_width-track_default_z12</v>
      </c>
      <c r="C106" s="28" t="s">
        <v>82</v>
      </c>
      <c r="D106" s="28" t="s">
        <v>83</v>
      </c>
      <c r="F106" s="28" t="s">
        <v>82</v>
      </c>
      <c r="G106" s="28" t="s">
        <v>83</v>
      </c>
      <c r="I106" s="28" t="s">
        <v>82</v>
      </c>
      <c r="J106" s="28" t="s">
        <v>83</v>
      </c>
      <c r="L106" s="28" t="s">
        <v>82</v>
      </c>
      <c r="M106" s="28" t="s">
        <v>83</v>
      </c>
      <c r="U106" s="28" t="s">
        <v>82</v>
      </c>
      <c r="V106" s="28" t="s">
        <v>83</v>
      </c>
      <c r="X106" s="28" t="s">
        <v>82</v>
      </c>
      <c r="Y106" s="28" t="s">
        <v>83</v>
      </c>
      <c r="AA106" s="2" t="s">
        <v>78</v>
      </c>
      <c r="AB106" s="2" t="str">
        <f>IF(NOT(ISBLANK(AC106)),"-","")</f>
        <v>-</v>
      </c>
      <c r="AC106" s="2" t="s">
        <v>102</v>
      </c>
      <c r="AD106" s="2" t="str">
        <f>IF(NOT(ISBLANK(AE106)),"_","")</f>
        <v>_</v>
      </c>
      <c r="AE106" s="2" t="s">
        <v>262</v>
      </c>
      <c r="AF106" s="2" t="str">
        <f>IF(NOT(ISBLANK(AG106)),"_","")</f>
        <v>_</v>
      </c>
      <c r="AG106" s="28" t="s">
        <v>109</v>
      </c>
      <c r="AH106" s="2" t="str">
        <f>IF(NOT(ISBLANK(AI106)),"_","")</f>
        <v/>
      </c>
    </row>
    <row r="107" spans="1:35" x14ac:dyDescent="0.25">
      <c r="B107" s="2" t="str">
        <f>_xlfn.CONCAT("@",AA107,AB107,AC107,AD107,AE107,AF107,AG107,AH107,AI107)</f>
        <v>@case_width-track_default_z14</v>
      </c>
      <c r="C107" s="28" t="s">
        <v>92</v>
      </c>
      <c r="D107" s="28" t="s">
        <v>86</v>
      </c>
      <c r="F107" s="28" t="s">
        <v>92</v>
      </c>
      <c r="G107" s="28" t="s">
        <v>86</v>
      </c>
      <c r="I107" s="28" t="s">
        <v>92</v>
      </c>
      <c r="J107" s="28" t="s">
        <v>86</v>
      </c>
      <c r="L107" s="28" t="s">
        <v>92</v>
      </c>
      <c r="M107" s="28" t="s">
        <v>86</v>
      </c>
      <c r="U107" s="28" t="s">
        <v>92</v>
      </c>
      <c r="V107" s="28" t="s">
        <v>86</v>
      </c>
      <c r="X107" s="28" t="s">
        <v>92</v>
      </c>
      <c r="Y107" s="28" t="s">
        <v>86</v>
      </c>
      <c r="AA107" s="2" t="s">
        <v>78</v>
      </c>
      <c r="AB107" s="2" t="str">
        <f>IF(NOT(ISBLANK(AC107)),"-","")</f>
        <v>-</v>
      </c>
      <c r="AC107" s="2" t="s">
        <v>102</v>
      </c>
      <c r="AD107" s="2" t="str">
        <f>IF(NOT(ISBLANK(AE107)),"_","")</f>
        <v>_</v>
      </c>
      <c r="AE107" s="2" t="s">
        <v>262</v>
      </c>
      <c r="AF107" s="2" t="str">
        <f>IF(NOT(ISBLANK(AG107)),"_","")</f>
        <v>_</v>
      </c>
      <c r="AG107" s="28" t="s">
        <v>74</v>
      </c>
      <c r="AH107" s="2" t="str">
        <f>IF(NOT(ISBLANK(AI107)),"_","")</f>
        <v/>
      </c>
    </row>
    <row r="108" spans="1:35" x14ac:dyDescent="0.25">
      <c r="B108" s="2" t="str">
        <f>_xlfn.CONCAT("@",AA108,AB108,AC108,AD108,AE108,AF108,AG108,AH108,AI108)</f>
        <v>@case_width-track_default_z16</v>
      </c>
      <c r="C108" s="28" t="s">
        <v>87</v>
      </c>
      <c r="D108" s="28" t="s">
        <v>87</v>
      </c>
      <c r="F108" s="28" t="s">
        <v>87</v>
      </c>
      <c r="G108" s="28" t="s">
        <v>87</v>
      </c>
      <c r="I108" s="28" t="s">
        <v>87</v>
      </c>
      <c r="J108" s="28" t="s">
        <v>87</v>
      </c>
      <c r="L108" s="28" t="s">
        <v>87</v>
      </c>
      <c r="M108" s="28" t="s">
        <v>87</v>
      </c>
      <c r="U108" s="28" t="s">
        <v>87</v>
      </c>
      <c r="V108" s="28" t="s">
        <v>87</v>
      </c>
      <c r="X108" s="28" t="s">
        <v>87</v>
      </c>
      <c r="Y108" s="28" t="s">
        <v>87</v>
      </c>
      <c r="AA108" s="2" t="s">
        <v>78</v>
      </c>
      <c r="AB108" s="2" t="str">
        <f>IF(NOT(ISBLANK(AC108)),"-","")</f>
        <v>-</v>
      </c>
      <c r="AC108" s="2" t="s">
        <v>102</v>
      </c>
      <c r="AD108" s="2" t="str">
        <f>IF(NOT(ISBLANK(AE108)),"_","")</f>
        <v>_</v>
      </c>
      <c r="AE108" s="2" t="s">
        <v>262</v>
      </c>
      <c r="AF108" s="2" t="str">
        <f>IF(NOT(ISBLANK(AG108)),"_","")</f>
        <v>_</v>
      </c>
      <c r="AG108" s="28" t="s">
        <v>75</v>
      </c>
      <c r="AH108" s="2" t="str">
        <f>IF(NOT(ISBLANK(AI108)),"_","")</f>
        <v/>
      </c>
    </row>
    <row r="109" spans="1:35" x14ac:dyDescent="0.25">
      <c r="B109" s="2" t="str">
        <f>_xlfn.CONCAT("@",AA109,AB109,AC109,AD109,AE109,AF109,AG109,AH109,AI109)</f>
        <v>@case_width-track_default_z18</v>
      </c>
      <c r="C109" s="28" t="s">
        <v>89</v>
      </c>
      <c r="D109" s="28" t="s">
        <v>94</v>
      </c>
      <c r="F109" s="28" t="s">
        <v>89</v>
      </c>
      <c r="G109" s="28" t="s">
        <v>94</v>
      </c>
      <c r="I109" s="28" t="s">
        <v>89</v>
      </c>
      <c r="J109" s="28" t="s">
        <v>94</v>
      </c>
      <c r="L109" s="28" t="s">
        <v>89</v>
      </c>
      <c r="M109" s="28" t="s">
        <v>94</v>
      </c>
      <c r="U109" s="28" t="s">
        <v>89</v>
      </c>
      <c r="V109" s="28" t="s">
        <v>94</v>
      </c>
      <c r="X109" s="28" t="s">
        <v>89</v>
      </c>
      <c r="Y109" s="28" t="s">
        <v>94</v>
      </c>
      <c r="AA109" s="2" t="s">
        <v>78</v>
      </c>
      <c r="AB109" s="2" t="str">
        <f>IF(NOT(ISBLANK(AC109)),"-","")</f>
        <v>-</v>
      </c>
      <c r="AC109" s="2" t="s">
        <v>102</v>
      </c>
      <c r="AD109" s="2" t="str">
        <f>IF(NOT(ISBLANK(AE109)),"_","")</f>
        <v>_</v>
      </c>
      <c r="AE109" s="2" t="s">
        <v>262</v>
      </c>
      <c r="AF109" s="2" t="str">
        <f>IF(NOT(ISBLANK(AG109)),"_","")</f>
        <v>_</v>
      </c>
      <c r="AG109" s="28" t="s">
        <v>76</v>
      </c>
      <c r="AH109" s="2" t="str">
        <f>IF(NOT(ISBLANK(AI109)),"_","")</f>
        <v/>
      </c>
    </row>
    <row r="110" spans="1:35" x14ac:dyDescent="0.25">
      <c r="B110" s="2"/>
      <c r="AA110" s="2"/>
      <c r="AB110" s="2"/>
      <c r="AC110" s="2"/>
      <c r="AD110" s="2"/>
      <c r="AE110" s="2"/>
    </row>
    <row r="111" spans="1:35" s="5" customFormat="1" x14ac:dyDescent="0.25">
      <c r="A111" s="27" t="s">
        <v>334</v>
      </c>
      <c r="B111" s="27"/>
      <c r="C111" s="27"/>
      <c r="D111" s="27"/>
      <c r="F111" s="27"/>
      <c r="G111" s="27"/>
      <c r="I111" s="27"/>
      <c r="J111" s="27"/>
      <c r="L111" s="27"/>
      <c r="M111" s="27"/>
      <c r="O111" s="27"/>
      <c r="P111" s="27"/>
      <c r="R111" s="27"/>
      <c r="S111" s="27"/>
      <c r="U111" s="27"/>
      <c r="V111" s="27"/>
      <c r="X111" s="27"/>
      <c r="Y111" s="27"/>
      <c r="AA111" s="27"/>
      <c r="AB111" s="27"/>
      <c r="AC111" s="27"/>
      <c r="AD111" s="27"/>
      <c r="AE111" s="27"/>
      <c r="AF111" s="27"/>
      <c r="AG111" s="27"/>
      <c r="AH111" s="27"/>
      <c r="AI111" s="27"/>
    </row>
    <row r="112" spans="1:35" x14ac:dyDescent="0.25">
      <c r="B112" s="2" t="str">
        <f t="shared" ref="B112" si="186">_xlfn.CONCAT("@",AA112,AB112,AC112,AD112,AE112,AF112,AG112,AH112,AI112)</f>
        <v>@line_width-path_default_farzoom</v>
      </c>
      <c r="C112" s="28" t="s">
        <v>122</v>
      </c>
      <c r="D112" s="28" t="s">
        <v>122</v>
      </c>
      <c r="F112" s="28" t="s">
        <v>122</v>
      </c>
      <c r="G112" s="28" t="s">
        <v>122</v>
      </c>
      <c r="I112" s="28" t="s">
        <v>122</v>
      </c>
      <c r="J112" s="28" t="s">
        <v>122</v>
      </c>
      <c r="L112" s="28" t="s">
        <v>122</v>
      </c>
      <c r="M112" s="28" t="s">
        <v>122</v>
      </c>
      <c r="U112" s="28" t="s">
        <v>122</v>
      </c>
      <c r="V112" s="28" t="s">
        <v>122</v>
      </c>
      <c r="X112" s="28" t="s">
        <v>122</v>
      </c>
      <c r="Y112" s="28" t="s">
        <v>122</v>
      </c>
      <c r="AA112" s="2" t="s">
        <v>119</v>
      </c>
      <c r="AB112" s="2" t="str">
        <f t="shared" ref="AB112" si="187">IF(NOT(ISBLANK(AC112)),"-","")</f>
        <v>-</v>
      </c>
      <c r="AC112" s="2" t="s">
        <v>71</v>
      </c>
      <c r="AD112" s="2" t="str">
        <f t="shared" ref="AD112" si="188">IF(NOT(ISBLANK(AE112)),"_","")</f>
        <v>_</v>
      </c>
      <c r="AE112" s="2" t="s">
        <v>262</v>
      </c>
      <c r="AF112" s="2" t="str">
        <f t="shared" ref="AF112" si="189">IF(NOT(ISBLANK(AG112)),"_","")</f>
        <v>_</v>
      </c>
      <c r="AG112" s="28" t="s">
        <v>20</v>
      </c>
      <c r="AH112" s="2" t="str">
        <f t="shared" ref="AH112" si="190">IF(NOT(ISBLANK(AI112)),"_","")</f>
        <v/>
      </c>
    </row>
    <row r="113" spans="2:34" x14ac:dyDescent="0.25">
      <c r="B113" s="2" t="str">
        <f t="shared" ref="B113:B128" si="191">_xlfn.CONCAT("@",AA113,AB113,AC113,AD113,AE113,AF113,AG113,AH113,AI113)</f>
        <v>@line_width-path_narrow_z12</v>
      </c>
      <c r="C113" s="28" t="s">
        <v>120</v>
      </c>
      <c r="D113" s="28" t="s">
        <v>122</v>
      </c>
      <c r="F113" s="28" t="s">
        <v>120</v>
      </c>
      <c r="G113" s="28" t="s">
        <v>122</v>
      </c>
      <c r="I113" s="28" t="s">
        <v>120</v>
      </c>
      <c r="J113" s="28" t="s">
        <v>122</v>
      </c>
      <c r="L113" s="28" t="s">
        <v>120</v>
      </c>
      <c r="M113" s="28" t="s">
        <v>122</v>
      </c>
      <c r="U113" s="28" t="s">
        <v>122</v>
      </c>
      <c r="V113" s="28" t="s">
        <v>116</v>
      </c>
      <c r="X113" s="28" t="s">
        <v>122</v>
      </c>
      <c r="Y113" s="28" t="s">
        <v>116</v>
      </c>
      <c r="AA113" s="2" t="s">
        <v>119</v>
      </c>
      <c r="AB113" s="2" t="str">
        <f t="shared" ref="AB113:AB128" si="192">IF(NOT(ISBLANK(AC113)),"-","")</f>
        <v>-</v>
      </c>
      <c r="AC113" s="2" t="s">
        <v>71</v>
      </c>
      <c r="AD113" s="2" t="str">
        <f t="shared" ref="AD113:AD128" si="193">IF(NOT(ISBLANK(AE113)),"_","")</f>
        <v>_</v>
      </c>
      <c r="AE113" s="2" t="s">
        <v>72</v>
      </c>
      <c r="AF113" s="2" t="str">
        <f t="shared" ref="AF113:AF128" si="194">IF(NOT(ISBLANK(AG113)),"_","")</f>
        <v>_</v>
      </c>
      <c r="AG113" s="28" t="s">
        <v>109</v>
      </c>
      <c r="AH113" s="2" t="str">
        <f t="shared" ref="AH113:AH128" si="195">IF(NOT(ISBLANK(AI113)),"_","")</f>
        <v/>
      </c>
    </row>
    <row r="114" spans="2:34" x14ac:dyDescent="0.25">
      <c r="B114" s="2" t="str">
        <f t="shared" si="191"/>
        <v>@line_width-path_medium_z12</v>
      </c>
      <c r="C114" s="28" t="s">
        <v>122</v>
      </c>
      <c r="D114" s="28" t="s">
        <v>116</v>
      </c>
      <c r="F114" s="28" t="s">
        <v>122</v>
      </c>
      <c r="G114" s="28" t="s">
        <v>116</v>
      </c>
      <c r="I114" s="28" t="s">
        <v>122</v>
      </c>
      <c r="J114" s="28" t="s">
        <v>116</v>
      </c>
      <c r="L114" s="28" t="s">
        <v>122</v>
      </c>
      <c r="M114" s="28" t="s">
        <v>116</v>
      </c>
      <c r="U114" s="28" t="s">
        <v>122</v>
      </c>
      <c r="V114" s="28" t="s">
        <v>116</v>
      </c>
      <c r="X114" s="28" t="s">
        <v>122</v>
      </c>
      <c r="Y114" s="28" t="s">
        <v>116</v>
      </c>
      <c r="AA114" s="2" t="s">
        <v>119</v>
      </c>
      <c r="AB114" s="2" t="str">
        <f t="shared" si="192"/>
        <v>-</v>
      </c>
      <c r="AC114" s="2" t="s">
        <v>71</v>
      </c>
      <c r="AD114" s="2" t="str">
        <f t="shared" si="193"/>
        <v>_</v>
      </c>
      <c r="AE114" s="2" t="s">
        <v>79</v>
      </c>
      <c r="AF114" s="2" t="str">
        <f t="shared" si="194"/>
        <v>_</v>
      </c>
      <c r="AG114" s="28" t="s">
        <v>109</v>
      </c>
      <c r="AH114" s="2" t="str">
        <f t="shared" si="195"/>
        <v/>
      </c>
    </row>
    <row r="115" spans="2:34" x14ac:dyDescent="0.25">
      <c r="B115" s="2" t="str">
        <f t="shared" si="191"/>
        <v>@line_width-path_wide_z12</v>
      </c>
      <c r="C115" s="28" t="s">
        <v>97</v>
      </c>
      <c r="D115" s="28" t="s">
        <v>123</v>
      </c>
      <c r="F115" s="28" t="s">
        <v>97</v>
      </c>
      <c r="G115" s="28" t="s">
        <v>123</v>
      </c>
      <c r="I115" s="28" t="s">
        <v>97</v>
      </c>
      <c r="J115" s="28" t="s">
        <v>123</v>
      </c>
      <c r="L115" s="28" t="s">
        <v>97</v>
      </c>
      <c r="M115" s="28" t="s">
        <v>123</v>
      </c>
      <c r="U115" s="28" t="s">
        <v>122</v>
      </c>
      <c r="V115" s="28" t="s">
        <v>116</v>
      </c>
      <c r="X115" s="28" t="s">
        <v>122</v>
      </c>
      <c r="Y115" s="28" t="s">
        <v>116</v>
      </c>
      <c r="AA115" s="2" t="s">
        <v>119</v>
      </c>
      <c r="AB115" s="2" t="str">
        <f t="shared" si="192"/>
        <v>-</v>
      </c>
      <c r="AC115" s="2" t="s">
        <v>71</v>
      </c>
      <c r="AD115" s="2" t="str">
        <f t="shared" si="193"/>
        <v>_</v>
      </c>
      <c r="AE115" s="2" t="s">
        <v>77</v>
      </c>
      <c r="AF115" s="2" t="str">
        <f t="shared" si="194"/>
        <v>_</v>
      </c>
      <c r="AG115" s="28" t="s">
        <v>109</v>
      </c>
      <c r="AH115" s="2" t="str">
        <f t="shared" si="195"/>
        <v/>
      </c>
    </row>
    <row r="116" spans="2:34" x14ac:dyDescent="0.25">
      <c r="B116" s="2" t="str">
        <f t="shared" si="191"/>
        <v>@line_width-path_widest_z12</v>
      </c>
      <c r="C116" s="28" t="s">
        <v>97</v>
      </c>
      <c r="D116" s="28" t="s">
        <v>123</v>
      </c>
      <c r="F116" s="28" t="s">
        <v>97</v>
      </c>
      <c r="G116" s="28" t="s">
        <v>123</v>
      </c>
      <c r="I116" s="28" t="s">
        <v>97</v>
      </c>
      <c r="J116" s="28" t="s">
        <v>123</v>
      </c>
      <c r="L116" s="28" t="s">
        <v>97</v>
      </c>
      <c r="M116" s="28" t="s">
        <v>123</v>
      </c>
      <c r="U116" s="28" t="s">
        <v>122</v>
      </c>
      <c r="V116" s="28" t="s">
        <v>116</v>
      </c>
      <c r="X116" s="28" t="s">
        <v>122</v>
      </c>
      <c r="Y116" s="28" t="s">
        <v>116</v>
      </c>
      <c r="AA116" s="2" t="s">
        <v>119</v>
      </c>
      <c r="AB116" s="2" t="str">
        <f t="shared" si="192"/>
        <v>-</v>
      </c>
      <c r="AC116" s="2" t="s">
        <v>71</v>
      </c>
      <c r="AD116" s="2" t="str">
        <f t="shared" si="193"/>
        <v>_</v>
      </c>
      <c r="AE116" s="2" t="s">
        <v>296</v>
      </c>
      <c r="AF116" s="2" t="str">
        <f t="shared" si="194"/>
        <v>_</v>
      </c>
      <c r="AG116" s="28" t="s">
        <v>109</v>
      </c>
      <c r="AH116" s="2" t="str">
        <f t="shared" si="195"/>
        <v/>
      </c>
    </row>
    <row r="117" spans="2:34" x14ac:dyDescent="0.25">
      <c r="B117" s="2" t="str">
        <f t="shared" si="191"/>
        <v>@line_width-path_narrow_z14</v>
      </c>
      <c r="C117" s="28" t="s">
        <v>96</v>
      </c>
      <c r="D117" s="28" t="s">
        <v>97</v>
      </c>
      <c r="F117" s="28" t="s">
        <v>96</v>
      </c>
      <c r="G117" s="28" t="s">
        <v>97</v>
      </c>
      <c r="I117" s="28" t="s">
        <v>95</v>
      </c>
      <c r="J117" s="28" t="s">
        <v>115</v>
      </c>
      <c r="L117" s="28" t="s">
        <v>95</v>
      </c>
      <c r="M117" s="28" t="s">
        <v>115</v>
      </c>
      <c r="U117" s="28" t="s">
        <v>80</v>
      </c>
      <c r="V117" s="28" t="s">
        <v>84</v>
      </c>
      <c r="X117" s="28" t="s">
        <v>80</v>
      </c>
      <c r="Y117" s="28" t="s">
        <v>84</v>
      </c>
      <c r="AA117" s="2" t="s">
        <v>119</v>
      </c>
      <c r="AB117" s="2" t="str">
        <f t="shared" si="192"/>
        <v>-</v>
      </c>
      <c r="AC117" s="2" t="s">
        <v>71</v>
      </c>
      <c r="AD117" s="2" t="str">
        <f t="shared" si="193"/>
        <v>_</v>
      </c>
      <c r="AE117" s="2" t="s">
        <v>72</v>
      </c>
      <c r="AF117" s="2" t="str">
        <f t="shared" si="194"/>
        <v>_</v>
      </c>
      <c r="AG117" s="28" t="s">
        <v>74</v>
      </c>
      <c r="AH117" s="2" t="str">
        <f t="shared" si="195"/>
        <v/>
      </c>
    </row>
    <row r="118" spans="2:34" x14ac:dyDescent="0.25">
      <c r="B118" s="2" t="str">
        <f t="shared" si="191"/>
        <v>@line_width-path_medium_z14</v>
      </c>
      <c r="C118" s="28" t="s">
        <v>80</v>
      </c>
      <c r="D118" s="28" t="s">
        <v>84</v>
      </c>
      <c r="F118" s="28" t="s">
        <v>80</v>
      </c>
      <c r="G118" s="28" t="s">
        <v>84</v>
      </c>
      <c r="I118" s="28" t="s">
        <v>96</v>
      </c>
      <c r="J118" s="28" t="s">
        <v>97</v>
      </c>
      <c r="L118" s="28" t="s">
        <v>96</v>
      </c>
      <c r="M118" s="28" t="s">
        <v>97</v>
      </c>
      <c r="U118" s="28" t="s">
        <v>80</v>
      </c>
      <c r="V118" s="28" t="s">
        <v>84</v>
      </c>
      <c r="X118" s="28" t="s">
        <v>80</v>
      </c>
      <c r="Y118" s="28" t="s">
        <v>84</v>
      </c>
      <c r="AA118" s="2" t="s">
        <v>119</v>
      </c>
      <c r="AB118" s="2" t="str">
        <f t="shared" si="192"/>
        <v>-</v>
      </c>
      <c r="AC118" s="2" t="s">
        <v>71</v>
      </c>
      <c r="AD118" s="2" t="str">
        <f t="shared" si="193"/>
        <v>_</v>
      </c>
      <c r="AE118" s="2" t="s">
        <v>79</v>
      </c>
      <c r="AF118" s="2" t="str">
        <f t="shared" si="194"/>
        <v>_</v>
      </c>
      <c r="AG118" s="28" t="s">
        <v>74</v>
      </c>
      <c r="AH118" s="2" t="str">
        <f t="shared" si="195"/>
        <v/>
      </c>
    </row>
    <row r="119" spans="2:34" x14ac:dyDescent="0.25">
      <c r="B119" s="2" t="str">
        <f t="shared" si="191"/>
        <v>@line_width-path_wide_z14</v>
      </c>
      <c r="C119" s="28" t="s">
        <v>123</v>
      </c>
      <c r="D119" s="28" t="s">
        <v>126</v>
      </c>
      <c r="F119" s="28" t="s">
        <v>123</v>
      </c>
      <c r="G119" s="28" t="s">
        <v>126</v>
      </c>
      <c r="I119" s="28" t="s">
        <v>84</v>
      </c>
      <c r="J119" s="28" t="s">
        <v>112</v>
      </c>
      <c r="L119" s="28" t="s">
        <v>84</v>
      </c>
      <c r="M119" s="28" t="s">
        <v>112</v>
      </c>
      <c r="U119" s="28" t="s">
        <v>80</v>
      </c>
      <c r="V119" s="28" t="s">
        <v>84</v>
      </c>
      <c r="X119" s="28" t="s">
        <v>80</v>
      </c>
      <c r="Y119" s="28" t="s">
        <v>84</v>
      </c>
      <c r="AA119" s="2" t="s">
        <v>119</v>
      </c>
      <c r="AB119" s="2" t="str">
        <f t="shared" si="192"/>
        <v>-</v>
      </c>
      <c r="AC119" s="2" t="s">
        <v>71</v>
      </c>
      <c r="AD119" s="2" t="str">
        <f t="shared" si="193"/>
        <v>_</v>
      </c>
      <c r="AE119" s="2" t="s">
        <v>77</v>
      </c>
      <c r="AF119" s="2" t="str">
        <f t="shared" si="194"/>
        <v>_</v>
      </c>
      <c r="AG119" s="28" t="s">
        <v>74</v>
      </c>
      <c r="AH119" s="2" t="str">
        <f t="shared" si="195"/>
        <v/>
      </c>
    </row>
    <row r="120" spans="2:34" x14ac:dyDescent="0.25">
      <c r="B120" s="2" t="str">
        <f t="shared" si="191"/>
        <v>@line_width-path_widest_z14</v>
      </c>
      <c r="C120" s="28" t="s">
        <v>123</v>
      </c>
      <c r="D120" s="28" t="s">
        <v>126</v>
      </c>
      <c r="F120" s="28" t="s">
        <v>123</v>
      </c>
      <c r="G120" s="28" t="s">
        <v>126</v>
      </c>
      <c r="I120" s="28" t="s">
        <v>84</v>
      </c>
      <c r="J120" s="28" t="s">
        <v>112</v>
      </c>
      <c r="L120" s="28" t="s">
        <v>84</v>
      </c>
      <c r="M120" s="28" t="s">
        <v>112</v>
      </c>
      <c r="U120" s="28" t="s">
        <v>80</v>
      </c>
      <c r="V120" s="28" t="s">
        <v>84</v>
      </c>
      <c r="X120" s="28" t="s">
        <v>80</v>
      </c>
      <c r="Y120" s="28" t="s">
        <v>84</v>
      </c>
      <c r="AA120" s="2" t="s">
        <v>119</v>
      </c>
      <c r="AB120" s="2" t="str">
        <f t="shared" si="192"/>
        <v>-</v>
      </c>
      <c r="AC120" s="2" t="s">
        <v>71</v>
      </c>
      <c r="AD120" s="2" t="str">
        <f t="shared" si="193"/>
        <v>_</v>
      </c>
      <c r="AE120" s="2" t="s">
        <v>296</v>
      </c>
      <c r="AF120" s="2" t="str">
        <f t="shared" si="194"/>
        <v>_</v>
      </c>
      <c r="AG120" s="28" t="s">
        <v>74</v>
      </c>
      <c r="AH120" s="2" t="str">
        <f t="shared" si="195"/>
        <v/>
      </c>
    </row>
    <row r="121" spans="2:34" x14ac:dyDescent="0.25">
      <c r="B121" s="2" t="str">
        <f t="shared" si="191"/>
        <v>@line_width-path_narrow_z16</v>
      </c>
      <c r="C121" s="28" t="s">
        <v>80</v>
      </c>
      <c r="D121" s="28" t="s">
        <v>85</v>
      </c>
      <c r="F121" s="28" t="s">
        <v>80</v>
      </c>
      <c r="G121" s="28" t="s">
        <v>85</v>
      </c>
      <c r="I121" s="28" t="s">
        <v>80</v>
      </c>
      <c r="J121" s="28" t="s">
        <v>84</v>
      </c>
      <c r="L121" s="28" t="s">
        <v>80</v>
      </c>
      <c r="M121" s="28" t="s">
        <v>84</v>
      </c>
      <c r="U121" s="28" t="s">
        <v>123</v>
      </c>
      <c r="V121" s="28" t="s">
        <v>126</v>
      </c>
      <c r="X121" s="28" t="s">
        <v>123</v>
      </c>
      <c r="Y121" s="28" t="s">
        <v>126</v>
      </c>
      <c r="AA121" s="2" t="s">
        <v>119</v>
      </c>
      <c r="AB121" s="2" t="str">
        <f t="shared" si="192"/>
        <v>-</v>
      </c>
      <c r="AC121" s="2" t="s">
        <v>71</v>
      </c>
      <c r="AD121" s="2" t="str">
        <f t="shared" si="193"/>
        <v>_</v>
      </c>
      <c r="AE121" s="2" t="s">
        <v>72</v>
      </c>
      <c r="AF121" s="2" t="str">
        <f t="shared" si="194"/>
        <v>_</v>
      </c>
      <c r="AG121" s="28" t="s">
        <v>75</v>
      </c>
      <c r="AH121" s="2" t="str">
        <f t="shared" si="195"/>
        <v/>
      </c>
    </row>
    <row r="122" spans="2:34" x14ac:dyDescent="0.25">
      <c r="B122" s="2" t="str">
        <f t="shared" si="191"/>
        <v>@line_width-path_medium_z16</v>
      </c>
      <c r="C122" s="28" t="s">
        <v>123</v>
      </c>
      <c r="D122" s="28" t="s">
        <v>126</v>
      </c>
      <c r="F122" s="28" t="s">
        <v>123</v>
      </c>
      <c r="G122" s="28" t="s">
        <v>126</v>
      </c>
      <c r="I122" s="28" t="s">
        <v>97</v>
      </c>
      <c r="J122" s="28" t="s">
        <v>123</v>
      </c>
      <c r="L122" s="28" t="s">
        <v>97</v>
      </c>
      <c r="M122" s="28" t="s">
        <v>123</v>
      </c>
      <c r="U122" s="28" t="s">
        <v>123</v>
      </c>
      <c r="V122" s="28" t="s">
        <v>126</v>
      </c>
      <c r="X122" s="28" t="s">
        <v>123</v>
      </c>
      <c r="Y122" s="28" t="s">
        <v>126</v>
      </c>
      <c r="AA122" s="2" t="s">
        <v>119</v>
      </c>
      <c r="AB122" s="2" t="str">
        <f t="shared" si="192"/>
        <v>-</v>
      </c>
      <c r="AC122" s="2" t="s">
        <v>71</v>
      </c>
      <c r="AD122" s="2" t="str">
        <f t="shared" si="193"/>
        <v>_</v>
      </c>
      <c r="AE122" s="2" t="s">
        <v>79</v>
      </c>
      <c r="AF122" s="2" t="str">
        <f t="shared" si="194"/>
        <v>_</v>
      </c>
      <c r="AG122" s="28" t="s">
        <v>75</v>
      </c>
      <c r="AH122" s="2" t="str">
        <f t="shared" si="195"/>
        <v/>
      </c>
    </row>
    <row r="123" spans="2:34" x14ac:dyDescent="0.25">
      <c r="B123" s="2" t="str">
        <f t="shared" si="191"/>
        <v>@line_width-path_wide_z16</v>
      </c>
      <c r="C123" s="28" t="s">
        <v>88</v>
      </c>
      <c r="D123" s="28" t="s">
        <v>128</v>
      </c>
      <c r="F123" s="28" t="s">
        <v>88</v>
      </c>
      <c r="G123" s="28" t="s">
        <v>128</v>
      </c>
      <c r="I123" s="28" t="s">
        <v>98</v>
      </c>
      <c r="J123" s="28" t="s">
        <v>99</v>
      </c>
      <c r="L123" s="28" t="s">
        <v>98</v>
      </c>
      <c r="M123" s="28" t="s">
        <v>99</v>
      </c>
      <c r="U123" s="28" t="s">
        <v>123</v>
      </c>
      <c r="V123" s="28" t="s">
        <v>126</v>
      </c>
      <c r="X123" s="28" t="s">
        <v>123</v>
      </c>
      <c r="Y123" s="28" t="s">
        <v>126</v>
      </c>
      <c r="AA123" s="2" t="s">
        <v>119</v>
      </c>
      <c r="AB123" s="2" t="str">
        <f t="shared" si="192"/>
        <v>-</v>
      </c>
      <c r="AC123" s="2" t="s">
        <v>71</v>
      </c>
      <c r="AD123" s="2" t="str">
        <f t="shared" si="193"/>
        <v>_</v>
      </c>
      <c r="AE123" s="2" t="s">
        <v>77</v>
      </c>
      <c r="AF123" s="2" t="str">
        <f t="shared" si="194"/>
        <v>_</v>
      </c>
      <c r="AG123" s="28" t="s">
        <v>75</v>
      </c>
      <c r="AH123" s="2" t="str">
        <f t="shared" si="195"/>
        <v/>
      </c>
    </row>
    <row r="124" spans="2:34" x14ac:dyDescent="0.25">
      <c r="B124" s="2" t="str">
        <f t="shared" si="191"/>
        <v>@line_width-path_widest_z16</v>
      </c>
      <c r="C124" s="28" t="s">
        <v>88</v>
      </c>
      <c r="D124" s="28" t="s">
        <v>128</v>
      </c>
      <c r="F124" s="28" t="s">
        <v>88</v>
      </c>
      <c r="G124" s="28" t="s">
        <v>128</v>
      </c>
      <c r="I124" s="28" t="s">
        <v>98</v>
      </c>
      <c r="J124" s="28" t="s">
        <v>99</v>
      </c>
      <c r="L124" s="28" t="s">
        <v>98</v>
      </c>
      <c r="M124" s="28" t="s">
        <v>99</v>
      </c>
      <c r="U124" s="28" t="s">
        <v>123</v>
      </c>
      <c r="V124" s="28" t="s">
        <v>126</v>
      </c>
      <c r="X124" s="28" t="s">
        <v>123</v>
      </c>
      <c r="Y124" s="28" t="s">
        <v>126</v>
      </c>
      <c r="AA124" s="2" t="s">
        <v>119</v>
      </c>
      <c r="AB124" s="2" t="str">
        <f t="shared" si="192"/>
        <v>-</v>
      </c>
      <c r="AC124" s="2" t="s">
        <v>71</v>
      </c>
      <c r="AD124" s="2" t="str">
        <f t="shared" si="193"/>
        <v>_</v>
      </c>
      <c r="AE124" s="2" t="s">
        <v>296</v>
      </c>
      <c r="AF124" s="2" t="str">
        <f t="shared" si="194"/>
        <v>_</v>
      </c>
      <c r="AG124" s="28" t="s">
        <v>75</v>
      </c>
      <c r="AH124" s="2" t="str">
        <f t="shared" si="195"/>
        <v/>
      </c>
    </row>
    <row r="125" spans="2:34" x14ac:dyDescent="0.25">
      <c r="B125" s="2" t="str">
        <f t="shared" si="191"/>
        <v>@line_width-path_narrow_z18</v>
      </c>
      <c r="C125" s="28" t="s">
        <v>85</v>
      </c>
      <c r="D125" s="28" t="s">
        <v>88</v>
      </c>
      <c r="F125" s="28" t="s">
        <v>85</v>
      </c>
      <c r="G125" s="28" t="s">
        <v>88</v>
      </c>
      <c r="I125" s="28" t="s">
        <v>80</v>
      </c>
      <c r="J125" s="28" t="s">
        <v>84</v>
      </c>
      <c r="L125" s="28" t="s">
        <v>80</v>
      </c>
      <c r="M125" s="28" t="s">
        <v>84</v>
      </c>
      <c r="U125" s="28" t="s">
        <v>82</v>
      </c>
      <c r="V125" s="28" t="s">
        <v>127</v>
      </c>
      <c r="X125" s="28" t="s">
        <v>82</v>
      </c>
      <c r="Y125" s="28" t="s">
        <v>127</v>
      </c>
      <c r="AA125" s="2" t="s">
        <v>119</v>
      </c>
      <c r="AB125" s="2" t="str">
        <f t="shared" si="192"/>
        <v>-</v>
      </c>
      <c r="AC125" s="2" t="s">
        <v>71</v>
      </c>
      <c r="AD125" s="2" t="str">
        <f t="shared" si="193"/>
        <v>_</v>
      </c>
      <c r="AE125" s="2" t="s">
        <v>72</v>
      </c>
      <c r="AF125" s="2" t="str">
        <f t="shared" si="194"/>
        <v>_</v>
      </c>
      <c r="AG125" s="28" t="s">
        <v>76</v>
      </c>
      <c r="AH125" s="2" t="str">
        <f t="shared" si="195"/>
        <v/>
      </c>
    </row>
    <row r="126" spans="2:34" x14ac:dyDescent="0.25">
      <c r="B126" s="2" t="str">
        <f t="shared" si="191"/>
        <v>@line_width-path_medium_z18</v>
      </c>
      <c r="C126" s="28" t="s">
        <v>82</v>
      </c>
      <c r="D126" s="28" t="s">
        <v>127</v>
      </c>
      <c r="F126" s="28" t="s">
        <v>82</v>
      </c>
      <c r="G126" s="28" t="s">
        <v>127</v>
      </c>
      <c r="I126" s="28" t="s">
        <v>98</v>
      </c>
      <c r="J126" s="28" t="s">
        <v>99</v>
      </c>
      <c r="L126" s="28" t="s">
        <v>98</v>
      </c>
      <c r="M126" s="28" t="s">
        <v>99</v>
      </c>
      <c r="U126" s="28" t="s">
        <v>82</v>
      </c>
      <c r="V126" s="28" t="s">
        <v>127</v>
      </c>
      <c r="X126" s="28" t="s">
        <v>82</v>
      </c>
      <c r="Y126" s="28" t="s">
        <v>127</v>
      </c>
      <c r="AA126" s="2" t="s">
        <v>119</v>
      </c>
      <c r="AB126" s="2" t="str">
        <f t="shared" si="192"/>
        <v>-</v>
      </c>
      <c r="AC126" s="2" t="s">
        <v>71</v>
      </c>
      <c r="AD126" s="2" t="str">
        <f t="shared" si="193"/>
        <v>_</v>
      </c>
      <c r="AE126" s="2" t="s">
        <v>79</v>
      </c>
      <c r="AF126" s="2" t="str">
        <f t="shared" si="194"/>
        <v>_</v>
      </c>
      <c r="AG126" s="28" t="s">
        <v>76</v>
      </c>
      <c r="AH126" s="2" t="str">
        <f t="shared" si="195"/>
        <v/>
      </c>
    </row>
    <row r="127" spans="2:34" x14ac:dyDescent="0.25">
      <c r="B127" s="2" t="str">
        <f t="shared" si="191"/>
        <v>@line_width-path_wide_z18</v>
      </c>
      <c r="C127" s="28" t="s">
        <v>313</v>
      </c>
      <c r="D127" s="28" t="s">
        <v>129</v>
      </c>
      <c r="F127" s="28" t="s">
        <v>313</v>
      </c>
      <c r="G127" s="28" t="s">
        <v>129</v>
      </c>
      <c r="I127" s="28" t="s">
        <v>99</v>
      </c>
      <c r="J127" s="28" t="s">
        <v>100</v>
      </c>
      <c r="L127" s="28" t="s">
        <v>99</v>
      </c>
      <c r="M127" s="28" t="s">
        <v>100</v>
      </c>
      <c r="U127" s="28" t="s">
        <v>82</v>
      </c>
      <c r="V127" s="28" t="s">
        <v>127</v>
      </c>
      <c r="X127" s="28" t="s">
        <v>82</v>
      </c>
      <c r="Y127" s="28" t="s">
        <v>127</v>
      </c>
      <c r="AA127" s="2" t="s">
        <v>119</v>
      </c>
      <c r="AB127" s="2" t="str">
        <f t="shared" si="192"/>
        <v>-</v>
      </c>
      <c r="AC127" s="2" t="s">
        <v>71</v>
      </c>
      <c r="AD127" s="2" t="str">
        <f t="shared" si="193"/>
        <v>_</v>
      </c>
      <c r="AE127" s="2" t="s">
        <v>77</v>
      </c>
      <c r="AF127" s="2" t="str">
        <f t="shared" si="194"/>
        <v>_</v>
      </c>
      <c r="AG127" s="28" t="s">
        <v>76</v>
      </c>
      <c r="AH127" s="2" t="str">
        <f t="shared" si="195"/>
        <v/>
      </c>
    </row>
    <row r="128" spans="2:34" x14ac:dyDescent="0.25">
      <c r="B128" s="2" t="str">
        <f t="shared" si="191"/>
        <v>@line_width-path_widest_z18</v>
      </c>
      <c r="C128" s="28" t="s">
        <v>313</v>
      </c>
      <c r="D128" s="28" t="s">
        <v>129</v>
      </c>
      <c r="F128" s="28" t="s">
        <v>313</v>
      </c>
      <c r="G128" s="28" t="s">
        <v>129</v>
      </c>
      <c r="I128" s="28" t="s">
        <v>99</v>
      </c>
      <c r="J128" s="28" t="s">
        <v>100</v>
      </c>
      <c r="L128" s="28" t="s">
        <v>99</v>
      </c>
      <c r="M128" s="28" t="s">
        <v>100</v>
      </c>
      <c r="U128" s="28" t="s">
        <v>82</v>
      </c>
      <c r="V128" s="28" t="s">
        <v>127</v>
      </c>
      <c r="X128" s="28" t="s">
        <v>82</v>
      </c>
      <c r="Y128" s="28" t="s">
        <v>127</v>
      </c>
      <c r="AA128" s="2" t="s">
        <v>119</v>
      </c>
      <c r="AB128" s="2" t="str">
        <f t="shared" si="192"/>
        <v>-</v>
      </c>
      <c r="AC128" s="2" t="s">
        <v>71</v>
      </c>
      <c r="AD128" s="2" t="str">
        <f t="shared" si="193"/>
        <v>_</v>
      </c>
      <c r="AE128" s="2" t="s">
        <v>296</v>
      </c>
      <c r="AF128" s="2" t="str">
        <f t="shared" si="194"/>
        <v>_</v>
      </c>
      <c r="AG128" s="28" t="s">
        <v>76</v>
      </c>
      <c r="AH128" s="2" t="str">
        <f t="shared" si="195"/>
        <v/>
      </c>
    </row>
    <row r="129" spans="2:35" x14ac:dyDescent="0.25">
      <c r="B129" s="2"/>
      <c r="AA129" s="2"/>
      <c r="AB129" s="2"/>
      <c r="AC129" s="2"/>
      <c r="AD129" s="2"/>
      <c r="AE129" s="2"/>
      <c r="AF129" s="2"/>
      <c r="AH129" s="2"/>
    </row>
    <row r="130" spans="2:35" x14ac:dyDescent="0.25">
      <c r="B130" s="2" t="str">
        <f>_xlfn.CONCAT("@",AA130,AB130,AC130,AD130,AE130,AF130,AG130,AH130,AI130)</f>
        <v>@line_width-track_default_z10</v>
      </c>
      <c r="C130" s="28" t="s">
        <v>120</v>
      </c>
      <c r="D130" s="28" t="s">
        <v>81</v>
      </c>
      <c r="F130" s="28" t="s">
        <v>120</v>
      </c>
      <c r="G130" s="28" t="s">
        <v>81</v>
      </c>
      <c r="I130" s="28" t="s">
        <v>96</v>
      </c>
      <c r="J130" s="28" t="s">
        <v>353</v>
      </c>
      <c r="L130" s="28" t="s">
        <v>96</v>
      </c>
      <c r="M130" s="28" t="s">
        <v>353</v>
      </c>
      <c r="U130" s="28" t="s">
        <v>120</v>
      </c>
      <c r="V130" s="28" t="s">
        <v>81</v>
      </c>
      <c r="X130" s="28" t="s">
        <v>120</v>
      </c>
      <c r="Y130" s="28" t="s">
        <v>81</v>
      </c>
      <c r="AA130" s="2" t="s">
        <v>119</v>
      </c>
      <c r="AB130" s="2" t="str">
        <f t="shared" ref="AB130:AB134" si="196">IF(NOT(ISBLANK(AC130)),"-","")</f>
        <v>-</v>
      </c>
      <c r="AC130" s="2" t="s">
        <v>102</v>
      </c>
      <c r="AD130" s="2" t="str">
        <f t="shared" ref="AD130:AD134" si="197">IF(NOT(ISBLANK(AE130)),"_","")</f>
        <v>_</v>
      </c>
      <c r="AE130" s="2" t="s">
        <v>262</v>
      </c>
      <c r="AF130" s="2" t="str">
        <f t="shared" ref="AF130:AF134" si="198">IF(NOT(ISBLANK(AG130)),"_","")</f>
        <v>_</v>
      </c>
      <c r="AG130" s="28" t="s">
        <v>103</v>
      </c>
      <c r="AH130" s="2" t="str">
        <f t="shared" ref="AH130:AH134" si="199">IF(NOT(ISBLANK(AI130)),"_","")</f>
        <v/>
      </c>
    </row>
    <row r="131" spans="2:35" x14ac:dyDescent="0.25">
      <c r="B131" s="2" t="str">
        <f>_xlfn.CONCAT("@",AA131,AB131,AC131,AD131,AE131,AF131,AG131,AH131,AI131)</f>
        <v>@line_width-track_default_z12</v>
      </c>
      <c r="C131" s="28" t="s">
        <v>96</v>
      </c>
      <c r="D131" s="28" t="s">
        <v>98</v>
      </c>
      <c r="F131" s="28" t="s">
        <v>96</v>
      </c>
      <c r="G131" s="28" t="s">
        <v>98</v>
      </c>
      <c r="I131" s="28" t="s">
        <v>97</v>
      </c>
      <c r="J131" s="28" t="s">
        <v>123</v>
      </c>
      <c r="L131" s="28" t="s">
        <v>97</v>
      </c>
      <c r="M131" s="28" t="s">
        <v>123</v>
      </c>
      <c r="U131" s="28" t="s">
        <v>96</v>
      </c>
      <c r="V131" s="28" t="s">
        <v>98</v>
      </c>
      <c r="X131" s="28" t="s">
        <v>96</v>
      </c>
      <c r="Y131" s="28" t="s">
        <v>98</v>
      </c>
      <c r="AA131" s="2" t="s">
        <v>119</v>
      </c>
      <c r="AB131" s="2" t="str">
        <f t="shared" si="196"/>
        <v>-</v>
      </c>
      <c r="AC131" s="2" t="s">
        <v>102</v>
      </c>
      <c r="AD131" s="2" t="str">
        <f t="shared" si="197"/>
        <v>_</v>
      </c>
      <c r="AE131" s="2" t="s">
        <v>262</v>
      </c>
      <c r="AF131" s="2" t="str">
        <f t="shared" si="198"/>
        <v>_</v>
      </c>
      <c r="AG131" s="28" t="s">
        <v>109</v>
      </c>
      <c r="AH131" s="2" t="str">
        <f t="shared" si="199"/>
        <v/>
      </c>
    </row>
    <row r="132" spans="2:35" x14ac:dyDescent="0.25">
      <c r="B132" s="2" t="str">
        <f>_xlfn.CONCAT("@",AA132,AB132,AC132,AD132,AE132,AF132,AG132,AH132,AI132)</f>
        <v>@line_width-track_default_z14</v>
      </c>
      <c r="C132" s="28" t="s">
        <v>81</v>
      </c>
      <c r="D132" s="28" t="s">
        <v>85</v>
      </c>
      <c r="F132" s="28" t="s">
        <v>81</v>
      </c>
      <c r="G132" s="28" t="s">
        <v>85</v>
      </c>
      <c r="I132" s="28" t="s">
        <v>98</v>
      </c>
      <c r="J132" s="28" t="s">
        <v>99</v>
      </c>
      <c r="L132" s="28" t="s">
        <v>98</v>
      </c>
      <c r="M132" s="28" t="s">
        <v>99</v>
      </c>
      <c r="U132" s="28" t="s">
        <v>81</v>
      </c>
      <c r="V132" s="28" t="s">
        <v>85</v>
      </c>
      <c r="X132" s="28" t="s">
        <v>81</v>
      </c>
      <c r="Y132" s="28" t="s">
        <v>85</v>
      </c>
      <c r="AA132" s="2" t="s">
        <v>119</v>
      </c>
      <c r="AB132" s="2" t="str">
        <f t="shared" si="196"/>
        <v>-</v>
      </c>
      <c r="AC132" s="2" t="s">
        <v>102</v>
      </c>
      <c r="AD132" s="2" t="str">
        <f t="shared" si="197"/>
        <v>_</v>
      </c>
      <c r="AE132" s="2" t="s">
        <v>262</v>
      </c>
      <c r="AF132" s="2" t="str">
        <f t="shared" si="198"/>
        <v>_</v>
      </c>
      <c r="AG132" s="28" t="s">
        <v>74</v>
      </c>
      <c r="AH132" s="2" t="str">
        <f t="shared" si="199"/>
        <v/>
      </c>
    </row>
    <row r="133" spans="2:35" x14ac:dyDescent="0.25">
      <c r="B133" s="2" t="str">
        <f>_xlfn.CONCAT("@",AA133,AB133,AC133,AD133,AE133,AF133,AG133,AH133,AI133)</f>
        <v>@line_width-track_default_z16</v>
      </c>
      <c r="C133" s="28" t="s">
        <v>82</v>
      </c>
      <c r="D133" s="28" t="s">
        <v>127</v>
      </c>
      <c r="F133" s="28" t="s">
        <v>82</v>
      </c>
      <c r="G133" s="28" t="s">
        <v>127</v>
      </c>
      <c r="I133" s="28" t="s">
        <v>92</v>
      </c>
      <c r="J133" s="28" t="s">
        <v>86</v>
      </c>
      <c r="L133" s="28" t="s">
        <v>92</v>
      </c>
      <c r="M133" s="28" t="s">
        <v>86</v>
      </c>
      <c r="U133" s="28" t="s">
        <v>82</v>
      </c>
      <c r="V133" s="28" t="s">
        <v>127</v>
      </c>
      <c r="X133" s="28" t="s">
        <v>82</v>
      </c>
      <c r="Y133" s="28" t="s">
        <v>127</v>
      </c>
      <c r="AA133" s="2" t="s">
        <v>119</v>
      </c>
      <c r="AB133" s="2" t="str">
        <f t="shared" si="196"/>
        <v>-</v>
      </c>
      <c r="AC133" s="2" t="s">
        <v>102</v>
      </c>
      <c r="AD133" s="2" t="str">
        <f t="shared" si="197"/>
        <v>_</v>
      </c>
      <c r="AE133" s="2" t="s">
        <v>262</v>
      </c>
      <c r="AF133" s="2" t="str">
        <f t="shared" si="198"/>
        <v>_</v>
      </c>
      <c r="AG133" s="28" t="s">
        <v>75</v>
      </c>
      <c r="AH133" s="2" t="str">
        <f t="shared" si="199"/>
        <v/>
      </c>
    </row>
    <row r="134" spans="2:35" x14ac:dyDescent="0.25">
      <c r="B134" s="2" t="str">
        <f>_xlfn.CONCAT("@",AA134,AB134,AC134,AD134,AE134,AF134,AG134,AH134,AI134)</f>
        <v>@line_width-track_default_z18</v>
      </c>
      <c r="C134" s="28" t="s">
        <v>134</v>
      </c>
      <c r="D134" s="28" t="s">
        <v>135</v>
      </c>
      <c r="F134" s="28" t="s">
        <v>134</v>
      </c>
      <c r="G134" s="28" t="s">
        <v>135</v>
      </c>
      <c r="I134" s="28" t="s">
        <v>327</v>
      </c>
      <c r="J134" s="28" t="s">
        <v>332</v>
      </c>
      <c r="L134" s="28" t="s">
        <v>327</v>
      </c>
      <c r="M134" s="28" t="s">
        <v>332</v>
      </c>
      <c r="U134" s="28" t="s">
        <v>134</v>
      </c>
      <c r="V134" s="28" t="s">
        <v>135</v>
      </c>
      <c r="X134" s="28" t="s">
        <v>134</v>
      </c>
      <c r="Y134" s="28" t="s">
        <v>135</v>
      </c>
      <c r="AA134" s="2" t="s">
        <v>119</v>
      </c>
      <c r="AB134" s="2" t="str">
        <f t="shared" si="196"/>
        <v>-</v>
      </c>
      <c r="AC134" s="2" t="s">
        <v>102</v>
      </c>
      <c r="AD134" s="2" t="str">
        <f t="shared" si="197"/>
        <v>_</v>
      </c>
      <c r="AE134" s="2" t="s">
        <v>262</v>
      </c>
      <c r="AF134" s="2" t="str">
        <f t="shared" si="198"/>
        <v>_</v>
      </c>
      <c r="AG134" s="28" t="s">
        <v>76</v>
      </c>
      <c r="AH134" s="2" t="str">
        <f t="shared" si="199"/>
        <v/>
      </c>
    </row>
    <row r="135" spans="2:35" x14ac:dyDescent="0.25">
      <c r="B135" s="2"/>
      <c r="AA135" s="2"/>
      <c r="AB135" s="2"/>
      <c r="AC135" s="2"/>
      <c r="AD135" s="2"/>
      <c r="AE135" s="2"/>
      <c r="AF135" s="2"/>
      <c r="AH135" s="2"/>
    </row>
    <row r="136" spans="2:35" x14ac:dyDescent="0.25">
      <c r="B136" s="2"/>
      <c r="AA136" s="2"/>
      <c r="AB136" s="2"/>
      <c r="AC136" s="2"/>
      <c r="AD136" s="2"/>
      <c r="AE136" s="2"/>
    </row>
    <row r="137" spans="2:35" x14ac:dyDescent="0.25">
      <c r="B137" s="2" t="str">
        <f>_xlfn.CONCAT("@",AA137,AB137,AC137,AD137,AE137,AF137,AG137,AH137,AI137)</f>
        <v>@dasharray-path_badvis_farzoom_dash</v>
      </c>
      <c r="C137" s="28" t="s">
        <v>96</v>
      </c>
      <c r="D137" s="28" t="s">
        <v>96</v>
      </c>
      <c r="F137" s="28" t="s">
        <v>96</v>
      </c>
      <c r="G137" s="28" t="s">
        <v>96</v>
      </c>
      <c r="I137" s="28" t="s">
        <v>96</v>
      </c>
      <c r="J137" s="28" t="s">
        <v>96</v>
      </c>
      <c r="L137" s="28" t="s">
        <v>96</v>
      </c>
      <c r="M137" s="28" t="s">
        <v>96</v>
      </c>
      <c r="U137" s="28" t="s">
        <v>90</v>
      </c>
      <c r="V137" s="28" t="s">
        <v>90</v>
      </c>
      <c r="X137" s="28" t="s">
        <v>90</v>
      </c>
      <c r="Y137" s="28" t="s">
        <v>90</v>
      </c>
      <c r="AA137" s="2" t="s">
        <v>385</v>
      </c>
      <c r="AB137" s="2" t="str">
        <f t="shared" ref="AB137" si="200">IF(NOT(ISBLANK(AC137)),"-","")</f>
        <v>-</v>
      </c>
      <c r="AC137" s="2" t="s">
        <v>71</v>
      </c>
      <c r="AD137" s="2" t="str">
        <f t="shared" ref="AD137" si="201">IF(NOT(ISBLANK(AE137)),"_","")</f>
        <v>_</v>
      </c>
      <c r="AE137" s="2" t="s">
        <v>393</v>
      </c>
      <c r="AF137" s="2" t="str">
        <f t="shared" ref="AF137" si="202">IF(NOT(ISBLANK(AG137)),"_","")</f>
        <v>_</v>
      </c>
      <c r="AG137" s="28" t="s">
        <v>20</v>
      </c>
      <c r="AH137" s="2" t="str">
        <f t="shared" ref="AH137" si="203">IF(NOT(ISBLANK(AI137)),"_","")</f>
        <v>_</v>
      </c>
      <c r="AI137" s="28" t="s">
        <v>387</v>
      </c>
    </row>
    <row r="138" spans="2:35" x14ac:dyDescent="0.25">
      <c r="B138" s="2" t="str">
        <f>_xlfn.CONCAT("@",AA138,AB138,AC138,AD138,AE138,AF138,AG138,AH138,AI138)</f>
        <v>@dasharray-path_badvis_farzoom_gap</v>
      </c>
      <c r="C138" s="28" t="s">
        <v>84</v>
      </c>
      <c r="D138" s="28" t="s">
        <v>84</v>
      </c>
      <c r="F138" s="28" t="s">
        <v>84</v>
      </c>
      <c r="G138" s="28" t="s">
        <v>84</v>
      </c>
      <c r="I138" s="28" t="s">
        <v>84</v>
      </c>
      <c r="J138" s="28" t="s">
        <v>84</v>
      </c>
      <c r="L138" s="28" t="s">
        <v>84</v>
      </c>
      <c r="M138" s="28" t="s">
        <v>84</v>
      </c>
      <c r="U138" s="28" t="s">
        <v>85</v>
      </c>
      <c r="V138" s="28" t="s">
        <v>85</v>
      </c>
      <c r="X138" s="28" t="s">
        <v>85</v>
      </c>
      <c r="Y138" s="28" t="s">
        <v>85</v>
      </c>
      <c r="AA138" s="2" t="s">
        <v>385</v>
      </c>
      <c r="AB138" s="2" t="str">
        <f t="shared" ref="AB138:AB139" si="204">IF(NOT(ISBLANK(AC138)),"-","")</f>
        <v>-</v>
      </c>
      <c r="AC138" s="2" t="s">
        <v>71</v>
      </c>
      <c r="AD138" s="2" t="str">
        <f t="shared" ref="AD138:AD139" si="205">IF(NOT(ISBLANK(AE138)),"_","")</f>
        <v>_</v>
      </c>
      <c r="AE138" s="2" t="s">
        <v>393</v>
      </c>
      <c r="AF138" s="2" t="str">
        <f t="shared" ref="AF138:AF139" si="206">IF(NOT(ISBLANK(AG138)),"_","")</f>
        <v>_</v>
      </c>
      <c r="AG138" s="28" t="s">
        <v>20</v>
      </c>
      <c r="AH138" s="2" t="str">
        <f t="shared" ref="AH138:AH139" si="207">IF(NOT(ISBLANK(AI138)),"_","")</f>
        <v>_</v>
      </c>
      <c r="AI138" s="28" t="s">
        <v>388</v>
      </c>
    </row>
    <row r="139" spans="2:35" x14ac:dyDescent="0.25">
      <c r="B139" s="2" t="str">
        <f>_xlfn.CONCAT("@",AA139,AB139,AC139,AD139,AE139,AF139,AG139,AH139,AI139)</f>
        <v>@dasharray-path_badvis_default_dash</v>
      </c>
      <c r="C139" s="28" t="s">
        <v>96</v>
      </c>
      <c r="D139" s="28" t="s">
        <v>96</v>
      </c>
      <c r="F139" s="28" t="s">
        <v>96</v>
      </c>
      <c r="G139" s="28" t="s">
        <v>96</v>
      </c>
      <c r="I139" s="28" t="s">
        <v>96</v>
      </c>
      <c r="J139" s="28" t="s">
        <v>96</v>
      </c>
      <c r="L139" s="28" t="s">
        <v>96</v>
      </c>
      <c r="M139" s="28" t="s">
        <v>96</v>
      </c>
      <c r="U139" s="28" t="s">
        <v>90</v>
      </c>
      <c r="V139" s="28" t="s">
        <v>90</v>
      </c>
      <c r="X139" s="28" t="s">
        <v>90</v>
      </c>
      <c r="Y139" s="28" t="s">
        <v>90</v>
      </c>
      <c r="AA139" s="2" t="s">
        <v>385</v>
      </c>
      <c r="AB139" s="2" t="str">
        <f t="shared" si="204"/>
        <v>-</v>
      </c>
      <c r="AC139" s="2" t="s">
        <v>71</v>
      </c>
      <c r="AD139" s="2" t="str">
        <f t="shared" si="205"/>
        <v>_</v>
      </c>
      <c r="AE139" s="2" t="s">
        <v>393</v>
      </c>
      <c r="AF139" s="2" t="str">
        <f t="shared" si="206"/>
        <v>_</v>
      </c>
      <c r="AG139" s="2" t="s">
        <v>262</v>
      </c>
      <c r="AH139" s="2" t="str">
        <f t="shared" si="207"/>
        <v>_</v>
      </c>
      <c r="AI139" s="28" t="s">
        <v>387</v>
      </c>
    </row>
    <row r="140" spans="2:35" x14ac:dyDescent="0.25">
      <c r="B140" s="2" t="str">
        <f>_xlfn.CONCAT("@",AA140,AB140,AC140,AD140,AE140,AF140,AG140,AH140,AI140)</f>
        <v>@dasharray-path_badvis_default_gap</v>
      </c>
      <c r="C140" s="28" t="s">
        <v>84</v>
      </c>
      <c r="D140" s="28" t="s">
        <v>84</v>
      </c>
      <c r="F140" s="28" t="s">
        <v>84</v>
      </c>
      <c r="G140" s="28" t="s">
        <v>84</v>
      </c>
      <c r="I140" s="28" t="s">
        <v>84</v>
      </c>
      <c r="J140" s="28" t="s">
        <v>84</v>
      </c>
      <c r="L140" s="28" t="s">
        <v>84</v>
      </c>
      <c r="M140" s="28" t="s">
        <v>84</v>
      </c>
      <c r="U140" s="28" t="s">
        <v>85</v>
      </c>
      <c r="V140" s="28" t="s">
        <v>85</v>
      </c>
      <c r="X140" s="28" t="s">
        <v>85</v>
      </c>
      <c r="Y140" s="28" t="s">
        <v>85</v>
      </c>
      <c r="AA140" s="2" t="s">
        <v>385</v>
      </c>
      <c r="AB140" s="2" t="str">
        <f t="shared" ref="AB140" si="208">IF(NOT(ISBLANK(AC140)),"-","")</f>
        <v>-</v>
      </c>
      <c r="AC140" s="2" t="s">
        <v>71</v>
      </c>
      <c r="AD140" s="2" t="str">
        <f t="shared" ref="AD140" si="209">IF(NOT(ISBLANK(AE140)),"_","")</f>
        <v>_</v>
      </c>
      <c r="AE140" s="2" t="s">
        <v>393</v>
      </c>
      <c r="AF140" s="2" t="str">
        <f t="shared" ref="AF140" si="210">IF(NOT(ISBLANK(AG140)),"_","")</f>
        <v>_</v>
      </c>
      <c r="AG140" s="2" t="s">
        <v>262</v>
      </c>
      <c r="AH140" s="2" t="str">
        <f t="shared" ref="AH140" si="211">IF(NOT(ISBLANK(AI140)),"_","")</f>
        <v>_</v>
      </c>
      <c r="AI140" s="28" t="s">
        <v>388</v>
      </c>
    </row>
    <row r="141" spans="2:35" x14ac:dyDescent="0.25">
      <c r="B141" s="2"/>
      <c r="AA141" s="2"/>
      <c r="AB141" s="2"/>
      <c r="AC141" s="2"/>
      <c r="AD141" s="2"/>
      <c r="AE141" s="2"/>
    </row>
    <row r="142" spans="2:35" x14ac:dyDescent="0.25">
      <c r="B142" s="2" t="str">
        <f t="shared" ref="B142:B149" si="212">_xlfn.CONCAT("@",AA142,AB142,AC142,AD142,AE142,AF142,AG142,AH142,AI142)</f>
        <v>@dasharray-path_goodvis_farzoom_dash</v>
      </c>
      <c r="C142" s="28" t="s">
        <v>90</v>
      </c>
      <c r="D142" s="28" t="s">
        <v>90</v>
      </c>
      <c r="F142" s="28" t="s">
        <v>90</v>
      </c>
      <c r="G142" s="28" t="s">
        <v>90</v>
      </c>
      <c r="I142" s="28" t="s">
        <v>90</v>
      </c>
      <c r="J142" s="28" t="s">
        <v>90</v>
      </c>
      <c r="L142" s="28" t="s">
        <v>90</v>
      </c>
      <c r="M142" s="28" t="s">
        <v>90</v>
      </c>
      <c r="U142" s="28" t="s">
        <v>90</v>
      </c>
      <c r="V142" s="28" t="s">
        <v>85</v>
      </c>
      <c r="X142" s="28" t="s">
        <v>90</v>
      </c>
      <c r="Y142" s="28" t="s">
        <v>90</v>
      </c>
      <c r="AA142" s="2" t="s">
        <v>385</v>
      </c>
      <c r="AB142" s="2" t="str">
        <f t="shared" ref="AB142:AB143" si="213">IF(NOT(ISBLANK(AC142)),"-","")</f>
        <v>-</v>
      </c>
      <c r="AC142" s="2" t="s">
        <v>71</v>
      </c>
      <c r="AD142" s="2" t="str">
        <f t="shared" ref="AD142:AD143" si="214">IF(NOT(ISBLANK(AE142)),"_","")</f>
        <v>_</v>
      </c>
      <c r="AE142" s="2" t="s">
        <v>394</v>
      </c>
      <c r="AF142" s="2" t="str">
        <f t="shared" ref="AF142:AF143" si="215">IF(NOT(ISBLANK(AG142)),"_","")</f>
        <v>_</v>
      </c>
      <c r="AG142" s="28" t="s">
        <v>20</v>
      </c>
      <c r="AH142" s="2" t="str">
        <f t="shared" ref="AH142:AH143" si="216">IF(NOT(ISBLANK(AI142)),"_","")</f>
        <v>_</v>
      </c>
      <c r="AI142" s="28" t="s">
        <v>387</v>
      </c>
    </row>
    <row r="143" spans="2:35" x14ac:dyDescent="0.25">
      <c r="B143" s="2" t="str">
        <f t="shared" si="212"/>
        <v>@dasharray-path_goodvis_farzoom_gap</v>
      </c>
      <c r="C143" s="28" t="s">
        <v>85</v>
      </c>
      <c r="D143" s="28" t="s">
        <v>85</v>
      </c>
      <c r="F143" s="28" t="s">
        <v>85</v>
      </c>
      <c r="G143" s="28" t="s">
        <v>85</v>
      </c>
      <c r="I143" s="28" t="s">
        <v>85</v>
      </c>
      <c r="J143" s="28" t="s">
        <v>85</v>
      </c>
      <c r="L143" s="28" t="s">
        <v>85</v>
      </c>
      <c r="M143" s="28" t="s">
        <v>85</v>
      </c>
      <c r="U143" s="28" t="s">
        <v>85</v>
      </c>
      <c r="V143" s="28" t="s">
        <v>85</v>
      </c>
      <c r="X143" s="28" t="s">
        <v>85</v>
      </c>
      <c r="Y143" s="28" t="s">
        <v>85</v>
      </c>
      <c r="AA143" s="2" t="s">
        <v>385</v>
      </c>
      <c r="AB143" s="2" t="str">
        <f t="shared" si="213"/>
        <v>-</v>
      </c>
      <c r="AC143" s="2" t="s">
        <v>71</v>
      </c>
      <c r="AD143" s="2" t="str">
        <f t="shared" si="214"/>
        <v>_</v>
      </c>
      <c r="AE143" s="2" t="s">
        <v>394</v>
      </c>
      <c r="AF143" s="2" t="str">
        <f t="shared" si="215"/>
        <v>_</v>
      </c>
      <c r="AG143" s="28" t="s">
        <v>20</v>
      </c>
      <c r="AH143" s="2" t="str">
        <f t="shared" si="216"/>
        <v>_</v>
      </c>
      <c r="AI143" s="28" t="s">
        <v>388</v>
      </c>
    </row>
    <row r="144" spans="2:35" x14ac:dyDescent="0.25">
      <c r="B144" s="2" t="str">
        <f t="shared" si="212"/>
        <v>@dasharray-path_goodvis_narrow_dash</v>
      </c>
      <c r="C144" s="28" t="s">
        <v>395</v>
      </c>
      <c r="D144" s="28" t="s">
        <v>395</v>
      </c>
      <c r="F144" s="28" t="s">
        <v>395</v>
      </c>
      <c r="G144" s="28" t="s">
        <v>395</v>
      </c>
      <c r="I144" s="28" t="s">
        <v>395</v>
      </c>
      <c r="J144" s="28" t="s">
        <v>395</v>
      </c>
      <c r="L144" s="28" t="s">
        <v>395</v>
      </c>
      <c r="M144" s="28" t="s">
        <v>395</v>
      </c>
      <c r="U144" s="28" t="s">
        <v>82</v>
      </c>
      <c r="V144" s="28" t="s">
        <v>90</v>
      </c>
      <c r="X144" s="28" t="s">
        <v>82</v>
      </c>
      <c r="Y144" s="28" t="s">
        <v>82</v>
      </c>
      <c r="AA144" s="2" t="s">
        <v>385</v>
      </c>
      <c r="AB144" s="2" t="str">
        <f t="shared" ref="AB144:AB145" si="217">IF(NOT(ISBLANK(AC144)),"-","")</f>
        <v>-</v>
      </c>
      <c r="AC144" s="2" t="s">
        <v>71</v>
      </c>
      <c r="AD144" s="2" t="str">
        <f t="shared" ref="AD144:AD145" si="218">IF(NOT(ISBLANK(AE144)),"_","")</f>
        <v>_</v>
      </c>
      <c r="AE144" s="2" t="s">
        <v>394</v>
      </c>
      <c r="AF144" s="2" t="str">
        <f t="shared" ref="AF144:AF145" si="219">IF(NOT(ISBLANK(AG144)),"_","")</f>
        <v>_</v>
      </c>
      <c r="AG144" s="28" t="s">
        <v>72</v>
      </c>
      <c r="AH144" s="2" t="str">
        <f t="shared" ref="AH144:AH145" si="220">IF(NOT(ISBLANK(AI144)),"_","")</f>
        <v>_</v>
      </c>
      <c r="AI144" s="28" t="s">
        <v>387</v>
      </c>
    </row>
    <row r="145" spans="1:35" x14ac:dyDescent="0.25">
      <c r="B145" s="2" t="str">
        <f t="shared" si="212"/>
        <v>@dasharray-path_goodvis_narrow_gap</v>
      </c>
      <c r="C145" s="28" t="s">
        <v>396</v>
      </c>
      <c r="D145" s="28" t="s">
        <v>396</v>
      </c>
      <c r="F145" s="28" t="s">
        <v>396</v>
      </c>
      <c r="G145" s="28" t="s">
        <v>396</v>
      </c>
      <c r="I145" s="28" t="s">
        <v>396</v>
      </c>
      <c r="J145" s="28" t="s">
        <v>396</v>
      </c>
      <c r="L145" s="28" t="s">
        <v>396</v>
      </c>
      <c r="M145" s="28" t="s">
        <v>396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si="217"/>
        <v>-</v>
      </c>
      <c r="AC145" s="2" t="s">
        <v>71</v>
      </c>
      <c r="AD145" s="2" t="str">
        <f t="shared" si="218"/>
        <v>_</v>
      </c>
      <c r="AE145" s="2" t="s">
        <v>394</v>
      </c>
      <c r="AF145" s="2" t="str">
        <f t="shared" si="219"/>
        <v>_</v>
      </c>
      <c r="AG145" s="28" t="s">
        <v>72</v>
      </c>
      <c r="AH145" s="2" t="str">
        <f t="shared" si="220"/>
        <v>_</v>
      </c>
      <c r="AI145" s="28" t="s">
        <v>388</v>
      </c>
    </row>
    <row r="146" spans="1:35" x14ac:dyDescent="0.25">
      <c r="B146" s="2" t="str">
        <f t="shared" si="212"/>
        <v>@dasharray-path_goodvis_medium_dash</v>
      </c>
      <c r="C146" s="28" t="s">
        <v>82</v>
      </c>
      <c r="D146" s="28" t="s">
        <v>82</v>
      </c>
      <c r="F146" s="28" t="s">
        <v>82</v>
      </c>
      <c r="G146" s="28" t="s">
        <v>82</v>
      </c>
      <c r="I146" s="28" t="s">
        <v>82</v>
      </c>
      <c r="J146" s="28" t="s">
        <v>82</v>
      </c>
      <c r="L146" s="28" t="s">
        <v>82</v>
      </c>
      <c r="M146" s="28" t="s">
        <v>82</v>
      </c>
      <c r="U146" s="28" t="s">
        <v>82</v>
      </c>
      <c r="V146" s="28" t="s">
        <v>90</v>
      </c>
      <c r="X146" s="28" t="s">
        <v>82</v>
      </c>
      <c r="Y146" s="28" t="s">
        <v>82</v>
      </c>
      <c r="AA146" s="2" t="s">
        <v>385</v>
      </c>
      <c r="AB146" s="2" t="str">
        <f t="shared" ref="AB146:AB147" si="221">IF(NOT(ISBLANK(AC146)),"-","")</f>
        <v>-</v>
      </c>
      <c r="AC146" s="2" t="s">
        <v>71</v>
      </c>
      <c r="AD146" s="2" t="str">
        <f t="shared" ref="AD146:AD147" si="222">IF(NOT(ISBLANK(AE146)),"_","")</f>
        <v>_</v>
      </c>
      <c r="AE146" s="2" t="s">
        <v>394</v>
      </c>
      <c r="AF146" s="2" t="str">
        <f t="shared" ref="AF146:AF147" si="223">IF(NOT(ISBLANK(AG146)),"_","")</f>
        <v>_</v>
      </c>
      <c r="AG146" s="28" t="s">
        <v>79</v>
      </c>
      <c r="AH146" s="2" t="str">
        <f t="shared" ref="AH146:AH147" si="224">IF(NOT(ISBLANK(AI146)),"_","")</f>
        <v>_</v>
      </c>
      <c r="AI146" s="28" t="s">
        <v>387</v>
      </c>
    </row>
    <row r="147" spans="1:35" x14ac:dyDescent="0.25">
      <c r="B147" s="2" t="str">
        <f t="shared" si="212"/>
        <v>@dasharray-path_goodvis_medium_gap</v>
      </c>
      <c r="C147" s="28" t="s">
        <v>90</v>
      </c>
      <c r="D147" s="28" t="s">
        <v>90</v>
      </c>
      <c r="F147" s="28" t="s">
        <v>90</v>
      </c>
      <c r="G147" s="28" t="s">
        <v>90</v>
      </c>
      <c r="I147" s="28" t="s">
        <v>90</v>
      </c>
      <c r="J147" s="28" t="s">
        <v>90</v>
      </c>
      <c r="L147" s="28" t="s">
        <v>90</v>
      </c>
      <c r="M147" s="28" t="s">
        <v>90</v>
      </c>
      <c r="U147" s="28" t="s">
        <v>90</v>
      </c>
      <c r="V147" s="28" t="s">
        <v>90</v>
      </c>
      <c r="X147" s="28" t="s">
        <v>90</v>
      </c>
      <c r="Y147" s="28" t="s">
        <v>90</v>
      </c>
      <c r="AA147" s="2" t="s">
        <v>385</v>
      </c>
      <c r="AB147" s="2" t="str">
        <f t="shared" si="221"/>
        <v>-</v>
      </c>
      <c r="AC147" s="2" t="s">
        <v>71</v>
      </c>
      <c r="AD147" s="2" t="str">
        <f t="shared" si="222"/>
        <v>_</v>
      </c>
      <c r="AE147" s="2" t="s">
        <v>394</v>
      </c>
      <c r="AF147" s="2" t="str">
        <f t="shared" si="223"/>
        <v>_</v>
      </c>
      <c r="AG147" s="28" t="s">
        <v>79</v>
      </c>
      <c r="AH147" s="2" t="str">
        <f t="shared" si="224"/>
        <v>_</v>
      </c>
      <c r="AI147" s="28" t="s">
        <v>388</v>
      </c>
    </row>
    <row r="148" spans="1:35" x14ac:dyDescent="0.25">
      <c r="B148" s="2" t="str">
        <f t="shared" si="212"/>
        <v>@dasharray-path_goodvis_wide_dash</v>
      </c>
      <c r="C148" s="28" t="s">
        <v>397</v>
      </c>
      <c r="D148" s="28" t="s">
        <v>397</v>
      </c>
      <c r="F148" s="28" t="s">
        <v>397</v>
      </c>
      <c r="G148" s="28" t="s">
        <v>397</v>
      </c>
      <c r="I148" s="28" t="s">
        <v>397</v>
      </c>
      <c r="J148" s="28" t="s">
        <v>397</v>
      </c>
      <c r="L148" s="28" t="s">
        <v>397</v>
      </c>
      <c r="M148" s="28" t="s">
        <v>397</v>
      </c>
      <c r="U148" s="28" t="s">
        <v>82</v>
      </c>
      <c r="V148" s="28" t="s">
        <v>90</v>
      </c>
      <c r="X148" s="28" t="s">
        <v>82</v>
      </c>
      <c r="Y148" s="28" t="s">
        <v>82</v>
      </c>
      <c r="AA148" s="2" t="s">
        <v>385</v>
      </c>
      <c r="AB148" s="2" t="str">
        <f t="shared" ref="AB148:AB149" si="225">IF(NOT(ISBLANK(AC148)),"-","")</f>
        <v>-</v>
      </c>
      <c r="AC148" s="2" t="s">
        <v>71</v>
      </c>
      <c r="AD148" s="2" t="str">
        <f t="shared" ref="AD148:AD149" si="226">IF(NOT(ISBLANK(AE148)),"_","")</f>
        <v>_</v>
      </c>
      <c r="AE148" s="2" t="s">
        <v>394</v>
      </c>
      <c r="AF148" s="2" t="str">
        <f t="shared" ref="AF148:AF149" si="227">IF(NOT(ISBLANK(AG148)),"_","")</f>
        <v>_</v>
      </c>
      <c r="AG148" s="28" t="s">
        <v>77</v>
      </c>
      <c r="AH148" s="2" t="str">
        <f t="shared" ref="AH148:AH149" si="228">IF(NOT(ISBLANK(AI148)),"_","")</f>
        <v>_</v>
      </c>
      <c r="AI148" s="28" t="s">
        <v>387</v>
      </c>
    </row>
    <row r="149" spans="1:35" x14ac:dyDescent="0.25">
      <c r="B149" s="2" t="str">
        <f t="shared" si="212"/>
        <v>@dasharray-path_goodvis_wide_gap</v>
      </c>
      <c r="C149" s="28" t="s">
        <v>84</v>
      </c>
      <c r="D149" s="28" t="s">
        <v>84</v>
      </c>
      <c r="F149" s="28" t="s">
        <v>84</v>
      </c>
      <c r="G149" s="28" t="s">
        <v>84</v>
      </c>
      <c r="I149" s="28" t="s">
        <v>84</v>
      </c>
      <c r="J149" s="28" t="s">
        <v>84</v>
      </c>
      <c r="L149" s="28" t="s">
        <v>84</v>
      </c>
      <c r="M149" s="28" t="s">
        <v>84</v>
      </c>
      <c r="U149" s="28" t="s">
        <v>90</v>
      </c>
      <c r="V149" s="28" t="s">
        <v>90</v>
      </c>
      <c r="X149" s="28" t="s">
        <v>90</v>
      </c>
      <c r="Y149" s="28" t="s">
        <v>90</v>
      </c>
      <c r="AA149" s="2" t="s">
        <v>385</v>
      </c>
      <c r="AB149" s="2" t="str">
        <f t="shared" si="225"/>
        <v>-</v>
      </c>
      <c r="AC149" s="2" t="s">
        <v>71</v>
      </c>
      <c r="AD149" s="2" t="str">
        <f t="shared" si="226"/>
        <v>_</v>
      </c>
      <c r="AE149" s="2" t="s">
        <v>394</v>
      </c>
      <c r="AF149" s="2" t="str">
        <f t="shared" si="227"/>
        <v>_</v>
      </c>
      <c r="AG149" s="28" t="s">
        <v>77</v>
      </c>
      <c r="AH149" s="2" t="str">
        <f t="shared" si="228"/>
        <v>_</v>
      </c>
      <c r="AI149" s="28" t="s">
        <v>388</v>
      </c>
    </row>
    <row r="150" spans="1:35" x14ac:dyDescent="0.25">
      <c r="B150" s="2"/>
      <c r="AA150" s="2"/>
      <c r="AB150" s="2"/>
      <c r="AC150" s="2"/>
      <c r="AD150" s="2"/>
      <c r="AE150" s="2"/>
    </row>
    <row r="151" spans="1:35" s="2" customFormat="1" x14ac:dyDescent="0.25">
      <c r="A151" s="3" t="s">
        <v>401</v>
      </c>
      <c r="B151" s="27"/>
      <c r="C151" s="27"/>
      <c r="D151" s="6"/>
      <c r="E151" s="7"/>
      <c r="F151" s="6"/>
      <c r="G151" s="6"/>
      <c r="H151" s="7"/>
      <c r="I151" s="6"/>
      <c r="J151" s="6"/>
      <c r="K151" s="7"/>
      <c r="L151" s="6"/>
      <c r="M151" s="6"/>
      <c r="N151" s="7"/>
      <c r="O151" s="6"/>
      <c r="P151" s="6"/>
      <c r="Q151" s="7"/>
      <c r="R151" s="6"/>
      <c r="S151" s="6"/>
      <c r="T151" s="7"/>
      <c r="U151" s="6"/>
      <c r="V151" s="6"/>
      <c r="W151" s="7"/>
      <c r="X151" s="6"/>
      <c r="Y151" s="6"/>
      <c r="AA151" s="171"/>
      <c r="AB151" s="171"/>
      <c r="AC151" s="171"/>
      <c r="AD151" s="171"/>
      <c r="AE151" s="171"/>
      <c r="AF151" s="171"/>
      <c r="AG151" s="171"/>
      <c r="AH151" s="171"/>
      <c r="AI151" s="171"/>
    </row>
    <row r="152" spans="1:35" x14ac:dyDescent="0.25">
      <c r="B152" s="2" t="str">
        <f t="shared" ref="B152" si="229">_xlfn.CONCAT("@",AA152,AB152,AC152,AD152,AE152,AF152,AG152,AH152,AI152)</f>
        <v>@color-piste_trail_ski_case</v>
      </c>
      <c r="C152" s="151" t="s">
        <v>297</v>
      </c>
      <c r="D152" s="151" t="s">
        <v>297</v>
      </c>
      <c r="F152" s="151" t="s">
        <v>297</v>
      </c>
      <c r="G152" s="151" t="s">
        <v>297</v>
      </c>
      <c r="I152" s="151" t="s">
        <v>297</v>
      </c>
      <c r="J152" s="151" t="s">
        <v>297</v>
      </c>
      <c r="L152" s="151" t="s">
        <v>297</v>
      </c>
      <c r="M152" s="151" t="s">
        <v>297</v>
      </c>
      <c r="U152" s="46" t="s">
        <v>222</v>
      </c>
      <c r="V152" s="46" t="s">
        <v>222</v>
      </c>
      <c r="X152" s="31" t="s">
        <v>281</v>
      </c>
      <c r="Y152" s="31" t="s">
        <v>281</v>
      </c>
      <c r="AA152" s="172" t="s">
        <v>6</v>
      </c>
      <c r="AB152" s="2" t="str">
        <f t="shared" ref="AB152" si="230">IF(NOT(ISBLANK(AC152)),"-","")</f>
        <v>-</v>
      </c>
      <c r="AC152" s="172" t="s">
        <v>402</v>
      </c>
      <c r="AD152" s="2" t="str">
        <f t="shared" ref="AD152" si="231">IF(NOT(ISBLANK(AE152)),"_","")</f>
        <v>_</v>
      </c>
      <c r="AE152" s="172" t="s">
        <v>403</v>
      </c>
      <c r="AF152" s="2" t="str">
        <f t="shared" ref="AF152" si="232">IF(NOT(ISBLANK(AG152)),"_","")</f>
        <v>_</v>
      </c>
      <c r="AG152" s="168" t="s">
        <v>17</v>
      </c>
      <c r="AH152" s="2" t="str">
        <f t="shared" ref="AH152" si="233">IF(NOT(ISBLANK(AI152)),"_","")</f>
        <v/>
      </c>
      <c r="AI152" s="168"/>
    </row>
    <row r="153" spans="1:35" x14ac:dyDescent="0.25">
      <c r="B153" s="2" t="str">
        <f t="shared" ref="B153" si="234">_xlfn.CONCAT("@",AA153,AB153,AC153,AD153,AE153,AF153,AG153,AH153,AI153)</f>
        <v>@color-piste_trail_ski_line_osm</v>
      </c>
      <c r="C153" s="151" t="s">
        <v>297</v>
      </c>
      <c r="D153" s="151" t="s">
        <v>297</v>
      </c>
      <c r="F153" s="151" t="s">
        <v>297</v>
      </c>
      <c r="G153" s="151" t="s">
        <v>297</v>
      </c>
      <c r="I153" s="151" t="s">
        <v>297</v>
      </c>
      <c r="J153" s="151" t="s">
        <v>297</v>
      </c>
      <c r="L153" s="151" t="s">
        <v>297</v>
      </c>
      <c r="M153" s="151" t="s">
        <v>297</v>
      </c>
      <c r="U153" s="173" t="s">
        <v>406</v>
      </c>
      <c r="V153" s="173" t="s">
        <v>406</v>
      </c>
      <c r="X153" s="173" t="s">
        <v>406</v>
      </c>
      <c r="Y153" s="173" t="s">
        <v>406</v>
      </c>
      <c r="AA153" s="172" t="s">
        <v>6</v>
      </c>
      <c r="AB153" s="2" t="str">
        <f t="shared" ref="AB153" si="235">IF(NOT(ISBLANK(AC153)),"-","")</f>
        <v>-</v>
      </c>
      <c r="AC153" s="172" t="s">
        <v>402</v>
      </c>
      <c r="AD153" s="2" t="str">
        <f t="shared" ref="AD153" si="236">IF(NOT(ISBLANK(AE153)),"_","")</f>
        <v>_</v>
      </c>
      <c r="AE153" s="172" t="s">
        <v>403</v>
      </c>
      <c r="AF153" s="2" t="str">
        <f t="shared" ref="AF153" si="237">IF(NOT(ISBLANK(AG153)),"_","")</f>
        <v>_</v>
      </c>
      <c r="AG153" s="168" t="s">
        <v>13</v>
      </c>
      <c r="AH153" s="2" t="str">
        <f t="shared" ref="AH153" si="238">IF(NOT(ISBLANK(AI153)),"_","")</f>
        <v>_</v>
      </c>
      <c r="AI153" s="168" t="s">
        <v>405</v>
      </c>
    </row>
    <row r="154" spans="1:35" x14ac:dyDescent="0.25">
      <c r="B154" s="2" t="str">
        <f t="shared" ref="B154" si="239">_xlfn.CONCAT("@",AA154,AB154,AC154,AD154,AE154,AF154,AG154,AH154,AI154)</f>
        <v>@color-piste_trail_ski_line_lipas</v>
      </c>
      <c r="C154" s="151" t="s">
        <v>297</v>
      </c>
      <c r="D154" s="151" t="s">
        <v>297</v>
      </c>
      <c r="F154" s="151" t="s">
        <v>297</v>
      </c>
      <c r="G154" s="151" t="s">
        <v>297</v>
      </c>
      <c r="I154" s="151" t="s">
        <v>297</v>
      </c>
      <c r="J154" s="151" t="s">
        <v>297</v>
      </c>
      <c r="L154" s="151" t="s">
        <v>297</v>
      </c>
      <c r="M154" s="151" t="s">
        <v>297</v>
      </c>
      <c r="U154" s="174" t="s">
        <v>408</v>
      </c>
      <c r="V154" s="174" t="s">
        <v>408</v>
      </c>
      <c r="X154" s="174" t="s">
        <v>408</v>
      </c>
      <c r="Y154" s="174" t="s">
        <v>408</v>
      </c>
      <c r="AA154" s="172" t="s">
        <v>6</v>
      </c>
      <c r="AB154" s="2" t="str">
        <f t="shared" ref="AB154" si="240">IF(NOT(ISBLANK(AC154)),"-","")</f>
        <v>-</v>
      </c>
      <c r="AC154" s="172" t="s">
        <v>402</v>
      </c>
      <c r="AD154" s="2" t="str">
        <f t="shared" ref="AD154" si="241">IF(NOT(ISBLANK(AE154)),"_","")</f>
        <v>_</v>
      </c>
      <c r="AE154" s="172" t="s">
        <v>403</v>
      </c>
      <c r="AF154" s="2" t="str">
        <f t="shared" ref="AF154" si="242">IF(NOT(ISBLANK(AG154)),"_","")</f>
        <v>_</v>
      </c>
      <c r="AG154" s="168" t="s">
        <v>13</v>
      </c>
      <c r="AH154" s="2" t="str">
        <f t="shared" ref="AH154" si="243">IF(NOT(ISBLANK(AI154)),"_","")</f>
        <v>_</v>
      </c>
      <c r="AI154" s="168" t="s">
        <v>407</v>
      </c>
    </row>
    <row r="155" spans="1:35" x14ac:dyDescent="0.25">
      <c r="B155" s="2" t="str">
        <f t="shared" ref="B155" si="244">_xlfn.CONCAT("@",AA155,AB155,AC155,AD155,AE155,AF155,AG155,AH155,AI155)</f>
        <v>@color-piste_trail_ski_center</v>
      </c>
      <c r="C155" s="151" t="s">
        <v>297</v>
      </c>
      <c r="D155" s="151" t="s">
        <v>297</v>
      </c>
      <c r="F155" s="151" t="s">
        <v>297</v>
      </c>
      <c r="G155" s="151" t="s">
        <v>297</v>
      </c>
      <c r="I155" s="151" t="s">
        <v>297</v>
      </c>
      <c r="J155" s="151" t="s">
        <v>297</v>
      </c>
      <c r="L155" s="151" t="s">
        <v>297</v>
      </c>
      <c r="M155" s="151" t="s">
        <v>297</v>
      </c>
      <c r="U155" s="46" t="s">
        <v>222</v>
      </c>
      <c r="V155" s="46" t="s">
        <v>222</v>
      </c>
      <c r="X155" s="31" t="s">
        <v>281</v>
      </c>
      <c r="Y155" s="31" t="s">
        <v>281</v>
      </c>
      <c r="AA155" s="172" t="s">
        <v>6</v>
      </c>
      <c r="AB155" s="2" t="str">
        <f t="shared" ref="AB155" si="245">IF(NOT(ISBLANK(AC155)),"-","")</f>
        <v>-</v>
      </c>
      <c r="AC155" s="172" t="s">
        <v>402</v>
      </c>
      <c r="AD155" s="2" t="str">
        <f t="shared" ref="AD155" si="246">IF(NOT(ISBLANK(AE155)),"_","")</f>
        <v>_</v>
      </c>
      <c r="AE155" s="172" t="s">
        <v>403</v>
      </c>
      <c r="AF155" s="2" t="str">
        <f t="shared" ref="AF155" si="247">IF(NOT(ISBLANK(AG155)),"_","")</f>
        <v>_</v>
      </c>
      <c r="AG155" s="168" t="s">
        <v>404</v>
      </c>
      <c r="AH155" s="2" t="str">
        <f t="shared" ref="AH155" si="248">IF(NOT(ISBLANK(AI155)),"_","")</f>
        <v/>
      </c>
      <c r="AI155" s="168"/>
    </row>
    <row r="156" spans="1:35" x14ac:dyDescent="0.25">
      <c r="B156" s="2"/>
      <c r="AA156" s="2"/>
      <c r="AB156" s="2"/>
      <c r="AC156" s="2"/>
      <c r="AD156" s="2"/>
      <c r="AE156" s="2"/>
    </row>
    <row r="157" spans="1:35" x14ac:dyDescent="0.25">
      <c r="B157" s="2"/>
      <c r="AA157" s="2"/>
      <c r="AB157" s="2"/>
      <c r="AC157" s="2"/>
      <c r="AD157" s="2"/>
      <c r="AE157" s="2"/>
    </row>
    <row r="158" spans="1:35" x14ac:dyDescent="0.25">
      <c r="B158" s="2"/>
      <c r="AA158" s="2"/>
      <c r="AB158" s="2"/>
      <c r="AC158" s="2"/>
      <c r="AD158" s="2"/>
      <c r="AE158" s="2"/>
    </row>
    <row r="159" spans="1:35" x14ac:dyDescent="0.25">
      <c r="B159" s="2"/>
      <c r="AA159" s="2"/>
      <c r="AB159" s="2"/>
      <c r="AC159" s="2"/>
      <c r="AD159" s="2"/>
      <c r="AE159" s="2"/>
    </row>
    <row r="160" spans="1:35" x14ac:dyDescent="0.25">
      <c r="B160" s="2"/>
      <c r="AA160" s="2"/>
      <c r="AB160" s="2"/>
      <c r="AC160" s="2"/>
      <c r="AD160" s="2"/>
      <c r="AE160" s="2"/>
    </row>
    <row r="161" spans="1:35" s="2" customFormat="1" x14ac:dyDescent="0.25">
      <c r="A161" s="3" t="s">
        <v>400</v>
      </c>
      <c r="B161" s="27"/>
      <c r="C161" s="27"/>
      <c r="D161" s="6"/>
      <c r="E161" s="7"/>
      <c r="F161" s="6"/>
      <c r="G161" s="6"/>
      <c r="H161" s="7"/>
      <c r="I161" s="6"/>
      <c r="J161" s="6"/>
      <c r="K161" s="7"/>
      <c r="L161" s="6"/>
      <c r="M161" s="6"/>
      <c r="N161" s="7"/>
      <c r="O161" s="6"/>
      <c r="P161" s="6"/>
      <c r="Q161" s="7"/>
      <c r="R161" s="6"/>
      <c r="S161" s="6"/>
      <c r="T161" s="7"/>
      <c r="U161" s="6"/>
      <c r="V161" s="6"/>
      <c r="W161" s="7"/>
      <c r="X161" s="6"/>
      <c r="Y161" s="6"/>
      <c r="AA161" s="171"/>
      <c r="AB161" s="171"/>
      <c r="AC161" s="171"/>
      <c r="AD161" s="171"/>
      <c r="AE161" s="171"/>
      <c r="AF161" s="171"/>
      <c r="AG161" s="171"/>
      <c r="AH161" s="171"/>
      <c r="AI161" s="171"/>
    </row>
    <row r="162" spans="1:35" s="2" customFormat="1" x14ac:dyDescent="0.25">
      <c r="A162" s="167"/>
      <c r="B162" s="169" t="s">
        <v>336</v>
      </c>
      <c r="C162" s="169"/>
      <c r="D162" s="170"/>
      <c r="E162" s="7"/>
      <c r="F162" s="170"/>
      <c r="G162" s="170"/>
      <c r="H162" s="7"/>
      <c r="I162" s="170"/>
      <c r="J162" s="170"/>
      <c r="K162" s="7"/>
      <c r="L162" s="170"/>
      <c r="M162" s="170"/>
      <c r="N162" s="7"/>
      <c r="O162" s="170"/>
      <c r="P162" s="170"/>
      <c r="Q162" s="7"/>
      <c r="R162" s="170"/>
      <c r="S162" s="170"/>
      <c r="T162" s="7"/>
      <c r="U162" s="170"/>
      <c r="V162" s="170"/>
      <c r="W162" s="7"/>
      <c r="X162" s="6"/>
      <c r="Y162" s="6"/>
      <c r="AA162" s="171"/>
      <c r="AB162" s="171" t="str">
        <f t="shared" ref="AB162:AB301" si="249">IF(NOT(ISBLANK(AC162)),"-","")</f>
        <v/>
      </c>
      <c r="AC162" s="171"/>
      <c r="AD162" s="171" t="str">
        <f t="shared" ref="AD162:AD305" si="250">IF(NOT(ISBLANK(AE162)),"_","")</f>
        <v/>
      </c>
      <c r="AE162" s="171"/>
      <c r="AF162" s="171" t="str">
        <f t="shared" ref="AF162:AF305" si="251">IF(NOT(ISBLANK(AG162)),"_","")</f>
        <v/>
      </c>
      <c r="AG162" s="171"/>
      <c r="AH162" s="171" t="str">
        <f t="shared" ref="AH162:AH217" si="252">IF(NOT(ISBLANK(AI162)),"_","")</f>
        <v/>
      </c>
      <c r="AI162" s="171"/>
    </row>
    <row r="163" spans="1:35" x14ac:dyDescent="0.25">
      <c r="B163" s="2" t="str">
        <f t="shared" ref="B163" si="253">_xlfn.CONCAT("@",AA163,AB163,AC163,AD163,AE163,AF163,AG163,AH163,AI163)</f>
        <v>@color-cycleway_case</v>
      </c>
      <c r="C163" s="46" t="s">
        <v>222</v>
      </c>
      <c r="D163" s="46" t="s">
        <v>222</v>
      </c>
      <c r="F163" s="47" t="s">
        <v>214</v>
      </c>
      <c r="G163" s="47" t="s">
        <v>214</v>
      </c>
      <c r="I163" s="46" t="s">
        <v>222</v>
      </c>
      <c r="J163" s="46" t="s">
        <v>222</v>
      </c>
      <c r="L163" s="47" t="s">
        <v>214</v>
      </c>
      <c r="M163" s="47" t="s">
        <v>214</v>
      </c>
      <c r="U163" s="46" t="s">
        <v>222</v>
      </c>
      <c r="V163" s="46" t="s">
        <v>222</v>
      </c>
      <c r="X163" s="47" t="s">
        <v>214</v>
      </c>
      <c r="Y163" s="47" t="s">
        <v>214</v>
      </c>
      <c r="AA163" s="2" t="s">
        <v>6</v>
      </c>
      <c r="AB163" s="2" t="str">
        <f t="shared" ref="AB163" si="254">IF(NOT(ISBLANK(AC163)),"-","")</f>
        <v>-</v>
      </c>
      <c r="AC163" s="2" t="s">
        <v>12</v>
      </c>
      <c r="AD163" s="2" t="str">
        <f t="shared" ref="AD163" si="255">IF(NOT(ISBLANK(AE163)),"_","")</f>
        <v>_</v>
      </c>
      <c r="AE163" s="2" t="s">
        <v>17</v>
      </c>
      <c r="AF163" s="2" t="str">
        <f t="shared" ref="AF163" si="256">IF(NOT(ISBLANK(AG163)),"_","")</f>
        <v/>
      </c>
      <c r="AH163" s="2" t="str">
        <f t="shared" si="252"/>
        <v/>
      </c>
    </row>
    <row r="164" spans="1:35" x14ac:dyDescent="0.25">
      <c r="B164" s="2" t="str">
        <f>_xlfn.CONCAT("@",AA164,AB164,AC164,AD164,AE164,AF164,AG164,AH164,AI164)</f>
        <v>@color-footway_case</v>
      </c>
      <c r="C164" s="46" t="s">
        <v>222</v>
      </c>
      <c r="D164" s="46" t="s">
        <v>222</v>
      </c>
      <c r="F164" s="47" t="s">
        <v>214</v>
      </c>
      <c r="G164" s="47" t="s">
        <v>214</v>
      </c>
      <c r="I164" s="46" t="s">
        <v>222</v>
      </c>
      <c r="J164" s="46" t="s">
        <v>222</v>
      </c>
      <c r="L164" s="47" t="s">
        <v>214</v>
      </c>
      <c r="M164" s="47" t="s">
        <v>214</v>
      </c>
      <c r="U164" s="46" t="s">
        <v>222</v>
      </c>
      <c r="V164" s="46" t="s">
        <v>222</v>
      </c>
      <c r="X164" s="47" t="s">
        <v>214</v>
      </c>
      <c r="Y164" s="47" t="s">
        <v>214</v>
      </c>
      <c r="AA164" s="2" t="s">
        <v>6</v>
      </c>
      <c r="AB164" s="2" t="str">
        <f t="shared" ref="AB164:AB167" si="257">IF(NOT(ISBLANK(AC164)),"-","")</f>
        <v>-</v>
      </c>
      <c r="AC164" s="2" t="s">
        <v>34</v>
      </c>
      <c r="AD164" s="2" t="str">
        <f t="shared" ref="AD164:AD167" si="258">IF(NOT(ISBLANK(AE164)),"_","")</f>
        <v>_</v>
      </c>
      <c r="AE164" s="2" t="s">
        <v>17</v>
      </c>
      <c r="AF164" s="2" t="str">
        <f t="shared" ref="AF164:AF167" si="259">IF(NOT(ISBLANK(AG164)),"_","")</f>
        <v/>
      </c>
      <c r="AG164" s="2"/>
      <c r="AH164" s="2" t="str">
        <f>IF(NOT(ISBLANK(AI164)),"_","")</f>
        <v/>
      </c>
      <c r="AI164" s="2"/>
    </row>
    <row r="165" spans="1:35" x14ac:dyDescent="0.25">
      <c r="B165" s="2"/>
      <c r="AA165" s="2"/>
      <c r="AB165" s="2"/>
      <c r="AC165" s="2"/>
      <c r="AD165" s="2"/>
      <c r="AE165" s="2"/>
    </row>
    <row r="166" spans="1:35" x14ac:dyDescent="0.25">
      <c r="B166" s="2" t="str">
        <f t="shared" ref="B166" si="260">_xlfn.CONCAT("@",AA166,AB166,AC166,AD166,AE166,AF166,AG166,AH166,AI166)</f>
        <v>@case_width-cycleway_default_z12</v>
      </c>
      <c r="C166" s="28" t="s">
        <v>112</v>
      </c>
      <c r="D166" s="28" t="s">
        <v>112</v>
      </c>
      <c r="F166" s="28" t="s">
        <v>112</v>
      </c>
      <c r="G166" s="28" t="s">
        <v>112</v>
      </c>
      <c r="I166" s="28" t="s">
        <v>112</v>
      </c>
      <c r="J166" s="28" t="s">
        <v>90</v>
      </c>
      <c r="L166" s="28" t="s">
        <v>112</v>
      </c>
      <c r="M166" s="28" t="s">
        <v>90</v>
      </c>
      <c r="U166" s="28" t="s">
        <v>112</v>
      </c>
      <c r="V166" s="28" t="s">
        <v>112</v>
      </c>
      <c r="X166" s="28" t="s">
        <v>112</v>
      </c>
      <c r="Y166" s="28" t="s">
        <v>112</v>
      </c>
      <c r="AA166" s="2" t="s">
        <v>78</v>
      </c>
      <c r="AB166" s="2" t="str">
        <f t="shared" ref="AB166" si="261">IF(NOT(ISBLANK(AC166)),"-","")</f>
        <v>-</v>
      </c>
      <c r="AC166" s="2" t="s">
        <v>12</v>
      </c>
      <c r="AD166" s="2" t="str">
        <f t="shared" ref="AD166" si="262">IF(NOT(ISBLANK(AE166)),"_","")</f>
        <v>_</v>
      </c>
      <c r="AE166" s="2" t="s">
        <v>262</v>
      </c>
      <c r="AF166" s="2" t="str">
        <f t="shared" ref="AF166" si="263">IF(NOT(ISBLANK(AG166)),"_","")</f>
        <v>_</v>
      </c>
      <c r="AG166" s="28" t="s">
        <v>109</v>
      </c>
      <c r="AH166" s="2" t="str">
        <f t="shared" ref="AH166" si="264">IF(NOT(ISBLANK(AI166)),"_","")</f>
        <v/>
      </c>
    </row>
    <row r="167" spans="1:35" x14ac:dyDescent="0.25">
      <c r="B167" s="2" t="str">
        <f t="shared" ref="B167" si="265">_xlfn.CONCAT("@",AA167,AB167,AC167,AD167,AE167,AF167,AG167,AH167,AI167)</f>
        <v>@case_width-cycleway_default_z14</v>
      </c>
      <c r="C167" s="28" t="s">
        <v>112</v>
      </c>
      <c r="D167" s="28" t="s">
        <v>112</v>
      </c>
      <c r="F167" s="28" t="s">
        <v>112</v>
      </c>
      <c r="G167" s="28" t="s">
        <v>112</v>
      </c>
      <c r="I167" s="28" t="s">
        <v>128</v>
      </c>
      <c r="J167" s="28" t="s">
        <v>313</v>
      </c>
      <c r="L167" s="28" t="s">
        <v>128</v>
      </c>
      <c r="M167" s="28" t="s">
        <v>313</v>
      </c>
      <c r="U167" s="28" t="s">
        <v>112</v>
      </c>
      <c r="V167" s="28" t="s">
        <v>112</v>
      </c>
      <c r="X167" s="28" t="s">
        <v>112</v>
      </c>
      <c r="Y167" s="28" t="s">
        <v>112</v>
      </c>
      <c r="AA167" s="2" t="s">
        <v>78</v>
      </c>
      <c r="AB167" s="2" t="str">
        <f t="shared" si="257"/>
        <v>-</v>
      </c>
      <c r="AC167" s="2" t="s">
        <v>12</v>
      </c>
      <c r="AD167" s="2" t="str">
        <f t="shared" si="258"/>
        <v>_</v>
      </c>
      <c r="AE167" s="2" t="s">
        <v>262</v>
      </c>
      <c r="AF167" s="2" t="str">
        <f t="shared" si="259"/>
        <v>_</v>
      </c>
      <c r="AG167" s="28" t="s">
        <v>74</v>
      </c>
      <c r="AH167" s="2" t="str">
        <f t="shared" ref="AH167" si="266">IF(NOT(ISBLANK(AI167)),"_","")</f>
        <v/>
      </c>
    </row>
    <row r="168" spans="1:35" x14ac:dyDescent="0.25">
      <c r="B168" s="2" t="str">
        <f t="shared" ref="B168" si="267">_xlfn.CONCAT("@",AA168,AB168,AC168,AD168,AE168,AF168,AG168,AH168,AI168)</f>
        <v>@case_width-cycleway_default_z15</v>
      </c>
      <c r="C168" s="28" t="s">
        <v>88</v>
      </c>
      <c r="D168" s="28" t="s">
        <v>92</v>
      </c>
      <c r="F168" s="28" t="s">
        <v>88</v>
      </c>
      <c r="G168" s="28" t="s">
        <v>92</v>
      </c>
      <c r="I168" s="28" t="s">
        <v>83</v>
      </c>
      <c r="J168" s="28" t="s">
        <v>86</v>
      </c>
      <c r="L168" s="28" t="s">
        <v>83</v>
      </c>
      <c r="M168" s="28" t="s">
        <v>86</v>
      </c>
      <c r="U168" s="28" t="s">
        <v>88</v>
      </c>
      <c r="V168" s="28" t="s">
        <v>92</v>
      </c>
      <c r="X168" s="28" t="s">
        <v>88</v>
      </c>
      <c r="Y168" s="28" t="s">
        <v>92</v>
      </c>
      <c r="AA168" s="2" t="s">
        <v>78</v>
      </c>
      <c r="AB168" s="2" t="str">
        <f t="shared" ref="AB168" si="268">IF(NOT(ISBLANK(AC168)),"-","")</f>
        <v>-</v>
      </c>
      <c r="AC168" s="2" t="s">
        <v>12</v>
      </c>
      <c r="AD168" s="2" t="str">
        <f t="shared" ref="AD168" si="269">IF(NOT(ISBLANK(AE168)),"_","")</f>
        <v>_</v>
      </c>
      <c r="AE168" s="2" t="s">
        <v>262</v>
      </c>
      <c r="AF168" s="2" t="str">
        <f t="shared" ref="AF168" si="270">IF(NOT(ISBLANK(AG168)),"_","")</f>
        <v>_</v>
      </c>
      <c r="AG168" s="28" t="s">
        <v>337</v>
      </c>
      <c r="AH168" s="2" t="str">
        <f t="shared" ref="AH168" si="271">IF(NOT(ISBLANK(AI168)),"_","")</f>
        <v/>
      </c>
    </row>
    <row r="169" spans="1:35" x14ac:dyDescent="0.25">
      <c r="B169" s="2" t="str">
        <f t="shared" ref="B169" si="272">_xlfn.CONCAT("@",AA169,AB169,AC169,AD169,AE169,AF169,AG169,AH169,AI169)</f>
        <v>@case_width-cycleway_default_z16</v>
      </c>
      <c r="C169" s="28" t="s">
        <v>86</v>
      </c>
      <c r="D169" s="28" t="s">
        <v>134</v>
      </c>
      <c r="F169" s="28" t="s">
        <v>86</v>
      </c>
      <c r="G169" s="28" t="s">
        <v>134</v>
      </c>
      <c r="I169" s="28" t="s">
        <v>327</v>
      </c>
      <c r="J169" s="28" t="s">
        <v>341</v>
      </c>
      <c r="L169" s="28" t="s">
        <v>327</v>
      </c>
      <c r="M169" s="28" t="s">
        <v>341</v>
      </c>
      <c r="U169" s="28" t="s">
        <v>86</v>
      </c>
      <c r="V169" s="28" t="s">
        <v>134</v>
      </c>
      <c r="X169" s="28" t="s">
        <v>86</v>
      </c>
      <c r="Y169" s="28" t="s">
        <v>134</v>
      </c>
      <c r="AA169" s="2" t="s">
        <v>78</v>
      </c>
      <c r="AB169" s="2" t="str">
        <f t="shared" ref="AB169" si="273">IF(NOT(ISBLANK(AC169)),"-","")</f>
        <v>-</v>
      </c>
      <c r="AC169" s="2" t="s">
        <v>12</v>
      </c>
      <c r="AD169" s="2" t="str">
        <f t="shared" ref="AD169" si="274">IF(NOT(ISBLANK(AE169)),"_","")</f>
        <v>_</v>
      </c>
      <c r="AE169" s="2" t="s">
        <v>262</v>
      </c>
      <c r="AF169" s="2" t="str">
        <f t="shared" ref="AF169" si="275">IF(NOT(ISBLANK(AG169)),"_","")</f>
        <v>_</v>
      </c>
      <c r="AG169" s="28" t="s">
        <v>75</v>
      </c>
      <c r="AH169" s="2" t="str">
        <f t="shared" ref="AH169" si="276">IF(NOT(ISBLANK(AI169)),"_","")</f>
        <v/>
      </c>
    </row>
    <row r="170" spans="1:35" x14ac:dyDescent="0.25">
      <c r="B170" s="2" t="str">
        <f t="shared" ref="B170" si="277">_xlfn.CONCAT("@",AA170,AB170,AC170,AD170,AE170,AF170,AG170,AH170,AI170)</f>
        <v>@case_width-cycleway_default_z18</v>
      </c>
      <c r="C170" s="28" t="s">
        <v>332</v>
      </c>
      <c r="D170" s="28" t="s">
        <v>338</v>
      </c>
      <c r="F170" s="28" t="s">
        <v>332</v>
      </c>
      <c r="G170" s="28" t="s">
        <v>338</v>
      </c>
      <c r="I170" s="28" t="s">
        <v>339</v>
      </c>
      <c r="J170" s="28" t="s">
        <v>145</v>
      </c>
      <c r="L170" s="28" t="s">
        <v>339</v>
      </c>
      <c r="M170" s="28" t="s">
        <v>145</v>
      </c>
      <c r="U170" s="28" t="s">
        <v>332</v>
      </c>
      <c r="V170" s="28" t="s">
        <v>338</v>
      </c>
      <c r="X170" s="28" t="s">
        <v>332</v>
      </c>
      <c r="Y170" s="28" t="s">
        <v>338</v>
      </c>
      <c r="AA170" s="2" t="s">
        <v>78</v>
      </c>
      <c r="AB170" s="2" t="str">
        <f t="shared" ref="AB170" si="278">IF(NOT(ISBLANK(AC170)),"-","")</f>
        <v>-</v>
      </c>
      <c r="AC170" s="2" t="s">
        <v>12</v>
      </c>
      <c r="AD170" s="2" t="str">
        <f t="shared" ref="AD170" si="279">IF(NOT(ISBLANK(AE170)),"_","")</f>
        <v>_</v>
      </c>
      <c r="AE170" s="2" t="s">
        <v>262</v>
      </c>
      <c r="AF170" s="2" t="str">
        <f t="shared" ref="AF170" si="280">IF(NOT(ISBLANK(AG170)),"_","")</f>
        <v>_</v>
      </c>
      <c r="AG170" s="28" t="s">
        <v>76</v>
      </c>
      <c r="AH170" s="2" t="str">
        <f t="shared" ref="AH170" si="281">IF(NOT(ISBLANK(AI170)),"_","")</f>
        <v/>
      </c>
    </row>
    <row r="171" spans="1:35" x14ac:dyDescent="0.25">
      <c r="A171" s="168"/>
      <c r="B171" s="2"/>
      <c r="AA171" s="2"/>
      <c r="AB171" s="2"/>
      <c r="AC171" s="2"/>
      <c r="AD171" s="2"/>
      <c r="AE171" s="2"/>
    </row>
    <row r="172" spans="1:35" s="2" customFormat="1" x14ac:dyDescent="0.25">
      <c r="A172" s="167"/>
      <c r="B172" s="169" t="s">
        <v>335</v>
      </c>
      <c r="C172" s="169"/>
      <c r="D172" s="170"/>
      <c r="E172" s="7"/>
      <c r="F172" s="170"/>
      <c r="G172" s="170"/>
      <c r="H172" s="7"/>
      <c r="I172" s="170"/>
      <c r="J172" s="170"/>
      <c r="K172" s="7"/>
      <c r="L172" s="170"/>
      <c r="M172" s="170"/>
      <c r="N172" s="7"/>
      <c r="O172" s="170"/>
      <c r="P172" s="170"/>
      <c r="Q172" s="7"/>
      <c r="R172" s="170"/>
      <c r="S172" s="170"/>
      <c r="T172" s="7"/>
      <c r="U172" s="170"/>
      <c r="V172" s="170"/>
      <c r="W172" s="7"/>
      <c r="X172" s="6"/>
      <c r="Y172" s="6"/>
      <c r="AA172" s="171"/>
      <c r="AB172" s="171"/>
      <c r="AC172" s="171"/>
      <c r="AD172" s="171"/>
      <c r="AE172" s="171"/>
      <c r="AF172" s="171"/>
      <c r="AG172" s="171"/>
      <c r="AH172" s="171"/>
      <c r="AI172" s="171"/>
    </row>
    <row r="173" spans="1:35" x14ac:dyDescent="0.25">
      <c r="B173" s="2" t="str">
        <f>_xlfn.CONCAT("@",AA173,AB173,AC173,AD173,AE173,AF173,AG173,AH173,AI173)</f>
        <v>@color-cycleway_line</v>
      </c>
      <c r="C173" s="48" t="s">
        <v>185</v>
      </c>
      <c r="D173" s="49" t="str">
        <f>C173</f>
        <v>"#3046d7"</v>
      </c>
      <c r="F173" s="48" t="s">
        <v>185</v>
      </c>
      <c r="G173" s="49" t="str">
        <f>F173</f>
        <v>"#3046d7"</v>
      </c>
      <c r="I173" s="48" t="s">
        <v>185</v>
      </c>
      <c r="J173" s="49" t="str">
        <f>I173</f>
        <v>"#3046d7"</v>
      </c>
      <c r="L173" s="48" t="s">
        <v>185</v>
      </c>
      <c r="M173" s="49" t="str">
        <f>L173</f>
        <v>"#3046d7"</v>
      </c>
      <c r="U173" s="48" t="s">
        <v>185</v>
      </c>
      <c r="V173" s="49" t="str">
        <f>U173</f>
        <v>"#3046d7"</v>
      </c>
      <c r="X173" s="48" t="s">
        <v>185</v>
      </c>
      <c r="Y173" s="49" t="str">
        <f>X173</f>
        <v>"#3046d7"</v>
      </c>
      <c r="AA173" s="2" t="s">
        <v>6</v>
      </c>
      <c r="AB173" s="2" t="str">
        <f>IF(NOT(ISBLANK(AC173)),"-","")</f>
        <v>-</v>
      </c>
      <c r="AC173" s="2" t="s">
        <v>12</v>
      </c>
      <c r="AD173" s="2" t="str">
        <f>IF(NOT(ISBLANK(AE173)),"_","")</f>
        <v>_</v>
      </c>
      <c r="AE173" s="2" t="s">
        <v>13</v>
      </c>
      <c r="AF173" s="2" t="str">
        <f>IF(NOT(ISBLANK(AG173)),"_","")</f>
        <v/>
      </c>
      <c r="AH173" s="2" t="str">
        <f>IF(NOT(ISBLANK(AI173)),"_","")</f>
        <v/>
      </c>
    </row>
    <row r="174" spans="1:35" x14ac:dyDescent="0.25">
      <c r="B174" s="2" t="str">
        <f>_xlfn.CONCAT("@",AA174,AB174,AC174,AD174,AE174,AF174,AG174,AH174,AI174)</f>
        <v>@color-footway_line</v>
      </c>
      <c r="C174" s="50" t="s">
        <v>186</v>
      </c>
      <c r="D174" s="51" t="str">
        <f>C174</f>
        <v>"#a43820"</v>
      </c>
      <c r="F174" s="50" t="s">
        <v>186</v>
      </c>
      <c r="G174" s="51" t="str">
        <f>F174</f>
        <v>"#a43820"</v>
      </c>
      <c r="I174" s="50" t="s">
        <v>186</v>
      </c>
      <c r="J174" s="51" t="str">
        <f>I174</f>
        <v>"#a43820"</v>
      </c>
      <c r="L174" s="50" t="s">
        <v>186</v>
      </c>
      <c r="M174" s="51" t="str">
        <f>L174</f>
        <v>"#a43820"</v>
      </c>
      <c r="U174" s="50" t="s">
        <v>186</v>
      </c>
      <c r="V174" s="51" t="str">
        <f>U174</f>
        <v>"#a43820"</v>
      </c>
      <c r="X174" s="50" t="s">
        <v>186</v>
      </c>
      <c r="Y174" s="51" t="str">
        <f>X174</f>
        <v>"#a43820"</v>
      </c>
      <c r="AA174" s="2" t="s">
        <v>6</v>
      </c>
      <c r="AB174" s="2" t="str">
        <f>IF(NOT(ISBLANK(AC174)),"-","")</f>
        <v>-</v>
      </c>
      <c r="AC174" s="2" t="s">
        <v>34</v>
      </c>
      <c r="AD174" s="2" t="str">
        <f>IF(NOT(ISBLANK(AE174)),"_","")</f>
        <v>_</v>
      </c>
      <c r="AE174" s="2" t="s">
        <v>13</v>
      </c>
      <c r="AF174" s="2" t="str">
        <f>IF(NOT(ISBLANK(AG174)),"_","")</f>
        <v/>
      </c>
      <c r="AG174" s="2"/>
      <c r="AH174" s="2" t="str">
        <f>IF(NOT(ISBLANK(AI174)),"_","")</f>
        <v/>
      </c>
      <c r="AI174" s="2"/>
    </row>
    <row r="175" spans="1:35" x14ac:dyDescent="0.25">
      <c r="AA175" s="2"/>
      <c r="AB175" s="2" t="str">
        <f t="shared" si="249"/>
        <v/>
      </c>
      <c r="AC175" s="2"/>
      <c r="AD175" s="2" t="str">
        <f t="shared" si="250"/>
        <v/>
      </c>
      <c r="AE175" s="2"/>
      <c r="AF175" s="28" t="str">
        <f t="shared" si="251"/>
        <v/>
      </c>
      <c r="AH175" s="28" t="str">
        <f t="shared" si="252"/>
        <v/>
      </c>
    </row>
    <row r="176" spans="1:35" x14ac:dyDescent="0.25">
      <c r="B176" s="2" t="str">
        <f t="shared" ref="B176" si="282">_xlfn.CONCAT("@",AA176,AB176,AC176,AD176,AE176,AF176,AG176,AH176,AI176)</f>
        <v>@line_width-cycleway_paved_or_uk_z12</v>
      </c>
      <c r="C176" s="28" t="s">
        <v>84</v>
      </c>
      <c r="D176" s="28" t="s">
        <v>84</v>
      </c>
      <c r="F176" s="28" t="s">
        <v>84</v>
      </c>
      <c r="G176" s="28" t="s">
        <v>84</v>
      </c>
      <c r="I176" s="28" t="s">
        <v>123</v>
      </c>
      <c r="J176" s="28" t="s">
        <v>123</v>
      </c>
      <c r="L176" s="28" t="s">
        <v>123</v>
      </c>
      <c r="M176" s="28" t="s">
        <v>123</v>
      </c>
      <c r="U176" s="28" t="s">
        <v>84</v>
      </c>
      <c r="V176" s="28" t="s">
        <v>84</v>
      </c>
      <c r="X176" s="28" t="s">
        <v>84</v>
      </c>
      <c r="Y176" s="28" t="s">
        <v>84</v>
      </c>
      <c r="AA176" s="2" t="s">
        <v>119</v>
      </c>
      <c r="AB176" s="2" t="str">
        <f t="shared" ref="AB176" si="283">IF(NOT(ISBLANK(AC176)),"-","")</f>
        <v>-</v>
      </c>
      <c r="AC176" s="2" t="s">
        <v>12</v>
      </c>
      <c r="AD176" s="2" t="str">
        <f t="shared" ref="AD176" si="284">IF(NOT(ISBLANK(AE176)),"_","")</f>
        <v>_</v>
      </c>
      <c r="AE176" s="2" t="s">
        <v>24</v>
      </c>
      <c r="AF176" s="2" t="str">
        <f t="shared" ref="AF176" si="285">IF(NOT(ISBLANK(AG176)),"_","")</f>
        <v>_</v>
      </c>
      <c r="AG176" s="28" t="s">
        <v>109</v>
      </c>
      <c r="AH176" s="2" t="str">
        <f t="shared" ref="AH176" si="286">IF(NOT(ISBLANK(AI176)),"_","")</f>
        <v/>
      </c>
    </row>
    <row r="177" spans="2:34" x14ac:dyDescent="0.25">
      <c r="B177" s="2" t="str">
        <f t="shared" ref="B177" si="287">_xlfn.CONCAT("@",AA177,AB177,AC177,AD177,AE177,AF177,AG177,AH177,AI177)</f>
        <v>@line_width-cycleway_paved_or_uk_z14</v>
      </c>
      <c r="C177" s="28" t="s">
        <v>123</v>
      </c>
      <c r="D177" s="28" t="s">
        <v>90</v>
      </c>
      <c r="F177" s="28" t="s">
        <v>123</v>
      </c>
      <c r="G177" s="28" t="s">
        <v>90</v>
      </c>
      <c r="I177" s="28" t="s">
        <v>112</v>
      </c>
      <c r="J177" s="28" t="s">
        <v>350</v>
      </c>
      <c r="L177" s="28" t="s">
        <v>112</v>
      </c>
      <c r="M177" s="28" t="s">
        <v>350</v>
      </c>
      <c r="U177" s="28" t="s">
        <v>123</v>
      </c>
      <c r="V177" s="28" t="s">
        <v>90</v>
      </c>
      <c r="X177" s="28" t="s">
        <v>123</v>
      </c>
      <c r="Y177" s="28" t="s">
        <v>90</v>
      </c>
      <c r="AA177" s="2" t="s">
        <v>119</v>
      </c>
      <c r="AB177" s="2" t="str">
        <f t="shared" ref="AB177" si="288">IF(NOT(ISBLANK(AC177)),"-","")</f>
        <v>-</v>
      </c>
      <c r="AC177" s="2" t="s">
        <v>12</v>
      </c>
      <c r="AD177" s="2" t="str">
        <f t="shared" ref="AD177" si="289">IF(NOT(ISBLANK(AE177)),"_","")</f>
        <v>_</v>
      </c>
      <c r="AE177" s="2" t="s">
        <v>24</v>
      </c>
      <c r="AF177" s="2" t="str">
        <f t="shared" ref="AF177" si="290">IF(NOT(ISBLANK(AG177)),"_","")</f>
        <v>_</v>
      </c>
      <c r="AG177" s="28" t="s">
        <v>74</v>
      </c>
      <c r="AH177" s="2" t="str">
        <f t="shared" ref="AH177" si="291">IF(NOT(ISBLANK(AI177)),"_","")</f>
        <v/>
      </c>
    </row>
    <row r="178" spans="2:34" x14ac:dyDescent="0.25">
      <c r="B178" s="2" t="str">
        <f t="shared" ref="B178" si="292">_xlfn.CONCAT("@",AA178,AB178,AC178,AD178,AE178,AF178,AG178,AH178,AI178)</f>
        <v>@line_width-cycleway_paved_or_uk_z16</v>
      </c>
      <c r="C178" s="28" t="s">
        <v>88</v>
      </c>
      <c r="D178" s="28" t="s">
        <v>92</v>
      </c>
      <c r="F178" s="28" t="s">
        <v>88</v>
      </c>
      <c r="G178" s="28" t="s">
        <v>92</v>
      </c>
      <c r="I178" s="28" t="s">
        <v>82</v>
      </c>
      <c r="J178" s="28" t="s">
        <v>83</v>
      </c>
      <c r="L178" s="28" t="s">
        <v>82</v>
      </c>
      <c r="M178" s="28" t="s">
        <v>83</v>
      </c>
      <c r="U178" s="28" t="s">
        <v>88</v>
      </c>
      <c r="V178" s="28" t="s">
        <v>92</v>
      </c>
      <c r="X178" s="28" t="s">
        <v>88</v>
      </c>
      <c r="Y178" s="28" t="s">
        <v>92</v>
      </c>
      <c r="AA178" s="2" t="s">
        <v>119</v>
      </c>
      <c r="AB178" s="2" t="str">
        <f t="shared" ref="AB178" si="293">IF(NOT(ISBLANK(AC178)),"-","")</f>
        <v>-</v>
      </c>
      <c r="AC178" s="2" t="s">
        <v>12</v>
      </c>
      <c r="AD178" s="2" t="str">
        <f t="shared" ref="AD178" si="294">IF(NOT(ISBLANK(AE178)),"_","")</f>
        <v>_</v>
      </c>
      <c r="AE178" s="2" t="s">
        <v>24</v>
      </c>
      <c r="AF178" s="2" t="str">
        <f t="shared" ref="AF178" si="295">IF(NOT(ISBLANK(AG178)),"_","")</f>
        <v>_</v>
      </c>
      <c r="AG178" s="28" t="s">
        <v>75</v>
      </c>
      <c r="AH178" s="2" t="str">
        <f t="shared" ref="AH178" si="296">IF(NOT(ISBLANK(AI178)),"_","")</f>
        <v/>
      </c>
    </row>
    <row r="179" spans="2:34" x14ac:dyDescent="0.25">
      <c r="B179" s="2" t="str">
        <f t="shared" ref="B179" si="297">_xlfn.CONCAT("@",AA179,AB179,AC179,AD179,AE179,AF179,AG179,AH179,AI179)</f>
        <v>@line_width-cycleway_paved_or_uk_z18</v>
      </c>
      <c r="C179" s="28" t="s">
        <v>86</v>
      </c>
      <c r="D179" s="28" t="s">
        <v>341</v>
      </c>
      <c r="F179" s="28" t="s">
        <v>86</v>
      </c>
      <c r="G179" s="28" t="s">
        <v>341</v>
      </c>
      <c r="I179" s="28" t="s">
        <v>134</v>
      </c>
      <c r="J179" s="28" t="s">
        <v>332</v>
      </c>
      <c r="L179" s="28" t="s">
        <v>134</v>
      </c>
      <c r="M179" s="28" t="s">
        <v>332</v>
      </c>
      <c r="U179" s="28" t="s">
        <v>86</v>
      </c>
      <c r="V179" s="28" t="s">
        <v>341</v>
      </c>
      <c r="X179" s="28" t="s">
        <v>86</v>
      </c>
      <c r="Y179" s="28" t="s">
        <v>341</v>
      </c>
      <c r="AA179" s="2" t="s">
        <v>119</v>
      </c>
      <c r="AB179" s="2" t="str">
        <f t="shared" ref="AB179" si="298">IF(NOT(ISBLANK(AC179)),"-","")</f>
        <v>-</v>
      </c>
      <c r="AC179" s="2" t="s">
        <v>12</v>
      </c>
      <c r="AD179" s="2" t="str">
        <f t="shared" ref="AD179" si="299">IF(NOT(ISBLANK(AE179)),"_","")</f>
        <v>_</v>
      </c>
      <c r="AE179" s="2" t="s">
        <v>24</v>
      </c>
      <c r="AF179" s="2" t="str">
        <f t="shared" ref="AF179" si="300">IF(NOT(ISBLANK(AG179)),"_","")</f>
        <v>_</v>
      </c>
      <c r="AG179" s="28" t="s">
        <v>76</v>
      </c>
      <c r="AH179" s="2" t="str">
        <f t="shared" ref="AH179" si="301">IF(NOT(ISBLANK(AI179)),"_","")</f>
        <v/>
      </c>
    </row>
    <row r="180" spans="2:34" x14ac:dyDescent="0.25">
      <c r="AA180" s="2"/>
      <c r="AB180" s="2"/>
      <c r="AC180" s="2"/>
      <c r="AD180" s="2"/>
      <c r="AE180" s="2"/>
    </row>
    <row r="181" spans="2:34" x14ac:dyDescent="0.25">
      <c r="B181" s="2" t="str">
        <f t="shared" ref="B181:B184" si="302">_xlfn.CONCAT("@",AA181,AB181,AC181,AD181,AE181,AF181,AG181,AH181,AI181)</f>
        <v>@line_width-cycleway_unpaved_z12</v>
      </c>
      <c r="C181" s="28" t="s">
        <v>112</v>
      </c>
      <c r="D181" s="28" t="s">
        <v>112</v>
      </c>
      <c r="F181" s="28" t="s">
        <v>112</v>
      </c>
      <c r="G181" s="28" t="s">
        <v>112</v>
      </c>
      <c r="I181" s="28" t="s">
        <v>126</v>
      </c>
      <c r="J181" s="28" t="s">
        <v>126</v>
      </c>
      <c r="L181" s="28" t="s">
        <v>126</v>
      </c>
      <c r="M181" s="28" t="s">
        <v>126</v>
      </c>
      <c r="U181" s="28" t="s">
        <v>84</v>
      </c>
      <c r="V181" s="28" t="s">
        <v>84</v>
      </c>
      <c r="X181" s="28" t="s">
        <v>84</v>
      </c>
      <c r="Y181" s="28" t="s">
        <v>84</v>
      </c>
      <c r="AA181" s="2" t="s">
        <v>119</v>
      </c>
      <c r="AB181" s="2" t="str">
        <f t="shared" ref="AB181:AB184" si="303">IF(NOT(ISBLANK(AC181)),"-","")</f>
        <v>-</v>
      </c>
      <c r="AC181" s="2" t="s">
        <v>12</v>
      </c>
      <c r="AD181" s="2" t="str">
        <f t="shared" ref="AD181:AD184" si="304">IF(NOT(ISBLANK(AE181)),"_","")</f>
        <v>_</v>
      </c>
      <c r="AE181" s="2" t="s">
        <v>21</v>
      </c>
      <c r="AF181" s="2" t="str">
        <f t="shared" ref="AF181:AF184" si="305">IF(NOT(ISBLANK(AG181)),"_","")</f>
        <v>_</v>
      </c>
      <c r="AG181" s="28" t="s">
        <v>109</v>
      </c>
      <c r="AH181" s="2" t="str">
        <f t="shared" ref="AH181:AH184" si="306">IF(NOT(ISBLANK(AI181)),"_","")</f>
        <v/>
      </c>
    </row>
    <row r="182" spans="2:34" x14ac:dyDescent="0.25">
      <c r="B182" s="2" t="str">
        <f t="shared" si="302"/>
        <v>@line_width-cycleway_unpaved_z14</v>
      </c>
      <c r="C182" s="28" t="s">
        <v>126</v>
      </c>
      <c r="D182" s="28" t="s">
        <v>344</v>
      </c>
      <c r="F182" s="28" t="s">
        <v>126</v>
      </c>
      <c r="G182" s="28" t="s">
        <v>344</v>
      </c>
      <c r="I182" s="28" t="s">
        <v>351</v>
      </c>
      <c r="J182" s="28" t="s">
        <v>352</v>
      </c>
      <c r="L182" s="28" t="s">
        <v>351</v>
      </c>
      <c r="M182" s="28" t="s">
        <v>352</v>
      </c>
      <c r="U182" s="28" t="s">
        <v>123</v>
      </c>
      <c r="V182" s="28" t="s">
        <v>90</v>
      </c>
      <c r="X182" s="28" t="s">
        <v>123</v>
      </c>
      <c r="Y182" s="28" t="s">
        <v>90</v>
      </c>
      <c r="AA182" s="2" t="s">
        <v>119</v>
      </c>
      <c r="AB182" s="2" t="str">
        <f t="shared" si="303"/>
        <v>-</v>
      </c>
      <c r="AC182" s="2" t="s">
        <v>12</v>
      </c>
      <c r="AD182" s="2" t="str">
        <f t="shared" si="304"/>
        <v>_</v>
      </c>
      <c r="AE182" s="2" t="s">
        <v>21</v>
      </c>
      <c r="AF182" s="2" t="str">
        <f t="shared" si="305"/>
        <v>_</v>
      </c>
      <c r="AG182" s="28" t="s">
        <v>74</v>
      </c>
      <c r="AH182" s="2" t="str">
        <f t="shared" si="306"/>
        <v/>
      </c>
    </row>
    <row r="183" spans="2:34" x14ac:dyDescent="0.25">
      <c r="B183" s="2" t="str">
        <f t="shared" si="302"/>
        <v>@line_width-cycleway_unpaved_z16</v>
      </c>
      <c r="C183" s="28" t="s">
        <v>128</v>
      </c>
      <c r="D183" s="28" t="s">
        <v>86</v>
      </c>
      <c r="F183" s="28" t="s">
        <v>128</v>
      </c>
      <c r="G183" s="28" t="s">
        <v>86</v>
      </c>
      <c r="I183" s="28" t="s">
        <v>127</v>
      </c>
      <c r="J183" s="28" t="s">
        <v>91</v>
      </c>
      <c r="L183" s="28" t="s">
        <v>127</v>
      </c>
      <c r="M183" s="28" t="s">
        <v>91</v>
      </c>
      <c r="U183" s="28" t="s">
        <v>88</v>
      </c>
      <c r="V183" s="28" t="s">
        <v>92</v>
      </c>
      <c r="X183" s="28" t="s">
        <v>88</v>
      </c>
      <c r="Y183" s="28" t="s">
        <v>92</v>
      </c>
      <c r="AA183" s="2" t="s">
        <v>119</v>
      </c>
      <c r="AB183" s="2" t="str">
        <f t="shared" si="303"/>
        <v>-</v>
      </c>
      <c r="AC183" s="2" t="s">
        <v>12</v>
      </c>
      <c r="AD183" s="2" t="str">
        <f t="shared" si="304"/>
        <v>_</v>
      </c>
      <c r="AE183" s="2" t="s">
        <v>21</v>
      </c>
      <c r="AF183" s="2" t="str">
        <f t="shared" si="305"/>
        <v>_</v>
      </c>
      <c r="AG183" s="28" t="s">
        <v>75</v>
      </c>
      <c r="AH183" s="2" t="str">
        <f t="shared" si="306"/>
        <v/>
      </c>
    </row>
    <row r="184" spans="2:34" x14ac:dyDescent="0.25">
      <c r="B184" s="2" t="str">
        <f t="shared" si="302"/>
        <v>@line_width-cycleway_unpaved_z18</v>
      </c>
      <c r="C184" s="28" t="s">
        <v>87</v>
      </c>
      <c r="D184" s="28" t="s">
        <v>89</v>
      </c>
      <c r="F184" s="28" t="s">
        <v>87</v>
      </c>
      <c r="G184" s="28" t="s">
        <v>89</v>
      </c>
      <c r="I184" s="28" t="s">
        <v>135</v>
      </c>
      <c r="J184" s="28" t="s">
        <v>145</v>
      </c>
      <c r="L184" s="28" t="s">
        <v>135</v>
      </c>
      <c r="M184" s="28" t="s">
        <v>145</v>
      </c>
      <c r="U184" s="28" t="s">
        <v>86</v>
      </c>
      <c r="V184" s="28" t="s">
        <v>341</v>
      </c>
      <c r="X184" s="28" t="s">
        <v>86</v>
      </c>
      <c r="Y184" s="28" t="s">
        <v>341</v>
      </c>
      <c r="AA184" s="2" t="s">
        <v>119</v>
      </c>
      <c r="AB184" s="2" t="str">
        <f t="shared" si="303"/>
        <v>-</v>
      </c>
      <c r="AC184" s="2" t="s">
        <v>12</v>
      </c>
      <c r="AD184" s="2" t="str">
        <f t="shared" si="304"/>
        <v>_</v>
      </c>
      <c r="AE184" s="2" t="s">
        <v>21</v>
      </c>
      <c r="AF184" s="2" t="str">
        <f t="shared" si="305"/>
        <v>_</v>
      </c>
      <c r="AG184" s="28" t="s">
        <v>76</v>
      </c>
      <c r="AH184" s="2" t="str">
        <f t="shared" si="306"/>
        <v/>
      </c>
    </row>
    <row r="185" spans="2:34" x14ac:dyDescent="0.25">
      <c r="AA185" s="2"/>
      <c r="AB185" s="2"/>
      <c r="AC185" s="2"/>
      <c r="AD185" s="2"/>
      <c r="AE185" s="2"/>
    </row>
    <row r="186" spans="2:34" x14ac:dyDescent="0.25">
      <c r="B186" s="2" t="str">
        <f t="shared" ref="B186:B189" si="307">_xlfn.CONCAT("@",AA186,AB186,AC186,AD186,AE186,AF186,AG186,AH186,AI186)</f>
        <v>@line_width-footway_default_z12</v>
      </c>
      <c r="C186" s="28" t="s">
        <v>96</v>
      </c>
      <c r="D186" s="28" t="s">
        <v>116</v>
      </c>
      <c r="F186" s="28" t="s">
        <v>96</v>
      </c>
      <c r="G186" s="28" t="s">
        <v>116</v>
      </c>
      <c r="I186" s="28" t="s">
        <v>96</v>
      </c>
      <c r="J186" s="28" t="s">
        <v>116</v>
      </c>
      <c r="L186" s="28" t="s">
        <v>96</v>
      </c>
      <c r="M186" s="28" t="s">
        <v>116</v>
      </c>
      <c r="U186" s="28" t="s">
        <v>96</v>
      </c>
      <c r="V186" s="28" t="s">
        <v>116</v>
      </c>
      <c r="X186" s="28" t="s">
        <v>96</v>
      </c>
      <c r="Y186" s="28" t="s">
        <v>116</v>
      </c>
      <c r="AA186" s="2" t="s">
        <v>119</v>
      </c>
      <c r="AB186" s="2" t="str">
        <f t="shared" ref="AB186:AB189" si="308">IF(NOT(ISBLANK(AC186)),"-","")</f>
        <v>-</v>
      </c>
      <c r="AC186" s="2" t="s">
        <v>34</v>
      </c>
      <c r="AD186" s="2" t="str">
        <f t="shared" ref="AD186:AD189" si="309">IF(NOT(ISBLANK(AE186)),"_","")</f>
        <v>_</v>
      </c>
      <c r="AE186" s="2" t="s">
        <v>262</v>
      </c>
      <c r="AF186" s="2" t="str">
        <f t="shared" ref="AF186:AF189" si="310">IF(NOT(ISBLANK(AG186)),"_","")</f>
        <v>_</v>
      </c>
      <c r="AG186" s="28" t="s">
        <v>109</v>
      </c>
      <c r="AH186" s="2" t="str">
        <f t="shared" ref="AH186:AH189" si="311">IF(NOT(ISBLANK(AI186)),"_","")</f>
        <v/>
      </c>
    </row>
    <row r="187" spans="2:34" x14ac:dyDescent="0.25">
      <c r="B187" s="2" t="str">
        <f t="shared" si="307"/>
        <v>@line_width-footway_default_z14</v>
      </c>
      <c r="C187" s="28" t="s">
        <v>84</v>
      </c>
      <c r="D187" s="28" t="s">
        <v>90</v>
      </c>
      <c r="F187" s="28" t="s">
        <v>84</v>
      </c>
      <c r="G187" s="28" t="s">
        <v>90</v>
      </c>
      <c r="I187" s="28" t="s">
        <v>84</v>
      </c>
      <c r="J187" s="28" t="s">
        <v>90</v>
      </c>
      <c r="L187" s="28" t="s">
        <v>84</v>
      </c>
      <c r="M187" s="28" t="s">
        <v>90</v>
      </c>
      <c r="U187" s="28" t="s">
        <v>84</v>
      </c>
      <c r="V187" s="28" t="s">
        <v>90</v>
      </c>
      <c r="X187" s="28" t="s">
        <v>84</v>
      </c>
      <c r="Y187" s="28" t="s">
        <v>90</v>
      </c>
      <c r="AA187" s="2" t="s">
        <v>119</v>
      </c>
      <c r="AB187" s="2" t="str">
        <f t="shared" si="308"/>
        <v>-</v>
      </c>
      <c r="AC187" s="2" t="s">
        <v>34</v>
      </c>
      <c r="AD187" s="2" t="str">
        <f t="shared" si="309"/>
        <v>_</v>
      </c>
      <c r="AE187" s="2" t="s">
        <v>262</v>
      </c>
      <c r="AF187" s="2" t="str">
        <f t="shared" si="310"/>
        <v>_</v>
      </c>
      <c r="AG187" s="28" t="s">
        <v>74</v>
      </c>
      <c r="AH187" s="2" t="str">
        <f t="shared" si="311"/>
        <v/>
      </c>
    </row>
    <row r="188" spans="2:34" x14ac:dyDescent="0.25">
      <c r="B188" s="2" t="str">
        <f t="shared" si="307"/>
        <v>@line_width-footway_default_z16</v>
      </c>
      <c r="C188" s="28" t="s">
        <v>90</v>
      </c>
      <c r="D188" s="28" t="s">
        <v>92</v>
      </c>
      <c r="F188" s="28" t="s">
        <v>90</v>
      </c>
      <c r="G188" s="28" t="s">
        <v>92</v>
      </c>
      <c r="I188" s="28" t="s">
        <v>90</v>
      </c>
      <c r="J188" s="28" t="s">
        <v>92</v>
      </c>
      <c r="L188" s="28" t="s">
        <v>90</v>
      </c>
      <c r="M188" s="28" t="s">
        <v>92</v>
      </c>
      <c r="U188" s="28" t="s">
        <v>90</v>
      </c>
      <c r="V188" s="28" t="s">
        <v>92</v>
      </c>
      <c r="X188" s="28" t="s">
        <v>90</v>
      </c>
      <c r="Y188" s="28" t="s">
        <v>92</v>
      </c>
      <c r="AA188" s="2" t="s">
        <v>119</v>
      </c>
      <c r="AB188" s="2" t="str">
        <f t="shared" si="308"/>
        <v>-</v>
      </c>
      <c r="AC188" s="2" t="s">
        <v>34</v>
      </c>
      <c r="AD188" s="2" t="str">
        <f t="shared" si="309"/>
        <v>_</v>
      </c>
      <c r="AE188" s="2" t="s">
        <v>262</v>
      </c>
      <c r="AF188" s="2" t="str">
        <f t="shared" si="310"/>
        <v>_</v>
      </c>
      <c r="AG188" s="28" t="s">
        <v>75</v>
      </c>
      <c r="AH188" s="2" t="str">
        <f t="shared" si="311"/>
        <v/>
      </c>
    </row>
    <row r="189" spans="2:34" x14ac:dyDescent="0.25">
      <c r="B189" s="2" t="str">
        <f t="shared" si="307"/>
        <v>@line_width-footway_default_z18</v>
      </c>
      <c r="C189" s="28" t="s">
        <v>92</v>
      </c>
      <c r="D189" s="28" t="s">
        <v>86</v>
      </c>
      <c r="F189" s="28" t="s">
        <v>92</v>
      </c>
      <c r="G189" s="28" t="s">
        <v>86</v>
      </c>
      <c r="I189" s="28" t="s">
        <v>92</v>
      </c>
      <c r="J189" s="28" t="s">
        <v>86</v>
      </c>
      <c r="L189" s="28" t="s">
        <v>92</v>
      </c>
      <c r="M189" s="28" t="s">
        <v>86</v>
      </c>
      <c r="U189" s="28" t="s">
        <v>92</v>
      </c>
      <c r="V189" s="28" t="s">
        <v>86</v>
      </c>
      <c r="X189" s="28" t="s">
        <v>92</v>
      </c>
      <c r="Y189" s="28" t="s">
        <v>86</v>
      </c>
      <c r="AA189" s="2" t="s">
        <v>119</v>
      </c>
      <c r="AB189" s="2" t="str">
        <f t="shared" si="308"/>
        <v>-</v>
      </c>
      <c r="AC189" s="2" t="s">
        <v>34</v>
      </c>
      <c r="AD189" s="2" t="str">
        <f t="shared" si="309"/>
        <v>_</v>
      </c>
      <c r="AE189" s="2" t="s">
        <v>262</v>
      </c>
      <c r="AF189" s="2" t="str">
        <f t="shared" si="310"/>
        <v>_</v>
      </c>
      <c r="AG189" s="28" t="s">
        <v>76</v>
      </c>
      <c r="AH189" s="2" t="str">
        <f t="shared" si="311"/>
        <v/>
      </c>
    </row>
    <row r="190" spans="2:34" x14ac:dyDescent="0.25">
      <c r="AA190" s="2"/>
      <c r="AB190" s="2"/>
      <c r="AC190" s="2"/>
      <c r="AD190" s="2"/>
      <c r="AE190" s="2"/>
    </row>
    <row r="191" spans="2:34" x14ac:dyDescent="0.25">
      <c r="B191" s="2" t="str">
        <f t="shared" ref="B191:B194" si="312">_xlfn.CONCAT("@",AA191,AB191,AC191,AD191,AE191,AF191,AG191,AH191,AI191)</f>
        <v>@line_offset-footway_left_z12</v>
      </c>
      <c r="C191" s="28" t="s">
        <v>363</v>
      </c>
      <c r="D191" s="28" t="s">
        <v>364</v>
      </c>
      <c r="F191" s="28" t="s">
        <v>363</v>
      </c>
      <c r="G191" s="28" t="s">
        <v>364</v>
      </c>
      <c r="I191" s="28" t="s">
        <v>363</v>
      </c>
      <c r="J191" s="28" t="s">
        <v>364</v>
      </c>
      <c r="L191" s="28" t="s">
        <v>363</v>
      </c>
      <c r="M191" s="28" t="s">
        <v>364</v>
      </c>
      <c r="U191" s="28" t="s">
        <v>363</v>
      </c>
      <c r="V191" s="28" t="s">
        <v>364</v>
      </c>
      <c r="X191" s="28" t="s">
        <v>363</v>
      </c>
      <c r="Y191" s="28" t="s">
        <v>364</v>
      </c>
      <c r="AA191" s="2" t="s">
        <v>355</v>
      </c>
      <c r="AB191" s="2" t="str">
        <f t="shared" ref="AB191:AB194" si="313">IF(NOT(ISBLANK(AC191)),"-","")</f>
        <v>-</v>
      </c>
      <c r="AC191" s="2" t="s">
        <v>34</v>
      </c>
      <c r="AD191" s="2" t="str">
        <f t="shared" ref="AD191:AD194" si="314">IF(NOT(ISBLANK(AE191)),"_","")</f>
        <v>_</v>
      </c>
      <c r="AE191" s="2" t="s">
        <v>356</v>
      </c>
      <c r="AF191" s="2" t="str">
        <f t="shared" ref="AF191:AF194" si="315">IF(NOT(ISBLANK(AG191)),"_","")</f>
        <v>_</v>
      </c>
      <c r="AG191" s="28" t="s">
        <v>109</v>
      </c>
      <c r="AH191" s="2" t="str">
        <f t="shared" ref="AH191:AH194" si="316">IF(NOT(ISBLANK(AI191)),"_","")</f>
        <v/>
      </c>
    </row>
    <row r="192" spans="2:34" x14ac:dyDescent="0.25">
      <c r="B192" s="2" t="str">
        <f t="shared" si="312"/>
        <v>@line_offset-footway_left_z14</v>
      </c>
      <c r="C192" s="28" t="s">
        <v>359</v>
      </c>
      <c r="D192" s="28" t="s">
        <v>360</v>
      </c>
      <c r="F192" s="28" t="s">
        <v>359</v>
      </c>
      <c r="G192" s="28" t="s">
        <v>360</v>
      </c>
      <c r="I192" s="28" t="s">
        <v>359</v>
      </c>
      <c r="J192" s="28" t="s">
        <v>360</v>
      </c>
      <c r="L192" s="28" t="s">
        <v>359</v>
      </c>
      <c r="M192" s="28" t="s">
        <v>360</v>
      </c>
      <c r="U192" s="28" t="s">
        <v>359</v>
      </c>
      <c r="V192" s="28" t="s">
        <v>360</v>
      </c>
      <c r="X192" s="28" t="s">
        <v>359</v>
      </c>
      <c r="Y192" s="28" t="s">
        <v>360</v>
      </c>
      <c r="AA192" s="2" t="s">
        <v>355</v>
      </c>
      <c r="AB192" s="2" t="str">
        <f t="shared" si="313"/>
        <v>-</v>
      </c>
      <c r="AC192" s="2" t="s">
        <v>34</v>
      </c>
      <c r="AD192" s="2" t="str">
        <f t="shared" si="314"/>
        <v>_</v>
      </c>
      <c r="AE192" s="2" t="s">
        <v>356</v>
      </c>
      <c r="AF192" s="2" t="str">
        <f t="shared" si="315"/>
        <v>_</v>
      </c>
      <c r="AG192" s="28" t="s">
        <v>74</v>
      </c>
      <c r="AH192" s="2" t="str">
        <f t="shared" si="316"/>
        <v/>
      </c>
    </row>
    <row r="193" spans="1:35" x14ac:dyDescent="0.25">
      <c r="B193" s="2" t="str">
        <f t="shared" si="312"/>
        <v>@line_offset-footway_left_z16</v>
      </c>
      <c r="C193" s="28" t="s">
        <v>358</v>
      </c>
      <c r="D193" s="28" t="s">
        <v>361</v>
      </c>
      <c r="F193" s="28" t="s">
        <v>358</v>
      </c>
      <c r="G193" s="28" t="s">
        <v>361</v>
      </c>
      <c r="I193" s="28" t="s">
        <v>358</v>
      </c>
      <c r="J193" s="28" t="s">
        <v>361</v>
      </c>
      <c r="L193" s="28" t="s">
        <v>358</v>
      </c>
      <c r="M193" s="28" t="s">
        <v>361</v>
      </c>
      <c r="U193" s="28" t="s">
        <v>358</v>
      </c>
      <c r="V193" s="28" t="s">
        <v>361</v>
      </c>
      <c r="X193" s="28" t="s">
        <v>358</v>
      </c>
      <c r="Y193" s="28" t="s">
        <v>361</v>
      </c>
      <c r="AA193" s="2" t="s">
        <v>355</v>
      </c>
      <c r="AB193" s="2" t="str">
        <f t="shared" si="313"/>
        <v>-</v>
      </c>
      <c r="AC193" s="2" t="s">
        <v>34</v>
      </c>
      <c r="AD193" s="2" t="str">
        <f t="shared" si="314"/>
        <v>_</v>
      </c>
      <c r="AE193" s="2" t="s">
        <v>356</v>
      </c>
      <c r="AF193" s="2" t="str">
        <f t="shared" si="315"/>
        <v>_</v>
      </c>
      <c r="AG193" s="28" t="s">
        <v>75</v>
      </c>
      <c r="AH193" s="2" t="str">
        <f t="shared" si="316"/>
        <v/>
      </c>
    </row>
    <row r="194" spans="1:35" x14ac:dyDescent="0.25">
      <c r="B194" s="2" t="str">
        <f t="shared" si="312"/>
        <v>@line_offset-footway_left_z18</v>
      </c>
      <c r="C194" s="28" t="s">
        <v>357</v>
      </c>
      <c r="D194" s="28" t="s">
        <v>362</v>
      </c>
      <c r="F194" s="28" t="s">
        <v>357</v>
      </c>
      <c r="G194" s="28" t="s">
        <v>362</v>
      </c>
      <c r="I194" s="28" t="s">
        <v>357</v>
      </c>
      <c r="J194" s="28" t="s">
        <v>362</v>
      </c>
      <c r="L194" s="28" t="s">
        <v>357</v>
      </c>
      <c r="M194" s="28" t="s">
        <v>362</v>
      </c>
      <c r="U194" s="28" t="s">
        <v>357</v>
      </c>
      <c r="V194" s="28" t="s">
        <v>362</v>
      </c>
      <c r="X194" s="28" t="s">
        <v>357</v>
      </c>
      <c r="Y194" s="28" t="s">
        <v>362</v>
      </c>
      <c r="AA194" s="2" t="s">
        <v>355</v>
      </c>
      <c r="AB194" s="2" t="str">
        <f t="shared" si="313"/>
        <v>-</v>
      </c>
      <c r="AC194" s="2" t="s">
        <v>34</v>
      </c>
      <c r="AD194" s="2" t="str">
        <f t="shared" si="314"/>
        <v>_</v>
      </c>
      <c r="AE194" s="2" t="s">
        <v>356</v>
      </c>
      <c r="AF194" s="2" t="str">
        <f t="shared" si="315"/>
        <v>_</v>
      </c>
      <c r="AG194" s="28" t="s">
        <v>76</v>
      </c>
      <c r="AH194" s="2" t="str">
        <f t="shared" si="316"/>
        <v/>
      </c>
    </row>
    <row r="195" spans="1:35" x14ac:dyDescent="0.25">
      <c r="AA195" s="2"/>
      <c r="AB195" s="2"/>
      <c r="AC195" s="2"/>
      <c r="AD195" s="2"/>
      <c r="AE195" s="2"/>
    </row>
    <row r="196" spans="1:35" x14ac:dyDescent="0.25">
      <c r="B196" s="2" t="str">
        <f t="shared" ref="B196:B199" si="317">_xlfn.CONCAT("@",AA196,AB196,AC196,AD196,AE196,AF196,AG196,AH196,AI196)</f>
        <v>@line_offset-footway_right_z12</v>
      </c>
      <c r="C196" s="28" t="s">
        <v>84</v>
      </c>
      <c r="D196" s="28" t="s">
        <v>85</v>
      </c>
      <c r="F196" s="28" t="s">
        <v>363</v>
      </c>
      <c r="G196" s="28" t="s">
        <v>364</v>
      </c>
      <c r="I196" s="28" t="s">
        <v>363</v>
      </c>
      <c r="J196" s="28" t="s">
        <v>364</v>
      </c>
      <c r="L196" s="28" t="s">
        <v>363</v>
      </c>
      <c r="M196" s="28" t="s">
        <v>364</v>
      </c>
      <c r="U196" s="28" t="s">
        <v>84</v>
      </c>
      <c r="V196" s="28" t="s">
        <v>85</v>
      </c>
      <c r="X196" s="28" t="s">
        <v>363</v>
      </c>
      <c r="Y196" s="28" t="s">
        <v>364</v>
      </c>
      <c r="AA196" s="2" t="s">
        <v>355</v>
      </c>
      <c r="AB196" s="2" t="str">
        <f t="shared" ref="AB196:AB199" si="318">IF(NOT(ISBLANK(AC196)),"-","")</f>
        <v>-</v>
      </c>
      <c r="AC196" s="2" t="s">
        <v>34</v>
      </c>
      <c r="AD196" s="2" t="str">
        <f t="shared" ref="AD196:AD199" si="319">IF(NOT(ISBLANK(AE196)),"_","")</f>
        <v>_</v>
      </c>
      <c r="AE196" s="2" t="s">
        <v>365</v>
      </c>
      <c r="AF196" s="2" t="str">
        <f t="shared" ref="AF196:AF199" si="320">IF(NOT(ISBLANK(AG196)),"_","")</f>
        <v>_</v>
      </c>
      <c r="AG196" s="28" t="s">
        <v>109</v>
      </c>
      <c r="AH196" s="2" t="str">
        <f t="shared" ref="AH196:AH199" si="321">IF(NOT(ISBLANK(AI196)),"_","")</f>
        <v/>
      </c>
    </row>
    <row r="197" spans="1:35" x14ac:dyDescent="0.25">
      <c r="B197" s="2" t="str">
        <f t="shared" si="317"/>
        <v>@line_offset-footway_right_z14</v>
      </c>
      <c r="C197" s="28" t="s">
        <v>88</v>
      </c>
      <c r="D197" s="28" t="s">
        <v>92</v>
      </c>
      <c r="F197" s="28" t="s">
        <v>359</v>
      </c>
      <c r="G197" s="28" t="s">
        <v>360</v>
      </c>
      <c r="I197" s="28" t="s">
        <v>359</v>
      </c>
      <c r="J197" s="28" t="s">
        <v>360</v>
      </c>
      <c r="L197" s="28" t="s">
        <v>359</v>
      </c>
      <c r="M197" s="28" t="s">
        <v>360</v>
      </c>
      <c r="U197" s="28" t="s">
        <v>88</v>
      </c>
      <c r="V197" s="28" t="s">
        <v>92</v>
      </c>
      <c r="X197" s="28" t="s">
        <v>359</v>
      </c>
      <c r="Y197" s="28" t="s">
        <v>360</v>
      </c>
      <c r="AA197" s="2" t="s">
        <v>355</v>
      </c>
      <c r="AB197" s="2" t="str">
        <f t="shared" si="318"/>
        <v>-</v>
      </c>
      <c r="AC197" s="2" t="s">
        <v>34</v>
      </c>
      <c r="AD197" s="2" t="str">
        <f t="shared" si="319"/>
        <v>_</v>
      </c>
      <c r="AE197" s="2" t="s">
        <v>365</v>
      </c>
      <c r="AF197" s="2" t="str">
        <f t="shared" si="320"/>
        <v>_</v>
      </c>
      <c r="AG197" s="28" t="s">
        <v>74</v>
      </c>
      <c r="AH197" s="2" t="str">
        <f t="shared" si="321"/>
        <v/>
      </c>
    </row>
    <row r="198" spans="1:35" x14ac:dyDescent="0.25">
      <c r="B198" s="2" t="str">
        <f t="shared" si="317"/>
        <v>@line_offset-footway_right_z16</v>
      </c>
      <c r="C198" s="28" t="s">
        <v>134</v>
      </c>
      <c r="D198" s="28" t="s">
        <v>327</v>
      </c>
      <c r="F198" s="28" t="s">
        <v>358</v>
      </c>
      <c r="G198" s="28" t="s">
        <v>361</v>
      </c>
      <c r="I198" s="28" t="s">
        <v>358</v>
      </c>
      <c r="J198" s="28" t="s">
        <v>361</v>
      </c>
      <c r="L198" s="28" t="s">
        <v>358</v>
      </c>
      <c r="M198" s="28" t="s">
        <v>361</v>
      </c>
      <c r="U198" s="28" t="s">
        <v>134</v>
      </c>
      <c r="V198" s="28" t="s">
        <v>327</v>
      </c>
      <c r="X198" s="28" t="s">
        <v>358</v>
      </c>
      <c r="Y198" s="28" t="s">
        <v>361</v>
      </c>
      <c r="AA198" s="2" t="s">
        <v>355</v>
      </c>
      <c r="AB198" s="2" t="str">
        <f t="shared" si="318"/>
        <v>-</v>
      </c>
      <c r="AC198" s="2" t="s">
        <v>34</v>
      </c>
      <c r="AD198" s="2" t="str">
        <f t="shared" si="319"/>
        <v>_</v>
      </c>
      <c r="AE198" s="2" t="s">
        <v>365</v>
      </c>
      <c r="AF198" s="2" t="str">
        <f t="shared" si="320"/>
        <v>_</v>
      </c>
      <c r="AG198" s="28" t="s">
        <v>75</v>
      </c>
      <c r="AH198" s="2" t="str">
        <f t="shared" si="321"/>
        <v/>
      </c>
    </row>
    <row r="199" spans="1:35" x14ac:dyDescent="0.25">
      <c r="B199" s="2" t="str">
        <f t="shared" si="317"/>
        <v>@line_offset-footway_right_z18</v>
      </c>
      <c r="C199" s="28" t="s">
        <v>366</v>
      </c>
      <c r="D199" s="28" t="s">
        <v>339</v>
      </c>
      <c r="F199" s="28" t="s">
        <v>357</v>
      </c>
      <c r="G199" s="28" t="s">
        <v>362</v>
      </c>
      <c r="I199" s="28" t="s">
        <v>357</v>
      </c>
      <c r="J199" s="28" t="s">
        <v>362</v>
      </c>
      <c r="L199" s="28" t="s">
        <v>357</v>
      </c>
      <c r="M199" s="28" t="s">
        <v>362</v>
      </c>
      <c r="U199" s="28" t="s">
        <v>366</v>
      </c>
      <c r="V199" s="28" t="s">
        <v>339</v>
      </c>
      <c r="X199" s="28" t="s">
        <v>357</v>
      </c>
      <c r="Y199" s="28" t="s">
        <v>362</v>
      </c>
      <c r="AA199" s="2" t="s">
        <v>355</v>
      </c>
      <c r="AB199" s="2" t="str">
        <f t="shared" si="318"/>
        <v>-</v>
      </c>
      <c r="AC199" s="2" t="s">
        <v>34</v>
      </c>
      <c r="AD199" s="2" t="str">
        <f t="shared" si="319"/>
        <v>_</v>
      </c>
      <c r="AE199" s="2" t="s">
        <v>365</v>
      </c>
      <c r="AF199" s="2" t="str">
        <f t="shared" si="320"/>
        <v>_</v>
      </c>
      <c r="AG199" s="28" t="s">
        <v>76</v>
      </c>
      <c r="AH199" s="2" t="str">
        <f t="shared" si="321"/>
        <v/>
      </c>
    </row>
    <row r="200" spans="1:35" x14ac:dyDescent="0.25">
      <c r="B200" s="2"/>
      <c r="AA200" s="2"/>
      <c r="AB200" s="2"/>
      <c r="AC200" s="2"/>
      <c r="AD200" s="2"/>
      <c r="AE200" s="2"/>
    </row>
    <row r="201" spans="1:35" x14ac:dyDescent="0.25">
      <c r="B201" s="2" t="str">
        <f t="shared" ref="B201:B202" si="322">_xlfn.CONCAT("@",AA201,AB201,AC201,AD201,AE201,AF201,AG201,AH201,AI201)</f>
        <v>@dasharray-cycleway_paved_default_dash</v>
      </c>
      <c r="C201" s="28" t="s">
        <v>86</v>
      </c>
      <c r="D201" s="28" t="s">
        <v>86</v>
      </c>
      <c r="F201" s="28" t="s">
        <v>86</v>
      </c>
      <c r="G201" s="28" t="s">
        <v>86</v>
      </c>
      <c r="I201" s="28" t="s">
        <v>86</v>
      </c>
      <c r="J201" s="28" t="s">
        <v>86</v>
      </c>
      <c r="L201" s="28" t="s">
        <v>86</v>
      </c>
      <c r="M201" s="28" t="s">
        <v>86</v>
      </c>
      <c r="U201" s="28" t="s">
        <v>86</v>
      </c>
      <c r="V201" s="28" t="s">
        <v>86</v>
      </c>
      <c r="X201" s="28" t="s">
        <v>86</v>
      </c>
      <c r="Y201" s="28" t="s">
        <v>86</v>
      </c>
      <c r="AA201" s="2" t="s">
        <v>385</v>
      </c>
      <c r="AB201" s="2" t="str">
        <f t="shared" ref="AB201" si="323">IF(NOT(ISBLANK(AC201)),"-","")</f>
        <v>-</v>
      </c>
      <c r="AC201" s="2" t="s">
        <v>12</v>
      </c>
      <c r="AD201" s="2" t="str">
        <f t="shared" ref="AD201" si="324">IF(NOT(ISBLANK(AE201)),"_","")</f>
        <v>_</v>
      </c>
      <c r="AE201" s="2" t="s">
        <v>398</v>
      </c>
      <c r="AF201" s="2" t="str">
        <f t="shared" ref="AF201" si="325">IF(NOT(ISBLANK(AG201)),"_","")</f>
        <v>_</v>
      </c>
      <c r="AG201" s="28" t="s">
        <v>262</v>
      </c>
      <c r="AH201" s="2" t="str">
        <f t="shared" ref="AH201:AH202" si="326">IF(NOT(ISBLANK(AI201)),"_","")</f>
        <v>_</v>
      </c>
      <c r="AI201" s="28" t="s">
        <v>387</v>
      </c>
    </row>
    <row r="202" spans="1:35" x14ac:dyDescent="0.25">
      <c r="B202" s="2" t="str">
        <f t="shared" si="322"/>
        <v>@dasharray-cycleway_paved_default_gap</v>
      </c>
      <c r="C202" s="28" t="s">
        <v>84</v>
      </c>
      <c r="D202" s="28" t="s">
        <v>84</v>
      </c>
      <c r="F202" s="28" t="s">
        <v>84</v>
      </c>
      <c r="G202" s="28" t="s">
        <v>84</v>
      </c>
      <c r="I202" s="28" t="s">
        <v>84</v>
      </c>
      <c r="J202" s="28" t="s">
        <v>84</v>
      </c>
      <c r="L202" s="28" t="s">
        <v>84</v>
      </c>
      <c r="M202" s="28" t="s">
        <v>84</v>
      </c>
      <c r="U202" s="28" t="s">
        <v>84</v>
      </c>
      <c r="V202" s="28" t="s">
        <v>84</v>
      </c>
      <c r="X202" s="28" t="s">
        <v>84</v>
      </c>
      <c r="Y202" s="28" t="s">
        <v>84</v>
      </c>
      <c r="AA202" s="2" t="s">
        <v>385</v>
      </c>
      <c r="AB202" s="2" t="str">
        <f t="shared" ref="AB202:AB203" si="327">IF(NOT(ISBLANK(AC202)),"-","")</f>
        <v>-</v>
      </c>
      <c r="AC202" s="2" t="s">
        <v>12</v>
      </c>
      <c r="AD202" s="2" t="str">
        <f t="shared" ref="AD202:AD203" si="328">IF(NOT(ISBLANK(AE202)),"_","")</f>
        <v>_</v>
      </c>
      <c r="AE202" s="2" t="s">
        <v>398</v>
      </c>
      <c r="AF202" s="2" t="str">
        <f t="shared" ref="AF202:AF203" si="329">IF(NOT(ISBLANK(AG202)),"_","")</f>
        <v>_</v>
      </c>
      <c r="AG202" s="28" t="s">
        <v>262</v>
      </c>
      <c r="AH202" s="2" t="str">
        <f t="shared" si="326"/>
        <v>_</v>
      </c>
      <c r="AI202" s="28" t="s">
        <v>388</v>
      </c>
    </row>
    <row r="203" spans="1:35" x14ac:dyDescent="0.25">
      <c r="B203" s="2" t="str">
        <f t="shared" ref="B203:B204" si="330">_xlfn.CONCAT("@",AA203,AB203,AC203,AD203,AE203,AF203,AG203,AH203,AI203)</f>
        <v>@dasharray-cycleway_unpaved_default_dash</v>
      </c>
      <c r="C203" s="28" t="s">
        <v>80</v>
      </c>
      <c r="D203" s="28" t="s">
        <v>80</v>
      </c>
      <c r="F203" s="28" t="s">
        <v>80</v>
      </c>
      <c r="G203" s="28" t="s">
        <v>80</v>
      </c>
      <c r="I203" s="28" t="s">
        <v>80</v>
      </c>
      <c r="J203" s="28" t="s">
        <v>80</v>
      </c>
      <c r="L203" s="28" t="s">
        <v>80</v>
      </c>
      <c r="M203" s="28" t="s">
        <v>80</v>
      </c>
      <c r="U203" s="28" t="s">
        <v>86</v>
      </c>
      <c r="V203" s="28" t="s">
        <v>86</v>
      </c>
      <c r="X203" s="28" t="s">
        <v>86</v>
      </c>
      <c r="Y203" s="28" t="s">
        <v>86</v>
      </c>
      <c r="AA203" s="2" t="s">
        <v>385</v>
      </c>
      <c r="AB203" s="2" t="str">
        <f t="shared" si="327"/>
        <v>-</v>
      </c>
      <c r="AC203" s="2" t="s">
        <v>12</v>
      </c>
      <c r="AD203" s="2" t="str">
        <f t="shared" si="328"/>
        <v>_</v>
      </c>
      <c r="AE203" s="2" t="s">
        <v>21</v>
      </c>
      <c r="AF203" s="2" t="str">
        <f t="shared" si="329"/>
        <v>_</v>
      </c>
      <c r="AG203" s="28" t="s">
        <v>262</v>
      </c>
      <c r="AH203" s="2" t="str">
        <f t="shared" ref="AH203:AH204" si="331">IF(NOT(ISBLANK(AI203)),"_","")</f>
        <v>_</v>
      </c>
      <c r="AI203" s="28" t="s">
        <v>387</v>
      </c>
    </row>
    <row r="204" spans="1:35" x14ac:dyDescent="0.25">
      <c r="B204" s="2" t="str">
        <f t="shared" si="330"/>
        <v>@dasharray-cycleway_unpaved_default_gap</v>
      </c>
      <c r="C204" s="28" t="s">
        <v>95</v>
      </c>
      <c r="D204" s="28" t="s">
        <v>95</v>
      </c>
      <c r="F204" s="28" t="s">
        <v>95</v>
      </c>
      <c r="G204" s="28" t="s">
        <v>95</v>
      </c>
      <c r="I204" s="28" t="s">
        <v>95</v>
      </c>
      <c r="J204" s="28" t="s">
        <v>95</v>
      </c>
      <c r="L204" s="28" t="s">
        <v>95</v>
      </c>
      <c r="M204" s="28" t="s">
        <v>95</v>
      </c>
      <c r="U204" s="28" t="s">
        <v>84</v>
      </c>
      <c r="V204" s="28" t="s">
        <v>84</v>
      </c>
      <c r="X204" s="28" t="s">
        <v>84</v>
      </c>
      <c r="Y204" s="28" t="s">
        <v>84</v>
      </c>
      <c r="AA204" s="2" t="s">
        <v>385</v>
      </c>
      <c r="AB204" s="2" t="str">
        <f t="shared" ref="AB204:AB205" si="332">IF(NOT(ISBLANK(AC204)),"-","")</f>
        <v>-</v>
      </c>
      <c r="AC204" s="2" t="s">
        <v>12</v>
      </c>
      <c r="AD204" s="2" t="str">
        <f t="shared" ref="AD204:AD205" si="333">IF(NOT(ISBLANK(AE204)),"_","")</f>
        <v>_</v>
      </c>
      <c r="AE204" s="2" t="s">
        <v>21</v>
      </c>
      <c r="AF204" s="2" t="str">
        <f t="shared" ref="AF204:AF205" si="334">IF(NOT(ISBLANK(AG204)),"_","")</f>
        <v>_</v>
      </c>
      <c r="AG204" s="28" t="s">
        <v>262</v>
      </c>
      <c r="AH204" s="2" t="str">
        <f t="shared" si="331"/>
        <v>_</v>
      </c>
      <c r="AI204" s="28" t="s">
        <v>388</v>
      </c>
    </row>
    <row r="205" spans="1:35" x14ac:dyDescent="0.25">
      <c r="B205" s="2" t="str">
        <f t="shared" ref="B205:B206" si="335">_xlfn.CONCAT("@",AA205,AB205,AC205,AD205,AE205,AF205,AG205,AH205,AI205)</f>
        <v>@dasharray-cycleway_unknown_default_dash</v>
      </c>
      <c r="C205" s="28" t="s">
        <v>90</v>
      </c>
      <c r="D205" s="28" t="s">
        <v>90</v>
      </c>
      <c r="F205" s="28" t="s">
        <v>90</v>
      </c>
      <c r="G205" s="28" t="s">
        <v>90</v>
      </c>
      <c r="I205" s="28" t="s">
        <v>90</v>
      </c>
      <c r="J205" s="28" t="s">
        <v>90</v>
      </c>
      <c r="L205" s="28" t="s">
        <v>90</v>
      </c>
      <c r="M205" s="28" t="s">
        <v>90</v>
      </c>
      <c r="U205" s="28" t="s">
        <v>86</v>
      </c>
      <c r="V205" s="28" t="s">
        <v>86</v>
      </c>
      <c r="X205" s="28" t="s">
        <v>86</v>
      </c>
      <c r="Y205" s="28" t="s">
        <v>86</v>
      </c>
      <c r="AA205" s="2" t="s">
        <v>385</v>
      </c>
      <c r="AB205" s="2" t="str">
        <f t="shared" si="332"/>
        <v>-</v>
      </c>
      <c r="AC205" s="2" t="s">
        <v>12</v>
      </c>
      <c r="AD205" s="2" t="str">
        <f t="shared" si="333"/>
        <v>_</v>
      </c>
      <c r="AE205" s="2" t="s">
        <v>399</v>
      </c>
      <c r="AF205" s="2" t="str">
        <f t="shared" si="334"/>
        <v>_</v>
      </c>
      <c r="AG205" s="28" t="s">
        <v>262</v>
      </c>
      <c r="AH205" s="2" t="str">
        <f t="shared" ref="AH205:AH206" si="336">IF(NOT(ISBLANK(AI205)),"_","")</f>
        <v>_</v>
      </c>
      <c r="AI205" s="28" t="s">
        <v>387</v>
      </c>
    </row>
    <row r="206" spans="1:35" x14ac:dyDescent="0.25">
      <c r="B206" s="2" t="str">
        <f t="shared" si="335"/>
        <v>@dasharray-cycleway_unknown_default_gap</v>
      </c>
      <c r="C206" s="28" t="s">
        <v>84</v>
      </c>
      <c r="D206" s="28" t="s">
        <v>84</v>
      </c>
      <c r="F206" s="28" t="s">
        <v>84</v>
      </c>
      <c r="G206" s="28" t="s">
        <v>84</v>
      </c>
      <c r="I206" s="28" t="s">
        <v>84</v>
      </c>
      <c r="J206" s="28" t="s">
        <v>84</v>
      </c>
      <c r="L206" s="28" t="s">
        <v>84</v>
      </c>
      <c r="M206" s="28" t="s">
        <v>84</v>
      </c>
      <c r="U206" s="28" t="s">
        <v>84</v>
      </c>
      <c r="V206" s="28" t="s">
        <v>84</v>
      </c>
      <c r="X206" s="28" t="s">
        <v>84</v>
      </c>
      <c r="Y206" s="28" t="s">
        <v>84</v>
      </c>
      <c r="AA206" s="2" t="s">
        <v>385</v>
      </c>
      <c r="AB206" s="2" t="str">
        <f t="shared" ref="AB206" si="337">IF(NOT(ISBLANK(AC206)),"-","")</f>
        <v>-</v>
      </c>
      <c r="AC206" s="2" t="s">
        <v>12</v>
      </c>
      <c r="AD206" s="2" t="str">
        <f t="shared" ref="AD206" si="338">IF(NOT(ISBLANK(AE206)),"_","")</f>
        <v>_</v>
      </c>
      <c r="AE206" s="2" t="s">
        <v>399</v>
      </c>
      <c r="AF206" s="2" t="str">
        <f t="shared" ref="AF206" si="339">IF(NOT(ISBLANK(AG206)),"_","")</f>
        <v>_</v>
      </c>
      <c r="AG206" s="28" t="s">
        <v>262</v>
      </c>
      <c r="AH206" s="2" t="str">
        <f t="shared" si="336"/>
        <v>_</v>
      </c>
      <c r="AI206" s="28" t="s">
        <v>388</v>
      </c>
    </row>
    <row r="207" spans="1:35" x14ac:dyDescent="0.25">
      <c r="AA207" s="2"/>
      <c r="AB207" s="2"/>
      <c r="AC207" s="2"/>
      <c r="AD207" s="2"/>
      <c r="AE207" s="2"/>
    </row>
    <row r="208" spans="1:35" s="2" customFormat="1" x14ac:dyDescent="0.25">
      <c r="A208" s="3" t="s">
        <v>39</v>
      </c>
      <c r="B208" s="3"/>
      <c r="C208" s="27"/>
      <c r="D208" s="6"/>
      <c r="E208" s="7"/>
      <c r="F208" s="6"/>
      <c r="G208" s="6"/>
      <c r="H208" s="7"/>
      <c r="I208" s="6"/>
      <c r="J208" s="6"/>
      <c r="K208" s="7"/>
      <c r="L208" s="6"/>
      <c r="M208" s="6"/>
      <c r="N208" s="7"/>
      <c r="O208" s="6"/>
      <c r="P208" s="6"/>
      <c r="Q208" s="7"/>
      <c r="R208" s="6"/>
      <c r="S208" s="6"/>
      <c r="T208" s="7"/>
      <c r="U208" s="6"/>
      <c r="V208" s="6"/>
      <c r="W208" s="7"/>
      <c r="X208" s="6"/>
      <c r="Y208" s="6"/>
      <c r="AA208" s="4"/>
      <c r="AB208" s="4" t="str">
        <f t="shared" si="249"/>
        <v/>
      </c>
      <c r="AC208" s="4"/>
      <c r="AD208" s="4" t="str">
        <f t="shared" si="250"/>
        <v/>
      </c>
      <c r="AE208" s="4"/>
      <c r="AF208" s="4" t="str">
        <f t="shared" si="251"/>
        <v/>
      </c>
      <c r="AG208" s="4"/>
      <c r="AH208" s="4" t="str">
        <f t="shared" si="252"/>
        <v/>
      </c>
      <c r="AI208" s="4"/>
    </row>
    <row r="209" spans="1:39" x14ac:dyDescent="0.25">
      <c r="B209" s="2" t="str">
        <f t="shared" ref="B209:B212" si="340">_xlfn.CONCAT("@",AA209,AB209,AC209,AD209,AE209,AF209,AG209,AH209,AI209)</f>
        <v>@color-obstacle_vegetation</v>
      </c>
      <c r="C209" s="52" t="s">
        <v>187</v>
      </c>
      <c r="D209" s="53" t="str">
        <f>C209</f>
        <v>"#4a9100"</v>
      </c>
      <c r="F209" s="52" t="s">
        <v>187</v>
      </c>
      <c r="G209" s="53" t="str">
        <f>F209</f>
        <v>"#4a9100"</v>
      </c>
      <c r="I209" s="52" t="s">
        <v>187</v>
      </c>
      <c r="J209" s="53" t="str">
        <f>I209</f>
        <v>"#4a9100"</v>
      </c>
      <c r="L209" s="52" t="s">
        <v>187</v>
      </c>
      <c r="M209" s="53" t="str">
        <f>L209</f>
        <v>"#4a9100"</v>
      </c>
      <c r="U209" s="52" t="s">
        <v>187</v>
      </c>
      <c r="V209" s="53" t="str">
        <f>U209</f>
        <v>"#4a9100"</v>
      </c>
      <c r="X209" s="52" t="s">
        <v>187</v>
      </c>
      <c r="Y209" s="53" t="str">
        <f>X209</f>
        <v>"#4a9100"</v>
      </c>
      <c r="AA209" s="2" t="s">
        <v>6</v>
      </c>
      <c r="AB209" s="2" t="str">
        <f t="shared" si="249"/>
        <v>-</v>
      </c>
      <c r="AC209" s="2" t="s">
        <v>35</v>
      </c>
      <c r="AD209" s="2" t="str">
        <f t="shared" si="250"/>
        <v>_</v>
      </c>
      <c r="AE209" s="2" t="s">
        <v>36</v>
      </c>
      <c r="AF209" s="2" t="str">
        <f t="shared" si="251"/>
        <v/>
      </c>
      <c r="AG209" s="2"/>
      <c r="AH209" s="2" t="str">
        <f t="shared" si="252"/>
        <v/>
      </c>
      <c r="AI209" s="2"/>
      <c r="AJ209" s="2"/>
      <c r="AK209" s="2"/>
      <c r="AL209" s="2"/>
      <c r="AM209" s="2"/>
    </row>
    <row r="210" spans="1:39" x14ac:dyDescent="0.25">
      <c r="B210" s="2" t="str">
        <f t="shared" si="340"/>
        <v>@color-surface_mud</v>
      </c>
      <c r="C210" s="54" t="s">
        <v>188</v>
      </c>
      <c r="D210" s="55" t="str">
        <f>C210</f>
        <v>"#0e84ed"</v>
      </c>
      <c r="F210" s="54" t="s">
        <v>188</v>
      </c>
      <c r="G210" s="55" t="str">
        <f>F210</f>
        <v>"#0e84ed"</v>
      </c>
      <c r="I210" s="54" t="s">
        <v>188</v>
      </c>
      <c r="J210" s="55" t="str">
        <f>I210</f>
        <v>"#0e84ed"</v>
      </c>
      <c r="L210" s="54" t="s">
        <v>188</v>
      </c>
      <c r="M210" s="55" t="str">
        <f>L210</f>
        <v>"#0e84ed"</v>
      </c>
      <c r="U210" s="54" t="s">
        <v>188</v>
      </c>
      <c r="V210" s="55" t="str">
        <f>U210</f>
        <v>"#0e84ed"</v>
      </c>
      <c r="X210" s="54" t="s">
        <v>188</v>
      </c>
      <c r="Y210" s="55" t="str">
        <f>X210</f>
        <v>"#0e84ed"</v>
      </c>
      <c r="AA210" s="2" t="s">
        <v>6</v>
      </c>
      <c r="AB210" s="2" t="str">
        <f t="shared" si="249"/>
        <v>-</v>
      </c>
      <c r="AC210" s="2" t="s">
        <v>37</v>
      </c>
      <c r="AD210" s="2" t="str">
        <f t="shared" si="250"/>
        <v>_</v>
      </c>
      <c r="AE210" s="2" t="s">
        <v>38</v>
      </c>
      <c r="AF210" s="2" t="str">
        <f t="shared" si="251"/>
        <v/>
      </c>
      <c r="AG210" s="2"/>
      <c r="AH210" s="2" t="str">
        <f t="shared" si="252"/>
        <v/>
      </c>
      <c r="AI210" s="2"/>
    </row>
    <row r="211" spans="1:39" x14ac:dyDescent="0.25">
      <c r="B211" s="2" t="str">
        <f t="shared" si="340"/>
        <v>@color-access_no</v>
      </c>
      <c r="C211" s="56" t="s">
        <v>189</v>
      </c>
      <c r="D211" s="57" t="str">
        <f>C211</f>
        <v>"#ff003d"</v>
      </c>
      <c r="F211" s="56" t="s">
        <v>189</v>
      </c>
      <c r="G211" s="57" t="str">
        <f>F211</f>
        <v>"#ff003d"</v>
      </c>
      <c r="I211" s="56" t="s">
        <v>189</v>
      </c>
      <c r="J211" s="57" t="str">
        <f>I211</f>
        <v>"#ff003d"</v>
      </c>
      <c r="L211" s="56" t="s">
        <v>189</v>
      </c>
      <c r="M211" s="57" t="str">
        <f>L211</f>
        <v>"#ff003d"</v>
      </c>
      <c r="U211" s="56" t="s">
        <v>189</v>
      </c>
      <c r="V211" s="57" t="str">
        <f>U211</f>
        <v>"#ff003d"</v>
      </c>
      <c r="X211" s="56" t="s">
        <v>189</v>
      </c>
      <c r="Y211" s="57" t="str">
        <f>X211</f>
        <v>"#ff003d"</v>
      </c>
      <c r="AA211" s="2" t="s">
        <v>6</v>
      </c>
      <c r="AB211" s="2" t="str">
        <f t="shared" si="249"/>
        <v>-</v>
      </c>
      <c r="AC211" s="2" t="s">
        <v>40</v>
      </c>
      <c r="AD211" s="2" t="str">
        <f t="shared" si="250"/>
        <v>_</v>
      </c>
      <c r="AE211" s="2" t="s">
        <v>41</v>
      </c>
      <c r="AF211" s="2" t="str">
        <f t="shared" si="251"/>
        <v/>
      </c>
      <c r="AG211" s="2"/>
      <c r="AH211" s="2" t="str">
        <f t="shared" si="252"/>
        <v/>
      </c>
      <c r="AI211" s="2"/>
    </row>
    <row r="212" spans="1:39" x14ac:dyDescent="0.25">
      <c r="B212" s="2" t="str">
        <f t="shared" si="340"/>
        <v>@color-access_discouraged</v>
      </c>
      <c r="C212" s="58" t="s">
        <v>190</v>
      </c>
      <c r="D212" s="59" t="str">
        <f>C212</f>
        <v>"#ff6a00"</v>
      </c>
      <c r="F212" s="58" t="s">
        <v>190</v>
      </c>
      <c r="G212" s="59" t="str">
        <f>F212</f>
        <v>"#ff6a00"</v>
      </c>
      <c r="I212" s="58" t="s">
        <v>190</v>
      </c>
      <c r="J212" s="59" t="str">
        <f>I212</f>
        <v>"#ff6a00"</v>
      </c>
      <c r="L212" s="58" t="s">
        <v>190</v>
      </c>
      <c r="M212" s="59" t="str">
        <f>L212</f>
        <v>"#ff6a00"</v>
      </c>
      <c r="U212" s="58" t="s">
        <v>190</v>
      </c>
      <c r="V212" s="59" t="str">
        <f>U212</f>
        <v>"#ff6a00"</v>
      </c>
      <c r="X212" s="58" t="s">
        <v>190</v>
      </c>
      <c r="Y212" s="59" t="str">
        <f>X212</f>
        <v>"#ff6a00"</v>
      </c>
      <c r="AA212" s="2" t="s">
        <v>6</v>
      </c>
      <c r="AB212" s="2" t="str">
        <f t="shared" si="249"/>
        <v>-</v>
      </c>
      <c r="AC212" s="2" t="s">
        <v>40</v>
      </c>
      <c r="AD212" s="2" t="str">
        <f t="shared" si="250"/>
        <v>_</v>
      </c>
      <c r="AE212" s="2" t="s">
        <v>42</v>
      </c>
      <c r="AF212" s="2" t="str">
        <f t="shared" si="251"/>
        <v/>
      </c>
      <c r="AG212" s="2"/>
      <c r="AH212" s="2" t="str">
        <f t="shared" si="252"/>
        <v/>
      </c>
      <c r="AI212" s="2"/>
    </row>
    <row r="213" spans="1:39" x14ac:dyDescent="0.25">
      <c r="AB213" s="28" t="str">
        <f t="shared" ref="AB213:AB215" si="341">IF(NOT(ISBLANK(AC213)),"-","")</f>
        <v/>
      </c>
      <c r="AD213" s="28" t="str">
        <f t="shared" ref="AD213:AD215" si="342">IF(NOT(ISBLANK(AE213)),"_","")</f>
        <v/>
      </c>
      <c r="AF213" s="28" t="str">
        <f t="shared" ref="AF213:AF215" si="343">IF(NOT(ISBLANK(AG213)),"_","")</f>
        <v/>
      </c>
      <c r="AH213" s="28" t="str">
        <f t="shared" si="252"/>
        <v/>
      </c>
    </row>
    <row r="214" spans="1:39" s="2" customFormat="1" x14ac:dyDescent="0.25">
      <c r="A214" s="3" t="s">
        <v>268</v>
      </c>
      <c r="B214" s="3"/>
      <c r="C214" s="27"/>
      <c r="D214" s="6"/>
      <c r="E214" s="7"/>
      <c r="F214" s="6"/>
      <c r="G214" s="6"/>
      <c r="H214" s="7"/>
      <c r="I214" s="27"/>
      <c r="J214" s="6"/>
      <c r="K214" s="7"/>
      <c r="L214" s="6"/>
      <c r="M214" s="6"/>
      <c r="N214" s="7"/>
      <c r="O214" s="6"/>
      <c r="P214" s="6"/>
      <c r="Q214" s="7"/>
      <c r="R214" s="6"/>
      <c r="S214" s="6"/>
      <c r="T214" s="7"/>
      <c r="U214" s="6"/>
      <c r="V214" s="6"/>
      <c r="W214" s="7"/>
      <c r="X214" s="6"/>
      <c r="Y214" s="6"/>
      <c r="AA214" s="4"/>
      <c r="AB214" s="4" t="str">
        <f t="shared" si="341"/>
        <v/>
      </c>
      <c r="AC214" s="4"/>
      <c r="AD214" s="4" t="str">
        <f t="shared" si="342"/>
        <v/>
      </c>
      <c r="AE214" s="4"/>
      <c r="AF214" s="4" t="str">
        <f t="shared" si="343"/>
        <v/>
      </c>
      <c r="AG214" s="4"/>
      <c r="AH214" s="4" t="str">
        <f t="shared" si="252"/>
        <v/>
      </c>
      <c r="AI214" s="4"/>
    </row>
    <row r="215" spans="1:39" x14ac:dyDescent="0.25">
      <c r="B215" s="2" t="str">
        <f t="shared" ref="B215:B230" si="344">_xlfn.CONCAT("@",AA215,AB215,AC215,AD215,AE215,AF215,AG215,AH215,AI215)</f>
        <v>@color-building_area_residential</v>
      </c>
      <c r="C215" s="60" t="s">
        <v>257</v>
      </c>
      <c r="D215" s="60" t="s">
        <v>257</v>
      </c>
      <c r="F215" s="61" t="s">
        <v>247</v>
      </c>
      <c r="G215" s="117" t="s">
        <v>228</v>
      </c>
      <c r="I215" s="60" t="s">
        <v>257</v>
      </c>
      <c r="J215" s="60" t="s">
        <v>257</v>
      </c>
      <c r="L215" s="61" t="s">
        <v>247</v>
      </c>
      <c r="M215" s="117" t="s">
        <v>228</v>
      </c>
      <c r="U215" s="60" t="s">
        <v>257</v>
      </c>
      <c r="V215" s="60" t="s">
        <v>257</v>
      </c>
      <c r="X215" s="61" t="s">
        <v>247</v>
      </c>
      <c r="Y215" s="117" t="s">
        <v>228</v>
      </c>
      <c r="AA215" s="2" t="s">
        <v>6</v>
      </c>
      <c r="AB215" s="2" t="str">
        <f t="shared" si="341"/>
        <v>-</v>
      </c>
      <c r="AC215" s="2" t="s">
        <v>253</v>
      </c>
      <c r="AD215" s="2" t="str">
        <f t="shared" si="342"/>
        <v>_</v>
      </c>
      <c r="AE215" s="2" t="s">
        <v>259</v>
      </c>
      <c r="AF215" s="2" t="str">
        <f t="shared" si="343"/>
        <v>_</v>
      </c>
      <c r="AG215" s="2" t="s">
        <v>64</v>
      </c>
      <c r="AH215" s="2" t="str">
        <f t="shared" si="252"/>
        <v/>
      </c>
      <c r="AI215" s="2"/>
    </row>
    <row r="216" spans="1:39" x14ac:dyDescent="0.25">
      <c r="B216" s="2" t="str">
        <f t="shared" si="344"/>
        <v>@color-building_area_generic</v>
      </c>
      <c r="C216" s="62" t="s">
        <v>256</v>
      </c>
      <c r="D216" s="62" t="s">
        <v>256</v>
      </c>
      <c r="F216" s="63" t="s">
        <v>254</v>
      </c>
      <c r="G216" s="148" t="s">
        <v>367</v>
      </c>
      <c r="I216" s="62" t="s">
        <v>256</v>
      </c>
      <c r="J216" s="62" t="s">
        <v>256</v>
      </c>
      <c r="L216" s="63" t="s">
        <v>254</v>
      </c>
      <c r="M216" s="148" t="s">
        <v>367</v>
      </c>
      <c r="U216" s="62" t="s">
        <v>256</v>
      </c>
      <c r="V216" s="62" t="s">
        <v>256</v>
      </c>
      <c r="X216" s="63" t="s">
        <v>254</v>
      </c>
      <c r="Y216" s="148" t="s">
        <v>367</v>
      </c>
      <c r="AA216" s="2" t="s">
        <v>6</v>
      </c>
      <c r="AB216" s="2" t="str">
        <f t="shared" ref="AB216" si="345">IF(NOT(ISBLANK(AC216)),"-","")</f>
        <v>-</v>
      </c>
      <c r="AC216" s="2" t="s">
        <v>253</v>
      </c>
      <c r="AD216" s="2" t="str">
        <f t="shared" ref="AD216" si="346">IF(NOT(ISBLANK(AE216)),"_","")</f>
        <v>_</v>
      </c>
      <c r="AE216" s="2" t="s">
        <v>259</v>
      </c>
      <c r="AF216" s="2" t="str">
        <f t="shared" ref="AF216" si="347">IF(NOT(ISBLANK(AG216)),"_","")</f>
        <v>_</v>
      </c>
      <c r="AG216" s="2" t="s">
        <v>255</v>
      </c>
      <c r="AH216" s="2" t="str">
        <f t="shared" si="252"/>
        <v/>
      </c>
      <c r="AI216" s="2"/>
    </row>
    <row r="217" spans="1:39" x14ac:dyDescent="0.25">
      <c r="B217" s="2" t="str">
        <f t="shared" si="344"/>
        <v>@color-building_line_top</v>
      </c>
      <c r="C217" s="62" t="s">
        <v>256</v>
      </c>
      <c r="D217" s="62" t="s">
        <v>256</v>
      </c>
      <c r="F217" s="63" t="s">
        <v>254</v>
      </c>
      <c r="G217" s="148" t="s">
        <v>367</v>
      </c>
      <c r="I217" s="62" t="s">
        <v>256</v>
      </c>
      <c r="J217" s="62" t="s">
        <v>256</v>
      </c>
      <c r="L217" s="63" t="s">
        <v>254</v>
      </c>
      <c r="M217" s="148" t="s">
        <v>367</v>
      </c>
      <c r="U217" s="62" t="s">
        <v>256</v>
      </c>
      <c r="V217" s="62" t="s">
        <v>256</v>
      </c>
      <c r="X217" s="63" t="s">
        <v>254</v>
      </c>
      <c r="Y217" s="148" t="s">
        <v>367</v>
      </c>
      <c r="AA217" s="2" t="s">
        <v>6</v>
      </c>
      <c r="AB217" s="2" t="str">
        <f t="shared" ref="AB217" si="348">IF(NOT(ISBLANK(AC217)),"-","")</f>
        <v>-</v>
      </c>
      <c r="AC217" s="2" t="s">
        <v>253</v>
      </c>
      <c r="AD217" s="2" t="str">
        <f t="shared" ref="AD217" si="349">IF(NOT(ISBLANK(AE217)),"_","")</f>
        <v>_</v>
      </c>
      <c r="AE217" s="2" t="s">
        <v>13</v>
      </c>
      <c r="AF217" s="2" t="str">
        <f t="shared" ref="AF217" si="350">IF(NOT(ISBLANK(AG217)),"_","")</f>
        <v>_</v>
      </c>
      <c r="AG217" s="2" t="s">
        <v>258</v>
      </c>
      <c r="AH217" s="2" t="str">
        <f t="shared" si="252"/>
        <v/>
      </c>
      <c r="AI217" s="2"/>
    </row>
    <row r="218" spans="1:39" x14ac:dyDescent="0.25">
      <c r="B218" s="2" t="str">
        <f t="shared" si="344"/>
        <v>@color-contours_line</v>
      </c>
      <c r="C218" s="64" t="s">
        <v>191</v>
      </c>
      <c r="D218" s="65" t="str">
        <f>C218</f>
        <v>"#916f4c"</v>
      </c>
      <c r="F218" s="66" t="s">
        <v>269</v>
      </c>
      <c r="G218" s="66" t="str">
        <f>F218</f>
        <v>"#5f472f"</v>
      </c>
      <c r="I218" s="64" t="s">
        <v>191</v>
      </c>
      <c r="J218" s="65" t="str">
        <f>I218</f>
        <v>"#916f4c"</v>
      </c>
      <c r="L218" s="66" t="s">
        <v>269</v>
      </c>
      <c r="M218" s="66" t="str">
        <f>L218</f>
        <v>"#5f472f"</v>
      </c>
      <c r="U218" s="64" t="s">
        <v>191</v>
      </c>
      <c r="V218" s="65" t="str">
        <f>U218</f>
        <v>"#916f4c"</v>
      </c>
      <c r="X218" s="66" t="s">
        <v>269</v>
      </c>
      <c r="Y218" s="66" t="str">
        <f>X218</f>
        <v>"#5f472f"</v>
      </c>
      <c r="AA218" s="2" t="s">
        <v>6</v>
      </c>
      <c r="AB218" s="2" t="str">
        <f t="shared" ref="AB218:AB225" si="351">IF(NOT(ISBLANK(AC218)),"-","")</f>
        <v>-</v>
      </c>
      <c r="AC218" s="2" t="s">
        <v>67</v>
      </c>
      <c r="AD218" s="2" t="str">
        <f t="shared" ref="AD218:AD225" si="352">IF(NOT(ISBLANK(AE218)),"_","")</f>
        <v>_</v>
      </c>
      <c r="AE218" s="2" t="s">
        <v>13</v>
      </c>
      <c r="AF218" s="2" t="str">
        <f>IF(NOT(ISBLANK(AG218)),"_","")</f>
        <v/>
      </c>
      <c r="AG218" s="2"/>
      <c r="AH218" s="2" t="str">
        <f>IF(NOT(ISBLANK(AI218)),"_","")</f>
        <v/>
      </c>
      <c r="AI218" s="2"/>
    </row>
    <row r="219" spans="1:39" x14ac:dyDescent="0.25">
      <c r="B219" s="2" t="str">
        <f t="shared" ref="B219" si="353">_xlfn.CONCAT("@",AA219,AB219,AC219,AD219,AE219,AF219,AG219,AH219,AI219)</f>
        <v>@color-water_contours_line_1500</v>
      </c>
      <c r="C219" s="140" t="s">
        <v>315</v>
      </c>
      <c r="D219" s="144" t="s">
        <v>320</v>
      </c>
      <c r="F219" s="141" t="s">
        <v>316</v>
      </c>
      <c r="G219" s="141" t="s">
        <v>316</v>
      </c>
      <c r="I219" s="140" t="s">
        <v>315</v>
      </c>
      <c r="J219" s="144" t="s">
        <v>320</v>
      </c>
      <c r="L219" s="141" t="s">
        <v>316</v>
      </c>
      <c r="M219" s="141" t="s">
        <v>316</v>
      </c>
      <c r="U219" s="140" t="s">
        <v>315</v>
      </c>
      <c r="V219" s="144" t="s">
        <v>320</v>
      </c>
      <c r="X219" s="141" t="s">
        <v>316</v>
      </c>
      <c r="Y219" s="141" t="s">
        <v>316</v>
      </c>
      <c r="AA219" s="2" t="s">
        <v>6</v>
      </c>
      <c r="AB219" s="2" t="str">
        <f t="shared" si="351"/>
        <v>-</v>
      </c>
      <c r="AC219" s="2" t="s">
        <v>314</v>
      </c>
      <c r="AD219" s="2" t="str">
        <f t="shared" si="352"/>
        <v>_</v>
      </c>
      <c r="AE219" s="2" t="s">
        <v>13</v>
      </c>
      <c r="AF219" s="2" t="str">
        <f>IF(NOT(ISBLANK(AG219)),"_","")</f>
        <v>_</v>
      </c>
      <c r="AG219" s="2">
        <v>1500</v>
      </c>
      <c r="AH219" s="2" t="str">
        <f>IF(NOT(ISBLANK(AI219)),"_","")</f>
        <v/>
      </c>
      <c r="AI219" s="2"/>
    </row>
    <row r="220" spans="1:39" x14ac:dyDescent="0.25">
      <c r="B220" s="2" t="str">
        <f t="shared" ref="B220" si="354">_xlfn.CONCAT("@",AA220,AB220,AC220,AD220,AE220,AF220,AG220,AH220,AI220)</f>
        <v>@color-water_contours_line_3000</v>
      </c>
      <c r="C220" s="142" t="s">
        <v>318</v>
      </c>
      <c r="D220" s="145" t="s">
        <v>321</v>
      </c>
      <c r="F220" s="141" t="s">
        <v>316</v>
      </c>
      <c r="G220" s="141" t="s">
        <v>316</v>
      </c>
      <c r="I220" s="142" t="s">
        <v>318</v>
      </c>
      <c r="J220" s="145" t="s">
        <v>321</v>
      </c>
      <c r="L220" s="141" t="s">
        <v>316</v>
      </c>
      <c r="M220" s="141" t="s">
        <v>316</v>
      </c>
      <c r="U220" s="142" t="s">
        <v>318</v>
      </c>
      <c r="V220" s="145" t="s">
        <v>321</v>
      </c>
      <c r="X220" s="141" t="s">
        <v>316</v>
      </c>
      <c r="Y220" s="141" t="s">
        <v>316</v>
      </c>
      <c r="AA220" s="2" t="s">
        <v>6</v>
      </c>
      <c r="AB220" s="2" t="str">
        <f t="shared" si="351"/>
        <v>-</v>
      </c>
      <c r="AC220" s="2" t="s">
        <v>314</v>
      </c>
      <c r="AD220" s="2" t="str">
        <f t="shared" si="352"/>
        <v>_</v>
      </c>
      <c r="AE220" s="2" t="s">
        <v>13</v>
      </c>
      <c r="AF220" s="2" t="str">
        <f>IF(NOT(ISBLANK(AG220)),"_","")</f>
        <v>_</v>
      </c>
      <c r="AG220" s="2">
        <v>3000</v>
      </c>
      <c r="AH220" s="2" t="str">
        <f>IF(NOT(ISBLANK(AI220)),"_","")</f>
        <v/>
      </c>
      <c r="AI220" s="2"/>
    </row>
    <row r="221" spans="1:39" x14ac:dyDescent="0.25">
      <c r="B221" s="2" t="str">
        <f t="shared" ref="B221" si="355">_xlfn.CONCAT("@",AA221,AB221,AC221,AD221,AE221,AF221,AG221,AH221,AI221)</f>
        <v>@color-water_contours_line_6000</v>
      </c>
      <c r="C221" s="143" t="s">
        <v>319</v>
      </c>
      <c r="D221" s="146" t="s">
        <v>322</v>
      </c>
      <c r="F221" s="141" t="s">
        <v>316</v>
      </c>
      <c r="G221" s="141" t="s">
        <v>316</v>
      </c>
      <c r="I221" s="143" t="s">
        <v>319</v>
      </c>
      <c r="J221" s="146" t="s">
        <v>322</v>
      </c>
      <c r="L221" s="141" t="s">
        <v>316</v>
      </c>
      <c r="M221" s="141" t="s">
        <v>316</v>
      </c>
      <c r="U221" s="143" t="s">
        <v>319</v>
      </c>
      <c r="V221" s="146" t="s">
        <v>322</v>
      </c>
      <c r="X221" s="141" t="s">
        <v>316</v>
      </c>
      <c r="Y221" s="141" t="s">
        <v>316</v>
      </c>
      <c r="AA221" s="2" t="s">
        <v>6</v>
      </c>
      <c r="AB221" s="2" t="str">
        <f t="shared" si="351"/>
        <v>-</v>
      </c>
      <c r="AC221" s="2" t="s">
        <v>314</v>
      </c>
      <c r="AD221" s="2" t="str">
        <f t="shared" si="352"/>
        <v>_</v>
      </c>
      <c r="AE221" s="2" t="s">
        <v>13</v>
      </c>
      <c r="AF221" s="2" t="str">
        <f>IF(NOT(ISBLANK(AG221)),"_","")</f>
        <v>_</v>
      </c>
      <c r="AG221" s="2">
        <v>6000</v>
      </c>
      <c r="AH221" s="2" t="str">
        <f t="shared" ref="AH221:AH242" si="356">IF(NOT(ISBLANK(AI221)),"_","")</f>
        <v/>
      </c>
      <c r="AI221" s="2"/>
    </row>
    <row r="222" spans="1:39" x14ac:dyDescent="0.25">
      <c r="B222" s="2" t="str">
        <f t="shared" ref="B222:B223" si="357">_xlfn.CONCAT("@",AA222,AB222,AC222,AD222,AE222,AF222,AG222,AH222,AI222)</f>
        <v>@color-water_contours_line_over6000</v>
      </c>
      <c r="C222" s="144" t="s">
        <v>320</v>
      </c>
      <c r="D222" s="147" t="s">
        <v>323</v>
      </c>
      <c r="F222" s="141" t="s">
        <v>316</v>
      </c>
      <c r="G222" s="141" t="s">
        <v>316</v>
      </c>
      <c r="I222" s="144" t="s">
        <v>320</v>
      </c>
      <c r="J222" s="147" t="s">
        <v>323</v>
      </c>
      <c r="L222" s="141" t="s">
        <v>316</v>
      </c>
      <c r="M222" s="141" t="s">
        <v>316</v>
      </c>
      <c r="U222" s="144" t="s">
        <v>320</v>
      </c>
      <c r="V222" s="147" t="s">
        <v>323</v>
      </c>
      <c r="X222" s="141" t="s">
        <v>316</v>
      </c>
      <c r="Y222" s="141" t="s">
        <v>316</v>
      </c>
      <c r="AA222" s="2" t="s">
        <v>6</v>
      </c>
      <c r="AB222" s="2" t="str">
        <f t="shared" si="351"/>
        <v>-</v>
      </c>
      <c r="AC222" s="2" t="s">
        <v>314</v>
      </c>
      <c r="AD222" s="2" t="str">
        <f t="shared" si="352"/>
        <v>_</v>
      </c>
      <c r="AE222" s="2" t="s">
        <v>13</v>
      </c>
      <c r="AF222" s="2" t="str">
        <f>IF(NOT(ISBLANK(AG222)),"_","")</f>
        <v>_</v>
      </c>
      <c r="AG222" s="2" t="s">
        <v>317</v>
      </c>
      <c r="AH222" s="2" t="str">
        <f t="shared" si="356"/>
        <v/>
      </c>
      <c r="AI222" s="2"/>
    </row>
    <row r="223" spans="1:39" x14ac:dyDescent="0.25">
      <c r="B223" s="2" t="str">
        <f t="shared" si="357"/>
        <v>@color-water_contours_label</v>
      </c>
      <c r="C223" s="143" t="s">
        <v>319</v>
      </c>
      <c r="D223" s="146" t="s">
        <v>322</v>
      </c>
      <c r="F223" s="141" t="s">
        <v>316</v>
      </c>
      <c r="G223" s="141" t="s">
        <v>316</v>
      </c>
      <c r="I223" s="143" t="s">
        <v>319</v>
      </c>
      <c r="J223" s="146" t="s">
        <v>322</v>
      </c>
      <c r="L223" s="141" t="s">
        <v>316</v>
      </c>
      <c r="M223" s="141" t="s">
        <v>316</v>
      </c>
      <c r="U223" s="143" t="s">
        <v>319</v>
      </c>
      <c r="V223" s="146" t="s">
        <v>322</v>
      </c>
      <c r="X223" s="141" t="s">
        <v>316</v>
      </c>
      <c r="Y223" s="141" t="s">
        <v>316</v>
      </c>
      <c r="AA223" s="2" t="s">
        <v>6</v>
      </c>
      <c r="AB223" s="2" t="str">
        <f t="shared" si="351"/>
        <v>-</v>
      </c>
      <c r="AC223" s="2" t="s">
        <v>314</v>
      </c>
      <c r="AD223" s="2" t="str">
        <f t="shared" si="352"/>
        <v>_</v>
      </c>
      <c r="AE223" s="2" t="s">
        <v>271</v>
      </c>
      <c r="AF223" s="2" t="str">
        <f t="shared" ref="AF223:AF242" si="358">IF(NOT(ISBLANK(AG223)),"_","")</f>
        <v/>
      </c>
      <c r="AG223" s="2"/>
      <c r="AH223" s="2" t="str">
        <f t="shared" si="356"/>
        <v/>
      </c>
      <c r="AI223" s="2"/>
    </row>
    <row r="224" spans="1:39" x14ac:dyDescent="0.25">
      <c r="B224" s="2" t="str">
        <f t="shared" ref="B224" si="359">_xlfn.CONCAT("@",AA224,AB224,AC224,AD224,AE224,AF224,AG224,AH224,AI224)</f>
        <v>@color-water_shipping_lane</v>
      </c>
      <c r="C224" s="47" t="s">
        <v>214</v>
      </c>
      <c r="D224" s="47" t="s">
        <v>214</v>
      </c>
      <c r="F224" s="46" t="s">
        <v>222</v>
      </c>
      <c r="G224" s="46" t="s">
        <v>222</v>
      </c>
      <c r="I224" s="47" t="s">
        <v>214</v>
      </c>
      <c r="J224" s="47" t="s">
        <v>214</v>
      </c>
      <c r="L224" s="46" t="s">
        <v>222</v>
      </c>
      <c r="M224" s="46" t="s">
        <v>222</v>
      </c>
      <c r="U224" s="47" t="s">
        <v>214</v>
      </c>
      <c r="V224" s="47" t="s">
        <v>214</v>
      </c>
      <c r="X224" s="46" t="s">
        <v>222</v>
      </c>
      <c r="Y224" s="46" t="s">
        <v>222</v>
      </c>
      <c r="AA224" s="2" t="s">
        <v>6</v>
      </c>
      <c r="AB224" s="2" t="str">
        <f t="shared" si="351"/>
        <v>-</v>
      </c>
      <c r="AC224" s="2" t="s">
        <v>324</v>
      </c>
      <c r="AD224" s="2" t="str">
        <f t="shared" si="352"/>
        <v/>
      </c>
      <c r="AE224" s="2"/>
      <c r="AF224" s="2" t="str">
        <f t="shared" si="358"/>
        <v/>
      </c>
      <c r="AG224" s="2"/>
      <c r="AH224" s="2" t="str">
        <f t="shared" si="356"/>
        <v/>
      </c>
      <c r="AI224" s="2"/>
    </row>
    <row r="225" spans="2:35" x14ac:dyDescent="0.25">
      <c r="B225" s="2" t="str">
        <f t="shared" si="344"/>
        <v>@color-cliff_line</v>
      </c>
      <c r="C225" s="47" t="s">
        <v>214</v>
      </c>
      <c r="D225" s="47" t="s">
        <v>214</v>
      </c>
      <c r="F225" s="46" t="s">
        <v>222</v>
      </c>
      <c r="G225" s="46" t="s">
        <v>222</v>
      </c>
      <c r="I225" s="47" t="s">
        <v>214</v>
      </c>
      <c r="J225" s="47" t="s">
        <v>214</v>
      </c>
      <c r="L225" s="46" t="s">
        <v>222</v>
      </c>
      <c r="M225" s="46" t="s">
        <v>222</v>
      </c>
      <c r="U225" s="47" t="s">
        <v>214</v>
      </c>
      <c r="V225" s="47" t="s">
        <v>214</v>
      </c>
      <c r="X225" s="46" t="s">
        <v>222</v>
      </c>
      <c r="Y225" s="46" t="s">
        <v>222</v>
      </c>
      <c r="AA225" s="2" t="s">
        <v>6</v>
      </c>
      <c r="AB225" s="2" t="str">
        <f t="shared" si="351"/>
        <v>-</v>
      </c>
      <c r="AC225" s="2" t="s">
        <v>270</v>
      </c>
      <c r="AD225" s="2" t="str">
        <f t="shared" si="352"/>
        <v>_</v>
      </c>
      <c r="AE225" s="2" t="s">
        <v>13</v>
      </c>
      <c r="AF225" s="2" t="str">
        <f t="shared" si="358"/>
        <v/>
      </c>
      <c r="AG225" s="2"/>
      <c r="AH225" s="2" t="str">
        <f t="shared" si="356"/>
        <v/>
      </c>
      <c r="AI225" s="2"/>
    </row>
    <row r="226" spans="2:35" x14ac:dyDescent="0.25">
      <c r="AB226" s="28" t="str">
        <f t="shared" si="249"/>
        <v/>
      </c>
      <c r="AD226" s="28" t="str">
        <f t="shared" si="250"/>
        <v/>
      </c>
      <c r="AF226" s="2" t="str">
        <f t="shared" si="358"/>
        <v/>
      </c>
      <c r="AH226" s="2" t="str">
        <f t="shared" si="356"/>
        <v/>
      </c>
    </row>
    <row r="227" spans="2:35" x14ac:dyDescent="0.25">
      <c r="B227" s="2" t="str">
        <f t="shared" si="344"/>
        <v>@line_width-ditch_z12</v>
      </c>
      <c r="C227" s="28" t="s">
        <v>95</v>
      </c>
      <c r="D227" s="28" t="s">
        <v>80</v>
      </c>
      <c r="F227" s="28" t="s">
        <v>95</v>
      </c>
      <c r="G227" s="28" t="s">
        <v>80</v>
      </c>
      <c r="I227" s="28" t="s">
        <v>95</v>
      </c>
      <c r="J227" s="28" t="s">
        <v>80</v>
      </c>
      <c r="L227" s="28" t="s">
        <v>95</v>
      </c>
      <c r="M227" s="28" t="s">
        <v>80</v>
      </c>
      <c r="O227" s="28" t="s">
        <v>95</v>
      </c>
      <c r="P227" s="28" t="s">
        <v>80</v>
      </c>
      <c r="R227" s="28" t="s">
        <v>95</v>
      </c>
      <c r="S227" s="28" t="s">
        <v>80</v>
      </c>
      <c r="U227" s="28" t="s">
        <v>95</v>
      </c>
      <c r="V227" s="28" t="s">
        <v>80</v>
      </c>
      <c r="X227" s="28" t="s">
        <v>95</v>
      </c>
      <c r="Y227" s="28" t="s">
        <v>80</v>
      </c>
      <c r="AA227" s="2" t="s">
        <v>119</v>
      </c>
      <c r="AB227" s="2" t="str">
        <f t="shared" si="249"/>
        <v>-</v>
      </c>
      <c r="AC227" s="28" t="s">
        <v>325</v>
      </c>
      <c r="AD227" s="2" t="str">
        <f t="shared" si="250"/>
        <v>_</v>
      </c>
      <c r="AE227" s="28" t="s">
        <v>109</v>
      </c>
      <c r="AF227" s="2" t="str">
        <f t="shared" si="358"/>
        <v/>
      </c>
      <c r="AH227" s="2" t="str">
        <f t="shared" si="356"/>
        <v/>
      </c>
    </row>
    <row r="228" spans="2:35" x14ac:dyDescent="0.25">
      <c r="B228" s="2" t="str">
        <f t="shared" si="344"/>
        <v>@line_width-ditch_z14</v>
      </c>
      <c r="C228" s="28" t="s">
        <v>84</v>
      </c>
      <c r="D228" s="28" t="s">
        <v>85</v>
      </c>
      <c r="F228" s="28" t="s">
        <v>84</v>
      </c>
      <c r="G228" s="28" t="s">
        <v>85</v>
      </c>
      <c r="I228" s="28" t="s">
        <v>84</v>
      </c>
      <c r="J228" s="28" t="s">
        <v>85</v>
      </c>
      <c r="L228" s="28" t="s">
        <v>84</v>
      </c>
      <c r="M228" s="28" t="s">
        <v>85</v>
      </c>
      <c r="O228" s="28" t="s">
        <v>84</v>
      </c>
      <c r="P228" s="28" t="s">
        <v>85</v>
      </c>
      <c r="R228" s="28" t="s">
        <v>84</v>
      </c>
      <c r="S228" s="28" t="s">
        <v>85</v>
      </c>
      <c r="U228" s="28" t="s">
        <v>84</v>
      </c>
      <c r="V228" s="28" t="s">
        <v>85</v>
      </c>
      <c r="X228" s="28" t="s">
        <v>84</v>
      </c>
      <c r="Y228" s="28" t="s">
        <v>85</v>
      </c>
      <c r="AA228" s="2" t="s">
        <v>119</v>
      </c>
      <c r="AB228" s="2" t="str">
        <f t="shared" si="249"/>
        <v>-</v>
      </c>
      <c r="AC228" s="28" t="s">
        <v>325</v>
      </c>
      <c r="AD228" s="2" t="str">
        <f t="shared" si="250"/>
        <v>_</v>
      </c>
      <c r="AE228" s="28" t="s">
        <v>74</v>
      </c>
      <c r="AF228" s="2" t="str">
        <f t="shared" si="358"/>
        <v/>
      </c>
      <c r="AH228" s="2" t="str">
        <f t="shared" si="356"/>
        <v/>
      </c>
    </row>
    <row r="229" spans="2:35" x14ac:dyDescent="0.25">
      <c r="B229" s="2" t="str">
        <f t="shared" si="344"/>
        <v>@line_width-ditch_z16</v>
      </c>
      <c r="C229" s="28" t="s">
        <v>92</v>
      </c>
      <c r="D229" s="28" t="s">
        <v>92</v>
      </c>
      <c r="F229" s="28" t="s">
        <v>92</v>
      </c>
      <c r="G229" s="28" t="s">
        <v>92</v>
      </c>
      <c r="I229" s="28" t="s">
        <v>92</v>
      </c>
      <c r="J229" s="28" t="s">
        <v>92</v>
      </c>
      <c r="L229" s="28" t="s">
        <v>92</v>
      </c>
      <c r="M229" s="28" t="s">
        <v>92</v>
      </c>
      <c r="O229" s="28" t="s">
        <v>92</v>
      </c>
      <c r="P229" s="28" t="s">
        <v>92</v>
      </c>
      <c r="R229" s="28" t="s">
        <v>92</v>
      </c>
      <c r="S229" s="28" t="s">
        <v>92</v>
      </c>
      <c r="U229" s="28" t="s">
        <v>92</v>
      </c>
      <c r="V229" s="28" t="s">
        <v>92</v>
      </c>
      <c r="X229" s="28" t="s">
        <v>92</v>
      </c>
      <c r="Y229" s="28" t="s">
        <v>92</v>
      </c>
      <c r="AA229" s="2" t="s">
        <v>119</v>
      </c>
      <c r="AB229" s="2" t="str">
        <f t="shared" si="249"/>
        <v>-</v>
      </c>
      <c r="AC229" s="28" t="s">
        <v>325</v>
      </c>
      <c r="AD229" s="2" t="str">
        <f t="shared" si="250"/>
        <v>_</v>
      </c>
      <c r="AE229" s="28" t="s">
        <v>75</v>
      </c>
      <c r="AF229" s="2" t="str">
        <f t="shared" si="358"/>
        <v/>
      </c>
      <c r="AH229" s="2" t="str">
        <f t="shared" si="356"/>
        <v/>
      </c>
    </row>
    <row r="230" spans="2:35" x14ac:dyDescent="0.25">
      <c r="B230" s="2" t="str">
        <f t="shared" si="344"/>
        <v>@line_width-ditch_z18</v>
      </c>
      <c r="C230" s="28" t="s">
        <v>327</v>
      </c>
      <c r="D230" s="28" t="s">
        <v>327</v>
      </c>
      <c r="F230" s="28" t="s">
        <v>327</v>
      </c>
      <c r="G230" s="28" t="s">
        <v>327</v>
      </c>
      <c r="I230" s="28" t="s">
        <v>327</v>
      </c>
      <c r="J230" s="28" t="s">
        <v>327</v>
      </c>
      <c r="L230" s="28" t="s">
        <v>327</v>
      </c>
      <c r="M230" s="28" t="s">
        <v>327</v>
      </c>
      <c r="O230" s="28" t="s">
        <v>327</v>
      </c>
      <c r="P230" s="28" t="s">
        <v>327</v>
      </c>
      <c r="R230" s="28" t="s">
        <v>327</v>
      </c>
      <c r="S230" s="28" t="s">
        <v>327</v>
      </c>
      <c r="U230" s="28" t="s">
        <v>327</v>
      </c>
      <c r="V230" s="28" t="s">
        <v>327</v>
      </c>
      <c r="X230" s="28" t="s">
        <v>327</v>
      </c>
      <c r="Y230" s="28" t="s">
        <v>327</v>
      </c>
      <c r="AA230" s="2" t="s">
        <v>119</v>
      </c>
      <c r="AB230" s="2" t="str">
        <f t="shared" si="249"/>
        <v>-</v>
      </c>
      <c r="AC230" s="28" t="s">
        <v>325</v>
      </c>
      <c r="AD230" s="2" t="str">
        <f t="shared" si="250"/>
        <v>_</v>
      </c>
      <c r="AE230" s="28" t="s">
        <v>76</v>
      </c>
      <c r="AF230" s="2" t="str">
        <f t="shared" si="358"/>
        <v/>
      </c>
      <c r="AH230" s="2" t="str">
        <f t="shared" si="356"/>
        <v/>
      </c>
    </row>
    <row r="231" spans="2:35" x14ac:dyDescent="0.25">
      <c r="B231" s="2"/>
      <c r="AA231" s="2"/>
      <c r="AB231" s="2"/>
      <c r="AD231" s="2"/>
      <c r="AF231" s="2"/>
      <c r="AH231" s="2"/>
    </row>
    <row r="232" spans="2:35" x14ac:dyDescent="0.25">
      <c r="B232" s="2" t="str">
        <f t="shared" ref="B232:B235" si="360">_xlfn.CONCAT("@",AA232,AB232,AC232,AD232,AE232,AF232,AG232,AH232,AI232)</f>
        <v>@line_width-stream_z12</v>
      </c>
      <c r="C232" s="28" t="s">
        <v>80</v>
      </c>
      <c r="D232" s="28" t="s">
        <v>85</v>
      </c>
      <c r="F232" s="28" t="s">
        <v>80</v>
      </c>
      <c r="G232" s="28" t="s">
        <v>85</v>
      </c>
      <c r="I232" s="28" t="s">
        <v>80</v>
      </c>
      <c r="J232" s="28" t="s">
        <v>85</v>
      </c>
      <c r="L232" s="28" t="s">
        <v>80</v>
      </c>
      <c r="M232" s="28" t="s">
        <v>85</v>
      </c>
      <c r="O232" s="28" t="s">
        <v>80</v>
      </c>
      <c r="P232" s="28" t="s">
        <v>85</v>
      </c>
      <c r="R232" s="28" t="s">
        <v>80</v>
      </c>
      <c r="S232" s="28" t="s">
        <v>85</v>
      </c>
      <c r="U232" s="28" t="s">
        <v>80</v>
      </c>
      <c r="V232" s="28" t="s">
        <v>85</v>
      </c>
      <c r="X232" s="28" t="s">
        <v>80</v>
      </c>
      <c r="Y232" s="28" t="s">
        <v>85</v>
      </c>
      <c r="AA232" s="2" t="s">
        <v>119</v>
      </c>
      <c r="AB232" s="2" t="str">
        <f t="shared" ref="AB232:AB235" si="361">IF(NOT(ISBLANK(AC232)),"-","")</f>
        <v>-</v>
      </c>
      <c r="AC232" s="28" t="s">
        <v>326</v>
      </c>
      <c r="AD232" s="2" t="str">
        <f t="shared" ref="AD232:AD235" si="362">IF(NOT(ISBLANK(AE232)),"_","")</f>
        <v>_</v>
      </c>
      <c r="AE232" s="28" t="s">
        <v>109</v>
      </c>
      <c r="AF232" s="2" t="str">
        <f t="shared" si="358"/>
        <v/>
      </c>
      <c r="AH232" s="2" t="str">
        <f t="shared" si="356"/>
        <v/>
      </c>
    </row>
    <row r="233" spans="2:35" x14ac:dyDescent="0.25">
      <c r="B233" s="2" t="str">
        <f t="shared" si="360"/>
        <v>@line_width-stream_z14</v>
      </c>
      <c r="C233" s="28" t="s">
        <v>90</v>
      </c>
      <c r="D233" s="28" t="s">
        <v>88</v>
      </c>
      <c r="F233" s="28" t="s">
        <v>90</v>
      </c>
      <c r="G233" s="28" t="s">
        <v>88</v>
      </c>
      <c r="I233" s="28" t="s">
        <v>90</v>
      </c>
      <c r="J233" s="28" t="s">
        <v>88</v>
      </c>
      <c r="L233" s="28" t="s">
        <v>90</v>
      </c>
      <c r="M233" s="28" t="s">
        <v>88</v>
      </c>
      <c r="O233" s="28" t="s">
        <v>90</v>
      </c>
      <c r="P233" s="28" t="s">
        <v>88</v>
      </c>
      <c r="R233" s="28" t="s">
        <v>90</v>
      </c>
      <c r="S233" s="28" t="s">
        <v>88</v>
      </c>
      <c r="U233" s="28" t="s">
        <v>90</v>
      </c>
      <c r="V233" s="28" t="s">
        <v>88</v>
      </c>
      <c r="X233" s="28" t="s">
        <v>90</v>
      </c>
      <c r="Y233" s="28" t="s">
        <v>88</v>
      </c>
      <c r="AA233" s="2" t="s">
        <v>119</v>
      </c>
      <c r="AB233" s="2" t="str">
        <f t="shared" si="361"/>
        <v>-</v>
      </c>
      <c r="AC233" s="28" t="s">
        <v>326</v>
      </c>
      <c r="AD233" s="2" t="str">
        <f t="shared" si="362"/>
        <v>_</v>
      </c>
      <c r="AE233" s="28" t="s">
        <v>74</v>
      </c>
      <c r="AF233" s="2" t="str">
        <f t="shared" si="358"/>
        <v/>
      </c>
      <c r="AH233" s="2" t="str">
        <f t="shared" si="356"/>
        <v/>
      </c>
    </row>
    <row r="234" spans="2:35" x14ac:dyDescent="0.25">
      <c r="B234" s="2" t="str">
        <f t="shared" si="360"/>
        <v>@line_width-stream_z16</v>
      </c>
      <c r="C234" s="28" t="s">
        <v>86</v>
      </c>
      <c r="D234" s="28" t="s">
        <v>86</v>
      </c>
      <c r="F234" s="28" t="s">
        <v>86</v>
      </c>
      <c r="G234" s="28" t="s">
        <v>86</v>
      </c>
      <c r="I234" s="28" t="s">
        <v>86</v>
      </c>
      <c r="J234" s="28" t="s">
        <v>86</v>
      </c>
      <c r="L234" s="28" t="s">
        <v>86</v>
      </c>
      <c r="M234" s="28" t="s">
        <v>86</v>
      </c>
      <c r="O234" s="28" t="s">
        <v>86</v>
      </c>
      <c r="P234" s="28" t="s">
        <v>86</v>
      </c>
      <c r="R234" s="28" t="s">
        <v>86</v>
      </c>
      <c r="S234" s="28" t="s">
        <v>86</v>
      </c>
      <c r="U234" s="28" t="s">
        <v>86</v>
      </c>
      <c r="V234" s="28" t="s">
        <v>86</v>
      </c>
      <c r="X234" s="28" t="s">
        <v>86</v>
      </c>
      <c r="Y234" s="28" t="s">
        <v>86</v>
      </c>
      <c r="AA234" s="2" t="s">
        <v>119</v>
      </c>
      <c r="AB234" s="2" t="str">
        <f t="shared" si="361"/>
        <v>-</v>
      </c>
      <c r="AC234" s="28" t="s">
        <v>326</v>
      </c>
      <c r="AD234" s="2" t="str">
        <f t="shared" si="362"/>
        <v>_</v>
      </c>
      <c r="AE234" s="28" t="s">
        <v>75</v>
      </c>
      <c r="AF234" s="2" t="str">
        <f t="shared" si="358"/>
        <v/>
      </c>
      <c r="AH234" s="2" t="str">
        <f t="shared" si="356"/>
        <v/>
      </c>
    </row>
    <row r="235" spans="2:35" x14ac:dyDescent="0.25">
      <c r="B235" s="2" t="str">
        <f t="shared" si="360"/>
        <v>@line_width-stream_z18</v>
      </c>
      <c r="C235" s="28" t="s">
        <v>328</v>
      </c>
      <c r="D235" s="28" t="s">
        <v>328</v>
      </c>
      <c r="F235" s="28" t="s">
        <v>328</v>
      </c>
      <c r="G235" s="28" t="s">
        <v>328</v>
      </c>
      <c r="I235" s="28" t="s">
        <v>328</v>
      </c>
      <c r="J235" s="28" t="s">
        <v>328</v>
      </c>
      <c r="L235" s="28" t="s">
        <v>328</v>
      </c>
      <c r="M235" s="28" t="s">
        <v>328</v>
      </c>
      <c r="O235" s="28" t="s">
        <v>328</v>
      </c>
      <c r="P235" s="28" t="s">
        <v>328</v>
      </c>
      <c r="R235" s="28" t="s">
        <v>328</v>
      </c>
      <c r="S235" s="28" t="s">
        <v>328</v>
      </c>
      <c r="U235" s="28" t="s">
        <v>328</v>
      </c>
      <c r="V235" s="28" t="s">
        <v>328</v>
      </c>
      <c r="X235" s="28" t="s">
        <v>328</v>
      </c>
      <c r="Y235" s="28" t="s">
        <v>328</v>
      </c>
      <c r="AA235" s="2" t="s">
        <v>119</v>
      </c>
      <c r="AB235" s="2" t="str">
        <f t="shared" si="361"/>
        <v>-</v>
      </c>
      <c r="AC235" s="28" t="s">
        <v>326</v>
      </c>
      <c r="AD235" s="2" t="str">
        <f t="shared" si="362"/>
        <v>_</v>
      </c>
      <c r="AE235" s="28" t="s">
        <v>76</v>
      </c>
      <c r="AF235" s="2" t="str">
        <f t="shared" si="358"/>
        <v/>
      </c>
      <c r="AH235" s="2" t="str">
        <f t="shared" si="356"/>
        <v/>
      </c>
    </row>
    <row r="236" spans="2:35" x14ac:dyDescent="0.25">
      <c r="B236" s="2"/>
      <c r="AA236" s="2"/>
      <c r="AB236" s="2"/>
      <c r="AD236" s="2"/>
      <c r="AF236" s="2"/>
      <c r="AH236" s="2"/>
    </row>
    <row r="237" spans="2:35" x14ac:dyDescent="0.25">
      <c r="B237" s="2" t="str">
        <f t="shared" ref="B237:B239" si="363">_xlfn.CONCAT("@",AA237,AB237,AC237,AD237,AE237,AF237,AG237,AH237,AI237)</f>
        <v>@line_width-canal_z13</v>
      </c>
      <c r="C237" s="28" t="s">
        <v>95</v>
      </c>
      <c r="D237" s="28" t="s">
        <v>80</v>
      </c>
      <c r="F237" s="28" t="s">
        <v>95</v>
      </c>
      <c r="G237" s="28" t="s">
        <v>80</v>
      </c>
      <c r="I237" s="28" t="s">
        <v>95</v>
      </c>
      <c r="J237" s="28" t="s">
        <v>80</v>
      </c>
      <c r="L237" s="28" t="s">
        <v>95</v>
      </c>
      <c r="M237" s="28" t="s">
        <v>80</v>
      </c>
      <c r="O237" s="28" t="s">
        <v>95</v>
      </c>
      <c r="P237" s="28" t="s">
        <v>80</v>
      </c>
      <c r="R237" s="28" t="s">
        <v>95</v>
      </c>
      <c r="S237" s="28" t="s">
        <v>80</v>
      </c>
      <c r="U237" s="28" t="s">
        <v>95</v>
      </c>
      <c r="V237" s="28" t="s">
        <v>80</v>
      </c>
      <c r="X237" s="28" t="s">
        <v>95</v>
      </c>
      <c r="Y237" s="28" t="s">
        <v>80</v>
      </c>
      <c r="AA237" s="2" t="s">
        <v>119</v>
      </c>
      <c r="AB237" s="2" t="str">
        <f t="shared" ref="AB237:AB239" si="364">IF(NOT(ISBLANK(AC237)),"-","")</f>
        <v>-</v>
      </c>
      <c r="AC237" s="28" t="s">
        <v>329</v>
      </c>
      <c r="AD237" s="2" t="str">
        <f t="shared" ref="AD237:AD239" si="365">IF(NOT(ISBLANK(AE237)),"_","")</f>
        <v>_</v>
      </c>
      <c r="AE237" s="28" t="s">
        <v>330</v>
      </c>
      <c r="AF237" s="2" t="str">
        <f t="shared" si="358"/>
        <v/>
      </c>
      <c r="AH237" s="2" t="str">
        <f t="shared" si="356"/>
        <v/>
      </c>
    </row>
    <row r="238" spans="2:35" x14ac:dyDescent="0.25">
      <c r="B238" s="2" t="str">
        <f t="shared" si="363"/>
        <v>@line_width-canal_z16</v>
      </c>
      <c r="C238" s="28" t="s">
        <v>128</v>
      </c>
      <c r="D238" s="28" t="s">
        <v>86</v>
      </c>
      <c r="F238" s="28" t="s">
        <v>128</v>
      </c>
      <c r="G238" s="28" t="s">
        <v>86</v>
      </c>
      <c r="I238" s="28" t="s">
        <v>128</v>
      </c>
      <c r="J238" s="28" t="s">
        <v>86</v>
      </c>
      <c r="L238" s="28" t="s">
        <v>128</v>
      </c>
      <c r="M238" s="28" t="s">
        <v>86</v>
      </c>
      <c r="O238" s="28" t="s">
        <v>128</v>
      </c>
      <c r="P238" s="28" t="s">
        <v>86</v>
      </c>
      <c r="R238" s="28" t="s">
        <v>128</v>
      </c>
      <c r="S238" s="28" t="s">
        <v>86</v>
      </c>
      <c r="U238" s="28" t="s">
        <v>128</v>
      </c>
      <c r="V238" s="28" t="s">
        <v>86</v>
      </c>
      <c r="X238" s="28" t="s">
        <v>128</v>
      </c>
      <c r="Y238" s="28" t="s">
        <v>86</v>
      </c>
      <c r="AA238" s="2" t="s">
        <v>119</v>
      </c>
      <c r="AB238" s="2" t="str">
        <f t="shared" si="364"/>
        <v>-</v>
      </c>
      <c r="AC238" s="28" t="s">
        <v>329</v>
      </c>
      <c r="AD238" s="2" t="str">
        <f t="shared" si="365"/>
        <v>_</v>
      </c>
      <c r="AE238" s="28" t="s">
        <v>75</v>
      </c>
      <c r="AF238" s="2" t="str">
        <f t="shared" si="358"/>
        <v/>
      </c>
      <c r="AH238" s="2" t="str">
        <f t="shared" si="356"/>
        <v/>
      </c>
    </row>
    <row r="239" spans="2:35" x14ac:dyDescent="0.25">
      <c r="B239" s="2" t="str">
        <f t="shared" si="363"/>
        <v>@line_width-canal_z20</v>
      </c>
      <c r="C239" s="28" t="s">
        <v>86</v>
      </c>
      <c r="D239" s="28" t="s">
        <v>87</v>
      </c>
      <c r="F239" s="28" t="s">
        <v>86</v>
      </c>
      <c r="G239" s="28" t="s">
        <v>87</v>
      </c>
      <c r="I239" s="28" t="s">
        <v>86</v>
      </c>
      <c r="J239" s="28" t="s">
        <v>87</v>
      </c>
      <c r="L239" s="28" t="s">
        <v>86</v>
      </c>
      <c r="M239" s="28" t="s">
        <v>87</v>
      </c>
      <c r="O239" s="28" t="s">
        <v>86</v>
      </c>
      <c r="P239" s="28" t="s">
        <v>87</v>
      </c>
      <c r="R239" s="28" t="s">
        <v>86</v>
      </c>
      <c r="S239" s="28" t="s">
        <v>87</v>
      </c>
      <c r="U239" s="28" t="s">
        <v>86</v>
      </c>
      <c r="V239" s="28" t="s">
        <v>87</v>
      </c>
      <c r="X239" s="28" t="s">
        <v>86</v>
      </c>
      <c r="Y239" s="28" t="s">
        <v>87</v>
      </c>
      <c r="AA239" s="2" t="s">
        <v>119</v>
      </c>
      <c r="AB239" s="2" t="str">
        <f t="shared" si="364"/>
        <v>-</v>
      </c>
      <c r="AC239" s="28" t="s">
        <v>329</v>
      </c>
      <c r="AD239" s="2" t="str">
        <f t="shared" si="365"/>
        <v>_</v>
      </c>
      <c r="AE239" s="28" t="s">
        <v>139</v>
      </c>
      <c r="AF239" s="2" t="str">
        <f t="shared" si="358"/>
        <v/>
      </c>
      <c r="AH239" s="2" t="str">
        <f t="shared" si="356"/>
        <v/>
      </c>
    </row>
    <row r="240" spans="2:35" x14ac:dyDescent="0.25">
      <c r="B240" s="2"/>
      <c r="AA240" s="2"/>
      <c r="AB240" s="2"/>
      <c r="AD240" s="2"/>
      <c r="AF240" s="2"/>
      <c r="AH240" s="2"/>
    </row>
    <row r="241" spans="1:35" x14ac:dyDescent="0.25">
      <c r="B241" s="2" t="str">
        <f t="shared" ref="B241:B242" si="366">_xlfn.CONCAT("@",AA241,AB241,AC241,AD241,AE241,AF241,AG241,AH241,AI241)</f>
        <v>@line_width-river_z10</v>
      </c>
      <c r="C241" s="28" t="s">
        <v>96</v>
      </c>
      <c r="D241" s="28" t="s">
        <v>97</v>
      </c>
      <c r="F241" s="28" t="s">
        <v>96</v>
      </c>
      <c r="G241" s="28" t="s">
        <v>97</v>
      </c>
      <c r="I241" s="28" t="s">
        <v>96</v>
      </c>
      <c r="J241" s="28" t="s">
        <v>97</v>
      </c>
      <c r="L241" s="28" t="s">
        <v>96</v>
      </c>
      <c r="M241" s="28" t="s">
        <v>97</v>
      </c>
      <c r="O241" s="28" t="s">
        <v>96</v>
      </c>
      <c r="P241" s="28" t="s">
        <v>97</v>
      </c>
      <c r="R241" s="28" t="s">
        <v>96</v>
      </c>
      <c r="S241" s="28" t="s">
        <v>97</v>
      </c>
      <c r="U241" s="28" t="s">
        <v>96</v>
      </c>
      <c r="V241" s="28" t="s">
        <v>97</v>
      </c>
      <c r="X241" s="28" t="s">
        <v>96</v>
      </c>
      <c r="Y241" s="28" t="s">
        <v>97</v>
      </c>
      <c r="AA241" s="2" t="s">
        <v>119</v>
      </c>
      <c r="AB241" s="2" t="str">
        <f t="shared" ref="AB241:AB242" si="367">IF(NOT(ISBLANK(AC241)),"-","")</f>
        <v>-</v>
      </c>
      <c r="AC241" s="28" t="s">
        <v>331</v>
      </c>
      <c r="AD241" s="2" t="str">
        <f t="shared" ref="AD241:AD242" si="368">IF(NOT(ISBLANK(AE241)),"_","")</f>
        <v>_</v>
      </c>
      <c r="AE241" s="28" t="s">
        <v>103</v>
      </c>
      <c r="AF241" s="2" t="str">
        <f t="shared" si="358"/>
        <v/>
      </c>
      <c r="AH241" s="2" t="str">
        <f t="shared" si="356"/>
        <v/>
      </c>
    </row>
    <row r="242" spans="1:35" x14ac:dyDescent="0.25">
      <c r="B242" s="2" t="str">
        <f t="shared" si="366"/>
        <v>@line_width-river_z20</v>
      </c>
      <c r="C242" s="28" t="s">
        <v>86</v>
      </c>
      <c r="D242" s="28" t="s">
        <v>332</v>
      </c>
      <c r="F242" s="28" t="s">
        <v>86</v>
      </c>
      <c r="G242" s="28" t="s">
        <v>332</v>
      </c>
      <c r="I242" s="28" t="s">
        <v>86</v>
      </c>
      <c r="J242" s="28" t="s">
        <v>332</v>
      </c>
      <c r="L242" s="28" t="s">
        <v>86</v>
      </c>
      <c r="M242" s="28" t="s">
        <v>332</v>
      </c>
      <c r="O242" s="28" t="s">
        <v>86</v>
      </c>
      <c r="P242" s="28" t="s">
        <v>332</v>
      </c>
      <c r="R242" s="28" t="s">
        <v>86</v>
      </c>
      <c r="S242" s="28" t="s">
        <v>332</v>
      </c>
      <c r="U242" s="28" t="s">
        <v>86</v>
      </c>
      <c r="V242" s="28" t="s">
        <v>332</v>
      </c>
      <c r="X242" s="28" t="s">
        <v>86</v>
      </c>
      <c r="Y242" s="28" t="s">
        <v>332</v>
      </c>
      <c r="AA242" s="2" t="s">
        <v>119</v>
      </c>
      <c r="AB242" s="2" t="str">
        <f t="shared" si="367"/>
        <v>-</v>
      </c>
      <c r="AC242" s="28" t="s">
        <v>331</v>
      </c>
      <c r="AD242" s="2" t="str">
        <f t="shared" si="368"/>
        <v>_</v>
      </c>
      <c r="AE242" s="28" t="s">
        <v>139</v>
      </c>
      <c r="AF242" s="2" t="str">
        <f t="shared" si="358"/>
        <v/>
      </c>
      <c r="AH242" s="2" t="str">
        <f t="shared" si="356"/>
        <v/>
      </c>
    </row>
    <row r="243" spans="1:35" x14ac:dyDescent="0.25">
      <c r="B243" s="2"/>
      <c r="AA243" s="2"/>
      <c r="AB243" s="2"/>
      <c r="AD243" s="2"/>
      <c r="AF243" s="2"/>
      <c r="AH243" s="2"/>
    </row>
    <row r="244" spans="1:35" x14ac:dyDescent="0.25">
      <c r="AA244" s="2"/>
    </row>
    <row r="245" spans="1:35" s="2" customFormat="1" x14ac:dyDescent="0.25">
      <c r="A245" s="3" t="s">
        <v>252</v>
      </c>
      <c r="B245" s="3"/>
      <c r="C245" s="27"/>
      <c r="D245" s="6"/>
      <c r="E245" s="7"/>
      <c r="F245" s="6"/>
      <c r="G245" s="6"/>
      <c r="H245" s="7"/>
      <c r="I245" s="6"/>
      <c r="J245" s="6"/>
      <c r="K245" s="7"/>
      <c r="L245" s="6"/>
      <c r="M245" s="6"/>
      <c r="N245" s="7"/>
      <c r="O245" s="6"/>
      <c r="P245" s="6"/>
      <c r="Q245" s="7"/>
      <c r="R245" s="6"/>
      <c r="S245" s="6"/>
      <c r="T245" s="7"/>
      <c r="U245" s="6"/>
      <c r="V245" s="6"/>
      <c r="W245" s="7"/>
      <c r="X245" s="6"/>
      <c r="Y245" s="6"/>
      <c r="AA245" s="4"/>
      <c r="AB245" s="4" t="str">
        <f t="shared" si="249"/>
        <v/>
      </c>
      <c r="AC245" s="4"/>
      <c r="AD245" s="4" t="str">
        <f t="shared" si="250"/>
        <v/>
      </c>
      <c r="AE245" s="4"/>
      <c r="AF245" s="4" t="str">
        <f t="shared" si="251"/>
        <v/>
      </c>
      <c r="AG245" s="4"/>
      <c r="AH245" s="4" t="str">
        <f t="shared" ref="AH245:AH292" si="369">IF(NOT(ISBLANK(AI245)),"_","")</f>
        <v/>
      </c>
      <c r="AI245" s="4"/>
    </row>
    <row r="246" spans="1:35" x14ac:dyDescent="0.25">
      <c r="B246" s="2" t="str">
        <f t="shared" ref="B246:B270" si="370">_xlfn.CONCAT("@",AA246,AB246,AC246,AD246,AE246,AF246,AG246,AH246,AI246)</f>
        <v>@color-background</v>
      </c>
      <c r="C246" s="67" t="s">
        <v>192</v>
      </c>
      <c r="D246" s="38" t="s">
        <v>222</v>
      </c>
      <c r="F246" s="47" t="s">
        <v>214</v>
      </c>
      <c r="G246" s="47" t="s">
        <v>214</v>
      </c>
      <c r="I246" s="67" t="s">
        <v>192</v>
      </c>
      <c r="J246" s="38" t="s">
        <v>222</v>
      </c>
      <c r="L246" s="47" t="s">
        <v>214</v>
      </c>
      <c r="M246" s="47" t="s">
        <v>214</v>
      </c>
      <c r="U246" s="67" t="s">
        <v>192</v>
      </c>
      <c r="V246" s="38" t="s">
        <v>222</v>
      </c>
      <c r="X246" s="47" t="s">
        <v>214</v>
      </c>
      <c r="Y246" s="47" t="s">
        <v>214</v>
      </c>
      <c r="AA246" s="2" t="s">
        <v>6</v>
      </c>
      <c r="AB246" s="2" t="str">
        <f t="shared" si="249"/>
        <v>-</v>
      </c>
      <c r="AC246" s="2" t="s">
        <v>66</v>
      </c>
      <c r="AD246" s="2" t="str">
        <f t="shared" si="250"/>
        <v/>
      </c>
      <c r="AE246" s="2"/>
      <c r="AF246" s="2" t="str">
        <f t="shared" si="251"/>
        <v/>
      </c>
      <c r="AG246" s="2"/>
      <c r="AH246" s="2" t="str">
        <f t="shared" si="369"/>
        <v/>
      </c>
      <c r="AI246" s="2"/>
    </row>
    <row r="247" spans="1:35" x14ac:dyDescent="0.25">
      <c r="B247" s="2" t="str">
        <f t="shared" si="370"/>
        <v>@color-water</v>
      </c>
      <c r="C247" s="68" t="s">
        <v>193</v>
      </c>
      <c r="D247" s="69" t="s">
        <v>194</v>
      </c>
      <c r="F247" s="70" t="s">
        <v>235</v>
      </c>
      <c r="G247" s="70" t="s">
        <v>235</v>
      </c>
      <c r="I247" s="68" t="s">
        <v>193</v>
      </c>
      <c r="J247" s="69" t="s">
        <v>194</v>
      </c>
      <c r="L247" s="70" t="s">
        <v>235</v>
      </c>
      <c r="M247" s="70" t="s">
        <v>235</v>
      </c>
      <c r="U247" s="68" t="s">
        <v>193</v>
      </c>
      <c r="V247" s="69" t="s">
        <v>194</v>
      </c>
      <c r="X247" s="70" t="s">
        <v>235</v>
      </c>
      <c r="Y247" s="70" t="s">
        <v>235</v>
      </c>
      <c r="AA247" s="2" t="s">
        <v>6</v>
      </c>
      <c r="AB247" s="2" t="str">
        <f t="shared" si="249"/>
        <v>-</v>
      </c>
      <c r="AC247" s="2" t="s">
        <v>14</v>
      </c>
      <c r="AD247" s="2" t="str">
        <f t="shared" si="250"/>
        <v/>
      </c>
      <c r="AE247" s="2"/>
      <c r="AF247" s="2" t="str">
        <f t="shared" si="251"/>
        <v/>
      </c>
      <c r="AG247" s="2"/>
      <c r="AH247" s="2" t="str">
        <f t="shared" si="369"/>
        <v/>
      </c>
      <c r="AI247" s="2"/>
    </row>
    <row r="248" spans="1:35" x14ac:dyDescent="0.25">
      <c r="B248" s="2" t="str">
        <f t="shared" si="370"/>
        <v>@color-landcover_field</v>
      </c>
      <c r="C248" s="71" t="s">
        <v>195</v>
      </c>
      <c r="D248" s="72" t="s">
        <v>196</v>
      </c>
      <c r="F248" s="73" t="s">
        <v>238</v>
      </c>
      <c r="G248" s="73" t="s">
        <v>238</v>
      </c>
      <c r="I248" s="149" t="s">
        <v>368</v>
      </c>
      <c r="J248" s="72" t="s">
        <v>196</v>
      </c>
      <c r="L248" s="73" t="s">
        <v>238</v>
      </c>
      <c r="M248" s="73" t="s">
        <v>238</v>
      </c>
      <c r="U248" s="71" t="s">
        <v>195</v>
      </c>
      <c r="V248" s="72" t="s">
        <v>196</v>
      </c>
      <c r="X248" s="73" t="s">
        <v>238</v>
      </c>
      <c r="Y248" s="73" t="s">
        <v>238</v>
      </c>
      <c r="AA248" s="2" t="s">
        <v>6</v>
      </c>
      <c r="AB248" s="2" t="str">
        <f t="shared" si="249"/>
        <v>-</v>
      </c>
      <c r="AC248" s="2" t="s">
        <v>51</v>
      </c>
      <c r="AD248" s="2" t="str">
        <f t="shared" si="250"/>
        <v>_</v>
      </c>
      <c r="AE248" s="2" t="s">
        <v>46</v>
      </c>
      <c r="AF248" s="2" t="str">
        <f t="shared" si="251"/>
        <v/>
      </c>
      <c r="AG248" s="2"/>
      <c r="AH248" s="2" t="str">
        <f t="shared" si="369"/>
        <v/>
      </c>
      <c r="AI248" s="2"/>
    </row>
    <row r="249" spans="1:35" x14ac:dyDescent="0.25">
      <c r="B249" s="2" t="str">
        <f t="shared" si="370"/>
        <v>@color-landcover_meadow</v>
      </c>
      <c r="C249" s="74" t="s">
        <v>197</v>
      </c>
      <c r="D249" s="75" t="s">
        <v>198</v>
      </c>
      <c r="F249" s="76" t="s">
        <v>237</v>
      </c>
      <c r="G249" s="76" t="s">
        <v>237</v>
      </c>
      <c r="I249" s="150" t="s">
        <v>369</v>
      </c>
      <c r="J249" s="75" t="s">
        <v>198</v>
      </c>
      <c r="L249" s="76" t="s">
        <v>237</v>
      </c>
      <c r="M249" s="76" t="s">
        <v>237</v>
      </c>
      <c r="U249" s="74" t="s">
        <v>197</v>
      </c>
      <c r="V249" s="75" t="s">
        <v>198</v>
      </c>
      <c r="X249" s="76" t="s">
        <v>237</v>
      </c>
      <c r="Y249" s="76" t="s">
        <v>237</v>
      </c>
      <c r="AA249" s="2" t="s">
        <v>6</v>
      </c>
      <c r="AB249" s="2" t="str">
        <f t="shared" si="249"/>
        <v>-</v>
      </c>
      <c r="AC249" s="2" t="s">
        <v>51</v>
      </c>
      <c r="AD249" s="2" t="str">
        <f t="shared" si="250"/>
        <v>_</v>
      </c>
      <c r="AE249" s="2" t="s">
        <v>47</v>
      </c>
      <c r="AF249" s="2" t="str">
        <f t="shared" si="251"/>
        <v/>
      </c>
      <c r="AG249" s="2"/>
      <c r="AH249" s="2" t="str">
        <f t="shared" si="369"/>
        <v/>
      </c>
      <c r="AI249" s="2"/>
    </row>
    <row r="250" spans="1:35" x14ac:dyDescent="0.25">
      <c r="B250" s="2" t="str">
        <f t="shared" si="370"/>
        <v>@color-landcover_bare_rock</v>
      </c>
      <c r="C250" s="77" t="s">
        <v>199</v>
      </c>
      <c r="D250" s="77" t="s">
        <v>199</v>
      </c>
      <c r="F250" s="78" t="s">
        <v>242</v>
      </c>
      <c r="G250" s="78" t="s">
        <v>242</v>
      </c>
      <c r="I250" s="77" t="s">
        <v>199</v>
      </c>
      <c r="J250" s="77" t="s">
        <v>199</v>
      </c>
      <c r="L250" s="78" t="s">
        <v>242</v>
      </c>
      <c r="M250" s="78" t="s">
        <v>242</v>
      </c>
      <c r="U250" s="77" t="s">
        <v>199</v>
      </c>
      <c r="V250" s="77" t="s">
        <v>199</v>
      </c>
      <c r="X250" s="78" t="s">
        <v>242</v>
      </c>
      <c r="Y250" s="78" t="s">
        <v>242</v>
      </c>
      <c r="AA250" s="2" t="s">
        <v>6</v>
      </c>
      <c r="AB250" s="2" t="str">
        <f t="shared" si="249"/>
        <v>-</v>
      </c>
      <c r="AC250" s="2" t="s">
        <v>51</v>
      </c>
      <c r="AD250" s="2" t="str">
        <f t="shared" si="250"/>
        <v>_</v>
      </c>
      <c r="AE250" s="2" t="s">
        <v>48</v>
      </c>
      <c r="AF250" s="2" t="str">
        <f t="shared" si="251"/>
        <v/>
      </c>
      <c r="AG250" s="2"/>
      <c r="AH250" s="2" t="str">
        <f t="shared" si="369"/>
        <v/>
      </c>
      <c r="AI250" s="2"/>
    </row>
    <row r="251" spans="1:35" x14ac:dyDescent="0.25">
      <c r="B251" s="2" t="str">
        <f t="shared" si="370"/>
        <v>@color-landcover_sand</v>
      </c>
      <c r="C251" s="79" t="s">
        <v>200</v>
      </c>
      <c r="D251" s="38" t="s">
        <v>222</v>
      </c>
      <c r="F251" s="80" t="s">
        <v>243</v>
      </c>
      <c r="G251" s="47" t="s">
        <v>214</v>
      </c>
      <c r="I251" s="79" t="s">
        <v>200</v>
      </c>
      <c r="J251" s="38" t="s">
        <v>222</v>
      </c>
      <c r="L251" s="80" t="s">
        <v>243</v>
      </c>
      <c r="M251" s="47" t="s">
        <v>214</v>
      </c>
      <c r="U251" s="79" t="s">
        <v>200</v>
      </c>
      <c r="V251" s="38" t="s">
        <v>222</v>
      </c>
      <c r="X251" s="80" t="s">
        <v>243</v>
      </c>
      <c r="Y251" s="47" t="s">
        <v>214</v>
      </c>
      <c r="AA251" s="2" t="s">
        <v>6</v>
      </c>
      <c r="AB251" s="2" t="str">
        <f t="shared" si="249"/>
        <v>-</v>
      </c>
      <c r="AC251" s="2" t="s">
        <v>51</v>
      </c>
      <c r="AD251" s="2" t="str">
        <f t="shared" si="250"/>
        <v>_</v>
      </c>
      <c r="AE251" s="2" t="s">
        <v>49</v>
      </c>
      <c r="AF251" s="2" t="str">
        <f t="shared" si="251"/>
        <v/>
      </c>
      <c r="AG251" s="2"/>
      <c r="AH251" s="2" t="str">
        <f t="shared" si="369"/>
        <v/>
      </c>
      <c r="AI251" s="2"/>
    </row>
    <row r="252" spans="1:35" x14ac:dyDescent="0.25">
      <c r="B252" s="2" t="str">
        <f t="shared" si="370"/>
        <v>@color-landcover_allotments</v>
      </c>
      <c r="C252" s="81" t="s">
        <v>201</v>
      </c>
      <c r="D252" s="81" t="s">
        <v>201</v>
      </c>
      <c r="F252" s="82" t="s">
        <v>244</v>
      </c>
      <c r="G252" s="82" t="s">
        <v>244</v>
      </c>
      <c r="I252" s="81" t="s">
        <v>201</v>
      </c>
      <c r="J252" s="81" t="s">
        <v>201</v>
      </c>
      <c r="L252" s="82" t="s">
        <v>244</v>
      </c>
      <c r="M252" s="82" t="s">
        <v>244</v>
      </c>
      <c r="U252" s="81" t="s">
        <v>201</v>
      </c>
      <c r="V252" s="81" t="s">
        <v>201</v>
      </c>
      <c r="X252" s="82" t="s">
        <v>244</v>
      </c>
      <c r="Y252" s="82" t="s">
        <v>244</v>
      </c>
      <c r="AA252" s="2" t="s">
        <v>6</v>
      </c>
      <c r="AB252" s="2" t="str">
        <f t="shared" si="249"/>
        <v>-</v>
      </c>
      <c r="AC252" s="2" t="s">
        <v>51</v>
      </c>
      <c r="AD252" s="2" t="str">
        <f t="shared" si="250"/>
        <v>_</v>
      </c>
      <c r="AE252" s="2" t="s">
        <v>50</v>
      </c>
      <c r="AF252" s="2" t="str">
        <f t="shared" si="251"/>
        <v/>
      </c>
      <c r="AG252" s="2"/>
      <c r="AH252" s="2" t="str">
        <f t="shared" si="369"/>
        <v/>
      </c>
      <c r="AI252" s="2"/>
    </row>
    <row r="253" spans="1:35" x14ac:dyDescent="0.25">
      <c r="B253" s="2" t="str">
        <f t="shared" si="370"/>
        <v>@color-landcover_heath_fell</v>
      </c>
      <c r="C253" s="83" t="s">
        <v>202</v>
      </c>
      <c r="D253" s="38" t="s">
        <v>222</v>
      </c>
      <c r="F253" s="84" t="s">
        <v>245</v>
      </c>
      <c r="G253" s="47" t="s">
        <v>214</v>
      </c>
      <c r="I253" s="83" t="s">
        <v>202</v>
      </c>
      <c r="J253" s="38" t="s">
        <v>222</v>
      </c>
      <c r="L253" s="84" t="s">
        <v>245</v>
      </c>
      <c r="M253" s="47" t="s">
        <v>214</v>
      </c>
      <c r="U253" s="83" t="s">
        <v>202</v>
      </c>
      <c r="V253" s="38" t="s">
        <v>222</v>
      </c>
      <c r="X253" s="84" t="s">
        <v>245</v>
      </c>
      <c r="Y253" s="47" t="s">
        <v>214</v>
      </c>
      <c r="AA253" s="2" t="s">
        <v>6</v>
      </c>
      <c r="AB253" s="2" t="str">
        <f t="shared" si="249"/>
        <v>-</v>
      </c>
      <c r="AC253" s="2" t="s">
        <v>51</v>
      </c>
      <c r="AD253" s="2" t="str">
        <f t="shared" si="250"/>
        <v>_</v>
      </c>
      <c r="AE253" s="2" t="s">
        <v>52</v>
      </c>
      <c r="AF253" s="2" t="str">
        <f t="shared" si="251"/>
        <v/>
      </c>
      <c r="AG253" s="2"/>
      <c r="AH253" s="2" t="str">
        <f t="shared" si="369"/>
        <v/>
      </c>
      <c r="AI253" s="2"/>
    </row>
    <row r="254" spans="1:35" x14ac:dyDescent="0.25">
      <c r="B254" s="2" t="str">
        <f t="shared" si="370"/>
        <v>@color-landcover_grass</v>
      </c>
      <c r="C254" s="85" t="s">
        <v>203</v>
      </c>
      <c r="D254" s="38" t="s">
        <v>222</v>
      </c>
      <c r="F254" s="86" t="s">
        <v>275</v>
      </c>
      <c r="G254" s="47" t="s">
        <v>214</v>
      </c>
      <c r="I254" s="85" t="s">
        <v>203</v>
      </c>
      <c r="J254" s="38" t="s">
        <v>222</v>
      </c>
      <c r="L254" s="86" t="s">
        <v>275</v>
      </c>
      <c r="M254" s="47" t="s">
        <v>214</v>
      </c>
      <c r="U254" s="85" t="s">
        <v>203</v>
      </c>
      <c r="V254" s="38" t="s">
        <v>222</v>
      </c>
      <c r="X254" s="86" t="s">
        <v>275</v>
      </c>
      <c r="Y254" s="47" t="s">
        <v>214</v>
      </c>
      <c r="AA254" s="2" t="s">
        <v>6</v>
      </c>
      <c r="AB254" s="2" t="str">
        <f t="shared" si="249"/>
        <v>-</v>
      </c>
      <c r="AC254" s="2" t="s">
        <v>51</v>
      </c>
      <c r="AD254" s="2" t="str">
        <f t="shared" si="250"/>
        <v>_</v>
      </c>
      <c r="AE254" s="2" t="s">
        <v>53</v>
      </c>
      <c r="AF254" s="2" t="str">
        <f t="shared" si="251"/>
        <v/>
      </c>
      <c r="AG254" s="2"/>
      <c r="AH254" s="2" t="str">
        <f t="shared" si="369"/>
        <v/>
      </c>
      <c r="AI254" s="2"/>
    </row>
    <row r="255" spans="1:35" x14ac:dyDescent="0.25">
      <c r="B255" s="2" t="str">
        <f t="shared" si="370"/>
        <v>@color-landcover_quarry</v>
      </c>
      <c r="C255" s="87" t="s">
        <v>204</v>
      </c>
      <c r="D255" s="87" t="s">
        <v>204</v>
      </c>
      <c r="F255" s="88" t="s">
        <v>246</v>
      </c>
      <c r="G255" s="88" t="s">
        <v>246</v>
      </c>
      <c r="I255" s="87" t="s">
        <v>204</v>
      </c>
      <c r="J255" s="87" t="s">
        <v>204</v>
      </c>
      <c r="L255" s="88" t="s">
        <v>246</v>
      </c>
      <c r="M255" s="88" t="s">
        <v>246</v>
      </c>
      <c r="U255" s="87" t="s">
        <v>204</v>
      </c>
      <c r="V255" s="87" t="s">
        <v>204</v>
      </c>
      <c r="X255" s="88" t="s">
        <v>246</v>
      </c>
      <c r="Y255" s="88" t="s">
        <v>246</v>
      </c>
      <c r="AA255" s="2" t="s">
        <v>6</v>
      </c>
      <c r="AB255" s="2" t="str">
        <f t="shared" si="249"/>
        <v>-</v>
      </c>
      <c r="AC255" s="2" t="s">
        <v>51</v>
      </c>
      <c r="AD255" s="2" t="str">
        <f t="shared" si="250"/>
        <v>_</v>
      </c>
      <c r="AE255" s="2" t="s">
        <v>54</v>
      </c>
      <c r="AF255" s="2" t="str">
        <f t="shared" si="251"/>
        <v/>
      </c>
      <c r="AG255" s="2"/>
      <c r="AH255" s="2" t="str">
        <f t="shared" si="369"/>
        <v/>
      </c>
      <c r="AI255" s="2"/>
    </row>
    <row r="256" spans="1:35" x14ac:dyDescent="0.25">
      <c r="B256" s="2" t="str">
        <f t="shared" si="370"/>
        <v>@color-landcover_storage</v>
      </c>
      <c r="C256" s="89" t="s">
        <v>205</v>
      </c>
      <c r="D256" s="89" t="s">
        <v>205</v>
      </c>
      <c r="F256" s="90" t="s">
        <v>260</v>
      </c>
      <c r="G256" s="90" t="s">
        <v>260</v>
      </c>
      <c r="I256" s="89" t="s">
        <v>205</v>
      </c>
      <c r="J256" s="89" t="s">
        <v>205</v>
      </c>
      <c r="L256" s="90" t="s">
        <v>260</v>
      </c>
      <c r="M256" s="90" t="s">
        <v>260</v>
      </c>
      <c r="U256" s="89" t="s">
        <v>205</v>
      </c>
      <c r="V256" s="89" t="s">
        <v>205</v>
      </c>
      <c r="X256" s="90" t="s">
        <v>260</v>
      </c>
      <c r="Y256" s="90" t="s">
        <v>260</v>
      </c>
      <c r="AA256" s="2" t="s">
        <v>6</v>
      </c>
      <c r="AB256" s="2" t="str">
        <f t="shared" si="249"/>
        <v>-</v>
      </c>
      <c r="AC256" s="2" t="s">
        <v>51</v>
      </c>
      <c r="AD256" s="2" t="str">
        <f t="shared" si="250"/>
        <v>_</v>
      </c>
      <c r="AE256" s="2" t="s">
        <v>55</v>
      </c>
      <c r="AF256" s="2" t="str">
        <f t="shared" si="251"/>
        <v/>
      </c>
      <c r="AG256" s="2"/>
      <c r="AH256" s="2" t="str">
        <f t="shared" si="369"/>
        <v/>
      </c>
      <c r="AI256" s="2"/>
    </row>
    <row r="257" spans="1:35" x14ac:dyDescent="0.25">
      <c r="B257" s="2" t="str">
        <f t="shared" si="370"/>
        <v>@color-landcover_wood</v>
      </c>
      <c r="C257" s="91" t="s">
        <v>206</v>
      </c>
      <c r="D257" s="91" t="s">
        <v>206</v>
      </c>
      <c r="F257" s="92" t="s">
        <v>236</v>
      </c>
      <c r="G257" s="92" t="s">
        <v>236</v>
      </c>
      <c r="I257" s="91" t="s">
        <v>206</v>
      </c>
      <c r="J257" s="91" t="s">
        <v>206</v>
      </c>
      <c r="L257" s="92" t="s">
        <v>236</v>
      </c>
      <c r="M257" s="92" t="s">
        <v>236</v>
      </c>
      <c r="U257" s="91" t="s">
        <v>206</v>
      </c>
      <c r="V257" s="91" t="s">
        <v>206</v>
      </c>
      <c r="X257" s="92" t="s">
        <v>236</v>
      </c>
      <c r="Y257" s="92" t="s">
        <v>236</v>
      </c>
      <c r="AA257" s="2" t="s">
        <v>6</v>
      </c>
      <c r="AB257" s="2" t="str">
        <f t="shared" si="249"/>
        <v>-</v>
      </c>
      <c r="AC257" s="2" t="s">
        <v>51</v>
      </c>
      <c r="AD257" s="2" t="str">
        <f t="shared" si="250"/>
        <v>_</v>
      </c>
      <c r="AE257" s="2" t="s">
        <v>56</v>
      </c>
      <c r="AF257" s="2" t="str">
        <f t="shared" si="251"/>
        <v/>
      </c>
      <c r="AG257" s="2"/>
      <c r="AH257" s="2" t="str">
        <f t="shared" si="369"/>
        <v/>
      </c>
      <c r="AI257" s="2"/>
    </row>
    <row r="258" spans="1:35" x14ac:dyDescent="0.25">
      <c r="B258" s="2" t="str">
        <f t="shared" si="370"/>
        <v>@color-landcover_parking_area</v>
      </c>
      <c r="C258" s="93" t="s">
        <v>207</v>
      </c>
      <c r="D258" s="93" t="s">
        <v>207</v>
      </c>
      <c r="F258" s="94" t="s">
        <v>247</v>
      </c>
      <c r="G258" s="94" t="s">
        <v>247</v>
      </c>
      <c r="I258" s="93" t="s">
        <v>207</v>
      </c>
      <c r="J258" s="93" t="s">
        <v>207</v>
      </c>
      <c r="L258" s="94" t="s">
        <v>247</v>
      </c>
      <c r="M258" s="94" t="s">
        <v>247</v>
      </c>
      <c r="U258" s="93" t="s">
        <v>207</v>
      </c>
      <c r="V258" s="93" t="s">
        <v>207</v>
      </c>
      <c r="X258" s="94" t="s">
        <v>247</v>
      </c>
      <c r="Y258" s="94" t="s">
        <v>247</v>
      </c>
      <c r="AA258" s="2" t="s">
        <v>6</v>
      </c>
      <c r="AB258" s="2" t="str">
        <f t="shared" si="249"/>
        <v>-</v>
      </c>
      <c r="AC258" s="2" t="s">
        <v>51</v>
      </c>
      <c r="AD258" s="2" t="str">
        <f t="shared" si="250"/>
        <v>_</v>
      </c>
      <c r="AE258" s="2" t="s">
        <v>57</v>
      </c>
      <c r="AF258" s="2" t="str">
        <f t="shared" si="251"/>
        <v/>
      </c>
      <c r="AG258" s="2"/>
      <c r="AH258" s="2" t="str">
        <f t="shared" si="369"/>
        <v/>
      </c>
      <c r="AI258" s="2"/>
    </row>
    <row r="259" spans="1:35" x14ac:dyDescent="0.25">
      <c r="B259" s="2" t="str">
        <f t="shared" si="370"/>
        <v>@color-landcover_railway</v>
      </c>
      <c r="C259" s="95" t="s">
        <v>208</v>
      </c>
      <c r="D259" s="95" t="s">
        <v>208</v>
      </c>
      <c r="F259" s="96" t="s">
        <v>248</v>
      </c>
      <c r="G259" s="96" t="s">
        <v>248</v>
      </c>
      <c r="I259" s="95" t="s">
        <v>208</v>
      </c>
      <c r="J259" s="95" t="s">
        <v>208</v>
      </c>
      <c r="L259" s="96" t="s">
        <v>248</v>
      </c>
      <c r="M259" s="96" t="s">
        <v>248</v>
      </c>
      <c r="U259" s="95" t="s">
        <v>208</v>
      </c>
      <c r="V259" s="95" t="s">
        <v>208</v>
      </c>
      <c r="X259" s="96" t="s">
        <v>248</v>
      </c>
      <c r="Y259" s="96" t="s">
        <v>248</v>
      </c>
      <c r="AA259" s="2" t="s">
        <v>6</v>
      </c>
      <c r="AB259" s="2" t="str">
        <f t="shared" si="249"/>
        <v>-</v>
      </c>
      <c r="AC259" s="2" t="s">
        <v>51</v>
      </c>
      <c r="AD259" s="2" t="str">
        <f t="shared" si="250"/>
        <v>_</v>
      </c>
      <c r="AE259" s="2" t="s">
        <v>58</v>
      </c>
      <c r="AF259" s="2" t="str">
        <f t="shared" si="251"/>
        <v/>
      </c>
      <c r="AG259" s="2"/>
      <c r="AH259" s="2" t="str">
        <f t="shared" si="369"/>
        <v/>
      </c>
      <c r="AI259" s="2"/>
    </row>
    <row r="260" spans="1:35" x14ac:dyDescent="0.25">
      <c r="B260" s="2" t="str">
        <f t="shared" si="370"/>
        <v>@color-landcover_school</v>
      </c>
      <c r="C260" s="97" t="s">
        <v>210</v>
      </c>
      <c r="D260" s="97" t="s">
        <v>210</v>
      </c>
      <c r="F260" s="90" t="s">
        <v>260</v>
      </c>
      <c r="G260" s="90" t="s">
        <v>260</v>
      </c>
      <c r="I260" s="97" t="s">
        <v>210</v>
      </c>
      <c r="J260" s="97" t="s">
        <v>210</v>
      </c>
      <c r="L260" s="90" t="s">
        <v>260</v>
      </c>
      <c r="M260" s="90" t="s">
        <v>260</v>
      </c>
      <c r="U260" s="97" t="s">
        <v>210</v>
      </c>
      <c r="V260" s="97" t="s">
        <v>210</v>
      </c>
      <c r="X260" s="90" t="s">
        <v>260</v>
      </c>
      <c r="Y260" s="90" t="s">
        <v>260</v>
      </c>
      <c r="AA260" s="2" t="s">
        <v>6</v>
      </c>
      <c r="AB260" s="2" t="str">
        <f t="shared" si="249"/>
        <v>-</v>
      </c>
      <c r="AC260" s="2" t="s">
        <v>51</v>
      </c>
      <c r="AD260" s="2" t="str">
        <f t="shared" si="250"/>
        <v>_</v>
      </c>
      <c r="AE260" s="2" t="s">
        <v>59</v>
      </c>
      <c r="AF260" s="2" t="str">
        <f t="shared" si="251"/>
        <v/>
      </c>
      <c r="AG260" s="2"/>
      <c r="AH260" s="2" t="str">
        <f t="shared" si="369"/>
        <v/>
      </c>
      <c r="AI260" s="2"/>
    </row>
    <row r="261" spans="1:35" x14ac:dyDescent="0.25">
      <c r="B261" s="2" t="str">
        <f t="shared" si="370"/>
        <v>@color-landcover_cemetery</v>
      </c>
      <c r="C261" s="98" t="s">
        <v>209</v>
      </c>
      <c r="D261" s="98" t="s">
        <v>209</v>
      </c>
      <c r="F261" s="99" t="s">
        <v>249</v>
      </c>
      <c r="G261" s="99" t="s">
        <v>249</v>
      </c>
      <c r="I261" s="98" t="s">
        <v>209</v>
      </c>
      <c r="J261" s="98" t="s">
        <v>209</v>
      </c>
      <c r="L261" s="99" t="s">
        <v>249</v>
      </c>
      <c r="M261" s="99" t="s">
        <v>249</v>
      </c>
      <c r="U261" s="98" t="s">
        <v>209</v>
      </c>
      <c r="V261" s="98" t="s">
        <v>209</v>
      </c>
      <c r="X261" s="99" t="s">
        <v>249</v>
      </c>
      <c r="Y261" s="99" t="s">
        <v>249</v>
      </c>
      <c r="AA261" s="2" t="s">
        <v>6</v>
      </c>
      <c r="AB261" s="2" t="str">
        <f t="shared" si="249"/>
        <v>-</v>
      </c>
      <c r="AC261" s="2" t="s">
        <v>51</v>
      </c>
      <c r="AD261" s="2" t="str">
        <f t="shared" si="250"/>
        <v>_</v>
      </c>
      <c r="AE261" s="2" t="s">
        <v>61</v>
      </c>
      <c r="AF261" s="2" t="str">
        <f t="shared" si="251"/>
        <v/>
      </c>
      <c r="AG261" s="2"/>
      <c r="AH261" s="2" t="str">
        <f t="shared" si="369"/>
        <v/>
      </c>
      <c r="AI261" s="2"/>
    </row>
    <row r="262" spans="1:35" x14ac:dyDescent="0.25">
      <c r="B262" s="2" t="str">
        <f t="shared" si="370"/>
        <v>@color-landcover_hospital</v>
      </c>
      <c r="C262" s="97" t="s">
        <v>210</v>
      </c>
      <c r="D262" s="97" t="s">
        <v>210</v>
      </c>
      <c r="F262" s="90" t="s">
        <v>260</v>
      </c>
      <c r="G262" s="90" t="s">
        <v>260</v>
      </c>
      <c r="I262" s="97" t="s">
        <v>210</v>
      </c>
      <c r="J262" s="97" t="s">
        <v>210</v>
      </c>
      <c r="L262" s="90" t="s">
        <v>260</v>
      </c>
      <c r="M262" s="90" t="s">
        <v>260</v>
      </c>
      <c r="U262" s="97" t="s">
        <v>210</v>
      </c>
      <c r="V262" s="97" t="s">
        <v>210</v>
      </c>
      <c r="X262" s="90" t="s">
        <v>260</v>
      </c>
      <c r="Y262" s="90" t="s">
        <v>260</v>
      </c>
      <c r="AA262" s="2" t="s">
        <v>6</v>
      </c>
      <c r="AB262" s="2" t="str">
        <f t="shared" si="249"/>
        <v>-</v>
      </c>
      <c r="AC262" s="2" t="s">
        <v>51</v>
      </c>
      <c r="AD262" s="2" t="str">
        <f t="shared" si="250"/>
        <v>_</v>
      </c>
      <c r="AE262" s="2" t="s">
        <v>60</v>
      </c>
      <c r="AF262" s="2" t="str">
        <f t="shared" si="251"/>
        <v/>
      </c>
      <c r="AG262" s="2"/>
      <c r="AH262" s="2" t="str">
        <f t="shared" si="369"/>
        <v/>
      </c>
      <c r="AI262" s="2"/>
    </row>
    <row r="263" spans="1:35" x14ac:dyDescent="0.25">
      <c r="B263" s="2" t="str">
        <f t="shared" si="370"/>
        <v>@color-landcover_industrial</v>
      </c>
      <c r="C263" s="97" t="s">
        <v>210</v>
      </c>
      <c r="D263" s="97" t="s">
        <v>210</v>
      </c>
      <c r="F263" s="90" t="s">
        <v>260</v>
      </c>
      <c r="G263" s="90" t="s">
        <v>260</v>
      </c>
      <c r="I263" s="97" t="s">
        <v>210</v>
      </c>
      <c r="J263" s="97" t="s">
        <v>210</v>
      </c>
      <c r="L263" s="90" t="s">
        <v>260</v>
      </c>
      <c r="M263" s="90" t="s">
        <v>260</v>
      </c>
      <c r="U263" s="97" t="s">
        <v>210</v>
      </c>
      <c r="V263" s="97" t="s">
        <v>210</v>
      </c>
      <c r="X263" s="90" t="s">
        <v>260</v>
      </c>
      <c r="Y263" s="90" t="s">
        <v>260</v>
      </c>
      <c r="AA263" s="2" t="s">
        <v>6</v>
      </c>
      <c r="AB263" s="2" t="str">
        <f t="shared" si="249"/>
        <v>-</v>
      </c>
      <c r="AC263" s="2" t="s">
        <v>51</v>
      </c>
      <c r="AD263" s="2" t="str">
        <f t="shared" si="250"/>
        <v>_</v>
      </c>
      <c r="AE263" s="2" t="s">
        <v>62</v>
      </c>
      <c r="AF263" s="2" t="str">
        <f t="shared" si="251"/>
        <v/>
      </c>
      <c r="AG263" s="2"/>
      <c r="AH263" s="2" t="str">
        <f t="shared" si="369"/>
        <v/>
      </c>
      <c r="AI263" s="2"/>
    </row>
    <row r="264" spans="1:35" x14ac:dyDescent="0.25">
      <c r="B264" s="2" t="str">
        <f t="shared" si="370"/>
        <v>@color-landcover_commercial</v>
      </c>
      <c r="C264" s="97" t="s">
        <v>210</v>
      </c>
      <c r="D264" s="97" t="s">
        <v>210</v>
      </c>
      <c r="F264" s="90" t="s">
        <v>260</v>
      </c>
      <c r="G264" s="90" t="s">
        <v>260</v>
      </c>
      <c r="I264" s="97" t="s">
        <v>210</v>
      </c>
      <c r="J264" s="97" t="s">
        <v>210</v>
      </c>
      <c r="L264" s="90" t="s">
        <v>260</v>
      </c>
      <c r="M264" s="90" t="s">
        <v>260</v>
      </c>
      <c r="U264" s="97" t="s">
        <v>210</v>
      </c>
      <c r="V264" s="97" t="s">
        <v>210</v>
      </c>
      <c r="X264" s="90" t="s">
        <v>260</v>
      </c>
      <c r="Y264" s="90" t="s">
        <v>260</v>
      </c>
      <c r="AA264" s="2" t="s">
        <v>6</v>
      </c>
      <c r="AB264" s="2" t="str">
        <f t="shared" si="249"/>
        <v>-</v>
      </c>
      <c r="AC264" s="2" t="s">
        <v>51</v>
      </c>
      <c r="AD264" s="2" t="str">
        <f t="shared" si="250"/>
        <v>_</v>
      </c>
      <c r="AE264" s="2" t="s">
        <v>63</v>
      </c>
      <c r="AF264" s="2" t="str">
        <f t="shared" si="251"/>
        <v/>
      </c>
      <c r="AG264" s="2"/>
      <c r="AH264" s="2" t="str">
        <f t="shared" si="369"/>
        <v/>
      </c>
      <c r="AI264" s="2"/>
    </row>
    <row r="265" spans="1:35" x14ac:dyDescent="0.25">
      <c r="B265" s="2" t="str">
        <f t="shared" si="370"/>
        <v>@color-landcover_residential</v>
      </c>
      <c r="C265" s="97" t="s">
        <v>210</v>
      </c>
      <c r="D265" s="97" t="s">
        <v>210</v>
      </c>
      <c r="F265" s="90" t="s">
        <v>260</v>
      </c>
      <c r="G265" s="90" t="s">
        <v>260</v>
      </c>
      <c r="I265" s="97" t="s">
        <v>210</v>
      </c>
      <c r="J265" s="97" t="s">
        <v>210</v>
      </c>
      <c r="L265" s="90" t="s">
        <v>260</v>
      </c>
      <c r="M265" s="90" t="s">
        <v>260</v>
      </c>
      <c r="U265" s="97" t="s">
        <v>210</v>
      </c>
      <c r="V265" s="97" t="s">
        <v>210</v>
      </c>
      <c r="X265" s="90" t="s">
        <v>260</v>
      </c>
      <c r="Y265" s="90" t="s">
        <v>260</v>
      </c>
      <c r="AA265" s="2" t="s">
        <v>6</v>
      </c>
      <c r="AB265" s="2" t="str">
        <f t="shared" si="249"/>
        <v>-</v>
      </c>
      <c r="AC265" s="2" t="s">
        <v>51</v>
      </c>
      <c r="AD265" s="2" t="str">
        <f t="shared" si="250"/>
        <v>_</v>
      </c>
      <c r="AE265" s="2" t="s">
        <v>64</v>
      </c>
      <c r="AF265" s="2" t="str">
        <f t="shared" si="251"/>
        <v/>
      </c>
      <c r="AG265" s="2"/>
      <c r="AH265" s="2" t="str">
        <f t="shared" si="369"/>
        <v/>
      </c>
      <c r="AI265" s="2"/>
    </row>
    <row r="266" spans="1:35" x14ac:dyDescent="0.25">
      <c r="B266" s="2" t="str">
        <f t="shared" si="370"/>
        <v>@color-landcover_built-up</v>
      </c>
      <c r="C266" s="97" t="s">
        <v>210</v>
      </c>
      <c r="D266" s="97" t="s">
        <v>210</v>
      </c>
      <c r="F266" s="90" t="s">
        <v>260</v>
      </c>
      <c r="G266" s="90" t="s">
        <v>260</v>
      </c>
      <c r="I266" s="97" t="s">
        <v>210</v>
      </c>
      <c r="J266" s="97" t="s">
        <v>210</v>
      </c>
      <c r="L266" s="90" t="s">
        <v>260</v>
      </c>
      <c r="M266" s="90" t="s">
        <v>260</v>
      </c>
      <c r="U266" s="97" t="s">
        <v>210</v>
      </c>
      <c r="V266" s="97" t="s">
        <v>210</v>
      </c>
      <c r="X266" s="90" t="s">
        <v>260</v>
      </c>
      <c r="Y266" s="90" t="s">
        <v>260</v>
      </c>
      <c r="AA266" s="2" t="s">
        <v>6</v>
      </c>
      <c r="AB266" s="2" t="str">
        <f t="shared" si="249"/>
        <v>-</v>
      </c>
      <c r="AC266" s="2" t="s">
        <v>51</v>
      </c>
      <c r="AD266" s="2" t="str">
        <f t="shared" si="250"/>
        <v>_</v>
      </c>
      <c r="AE266" s="2" t="s">
        <v>65</v>
      </c>
      <c r="AF266" s="2" t="str">
        <f t="shared" si="251"/>
        <v/>
      </c>
      <c r="AG266" s="2"/>
      <c r="AH266" s="2" t="str">
        <f t="shared" si="369"/>
        <v/>
      </c>
      <c r="AI266" s="2"/>
    </row>
    <row r="267" spans="1:35" x14ac:dyDescent="0.25">
      <c r="B267" s="2" t="str">
        <f t="shared" si="370"/>
        <v>@color-landcover_ice_shelf</v>
      </c>
      <c r="C267" s="67" t="s">
        <v>192</v>
      </c>
      <c r="D267" s="67" t="s">
        <v>192</v>
      </c>
      <c r="F267" s="100" t="s">
        <v>250</v>
      </c>
      <c r="G267" s="100" t="s">
        <v>250</v>
      </c>
      <c r="I267" s="67" t="s">
        <v>192</v>
      </c>
      <c r="J267" s="67" t="s">
        <v>192</v>
      </c>
      <c r="L267" s="100" t="s">
        <v>250</v>
      </c>
      <c r="M267" s="100" t="s">
        <v>250</v>
      </c>
      <c r="U267" s="67" t="s">
        <v>192</v>
      </c>
      <c r="V267" s="67" t="s">
        <v>192</v>
      </c>
      <c r="X267" s="100" t="s">
        <v>250</v>
      </c>
      <c r="Y267" s="100" t="s">
        <v>250</v>
      </c>
      <c r="AA267" s="2" t="s">
        <v>6</v>
      </c>
      <c r="AB267" s="2" t="str">
        <f t="shared" ref="AB267:AB277" si="371">IF(NOT(ISBLANK(AC267)),"-","")</f>
        <v>-</v>
      </c>
      <c r="AC267" s="2" t="s">
        <v>51</v>
      </c>
      <c r="AD267" s="2" t="str">
        <f t="shared" ref="AD267:AD277" si="372">IF(NOT(ISBLANK(AE267)),"_","")</f>
        <v>_</v>
      </c>
      <c r="AE267" s="2" t="s">
        <v>239</v>
      </c>
      <c r="AF267" s="2" t="str">
        <f t="shared" ref="AF267:AF277" si="373">IF(NOT(ISBLANK(AG267)),"_","")</f>
        <v/>
      </c>
      <c r="AG267" s="2"/>
      <c r="AH267" s="2" t="str">
        <f t="shared" si="369"/>
        <v/>
      </c>
      <c r="AI267" s="2"/>
    </row>
    <row r="268" spans="1:35" x14ac:dyDescent="0.25">
      <c r="B268" s="2" t="str">
        <f t="shared" si="370"/>
        <v>@color-landcover_glacier</v>
      </c>
      <c r="C268" s="67" t="s">
        <v>192</v>
      </c>
      <c r="D268" s="67" t="s">
        <v>192</v>
      </c>
      <c r="F268" s="100" t="s">
        <v>250</v>
      </c>
      <c r="G268" s="100" t="s">
        <v>250</v>
      </c>
      <c r="I268" s="67" t="s">
        <v>192</v>
      </c>
      <c r="J268" s="67" t="s">
        <v>192</v>
      </c>
      <c r="L268" s="100" t="s">
        <v>250</v>
      </c>
      <c r="M268" s="100" t="s">
        <v>250</v>
      </c>
      <c r="U268" s="67" t="s">
        <v>192</v>
      </c>
      <c r="V268" s="67" t="s">
        <v>192</v>
      </c>
      <c r="X268" s="100" t="s">
        <v>250</v>
      </c>
      <c r="Y268" s="100" t="s">
        <v>250</v>
      </c>
      <c r="AA268" s="2" t="s">
        <v>6</v>
      </c>
      <c r="AB268" s="2" t="str">
        <f t="shared" ref="AB268" si="374">IF(NOT(ISBLANK(AC268)),"-","")</f>
        <v>-</v>
      </c>
      <c r="AC268" s="2" t="s">
        <v>51</v>
      </c>
      <c r="AD268" s="2" t="str">
        <f t="shared" ref="AD268" si="375">IF(NOT(ISBLANK(AE268)),"_","")</f>
        <v>_</v>
      </c>
      <c r="AE268" s="2" t="s">
        <v>263</v>
      </c>
      <c r="AF268" s="2" t="str">
        <f t="shared" ref="AF268" si="376">IF(NOT(ISBLANK(AG268)),"_","")</f>
        <v/>
      </c>
      <c r="AG268" s="2"/>
      <c r="AH268" s="2" t="str">
        <f t="shared" si="369"/>
        <v/>
      </c>
      <c r="AI268" s="2"/>
    </row>
    <row r="269" spans="1:35" x14ac:dyDescent="0.25">
      <c r="B269" s="2" t="str">
        <f t="shared" si="370"/>
        <v>@color-landcover_sport_play</v>
      </c>
      <c r="C269" s="101" t="s">
        <v>241</v>
      </c>
      <c r="D269" s="101" t="s">
        <v>241</v>
      </c>
      <c r="F269" s="102" t="s">
        <v>251</v>
      </c>
      <c r="G269" s="102" t="s">
        <v>251</v>
      </c>
      <c r="I269" s="101" t="s">
        <v>241</v>
      </c>
      <c r="J269" s="101" t="s">
        <v>241</v>
      </c>
      <c r="L269" s="102" t="s">
        <v>251</v>
      </c>
      <c r="M269" s="102" t="s">
        <v>251</v>
      </c>
      <c r="U269" s="101" t="s">
        <v>241</v>
      </c>
      <c r="V269" s="101" t="s">
        <v>241</v>
      </c>
      <c r="X269" s="102" t="s">
        <v>251</v>
      </c>
      <c r="Y269" s="102" t="s">
        <v>251</v>
      </c>
      <c r="AA269" s="2" t="s">
        <v>6</v>
      </c>
      <c r="AB269" s="2" t="str">
        <f t="shared" si="371"/>
        <v>-</v>
      </c>
      <c r="AC269" s="2" t="s">
        <v>51</v>
      </c>
      <c r="AD269" s="2" t="str">
        <f t="shared" si="372"/>
        <v>_</v>
      </c>
      <c r="AE269" s="2" t="s">
        <v>240</v>
      </c>
      <c r="AF269" s="2" t="str">
        <f t="shared" si="373"/>
        <v/>
      </c>
      <c r="AG269" s="2"/>
      <c r="AH269" s="2" t="str">
        <f t="shared" si="369"/>
        <v/>
      </c>
      <c r="AI269" s="2"/>
    </row>
    <row r="270" spans="1:35" x14ac:dyDescent="0.25">
      <c r="B270" s="2" t="str">
        <f t="shared" si="370"/>
        <v>@color-landcover_line_generic</v>
      </c>
      <c r="C270" s="103" t="s">
        <v>261</v>
      </c>
      <c r="D270" s="103" t="s">
        <v>261</v>
      </c>
      <c r="F270" s="90" t="s">
        <v>260</v>
      </c>
      <c r="G270" s="90" t="s">
        <v>260</v>
      </c>
      <c r="I270" s="103" t="s">
        <v>261</v>
      </c>
      <c r="J270" s="103" t="s">
        <v>261</v>
      </c>
      <c r="L270" s="90" t="s">
        <v>260</v>
      </c>
      <c r="M270" s="90" t="s">
        <v>260</v>
      </c>
      <c r="U270" s="103" t="s">
        <v>261</v>
      </c>
      <c r="V270" s="103" t="s">
        <v>261</v>
      </c>
      <c r="X270" s="90" t="s">
        <v>260</v>
      </c>
      <c r="Y270" s="90" t="s">
        <v>260</v>
      </c>
      <c r="AA270" s="2" t="s">
        <v>6</v>
      </c>
      <c r="AB270" s="2" t="str">
        <f t="shared" si="371"/>
        <v>-</v>
      </c>
      <c r="AC270" s="2" t="s">
        <v>51</v>
      </c>
      <c r="AD270" s="2" t="str">
        <f t="shared" si="372"/>
        <v>_</v>
      </c>
      <c r="AE270" s="2" t="s">
        <v>13</v>
      </c>
      <c r="AF270" s="2" t="str">
        <f t="shared" si="373"/>
        <v>_</v>
      </c>
      <c r="AG270" s="2" t="s">
        <v>255</v>
      </c>
      <c r="AH270" s="2" t="str">
        <f t="shared" si="369"/>
        <v/>
      </c>
      <c r="AI270" s="2"/>
    </row>
    <row r="271" spans="1:35" x14ac:dyDescent="0.25">
      <c r="AB271" s="28" t="str">
        <f t="shared" si="371"/>
        <v/>
      </c>
      <c r="AD271" s="28" t="str">
        <f t="shared" si="372"/>
        <v/>
      </c>
      <c r="AF271" s="28" t="str">
        <f t="shared" si="373"/>
        <v/>
      </c>
      <c r="AH271" s="28" t="str">
        <f t="shared" ref="AH271:AH277" si="377">IF(NOT(ISBLANK(AI271)),"_","")</f>
        <v/>
      </c>
    </row>
    <row r="272" spans="1:35" s="2" customFormat="1" x14ac:dyDescent="0.25">
      <c r="A272" s="3" t="s">
        <v>371</v>
      </c>
      <c r="B272" s="3"/>
      <c r="C272" s="27"/>
      <c r="D272" s="6"/>
      <c r="E272" s="7"/>
      <c r="F272" s="6"/>
      <c r="G272" s="6"/>
      <c r="H272" s="7"/>
      <c r="I272" s="6"/>
      <c r="J272" s="6"/>
      <c r="K272" s="7"/>
      <c r="L272" s="6"/>
      <c r="M272" s="6"/>
      <c r="N272" s="7"/>
      <c r="O272" s="6"/>
      <c r="P272" s="6"/>
      <c r="Q272" s="7"/>
      <c r="R272" s="6"/>
      <c r="S272" s="6"/>
      <c r="T272" s="7"/>
      <c r="U272" s="6"/>
      <c r="V272" s="6"/>
      <c r="W272" s="7"/>
      <c r="X272" s="6"/>
      <c r="Y272" s="6"/>
      <c r="AA272" s="4"/>
      <c r="AB272" s="4" t="str">
        <f t="shared" si="371"/>
        <v/>
      </c>
      <c r="AC272" s="4"/>
      <c r="AD272" s="4" t="str">
        <f t="shared" si="372"/>
        <v/>
      </c>
      <c r="AE272" s="4"/>
      <c r="AF272" s="4" t="str">
        <f t="shared" si="373"/>
        <v/>
      </c>
      <c r="AG272" s="4"/>
      <c r="AH272" s="4" t="str">
        <f t="shared" si="377"/>
        <v/>
      </c>
      <c r="AI272" s="4"/>
    </row>
    <row r="273" spans="1:35" x14ac:dyDescent="0.25">
      <c r="B273" s="2" t="str">
        <f t="shared" ref="B273:B276" si="378">_xlfn.CONCAT("@",AA273,AB273,AC273,AD273,AE273,AF273,AG273,AH273,AI273)</f>
        <v>@opacity-landcover_clearcut_mid</v>
      </c>
      <c r="C273" s="28" t="s">
        <v>95</v>
      </c>
      <c r="D273" s="28" t="s">
        <v>95</v>
      </c>
      <c r="F273" s="28" t="s">
        <v>95</v>
      </c>
      <c r="G273" s="28" t="s">
        <v>95</v>
      </c>
      <c r="I273" s="28" t="s">
        <v>375</v>
      </c>
      <c r="J273" s="28" t="s">
        <v>375</v>
      </c>
      <c r="L273" s="28" t="s">
        <v>375</v>
      </c>
      <c r="M273" s="28" t="s">
        <v>375</v>
      </c>
      <c r="O273" s="28" t="s">
        <v>376</v>
      </c>
      <c r="P273" s="28" t="s">
        <v>376</v>
      </c>
      <c r="R273" s="28" t="s">
        <v>376</v>
      </c>
      <c r="S273" s="28" t="s">
        <v>376</v>
      </c>
      <c r="U273" s="28" t="s">
        <v>376</v>
      </c>
      <c r="V273" s="28" t="s">
        <v>376</v>
      </c>
      <c r="X273" s="28" t="s">
        <v>376</v>
      </c>
      <c r="Y273" s="28" t="s">
        <v>376</v>
      </c>
      <c r="AA273" s="28" t="s">
        <v>392</v>
      </c>
      <c r="AB273" s="28" t="str">
        <f t="shared" ref="AB273:AB276" si="379">IF(NOT(ISBLANK(AC273)),"-","")</f>
        <v>-</v>
      </c>
      <c r="AC273" s="28" t="s">
        <v>51</v>
      </c>
      <c r="AD273" s="28" t="str">
        <f t="shared" ref="AD273:AD276" si="380">IF(NOT(ISBLANK(AE273)),"_","")</f>
        <v>_</v>
      </c>
      <c r="AE273" s="28" t="s">
        <v>383</v>
      </c>
      <c r="AF273" s="28" t="str">
        <f t="shared" ref="AF273:AF276" si="381">IF(NOT(ISBLANK(AG273)),"_","")</f>
        <v>_</v>
      </c>
      <c r="AG273" s="28" t="s">
        <v>374</v>
      </c>
      <c r="AH273" s="28" t="str">
        <f t="shared" ref="AH273:AH276" si="382">IF(NOT(ISBLANK(AI273)),"_","")</f>
        <v/>
      </c>
    </row>
    <row r="274" spans="1:35" x14ac:dyDescent="0.25">
      <c r="B274" s="2" t="str">
        <f t="shared" si="378"/>
        <v>@opacity-landcover_clearcut_full</v>
      </c>
      <c r="C274" s="28" t="s">
        <v>80</v>
      </c>
      <c r="D274" s="28" t="s">
        <v>80</v>
      </c>
      <c r="F274" s="28" t="s">
        <v>80</v>
      </c>
      <c r="G274" s="28" t="s">
        <v>80</v>
      </c>
      <c r="I274" s="28" t="s">
        <v>95</v>
      </c>
      <c r="J274" s="28" t="s">
        <v>95</v>
      </c>
      <c r="L274" s="28" t="s">
        <v>95</v>
      </c>
      <c r="M274" s="28" t="s">
        <v>95</v>
      </c>
      <c r="O274" s="28" t="s">
        <v>124</v>
      </c>
      <c r="P274" s="28" t="s">
        <v>124</v>
      </c>
      <c r="R274" s="28" t="s">
        <v>124</v>
      </c>
      <c r="S274" s="28" t="s">
        <v>124</v>
      </c>
      <c r="U274" s="28" t="s">
        <v>124</v>
      </c>
      <c r="V274" s="28" t="s">
        <v>124</v>
      </c>
      <c r="X274" s="28" t="s">
        <v>124</v>
      </c>
      <c r="Y274" s="28" t="s">
        <v>124</v>
      </c>
      <c r="AA274" s="28" t="s">
        <v>392</v>
      </c>
      <c r="AB274" s="28" t="str">
        <f t="shared" si="379"/>
        <v>-</v>
      </c>
      <c r="AC274" s="28" t="s">
        <v>51</v>
      </c>
      <c r="AD274" s="28" t="str">
        <f t="shared" si="380"/>
        <v>_</v>
      </c>
      <c r="AE274" s="28" t="s">
        <v>383</v>
      </c>
      <c r="AF274" s="28" t="str">
        <f t="shared" si="381"/>
        <v>_</v>
      </c>
      <c r="AG274" s="28" t="s">
        <v>373</v>
      </c>
      <c r="AH274" s="28" t="str">
        <f t="shared" si="382"/>
        <v/>
      </c>
    </row>
    <row r="275" spans="1:35" x14ac:dyDescent="0.25">
      <c r="B275" s="2" t="str">
        <f t="shared" si="378"/>
        <v>@opacity-landcover_field_mid</v>
      </c>
      <c r="C275" s="28" t="s">
        <v>95</v>
      </c>
      <c r="D275" s="28" t="s">
        <v>95</v>
      </c>
      <c r="F275" s="28" t="s">
        <v>95</v>
      </c>
      <c r="G275" s="28" t="s">
        <v>95</v>
      </c>
      <c r="I275" s="28" t="s">
        <v>95</v>
      </c>
      <c r="J275" s="28" t="s">
        <v>95</v>
      </c>
      <c r="L275" s="28" t="s">
        <v>95</v>
      </c>
      <c r="M275" s="28" t="s">
        <v>95</v>
      </c>
      <c r="O275" s="28" t="s">
        <v>95</v>
      </c>
      <c r="P275" s="28" t="s">
        <v>95</v>
      </c>
      <c r="R275" s="28" t="s">
        <v>95</v>
      </c>
      <c r="S275" s="28" t="s">
        <v>95</v>
      </c>
      <c r="U275" s="28" t="s">
        <v>95</v>
      </c>
      <c r="V275" s="28" t="s">
        <v>95</v>
      </c>
      <c r="X275" s="28" t="s">
        <v>95</v>
      </c>
      <c r="Y275" s="28" t="s">
        <v>95</v>
      </c>
      <c r="AA275" s="28" t="s">
        <v>392</v>
      </c>
      <c r="AB275" s="28" t="str">
        <f t="shared" si="379"/>
        <v>-</v>
      </c>
      <c r="AC275" s="28" t="s">
        <v>51</v>
      </c>
      <c r="AD275" s="28" t="str">
        <f t="shared" si="380"/>
        <v>_</v>
      </c>
      <c r="AE275" s="28" t="s">
        <v>46</v>
      </c>
      <c r="AF275" s="28" t="str">
        <f t="shared" si="381"/>
        <v>_</v>
      </c>
      <c r="AG275" s="28" t="s">
        <v>374</v>
      </c>
      <c r="AH275" s="28" t="str">
        <f t="shared" si="382"/>
        <v/>
      </c>
    </row>
    <row r="276" spans="1:35" x14ac:dyDescent="0.25">
      <c r="B276" s="2" t="str">
        <f t="shared" si="378"/>
        <v>@opacity-landcover_field_full</v>
      </c>
      <c r="C276" s="28" t="s">
        <v>80</v>
      </c>
      <c r="D276" s="28" t="s">
        <v>80</v>
      </c>
      <c r="F276" s="28" t="s">
        <v>80</v>
      </c>
      <c r="G276" s="28" t="s">
        <v>80</v>
      </c>
      <c r="I276" s="28" t="s">
        <v>80</v>
      </c>
      <c r="J276" s="28" t="s">
        <v>80</v>
      </c>
      <c r="L276" s="28" t="s">
        <v>80</v>
      </c>
      <c r="M276" s="28" t="s">
        <v>80</v>
      </c>
      <c r="O276" s="28" t="s">
        <v>80</v>
      </c>
      <c r="P276" s="28" t="s">
        <v>80</v>
      </c>
      <c r="R276" s="28" t="s">
        <v>80</v>
      </c>
      <c r="S276" s="28" t="s">
        <v>80</v>
      </c>
      <c r="U276" s="28" t="s">
        <v>80</v>
      </c>
      <c r="V276" s="28" t="s">
        <v>80</v>
      </c>
      <c r="X276" s="28" t="s">
        <v>80</v>
      </c>
      <c r="Y276" s="28" t="s">
        <v>80</v>
      </c>
      <c r="AA276" s="28" t="s">
        <v>392</v>
      </c>
      <c r="AB276" s="28" t="str">
        <f t="shared" si="379"/>
        <v>-</v>
      </c>
      <c r="AC276" s="28" t="s">
        <v>51</v>
      </c>
      <c r="AD276" s="28" t="str">
        <f t="shared" si="380"/>
        <v>_</v>
      </c>
      <c r="AE276" s="28" t="s">
        <v>46</v>
      </c>
      <c r="AF276" s="28" t="str">
        <f t="shared" si="381"/>
        <v>_</v>
      </c>
      <c r="AG276" s="28" t="s">
        <v>373</v>
      </c>
      <c r="AH276" s="28" t="str">
        <f t="shared" si="382"/>
        <v/>
      </c>
    </row>
    <row r="277" spans="1:35" x14ac:dyDescent="0.25">
      <c r="B277" s="2" t="str">
        <f t="shared" ref="B277" si="383">_xlfn.CONCAT("@",AA277,AB277,AC277,AD277,AE277,AF277,AG277,AH277,AI277)</f>
        <v>@opacity-landcover_scrub_mid</v>
      </c>
      <c r="C277" s="28" t="s">
        <v>95</v>
      </c>
      <c r="D277" s="28" t="s">
        <v>95</v>
      </c>
      <c r="F277" s="28" t="s">
        <v>95</v>
      </c>
      <c r="G277" s="28" t="s">
        <v>95</v>
      </c>
      <c r="I277" s="28" t="s">
        <v>375</v>
      </c>
      <c r="J277" s="28" t="s">
        <v>375</v>
      </c>
      <c r="L277" s="28" t="s">
        <v>375</v>
      </c>
      <c r="M277" s="28" t="s">
        <v>375</v>
      </c>
      <c r="O277" s="28" t="s">
        <v>376</v>
      </c>
      <c r="P277" s="28" t="s">
        <v>376</v>
      </c>
      <c r="R277" s="28" t="s">
        <v>376</v>
      </c>
      <c r="S277" s="28" t="s">
        <v>376</v>
      </c>
      <c r="U277" s="28" t="s">
        <v>376</v>
      </c>
      <c r="V277" s="28" t="s">
        <v>376</v>
      </c>
      <c r="X277" s="28" t="s">
        <v>376</v>
      </c>
      <c r="Y277" s="28" t="s">
        <v>376</v>
      </c>
      <c r="AA277" s="28" t="s">
        <v>392</v>
      </c>
      <c r="AB277" s="28" t="str">
        <f t="shared" si="371"/>
        <v>-</v>
      </c>
      <c r="AC277" s="28" t="s">
        <v>51</v>
      </c>
      <c r="AD277" s="28" t="str">
        <f t="shared" si="372"/>
        <v>_</v>
      </c>
      <c r="AE277" s="28" t="s">
        <v>372</v>
      </c>
      <c r="AF277" s="28" t="str">
        <f t="shared" si="373"/>
        <v>_</v>
      </c>
      <c r="AG277" s="28" t="s">
        <v>374</v>
      </c>
      <c r="AH277" s="28" t="str">
        <f t="shared" si="377"/>
        <v/>
      </c>
    </row>
    <row r="278" spans="1:35" x14ac:dyDescent="0.25">
      <c r="B278" s="2" t="str">
        <f t="shared" ref="B278" si="384">_xlfn.CONCAT("@",AA278,AB278,AC278,AD278,AE278,AF278,AG278,AH278,AI278)</f>
        <v>@opacity-landcover_scrub_full</v>
      </c>
      <c r="C278" s="28" t="s">
        <v>80</v>
      </c>
      <c r="D278" s="28" t="s">
        <v>80</v>
      </c>
      <c r="F278" s="28" t="s">
        <v>80</v>
      </c>
      <c r="G278" s="28" t="s">
        <v>80</v>
      </c>
      <c r="I278" s="28" t="s">
        <v>95</v>
      </c>
      <c r="J278" s="28" t="s">
        <v>95</v>
      </c>
      <c r="L278" s="28" t="s">
        <v>95</v>
      </c>
      <c r="M278" s="28" t="s">
        <v>95</v>
      </c>
      <c r="O278" s="28" t="s">
        <v>124</v>
      </c>
      <c r="P278" s="28" t="s">
        <v>124</v>
      </c>
      <c r="R278" s="28" t="s">
        <v>124</v>
      </c>
      <c r="S278" s="28" t="s">
        <v>124</v>
      </c>
      <c r="U278" s="28" t="s">
        <v>124</v>
      </c>
      <c r="V278" s="28" t="s">
        <v>124</v>
      </c>
      <c r="X278" s="28" t="s">
        <v>124</v>
      </c>
      <c r="Y278" s="28" t="s">
        <v>124</v>
      </c>
      <c r="AA278" s="28" t="s">
        <v>392</v>
      </c>
      <c r="AB278" s="28" t="str">
        <f t="shared" si="249"/>
        <v>-</v>
      </c>
      <c r="AC278" s="28" t="s">
        <v>51</v>
      </c>
      <c r="AD278" s="28" t="str">
        <f t="shared" si="250"/>
        <v>_</v>
      </c>
      <c r="AE278" s="28" t="s">
        <v>372</v>
      </c>
      <c r="AF278" s="28" t="str">
        <f t="shared" si="251"/>
        <v>_</v>
      </c>
      <c r="AG278" s="28" t="s">
        <v>373</v>
      </c>
      <c r="AH278" s="28" t="str">
        <f t="shared" si="369"/>
        <v/>
      </c>
    </row>
    <row r="279" spans="1:35" x14ac:dyDescent="0.25">
      <c r="B279" s="2" t="str">
        <f t="shared" ref="B279:B281" si="385">_xlfn.CONCAT("@",AA279,AB279,AC279,AD279,AE279,AF279,AG279,AH279,AI279)</f>
        <v>@opacity-landcover_wetland_full</v>
      </c>
      <c r="C279" s="28" t="s">
        <v>80</v>
      </c>
      <c r="D279" s="28" t="s">
        <v>80</v>
      </c>
      <c r="F279" s="28" t="s">
        <v>80</v>
      </c>
      <c r="G279" s="28" t="s">
        <v>80</v>
      </c>
      <c r="I279" s="28" t="s">
        <v>95</v>
      </c>
      <c r="J279" s="28" t="s">
        <v>95</v>
      </c>
      <c r="L279" s="28" t="s">
        <v>95</v>
      </c>
      <c r="M279" s="28" t="s">
        <v>95</v>
      </c>
      <c r="O279" s="28" t="s">
        <v>124</v>
      </c>
      <c r="P279" s="28" t="s">
        <v>124</v>
      </c>
      <c r="R279" s="28" t="s">
        <v>124</v>
      </c>
      <c r="S279" s="28" t="s">
        <v>124</v>
      </c>
      <c r="U279" s="28" t="s">
        <v>124</v>
      </c>
      <c r="V279" s="28" t="s">
        <v>124</v>
      </c>
      <c r="X279" s="28" t="s">
        <v>124</v>
      </c>
      <c r="Y279" s="28" t="s">
        <v>124</v>
      </c>
      <c r="AA279" s="28" t="s">
        <v>392</v>
      </c>
      <c r="AB279" s="28" t="str">
        <f t="shared" ref="AB279:AB281" si="386">IF(NOT(ISBLANK(AC279)),"-","")</f>
        <v>-</v>
      </c>
      <c r="AC279" s="28" t="s">
        <v>51</v>
      </c>
      <c r="AD279" s="28" t="str">
        <f t="shared" ref="AD279:AD281" si="387">IF(NOT(ISBLANK(AE279)),"_","")</f>
        <v>_</v>
      </c>
      <c r="AE279" s="28" t="s">
        <v>377</v>
      </c>
      <c r="AF279" s="28" t="str">
        <f t="shared" ref="AF279:AF281" si="388">IF(NOT(ISBLANK(AG279)),"_","")</f>
        <v>_</v>
      </c>
      <c r="AG279" s="28" t="s">
        <v>373</v>
      </c>
      <c r="AH279" s="28" t="str">
        <f t="shared" ref="AH279:AH281" si="389">IF(NOT(ISBLANK(AI279)),"_","")</f>
        <v/>
      </c>
    </row>
    <row r="280" spans="1:35" x14ac:dyDescent="0.25">
      <c r="B280" s="2" t="str">
        <f t="shared" si="385"/>
        <v>@opacity-landuse_sport_play_mid</v>
      </c>
      <c r="C280" s="28" t="s">
        <v>95</v>
      </c>
      <c r="D280" s="28" t="s">
        <v>95</v>
      </c>
      <c r="F280" s="28" t="s">
        <v>95</v>
      </c>
      <c r="G280" s="28" t="s">
        <v>95</v>
      </c>
      <c r="I280" s="28" t="s">
        <v>95</v>
      </c>
      <c r="J280" s="28" t="s">
        <v>95</v>
      </c>
      <c r="L280" s="28" t="s">
        <v>95</v>
      </c>
      <c r="M280" s="28" t="s">
        <v>95</v>
      </c>
      <c r="O280" s="28" t="s">
        <v>95</v>
      </c>
      <c r="P280" s="28" t="s">
        <v>95</v>
      </c>
      <c r="R280" s="28" t="s">
        <v>95</v>
      </c>
      <c r="S280" s="28" t="s">
        <v>95</v>
      </c>
      <c r="U280" s="28" t="s">
        <v>95</v>
      </c>
      <c r="V280" s="28" t="s">
        <v>95</v>
      </c>
      <c r="X280" s="28" t="s">
        <v>95</v>
      </c>
      <c r="Y280" s="28" t="s">
        <v>95</v>
      </c>
      <c r="AA280" s="28" t="s">
        <v>392</v>
      </c>
      <c r="AB280" s="28" t="str">
        <f t="shared" si="386"/>
        <v>-</v>
      </c>
      <c r="AC280" s="28" t="s">
        <v>384</v>
      </c>
      <c r="AD280" s="28" t="str">
        <f t="shared" si="387"/>
        <v>_</v>
      </c>
      <c r="AE280" s="28" t="s">
        <v>240</v>
      </c>
      <c r="AF280" s="28" t="str">
        <f t="shared" si="388"/>
        <v>_</v>
      </c>
      <c r="AG280" s="28" t="s">
        <v>374</v>
      </c>
      <c r="AH280" s="28" t="str">
        <f t="shared" si="389"/>
        <v/>
      </c>
    </row>
    <row r="281" spans="1:35" x14ac:dyDescent="0.25">
      <c r="B281" s="2" t="str">
        <f t="shared" si="385"/>
        <v>@opacity-landuse_sport_play_full</v>
      </c>
      <c r="C281" s="28" t="s">
        <v>80</v>
      </c>
      <c r="D281" s="28" t="s">
        <v>80</v>
      </c>
      <c r="F281" s="28" t="s">
        <v>80</v>
      </c>
      <c r="G281" s="28" t="s">
        <v>80</v>
      </c>
      <c r="I281" s="28" t="s">
        <v>80</v>
      </c>
      <c r="J281" s="28" t="s">
        <v>80</v>
      </c>
      <c r="L281" s="28" t="s">
        <v>80</v>
      </c>
      <c r="M281" s="28" t="s">
        <v>80</v>
      </c>
      <c r="O281" s="28" t="s">
        <v>80</v>
      </c>
      <c r="P281" s="28" t="s">
        <v>80</v>
      </c>
      <c r="R281" s="28" t="s">
        <v>80</v>
      </c>
      <c r="S281" s="28" t="s">
        <v>80</v>
      </c>
      <c r="U281" s="28" t="s">
        <v>80</v>
      </c>
      <c r="V281" s="28" t="s">
        <v>80</v>
      </c>
      <c r="X281" s="28" t="s">
        <v>80</v>
      </c>
      <c r="Y281" s="28" t="s">
        <v>80</v>
      </c>
      <c r="AA281" s="28" t="s">
        <v>392</v>
      </c>
      <c r="AB281" s="28" t="str">
        <f t="shared" si="386"/>
        <v>-</v>
      </c>
      <c r="AC281" s="28" t="s">
        <v>384</v>
      </c>
      <c r="AD281" s="28" t="str">
        <f t="shared" si="387"/>
        <v>_</v>
      </c>
      <c r="AE281" s="28" t="s">
        <v>240</v>
      </c>
      <c r="AF281" s="28" t="str">
        <f t="shared" si="388"/>
        <v>_</v>
      </c>
      <c r="AG281" s="28" t="s">
        <v>373</v>
      </c>
      <c r="AH281" s="28" t="str">
        <f t="shared" si="389"/>
        <v/>
      </c>
    </row>
    <row r="282" spans="1:35" x14ac:dyDescent="0.25">
      <c r="B282" s="2" t="str">
        <f t="shared" ref="B282" si="390">_xlfn.CONCAT("@",AA282,AB282,AC282,AD282,AE282,AF282,AG282,AH282,AI282)</f>
        <v>@opacity-portected_area_outline-inner_full</v>
      </c>
      <c r="C282" s="28" t="s">
        <v>120</v>
      </c>
      <c r="D282" s="28" t="s">
        <v>120</v>
      </c>
      <c r="F282" s="28" t="s">
        <v>380</v>
      </c>
      <c r="G282" s="28" t="s">
        <v>380</v>
      </c>
      <c r="I282" s="28" t="s">
        <v>380</v>
      </c>
      <c r="J282" s="28" t="s">
        <v>380</v>
      </c>
      <c r="L282" s="28" t="s">
        <v>381</v>
      </c>
      <c r="M282" s="28" t="s">
        <v>381</v>
      </c>
      <c r="O282" s="28" t="s">
        <v>380</v>
      </c>
      <c r="P282" s="28" t="s">
        <v>380</v>
      </c>
      <c r="R282" s="28" t="s">
        <v>381</v>
      </c>
      <c r="S282" s="28" t="s">
        <v>381</v>
      </c>
      <c r="U282" s="28" t="s">
        <v>120</v>
      </c>
      <c r="V282" s="28" t="s">
        <v>120</v>
      </c>
      <c r="X282" s="28" t="s">
        <v>120</v>
      </c>
      <c r="Y282" s="28" t="s">
        <v>120</v>
      </c>
      <c r="AA282" s="28" t="s">
        <v>392</v>
      </c>
      <c r="AB282" s="28" t="str">
        <f t="shared" ref="AB282" si="391">IF(NOT(ISBLANK(AC282)),"-","")</f>
        <v>-</v>
      </c>
      <c r="AC282" s="28" t="s">
        <v>378</v>
      </c>
      <c r="AD282" s="28" t="str">
        <f t="shared" ref="AD282" si="392">IF(NOT(ISBLANK(AE282)),"_","")</f>
        <v>_</v>
      </c>
      <c r="AE282" s="28" t="s">
        <v>379</v>
      </c>
      <c r="AF282" s="28" t="str">
        <f t="shared" ref="AF282" si="393">IF(NOT(ISBLANK(AG282)),"_","")</f>
        <v>_</v>
      </c>
      <c r="AG282" s="28" t="s">
        <v>373</v>
      </c>
      <c r="AH282" s="28" t="str">
        <f t="shared" ref="AH282" si="394">IF(NOT(ISBLANK(AI282)),"_","")</f>
        <v/>
      </c>
    </row>
    <row r="283" spans="1:35" x14ac:dyDescent="0.25">
      <c r="B283" s="2" t="str">
        <f t="shared" ref="B283" si="395">_xlfn.CONCAT("@",AA283,AB283,AC283,AD283,AE283,AF283,AG283,AH283,AI283)</f>
        <v>@opacity-portected_area_outline-outer_full</v>
      </c>
      <c r="C283" s="28" t="s">
        <v>80</v>
      </c>
      <c r="D283" s="28" t="s">
        <v>80</v>
      </c>
      <c r="F283" s="28" t="s">
        <v>122</v>
      </c>
      <c r="G283" s="28" t="s">
        <v>122</v>
      </c>
      <c r="I283" s="28" t="s">
        <v>95</v>
      </c>
      <c r="J283" s="28" t="s">
        <v>95</v>
      </c>
      <c r="L283" s="28" t="s">
        <v>375</v>
      </c>
      <c r="M283" s="28" t="s">
        <v>375</v>
      </c>
      <c r="O283" s="28" t="s">
        <v>124</v>
      </c>
      <c r="P283" s="28" t="s">
        <v>124</v>
      </c>
      <c r="R283" s="28" t="s">
        <v>376</v>
      </c>
      <c r="S283" s="28" t="s">
        <v>376</v>
      </c>
      <c r="U283" s="28" t="s">
        <v>80</v>
      </c>
      <c r="V283" s="28" t="s">
        <v>80</v>
      </c>
      <c r="X283" s="28" t="s">
        <v>122</v>
      </c>
      <c r="Y283" s="28" t="s">
        <v>122</v>
      </c>
      <c r="AA283" s="28" t="s">
        <v>392</v>
      </c>
      <c r="AB283" s="28" t="str">
        <f t="shared" ref="AB283" si="396">IF(NOT(ISBLANK(AC283)),"-","")</f>
        <v>-</v>
      </c>
      <c r="AC283" s="28" t="s">
        <v>378</v>
      </c>
      <c r="AD283" s="28" t="str">
        <f t="shared" ref="AD283" si="397">IF(NOT(ISBLANK(AE283)),"_","")</f>
        <v>_</v>
      </c>
      <c r="AE283" s="28" t="s">
        <v>382</v>
      </c>
      <c r="AF283" s="28" t="str">
        <f t="shared" ref="AF283" si="398">IF(NOT(ISBLANK(AG283)),"_","")</f>
        <v>_</v>
      </c>
      <c r="AG283" s="28" t="s">
        <v>373</v>
      </c>
      <c r="AH283" s="28" t="str">
        <f t="shared" ref="AH283" si="399">IF(NOT(ISBLANK(AI283)),"_","")</f>
        <v/>
      </c>
    </row>
    <row r="285" spans="1:35" s="2" customFormat="1" x14ac:dyDescent="0.25">
      <c r="A285" s="3" t="s">
        <v>43</v>
      </c>
      <c r="B285" s="3"/>
      <c r="C285" s="27"/>
      <c r="D285" s="6"/>
      <c r="E285" s="7"/>
      <c r="F285" s="6"/>
      <c r="G285" s="6"/>
      <c r="H285" s="7"/>
      <c r="I285" s="6"/>
      <c r="J285" s="6"/>
      <c r="K285" s="7"/>
      <c r="L285" s="6"/>
      <c r="M285" s="6"/>
      <c r="N285" s="7"/>
      <c r="O285" s="6"/>
      <c r="P285" s="6"/>
      <c r="Q285" s="7"/>
      <c r="R285" s="6"/>
      <c r="S285" s="6"/>
      <c r="T285" s="7"/>
      <c r="U285" s="6"/>
      <c r="V285" s="6"/>
      <c r="W285" s="7"/>
      <c r="X285" s="6"/>
      <c r="Y285" s="6"/>
      <c r="AA285" s="4"/>
      <c r="AB285" s="4" t="str">
        <f t="shared" si="249"/>
        <v/>
      </c>
      <c r="AC285" s="4"/>
      <c r="AD285" s="4" t="str">
        <f t="shared" si="250"/>
        <v/>
      </c>
      <c r="AE285" s="4"/>
      <c r="AF285" s="4" t="str">
        <f t="shared" si="251"/>
        <v/>
      </c>
      <c r="AG285" s="4"/>
      <c r="AH285" s="4" t="str">
        <f t="shared" si="369"/>
        <v/>
      </c>
      <c r="AI285" s="4"/>
    </row>
    <row r="286" spans="1:35" x14ac:dyDescent="0.25">
      <c r="B286" s="2" t="str">
        <f t="shared" ref="B286:B288" si="400">_xlfn.CONCAT("@",AA286,AB286,AC286,AD286,AE286,AF286,AG286,AH286,AI286)</f>
        <v>@color-motorway_case_farzoom</v>
      </c>
      <c r="C286" s="104" t="s">
        <v>211</v>
      </c>
      <c r="D286" s="47" t="s">
        <v>214</v>
      </c>
      <c r="F286" s="104" t="s">
        <v>211</v>
      </c>
      <c r="G286" s="104" t="s">
        <v>211</v>
      </c>
      <c r="I286" s="105" t="str">
        <f>C286</f>
        <v>"#bf440f"</v>
      </c>
      <c r="J286" s="47" t="s">
        <v>214</v>
      </c>
      <c r="L286" s="104" t="s">
        <v>211</v>
      </c>
      <c r="M286" s="104" t="s">
        <v>211</v>
      </c>
      <c r="U286" s="104" t="s">
        <v>211</v>
      </c>
      <c r="V286" s="47" t="s">
        <v>214</v>
      </c>
      <c r="X286" s="104" t="s">
        <v>211</v>
      </c>
      <c r="Y286" s="104" t="s">
        <v>211</v>
      </c>
      <c r="AA286" s="2" t="s">
        <v>6</v>
      </c>
      <c r="AB286" s="2" t="str">
        <f t="shared" si="249"/>
        <v>-</v>
      </c>
      <c r="AC286" s="2" t="s">
        <v>16</v>
      </c>
      <c r="AD286" s="2" t="str">
        <f t="shared" si="250"/>
        <v>_</v>
      </c>
      <c r="AE286" s="2" t="s">
        <v>17</v>
      </c>
      <c r="AF286" s="2" t="str">
        <f t="shared" si="251"/>
        <v>_</v>
      </c>
      <c r="AG286" s="2" t="s">
        <v>20</v>
      </c>
      <c r="AH286" s="2" t="str">
        <f t="shared" si="369"/>
        <v/>
      </c>
      <c r="AI286" s="2"/>
    </row>
    <row r="287" spans="1:35" x14ac:dyDescent="0.25">
      <c r="B287" s="2" t="str">
        <f t="shared" si="400"/>
        <v>@color-motorway_case_default</v>
      </c>
      <c r="C287" s="106" t="s">
        <v>212</v>
      </c>
      <c r="D287" s="47" t="s">
        <v>214</v>
      </c>
      <c r="F287" s="47" t="s">
        <v>214</v>
      </c>
      <c r="G287" s="47" t="s">
        <v>214</v>
      </c>
      <c r="I287" s="107" t="str">
        <f>C287</f>
        <v>"#a15412"</v>
      </c>
      <c r="J287" s="47" t="s">
        <v>214</v>
      </c>
      <c r="L287" s="47" t="s">
        <v>214</v>
      </c>
      <c r="M287" s="47" t="s">
        <v>214</v>
      </c>
      <c r="U287" s="106" t="s">
        <v>212</v>
      </c>
      <c r="V287" s="47" t="s">
        <v>214</v>
      </c>
      <c r="X287" s="47" t="s">
        <v>214</v>
      </c>
      <c r="Y287" s="47" t="s">
        <v>214</v>
      </c>
      <c r="AA287" s="2" t="s">
        <v>6</v>
      </c>
      <c r="AB287" s="2" t="str">
        <f t="shared" si="249"/>
        <v>-</v>
      </c>
      <c r="AC287" s="2" t="s">
        <v>16</v>
      </c>
      <c r="AD287" s="2" t="str">
        <f t="shared" si="250"/>
        <v>_</v>
      </c>
      <c r="AE287" s="2" t="s">
        <v>17</v>
      </c>
      <c r="AF287" s="2" t="str">
        <f t="shared" si="251"/>
        <v>_</v>
      </c>
      <c r="AG287" s="2" t="s">
        <v>262</v>
      </c>
      <c r="AH287" s="2" t="str">
        <f t="shared" si="369"/>
        <v/>
      </c>
      <c r="AI287" s="2"/>
    </row>
    <row r="288" spans="1:35" x14ac:dyDescent="0.25">
      <c r="B288" s="2" t="str">
        <f t="shared" si="400"/>
        <v>@color-motorway_line_default</v>
      </c>
      <c r="C288" s="108" t="s">
        <v>213</v>
      </c>
      <c r="D288" s="109" t="s">
        <v>215</v>
      </c>
      <c r="F288" s="109" t="s">
        <v>215</v>
      </c>
      <c r="G288" s="109" t="s">
        <v>215</v>
      </c>
      <c r="I288" s="110" t="str">
        <f>C288</f>
        <v>"#ffcc88"</v>
      </c>
      <c r="J288" s="111" t="str">
        <f>D288</f>
        <v>"#d6771e"</v>
      </c>
      <c r="L288" s="109" t="s">
        <v>215</v>
      </c>
      <c r="M288" s="109" t="s">
        <v>215</v>
      </c>
      <c r="U288" s="108" t="s">
        <v>213</v>
      </c>
      <c r="V288" s="109" t="s">
        <v>215</v>
      </c>
      <c r="X288" s="109" t="s">
        <v>215</v>
      </c>
      <c r="Y288" s="109" t="s">
        <v>215</v>
      </c>
      <c r="AA288" s="2" t="s">
        <v>6</v>
      </c>
      <c r="AB288" s="2" t="str">
        <f t="shared" si="249"/>
        <v>-</v>
      </c>
      <c r="AC288" s="2" t="s">
        <v>16</v>
      </c>
      <c r="AD288" s="2" t="str">
        <f t="shared" si="250"/>
        <v>_</v>
      </c>
      <c r="AE288" s="2" t="s">
        <v>13</v>
      </c>
      <c r="AF288" s="2" t="str">
        <f t="shared" si="251"/>
        <v>_</v>
      </c>
      <c r="AG288" s="2" t="s">
        <v>262</v>
      </c>
      <c r="AH288" s="2" t="str">
        <f t="shared" si="369"/>
        <v/>
      </c>
      <c r="AI288" s="2"/>
    </row>
    <row r="289" spans="1:35" x14ac:dyDescent="0.25">
      <c r="AB289" s="28" t="str">
        <f t="shared" si="249"/>
        <v/>
      </c>
      <c r="AD289" s="28" t="str">
        <f t="shared" si="250"/>
        <v/>
      </c>
      <c r="AF289" s="28" t="str">
        <f t="shared" si="251"/>
        <v/>
      </c>
      <c r="AH289" s="28" t="str">
        <f t="shared" si="369"/>
        <v/>
      </c>
    </row>
    <row r="290" spans="1:35" s="2" customFormat="1" x14ac:dyDescent="0.25">
      <c r="A290" s="3" t="s">
        <v>45</v>
      </c>
      <c r="B290" s="3"/>
      <c r="C290" s="27"/>
      <c r="D290" s="6"/>
      <c r="E290" s="7"/>
      <c r="F290" s="6"/>
      <c r="G290" s="6"/>
      <c r="H290" s="7"/>
      <c r="I290" s="6"/>
      <c r="J290" s="6"/>
      <c r="K290" s="7"/>
      <c r="L290" s="6"/>
      <c r="M290" s="6"/>
      <c r="N290" s="7"/>
      <c r="O290" s="6"/>
      <c r="P290" s="6"/>
      <c r="Q290" s="7"/>
      <c r="R290" s="6"/>
      <c r="S290" s="6"/>
      <c r="T290" s="7"/>
      <c r="U290" s="27"/>
      <c r="V290" s="6"/>
      <c r="W290" s="7"/>
      <c r="X290" s="6"/>
      <c r="Y290" s="6"/>
      <c r="AA290" s="4"/>
      <c r="AB290" s="4" t="str">
        <f t="shared" si="249"/>
        <v/>
      </c>
      <c r="AC290" s="4"/>
      <c r="AD290" s="4" t="str">
        <f t="shared" si="250"/>
        <v/>
      </c>
      <c r="AE290" s="4"/>
      <c r="AF290" s="4" t="str">
        <f t="shared" si="251"/>
        <v/>
      </c>
      <c r="AG290" s="4"/>
      <c r="AH290" s="4" t="str">
        <f t="shared" si="369"/>
        <v/>
      </c>
      <c r="AI290" s="4"/>
    </row>
    <row r="291" spans="1:35" x14ac:dyDescent="0.25">
      <c r="B291" s="2" t="str">
        <f t="shared" ref="B291:B299" si="401">_xlfn.CONCAT("@",AA291,AB291,AC291,AD291,AE291,AF291,AG291,AH291,AI291)</f>
        <v>@color-trunk_case_bicycle_no_default</v>
      </c>
      <c r="C291" s="112" t="s">
        <v>226</v>
      </c>
      <c r="D291" s="47" t="s">
        <v>214</v>
      </c>
      <c r="F291" s="47" t="s">
        <v>214</v>
      </c>
      <c r="G291" s="47" t="s">
        <v>214</v>
      </c>
      <c r="I291" s="113" t="str">
        <f>C291</f>
        <v>"#bd430f"</v>
      </c>
      <c r="J291" s="37" t="str">
        <f>D291</f>
        <v>"#000000"</v>
      </c>
      <c r="L291" s="47" t="s">
        <v>214</v>
      </c>
      <c r="M291" s="47" t="s">
        <v>214</v>
      </c>
      <c r="U291" s="112" t="s">
        <v>226</v>
      </c>
      <c r="V291" s="47" t="s">
        <v>214</v>
      </c>
      <c r="X291" s="47" t="s">
        <v>214</v>
      </c>
      <c r="Y291" s="47" t="s">
        <v>214</v>
      </c>
      <c r="AA291" s="28" t="s">
        <v>6</v>
      </c>
      <c r="AB291" s="2" t="str">
        <f t="shared" si="249"/>
        <v>-</v>
      </c>
      <c r="AC291" s="2" t="s">
        <v>18</v>
      </c>
      <c r="AD291" s="2" t="str">
        <f t="shared" ref="AD291" si="402">IF(NOT(ISBLANK(AE291)),"_","")</f>
        <v>_</v>
      </c>
      <c r="AE291" s="28" t="s">
        <v>17</v>
      </c>
      <c r="AF291" s="2" t="str">
        <f t="shared" ref="AF291" si="403">IF(NOT(ISBLANK(AG291)),"_","")</f>
        <v>_</v>
      </c>
      <c r="AG291" s="28" t="s">
        <v>23</v>
      </c>
      <c r="AH291" s="2" t="str">
        <f t="shared" si="369"/>
        <v>_</v>
      </c>
      <c r="AI291" s="28" t="s">
        <v>262</v>
      </c>
    </row>
    <row r="292" spans="1:35" x14ac:dyDescent="0.25">
      <c r="B292" s="2" t="str">
        <f t="shared" si="401"/>
        <v>@color-trunk_case_bicycle_no_farzoom</v>
      </c>
      <c r="C292" s="112" t="s">
        <v>226</v>
      </c>
      <c r="D292" s="47" t="s">
        <v>214</v>
      </c>
      <c r="F292" s="112" t="s">
        <v>226</v>
      </c>
      <c r="G292" s="112" t="s">
        <v>226</v>
      </c>
      <c r="I292" s="113" t="str">
        <f>C292</f>
        <v>"#bd430f"</v>
      </c>
      <c r="J292" s="37" t="str">
        <f>D292</f>
        <v>"#000000"</v>
      </c>
      <c r="L292" s="112" t="s">
        <v>226</v>
      </c>
      <c r="M292" s="112" t="s">
        <v>226</v>
      </c>
      <c r="U292" s="112" t="s">
        <v>226</v>
      </c>
      <c r="V292" s="47" t="s">
        <v>214</v>
      </c>
      <c r="X292" s="112" t="s">
        <v>226</v>
      </c>
      <c r="Y292" s="112" t="s">
        <v>226</v>
      </c>
      <c r="AA292" s="28" t="s">
        <v>6</v>
      </c>
      <c r="AB292" s="2" t="str">
        <f t="shared" ref="AB292" si="404">IF(NOT(ISBLANK(AC292)),"-","")</f>
        <v>-</v>
      </c>
      <c r="AC292" s="2" t="s">
        <v>18</v>
      </c>
      <c r="AD292" s="2" t="str">
        <f t="shared" ref="AD292" si="405">IF(NOT(ISBLANK(AE292)),"_","")</f>
        <v>_</v>
      </c>
      <c r="AE292" s="28" t="s">
        <v>17</v>
      </c>
      <c r="AF292" s="2" t="str">
        <f t="shared" ref="AF292" si="406">IF(NOT(ISBLANK(AG292)),"_","")</f>
        <v>_</v>
      </c>
      <c r="AG292" s="28" t="s">
        <v>23</v>
      </c>
      <c r="AH292" s="2" t="str">
        <f t="shared" si="369"/>
        <v>_</v>
      </c>
      <c r="AI292" s="28" t="s">
        <v>20</v>
      </c>
    </row>
    <row r="293" spans="1:35" x14ac:dyDescent="0.25">
      <c r="B293" s="2" t="str">
        <f t="shared" si="401"/>
        <v>@color-trunk_case_unpaved_farzoom</v>
      </c>
      <c r="C293" s="114" t="s">
        <v>227</v>
      </c>
      <c r="D293" s="115" t="s">
        <v>229</v>
      </c>
      <c r="F293" s="115" t="s">
        <v>229</v>
      </c>
      <c r="G293" s="114" t="s">
        <v>227</v>
      </c>
      <c r="I293" s="114" t="s">
        <v>227</v>
      </c>
      <c r="J293" s="115" t="s">
        <v>229</v>
      </c>
      <c r="L293" s="115" t="s">
        <v>229</v>
      </c>
      <c r="M293" s="114" t="s">
        <v>227</v>
      </c>
      <c r="U293" s="117" t="s">
        <v>228</v>
      </c>
      <c r="V293" s="47" t="s">
        <v>214</v>
      </c>
      <c r="X293" s="117" t="s">
        <v>228</v>
      </c>
      <c r="Y293" s="117" t="s">
        <v>228</v>
      </c>
      <c r="AA293" s="28" t="s">
        <v>6</v>
      </c>
      <c r="AB293" s="2" t="str">
        <f>IF(NOT(ISBLANK(AC293)),"-","")</f>
        <v>-</v>
      </c>
      <c r="AC293" s="2" t="s">
        <v>18</v>
      </c>
      <c r="AD293" s="2" t="str">
        <f>IF(NOT(ISBLANK(AE293)),"_","")</f>
        <v>_</v>
      </c>
      <c r="AE293" s="28" t="s">
        <v>17</v>
      </c>
      <c r="AF293" s="2" t="str">
        <f>IF(NOT(ISBLANK(AG293)),"_","")</f>
        <v>_</v>
      </c>
      <c r="AG293" s="28" t="s">
        <v>21</v>
      </c>
      <c r="AH293" s="2" t="str">
        <f>IF(NOT(ISBLANK(AI293)),"_","")</f>
        <v>_</v>
      </c>
      <c r="AI293" s="28" t="s">
        <v>20</v>
      </c>
    </row>
    <row r="294" spans="1:35" x14ac:dyDescent="0.25">
      <c r="B294" s="2" t="str">
        <f t="shared" si="401"/>
        <v>@color-trunk_case_unpaved_default</v>
      </c>
      <c r="C294" s="116" t="s">
        <v>217</v>
      </c>
      <c r="D294" s="47" t="s">
        <v>214</v>
      </c>
      <c r="F294" s="47" t="s">
        <v>214</v>
      </c>
      <c r="G294" s="47" t="s">
        <v>214</v>
      </c>
      <c r="I294" s="116" t="s">
        <v>217</v>
      </c>
      <c r="J294" s="47" t="s">
        <v>214</v>
      </c>
      <c r="L294" s="47" t="s">
        <v>214</v>
      </c>
      <c r="M294" s="47" t="s">
        <v>214</v>
      </c>
      <c r="U294" s="118" t="s">
        <v>218</v>
      </c>
      <c r="V294" s="47" t="s">
        <v>214</v>
      </c>
      <c r="X294" s="47" t="s">
        <v>214</v>
      </c>
      <c r="Y294" s="47" t="s">
        <v>214</v>
      </c>
      <c r="AA294" s="28" t="s">
        <v>6</v>
      </c>
      <c r="AB294" s="28" t="str">
        <f t="shared" si="249"/>
        <v>-</v>
      </c>
      <c r="AC294" s="2" t="s">
        <v>18</v>
      </c>
      <c r="AD294" s="28" t="str">
        <f t="shared" si="250"/>
        <v>_</v>
      </c>
      <c r="AE294" s="28" t="s">
        <v>17</v>
      </c>
      <c r="AF294" s="28" t="str">
        <f t="shared" si="251"/>
        <v>_</v>
      </c>
      <c r="AG294" s="28" t="s">
        <v>21</v>
      </c>
      <c r="AH294" s="28" t="str">
        <f t="shared" ref="AH294:AH303" si="407">IF(NOT(ISBLANK(AI294)),"_","")</f>
        <v>_</v>
      </c>
      <c r="AI294" s="28" t="s">
        <v>262</v>
      </c>
    </row>
    <row r="295" spans="1:35" x14ac:dyDescent="0.25">
      <c r="B295" s="2" t="str">
        <f t="shared" si="401"/>
        <v>@color-trunk_case_paved_or_uk_farzoom</v>
      </c>
      <c r="C295" s="117" t="s">
        <v>228</v>
      </c>
      <c r="D295" s="47" t="s">
        <v>214</v>
      </c>
      <c r="F295" s="117" t="s">
        <v>228</v>
      </c>
      <c r="G295" s="117" t="s">
        <v>228</v>
      </c>
      <c r="I295" s="117" t="s">
        <v>228</v>
      </c>
      <c r="J295" s="47" t="s">
        <v>214</v>
      </c>
      <c r="L295" s="117" t="s">
        <v>228</v>
      </c>
      <c r="M295" s="117" t="s">
        <v>228</v>
      </c>
      <c r="U295" s="117" t="s">
        <v>228</v>
      </c>
      <c r="V295" s="47" t="s">
        <v>214</v>
      </c>
      <c r="X295" s="117" t="s">
        <v>228</v>
      </c>
      <c r="Y295" s="117" t="s">
        <v>228</v>
      </c>
      <c r="AA295" s="2" t="s">
        <v>6</v>
      </c>
      <c r="AB295" s="2" t="str">
        <f t="shared" si="249"/>
        <v>-</v>
      </c>
      <c r="AC295" s="2" t="s">
        <v>18</v>
      </c>
      <c r="AD295" s="2" t="str">
        <f t="shared" si="250"/>
        <v>_</v>
      </c>
      <c r="AE295" s="2" t="s">
        <v>17</v>
      </c>
      <c r="AF295" s="2" t="str">
        <f t="shared" si="251"/>
        <v>_</v>
      </c>
      <c r="AG295" s="2" t="s">
        <v>24</v>
      </c>
      <c r="AH295" s="2" t="str">
        <f t="shared" si="407"/>
        <v>_</v>
      </c>
      <c r="AI295" s="28" t="s">
        <v>20</v>
      </c>
    </row>
    <row r="296" spans="1:35" x14ac:dyDescent="0.25">
      <c r="B296" s="2" t="str">
        <f t="shared" si="401"/>
        <v>@color-trunk_case_paved_or_uk_default</v>
      </c>
      <c r="C296" s="118" t="s">
        <v>218</v>
      </c>
      <c r="D296" s="47" t="s">
        <v>214</v>
      </c>
      <c r="F296" s="47" t="s">
        <v>214</v>
      </c>
      <c r="G296" s="47" t="s">
        <v>214</v>
      </c>
      <c r="I296" s="118" t="s">
        <v>218</v>
      </c>
      <c r="J296" s="47" t="s">
        <v>214</v>
      </c>
      <c r="L296" s="47" t="s">
        <v>214</v>
      </c>
      <c r="M296" s="47" t="s">
        <v>214</v>
      </c>
      <c r="U296" s="118" t="s">
        <v>218</v>
      </c>
      <c r="V296" s="47" t="s">
        <v>214</v>
      </c>
      <c r="X296" s="47" t="s">
        <v>214</v>
      </c>
      <c r="Y296" s="47" t="s">
        <v>214</v>
      </c>
      <c r="AA296" s="2" t="s">
        <v>6</v>
      </c>
      <c r="AB296" s="2" t="str">
        <f t="shared" si="249"/>
        <v>-</v>
      </c>
      <c r="AC296" s="2" t="s">
        <v>18</v>
      </c>
      <c r="AD296" s="2" t="str">
        <f t="shared" si="250"/>
        <v>_</v>
      </c>
      <c r="AE296" s="2" t="s">
        <v>17</v>
      </c>
      <c r="AF296" s="2" t="str">
        <f t="shared" si="251"/>
        <v>_</v>
      </c>
      <c r="AG296" s="2" t="s">
        <v>24</v>
      </c>
      <c r="AH296" s="2" t="str">
        <f t="shared" si="407"/>
        <v>_</v>
      </c>
      <c r="AI296" s="28" t="s">
        <v>262</v>
      </c>
    </row>
    <row r="297" spans="1:35" x14ac:dyDescent="0.25">
      <c r="B297" s="2" t="str">
        <f t="shared" si="401"/>
        <v>@color-trunk_line_bicycle_no</v>
      </c>
      <c r="C297" s="108" t="s">
        <v>213</v>
      </c>
      <c r="D297" s="109" t="s">
        <v>215</v>
      </c>
      <c r="F297" s="108" t="s">
        <v>213</v>
      </c>
      <c r="G297" s="109" t="s">
        <v>215</v>
      </c>
      <c r="I297" s="110" t="str">
        <f>C297</f>
        <v>"#ffcc88"</v>
      </c>
      <c r="J297" s="111" t="str">
        <f>D297</f>
        <v>"#d6771e"</v>
      </c>
      <c r="L297" s="108" t="s">
        <v>213</v>
      </c>
      <c r="M297" s="109" t="s">
        <v>215</v>
      </c>
      <c r="U297" s="108" t="s">
        <v>213</v>
      </c>
      <c r="V297" s="109" t="s">
        <v>215</v>
      </c>
      <c r="X297" s="108" t="s">
        <v>213</v>
      </c>
      <c r="Y297" s="109" t="s">
        <v>215</v>
      </c>
      <c r="AA297" s="2" t="s">
        <v>6</v>
      </c>
      <c r="AB297" s="2" t="str">
        <f t="shared" si="249"/>
        <v>-</v>
      </c>
      <c r="AC297" s="2" t="s">
        <v>18</v>
      </c>
      <c r="AD297" s="2" t="str">
        <f t="shared" si="250"/>
        <v>_</v>
      </c>
      <c r="AE297" s="2" t="s">
        <v>13</v>
      </c>
      <c r="AF297" s="2" t="str">
        <f t="shared" si="251"/>
        <v>_</v>
      </c>
      <c r="AG297" s="2" t="s">
        <v>23</v>
      </c>
      <c r="AH297" s="2" t="str">
        <f t="shared" si="407"/>
        <v/>
      </c>
      <c r="AI297" s="2"/>
    </row>
    <row r="298" spans="1:35" x14ac:dyDescent="0.25">
      <c r="B298" s="2" t="str">
        <f t="shared" si="401"/>
        <v>@color-trunk_line_unpaved_default</v>
      </c>
      <c r="C298" s="119" t="s">
        <v>221</v>
      </c>
      <c r="D298" s="120" t="str">
        <f>C298</f>
        <v>"#eddfca"</v>
      </c>
      <c r="F298" s="119" t="s">
        <v>221</v>
      </c>
      <c r="G298" s="120" t="str">
        <f>F298</f>
        <v>"#eddfca"</v>
      </c>
      <c r="I298" s="119" t="s">
        <v>221</v>
      </c>
      <c r="J298" s="120" t="str">
        <f>I298</f>
        <v>"#eddfca"</v>
      </c>
      <c r="L298" s="119" t="s">
        <v>221</v>
      </c>
      <c r="M298" s="120" t="str">
        <f>L298</f>
        <v>"#eddfca"</v>
      </c>
      <c r="U298" s="46" t="s">
        <v>222</v>
      </c>
      <c r="V298" s="38" t="str">
        <f>U298</f>
        <v>"#ffffff"</v>
      </c>
      <c r="X298" s="46" t="s">
        <v>222</v>
      </c>
      <c r="Y298" s="38" t="str">
        <f>X298</f>
        <v>"#ffffff"</v>
      </c>
      <c r="AA298" s="2" t="s">
        <v>6</v>
      </c>
      <c r="AB298" s="2" t="str">
        <f t="shared" si="249"/>
        <v>-</v>
      </c>
      <c r="AC298" s="2" t="s">
        <v>18</v>
      </c>
      <c r="AD298" s="2" t="str">
        <f t="shared" si="250"/>
        <v>_</v>
      </c>
      <c r="AE298" s="2" t="s">
        <v>13</v>
      </c>
      <c r="AF298" s="2" t="str">
        <f t="shared" si="251"/>
        <v>_</v>
      </c>
      <c r="AG298" s="2" t="s">
        <v>21</v>
      </c>
      <c r="AH298" s="2" t="str">
        <f t="shared" si="407"/>
        <v>_</v>
      </c>
      <c r="AI298" s="28" t="s">
        <v>262</v>
      </c>
    </row>
    <row r="299" spans="1:35" x14ac:dyDescent="0.25">
      <c r="B299" s="2" t="str">
        <f t="shared" si="401"/>
        <v>@color-trunk_line_paved_or_uk_default</v>
      </c>
      <c r="C299" s="46" t="s">
        <v>222</v>
      </c>
      <c r="D299" s="38" t="str">
        <f>C299</f>
        <v>"#ffffff"</v>
      </c>
      <c r="F299" s="46" t="s">
        <v>222</v>
      </c>
      <c r="G299" s="38" t="str">
        <f>F299</f>
        <v>"#ffffff"</v>
      </c>
      <c r="I299" s="46" t="s">
        <v>222</v>
      </c>
      <c r="J299" s="38" t="str">
        <f>I299</f>
        <v>"#ffffff"</v>
      </c>
      <c r="L299" s="46" t="s">
        <v>222</v>
      </c>
      <c r="M299" s="38" t="str">
        <f>L299</f>
        <v>"#ffffff"</v>
      </c>
      <c r="U299" s="46" t="s">
        <v>222</v>
      </c>
      <c r="V299" s="38" t="str">
        <f>U299</f>
        <v>"#ffffff"</v>
      </c>
      <c r="X299" s="46" t="s">
        <v>222</v>
      </c>
      <c r="Y299" s="38" t="str">
        <f>X299</f>
        <v>"#ffffff"</v>
      </c>
      <c r="AA299" s="28" t="s">
        <v>6</v>
      </c>
      <c r="AB299" s="28" t="str">
        <f t="shared" si="249"/>
        <v>-</v>
      </c>
      <c r="AC299" s="28" t="s">
        <v>18</v>
      </c>
      <c r="AD299" s="28" t="str">
        <f t="shared" si="250"/>
        <v>_</v>
      </c>
      <c r="AE299" s="28" t="s">
        <v>13</v>
      </c>
      <c r="AF299" s="28" t="str">
        <f t="shared" si="251"/>
        <v>_</v>
      </c>
      <c r="AG299" s="28" t="s">
        <v>24</v>
      </c>
      <c r="AH299" s="28" t="str">
        <f t="shared" si="407"/>
        <v>_</v>
      </c>
      <c r="AI299" s="28" t="s">
        <v>262</v>
      </c>
    </row>
    <row r="300" spans="1:35" x14ac:dyDescent="0.25">
      <c r="B300" s="2"/>
      <c r="AB300" s="28" t="str">
        <f t="shared" si="249"/>
        <v/>
      </c>
      <c r="AD300" s="28" t="str">
        <f t="shared" si="250"/>
        <v/>
      </c>
      <c r="AF300" s="28" t="str">
        <f t="shared" si="251"/>
        <v/>
      </c>
      <c r="AH300" s="28" t="str">
        <f t="shared" si="407"/>
        <v/>
      </c>
    </row>
    <row r="301" spans="1:35" s="2" customFormat="1" x14ac:dyDescent="0.25">
      <c r="A301" s="3" t="s">
        <v>44</v>
      </c>
      <c r="B301" s="3"/>
      <c r="C301" s="27"/>
      <c r="D301" s="6"/>
      <c r="E301" s="7"/>
      <c r="F301" s="6"/>
      <c r="G301" s="6"/>
      <c r="H301" s="7"/>
      <c r="I301" s="6"/>
      <c r="J301" s="6"/>
      <c r="K301" s="7"/>
      <c r="L301" s="6"/>
      <c r="M301" s="6"/>
      <c r="N301" s="7"/>
      <c r="O301" s="6"/>
      <c r="P301" s="6"/>
      <c r="Q301" s="7"/>
      <c r="R301" s="6"/>
      <c r="S301" s="6"/>
      <c r="T301" s="7"/>
      <c r="U301" s="27"/>
      <c r="V301" s="6"/>
      <c r="W301" s="7"/>
      <c r="X301" s="6"/>
      <c r="Y301" s="6"/>
      <c r="AA301" s="4"/>
      <c r="AB301" s="4" t="str">
        <f t="shared" si="249"/>
        <v/>
      </c>
      <c r="AC301" s="4"/>
      <c r="AD301" s="4" t="str">
        <f t="shared" si="250"/>
        <v/>
      </c>
      <c r="AE301" s="4"/>
      <c r="AF301" s="4" t="str">
        <f t="shared" si="251"/>
        <v/>
      </c>
      <c r="AG301" s="4"/>
      <c r="AH301" s="4" t="str">
        <f t="shared" si="407"/>
        <v/>
      </c>
      <c r="AI301" s="4"/>
    </row>
    <row r="302" spans="1:35" x14ac:dyDescent="0.25">
      <c r="B302" s="2" t="str">
        <f t="shared" ref="B302:B310" si="408">_xlfn.CONCAT("@",AA302,AB302,AC302,AD302,AE302,AF302,AG302,AH302,AI302)</f>
        <v>@color-primary_case_bicycle_no_default</v>
      </c>
      <c r="C302" s="112" t="s">
        <v>226</v>
      </c>
      <c r="D302" s="47" t="s">
        <v>214</v>
      </c>
      <c r="F302" s="47" t="s">
        <v>214</v>
      </c>
      <c r="G302" s="47" t="s">
        <v>214</v>
      </c>
      <c r="I302" s="113" t="str">
        <f>C302</f>
        <v>"#bd430f"</v>
      </c>
      <c r="J302" s="37" t="str">
        <f>D302</f>
        <v>"#000000"</v>
      </c>
      <c r="L302" s="47" t="s">
        <v>214</v>
      </c>
      <c r="M302" s="47" t="s">
        <v>214</v>
      </c>
      <c r="U302" s="112" t="s">
        <v>226</v>
      </c>
      <c r="V302" s="47" t="s">
        <v>214</v>
      </c>
      <c r="X302" s="47" t="s">
        <v>214</v>
      </c>
      <c r="Y302" s="47" t="s">
        <v>214</v>
      </c>
      <c r="AA302" s="28" t="s">
        <v>6</v>
      </c>
      <c r="AB302" s="2" t="str">
        <f t="shared" ref="AB302:AB411" si="409">IF(NOT(ISBLANK(AC302)),"-","")</f>
        <v>-</v>
      </c>
      <c r="AC302" s="2" t="s">
        <v>25</v>
      </c>
      <c r="AD302" s="2" t="str">
        <f t="shared" si="250"/>
        <v>_</v>
      </c>
      <c r="AE302" s="28" t="s">
        <v>17</v>
      </c>
      <c r="AF302" s="2" t="str">
        <f t="shared" si="251"/>
        <v>_</v>
      </c>
      <c r="AG302" s="28" t="s">
        <v>23</v>
      </c>
      <c r="AH302" s="2" t="str">
        <f t="shared" si="407"/>
        <v>_</v>
      </c>
      <c r="AI302" s="28" t="s">
        <v>262</v>
      </c>
    </row>
    <row r="303" spans="1:35" x14ac:dyDescent="0.25">
      <c r="B303" s="2" t="str">
        <f t="shared" si="408"/>
        <v>@color-primary_case_bicycle_no_farzoom</v>
      </c>
      <c r="C303" s="112" t="s">
        <v>226</v>
      </c>
      <c r="D303" s="47" t="s">
        <v>214</v>
      </c>
      <c r="F303" s="112" t="s">
        <v>226</v>
      </c>
      <c r="G303" s="112" t="s">
        <v>226</v>
      </c>
      <c r="I303" s="113" t="str">
        <f>C303</f>
        <v>"#bd430f"</v>
      </c>
      <c r="J303" s="37" t="str">
        <f>D303</f>
        <v>"#000000"</v>
      </c>
      <c r="L303" s="112" t="s">
        <v>226</v>
      </c>
      <c r="M303" s="112" t="s">
        <v>226</v>
      </c>
      <c r="U303" s="112" t="s">
        <v>226</v>
      </c>
      <c r="V303" s="47" t="s">
        <v>214</v>
      </c>
      <c r="X303" s="112" t="s">
        <v>226</v>
      </c>
      <c r="Y303" s="112" t="s">
        <v>226</v>
      </c>
      <c r="AA303" s="28" t="s">
        <v>6</v>
      </c>
      <c r="AB303" s="2" t="str">
        <f t="shared" ref="AB303" si="410">IF(NOT(ISBLANK(AC303)),"-","")</f>
        <v>-</v>
      </c>
      <c r="AC303" s="2" t="s">
        <v>25</v>
      </c>
      <c r="AD303" s="2" t="str">
        <f t="shared" ref="AD303" si="411">IF(NOT(ISBLANK(AE303)),"_","")</f>
        <v>_</v>
      </c>
      <c r="AE303" s="28" t="s">
        <v>17</v>
      </c>
      <c r="AF303" s="2" t="str">
        <f t="shared" ref="AF303" si="412">IF(NOT(ISBLANK(AG303)),"_","")</f>
        <v>_</v>
      </c>
      <c r="AG303" s="28" t="s">
        <v>23</v>
      </c>
      <c r="AH303" s="2" t="str">
        <f t="shared" si="407"/>
        <v>_</v>
      </c>
      <c r="AI303" s="28" t="s">
        <v>20</v>
      </c>
    </row>
    <row r="304" spans="1:35" x14ac:dyDescent="0.25">
      <c r="B304" s="2" t="str">
        <f t="shared" si="408"/>
        <v>@color-primary_case_unpaved_farzoom</v>
      </c>
      <c r="C304" s="114" t="s">
        <v>227</v>
      </c>
      <c r="D304" s="115" t="s">
        <v>229</v>
      </c>
      <c r="F304" s="115" t="s">
        <v>229</v>
      </c>
      <c r="G304" s="114" t="s">
        <v>227</v>
      </c>
      <c r="I304" s="114" t="s">
        <v>227</v>
      </c>
      <c r="J304" s="115" t="s">
        <v>229</v>
      </c>
      <c r="L304" s="115" t="s">
        <v>229</v>
      </c>
      <c r="M304" s="114" t="s">
        <v>227</v>
      </c>
      <c r="U304" s="117" t="s">
        <v>228</v>
      </c>
      <c r="V304" s="47" t="s">
        <v>214</v>
      </c>
      <c r="X304" s="117" t="s">
        <v>228</v>
      </c>
      <c r="Y304" s="117" t="s">
        <v>228</v>
      </c>
      <c r="AA304" s="28" t="s">
        <v>6</v>
      </c>
      <c r="AB304" s="2" t="str">
        <f>IF(NOT(ISBLANK(AC304)),"-","")</f>
        <v>-</v>
      </c>
      <c r="AC304" s="2" t="s">
        <v>25</v>
      </c>
      <c r="AD304" s="2" t="str">
        <f>IF(NOT(ISBLANK(AE304)),"_","")</f>
        <v>_</v>
      </c>
      <c r="AE304" s="28" t="s">
        <v>17</v>
      </c>
      <c r="AF304" s="2" t="str">
        <f>IF(NOT(ISBLANK(AG304)),"_","")</f>
        <v>_</v>
      </c>
      <c r="AG304" s="28" t="s">
        <v>21</v>
      </c>
      <c r="AH304" s="2" t="str">
        <f>IF(NOT(ISBLANK(AI304)),"_","")</f>
        <v>_</v>
      </c>
      <c r="AI304" s="28" t="s">
        <v>20</v>
      </c>
    </row>
    <row r="305" spans="2:35" x14ac:dyDescent="0.25">
      <c r="B305" s="2" t="str">
        <f t="shared" si="408"/>
        <v>@color-primary_case_unpaved_default</v>
      </c>
      <c r="C305" s="116" t="s">
        <v>217</v>
      </c>
      <c r="D305" s="115" t="s">
        <v>229</v>
      </c>
      <c r="F305" s="47" t="s">
        <v>214</v>
      </c>
      <c r="G305" s="47" t="s">
        <v>214</v>
      </c>
      <c r="I305" s="116" t="s">
        <v>217</v>
      </c>
      <c r="J305" s="115" t="s">
        <v>229</v>
      </c>
      <c r="L305" s="47" t="s">
        <v>214</v>
      </c>
      <c r="M305" s="47" t="s">
        <v>214</v>
      </c>
      <c r="U305" s="118" t="s">
        <v>218</v>
      </c>
      <c r="V305" s="47" t="s">
        <v>214</v>
      </c>
      <c r="X305" s="47" t="s">
        <v>214</v>
      </c>
      <c r="Y305" s="47" t="s">
        <v>214</v>
      </c>
      <c r="AA305" s="28" t="s">
        <v>6</v>
      </c>
      <c r="AB305" s="2" t="str">
        <f t="shared" si="409"/>
        <v>-</v>
      </c>
      <c r="AC305" s="2" t="s">
        <v>25</v>
      </c>
      <c r="AD305" s="2" t="str">
        <f t="shared" si="250"/>
        <v>_</v>
      </c>
      <c r="AE305" s="28" t="s">
        <v>17</v>
      </c>
      <c r="AF305" s="2" t="str">
        <f t="shared" si="251"/>
        <v>_</v>
      </c>
      <c r="AG305" s="28" t="s">
        <v>21</v>
      </c>
      <c r="AH305" s="28" t="str">
        <f t="shared" ref="AH305:AH307" si="413">IF(NOT(ISBLANK(AI305)),"_","")</f>
        <v>_</v>
      </c>
      <c r="AI305" s="28" t="s">
        <v>262</v>
      </c>
    </row>
    <row r="306" spans="2:35" x14ac:dyDescent="0.25">
      <c r="B306" s="2" t="str">
        <f t="shared" si="408"/>
        <v>@color-primary_case_paved_or_uk_farzoom</v>
      </c>
      <c r="C306" s="117" t="s">
        <v>228</v>
      </c>
      <c r="D306" s="47" t="s">
        <v>214</v>
      </c>
      <c r="F306" s="117" t="s">
        <v>228</v>
      </c>
      <c r="G306" s="117" t="s">
        <v>228</v>
      </c>
      <c r="I306" s="117" t="s">
        <v>228</v>
      </c>
      <c r="J306" s="47" t="s">
        <v>214</v>
      </c>
      <c r="L306" s="117" t="s">
        <v>228</v>
      </c>
      <c r="M306" s="117" t="s">
        <v>228</v>
      </c>
      <c r="U306" s="117" t="s">
        <v>228</v>
      </c>
      <c r="V306" s="47" t="s">
        <v>214</v>
      </c>
      <c r="X306" s="117" t="s">
        <v>228</v>
      </c>
      <c r="Y306" s="117" t="s">
        <v>228</v>
      </c>
      <c r="AA306" s="2" t="s">
        <v>6</v>
      </c>
      <c r="AB306" s="2" t="str">
        <f t="shared" si="409"/>
        <v>-</v>
      </c>
      <c r="AC306" s="2" t="s">
        <v>25</v>
      </c>
      <c r="AD306" s="2" t="str">
        <f t="shared" ref="AD306" si="414">IF(NOT(ISBLANK(AE306)),"_","")</f>
        <v>_</v>
      </c>
      <c r="AE306" s="2" t="s">
        <v>17</v>
      </c>
      <c r="AF306" s="2" t="str">
        <f t="shared" ref="AF306" si="415">IF(NOT(ISBLANK(AG306)),"_","")</f>
        <v>_</v>
      </c>
      <c r="AG306" s="2" t="s">
        <v>24</v>
      </c>
      <c r="AH306" s="2" t="str">
        <f t="shared" si="413"/>
        <v>_</v>
      </c>
      <c r="AI306" s="28" t="s">
        <v>20</v>
      </c>
    </row>
    <row r="307" spans="2:35" x14ac:dyDescent="0.25">
      <c r="B307" s="2" t="str">
        <f t="shared" si="408"/>
        <v>@color-primary_case_paved_or_uk_default</v>
      </c>
      <c r="C307" s="118" t="s">
        <v>218</v>
      </c>
      <c r="D307" s="47" t="s">
        <v>214</v>
      </c>
      <c r="F307" s="47" t="s">
        <v>214</v>
      </c>
      <c r="G307" s="47" t="s">
        <v>214</v>
      </c>
      <c r="I307" s="118" t="s">
        <v>218</v>
      </c>
      <c r="J307" s="47" t="s">
        <v>214</v>
      </c>
      <c r="L307" s="47" t="s">
        <v>214</v>
      </c>
      <c r="M307" s="47" t="s">
        <v>214</v>
      </c>
      <c r="U307" s="118" t="s">
        <v>218</v>
      </c>
      <c r="V307" s="47" t="s">
        <v>214</v>
      </c>
      <c r="X307" s="47" t="s">
        <v>214</v>
      </c>
      <c r="Y307" s="47" t="s">
        <v>214</v>
      </c>
      <c r="AA307" s="2" t="s">
        <v>6</v>
      </c>
      <c r="AB307" s="2" t="str">
        <f t="shared" si="409"/>
        <v>-</v>
      </c>
      <c r="AC307" s="28" t="s">
        <v>25</v>
      </c>
      <c r="AD307" s="2" t="str">
        <f t="shared" ref="AD307:AD411" si="416">IF(NOT(ISBLANK(AE307)),"_","")</f>
        <v>_</v>
      </c>
      <c r="AE307" s="2" t="s">
        <v>17</v>
      </c>
      <c r="AF307" s="2" t="str">
        <f t="shared" ref="AF307:AF411" si="417">IF(NOT(ISBLANK(AG307)),"_","")</f>
        <v>_</v>
      </c>
      <c r="AG307" s="2" t="s">
        <v>24</v>
      </c>
      <c r="AH307" s="2" t="str">
        <f t="shared" si="413"/>
        <v>_</v>
      </c>
      <c r="AI307" s="28" t="s">
        <v>262</v>
      </c>
    </row>
    <row r="308" spans="2:35" x14ac:dyDescent="0.25">
      <c r="B308" s="2" t="str">
        <f t="shared" si="408"/>
        <v>@color-primary_line_bicycle_no</v>
      </c>
      <c r="C308" s="121" t="s">
        <v>231</v>
      </c>
      <c r="D308" s="109" t="s">
        <v>215</v>
      </c>
      <c r="F308" s="121" t="s">
        <v>231</v>
      </c>
      <c r="G308" s="109" t="s">
        <v>215</v>
      </c>
      <c r="I308" s="122" t="str">
        <f>C308</f>
        <v>"#ffcc8a"</v>
      </c>
      <c r="J308" s="111" t="str">
        <f>D308</f>
        <v>"#d6771e"</v>
      </c>
      <c r="L308" s="121" t="s">
        <v>231</v>
      </c>
      <c r="M308" s="109" t="s">
        <v>215</v>
      </c>
      <c r="U308" s="121" t="s">
        <v>231</v>
      </c>
      <c r="V308" s="109" t="s">
        <v>215</v>
      </c>
      <c r="X308" s="121" t="s">
        <v>231</v>
      </c>
      <c r="Y308" s="109" t="s">
        <v>215</v>
      </c>
      <c r="AA308" s="28" t="s">
        <v>6</v>
      </c>
      <c r="AB308" s="2" t="str">
        <f t="shared" si="409"/>
        <v>-</v>
      </c>
      <c r="AC308" s="28" t="s">
        <v>25</v>
      </c>
      <c r="AD308" s="2" t="str">
        <f t="shared" si="416"/>
        <v>_</v>
      </c>
      <c r="AE308" s="28" t="s">
        <v>13</v>
      </c>
      <c r="AF308" s="2" t="str">
        <f t="shared" si="417"/>
        <v>_</v>
      </c>
      <c r="AG308" s="28" t="s">
        <v>23</v>
      </c>
      <c r="AH308" s="2" t="str">
        <f t="shared" ref="AH308:AH313" si="418">IF(NOT(ISBLANK(AI308)),"_","")</f>
        <v/>
      </c>
    </row>
    <row r="309" spans="2:35" x14ac:dyDescent="0.25">
      <c r="B309" s="2" t="str">
        <f t="shared" si="408"/>
        <v>@color-primary_line_unpaved_default</v>
      </c>
      <c r="C309" s="119" t="s">
        <v>221</v>
      </c>
      <c r="D309" s="120" t="str">
        <f>C309</f>
        <v>"#eddfca"</v>
      </c>
      <c r="F309" s="119" t="s">
        <v>221</v>
      </c>
      <c r="G309" s="120" t="str">
        <f>F309</f>
        <v>"#eddfca"</v>
      </c>
      <c r="I309" s="119" t="s">
        <v>221</v>
      </c>
      <c r="J309" s="120" t="str">
        <f>I309</f>
        <v>"#eddfca"</v>
      </c>
      <c r="L309" s="119" t="s">
        <v>221</v>
      </c>
      <c r="M309" s="120" t="str">
        <f>L309</f>
        <v>"#eddfca"</v>
      </c>
      <c r="U309" s="46" t="s">
        <v>222</v>
      </c>
      <c r="V309" s="38" t="str">
        <f>U309</f>
        <v>"#ffffff"</v>
      </c>
      <c r="X309" s="46" t="s">
        <v>222</v>
      </c>
      <c r="Y309" s="38" t="str">
        <f>X309</f>
        <v>"#ffffff"</v>
      </c>
      <c r="AA309" s="2" t="s">
        <v>6</v>
      </c>
      <c r="AB309" s="2" t="str">
        <f t="shared" si="409"/>
        <v>-</v>
      </c>
      <c r="AC309" s="2" t="s">
        <v>25</v>
      </c>
      <c r="AD309" s="2" t="str">
        <f t="shared" si="416"/>
        <v>_</v>
      </c>
      <c r="AE309" s="2" t="s">
        <v>13</v>
      </c>
      <c r="AF309" s="2" t="str">
        <f t="shared" si="417"/>
        <v>_</v>
      </c>
      <c r="AG309" s="2" t="s">
        <v>21</v>
      </c>
      <c r="AH309" s="2" t="str">
        <f t="shared" si="418"/>
        <v>_</v>
      </c>
      <c r="AI309" s="28" t="s">
        <v>262</v>
      </c>
    </row>
    <row r="310" spans="2:35" x14ac:dyDescent="0.25">
      <c r="B310" s="2" t="str">
        <f t="shared" si="408"/>
        <v>@color-primary_line_paved_or_uk_default</v>
      </c>
      <c r="C310" s="46" t="s">
        <v>222</v>
      </c>
      <c r="D310" s="38" t="str">
        <f>C310</f>
        <v>"#ffffff"</v>
      </c>
      <c r="F310" s="46" t="s">
        <v>222</v>
      </c>
      <c r="G310" s="38" t="str">
        <f>F310</f>
        <v>"#ffffff"</v>
      </c>
      <c r="I310" s="46" t="s">
        <v>222</v>
      </c>
      <c r="J310" s="38" t="str">
        <f>I310</f>
        <v>"#ffffff"</v>
      </c>
      <c r="L310" s="46" t="s">
        <v>222</v>
      </c>
      <c r="M310" s="38" t="str">
        <f>L310</f>
        <v>"#ffffff"</v>
      </c>
      <c r="U310" s="46" t="s">
        <v>222</v>
      </c>
      <c r="V310" s="38" t="str">
        <f>U310</f>
        <v>"#ffffff"</v>
      </c>
      <c r="X310" s="46" t="s">
        <v>222</v>
      </c>
      <c r="Y310" s="38" t="str">
        <f>X310</f>
        <v>"#ffffff"</v>
      </c>
      <c r="AA310" s="2" t="s">
        <v>6</v>
      </c>
      <c r="AB310" s="2" t="str">
        <f t="shared" si="409"/>
        <v>-</v>
      </c>
      <c r="AC310" s="2" t="s">
        <v>25</v>
      </c>
      <c r="AD310" s="2" t="str">
        <f t="shared" si="416"/>
        <v>_</v>
      </c>
      <c r="AE310" s="2" t="s">
        <v>13</v>
      </c>
      <c r="AF310" s="2" t="str">
        <f t="shared" si="417"/>
        <v>_</v>
      </c>
      <c r="AG310" s="28" t="s">
        <v>24</v>
      </c>
      <c r="AH310" s="28" t="str">
        <f t="shared" si="418"/>
        <v>_</v>
      </c>
      <c r="AI310" s="28" t="s">
        <v>262</v>
      </c>
    </row>
    <row r="311" spans="2:35" x14ac:dyDescent="0.25">
      <c r="B311" s="2"/>
      <c r="C311" s="26"/>
      <c r="D311" s="26"/>
      <c r="I311" s="26"/>
      <c r="U311" s="26"/>
      <c r="V311" s="26"/>
      <c r="AB311" s="2"/>
      <c r="AD311" s="2"/>
      <c r="AF311" s="2" t="str">
        <f t="shared" ref="AF311:AF320" si="419">IF(NOT(ISBLANK(AG311)),"_","")</f>
        <v/>
      </c>
      <c r="AH311" s="2" t="str">
        <f t="shared" si="418"/>
        <v/>
      </c>
    </row>
    <row r="312" spans="2:35" x14ac:dyDescent="0.25">
      <c r="B312" s="2" t="str">
        <f t="shared" ref="B312:B320" si="420">_xlfn.CONCAT("@",AA312,AB312,AC312,AD312,AE312,AF312,AG312,AH312,AI312)</f>
        <v>@color-secondary_case_bicycle_no_default</v>
      </c>
      <c r="C312" s="112" t="s">
        <v>226</v>
      </c>
      <c r="D312" s="47" t="s">
        <v>214</v>
      </c>
      <c r="F312" s="47" t="s">
        <v>214</v>
      </c>
      <c r="G312" s="47" t="s">
        <v>214</v>
      </c>
      <c r="I312" s="113" t="str">
        <f>C312</f>
        <v>"#bd430f"</v>
      </c>
      <c r="J312" s="37" t="str">
        <f>D312</f>
        <v>"#000000"</v>
      </c>
      <c r="L312" s="47" t="s">
        <v>214</v>
      </c>
      <c r="M312" s="47" t="s">
        <v>214</v>
      </c>
      <c r="U312" s="112" t="s">
        <v>226</v>
      </c>
      <c r="V312" s="47" t="s">
        <v>214</v>
      </c>
      <c r="X312" s="47" t="s">
        <v>214</v>
      </c>
      <c r="Y312" s="47" t="s">
        <v>214</v>
      </c>
      <c r="AA312" s="28" t="s">
        <v>6</v>
      </c>
      <c r="AB312" s="2" t="str">
        <f t="shared" ref="AB312:AB320" si="421">IF(NOT(ISBLANK(AC312)),"-","")</f>
        <v>-</v>
      </c>
      <c r="AC312" s="2" t="s">
        <v>27</v>
      </c>
      <c r="AD312" s="2" t="str">
        <f t="shared" ref="AD312:AD320" si="422">IF(NOT(ISBLANK(AE312)),"_","")</f>
        <v>_</v>
      </c>
      <c r="AE312" s="28" t="s">
        <v>17</v>
      </c>
      <c r="AF312" s="2" t="str">
        <f t="shared" si="419"/>
        <v>_</v>
      </c>
      <c r="AG312" s="28" t="s">
        <v>23</v>
      </c>
      <c r="AH312" s="2" t="str">
        <f t="shared" si="418"/>
        <v>_</v>
      </c>
      <c r="AI312" s="28" t="s">
        <v>262</v>
      </c>
    </row>
    <row r="313" spans="2:35" x14ac:dyDescent="0.25">
      <c r="B313" s="2" t="str">
        <f t="shared" si="420"/>
        <v>@color-secondary_case_bicycle_no_farzoom</v>
      </c>
      <c r="C313" s="112" t="s">
        <v>226</v>
      </c>
      <c r="D313" s="47" t="s">
        <v>214</v>
      </c>
      <c r="F313" s="112" t="s">
        <v>226</v>
      </c>
      <c r="G313" s="112" t="s">
        <v>226</v>
      </c>
      <c r="I313" s="113" t="str">
        <f>C313</f>
        <v>"#bd430f"</v>
      </c>
      <c r="J313" s="37" t="str">
        <f>D313</f>
        <v>"#000000"</v>
      </c>
      <c r="L313" s="112" t="s">
        <v>226</v>
      </c>
      <c r="M313" s="112" t="s">
        <v>226</v>
      </c>
      <c r="U313" s="112" t="s">
        <v>226</v>
      </c>
      <c r="V313" s="47" t="s">
        <v>214</v>
      </c>
      <c r="X313" s="112" t="s">
        <v>226</v>
      </c>
      <c r="Y313" s="112" t="s">
        <v>226</v>
      </c>
      <c r="AA313" s="28" t="s">
        <v>6</v>
      </c>
      <c r="AB313" s="2" t="str">
        <f t="shared" ref="AB313" si="423">IF(NOT(ISBLANK(AC313)),"-","")</f>
        <v>-</v>
      </c>
      <c r="AC313" s="2" t="s">
        <v>27</v>
      </c>
      <c r="AD313" s="2" t="str">
        <f t="shared" ref="AD313" si="424">IF(NOT(ISBLANK(AE313)),"_","")</f>
        <v>_</v>
      </c>
      <c r="AE313" s="28" t="s">
        <v>17</v>
      </c>
      <c r="AF313" s="2" t="str">
        <f t="shared" ref="AF313" si="425">IF(NOT(ISBLANK(AG313)),"_","")</f>
        <v>_</v>
      </c>
      <c r="AG313" s="28" t="s">
        <v>23</v>
      </c>
      <c r="AH313" s="2" t="str">
        <f t="shared" si="418"/>
        <v>_</v>
      </c>
      <c r="AI313" s="28" t="s">
        <v>20</v>
      </c>
    </row>
    <row r="314" spans="2:35" x14ac:dyDescent="0.25">
      <c r="B314" s="2" t="str">
        <f t="shared" si="420"/>
        <v>@color-secondary_case_unpaved_farzoom</v>
      </c>
      <c r="C314" s="114" t="s">
        <v>227</v>
      </c>
      <c r="D314" s="115" t="s">
        <v>229</v>
      </c>
      <c r="F314" s="115" t="s">
        <v>229</v>
      </c>
      <c r="G314" s="114" t="s">
        <v>227</v>
      </c>
      <c r="I314" s="114" t="s">
        <v>227</v>
      </c>
      <c r="J314" s="115" t="s">
        <v>229</v>
      </c>
      <c r="L314" s="115" t="s">
        <v>229</v>
      </c>
      <c r="M314" s="114" t="s">
        <v>227</v>
      </c>
      <c r="U314" s="117" t="s">
        <v>228</v>
      </c>
      <c r="V314" s="47" t="s">
        <v>214</v>
      </c>
      <c r="X314" s="117" t="s">
        <v>228</v>
      </c>
      <c r="Y314" s="117" t="s">
        <v>228</v>
      </c>
      <c r="AA314" s="28" t="s">
        <v>6</v>
      </c>
      <c r="AB314" s="2" t="str">
        <f>IF(NOT(ISBLANK(AC314)),"-","")</f>
        <v>-</v>
      </c>
      <c r="AC314" s="2" t="s">
        <v>27</v>
      </c>
      <c r="AD314" s="2" t="str">
        <f>IF(NOT(ISBLANK(AE314)),"_","")</f>
        <v>_</v>
      </c>
      <c r="AE314" s="28" t="s">
        <v>17</v>
      </c>
      <c r="AF314" s="2" t="str">
        <f>IF(NOT(ISBLANK(AG314)),"_","")</f>
        <v>_</v>
      </c>
      <c r="AG314" s="28" t="s">
        <v>21</v>
      </c>
      <c r="AH314" s="2" t="str">
        <f>IF(NOT(ISBLANK(AI314)),"_","")</f>
        <v>_</v>
      </c>
      <c r="AI314" s="28" t="s">
        <v>20</v>
      </c>
    </row>
    <row r="315" spans="2:35" x14ac:dyDescent="0.25">
      <c r="B315" s="2" t="str">
        <f t="shared" si="420"/>
        <v>@color-secondary_case_unpaved_default</v>
      </c>
      <c r="C315" s="115" t="s">
        <v>229</v>
      </c>
      <c r="D315" s="115" t="s">
        <v>229</v>
      </c>
      <c r="F315" s="47" t="s">
        <v>214</v>
      </c>
      <c r="G315" s="47" t="s">
        <v>214</v>
      </c>
      <c r="I315" s="115" t="s">
        <v>229</v>
      </c>
      <c r="J315" s="115" t="s">
        <v>229</v>
      </c>
      <c r="L315" s="47" t="s">
        <v>214</v>
      </c>
      <c r="M315" s="47" t="s">
        <v>214</v>
      </c>
      <c r="U315" s="123" t="s">
        <v>230</v>
      </c>
      <c r="V315" s="47" t="s">
        <v>214</v>
      </c>
      <c r="X315" s="47" t="s">
        <v>214</v>
      </c>
      <c r="Y315" s="47" t="s">
        <v>214</v>
      </c>
      <c r="AA315" s="28" t="s">
        <v>6</v>
      </c>
      <c r="AB315" s="2" t="str">
        <f t="shared" si="421"/>
        <v>-</v>
      </c>
      <c r="AC315" s="2" t="s">
        <v>27</v>
      </c>
      <c r="AD315" s="2" t="str">
        <f t="shared" si="422"/>
        <v>_</v>
      </c>
      <c r="AE315" s="28" t="s">
        <v>17</v>
      </c>
      <c r="AF315" s="2" t="str">
        <f t="shared" si="419"/>
        <v>_</v>
      </c>
      <c r="AG315" s="28" t="s">
        <v>21</v>
      </c>
      <c r="AH315" s="28" t="str">
        <f t="shared" ref="AH315:AH317" si="426">IF(NOT(ISBLANK(AI315)),"_","")</f>
        <v>_</v>
      </c>
      <c r="AI315" s="28" t="s">
        <v>262</v>
      </c>
    </row>
    <row r="316" spans="2:35" x14ac:dyDescent="0.25">
      <c r="B316" s="2" t="str">
        <f t="shared" si="420"/>
        <v>@color-secondary_case_paved_or_uk_farzoom</v>
      </c>
      <c r="C316" s="117" t="s">
        <v>228</v>
      </c>
      <c r="D316" s="47" t="s">
        <v>214</v>
      </c>
      <c r="F316" s="117" t="s">
        <v>228</v>
      </c>
      <c r="G316" s="117" t="s">
        <v>228</v>
      </c>
      <c r="I316" s="117" t="s">
        <v>228</v>
      </c>
      <c r="J316" s="47" t="s">
        <v>214</v>
      </c>
      <c r="L316" s="117" t="s">
        <v>228</v>
      </c>
      <c r="M316" s="117" t="s">
        <v>228</v>
      </c>
      <c r="U316" s="117" t="s">
        <v>228</v>
      </c>
      <c r="V316" s="47" t="s">
        <v>214</v>
      </c>
      <c r="X316" s="117" t="s">
        <v>228</v>
      </c>
      <c r="Y316" s="117" t="s">
        <v>228</v>
      </c>
      <c r="AA316" s="2" t="s">
        <v>6</v>
      </c>
      <c r="AB316" s="2" t="str">
        <f t="shared" si="421"/>
        <v>-</v>
      </c>
      <c r="AC316" s="2" t="s">
        <v>27</v>
      </c>
      <c r="AD316" s="2" t="str">
        <f t="shared" si="422"/>
        <v>_</v>
      </c>
      <c r="AE316" s="2" t="s">
        <v>17</v>
      </c>
      <c r="AF316" s="2" t="str">
        <f t="shared" si="419"/>
        <v>_</v>
      </c>
      <c r="AG316" s="2" t="s">
        <v>24</v>
      </c>
      <c r="AH316" s="2" t="str">
        <f t="shared" si="426"/>
        <v>_</v>
      </c>
      <c r="AI316" s="28" t="s">
        <v>20</v>
      </c>
    </row>
    <row r="317" spans="2:35" x14ac:dyDescent="0.25">
      <c r="B317" s="2" t="str">
        <f t="shared" si="420"/>
        <v>@color-secondary_case_paved_or_uk_default</v>
      </c>
      <c r="C317" s="123" t="s">
        <v>230</v>
      </c>
      <c r="D317" s="47" t="s">
        <v>214</v>
      </c>
      <c r="F317" s="47" t="s">
        <v>214</v>
      </c>
      <c r="G317" s="47" t="s">
        <v>214</v>
      </c>
      <c r="I317" s="123" t="s">
        <v>230</v>
      </c>
      <c r="J317" s="47" t="s">
        <v>214</v>
      </c>
      <c r="L317" s="47" t="s">
        <v>214</v>
      </c>
      <c r="M317" s="47" t="s">
        <v>214</v>
      </c>
      <c r="U317" s="123" t="s">
        <v>230</v>
      </c>
      <c r="V317" s="47" t="s">
        <v>214</v>
      </c>
      <c r="X317" s="47" t="s">
        <v>214</v>
      </c>
      <c r="Y317" s="47" t="s">
        <v>214</v>
      </c>
      <c r="AA317" s="2" t="s">
        <v>6</v>
      </c>
      <c r="AB317" s="2" t="str">
        <f t="shared" si="421"/>
        <v>-</v>
      </c>
      <c r="AC317" s="2" t="s">
        <v>27</v>
      </c>
      <c r="AD317" s="2" t="str">
        <f t="shared" si="422"/>
        <v>_</v>
      </c>
      <c r="AE317" s="2" t="s">
        <v>17</v>
      </c>
      <c r="AF317" s="2" t="str">
        <f t="shared" si="419"/>
        <v>_</v>
      </c>
      <c r="AG317" s="2" t="s">
        <v>24</v>
      </c>
      <c r="AH317" s="2" t="str">
        <f t="shared" si="426"/>
        <v>_</v>
      </c>
      <c r="AI317" s="28" t="s">
        <v>262</v>
      </c>
    </row>
    <row r="318" spans="2:35" x14ac:dyDescent="0.25">
      <c r="B318" s="2" t="str">
        <f t="shared" si="420"/>
        <v>@color-secondary_line_bicycle_no</v>
      </c>
      <c r="C318" s="121" t="s">
        <v>231</v>
      </c>
      <c r="D318" s="109" t="s">
        <v>215</v>
      </c>
      <c r="F318" s="121" t="s">
        <v>231</v>
      </c>
      <c r="G318" s="109" t="s">
        <v>215</v>
      </c>
      <c r="I318" s="122" t="str">
        <f>C318</f>
        <v>"#ffcc8a"</v>
      </c>
      <c r="J318" s="111" t="str">
        <f>D318</f>
        <v>"#d6771e"</v>
      </c>
      <c r="L318" s="121" t="s">
        <v>231</v>
      </c>
      <c r="M318" s="109" t="s">
        <v>215</v>
      </c>
      <c r="U318" s="121" t="s">
        <v>231</v>
      </c>
      <c r="V318" s="109" t="s">
        <v>215</v>
      </c>
      <c r="X318" s="121" t="s">
        <v>231</v>
      </c>
      <c r="Y318" s="109" t="s">
        <v>215</v>
      </c>
      <c r="AA318" s="28" t="s">
        <v>6</v>
      </c>
      <c r="AB318" s="2" t="str">
        <f t="shared" si="421"/>
        <v>-</v>
      </c>
      <c r="AC318" s="2" t="s">
        <v>27</v>
      </c>
      <c r="AD318" s="2" t="str">
        <f t="shared" si="422"/>
        <v>_</v>
      </c>
      <c r="AE318" s="28" t="s">
        <v>13</v>
      </c>
      <c r="AF318" s="2" t="str">
        <f t="shared" si="419"/>
        <v>_</v>
      </c>
      <c r="AG318" s="28" t="s">
        <v>23</v>
      </c>
      <c r="AH318" s="2" t="str">
        <f t="shared" ref="AH318:AH412" si="427">IF(NOT(ISBLANK(AI318)),"_","")</f>
        <v/>
      </c>
    </row>
    <row r="319" spans="2:35" x14ac:dyDescent="0.25">
      <c r="B319" s="2" t="str">
        <f t="shared" si="420"/>
        <v>@color-secondary_line_unpaved_default</v>
      </c>
      <c r="C319" s="119" t="s">
        <v>221</v>
      </c>
      <c r="D319" s="120" t="str">
        <f>C319</f>
        <v>"#eddfca"</v>
      </c>
      <c r="F319" s="119" t="s">
        <v>221</v>
      </c>
      <c r="G319" s="120" t="str">
        <f>F319</f>
        <v>"#eddfca"</v>
      </c>
      <c r="I319" s="119" t="s">
        <v>221</v>
      </c>
      <c r="J319" s="120" t="str">
        <f>I319</f>
        <v>"#eddfca"</v>
      </c>
      <c r="L319" s="119" t="s">
        <v>221</v>
      </c>
      <c r="M319" s="120" t="str">
        <f>L319</f>
        <v>"#eddfca"</v>
      </c>
      <c r="U319" s="46" t="s">
        <v>222</v>
      </c>
      <c r="V319" s="38" t="str">
        <f>U319</f>
        <v>"#ffffff"</v>
      </c>
      <c r="X319" s="46" t="s">
        <v>222</v>
      </c>
      <c r="Y319" s="38" t="str">
        <f>X319</f>
        <v>"#ffffff"</v>
      </c>
      <c r="AA319" s="2" t="s">
        <v>6</v>
      </c>
      <c r="AB319" s="2" t="str">
        <f t="shared" si="421"/>
        <v>-</v>
      </c>
      <c r="AC319" s="2" t="s">
        <v>27</v>
      </c>
      <c r="AD319" s="2" t="str">
        <f t="shared" si="422"/>
        <v>_</v>
      </c>
      <c r="AE319" s="2" t="s">
        <v>13</v>
      </c>
      <c r="AF319" s="2" t="str">
        <f t="shared" si="419"/>
        <v>_</v>
      </c>
      <c r="AG319" s="2" t="s">
        <v>21</v>
      </c>
      <c r="AH319" s="2" t="str">
        <f t="shared" si="427"/>
        <v>_</v>
      </c>
      <c r="AI319" s="28" t="s">
        <v>262</v>
      </c>
    </row>
    <row r="320" spans="2:35" x14ac:dyDescent="0.25">
      <c r="B320" s="2" t="str">
        <f t="shared" si="420"/>
        <v>@color-secondary_line_paved_or_uk_default</v>
      </c>
      <c r="C320" s="46" t="s">
        <v>222</v>
      </c>
      <c r="D320" s="38" t="str">
        <f>C320</f>
        <v>"#ffffff"</v>
      </c>
      <c r="F320" s="46" t="s">
        <v>222</v>
      </c>
      <c r="G320" s="38" t="str">
        <f>F320</f>
        <v>"#ffffff"</v>
      </c>
      <c r="I320" s="46" t="s">
        <v>222</v>
      </c>
      <c r="J320" s="38" t="str">
        <f>I320</f>
        <v>"#ffffff"</v>
      </c>
      <c r="L320" s="46" t="s">
        <v>222</v>
      </c>
      <c r="M320" s="38" t="str">
        <f>L320</f>
        <v>"#ffffff"</v>
      </c>
      <c r="U320" s="46" t="s">
        <v>222</v>
      </c>
      <c r="V320" s="38" t="str">
        <f>U320</f>
        <v>"#ffffff"</v>
      </c>
      <c r="X320" s="46" t="s">
        <v>222</v>
      </c>
      <c r="Y320" s="38" t="str">
        <f>X320</f>
        <v>"#ffffff"</v>
      </c>
      <c r="AA320" s="2" t="s">
        <v>6</v>
      </c>
      <c r="AB320" s="2" t="str">
        <f t="shared" si="421"/>
        <v>-</v>
      </c>
      <c r="AC320" s="2" t="s">
        <v>27</v>
      </c>
      <c r="AD320" s="2" t="str">
        <f t="shared" si="422"/>
        <v>_</v>
      </c>
      <c r="AE320" s="2" t="s">
        <v>13</v>
      </c>
      <c r="AF320" s="2" t="str">
        <f t="shared" si="419"/>
        <v>_</v>
      </c>
      <c r="AG320" s="28" t="s">
        <v>24</v>
      </c>
      <c r="AH320" s="28" t="str">
        <f t="shared" si="427"/>
        <v>_</v>
      </c>
      <c r="AI320" s="28" t="s">
        <v>262</v>
      </c>
    </row>
    <row r="321" spans="2:35" x14ac:dyDescent="0.25">
      <c r="B321" s="2"/>
      <c r="C321" s="26"/>
      <c r="D321" s="26"/>
      <c r="I321" s="26"/>
      <c r="U321" s="26"/>
      <c r="V321" s="26"/>
      <c r="AB321" s="2"/>
      <c r="AD321" s="2"/>
      <c r="AF321" s="2" t="str">
        <f t="shared" si="417"/>
        <v/>
      </c>
      <c r="AH321" s="2" t="str">
        <f t="shared" si="427"/>
        <v/>
      </c>
    </row>
    <row r="322" spans="2:35" x14ac:dyDescent="0.25">
      <c r="B322" s="2" t="str">
        <f t="shared" ref="B322:B330" si="428">_xlfn.CONCAT("@",AA322,AB322,AC322,AD322,AE322,AF322,AG322,AH322,AI322)</f>
        <v>@color-tertiary_case_bicycle_no_default</v>
      </c>
      <c r="C322" s="112" t="s">
        <v>226</v>
      </c>
      <c r="D322" s="47" t="s">
        <v>214</v>
      </c>
      <c r="F322" s="47" t="s">
        <v>214</v>
      </c>
      <c r="G322" s="47" t="s">
        <v>214</v>
      </c>
      <c r="I322" s="113" t="str">
        <f>C322</f>
        <v>"#bd430f"</v>
      </c>
      <c r="J322" s="37" t="str">
        <f>D322</f>
        <v>"#000000"</v>
      </c>
      <c r="L322" s="47" t="s">
        <v>214</v>
      </c>
      <c r="M322" s="47" t="s">
        <v>214</v>
      </c>
      <c r="U322" s="112" t="s">
        <v>226</v>
      </c>
      <c r="V322" s="47" t="s">
        <v>214</v>
      </c>
      <c r="X322" s="47" t="s">
        <v>214</v>
      </c>
      <c r="Y322" s="47" t="s">
        <v>214</v>
      </c>
      <c r="AA322" s="28" t="s">
        <v>6</v>
      </c>
      <c r="AB322" s="2" t="str">
        <f t="shared" ref="AB322:AB324" si="429">IF(NOT(ISBLANK(AC322)),"-","")</f>
        <v>-</v>
      </c>
      <c r="AC322" s="2" t="s">
        <v>26</v>
      </c>
      <c r="AD322" s="2" t="str">
        <f t="shared" ref="AD322:AD324" si="430">IF(NOT(ISBLANK(AE322)),"_","")</f>
        <v>_</v>
      </c>
      <c r="AE322" s="28" t="s">
        <v>17</v>
      </c>
      <c r="AF322" s="2" t="str">
        <f t="shared" ref="AF322:AF324" si="431">IF(NOT(ISBLANK(AG322)),"_","")</f>
        <v>_</v>
      </c>
      <c r="AG322" s="28" t="s">
        <v>23</v>
      </c>
      <c r="AH322" s="2" t="str">
        <f t="shared" si="427"/>
        <v>_</v>
      </c>
      <c r="AI322" s="28" t="s">
        <v>262</v>
      </c>
    </row>
    <row r="323" spans="2:35" x14ac:dyDescent="0.25">
      <c r="B323" s="2" t="str">
        <f t="shared" si="428"/>
        <v>@color-tertiary_case_bicycle_no_farzoom</v>
      </c>
      <c r="C323" s="112" t="s">
        <v>226</v>
      </c>
      <c r="D323" s="47" t="s">
        <v>214</v>
      </c>
      <c r="F323" s="112" t="s">
        <v>226</v>
      </c>
      <c r="G323" s="112" t="s">
        <v>226</v>
      </c>
      <c r="I323" s="113" t="str">
        <f>C323</f>
        <v>"#bd430f"</v>
      </c>
      <c r="J323" s="37" t="str">
        <f>D323</f>
        <v>"#000000"</v>
      </c>
      <c r="L323" s="112" t="s">
        <v>226</v>
      </c>
      <c r="M323" s="112" t="s">
        <v>226</v>
      </c>
      <c r="U323" s="112" t="s">
        <v>226</v>
      </c>
      <c r="V323" s="47" t="s">
        <v>214</v>
      </c>
      <c r="X323" s="112" t="s">
        <v>226</v>
      </c>
      <c r="Y323" s="112" t="s">
        <v>226</v>
      </c>
      <c r="AA323" s="28" t="s">
        <v>6</v>
      </c>
      <c r="AB323" s="2" t="str">
        <f t="shared" ref="AB323" si="432">IF(NOT(ISBLANK(AC323)),"-","")</f>
        <v>-</v>
      </c>
      <c r="AC323" s="2" t="s">
        <v>26</v>
      </c>
      <c r="AD323" s="2" t="str">
        <f t="shared" ref="AD323" si="433">IF(NOT(ISBLANK(AE323)),"_","")</f>
        <v>_</v>
      </c>
      <c r="AE323" s="28" t="s">
        <v>17</v>
      </c>
      <c r="AF323" s="2" t="str">
        <f t="shared" ref="AF323" si="434">IF(NOT(ISBLANK(AG323)),"_","")</f>
        <v>_</v>
      </c>
      <c r="AG323" s="28" t="s">
        <v>23</v>
      </c>
      <c r="AH323" s="2" t="str">
        <f t="shared" si="427"/>
        <v>_</v>
      </c>
      <c r="AI323" s="28" t="s">
        <v>20</v>
      </c>
    </row>
    <row r="324" spans="2:35" x14ac:dyDescent="0.25">
      <c r="B324" s="2" t="str">
        <f t="shared" si="428"/>
        <v>@color-tertiary_case_unpaved_farzoom</v>
      </c>
      <c r="C324" s="114" t="s">
        <v>227</v>
      </c>
      <c r="D324" s="115" t="s">
        <v>229</v>
      </c>
      <c r="F324" s="115" t="s">
        <v>229</v>
      </c>
      <c r="G324" s="114" t="s">
        <v>227</v>
      </c>
      <c r="I324" s="114" t="s">
        <v>227</v>
      </c>
      <c r="J324" s="115" t="s">
        <v>229</v>
      </c>
      <c r="L324" s="115" t="s">
        <v>229</v>
      </c>
      <c r="M324" s="114" t="s">
        <v>227</v>
      </c>
      <c r="U324" s="117" t="s">
        <v>228</v>
      </c>
      <c r="V324" s="47" t="s">
        <v>214</v>
      </c>
      <c r="X324" s="117" t="s">
        <v>228</v>
      </c>
      <c r="Y324" s="117" t="s">
        <v>228</v>
      </c>
      <c r="AA324" s="28" t="s">
        <v>6</v>
      </c>
      <c r="AB324" s="2" t="str">
        <f t="shared" si="429"/>
        <v>-</v>
      </c>
      <c r="AC324" s="2" t="s">
        <v>26</v>
      </c>
      <c r="AD324" s="2" t="str">
        <f t="shared" si="430"/>
        <v>_</v>
      </c>
      <c r="AE324" s="28" t="s">
        <v>17</v>
      </c>
      <c r="AF324" s="2" t="str">
        <f t="shared" si="431"/>
        <v>_</v>
      </c>
      <c r="AG324" s="28" t="s">
        <v>21</v>
      </c>
      <c r="AH324" s="2" t="str">
        <f>IF(NOT(ISBLANK(AI324)),"_","")</f>
        <v>_</v>
      </c>
      <c r="AI324" s="28" t="s">
        <v>20</v>
      </c>
    </row>
    <row r="325" spans="2:35" x14ac:dyDescent="0.25">
      <c r="B325" s="2" t="str">
        <f t="shared" si="428"/>
        <v>@color-tertiary_case_unpaved_default</v>
      </c>
      <c r="C325" s="115" t="s">
        <v>229</v>
      </c>
      <c r="D325" s="115" t="s">
        <v>229</v>
      </c>
      <c r="F325" s="47" t="s">
        <v>214</v>
      </c>
      <c r="G325" s="47" t="s">
        <v>214</v>
      </c>
      <c r="I325" s="115" t="s">
        <v>229</v>
      </c>
      <c r="J325" s="115" t="s">
        <v>229</v>
      </c>
      <c r="L325" s="47" t="s">
        <v>214</v>
      </c>
      <c r="M325" s="47" t="s">
        <v>214</v>
      </c>
      <c r="U325" s="123" t="s">
        <v>230</v>
      </c>
      <c r="V325" s="47" t="s">
        <v>214</v>
      </c>
      <c r="X325" s="47" t="s">
        <v>214</v>
      </c>
      <c r="Y325" s="47" t="s">
        <v>214</v>
      </c>
      <c r="AA325" s="28" t="s">
        <v>6</v>
      </c>
      <c r="AB325" s="2" t="str">
        <f t="shared" ref="AB325:AB330" si="435">IF(NOT(ISBLANK(AC325)),"-","")</f>
        <v>-</v>
      </c>
      <c r="AC325" s="2" t="s">
        <v>26</v>
      </c>
      <c r="AD325" s="2" t="str">
        <f t="shared" ref="AD325:AD330" si="436">IF(NOT(ISBLANK(AE325)),"_","")</f>
        <v>_</v>
      </c>
      <c r="AE325" s="28" t="s">
        <v>17</v>
      </c>
      <c r="AF325" s="2" t="str">
        <f t="shared" si="417"/>
        <v>_</v>
      </c>
      <c r="AG325" s="28" t="s">
        <v>21</v>
      </c>
      <c r="AH325" s="28" t="str">
        <f t="shared" ref="AH325:AH330" si="437">IF(NOT(ISBLANK(AI325)),"_","")</f>
        <v>_</v>
      </c>
      <c r="AI325" s="28" t="s">
        <v>262</v>
      </c>
    </row>
    <row r="326" spans="2:35" x14ac:dyDescent="0.25">
      <c r="B326" s="2" t="str">
        <f t="shared" si="428"/>
        <v>@color-tertiary_case_paved_or_uk_farzoom</v>
      </c>
      <c r="C326" s="117" t="s">
        <v>228</v>
      </c>
      <c r="D326" s="47" t="s">
        <v>214</v>
      </c>
      <c r="F326" s="117" t="s">
        <v>228</v>
      </c>
      <c r="G326" s="117" t="s">
        <v>228</v>
      </c>
      <c r="I326" s="117" t="s">
        <v>228</v>
      </c>
      <c r="J326" s="47" t="s">
        <v>214</v>
      </c>
      <c r="L326" s="117" t="s">
        <v>228</v>
      </c>
      <c r="M326" s="117" t="s">
        <v>228</v>
      </c>
      <c r="U326" s="117" t="s">
        <v>228</v>
      </c>
      <c r="V326" s="47" t="s">
        <v>214</v>
      </c>
      <c r="X326" s="117" t="s">
        <v>228</v>
      </c>
      <c r="Y326" s="117" t="s">
        <v>228</v>
      </c>
      <c r="AA326" s="2" t="s">
        <v>6</v>
      </c>
      <c r="AB326" s="2" t="str">
        <f t="shared" ref="AB326" si="438">IF(NOT(ISBLANK(AC326)),"-","")</f>
        <v>-</v>
      </c>
      <c r="AC326" s="2" t="s">
        <v>26</v>
      </c>
      <c r="AD326" s="2" t="str">
        <f t="shared" ref="AD326" si="439">IF(NOT(ISBLANK(AE326)),"_","")</f>
        <v>_</v>
      </c>
      <c r="AE326" s="2" t="s">
        <v>17</v>
      </c>
      <c r="AF326" s="2" t="str">
        <f t="shared" ref="AF326" si="440">IF(NOT(ISBLANK(AG326)),"_","")</f>
        <v>_</v>
      </c>
      <c r="AG326" s="2" t="s">
        <v>24</v>
      </c>
      <c r="AH326" s="2" t="str">
        <f t="shared" si="437"/>
        <v>_</v>
      </c>
      <c r="AI326" s="28" t="s">
        <v>20</v>
      </c>
    </row>
    <row r="327" spans="2:35" x14ac:dyDescent="0.25">
      <c r="B327" s="2" t="str">
        <f t="shared" si="428"/>
        <v>@color-tertiary_case_paved_or_uk_default</v>
      </c>
      <c r="C327" s="123" t="s">
        <v>230</v>
      </c>
      <c r="D327" s="47" t="s">
        <v>214</v>
      </c>
      <c r="F327" s="47" t="s">
        <v>214</v>
      </c>
      <c r="G327" s="47" t="s">
        <v>214</v>
      </c>
      <c r="I327" s="123" t="s">
        <v>230</v>
      </c>
      <c r="J327" s="47" t="s">
        <v>214</v>
      </c>
      <c r="L327" s="47" t="s">
        <v>214</v>
      </c>
      <c r="M327" s="47" t="s">
        <v>214</v>
      </c>
      <c r="U327" s="123" t="s">
        <v>230</v>
      </c>
      <c r="V327" s="47" t="s">
        <v>214</v>
      </c>
      <c r="X327" s="47" t="s">
        <v>214</v>
      </c>
      <c r="Y327" s="47" t="s">
        <v>214</v>
      </c>
      <c r="AA327" s="2" t="s">
        <v>6</v>
      </c>
      <c r="AB327" s="2" t="str">
        <f t="shared" si="435"/>
        <v>-</v>
      </c>
      <c r="AC327" s="2" t="s">
        <v>26</v>
      </c>
      <c r="AD327" s="2" t="str">
        <f t="shared" si="436"/>
        <v>_</v>
      </c>
      <c r="AE327" s="2" t="s">
        <v>17</v>
      </c>
      <c r="AF327" s="2" t="str">
        <f t="shared" si="417"/>
        <v>_</v>
      </c>
      <c r="AG327" s="2" t="s">
        <v>24</v>
      </c>
      <c r="AH327" s="2" t="str">
        <f t="shared" si="437"/>
        <v>_</v>
      </c>
      <c r="AI327" s="28" t="s">
        <v>262</v>
      </c>
    </row>
    <row r="328" spans="2:35" x14ac:dyDescent="0.25">
      <c r="B328" s="2" t="str">
        <f t="shared" si="428"/>
        <v>@color-tertiary_line_bicycle_no</v>
      </c>
      <c r="C328" s="121" t="s">
        <v>231</v>
      </c>
      <c r="D328" s="109" t="s">
        <v>215</v>
      </c>
      <c r="F328" s="121" t="s">
        <v>231</v>
      </c>
      <c r="G328" s="109" t="s">
        <v>215</v>
      </c>
      <c r="I328" s="122" t="str">
        <f>C328</f>
        <v>"#ffcc8a"</v>
      </c>
      <c r="J328" s="111" t="str">
        <f>D328</f>
        <v>"#d6771e"</v>
      </c>
      <c r="L328" s="121" t="s">
        <v>231</v>
      </c>
      <c r="M328" s="109" t="s">
        <v>215</v>
      </c>
      <c r="U328" s="121" t="s">
        <v>231</v>
      </c>
      <c r="V328" s="109" t="s">
        <v>215</v>
      </c>
      <c r="X328" s="121" t="s">
        <v>231</v>
      </c>
      <c r="Y328" s="109" t="s">
        <v>215</v>
      </c>
      <c r="AA328" s="28" t="s">
        <v>6</v>
      </c>
      <c r="AB328" s="2" t="str">
        <f t="shared" si="435"/>
        <v>-</v>
      </c>
      <c r="AC328" s="2" t="s">
        <v>26</v>
      </c>
      <c r="AD328" s="2" t="str">
        <f t="shared" si="436"/>
        <v>_</v>
      </c>
      <c r="AE328" s="28" t="s">
        <v>13</v>
      </c>
      <c r="AF328" s="2" t="str">
        <f t="shared" si="417"/>
        <v>_</v>
      </c>
      <c r="AG328" s="28" t="s">
        <v>23</v>
      </c>
      <c r="AH328" s="2" t="str">
        <f t="shared" si="437"/>
        <v/>
      </c>
    </row>
    <row r="329" spans="2:35" x14ac:dyDescent="0.25">
      <c r="B329" s="2" t="str">
        <f t="shared" si="428"/>
        <v>@color-tertiary_line_unpaved_default</v>
      </c>
      <c r="C329" s="119" t="s">
        <v>221</v>
      </c>
      <c r="D329" s="120" t="str">
        <f>C329</f>
        <v>"#eddfca"</v>
      </c>
      <c r="F329" s="119" t="s">
        <v>221</v>
      </c>
      <c r="G329" s="120" t="str">
        <f>F329</f>
        <v>"#eddfca"</v>
      </c>
      <c r="I329" s="119" t="s">
        <v>221</v>
      </c>
      <c r="J329" s="120" t="str">
        <f>I329</f>
        <v>"#eddfca"</v>
      </c>
      <c r="L329" s="119" t="s">
        <v>221</v>
      </c>
      <c r="M329" s="120" t="str">
        <f>L329</f>
        <v>"#eddfca"</v>
      </c>
      <c r="U329" s="46" t="s">
        <v>222</v>
      </c>
      <c r="V329" s="38" t="str">
        <f>U329</f>
        <v>"#ffffff"</v>
      </c>
      <c r="X329" s="46" t="s">
        <v>222</v>
      </c>
      <c r="Y329" s="38" t="str">
        <f>X329</f>
        <v>"#ffffff"</v>
      </c>
      <c r="AA329" s="2" t="s">
        <v>6</v>
      </c>
      <c r="AB329" s="2" t="str">
        <f t="shared" si="435"/>
        <v>-</v>
      </c>
      <c r="AC329" s="2" t="s">
        <v>26</v>
      </c>
      <c r="AD329" s="2" t="str">
        <f t="shared" si="436"/>
        <v>_</v>
      </c>
      <c r="AE329" s="2" t="s">
        <v>13</v>
      </c>
      <c r="AF329" s="2" t="str">
        <f t="shared" si="417"/>
        <v>_</v>
      </c>
      <c r="AG329" s="2" t="s">
        <v>21</v>
      </c>
      <c r="AH329" s="2" t="str">
        <f t="shared" si="437"/>
        <v>_</v>
      </c>
      <c r="AI329" s="28" t="s">
        <v>262</v>
      </c>
    </row>
    <row r="330" spans="2:35" x14ac:dyDescent="0.25">
      <c r="B330" s="2" t="str">
        <f t="shared" si="428"/>
        <v>@color-tertiary_line_paved_or_uk_default</v>
      </c>
      <c r="C330" s="46" t="s">
        <v>222</v>
      </c>
      <c r="D330" s="38" t="str">
        <f>C330</f>
        <v>"#ffffff"</v>
      </c>
      <c r="F330" s="46" t="s">
        <v>222</v>
      </c>
      <c r="G330" s="38" t="str">
        <f>F330</f>
        <v>"#ffffff"</v>
      </c>
      <c r="I330" s="46" t="s">
        <v>222</v>
      </c>
      <c r="J330" s="38" t="str">
        <f>I330</f>
        <v>"#ffffff"</v>
      </c>
      <c r="L330" s="46" t="s">
        <v>222</v>
      </c>
      <c r="M330" s="38" t="str">
        <f>L330</f>
        <v>"#ffffff"</v>
      </c>
      <c r="U330" s="46" t="s">
        <v>222</v>
      </c>
      <c r="V330" s="38" t="str">
        <f>U330</f>
        <v>"#ffffff"</v>
      </c>
      <c r="X330" s="46" t="s">
        <v>222</v>
      </c>
      <c r="Y330" s="38" t="str">
        <f>X330</f>
        <v>"#ffffff"</v>
      </c>
      <c r="AA330" s="2" t="s">
        <v>6</v>
      </c>
      <c r="AB330" s="2" t="str">
        <f t="shared" si="435"/>
        <v>-</v>
      </c>
      <c r="AC330" s="2" t="s">
        <v>26</v>
      </c>
      <c r="AD330" s="2" t="str">
        <f t="shared" si="436"/>
        <v>_</v>
      </c>
      <c r="AE330" s="2" t="s">
        <v>13</v>
      </c>
      <c r="AF330" s="2" t="str">
        <f t="shared" si="417"/>
        <v>_</v>
      </c>
      <c r="AG330" s="28" t="s">
        <v>24</v>
      </c>
      <c r="AH330" s="28" t="str">
        <f t="shared" si="437"/>
        <v>_</v>
      </c>
      <c r="AI330" s="28" t="s">
        <v>262</v>
      </c>
    </row>
    <row r="331" spans="2:35" x14ac:dyDescent="0.25">
      <c r="B331" s="2"/>
      <c r="C331" s="26"/>
      <c r="F331" s="26"/>
      <c r="L331" s="26"/>
      <c r="AA331" s="2"/>
      <c r="AB331" s="2"/>
      <c r="AC331" s="2"/>
      <c r="AD331" s="2"/>
      <c r="AE331" s="2"/>
      <c r="AF331" s="2"/>
      <c r="AG331" s="2"/>
      <c r="AH331" s="2"/>
      <c r="AI331" s="2"/>
    </row>
    <row r="332" spans="2:35" x14ac:dyDescent="0.25">
      <c r="B332" s="2" t="str">
        <f t="shared" ref="B332:B335" si="441">_xlfn.CONCAT("@",AA332,AB332,AC332,AD332,AE332,AF332,AG332,AH332,AI332)</f>
        <v>@dasharray-tertiary_case_medium_dash</v>
      </c>
      <c r="C332" s="28" t="s">
        <v>341</v>
      </c>
      <c r="D332" s="28" t="s">
        <v>341</v>
      </c>
      <c r="F332" s="28" t="s">
        <v>341</v>
      </c>
      <c r="G332" s="28" t="s">
        <v>341</v>
      </c>
      <c r="I332" s="28" t="s">
        <v>92</v>
      </c>
      <c r="J332" s="28" t="s">
        <v>92</v>
      </c>
      <c r="L332" s="28" t="s">
        <v>92</v>
      </c>
      <c r="M332" s="28" t="s">
        <v>92</v>
      </c>
      <c r="U332" s="28" t="s">
        <v>341</v>
      </c>
      <c r="V332" s="28" t="s">
        <v>341</v>
      </c>
      <c r="X332" s="28" t="s">
        <v>341</v>
      </c>
      <c r="Y332" s="28" t="s">
        <v>341</v>
      </c>
      <c r="AA332" s="2" t="s">
        <v>385</v>
      </c>
      <c r="AB332" s="2" t="str">
        <f t="shared" ref="AB332:AB335" si="442">IF(NOT(ISBLANK(AC332)),"-","")</f>
        <v>-</v>
      </c>
      <c r="AC332" s="2" t="s">
        <v>26</v>
      </c>
      <c r="AD332" s="2" t="str">
        <f t="shared" ref="AD332:AD335" si="443">IF(NOT(ISBLANK(AE332)),"_","")</f>
        <v>_</v>
      </c>
      <c r="AE332" s="2" t="s">
        <v>17</v>
      </c>
      <c r="AF332" s="2" t="str">
        <f t="shared" ref="AF332:AF335" si="444">IF(NOT(ISBLANK(AG332)),"_","")</f>
        <v>_</v>
      </c>
      <c r="AG332" s="2" t="s">
        <v>79</v>
      </c>
      <c r="AH332" s="2" t="str">
        <f t="shared" ref="AH332:AH335" si="445">IF(NOT(ISBLANK(AI332)),"_","")</f>
        <v>_</v>
      </c>
      <c r="AI332" s="2" t="s">
        <v>387</v>
      </c>
    </row>
    <row r="333" spans="2:35" x14ac:dyDescent="0.25">
      <c r="B333" s="2" t="str">
        <f t="shared" si="441"/>
        <v>@dasharray-tertiary_case_medium_gap</v>
      </c>
      <c r="C333" s="28" t="s">
        <v>389</v>
      </c>
      <c r="D333" s="28" t="s">
        <v>389</v>
      </c>
      <c r="F333" s="28" t="s">
        <v>389</v>
      </c>
      <c r="G333" s="28" t="s">
        <v>389</v>
      </c>
      <c r="I333" s="28" t="s">
        <v>96</v>
      </c>
      <c r="J333" s="28" t="s">
        <v>96</v>
      </c>
      <c r="L333" s="28" t="s">
        <v>96</v>
      </c>
      <c r="M333" s="28" t="s">
        <v>96</v>
      </c>
      <c r="U333" s="28" t="s">
        <v>389</v>
      </c>
      <c r="V333" s="28" t="s">
        <v>389</v>
      </c>
      <c r="X333" s="28" t="s">
        <v>389</v>
      </c>
      <c r="Y333" s="28" t="s">
        <v>389</v>
      </c>
      <c r="AA333" s="2" t="s">
        <v>385</v>
      </c>
      <c r="AB333" s="2" t="str">
        <f t="shared" si="442"/>
        <v>-</v>
      </c>
      <c r="AC333" s="2" t="s">
        <v>26</v>
      </c>
      <c r="AD333" s="2" t="str">
        <f t="shared" si="443"/>
        <v>_</v>
      </c>
      <c r="AE333" s="2" t="s">
        <v>17</v>
      </c>
      <c r="AF333" s="2" t="str">
        <f t="shared" si="444"/>
        <v>_</v>
      </c>
      <c r="AG333" s="2" t="s">
        <v>79</v>
      </c>
      <c r="AH333" s="2" t="str">
        <f t="shared" si="445"/>
        <v>_</v>
      </c>
      <c r="AI333" s="2" t="s">
        <v>388</v>
      </c>
    </row>
    <row r="334" spans="2:35" x14ac:dyDescent="0.25">
      <c r="B334" s="2" t="str">
        <f t="shared" si="441"/>
        <v>@dasharray-tertiary_case_rough_dash</v>
      </c>
      <c r="C334" s="28" t="s">
        <v>341</v>
      </c>
      <c r="D334" s="28" t="s">
        <v>341</v>
      </c>
      <c r="F334" s="28" t="s">
        <v>341</v>
      </c>
      <c r="G334" s="28" t="s">
        <v>341</v>
      </c>
      <c r="I334" s="28" t="s">
        <v>97</v>
      </c>
      <c r="J334" s="28" t="s">
        <v>97</v>
      </c>
      <c r="L334" s="28" t="s">
        <v>97</v>
      </c>
      <c r="M334" s="28" t="s">
        <v>97</v>
      </c>
      <c r="U334" s="28" t="s">
        <v>341</v>
      </c>
      <c r="V334" s="28" t="s">
        <v>341</v>
      </c>
      <c r="X334" s="28" t="s">
        <v>341</v>
      </c>
      <c r="Y334" s="28" t="s">
        <v>341</v>
      </c>
      <c r="AA334" s="2" t="s">
        <v>385</v>
      </c>
      <c r="AB334" s="2" t="str">
        <f t="shared" si="442"/>
        <v>-</v>
      </c>
      <c r="AC334" s="2" t="s">
        <v>26</v>
      </c>
      <c r="AD334" s="2" t="str">
        <f t="shared" si="443"/>
        <v>_</v>
      </c>
      <c r="AE334" s="2" t="s">
        <v>17</v>
      </c>
      <c r="AF334" s="2" t="str">
        <f t="shared" si="444"/>
        <v>_</v>
      </c>
      <c r="AG334" s="2" t="s">
        <v>386</v>
      </c>
      <c r="AH334" s="2" t="str">
        <f t="shared" si="445"/>
        <v>_</v>
      </c>
      <c r="AI334" s="2" t="s">
        <v>387</v>
      </c>
    </row>
    <row r="335" spans="2:35" x14ac:dyDescent="0.25">
      <c r="B335" s="2" t="str">
        <f t="shared" si="441"/>
        <v>@dasharray-tertiary_case_rough_gap</v>
      </c>
      <c r="C335" s="28" t="s">
        <v>389</v>
      </c>
      <c r="D335" s="28" t="s">
        <v>389</v>
      </c>
      <c r="F335" s="28" t="s">
        <v>389</v>
      </c>
      <c r="G335" s="28" t="s">
        <v>389</v>
      </c>
      <c r="I335" s="28" t="s">
        <v>96</v>
      </c>
      <c r="J335" s="28" t="s">
        <v>96</v>
      </c>
      <c r="L335" s="28" t="s">
        <v>96</v>
      </c>
      <c r="M335" s="28" t="s">
        <v>96</v>
      </c>
      <c r="U335" s="28" t="s">
        <v>389</v>
      </c>
      <c r="V335" s="28" t="s">
        <v>389</v>
      </c>
      <c r="X335" s="28" t="s">
        <v>389</v>
      </c>
      <c r="Y335" s="28" t="s">
        <v>389</v>
      </c>
      <c r="AA335" s="2" t="s">
        <v>385</v>
      </c>
      <c r="AB335" s="2" t="str">
        <f t="shared" si="442"/>
        <v>-</v>
      </c>
      <c r="AC335" s="2" t="s">
        <v>26</v>
      </c>
      <c r="AD335" s="2" t="str">
        <f t="shared" si="443"/>
        <v>_</v>
      </c>
      <c r="AE335" s="2" t="s">
        <v>17</v>
      </c>
      <c r="AF335" s="2" t="str">
        <f t="shared" si="444"/>
        <v>_</v>
      </c>
      <c r="AG335" s="2" t="s">
        <v>386</v>
      </c>
      <c r="AH335" s="2" t="str">
        <f t="shared" si="445"/>
        <v>_</v>
      </c>
      <c r="AI335" s="2" t="s">
        <v>388</v>
      </c>
    </row>
    <row r="336" spans="2:35" x14ac:dyDescent="0.25">
      <c r="B336" s="2"/>
      <c r="AB336" s="28" t="str">
        <f t="shared" si="409"/>
        <v/>
      </c>
      <c r="AD336" s="28" t="str">
        <f t="shared" si="416"/>
        <v/>
      </c>
      <c r="AF336" s="28" t="str">
        <f t="shared" si="417"/>
        <v/>
      </c>
      <c r="AH336" s="28" t="str">
        <f t="shared" si="427"/>
        <v/>
      </c>
    </row>
    <row r="337" spans="1:35" s="2" customFormat="1" x14ac:dyDescent="0.25">
      <c r="A337" s="3" t="s">
        <v>223</v>
      </c>
      <c r="B337" s="3"/>
      <c r="C337" s="27"/>
      <c r="D337" s="6"/>
      <c r="E337" s="7"/>
      <c r="F337" s="6"/>
      <c r="G337" s="6"/>
      <c r="H337" s="7"/>
      <c r="I337" s="6"/>
      <c r="J337" s="6"/>
      <c r="K337" s="7"/>
      <c r="L337" s="6"/>
      <c r="M337" s="6"/>
      <c r="N337" s="7"/>
      <c r="O337" s="6"/>
      <c r="P337" s="6"/>
      <c r="Q337" s="7"/>
      <c r="R337" s="6"/>
      <c r="S337" s="6"/>
      <c r="T337" s="7"/>
      <c r="U337" s="6"/>
      <c r="V337" s="6"/>
      <c r="W337" s="7"/>
      <c r="X337" s="6"/>
      <c r="Y337" s="6"/>
      <c r="AA337" s="4"/>
      <c r="AB337" s="4" t="str">
        <f t="shared" si="409"/>
        <v/>
      </c>
      <c r="AC337" s="4"/>
      <c r="AD337" s="4" t="str">
        <f t="shared" si="416"/>
        <v/>
      </c>
      <c r="AE337" s="4"/>
      <c r="AF337" s="4" t="str">
        <f t="shared" si="417"/>
        <v/>
      </c>
      <c r="AG337" s="4"/>
      <c r="AH337" s="4" t="str">
        <f t="shared" si="427"/>
        <v/>
      </c>
      <c r="AI337" s="4"/>
    </row>
    <row r="338" spans="1:35" x14ac:dyDescent="0.25">
      <c r="B338" s="2" t="str">
        <f t="shared" ref="B338:B339" si="446">_xlfn.CONCAT("@",AA338,AB338,AC338,AD338,AE338,AF338,AG338,AH338,AI338)</f>
        <v>@color-parking_aisle_line_unpaved</v>
      </c>
      <c r="C338" s="124" t="s">
        <v>232</v>
      </c>
      <c r="D338" s="115" t="s">
        <v>229</v>
      </c>
      <c r="F338" s="124" t="s">
        <v>232</v>
      </c>
      <c r="G338" s="114" t="s">
        <v>227</v>
      </c>
      <c r="I338" s="124" t="s">
        <v>232</v>
      </c>
      <c r="J338" s="115" t="s">
        <v>229</v>
      </c>
      <c r="L338" s="124" t="s">
        <v>232</v>
      </c>
      <c r="M338" s="114" t="s">
        <v>227</v>
      </c>
      <c r="U338" s="127" t="s">
        <v>233</v>
      </c>
      <c r="V338" s="128" t="s">
        <v>234</v>
      </c>
      <c r="X338" s="127" t="s">
        <v>233</v>
      </c>
      <c r="Y338" s="127" t="s">
        <v>233</v>
      </c>
      <c r="AA338" s="2" t="s">
        <v>6</v>
      </c>
      <c r="AB338" s="2" t="str">
        <f t="shared" ref="AB338:AB339" si="447">IF(NOT(ISBLANK(AC338)),"-","")</f>
        <v>-</v>
      </c>
      <c r="AC338" s="2" t="s">
        <v>391</v>
      </c>
      <c r="AD338" s="2" t="str">
        <f t="shared" ref="AD338:AD339" si="448">IF(NOT(ISBLANK(AE338)),"_","")</f>
        <v>_</v>
      </c>
      <c r="AE338" s="2" t="s">
        <v>13</v>
      </c>
      <c r="AF338" s="2" t="str">
        <f t="shared" ref="AF338:AF339" si="449">IF(NOT(ISBLANK(AG338)),"_","")</f>
        <v>_</v>
      </c>
      <c r="AG338" s="2" t="s">
        <v>21</v>
      </c>
      <c r="AH338" s="2" t="str">
        <f t="shared" ref="AH338:AH339" si="450">IF(NOT(ISBLANK(AI338)),"_","")</f>
        <v/>
      </c>
      <c r="AI338" s="2"/>
    </row>
    <row r="339" spans="1:35" x14ac:dyDescent="0.25">
      <c r="B339" s="2" t="str">
        <f t="shared" si="446"/>
        <v>@color-parking_aisle_line_paved_or_uk</v>
      </c>
      <c r="C339" s="127" t="s">
        <v>233</v>
      </c>
      <c r="D339" s="128" t="s">
        <v>234</v>
      </c>
      <c r="F339" s="127" t="s">
        <v>233</v>
      </c>
      <c r="G339" s="127" t="s">
        <v>233</v>
      </c>
      <c r="I339" s="127" t="s">
        <v>233</v>
      </c>
      <c r="J339" s="128" t="s">
        <v>234</v>
      </c>
      <c r="L339" s="127" t="s">
        <v>233</v>
      </c>
      <c r="M339" s="127" t="s">
        <v>233</v>
      </c>
      <c r="U339" s="127" t="s">
        <v>233</v>
      </c>
      <c r="V339" s="128" t="s">
        <v>234</v>
      </c>
      <c r="X339" s="127" t="s">
        <v>233</v>
      </c>
      <c r="Y339" s="127" t="s">
        <v>233</v>
      </c>
      <c r="AA339" s="2" t="s">
        <v>6</v>
      </c>
      <c r="AB339" s="2" t="str">
        <f t="shared" si="447"/>
        <v>-</v>
      </c>
      <c r="AC339" s="2" t="s">
        <v>391</v>
      </c>
      <c r="AD339" s="2" t="str">
        <f t="shared" si="448"/>
        <v>_</v>
      </c>
      <c r="AE339" s="2" t="s">
        <v>13</v>
      </c>
      <c r="AF339" s="2" t="str">
        <f t="shared" si="449"/>
        <v>_</v>
      </c>
      <c r="AG339" s="2" t="s">
        <v>24</v>
      </c>
      <c r="AH339" s="2" t="str">
        <f t="shared" si="450"/>
        <v/>
      </c>
      <c r="AI339" s="2"/>
    </row>
    <row r="340" spans="1:35" x14ac:dyDescent="0.25">
      <c r="B340" s="2"/>
      <c r="C340" s="26"/>
      <c r="D340" s="38"/>
      <c r="F340" s="46"/>
      <c r="G340" s="38"/>
      <c r="I340" s="38"/>
      <c r="J340" s="38"/>
      <c r="L340" s="46"/>
      <c r="M340" s="38"/>
      <c r="U340" s="26"/>
      <c r="V340" s="38"/>
      <c r="X340" s="46"/>
      <c r="Y340" s="38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1:35" x14ac:dyDescent="0.25">
      <c r="B341" s="2" t="str">
        <f t="shared" ref="B341:B346" si="451">_xlfn.CONCAT("@",AA341,AB341,AC341,AD341,AE341,AF341,AG341,AH341,AI341)</f>
        <v>@color-raceway_case_unpaved_farzoom</v>
      </c>
      <c r="C341" s="114" t="s">
        <v>227</v>
      </c>
      <c r="D341" s="115" t="s">
        <v>229</v>
      </c>
      <c r="F341" s="115" t="s">
        <v>229</v>
      </c>
      <c r="G341" s="114" t="s">
        <v>227</v>
      </c>
      <c r="I341" s="131" t="str">
        <f t="shared" ref="I341" si="452">C341</f>
        <v>"#b99346"</v>
      </c>
      <c r="J341" s="126" t="str">
        <f t="shared" ref="J341" si="453">D341</f>
        <v>"#644507"</v>
      </c>
      <c r="L341" s="115" t="s">
        <v>229</v>
      </c>
      <c r="M341" s="114" t="s">
        <v>227</v>
      </c>
      <c r="U341" s="117" t="s">
        <v>228</v>
      </c>
      <c r="V341" s="47" t="s">
        <v>214</v>
      </c>
      <c r="X341" s="117" t="s">
        <v>228</v>
      </c>
      <c r="Y341" s="117" t="s">
        <v>228</v>
      </c>
      <c r="AA341" s="2" t="s">
        <v>6</v>
      </c>
      <c r="AB341" s="2" t="str">
        <f t="shared" ref="AB341" si="454">IF(NOT(ISBLANK(AC341)),"-","")</f>
        <v>-</v>
      </c>
      <c r="AC341" s="2" t="s">
        <v>28</v>
      </c>
      <c r="AD341" s="2" t="str">
        <f t="shared" ref="AD341" si="455">IF(NOT(ISBLANK(AE341)),"_","")</f>
        <v>_</v>
      </c>
      <c r="AE341" s="2" t="s">
        <v>17</v>
      </c>
      <c r="AF341" s="2" t="str">
        <f t="shared" ref="AF341" si="456">IF(NOT(ISBLANK(AG341)),"_","")</f>
        <v>_</v>
      </c>
      <c r="AG341" s="2" t="s">
        <v>21</v>
      </c>
      <c r="AH341" s="2" t="str">
        <f t="shared" ref="AH341" si="457">IF(NOT(ISBLANK(AI341)),"_","")</f>
        <v>_</v>
      </c>
      <c r="AI341" s="28" t="s">
        <v>20</v>
      </c>
    </row>
    <row r="342" spans="1:35" x14ac:dyDescent="0.25">
      <c r="B342" s="2" t="str">
        <f t="shared" si="451"/>
        <v>@color-raceway_case_unpaved_default</v>
      </c>
      <c r="C342" s="124" t="s">
        <v>232</v>
      </c>
      <c r="D342" s="115" t="s">
        <v>229</v>
      </c>
      <c r="F342" s="47" t="s">
        <v>214</v>
      </c>
      <c r="G342" s="47" t="s">
        <v>214</v>
      </c>
      <c r="I342" s="125" t="str">
        <f>C342</f>
        <v>"#af9564"</v>
      </c>
      <c r="J342" s="126" t="str">
        <f>D342</f>
        <v>"#644507"</v>
      </c>
      <c r="L342" s="47" t="s">
        <v>214</v>
      </c>
      <c r="M342" s="47" t="s">
        <v>214</v>
      </c>
      <c r="U342" s="127" t="s">
        <v>233</v>
      </c>
      <c r="V342" s="128" t="s">
        <v>234</v>
      </c>
      <c r="X342" s="47" t="s">
        <v>214</v>
      </c>
      <c r="Y342" s="47" t="s">
        <v>214</v>
      </c>
      <c r="AA342" s="2" t="s">
        <v>6</v>
      </c>
      <c r="AB342" s="2" t="str">
        <f t="shared" ref="AB342:AB344" si="458">IF(NOT(ISBLANK(AC342)),"-","")</f>
        <v>-</v>
      </c>
      <c r="AC342" s="2" t="s">
        <v>28</v>
      </c>
      <c r="AD342" s="2" t="str">
        <f t="shared" ref="AD342:AD344" si="459">IF(NOT(ISBLANK(AE342)),"_","")</f>
        <v>_</v>
      </c>
      <c r="AE342" s="2" t="s">
        <v>17</v>
      </c>
      <c r="AF342" s="2" t="str">
        <f t="shared" ref="AF342:AF344" si="460">IF(NOT(ISBLANK(AG342)),"_","")</f>
        <v>_</v>
      </c>
      <c r="AG342" s="2" t="s">
        <v>21</v>
      </c>
      <c r="AH342" s="2" t="str">
        <f t="shared" si="427"/>
        <v>_</v>
      </c>
      <c r="AI342" s="2" t="s">
        <v>262</v>
      </c>
    </row>
    <row r="343" spans="1:35" x14ac:dyDescent="0.25">
      <c r="B343" s="2" t="str">
        <f t="shared" si="451"/>
        <v>@color-raceway_case_paved_or_uk_farzoom</v>
      </c>
      <c r="C343" s="117" t="s">
        <v>228</v>
      </c>
      <c r="D343" s="47" t="s">
        <v>214</v>
      </c>
      <c r="F343" s="117" t="s">
        <v>228</v>
      </c>
      <c r="G343" s="117" t="s">
        <v>228</v>
      </c>
      <c r="I343" s="132" t="str">
        <f t="shared" ref="I343" si="461">C343</f>
        <v>"#808080"</v>
      </c>
      <c r="J343" s="37" t="str">
        <f t="shared" ref="J343" si="462">D343</f>
        <v>"#000000"</v>
      </c>
      <c r="L343" s="117" t="s">
        <v>228</v>
      </c>
      <c r="M343" s="117" t="s">
        <v>228</v>
      </c>
      <c r="U343" s="117" t="s">
        <v>228</v>
      </c>
      <c r="V343" s="47" t="s">
        <v>214</v>
      </c>
      <c r="X343" s="117" t="s">
        <v>228</v>
      </c>
      <c r="Y343" s="117" t="s">
        <v>228</v>
      </c>
      <c r="AA343" s="2" t="s">
        <v>6</v>
      </c>
      <c r="AB343" s="2" t="str">
        <f t="shared" si="458"/>
        <v>-</v>
      </c>
      <c r="AC343" s="2" t="s">
        <v>28</v>
      </c>
      <c r="AD343" s="2" t="str">
        <f t="shared" si="459"/>
        <v>_</v>
      </c>
      <c r="AE343" s="2" t="s">
        <v>17</v>
      </c>
      <c r="AF343" s="2" t="str">
        <f t="shared" si="460"/>
        <v>_</v>
      </c>
      <c r="AG343" s="2" t="s">
        <v>24</v>
      </c>
      <c r="AH343" s="2" t="str">
        <f t="shared" ref="AH343" si="463">IF(NOT(ISBLANK(AI343)),"_","")</f>
        <v>_</v>
      </c>
      <c r="AI343" s="28" t="s">
        <v>20</v>
      </c>
    </row>
    <row r="344" spans="1:35" x14ac:dyDescent="0.25">
      <c r="B344" s="2" t="str">
        <f t="shared" si="451"/>
        <v>@color-raceway_case_paved_or_uk_default</v>
      </c>
      <c r="C344" s="127" t="s">
        <v>233</v>
      </c>
      <c r="D344" s="128" t="s">
        <v>234</v>
      </c>
      <c r="F344" s="47" t="s">
        <v>214</v>
      </c>
      <c r="G344" s="47" t="s">
        <v>214</v>
      </c>
      <c r="I344" s="129" t="str">
        <f>C344</f>
        <v>"#a8a6a4"</v>
      </c>
      <c r="J344" s="130" t="str">
        <f>D344</f>
        <v>"#4a4a4a"</v>
      </c>
      <c r="L344" s="47" t="s">
        <v>214</v>
      </c>
      <c r="M344" s="47" t="s">
        <v>214</v>
      </c>
      <c r="U344" s="127" t="s">
        <v>233</v>
      </c>
      <c r="V344" s="128" t="s">
        <v>234</v>
      </c>
      <c r="X344" s="47" t="s">
        <v>214</v>
      </c>
      <c r="Y344" s="47" t="s">
        <v>214</v>
      </c>
      <c r="AA344" s="2" t="s">
        <v>6</v>
      </c>
      <c r="AB344" s="2" t="str">
        <f t="shared" si="458"/>
        <v>-</v>
      </c>
      <c r="AC344" s="2" t="s">
        <v>28</v>
      </c>
      <c r="AD344" s="2" t="str">
        <f t="shared" si="459"/>
        <v>_</v>
      </c>
      <c r="AE344" s="2" t="s">
        <v>17</v>
      </c>
      <c r="AF344" s="2" t="str">
        <f t="shared" si="460"/>
        <v>_</v>
      </c>
      <c r="AG344" s="2" t="s">
        <v>24</v>
      </c>
      <c r="AH344" s="2" t="str">
        <f t="shared" si="427"/>
        <v>_</v>
      </c>
      <c r="AI344" s="2" t="s">
        <v>262</v>
      </c>
    </row>
    <row r="345" spans="1:35" x14ac:dyDescent="0.25">
      <c r="B345" s="2" t="str">
        <f t="shared" si="451"/>
        <v>@color-raceway_line_unpaved</v>
      </c>
      <c r="C345" s="119" t="s">
        <v>221</v>
      </c>
      <c r="D345" s="120" t="str">
        <f>C345</f>
        <v>"#eddfca"</v>
      </c>
      <c r="F345" s="119" t="s">
        <v>221</v>
      </c>
      <c r="G345" s="38" t="str">
        <f t="shared" ref="G345:G346" si="464">F345</f>
        <v>"#eddfca"</v>
      </c>
      <c r="I345" s="120" t="str">
        <f>C345</f>
        <v>"#eddfca"</v>
      </c>
      <c r="J345" s="120" t="str">
        <f>C345</f>
        <v>"#eddfca"</v>
      </c>
      <c r="L345" s="119" t="s">
        <v>221</v>
      </c>
      <c r="M345" s="38" t="str">
        <f t="shared" ref="M345:M346" si="465">L345</f>
        <v>"#eddfca"</v>
      </c>
      <c r="U345" s="26" t="s">
        <v>222</v>
      </c>
      <c r="V345" s="38" t="str">
        <f>U345</f>
        <v>"#ffffff"</v>
      </c>
      <c r="X345" s="46" t="s">
        <v>222</v>
      </c>
      <c r="Y345" s="38" t="str">
        <f t="shared" ref="Y345" si="466">X345</f>
        <v>"#ffffff"</v>
      </c>
      <c r="AA345" s="2" t="s">
        <v>6</v>
      </c>
      <c r="AB345" s="2" t="str">
        <f t="shared" si="409"/>
        <v>-</v>
      </c>
      <c r="AC345" s="2" t="s">
        <v>28</v>
      </c>
      <c r="AD345" s="2" t="str">
        <f t="shared" si="416"/>
        <v>_</v>
      </c>
      <c r="AE345" s="2" t="s">
        <v>13</v>
      </c>
      <c r="AF345" s="2" t="str">
        <f t="shared" si="417"/>
        <v>_</v>
      </c>
      <c r="AG345" s="2" t="s">
        <v>21</v>
      </c>
      <c r="AH345" s="2" t="str">
        <f t="shared" si="427"/>
        <v/>
      </c>
      <c r="AI345" s="2"/>
    </row>
    <row r="346" spans="1:35" x14ac:dyDescent="0.25">
      <c r="B346" s="2" t="str">
        <f t="shared" si="451"/>
        <v>@color-raceway_line_paved_or_uk</v>
      </c>
      <c r="C346" s="26" t="s">
        <v>222</v>
      </c>
      <c r="D346" s="38" t="str">
        <f>C346</f>
        <v>"#ffffff"</v>
      </c>
      <c r="F346" s="46" t="s">
        <v>222</v>
      </c>
      <c r="G346" s="38" t="str">
        <f t="shared" si="464"/>
        <v>"#ffffff"</v>
      </c>
      <c r="I346" s="38" t="str">
        <f>C346</f>
        <v>"#ffffff"</v>
      </c>
      <c r="J346" s="38" t="str">
        <f>C346</f>
        <v>"#ffffff"</v>
      </c>
      <c r="L346" s="46" t="s">
        <v>222</v>
      </c>
      <c r="M346" s="38" t="str">
        <f t="shared" si="465"/>
        <v>"#ffffff"</v>
      </c>
      <c r="U346" s="26" t="s">
        <v>222</v>
      </c>
      <c r="V346" s="38" t="str">
        <f>U346</f>
        <v>"#ffffff"</v>
      </c>
      <c r="X346" s="46" t="s">
        <v>222</v>
      </c>
      <c r="Y346" s="38" t="str">
        <f t="shared" ref="Y346" si="467">X346</f>
        <v>"#ffffff"</v>
      </c>
      <c r="AA346" s="2" t="s">
        <v>6</v>
      </c>
      <c r="AB346" s="2" t="str">
        <f t="shared" si="409"/>
        <v>-</v>
      </c>
      <c r="AC346" s="2" t="s">
        <v>28</v>
      </c>
      <c r="AD346" s="2" t="str">
        <f t="shared" si="416"/>
        <v>_</v>
      </c>
      <c r="AE346" s="2" t="s">
        <v>13</v>
      </c>
      <c r="AF346" s="2" t="str">
        <f t="shared" si="417"/>
        <v>_</v>
      </c>
      <c r="AG346" s="2" t="s">
        <v>24</v>
      </c>
      <c r="AH346" s="2" t="str">
        <f t="shared" si="427"/>
        <v/>
      </c>
      <c r="AI346" s="2"/>
    </row>
    <row r="347" spans="1:35" x14ac:dyDescent="0.25">
      <c r="B347" s="2"/>
      <c r="C347" s="26"/>
      <c r="F347" s="26"/>
      <c r="L347" s="26"/>
      <c r="U347" s="26"/>
      <c r="X347" s="26"/>
      <c r="AA347" s="2"/>
      <c r="AB347" s="2"/>
      <c r="AC347" s="2"/>
      <c r="AD347" s="2"/>
      <c r="AE347" s="2"/>
      <c r="AF347" s="2"/>
      <c r="AG347" s="2"/>
      <c r="AH347" s="2"/>
      <c r="AI347" s="2"/>
    </row>
    <row r="348" spans="1:35" x14ac:dyDescent="0.25">
      <c r="B348" s="2" t="str">
        <f t="shared" ref="B348:B351" si="468">_xlfn.CONCAT("@",AA348,AB348,AC348,AD348,AE348,AF348,AG348,AH348,AI348)</f>
        <v>@dasharray-raceway_case_medium_dash</v>
      </c>
      <c r="C348" s="28" t="s">
        <v>341</v>
      </c>
      <c r="D348" s="28" t="s">
        <v>341</v>
      </c>
      <c r="F348" s="28" t="s">
        <v>341</v>
      </c>
      <c r="G348" s="28" t="s">
        <v>341</v>
      </c>
      <c r="I348" s="28" t="s">
        <v>92</v>
      </c>
      <c r="J348" s="28" t="s">
        <v>92</v>
      </c>
      <c r="L348" s="28" t="s">
        <v>92</v>
      </c>
      <c r="M348" s="28" t="s">
        <v>92</v>
      </c>
      <c r="U348" s="28" t="s">
        <v>341</v>
      </c>
      <c r="V348" s="28" t="s">
        <v>341</v>
      </c>
      <c r="X348" s="28" t="s">
        <v>341</v>
      </c>
      <c r="Y348" s="28" t="s">
        <v>341</v>
      </c>
      <c r="AA348" s="2" t="s">
        <v>385</v>
      </c>
      <c r="AB348" s="2" t="str">
        <f t="shared" ref="AB348:AB351" si="469">IF(NOT(ISBLANK(AC348)),"-","")</f>
        <v>-</v>
      </c>
      <c r="AC348" s="2" t="s">
        <v>28</v>
      </c>
      <c r="AD348" s="2" t="str">
        <f t="shared" ref="AD348:AD351" si="470">IF(NOT(ISBLANK(AE348)),"_","")</f>
        <v>_</v>
      </c>
      <c r="AE348" s="2" t="s">
        <v>17</v>
      </c>
      <c r="AF348" s="2" t="str">
        <f t="shared" ref="AF348:AF351" si="471">IF(NOT(ISBLANK(AG348)),"_","")</f>
        <v>_</v>
      </c>
      <c r="AG348" s="2" t="s">
        <v>79</v>
      </c>
      <c r="AH348" s="2" t="str">
        <f t="shared" ref="AH348:AH351" si="472">IF(NOT(ISBLANK(AI348)),"_","")</f>
        <v>_</v>
      </c>
      <c r="AI348" s="2" t="s">
        <v>387</v>
      </c>
    </row>
    <row r="349" spans="1:35" x14ac:dyDescent="0.25">
      <c r="B349" s="2" t="str">
        <f t="shared" si="468"/>
        <v>@dasharray-raceway_case_medium_gap</v>
      </c>
      <c r="C349" s="28" t="s">
        <v>389</v>
      </c>
      <c r="D349" s="28" t="s">
        <v>389</v>
      </c>
      <c r="F349" s="28" t="s">
        <v>389</v>
      </c>
      <c r="G349" s="28" t="s">
        <v>389</v>
      </c>
      <c r="I349" s="28" t="s">
        <v>96</v>
      </c>
      <c r="J349" s="28" t="s">
        <v>96</v>
      </c>
      <c r="L349" s="28" t="s">
        <v>96</v>
      </c>
      <c r="M349" s="28" t="s">
        <v>96</v>
      </c>
      <c r="U349" s="28" t="s">
        <v>389</v>
      </c>
      <c r="V349" s="28" t="s">
        <v>389</v>
      </c>
      <c r="X349" s="28" t="s">
        <v>389</v>
      </c>
      <c r="Y349" s="28" t="s">
        <v>389</v>
      </c>
      <c r="AA349" s="2" t="s">
        <v>385</v>
      </c>
      <c r="AB349" s="2" t="str">
        <f t="shared" si="469"/>
        <v>-</v>
      </c>
      <c r="AC349" s="2" t="s">
        <v>28</v>
      </c>
      <c r="AD349" s="2" t="str">
        <f t="shared" si="470"/>
        <v>_</v>
      </c>
      <c r="AE349" s="2" t="s">
        <v>17</v>
      </c>
      <c r="AF349" s="2" t="str">
        <f t="shared" si="471"/>
        <v>_</v>
      </c>
      <c r="AG349" s="2" t="s">
        <v>79</v>
      </c>
      <c r="AH349" s="2" t="str">
        <f t="shared" si="472"/>
        <v>_</v>
      </c>
      <c r="AI349" s="2" t="s">
        <v>388</v>
      </c>
    </row>
    <row r="350" spans="1:35" x14ac:dyDescent="0.25">
      <c r="B350" s="2" t="str">
        <f t="shared" si="468"/>
        <v>@dasharray-raceway_case_rough_dash</v>
      </c>
      <c r="C350" s="28" t="s">
        <v>341</v>
      </c>
      <c r="D350" s="28" t="s">
        <v>341</v>
      </c>
      <c r="F350" s="28" t="s">
        <v>341</v>
      </c>
      <c r="G350" s="28" t="s">
        <v>341</v>
      </c>
      <c r="I350" s="28" t="s">
        <v>97</v>
      </c>
      <c r="J350" s="28" t="s">
        <v>97</v>
      </c>
      <c r="L350" s="28" t="s">
        <v>97</v>
      </c>
      <c r="M350" s="28" t="s">
        <v>97</v>
      </c>
      <c r="U350" s="28" t="s">
        <v>341</v>
      </c>
      <c r="V350" s="28" t="s">
        <v>341</v>
      </c>
      <c r="X350" s="28" t="s">
        <v>341</v>
      </c>
      <c r="Y350" s="28" t="s">
        <v>341</v>
      </c>
      <c r="AA350" s="2" t="s">
        <v>385</v>
      </c>
      <c r="AB350" s="2" t="str">
        <f t="shared" si="469"/>
        <v>-</v>
      </c>
      <c r="AC350" s="2" t="s">
        <v>28</v>
      </c>
      <c r="AD350" s="2" t="str">
        <f t="shared" si="470"/>
        <v>_</v>
      </c>
      <c r="AE350" s="2" t="s">
        <v>17</v>
      </c>
      <c r="AF350" s="2" t="str">
        <f t="shared" si="471"/>
        <v>_</v>
      </c>
      <c r="AG350" s="2" t="s">
        <v>386</v>
      </c>
      <c r="AH350" s="2" t="str">
        <f t="shared" si="472"/>
        <v>_</v>
      </c>
      <c r="AI350" s="2" t="s">
        <v>387</v>
      </c>
    </row>
    <row r="351" spans="1:35" x14ac:dyDescent="0.25">
      <c r="B351" s="2" t="str">
        <f t="shared" si="468"/>
        <v>@dasharray-raceway_case_rough_gap</v>
      </c>
      <c r="C351" s="28" t="s">
        <v>389</v>
      </c>
      <c r="D351" s="28" t="s">
        <v>389</v>
      </c>
      <c r="F351" s="28" t="s">
        <v>389</v>
      </c>
      <c r="G351" s="28" t="s">
        <v>389</v>
      </c>
      <c r="I351" s="28" t="s">
        <v>96</v>
      </c>
      <c r="J351" s="28" t="s">
        <v>96</v>
      </c>
      <c r="L351" s="28" t="s">
        <v>96</v>
      </c>
      <c r="M351" s="28" t="s">
        <v>96</v>
      </c>
      <c r="U351" s="28" t="s">
        <v>389</v>
      </c>
      <c r="V351" s="28" t="s">
        <v>389</v>
      </c>
      <c r="X351" s="28" t="s">
        <v>389</v>
      </c>
      <c r="Y351" s="28" t="s">
        <v>389</v>
      </c>
      <c r="AA351" s="2" t="s">
        <v>385</v>
      </c>
      <c r="AB351" s="2" t="str">
        <f t="shared" si="469"/>
        <v>-</v>
      </c>
      <c r="AC351" s="2" t="s">
        <v>28</v>
      </c>
      <c r="AD351" s="2" t="str">
        <f t="shared" si="470"/>
        <v>_</v>
      </c>
      <c r="AE351" s="2" t="s">
        <v>17</v>
      </c>
      <c r="AF351" s="2" t="str">
        <f t="shared" si="471"/>
        <v>_</v>
      </c>
      <c r="AG351" s="2" t="s">
        <v>386</v>
      </c>
      <c r="AH351" s="2" t="str">
        <f t="shared" si="472"/>
        <v>_</v>
      </c>
      <c r="AI351" s="2" t="s">
        <v>388</v>
      </c>
    </row>
    <row r="352" spans="1:35" x14ac:dyDescent="0.25">
      <c r="B352" s="2"/>
      <c r="C352" s="26"/>
      <c r="F352" s="26"/>
      <c r="L352" s="26"/>
      <c r="U352" s="26"/>
      <c r="X352" s="26"/>
      <c r="AA352" s="2"/>
      <c r="AB352" s="2"/>
      <c r="AC352" s="2"/>
      <c r="AD352" s="2"/>
      <c r="AE352" s="2"/>
      <c r="AF352" s="2"/>
      <c r="AG352" s="2"/>
      <c r="AH352" s="2"/>
      <c r="AI352" s="2"/>
    </row>
    <row r="353" spans="2:35" x14ac:dyDescent="0.25">
      <c r="B353" s="2"/>
      <c r="AB353" s="28" t="str">
        <f t="shared" si="409"/>
        <v/>
      </c>
      <c r="AD353" s="28" t="str">
        <f t="shared" si="416"/>
        <v/>
      </c>
      <c r="AF353" s="28" t="str">
        <f t="shared" si="417"/>
        <v/>
      </c>
      <c r="AH353" s="28" t="str">
        <f t="shared" si="427"/>
        <v/>
      </c>
    </row>
    <row r="354" spans="2:35" x14ac:dyDescent="0.25">
      <c r="B354" s="2" t="str">
        <f t="shared" ref="B354:B359" si="473">_xlfn.CONCAT("@",AA354,AB354,AC354,AD354,AE354,AF354,AG354,AH354,AI354)</f>
        <v>@color-driveway_case_unpaved_farzoom</v>
      </c>
      <c r="C354" s="114" t="s">
        <v>227</v>
      </c>
      <c r="D354" s="115" t="s">
        <v>229</v>
      </c>
      <c r="F354" s="115" t="s">
        <v>229</v>
      </c>
      <c r="G354" s="114" t="s">
        <v>227</v>
      </c>
      <c r="I354" s="131" t="str">
        <f t="shared" ref="I354:J357" si="474">C354</f>
        <v>"#b99346"</v>
      </c>
      <c r="J354" s="126" t="str">
        <f t="shared" si="474"/>
        <v>"#644507"</v>
      </c>
      <c r="L354" s="115" t="s">
        <v>229</v>
      </c>
      <c r="M354" s="114" t="s">
        <v>227</v>
      </c>
      <c r="U354" s="117" t="s">
        <v>228</v>
      </c>
      <c r="V354" s="47" t="s">
        <v>214</v>
      </c>
      <c r="X354" s="117" t="s">
        <v>228</v>
      </c>
      <c r="Y354" s="117" t="s">
        <v>228</v>
      </c>
      <c r="AA354" s="2" t="s">
        <v>6</v>
      </c>
      <c r="AB354" s="2" t="str">
        <f t="shared" si="409"/>
        <v>-</v>
      </c>
      <c r="AC354" s="2" t="s">
        <v>29</v>
      </c>
      <c r="AD354" s="2" t="str">
        <f t="shared" si="416"/>
        <v>_</v>
      </c>
      <c r="AE354" s="2" t="s">
        <v>17</v>
      </c>
      <c r="AF354" s="2" t="str">
        <f t="shared" si="417"/>
        <v>_</v>
      </c>
      <c r="AG354" s="2" t="s">
        <v>21</v>
      </c>
      <c r="AH354" s="2" t="str">
        <f t="shared" si="427"/>
        <v>_</v>
      </c>
      <c r="AI354" s="28" t="s">
        <v>20</v>
      </c>
    </row>
    <row r="355" spans="2:35" x14ac:dyDescent="0.25">
      <c r="B355" s="2" t="str">
        <f t="shared" si="473"/>
        <v>@color-driveway_case_unpaved_default</v>
      </c>
      <c r="C355" s="115" t="s">
        <v>229</v>
      </c>
      <c r="D355" s="115" t="s">
        <v>229</v>
      </c>
      <c r="F355" s="47" t="s">
        <v>214</v>
      </c>
      <c r="G355" s="47" t="s">
        <v>214</v>
      </c>
      <c r="I355" s="126" t="str">
        <f t="shared" si="474"/>
        <v>"#644507"</v>
      </c>
      <c r="J355" s="126" t="str">
        <f t="shared" si="474"/>
        <v>"#644507"</v>
      </c>
      <c r="L355" s="47" t="s">
        <v>214</v>
      </c>
      <c r="M355" s="47" t="s">
        <v>214</v>
      </c>
      <c r="U355" s="118" t="s">
        <v>218</v>
      </c>
      <c r="V355" s="47" t="s">
        <v>214</v>
      </c>
      <c r="X355" s="47" t="s">
        <v>214</v>
      </c>
      <c r="Y355" s="47" t="s">
        <v>214</v>
      </c>
      <c r="AA355" s="2" t="s">
        <v>6</v>
      </c>
      <c r="AB355" s="2" t="str">
        <f t="shared" si="409"/>
        <v>-</v>
      </c>
      <c r="AC355" s="2" t="s">
        <v>29</v>
      </c>
      <c r="AD355" s="2" t="str">
        <f t="shared" si="416"/>
        <v>_</v>
      </c>
      <c r="AE355" s="2" t="s">
        <v>17</v>
      </c>
      <c r="AF355" s="2" t="str">
        <f t="shared" si="417"/>
        <v>_</v>
      </c>
      <c r="AG355" s="2" t="s">
        <v>21</v>
      </c>
      <c r="AH355" s="2" t="str">
        <f t="shared" si="427"/>
        <v>_</v>
      </c>
      <c r="AI355" s="2" t="s">
        <v>262</v>
      </c>
    </row>
    <row r="356" spans="2:35" x14ac:dyDescent="0.25">
      <c r="B356" s="2" t="str">
        <f t="shared" si="473"/>
        <v>@color-driveway_case_paved_or_uk_farzoom</v>
      </c>
      <c r="C356" s="117" t="s">
        <v>228</v>
      </c>
      <c r="D356" s="47" t="s">
        <v>214</v>
      </c>
      <c r="F356" s="117" t="s">
        <v>228</v>
      </c>
      <c r="G356" s="117" t="s">
        <v>228</v>
      </c>
      <c r="I356" s="132" t="str">
        <f t="shared" si="474"/>
        <v>"#808080"</v>
      </c>
      <c r="J356" s="37" t="str">
        <f t="shared" si="474"/>
        <v>"#000000"</v>
      </c>
      <c r="L356" s="117" t="s">
        <v>228</v>
      </c>
      <c r="M356" s="117" t="s">
        <v>228</v>
      </c>
      <c r="U356" s="117" t="s">
        <v>228</v>
      </c>
      <c r="V356" s="47" t="s">
        <v>214</v>
      </c>
      <c r="X356" s="117" t="s">
        <v>228</v>
      </c>
      <c r="Y356" s="117" t="s">
        <v>228</v>
      </c>
      <c r="AA356" s="2" t="s">
        <v>6</v>
      </c>
      <c r="AB356" s="2" t="str">
        <f t="shared" si="409"/>
        <v>-</v>
      </c>
      <c r="AC356" s="2" t="s">
        <v>29</v>
      </c>
      <c r="AD356" s="2" t="str">
        <f t="shared" si="416"/>
        <v>_</v>
      </c>
      <c r="AE356" s="2" t="s">
        <v>17</v>
      </c>
      <c r="AF356" s="2" t="str">
        <f t="shared" si="417"/>
        <v>_</v>
      </c>
      <c r="AG356" s="2" t="s">
        <v>24</v>
      </c>
      <c r="AH356" s="2" t="str">
        <f t="shared" si="427"/>
        <v>_</v>
      </c>
      <c r="AI356" s="28" t="s">
        <v>20</v>
      </c>
    </row>
    <row r="357" spans="2:35" x14ac:dyDescent="0.25">
      <c r="B357" s="2" t="str">
        <f t="shared" si="473"/>
        <v>@color-driveway_case_paved_or_uk_default</v>
      </c>
      <c r="C357" s="118" t="s">
        <v>218</v>
      </c>
      <c r="D357" s="47" t="s">
        <v>214</v>
      </c>
      <c r="F357" s="47" t="s">
        <v>214</v>
      </c>
      <c r="G357" s="47" t="s">
        <v>214</v>
      </c>
      <c r="I357" s="133" t="str">
        <f t="shared" si="474"/>
        <v>"#404040"</v>
      </c>
      <c r="J357" s="37" t="str">
        <f t="shared" si="474"/>
        <v>"#000000"</v>
      </c>
      <c r="L357" s="47" t="s">
        <v>214</v>
      </c>
      <c r="M357" s="47" t="s">
        <v>214</v>
      </c>
      <c r="Q357" s="7"/>
      <c r="U357" s="118" t="s">
        <v>218</v>
      </c>
      <c r="V357" s="47" t="s">
        <v>214</v>
      </c>
      <c r="X357" s="47" t="s">
        <v>214</v>
      </c>
      <c r="Y357" s="47" t="s">
        <v>214</v>
      </c>
      <c r="AA357" s="2" t="s">
        <v>6</v>
      </c>
      <c r="AB357" s="2" t="str">
        <f t="shared" si="409"/>
        <v>-</v>
      </c>
      <c r="AC357" s="2" t="s">
        <v>29</v>
      </c>
      <c r="AD357" s="2" t="str">
        <f t="shared" si="416"/>
        <v>_</v>
      </c>
      <c r="AE357" s="2" t="s">
        <v>17</v>
      </c>
      <c r="AF357" s="2" t="str">
        <f t="shared" si="417"/>
        <v>_</v>
      </c>
      <c r="AG357" s="2" t="s">
        <v>24</v>
      </c>
      <c r="AH357" s="2" t="str">
        <f t="shared" si="427"/>
        <v>_</v>
      </c>
      <c r="AI357" s="2" t="s">
        <v>262</v>
      </c>
    </row>
    <row r="358" spans="2:35" x14ac:dyDescent="0.25">
      <c r="B358" s="2" t="str">
        <f t="shared" si="473"/>
        <v>@color-driveway_line_unpaved</v>
      </c>
      <c r="C358" s="119" t="s">
        <v>221</v>
      </c>
      <c r="D358" s="38" t="str">
        <f t="shared" ref="D358:D359" si="475">C358</f>
        <v>"#eddfca"</v>
      </c>
      <c r="F358" s="119" t="s">
        <v>221</v>
      </c>
      <c r="G358" s="38" t="str">
        <f t="shared" ref="G358:G359" si="476">F358</f>
        <v>"#eddfca"</v>
      </c>
      <c r="I358" s="119" t="s">
        <v>221</v>
      </c>
      <c r="J358" s="38" t="str">
        <f t="shared" ref="J358:J359" si="477">I358</f>
        <v>"#eddfca"</v>
      </c>
      <c r="L358" s="119" t="s">
        <v>221</v>
      </c>
      <c r="M358" s="38" t="str">
        <f t="shared" ref="M358:M359" si="478">L358</f>
        <v>"#eddfca"</v>
      </c>
      <c r="U358" s="46" t="s">
        <v>222</v>
      </c>
      <c r="V358" s="38" t="str">
        <f t="shared" ref="V358" si="479">U358</f>
        <v>"#ffffff"</v>
      </c>
      <c r="X358" s="46" t="s">
        <v>222</v>
      </c>
      <c r="Y358" s="38" t="str">
        <f t="shared" ref="Y358" si="480">X358</f>
        <v>"#ffffff"</v>
      </c>
      <c r="AA358" s="2" t="s">
        <v>6</v>
      </c>
      <c r="AB358" s="2" t="str">
        <f t="shared" si="409"/>
        <v>-</v>
      </c>
      <c r="AC358" s="2" t="s">
        <v>29</v>
      </c>
      <c r="AD358" s="2" t="str">
        <f t="shared" si="416"/>
        <v>_</v>
      </c>
      <c r="AE358" s="2" t="s">
        <v>13</v>
      </c>
      <c r="AF358" s="2" t="str">
        <f t="shared" si="417"/>
        <v>_</v>
      </c>
      <c r="AG358" s="2" t="s">
        <v>21</v>
      </c>
      <c r="AH358" s="2" t="str">
        <f t="shared" si="427"/>
        <v/>
      </c>
      <c r="AI358" s="2"/>
    </row>
    <row r="359" spans="2:35" x14ac:dyDescent="0.25">
      <c r="B359" s="2" t="str">
        <f t="shared" si="473"/>
        <v>@color-driveway_line_paved_or_uk</v>
      </c>
      <c r="C359" s="46" t="s">
        <v>222</v>
      </c>
      <c r="D359" s="38" t="str">
        <f t="shared" si="475"/>
        <v>"#ffffff"</v>
      </c>
      <c r="F359" s="46" t="s">
        <v>222</v>
      </c>
      <c r="G359" s="38" t="str">
        <f t="shared" si="476"/>
        <v>"#ffffff"</v>
      </c>
      <c r="I359" s="46" t="s">
        <v>222</v>
      </c>
      <c r="J359" s="38" t="str">
        <f t="shared" si="477"/>
        <v>"#ffffff"</v>
      </c>
      <c r="L359" s="46" t="s">
        <v>222</v>
      </c>
      <c r="M359" s="38" t="str">
        <f t="shared" si="478"/>
        <v>"#ffffff"</v>
      </c>
      <c r="U359" s="46" t="s">
        <v>222</v>
      </c>
      <c r="V359" s="38" t="str">
        <f t="shared" ref="V359" si="481">U359</f>
        <v>"#ffffff"</v>
      </c>
      <c r="X359" s="46" t="s">
        <v>222</v>
      </c>
      <c r="Y359" s="38" t="str">
        <f t="shared" ref="Y359" si="482">X359</f>
        <v>"#ffffff"</v>
      </c>
      <c r="AA359" s="2" t="s">
        <v>6</v>
      </c>
      <c r="AB359" s="2" t="str">
        <f t="shared" si="409"/>
        <v>-</v>
      </c>
      <c r="AC359" s="2" t="s">
        <v>29</v>
      </c>
      <c r="AD359" s="2" t="str">
        <f t="shared" si="416"/>
        <v>_</v>
      </c>
      <c r="AE359" s="2" t="s">
        <v>13</v>
      </c>
      <c r="AF359" s="2" t="str">
        <f t="shared" si="417"/>
        <v>_</v>
      </c>
      <c r="AG359" s="2" t="s">
        <v>24</v>
      </c>
      <c r="AH359" s="2" t="str">
        <f t="shared" si="427"/>
        <v/>
      </c>
      <c r="AI359" s="2"/>
    </row>
    <row r="360" spans="2:35" x14ac:dyDescent="0.25">
      <c r="B360" s="2"/>
      <c r="C360" s="26"/>
      <c r="F360" s="26"/>
      <c r="L360" s="26"/>
      <c r="U360" s="26"/>
      <c r="X360" s="26"/>
      <c r="AA360" s="2"/>
      <c r="AB360" s="2"/>
      <c r="AC360" s="2"/>
      <c r="AD360" s="2"/>
      <c r="AE360" s="2"/>
      <c r="AF360" s="2"/>
      <c r="AG360" s="2"/>
      <c r="AH360" s="2"/>
      <c r="AI360" s="2"/>
    </row>
    <row r="361" spans="2:35" x14ac:dyDescent="0.25">
      <c r="B361" s="2" t="str">
        <f t="shared" ref="B361:B364" si="483">_xlfn.CONCAT("@",AA361,AB361,AC361,AD361,AE361,AF361,AG361,AH361,AI361)</f>
        <v>@dasharray-driveway_case_medium_dash</v>
      </c>
      <c r="C361" s="28" t="s">
        <v>341</v>
      </c>
      <c r="D361" s="28" t="s">
        <v>341</v>
      </c>
      <c r="F361" s="28" t="s">
        <v>341</v>
      </c>
      <c r="G361" s="28" t="s">
        <v>341</v>
      </c>
      <c r="I361" s="28" t="s">
        <v>92</v>
      </c>
      <c r="J361" s="28" t="s">
        <v>92</v>
      </c>
      <c r="L361" s="28" t="s">
        <v>92</v>
      </c>
      <c r="M361" s="28" t="s">
        <v>92</v>
      </c>
      <c r="U361" s="28" t="s">
        <v>341</v>
      </c>
      <c r="V361" s="28" t="s">
        <v>341</v>
      </c>
      <c r="X361" s="28" t="s">
        <v>341</v>
      </c>
      <c r="Y361" s="28" t="s">
        <v>341</v>
      </c>
      <c r="AA361" s="2" t="s">
        <v>385</v>
      </c>
      <c r="AB361" s="2" t="str">
        <f t="shared" ref="AB361:AB364" si="484">IF(NOT(ISBLANK(AC361)),"-","")</f>
        <v>-</v>
      </c>
      <c r="AC361" s="2" t="s">
        <v>29</v>
      </c>
      <c r="AD361" s="2" t="str">
        <f t="shared" ref="AD361:AD364" si="485">IF(NOT(ISBLANK(AE361)),"_","")</f>
        <v>_</v>
      </c>
      <c r="AE361" s="2" t="s">
        <v>17</v>
      </c>
      <c r="AF361" s="2" t="str">
        <f t="shared" ref="AF361:AF364" si="486">IF(NOT(ISBLANK(AG361)),"_","")</f>
        <v>_</v>
      </c>
      <c r="AG361" s="2" t="s">
        <v>79</v>
      </c>
      <c r="AH361" s="2" t="str">
        <f t="shared" ref="AH361:AH364" si="487">IF(NOT(ISBLANK(AI361)),"_","")</f>
        <v>_</v>
      </c>
      <c r="AI361" s="2" t="s">
        <v>387</v>
      </c>
    </row>
    <row r="362" spans="2:35" x14ac:dyDescent="0.25">
      <c r="B362" s="2" t="str">
        <f t="shared" si="483"/>
        <v>@dasharray-driveway_case_medium_gap</v>
      </c>
      <c r="C362" s="28" t="s">
        <v>389</v>
      </c>
      <c r="D362" s="28" t="s">
        <v>389</v>
      </c>
      <c r="F362" s="28" t="s">
        <v>389</v>
      </c>
      <c r="G362" s="28" t="s">
        <v>389</v>
      </c>
      <c r="I362" s="28" t="s">
        <v>96</v>
      </c>
      <c r="J362" s="28" t="s">
        <v>96</v>
      </c>
      <c r="L362" s="28" t="s">
        <v>96</v>
      </c>
      <c r="M362" s="28" t="s">
        <v>96</v>
      </c>
      <c r="U362" s="28" t="s">
        <v>389</v>
      </c>
      <c r="V362" s="28" t="s">
        <v>389</v>
      </c>
      <c r="X362" s="28" t="s">
        <v>389</v>
      </c>
      <c r="Y362" s="28" t="s">
        <v>389</v>
      </c>
      <c r="AA362" s="2" t="s">
        <v>385</v>
      </c>
      <c r="AB362" s="2" t="str">
        <f t="shared" si="484"/>
        <v>-</v>
      </c>
      <c r="AC362" s="2" t="s">
        <v>29</v>
      </c>
      <c r="AD362" s="2" t="str">
        <f t="shared" si="485"/>
        <v>_</v>
      </c>
      <c r="AE362" s="2" t="s">
        <v>17</v>
      </c>
      <c r="AF362" s="2" t="str">
        <f t="shared" si="486"/>
        <v>_</v>
      </c>
      <c r="AG362" s="2" t="s">
        <v>79</v>
      </c>
      <c r="AH362" s="2" t="str">
        <f t="shared" si="487"/>
        <v>_</v>
      </c>
      <c r="AI362" s="2" t="s">
        <v>388</v>
      </c>
    </row>
    <row r="363" spans="2:35" x14ac:dyDescent="0.25">
      <c r="B363" s="2" t="str">
        <f t="shared" si="483"/>
        <v>@dasharray-driveway_case_rough_dash</v>
      </c>
      <c r="C363" s="28" t="s">
        <v>341</v>
      </c>
      <c r="D363" s="28" t="s">
        <v>341</v>
      </c>
      <c r="F363" s="28" t="s">
        <v>341</v>
      </c>
      <c r="G363" s="28" t="s">
        <v>341</v>
      </c>
      <c r="I363" s="28" t="s">
        <v>97</v>
      </c>
      <c r="J363" s="28" t="s">
        <v>97</v>
      </c>
      <c r="L363" s="28" t="s">
        <v>97</v>
      </c>
      <c r="M363" s="28" t="s">
        <v>97</v>
      </c>
      <c r="U363" s="28" t="s">
        <v>341</v>
      </c>
      <c r="V363" s="28" t="s">
        <v>341</v>
      </c>
      <c r="X363" s="28" t="s">
        <v>341</v>
      </c>
      <c r="Y363" s="28" t="s">
        <v>341</v>
      </c>
      <c r="AA363" s="2" t="s">
        <v>385</v>
      </c>
      <c r="AB363" s="2" t="str">
        <f t="shared" si="484"/>
        <v>-</v>
      </c>
      <c r="AC363" s="2" t="s">
        <v>29</v>
      </c>
      <c r="AD363" s="2" t="str">
        <f t="shared" si="485"/>
        <v>_</v>
      </c>
      <c r="AE363" s="2" t="s">
        <v>17</v>
      </c>
      <c r="AF363" s="2" t="str">
        <f t="shared" si="486"/>
        <v>_</v>
      </c>
      <c r="AG363" s="2" t="s">
        <v>386</v>
      </c>
      <c r="AH363" s="2" t="str">
        <f t="shared" si="487"/>
        <v>_</v>
      </c>
      <c r="AI363" s="2" t="s">
        <v>387</v>
      </c>
    </row>
    <row r="364" spans="2:35" x14ac:dyDescent="0.25">
      <c r="B364" s="2" t="str">
        <f t="shared" si="483"/>
        <v>@dasharray-driveway_case_rough_gap</v>
      </c>
      <c r="C364" s="28" t="s">
        <v>389</v>
      </c>
      <c r="D364" s="28" t="s">
        <v>389</v>
      </c>
      <c r="F364" s="28" t="s">
        <v>389</v>
      </c>
      <c r="G364" s="28" t="s">
        <v>389</v>
      </c>
      <c r="I364" s="28" t="s">
        <v>96</v>
      </c>
      <c r="J364" s="28" t="s">
        <v>96</v>
      </c>
      <c r="L364" s="28" t="s">
        <v>96</v>
      </c>
      <c r="M364" s="28" t="s">
        <v>96</v>
      </c>
      <c r="U364" s="28" t="s">
        <v>389</v>
      </c>
      <c r="V364" s="28" t="s">
        <v>389</v>
      </c>
      <c r="X364" s="28" t="s">
        <v>389</v>
      </c>
      <c r="Y364" s="28" t="s">
        <v>389</v>
      </c>
      <c r="AA364" s="2" t="s">
        <v>385</v>
      </c>
      <c r="AB364" s="2" t="str">
        <f t="shared" si="484"/>
        <v>-</v>
      </c>
      <c r="AC364" s="2" t="s">
        <v>29</v>
      </c>
      <c r="AD364" s="2" t="str">
        <f t="shared" si="485"/>
        <v>_</v>
      </c>
      <c r="AE364" s="2" t="s">
        <v>17</v>
      </c>
      <c r="AF364" s="2" t="str">
        <f t="shared" si="486"/>
        <v>_</v>
      </c>
      <c r="AG364" s="2" t="s">
        <v>386</v>
      </c>
      <c r="AH364" s="2" t="str">
        <f t="shared" si="487"/>
        <v>_</v>
      </c>
      <c r="AI364" s="2" t="s">
        <v>388</v>
      </c>
    </row>
    <row r="365" spans="2:35" x14ac:dyDescent="0.25">
      <c r="B365" s="2"/>
      <c r="C365" s="26"/>
      <c r="F365" s="26"/>
      <c r="I365" s="26"/>
      <c r="L365" s="26"/>
      <c r="U365" s="26"/>
      <c r="X365" s="26"/>
      <c r="AA365" s="2"/>
      <c r="AB365" s="2"/>
      <c r="AC365" s="2"/>
      <c r="AD365" s="2"/>
      <c r="AE365" s="2"/>
      <c r="AF365" s="2"/>
      <c r="AG365" s="2"/>
      <c r="AH365" s="2"/>
      <c r="AI365" s="2"/>
    </row>
    <row r="366" spans="2:35" x14ac:dyDescent="0.25">
      <c r="B366" s="2"/>
      <c r="AB366" s="28" t="str">
        <f t="shared" ref="AB366:AB385" si="488">IF(NOT(ISBLANK(AC366)),"-","")</f>
        <v/>
      </c>
      <c r="AD366" s="28" t="str">
        <f t="shared" ref="AD366:AD385" si="489">IF(NOT(ISBLANK(AE366)),"_","")</f>
        <v/>
      </c>
      <c r="AF366" s="28" t="str">
        <f t="shared" ref="AF366:AF385" si="490">IF(NOT(ISBLANK(AG366)),"_","")</f>
        <v/>
      </c>
      <c r="AH366" s="28" t="str">
        <f t="shared" si="427"/>
        <v/>
      </c>
    </row>
    <row r="367" spans="2:35" x14ac:dyDescent="0.25">
      <c r="B367" s="2" t="str">
        <f t="shared" ref="B367:B372" si="491">_xlfn.CONCAT("@",AA367,AB367,AC367,AD367,AE367,AF367,AG367,AH367,AI367)</f>
        <v>@color-busway_case_unpaved_farzoom</v>
      </c>
      <c r="C367" s="114" t="s">
        <v>227</v>
      </c>
      <c r="D367" s="115" t="s">
        <v>229</v>
      </c>
      <c r="F367" s="115" t="s">
        <v>229</v>
      </c>
      <c r="G367" s="114" t="s">
        <v>227</v>
      </c>
      <c r="I367" s="131" t="str">
        <f t="shared" ref="I367:I370" si="492">C367</f>
        <v>"#b99346"</v>
      </c>
      <c r="J367" s="126" t="str">
        <f t="shared" ref="J367:J370" si="493">D367</f>
        <v>"#644507"</v>
      </c>
      <c r="L367" s="115" t="s">
        <v>229</v>
      </c>
      <c r="M367" s="114" t="s">
        <v>227</v>
      </c>
      <c r="U367" s="117" t="s">
        <v>228</v>
      </c>
      <c r="V367" s="47" t="s">
        <v>214</v>
      </c>
      <c r="X367" s="117" t="s">
        <v>228</v>
      </c>
      <c r="Y367" s="117" t="s">
        <v>228</v>
      </c>
      <c r="AA367" s="2" t="s">
        <v>6</v>
      </c>
      <c r="AB367" s="2" t="str">
        <f t="shared" si="488"/>
        <v>-</v>
      </c>
      <c r="AC367" s="2" t="s">
        <v>370</v>
      </c>
      <c r="AD367" s="2" t="str">
        <f t="shared" si="489"/>
        <v>_</v>
      </c>
      <c r="AE367" s="2" t="s">
        <v>17</v>
      </c>
      <c r="AF367" s="2" t="str">
        <f t="shared" si="490"/>
        <v>_</v>
      </c>
      <c r="AG367" s="2" t="s">
        <v>21</v>
      </c>
      <c r="AH367" s="2" t="str">
        <f t="shared" ref="AH367:AH379" si="494">IF(NOT(ISBLANK(AI367)),"_","")</f>
        <v>_</v>
      </c>
      <c r="AI367" s="28" t="s">
        <v>20</v>
      </c>
    </row>
    <row r="368" spans="2:35" x14ac:dyDescent="0.25">
      <c r="B368" s="2" t="str">
        <f t="shared" si="491"/>
        <v>@color-busway_case_unpaved_default</v>
      </c>
      <c r="C368" s="115" t="s">
        <v>229</v>
      </c>
      <c r="D368" s="115" t="s">
        <v>229</v>
      </c>
      <c r="F368" s="47" t="s">
        <v>214</v>
      </c>
      <c r="G368" s="47" t="s">
        <v>214</v>
      </c>
      <c r="I368" s="126" t="str">
        <f t="shared" si="492"/>
        <v>"#644507"</v>
      </c>
      <c r="J368" s="126" t="str">
        <f t="shared" si="493"/>
        <v>"#644507"</v>
      </c>
      <c r="L368" s="47" t="s">
        <v>214</v>
      </c>
      <c r="M368" s="47" t="s">
        <v>214</v>
      </c>
      <c r="U368" s="118" t="s">
        <v>218</v>
      </c>
      <c r="V368" s="47" t="s">
        <v>214</v>
      </c>
      <c r="X368" s="47" t="s">
        <v>214</v>
      </c>
      <c r="Y368" s="47" t="s">
        <v>214</v>
      </c>
      <c r="AA368" s="2" t="s">
        <v>6</v>
      </c>
      <c r="AB368" s="2" t="str">
        <f t="shared" si="488"/>
        <v>-</v>
      </c>
      <c r="AC368" s="2" t="s">
        <v>370</v>
      </c>
      <c r="AD368" s="2" t="str">
        <f t="shared" si="489"/>
        <v>_</v>
      </c>
      <c r="AE368" s="2" t="s">
        <v>17</v>
      </c>
      <c r="AF368" s="2" t="str">
        <f t="shared" si="490"/>
        <v>_</v>
      </c>
      <c r="AG368" s="2" t="s">
        <v>21</v>
      </c>
      <c r="AH368" s="2" t="str">
        <f t="shared" si="494"/>
        <v>_</v>
      </c>
      <c r="AI368" s="2" t="s">
        <v>262</v>
      </c>
    </row>
    <row r="369" spans="2:35" x14ac:dyDescent="0.25">
      <c r="B369" s="2" t="str">
        <f t="shared" si="491"/>
        <v>@color-busway_case_paved_or_uk_farzoom</v>
      </c>
      <c r="C369" s="117" t="s">
        <v>228</v>
      </c>
      <c r="D369" s="47" t="s">
        <v>214</v>
      </c>
      <c r="F369" s="117" t="s">
        <v>228</v>
      </c>
      <c r="G369" s="117" t="s">
        <v>228</v>
      </c>
      <c r="I369" s="132" t="str">
        <f t="shared" si="492"/>
        <v>"#808080"</v>
      </c>
      <c r="J369" s="37" t="str">
        <f t="shared" si="493"/>
        <v>"#000000"</v>
      </c>
      <c r="L369" s="117" t="s">
        <v>228</v>
      </c>
      <c r="M369" s="117" t="s">
        <v>228</v>
      </c>
      <c r="U369" s="117" t="s">
        <v>228</v>
      </c>
      <c r="V369" s="47" t="s">
        <v>214</v>
      </c>
      <c r="X369" s="117" t="s">
        <v>228</v>
      </c>
      <c r="Y369" s="117" t="s">
        <v>228</v>
      </c>
      <c r="AA369" s="2" t="s">
        <v>6</v>
      </c>
      <c r="AB369" s="2" t="str">
        <f t="shared" si="488"/>
        <v>-</v>
      </c>
      <c r="AC369" s="2" t="s">
        <v>370</v>
      </c>
      <c r="AD369" s="2" t="str">
        <f t="shared" si="489"/>
        <v>_</v>
      </c>
      <c r="AE369" s="2" t="s">
        <v>17</v>
      </c>
      <c r="AF369" s="2" t="str">
        <f t="shared" si="490"/>
        <v>_</v>
      </c>
      <c r="AG369" s="2" t="s">
        <v>24</v>
      </c>
      <c r="AH369" s="2" t="str">
        <f t="shared" si="494"/>
        <v>_</v>
      </c>
      <c r="AI369" s="28" t="s">
        <v>20</v>
      </c>
    </row>
    <row r="370" spans="2:35" x14ac:dyDescent="0.25">
      <c r="B370" s="2" t="str">
        <f t="shared" si="491"/>
        <v>@color-busway_case_paved_or_uk_default</v>
      </c>
      <c r="C370" s="118" t="s">
        <v>218</v>
      </c>
      <c r="D370" s="47" t="s">
        <v>214</v>
      </c>
      <c r="F370" s="47" t="s">
        <v>214</v>
      </c>
      <c r="G370" s="47" t="s">
        <v>214</v>
      </c>
      <c r="I370" s="133" t="str">
        <f t="shared" si="492"/>
        <v>"#404040"</v>
      </c>
      <c r="J370" s="37" t="str">
        <f t="shared" si="493"/>
        <v>"#000000"</v>
      </c>
      <c r="L370" s="47" t="s">
        <v>214</v>
      </c>
      <c r="M370" s="47" t="s">
        <v>214</v>
      </c>
      <c r="Q370" s="7"/>
      <c r="U370" s="118" t="s">
        <v>218</v>
      </c>
      <c r="V370" s="47" t="s">
        <v>214</v>
      </c>
      <c r="X370" s="47" t="s">
        <v>214</v>
      </c>
      <c r="Y370" s="47" t="s">
        <v>214</v>
      </c>
      <c r="AA370" s="2" t="s">
        <v>6</v>
      </c>
      <c r="AB370" s="2" t="str">
        <f t="shared" si="488"/>
        <v>-</v>
      </c>
      <c r="AC370" s="2" t="s">
        <v>370</v>
      </c>
      <c r="AD370" s="2" t="str">
        <f t="shared" si="489"/>
        <v>_</v>
      </c>
      <c r="AE370" s="2" t="s">
        <v>17</v>
      </c>
      <c r="AF370" s="2" t="str">
        <f t="shared" si="490"/>
        <v>_</v>
      </c>
      <c r="AG370" s="2" t="s">
        <v>24</v>
      </c>
      <c r="AH370" s="2" t="str">
        <f t="shared" si="494"/>
        <v>_</v>
      </c>
      <c r="AI370" s="2" t="s">
        <v>262</v>
      </c>
    </row>
    <row r="371" spans="2:35" x14ac:dyDescent="0.25">
      <c r="B371" s="2" t="str">
        <f t="shared" si="491"/>
        <v>@color-busway_line_unpaved</v>
      </c>
      <c r="C371" s="119" t="s">
        <v>221</v>
      </c>
      <c r="D371" s="38" t="str">
        <f t="shared" ref="D371:D372" si="495">C371</f>
        <v>"#eddfca"</v>
      </c>
      <c r="F371" s="119" t="s">
        <v>221</v>
      </c>
      <c r="G371" s="38" t="str">
        <f t="shared" ref="G371:G372" si="496">F371</f>
        <v>"#eddfca"</v>
      </c>
      <c r="I371" s="119" t="s">
        <v>221</v>
      </c>
      <c r="J371" s="38" t="str">
        <f t="shared" ref="J371:J372" si="497">I371</f>
        <v>"#eddfca"</v>
      </c>
      <c r="L371" s="119" t="s">
        <v>221</v>
      </c>
      <c r="M371" s="38" t="str">
        <f t="shared" ref="M371:M372" si="498">L371</f>
        <v>"#eddfca"</v>
      </c>
      <c r="U371" s="46" t="s">
        <v>222</v>
      </c>
      <c r="V371" s="38" t="str">
        <f t="shared" ref="V371" si="499">U371</f>
        <v>"#ffffff"</v>
      </c>
      <c r="X371" s="46" t="s">
        <v>222</v>
      </c>
      <c r="Y371" s="38" t="str">
        <f t="shared" ref="Y371" si="500">X371</f>
        <v>"#ffffff"</v>
      </c>
      <c r="AA371" s="2" t="s">
        <v>6</v>
      </c>
      <c r="AB371" s="2" t="str">
        <f t="shared" si="488"/>
        <v>-</v>
      </c>
      <c r="AC371" s="2" t="s">
        <v>370</v>
      </c>
      <c r="AD371" s="2" t="str">
        <f t="shared" si="489"/>
        <v>_</v>
      </c>
      <c r="AE371" s="2" t="s">
        <v>13</v>
      </c>
      <c r="AF371" s="2" t="str">
        <f t="shared" si="490"/>
        <v>_</v>
      </c>
      <c r="AG371" s="2" t="s">
        <v>21</v>
      </c>
      <c r="AH371" s="2" t="str">
        <f t="shared" si="494"/>
        <v/>
      </c>
      <c r="AI371" s="2"/>
    </row>
    <row r="372" spans="2:35" x14ac:dyDescent="0.25">
      <c r="B372" s="2" t="str">
        <f t="shared" si="491"/>
        <v>@color-busway_line_paved_or_uk</v>
      </c>
      <c r="C372" s="46" t="s">
        <v>222</v>
      </c>
      <c r="D372" s="38" t="str">
        <f t="shared" si="495"/>
        <v>"#ffffff"</v>
      </c>
      <c r="F372" s="46" t="s">
        <v>222</v>
      </c>
      <c r="G372" s="38" t="str">
        <f t="shared" si="496"/>
        <v>"#ffffff"</v>
      </c>
      <c r="I372" s="46" t="s">
        <v>222</v>
      </c>
      <c r="J372" s="38" t="str">
        <f t="shared" si="497"/>
        <v>"#ffffff"</v>
      </c>
      <c r="L372" s="46" t="s">
        <v>222</v>
      </c>
      <c r="M372" s="38" t="str">
        <f t="shared" si="498"/>
        <v>"#ffffff"</v>
      </c>
      <c r="U372" s="46" t="s">
        <v>222</v>
      </c>
      <c r="V372" s="38" t="str">
        <f t="shared" ref="V372" si="501">U372</f>
        <v>"#ffffff"</v>
      </c>
      <c r="X372" s="46" t="s">
        <v>222</v>
      </c>
      <c r="Y372" s="38" t="str">
        <f t="shared" ref="Y372" si="502">X372</f>
        <v>"#ffffff"</v>
      </c>
      <c r="AA372" s="2" t="s">
        <v>6</v>
      </c>
      <c r="AB372" s="2" t="str">
        <f t="shared" si="488"/>
        <v>-</v>
      </c>
      <c r="AC372" s="2" t="s">
        <v>370</v>
      </c>
      <c r="AD372" s="2" t="str">
        <f t="shared" si="489"/>
        <v>_</v>
      </c>
      <c r="AE372" s="2" t="s">
        <v>13</v>
      </c>
      <c r="AF372" s="2" t="str">
        <f t="shared" si="490"/>
        <v>_</v>
      </c>
      <c r="AG372" s="2" t="s">
        <v>24</v>
      </c>
      <c r="AH372" s="2" t="str">
        <f t="shared" si="494"/>
        <v/>
      </c>
      <c r="AI372" s="2"/>
    </row>
    <row r="373" spans="2:35" x14ac:dyDescent="0.25">
      <c r="B373" s="2"/>
      <c r="C373" s="26"/>
      <c r="F373" s="26"/>
      <c r="L373" s="26"/>
      <c r="U373" s="26"/>
      <c r="X373" s="26"/>
      <c r="AA373" s="2"/>
      <c r="AB373" s="2"/>
      <c r="AC373" s="2"/>
      <c r="AD373" s="2"/>
      <c r="AE373" s="2"/>
      <c r="AF373" s="2"/>
      <c r="AG373" s="2"/>
      <c r="AH373" s="2"/>
      <c r="AI373" s="2"/>
    </row>
    <row r="374" spans="2:35" x14ac:dyDescent="0.25">
      <c r="B374" s="2" t="str">
        <f t="shared" ref="B374:B377" si="503">_xlfn.CONCAT("@",AA374,AB374,AC374,AD374,AE374,AF374,AG374,AH374,AI374)</f>
        <v>@dasharray-busway_case_medium_dash</v>
      </c>
      <c r="C374" s="28" t="s">
        <v>341</v>
      </c>
      <c r="D374" s="28" t="s">
        <v>341</v>
      </c>
      <c r="F374" s="28" t="s">
        <v>341</v>
      </c>
      <c r="G374" s="28" t="s">
        <v>341</v>
      </c>
      <c r="I374" s="28" t="s">
        <v>92</v>
      </c>
      <c r="J374" s="28" t="s">
        <v>92</v>
      </c>
      <c r="L374" s="28" t="s">
        <v>92</v>
      </c>
      <c r="M374" s="28" t="s">
        <v>92</v>
      </c>
      <c r="U374" s="28" t="s">
        <v>341</v>
      </c>
      <c r="V374" s="28" t="s">
        <v>341</v>
      </c>
      <c r="X374" s="28" t="s">
        <v>341</v>
      </c>
      <c r="Y374" s="28" t="s">
        <v>341</v>
      </c>
      <c r="AA374" s="2" t="s">
        <v>385</v>
      </c>
      <c r="AB374" s="2" t="str">
        <f t="shared" ref="AB374:AB377" si="504">IF(NOT(ISBLANK(AC374)),"-","")</f>
        <v>-</v>
      </c>
      <c r="AC374" s="2" t="s">
        <v>370</v>
      </c>
      <c r="AD374" s="2" t="str">
        <f t="shared" ref="AD374:AD377" si="505">IF(NOT(ISBLANK(AE374)),"_","")</f>
        <v>_</v>
      </c>
      <c r="AE374" s="2" t="s">
        <v>17</v>
      </c>
      <c r="AF374" s="2" t="str">
        <f t="shared" ref="AF374:AF377" si="506">IF(NOT(ISBLANK(AG374)),"_","")</f>
        <v>_</v>
      </c>
      <c r="AG374" s="2" t="s">
        <v>79</v>
      </c>
      <c r="AH374" s="2" t="str">
        <f t="shared" ref="AH374:AH377" si="507">IF(NOT(ISBLANK(AI374)),"_","")</f>
        <v>_</v>
      </c>
      <c r="AI374" s="2" t="s">
        <v>387</v>
      </c>
    </row>
    <row r="375" spans="2:35" x14ac:dyDescent="0.25">
      <c r="B375" s="2" t="str">
        <f t="shared" si="503"/>
        <v>@dasharray-busway_case_medium_gap</v>
      </c>
      <c r="C375" s="28" t="s">
        <v>389</v>
      </c>
      <c r="D375" s="28" t="s">
        <v>389</v>
      </c>
      <c r="F375" s="28" t="s">
        <v>389</v>
      </c>
      <c r="G375" s="28" t="s">
        <v>389</v>
      </c>
      <c r="I375" s="28" t="s">
        <v>96</v>
      </c>
      <c r="J375" s="28" t="s">
        <v>96</v>
      </c>
      <c r="L375" s="28" t="s">
        <v>96</v>
      </c>
      <c r="M375" s="28" t="s">
        <v>96</v>
      </c>
      <c r="U375" s="28" t="s">
        <v>389</v>
      </c>
      <c r="V375" s="28" t="s">
        <v>389</v>
      </c>
      <c r="X375" s="28" t="s">
        <v>389</v>
      </c>
      <c r="Y375" s="28" t="s">
        <v>389</v>
      </c>
      <c r="AA375" s="2" t="s">
        <v>385</v>
      </c>
      <c r="AB375" s="2" t="str">
        <f t="shared" si="504"/>
        <v>-</v>
      </c>
      <c r="AC375" s="2" t="s">
        <v>370</v>
      </c>
      <c r="AD375" s="2" t="str">
        <f t="shared" si="505"/>
        <v>_</v>
      </c>
      <c r="AE375" s="2" t="s">
        <v>17</v>
      </c>
      <c r="AF375" s="2" t="str">
        <f t="shared" si="506"/>
        <v>_</v>
      </c>
      <c r="AG375" s="2" t="s">
        <v>79</v>
      </c>
      <c r="AH375" s="2" t="str">
        <f t="shared" si="507"/>
        <v>_</v>
      </c>
      <c r="AI375" s="2" t="s">
        <v>388</v>
      </c>
    </row>
    <row r="376" spans="2:35" x14ac:dyDescent="0.25">
      <c r="B376" s="2" t="str">
        <f t="shared" si="503"/>
        <v>@dasharray-busway_case_rough_dash</v>
      </c>
      <c r="C376" s="28" t="s">
        <v>341</v>
      </c>
      <c r="D376" s="28" t="s">
        <v>341</v>
      </c>
      <c r="F376" s="28" t="s">
        <v>341</v>
      </c>
      <c r="G376" s="28" t="s">
        <v>341</v>
      </c>
      <c r="I376" s="28" t="s">
        <v>97</v>
      </c>
      <c r="J376" s="28" t="s">
        <v>97</v>
      </c>
      <c r="L376" s="28" t="s">
        <v>97</v>
      </c>
      <c r="M376" s="28" t="s">
        <v>97</v>
      </c>
      <c r="U376" s="28" t="s">
        <v>341</v>
      </c>
      <c r="V376" s="28" t="s">
        <v>341</v>
      </c>
      <c r="X376" s="28" t="s">
        <v>341</v>
      </c>
      <c r="Y376" s="28" t="s">
        <v>341</v>
      </c>
      <c r="AA376" s="2" t="s">
        <v>385</v>
      </c>
      <c r="AB376" s="2" t="str">
        <f t="shared" si="504"/>
        <v>-</v>
      </c>
      <c r="AC376" s="2" t="s">
        <v>370</v>
      </c>
      <c r="AD376" s="2" t="str">
        <f t="shared" si="505"/>
        <v>_</v>
      </c>
      <c r="AE376" s="2" t="s">
        <v>17</v>
      </c>
      <c r="AF376" s="2" t="str">
        <f t="shared" si="506"/>
        <v>_</v>
      </c>
      <c r="AG376" s="2" t="s">
        <v>386</v>
      </c>
      <c r="AH376" s="2" t="str">
        <f t="shared" si="507"/>
        <v>_</v>
      </c>
      <c r="AI376" s="2" t="s">
        <v>387</v>
      </c>
    </row>
    <row r="377" spans="2:35" x14ac:dyDescent="0.25">
      <c r="B377" s="2" t="str">
        <f t="shared" si="503"/>
        <v>@dasharray-busway_case_rough_gap</v>
      </c>
      <c r="C377" s="28" t="s">
        <v>389</v>
      </c>
      <c r="D377" s="28" t="s">
        <v>389</v>
      </c>
      <c r="F377" s="28" t="s">
        <v>389</v>
      </c>
      <c r="G377" s="28" t="s">
        <v>389</v>
      </c>
      <c r="I377" s="28" t="s">
        <v>96</v>
      </c>
      <c r="J377" s="28" t="s">
        <v>96</v>
      </c>
      <c r="L377" s="28" t="s">
        <v>96</v>
      </c>
      <c r="M377" s="28" t="s">
        <v>96</v>
      </c>
      <c r="U377" s="28" t="s">
        <v>389</v>
      </c>
      <c r="V377" s="28" t="s">
        <v>389</v>
      </c>
      <c r="X377" s="28" t="s">
        <v>389</v>
      </c>
      <c r="Y377" s="28" t="s">
        <v>389</v>
      </c>
      <c r="AA377" s="2" t="s">
        <v>385</v>
      </c>
      <c r="AB377" s="2" t="str">
        <f t="shared" si="504"/>
        <v>-</v>
      </c>
      <c r="AC377" s="2" t="s">
        <v>370</v>
      </c>
      <c r="AD377" s="2" t="str">
        <f t="shared" si="505"/>
        <v>_</v>
      </c>
      <c r="AE377" s="2" t="s">
        <v>17</v>
      </c>
      <c r="AF377" s="2" t="str">
        <f t="shared" si="506"/>
        <v>_</v>
      </c>
      <c r="AG377" s="2" t="s">
        <v>386</v>
      </c>
      <c r="AH377" s="2" t="str">
        <f t="shared" si="507"/>
        <v>_</v>
      </c>
      <c r="AI377" s="2" t="s">
        <v>388</v>
      </c>
    </row>
    <row r="378" spans="2:35" x14ac:dyDescent="0.25">
      <c r="B378" s="2"/>
      <c r="C378" s="26"/>
      <c r="F378" s="26"/>
      <c r="I378" s="26"/>
      <c r="L378" s="26"/>
      <c r="U378" s="26"/>
      <c r="X378" s="26"/>
      <c r="AA378" s="2"/>
      <c r="AB378" s="2"/>
      <c r="AC378" s="2"/>
      <c r="AD378" s="2"/>
      <c r="AE378" s="2"/>
      <c r="AF378" s="2"/>
      <c r="AG378" s="2"/>
      <c r="AH378" s="2"/>
      <c r="AI378" s="2"/>
    </row>
    <row r="379" spans="2:35" x14ac:dyDescent="0.25">
      <c r="B379" s="2"/>
      <c r="AB379" s="28" t="str">
        <f t="shared" ref="AB379" si="508">IF(NOT(ISBLANK(AC379)),"-","")</f>
        <v/>
      </c>
      <c r="AD379" s="28" t="str">
        <f t="shared" ref="AD379" si="509">IF(NOT(ISBLANK(AE379)),"_","")</f>
        <v/>
      </c>
      <c r="AF379" s="28" t="str">
        <f t="shared" ref="AF379" si="510">IF(NOT(ISBLANK(AG379)),"_","")</f>
        <v/>
      </c>
      <c r="AH379" s="28" t="str">
        <f t="shared" si="494"/>
        <v/>
      </c>
    </row>
    <row r="380" spans="2:35" x14ac:dyDescent="0.25">
      <c r="B380" s="2" t="str">
        <f t="shared" ref="B380:B385" si="511">_xlfn.CONCAT("@",AA380,AB380,AC380,AD380,AE380,AF380,AG380,AH380,AI380)</f>
        <v>@color-service_case_unpaved_farzoom</v>
      </c>
      <c r="C380" s="114" t="s">
        <v>227</v>
      </c>
      <c r="D380" s="115" t="s">
        <v>229</v>
      </c>
      <c r="F380" s="115" t="s">
        <v>229</v>
      </c>
      <c r="G380" s="114" t="s">
        <v>227</v>
      </c>
      <c r="I380" s="131" t="str">
        <f t="shared" ref="I380:J383" si="512">C380</f>
        <v>"#b99346"</v>
      </c>
      <c r="J380" s="126" t="str">
        <f t="shared" si="512"/>
        <v>"#644507"</v>
      </c>
      <c r="L380" s="115" t="s">
        <v>229</v>
      </c>
      <c r="M380" s="114" t="s">
        <v>227</v>
      </c>
      <c r="U380" s="117" t="s">
        <v>228</v>
      </c>
      <c r="V380" s="47" t="s">
        <v>214</v>
      </c>
      <c r="X380" s="47" t="s">
        <v>214</v>
      </c>
      <c r="Y380" s="47" t="s">
        <v>214</v>
      </c>
      <c r="AA380" s="2" t="s">
        <v>6</v>
      </c>
      <c r="AB380" s="2" t="str">
        <f t="shared" si="488"/>
        <v>-</v>
      </c>
      <c r="AC380" s="2" t="s">
        <v>30</v>
      </c>
      <c r="AD380" s="2" t="str">
        <f t="shared" si="489"/>
        <v>_</v>
      </c>
      <c r="AE380" s="2" t="s">
        <v>17</v>
      </c>
      <c r="AF380" s="2" t="str">
        <f t="shared" si="490"/>
        <v>_</v>
      </c>
      <c r="AG380" s="2" t="s">
        <v>21</v>
      </c>
      <c r="AH380" s="2" t="str">
        <f t="shared" si="427"/>
        <v>_</v>
      </c>
      <c r="AI380" s="28" t="s">
        <v>20</v>
      </c>
    </row>
    <row r="381" spans="2:35" x14ac:dyDescent="0.25">
      <c r="B381" s="2" t="str">
        <f t="shared" si="511"/>
        <v>@color-service_case_unpaved_default</v>
      </c>
      <c r="C381" s="115" t="s">
        <v>229</v>
      </c>
      <c r="D381" s="115" t="s">
        <v>229</v>
      </c>
      <c r="F381" s="47" t="s">
        <v>214</v>
      </c>
      <c r="G381" s="47" t="s">
        <v>214</v>
      </c>
      <c r="I381" s="126" t="str">
        <f t="shared" si="512"/>
        <v>"#644507"</v>
      </c>
      <c r="J381" s="126" t="str">
        <f t="shared" si="512"/>
        <v>"#644507"</v>
      </c>
      <c r="L381" s="47" t="s">
        <v>214</v>
      </c>
      <c r="M381" s="47" t="s">
        <v>214</v>
      </c>
      <c r="U381" s="118" t="s">
        <v>218</v>
      </c>
      <c r="V381" s="47" t="s">
        <v>214</v>
      </c>
      <c r="X381" s="47" t="s">
        <v>214</v>
      </c>
      <c r="Y381" s="47" t="s">
        <v>214</v>
      </c>
      <c r="AA381" s="2" t="s">
        <v>6</v>
      </c>
      <c r="AB381" s="2" t="str">
        <f t="shared" si="488"/>
        <v>-</v>
      </c>
      <c r="AC381" s="2" t="s">
        <v>30</v>
      </c>
      <c r="AD381" s="2" t="str">
        <f t="shared" si="489"/>
        <v>_</v>
      </c>
      <c r="AE381" s="2" t="s">
        <v>17</v>
      </c>
      <c r="AF381" s="2" t="str">
        <f t="shared" si="490"/>
        <v>_</v>
      </c>
      <c r="AG381" s="2" t="s">
        <v>21</v>
      </c>
      <c r="AH381" s="2" t="str">
        <f t="shared" si="427"/>
        <v>_</v>
      </c>
      <c r="AI381" s="2" t="s">
        <v>262</v>
      </c>
    </row>
    <row r="382" spans="2:35" x14ac:dyDescent="0.25">
      <c r="B382" s="2" t="str">
        <f t="shared" si="511"/>
        <v>@color-service_case_paved_or_uk_farzoom</v>
      </c>
      <c r="C382" s="117" t="s">
        <v>228</v>
      </c>
      <c r="D382" s="47" t="s">
        <v>214</v>
      </c>
      <c r="F382" s="47" t="s">
        <v>214</v>
      </c>
      <c r="G382" s="47" t="s">
        <v>214</v>
      </c>
      <c r="I382" s="132" t="str">
        <f t="shared" si="512"/>
        <v>"#808080"</v>
      </c>
      <c r="J382" s="37" t="str">
        <f t="shared" si="512"/>
        <v>"#000000"</v>
      </c>
      <c r="L382" s="47" t="s">
        <v>214</v>
      </c>
      <c r="M382" s="47" t="s">
        <v>214</v>
      </c>
      <c r="U382" s="117" t="s">
        <v>228</v>
      </c>
      <c r="V382" s="47" t="s">
        <v>214</v>
      </c>
      <c r="X382" s="47" t="s">
        <v>214</v>
      </c>
      <c r="Y382" s="47" t="s">
        <v>214</v>
      </c>
      <c r="AA382" s="2" t="s">
        <v>6</v>
      </c>
      <c r="AB382" s="2" t="str">
        <f t="shared" si="488"/>
        <v>-</v>
      </c>
      <c r="AC382" s="2" t="s">
        <v>30</v>
      </c>
      <c r="AD382" s="2" t="str">
        <f t="shared" si="489"/>
        <v>_</v>
      </c>
      <c r="AE382" s="2" t="s">
        <v>17</v>
      </c>
      <c r="AF382" s="2" t="str">
        <f t="shared" si="490"/>
        <v>_</v>
      </c>
      <c r="AG382" s="2" t="s">
        <v>24</v>
      </c>
      <c r="AH382" s="2" t="str">
        <f t="shared" si="427"/>
        <v>_</v>
      </c>
      <c r="AI382" s="28" t="s">
        <v>20</v>
      </c>
    </row>
    <row r="383" spans="2:35" x14ac:dyDescent="0.25">
      <c r="B383" s="2" t="str">
        <f t="shared" si="511"/>
        <v>@color-service_case_paved_or_uk_default</v>
      </c>
      <c r="C383" s="118" t="s">
        <v>218</v>
      </c>
      <c r="D383" s="47" t="s">
        <v>214</v>
      </c>
      <c r="F383" s="47" t="s">
        <v>214</v>
      </c>
      <c r="G383" s="47" t="s">
        <v>214</v>
      </c>
      <c r="I383" s="133" t="str">
        <f t="shared" si="512"/>
        <v>"#404040"</v>
      </c>
      <c r="J383" s="37" t="str">
        <f t="shared" si="512"/>
        <v>"#000000"</v>
      </c>
      <c r="L383" s="47" t="s">
        <v>214</v>
      </c>
      <c r="M383" s="47" t="s">
        <v>214</v>
      </c>
      <c r="Q383" s="7"/>
      <c r="U383" s="118" t="s">
        <v>218</v>
      </c>
      <c r="V383" s="47" t="s">
        <v>214</v>
      </c>
      <c r="X383" s="47" t="s">
        <v>214</v>
      </c>
      <c r="Y383" s="47" t="s">
        <v>214</v>
      </c>
      <c r="AA383" s="2" t="s">
        <v>6</v>
      </c>
      <c r="AB383" s="2" t="str">
        <f t="shared" si="488"/>
        <v>-</v>
      </c>
      <c r="AC383" s="2" t="s">
        <v>30</v>
      </c>
      <c r="AD383" s="2" t="str">
        <f t="shared" si="489"/>
        <v>_</v>
      </c>
      <c r="AE383" s="2" t="s">
        <v>17</v>
      </c>
      <c r="AF383" s="2" t="str">
        <f t="shared" si="490"/>
        <v>_</v>
      </c>
      <c r="AG383" s="2" t="s">
        <v>24</v>
      </c>
      <c r="AH383" s="2" t="str">
        <f t="shared" si="427"/>
        <v>_</v>
      </c>
      <c r="AI383" s="2" t="s">
        <v>262</v>
      </c>
    </row>
    <row r="384" spans="2:35" x14ac:dyDescent="0.25">
      <c r="B384" s="2" t="str">
        <f t="shared" si="511"/>
        <v>@color-service_line_unpaved</v>
      </c>
      <c r="C384" s="119" t="s">
        <v>221</v>
      </c>
      <c r="D384" s="38" t="str">
        <f t="shared" ref="D384:D385" si="513">C384</f>
        <v>"#eddfca"</v>
      </c>
      <c r="F384" s="119" t="s">
        <v>221</v>
      </c>
      <c r="G384" s="38" t="str">
        <f t="shared" ref="G384:G385" si="514">F384</f>
        <v>"#eddfca"</v>
      </c>
      <c r="I384" s="120" t="str">
        <f>C384</f>
        <v>"#eddfca"</v>
      </c>
      <c r="J384" s="38" t="str">
        <f t="shared" ref="J384:J385" si="515">C384</f>
        <v>"#eddfca"</v>
      </c>
      <c r="L384" s="119" t="s">
        <v>221</v>
      </c>
      <c r="M384" s="38" t="str">
        <f t="shared" ref="M384:M385" si="516">L384</f>
        <v>"#eddfca"</v>
      </c>
      <c r="U384" s="46" t="s">
        <v>222</v>
      </c>
      <c r="V384" s="38" t="str">
        <f t="shared" ref="V384" si="517">U384</f>
        <v>"#ffffff"</v>
      </c>
      <c r="X384" s="46" t="s">
        <v>222</v>
      </c>
      <c r="Y384" s="38" t="str">
        <f t="shared" ref="Y384" si="518">X384</f>
        <v>"#ffffff"</v>
      </c>
      <c r="AA384" s="2" t="s">
        <v>6</v>
      </c>
      <c r="AB384" s="2" t="str">
        <f t="shared" si="488"/>
        <v>-</v>
      </c>
      <c r="AC384" s="2" t="s">
        <v>30</v>
      </c>
      <c r="AD384" s="2" t="str">
        <f t="shared" si="489"/>
        <v>_</v>
      </c>
      <c r="AE384" s="2" t="s">
        <v>13</v>
      </c>
      <c r="AF384" s="2" t="str">
        <f t="shared" si="490"/>
        <v>_</v>
      </c>
      <c r="AG384" s="2" t="s">
        <v>21</v>
      </c>
      <c r="AH384" s="2" t="str">
        <f t="shared" si="427"/>
        <v/>
      </c>
      <c r="AI384" s="2"/>
    </row>
    <row r="385" spans="2:35" x14ac:dyDescent="0.25">
      <c r="B385" s="2" t="str">
        <f t="shared" si="511"/>
        <v>@color-service_line_paved_or_uk</v>
      </c>
      <c r="C385" s="46" t="s">
        <v>222</v>
      </c>
      <c r="D385" s="38" t="str">
        <f t="shared" si="513"/>
        <v>"#ffffff"</v>
      </c>
      <c r="F385" s="46" t="s">
        <v>222</v>
      </c>
      <c r="G385" s="38" t="str">
        <f t="shared" si="514"/>
        <v>"#ffffff"</v>
      </c>
      <c r="I385" s="38" t="str">
        <f>C385</f>
        <v>"#ffffff"</v>
      </c>
      <c r="J385" s="38" t="str">
        <f t="shared" si="515"/>
        <v>"#ffffff"</v>
      </c>
      <c r="L385" s="46" t="s">
        <v>222</v>
      </c>
      <c r="M385" s="38" t="str">
        <f t="shared" si="516"/>
        <v>"#ffffff"</v>
      </c>
      <c r="U385" s="46" t="s">
        <v>222</v>
      </c>
      <c r="V385" s="38" t="str">
        <f t="shared" ref="V385" si="519">U385</f>
        <v>"#ffffff"</v>
      </c>
      <c r="X385" s="46" t="s">
        <v>222</v>
      </c>
      <c r="Y385" s="38" t="str">
        <f t="shared" ref="Y385" si="520">X385</f>
        <v>"#ffffff"</v>
      </c>
      <c r="AA385" s="2" t="s">
        <v>6</v>
      </c>
      <c r="AB385" s="2" t="str">
        <f t="shared" si="488"/>
        <v>-</v>
      </c>
      <c r="AC385" s="2" t="s">
        <v>30</v>
      </c>
      <c r="AD385" s="2" t="str">
        <f t="shared" si="489"/>
        <v>_</v>
      </c>
      <c r="AE385" s="2" t="s">
        <v>13</v>
      </c>
      <c r="AF385" s="2" t="str">
        <f t="shared" si="490"/>
        <v>_</v>
      </c>
      <c r="AG385" s="2" t="s">
        <v>24</v>
      </c>
      <c r="AH385" s="2" t="str">
        <f t="shared" si="427"/>
        <v/>
      </c>
      <c r="AI385" s="2"/>
    </row>
    <row r="386" spans="2:35" x14ac:dyDescent="0.25">
      <c r="B386" s="2"/>
      <c r="C386" s="26"/>
      <c r="F386" s="26"/>
      <c r="L386" s="26"/>
      <c r="U386" s="26"/>
      <c r="X386" s="26"/>
      <c r="AA386" s="2"/>
      <c r="AB386" s="2"/>
      <c r="AC386" s="2"/>
      <c r="AD386" s="2"/>
      <c r="AE386" s="2"/>
      <c r="AF386" s="2"/>
      <c r="AG386" s="2"/>
      <c r="AH386" s="2"/>
      <c r="AI386" s="2"/>
    </row>
    <row r="387" spans="2:35" x14ac:dyDescent="0.25">
      <c r="B387" s="2" t="str">
        <f t="shared" ref="B387:B388" si="521">_xlfn.CONCAT("@",AA387,AB387,AC387,AD387,AE387,AF387,AG387,AH387,AI387)</f>
        <v>@dasharray-service_case_medium_dash</v>
      </c>
      <c r="C387" s="28" t="s">
        <v>341</v>
      </c>
      <c r="D387" s="28" t="s">
        <v>341</v>
      </c>
      <c r="F387" s="28" t="s">
        <v>341</v>
      </c>
      <c r="G387" s="28" t="s">
        <v>341</v>
      </c>
      <c r="I387" s="28" t="s">
        <v>92</v>
      </c>
      <c r="J387" s="28" t="s">
        <v>92</v>
      </c>
      <c r="L387" s="28" t="s">
        <v>92</v>
      </c>
      <c r="M387" s="28" t="s">
        <v>92</v>
      </c>
      <c r="U387" s="28" t="s">
        <v>341</v>
      </c>
      <c r="V387" s="28" t="s">
        <v>341</v>
      </c>
      <c r="X387" s="28" t="s">
        <v>341</v>
      </c>
      <c r="Y387" s="28" t="s">
        <v>341</v>
      </c>
      <c r="AA387" s="2" t="s">
        <v>385</v>
      </c>
      <c r="AB387" s="2" t="str">
        <f t="shared" ref="AB387:AB388" si="522">IF(NOT(ISBLANK(AC387)),"-","")</f>
        <v>-</v>
      </c>
      <c r="AC387" s="2" t="s">
        <v>30</v>
      </c>
      <c r="AD387" s="2" t="str">
        <f t="shared" ref="AD387:AD388" si="523">IF(NOT(ISBLANK(AE387)),"_","")</f>
        <v>_</v>
      </c>
      <c r="AE387" s="2" t="s">
        <v>17</v>
      </c>
      <c r="AF387" s="2" t="str">
        <f t="shared" ref="AF387:AF388" si="524">IF(NOT(ISBLANK(AG387)),"_","")</f>
        <v>_</v>
      </c>
      <c r="AG387" s="2" t="s">
        <v>79</v>
      </c>
      <c r="AH387" s="2" t="str">
        <f t="shared" ref="AH387:AH388" si="525">IF(NOT(ISBLANK(AI387)),"_","")</f>
        <v>_</v>
      </c>
      <c r="AI387" s="2" t="s">
        <v>387</v>
      </c>
    </row>
    <row r="388" spans="2:35" x14ac:dyDescent="0.25">
      <c r="B388" s="2" t="str">
        <f t="shared" si="521"/>
        <v>@dasharray-service_case_medium_gap</v>
      </c>
      <c r="C388" s="28" t="s">
        <v>389</v>
      </c>
      <c r="D388" s="28" t="s">
        <v>389</v>
      </c>
      <c r="F388" s="28" t="s">
        <v>389</v>
      </c>
      <c r="G388" s="28" t="s">
        <v>389</v>
      </c>
      <c r="I388" s="28" t="s">
        <v>96</v>
      </c>
      <c r="J388" s="28" t="s">
        <v>96</v>
      </c>
      <c r="L388" s="28" t="s">
        <v>96</v>
      </c>
      <c r="M388" s="28" t="s">
        <v>96</v>
      </c>
      <c r="U388" s="28" t="s">
        <v>389</v>
      </c>
      <c r="V388" s="28" t="s">
        <v>389</v>
      </c>
      <c r="X388" s="28" t="s">
        <v>389</v>
      </c>
      <c r="Y388" s="28" t="s">
        <v>389</v>
      </c>
      <c r="AA388" s="2" t="s">
        <v>385</v>
      </c>
      <c r="AB388" s="2" t="str">
        <f t="shared" si="522"/>
        <v>-</v>
      </c>
      <c r="AC388" s="2" t="s">
        <v>30</v>
      </c>
      <c r="AD388" s="2" t="str">
        <f t="shared" si="523"/>
        <v>_</v>
      </c>
      <c r="AE388" s="2" t="s">
        <v>17</v>
      </c>
      <c r="AF388" s="2" t="str">
        <f t="shared" si="524"/>
        <v>_</v>
      </c>
      <c r="AG388" s="2" t="s">
        <v>79</v>
      </c>
      <c r="AH388" s="2" t="str">
        <f t="shared" si="525"/>
        <v>_</v>
      </c>
      <c r="AI388" s="2" t="s">
        <v>388</v>
      </c>
    </row>
    <row r="389" spans="2:35" x14ac:dyDescent="0.25">
      <c r="B389" s="2" t="str">
        <f t="shared" ref="B389" si="526">_xlfn.CONCAT("@",AA389,AB389,AC389,AD389,AE389,AF389,AG389,AH389,AI389)</f>
        <v>@dasharray-service_case_rough_dash</v>
      </c>
      <c r="C389" s="28" t="s">
        <v>341</v>
      </c>
      <c r="D389" s="28" t="s">
        <v>341</v>
      </c>
      <c r="F389" s="28" t="s">
        <v>341</v>
      </c>
      <c r="G389" s="28" t="s">
        <v>341</v>
      </c>
      <c r="I389" s="28" t="s">
        <v>97</v>
      </c>
      <c r="J389" s="28" t="s">
        <v>97</v>
      </c>
      <c r="L389" s="28" t="s">
        <v>97</v>
      </c>
      <c r="M389" s="28" t="s">
        <v>97</v>
      </c>
      <c r="U389" s="28" t="s">
        <v>341</v>
      </c>
      <c r="V389" s="28" t="s">
        <v>341</v>
      </c>
      <c r="X389" s="28" t="s">
        <v>341</v>
      </c>
      <c r="Y389" s="28" t="s">
        <v>341</v>
      </c>
      <c r="AA389" s="2" t="s">
        <v>385</v>
      </c>
      <c r="AB389" s="2" t="str">
        <f t="shared" ref="AB389" si="527">IF(NOT(ISBLANK(AC389)),"-","")</f>
        <v>-</v>
      </c>
      <c r="AC389" s="2" t="s">
        <v>30</v>
      </c>
      <c r="AD389" s="2" t="str">
        <f t="shared" ref="AD389" si="528">IF(NOT(ISBLANK(AE389)),"_","")</f>
        <v>_</v>
      </c>
      <c r="AE389" s="2" t="s">
        <v>17</v>
      </c>
      <c r="AF389" s="2" t="str">
        <f t="shared" ref="AF389" si="529">IF(NOT(ISBLANK(AG389)),"_","")</f>
        <v>_</v>
      </c>
      <c r="AG389" s="2" t="s">
        <v>386</v>
      </c>
      <c r="AH389" s="2" t="str">
        <f t="shared" ref="AH389" si="530">IF(NOT(ISBLANK(AI389)),"_","")</f>
        <v>_</v>
      </c>
      <c r="AI389" s="2" t="s">
        <v>387</v>
      </c>
    </row>
    <row r="390" spans="2:35" x14ac:dyDescent="0.25">
      <c r="B390" s="2" t="str">
        <f t="shared" ref="B390" si="531">_xlfn.CONCAT("@",AA390,AB390,AC390,AD390,AE390,AF390,AG390,AH390,AI390)</f>
        <v>@dasharray-service_case_rough_gap</v>
      </c>
      <c r="C390" s="28" t="s">
        <v>389</v>
      </c>
      <c r="D390" s="28" t="s">
        <v>389</v>
      </c>
      <c r="F390" s="28" t="s">
        <v>389</v>
      </c>
      <c r="G390" s="28" t="s">
        <v>389</v>
      </c>
      <c r="I390" s="28" t="s">
        <v>96</v>
      </c>
      <c r="J390" s="28" t="s">
        <v>96</v>
      </c>
      <c r="L390" s="28" t="s">
        <v>96</v>
      </c>
      <c r="M390" s="28" t="s">
        <v>96</v>
      </c>
      <c r="U390" s="28" t="s">
        <v>389</v>
      </c>
      <c r="V390" s="28" t="s">
        <v>389</v>
      </c>
      <c r="X390" s="28" t="s">
        <v>389</v>
      </c>
      <c r="Y390" s="28" t="s">
        <v>389</v>
      </c>
      <c r="AA390" s="2" t="s">
        <v>385</v>
      </c>
      <c r="AB390" s="2" t="str">
        <f t="shared" ref="AB390" si="532">IF(NOT(ISBLANK(AC390)),"-","")</f>
        <v>-</v>
      </c>
      <c r="AC390" s="2" t="s">
        <v>30</v>
      </c>
      <c r="AD390" s="2" t="str">
        <f t="shared" ref="AD390" si="533">IF(NOT(ISBLANK(AE390)),"_","")</f>
        <v>_</v>
      </c>
      <c r="AE390" s="2" t="s">
        <v>17</v>
      </c>
      <c r="AF390" s="2" t="str">
        <f t="shared" ref="AF390" si="534">IF(NOT(ISBLANK(AG390)),"_","")</f>
        <v>_</v>
      </c>
      <c r="AG390" s="2" t="s">
        <v>386</v>
      </c>
      <c r="AH390" s="2" t="str">
        <f t="shared" ref="AH390" si="535">IF(NOT(ISBLANK(AI390)),"_","")</f>
        <v>_</v>
      </c>
      <c r="AI390" s="2" t="s">
        <v>388</v>
      </c>
    </row>
    <row r="391" spans="2:35" x14ac:dyDescent="0.25">
      <c r="B391" s="2"/>
      <c r="C391" s="151" t="s">
        <v>390</v>
      </c>
      <c r="U391" s="151" t="s">
        <v>390</v>
      </c>
      <c r="AA391" s="2"/>
      <c r="AB391" s="2"/>
      <c r="AC391" s="2"/>
      <c r="AD391" s="2"/>
      <c r="AE391" s="2"/>
      <c r="AF391" s="2"/>
      <c r="AG391" s="2"/>
      <c r="AH391" s="2"/>
      <c r="AI391" s="2"/>
    </row>
    <row r="392" spans="2:35" x14ac:dyDescent="0.25">
      <c r="B392" s="2"/>
      <c r="AB392" s="28" t="str">
        <f t="shared" si="409"/>
        <v/>
      </c>
      <c r="AD392" s="28" t="str">
        <f t="shared" si="416"/>
        <v/>
      </c>
      <c r="AF392" s="28" t="str">
        <f t="shared" si="417"/>
        <v/>
      </c>
      <c r="AH392" s="28" t="str">
        <f t="shared" si="427"/>
        <v/>
      </c>
    </row>
    <row r="393" spans="2:35" x14ac:dyDescent="0.25">
      <c r="B393" s="2" t="str">
        <f t="shared" ref="B393:B398" si="536">_xlfn.CONCAT("@",AA393,AB393,AC393,AD393,AE393,AF393,AG393,AH393,AI393)</f>
        <v>@color-minor_case_unpaved_farzoom</v>
      </c>
      <c r="C393" s="114" t="s">
        <v>227</v>
      </c>
      <c r="D393" s="115" t="s">
        <v>229</v>
      </c>
      <c r="F393" s="115" t="s">
        <v>229</v>
      </c>
      <c r="G393" s="114" t="s">
        <v>227</v>
      </c>
      <c r="I393" s="131" t="str">
        <f t="shared" ref="I393:J396" si="537">C393</f>
        <v>"#b99346"</v>
      </c>
      <c r="J393" s="126" t="str">
        <f t="shared" si="537"/>
        <v>"#644507"</v>
      </c>
      <c r="L393" s="115" t="s">
        <v>229</v>
      </c>
      <c r="M393" s="114" t="s">
        <v>227</v>
      </c>
      <c r="U393" s="117" t="s">
        <v>228</v>
      </c>
      <c r="V393" s="47" t="s">
        <v>214</v>
      </c>
      <c r="X393" s="117" t="s">
        <v>228</v>
      </c>
      <c r="Y393" s="117" t="s">
        <v>228</v>
      </c>
      <c r="AA393" s="2" t="s">
        <v>6</v>
      </c>
      <c r="AB393" s="2" t="str">
        <f t="shared" ref="AB393" si="538">IF(NOT(ISBLANK(AC393)),"-","")</f>
        <v>-</v>
      </c>
      <c r="AC393" s="2" t="s">
        <v>31</v>
      </c>
      <c r="AD393" s="2" t="str">
        <f t="shared" ref="AD393" si="539">IF(NOT(ISBLANK(AE393)),"_","")</f>
        <v>_</v>
      </c>
      <c r="AE393" s="2" t="s">
        <v>17</v>
      </c>
      <c r="AF393" s="2" t="str">
        <f t="shared" ref="AF393" si="540">IF(NOT(ISBLANK(AG393)),"_","")</f>
        <v>_</v>
      </c>
      <c r="AG393" s="2" t="s">
        <v>21</v>
      </c>
      <c r="AH393" s="2" t="str">
        <f t="shared" si="427"/>
        <v>_</v>
      </c>
      <c r="AI393" s="28" t="s">
        <v>20</v>
      </c>
    </row>
    <row r="394" spans="2:35" x14ac:dyDescent="0.25">
      <c r="B394" s="2" t="str">
        <f t="shared" si="536"/>
        <v>@color-minor_case_unpaved_default</v>
      </c>
      <c r="C394" s="115" t="s">
        <v>229</v>
      </c>
      <c r="D394" s="115" t="s">
        <v>229</v>
      </c>
      <c r="F394" s="47" t="s">
        <v>214</v>
      </c>
      <c r="G394" s="47" t="s">
        <v>214</v>
      </c>
      <c r="I394" s="126" t="str">
        <f t="shared" si="537"/>
        <v>"#644507"</v>
      </c>
      <c r="J394" s="126" t="str">
        <f t="shared" si="537"/>
        <v>"#644507"</v>
      </c>
      <c r="L394" s="47" t="s">
        <v>214</v>
      </c>
      <c r="M394" s="47" t="s">
        <v>214</v>
      </c>
      <c r="U394" s="118" t="s">
        <v>218</v>
      </c>
      <c r="V394" s="47" t="s">
        <v>214</v>
      </c>
      <c r="X394" s="47" t="s">
        <v>214</v>
      </c>
      <c r="Y394" s="47" t="s">
        <v>214</v>
      </c>
      <c r="AA394" s="2" t="s">
        <v>6</v>
      </c>
      <c r="AB394" s="2" t="str">
        <f t="shared" si="409"/>
        <v>-</v>
      </c>
      <c r="AC394" s="2" t="s">
        <v>31</v>
      </c>
      <c r="AD394" s="2" t="str">
        <f t="shared" si="416"/>
        <v>_</v>
      </c>
      <c r="AE394" s="2" t="s">
        <v>17</v>
      </c>
      <c r="AF394" s="2" t="str">
        <f t="shared" si="417"/>
        <v>_</v>
      </c>
      <c r="AG394" s="2" t="s">
        <v>21</v>
      </c>
      <c r="AH394" s="2" t="str">
        <f t="shared" si="427"/>
        <v>_</v>
      </c>
      <c r="AI394" s="28" t="s">
        <v>262</v>
      </c>
    </row>
    <row r="395" spans="2:35" x14ac:dyDescent="0.25">
      <c r="B395" s="2" t="str">
        <f t="shared" si="536"/>
        <v>@color-minor_case_paved_or_uk_farzoom</v>
      </c>
      <c r="C395" s="117" t="s">
        <v>228</v>
      </c>
      <c r="D395" s="47" t="s">
        <v>214</v>
      </c>
      <c r="F395" s="117" t="s">
        <v>228</v>
      </c>
      <c r="G395" s="117" t="s">
        <v>228</v>
      </c>
      <c r="I395" s="132" t="str">
        <f t="shared" si="537"/>
        <v>"#808080"</v>
      </c>
      <c r="J395" s="37" t="str">
        <f t="shared" si="537"/>
        <v>"#000000"</v>
      </c>
      <c r="L395" s="117" t="s">
        <v>228</v>
      </c>
      <c r="M395" s="117" t="s">
        <v>228</v>
      </c>
      <c r="U395" s="117" t="s">
        <v>228</v>
      </c>
      <c r="V395" s="47" t="s">
        <v>214</v>
      </c>
      <c r="X395" s="117" t="s">
        <v>228</v>
      </c>
      <c r="Y395" s="117" t="s">
        <v>228</v>
      </c>
      <c r="AA395" s="2" t="s">
        <v>6</v>
      </c>
      <c r="AB395" s="2" t="str">
        <f t="shared" ref="AB395" si="541">IF(NOT(ISBLANK(AC395)),"-","")</f>
        <v>-</v>
      </c>
      <c r="AC395" s="2" t="s">
        <v>31</v>
      </c>
      <c r="AD395" s="2" t="str">
        <f t="shared" ref="AD395" si="542">IF(NOT(ISBLANK(AE395)),"_","")</f>
        <v>_</v>
      </c>
      <c r="AE395" s="2" t="s">
        <v>17</v>
      </c>
      <c r="AF395" s="2" t="str">
        <f t="shared" ref="AF395" si="543">IF(NOT(ISBLANK(AG395)),"_","")</f>
        <v>_</v>
      </c>
      <c r="AG395" s="2" t="s">
        <v>24</v>
      </c>
      <c r="AH395" s="2" t="str">
        <f t="shared" si="427"/>
        <v>_</v>
      </c>
      <c r="AI395" s="28" t="s">
        <v>20</v>
      </c>
    </row>
    <row r="396" spans="2:35" x14ac:dyDescent="0.25">
      <c r="B396" s="2" t="str">
        <f t="shared" si="536"/>
        <v>@color-minor_case_paved_or_uk_default</v>
      </c>
      <c r="C396" s="118" t="s">
        <v>218</v>
      </c>
      <c r="D396" s="47" t="s">
        <v>214</v>
      </c>
      <c r="F396" s="47" t="s">
        <v>214</v>
      </c>
      <c r="G396" s="47" t="s">
        <v>214</v>
      </c>
      <c r="I396" s="133" t="str">
        <f t="shared" si="537"/>
        <v>"#404040"</v>
      </c>
      <c r="J396" s="37" t="str">
        <f t="shared" si="537"/>
        <v>"#000000"</v>
      </c>
      <c r="L396" s="47" t="s">
        <v>214</v>
      </c>
      <c r="M396" s="47" t="s">
        <v>214</v>
      </c>
      <c r="U396" s="118" t="s">
        <v>218</v>
      </c>
      <c r="V396" s="47" t="s">
        <v>214</v>
      </c>
      <c r="X396" s="47" t="s">
        <v>214</v>
      </c>
      <c r="Y396" s="47" t="s">
        <v>214</v>
      </c>
      <c r="AA396" s="2" t="s">
        <v>6</v>
      </c>
      <c r="AB396" s="2" t="str">
        <f t="shared" si="409"/>
        <v>-</v>
      </c>
      <c r="AC396" s="2" t="s">
        <v>31</v>
      </c>
      <c r="AD396" s="2" t="str">
        <f t="shared" si="416"/>
        <v>_</v>
      </c>
      <c r="AE396" s="2" t="s">
        <v>17</v>
      </c>
      <c r="AF396" s="2" t="str">
        <f t="shared" si="417"/>
        <v>_</v>
      </c>
      <c r="AG396" s="2" t="s">
        <v>24</v>
      </c>
      <c r="AH396" s="2" t="str">
        <f t="shared" si="427"/>
        <v>_</v>
      </c>
      <c r="AI396" s="28" t="s">
        <v>262</v>
      </c>
    </row>
    <row r="397" spans="2:35" x14ac:dyDescent="0.25">
      <c r="B397" s="2" t="str">
        <f t="shared" si="536"/>
        <v>@color-minor_line_unpaved</v>
      </c>
      <c r="C397" s="119" t="s">
        <v>221</v>
      </c>
      <c r="D397" s="38" t="str">
        <f t="shared" ref="D397:D398" si="544">C397</f>
        <v>"#eddfca"</v>
      </c>
      <c r="F397" s="119" t="s">
        <v>221</v>
      </c>
      <c r="G397" s="38" t="str">
        <f t="shared" ref="G397:G398" si="545">F397</f>
        <v>"#eddfca"</v>
      </c>
      <c r="I397" s="120" t="str">
        <f>C397</f>
        <v>"#eddfca"</v>
      </c>
      <c r="J397" s="38" t="str">
        <f t="shared" ref="J397:J398" si="546">C397</f>
        <v>"#eddfca"</v>
      </c>
      <c r="L397" s="119" t="s">
        <v>221</v>
      </c>
      <c r="M397" s="38" t="str">
        <f t="shared" ref="M397:M398" si="547">L397</f>
        <v>"#eddfca"</v>
      </c>
      <c r="U397" s="46" t="s">
        <v>222</v>
      </c>
      <c r="V397" s="38" t="str">
        <f t="shared" ref="V397" si="548">U397</f>
        <v>"#ffffff"</v>
      </c>
      <c r="X397" s="46" t="s">
        <v>222</v>
      </c>
      <c r="Y397" s="38" t="str">
        <f t="shared" ref="Y397" si="549">X397</f>
        <v>"#ffffff"</v>
      </c>
      <c r="AA397" s="2" t="s">
        <v>6</v>
      </c>
      <c r="AB397" s="2" t="str">
        <f t="shared" si="409"/>
        <v>-</v>
      </c>
      <c r="AC397" s="2" t="s">
        <v>31</v>
      </c>
      <c r="AD397" s="2" t="str">
        <f t="shared" si="416"/>
        <v>_</v>
      </c>
      <c r="AE397" s="2" t="s">
        <v>13</v>
      </c>
      <c r="AF397" s="2" t="str">
        <f t="shared" si="417"/>
        <v>_</v>
      </c>
      <c r="AG397" s="2" t="s">
        <v>21</v>
      </c>
      <c r="AH397" s="2" t="str">
        <f t="shared" si="427"/>
        <v/>
      </c>
      <c r="AI397" s="2"/>
    </row>
    <row r="398" spans="2:35" x14ac:dyDescent="0.25">
      <c r="B398" s="2" t="str">
        <f t="shared" si="536"/>
        <v>@color-minor_line_paved_or_uk</v>
      </c>
      <c r="C398" s="46" t="s">
        <v>222</v>
      </c>
      <c r="D398" s="38" t="str">
        <f t="shared" si="544"/>
        <v>"#ffffff"</v>
      </c>
      <c r="F398" s="46" t="s">
        <v>222</v>
      </c>
      <c r="G398" s="38" t="str">
        <f t="shared" si="545"/>
        <v>"#ffffff"</v>
      </c>
      <c r="I398" s="38" t="str">
        <f>C398</f>
        <v>"#ffffff"</v>
      </c>
      <c r="J398" s="38" t="str">
        <f t="shared" si="546"/>
        <v>"#ffffff"</v>
      </c>
      <c r="L398" s="46" t="s">
        <v>222</v>
      </c>
      <c r="M398" s="38" t="str">
        <f t="shared" si="547"/>
        <v>"#ffffff"</v>
      </c>
      <c r="U398" s="46" t="s">
        <v>222</v>
      </c>
      <c r="V398" s="38" t="str">
        <f t="shared" ref="V398" si="550">U398</f>
        <v>"#ffffff"</v>
      </c>
      <c r="X398" s="46" t="s">
        <v>222</v>
      </c>
      <c r="Y398" s="38" t="str">
        <f t="shared" ref="Y398" si="551">X398</f>
        <v>"#ffffff"</v>
      </c>
      <c r="AA398" s="2" t="s">
        <v>6</v>
      </c>
      <c r="AB398" s="2" t="str">
        <f t="shared" si="409"/>
        <v>-</v>
      </c>
      <c r="AC398" s="2" t="s">
        <v>31</v>
      </c>
      <c r="AD398" s="2" t="str">
        <f t="shared" si="416"/>
        <v>_</v>
      </c>
      <c r="AE398" s="2" t="s">
        <v>13</v>
      </c>
      <c r="AF398" s="2" t="str">
        <f t="shared" si="417"/>
        <v>_</v>
      </c>
      <c r="AG398" s="2" t="s">
        <v>24</v>
      </c>
      <c r="AH398" s="2" t="str">
        <f t="shared" si="427"/>
        <v/>
      </c>
      <c r="AI398" s="2"/>
    </row>
    <row r="399" spans="2:35" x14ac:dyDescent="0.25">
      <c r="B399" s="2"/>
      <c r="C399" s="26"/>
      <c r="F399" s="26"/>
      <c r="L399" s="26"/>
      <c r="U399" s="26"/>
      <c r="X399" s="26"/>
      <c r="AA399" s="2"/>
      <c r="AB399" s="2"/>
      <c r="AC399" s="2"/>
      <c r="AD399" s="2"/>
      <c r="AE399" s="2"/>
      <c r="AF399" s="2"/>
      <c r="AG399" s="2"/>
      <c r="AH399" s="2"/>
      <c r="AI399" s="2"/>
    </row>
    <row r="400" spans="2:35" x14ac:dyDescent="0.25">
      <c r="B400" s="2" t="str">
        <f t="shared" ref="B400:B403" si="552">_xlfn.CONCAT("@",AA400,AB400,AC400,AD400,AE400,AF400,AG400,AH400,AI400)</f>
        <v>@dasharray-minor_case_medium_dash</v>
      </c>
      <c r="C400" s="28" t="s">
        <v>341</v>
      </c>
      <c r="D400" s="28" t="s">
        <v>341</v>
      </c>
      <c r="F400" s="28" t="s">
        <v>341</v>
      </c>
      <c r="G400" s="28" t="s">
        <v>341</v>
      </c>
      <c r="I400" s="28" t="s">
        <v>92</v>
      </c>
      <c r="J400" s="28" t="s">
        <v>92</v>
      </c>
      <c r="L400" s="28" t="s">
        <v>92</v>
      </c>
      <c r="M400" s="28" t="s">
        <v>92</v>
      </c>
      <c r="U400" s="28" t="s">
        <v>341</v>
      </c>
      <c r="V400" s="28" t="s">
        <v>341</v>
      </c>
      <c r="X400" s="28" t="s">
        <v>341</v>
      </c>
      <c r="Y400" s="28" t="s">
        <v>341</v>
      </c>
      <c r="AA400" s="2" t="s">
        <v>385</v>
      </c>
      <c r="AB400" s="2" t="str">
        <f t="shared" ref="AB400:AB403" si="553">IF(NOT(ISBLANK(AC400)),"-","")</f>
        <v>-</v>
      </c>
      <c r="AC400" s="2" t="s">
        <v>31</v>
      </c>
      <c r="AD400" s="2" t="str">
        <f t="shared" ref="AD400:AD403" si="554">IF(NOT(ISBLANK(AE400)),"_","")</f>
        <v>_</v>
      </c>
      <c r="AE400" s="2" t="s">
        <v>17</v>
      </c>
      <c r="AF400" s="2" t="str">
        <f t="shared" ref="AF400:AF403" si="555">IF(NOT(ISBLANK(AG400)),"_","")</f>
        <v>_</v>
      </c>
      <c r="AG400" s="2" t="s">
        <v>79</v>
      </c>
      <c r="AH400" s="2" t="str">
        <f t="shared" ref="AH400:AH403" si="556">IF(NOT(ISBLANK(AI400)),"_","")</f>
        <v>_</v>
      </c>
      <c r="AI400" s="2" t="s">
        <v>387</v>
      </c>
    </row>
    <row r="401" spans="1:35" x14ac:dyDescent="0.25">
      <c r="B401" s="2" t="str">
        <f t="shared" si="552"/>
        <v>@dasharray-minor_case_medium_gap</v>
      </c>
      <c r="C401" s="28" t="s">
        <v>389</v>
      </c>
      <c r="D401" s="28" t="s">
        <v>389</v>
      </c>
      <c r="F401" s="28" t="s">
        <v>389</v>
      </c>
      <c r="G401" s="28" t="s">
        <v>389</v>
      </c>
      <c r="I401" s="28" t="s">
        <v>96</v>
      </c>
      <c r="J401" s="28" t="s">
        <v>96</v>
      </c>
      <c r="L401" s="28" t="s">
        <v>96</v>
      </c>
      <c r="M401" s="28" t="s">
        <v>96</v>
      </c>
      <c r="U401" s="28" t="s">
        <v>389</v>
      </c>
      <c r="V401" s="28" t="s">
        <v>389</v>
      </c>
      <c r="X401" s="28" t="s">
        <v>389</v>
      </c>
      <c r="Y401" s="28" t="s">
        <v>389</v>
      </c>
      <c r="AA401" s="2" t="s">
        <v>385</v>
      </c>
      <c r="AB401" s="2" t="str">
        <f t="shared" si="553"/>
        <v>-</v>
      </c>
      <c r="AC401" s="2" t="s">
        <v>31</v>
      </c>
      <c r="AD401" s="2" t="str">
        <f t="shared" si="554"/>
        <v>_</v>
      </c>
      <c r="AE401" s="2" t="s">
        <v>17</v>
      </c>
      <c r="AF401" s="2" t="str">
        <f t="shared" si="555"/>
        <v>_</v>
      </c>
      <c r="AG401" s="2" t="s">
        <v>79</v>
      </c>
      <c r="AH401" s="2" t="str">
        <f t="shared" si="556"/>
        <v>_</v>
      </c>
      <c r="AI401" s="2" t="s">
        <v>388</v>
      </c>
    </row>
    <row r="402" spans="1:35" x14ac:dyDescent="0.25">
      <c r="B402" s="2" t="str">
        <f t="shared" si="552"/>
        <v>@dasharray-minor_case_rough_dash</v>
      </c>
      <c r="C402" s="28" t="s">
        <v>341</v>
      </c>
      <c r="D402" s="28" t="s">
        <v>341</v>
      </c>
      <c r="F402" s="28" t="s">
        <v>341</v>
      </c>
      <c r="G402" s="28" t="s">
        <v>341</v>
      </c>
      <c r="I402" s="28" t="s">
        <v>97</v>
      </c>
      <c r="J402" s="28" t="s">
        <v>97</v>
      </c>
      <c r="L402" s="28" t="s">
        <v>97</v>
      </c>
      <c r="M402" s="28" t="s">
        <v>97</v>
      </c>
      <c r="U402" s="28" t="s">
        <v>341</v>
      </c>
      <c r="V402" s="28" t="s">
        <v>341</v>
      </c>
      <c r="X402" s="28" t="s">
        <v>341</v>
      </c>
      <c r="Y402" s="28" t="s">
        <v>341</v>
      </c>
      <c r="AA402" s="2" t="s">
        <v>385</v>
      </c>
      <c r="AB402" s="2" t="str">
        <f t="shared" si="553"/>
        <v>-</v>
      </c>
      <c r="AC402" s="2" t="s">
        <v>31</v>
      </c>
      <c r="AD402" s="2" t="str">
        <f t="shared" si="554"/>
        <v>_</v>
      </c>
      <c r="AE402" s="2" t="s">
        <v>17</v>
      </c>
      <c r="AF402" s="2" t="str">
        <f t="shared" si="555"/>
        <v>_</v>
      </c>
      <c r="AG402" s="2" t="s">
        <v>386</v>
      </c>
      <c r="AH402" s="2" t="str">
        <f t="shared" si="556"/>
        <v>_</v>
      </c>
      <c r="AI402" s="2" t="s">
        <v>387</v>
      </c>
    </row>
    <row r="403" spans="1:35" x14ac:dyDescent="0.25">
      <c r="B403" s="2" t="str">
        <f t="shared" si="552"/>
        <v>@dasharray-minor_case_rough_gap</v>
      </c>
      <c r="C403" s="28" t="s">
        <v>389</v>
      </c>
      <c r="D403" s="28" t="s">
        <v>389</v>
      </c>
      <c r="F403" s="28" t="s">
        <v>389</v>
      </c>
      <c r="G403" s="28" t="s">
        <v>389</v>
      </c>
      <c r="I403" s="28" t="s">
        <v>96</v>
      </c>
      <c r="J403" s="28" t="s">
        <v>96</v>
      </c>
      <c r="L403" s="28" t="s">
        <v>96</v>
      </c>
      <c r="M403" s="28" t="s">
        <v>96</v>
      </c>
      <c r="U403" s="28" t="s">
        <v>389</v>
      </c>
      <c r="V403" s="28" t="s">
        <v>389</v>
      </c>
      <c r="X403" s="28" t="s">
        <v>389</v>
      </c>
      <c r="Y403" s="28" t="s">
        <v>389</v>
      </c>
      <c r="AA403" s="2" t="s">
        <v>385</v>
      </c>
      <c r="AB403" s="2" t="str">
        <f t="shared" si="553"/>
        <v>-</v>
      </c>
      <c r="AC403" s="2" t="s">
        <v>31</v>
      </c>
      <c r="AD403" s="2" t="str">
        <f t="shared" si="554"/>
        <v>_</v>
      </c>
      <c r="AE403" s="2" t="s">
        <v>17</v>
      </c>
      <c r="AF403" s="2" t="str">
        <f t="shared" si="555"/>
        <v>_</v>
      </c>
      <c r="AG403" s="2" t="s">
        <v>386</v>
      </c>
      <c r="AH403" s="2" t="str">
        <f t="shared" si="556"/>
        <v>_</v>
      </c>
      <c r="AI403" s="2" t="s">
        <v>388</v>
      </c>
    </row>
    <row r="404" spans="1:35" x14ac:dyDescent="0.25">
      <c r="B404" s="2"/>
      <c r="AB404" s="28" t="str">
        <f t="shared" si="409"/>
        <v/>
      </c>
      <c r="AD404" s="28" t="str">
        <f t="shared" si="416"/>
        <v/>
      </c>
      <c r="AF404" s="28" t="str">
        <f t="shared" si="417"/>
        <v/>
      </c>
      <c r="AH404" s="28" t="str">
        <f t="shared" si="427"/>
        <v/>
      </c>
    </row>
    <row r="405" spans="1:35" s="2" customFormat="1" x14ac:dyDescent="0.25">
      <c r="A405" s="3" t="s">
        <v>224</v>
      </c>
      <c r="B405" s="3"/>
      <c r="C405" s="27"/>
      <c r="D405" s="6"/>
      <c r="E405" s="7"/>
      <c r="F405" s="6"/>
      <c r="G405" s="6"/>
      <c r="H405" s="7"/>
      <c r="I405" s="6"/>
      <c r="J405" s="6"/>
      <c r="K405" s="7"/>
      <c r="L405" s="6"/>
      <c r="M405" s="6"/>
      <c r="N405" s="7"/>
      <c r="O405" s="6"/>
      <c r="P405" s="6"/>
      <c r="Q405" s="7"/>
      <c r="R405" s="6"/>
      <c r="S405" s="6"/>
      <c r="T405" s="7"/>
      <c r="U405" s="6"/>
      <c r="V405" s="6"/>
      <c r="W405" s="7"/>
      <c r="X405" s="6"/>
      <c r="Y405" s="6"/>
      <c r="AA405" s="4"/>
      <c r="AB405" s="4" t="str">
        <f t="shared" si="409"/>
        <v/>
      </c>
      <c r="AC405" s="4"/>
      <c r="AD405" s="4" t="str">
        <f t="shared" si="416"/>
        <v/>
      </c>
      <c r="AE405" s="4"/>
      <c r="AF405" s="4" t="str">
        <f t="shared" si="417"/>
        <v/>
      </c>
      <c r="AG405" s="4"/>
      <c r="AH405" s="4" t="str">
        <f t="shared" si="427"/>
        <v/>
      </c>
      <c r="AI405" s="4"/>
    </row>
    <row r="406" spans="1:35" x14ac:dyDescent="0.25">
      <c r="B406" s="2" t="str">
        <f t="shared" ref="B406:B436" si="557">_xlfn.CONCAT("@",AA406,AB406,AC406,AD406,AE406,AF406,AG406,AH406,AI406)</f>
        <v>@color-motorway_link_line</v>
      </c>
      <c r="C406" s="110" t="s">
        <v>213</v>
      </c>
      <c r="D406" s="111" t="s">
        <v>215</v>
      </c>
      <c r="F406" s="109" t="s">
        <v>215</v>
      </c>
      <c r="G406" s="109" t="s">
        <v>215</v>
      </c>
      <c r="I406" s="110" t="s">
        <v>213</v>
      </c>
      <c r="J406" s="111" t="s">
        <v>215</v>
      </c>
      <c r="L406" s="109" t="s">
        <v>215</v>
      </c>
      <c r="M406" s="109" t="s">
        <v>215</v>
      </c>
      <c r="O406" s="110" t="s">
        <v>213</v>
      </c>
      <c r="P406" s="111" t="s">
        <v>215</v>
      </c>
      <c r="R406" s="109" t="s">
        <v>215</v>
      </c>
      <c r="S406" s="109" t="s">
        <v>215</v>
      </c>
      <c r="U406" s="110" t="s">
        <v>213</v>
      </c>
      <c r="V406" s="111" t="s">
        <v>215</v>
      </c>
      <c r="X406" s="109" t="s">
        <v>215</v>
      </c>
      <c r="Y406" s="109" t="s">
        <v>215</v>
      </c>
      <c r="AA406" s="2" t="s">
        <v>6</v>
      </c>
      <c r="AB406" s="2" t="str">
        <f t="shared" si="409"/>
        <v>-</v>
      </c>
      <c r="AC406" s="2" t="s">
        <v>33</v>
      </c>
      <c r="AD406" s="2" t="str">
        <f t="shared" si="416"/>
        <v>_</v>
      </c>
      <c r="AE406" s="2" t="s">
        <v>13</v>
      </c>
      <c r="AF406" s="2" t="str">
        <f t="shared" si="417"/>
        <v/>
      </c>
      <c r="AG406" s="2"/>
      <c r="AH406" s="2" t="str">
        <f t="shared" si="427"/>
        <v/>
      </c>
      <c r="AI406" s="2"/>
    </row>
    <row r="407" spans="1:35" x14ac:dyDescent="0.25">
      <c r="B407" s="2" t="str">
        <f t="shared" si="557"/>
        <v>@color-motorway_link_case</v>
      </c>
      <c r="C407" s="107" t="s">
        <v>212</v>
      </c>
      <c r="D407" s="37" t="s">
        <v>214</v>
      </c>
      <c r="F407" s="47" t="s">
        <v>214</v>
      </c>
      <c r="G407" s="47" t="s">
        <v>214</v>
      </c>
      <c r="I407" s="107" t="s">
        <v>212</v>
      </c>
      <c r="J407" s="37" t="s">
        <v>214</v>
      </c>
      <c r="L407" s="47" t="s">
        <v>214</v>
      </c>
      <c r="M407" s="47" t="s">
        <v>214</v>
      </c>
      <c r="O407" s="107" t="s">
        <v>212</v>
      </c>
      <c r="P407" s="37" t="s">
        <v>214</v>
      </c>
      <c r="R407" s="47" t="s">
        <v>214</v>
      </c>
      <c r="S407" s="47" t="s">
        <v>214</v>
      </c>
      <c r="U407" s="107" t="s">
        <v>212</v>
      </c>
      <c r="V407" s="37" t="s">
        <v>214</v>
      </c>
      <c r="X407" s="47" t="s">
        <v>214</v>
      </c>
      <c r="Y407" s="47" t="s">
        <v>214</v>
      </c>
      <c r="AA407" s="2" t="s">
        <v>6</v>
      </c>
      <c r="AB407" s="2" t="str">
        <f t="shared" si="409"/>
        <v>-</v>
      </c>
      <c r="AC407" s="2" t="s">
        <v>33</v>
      </c>
      <c r="AD407" s="2" t="str">
        <f t="shared" si="416"/>
        <v>_</v>
      </c>
      <c r="AE407" s="2" t="s">
        <v>17</v>
      </c>
      <c r="AF407" s="2" t="str">
        <f t="shared" si="417"/>
        <v/>
      </c>
      <c r="AG407" s="2"/>
      <c r="AH407" s="2" t="str">
        <f t="shared" si="427"/>
        <v/>
      </c>
      <c r="AI407" s="2"/>
    </row>
    <row r="408" spans="1:35" x14ac:dyDescent="0.25">
      <c r="B408" s="2"/>
      <c r="AB408" s="28" t="str">
        <f t="shared" ref="AB408" si="558">IF(NOT(ISBLANK(AC408)),"-","")</f>
        <v/>
      </c>
      <c r="AD408" s="28" t="str">
        <f t="shared" ref="AD408" si="559">IF(NOT(ISBLANK(AE408)),"_","")</f>
        <v/>
      </c>
      <c r="AF408" s="28" t="str">
        <f t="shared" ref="AF408" si="560">IF(NOT(ISBLANK(AG408)),"_","")</f>
        <v/>
      </c>
      <c r="AH408" s="28" t="str">
        <f t="shared" ref="AH408" si="561">IF(NOT(ISBLANK(AI408)),"_","")</f>
        <v/>
      </c>
    </row>
    <row r="409" spans="1:35" x14ac:dyDescent="0.25">
      <c r="B409" s="2" t="str">
        <f t="shared" si="557"/>
        <v>@color-trunk_primary_secondary_tertiary_link_line_bicycle_no</v>
      </c>
      <c r="C409" s="121" t="s">
        <v>231</v>
      </c>
      <c r="D409" s="109" t="s">
        <v>215</v>
      </c>
      <c r="F409" s="121" t="s">
        <v>231</v>
      </c>
      <c r="G409" s="109" t="s">
        <v>215</v>
      </c>
      <c r="I409" s="122" t="str">
        <f>C409</f>
        <v>"#ffcc8a"</v>
      </c>
      <c r="J409" s="111" t="str">
        <f>D409</f>
        <v>"#d6771e"</v>
      </c>
      <c r="L409" s="121" t="s">
        <v>231</v>
      </c>
      <c r="M409" s="109" t="s">
        <v>215</v>
      </c>
      <c r="U409" s="121" t="s">
        <v>231</v>
      </c>
      <c r="V409" s="109" t="s">
        <v>215</v>
      </c>
      <c r="X409" s="121" t="s">
        <v>231</v>
      </c>
      <c r="Y409" s="109" t="s">
        <v>215</v>
      </c>
      <c r="AA409" s="2" t="s">
        <v>6</v>
      </c>
      <c r="AB409" s="2" t="str">
        <f t="shared" si="409"/>
        <v>-</v>
      </c>
      <c r="AC409" s="2" t="s">
        <v>32</v>
      </c>
      <c r="AD409" s="2" t="str">
        <f t="shared" si="416"/>
        <v>_</v>
      </c>
      <c r="AE409" s="2" t="s">
        <v>13</v>
      </c>
      <c r="AF409" s="2" t="str">
        <f t="shared" si="417"/>
        <v>_</v>
      </c>
      <c r="AG409" s="2" t="s">
        <v>23</v>
      </c>
      <c r="AH409" s="2" t="str">
        <f t="shared" si="427"/>
        <v/>
      </c>
      <c r="AI409" s="2"/>
    </row>
    <row r="410" spans="1:35" x14ac:dyDescent="0.25">
      <c r="B410" s="2" t="str">
        <f t="shared" si="557"/>
        <v>@color-trunk_primary_secondary_tertiary_link_line_unpaved</v>
      </c>
      <c r="C410" s="120" t="s">
        <v>221</v>
      </c>
      <c r="D410" s="120" t="str">
        <f>C410</f>
        <v>"#eddfca"</v>
      </c>
      <c r="F410" s="120" t="s">
        <v>221</v>
      </c>
      <c r="G410" s="120" t="str">
        <f>F410</f>
        <v>"#eddfca"</v>
      </c>
      <c r="I410" s="120" t="s">
        <v>221</v>
      </c>
      <c r="J410" s="120" t="str">
        <f>I410</f>
        <v>"#eddfca"</v>
      </c>
      <c r="L410" s="120" t="s">
        <v>221</v>
      </c>
      <c r="M410" s="120" t="str">
        <f>L410</f>
        <v>"#eddfca"</v>
      </c>
      <c r="U410" s="46" t="s">
        <v>222</v>
      </c>
      <c r="V410" s="38" t="str">
        <f>U410</f>
        <v>"#ffffff"</v>
      </c>
      <c r="X410" s="46" t="s">
        <v>222</v>
      </c>
      <c r="Y410" s="38" t="str">
        <f>X410</f>
        <v>"#ffffff"</v>
      </c>
      <c r="AA410" s="2" t="s">
        <v>6</v>
      </c>
      <c r="AB410" s="2" t="str">
        <f t="shared" si="409"/>
        <v>-</v>
      </c>
      <c r="AC410" s="2" t="s">
        <v>32</v>
      </c>
      <c r="AD410" s="2" t="str">
        <f t="shared" si="416"/>
        <v>_</v>
      </c>
      <c r="AE410" s="2" t="s">
        <v>13</v>
      </c>
      <c r="AF410" s="2" t="str">
        <f t="shared" si="417"/>
        <v>_</v>
      </c>
      <c r="AG410" s="2" t="s">
        <v>21</v>
      </c>
      <c r="AH410" s="2" t="str">
        <f t="shared" si="427"/>
        <v/>
      </c>
      <c r="AI410" s="2"/>
    </row>
    <row r="411" spans="1:35" x14ac:dyDescent="0.25">
      <c r="B411" s="2" t="str">
        <f t="shared" si="557"/>
        <v>@color-trunk_primary_secondary_tertiary_link_line_paved_or_uk</v>
      </c>
      <c r="C411" s="46" t="s">
        <v>222</v>
      </c>
      <c r="D411" s="38" t="str">
        <f>C411</f>
        <v>"#ffffff"</v>
      </c>
      <c r="F411" s="46" t="s">
        <v>222</v>
      </c>
      <c r="G411" s="38" t="str">
        <f>F411</f>
        <v>"#ffffff"</v>
      </c>
      <c r="I411" s="46" t="s">
        <v>222</v>
      </c>
      <c r="J411" s="38" t="str">
        <f>I411</f>
        <v>"#ffffff"</v>
      </c>
      <c r="L411" s="46" t="s">
        <v>222</v>
      </c>
      <c r="M411" s="38" t="str">
        <f>L411</f>
        <v>"#ffffff"</v>
      </c>
      <c r="U411" s="46" t="s">
        <v>222</v>
      </c>
      <c r="V411" s="38" t="str">
        <f>U411</f>
        <v>"#ffffff"</v>
      </c>
      <c r="X411" s="46" t="s">
        <v>222</v>
      </c>
      <c r="Y411" s="38" t="str">
        <f>X411</f>
        <v>"#ffffff"</v>
      </c>
      <c r="AA411" s="2" t="s">
        <v>6</v>
      </c>
      <c r="AB411" s="2" t="str">
        <f t="shared" si="409"/>
        <v>-</v>
      </c>
      <c r="AC411" s="2" t="s">
        <v>32</v>
      </c>
      <c r="AD411" s="2" t="str">
        <f t="shared" si="416"/>
        <v>_</v>
      </c>
      <c r="AE411" s="2" t="s">
        <v>13</v>
      </c>
      <c r="AF411" s="2" t="str">
        <f t="shared" si="417"/>
        <v>_</v>
      </c>
      <c r="AG411" s="2" t="s">
        <v>24</v>
      </c>
      <c r="AH411" s="2" t="str">
        <f t="shared" si="427"/>
        <v/>
      </c>
      <c r="AI411" s="2"/>
    </row>
    <row r="412" spans="1:35" x14ac:dyDescent="0.25">
      <c r="B412" s="2" t="str">
        <f t="shared" si="557"/>
        <v>@color-trunk_primary_secondary_tertiary_link_case_bicycle_no_farzoom</v>
      </c>
      <c r="C412" s="112" t="s">
        <v>226</v>
      </c>
      <c r="D412" s="47" t="s">
        <v>214</v>
      </c>
      <c r="F412" s="112" t="s">
        <v>226</v>
      </c>
      <c r="G412" s="112" t="s">
        <v>226</v>
      </c>
      <c r="I412" s="113" t="str">
        <f>C412</f>
        <v>"#bd430f"</v>
      </c>
      <c r="J412" s="37" t="str">
        <f>D412</f>
        <v>"#000000"</v>
      </c>
      <c r="L412" s="112" t="s">
        <v>226</v>
      </c>
      <c r="M412" s="112" t="s">
        <v>226</v>
      </c>
      <c r="U412" s="112" t="s">
        <v>226</v>
      </c>
      <c r="V412" s="47" t="s">
        <v>214</v>
      </c>
      <c r="X412" s="112" t="s">
        <v>226</v>
      </c>
      <c r="Y412" s="112" t="s">
        <v>226</v>
      </c>
      <c r="AA412" s="2" t="s">
        <v>6</v>
      </c>
      <c r="AB412" s="2" t="str">
        <f t="shared" ref="AB412" si="562">IF(NOT(ISBLANK(AC412)),"-","")</f>
        <v>-</v>
      </c>
      <c r="AC412" s="2" t="s">
        <v>32</v>
      </c>
      <c r="AD412" s="2" t="str">
        <f t="shared" ref="AD412" si="563">IF(NOT(ISBLANK(AE412)),"_","")</f>
        <v>_</v>
      </c>
      <c r="AE412" s="2" t="s">
        <v>17</v>
      </c>
      <c r="AF412" s="2" t="str">
        <f t="shared" ref="AF412" si="564">IF(NOT(ISBLANK(AG412)),"_","")</f>
        <v>_</v>
      </c>
      <c r="AG412" s="2" t="s">
        <v>23</v>
      </c>
      <c r="AH412" s="2" t="str">
        <f t="shared" si="427"/>
        <v>_</v>
      </c>
      <c r="AI412" s="2" t="s">
        <v>20</v>
      </c>
    </row>
    <row r="413" spans="1:35" x14ac:dyDescent="0.25">
      <c r="B413" s="2" t="str">
        <f t="shared" ref="B413:B417" si="565">_xlfn.CONCAT("@",AA413,AB413,AC413,AD413,AE413,AF413,AG413,AH413,AI413)</f>
        <v>@color-trunk_primary_secondary_tertiary_link_case_bicycle_no_default</v>
      </c>
      <c r="C413" s="112" t="s">
        <v>226</v>
      </c>
      <c r="D413" s="47" t="s">
        <v>214</v>
      </c>
      <c r="F413" s="47" t="s">
        <v>214</v>
      </c>
      <c r="G413" s="47" t="s">
        <v>214</v>
      </c>
      <c r="I413" s="113" t="str">
        <f>C413</f>
        <v>"#bd430f"</v>
      </c>
      <c r="J413" s="37" t="str">
        <f>D413</f>
        <v>"#000000"</v>
      </c>
      <c r="L413" s="47" t="s">
        <v>214</v>
      </c>
      <c r="M413" s="47" t="s">
        <v>214</v>
      </c>
      <c r="U413" s="112" t="s">
        <v>226</v>
      </c>
      <c r="V413" s="47" t="s">
        <v>214</v>
      </c>
      <c r="X413" s="47" t="s">
        <v>214</v>
      </c>
      <c r="Y413" s="47" t="s">
        <v>214</v>
      </c>
      <c r="AA413" s="2" t="s">
        <v>6</v>
      </c>
      <c r="AB413" s="2" t="str">
        <f t="shared" ref="AB413:AB417" si="566">IF(NOT(ISBLANK(AC413)),"-","")</f>
        <v>-</v>
      </c>
      <c r="AC413" s="2" t="s">
        <v>32</v>
      </c>
      <c r="AD413" s="2" t="str">
        <f t="shared" ref="AD413:AD417" si="567">IF(NOT(ISBLANK(AE413)),"_","")</f>
        <v>_</v>
      </c>
      <c r="AE413" s="2" t="s">
        <v>17</v>
      </c>
      <c r="AF413" s="2" t="str">
        <f t="shared" ref="AF413:AF417" si="568">IF(NOT(ISBLANK(AG413)),"_","")</f>
        <v>_</v>
      </c>
      <c r="AG413" s="2" t="s">
        <v>23</v>
      </c>
      <c r="AH413" s="2" t="str">
        <f t="shared" ref="AH413:AH417" si="569">IF(NOT(ISBLANK(AI413)),"_","")</f>
        <v>_</v>
      </c>
      <c r="AI413" s="2" t="s">
        <v>262</v>
      </c>
    </row>
    <row r="414" spans="1:35" x14ac:dyDescent="0.25">
      <c r="B414" s="2" t="str">
        <f t="shared" ref="B414" si="570">_xlfn.CONCAT("@",AA414,AB414,AC414,AD414,AE414,AF414,AG414,AH414,AI414)</f>
        <v>@color-trunk_primary_secondary_tertiary_link_case_unpaved_farzoom</v>
      </c>
      <c r="C414" s="114" t="s">
        <v>227</v>
      </c>
      <c r="D414" s="115" t="s">
        <v>229</v>
      </c>
      <c r="F414" s="115" t="s">
        <v>229</v>
      </c>
      <c r="G414" s="114" t="s">
        <v>227</v>
      </c>
      <c r="I414" s="114" t="s">
        <v>227</v>
      </c>
      <c r="J414" s="115" t="s">
        <v>229</v>
      </c>
      <c r="L414" s="115" t="s">
        <v>229</v>
      </c>
      <c r="M414" s="114" t="s">
        <v>227</v>
      </c>
      <c r="U414" s="117" t="s">
        <v>228</v>
      </c>
      <c r="V414" s="47" t="s">
        <v>214</v>
      </c>
      <c r="X414" s="117" t="s">
        <v>228</v>
      </c>
      <c r="Y414" s="117" t="s">
        <v>228</v>
      </c>
      <c r="AA414" s="2" t="s">
        <v>6</v>
      </c>
      <c r="AB414" s="2" t="str">
        <f t="shared" ref="AB414" si="571">IF(NOT(ISBLANK(AC414)),"-","")</f>
        <v>-</v>
      </c>
      <c r="AC414" s="2" t="s">
        <v>32</v>
      </c>
      <c r="AD414" s="2" t="str">
        <f t="shared" ref="AD414" si="572">IF(NOT(ISBLANK(AE414)),"_","")</f>
        <v>_</v>
      </c>
      <c r="AE414" s="2" t="s">
        <v>17</v>
      </c>
      <c r="AF414" s="2" t="str">
        <f t="shared" ref="AF414" si="573">IF(NOT(ISBLANK(AG414)),"_","")</f>
        <v>_</v>
      </c>
      <c r="AG414" s="2" t="s">
        <v>21</v>
      </c>
      <c r="AH414" s="2" t="str">
        <f t="shared" ref="AH414" si="574">IF(NOT(ISBLANK(AI414)),"_","")</f>
        <v>_</v>
      </c>
      <c r="AI414" s="2" t="s">
        <v>20</v>
      </c>
    </row>
    <row r="415" spans="1:35" x14ac:dyDescent="0.25">
      <c r="B415" s="2" t="str">
        <f t="shared" si="565"/>
        <v>@color-trunk_primary_secondary_tertiary_link_case_unpaved_default</v>
      </c>
      <c r="C415" s="115" t="s">
        <v>229</v>
      </c>
      <c r="D415" s="115" t="s">
        <v>229</v>
      </c>
      <c r="F415" s="47" t="s">
        <v>214</v>
      </c>
      <c r="G415" s="47" t="s">
        <v>214</v>
      </c>
      <c r="I415" s="115" t="s">
        <v>229</v>
      </c>
      <c r="J415" s="115" t="s">
        <v>229</v>
      </c>
      <c r="L415" s="47" t="s">
        <v>214</v>
      </c>
      <c r="M415" s="47" t="s">
        <v>214</v>
      </c>
      <c r="U415" s="123" t="s">
        <v>230</v>
      </c>
      <c r="V415" s="47" t="s">
        <v>214</v>
      </c>
      <c r="X415" s="47" t="s">
        <v>214</v>
      </c>
      <c r="Y415" s="47" t="s">
        <v>214</v>
      </c>
      <c r="AA415" s="2" t="s">
        <v>6</v>
      </c>
      <c r="AB415" s="2" t="str">
        <f t="shared" si="566"/>
        <v>-</v>
      </c>
      <c r="AC415" s="2" t="s">
        <v>32</v>
      </c>
      <c r="AD415" s="2" t="str">
        <f t="shared" si="567"/>
        <v>_</v>
      </c>
      <c r="AE415" s="2" t="s">
        <v>17</v>
      </c>
      <c r="AF415" s="2" t="str">
        <f t="shared" si="568"/>
        <v>_</v>
      </c>
      <c r="AG415" s="2" t="s">
        <v>21</v>
      </c>
      <c r="AH415" s="2" t="str">
        <f t="shared" si="569"/>
        <v>_</v>
      </c>
      <c r="AI415" s="2" t="s">
        <v>262</v>
      </c>
    </row>
    <row r="416" spans="1:35" x14ac:dyDescent="0.25">
      <c r="B416" s="2" t="str">
        <f t="shared" ref="B416" si="575">_xlfn.CONCAT("@",AA416,AB416,AC416,AD416,AE416,AF416,AG416,AH416,AI416)</f>
        <v>@color-trunk_primary_secondary_tertiary_link_case_paved_or_uk_farzoom</v>
      </c>
      <c r="C416" s="117" t="s">
        <v>228</v>
      </c>
      <c r="D416" s="47" t="s">
        <v>214</v>
      </c>
      <c r="F416" s="117" t="s">
        <v>228</v>
      </c>
      <c r="G416" s="117" t="s">
        <v>228</v>
      </c>
      <c r="I416" s="117" t="s">
        <v>228</v>
      </c>
      <c r="J416" s="47" t="s">
        <v>214</v>
      </c>
      <c r="L416" s="117" t="s">
        <v>228</v>
      </c>
      <c r="M416" s="117" t="s">
        <v>228</v>
      </c>
      <c r="U416" s="117" t="s">
        <v>228</v>
      </c>
      <c r="V416" s="47" t="s">
        <v>214</v>
      </c>
      <c r="X416" s="117" t="s">
        <v>228</v>
      </c>
      <c r="Y416" s="117" t="s">
        <v>228</v>
      </c>
      <c r="AA416" s="2" t="s">
        <v>6</v>
      </c>
      <c r="AB416" s="2" t="str">
        <f t="shared" ref="AB416" si="576">IF(NOT(ISBLANK(AC416)),"-","")</f>
        <v>-</v>
      </c>
      <c r="AC416" s="2" t="s">
        <v>32</v>
      </c>
      <c r="AD416" s="2" t="str">
        <f t="shared" ref="AD416" si="577">IF(NOT(ISBLANK(AE416)),"_","")</f>
        <v>_</v>
      </c>
      <c r="AE416" s="2" t="s">
        <v>17</v>
      </c>
      <c r="AF416" s="2" t="str">
        <f t="shared" ref="AF416" si="578">IF(NOT(ISBLANK(AG416)),"_","")</f>
        <v>_</v>
      </c>
      <c r="AG416" s="2" t="s">
        <v>24</v>
      </c>
      <c r="AH416" s="2" t="str">
        <f t="shared" ref="AH416" si="579">IF(NOT(ISBLANK(AI416)),"_","")</f>
        <v>_</v>
      </c>
      <c r="AI416" s="2" t="s">
        <v>20</v>
      </c>
    </row>
    <row r="417" spans="2:35" x14ac:dyDescent="0.25">
      <c r="B417" s="2" t="str">
        <f t="shared" si="565"/>
        <v>@color-trunk_primary_secondary_tertiary_link_case_paved_or_uk_default</v>
      </c>
      <c r="C417" s="123" t="s">
        <v>230</v>
      </c>
      <c r="D417" s="47" t="s">
        <v>214</v>
      </c>
      <c r="F417" s="47" t="s">
        <v>214</v>
      </c>
      <c r="G417" s="47" t="s">
        <v>214</v>
      </c>
      <c r="I417" s="123" t="s">
        <v>230</v>
      </c>
      <c r="J417" s="47" t="s">
        <v>214</v>
      </c>
      <c r="L417" s="47" t="s">
        <v>214</v>
      </c>
      <c r="M417" s="47" t="s">
        <v>214</v>
      </c>
      <c r="U417" s="123" t="s">
        <v>230</v>
      </c>
      <c r="V417" s="47" t="s">
        <v>214</v>
      </c>
      <c r="X417" s="47" t="s">
        <v>214</v>
      </c>
      <c r="Y417" s="47" t="s">
        <v>214</v>
      </c>
      <c r="AA417" s="2" t="s">
        <v>6</v>
      </c>
      <c r="AB417" s="2" t="str">
        <f t="shared" si="566"/>
        <v>-</v>
      </c>
      <c r="AC417" s="2" t="s">
        <v>32</v>
      </c>
      <c r="AD417" s="2" t="str">
        <f t="shared" si="567"/>
        <v>_</v>
      </c>
      <c r="AE417" s="2" t="s">
        <v>17</v>
      </c>
      <c r="AF417" s="2" t="str">
        <f t="shared" si="568"/>
        <v>_</v>
      </c>
      <c r="AG417" s="2" t="s">
        <v>24</v>
      </c>
      <c r="AH417" s="2" t="str">
        <f t="shared" si="569"/>
        <v>_</v>
      </c>
      <c r="AI417" s="2" t="s">
        <v>262</v>
      </c>
    </row>
    <row r="418" spans="2:35" x14ac:dyDescent="0.25">
      <c r="B418" s="2" t="str">
        <f t="shared" si="557"/>
        <v>@</v>
      </c>
    </row>
    <row r="419" spans="2:35" x14ac:dyDescent="0.25">
      <c r="B419" s="2" t="str">
        <f t="shared" si="557"/>
        <v>@</v>
      </c>
    </row>
    <row r="420" spans="2:35" x14ac:dyDescent="0.25">
      <c r="B420" s="2" t="str">
        <f t="shared" si="557"/>
        <v>@</v>
      </c>
    </row>
    <row r="421" spans="2:35" x14ac:dyDescent="0.25">
      <c r="B421" s="2" t="str">
        <f t="shared" si="557"/>
        <v>@</v>
      </c>
    </row>
    <row r="422" spans="2:35" x14ac:dyDescent="0.25">
      <c r="B422" s="2" t="str">
        <f t="shared" si="557"/>
        <v>@</v>
      </c>
    </row>
    <row r="423" spans="2:35" x14ac:dyDescent="0.25">
      <c r="B423" s="2" t="str">
        <f t="shared" si="557"/>
        <v>@</v>
      </c>
    </row>
    <row r="424" spans="2:35" x14ac:dyDescent="0.25">
      <c r="B424" s="2" t="str">
        <f t="shared" si="557"/>
        <v>@</v>
      </c>
    </row>
    <row r="425" spans="2:35" x14ac:dyDescent="0.25">
      <c r="B425" s="2" t="str">
        <f t="shared" si="557"/>
        <v>@</v>
      </c>
    </row>
    <row r="426" spans="2:35" x14ac:dyDescent="0.25">
      <c r="B426" s="2" t="str">
        <f t="shared" si="557"/>
        <v>@</v>
      </c>
    </row>
    <row r="427" spans="2:35" x14ac:dyDescent="0.25">
      <c r="B427" s="2" t="str">
        <f t="shared" si="557"/>
        <v>@</v>
      </c>
    </row>
    <row r="428" spans="2:35" x14ac:dyDescent="0.25">
      <c r="B428" s="2" t="str">
        <f t="shared" si="557"/>
        <v>@</v>
      </c>
    </row>
    <row r="429" spans="2:35" x14ac:dyDescent="0.25">
      <c r="B429" s="2" t="str">
        <f t="shared" si="557"/>
        <v>@</v>
      </c>
    </row>
    <row r="430" spans="2:35" x14ac:dyDescent="0.25">
      <c r="B430" s="2" t="str">
        <f t="shared" si="557"/>
        <v>@</v>
      </c>
    </row>
    <row r="431" spans="2:35" x14ac:dyDescent="0.25">
      <c r="B431" s="2" t="str">
        <f t="shared" si="557"/>
        <v>@</v>
      </c>
    </row>
    <row r="432" spans="2:35" x14ac:dyDescent="0.25">
      <c r="B432" s="2" t="str">
        <f t="shared" si="557"/>
        <v>@</v>
      </c>
    </row>
    <row r="433" spans="2:2" x14ac:dyDescent="0.25">
      <c r="B433" s="2" t="str">
        <f t="shared" si="557"/>
        <v>@</v>
      </c>
    </row>
    <row r="434" spans="2:2" x14ac:dyDescent="0.25">
      <c r="B434" s="2" t="str">
        <f t="shared" si="557"/>
        <v>@</v>
      </c>
    </row>
    <row r="435" spans="2:2" x14ac:dyDescent="0.25">
      <c r="B435" s="2" t="str">
        <f t="shared" si="557"/>
        <v>@</v>
      </c>
    </row>
    <row r="436" spans="2:2" x14ac:dyDescent="0.25">
      <c r="B436" s="2" t="str">
        <f t="shared" si="557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4 C77 M73:T73 M74:T74 M75:T75 M77:T77 M78:T78 M79:T79 M81:T81 M82:T82 M83:T83 M85:T85 M86:T86 M87:T87 D77:E77 E73 E74 E75 E76 D85:E87 E78 E79 E81 E82 E83 H77 H73:L73 H74:L74 H75:L75 H76:L76 H85:L87 H78:L78 H79:L79 H81 H82:L82 H83:L83 J77:K77 J81:K8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2025-12-29T12:21:40Z</dcterms:modified>
</cp:coreProperties>
</file>