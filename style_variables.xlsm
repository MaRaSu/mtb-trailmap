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1DD4221E-9268-4913-BD6A-B97374F66A4E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02" i="5" l="1"/>
  <c r="AF302" i="5"/>
  <c r="AD302" i="5"/>
  <c r="AB302" i="5"/>
  <c r="AH301" i="5"/>
  <c r="AF301" i="5"/>
  <c r="AD301" i="5"/>
  <c r="AB301" i="5"/>
  <c r="J301" i="5"/>
  <c r="G301" i="5"/>
  <c r="D301" i="5"/>
  <c r="B301" i="5"/>
  <c r="AH300" i="5"/>
  <c r="AF300" i="5"/>
  <c r="AD300" i="5"/>
  <c r="AB300" i="5"/>
  <c r="J300" i="5"/>
  <c r="G300" i="5"/>
  <c r="D300" i="5"/>
  <c r="B300" i="5"/>
  <c r="AH299" i="5"/>
  <c r="AF299" i="5"/>
  <c r="AD299" i="5"/>
  <c r="AB299" i="5"/>
  <c r="J299" i="5"/>
  <c r="I299" i="5"/>
  <c r="B299" i="5"/>
  <c r="AH298" i="5"/>
  <c r="AF298" i="5"/>
  <c r="AD298" i="5"/>
  <c r="AB298" i="5"/>
  <c r="B298" i="5" s="1"/>
  <c r="J298" i="5"/>
  <c r="I298" i="5"/>
  <c r="AH297" i="5"/>
  <c r="AF297" i="5"/>
  <c r="AD297" i="5"/>
  <c r="AB297" i="5"/>
  <c r="B297" i="5" s="1"/>
  <c r="J297" i="5"/>
  <c r="I297" i="5"/>
  <c r="AH296" i="5"/>
  <c r="AF296" i="5"/>
  <c r="AD296" i="5"/>
  <c r="AB296" i="5"/>
  <c r="J296" i="5"/>
  <c r="I296" i="5"/>
  <c r="B296" i="5"/>
  <c r="G308" i="5"/>
  <c r="G307" i="5"/>
  <c r="G315" i="5"/>
  <c r="G314" i="5"/>
  <c r="G294" i="5"/>
  <c r="G293" i="5"/>
  <c r="G287" i="5"/>
  <c r="G286" i="5"/>
  <c r="J294" i="5"/>
  <c r="J293" i="5"/>
  <c r="J324" i="5"/>
  <c r="I324" i="5"/>
  <c r="AH328" i="5"/>
  <c r="AF328" i="5"/>
  <c r="AD328" i="5"/>
  <c r="AB328" i="5"/>
  <c r="B328" i="5"/>
  <c r="AH326" i="5"/>
  <c r="AF326" i="5"/>
  <c r="AD326" i="5"/>
  <c r="AB326" i="5"/>
  <c r="AH324" i="5"/>
  <c r="AF324" i="5"/>
  <c r="AD324" i="5"/>
  <c r="AB324" i="5"/>
  <c r="B324" i="5" s="1"/>
  <c r="J325" i="5"/>
  <c r="I325" i="5"/>
  <c r="J323" i="5"/>
  <c r="G323" i="5"/>
  <c r="D323" i="5"/>
  <c r="J322" i="5"/>
  <c r="G322" i="5"/>
  <c r="D322" i="5"/>
  <c r="J321" i="5"/>
  <c r="I321" i="5"/>
  <c r="AH320" i="5"/>
  <c r="AF320" i="5"/>
  <c r="AD320" i="5"/>
  <c r="AB320" i="5"/>
  <c r="AH329" i="5"/>
  <c r="AF329" i="5"/>
  <c r="AD329" i="5"/>
  <c r="AB329" i="5"/>
  <c r="AH327" i="5"/>
  <c r="AF327" i="5"/>
  <c r="AD327" i="5"/>
  <c r="AB327" i="5"/>
  <c r="AH325" i="5"/>
  <c r="AF325" i="5"/>
  <c r="AD325" i="5"/>
  <c r="AB325" i="5"/>
  <c r="AH284" i="5"/>
  <c r="AF284" i="5"/>
  <c r="AD284" i="5"/>
  <c r="AB284" i="5"/>
  <c r="B284" i="5" s="1"/>
  <c r="J284" i="5"/>
  <c r="I284" i="5"/>
  <c r="AH282" i="5"/>
  <c r="AF282" i="5"/>
  <c r="AD282" i="5"/>
  <c r="AB282" i="5"/>
  <c r="J282" i="5"/>
  <c r="I282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B160" i="5" s="1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B128" i="5"/>
  <c r="AH127" i="5"/>
  <c r="AF127" i="5"/>
  <c r="AD127" i="5"/>
  <c r="AB127" i="5"/>
  <c r="AH126" i="5"/>
  <c r="AF126" i="5"/>
  <c r="AD126" i="5"/>
  <c r="AB126" i="5"/>
  <c r="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AH323" i="5"/>
  <c r="AH322" i="5"/>
  <c r="AH321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295" i="5"/>
  <c r="AH294" i="5"/>
  <c r="AH293" i="5"/>
  <c r="AH292" i="5"/>
  <c r="AH291" i="5"/>
  <c r="AH290" i="5"/>
  <c r="AH289" i="5"/>
  <c r="AH288" i="5"/>
  <c r="AH287" i="5"/>
  <c r="AH286" i="5"/>
  <c r="AH285" i="5"/>
  <c r="AH283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94" i="5"/>
  <c r="AD294" i="5"/>
  <c r="AB294" i="5"/>
  <c r="D294" i="5"/>
  <c r="AF293" i="5"/>
  <c r="AD293" i="5"/>
  <c r="AB293" i="5"/>
  <c r="D293" i="5"/>
  <c r="AF292" i="5"/>
  <c r="AD292" i="5"/>
  <c r="AB292" i="5"/>
  <c r="J292" i="5"/>
  <c r="I292" i="5"/>
  <c r="AF291" i="5"/>
  <c r="AD291" i="5"/>
  <c r="AB291" i="5"/>
  <c r="J291" i="5"/>
  <c r="I291" i="5"/>
  <c r="AF290" i="5"/>
  <c r="AD290" i="5"/>
  <c r="AB290" i="5"/>
  <c r="J290" i="5"/>
  <c r="I290" i="5"/>
  <c r="AF289" i="5"/>
  <c r="AD289" i="5"/>
  <c r="AB289" i="5"/>
  <c r="J289" i="5"/>
  <c r="I289" i="5"/>
  <c r="AF288" i="5"/>
  <c r="AD288" i="5"/>
  <c r="AB288" i="5"/>
  <c r="AF308" i="5"/>
  <c r="AD308" i="5"/>
  <c r="AB308" i="5"/>
  <c r="J308" i="5"/>
  <c r="I308" i="5"/>
  <c r="D308" i="5"/>
  <c r="AF307" i="5"/>
  <c r="AD307" i="5"/>
  <c r="AB307" i="5"/>
  <c r="J307" i="5"/>
  <c r="I307" i="5"/>
  <c r="D307" i="5"/>
  <c r="AF306" i="5"/>
  <c r="AD306" i="5"/>
  <c r="AB306" i="5"/>
  <c r="J306" i="5"/>
  <c r="I306" i="5"/>
  <c r="AF305" i="5"/>
  <c r="AD305" i="5"/>
  <c r="AB305" i="5"/>
  <c r="J305" i="5"/>
  <c r="I305" i="5"/>
  <c r="AF304" i="5"/>
  <c r="AD304" i="5"/>
  <c r="AB304" i="5"/>
  <c r="J304" i="5"/>
  <c r="I304" i="5"/>
  <c r="AF303" i="5"/>
  <c r="AD303" i="5"/>
  <c r="AB303" i="5"/>
  <c r="J303" i="5"/>
  <c r="I303" i="5"/>
  <c r="AF295" i="5"/>
  <c r="AD295" i="5"/>
  <c r="AB295" i="5"/>
  <c r="J313" i="5"/>
  <c r="J312" i="5"/>
  <c r="I313" i="5"/>
  <c r="I312" i="5"/>
  <c r="J311" i="5"/>
  <c r="J310" i="5"/>
  <c r="I311" i="5"/>
  <c r="I310" i="5"/>
  <c r="AF312" i="5"/>
  <c r="AD312" i="5"/>
  <c r="AB312" i="5"/>
  <c r="AF310" i="5"/>
  <c r="AD310" i="5"/>
  <c r="AB310" i="5"/>
  <c r="AF313" i="5"/>
  <c r="AD313" i="5"/>
  <c r="AB313" i="5"/>
  <c r="AF311" i="5"/>
  <c r="AD311" i="5"/>
  <c r="AB311" i="5"/>
  <c r="J285" i="5"/>
  <c r="J283" i="5"/>
  <c r="I283" i="5"/>
  <c r="I285" i="5"/>
  <c r="AF285" i="5"/>
  <c r="AD285" i="5"/>
  <c r="AB285" i="5"/>
  <c r="AF283" i="5"/>
  <c r="AD283" i="5"/>
  <c r="AB283" i="5"/>
  <c r="J315" i="5"/>
  <c r="J314" i="5"/>
  <c r="J287" i="5"/>
  <c r="D315" i="5"/>
  <c r="D314" i="5"/>
  <c r="D287" i="5"/>
  <c r="J286" i="5"/>
  <c r="D286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3" i="5"/>
  <c r="AF322" i="5"/>
  <c r="AF321" i="5"/>
  <c r="AF319" i="5"/>
  <c r="AF318" i="5"/>
  <c r="AF317" i="5"/>
  <c r="AF316" i="5"/>
  <c r="AF315" i="5"/>
  <c r="AF314" i="5"/>
  <c r="AF309" i="5"/>
  <c r="AF287" i="5"/>
  <c r="AF286" i="5"/>
  <c r="AF281" i="5"/>
  <c r="AF280" i="5"/>
  <c r="AF259" i="5"/>
  <c r="AF258" i="5"/>
  <c r="AD323" i="5"/>
  <c r="AD322" i="5"/>
  <c r="AD321" i="5"/>
  <c r="AD319" i="5"/>
  <c r="AD318" i="5"/>
  <c r="AD317" i="5"/>
  <c r="AD316" i="5"/>
  <c r="AD315" i="5"/>
  <c r="AD314" i="5"/>
  <c r="AD309" i="5"/>
  <c r="AD287" i="5"/>
  <c r="AD286" i="5"/>
  <c r="AD281" i="5"/>
  <c r="AD280" i="5"/>
  <c r="AD259" i="5"/>
  <c r="AD258" i="5"/>
  <c r="AB323" i="5"/>
  <c r="AB322" i="5"/>
  <c r="AB321" i="5"/>
  <c r="AB319" i="5"/>
  <c r="AB318" i="5"/>
  <c r="AB317" i="5"/>
  <c r="AB316" i="5"/>
  <c r="AB315" i="5"/>
  <c r="AB314" i="5"/>
  <c r="AB309" i="5"/>
  <c r="AB287" i="5"/>
  <c r="AB286" i="5"/>
  <c r="AB281" i="5"/>
  <c r="AB280" i="5"/>
  <c r="AB259" i="5"/>
  <c r="I315" i="5"/>
  <c r="I314" i="5"/>
  <c r="I287" i="5"/>
  <c r="I286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52" i="5" l="1"/>
  <c r="B121" i="5"/>
  <c r="B329" i="5"/>
  <c r="B154" i="5"/>
  <c r="B326" i="5"/>
  <c r="B159" i="5"/>
  <c r="B325" i="5"/>
  <c r="B98" i="5"/>
  <c r="B127" i="5"/>
  <c r="B327" i="5"/>
  <c r="B124" i="5"/>
  <c r="B157" i="5"/>
  <c r="B282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3" i="5"/>
  <c r="B322" i="5"/>
  <c r="B321" i="5"/>
  <c r="B319" i="5"/>
  <c r="B318" i="5"/>
  <c r="B314" i="5"/>
  <c r="B287" i="5"/>
  <c r="B286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5" i="5"/>
  <c r="B82" i="5"/>
  <c r="B81" i="5"/>
  <c r="B80" i="5"/>
  <c r="B231" i="5"/>
  <c r="B273" i="5"/>
  <c r="B306" i="5"/>
  <c r="B304" i="5"/>
  <c r="B285" i="5"/>
  <c r="B283" i="5"/>
  <c r="B109" i="5"/>
  <c r="B107" i="5"/>
  <c r="B230" i="5"/>
  <c r="B257" i="5"/>
  <c r="B267" i="5"/>
  <c r="B59" i="5"/>
  <c r="B58" i="5"/>
  <c r="B57" i="5"/>
  <c r="B56" i="5"/>
  <c r="B55" i="5"/>
  <c r="B272" i="5"/>
  <c r="B48" i="5"/>
  <c r="B308" i="5"/>
  <c r="B307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94" i="5"/>
  <c r="B293" i="5"/>
  <c r="B292" i="5"/>
  <c r="B290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3" i="5"/>
  <c r="B312" i="5"/>
  <c r="B311" i="5"/>
  <c r="B310" i="5"/>
  <c r="B291" i="5"/>
  <c r="B289" i="5"/>
  <c r="B303" i="5"/>
  <c r="B305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<sst xmlns="http://schemas.openxmlformats.org/spreadsheetml/2006/main" count="3716" uniqueCount="373">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</sst>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9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8"/>
  <sheetViews>
    <sheetView tabSelected="1" topLeftCell="A3" zoomScale="85" zoomScaleNormal="85" workbookViewId="0">
      <pane ySplit="4" topLeftCell="A232" activePane="bottomLeft" state="frozen"/>
      <selection activeCell="A3" sqref="A3"/>
      <selection pane="bottomLeft" activeCell="U301" sqref="U301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221</v>
      </c>
      <c r="F4" s="26" t="s">
        <v>222</v>
      </c>
      <c r="I4" s="26" t="s">
        <v>221</v>
      </c>
      <c r="L4" s="26" t="s">
        <v>222</v>
      </c>
      <c r="O4" s="26" t="s">
        <v>221</v>
      </c>
      <c r="R4" s="26" t="s">
        <v>222</v>
      </c>
      <c r="U4" s="26" t="s">
        <v>221</v>
      </c>
      <c r="X4" s="26" t="s">
        <v>222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312</v>
      </c>
    </row>
    <row r="7" spans="1:35" s="5" customFormat="1" x14ac:dyDescent="0.25">
      <c r="A7" s="27" t="s">
        <v>268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267</v>
      </c>
      <c r="C8" s="28" t="s">
        <v>266</v>
      </c>
      <c r="D8" s="28" t="s">
        <v>266</v>
      </c>
      <c r="F8" s="28" t="s">
        <v>269</v>
      </c>
      <c r="G8" s="28" t="s">
        <v>269</v>
      </c>
      <c r="I8" s="28" t="s">
        <v>266</v>
      </c>
      <c r="J8" s="28" t="s">
        <v>266</v>
      </c>
      <c r="L8" s="28" t="s">
        <v>269</v>
      </c>
      <c r="M8" s="28" t="s">
        <v>269</v>
      </c>
      <c r="O8" s="28" t="s">
        <v>266</v>
      </c>
      <c r="P8" s="28" t="s">
        <v>266</v>
      </c>
      <c r="R8" s="28" t="s">
        <v>269</v>
      </c>
      <c r="S8" s="28" t="s">
        <v>269</v>
      </c>
      <c r="U8" s="28" t="s">
        <v>266</v>
      </c>
      <c r="V8" s="28" t="s">
        <v>266</v>
      </c>
      <c r="X8" s="28" t="s">
        <v>269</v>
      </c>
      <c r="Y8" s="28" t="s">
        <v>269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290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224</v>
      </c>
      <c r="G11" s="38" t="s">
        <v>224</v>
      </c>
      <c r="I11" s="37" t="s">
        <v>214</v>
      </c>
      <c r="J11" s="37" t="s">
        <v>214</v>
      </c>
      <c r="L11" s="38" t="s">
        <v>224</v>
      </c>
      <c r="M11" s="38" t="s">
        <v>224</v>
      </c>
      <c r="O11" s="37" t="s">
        <v>214</v>
      </c>
      <c r="R11" s="38" t="s">
        <v>224</v>
      </c>
      <c r="U11" s="37" t="s">
        <v>214</v>
      </c>
      <c r="X11" s="38" t="s">
        <v>224</v>
      </c>
      <c r="AA11" s="2" t="s">
        <v>6</v>
      </c>
      <c r="AB11" s="2" t="str">
        <f t="shared" ref="AB11" si="0">IF(NOT(ISBLANK(AC11)),"-","")</f>
        <v>-</v>
      </c>
      <c r="AC11" s="2" t="s">
        <v>273</v>
      </c>
      <c r="AD11" s="2" t="str">
        <f t="shared" ref="AD11" si="1">IF(NOT(ISBLANK(AE11)),"_","")</f>
        <v>_</v>
      </c>
      <c r="AE11" s="2" t="s">
        <v>274</v>
      </c>
      <c r="AF11" s="2" t="str">
        <f t="shared" ref="AF11" si="2">IF(NOT(ISBLANK(AG11)),"_","")</f>
        <v>_</v>
      </c>
      <c r="AG11" s="2" t="s">
        <v>264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224</v>
      </c>
      <c r="D12" s="38" t="s">
        <v>224</v>
      </c>
      <c r="F12" s="37" t="s">
        <v>214</v>
      </c>
      <c r="G12" s="37" t="s">
        <v>214</v>
      </c>
      <c r="I12" s="38" t="s">
        <v>224</v>
      </c>
      <c r="J12" s="38" t="s">
        <v>224</v>
      </c>
      <c r="L12" s="37" t="s">
        <v>214</v>
      </c>
      <c r="M12" s="37" t="s">
        <v>214</v>
      </c>
      <c r="O12" s="38" t="s">
        <v>224</v>
      </c>
      <c r="R12" s="37" t="s">
        <v>214</v>
      </c>
      <c r="U12" s="38" t="s">
        <v>224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273</v>
      </c>
      <c r="AD12" s="2" t="str">
        <f t="shared" ref="AD12" si="6">IF(NOT(ISBLANK(AE12)),"_","")</f>
        <v>_</v>
      </c>
      <c r="AE12" s="2" t="s">
        <v>274</v>
      </c>
      <c r="AF12" s="2" t="str">
        <f t="shared" ref="AF12" si="7">IF(NOT(ISBLANK(AG12)),"_","")</f>
        <v>_</v>
      </c>
      <c r="AG12" s="2" t="s">
        <v>275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276</v>
      </c>
      <c r="D13" s="39" t="s">
        <v>276</v>
      </c>
      <c r="F13" s="39" t="s">
        <v>276</v>
      </c>
      <c r="G13" s="39" t="s">
        <v>276</v>
      </c>
      <c r="I13" s="39" t="s">
        <v>276</v>
      </c>
      <c r="J13" s="39" t="s">
        <v>276</v>
      </c>
      <c r="L13" s="39" t="s">
        <v>276</v>
      </c>
      <c r="M13" s="39" t="s">
        <v>276</v>
      </c>
      <c r="O13" s="39" t="s">
        <v>276</v>
      </c>
      <c r="R13" s="39" t="s">
        <v>276</v>
      </c>
      <c r="U13" s="39" t="s">
        <v>276</v>
      </c>
      <c r="X13" s="39" t="s">
        <v>276</v>
      </c>
      <c r="AA13" s="2" t="s">
        <v>6</v>
      </c>
      <c r="AB13" s="2" t="str">
        <f t="shared" ref="AB13:AB14" si="8">IF(NOT(ISBLANK(AC13)),"-","")</f>
        <v>-</v>
      </c>
      <c r="AC13" s="2" t="s">
        <v>273</v>
      </c>
      <c r="AD13" s="2" t="str">
        <f t="shared" ref="AD13:AD14" si="9">IF(NOT(ISBLANK(AE13)),"_","")</f>
        <v>_</v>
      </c>
      <c r="AE13" s="2" t="s">
        <v>274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280</v>
      </c>
      <c r="D14" s="29" t="s">
        <v>280</v>
      </c>
      <c r="F14" s="30" t="s">
        <v>281</v>
      </c>
      <c r="G14" s="38" t="s">
        <v>224</v>
      </c>
      <c r="I14" s="29" t="s">
        <v>280</v>
      </c>
      <c r="J14" s="29" t="s">
        <v>280</v>
      </c>
      <c r="L14" s="30" t="s">
        <v>281</v>
      </c>
      <c r="M14" s="38" t="s">
        <v>224</v>
      </c>
      <c r="AA14" s="2" t="s">
        <v>6</v>
      </c>
      <c r="AB14" s="2" t="str">
        <f t="shared" si="8"/>
        <v>-</v>
      </c>
      <c r="AC14" s="2" t="s">
        <v>273</v>
      </c>
      <c r="AD14" s="2" t="str">
        <f t="shared" si="9"/>
        <v>_</v>
      </c>
      <c r="AE14" s="2" t="s">
        <v>278</v>
      </c>
      <c r="AF14" s="2" t="str">
        <f t="shared" si="10"/>
        <v>_</v>
      </c>
      <c r="AG14" s="2" t="s">
        <v>279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283</v>
      </c>
      <c r="D15" s="31" t="s">
        <v>283</v>
      </c>
      <c r="F15" s="32" t="s">
        <v>284</v>
      </c>
      <c r="G15" s="37" t="s">
        <v>214</v>
      </c>
      <c r="I15" s="31" t="s">
        <v>283</v>
      </c>
      <c r="J15" s="31" t="s">
        <v>283</v>
      </c>
      <c r="L15" s="32" t="s">
        <v>284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282</v>
      </c>
      <c r="AD15" s="2" t="str">
        <f t="shared" ref="AD15:AD16" si="12">IF(NOT(ISBLANK(AE15)),"_","")</f>
        <v>_</v>
      </c>
      <c r="AE15" s="2" t="s">
        <v>278</v>
      </c>
      <c r="AF15" s="2" t="str">
        <f t="shared" ref="AF15:AF16" si="13">IF(NOT(ISBLANK(AG15)),"_","")</f>
        <v>_</v>
      </c>
      <c r="AG15" s="2" t="s">
        <v>279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280</v>
      </c>
      <c r="D16" s="29" t="s">
        <v>280</v>
      </c>
      <c r="F16" s="30" t="s">
        <v>281</v>
      </c>
      <c r="G16" s="38" t="s">
        <v>224</v>
      </c>
      <c r="I16" s="29" t="s">
        <v>280</v>
      </c>
      <c r="J16" s="29" t="s">
        <v>280</v>
      </c>
      <c r="L16" s="30" t="s">
        <v>281</v>
      </c>
      <c r="M16" s="38" t="s">
        <v>224</v>
      </c>
      <c r="AA16" s="2" t="s">
        <v>6</v>
      </c>
      <c r="AB16" s="2" t="str">
        <f t="shared" si="11"/>
        <v>-</v>
      </c>
      <c r="AC16" s="2" t="s">
        <v>273</v>
      </c>
      <c r="AD16" s="2" t="str">
        <f t="shared" si="12"/>
        <v>_</v>
      </c>
      <c r="AE16" s="2" t="s">
        <v>278</v>
      </c>
      <c r="AF16" s="2" t="str">
        <f t="shared" si="13"/>
        <v>_</v>
      </c>
      <c r="AG16" s="2" t="s">
        <v>285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283</v>
      </c>
      <c r="D17" s="31" t="s">
        <v>283</v>
      </c>
      <c r="F17" s="32" t="s">
        <v>284</v>
      </c>
      <c r="G17" s="37" t="s">
        <v>214</v>
      </c>
      <c r="I17" s="31" t="s">
        <v>283</v>
      </c>
      <c r="J17" s="31" t="s">
        <v>283</v>
      </c>
      <c r="L17" s="32" t="s">
        <v>284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282</v>
      </c>
      <c r="AD17" s="2" t="str">
        <f t="shared" ref="AD17:AD18" si="15">IF(NOT(ISBLANK(AE17)),"_","")</f>
        <v>_</v>
      </c>
      <c r="AE17" s="2" t="s">
        <v>278</v>
      </c>
      <c r="AF17" s="2" t="str">
        <f t="shared" ref="AF17:AF18" si="16">IF(NOT(ISBLANK(AG17)),"_","")</f>
        <v>_</v>
      </c>
      <c r="AG17" s="2" t="s">
        <v>285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280</v>
      </c>
      <c r="D18" s="29" t="s">
        <v>280</v>
      </c>
      <c r="F18" s="30" t="s">
        <v>281</v>
      </c>
      <c r="G18" s="38" t="s">
        <v>224</v>
      </c>
      <c r="I18" s="29" t="s">
        <v>280</v>
      </c>
      <c r="J18" s="29" t="s">
        <v>280</v>
      </c>
      <c r="L18" s="30" t="s">
        <v>281</v>
      </c>
      <c r="M18" s="38" t="s">
        <v>224</v>
      </c>
      <c r="AA18" s="2" t="s">
        <v>6</v>
      </c>
      <c r="AB18" s="2" t="str">
        <f t="shared" si="14"/>
        <v>-</v>
      </c>
      <c r="AC18" s="2" t="s">
        <v>273</v>
      </c>
      <c r="AD18" s="2" t="str">
        <f t="shared" si="15"/>
        <v>_</v>
      </c>
      <c r="AE18" s="2" t="s">
        <v>278</v>
      </c>
      <c r="AF18" s="2" t="str">
        <f t="shared" si="16"/>
        <v>_</v>
      </c>
      <c r="AG18" s="2" t="s">
        <v>286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283</v>
      </c>
      <c r="D19" s="31" t="s">
        <v>283</v>
      </c>
      <c r="F19" s="32" t="s">
        <v>284</v>
      </c>
      <c r="G19" s="37" t="s">
        <v>214</v>
      </c>
      <c r="I19" s="31" t="s">
        <v>283</v>
      </c>
      <c r="J19" s="31" t="s">
        <v>283</v>
      </c>
      <c r="L19" s="32" t="s">
        <v>284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282</v>
      </c>
      <c r="AD19" s="2" t="str">
        <f t="shared" ref="AD19:AD20" si="18">IF(NOT(ISBLANK(AE19)),"_","")</f>
        <v>_</v>
      </c>
      <c r="AE19" s="2" t="s">
        <v>278</v>
      </c>
      <c r="AF19" s="2" t="str">
        <f t="shared" ref="AF19:AF20" si="19">IF(NOT(ISBLANK(AG19)),"_","")</f>
        <v>_</v>
      </c>
      <c r="AG19" s="2" t="s">
        <v>286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280</v>
      </c>
      <c r="D20" s="29" t="s">
        <v>280</v>
      </c>
      <c r="F20" s="30" t="s">
        <v>281</v>
      </c>
      <c r="G20" s="38" t="s">
        <v>224</v>
      </c>
      <c r="I20" s="29" t="s">
        <v>280</v>
      </c>
      <c r="J20" s="29" t="s">
        <v>280</v>
      </c>
      <c r="L20" s="30" t="s">
        <v>281</v>
      </c>
      <c r="M20" s="38" t="s">
        <v>224</v>
      </c>
      <c r="AA20" s="2" t="s">
        <v>6</v>
      </c>
      <c r="AB20" s="2" t="str">
        <f t="shared" si="17"/>
        <v>-</v>
      </c>
      <c r="AC20" s="2" t="s">
        <v>273</v>
      </c>
      <c r="AD20" s="2" t="str">
        <f t="shared" si="18"/>
        <v>_</v>
      </c>
      <c r="AE20" s="2" t="s">
        <v>278</v>
      </c>
      <c r="AF20" s="2" t="str">
        <f t="shared" si="19"/>
        <v>_</v>
      </c>
      <c r="AG20" s="2" t="s">
        <v>287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283</v>
      </c>
      <c r="D21" s="31" t="s">
        <v>283</v>
      </c>
      <c r="F21" s="32" t="s">
        <v>284</v>
      </c>
      <c r="G21" s="37" t="s">
        <v>214</v>
      </c>
      <c r="I21" s="31" t="s">
        <v>283</v>
      </c>
      <c r="J21" s="31" t="s">
        <v>283</v>
      </c>
      <c r="L21" s="32" t="s">
        <v>284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282</v>
      </c>
      <c r="AD21" s="2" t="str">
        <f t="shared" ref="AD21:AD22" si="21">IF(NOT(ISBLANK(AE21)),"_","")</f>
        <v>_</v>
      </c>
      <c r="AE21" s="2" t="s">
        <v>278</v>
      </c>
      <c r="AF21" s="2" t="str">
        <f t="shared" ref="AF21:AF22" si="22">IF(NOT(ISBLANK(AG21)),"_","")</f>
        <v>_</v>
      </c>
      <c r="AG21" s="2" t="s">
        <v>287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280</v>
      </c>
      <c r="D22" s="29" t="s">
        <v>280</v>
      </c>
      <c r="F22" s="30" t="s">
        <v>281</v>
      </c>
      <c r="G22" s="38" t="s">
        <v>224</v>
      </c>
      <c r="I22" s="29" t="s">
        <v>280</v>
      </c>
      <c r="J22" s="29" t="s">
        <v>280</v>
      </c>
      <c r="L22" s="30" t="s">
        <v>281</v>
      </c>
      <c r="M22" s="38" t="s">
        <v>224</v>
      </c>
      <c r="AA22" s="2" t="s">
        <v>6</v>
      </c>
      <c r="AB22" s="2" t="str">
        <f t="shared" si="20"/>
        <v>-</v>
      </c>
      <c r="AC22" s="2" t="s">
        <v>273</v>
      </c>
      <c r="AD22" s="2" t="str">
        <f t="shared" si="21"/>
        <v>_</v>
      </c>
      <c r="AE22" s="2" t="s">
        <v>278</v>
      </c>
      <c r="AF22" s="2" t="str">
        <f t="shared" si="22"/>
        <v>_</v>
      </c>
      <c r="AG22" s="2" t="s">
        <v>288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283</v>
      </c>
      <c r="D23" s="31" t="s">
        <v>283</v>
      </c>
      <c r="F23" s="32" t="s">
        <v>284</v>
      </c>
      <c r="G23" s="37" t="s">
        <v>214</v>
      </c>
      <c r="I23" s="31" t="s">
        <v>283</v>
      </c>
      <c r="J23" s="31" t="s">
        <v>283</v>
      </c>
      <c r="L23" s="32" t="s">
        <v>284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282</v>
      </c>
      <c r="AD23" s="2" t="str">
        <f t="shared" ref="AD23:AD24" si="24">IF(NOT(ISBLANK(AE23)),"_","")</f>
        <v>_</v>
      </c>
      <c r="AE23" s="2" t="s">
        <v>278</v>
      </c>
      <c r="AF23" s="2" t="str">
        <f t="shared" ref="AF23:AF24" si="25">IF(NOT(ISBLANK(AG23)),"_","")</f>
        <v>_</v>
      </c>
      <c r="AG23" s="2" t="s">
        <v>288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280</v>
      </c>
      <c r="D24" s="29" t="s">
        <v>280</v>
      </c>
      <c r="F24" s="30" t="s">
        <v>281</v>
      </c>
      <c r="G24" s="38" t="s">
        <v>224</v>
      </c>
      <c r="I24" s="29" t="s">
        <v>280</v>
      </c>
      <c r="J24" s="29" t="s">
        <v>280</v>
      </c>
      <c r="L24" s="30" t="s">
        <v>281</v>
      </c>
      <c r="M24" s="38" t="s">
        <v>224</v>
      </c>
      <c r="AA24" s="2" t="s">
        <v>6</v>
      </c>
      <c r="AB24" s="2" t="str">
        <f t="shared" si="23"/>
        <v>-</v>
      </c>
      <c r="AC24" s="2" t="s">
        <v>273</v>
      </c>
      <c r="AD24" s="2" t="str">
        <f t="shared" si="24"/>
        <v>_</v>
      </c>
      <c r="AE24" s="2" t="s">
        <v>278</v>
      </c>
      <c r="AF24" s="2" t="str">
        <f t="shared" si="25"/>
        <v>_</v>
      </c>
      <c r="AG24" s="2" t="s">
        <v>289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283</v>
      </c>
      <c r="D25" s="31" t="s">
        <v>283</v>
      </c>
      <c r="F25" s="32" t="s">
        <v>284</v>
      </c>
      <c r="G25" s="37" t="s">
        <v>214</v>
      </c>
      <c r="I25" s="31" t="s">
        <v>283</v>
      </c>
      <c r="J25" s="31" t="s">
        <v>283</v>
      </c>
      <c r="L25" s="32" t="s">
        <v>284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282</v>
      </c>
      <c r="AD25" s="2" t="str">
        <f t="shared" ref="AD25:AD43" si="27">IF(NOT(ISBLANK(AE25)),"_","")</f>
        <v>_</v>
      </c>
      <c r="AE25" s="2" t="s">
        <v>278</v>
      </c>
      <c r="AF25" s="2" t="str">
        <f t="shared" ref="AF25:AF43" si="28">IF(NOT(ISBLANK(AG25)),"_","")</f>
        <v>_</v>
      </c>
      <c r="AG25" s="2" t="s">
        <v>289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5" t="s">
        <v>304</v>
      </c>
      <c r="D26" s="165" t="s">
        <v>304</v>
      </c>
      <c r="F26" s="166" t="s">
        <v>305</v>
      </c>
      <c r="G26" s="38" t="s">
        <v>224</v>
      </c>
      <c r="I26" s="165" t="s">
        <v>304</v>
      </c>
      <c r="J26" s="165" t="s">
        <v>304</v>
      </c>
      <c r="L26" s="166" t="s">
        <v>305</v>
      </c>
      <c r="M26" s="38" t="s">
        <v>224</v>
      </c>
      <c r="AA26" s="2" t="s">
        <v>6</v>
      </c>
      <c r="AB26" s="2" t="str">
        <f t="shared" si="26"/>
        <v>-</v>
      </c>
      <c r="AC26" s="2" t="s">
        <v>273</v>
      </c>
      <c r="AD26" s="2" t="str">
        <f t="shared" si="27"/>
        <v>_</v>
      </c>
      <c r="AE26" s="2" t="s">
        <v>278</v>
      </c>
      <c r="AF26" s="2" t="str">
        <f t="shared" si="28"/>
        <v>_</v>
      </c>
      <c r="AG26" s="2" t="s">
        <v>303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283</v>
      </c>
      <c r="D27" s="31" t="s">
        <v>283</v>
      </c>
      <c r="F27" s="32" t="s">
        <v>284</v>
      </c>
      <c r="G27" s="37" t="s">
        <v>214</v>
      </c>
      <c r="I27" s="31" t="s">
        <v>283</v>
      </c>
      <c r="J27" s="31" t="s">
        <v>283</v>
      </c>
      <c r="L27" s="32" t="s">
        <v>284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282</v>
      </c>
      <c r="AD27" s="2" t="str">
        <f t="shared" ref="AD27:AD28" si="30">IF(NOT(ISBLANK(AE27)),"_","")</f>
        <v>_</v>
      </c>
      <c r="AE27" s="2" t="s">
        <v>278</v>
      </c>
      <c r="AF27" s="2" t="str">
        <f t="shared" ref="AF27:AF28" si="31">IF(NOT(ISBLANK(AG27)),"_","")</f>
        <v>_</v>
      </c>
      <c r="AG27" s="2" t="s">
        <v>303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7" t="s">
        <v>306</v>
      </c>
      <c r="D28" s="167" t="s">
        <v>306</v>
      </c>
      <c r="F28" s="168" t="s">
        <v>307</v>
      </c>
      <c r="G28" s="38" t="s">
        <v>224</v>
      </c>
      <c r="I28" s="167" t="s">
        <v>306</v>
      </c>
      <c r="J28" s="167" t="s">
        <v>306</v>
      </c>
      <c r="L28" s="168" t="s">
        <v>307</v>
      </c>
      <c r="M28" s="38" t="s">
        <v>224</v>
      </c>
      <c r="AA28" s="2" t="s">
        <v>6</v>
      </c>
      <c r="AB28" s="2" t="str">
        <f t="shared" si="29"/>
        <v>-</v>
      </c>
      <c r="AC28" s="2" t="s">
        <v>273</v>
      </c>
      <c r="AD28" s="2" t="str">
        <f t="shared" si="30"/>
        <v>_</v>
      </c>
      <c r="AE28" s="2" t="s">
        <v>278</v>
      </c>
      <c r="AF28" s="2" t="str">
        <f t="shared" si="31"/>
        <v>_</v>
      </c>
      <c r="AG28" s="2" t="s">
        <v>314</v>
      </c>
      <c r="AH28" s="2" t="str">
        <f t="shared" si="3"/>
        <v>_</v>
      </c>
      <c r="AI28" s="2" t="s">
        <v>279</v>
      </c>
    </row>
    <row r="29" spans="2:35" x14ac:dyDescent="0.25">
      <c r="B29" s="2" t="str">
        <f t="shared" si="4"/>
        <v>@color-label_halo_place_country_other</v>
      </c>
      <c r="C29" s="31" t="s">
        <v>283</v>
      </c>
      <c r="D29" s="31" t="s">
        <v>283</v>
      </c>
      <c r="F29" s="32" t="s">
        <v>284</v>
      </c>
      <c r="G29" s="37" t="s">
        <v>214</v>
      </c>
      <c r="I29" s="31" t="s">
        <v>283</v>
      </c>
      <c r="J29" s="31" t="s">
        <v>283</v>
      </c>
      <c r="L29" s="32" t="s">
        <v>284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282</v>
      </c>
      <c r="AD29" s="2" t="str">
        <f t="shared" ref="AD29:AD30" si="33">IF(NOT(ISBLANK(AE29)),"_","")</f>
        <v>_</v>
      </c>
      <c r="AE29" s="2" t="s">
        <v>278</v>
      </c>
      <c r="AF29" s="2" t="str">
        <f t="shared" ref="AF29:AF30" si="34">IF(NOT(ISBLANK(AG29)),"_","")</f>
        <v>_</v>
      </c>
      <c r="AG29" s="2" t="s">
        <v>314</v>
      </c>
      <c r="AH29" s="2" t="str">
        <f t="shared" si="3"/>
        <v>_</v>
      </c>
      <c r="AI29" s="2" t="s">
        <v>279</v>
      </c>
    </row>
    <row r="30" spans="2:35" x14ac:dyDescent="0.25">
      <c r="B30" s="2" t="str">
        <f t="shared" si="4"/>
        <v>@color-label_place_country_minor</v>
      </c>
      <c r="C30" s="167" t="s">
        <v>306</v>
      </c>
      <c r="D30" s="167" t="s">
        <v>306</v>
      </c>
      <c r="F30" s="168" t="s">
        <v>307</v>
      </c>
      <c r="G30" s="38" t="s">
        <v>224</v>
      </c>
      <c r="I30" s="167" t="s">
        <v>306</v>
      </c>
      <c r="J30" s="167" t="s">
        <v>306</v>
      </c>
      <c r="L30" s="168" t="s">
        <v>307</v>
      </c>
      <c r="M30" s="38" t="s">
        <v>224</v>
      </c>
      <c r="AA30" s="2" t="s">
        <v>6</v>
      </c>
      <c r="AB30" s="2" t="str">
        <f t="shared" si="32"/>
        <v>-</v>
      </c>
      <c r="AC30" s="2" t="s">
        <v>273</v>
      </c>
      <c r="AD30" s="2" t="str">
        <f t="shared" si="33"/>
        <v>_</v>
      </c>
      <c r="AE30" s="2" t="s">
        <v>278</v>
      </c>
      <c r="AF30" s="2" t="str">
        <f t="shared" si="34"/>
        <v>_</v>
      </c>
      <c r="AG30" s="2" t="s">
        <v>314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283</v>
      </c>
      <c r="D31" s="31" t="s">
        <v>283</v>
      </c>
      <c r="F31" s="32" t="s">
        <v>284</v>
      </c>
      <c r="G31" s="37" t="s">
        <v>214</v>
      </c>
      <c r="I31" s="31" t="s">
        <v>283</v>
      </c>
      <c r="J31" s="31" t="s">
        <v>283</v>
      </c>
      <c r="L31" s="32" t="s">
        <v>284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282</v>
      </c>
      <c r="AD31" s="2" t="str">
        <f t="shared" ref="AD31:AD32" si="36">IF(NOT(ISBLANK(AE31)),"_","")</f>
        <v>_</v>
      </c>
      <c r="AE31" s="2" t="s">
        <v>278</v>
      </c>
      <c r="AF31" s="2" t="str">
        <f t="shared" ref="AF31:AF32" si="37">IF(NOT(ISBLANK(AG31)),"_","")</f>
        <v>_</v>
      </c>
      <c r="AG31" s="2" t="s">
        <v>314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7" t="s">
        <v>306</v>
      </c>
      <c r="D32" s="167" t="s">
        <v>306</v>
      </c>
      <c r="F32" s="168" t="s">
        <v>307</v>
      </c>
      <c r="G32" s="38" t="s">
        <v>224</v>
      </c>
      <c r="I32" s="167" t="s">
        <v>306</v>
      </c>
      <c r="J32" s="167" t="s">
        <v>306</v>
      </c>
      <c r="L32" s="168" t="s">
        <v>307</v>
      </c>
      <c r="M32" s="38" t="s">
        <v>224</v>
      </c>
      <c r="AA32" s="2" t="s">
        <v>6</v>
      </c>
      <c r="AB32" s="2" t="str">
        <f t="shared" si="35"/>
        <v>-</v>
      </c>
      <c r="AC32" s="2" t="s">
        <v>273</v>
      </c>
      <c r="AD32" s="2" t="str">
        <f t="shared" si="36"/>
        <v>_</v>
      </c>
      <c r="AE32" s="2" t="s">
        <v>278</v>
      </c>
      <c r="AF32" s="2" t="str">
        <f t="shared" si="37"/>
        <v>_</v>
      </c>
      <c r="AG32" s="2" t="s">
        <v>314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283</v>
      </c>
      <c r="D33" s="31" t="s">
        <v>283</v>
      </c>
      <c r="F33" s="32" t="s">
        <v>284</v>
      </c>
      <c r="G33" s="37" t="s">
        <v>214</v>
      </c>
      <c r="I33" s="31" t="s">
        <v>283</v>
      </c>
      <c r="J33" s="31" t="s">
        <v>283</v>
      </c>
      <c r="L33" s="32" t="s">
        <v>284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282</v>
      </c>
      <c r="AD33" s="2" t="str">
        <f t="shared" ref="AD33:AD34" si="39">IF(NOT(ISBLANK(AE33)),"_","")</f>
        <v>_</v>
      </c>
      <c r="AE33" s="2" t="s">
        <v>278</v>
      </c>
      <c r="AF33" s="2" t="str">
        <f t="shared" ref="AF33:AF34" si="40">IF(NOT(ISBLANK(AG33)),"_","")</f>
        <v>_</v>
      </c>
      <c r="AG33" s="2" t="s">
        <v>314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7" t="s">
        <v>306</v>
      </c>
      <c r="D34" s="167" t="s">
        <v>306</v>
      </c>
      <c r="F34" s="168" t="s">
        <v>307</v>
      </c>
      <c r="G34" s="38" t="s">
        <v>224</v>
      </c>
      <c r="I34" s="167" t="s">
        <v>306</v>
      </c>
      <c r="J34" s="167" t="s">
        <v>306</v>
      </c>
      <c r="L34" s="168" t="s">
        <v>307</v>
      </c>
      <c r="M34" s="38" t="s">
        <v>224</v>
      </c>
      <c r="AA34" s="2" t="s">
        <v>6</v>
      </c>
      <c r="AB34" s="2" t="str">
        <f t="shared" si="38"/>
        <v>-</v>
      </c>
      <c r="AC34" s="2" t="s">
        <v>273</v>
      </c>
      <c r="AD34" s="2" t="str">
        <f t="shared" si="39"/>
        <v>_</v>
      </c>
      <c r="AE34" s="2" t="s">
        <v>278</v>
      </c>
      <c r="AF34" s="2" t="str">
        <f t="shared" si="40"/>
        <v>_</v>
      </c>
      <c r="AG34" s="2" t="s">
        <v>314</v>
      </c>
      <c r="AH34" s="2" t="str">
        <f t="shared" si="3"/>
        <v>_</v>
      </c>
      <c r="AI34" s="2" t="s">
        <v>313</v>
      </c>
    </row>
    <row r="35" spans="2:35" x14ac:dyDescent="0.25">
      <c r="B35" s="2" t="str">
        <f t="shared" si="4"/>
        <v>@color-label_halo_place_country_major</v>
      </c>
      <c r="C35" s="31" t="s">
        <v>283</v>
      </c>
      <c r="D35" s="31" t="s">
        <v>283</v>
      </c>
      <c r="F35" s="32" t="s">
        <v>284</v>
      </c>
      <c r="G35" s="37" t="s">
        <v>214</v>
      </c>
      <c r="I35" s="31" t="s">
        <v>283</v>
      </c>
      <c r="J35" s="31" t="s">
        <v>283</v>
      </c>
      <c r="L35" s="32" t="s">
        <v>284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282</v>
      </c>
      <c r="AD35" s="2" t="str">
        <f t="shared" ref="AD35" si="42">IF(NOT(ISBLANK(AE35)),"_","")</f>
        <v>_</v>
      </c>
      <c r="AE35" s="2" t="s">
        <v>278</v>
      </c>
      <c r="AF35" s="2" t="str">
        <f t="shared" ref="AF35" si="43">IF(NOT(ISBLANK(AG35)),"_","")</f>
        <v>_</v>
      </c>
      <c r="AG35" s="2" t="s">
        <v>314</v>
      </c>
      <c r="AH35" s="2" t="str">
        <f t="shared" si="3"/>
        <v>_</v>
      </c>
      <c r="AI35" s="2" t="s">
        <v>313</v>
      </c>
    </row>
    <row r="36" spans="2:35" x14ac:dyDescent="0.25">
      <c r="B36" s="2" t="str">
        <f t="shared" si="4"/>
        <v>@color-label_place_protected_area</v>
      </c>
      <c r="C36" s="163" t="s">
        <v>301</v>
      </c>
      <c r="D36" s="163" t="s">
        <v>301</v>
      </c>
      <c r="F36" s="164" t="s">
        <v>302</v>
      </c>
      <c r="G36" s="38" t="s">
        <v>224</v>
      </c>
      <c r="I36" s="163" t="s">
        <v>301</v>
      </c>
      <c r="J36" s="163" t="s">
        <v>301</v>
      </c>
      <c r="L36" s="164" t="s">
        <v>302</v>
      </c>
      <c r="M36" s="38" t="s">
        <v>224</v>
      </c>
      <c r="AA36" s="2" t="s">
        <v>6</v>
      </c>
      <c r="AB36" s="2" t="str">
        <f t="shared" si="26"/>
        <v>-</v>
      </c>
      <c r="AC36" s="2" t="s">
        <v>273</v>
      </c>
      <c r="AD36" s="2" t="str">
        <f t="shared" si="27"/>
        <v>_</v>
      </c>
      <c r="AE36" s="2" t="s">
        <v>278</v>
      </c>
      <c r="AF36" s="2" t="str">
        <f t="shared" si="28"/>
        <v>_</v>
      </c>
      <c r="AG36" s="2" t="s">
        <v>300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224</v>
      </c>
      <c r="D37" s="38" t="s">
        <v>224</v>
      </c>
      <c r="F37" s="37" t="s">
        <v>214</v>
      </c>
      <c r="G37" s="37" t="s">
        <v>214</v>
      </c>
      <c r="I37" s="38" t="s">
        <v>224</v>
      </c>
      <c r="J37" s="38" t="s">
        <v>224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282</v>
      </c>
      <c r="AD37" s="2" t="str">
        <f t="shared" ref="AD37:AD38" si="45">IF(NOT(ISBLANK(AE37)),"_","")</f>
        <v>_</v>
      </c>
      <c r="AE37" s="2" t="s">
        <v>278</v>
      </c>
      <c r="AF37" s="2" t="str">
        <f t="shared" ref="AF37:AF38" si="46">IF(NOT(ISBLANK(AG37)),"_","")</f>
        <v>_</v>
      </c>
      <c r="AG37" s="2" t="s">
        <v>300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3" t="s">
        <v>301</v>
      </c>
      <c r="D38" s="163" t="s">
        <v>301</v>
      </c>
      <c r="F38" s="164" t="s">
        <v>302</v>
      </c>
      <c r="G38" s="38" t="s">
        <v>224</v>
      </c>
      <c r="I38" s="163" t="s">
        <v>301</v>
      </c>
      <c r="J38" s="163" t="s">
        <v>301</v>
      </c>
      <c r="L38" s="164" t="s">
        <v>302</v>
      </c>
      <c r="M38" s="38" t="s">
        <v>224</v>
      </c>
      <c r="AA38" s="2" t="s">
        <v>6</v>
      </c>
      <c r="AB38" s="2" t="str">
        <f t="shared" si="44"/>
        <v>-</v>
      </c>
      <c r="AC38" s="2" t="s">
        <v>273</v>
      </c>
      <c r="AD38" s="2" t="str">
        <f t="shared" si="45"/>
        <v>_</v>
      </c>
      <c r="AE38" s="2" t="s">
        <v>278</v>
      </c>
      <c r="AF38" s="2" t="str">
        <f t="shared" si="46"/>
        <v>_</v>
      </c>
      <c r="AG38" s="2" t="s">
        <v>308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296</v>
      </c>
      <c r="D39" s="35" t="s">
        <v>296</v>
      </c>
      <c r="F39" s="36" t="s">
        <v>297</v>
      </c>
      <c r="G39" s="38" t="s">
        <v>224</v>
      </c>
      <c r="I39" s="35" t="s">
        <v>296</v>
      </c>
      <c r="J39" s="35" t="s">
        <v>296</v>
      </c>
      <c r="L39" s="36" t="s">
        <v>297</v>
      </c>
      <c r="M39" s="38" t="s">
        <v>224</v>
      </c>
      <c r="AA39" s="2" t="s">
        <v>6</v>
      </c>
      <c r="AB39" s="2" t="str">
        <f t="shared" ref="AB39" si="47">IF(NOT(ISBLANK(AC39)),"-","")</f>
        <v>-</v>
      </c>
      <c r="AC39" s="2" t="s">
        <v>273</v>
      </c>
      <c r="AD39" s="2" t="str">
        <f t="shared" ref="AD39" si="48">IF(NOT(ISBLANK(AE39)),"_","")</f>
        <v>_</v>
      </c>
      <c r="AE39" s="2" t="s">
        <v>278</v>
      </c>
      <c r="AF39" s="2" t="str">
        <f t="shared" ref="AF39" si="49">IF(NOT(ISBLANK(AG39)),"_","")</f>
        <v>_</v>
      </c>
      <c r="AG39" s="2" t="s">
        <v>309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224</v>
      </c>
      <c r="D40" s="38" t="s">
        <v>224</v>
      </c>
      <c r="F40" s="37" t="s">
        <v>214</v>
      </c>
      <c r="G40" s="37" t="s">
        <v>214</v>
      </c>
      <c r="I40" s="38" t="s">
        <v>224</v>
      </c>
      <c r="J40" s="38" t="s">
        <v>224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282</v>
      </c>
      <c r="AD40" s="2" t="str">
        <f t="shared" ref="AD40" si="51">IF(NOT(ISBLANK(AE40)),"_","")</f>
        <v>_</v>
      </c>
      <c r="AE40" s="2" t="s">
        <v>278</v>
      </c>
      <c r="AF40" s="2" t="str">
        <f t="shared" ref="AF40" si="52">IF(NOT(ISBLANK(AG40)),"_","")</f>
        <v>_</v>
      </c>
      <c r="AG40" s="2" t="s">
        <v>310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292</v>
      </c>
      <c r="D42" s="37" t="s">
        <v>214</v>
      </c>
      <c r="F42" s="34" t="s">
        <v>293</v>
      </c>
      <c r="G42" s="38" t="s">
        <v>224</v>
      </c>
      <c r="I42" s="33" t="s">
        <v>292</v>
      </c>
      <c r="J42" s="37" t="s">
        <v>214</v>
      </c>
      <c r="L42" s="34" t="s">
        <v>293</v>
      </c>
      <c r="M42" s="38" t="s">
        <v>224</v>
      </c>
      <c r="AA42" s="2" t="s">
        <v>311</v>
      </c>
      <c r="AB42" s="2" t="str">
        <f t="shared" ref="AB42" si="54">IF(NOT(ISBLANK(AC42)),"-","")</f>
        <v>-</v>
      </c>
      <c r="AC42" s="2" t="s">
        <v>273</v>
      </c>
      <c r="AD42" s="2" t="str">
        <f t="shared" ref="AD42" si="55">IF(NOT(ISBLANK(AE42)),"_","")</f>
        <v>_</v>
      </c>
      <c r="AE42" s="2" t="s">
        <v>291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292</v>
      </c>
      <c r="D43" s="37" t="s">
        <v>214</v>
      </c>
      <c r="F43" s="34" t="s">
        <v>293</v>
      </c>
      <c r="G43" s="38" t="s">
        <v>224</v>
      </c>
      <c r="I43" s="33" t="s">
        <v>292</v>
      </c>
      <c r="J43" s="37" t="s">
        <v>214</v>
      </c>
      <c r="L43" s="34" t="s">
        <v>293</v>
      </c>
      <c r="M43" s="38" t="s">
        <v>224</v>
      </c>
      <c r="AA43" s="2" t="s">
        <v>6</v>
      </c>
      <c r="AB43" s="2" t="str">
        <f t="shared" si="26"/>
        <v>-</v>
      </c>
      <c r="AC43" s="2" t="s">
        <v>273</v>
      </c>
      <c r="AD43" s="2" t="str">
        <f t="shared" si="27"/>
        <v>_</v>
      </c>
      <c r="AE43" s="2" t="s">
        <v>291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224</v>
      </c>
      <c r="D44" s="38" t="s">
        <v>224</v>
      </c>
      <c r="F44" s="37" t="s">
        <v>214</v>
      </c>
      <c r="G44" s="37" t="s">
        <v>214</v>
      </c>
      <c r="I44" s="38" t="s">
        <v>224</v>
      </c>
      <c r="J44" s="38" t="s">
        <v>224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282</v>
      </c>
      <c r="AD44" s="2" t="str">
        <f t="shared" ref="AD44:AD46" si="59">IF(NOT(ISBLANK(AE44)),"_","")</f>
        <v>_</v>
      </c>
      <c r="AE44" s="2" t="s">
        <v>291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292</v>
      </c>
      <c r="D46" s="37" t="s">
        <v>214</v>
      </c>
      <c r="F46" s="34" t="s">
        <v>293</v>
      </c>
      <c r="G46" s="38" t="s">
        <v>224</v>
      </c>
      <c r="I46" s="33" t="s">
        <v>292</v>
      </c>
      <c r="J46" s="37" t="s">
        <v>214</v>
      </c>
      <c r="L46" s="34" t="s">
        <v>293</v>
      </c>
      <c r="M46" s="38" t="s">
        <v>224</v>
      </c>
      <c r="AA46" s="2" t="s">
        <v>6</v>
      </c>
      <c r="AB46" s="2" t="str">
        <f t="shared" si="58"/>
        <v>-</v>
      </c>
      <c r="AC46" s="2" t="s">
        <v>273</v>
      </c>
      <c r="AD46" s="2" t="str">
        <f t="shared" si="59"/>
        <v>_</v>
      </c>
      <c r="AE46" s="2" t="s">
        <v>291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224</v>
      </c>
      <c r="D47" s="38" t="s">
        <v>224</v>
      </c>
      <c r="F47" s="37" t="s">
        <v>214</v>
      </c>
      <c r="G47" s="37" t="s">
        <v>214</v>
      </c>
      <c r="I47" s="38" t="s">
        <v>224</v>
      </c>
      <c r="J47" s="38" t="s">
        <v>224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282</v>
      </c>
      <c r="AD47" s="2" t="str">
        <f t="shared" ref="AD47:AD48" si="64">IF(NOT(ISBLANK(AE47)),"_","")</f>
        <v>_</v>
      </c>
      <c r="AE47" s="2" t="s">
        <v>291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292</v>
      </c>
      <c r="D48" s="37" t="s">
        <v>214</v>
      </c>
      <c r="F48" s="34" t="s">
        <v>293</v>
      </c>
      <c r="G48" s="38" t="s">
        <v>224</v>
      </c>
      <c r="I48" s="33" t="s">
        <v>292</v>
      </c>
      <c r="J48" s="37" t="s">
        <v>214</v>
      </c>
      <c r="L48" s="34" t="s">
        <v>293</v>
      </c>
      <c r="M48" s="38" t="s">
        <v>224</v>
      </c>
      <c r="AA48" s="2" t="s">
        <v>6</v>
      </c>
      <c r="AB48" s="2" t="str">
        <f t="shared" si="63"/>
        <v>-</v>
      </c>
      <c r="AC48" s="2" t="s">
        <v>273</v>
      </c>
      <c r="AD48" s="2" t="str">
        <f t="shared" si="64"/>
        <v>_</v>
      </c>
      <c r="AE48" s="2" t="s">
        <v>291</v>
      </c>
      <c r="AF48" s="2" t="str">
        <f t="shared" si="65"/>
        <v>_</v>
      </c>
      <c r="AG48" s="2" t="s">
        <v>294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224</v>
      </c>
      <c r="D49" s="38" t="s">
        <v>224</v>
      </c>
      <c r="F49" s="37" t="s">
        <v>214</v>
      </c>
      <c r="G49" s="37" t="s">
        <v>214</v>
      </c>
      <c r="I49" s="38" t="s">
        <v>224</v>
      </c>
      <c r="J49" s="38" t="s">
        <v>224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282</v>
      </c>
      <c r="AD49" s="2" t="str">
        <f t="shared" ref="AD49:AD51" si="67">IF(NOT(ISBLANK(AE49)),"_","")</f>
        <v>_</v>
      </c>
      <c r="AE49" s="2" t="s">
        <v>291</v>
      </c>
      <c r="AF49" s="2" t="str">
        <f t="shared" ref="AF49:AF51" si="68">IF(NOT(ISBLANK(AG49)),"_","")</f>
        <v>_</v>
      </c>
      <c r="AG49" s="2" t="s">
        <v>294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296</v>
      </c>
      <c r="D50" s="37" t="s">
        <v>214</v>
      </c>
      <c r="F50" s="36" t="s">
        <v>297</v>
      </c>
      <c r="G50" s="38" t="s">
        <v>224</v>
      </c>
      <c r="I50" s="35" t="s">
        <v>296</v>
      </c>
      <c r="J50" s="37" t="s">
        <v>214</v>
      </c>
      <c r="L50" s="36" t="s">
        <v>297</v>
      </c>
      <c r="M50" s="38" t="s">
        <v>224</v>
      </c>
      <c r="AA50" s="2" t="s">
        <v>6</v>
      </c>
      <c r="AB50" s="2" t="str">
        <f t="shared" si="66"/>
        <v>-</v>
      </c>
      <c r="AC50" s="2" t="s">
        <v>273</v>
      </c>
      <c r="AD50" s="2" t="str">
        <f t="shared" si="67"/>
        <v>_</v>
      </c>
      <c r="AE50" s="2" t="s">
        <v>295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224</v>
      </c>
      <c r="D51" s="38" t="s">
        <v>224</v>
      </c>
      <c r="F51" s="37" t="s">
        <v>214</v>
      </c>
      <c r="G51" s="37" t="s">
        <v>214</v>
      </c>
      <c r="I51" s="38" t="s">
        <v>224</v>
      </c>
      <c r="J51" s="38" t="s">
        <v>224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282</v>
      </c>
      <c r="AD51" s="2" t="str">
        <f t="shared" si="67"/>
        <v>_</v>
      </c>
      <c r="AE51" s="2" t="s">
        <v>295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335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224</v>
      </c>
      <c r="D62" s="38" t="s">
        <v>224</v>
      </c>
      <c r="F62" s="31" t="s">
        <v>283</v>
      </c>
      <c r="G62" s="31" t="s">
        <v>283</v>
      </c>
      <c r="I62" s="38" t="s">
        <v>224</v>
      </c>
      <c r="J62" s="38" t="s">
        <v>224</v>
      </c>
      <c r="L62" s="31" t="s">
        <v>283</v>
      </c>
      <c r="M62" s="31" t="s">
        <v>283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299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227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227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227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298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298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298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298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283</v>
      </c>
      <c r="G85" s="31" t="s">
        <v>283</v>
      </c>
      <c r="I85" s="72" t="s">
        <v>214</v>
      </c>
      <c r="J85" s="72" t="s">
        <v>214</v>
      </c>
      <c r="L85" s="31" t="s">
        <v>283</v>
      </c>
      <c r="M85" s="31" t="s">
        <v>283</v>
      </c>
      <c r="AA85" s="2" t="s">
        <v>6</v>
      </c>
      <c r="AB85" s="2" t="str">
        <f t="shared" ref="AB85" si="118">IF(NOT(ISBLANK(AC85)),"-","")</f>
        <v>-</v>
      </c>
      <c r="AC85" s="2" t="s">
        <v>351</v>
      </c>
      <c r="AD85" s="2" t="str">
        <f t="shared" ref="AD85" si="119">IF(NOT(ISBLANK(AE85)),"_","")</f>
        <v>_</v>
      </c>
      <c r="AE85" s="2" t="s">
        <v>344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224</v>
      </c>
      <c r="D86" s="71" t="s">
        <v>224</v>
      </c>
      <c r="F86" s="72" t="s">
        <v>214</v>
      </c>
      <c r="G86" s="72" t="s">
        <v>214</v>
      </c>
      <c r="I86" s="71" t="s">
        <v>224</v>
      </c>
      <c r="J86" s="71" t="s">
        <v>224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351</v>
      </c>
      <c r="AD86" s="2" t="str">
        <f t="shared" ref="AD86" si="124">IF(NOT(ISBLANK(AE86)),"_","")</f>
        <v>_</v>
      </c>
      <c r="AE86" s="2" t="s">
        <v>345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351</v>
      </c>
      <c r="AD88" s="2" t="str">
        <f t="shared" ref="AD88" si="129">IF(NOT(ISBLANK(AE88)),"_","")</f>
        <v>_</v>
      </c>
      <c r="AE88" s="2" t="s">
        <v>344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346</v>
      </c>
      <c r="D89" s="28" t="s">
        <v>346</v>
      </c>
      <c r="F89" s="28" t="s">
        <v>346</v>
      </c>
      <c r="G89" s="28" t="s">
        <v>346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351</v>
      </c>
      <c r="AD89" s="2" t="str">
        <f t="shared" ref="AD89" si="134">IF(NOT(ISBLANK(AE89)),"_","")</f>
        <v>_</v>
      </c>
      <c r="AE89" s="2" t="s">
        <v>344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315</v>
      </c>
      <c r="F90" s="28" t="s">
        <v>128</v>
      </c>
      <c r="G90" s="28" t="s">
        <v>86</v>
      </c>
      <c r="I90" s="28" t="s">
        <v>134</v>
      </c>
      <c r="J90" s="28" t="s">
        <v>329</v>
      </c>
      <c r="L90" s="28" t="s">
        <v>134</v>
      </c>
      <c r="M90" s="28" t="s">
        <v>329</v>
      </c>
      <c r="AA90" s="2" t="s">
        <v>78</v>
      </c>
      <c r="AB90" s="2" t="str">
        <f t="shared" ref="AB90" si="138">IF(NOT(ISBLANK(AC90)),"-","")</f>
        <v>-</v>
      </c>
      <c r="AC90" s="2" t="s">
        <v>351</v>
      </c>
      <c r="AD90" s="2" t="str">
        <f t="shared" ref="AD90" si="139">IF(NOT(ISBLANK(AE90)),"_","")</f>
        <v>_</v>
      </c>
      <c r="AE90" s="2" t="s">
        <v>344</v>
      </c>
      <c r="AF90" s="2" t="str">
        <f t="shared" ref="AF90" si="140">IF(NOT(ISBLANK(AG90)),"_","")</f>
        <v>_</v>
      </c>
      <c r="AG90" s="28" t="s">
        <v>339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342</v>
      </c>
      <c r="D91" s="28" t="s">
        <v>347</v>
      </c>
      <c r="F91" s="28" t="s">
        <v>342</v>
      </c>
      <c r="G91" s="28" t="s">
        <v>347</v>
      </c>
      <c r="I91" s="28" t="s">
        <v>135</v>
      </c>
      <c r="J91" s="28" t="s">
        <v>349</v>
      </c>
      <c r="L91" s="28" t="s">
        <v>135</v>
      </c>
      <c r="M91" s="28" t="s">
        <v>349</v>
      </c>
      <c r="AA91" s="2" t="s">
        <v>78</v>
      </c>
      <c r="AB91" s="2" t="str">
        <f t="shared" ref="AB91" si="143">IF(NOT(ISBLANK(AC91)),"-","")</f>
        <v>-</v>
      </c>
      <c r="AC91" s="2" t="s">
        <v>351</v>
      </c>
      <c r="AD91" s="2" t="str">
        <f t="shared" ref="AD91" si="144">IF(NOT(ISBLANK(AE91)),"_","")</f>
        <v>_</v>
      </c>
      <c r="AE91" s="2" t="s">
        <v>344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341</v>
      </c>
      <c r="F92" s="28" t="s">
        <v>89</v>
      </c>
      <c r="G92" s="28" t="s">
        <v>341</v>
      </c>
      <c r="I92" s="28" t="s">
        <v>348</v>
      </c>
      <c r="J92" s="28" t="s">
        <v>350</v>
      </c>
      <c r="L92" s="28" t="s">
        <v>348</v>
      </c>
      <c r="M92" s="28" t="s">
        <v>350</v>
      </c>
      <c r="AA92" s="2" t="s">
        <v>78</v>
      </c>
      <c r="AB92" s="2" t="str">
        <f t="shared" ref="AB92" si="148">IF(NOT(ISBLANK(AC92)),"-","")</f>
        <v>-</v>
      </c>
      <c r="AC92" s="2" t="s">
        <v>351</v>
      </c>
      <c r="AD92" s="2" t="str">
        <f t="shared" ref="AD92" si="149">IF(NOT(ISBLANK(AE92)),"_","")</f>
        <v>_</v>
      </c>
      <c r="AE92" s="2" t="s">
        <v>344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351</v>
      </c>
      <c r="AD94" s="2" t="str">
        <f t="shared" ref="AD94" si="154">IF(NOT(ISBLANK(AE94)),"_","")</f>
        <v>_</v>
      </c>
      <c r="AE94" s="2" t="s">
        <v>345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315</v>
      </c>
      <c r="L95" s="28" t="s">
        <v>128</v>
      </c>
      <c r="M95" s="28" t="s">
        <v>315</v>
      </c>
      <c r="AA95" s="2" t="s">
        <v>78</v>
      </c>
      <c r="AB95" s="2" t="str">
        <f t="shared" ref="AB95" si="158">IF(NOT(ISBLANK(AC95)),"-","")</f>
        <v>-</v>
      </c>
      <c r="AC95" s="2" t="s">
        <v>351</v>
      </c>
      <c r="AD95" s="2" t="str">
        <f t="shared" ref="AD95" si="159">IF(NOT(ISBLANK(AE95)),"_","")</f>
        <v>_</v>
      </c>
      <c r="AE95" s="2" t="s">
        <v>345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351</v>
      </c>
      <c r="AD96" s="2" t="str">
        <f t="shared" ref="AD96:AD97" si="164">IF(NOT(ISBLANK(AE96)),"_","")</f>
        <v>_</v>
      </c>
      <c r="AE96" s="2" t="s">
        <v>345</v>
      </c>
      <c r="AF96" s="2" t="str">
        <f t="shared" ref="AF96:AF97" si="165">IF(NOT(ISBLANK(AG96)),"_","")</f>
        <v>_</v>
      </c>
      <c r="AG96" s="28" t="s">
        <v>339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329</v>
      </c>
      <c r="J97" s="28" t="s">
        <v>343</v>
      </c>
      <c r="L97" s="28" t="s">
        <v>329</v>
      </c>
      <c r="M97" s="28" t="s">
        <v>343</v>
      </c>
      <c r="AA97" s="2" t="s">
        <v>78</v>
      </c>
      <c r="AB97" s="2" t="str">
        <f t="shared" si="163"/>
        <v>-</v>
      </c>
      <c r="AC97" s="2" t="s">
        <v>351</v>
      </c>
      <c r="AD97" s="2" t="str">
        <f t="shared" si="164"/>
        <v>_</v>
      </c>
      <c r="AE97" s="2" t="s">
        <v>345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334</v>
      </c>
      <c r="D98" s="28" t="s">
        <v>340</v>
      </c>
      <c r="F98" s="28" t="s">
        <v>334</v>
      </c>
      <c r="G98" s="28" t="s">
        <v>340</v>
      </c>
      <c r="I98" s="28" t="s">
        <v>341</v>
      </c>
      <c r="J98" s="28" t="s">
        <v>145</v>
      </c>
      <c r="L98" s="28" t="s">
        <v>341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351</v>
      </c>
      <c r="AD98" s="2" t="str">
        <f t="shared" ref="AD98" si="169">IF(NOT(ISBLANK(AE98)),"_","")</f>
        <v>_</v>
      </c>
      <c r="AE98" s="2" t="s">
        <v>345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356</v>
      </c>
      <c r="F100" s="28" t="s">
        <v>85</v>
      </c>
      <c r="G100" s="28" t="s">
        <v>356</v>
      </c>
      <c r="I100" s="28" t="s">
        <v>85</v>
      </c>
      <c r="J100" s="28" t="s">
        <v>356</v>
      </c>
      <c r="L100" s="28" t="s">
        <v>85</v>
      </c>
      <c r="M100" s="28" t="s">
        <v>356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264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264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264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264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264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336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298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298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298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315</v>
      </c>
      <c r="D121" s="28" t="s">
        <v>129</v>
      </c>
      <c r="F121" s="28" t="s">
        <v>315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315</v>
      </c>
      <c r="D122" s="28" t="s">
        <v>129</v>
      </c>
      <c r="F122" s="28" t="s">
        <v>315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298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355</v>
      </c>
      <c r="L124" s="28" t="s">
        <v>96</v>
      </c>
      <c r="M124" s="28" t="s">
        <v>355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264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264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264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264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329</v>
      </c>
      <c r="J128" s="28" t="s">
        <v>334</v>
      </c>
      <c r="L128" s="28" t="s">
        <v>329</v>
      </c>
      <c r="M128" s="28" t="s">
        <v>334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264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338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81">IF(NOT(ISBLANK(AC130)),"-","")</f>
        <v/>
      </c>
      <c r="AC130" s="4"/>
      <c r="AD130" s="4" t="str">
        <f t="shared" ref="AD130:AD254" si="182">IF(NOT(ISBLANK(AE130)),"_","")</f>
        <v/>
      </c>
      <c r="AE130" s="4"/>
      <c r="AF130" s="4" t="str">
        <f t="shared" ref="AF130:AF254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224</v>
      </c>
      <c r="D131" s="71" t="s">
        <v>224</v>
      </c>
      <c r="F131" s="72" t="s">
        <v>214</v>
      </c>
      <c r="G131" s="72" t="s">
        <v>214</v>
      </c>
      <c r="I131" s="71" t="s">
        <v>224</v>
      </c>
      <c r="J131" s="71" t="s">
        <v>224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224</v>
      </c>
      <c r="D132" s="71" t="s">
        <v>224</v>
      </c>
      <c r="F132" s="72" t="s">
        <v>214</v>
      </c>
      <c r="G132" s="72" t="s">
        <v>214</v>
      </c>
      <c r="I132" s="71" t="s">
        <v>224</v>
      </c>
      <c r="J132" s="71" t="s">
        <v>224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264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315</v>
      </c>
      <c r="L135" s="28" t="s">
        <v>128</v>
      </c>
      <c r="M135" s="28" t="s">
        <v>315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264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264</v>
      </c>
      <c r="AF136" s="2" t="str">
        <f t="shared" ref="AF136" si="202">IF(NOT(ISBLANK(AG136)),"_","")</f>
        <v>_</v>
      </c>
      <c r="AG136" s="28" t="s">
        <v>339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329</v>
      </c>
      <c r="J137" s="28" t="s">
        <v>343</v>
      </c>
      <c r="L137" s="28" t="s">
        <v>329</v>
      </c>
      <c r="M137" s="28" t="s">
        <v>343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264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334</v>
      </c>
      <c r="D138" s="28" t="s">
        <v>340</v>
      </c>
      <c r="F138" s="28" t="s">
        <v>334</v>
      </c>
      <c r="G138" s="28" t="s">
        <v>340</v>
      </c>
      <c r="I138" s="28" t="s">
        <v>341</v>
      </c>
      <c r="J138" s="28" t="s">
        <v>145</v>
      </c>
      <c r="L138" s="28" t="s">
        <v>341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264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337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352</v>
      </c>
      <c r="L145" s="28" t="s">
        <v>112</v>
      </c>
      <c r="M145" s="28" t="s">
        <v>352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343</v>
      </c>
      <c r="F147" s="28" t="s">
        <v>86</v>
      </c>
      <c r="G147" s="28" t="s">
        <v>343</v>
      </c>
      <c r="I147" s="28" t="s">
        <v>134</v>
      </c>
      <c r="J147" s="28" t="s">
        <v>334</v>
      </c>
      <c r="L147" s="28" t="s">
        <v>134</v>
      </c>
      <c r="M147" s="28" t="s">
        <v>334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346</v>
      </c>
      <c r="F150" s="28" t="s">
        <v>126</v>
      </c>
      <c r="G150" s="28" t="s">
        <v>346</v>
      </c>
      <c r="I150" s="28" t="s">
        <v>353</v>
      </c>
      <c r="J150" s="28" t="s">
        <v>354</v>
      </c>
      <c r="L150" s="28" t="s">
        <v>353</v>
      </c>
      <c r="M150" s="28" t="s">
        <v>354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264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264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264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264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365</v>
      </c>
      <c r="D159" s="28" t="s">
        <v>366</v>
      </c>
      <c r="F159" s="28" t="s">
        <v>365</v>
      </c>
      <c r="G159" s="28" t="s">
        <v>366</v>
      </c>
      <c r="I159" s="28" t="s">
        <v>365</v>
      </c>
      <c r="J159" s="28" t="s">
        <v>366</v>
      </c>
      <c r="L159" s="28" t="s">
        <v>365</v>
      </c>
      <c r="M159" s="28" t="s">
        <v>366</v>
      </c>
      <c r="AA159" s="2" t="s">
        <v>357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358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361</v>
      </c>
      <c r="D160" s="28" t="s">
        <v>362</v>
      </c>
      <c r="F160" s="28" t="s">
        <v>361</v>
      </c>
      <c r="G160" s="28" t="s">
        <v>362</v>
      </c>
      <c r="I160" s="28" t="s">
        <v>361</v>
      </c>
      <c r="J160" s="28" t="s">
        <v>362</v>
      </c>
      <c r="L160" s="28" t="s">
        <v>361</v>
      </c>
      <c r="M160" s="28" t="s">
        <v>362</v>
      </c>
      <c r="AA160" s="2" t="s">
        <v>357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358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360</v>
      </c>
      <c r="D161" s="28" t="s">
        <v>363</v>
      </c>
      <c r="F161" s="28" t="s">
        <v>360</v>
      </c>
      <c r="G161" s="28" t="s">
        <v>363</v>
      </c>
      <c r="I161" s="28" t="s">
        <v>360</v>
      </c>
      <c r="J161" s="28" t="s">
        <v>363</v>
      </c>
      <c r="L161" s="28" t="s">
        <v>360</v>
      </c>
      <c r="M161" s="28" t="s">
        <v>363</v>
      </c>
      <c r="AA161" s="2" t="s">
        <v>357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358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359</v>
      </c>
      <c r="D162" s="28" t="s">
        <v>364</v>
      </c>
      <c r="F162" s="28" t="s">
        <v>359</v>
      </c>
      <c r="G162" s="28" t="s">
        <v>364</v>
      </c>
      <c r="I162" s="28" t="s">
        <v>359</v>
      </c>
      <c r="J162" s="28" t="s">
        <v>364</v>
      </c>
      <c r="L162" s="28" t="s">
        <v>359</v>
      </c>
      <c r="M162" s="28" t="s">
        <v>364</v>
      </c>
      <c r="AA162" s="2" t="s">
        <v>357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358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365</v>
      </c>
      <c r="G164" s="28" t="s">
        <v>366</v>
      </c>
      <c r="I164" s="28" t="s">
        <v>365</v>
      </c>
      <c r="J164" s="28" t="s">
        <v>366</v>
      </c>
      <c r="L164" s="28" t="s">
        <v>365</v>
      </c>
      <c r="M164" s="28" t="s">
        <v>366</v>
      </c>
      <c r="AA164" s="2" t="s">
        <v>357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367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361</v>
      </c>
      <c r="G165" s="28" t="s">
        <v>362</v>
      </c>
      <c r="I165" s="28" t="s">
        <v>361</v>
      </c>
      <c r="J165" s="28" t="s">
        <v>362</v>
      </c>
      <c r="L165" s="28" t="s">
        <v>361</v>
      </c>
      <c r="M165" s="28" t="s">
        <v>362</v>
      </c>
      <c r="AA165" s="2" t="s">
        <v>357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367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329</v>
      </c>
      <c r="F166" s="28" t="s">
        <v>360</v>
      </c>
      <c r="G166" s="28" t="s">
        <v>363</v>
      </c>
      <c r="I166" s="28" t="s">
        <v>360</v>
      </c>
      <c r="J166" s="28" t="s">
        <v>363</v>
      </c>
      <c r="L166" s="28" t="s">
        <v>360</v>
      </c>
      <c r="M166" s="28" t="s">
        <v>363</v>
      </c>
      <c r="AA166" s="2" t="s">
        <v>357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367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368</v>
      </c>
      <c r="D167" s="28" t="s">
        <v>341</v>
      </c>
      <c r="F167" s="28" t="s">
        <v>359</v>
      </c>
      <c r="G167" s="28" t="s">
        <v>364</v>
      </c>
      <c r="I167" s="28" t="s">
        <v>359</v>
      </c>
      <c r="J167" s="28" t="s">
        <v>364</v>
      </c>
      <c r="L167" s="28" t="s">
        <v>359</v>
      </c>
      <c r="M167" s="28" t="s">
        <v>364</v>
      </c>
      <c r="AA167" s="2" t="s">
        <v>357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367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270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259</v>
      </c>
      <c r="D176" s="85" t="s">
        <v>259</v>
      </c>
      <c r="F176" s="86" t="s">
        <v>249</v>
      </c>
      <c r="G176" s="142" t="s">
        <v>230</v>
      </c>
      <c r="I176" s="85" t="s">
        <v>259</v>
      </c>
      <c r="J176" s="85" t="s">
        <v>259</v>
      </c>
      <c r="L176" s="86" t="s">
        <v>249</v>
      </c>
      <c r="M176" s="142" t="s">
        <v>230</v>
      </c>
      <c r="AA176" s="2" t="s">
        <v>6</v>
      </c>
      <c r="AB176" s="2" t="str">
        <f t="shared" si="255"/>
        <v>-</v>
      </c>
      <c r="AC176" s="2" t="s">
        <v>255</v>
      </c>
      <c r="AD176" s="2" t="str">
        <f t="shared" si="256"/>
        <v>_</v>
      </c>
      <c r="AE176" s="2" t="s">
        <v>261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258</v>
      </c>
      <c r="D177" s="87" t="s">
        <v>258</v>
      </c>
      <c r="F177" s="88" t="s">
        <v>256</v>
      </c>
      <c r="G177" s="177" t="s">
        <v>369</v>
      </c>
      <c r="I177" s="87" t="s">
        <v>258</v>
      </c>
      <c r="J177" s="87" t="s">
        <v>258</v>
      </c>
      <c r="L177" s="88" t="s">
        <v>256</v>
      </c>
      <c r="M177" s="177" t="s">
        <v>369</v>
      </c>
      <c r="AA177" s="2" t="s">
        <v>6</v>
      </c>
      <c r="AB177" s="2" t="str">
        <f t="shared" ref="AB177" si="259">IF(NOT(ISBLANK(AC177)),"-","")</f>
        <v>-</v>
      </c>
      <c r="AC177" s="2" t="s">
        <v>255</v>
      </c>
      <c r="AD177" s="2" t="str">
        <f t="shared" ref="AD177" si="260">IF(NOT(ISBLANK(AE177)),"_","")</f>
        <v>_</v>
      </c>
      <c r="AE177" s="2" t="s">
        <v>261</v>
      </c>
      <c r="AF177" s="2" t="str">
        <f t="shared" ref="AF177" si="261">IF(NOT(ISBLANK(AG177)),"_","")</f>
        <v>_</v>
      </c>
      <c r="AG177" s="2" t="s">
        <v>257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258</v>
      </c>
      <c r="D178" s="87" t="s">
        <v>258</v>
      </c>
      <c r="F178" s="88" t="s">
        <v>256</v>
      </c>
      <c r="G178" s="177" t="s">
        <v>369</v>
      </c>
      <c r="I178" s="87" t="s">
        <v>258</v>
      </c>
      <c r="J178" s="87" t="s">
        <v>258</v>
      </c>
      <c r="L178" s="88" t="s">
        <v>256</v>
      </c>
      <c r="M178" s="177" t="s">
        <v>369</v>
      </c>
      <c r="AA178" s="2" t="s">
        <v>6</v>
      </c>
      <c r="AB178" s="2" t="str">
        <f t="shared" ref="AB178" si="262">IF(NOT(ISBLANK(AC178)),"-","")</f>
        <v>-</v>
      </c>
      <c r="AC178" s="2" t="s">
        <v>255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260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271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271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9" t="s">
        <v>317</v>
      </c>
      <c r="D180" s="173" t="s">
        <v>322</v>
      </c>
      <c r="F180" s="170" t="s">
        <v>318</v>
      </c>
      <c r="G180" s="170" t="s">
        <v>318</v>
      </c>
      <c r="I180" s="169" t="s">
        <v>317</v>
      </c>
      <c r="J180" s="173" t="s">
        <v>322</v>
      </c>
      <c r="L180" s="170" t="s">
        <v>318</v>
      </c>
      <c r="M180" s="170" t="s">
        <v>318</v>
      </c>
      <c r="AA180" s="2" t="s">
        <v>6</v>
      </c>
      <c r="AB180" s="2" t="str">
        <f t="shared" si="265"/>
        <v>-</v>
      </c>
      <c r="AC180" s="2" t="s">
        <v>316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71" t="s">
        <v>320</v>
      </c>
      <c r="D181" s="174" t="s">
        <v>323</v>
      </c>
      <c r="F181" s="170" t="s">
        <v>318</v>
      </c>
      <c r="G181" s="170" t="s">
        <v>318</v>
      </c>
      <c r="I181" s="171" t="s">
        <v>320</v>
      </c>
      <c r="J181" s="174" t="s">
        <v>323</v>
      </c>
      <c r="L181" s="170" t="s">
        <v>318</v>
      </c>
      <c r="M181" s="170" t="s">
        <v>318</v>
      </c>
      <c r="AA181" s="2" t="s">
        <v>6</v>
      </c>
      <c r="AB181" s="2" t="str">
        <f t="shared" si="265"/>
        <v>-</v>
      </c>
      <c r="AC181" s="2" t="s">
        <v>316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72" t="s">
        <v>321</v>
      </c>
      <c r="D182" s="175" t="s">
        <v>324</v>
      </c>
      <c r="F182" s="170" t="s">
        <v>318</v>
      </c>
      <c r="G182" s="170" t="s">
        <v>318</v>
      </c>
      <c r="I182" s="172" t="s">
        <v>321</v>
      </c>
      <c r="J182" s="175" t="s">
        <v>324</v>
      </c>
      <c r="L182" s="170" t="s">
        <v>318</v>
      </c>
      <c r="M182" s="170" t="s">
        <v>318</v>
      </c>
      <c r="AA182" s="2" t="s">
        <v>6</v>
      </c>
      <c r="AB182" s="2" t="str">
        <f t="shared" si="265"/>
        <v>-</v>
      </c>
      <c r="AC182" s="2" t="s">
        <v>316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73" t="s">
        <v>322</v>
      </c>
      <c r="D183" s="176" t="s">
        <v>325</v>
      </c>
      <c r="F183" s="170" t="s">
        <v>318</v>
      </c>
      <c r="G183" s="170" t="s">
        <v>318</v>
      </c>
      <c r="I183" s="173" t="s">
        <v>322</v>
      </c>
      <c r="J183" s="176" t="s">
        <v>325</v>
      </c>
      <c r="L183" s="170" t="s">
        <v>318</v>
      </c>
      <c r="M183" s="170" t="s">
        <v>318</v>
      </c>
      <c r="AA183" s="2" t="s">
        <v>6</v>
      </c>
      <c r="AB183" s="2" t="str">
        <f t="shared" si="265"/>
        <v>-</v>
      </c>
      <c r="AC183" s="2" t="s">
        <v>316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319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72" t="s">
        <v>321</v>
      </c>
      <c r="D184" s="175" t="s">
        <v>324</v>
      </c>
      <c r="F184" s="170" t="s">
        <v>318</v>
      </c>
      <c r="G184" s="170" t="s">
        <v>318</v>
      </c>
      <c r="I184" s="172" t="s">
        <v>321</v>
      </c>
      <c r="J184" s="175" t="s">
        <v>324</v>
      </c>
      <c r="L184" s="170" t="s">
        <v>318</v>
      </c>
      <c r="M184" s="170" t="s">
        <v>318</v>
      </c>
      <c r="AA184" s="2" t="s">
        <v>6</v>
      </c>
      <c r="AB184" s="2" t="str">
        <f t="shared" si="265"/>
        <v>-</v>
      </c>
      <c r="AC184" s="2" t="s">
        <v>316</v>
      </c>
      <c r="AD184" s="2" t="str">
        <f t="shared" si="266"/>
        <v>_</v>
      </c>
      <c r="AE184" s="2" t="s">
        <v>273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224</v>
      </c>
      <c r="G185" s="71" t="s">
        <v>224</v>
      </c>
      <c r="I185" s="72" t="s">
        <v>214</v>
      </c>
      <c r="J185" s="72" t="s">
        <v>214</v>
      </c>
      <c r="L185" s="71" t="s">
        <v>224</v>
      </c>
      <c r="M185" s="71" t="s">
        <v>224</v>
      </c>
      <c r="AA185" s="2" t="s">
        <v>6</v>
      </c>
      <c r="AB185" s="2" t="str">
        <f t="shared" si="265"/>
        <v>-</v>
      </c>
      <c r="AC185" s="2" t="s">
        <v>326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224</v>
      </c>
      <c r="G186" s="71" t="s">
        <v>224</v>
      </c>
      <c r="I186" s="72" t="s">
        <v>214</v>
      </c>
      <c r="J186" s="72" t="s">
        <v>214</v>
      </c>
      <c r="L186" s="71" t="s">
        <v>224</v>
      </c>
      <c r="M186" s="71" t="s">
        <v>224</v>
      </c>
      <c r="AA186" s="2" t="s">
        <v>6</v>
      </c>
      <c r="AB186" s="2" t="str">
        <f t="shared" si="265"/>
        <v>-</v>
      </c>
      <c r="AC186" s="2" t="s">
        <v>272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327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327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327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329</v>
      </c>
      <c r="D191" s="28" t="s">
        <v>329</v>
      </c>
      <c r="F191" s="28" t="s">
        <v>329</v>
      </c>
      <c r="G191" s="28" t="s">
        <v>329</v>
      </c>
      <c r="I191" s="28" t="s">
        <v>329</v>
      </c>
      <c r="J191" s="28" t="s">
        <v>329</v>
      </c>
      <c r="L191" s="28" t="s">
        <v>329</v>
      </c>
      <c r="M191" s="28" t="s">
        <v>329</v>
      </c>
      <c r="O191" s="28" t="s">
        <v>329</v>
      </c>
      <c r="P191" s="28" t="s">
        <v>329</v>
      </c>
      <c r="R191" s="28" t="s">
        <v>329</v>
      </c>
      <c r="S191" s="28" t="s">
        <v>329</v>
      </c>
      <c r="U191" s="28" t="s">
        <v>329</v>
      </c>
      <c r="V191" s="28" t="s">
        <v>329</v>
      </c>
      <c r="X191" s="28" t="s">
        <v>329</v>
      </c>
      <c r="Y191" s="28" t="s">
        <v>329</v>
      </c>
      <c r="AA191" s="2" t="s">
        <v>119</v>
      </c>
      <c r="AB191" s="2" t="str">
        <f t="shared" si="181"/>
        <v>-</v>
      </c>
      <c r="AC191" s="28" t="s">
        <v>327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328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328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328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330</v>
      </c>
      <c r="D196" s="28" t="s">
        <v>330</v>
      </c>
      <c r="F196" s="28" t="s">
        <v>330</v>
      </c>
      <c r="G196" s="28" t="s">
        <v>330</v>
      </c>
      <c r="I196" s="28" t="s">
        <v>330</v>
      </c>
      <c r="J196" s="28" t="s">
        <v>330</v>
      </c>
      <c r="L196" s="28" t="s">
        <v>330</v>
      </c>
      <c r="M196" s="28" t="s">
        <v>330</v>
      </c>
      <c r="O196" s="28" t="s">
        <v>330</v>
      </c>
      <c r="P196" s="28" t="s">
        <v>330</v>
      </c>
      <c r="R196" s="28" t="s">
        <v>330</v>
      </c>
      <c r="S196" s="28" t="s">
        <v>330</v>
      </c>
      <c r="U196" s="28" t="s">
        <v>330</v>
      </c>
      <c r="V196" s="28" t="s">
        <v>330</v>
      </c>
      <c r="X196" s="28" t="s">
        <v>330</v>
      </c>
      <c r="Y196" s="28" t="s">
        <v>330</v>
      </c>
      <c r="AA196" s="2" t="s">
        <v>119</v>
      </c>
      <c r="AB196" s="2" t="str">
        <f t="shared" si="275"/>
        <v>-</v>
      </c>
      <c r="AC196" s="28" t="s">
        <v>328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331</v>
      </c>
      <c r="AD198" s="2" t="str">
        <f t="shared" ref="AD198:AD200" si="279">IF(NOT(ISBLANK(AE198)),"_","")</f>
        <v>_</v>
      </c>
      <c r="AE198" s="28" t="s">
        <v>332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331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331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333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334</v>
      </c>
      <c r="F203" s="28" t="s">
        <v>86</v>
      </c>
      <c r="G203" s="28" t="s">
        <v>334</v>
      </c>
      <c r="I203" s="28" t="s">
        <v>86</v>
      </c>
      <c r="J203" s="28" t="s">
        <v>334</v>
      </c>
      <c r="L203" s="28" t="s">
        <v>86</v>
      </c>
      <c r="M203" s="28" t="s">
        <v>334</v>
      </c>
      <c r="O203" s="28" t="s">
        <v>86</v>
      </c>
      <c r="P203" s="28" t="s">
        <v>334</v>
      </c>
      <c r="R203" s="28" t="s">
        <v>86</v>
      </c>
      <c r="S203" s="28" t="s">
        <v>334</v>
      </c>
      <c r="U203" s="28" t="s">
        <v>86</v>
      </c>
      <c r="V203" s="28" t="s">
        <v>334</v>
      </c>
      <c r="X203" s="28" t="s">
        <v>86</v>
      </c>
      <c r="Y203" s="28" t="s">
        <v>334</v>
      </c>
      <c r="AA203" s="2" t="s">
        <v>119</v>
      </c>
      <c r="AB203" s="2" t="str">
        <f t="shared" si="281"/>
        <v>-</v>
      </c>
      <c r="AC203" s="28" t="s">
        <v>333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254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224</v>
      </c>
      <c r="F207" s="72" t="s">
        <v>214</v>
      </c>
      <c r="G207" s="72" t="s">
        <v>214</v>
      </c>
      <c r="I207" s="92" t="s">
        <v>192</v>
      </c>
      <c r="J207" s="38" t="s">
        <v>224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237</v>
      </c>
      <c r="G208" s="95" t="s">
        <v>237</v>
      </c>
      <c r="I208" s="93" t="s">
        <v>193</v>
      </c>
      <c r="J208" s="94" t="s">
        <v>194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240</v>
      </c>
      <c r="G209" s="98" t="s">
        <v>240</v>
      </c>
      <c r="I209" s="178" t="s">
        <v>370</v>
      </c>
      <c r="J209" s="97" t="s">
        <v>196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239</v>
      </c>
      <c r="G210" s="101" t="s">
        <v>239</v>
      </c>
      <c r="I210" s="179" t="s">
        <v>371</v>
      </c>
      <c r="J210" s="100" t="s">
        <v>198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244</v>
      </c>
      <c r="G211" s="103" t="s">
        <v>244</v>
      </c>
      <c r="I211" s="102" t="s">
        <v>199</v>
      </c>
      <c r="J211" s="102" t="s">
        <v>199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224</v>
      </c>
      <c r="F212" s="105" t="s">
        <v>245</v>
      </c>
      <c r="G212" s="72" t="s">
        <v>214</v>
      </c>
      <c r="I212" s="104" t="s">
        <v>200</v>
      </c>
      <c r="J212" s="38" t="s">
        <v>224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246</v>
      </c>
      <c r="G213" s="107" t="s">
        <v>246</v>
      </c>
      <c r="I213" s="106" t="s">
        <v>201</v>
      </c>
      <c r="J213" s="106" t="s">
        <v>201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224</v>
      </c>
      <c r="F214" s="109" t="s">
        <v>247</v>
      </c>
      <c r="G214" s="72" t="s">
        <v>214</v>
      </c>
      <c r="I214" s="108" t="s">
        <v>202</v>
      </c>
      <c r="J214" s="38" t="s">
        <v>224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224</v>
      </c>
      <c r="F215" s="111" t="s">
        <v>277</v>
      </c>
      <c r="G215" s="72" t="s">
        <v>214</v>
      </c>
      <c r="I215" s="110" t="s">
        <v>203</v>
      </c>
      <c r="J215" s="38" t="s">
        <v>224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248</v>
      </c>
      <c r="G216" s="113" t="s">
        <v>248</v>
      </c>
      <c r="I216" s="112" t="s">
        <v>204</v>
      </c>
      <c r="J216" s="112" t="s">
        <v>204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262</v>
      </c>
      <c r="G217" s="115" t="s">
        <v>262</v>
      </c>
      <c r="I217" s="114" t="s">
        <v>205</v>
      </c>
      <c r="J217" s="114" t="s">
        <v>205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238</v>
      </c>
      <c r="G218" s="117" t="s">
        <v>238</v>
      </c>
      <c r="I218" s="116" t="s">
        <v>206</v>
      </c>
      <c r="J218" s="116" t="s">
        <v>206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249</v>
      </c>
      <c r="G219" s="119" t="s">
        <v>249</v>
      </c>
      <c r="I219" s="118" t="s">
        <v>207</v>
      </c>
      <c r="J219" s="118" t="s">
        <v>207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250</v>
      </c>
      <c r="G220" s="121" t="s">
        <v>250</v>
      </c>
      <c r="I220" s="120" t="s">
        <v>208</v>
      </c>
      <c r="J220" s="120" t="s">
        <v>208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262</v>
      </c>
      <c r="G221" s="115" t="s">
        <v>262</v>
      </c>
      <c r="I221" s="122" t="s">
        <v>210</v>
      </c>
      <c r="J221" s="122" t="s">
        <v>210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251</v>
      </c>
      <c r="G222" s="124" t="s">
        <v>251</v>
      </c>
      <c r="I222" s="123" t="s">
        <v>209</v>
      </c>
      <c r="J222" s="123" t="s">
        <v>209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262</v>
      </c>
      <c r="G223" s="115" t="s">
        <v>262</v>
      </c>
      <c r="I223" s="122" t="s">
        <v>210</v>
      </c>
      <c r="J223" s="122" t="s">
        <v>210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262</v>
      </c>
      <c r="G224" s="115" t="s">
        <v>262</v>
      </c>
      <c r="I224" s="122" t="s">
        <v>210</v>
      </c>
      <c r="J224" s="122" t="s">
        <v>210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262</v>
      </c>
      <c r="G225" s="115" t="s">
        <v>262</v>
      </c>
      <c r="I225" s="122" t="s">
        <v>210</v>
      </c>
      <c r="J225" s="122" t="s">
        <v>210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262</v>
      </c>
      <c r="G226" s="115" t="s">
        <v>262</v>
      </c>
      <c r="I226" s="122" t="s">
        <v>210</v>
      </c>
      <c r="J226" s="122" t="s">
        <v>210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262</v>
      </c>
      <c r="G227" s="115" t="s">
        <v>262</v>
      </c>
      <c r="I227" s="122" t="s">
        <v>210</v>
      </c>
      <c r="J227" s="122" t="s">
        <v>210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252</v>
      </c>
      <c r="G228" s="125" t="s">
        <v>252</v>
      </c>
      <c r="I228" s="92" t="s">
        <v>192</v>
      </c>
      <c r="J228" s="92" t="s">
        <v>192</v>
      </c>
      <c r="AA228" s="2" t="s">
        <v>6</v>
      </c>
      <c r="AB228" s="2" t="str">
        <f t="shared" ref="AB228:AB231" si="285">IF(NOT(ISBLANK(AC228)),"-","")</f>
        <v>-</v>
      </c>
      <c r="AC228" s="2" t="s">
        <v>51</v>
      </c>
      <c r="AD228" s="2" t="str">
        <f t="shared" ref="AD228:AD231" si="286">IF(NOT(ISBLANK(AE228)),"_","")</f>
        <v>_</v>
      </c>
      <c r="AE228" s="2" t="s">
        <v>241</v>
      </c>
      <c r="AF228" s="2" t="str">
        <f t="shared" ref="AF228:AF231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252</v>
      </c>
      <c r="G229" s="125" t="s">
        <v>252</v>
      </c>
      <c r="I229" s="92" t="s">
        <v>192</v>
      </c>
      <c r="J229" s="92" t="s">
        <v>192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265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243</v>
      </c>
      <c r="D230" s="126" t="s">
        <v>243</v>
      </c>
      <c r="F230" s="127" t="s">
        <v>253</v>
      </c>
      <c r="G230" s="127" t="s">
        <v>253</v>
      </c>
      <c r="I230" s="126" t="s">
        <v>243</v>
      </c>
      <c r="J230" s="126" t="s">
        <v>243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242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263</v>
      </c>
      <c r="D231" s="128" t="s">
        <v>263</v>
      </c>
      <c r="F231" s="115" t="s">
        <v>262</v>
      </c>
      <c r="G231" s="115" t="s">
        <v>262</v>
      </c>
      <c r="I231" s="128" t="s">
        <v>263</v>
      </c>
      <c r="J231" s="128" t="s">
        <v>263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257</v>
      </c>
      <c r="AH231" s="2" t="str">
        <f t="shared" si="283"/>
        <v/>
      </c>
      <c r="AI231" s="2"/>
    </row>
    <row r="232" spans="1:35" x14ac:dyDescent="0.25">
      <c r="AB232" s="28" t="str">
        <f t="shared" si="181"/>
        <v/>
      </c>
      <c r="AD232" s="28" t="str">
        <f t="shared" si="182"/>
        <v/>
      </c>
      <c r="AF232" s="28" t="str">
        <f t="shared" si="183"/>
        <v/>
      </c>
      <c r="AH232" s="28" t="str">
        <f t="shared" si="283"/>
        <v/>
      </c>
    </row>
    <row r="233" spans="1:35" s="2" customFormat="1" x14ac:dyDescent="0.25">
      <c r="A233" s="3" t="s">
        <v>43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81"/>
        <v/>
      </c>
      <c r="AC233" s="4"/>
      <c r="AD233" s="4" t="str">
        <f t="shared" si="182"/>
        <v/>
      </c>
      <c r="AE233" s="4"/>
      <c r="AF233" s="4" t="str">
        <f t="shared" si="183"/>
        <v/>
      </c>
      <c r="AG233" s="4"/>
      <c r="AH233" s="4" t="str">
        <f t="shared" si="283"/>
        <v/>
      </c>
      <c r="AI233" s="4"/>
    </row>
    <row r="234" spans="1:35" x14ac:dyDescent="0.25">
      <c r="B234" s="2" t="str">
        <f t="shared" ref="B234:B236" si="291">_xlfn.CONCAT("@",AA234,AB234,AC234,AD234,AE234,AF234,AG234,AH234,AI234)</f>
        <v>@color-motorway_case_farzoom</v>
      </c>
      <c r="C234" s="129" t="s">
        <v>211</v>
      </c>
      <c r="D234" s="72" t="s">
        <v>214</v>
      </c>
      <c r="F234" s="129" t="s">
        <v>211</v>
      </c>
      <c r="G234" s="129" t="s">
        <v>211</v>
      </c>
      <c r="I234" s="130" t="str">
        <f>C234</f>
        <v>"#bf440f"</v>
      </c>
      <c r="J234" s="72" t="s">
        <v>214</v>
      </c>
      <c r="U234" s="130" t="str">
        <f>C234</f>
        <v>"#bf440f"</v>
      </c>
      <c r="AA234" s="2" t="s">
        <v>6</v>
      </c>
      <c r="AB234" s="2" t="str">
        <f t="shared" si="181"/>
        <v>-</v>
      </c>
      <c r="AC234" s="2" t="s">
        <v>16</v>
      </c>
      <c r="AD234" s="2" t="str">
        <f t="shared" si="182"/>
        <v>_</v>
      </c>
      <c r="AE234" s="2" t="s">
        <v>17</v>
      </c>
      <c r="AF234" s="2" t="str">
        <f t="shared" si="183"/>
        <v>_</v>
      </c>
      <c r="AG234" s="2" t="s">
        <v>20</v>
      </c>
      <c r="AH234" s="2" t="str">
        <f t="shared" si="283"/>
        <v/>
      </c>
      <c r="AI234" s="2"/>
    </row>
    <row r="235" spans="1:35" x14ac:dyDescent="0.25">
      <c r="B235" s="2" t="str">
        <f t="shared" si="291"/>
        <v>@color-motorway_case_default</v>
      </c>
      <c r="C235" s="131" t="s">
        <v>212</v>
      </c>
      <c r="D235" s="72" t="s">
        <v>214</v>
      </c>
      <c r="F235" s="72" t="s">
        <v>214</v>
      </c>
      <c r="G235" s="72" t="s">
        <v>214</v>
      </c>
      <c r="I235" s="132" t="str">
        <f>C235</f>
        <v>"#a15412"</v>
      </c>
      <c r="J235" s="72" t="s">
        <v>214</v>
      </c>
      <c r="U235" s="132" t="str">
        <f>C235</f>
        <v>"#a15412"</v>
      </c>
      <c r="AA235" s="2" t="s">
        <v>6</v>
      </c>
      <c r="AB235" s="2" t="str">
        <f t="shared" si="181"/>
        <v>-</v>
      </c>
      <c r="AC235" s="2" t="s">
        <v>16</v>
      </c>
      <c r="AD235" s="2" t="str">
        <f t="shared" si="182"/>
        <v>_</v>
      </c>
      <c r="AE235" s="2" t="s">
        <v>17</v>
      </c>
      <c r="AF235" s="2" t="str">
        <f t="shared" si="183"/>
        <v>_</v>
      </c>
      <c r="AG235" s="2" t="s">
        <v>264</v>
      </c>
      <c r="AH235" s="2" t="str">
        <f t="shared" si="283"/>
        <v/>
      </c>
      <c r="AI235" s="2"/>
    </row>
    <row r="236" spans="1:35" x14ac:dyDescent="0.25">
      <c r="B236" s="2" t="str">
        <f t="shared" si="291"/>
        <v>@color-motorway_line_default</v>
      </c>
      <c r="C236" s="133" t="s">
        <v>213</v>
      </c>
      <c r="D236" s="134" t="s">
        <v>215</v>
      </c>
      <c r="F236" s="134" t="s">
        <v>215</v>
      </c>
      <c r="G236" s="134" t="s">
        <v>215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81"/>
        <v>-</v>
      </c>
      <c r="AC236" s="2" t="s">
        <v>16</v>
      </c>
      <c r="AD236" s="2" t="str">
        <f t="shared" si="182"/>
        <v>_</v>
      </c>
      <c r="AE236" s="2" t="s">
        <v>13</v>
      </c>
      <c r="AF236" s="2" t="str">
        <f t="shared" si="183"/>
        <v>_</v>
      </c>
      <c r="AG236" s="2" t="s">
        <v>264</v>
      </c>
      <c r="AH236" s="2" t="str">
        <f t="shared" si="283"/>
        <v/>
      </c>
      <c r="AI236" s="2"/>
    </row>
    <row r="237" spans="1:35" x14ac:dyDescent="0.25">
      <c r="AB237" s="28" t="str">
        <f t="shared" si="181"/>
        <v/>
      </c>
      <c r="AD237" s="28" t="str">
        <f t="shared" si="182"/>
        <v/>
      </c>
      <c r="AF237" s="28" t="str">
        <f t="shared" si="183"/>
        <v/>
      </c>
      <c r="AH237" s="28" t="str">
        <f t="shared" si="283"/>
        <v/>
      </c>
    </row>
    <row r="238" spans="1:35" s="2" customFormat="1" x14ac:dyDescent="0.25">
      <c r="A238" s="3" t="s">
        <v>45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81"/>
        <v/>
      </c>
      <c r="AC238" s="4"/>
      <c r="AD238" s="4" t="str">
        <f t="shared" si="182"/>
        <v/>
      </c>
      <c r="AE238" s="4"/>
      <c r="AF238" s="4" t="str">
        <f t="shared" si="183"/>
        <v/>
      </c>
      <c r="AG238" s="4"/>
      <c r="AH238" s="4" t="str">
        <f t="shared" si="283"/>
        <v/>
      </c>
      <c r="AI238" s="4"/>
    </row>
    <row r="239" spans="1:35" x14ac:dyDescent="0.25">
      <c r="B239" s="2" t="str">
        <f t="shared" ref="B239:B248" si="292">_xlfn.CONCAT("@",AA239,AB239,AC239,AD239,AE239,AF239,AG239,AH239,AI239)</f>
        <v>@color-trunk_case_bicycle_no_default</v>
      </c>
      <c r="C239" s="137" t="s">
        <v>228</v>
      </c>
      <c r="D239" s="72" t="s">
        <v>214</v>
      </c>
      <c r="F239" s="72" t="s">
        <v>214</v>
      </c>
      <c r="G239" s="72" t="s">
        <v>214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81"/>
        <v>-</v>
      </c>
      <c r="AC239" s="2" t="s">
        <v>18</v>
      </c>
      <c r="AD239" s="2" t="str">
        <f t="shared" ref="AD239" si="293">IF(NOT(ISBLANK(AE239)),"_","")</f>
        <v>_</v>
      </c>
      <c r="AE239" s="28" t="s">
        <v>17</v>
      </c>
      <c r="AF239" s="2" t="str">
        <f t="shared" ref="AF239" si="294">IF(NOT(ISBLANK(AG239)),"_","")</f>
        <v>_</v>
      </c>
      <c r="AG239" s="28" t="s">
        <v>23</v>
      </c>
      <c r="AH239" s="2" t="str">
        <f t="shared" si="283"/>
        <v>_</v>
      </c>
      <c r="AI239" s="28" t="s">
        <v>264</v>
      </c>
    </row>
    <row r="240" spans="1:35" x14ac:dyDescent="0.25">
      <c r="B240" s="2" t="str">
        <f t="shared" si="292"/>
        <v>@color-trunk_case_bicycle_no_farzoom</v>
      </c>
      <c r="C240" s="137" t="s">
        <v>228</v>
      </c>
      <c r="D240" s="72" t="s">
        <v>214</v>
      </c>
      <c r="F240" s="137" t="s">
        <v>228</v>
      </c>
      <c r="G240" s="137" t="s">
        <v>228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5">IF(NOT(ISBLANK(AC240)),"-","")</f>
        <v>-</v>
      </c>
      <c r="AC240" s="2" t="s">
        <v>18</v>
      </c>
      <c r="AD240" s="2" t="str">
        <f t="shared" ref="AD240" si="296">IF(NOT(ISBLANK(AE240)),"_","")</f>
        <v>_</v>
      </c>
      <c r="AE240" s="28" t="s">
        <v>17</v>
      </c>
      <c r="AF240" s="2" t="str">
        <f t="shared" ref="AF240" si="297">IF(NOT(ISBLANK(AG240)),"_","")</f>
        <v>_</v>
      </c>
      <c r="AG240" s="28" t="s">
        <v>23</v>
      </c>
      <c r="AH240" s="2" t="str">
        <f t="shared" si="283"/>
        <v>_</v>
      </c>
      <c r="AI240" s="28" t="s">
        <v>20</v>
      </c>
    </row>
    <row r="241" spans="1:35" x14ac:dyDescent="0.25">
      <c r="B241" s="2" t="str">
        <f t="shared" si="292"/>
        <v>@color-trunk_case_unpaved_farzoom</v>
      </c>
      <c r="C241" s="139" t="s">
        <v>229</v>
      </c>
      <c r="D241" s="140" t="s">
        <v>231</v>
      </c>
      <c r="F241" s="140" t="s">
        <v>231</v>
      </c>
      <c r="G241" s="139" t="s">
        <v>229</v>
      </c>
      <c r="I241" s="139" t="s">
        <v>229</v>
      </c>
      <c r="J241" s="140" t="s">
        <v>231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18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21</v>
      </c>
      <c r="AH241" s="2" t="str">
        <f>IF(NOT(ISBLANK(AI241)),"_","")</f>
        <v>_</v>
      </c>
      <c r="AI241" s="28" t="s">
        <v>20</v>
      </c>
    </row>
    <row r="242" spans="1:35" x14ac:dyDescent="0.25">
      <c r="B242" s="2" t="str">
        <f t="shared" si="292"/>
        <v>@color-trunk_case_unpaved_default</v>
      </c>
      <c r="C242" s="141" t="s">
        <v>217</v>
      </c>
      <c r="D242" s="72" t="s">
        <v>214</v>
      </c>
      <c r="F242" s="72" t="s">
        <v>214</v>
      </c>
      <c r="G242" s="72" t="s">
        <v>214</v>
      </c>
      <c r="I242" s="141" t="s">
        <v>217</v>
      </c>
      <c r="J242" s="72" t="s">
        <v>214</v>
      </c>
      <c r="U242" s="44"/>
      <c r="V242" s="44"/>
      <c r="X242" s="44"/>
      <c r="Y242" s="44"/>
      <c r="AA242" s="28" t="s">
        <v>6</v>
      </c>
      <c r="AB242" s="28" t="str">
        <f t="shared" si="181"/>
        <v>-</v>
      </c>
      <c r="AC242" s="2" t="s">
        <v>18</v>
      </c>
      <c r="AD242" s="28" t="str">
        <f t="shared" si="182"/>
        <v>_</v>
      </c>
      <c r="AE242" s="28" t="s">
        <v>17</v>
      </c>
      <c r="AF242" s="28" t="str">
        <f t="shared" si="183"/>
        <v>_</v>
      </c>
      <c r="AG242" s="28" t="s">
        <v>21</v>
      </c>
      <c r="AH242" s="28" t="str">
        <f t="shared" ref="AH242:AH252" si="298">IF(NOT(ISBLANK(AI242)),"_","")</f>
        <v>_</v>
      </c>
      <c r="AI242" s="28" t="s">
        <v>264</v>
      </c>
    </row>
    <row r="243" spans="1:35" x14ac:dyDescent="0.25">
      <c r="B243" s="2" t="str">
        <f t="shared" si="292"/>
        <v>@color-trunk_case_paved_or_uk_farzoom</v>
      </c>
      <c r="C243" s="142" t="s">
        <v>230</v>
      </c>
      <c r="D243" s="72" t="s">
        <v>214</v>
      </c>
      <c r="F243" s="142" t="s">
        <v>230</v>
      </c>
      <c r="G243" s="142" t="s">
        <v>230</v>
      </c>
      <c r="I243" s="142" t="s">
        <v>230</v>
      </c>
      <c r="J243" s="72" t="s">
        <v>214</v>
      </c>
      <c r="U243" s="44"/>
      <c r="V243" s="44"/>
      <c r="X243" s="44"/>
      <c r="Y243" s="44"/>
      <c r="AA243" s="2" t="s">
        <v>6</v>
      </c>
      <c r="AB243" s="2" t="str">
        <f t="shared" si="181"/>
        <v>-</v>
      </c>
      <c r="AC243" s="2" t="s">
        <v>18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24</v>
      </c>
      <c r="AH243" s="2" t="str">
        <f t="shared" si="298"/>
        <v>_</v>
      </c>
      <c r="AI243" s="28" t="s">
        <v>20</v>
      </c>
    </row>
    <row r="244" spans="1:35" x14ac:dyDescent="0.25">
      <c r="B244" s="2" t="str">
        <f t="shared" si="292"/>
        <v>@color-trunk_case_paved_or_uk_default</v>
      </c>
      <c r="C244" s="143" t="s">
        <v>218</v>
      </c>
      <c r="D244" s="72" t="s">
        <v>214</v>
      </c>
      <c r="F244" s="72" t="s">
        <v>214</v>
      </c>
      <c r="G244" s="72" t="s">
        <v>214</v>
      </c>
      <c r="I244" s="143" t="s">
        <v>218</v>
      </c>
      <c r="J244" s="72" t="s">
        <v>214</v>
      </c>
      <c r="U244" s="44"/>
      <c r="V244" s="44"/>
      <c r="X244" s="44"/>
      <c r="Y244" s="44"/>
      <c r="AA244" s="2" t="s">
        <v>6</v>
      </c>
      <c r="AB244" s="2" t="str">
        <f t="shared" si="181"/>
        <v>-</v>
      </c>
      <c r="AC244" s="2" t="s">
        <v>18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24</v>
      </c>
      <c r="AH244" s="2" t="str">
        <f t="shared" si="298"/>
        <v>_</v>
      </c>
      <c r="AI244" s="28" t="s">
        <v>264</v>
      </c>
    </row>
    <row r="245" spans="1:35" x14ac:dyDescent="0.25">
      <c r="B245" s="2" t="str">
        <f t="shared" si="292"/>
        <v>@color-trunk_line_default</v>
      </c>
      <c r="C245" s="144" t="s">
        <v>219</v>
      </c>
      <c r="D245" s="145" t="s">
        <v>220</v>
      </c>
      <c r="F245" s="144" t="s">
        <v>219</v>
      </c>
      <c r="G245" s="145" t="s">
        <v>220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81"/>
        <v>-</v>
      </c>
      <c r="AC245" s="2" t="s">
        <v>18</v>
      </c>
      <c r="AD245" s="2" t="str">
        <f t="shared" si="182"/>
        <v>_</v>
      </c>
      <c r="AE245" s="2" t="s">
        <v>13</v>
      </c>
      <c r="AF245" s="2" t="str">
        <f t="shared" si="183"/>
        <v>_</v>
      </c>
      <c r="AG245" s="2" t="s">
        <v>264</v>
      </c>
      <c r="AH245" s="2" t="str">
        <f t="shared" si="298"/>
        <v/>
      </c>
      <c r="AI245" s="2"/>
    </row>
    <row r="246" spans="1:35" x14ac:dyDescent="0.25">
      <c r="B246" s="2" t="str">
        <f t="shared" si="292"/>
        <v>@color-trunk_line_bicycle_no</v>
      </c>
      <c r="C246" s="133" t="s">
        <v>213</v>
      </c>
      <c r="D246" s="134" t="s">
        <v>215</v>
      </c>
      <c r="F246" s="133" t="s">
        <v>213</v>
      </c>
      <c r="G246" s="134" t="s">
        <v>215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81"/>
        <v>-</v>
      </c>
      <c r="AC246" s="2" t="s">
        <v>18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23</v>
      </c>
      <c r="AH246" s="2" t="str">
        <f t="shared" si="298"/>
        <v/>
      </c>
      <c r="AI246" s="2"/>
    </row>
    <row r="247" spans="1:35" x14ac:dyDescent="0.25">
      <c r="B247" s="2" t="str">
        <f t="shared" si="292"/>
        <v>@color-trunk_line_unpaved_default</v>
      </c>
      <c r="C247" s="148" t="s">
        <v>223</v>
      </c>
      <c r="D247" s="149" t="str">
        <f>C247</f>
        <v>"#eddfca"</v>
      </c>
      <c r="F247" s="148" t="s">
        <v>223</v>
      </c>
      <c r="G247" s="149" t="str">
        <f>F247</f>
        <v>"#eddfca"</v>
      </c>
      <c r="I247" s="148" t="s">
        <v>223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81"/>
        <v>-</v>
      </c>
      <c r="AC247" s="2" t="s">
        <v>18</v>
      </c>
      <c r="AD247" s="2" t="str">
        <f t="shared" si="182"/>
        <v>_</v>
      </c>
      <c r="AE247" s="2" t="s">
        <v>13</v>
      </c>
      <c r="AF247" s="2" t="str">
        <f t="shared" si="183"/>
        <v>_</v>
      </c>
      <c r="AG247" s="2" t="s">
        <v>21</v>
      </c>
      <c r="AH247" s="2" t="str">
        <f t="shared" si="298"/>
        <v>_</v>
      </c>
      <c r="AI247" s="28" t="s">
        <v>264</v>
      </c>
    </row>
    <row r="248" spans="1:35" x14ac:dyDescent="0.25">
      <c r="B248" s="2" t="str">
        <f t="shared" si="292"/>
        <v>@color-trunk_line_paved_or_uk_default</v>
      </c>
      <c r="C248" s="71" t="s">
        <v>224</v>
      </c>
      <c r="D248" s="38" t="str">
        <f>C248</f>
        <v>"#ffffff"</v>
      </c>
      <c r="F248" s="71" t="s">
        <v>224</v>
      </c>
      <c r="G248" s="38" t="str">
        <f>F248</f>
        <v>"#ffffff"</v>
      </c>
      <c r="I248" s="71" t="s">
        <v>224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81"/>
        <v>-</v>
      </c>
      <c r="AC248" s="28" t="s">
        <v>18</v>
      </c>
      <c r="AD248" s="28" t="str">
        <f t="shared" si="182"/>
        <v>_</v>
      </c>
      <c r="AE248" s="28" t="s">
        <v>13</v>
      </c>
      <c r="AF248" s="28" t="str">
        <f t="shared" si="183"/>
        <v>_</v>
      </c>
      <c r="AG248" s="28" t="s">
        <v>24</v>
      </c>
      <c r="AH248" s="28" t="str">
        <f t="shared" si="298"/>
        <v>_</v>
      </c>
      <c r="AI248" s="28" t="s">
        <v>264</v>
      </c>
    </row>
    <row r="249" spans="1:35" x14ac:dyDescent="0.25">
      <c r="B249" s="2"/>
      <c r="AB249" s="28" t="str">
        <f t="shared" si="181"/>
        <v/>
      </c>
      <c r="AD249" s="28" t="str">
        <f t="shared" si="182"/>
        <v/>
      </c>
      <c r="AF249" s="28" t="str">
        <f t="shared" si="183"/>
        <v/>
      </c>
      <c r="AH249" s="28" t="str">
        <f t="shared" si="298"/>
        <v/>
      </c>
    </row>
    <row r="250" spans="1:35" s="2" customFormat="1" x14ac:dyDescent="0.25">
      <c r="A250" s="3" t="s">
        <v>44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81"/>
        <v/>
      </c>
      <c r="AC250" s="4"/>
      <c r="AD250" s="4" t="str">
        <f t="shared" si="182"/>
        <v/>
      </c>
      <c r="AE250" s="4"/>
      <c r="AF250" s="4" t="str">
        <f t="shared" si="183"/>
        <v/>
      </c>
      <c r="AG250" s="4"/>
      <c r="AH250" s="4" t="str">
        <f t="shared" si="298"/>
        <v/>
      </c>
      <c r="AI250" s="4"/>
    </row>
    <row r="251" spans="1:35" x14ac:dyDescent="0.25">
      <c r="B251" s="2" t="str">
        <f t="shared" ref="B251:B259" si="299">_xlfn.CONCAT("@",AA251,AB251,AC251,AD251,AE251,AF251,AG251,AH251,AI251)</f>
        <v>@color-primary_case_bicycle_no_default</v>
      </c>
      <c r="C251" s="137" t="s">
        <v>228</v>
      </c>
      <c r="D251" s="72" t="s">
        <v>214</v>
      </c>
      <c r="F251" s="72" t="s">
        <v>214</v>
      </c>
      <c r="G251" s="72" t="s">
        <v>214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3" si="300">IF(NOT(ISBLANK(AC251)),"-","")</f>
        <v>-</v>
      </c>
      <c r="AC251" s="2" t="s">
        <v>25</v>
      </c>
      <c r="AD251" s="2" t="str">
        <f t="shared" si="182"/>
        <v>_</v>
      </c>
      <c r="AE251" s="28" t="s">
        <v>17</v>
      </c>
      <c r="AF251" s="2" t="str">
        <f t="shared" si="183"/>
        <v>_</v>
      </c>
      <c r="AG251" s="28" t="s">
        <v>23</v>
      </c>
      <c r="AH251" s="2" t="str">
        <f t="shared" si="298"/>
        <v>_</v>
      </c>
      <c r="AI251" s="28" t="s">
        <v>264</v>
      </c>
    </row>
    <row r="252" spans="1:35" x14ac:dyDescent="0.25">
      <c r="B252" s="2" t="str">
        <f t="shared" si="299"/>
        <v>@color-primary_case_bicycle_no_farzoom</v>
      </c>
      <c r="C252" s="137" t="s">
        <v>228</v>
      </c>
      <c r="D252" s="72" t="s">
        <v>214</v>
      </c>
      <c r="F252" s="137" t="s">
        <v>228</v>
      </c>
      <c r="G252" s="137" t="s">
        <v>228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301">IF(NOT(ISBLANK(AC252)),"-","")</f>
        <v>-</v>
      </c>
      <c r="AC252" s="2" t="s">
        <v>25</v>
      </c>
      <c r="AD252" s="2" t="str">
        <f t="shared" ref="AD252" si="302">IF(NOT(ISBLANK(AE252)),"_","")</f>
        <v>_</v>
      </c>
      <c r="AE252" s="28" t="s">
        <v>17</v>
      </c>
      <c r="AF252" s="2" t="str">
        <f t="shared" ref="AF252" si="303">IF(NOT(ISBLANK(AG252)),"_","")</f>
        <v>_</v>
      </c>
      <c r="AG252" s="28" t="s">
        <v>23</v>
      </c>
      <c r="AH252" s="2" t="str">
        <f t="shared" si="298"/>
        <v>_</v>
      </c>
      <c r="AI252" s="28" t="s">
        <v>20</v>
      </c>
    </row>
    <row r="253" spans="1:35" x14ac:dyDescent="0.25">
      <c r="B253" s="2" t="str">
        <f t="shared" si="299"/>
        <v>@color-primary_case_unpaved_farzoom</v>
      </c>
      <c r="C253" s="139" t="s">
        <v>229</v>
      </c>
      <c r="D253" s="140" t="s">
        <v>231</v>
      </c>
      <c r="F253" s="140" t="s">
        <v>231</v>
      </c>
      <c r="G253" s="139" t="s">
        <v>229</v>
      </c>
      <c r="I253" s="139" t="s">
        <v>229</v>
      </c>
      <c r="J253" s="140" t="s">
        <v>231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25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21</v>
      </c>
      <c r="AH253" s="2" t="str">
        <f>IF(NOT(ISBLANK(AI253)),"_","")</f>
        <v>_</v>
      </c>
      <c r="AI253" s="28" t="s">
        <v>20</v>
      </c>
    </row>
    <row r="254" spans="1:35" x14ac:dyDescent="0.25">
      <c r="B254" s="2" t="str">
        <f t="shared" si="299"/>
        <v>@color-primary_case_unpaved_default</v>
      </c>
      <c r="C254" s="141" t="s">
        <v>217</v>
      </c>
      <c r="D254" s="140" t="s">
        <v>231</v>
      </c>
      <c r="F254" s="72" t="s">
        <v>214</v>
      </c>
      <c r="G254" s="72" t="s">
        <v>214</v>
      </c>
      <c r="I254" s="141" t="s">
        <v>217</v>
      </c>
      <c r="J254" s="140" t="s">
        <v>231</v>
      </c>
      <c r="U254" s="44"/>
      <c r="V254" s="44"/>
      <c r="X254" s="44"/>
      <c r="Y254" s="44"/>
      <c r="AA254" s="28" t="s">
        <v>6</v>
      </c>
      <c r="AB254" s="2" t="str">
        <f t="shared" si="300"/>
        <v>-</v>
      </c>
      <c r="AC254" s="2" t="s">
        <v>25</v>
      </c>
      <c r="AD254" s="2" t="str">
        <f t="shared" si="182"/>
        <v>_</v>
      </c>
      <c r="AE254" s="28" t="s">
        <v>17</v>
      </c>
      <c r="AF254" s="2" t="str">
        <f t="shared" si="183"/>
        <v>_</v>
      </c>
      <c r="AG254" s="28" t="s">
        <v>21</v>
      </c>
      <c r="AH254" s="28" t="str">
        <f t="shared" ref="AH254:AH256" si="304">IF(NOT(ISBLANK(AI254)),"_","")</f>
        <v>_</v>
      </c>
      <c r="AI254" s="28" t="s">
        <v>264</v>
      </c>
    </row>
    <row r="255" spans="1:35" x14ac:dyDescent="0.25">
      <c r="B255" s="2" t="str">
        <f t="shared" si="299"/>
        <v>@color-primary_case_paved_or_uk_farzoom</v>
      </c>
      <c r="C255" s="142" t="s">
        <v>230</v>
      </c>
      <c r="D255" s="72" t="s">
        <v>214</v>
      </c>
      <c r="F255" s="142" t="s">
        <v>230</v>
      </c>
      <c r="G255" s="142" t="s">
        <v>230</v>
      </c>
      <c r="I255" s="142" t="s">
        <v>230</v>
      </c>
      <c r="J255" s="72" t="s">
        <v>214</v>
      </c>
      <c r="U255" s="44"/>
      <c r="V255" s="44"/>
      <c r="X255" s="44"/>
      <c r="Y255" s="44"/>
      <c r="AA255" s="2" t="s">
        <v>6</v>
      </c>
      <c r="AB255" s="2" t="str">
        <f t="shared" si="300"/>
        <v>-</v>
      </c>
      <c r="AC255" s="2" t="s">
        <v>25</v>
      </c>
      <c r="AD255" s="2" t="str">
        <f t="shared" ref="AD255" si="305">IF(NOT(ISBLANK(AE255)),"_","")</f>
        <v>_</v>
      </c>
      <c r="AE255" s="2" t="s">
        <v>17</v>
      </c>
      <c r="AF255" s="2" t="str">
        <f t="shared" ref="AF255" si="306">IF(NOT(ISBLANK(AG255)),"_","")</f>
        <v>_</v>
      </c>
      <c r="AG255" s="2" t="s">
        <v>24</v>
      </c>
      <c r="AH255" s="2" t="str">
        <f t="shared" si="304"/>
        <v>_</v>
      </c>
      <c r="AI255" s="28" t="s">
        <v>20</v>
      </c>
    </row>
    <row r="256" spans="1:35" x14ac:dyDescent="0.25">
      <c r="B256" s="2" t="str">
        <f t="shared" si="299"/>
        <v>@color-primary_case_paved_or_uk_default</v>
      </c>
      <c r="C256" s="143" t="s">
        <v>218</v>
      </c>
      <c r="D256" s="72" t="s">
        <v>214</v>
      </c>
      <c r="F256" s="72" t="s">
        <v>214</v>
      </c>
      <c r="G256" s="72" t="s">
        <v>214</v>
      </c>
      <c r="I256" s="143" t="s">
        <v>218</v>
      </c>
      <c r="J256" s="72" t="s">
        <v>214</v>
      </c>
      <c r="U256" s="44"/>
      <c r="V256" s="44"/>
      <c r="X256" s="44"/>
      <c r="Y256" s="44"/>
      <c r="AA256" s="2" t="s">
        <v>6</v>
      </c>
      <c r="AB256" s="2" t="str">
        <f t="shared" si="300"/>
        <v>-</v>
      </c>
      <c r="AC256" s="28" t="s">
        <v>25</v>
      </c>
      <c r="AD256" s="2" t="str">
        <f t="shared" ref="AD256:AD323" si="307">IF(NOT(ISBLANK(AE256)),"_","")</f>
        <v>_</v>
      </c>
      <c r="AE256" s="2" t="s">
        <v>17</v>
      </c>
      <c r="AF256" s="2" t="str">
        <f t="shared" ref="AF256:AF323" si="308">IF(NOT(ISBLANK(AG256)),"_","")</f>
        <v>_</v>
      </c>
      <c r="AG256" s="2" t="s">
        <v>24</v>
      </c>
      <c r="AH256" s="2" t="str">
        <f t="shared" si="304"/>
        <v>_</v>
      </c>
      <c r="AI256" s="28" t="s">
        <v>264</v>
      </c>
    </row>
    <row r="257" spans="2:35" x14ac:dyDescent="0.25">
      <c r="B257" s="2" t="str">
        <f t="shared" si="299"/>
        <v>@color-primary_line_bicycle_no</v>
      </c>
      <c r="C257" s="150" t="s">
        <v>233</v>
      </c>
      <c r="D257" s="134" t="s">
        <v>215</v>
      </c>
      <c r="F257" s="150" t="s">
        <v>233</v>
      </c>
      <c r="G257" s="134" t="s">
        <v>215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300"/>
        <v>-</v>
      </c>
      <c r="AC257" s="28" t="s">
        <v>25</v>
      </c>
      <c r="AD257" s="2" t="str">
        <f t="shared" si="307"/>
        <v>_</v>
      </c>
      <c r="AE257" s="28" t="s">
        <v>13</v>
      </c>
      <c r="AF257" s="2" t="str">
        <f t="shared" si="308"/>
        <v>_</v>
      </c>
      <c r="AG257" s="28" t="s">
        <v>23</v>
      </c>
      <c r="AH257" s="2" t="str">
        <f t="shared" ref="AH257:AH262" si="309">IF(NOT(ISBLANK(AI257)),"_","")</f>
        <v/>
      </c>
    </row>
    <row r="258" spans="2:35" x14ac:dyDescent="0.25">
      <c r="B258" s="2" t="str">
        <f t="shared" si="299"/>
        <v>@color-primary_line_unpaved_default</v>
      </c>
      <c r="C258" s="148" t="s">
        <v>223</v>
      </c>
      <c r="D258" s="149" t="str">
        <f>C258</f>
        <v>"#eddfca"</v>
      </c>
      <c r="F258" s="148" t="s">
        <v>223</v>
      </c>
      <c r="G258" s="149" t="str">
        <f>F258</f>
        <v>"#eddfca"</v>
      </c>
      <c r="I258" s="148" t="s">
        <v>223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300"/>
        <v>-</v>
      </c>
      <c r="AC258" s="2" t="s">
        <v>25</v>
      </c>
      <c r="AD258" s="2" t="str">
        <f t="shared" si="307"/>
        <v>_</v>
      </c>
      <c r="AE258" s="2" t="s">
        <v>13</v>
      </c>
      <c r="AF258" s="2" t="str">
        <f t="shared" si="308"/>
        <v>_</v>
      </c>
      <c r="AG258" s="2" t="s">
        <v>21</v>
      </c>
      <c r="AH258" s="2" t="str">
        <f t="shared" si="309"/>
        <v>_</v>
      </c>
      <c r="AI258" s="28" t="s">
        <v>264</v>
      </c>
    </row>
    <row r="259" spans="2:35" x14ac:dyDescent="0.25">
      <c r="B259" s="2" t="str">
        <f t="shared" si="299"/>
        <v>@color-primary_line_paved_or_uk_default</v>
      </c>
      <c r="C259" s="71" t="s">
        <v>224</v>
      </c>
      <c r="D259" s="38" t="str">
        <f>C259</f>
        <v>"#ffffff"</v>
      </c>
      <c r="F259" s="71" t="s">
        <v>224</v>
      </c>
      <c r="G259" s="38" t="str">
        <f>F259</f>
        <v>"#ffffff"</v>
      </c>
      <c r="I259" s="71" t="s">
        <v>224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300"/>
        <v>-</v>
      </c>
      <c r="AC259" s="2" t="s">
        <v>25</v>
      </c>
      <c r="AD259" s="2" t="str">
        <f t="shared" si="307"/>
        <v>_</v>
      </c>
      <c r="AE259" s="2" t="s">
        <v>13</v>
      </c>
      <c r="AF259" s="2" t="str">
        <f t="shared" si="308"/>
        <v>_</v>
      </c>
      <c r="AG259" s="28" t="s">
        <v>24</v>
      </c>
      <c r="AH259" s="28" t="str">
        <f t="shared" si="309"/>
        <v>_</v>
      </c>
      <c r="AI259" s="28" t="s">
        <v>264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10">IF(NOT(ISBLANK(AG260)),"_","")</f>
        <v/>
      </c>
      <c r="AH260" s="2" t="str">
        <f t="shared" si="309"/>
        <v/>
      </c>
    </row>
    <row r="261" spans="2:35" x14ac:dyDescent="0.25">
      <c r="B261" s="2" t="str">
        <f t="shared" ref="B261:B269" si="311">_xlfn.CONCAT("@",AA261,AB261,AC261,AD261,AE261,AF261,AG261,AH261,AI261)</f>
        <v>@color-secondary_case_bicycle_no_default</v>
      </c>
      <c r="C261" s="137" t="s">
        <v>228</v>
      </c>
      <c r="D261" s="72" t="s">
        <v>214</v>
      </c>
      <c r="F261" s="72" t="s">
        <v>214</v>
      </c>
      <c r="G261" s="72" t="s">
        <v>214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12">IF(NOT(ISBLANK(AC261)),"-","")</f>
        <v>-</v>
      </c>
      <c r="AC261" s="2" t="s">
        <v>27</v>
      </c>
      <c r="AD261" s="2" t="str">
        <f t="shared" ref="AD261:AD269" si="313">IF(NOT(ISBLANK(AE261)),"_","")</f>
        <v>_</v>
      </c>
      <c r="AE261" s="28" t="s">
        <v>17</v>
      </c>
      <c r="AF261" s="2" t="str">
        <f t="shared" si="310"/>
        <v>_</v>
      </c>
      <c r="AG261" s="28" t="s">
        <v>23</v>
      </c>
      <c r="AH261" s="2" t="str">
        <f t="shared" si="309"/>
        <v>_</v>
      </c>
      <c r="AI261" s="28" t="s">
        <v>264</v>
      </c>
    </row>
    <row r="262" spans="2:35" x14ac:dyDescent="0.25">
      <c r="B262" s="2" t="str">
        <f t="shared" si="311"/>
        <v>@color-secondary_case_bicycle_no_farzoom</v>
      </c>
      <c r="C262" s="137" t="s">
        <v>228</v>
      </c>
      <c r="D262" s="72" t="s">
        <v>214</v>
      </c>
      <c r="F262" s="137" t="s">
        <v>228</v>
      </c>
      <c r="G262" s="137" t="s">
        <v>228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14">IF(NOT(ISBLANK(AC262)),"-","")</f>
        <v>-</v>
      </c>
      <c r="AC262" s="2" t="s">
        <v>27</v>
      </c>
      <c r="AD262" s="2" t="str">
        <f t="shared" ref="AD262" si="315">IF(NOT(ISBLANK(AE262)),"_","")</f>
        <v>_</v>
      </c>
      <c r="AE262" s="28" t="s">
        <v>17</v>
      </c>
      <c r="AF262" s="2" t="str">
        <f t="shared" ref="AF262" si="316">IF(NOT(ISBLANK(AG262)),"_","")</f>
        <v>_</v>
      </c>
      <c r="AG262" s="28" t="s">
        <v>23</v>
      </c>
      <c r="AH262" s="2" t="str">
        <f t="shared" si="309"/>
        <v>_</v>
      </c>
      <c r="AI262" s="28" t="s">
        <v>20</v>
      </c>
    </row>
    <row r="263" spans="2:35" x14ac:dyDescent="0.25">
      <c r="B263" s="2" t="str">
        <f t="shared" si="311"/>
        <v>@color-secondary_case_unpaved_farzoom</v>
      </c>
      <c r="C263" s="139" t="s">
        <v>229</v>
      </c>
      <c r="D263" s="140" t="s">
        <v>231</v>
      </c>
      <c r="F263" s="140" t="s">
        <v>231</v>
      </c>
      <c r="G263" s="139" t="s">
        <v>229</v>
      </c>
      <c r="I263" s="139" t="s">
        <v>229</v>
      </c>
      <c r="J263" s="140" t="s">
        <v>231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27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21</v>
      </c>
      <c r="AH263" s="2" t="str">
        <f>IF(NOT(ISBLANK(AI263)),"_","")</f>
        <v>_</v>
      </c>
      <c r="AI263" s="28" t="s">
        <v>20</v>
      </c>
    </row>
    <row r="264" spans="2:35" x14ac:dyDescent="0.25">
      <c r="B264" s="2" t="str">
        <f t="shared" si="311"/>
        <v>@color-secondary_case_unpaved_default</v>
      </c>
      <c r="C264" s="140" t="s">
        <v>231</v>
      </c>
      <c r="D264" s="140" t="s">
        <v>231</v>
      </c>
      <c r="F264" s="72" t="s">
        <v>214</v>
      </c>
      <c r="G264" s="72" t="s">
        <v>214</v>
      </c>
      <c r="I264" s="140" t="s">
        <v>231</v>
      </c>
      <c r="J264" s="140" t="s">
        <v>231</v>
      </c>
      <c r="U264" s="44"/>
      <c r="V264" s="44"/>
      <c r="X264" s="44"/>
      <c r="Y264" s="44"/>
      <c r="AA264" s="28" t="s">
        <v>6</v>
      </c>
      <c r="AB264" s="2" t="str">
        <f t="shared" si="312"/>
        <v>-</v>
      </c>
      <c r="AC264" s="2" t="s">
        <v>27</v>
      </c>
      <c r="AD264" s="2" t="str">
        <f t="shared" si="313"/>
        <v>_</v>
      </c>
      <c r="AE264" s="28" t="s">
        <v>17</v>
      </c>
      <c r="AF264" s="2" t="str">
        <f t="shared" si="310"/>
        <v>_</v>
      </c>
      <c r="AG264" s="28" t="s">
        <v>21</v>
      </c>
      <c r="AH264" s="28" t="str">
        <f t="shared" ref="AH264:AH266" si="317">IF(NOT(ISBLANK(AI264)),"_","")</f>
        <v>_</v>
      </c>
      <c r="AI264" s="28" t="s">
        <v>264</v>
      </c>
    </row>
    <row r="265" spans="2:35" x14ac:dyDescent="0.25">
      <c r="B265" s="2" t="str">
        <f t="shared" si="311"/>
        <v>@color-secondary_case_paved_or_uk_farzoom</v>
      </c>
      <c r="C265" s="142" t="s">
        <v>230</v>
      </c>
      <c r="D265" s="72" t="s">
        <v>214</v>
      </c>
      <c r="F265" s="142" t="s">
        <v>230</v>
      </c>
      <c r="G265" s="142" t="s">
        <v>230</v>
      </c>
      <c r="I265" s="142" t="s">
        <v>230</v>
      </c>
      <c r="J265" s="72" t="s">
        <v>214</v>
      </c>
      <c r="U265" s="44"/>
      <c r="V265" s="44"/>
      <c r="X265" s="44"/>
      <c r="Y265" s="44"/>
      <c r="AA265" s="2" t="s">
        <v>6</v>
      </c>
      <c r="AB265" s="2" t="str">
        <f t="shared" si="312"/>
        <v>-</v>
      </c>
      <c r="AC265" s="2" t="s">
        <v>27</v>
      </c>
      <c r="AD265" s="2" t="str">
        <f t="shared" si="313"/>
        <v>_</v>
      </c>
      <c r="AE265" s="2" t="s">
        <v>17</v>
      </c>
      <c r="AF265" s="2" t="str">
        <f t="shared" si="310"/>
        <v>_</v>
      </c>
      <c r="AG265" s="2" t="s">
        <v>24</v>
      </c>
      <c r="AH265" s="2" t="str">
        <f t="shared" si="317"/>
        <v>_</v>
      </c>
      <c r="AI265" s="28" t="s">
        <v>20</v>
      </c>
    </row>
    <row r="266" spans="2:35" x14ac:dyDescent="0.25">
      <c r="B266" s="2" t="str">
        <f t="shared" si="311"/>
        <v>@color-secondary_case_paved_or_uk_default</v>
      </c>
      <c r="C266" s="152" t="s">
        <v>232</v>
      </c>
      <c r="D266" s="72" t="s">
        <v>214</v>
      </c>
      <c r="F266" s="72" t="s">
        <v>214</v>
      </c>
      <c r="G266" s="72" t="s">
        <v>214</v>
      </c>
      <c r="I266" s="152" t="s">
        <v>232</v>
      </c>
      <c r="J266" s="72" t="s">
        <v>214</v>
      </c>
      <c r="U266" s="44"/>
      <c r="V266" s="44"/>
      <c r="X266" s="44"/>
      <c r="Y266" s="44"/>
      <c r="AA266" s="2" t="s">
        <v>6</v>
      </c>
      <c r="AB266" s="2" t="str">
        <f t="shared" si="312"/>
        <v>-</v>
      </c>
      <c r="AC266" s="2" t="s">
        <v>27</v>
      </c>
      <c r="AD266" s="2" t="str">
        <f t="shared" si="313"/>
        <v>_</v>
      </c>
      <c r="AE266" s="2" t="s">
        <v>17</v>
      </c>
      <c r="AF266" s="2" t="str">
        <f t="shared" si="310"/>
        <v>_</v>
      </c>
      <c r="AG266" s="2" t="s">
        <v>24</v>
      </c>
      <c r="AH266" s="2" t="str">
        <f t="shared" si="317"/>
        <v>_</v>
      </c>
      <c r="AI266" s="28" t="s">
        <v>264</v>
      </c>
    </row>
    <row r="267" spans="2:35" x14ac:dyDescent="0.25">
      <c r="B267" s="2" t="str">
        <f t="shared" si="311"/>
        <v>@color-secondary_line_bicycle_no</v>
      </c>
      <c r="C267" s="150" t="s">
        <v>233</v>
      </c>
      <c r="D267" s="134" t="s">
        <v>215</v>
      </c>
      <c r="F267" s="150" t="s">
        <v>233</v>
      </c>
      <c r="G267" s="134" t="s">
        <v>215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12"/>
        <v>-</v>
      </c>
      <c r="AC267" s="2" t="s">
        <v>27</v>
      </c>
      <c r="AD267" s="2" t="str">
        <f t="shared" si="313"/>
        <v>_</v>
      </c>
      <c r="AE267" s="28" t="s">
        <v>13</v>
      </c>
      <c r="AF267" s="2" t="str">
        <f t="shared" si="310"/>
        <v>_</v>
      </c>
      <c r="AG267" s="28" t="s">
        <v>23</v>
      </c>
      <c r="AH267" s="2" t="str">
        <f t="shared" ref="AH267:AH324" si="318">IF(NOT(ISBLANK(AI267)),"_","")</f>
        <v/>
      </c>
    </row>
    <row r="268" spans="2:35" x14ac:dyDescent="0.25">
      <c r="B268" s="2" t="str">
        <f t="shared" si="311"/>
        <v>@color-secondary_line_unpaved_default</v>
      </c>
      <c r="C268" s="148" t="s">
        <v>223</v>
      </c>
      <c r="D268" s="149" t="str">
        <f>C268</f>
        <v>"#eddfca"</v>
      </c>
      <c r="F268" s="148" t="s">
        <v>223</v>
      </c>
      <c r="G268" s="149" t="str">
        <f>F268</f>
        <v>"#eddfca"</v>
      </c>
      <c r="I268" s="148" t="s">
        <v>223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12"/>
        <v>-</v>
      </c>
      <c r="AC268" s="2" t="s">
        <v>27</v>
      </c>
      <c r="AD268" s="2" t="str">
        <f t="shared" si="313"/>
        <v>_</v>
      </c>
      <c r="AE268" s="2" t="s">
        <v>13</v>
      </c>
      <c r="AF268" s="2" t="str">
        <f t="shared" si="310"/>
        <v>_</v>
      </c>
      <c r="AG268" s="2" t="s">
        <v>21</v>
      </c>
      <c r="AH268" s="2" t="str">
        <f t="shared" si="318"/>
        <v>_</v>
      </c>
      <c r="AI268" s="28" t="s">
        <v>264</v>
      </c>
    </row>
    <row r="269" spans="2:35" x14ac:dyDescent="0.25">
      <c r="B269" s="2" t="str">
        <f t="shared" si="311"/>
        <v>@color-secondary_line_paved_or_uk_default</v>
      </c>
      <c r="C269" s="71" t="s">
        <v>224</v>
      </c>
      <c r="D269" s="38" t="str">
        <f>C269</f>
        <v>"#ffffff"</v>
      </c>
      <c r="F269" s="71" t="s">
        <v>224</v>
      </c>
      <c r="G269" s="38" t="str">
        <f>F269</f>
        <v>"#ffffff"</v>
      </c>
      <c r="I269" s="71" t="s">
        <v>224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12"/>
        <v>-</v>
      </c>
      <c r="AC269" s="2" t="s">
        <v>27</v>
      </c>
      <c r="AD269" s="2" t="str">
        <f t="shared" si="313"/>
        <v>_</v>
      </c>
      <c r="AE269" s="2" t="s">
        <v>13</v>
      </c>
      <c r="AF269" s="2" t="str">
        <f t="shared" si="310"/>
        <v>_</v>
      </c>
      <c r="AG269" s="28" t="s">
        <v>24</v>
      </c>
      <c r="AH269" s="28" t="str">
        <f t="shared" si="318"/>
        <v>_</v>
      </c>
      <c r="AI269" s="28" t="s">
        <v>264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8"/>
        <v/>
      </c>
      <c r="AH270" s="2" t="str">
        <f t="shared" si="318"/>
        <v/>
      </c>
    </row>
    <row r="271" spans="2:35" x14ac:dyDescent="0.25">
      <c r="B271" s="2" t="str">
        <f t="shared" ref="B271:B279" si="319">_xlfn.CONCAT("@",AA271,AB271,AC271,AD271,AE271,AF271,AG271,AH271,AI271)</f>
        <v>@color-tertiary_case_bicycle_no_default</v>
      </c>
      <c r="C271" s="137" t="s">
        <v>228</v>
      </c>
      <c r="D271" s="72" t="s">
        <v>214</v>
      </c>
      <c r="F271" s="72" t="s">
        <v>214</v>
      </c>
      <c r="G271" s="72" t="s">
        <v>214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20">IF(NOT(ISBLANK(AC271)),"-","")</f>
        <v>-</v>
      </c>
      <c r="AC271" s="2" t="s">
        <v>26</v>
      </c>
      <c r="AD271" s="2" t="str">
        <f t="shared" ref="AD271:AD273" si="321">IF(NOT(ISBLANK(AE271)),"_","")</f>
        <v>_</v>
      </c>
      <c r="AE271" s="28" t="s">
        <v>17</v>
      </c>
      <c r="AF271" s="2" t="str">
        <f t="shared" ref="AF271:AF273" si="322">IF(NOT(ISBLANK(AG271)),"_","")</f>
        <v>_</v>
      </c>
      <c r="AG271" s="28" t="s">
        <v>23</v>
      </c>
      <c r="AH271" s="2" t="str">
        <f t="shared" si="318"/>
        <v>_</v>
      </c>
      <c r="AI271" s="28" t="s">
        <v>264</v>
      </c>
    </row>
    <row r="272" spans="2:35" x14ac:dyDescent="0.25">
      <c r="B272" s="2" t="str">
        <f t="shared" si="319"/>
        <v>@color-tertiary_case_bicycle_no_farzoom</v>
      </c>
      <c r="C272" s="137" t="s">
        <v>228</v>
      </c>
      <c r="D272" s="72" t="s">
        <v>214</v>
      </c>
      <c r="F272" s="137" t="s">
        <v>228</v>
      </c>
      <c r="G272" s="137" t="s">
        <v>228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23">IF(NOT(ISBLANK(AC272)),"-","")</f>
        <v>-</v>
      </c>
      <c r="AC272" s="2" t="s">
        <v>26</v>
      </c>
      <c r="AD272" s="2" t="str">
        <f t="shared" ref="AD272" si="324">IF(NOT(ISBLANK(AE272)),"_","")</f>
        <v>_</v>
      </c>
      <c r="AE272" s="28" t="s">
        <v>17</v>
      </c>
      <c r="AF272" s="2" t="str">
        <f t="shared" ref="AF272" si="325">IF(NOT(ISBLANK(AG272)),"_","")</f>
        <v>_</v>
      </c>
      <c r="AG272" s="28" t="s">
        <v>23</v>
      </c>
      <c r="AH272" s="2" t="str">
        <f t="shared" si="318"/>
        <v>_</v>
      </c>
      <c r="AI272" s="28" t="s">
        <v>20</v>
      </c>
    </row>
    <row r="273" spans="1:35" x14ac:dyDescent="0.25">
      <c r="B273" s="2" t="str">
        <f t="shared" si="319"/>
        <v>@color-tertiary_case_unpaved_farzoom</v>
      </c>
      <c r="C273" s="139" t="s">
        <v>229</v>
      </c>
      <c r="D273" s="140" t="s">
        <v>231</v>
      </c>
      <c r="F273" s="140" t="s">
        <v>231</v>
      </c>
      <c r="G273" s="139" t="s">
        <v>229</v>
      </c>
      <c r="I273" s="139" t="s">
        <v>229</v>
      </c>
      <c r="J273" s="140" t="s">
        <v>231</v>
      </c>
      <c r="U273" s="44"/>
      <c r="V273" s="44"/>
      <c r="X273" s="44"/>
      <c r="Y273" s="44"/>
      <c r="AA273" s="28" t="s">
        <v>6</v>
      </c>
      <c r="AB273" s="2" t="str">
        <f t="shared" si="320"/>
        <v>-</v>
      </c>
      <c r="AC273" s="2" t="s">
        <v>26</v>
      </c>
      <c r="AD273" s="2" t="str">
        <f t="shared" si="321"/>
        <v>_</v>
      </c>
      <c r="AE273" s="28" t="s">
        <v>17</v>
      </c>
      <c r="AF273" s="2" t="str">
        <f t="shared" si="322"/>
        <v>_</v>
      </c>
      <c r="AG273" s="28" t="s">
        <v>21</v>
      </c>
      <c r="AH273" s="2" t="str">
        <f>IF(NOT(ISBLANK(AI273)),"_","")</f>
        <v>_</v>
      </c>
      <c r="AI273" s="28" t="s">
        <v>20</v>
      </c>
    </row>
    <row r="274" spans="1:35" x14ac:dyDescent="0.25">
      <c r="B274" s="2" t="str">
        <f t="shared" si="319"/>
        <v>@color-tertiary_case_unpaved_default</v>
      </c>
      <c r="C274" s="140" t="s">
        <v>231</v>
      </c>
      <c r="D274" s="140" t="s">
        <v>231</v>
      </c>
      <c r="F274" s="72" t="s">
        <v>214</v>
      </c>
      <c r="G274" s="72" t="s">
        <v>214</v>
      </c>
      <c r="I274" s="140" t="s">
        <v>231</v>
      </c>
      <c r="J274" s="140" t="s">
        <v>231</v>
      </c>
      <c r="U274" s="44"/>
      <c r="V274" s="44"/>
      <c r="X274" s="44"/>
      <c r="Y274" s="44"/>
      <c r="AA274" s="28" t="s">
        <v>6</v>
      </c>
      <c r="AB274" s="2" t="str">
        <f t="shared" ref="AB274:AB279" si="326">IF(NOT(ISBLANK(AC274)),"-","")</f>
        <v>-</v>
      </c>
      <c r="AC274" s="2" t="s">
        <v>26</v>
      </c>
      <c r="AD274" s="2" t="str">
        <f t="shared" ref="AD274:AD279" si="327">IF(NOT(ISBLANK(AE274)),"_","")</f>
        <v>_</v>
      </c>
      <c r="AE274" s="28" t="s">
        <v>17</v>
      </c>
      <c r="AF274" s="2" t="str">
        <f t="shared" si="308"/>
        <v>_</v>
      </c>
      <c r="AG274" s="28" t="s">
        <v>21</v>
      </c>
      <c r="AH274" s="28" t="str">
        <f t="shared" ref="AH274:AH279" si="328">IF(NOT(ISBLANK(AI274)),"_","")</f>
        <v>_</v>
      </c>
      <c r="AI274" s="28" t="s">
        <v>264</v>
      </c>
    </row>
    <row r="275" spans="1:35" x14ac:dyDescent="0.25">
      <c r="B275" s="2" t="str">
        <f t="shared" si="319"/>
        <v>@color-tertiary_case_paved_or_uk_farzoom</v>
      </c>
      <c r="C275" s="142" t="s">
        <v>230</v>
      </c>
      <c r="D275" s="72" t="s">
        <v>214</v>
      </c>
      <c r="F275" s="142" t="s">
        <v>230</v>
      </c>
      <c r="G275" s="142" t="s">
        <v>230</v>
      </c>
      <c r="I275" s="142" t="s">
        <v>230</v>
      </c>
      <c r="J275" s="72" t="s">
        <v>214</v>
      </c>
      <c r="U275" s="44"/>
      <c r="V275" s="44"/>
      <c r="X275" s="44"/>
      <c r="Y275" s="44"/>
      <c r="AA275" s="2" t="s">
        <v>6</v>
      </c>
      <c r="AB275" s="2" t="str">
        <f t="shared" ref="AB275" si="329">IF(NOT(ISBLANK(AC275)),"-","")</f>
        <v>-</v>
      </c>
      <c r="AC275" s="2" t="s">
        <v>26</v>
      </c>
      <c r="AD275" s="2" t="str">
        <f t="shared" ref="AD275" si="330">IF(NOT(ISBLANK(AE275)),"_","")</f>
        <v>_</v>
      </c>
      <c r="AE275" s="2" t="s">
        <v>17</v>
      </c>
      <c r="AF275" s="2" t="str">
        <f t="shared" ref="AF275" si="331">IF(NOT(ISBLANK(AG275)),"_","")</f>
        <v>_</v>
      </c>
      <c r="AG275" s="2" t="s">
        <v>24</v>
      </c>
      <c r="AH275" s="2" t="str">
        <f t="shared" si="328"/>
        <v>_</v>
      </c>
      <c r="AI275" s="28" t="s">
        <v>20</v>
      </c>
    </row>
    <row r="276" spans="1:35" x14ac:dyDescent="0.25">
      <c r="B276" s="2" t="str">
        <f t="shared" si="319"/>
        <v>@color-tertiary_case_paved_or_uk_default</v>
      </c>
      <c r="C276" s="152" t="s">
        <v>232</v>
      </c>
      <c r="D276" s="72" t="s">
        <v>214</v>
      </c>
      <c r="F276" s="72" t="s">
        <v>214</v>
      </c>
      <c r="G276" s="72" t="s">
        <v>214</v>
      </c>
      <c r="I276" s="152" t="s">
        <v>232</v>
      </c>
      <c r="J276" s="72" t="s">
        <v>214</v>
      </c>
      <c r="U276" s="44"/>
      <c r="V276" s="44"/>
      <c r="X276" s="44"/>
      <c r="Y276" s="44"/>
      <c r="AA276" s="2" t="s">
        <v>6</v>
      </c>
      <c r="AB276" s="2" t="str">
        <f t="shared" si="326"/>
        <v>-</v>
      </c>
      <c r="AC276" s="2" t="s">
        <v>26</v>
      </c>
      <c r="AD276" s="2" t="str">
        <f t="shared" si="327"/>
        <v>_</v>
      </c>
      <c r="AE276" s="2" t="s">
        <v>17</v>
      </c>
      <c r="AF276" s="2" t="str">
        <f t="shared" si="308"/>
        <v>_</v>
      </c>
      <c r="AG276" s="2" t="s">
        <v>24</v>
      </c>
      <c r="AH276" s="2" t="str">
        <f t="shared" si="328"/>
        <v>_</v>
      </c>
      <c r="AI276" s="28" t="s">
        <v>264</v>
      </c>
    </row>
    <row r="277" spans="1:35" x14ac:dyDescent="0.25">
      <c r="B277" s="2" t="str">
        <f t="shared" si="319"/>
        <v>@color-tertiary_line_bicycle_no</v>
      </c>
      <c r="C277" s="150" t="s">
        <v>233</v>
      </c>
      <c r="D277" s="134" t="s">
        <v>215</v>
      </c>
      <c r="F277" s="150" t="s">
        <v>233</v>
      </c>
      <c r="G277" s="134" t="s">
        <v>215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6"/>
        <v>-</v>
      </c>
      <c r="AC277" s="2" t="s">
        <v>26</v>
      </c>
      <c r="AD277" s="2" t="str">
        <f t="shared" si="327"/>
        <v>_</v>
      </c>
      <c r="AE277" s="28" t="s">
        <v>13</v>
      </c>
      <c r="AF277" s="2" t="str">
        <f t="shared" si="308"/>
        <v>_</v>
      </c>
      <c r="AG277" s="28" t="s">
        <v>23</v>
      </c>
      <c r="AH277" s="2" t="str">
        <f t="shared" si="328"/>
        <v/>
      </c>
    </row>
    <row r="278" spans="1:35" x14ac:dyDescent="0.25">
      <c r="B278" s="2" t="str">
        <f t="shared" si="319"/>
        <v>@color-tertiary_line_unpaved_default</v>
      </c>
      <c r="C278" s="148" t="s">
        <v>223</v>
      </c>
      <c r="D278" s="149" t="str">
        <f>C278</f>
        <v>"#eddfca"</v>
      </c>
      <c r="F278" s="148" t="s">
        <v>223</v>
      </c>
      <c r="G278" s="149" t="str">
        <f>F278</f>
        <v>"#eddfca"</v>
      </c>
      <c r="I278" s="148" t="s">
        <v>223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6"/>
        <v>-</v>
      </c>
      <c r="AC278" s="2" t="s">
        <v>26</v>
      </c>
      <c r="AD278" s="2" t="str">
        <f t="shared" si="327"/>
        <v>_</v>
      </c>
      <c r="AE278" s="2" t="s">
        <v>13</v>
      </c>
      <c r="AF278" s="2" t="str">
        <f t="shared" si="308"/>
        <v>_</v>
      </c>
      <c r="AG278" s="2" t="s">
        <v>21</v>
      </c>
      <c r="AH278" s="2" t="str">
        <f t="shared" si="328"/>
        <v>_</v>
      </c>
      <c r="AI278" s="28" t="s">
        <v>264</v>
      </c>
    </row>
    <row r="279" spans="1:35" x14ac:dyDescent="0.25">
      <c r="B279" s="2" t="str">
        <f t="shared" si="319"/>
        <v>@color-tertiary_line_paved_or_uk_default</v>
      </c>
      <c r="C279" s="71" t="s">
        <v>224</v>
      </c>
      <c r="D279" s="38" t="str">
        <f>C279</f>
        <v>"#ffffff"</v>
      </c>
      <c r="F279" s="71" t="s">
        <v>224</v>
      </c>
      <c r="G279" s="38" t="str">
        <f>F279</f>
        <v>"#ffffff"</v>
      </c>
      <c r="I279" s="71" t="s">
        <v>224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6"/>
        <v>-</v>
      </c>
      <c r="AC279" s="2" t="s">
        <v>26</v>
      </c>
      <c r="AD279" s="2" t="str">
        <f t="shared" si="327"/>
        <v>_</v>
      </c>
      <c r="AE279" s="2" t="s">
        <v>13</v>
      </c>
      <c r="AF279" s="2" t="str">
        <f t="shared" si="308"/>
        <v>_</v>
      </c>
      <c r="AG279" s="28" t="s">
        <v>24</v>
      </c>
      <c r="AH279" s="28" t="str">
        <f t="shared" si="328"/>
        <v>_</v>
      </c>
      <c r="AI279" s="28" t="s">
        <v>264</v>
      </c>
    </row>
    <row r="280" spans="1:35" x14ac:dyDescent="0.25">
      <c r="B280" s="2"/>
      <c r="AB280" s="28" t="str">
        <f t="shared" si="300"/>
        <v/>
      </c>
      <c r="AD280" s="28" t="str">
        <f t="shared" si="307"/>
        <v/>
      </c>
      <c r="AF280" s="28" t="str">
        <f t="shared" si="308"/>
        <v/>
      </c>
      <c r="AH280" s="28" t="str">
        <f t="shared" si="318"/>
        <v/>
      </c>
    </row>
    <row r="281" spans="1:35" s="2" customFormat="1" x14ac:dyDescent="0.25">
      <c r="A281" s="3" t="s">
        <v>225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300"/>
        <v/>
      </c>
      <c r="AC281" s="4"/>
      <c r="AD281" s="4" t="str">
        <f t="shared" si="307"/>
        <v/>
      </c>
      <c r="AE281" s="4"/>
      <c r="AF281" s="4" t="str">
        <f t="shared" si="308"/>
        <v/>
      </c>
      <c r="AG281" s="4"/>
      <c r="AH281" s="4" t="str">
        <f t="shared" si="318"/>
        <v/>
      </c>
      <c r="AI281" s="4"/>
    </row>
    <row r="282" spans="1:35" x14ac:dyDescent="0.25">
      <c r="B282" s="2" t="str">
        <f t="shared" ref="B282:B287" si="332">_xlfn.CONCAT("@",AA282,AB282,AC282,AD282,AE282,AF282,AG282,AH282,AI282)</f>
        <v>@color-raceway_case_unpaved_farzoom</v>
      </c>
      <c r="C282" s="139" t="s">
        <v>229</v>
      </c>
      <c r="D282" s="140" t="s">
        <v>231</v>
      </c>
      <c r="F282" s="140" t="s">
        <v>231</v>
      </c>
      <c r="G282" s="139" t="s">
        <v>229</v>
      </c>
      <c r="I282" s="160" t="str">
        <f t="shared" ref="I282" si="333">C282</f>
        <v>"#b99346"</v>
      </c>
      <c r="J282" s="155" t="str">
        <f t="shared" ref="J282" si="334">D282</f>
        <v>"#644507"</v>
      </c>
      <c r="U282" s="44"/>
      <c r="V282" s="44"/>
      <c r="X282" s="44"/>
      <c r="Y282" s="44"/>
      <c r="AA282" s="2" t="s">
        <v>6</v>
      </c>
      <c r="AB282" s="2" t="str">
        <f t="shared" ref="AB282" si="335">IF(NOT(ISBLANK(AC282)),"-","")</f>
        <v>-</v>
      </c>
      <c r="AC282" s="2" t="s">
        <v>28</v>
      </c>
      <c r="AD282" s="2" t="str">
        <f t="shared" ref="AD282" si="336">IF(NOT(ISBLANK(AE282)),"_","")</f>
        <v>_</v>
      </c>
      <c r="AE282" s="2" t="s">
        <v>17</v>
      </c>
      <c r="AF282" s="2" t="str">
        <f t="shared" ref="AF282" si="337">IF(NOT(ISBLANK(AG282)),"_","")</f>
        <v>_</v>
      </c>
      <c r="AG282" s="2" t="s">
        <v>21</v>
      </c>
      <c r="AH282" s="2" t="str">
        <f t="shared" ref="AH282" si="338">IF(NOT(ISBLANK(AI282)),"_","")</f>
        <v>_</v>
      </c>
      <c r="AI282" s="28" t="s">
        <v>20</v>
      </c>
    </row>
    <row r="283" spans="1:35" x14ac:dyDescent="0.25">
      <c r="B283" s="2" t="str">
        <f t="shared" si="332"/>
        <v>@color-raceway_case_unpaved</v>
      </c>
      <c r="C283" s="153" t="s">
        <v>234</v>
      </c>
      <c r="D283" s="140" t="s">
        <v>231</v>
      </c>
      <c r="F283" s="72" t="s">
        <v>214</v>
      </c>
      <c r="G283" s="72" t="s">
        <v>214</v>
      </c>
      <c r="I283" s="154" t="str">
        <f>C283</f>
        <v>"#af9564"</v>
      </c>
      <c r="J283" s="155" t="str">
        <f>D283</f>
        <v>"#644507"</v>
      </c>
      <c r="U283" s="44"/>
      <c r="V283" s="44"/>
      <c r="X283" s="44"/>
      <c r="Y283" s="44"/>
      <c r="AA283" s="2" t="s">
        <v>6</v>
      </c>
      <c r="AB283" s="2" t="str">
        <f t="shared" ref="AB283:AB285" si="339">IF(NOT(ISBLANK(AC283)),"-","")</f>
        <v>-</v>
      </c>
      <c r="AC283" s="2" t="s">
        <v>28</v>
      </c>
      <c r="AD283" s="2" t="str">
        <f t="shared" ref="AD283:AD285" si="340">IF(NOT(ISBLANK(AE283)),"_","")</f>
        <v>_</v>
      </c>
      <c r="AE283" s="2" t="s">
        <v>17</v>
      </c>
      <c r="AF283" s="2" t="str">
        <f t="shared" ref="AF283:AF285" si="341">IF(NOT(ISBLANK(AG283)),"_","")</f>
        <v>_</v>
      </c>
      <c r="AG283" s="2" t="s">
        <v>21</v>
      </c>
      <c r="AH283" s="2" t="str">
        <f t="shared" si="318"/>
        <v/>
      </c>
      <c r="AI283" s="2"/>
    </row>
    <row r="284" spans="1:35" x14ac:dyDescent="0.25">
      <c r="B284" s="2" t="str">
        <f t="shared" si="332"/>
        <v>@color-raceway_case_paved_or_uk_farzoom</v>
      </c>
      <c r="C284" s="142" t="s">
        <v>230</v>
      </c>
      <c r="D284" s="72" t="s">
        <v>214</v>
      </c>
      <c r="F284" s="142" t="s">
        <v>230</v>
      </c>
      <c r="G284" s="142" t="s">
        <v>230</v>
      </c>
      <c r="I284" s="161" t="str">
        <f t="shared" ref="I284" si="342">C284</f>
        <v>"#808080"</v>
      </c>
      <c r="J284" s="37" t="str">
        <f t="shared" ref="J284" si="343">D284</f>
        <v>"#000000"</v>
      </c>
      <c r="U284" s="44"/>
      <c r="V284" s="44"/>
      <c r="X284" s="44"/>
      <c r="Y284" s="44"/>
      <c r="AA284" s="2" t="s">
        <v>6</v>
      </c>
      <c r="AB284" s="2" t="str">
        <f t="shared" si="339"/>
        <v>-</v>
      </c>
      <c r="AC284" s="2" t="s">
        <v>28</v>
      </c>
      <c r="AD284" s="2" t="str">
        <f t="shared" si="340"/>
        <v>_</v>
      </c>
      <c r="AE284" s="2" t="s">
        <v>17</v>
      </c>
      <c r="AF284" s="2" t="str">
        <f t="shared" si="341"/>
        <v>_</v>
      </c>
      <c r="AG284" s="2" t="s">
        <v>24</v>
      </c>
      <c r="AH284" s="2" t="str">
        <f t="shared" ref="AH284" si="344">IF(NOT(ISBLANK(AI284)),"_","")</f>
        <v>_</v>
      </c>
      <c r="AI284" s="28" t="s">
        <v>20</v>
      </c>
    </row>
    <row r="285" spans="1:35" x14ac:dyDescent="0.25">
      <c r="B285" s="2" t="str">
        <f t="shared" si="332"/>
        <v>@color-raceway_case_paved_or_uk</v>
      </c>
      <c r="C285" s="156" t="s">
        <v>235</v>
      </c>
      <c r="D285" s="157" t="s">
        <v>236</v>
      </c>
      <c r="F285" s="72" t="s">
        <v>214</v>
      </c>
      <c r="G285" s="72" t="s">
        <v>214</v>
      </c>
      <c r="I285" s="158" t="str">
        <f>C285</f>
        <v>"#a8a6a4"</v>
      </c>
      <c r="J285" s="159" t="str">
        <f>D285</f>
        <v>"#4a4a4a"</v>
      </c>
      <c r="U285" s="44"/>
      <c r="V285" s="44"/>
      <c r="X285" s="44"/>
      <c r="Y285" s="44"/>
      <c r="AA285" s="2" t="s">
        <v>6</v>
      </c>
      <c r="AB285" s="2" t="str">
        <f t="shared" si="339"/>
        <v>-</v>
      </c>
      <c r="AC285" s="2" t="s">
        <v>28</v>
      </c>
      <c r="AD285" s="2" t="str">
        <f t="shared" si="340"/>
        <v>_</v>
      </c>
      <c r="AE285" s="2" t="s">
        <v>17</v>
      </c>
      <c r="AF285" s="2" t="str">
        <f t="shared" si="341"/>
        <v>_</v>
      </c>
      <c r="AG285" s="2" t="s">
        <v>24</v>
      </c>
      <c r="AH285" s="2" t="str">
        <f t="shared" si="318"/>
        <v/>
      </c>
      <c r="AI285" s="2"/>
    </row>
    <row r="286" spans="1:35" x14ac:dyDescent="0.25">
      <c r="B286" s="2" t="str">
        <f t="shared" si="332"/>
        <v>@color-raceway_line_unpaved</v>
      </c>
      <c r="C286" s="148" t="s">
        <v>223</v>
      </c>
      <c r="D286" s="149" t="str">
        <f>C286</f>
        <v>"#eddfca"</v>
      </c>
      <c r="F286" s="148" t="s">
        <v>223</v>
      </c>
      <c r="G286" s="38" t="str">
        <f t="shared" ref="G286:G287" si="345">F286</f>
        <v>"#eddfca"</v>
      </c>
      <c r="I286" s="149" t="str">
        <f>C286</f>
        <v>"#eddfca"</v>
      </c>
      <c r="J286" s="149" t="str">
        <f>C286</f>
        <v>"#eddfca"</v>
      </c>
      <c r="U286" s="44"/>
      <c r="V286" s="44"/>
      <c r="X286" s="44"/>
      <c r="Y286" s="44"/>
      <c r="AA286" s="2" t="s">
        <v>6</v>
      </c>
      <c r="AB286" s="2" t="str">
        <f t="shared" si="300"/>
        <v>-</v>
      </c>
      <c r="AC286" s="2" t="s">
        <v>28</v>
      </c>
      <c r="AD286" s="2" t="str">
        <f t="shared" si="307"/>
        <v>_</v>
      </c>
      <c r="AE286" s="2" t="s">
        <v>13</v>
      </c>
      <c r="AF286" s="2" t="str">
        <f t="shared" si="308"/>
        <v>_</v>
      </c>
      <c r="AG286" s="2" t="s">
        <v>21</v>
      </c>
      <c r="AH286" s="2" t="str">
        <f t="shared" si="318"/>
        <v/>
      </c>
      <c r="AI286" s="2"/>
    </row>
    <row r="287" spans="1:35" x14ac:dyDescent="0.25">
      <c r="B287" s="2" t="str">
        <f t="shared" si="332"/>
        <v>@color-raceway_line_paved_or_uk</v>
      </c>
      <c r="C287" s="26" t="s">
        <v>224</v>
      </c>
      <c r="D287" s="38" t="str">
        <f>C287</f>
        <v>"#ffffff"</v>
      </c>
      <c r="F287" s="71" t="s">
        <v>224</v>
      </c>
      <c r="G287" s="38" t="str">
        <f t="shared" si="345"/>
        <v>"#ffffff"</v>
      </c>
      <c r="I287" s="38" t="str">
        <f>C287</f>
        <v>"#ffffff"</v>
      </c>
      <c r="J287" s="38" t="str">
        <f>C287</f>
        <v>"#ffffff"</v>
      </c>
      <c r="U287" s="44"/>
      <c r="V287" s="44"/>
      <c r="X287" s="44"/>
      <c r="Y287" s="44"/>
      <c r="AA287" s="2" t="s">
        <v>6</v>
      </c>
      <c r="AB287" s="2" t="str">
        <f t="shared" si="300"/>
        <v>-</v>
      </c>
      <c r="AC287" s="2" t="s">
        <v>28</v>
      </c>
      <c r="AD287" s="2" t="str">
        <f t="shared" si="307"/>
        <v>_</v>
      </c>
      <c r="AE287" s="2" t="s">
        <v>13</v>
      </c>
      <c r="AF287" s="2" t="str">
        <f t="shared" si="308"/>
        <v>_</v>
      </c>
      <c r="AG287" s="2" t="s">
        <v>24</v>
      </c>
      <c r="AH287" s="2" t="str">
        <f t="shared" si="318"/>
        <v/>
      </c>
      <c r="AI287" s="2"/>
    </row>
    <row r="288" spans="1:35" x14ac:dyDescent="0.25">
      <c r="B288" s="2"/>
      <c r="AB288" s="28" t="str">
        <f t="shared" si="300"/>
        <v/>
      </c>
      <c r="AD288" s="28" t="str">
        <f t="shared" si="307"/>
        <v/>
      </c>
      <c r="AF288" s="28" t="str">
        <f t="shared" si="308"/>
        <v/>
      </c>
      <c r="AH288" s="28" t="str">
        <f t="shared" si="318"/>
        <v/>
      </c>
    </row>
    <row r="289" spans="2:35" x14ac:dyDescent="0.25">
      <c r="B289" s="2" t="str">
        <f t="shared" ref="B289:B294" si="346">_xlfn.CONCAT("@",AA289,AB289,AC289,AD289,AE289,AF289,AG289,AH289,AI289)</f>
        <v>@color-driveway_case_unpaved_farzoom</v>
      </c>
      <c r="C289" s="139" t="s">
        <v>229</v>
      </c>
      <c r="D289" s="140" t="s">
        <v>231</v>
      </c>
      <c r="F289" s="140" t="s">
        <v>231</v>
      </c>
      <c r="G289" s="139" t="s">
        <v>229</v>
      </c>
      <c r="I289" s="160" t="str">
        <f t="shared" ref="I289:J292" si="347">C289</f>
        <v>"#b99346"</v>
      </c>
      <c r="J289" s="155" t="str">
        <f t="shared" si="347"/>
        <v>"#644507"</v>
      </c>
      <c r="U289" s="44"/>
      <c r="V289" s="44"/>
      <c r="X289" s="44"/>
      <c r="Y289" s="44"/>
      <c r="AA289" s="2" t="s">
        <v>6</v>
      </c>
      <c r="AB289" s="2" t="str">
        <f t="shared" si="300"/>
        <v>-</v>
      </c>
      <c r="AC289" s="2" t="s">
        <v>29</v>
      </c>
      <c r="AD289" s="2" t="str">
        <f t="shared" si="307"/>
        <v>_</v>
      </c>
      <c r="AE289" s="2" t="s">
        <v>17</v>
      </c>
      <c r="AF289" s="2" t="str">
        <f t="shared" si="308"/>
        <v>_</v>
      </c>
      <c r="AG289" s="2" t="s">
        <v>21</v>
      </c>
      <c r="AH289" s="2" t="str">
        <f t="shared" si="318"/>
        <v>_</v>
      </c>
      <c r="AI289" s="28" t="s">
        <v>20</v>
      </c>
    </row>
    <row r="290" spans="2:35" x14ac:dyDescent="0.25">
      <c r="B290" s="2" t="str">
        <f t="shared" si="346"/>
        <v>@color-driveway_case_unpaved</v>
      </c>
      <c r="C290" s="140" t="s">
        <v>231</v>
      </c>
      <c r="D290" s="140" t="s">
        <v>231</v>
      </c>
      <c r="F290" s="72" t="s">
        <v>214</v>
      </c>
      <c r="G290" s="72" t="s">
        <v>214</v>
      </c>
      <c r="I290" s="155" t="str">
        <f t="shared" si="347"/>
        <v>"#644507"</v>
      </c>
      <c r="J290" s="155" t="str">
        <f t="shared" si="347"/>
        <v>"#644507"</v>
      </c>
      <c r="U290" s="44"/>
      <c r="V290" s="44"/>
      <c r="X290" s="44"/>
      <c r="Y290" s="44"/>
      <c r="AA290" s="2" t="s">
        <v>6</v>
      </c>
      <c r="AB290" s="2" t="str">
        <f t="shared" si="300"/>
        <v>-</v>
      </c>
      <c r="AC290" s="2" t="s">
        <v>29</v>
      </c>
      <c r="AD290" s="2" t="str">
        <f t="shared" si="307"/>
        <v>_</v>
      </c>
      <c r="AE290" s="2" t="s">
        <v>17</v>
      </c>
      <c r="AF290" s="2" t="str">
        <f t="shared" si="308"/>
        <v>_</v>
      </c>
      <c r="AG290" s="2" t="s">
        <v>21</v>
      </c>
      <c r="AH290" s="2" t="str">
        <f t="shared" si="318"/>
        <v/>
      </c>
      <c r="AI290" s="2"/>
    </row>
    <row r="291" spans="2:35" x14ac:dyDescent="0.25">
      <c r="B291" s="2" t="str">
        <f t="shared" si="346"/>
        <v>@color-driveway_case_paved_or_uk_farzoom</v>
      </c>
      <c r="C291" s="142" t="s">
        <v>230</v>
      </c>
      <c r="D291" s="72" t="s">
        <v>214</v>
      </c>
      <c r="F291" s="142" t="s">
        <v>230</v>
      </c>
      <c r="G291" s="142" t="s">
        <v>230</v>
      </c>
      <c r="I291" s="161" t="str">
        <f t="shared" si="347"/>
        <v>"#808080"</v>
      </c>
      <c r="J291" s="37" t="str">
        <f t="shared" si="347"/>
        <v>"#000000"</v>
      </c>
      <c r="U291" s="44"/>
      <c r="V291" s="44"/>
      <c r="X291" s="44"/>
      <c r="Y291" s="44"/>
      <c r="AA291" s="2" t="s">
        <v>6</v>
      </c>
      <c r="AB291" s="2" t="str">
        <f t="shared" si="300"/>
        <v>-</v>
      </c>
      <c r="AC291" s="2" t="s">
        <v>29</v>
      </c>
      <c r="AD291" s="2" t="str">
        <f t="shared" si="307"/>
        <v>_</v>
      </c>
      <c r="AE291" s="2" t="s">
        <v>17</v>
      </c>
      <c r="AF291" s="2" t="str">
        <f t="shared" si="308"/>
        <v>_</v>
      </c>
      <c r="AG291" s="2" t="s">
        <v>24</v>
      </c>
      <c r="AH291" s="2" t="str">
        <f t="shared" si="318"/>
        <v>_</v>
      </c>
      <c r="AI291" s="28" t="s">
        <v>20</v>
      </c>
    </row>
    <row r="292" spans="2:35" x14ac:dyDescent="0.25">
      <c r="B292" s="2" t="str">
        <f t="shared" si="346"/>
        <v>@color-driveway_case_paved_or_uk</v>
      </c>
      <c r="C292" s="143" t="s">
        <v>218</v>
      </c>
      <c r="D292" s="72" t="s">
        <v>214</v>
      </c>
      <c r="F292" s="72" t="s">
        <v>214</v>
      </c>
      <c r="G292" s="72" t="s">
        <v>214</v>
      </c>
      <c r="I292" s="162" t="str">
        <f t="shared" si="347"/>
        <v>"#404040"</v>
      </c>
      <c r="J292" s="37" t="str">
        <f t="shared" si="347"/>
        <v>"#000000"</v>
      </c>
      <c r="Q292" s="7"/>
      <c r="U292" s="44"/>
      <c r="V292" s="44"/>
      <c r="X292" s="44"/>
      <c r="Y292" s="44"/>
      <c r="AA292" s="2" t="s">
        <v>6</v>
      </c>
      <c r="AB292" s="2" t="str">
        <f t="shared" si="300"/>
        <v>-</v>
      </c>
      <c r="AC292" s="2" t="s">
        <v>29</v>
      </c>
      <c r="AD292" s="2" t="str">
        <f t="shared" si="307"/>
        <v>_</v>
      </c>
      <c r="AE292" s="2" t="s">
        <v>17</v>
      </c>
      <c r="AF292" s="2" t="str">
        <f t="shared" si="308"/>
        <v>_</v>
      </c>
      <c r="AG292" s="2" t="s">
        <v>24</v>
      </c>
      <c r="AH292" s="2" t="str">
        <f t="shared" si="318"/>
        <v/>
      </c>
      <c r="AI292" s="2"/>
    </row>
    <row r="293" spans="2:35" x14ac:dyDescent="0.25">
      <c r="B293" s="2" t="str">
        <f t="shared" si="346"/>
        <v>@color-driveway_line_unpaved</v>
      </c>
      <c r="C293" s="148" t="s">
        <v>223</v>
      </c>
      <c r="D293" s="38" t="str">
        <f t="shared" ref="D293:D294" si="348">C293</f>
        <v>"#eddfca"</v>
      </c>
      <c r="F293" s="148" t="s">
        <v>223</v>
      </c>
      <c r="G293" s="38" t="str">
        <f t="shared" ref="G293:G294" si="349">F293</f>
        <v>"#eddfca"</v>
      </c>
      <c r="I293" s="148" t="s">
        <v>223</v>
      </c>
      <c r="J293" s="38" t="str">
        <f t="shared" ref="J293:J294" si="350">I293</f>
        <v>"#eddfca"</v>
      </c>
      <c r="U293" s="44"/>
      <c r="V293" s="44"/>
      <c r="X293" s="44"/>
      <c r="Y293" s="44"/>
      <c r="AA293" s="2" t="s">
        <v>6</v>
      </c>
      <c r="AB293" s="2" t="str">
        <f t="shared" si="300"/>
        <v>-</v>
      </c>
      <c r="AC293" s="2" t="s">
        <v>29</v>
      </c>
      <c r="AD293" s="2" t="str">
        <f t="shared" si="307"/>
        <v>_</v>
      </c>
      <c r="AE293" s="2" t="s">
        <v>13</v>
      </c>
      <c r="AF293" s="2" t="str">
        <f t="shared" si="308"/>
        <v>_</v>
      </c>
      <c r="AG293" s="2" t="s">
        <v>21</v>
      </c>
      <c r="AH293" s="2" t="str">
        <f t="shared" si="318"/>
        <v/>
      </c>
      <c r="AI293" s="2"/>
    </row>
    <row r="294" spans="2:35" x14ac:dyDescent="0.25">
      <c r="B294" s="2" t="str">
        <f t="shared" si="346"/>
        <v>@color-driveway_line_paved_or_uk</v>
      </c>
      <c r="C294" s="71" t="s">
        <v>224</v>
      </c>
      <c r="D294" s="38" t="str">
        <f t="shared" si="348"/>
        <v>"#ffffff"</v>
      </c>
      <c r="F294" s="71" t="s">
        <v>224</v>
      </c>
      <c r="G294" s="38" t="str">
        <f t="shared" si="349"/>
        <v>"#ffffff"</v>
      </c>
      <c r="I294" s="71" t="s">
        <v>224</v>
      </c>
      <c r="J294" s="38" t="str">
        <f t="shared" si="350"/>
        <v>"#ffffff"</v>
      </c>
      <c r="U294" s="44"/>
      <c r="V294" s="44"/>
      <c r="X294" s="44"/>
      <c r="Y294" s="44"/>
      <c r="AA294" s="2" t="s">
        <v>6</v>
      </c>
      <c r="AB294" s="2" t="str">
        <f t="shared" si="300"/>
        <v>-</v>
      </c>
      <c r="AC294" s="2" t="s">
        <v>29</v>
      </c>
      <c r="AD294" s="2" t="str">
        <f t="shared" si="307"/>
        <v>_</v>
      </c>
      <c r="AE294" s="2" t="s">
        <v>13</v>
      </c>
      <c r="AF294" s="2" t="str">
        <f t="shared" si="308"/>
        <v>_</v>
      </c>
      <c r="AG294" s="2" t="s">
        <v>24</v>
      </c>
      <c r="AH294" s="2" t="str">
        <f t="shared" si="318"/>
        <v/>
      </c>
      <c r="AI294" s="2"/>
    </row>
    <row r="295" spans="2:35" x14ac:dyDescent="0.25">
      <c r="B295" s="2"/>
      <c r="AB295" s="28" t="str">
        <f t="shared" ref="AB295:AB308" si="351">IF(NOT(ISBLANK(AC295)),"-","")</f>
        <v/>
      </c>
      <c r="AD295" s="28" t="str">
        <f t="shared" ref="AD295:AD308" si="352">IF(NOT(ISBLANK(AE295)),"_","")</f>
        <v/>
      </c>
      <c r="AF295" s="28" t="str">
        <f t="shared" ref="AF295:AF308" si="353">IF(NOT(ISBLANK(AG295)),"_","")</f>
        <v/>
      </c>
      <c r="AH295" s="28" t="str">
        <f t="shared" si="318"/>
        <v/>
      </c>
    </row>
    <row r="296" spans="2:35" x14ac:dyDescent="0.25">
      <c r="B296" s="2" t="str">
        <f t="shared" ref="B296:B301" si="354">_xlfn.CONCAT("@",AA296,AB296,AC296,AD296,AE296,AF296,AG296,AH296,AI296)</f>
        <v>@color-busway_case_unpaved_farzoom</v>
      </c>
      <c r="C296" s="139" t="s">
        <v>229</v>
      </c>
      <c r="D296" s="140" t="s">
        <v>231</v>
      </c>
      <c r="F296" s="140" t="s">
        <v>231</v>
      </c>
      <c r="G296" s="139" t="s">
        <v>229</v>
      </c>
      <c r="I296" s="160" t="str">
        <f t="shared" ref="I296:I299" si="355">C296</f>
        <v>"#b99346"</v>
      </c>
      <c r="J296" s="155" t="str">
        <f t="shared" ref="J296:J299" si="356">D296</f>
        <v>"#644507"</v>
      </c>
      <c r="U296" s="44"/>
      <c r="V296" s="44"/>
      <c r="X296" s="44"/>
      <c r="Y296" s="44"/>
      <c r="AA296" s="2" t="s">
        <v>6</v>
      </c>
      <c r="AB296" s="2" t="str">
        <f t="shared" si="351"/>
        <v>-</v>
      </c>
      <c r="AC296" s="2" t="s">
        <v>372</v>
      </c>
      <c r="AD296" s="2" t="str">
        <f t="shared" si="352"/>
        <v>_</v>
      </c>
      <c r="AE296" s="2" t="s">
        <v>17</v>
      </c>
      <c r="AF296" s="2" t="str">
        <f t="shared" si="353"/>
        <v>_</v>
      </c>
      <c r="AG296" s="2" t="s">
        <v>21</v>
      </c>
      <c r="AH296" s="2" t="str">
        <f t="shared" ref="AH296:AH302" si="357">IF(NOT(ISBLANK(AI296)),"_","")</f>
        <v>_</v>
      </c>
      <c r="AI296" s="28" t="s">
        <v>20</v>
      </c>
    </row>
    <row r="297" spans="2:35" x14ac:dyDescent="0.25">
      <c r="B297" s="2" t="str">
        <f t="shared" si="354"/>
        <v>@color-busway_case_unpaved</v>
      </c>
      <c r="C297" s="140" t="s">
        <v>231</v>
      </c>
      <c r="D297" s="140" t="s">
        <v>231</v>
      </c>
      <c r="F297" s="72" t="s">
        <v>214</v>
      </c>
      <c r="G297" s="72" t="s">
        <v>214</v>
      </c>
      <c r="I297" s="155" t="str">
        <f t="shared" si="355"/>
        <v>"#644507"</v>
      </c>
      <c r="J297" s="155" t="str">
        <f t="shared" si="356"/>
        <v>"#644507"</v>
      </c>
      <c r="U297" s="44"/>
      <c r="V297" s="44"/>
      <c r="X297" s="44"/>
      <c r="Y297" s="44"/>
      <c r="AA297" s="2" t="s">
        <v>6</v>
      </c>
      <c r="AB297" s="2" t="str">
        <f t="shared" si="351"/>
        <v>-</v>
      </c>
      <c r="AC297" s="2" t="s">
        <v>372</v>
      </c>
      <c r="AD297" s="2" t="str">
        <f t="shared" si="352"/>
        <v>_</v>
      </c>
      <c r="AE297" s="2" t="s">
        <v>17</v>
      </c>
      <c r="AF297" s="2" t="str">
        <f t="shared" si="353"/>
        <v>_</v>
      </c>
      <c r="AG297" s="2" t="s">
        <v>21</v>
      </c>
      <c r="AH297" s="2" t="str">
        <f t="shared" si="357"/>
        <v/>
      </c>
      <c r="AI297" s="2"/>
    </row>
    <row r="298" spans="2:35" x14ac:dyDescent="0.25">
      <c r="B298" s="2" t="str">
        <f t="shared" si="354"/>
        <v>@color-busway_case_paved_or_uk_farzoom</v>
      </c>
      <c r="C298" s="142" t="s">
        <v>230</v>
      </c>
      <c r="D298" s="72" t="s">
        <v>214</v>
      </c>
      <c r="F298" s="142" t="s">
        <v>230</v>
      </c>
      <c r="G298" s="142" t="s">
        <v>230</v>
      </c>
      <c r="I298" s="161" t="str">
        <f t="shared" si="355"/>
        <v>"#808080"</v>
      </c>
      <c r="J298" s="37" t="str">
        <f t="shared" si="356"/>
        <v>"#000000"</v>
      </c>
      <c r="U298" s="44"/>
      <c r="V298" s="44"/>
      <c r="X298" s="44"/>
      <c r="Y298" s="44"/>
      <c r="AA298" s="2" t="s">
        <v>6</v>
      </c>
      <c r="AB298" s="2" t="str">
        <f t="shared" si="351"/>
        <v>-</v>
      </c>
      <c r="AC298" s="2" t="s">
        <v>372</v>
      </c>
      <c r="AD298" s="2" t="str">
        <f t="shared" si="352"/>
        <v>_</v>
      </c>
      <c r="AE298" s="2" t="s">
        <v>17</v>
      </c>
      <c r="AF298" s="2" t="str">
        <f t="shared" si="353"/>
        <v>_</v>
      </c>
      <c r="AG298" s="2" t="s">
        <v>24</v>
      </c>
      <c r="AH298" s="2" t="str">
        <f t="shared" si="357"/>
        <v>_</v>
      </c>
      <c r="AI298" s="28" t="s">
        <v>20</v>
      </c>
    </row>
    <row r="299" spans="2:35" x14ac:dyDescent="0.25">
      <c r="B299" s="2" t="str">
        <f t="shared" si="354"/>
        <v>@color-busway_case_paved_or_uk</v>
      </c>
      <c r="C299" s="143" t="s">
        <v>218</v>
      </c>
      <c r="D299" s="72" t="s">
        <v>214</v>
      </c>
      <c r="F299" s="72" t="s">
        <v>214</v>
      </c>
      <c r="G299" s="72" t="s">
        <v>214</v>
      </c>
      <c r="I299" s="162" t="str">
        <f t="shared" si="355"/>
        <v>"#404040"</v>
      </c>
      <c r="J299" s="37" t="str">
        <f t="shared" si="356"/>
        <v>"#000000"</v>
      </c>
      <c r="Q299" s="7"/>
      <c r="U299" s="44"/>
      <c r="V299" s="44"/>
      <c r="X299" s="44"/>
      <c r="Y299" s="44"/>
      <c r="AA299" s="2" t="s">
        <v>6</v>
      </c>
      <c r="AB299" s="2" t="str">
        <f t="shared" si="351"/>
        <v>-</v>
      </c>
      <c r="AC299" s="2" t="s">
        <v>372</v>
      </c>
      <c r="AD299" s="2" t="str">
        <f t="shared" si="352"/>
        <v>_</v>
      </c>
      <c r="AE299" s="2" t="s">
        <v>17</v>
      </c>
      <c r="AF299" s="2" t="str">
        <f t="shared" si="353"/>
        <v>_</v>
      </c>
      <c r="AG299" s="2" t="s">
        <v>24</v>
      </c>
      <c r="AH299" s="2" t="str">
        <f t="shared" si="357"/>
        <v/>
      </c>
      <c r="AI299" s="2"/>
    </row>
    <row r="300" spans="2:35" x14ac:dyDescent="0.25">
      <c r="B300" s="2" t="str">
        <f t="shared" si="354"/>
        <v>@color-busway_line_unpaved</v>
      </c>
      <c r="C300" s="148" t="s">
        <v>223</v>
      </c>
      <c r="D300" s="38" t="str">
        <f t="shared" ref="D300:D301" si="358">C300</f>
        <v>"#eddfca"</v>
      </c>
      <c r="F300" s="148" t="s">
        <v>223</v>
      </c>
      <c r="G300" s="38" t="str">
        <f t="shared" ref="G300:G301" si="359">F300</f>
        <v>"#eddfca"</v>
      </c>
      <c r="I300" s="148" t="s">
        <v>223</v>
      </c>
      <c r="J300" s="38" t="str">
        <f t="shared" ref="J300:J301" si="360">I300</f>
        <v>"#eddfca"</v>
      </c>
      <c r="U300" s="44"/>
      <c r="V300" s="44"/>
      <c r="X300" s="44"/>
      <c r="Y300" s="44"/>
      <c r="AA300" s="2" t="s">
        <v>6</v>
      </c>
      <c r="AB300" s="2" t="str">
        <f t="shared" si="351"/>
        <v>-</v>
      </c>
      <c r="AC300" s="2" t="s">
        <v>372</v>
      </c>
      <c r="AD300" s="2" t="str">
        <f t="shared" si="352"/>
        <v>_</v>
      </c>
      <c r="AE300" s="2" t="s">
        <v>13</v>
      </c>
      <c r="AF300" s="2" t="str">
        <f t="shared" si="353"/>
        <v>_</v>
      </c>
      <c r="AG300" s="2" t="s">
        <v>21</v>
      </c>
      <c r="AH300" s="2" t="str">
        <f t="shared" si="357"/>
        <v/>
      </c>
      <c r="AI300" s="2"/>
    </row>
    <row r="301" spans="2:35" x14ac:dyDescent="0.25">
      <c r="B301" s="2" t="str">
        <f t="shared" si="354"/>
        <v>@color-busway_line_paved_or_uk</v>
      </c>
      <c r="C301" s="71" t="s">
        <v>224</v>
      </c>
      <c r="D301" s="38" t="str">
        <f t="shared" si="358"/>
        <v>"#ffffff"</v>
      </c>
      <c r="F301" s="71" t="s">
        <v>224</v>
      </c>
      <c r="G301" s="38" t="str">
        <f t="shared" si="359"/>
        <v>"#ffffff"</v>
      </c>
      <c r="I301" s="71" t="s">
        <v>224</v>
      </c>
      <c r="J301" s="38" t="str">
        <f t="shared" si="360"/>
        <v>"#ffffff"</v>
      </c>
      <c r="U301" s="44"/>
      <c r="V301" s="44"/>
      <c r="X301" s="44"/>
      <c r="Y301" s="44"/>
      <c r="AA301" s="2" t="s">
        <v>6</v>
      </c>
      <c r="AB301" s="2" t="str">
        <f t="shared" si="351"/>
        <v>-</v>
      </c>
      <c r="AC301" s="2" t="s">
        <v>372</v>
      </c>
      <c r="AD301" s="2" t="str">
        <f t="shared" si="352"/>
        <v>_</v>
      </c>
      <c r="AE301" s="2" t="s">
        <v>13</v>
      </c>
      <c r="AF301" s="2" t="str">
        <f t="shared" si="353"/>
        <v>_</v>
      </c>
      <c r="AG301" s="2" t="s">
        <v>24</v>
      </c>
      <c r="AH301" s="2" t="str">
        <f t="shared" si="357"/>
        <v/>
      </c>
      <c r="AI301" s="2"/>
    </row>
    <row r="302" spans="2:35" x14ac:dyDescent="0.25">
      <c r="B302" s="2"/>
      <c r="AB302" s="28" t="str">
        <f t="shared" ref="AB302" si="361">IF(NOT(ISBLANK(AC302)),"-","")</f>
        <v/>
      </c>
      <c r="AD302" s="28" t="str">
        <f t="shared" ref="AD302" si="362">IF(NOT(ISBLANK(AE302)),"_","")</f>
        <v/>
      </c>
      <c r="AF302" s="28" t="str">
        <f t="shared" ref="AF302" si="363">IF(NOT(ISBLANK(AG302)),"_","")</f>
        <v/>
      </c>
      <c r="AH302" s="28" t="str">
        <f t="shared" si="357"/>
        <v/>
      </c>
    </row>
    <row r="303" spans="2:35" x14ac:dyDescent="0.25">
      <c r="B303" s="2" t="str">
        <f t="shared" ref="B303:B308" si="364">_xlfn.CONCAT("@",AA303,AB303,AC303,AD303,AE303,AF303,AG303,AH303,AI303)</f>
        <v>@color-service_case_unpaved_farzoom</v>
      </c>
      <c r="C303" s="139" t="s">
        <v>229</v>
      </c>
      <c r="D303" s="140" t="s">
        <v>231</v>
      </c>
      <c r="F303" s="140" t="s">
        <v>231</v>
      </c>
      <c r="G303" s="139" t="s">
        <v>229</v>
      </c>
      <c r="I303" s="160" t="str">
        <f t="shared" ref="I303:J306" si="365">C303</f>
        <v>"#b99346"</v>
      </c>
      <c r="J303" s="155" t="str">
        <f t="shared" si="365"/>
        <v>"#644507"</v>
      </c>
      <c r="U303" s="44"/>
      <c r="V303" s="44"/>
      <c r="X303" s="44"/>
      <c r="Y303" s="44"/>
      <c r="AA303" s="2" t="s">
        <v>6</v>
      </c>
      <c r="AB303" s="2" t="str">
        <f t="shared" si="351"/>
        <v>-</v>
      </c>
      <c r="AC303" s="2" t="s">
        <v>30</v>
      </c>
      <c r="AD303" s="2" t="str">
        <f t="shared" si="352"/>
        <v>_</v>
      </c>
      <c r="AE303" s="2" t="s">
        <v>17</v>
      </c>
      <c r="AF303" s="2" t="str">
        <f t="shared" si="353"/>
        <v>_</v>
      </c>
      <c r="AG303" s="2" t="s">
        <v>21</v>
      </c>
      <c r="AH303" s="2" t="str">
        <f t="shared" si="318"/>
        <v>_</v>
      </c>
      <c r="AI303" s="28" t="s">
        <v>20</v>
      </c>
    </row>
    <row r="304" spans="2:35" x14ac:dyDescent="0.25">
      <c r="B304" s="2" t="str">
        <f t="shared" si="364"/>
        <v>@color-service_case_unpaved</v>
      </c>
      <c r="C304" s="140" t="s">
        <v>231</v>
      </c>
      <c r="D304" s="140" t="s">
        <v>231</v>
      </c>
      <c r="F304" s="72" t="s">
        <v>214</v>
      </c>
      <c r="G304" s="72" t="s">
        <v>214</v>
      </c>
      <c r="I304" s="155" t="str">
        <f t="shared" si="365"/>
        <v>"#644507"</v>
      </c>
      <c r="J304" s="155" t="str">
        <f t="shared" si="365"/>
        <v>"#644507"</v>
      </c>
      <c r="U304" s="44"/>
      <c r="V304" s="44"/>
      <c r="X304" s="44"/>
      <c r="Y304" s="44"/>
      <c r="AA304" s="2" t="s">
        <v>6</v>
      </c>
      <c r="AB304" s="2" t="str">
        <f t="shared" si="351"/>
        <v>-</v>
      </c>
      <c r="AC304" s="2" t="s">
        <v>30</v>
      </c>
      <c r="AD304" s="2" t="str">
        <f t="shared" si="352"/>
        <v>_</v>
      </c>
      <c r="AE304" s="2" t="s">
        <v>17</v>
      </c>
      <c r="AF304" s="2" t="str">
        <f t="shared" si="353"/>
        <v>_</v>
      </c>
      <c r="AG304" s="2" t="s">
        <v>21</v>
      </c>
      <c r="AH304" s="2" t="str">
        <f t="shared" si="318"/>
        <v/>
      </c>
      <c r="AI304" s="2"/>
    </row>
    <row r="305" spans="1:35" x14ac:dyDescent="0.25">
      <c r="B305" s="2" t="str">
        <f t="shared" si="364"/>
        <v>@color-service_case_paved_or_uk_farzoom</v>
      </c>
      <c r="C305" s="142" t="s">
        <v>230</v>
      </c>
      <c r="D305" s="72" t="s">
        <v>214</v>
      </c>
      <c r="F305" s="72" t="s">
        <v>214</v>
      </c>
      <c r="G305" s="72" t="s">
        <v>214</v>
      </c>
      <c r="I305" s="161" t="str">
        <f t="shared" si="365"/>
        <v>"#808080"</v>
      </c>
      <c r="J305" s="37" t="str">
        <f t="shared" si="365"/>
        <v>"#000000"</v>
      </c>
      <c r="U305" s="44"/>
      <c r="V305" s="44"/>
      <c r="X305" s="44"/>
      <c r="Y305" s="44"/>
      <c r="AA305" s="2" t="s">
        <v>6</v>
      </c>
      <c r="AB305" s="2" t="str">
        <f t="shared" si="351"/>
        <v>-</v>
      </c>
      <c r="AC305" s="2" t="s">
        <v>30</v>
      </c>
      <c r="AD305" s="2" t="str">
        <f t="shared" si="352"/>
        <v>_</v>
      </c>
      <c r="AE305" s="2" t="s">
        <v>17</v>
      </c>
      <c r="AF305" s="2" t="str">
        <f t="shared" si="353"/>
        <v>_</v>
      </c>
      <c r="AG305" s="2" t="s">
        <v>24</v>
      </c>
      <c r="AH305" s="2" t="str">
        <f t="shared" si="318"/>
        <v>_</v>
      </c>
      <c r="AI305" s="28" t="s">
        <v>20</v>
      </c>
    </row>
    <row r="306" spans="1:35" x14ac:dyDescent="0.25">
      <c r="B306" s="2" t="str">
        <f t="shared" si="364"/>
        <v>@color-service_case_paved_or_uk</v>
      </c>
      <c r="C306" s="143" t="s">
        <v>218</v>
      </c>
      <c r="D306" s="72" t="s">
        <v>214</v>
      </c>
      <c r="F306" s="72" t="s">
        <v>214</v>
      </c>
      <c r="G306" s="72" t="s">
        <v>214</v>
      </c>
      <c r="I306" s="162" t="str">
        <f t="shared" si="365"/>
        <v>"#404040"</v>
      </c>
      <c r="J306" s="37" t="str">
        <f t="shared" si="365"/>
        <v>"#000000"</v>
      </c>
      <c r="Q306" s="7"/>
      <c r="U306" s="44"/>
      <c r="V306" s="44"/>
      <c r="X306" s="44"/>
      <c r="Y306" s="44"/>
      <c r="AA306" s="2" t="s">
        <v>6</v>
      </c>
      <c r="AB306" s="2" t="str">
        <f t="shared" si="351"/>
        <v>-</v>
      </c>
      <c r="AC306" s="2" t="s">
        <v>30</v>
      </c>
      <c r="AD306" s="2" t="str">
        <f t="shared" si="352"/>
        <v>_</v>
      </c>
      <c r="AE306" s="2" t="s">
        <v>17</v>
      </c>
      <c r="AF306" s="2" t="str">
        <f t="shared" si="353"/>
        <v>_</v>
      </c>
      <c r="AG306" s="2" t="s">
        <v>24</v>
      </c>
      <c r="AH306" s="2" t="str">
        <f t="shared" si="318"/>
        <v/>
      </c>
      <c r="AI306" s="2"/>
    </row>
    <row r="307" spans="1:35" x14ac:dyDescent="0.25">
      <c r="B307" s="2" t="str">
        <f t="shared" si="364"/>
        <v>@color-service_line_unpaved</v>
      </c>
      <c r="C307" s="148" t="s">
        <v>223</v>
      </c>
      <c r="D307" s="38" t="str">
        <f t="shared" ref="D307:D308" si="366">C307</f>
        <v>"#eddfca"</v>
      </c>
      <c r="F307" s="148" t="s">
        <v>223</v>
      </c>
      <c r="G307" s="38" t="str">
        <f t="shared" ref="G307:G308" si="367">F307</f>
        <v>"#eddfca"</v>
      </c>
      <c r="I307" s="149" t="str">
        <f>C307</f>
        <v>"#eddfca"</v>
      </c>
      <c r="J307" s="38" t="str">
        <f t="shared" ref="J307:J308" si="368">C307</f>
        <v>"#eddfca"</v>
      </c>
      <c r="U307" s="44"/>
      <c r="V307" s="44"/>
      <c r="X307" s="44"/>
      <c r="Y307" s="44"/>
      <c r="AA307" s="2" t="s">
        <v>6</v>
      </c>
      <c r="AB307" s="2" t="str">
        <f t="shared" si="351"/>
        <v>-</v>
      </c>
      <c r="AC307" s="2" t="s">
        <v>30</v>
      </c>
      <c r="AD307" s="2" t="str">
        <f t="shared" si="352"/>
        <v>_</v>
      </c>
      <c r="AE307" s="2" t="s">
        <v>13</v>
      </c>
      <c r="AF307" s="2" t="str">
        <f t="shared" si="353"/>
        <v>_</v>
      </c>
      <c r="AG307" s="2" t="s">
        <v>21</v>
      </c>
      <c r="AH307" s="2" t="str">
        <f t="shared" si="318"/>
        <v/>
      </c>
      <c r="AI307" s="2"/>
    </row>
    <row r="308" spans="1:35" x14ac:dyDescent="0.25">
      <c r="B308" s="2" t="str">
        <f t="shared" si="364"/>
        <v>@color-service_line_paved_or_uk</v>
      </c>
      <c r="C308" s="71" t="s">
        <v>224</v>
      </c>
      <c r="D308" s="38" t="str">
        <f t="shared" si="366"/>
        <v>"#ffffff"</v>
      </c>
      <c r="F308" s="71" t="s">
        <v>224</v>
      </c>
      <c r="G308" s="38" t="str">
        <f t="shared" si="367"/>
        <v>"#ffffff"</v>
      </c>
      <c r="I308" s="38" t="str">
        <f>C308</f>
        <v>"#ffffff"</v>
      </c>
      <c r="J308" s="38" t="str">
        <f t="shared" si="368"/>
        <v>"#ffffff"</v>
      </c>
      <c r="U308" s="44"/>
      <c r="V308" s="44"/>
      <c r="X308" s="44"/>
      <c r="Y308" s="44"/>
      <c r="AA308" s="2" t="s">
        <v>6</v>
      </c>
      <c r="AB308" s="2" t="str">
        <f t="shared" si="351"/>
        <v>-</v>
      </c>
      <c r="AC308" s="2" t="s">
        <v>30</v>
      </c>
      <c r="AD308" s="2" t="str">
        <f t="shared" si="352"/>
        <v>_</v>
      </c>
      <c r="AE308" s="2" t="s">
        <v>13</v>
      </c>
      <c r="AF308" s="2" t="str">
        <f t="shared" si="353"/>
        <v>_</v>
      </c>
      <c r="AG308" s="2" t="s">
        <v>24</v>
      </c>
      <c r="AH308" s="2" t="str">
        <f t="shared" si="318"/>
        <v/>
      </c>
      <c r="AI308" s="2"/>
    </row>
    <row r="309" spans="1:35" x14ac:dyDescent="0.25">
      <c r="B309" s="2"/>
      <c r="AB309" s="28" t="str">
        <f t="shared" si="300"/>
        <v/>
      </c>
      <c r="AD309" s="28" t="str">
        <f t="shared" si="307"/>
        <v/>
      </c>
      <c r="AF309" s="28" t="str">
        <f t="shared" si="308"/>
        <v/>
      </c>
      <c r="AH309" s="28" t="str">
        <f t="shared" si="318"/>
        <v/>
      </c>
    </row>
    <row r="310" spans="1:35" x14ac:dyDescent="0.25">
      <c r="B310" s="2" t="str">
        <f t="shared" ref="B310:B315" si="369">_xlfn.CONCAT("@",AA310,AB310,AC310,AD310,AE310,AF310,AG310,AH310,AI310)</f>
        <v>@color-minor_case_unpaved_farzoom</v>
      </c>
      <c r="C310" s="139" t="s">
        <v>229</v>
      </c>
      <c r="D310" s="140" t="s">
        <v>231</v>
      </c>
      <c r="F310" s="140" t="s">
        <v>231</v>
      </c>
      <c r="G310" s="139" t="s">
        <v>229</v>
      </c>
      <c r="I310" s="160" t="str">
        <f t="shared" ref="I310:J313" si="370">C310</f>
        <v>"#b99346"</v>
      </c>
      <c r="J310" s="155" t="str">
        <f t="shared" si="370"/>
        <v>"#644507"</v>
      </c>
      <c r="U310" s="44"/>
      <c r="V310" s="44"/>
      <c r="X310" s="44"/>
      <c r="Y310" s="44"/>
      <c r="AA310" s="2" t="s">
        <v>6</v>
      </c>
      <c r="AB310" s="2" t="str">
        <f t="shared" ref="AB310" si="371">IF(NOT(ISBLANK(AC310)),"-","")</f>
        <v>-</v>
      </c>
      <c r="AC310" s="2" t="s">
        <v>31</v>
      </c>
      <c r="AD310" s="2" t="str">
        <f t="shared" ref="AD310" si="372">IF(NOT(ISBLANK(AE310)),"_","")</f>
        <v>_</v>
      </c>
      <c r="AE310" s="2" t="s">
        <v>17</v>
      </c>
      <c r="AF310" s="2" t="str">
        <f t="shared" ref="AF310" si="373">IF(NOT(ISBLANK(AG310)),"_","")</f>
        <v>_</v>
      </c>
      <c r="AG310" s="2" t="s">
        <v>21</v>
      </c>
      <c r="AH310" s="2" t="str">
        <f t="shared" si="318"/>
        <v>_</v>
      </c>
      <c r="AI310" s="28" t="s">
        <v>20</v>
      </c>
    </row>
    <row r="311" spans="1:35" x14ac:dyDescent="0.25">
      <c r="B311" s="2" t="str">
        <f t="shared" si="369"/>
        <v>@color-minor_case_unpaved_default</v>
      </c>
      <c r="C311" s="140" t="s">
        <v>231</v>
      </c>
      <c r="D311" s="140" t="s">
        <v>231</v>
      </c>
      <c r="F311" s="72" t="s">
        <v>214</v>
      </c>
      <c r="G311" s="72" t="s">
        <v>214</v>
      </c>
      <c r="I311" s="155" t="str">
        <f t="shared" si="370"/>
        <v>"#644507"</v>
      </c>
      <c r="J311" s="155" t="str">
        <f t="shared" si="370"/>
        <v>"#644507"</v>
      </c>
      <c r="U311" s="44"/>
      <c r="V311" s="44"/>
      <c r="X311" s="44"/>
      <c r="Y311" s="44"/>
      <c r="AA311" s="2" t="s">
        <v>6</v>
      </c>
      <c r="AB311" s="2" t="str">
        <f t="shared" si="300"/>
        <v>-</v>
      </c>
      <c r="AC311" s="2" t="s">
        <v>31</v>
      </c>
      <c r="AD311" s="2" t="str">
        <f t="shared" si="307"/>
        <v>_</v>
      </c>
      <c r="AE311" s="2" t="s">
        <v>17</v>
      </c>
      <c r="AF311" s="2" t="str">
        <f t="shared" si="308"/>
        <v>_</v>
      </c>
      <c r="AG311" s="2" t="s">
        <v>21</v>
      </c>
      <c r="AH311" s="2" t="str">
        <f t="shared" si="318"/>
        <v>_</v>
      </c>
      <c r="AI311" s="28" t="s">
        <v>264</v>
      </c>
    </row>
    <row r="312" spans="1:35" x14ac:dyDescent="0.25">
      <c r="B312" s="2" t="str">
        <f t="shared" si="369"/>
        <v>@color-minor_case_paved_or_uk_farzoom</v>
      </c>
      <c r="C312" s="142" t="s">
        <v>230</v>
      </c>
      <c r="D312" s="72" t="s">
        <v>214</v>
      </c>
      <c r="F312" s="142" t="s">
        <v>230</v>
      </c>
      <c r="G312" s="142" t="s">
        <v>230</v>
      </c>
      <c r="I312" s="161" t="str">
        <f t="shared" si="370"/>
        <v>"#808080"</v>
      </c>
      <c r="J312" s="37" t="str">
        <f t="shared" si="370"/>
        <v>"#000000"</v>
      </c>
      <c r="U312" s="44"/>
      <c r="V312" s="44"/>
      <c r="X312" s="44"/>
      <c r="Y312" s="44"/>
      <c r="AA312" s="2" t="s">
        <v>6</v>
      </c>
      <c r="AB312" s="2" t="str">
        <f t="shared" ref="AB312" si="374">IF(NOT(ISBLANK(AC312)),"-","")</f>
        <v>-</v>
      </c>
      <c r="AC312" s="2" t="s">
        <v>31</v>
      </c>
      <c r="AD312" s="2" t="str">
        <f t="shared" ref="AD312" si="375">IF(NOT(ISBLANK(AE312)),"_","")</f>
        <v>_</v>
      </c>
      <c r="AE312" s="2" t="s">
        <v>17</v>
      </c>
      <c r="AF312" s="2" t="str">
        <f t="shared" ref="AF312" si="376">IF(NOT(ISBLANK(AG312)),"_","")</f>
        <v>_</v>
      </c>
      <c r="AG312" s="2" t="s">
        <v>24</v>
      </c>
      <c r="AH312" s="2" t="str">
        <f t="shared" si="318"/>
        <v>_</v>
      </c>
      <c r="AI312" s="28" t="s">
        <v>20</v>
      </c>
    </row>
    <row r="313" spans="1:35" x14ac:dyDescent="0.25">
      <c r="B313" s="2" t="str">
        <f t="shared" si="369"/>
        <v>@color-minor_case_paved_or_uk_default</v>
      </c>
      <c r="C313" s="143" t="s">
        <v>218</v>
      </c>
      <c r="D313" s="72" t="s">
        <v>214</v>
      </c>
      <c r="F313" s="72" t="s">
        <v>214</v>
      </c>
      <c r="G313" s="72" t="s">
        <v>214</v>
      </c>
      <c r="I313" s="162" t="str">
        <f t="shared" si="370"/>
        <v>"#404040"</v>
      </c>
      <c r="J313" s="37" t="str">
        <f t="shared" si="370"/>
        <v>"#000000"</v>
      </c>
      <c r="U313" s="44"/>
      <c r="V313" s="44"/>
      <c r="X313" s="44"/>
      <c r="Y313" s="44"/>
      <c r="AA313" s="2" t="s">
        <v>6</v>
      </c>
      <c r="AB313" s="2" t="str">
        <f t="shared" si="300"/>
        <v>-</v>
      </c>
      <c r="AC313" s="2" t="s">
        <v>31</v>
      </c>
      <c r="AD313" s="2" t="str">
        <f t="shared" si="307"/>
        <v>_</v>
      </c>
      <c r="AE313" s="2" t="s">
        <v>17</v>
      </c>
      <c r="AF313" s="2" t="str">
        <f t="shared" si="308"/>
        <v>_</v>
      </c>
      <c r="AG313" s="2" t="s">
        <v>24</v>
      </c>
      <c r="AH313" s="2" t="str">
        <f t="shared" si="318"/>
        <v>_</v>
      </c>
      <c r="AI313" s="28" t="s">
        <v>264</v>
      </c>
    </row>
    <row r="314" spans="1:35" x14ac:dyDescent="0.25">
      <c r="B314" s="2" t="str">
        <f t="shared" si="369"/>
        <v>@color-minor_line_unpaved</v>
      </c>
      <c r="C314" s="148" t="s">
        <v>223</v>
      </c>
      <c r="D314" s="38" t="str">
        <f t="shared" ref="D314:D315" si="377">C314</f>
        <v>"#eddfca"</v>
      </c>
      <c r="F314" s="148" t="s">
        <v>223</v>
      </c>
      <c r="G314" s="38" t="str">
        <f t="shared" ref="G314:G315" si="378">F314</f>
        <v>"#eddfca"</v>
      </c>
      <c r="I314" s="149" t="str">
        <f>C314</f>
        <v>"#eddfca"</v>
      </c>
      <c r="J314" s="38" t="str">
        <f t="shared" ref="J314:J315" si="379">C314</f>
        <v>"#eddfca"</v>
      </c>
      <c r="U314" s="44"/>
      <c r="V314" s="44"/>
      <c r="X314" s="44"/>
      <c r="Y314" s="44"/>
      <c r="AA314" s="2" t="s">
        <v>6</v>
      </c>
      <c r="AB314" s="2" t="str">
        <f t="shared" si="300"/>
        <v>-</v>
      </c>
      <c r="AC314" s="2" t="s">
        <v>31</v>
      </c>
      <c r="AD314" s="2" t="str">
        <f t="shared" si="307"/>
        <v>_</v>
      </c>
      <c r="AE314" s="2" t="s">
        <v>13</v>
      </c>
      <c r="AF314" s="2" t="str">
        <f t="shared" si="308"/>
        <v>_</v>
      </c>
      <c r="AG314" s="2" t="s">
        <v>21</v>
      </c>
      <c r="AH314" s="2" t="str">
        <f t="shared" si="318"/>
        <v/>
      </c>
      <c r="AI314" s="2"/>
    </row>
    <row r="315" spans="1:35" x14ac:dyDescent="0.25">
      <c r="B315" s="2" t="str">
        <f t="shared" si="369"/>
        <v>@color-minor_line_paved_or_uk</v>
      </c>
      <c r="C315" s="71" t="s">
        <v>224</v>
      </c>
      <c r="D315" s="38" t="str">
        <f t="shared" si="377"/>
        <v>"#ffffff"</v>
      </c>
      <c r="F315" s="71" t="s">
        <v>224</v>
      </c>
      <c r="G315" s="38" t="str">
        <f t="shared" si="378"/>
        <v>"#ffffff"</v>
      </c>
      <c r="I315" s="38" t="str">
        <f>C315</f>
        <v>"#ffffff"</v>
      </c>
      <c r="J315" s="38" t="str">
        <f t="shared" si="379"/>
        <v>"#ffffff"</v>
      </c>
      <c r="U315" s="44"/>
      <c r="V315" s="44"/>
      <c r="X315" s="44"/>
      <c r="Y315" s="44"/>
      <c r="AA315" s="2" t="s">
        <v>6</v>
      </c>
      <c r="AB315" s="2" t="str">
        <f t="shared" si="300"/>
        <v>-</v>
      </c>
      <c r="AC315" s="2" t="s">
        <v>31</v>
      </c>
      <c r="AD315" s="2" t="str">
        <f t="shared" si="307"/>
        <v>_</v>
      </c>
      <c r="AE315" s="2" t="s">
        <v>13</v>
      </c>
      <c r="AF315" s="2" t="str">
        <f t="shared" si="308"/>
        <v>_</v>
      </c>
      <c r="AG315" s="2" t="s">
        <v>24</v>
      </c>
      <c r="AH315" s="2" t="str">
        <f t="shared" si="318"/>
        <v/>
      </c>
      <c r="AI315" s="2"/>
    </row>
    <row r="316" spans="1:35" x14ac:dyDescent="0.25">
      <c r="B316" s="2"/>
      <c r="AB316" s="28" t="str">
        <f t="shared" si="300"/>
        <v/>
      </c>
      <c r="AD316" s="28" t="str">
        <f t="shared" si="307"/>
        <v/>
      </c>
      <c r="AF316" s="28" t="str">
        <f t="shared" si="308"/>
        <v/>
      </c>
      <c r="AH316" s="28" t="str">
        <f t="shared" si="318"/>
        <v/>
      </c>
    </row>
    <row r="317" spans="1:35" s="2" customFormat="1" x14ac:dyDescent="0.25">
      <c r="A317" s="3" t="s">
        <v>226</v>
      </c>
      <c r="B317" s="3"/>
      <c r="C317" s="27"/>
      <c r="D317" s="6"/>
      <c r="E317" s="7"/>
      <c r="F317" s="6"/>
      <c r="G317" s="6"/>
      <c r="H317" s="7"/>
      <c r="I317" s="6"/>
      <c r="J317" s="6"/>
      <c r="K317" s="7"/>
      <c r="L317" s="6"/>
      <c r="M317" s="6"/>
      <c r="N317" s="7"/>
      <c r="O317" s="6"/>
      <c r="P317" s="6"/>
      <c r="Q317" s="7"/>
      <c r="R317" s="6"/>
      <c r="S317" s="6"/>
      <c r="T317" s="7"/>
      <c r="U317" s="6"/>
      <c r="V317" s="6"/>
      <c r="W317" s="7"/>
      <c r="X317" s="6"/>
      <c r="Y317" s="6"/>
      <c r="AA317" s="4"/>
      <c r="AB317" s="4" t="str">
        <f t="shared" si="300"/>
        <v/>
      </c>
      <c r="AC317" s="4"/>
      <c r="AD317" s="4" t="str">
        <f t="shared" si="307"/>
        <v/>
      </c>
      <c r="AE317" s="4"/>
      <c r="AF317" s="4" t="str">
        <f t="shared" si="308"/>
        <v/>
      </c>
      <c r="AG317" s="4"/>
      <c r="AH317" s="4" t="str">
        <f t="shared" si="318"/>
        <v/>
      </c>
      <c r="AI317" s="4"/>
    </row>
    <row r="318" spans="1:35" x14ac:dyDescent="0.25">
      <c r="B318" s="2" t="str">
        <f t="shared" ref="B318:B348" si="380">_xlfn.CONCAT("@",AA318,AB318,AC318,AD318,AE318,AF318,AG318,AH318,AI318)</f>
        <v>@color-motorway_link_line</v>
      </c>
      <c r="C318" s="180" t="s">
        <v>213</v>
      </c>
      <c r="D318" s="181" t="s">
        <v>215</v>
      </c>
      <c r="F318" s="134" t="s">
        <v>215</v>
      </c>
      <c r="G318" s="134" t="s">
        <v>215</v>
      </c>
      <c r="I318" s="180" t="s">
        <v>213</v>
      </c>
      <c r="J318" s="181" t="s">
        <v>215</v>
      </c>
      <c r="L318" s="134" t="s">
        <v>215</v>
      </c>
      <c r="M318" s="134" t="s">
        <v>215</v>
      </c>
      <c r="O318" s="180" t="s">
        <v>213</v>
      </c>
      <c r="P318" s="181" t="s">
        <v>215</v>
      </c>
      <c r="R318" s="134" t="s">
        <v>215</v>
      </c>
      <c r="S318" s="134" t="s">
        <v>215</v>
      </c>
      <c r="U318" s="180" t="s">
        <v>213</v>
      </c>
      <c r="V318" s="181" t="s">
        <v>215</v>
      </c>
      <c r="X318" s="134" t="s">
        <v>215</v>
      </c>
      <c r="Y318" s="134" t="s">
        <v>215</v>
      </c>
      <c r="AA318" s="2" t="s">
        <v>6</v>
      </c>
      <c r="AB318" s="2" t="str">
        <f t="shared" si="300"/>
        <v>-</v>
      </c>
      <c r="AC318" s="2" t="s">
        <v>33</v>
      </c>
      <c r="AD318" s="2" t="str">
        <f t="shared" si="307"/>
        <v>_</v>
      </c>
      <c r="AE318" s="2" t="s">
        <v>13</v>
      </c>
      <c r="AF318" s="2" t="str">
        <f t="shared" si="308"/>
        <v/>
      </c>
      <c r="AG318" s="2"/>
      <c r="AH318" s="2" t="str">
        <f t="shared" si="318"/>
        <v/>
      </c>
      <c r="AI318" s="2"/>
    </row>
    <row r="319" spans="1:35" x14ac:dyDescent="0.25">
      <c r="B319" s="2" t="str">
        <f t="shared" si="380"/>
        <v>@color-motorway_link_case</v>
      </c>
      <c r="C319" s="182" t="s">
        <v>212</v>
      </c>
      <c r="D319" s="183" t="s">
        <v>214</v>
      </c>
      <c r="F319" s="72" t="s">
        <v>214</v>
      </c>
      <c r="G319" s="72" t="s">
        <v>214</v>
      </c>
      <c r="I319" s="182" t="s">
        <v>212</v>
      </c>
      <c r="J319" s="183" t="s">
        <v>214</v>
      </c>
      <c r="L319" s="72" t="s">
        <v>214</v>
      </c>
      <c r="M319" s="72" t="s">
        <v>214</v>
      </c>
      <c r="O319" s="182" t="s">
        <v>212</v>
      </c>
      <c r="P319" s="183" t="s">
        <v>214</v>
      </c>
      <c r="R319" s="72" t="s">
        <v>214</v>
      </c>
      <c r="S319" s="72" t="s">
        <v>214</v>
      </c>
      <c r="U319" s="182" t="s">
        <v>212</v>
      </c>
      <c r="V319" s="183" t="s">
        <v>214</v>
      </c>
      <c r="X319" s="72" t="s">
        <v>214</v>
      </c>
      <c r="Y319" s="72" t="s">
        <v>214</v>
      </c>
      <c r="AA319" s="2" t="s">
        <v>6</v>
      </c>
      <c r="AB319" s="2" t="str">
        <f t="shared" si="300"/>
        <v>-</v>
      </c>
      <c r="AC319" s="2" t="s">
        <v>33</v>
      </c>
      <c r="AD319" s="2" t="str">
        <f t="shared" si="307"/>
        <v>_</v>
      </c>
      <c r="AE319" s="2" t="s">
        <v>17</v>
      </c>
      <c r="AF319" s="2" t="str">
        <f t="shared" si="308"/>
        <v/>
      </c>
      <c r="AG319" s="2"/>
      <c r="AH319" s="2" t="str">
        <f t="shared" si="318"/>
        <v/>
      </c>
      <c r="AI319" s="2"/>
    </row>
    <row r="320" spans="1:35" x14ac:dyDescent="0.25">
      <c r="B320" s="2"/>
      <c r="AB320" s="28" t="str">
        <f t="shared" ref="AB320" si="381">IF(NOT(ISBLANK(AC320)),"-","")</f>
        <v/>
      </c>
      <c r="AD320" s="28" t="str">
        <f t="shared" ref="AD320" si="382">IF(NOT(ISBLANK(AE320)),"_","")</f>
        <v/>
      </c>
      <c r="AF320" s="28" t="str">
        <f t="shared" ref="AF320" si="383">IF(NOT(ISBLANK(AG320)),"_","")</f>
        <v/>
      </c>
      <c r="AH320" s="28" t="str">
        <f t="shared" ref="AH320" si="384">IF(NOT(ISBLANK(AI320)),"_","")</f>
        <v/>
      </c>
    </row>
    <row r="321" spans="2:35" x14ac:dyDescent="0.25">
      <c r="B321" s="2" t="str">
        <f t="shared" si="380"/>
        <v>@color-trunk_primary_secondary_tertiary_link_line_bicycle_no</v>
      </c>
      <c r="C321" s="150" t="s">
        <v>233</v>
      </c>
      <c r="D321" s="134" t="s">
        <v>215</v>
      </c>
      <c r="F321" s="150" t="s">
        <v>233</v>
      </c>
      <c r="G321" s="134" t="s">
        <v>215</v>
      </c>
      <c r="I321" s="151" t="str">
        <f>C321</f>
        <v>"#ffcc8a"</v>
      </c>
      <c r="J321" s="136" t="str">
        <f>D321</f>
        <v>"#d6771e"</v>
      </c>
      <c r="AA321" s="2" t="s">
        <v>6</v>
      </c>
      <c r="AB321" s="2" t="str">
        <f t="shared" si="300"/>
        <v>-</v>
      </c>
      <c r="AC321" s="2" t="s">
        <v>32</v>
      </c>
      <c r="AD321" s="2" t="str">
        <f t="shared" si="307"/>
        <v>_</v>
      </c>
      <c r="AE321" s="2" t="s">
        <v>13</v>
      </c>
      <c r="AF321" s="2" t="str">
        <f t="shared" si="308"/>
        <v>_</v>
      </c>
      <c r="AG321" s="2" t="s">
        <v>23</v>
      </c>
      <c r="AH321" s="2" t="str">
        <f t="shared" si="318"/>
        <v/>
      </c>
      <c r="AI321" s="186"/>
    </row>
    <row r="322" spans="2:35" x14ac:dyDescent="0.25">
      <c r="B322" s="2" t="str">
        <f t="shared" si="380"/>
        <v>@color-trunk_primary_secondary_tertiary_link_line_unpaved</v>
      </c>
      <c r="C322" s="184" t="s">
        <v>223</v>
      </c>
      <c r="D322" s="184" t="str">
        <f>C322</f>
        <v>"#eddfca"</v>
      </c>
      <c r="E322" s="185"/>
      <c r="F322" s="184" t="s">
        <v>223</v>
      </c>
      <c r="G322" s="184" t="str">
        <f>F322</f>
        <v>"#eddfca"</v>
      </c>
      <c r="H322" s="185"/>
      <c r="I322" s="184" t="s">
        <v>223</v>
      </c>
      <c r="J322" s="184" t="str">
        <f>I322</f>
        <v>"#eddfca"</v>
      </c>
      <c r="AA322" s="2" t="s">
        <v>6</v>
      </c>
      <c r="AB322" s="2" t="str">
        <f t="shared" si="300"/>
        <v>-</v>
      </c>
      <c r="AC322" s="2" t="s">
        <v>32</v>
      </c>
      <c r="AD322" s="2" t="str">
        <f t="shared" si="307"/>
        <v>_</v>
      </c>
      <c r="AE322" s="2" t="s">
        <v>13</v>
      </c>
      <c r="AF322" s="2" t="str">
        <f t="shared" si="308"/>
        <v>_</v>
      </c>
      <c r="AG322" s="2" t="s">
        <v>21</v>
      </c>
      <c r="AH322" s="2" t="str">
        <f t="shared" si="318"/>
        <v/>
      </c>
      <c r="AI322" s="2"/>
    </row>
    <row r="323" spans="2:35" x14ac:dyDescent="0.25">
      <c r="B323" s="2" t="str">
        <f t="shared" si="380"/>
        <v>@color-trunk_primary_secondary_tertiary_link_line_paved_or_uk</v>
      </c>
      <c r="C323" s="71" t="s">
        <v>224</v>
      </c>
      <c r="D323" s="38" t="str">
        <f>C323</f>
        <v>"#ffffff"</v>
      </c>
      <c r="F323" s="71" t="s">
        <v>224</v>
      </c>
      <c r="G323" s="38" t="str">
        <f>F323</f>
        <v>"#ffffff"</v>
      </c>
      <c r="I323" s="71" t="s">
        <v>224</v>
      </c>
      <c r="J323" s="38" t="str">
        <f>I323</f>
        <v>"#ffffff"</v>
      </c>
      <c r="AA323" s="2" t="s">
        <v>6</v>
      </c>
      <c r="AB323" s="2" t="str">
        <f t="shared" si="300"/>
        <v>-</v>
      </c>
      <c r="AC323" s="2" t="s">
        <v>32</v>
      </c>
      <c r="AD323" s="2" t="str">
        <f t="shared" si="307"/>
        <v>_</v>
      </c>
      <c r="AE323" s="2" t="s">
        <v>13</v>
      </c>
      <c r="AF323" s="2" t="str">
        <f t="shared" si="308"/>
        <v>_</v>
      </c>
      <c r="AG323" s="2" t="s">
        <v>24</v>
      </c>
      <c r="AH323" s="2" t="str">
        <f t="shared" si="318"/>
        <v/>
      </c>
      <c r="AI323" s="2"/>
    </row>
    <row r="324" spans="2:35" x14ac:dyDescent="0.25">
      <c r="B324" s="2" t="str">
        <f t="shared" si="380"/>
        <v>@color-trunk_primary_secondary_tertiary_link_case_bicycle_no_farzoom</v>
      </c>
      <c r="C324" s="137" t="s">
        <v>228</v>
      </c>
      <c r="D324" s="72" t="s">
        <v>214</v>
      </c>
      <c r="F324" s="137" t="s">
        <v>228</v>
      </c>
      <c r="G324" s="137" t="s">
        <v>228</v>
      </c>
      <c r="I324" s="138" t="str">
        <f>C324</f>
        <v>"#bd430f"</v>
      </c>
      <c r="J324" s="37" t="str">
        <f>D324</f>
        <v>"#000000"</v>
      </c>
      <c r="AA324" s="2" t="s">
        <v>6</v>
      </c>
      <c r="AB324" s="2" t="str">
        <f t="shared" ref="AB324" si="385">IF(NOT(ISBLANK(AC324)),"-","")</f>
        <v>-</v>
      </c>
      <c r="AC324" s="2" t="s">
        <v>32</v>
      </c>
      <c r="AD324" s="2" t="str">
        <f t="shared" ref="AD324" si="386">IF(NOT(ISBLANK(AE324)),"_","")</f>
        <v>_</v>
      </c>
      <c r="AE324" s="2" t="s">
        <v>17</v>
      </c>
      <c r="AF324" s="2" t="str">
        <f t="shared" ref="AF324" si="387">IF(NOT(ISBLANK(AG324)),"_","")</f>
        <v>_</v>
      </c>
      <c r="AG324" s="2" t="s">
        <v>23</v>
      </c>
      <c r="AH324" s="2" t="str">
        <f t="shared" si="318"/>
        <v>_</v>
      </c>
      <c r="AI324" s="2" t="s">
        <v>20</v>
      </c>
    </row>
    <row r="325" spans="2:35" x14ac:dyDescent="0.25">
      <c r="B325" s="2" t="str">
        <f t="shared" ref="B325:B329" si="388">_xlfn.CONCAT("@",AA325,AB325,AC325,AD325,AE325,AF325,AG325,AH325,AI325)</f>
        <v>@color-trunk_primary_secondary_tertiary_link_case_bicycle_no_default</v>
      </c>
      <c r="C325" s="137" t="s">
        <v>228</v>
      </c>
      <c r="D325" s="72" t="s">
        <v>214</v>
      </c>
      <c r="F325" s="72" t="s">
        <v>214</v>
      </c>
      <c r="G325" s="72" t="s">
        <v>214</v>
      </c>
      <c r="I325" s="138" t="str">
        <f>C325</f>
        <v>"#bd430f"</v>
      </c>
      <c r="J325" s="37" t="str">
        <f>D325</f>
        <v>"#000000"</v>
      </c>
      <c r="AA325" s="2" t="s">
        <v>6</v>
      </c>
      <c r="AB325" s="2" t="str">
        <f t="shared" ref="AB325:AB329" si="389">IF(NOT(ISBLANK(AC325)),"-","")</f>
        <v>-</v>
      </c>
      <c r="AC325" s="2" t="s">
        <v>32</v>
      </c>
      <c r="AD325" s="2" t="str">
        <f t="shared" ref="AD325:AD329" si="390">IF(NOT(ISBLANK(AE325)),"_","")</f>
        <v>_</v>
      </c>
      <c r="AE325" s="2" t="s">
        <v>17</v>
      </c>
      <c r="AF325" s="2" t="str">
        <f t="shared" ref="AF325:AF329" si="391">IF(NOT(ISBLANK(AG325)),"_","")</f>
        <v>_</v>
      </c>
      <c r="AG325" s="2" t="s">
        <v>23</v>
      </c>
      <c r="AH325" s="2" t="str">
        <f t="shared" ref="AH325:AH329" si="392">IF(NOT(ISBLANK(AI325)),"_","")</f>
        <v>_</v>
      </c>
      <c r="AI325" s="2" t="s">
        <v>264</v>
      </c>
    </row>
    <row r="326" spans="2:35" x14ac:dyDescent="0.25">
      <c r="B326" s="2" t="str">
        <f t="shared" ref="B326" si="393">_xlfn.CONCAT("@",AA326,AB326,AC326,AD326,AE326,AF326,AG326,AH326,AI326)</f>
        <v>@color-trunk_primary_secondary_tertiary_link_case_unpaved_farzoom</v>
      </c>
      <c r="C326" s="139" t="s">
        <v>229</v>
      </c>
      <c r="D326" s="140" t="s">
        <v>231</v>
      </c>
      <c r="F326" s="140" t="s">
        <v>231</v>
      </c>
      <c r="G326" s="139" t="s">
        <v>229</v>
      </c>
      <c r="I326" s="139" t="s">
        <v>229</v>
      </c>
      <c r="J326" s="140" t="s">
        <v>231</v>
      </c>
      <c r="AA326" s="2" t="s">
        <v>6</v>
      </c>
      <c r="AB326" s="2" t="str">
        <f t="shared" ref="AB326" si="394">IF(NOT(ISBLANK(AC326)),"-","")</f>
        <v>-</v>
      </c>
      <c r="AC326" s="2" t="s">
        <v>32</v>
      </c>
      <c r="AD326" s="2" t="str">
        <f t="shared" ref="AD326" si="395">IF(NOT(ISBLANK(AE326)),"_","")</f>
        <v>_</v>
      </c>
      <c r="AE326" s="2" t="s">
        <v>17</v>
      </c>
      <c r="AF326" s="2" t="str">
        <f t="shared" ref="AF326" si="396">IF(NOT(ISBLANK(AG326)),"_","")</f>
        <v>_</v>
      </c>
      <c r="AG326" s="2" t="s">
        <v>21</v>
      </c>
      <c r="AH326" s="2" t="str">
        <f t="shared" ref="AH326" si="397">IF(NOT(ISBLANK(AI326)),"_","")</f>
        <v>_</v>
      </c>
      <c r="AI326" s="2" t="s">
        <v>20</v>
      </c>
    </row>
    <row r="327" spans="2:35" x14ac:dyDescent="0.25">
      <c r="B327" s="2" t="str">
        <f t="shared" si="388"/>
        <v>@color-trunk_primary_secondary_tertiary_link_case_unpaved_default</v>
      </c>
      <c r="C327" s="140" t="s">
        <v>231</v>
      </c>
      <c r="D327" s="140" t="s">
        <v>231</v>
      </c>
      <c r="F327" s="72" t="s">
        <v>214</v>
      </c>
      <c r="G327" s="72" t="s">
        <v>214</v>
      </c>
      <c r="I327" s="140" t="s">
        <v>231</v>
      </c>
      <c r="J327" s="140" t="s">
        <v>231</v>
      </c>
      <c r="AA327" s="2" t="s">
        <v>6</v>
      </c>
      <c r="AB327" s="2" t="str">
        <f t="shared" si="389"/>
        <v>-</v>
      </c>
      <c r="AC327" s="2" t="s">
        <v>32</v>
      </c>
      <c r="AD327" s="2" t="str">
        <f t="shared" si="390"/>
        <v>_</v>
      </c>
      <c r="AE327" s="2" t="s">
        <v>17</v>
      </c>
      <c r="AF327" s="2" t="str">
        <f t="shared" si="391"/>
        <v>_</v>
      </c>
      <c r="AG327" s="2" t="s">
        <v>21</v>
      </c>
      <c r="AH327" s="2" t="str">
        <f t="shared" si="392"/>
        <v>_</v>
      </c>
      <c r="AI327" s="2" t="s">
        <v>264</v>
      </c>
    </row>
    <row r="328" spans="2:35" x14ac:dyDescent="0.25">
      <c r="B328" s="2" t="str">
        <f t="shared" ref="B328" si="398">_xlfn.CONCAT("@",AA328,AB328,AC328,AD328,AE328,AF328,AG328,AH328,AI328)</f>
        <v>@color-trunk_primary_secondary_tertiary_link_case_paved_or_uk_farzoom</v>
      </c>
      <c r="C328" s="142" t="s">
        <v>230</v>
      </c>
      <c r="D328" s="72" t="s">
        <v>214</v>
      </c>
      <c r="F328" s="142" t="s">
        <v>230</v>
      </c>
      <c r="G328" s="142" t="s">
        <v>230</v>
      </c>
      <c r="I328" s="142" t="s">
        <v>230</v>
      </c>
      <c r="J328" s="72" t="s">
        <v>214</v>
      </c>
      <c r="AA328" s="2" t="s">
        <v>6</v>
      </c>
      <c r="AB328" s="2" t="str">
        <f t="shared" ref="AB328" si="399">IF(NOT(ISBLANK(AC328)),"-","")</f>
        <v>-</v>
      </c>
      <c r="AC328" s="2" t="s">
        <v>32</v>
      </c>
      <c r="AD328" s="2" t="str">
        <f t="shared" ref="AD328" si="400">IF(NOT(ISBLANK(AE328)),"_","")</f>
        <v>_</v>
      </c>
      <c r="AE328" s="2" t="s">
        <v>17</v>
      </c>
      <c r="AF328" s="2" t="str">
        <f t="shared" ref="AF328" si="401">IF(NOT(ISBLANK(AG328)),"_","")</f>
        <v>_</v>
      </c>
      <c r="AG328" s="2" t="s">
        <v>24</v>
      </c>
      <c r="AH328" s="2" t="str">
        <f t="shared" ref="AH328" si="402">IF(NOT(ISBLANK(AI328)),"_","")</f>
        <v>_</v>
      </c>
      <c r="AI328" s="2" t="s">
        <v>20</v>
      </c>
    </row>
    <row r="329" spans="2:35" x14ac:dyDescent="0.25">
      <c r="B329" s="2" t="str">
        <f t="shared" si="388"/>
        <v>@color-trunk_primary_secondary_tertiary_link_case_paved_or_uk_default</v>
      </c>
      <c r="C329" s="152" t="s">
        <v>232</v>
      </c>
      <c r="D329" s="72" t="s">
        <v>214</v>
      </c>
      <c r="F329" s="72" t="s">
        <v>214</v>
      </c>
      <c r="G329" s="72" t="s">
        <v>214</v>
      </c>
      <c r="I329" s="152" t="s">
        <v>232</v>
      </c>
      <c r="J329" s="72" t="s">
        <v>214</v>
      </c>
      <c r="AA329" s="2" t="s">
        <v>6</v>
      </c>
      <c r="AB329" s="2" t="str">
        <f t="shared" si="389"/>
        <v>-</v>
      </c>
      <c r="AC329" s="2" t="s">
        <v>32</v>
      </c>
      <c r="AD329" s="2" t="str">
        <f t="shared" si="390"/>
        <v>_</v>
      </c>
      <c r="AE329" s="2" t="s">
        <v>17</v>
      </c>
      <c r="AF329" s="2" t="str">
        <f t="shared" si="391"/>
        <v>_</v>
      </c>
      <c r="AG329" s="2" t="s">
        <v>24</v>
      </c>
      <c r="AH329" s="2" t="str">
        <f t="shared" si="392"/>
        <v>_</v>
      </c>
      <c r="AI329" s="2" t="s">
        <v>264</v>
      </c>
    </row>
    <row r="330" spans="2:35" x14ac:dyDescent="0.25">
      <c r="B330" s="2" t="str">
        <f t="shared" si="380"/>
        <v>@</v>
      </c>
    </row>
    <row r="331" spans="2:35" x14ac:dyDescent="0.25">
      <c r="B331" s="2" t="str">
        <f t="shared" si="380"/>
        <v>@</v>
      </c>
    </row>
    <row r="332" spans="2:35" x14ac:dyDescent="0.25">
      <c r="B332" s="2" t="str">
        <f t="shared" si="380"/>
        <v>@</v>
      </c>
    </row>
    <row r="333" spans="2:35" x14ac:dyDescent="0.25">
      <c r="B333" s="2" t="str">
        <f t="shared" si="380"/>
        <v>@</v>
      </c>
    </row>
    <row r="334" spans="2:35" x14ac:dyDescent="0.25">
      <c r="B334" s="2" t="str">
        <f t="shared" si="380"/>
        <v>@</v>
      </c>
    </row>
    <row r="335" spans="2:35" x14ac:dyDescent="0.25">
      <c r="B335" s="2" t="str">
        <f t="shared" si="380"/>
        <v>@</v>
      </c>
    </row>
    <row r="336" spans="2:35" x14ac:dyDescent="0.25">
      <c r="B336" s="2" t="str">
        <f t="shared" si="380"/>
        <v>@</v>
      </c>
    </row>
    <row r="337" spans="2:2" x14ac:dyDescent="0.25">
      <c r="B337" s="2" t="str">
        <f t="shared" si="380"/>
        <v>@</v>
      </c>
    </row>
    <row r="338" spans="2:2" x14ac:dyDescent="0.25">
      <c r="B338" s="2" t="str">
        <f t="shared" si="380"/>
        <v>@</v>
      </c>
    </row>
    <row r="339" spans="2:2" x14ac:dyDescent="0.25">
      <c r="B339" s="2" t="str">
        <f t="shared" si="380"/>
        <v>@</v>
      </c>
    </row>
    <row r="340" spans="2:2" x14ac:dyDescent="0.25">
      <c r="B340" s="2" t="str">
        <f t="shared" si="380"/>
        <v>@</v>
      </c>
    </row>
    <row r="341" spans="2:2" x14ac:dyDescent="0.25">
      <c r="B341" s="2" t="str">
        <f t="shared" si="380"/>
        <v>@</v>
      </c>
    </row>
    <row r="342" spans="2:2" x14ac:dyDescent="0.25">
      <c r="B342" s="2" t="str">
        <f t="shared" si="380"/>
        <v>@</v>
      </c>
    </row>
    <row r="343" spans="2:2" x14ac:dyDescent="0.25">
      <c r="B343" s="2" t="str">
        <f t="shared" si="380"/>
        <v>@</v>
      </c>
    </row>
    <row r="344" spans="2:2" x14ac:dyDescent="0.25">
      <c r="B344" s="2" t="str">
        <f t="shared" si="380"/>
        <v>@</v>
      </c>
    </row>
    <row r="345" spans="2:2" x14ac:dyDescent="0.25">
      <c r="B345" s="2" t="str">
        <f t="shared" si="380"/>
        <v>@</v>
      </c>
    </row>
    <row r="346" spans="2:2" x14ac:dyDescent="0.25">
      <c r="B346" s="2" t="str">
        <f t="shared" si="380"/>
        <v>@</v>
      </c>
    </row>
    <row r="347" spans="2:2" x14ac:dyDescent="0.25">
      <c r="B347" s="2" t="str">
        <f t="shared" si="380"/>
        <v>@</v>
      </c>
    </row>
    <row r="348" spans="2:2" x14ac:dyDescent="0.25">
      <c r="B348" s="2" t="str">
        <f t="shared" si="380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2025-12-27T14:11:00Z</dcterms:modified>
</cp:coreProperties>
</file>