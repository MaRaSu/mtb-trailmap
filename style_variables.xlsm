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0D28BCC7-2962-4B1B-B016-19E097C55D88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11" i="5" l="1"/>
  <c r="AF111" i="5"/>
  <c r="AD111" i="5"/>
  <c r="AB111" i="5"/>
  <c r="B111" i="5"/>
  <c r="AH113" i="5"/>
  <c r="AF113" i="5"/>
  <c r="AD113" i="5"/>
  <c r="AB113" i="5"/>
  <c r="B113" i="5"/>
  <c r="AH112" i="5"/>
  <c r="AF112" i="5"/>
  <c r="AD112" i="5"/>
  <c r="AB112" i="5"/>
  <c r="AH526" i="5"/>
  <c r="AF526" i="5"/>
  <c r="AD526" i="5"/>
  <c r="AB526" i="5"/>
  <c r="B526" i="5"/>
  <c r="AH528" i="5"/>
  <c r="AF528" i="5"/>
  <c r="AD528" i="5"/>
  <c r="AB528" i="5"/>
  <c r="AH527" i="5"/>
  <c r="AF527" i="5"/>
  <c r="AD527" i="5"/>
  <c r="AB527" i="5"/>
  <c r="AH525" i="5"/>
  <c r="AF525" i="5"/>
  <c r="AD525" i="5"/>
  <c r="AB525" i="5"/>
  <c r="AH524" i="5"/>
  <c r="AF524" i="5"/>
  <c r="AD524" i="5"/>
  <c r="AB524" i="5"/>
  <c r="AH99" i="5"/>
  <c r="AF99" i="5"/>
  <c r="AD99" i="5"/>
  <c r="AB99" i="5"/>
  <c r="AH109" i="5"/>
  <c r="AF109" i="5"/>
  <c r="AD109" i="5"/>
  <c r="AB109" i="5"/>
  <c r="AH21" i="5"/>
  <c r="AF21" i="5"/>
  <c r="AD21" i="5"/>
  <c r="AB21" i="5"/>
  <c r="AH558" i="5"/>
  <c r="AF558" i="5"/>
  <c r="AD558" i="5"/>
  <c r="AB558" i="5"/>
  <c r="AH557" i="5"/>
  <c r="AF557" i="5"/>
  <c r="AD557" i="5"/>
  <c r="AB557" i="5"/>
  <c r="AH586" i="5"/>
  <c r="AF586" i="5"/>
  <c r="AD586" i="5"/>
  <c r="AB586" i="5"/>
  <c r="AH275" i="5"/>
  <c r="AF275" i="5"/>
  <c r="AD275" i="5"/>
  <c r="AB275" i="5"/>
  <c r="AH259" i="5"/>
  <c r="AF259" i="5"/>
  <c r="AD259" i="5"/>
  <c r="AB259" i="5"/>
  <c r="AH190" i="5"/>
  <c r="AF190" i="5"/>
  <c r="AD190" i="5"/>
  <c r="AB190" i="5"/>
  <c r="AH153" i="5"/>
  <c r="AF153" i="5"/>
  <c r="AD153" i="5"/>
  <c r="AB153" i="5"/>
  <c r="AH141" i="5"/>
  <c r="AF141" i="5"/>
  <c r="AD141" i="5"/>
  <c r="AB141" i="5"/>
  <c r="AH135" i="5"/>
  <c r="AF135" i="5"/>
  <c r="AD135" i="5"/>
  <c r="AB135" i="5"/>
  <c r="AH133" i="5"/>
  <c r="AF133" i="5"/>
  <c r="AD133" i="5"/>
  <c r="AB133" i="5"/>
  <c r="AH132" i="5"/>
  <c r="AF132" i="5"/>
  <c r="AD132" i="5"/>
  <c r="AB132" i="5"/>
  <c r="AH556" i="5"/>
  <c r="AF556" i="5"/>
  <c r="AD556" i="5"/>
  <c r="AB556" i="5"/>
  <c r="AH520" i="5"/>
  <c r="AF520" i="5"/>
  <c r="AD520" i="5"/>
  <c r="AB520" i="5"/>
  <c r="AH374" i="5"/>
  <c r="AF374" i="5"/>
  <c r="AD374" i="5"/>
  <c r="AB374" i="5"/>
  <c r="AH333" i="5"/>
  <c r="AF333" i="5"/>
  <c r="AD333" i="5"/>
  <c r="AB333" i="5"/>
  <c r="AB452" i="5"/>
  <c r="AD452" i="5"/>
  <c r="AB453" i="5"/>
  <c r="AD453" i="5"/>
  <c r="AB454" i="5"/>
  <c r="AD454" i="5"/>
  <c r="AB455" i="5"/>
  <c r="AD455" i="5"/>
  <c r="AH455" i="5"/>
  <c r="AF455" i="5"/>
  <c r="AH454" i="5"/>
  <c r="AF454" i="5"/>
  <c r="AH453" i="5"/>
  <c r="AF453" i="5"/>
  <c r="B453" i="5" s="1"/>
  <c r="AH452" i="5"/>
  <c r="AF452" i="5"/>
  <c r="AH451" i="5"/>
  <c r="AF451" i="5"/>
  <c r="AD451" i="5"/>
  <c r="AB451" i="5"/>
  <c r="B451" i="5"/>
  <c r="AH450" i="5"/>
  <c r="AF450" i="5"/>
  <c r="AD450" i="5"/>
  <c r="AB450" i="5"/>
  <c r="AH449" i="5"/>
  <c r="AF449" i="5"/>
  <c r="AD449" i="5"/>
  <c r="AB449" i="5"/>
  <c r="AH448" i="5"/>
  <c r="AF448" i="5"/>
  <c r="AD448" i="5"/>
  <c r="AB448" i="5"/>
  <c r="B448" i="5" s="1"/>
  <c r="AH447" i="5"/>
  <c r="AF447" i="5"/>
  <c r="AD447" i="5"/>
  <c r="AB447" i="5"/>
  <c r="AH446" i="5"/>
  <c r="AF446" i="5"/>
  <c r="AD446" i="5"/>
  <c r="AB446" i="5"/>
  <c r="B446" i="5"/>
  <c r="AH445" i="5"/>
  <c r="AF445" i="5"/>
  <c r="AD445" i="5"/>
  <c r="AB445" i="5"/>
  <c r="B445" i="5"/>
  <c r="AH444" i="5"/>
  <c r="AF444" i="5"/>
  <c r="AD444" i="5"/>
  <c r="AB444" i="5"/>
  <c r="B444" i="5"/>
  <c r="AH442" i="5"/>
  <c r="AF442" i="5"/>
  <c r="AD442" i="5"/>
  <c r="AB442" i="5"/>
  <c r="B442" i="5"/>
  <c r="AH441" i="5"/>
  <c r="AF441" i="5"/>
  <c r="AD441" i="5"/>
  <c r="AB441" i="5"/>
  <c r="B441" i="5"/>
  <c r="AH440" i="5"/>
  <c r="AF440" i="5"/>
  <c r="AD440" i="5"/>
  <c r="AB440" i="5"/>
  <c r="AH437" i="5"/>
  <c r="AF437" i="5"/>
  <c r="AD437" i="5"/>
  <c r="AB437" i="5"/>
  <c r="B437" i="5"/>
  <c r="AH436" i="5"/>
  <c r="AF436" i="5"/>
  <c r="AD436" i="5"/>
  <c r="AB436" i="5"/>
  <c r="AH435" i="5"/>
  <c r="AF435" i="5"/>
  <c r="AD435" i="5"/>
  <c r="AB435" i="5"/>
  <c r="AH434" i="5"/>
  <c r="AF434" i="5"/>
  <c r="B434" i="5" s="1"/>
  <c r="AD434" i="5"/>
  <c r="AB434" i="5"/>
  <c r="AH433" i="5"/>
  <c r="AF433" i="5"/>
  <c r="AD433" i="5"/>
  <c r="AB433" i="5"/>
  <c r="AH432" i="5"/>
  <c r="AF432" i="5"/>
  <c r="AD432" i="5"/>
  <c r="AB432" i="5"/>
  <c r="B432" i="5"/>
  <c r="AH431" i="5"/>
  <c r="AF431" i="5"/>
  <c r="AD431" i="5"/>
  <c r="AB431" i="5"/>
  <c r="B431" i="5"/>
  <c r="AH430" i="5"/>
  <c r="AF430" i="5"/>
  <c r="AD430" i="5"/>
  <c r="AB430" i="5"/>
  <c r="B430" i="5"/>
  <c r="AH429" i="5"/>
  <c r="AF429" i="5"/>
  <c r="AD429" i="5"/>
  <c r="AB429" i="5"/>
  <c r="AH428" i="5"/>
  <c r="AF428" i="5"/>
  <c r="AD428" i="5"/>
  <c r="AB428" i="5"/>
  <c r="AH427" i="5"/>
  <c r="AF427" i="5"/>
  <c r="AD427" i="5"/>
  <c r="AB427" i="5"/>
  <c r="B427" i="5"/>
  <c r="AH426" i="5"/>
  <c r="AF426" i="5"/>
  <c r="AD426" i="5"/>
  <c r="AB426" i="5"/>
  <c r="AH424" i="5"/>
  <c r="AF424" i="5"/>
  <c r="AD424" i="5"/>
  <c r="AB424" i="5"/>
  <c r="AH423" i="5"/>
  <c r="AF423" i="5"/>
  <c r="AD423" i="5"/>
  <c r="AB423" i="5"/>
  <c r="AH422" i="5"/>
  <c r="AF422" i="5"/>
  <c r="AD422" i="5"/>
  <c r="AB422" i="5"/>
  <c r="AH25" i="5"/>
  <c r="AF25" i="5"/>
  <c r="AD25" i="5"/>
  <c r="AB25" i="5"/>
  <c r="B25" i="5"/>
  <c r="AH28" i="5"/>
  <c r="AF28" i="5"/>
  <c r="AD28" i="5"/>
  <c r="AB28" i="5"/>
  <c r="AH27" i="5"/>
  <c r="AF27" i="5"/>
  <c r="AD27" i="5"/>
  <c r="AB27" i="5"/>
  <c r="AH26" i="5"/>
  <c r="AF26" i="5"/>
  <c r="AD26" i="5"/>
  <c r="AB26" i="5"/>
  <c r="AH379" i="5"/>
  <c r="AF379" i="5"/>
  <c r="AD379" i="5"/>
  <c r="AB379" i="5"/>
  <c r="AH378" i="5"/>
  <c r="AF378" i="5"/>
  <c r="AD378" i="5"/>
  <c r="AB378" i="5"/>
  <c r="AH377" i="5"/>
  <c r="AF377" i="5"/>
  <c r="AD377" i="5"/>
  <c r="AB377" i="5"/>
  <c r="AH376" i="5"/>
  <c r="AF376" i="5"/>
  <c r="AD376" i="5"/>
  <c r="AB376" i="5"/>
  <c r="AH399" i="5"/>
  <c r="AF399" i="5"/>
  <c r="AD399" i="5"/>
  <c r="AB399" i="5"/>
  <c r="AH400" i="5"/>
  <c r="AF400" i="5"/>
  <c r="AD400" i="5"/>
  <c r="AB400" i="5"/>
  <c r="AH401" i="5"/>
  <c r="AF401" i="5"/>
  <c r="AD401" i="5"/>
  <c r="B401" i="5" s="1"/>
  <c r="AB401" i="5"/>
  <c r="AH402" i="5"/>
  <c r="AF402" i="5"/>
  <c r="AD402" i="5"/>
  <c r="AB402" i="5"/>
  <c r="AH102" i="5"/>
  <c r="AF102" i="5"/>
  <c r="AD102" i="5"/>
  <c r="AB102" i="5"/>
  <c r="AH117" i="5"/>
  <c r="AF117" i="5"/>
  <c r="AD117" i="5"/>
  <c r="AB11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F126" i="5"/>
  <c r="AF125" i="5"/>
  <c r="AF124" i="5"/>
  <c r="AH126" i="5"/>
  <c r="AD126" i="5"/>
  <c r="AB126" i="5"/>
  <c r="AH125" i="5"/>
  <c r="AD125" i="5"/>
  <c r="AB125" i="5"/>
  <c r="AH124" i="5"/>
  <c r="AD124" i="5"/>
  <c r="AB124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B53" i="5" s="1"/>
  <c r="A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6" i="5"/>
  <c r="AF396" i="5"/>
  <c r="AD396" i="5"/>
  <c r="AB396" i="5"/>
  <c r="B396" i="5"/>
  <c r="AH395" i="5"/>
  <c r="AF395" i="5"/>
  <c r="AD395" i="5"/>
  <c r="AB395" i="5"/>
  <c r="AH394" i="5"/>
  <c r="AF394" i="5"/>
  <c r="AD394" i="5"/>
  <c r="AB394" i="5"/>
  <c r="B394" i="5" s="1"/>
  <c r="AH393" i="5"/>
  <c r="AF393" i="5"/>
  <c r="AD393" i="5"/>
  <c r="AB393" i="5"/>
  <c r="B393" i="5" s="1"/>
  <c r="AH392" i="5"/>
  <c r="AF392" i="5"/>
  <c r="AD392" i="5"/>
  <c r="AB392" i="5"/>
  <c r="AH391" i="5"/>
  <c r="AF391" i="5"/>
  <c r="AD391" i="5"/>
  <c r="AB391" i="5"/>
  <c r="B391" i="5" s="1"/>
  <c r="AH390" i="5"/>
  <c r="AF390" i="5"/>
  <c r="AD390" i="5"/>
  <c r="AB390" i="5"/>
  <c r="B390" i="5"/>
  <c r="AH389" i="5"/>
  <c r="AF389" i="5"/>
  <c r="AD389" i="5"/>
  <c r="AB389" i="5"/>
  <c r="B389" i="5"/>
  <c r="AH388" i="5"/>
  <c r="AF388" i="5"/>
  <c r="AD388" i="5"/>
  <c r="AB388" i="5"/>
  <c r="AH387" i="5"/>
  <c r="AF387" i="5"/>
  <c r="AD387" i="5"/>
  <c r="AB387" i="5"/>
  <c r="AH386" i="5"/>
  <c r="AF386" i="5"/>
  <c r="AD386" i="5"/>
  <c r="AB386" i="5"/>
  <c r="B386" i="5" s="1"/>
  <c r="AH385" i="5"/>
  <c r="AF385" i="5"/>
  <c r="AD385" i="5"/>
  <c r="AB385" i="5"/>
  <c r="AH384" i="5"/>
  <c r="AF384" i="5"/>
  <c r="AD384" i="5"/>
  <c r="AB384" i="5"/>
  <c r="AH383" i="5"/>
  <c r="AF383" i="5"/>
  <c r="AD383" i="5"/>
  <c r="AB383" i="5"/>
  <c r="AH382" i="5"/>
  <c r="AF382" i="5"/>
  <c r="AD382" i="5"/>
  <c r="AB382" i="5"/>
  <c r="B382" i="5"/>
  <c r="AH381" i="5"/>
  <c r="AF381" i="5"/>
  <c r="AD381" i="5"/>
  <c r="AB381" i="5"/>
  <c r="AB404" i="5"/>
  <c r="AD404" i="5"/>
  <c r="AF404" i="5"/>
  <c r="AH404" i="5"/>
  <c r="AB405" i="5"/>
  <c r="AD405" i="5"/>
  <c r="AF405" i="5"/>
  <c r="AH405" i="5"/>
  <c r="AB406" i="5"/>
  <c r="AD406" i="5"/>
  <c r="AF406" i="5"/>
  <c r="AH406" i="5"/>
  <c r="AB407" i="5"/>
  <c r="AD407" i="5"/>
  <c r="AF407" i="5"/>
  <c r="AH407" i="5"/>
  <c r="AH419" i="5"/>
  <c r="AF419" i="5"/>
  <c r="AD419" i="5"/>
  <c r="AB419" i="5"/>
  <c r="B419" i="5" s="1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409" i="5"/>
  <c r="AF409" i="5"/>
  <c r="AD409" i="5"/>
  <c r="AB409" i="5"/>
  <c r="AH408" i="5"/>
  <c r="AF408" i="5"/>
  <c r="AD408" i="5"/>
  <c r="AB408" i="5"/>
  <c r="AH294" i="5"/>
  <c r="AF294" i="5"/>
  <c r="AD294" i="5"/>
  <c r="AB294" i="5"/>
  <c r="AH293" i="5"/>
  <c r="AF293" i="5"/>
  <c r="AD293" i="5"/>
  <c r="AB293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7" i="5"/>
  <c r="AF287" i="5"/>
  <c r="AD287" i="5"/>
  <c r="AB287" i="5"/>
  <c r="AH466" i="5"/>
  <c r="AF466" i="5"/>
  <c r="AD466" i="5"/>
  <c r="AB466" i="5"/>
  <c r="AH467" i="5"/>
  <c r="AF467" i="5"/>
  <c r="AD467" i="5"/>
  <c r="AB467" i="5"/>
  <c r="AH465" i="5"/>
  <c r="AF465" i="5"/>
  <c r="AD465" i="5"/>
  <c r="AB465" i="5"/>
  <c r="AH464" i="5"/>
  <c r="AF464" i="5"/>
  <c r="AD464" i="5"/>
  <c r="AB464" i="5"/>
  <c r="AH517" i="5"/>
  <c r="AF517" i="5"/>
  <c r="AD517" i="5"/>
  <c r="AB517" i="5"/>
  <c r="AH516" i="5"/>
  <c r="AF516" i="5"/>
  <c r="AD516" i="5"/>
  <c r="AB516" i="5"/>
  <c r="AH515" i="5"/>
  <c r="AF515" i="5"/>
  <c r="AD515" i="5"/>
  <c r="AB515" i="5"/>
  <c r="AH514" i="5"/>
  <c r="AF514" i="5"/>
  <c r="AD514" i="5"/>
  <c r="AB514" i="5"/>
  <c r="AF513" i="5"/>
  <c r="AD513" i="5"/>
  <c r="AB513" i="5"/>
  <c r="AH513" i="5"/>
  <c r="AH512" i="5"/>
  <c r="AF512" i="5"/>
  <c r="AD512" i="5"/>
  <c r="AB512" i="5"/>
  <c r="Y149" i="5"/>
  <c r="V149" i="5"/>
  <c r="Y161" i="5"/>
  <c r="V161" i="5"/>
  <c r="Y171" i="5"/>
  <c r="V171" i="5"/>
  <c r="Y181" i="5"/>
  <c r="V181" i="5"/>
  <c r="Y264" i="5"/>
  <c r="V264" i="5"/>
  <c r="Y250" i="5"/>
  <c r="V250" i="5"/>
  <c r="Y237" i="5"/>
  <c r="V237" i="5"/>
  <c r="V238" i="5"/>
  <c r="Y238" i="5"/>
  <c r="Y224" i="5"/>
  <c r="V224" i="5"/>
  <c r="Y211" i="5"/>
  <c r="V211" i="5"/>
  <c r="Y198" i="5"/>
  <c r="V198" i="5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AH368" i="5"/>
  <c r="AF368" i="5"/>
  <c r="AD368" i="5"/>
  <c r="AB368" i="5"/>
  <c r="AH367" i="5"/>
  <c r="AF367" i="5"/>
  <c r="AD367" i="5"/>
  <c r="AB367" i="5"/>
  <c r="AH363" i="5"/>
  <c r="AF363" i="5"/>
  <c r="AD363" i="5"/>
  <c r="AB363" i="5"/>
  <c r="AH362" i="5"/>
  <c r="AF362" i="5"/>
  <c r="AD362" i="5"/>
  <c r="AB362" i="5"/>
  <c r="AH335" i="5"/>
  <c r="AF335" i="5"/>
  <c r="AD335" i="5"/>
  <c r="AB335" i="5"/>
  <c r="AH366" i="5"/>
  <c r="AF366" i="5"/>
  <c r="AD366" i="5"/>
  <c r="AB366" i="5"/>
  <c r="AH365" i="5"/>
  <c r="AF365" i="5"/>
  <c r="AD365" i="5"/>
  <c r="AB365" i="5"/>
  <c r="AH361" i="5"/>
  <c r="AF361" i="5"/>
  <c r="AD361" i="5"/>
  <c r="AB361" i="5"/>
  <c r="AH360" i="5"/>
  <c r="AF360" i="5"/>
  <c r="AD360" i="5"/>
  <c r="AB360" i="5"/>
  <c r="Y265" i="5"/>
  <c r="V265" i="5"/>
  <c r="Y251" i="5"/>
  <c r="V251" i="5"/>
  <c r="Y225" i="5"/>
  <c r="V225" i="5"/>
  <c r="Y212" i="5"/>
  <c r="V212" i="5"/>
  <c r="Y199" i="5"/>
  <c r="V199" i="5"/>
  <c r="Y182" i="5"/>
  <c r="V182" i="5"/>
  <c r="Y172" i="5"/>
  <c r="V172" i="5"/>
  <c r="Y162" i="5"/>
  <c r="V162" i="5"/>
  <c r="Y150" i="5"/>
  <c r="V150" i="5"/>
  <c r="Y529" i="5"/>
  <c r="V529" i="5"/>
  <c r="Y460" i="5"/>
  <c r="V460" i="5"/>
  <c r="Y459" i="5"/>
  <c r="V459" i="5"/>
  <c r="Y458" i="5"/>
  <c r="V458" i="5"/>
  <c r="Y457" i="5"/>
  <c r="V457" i="5"/>
  <c r="Y485" i="5"/>
  <c r="V485" i="5"/>
  <c r="Y484" i="5"/>
  <c r="V484" i="5"/>
  <c r="AH291" i="5"/>
  <c r="AF291" i="5"/>
  <c r="AD291" i="5"/>
  <c r="AB291" i="5"/>
  <c r="AH256" i="5"/>
  <c r="AF256" i="5"/>
  <c r="AD256" i="5"/>
  <c r="AB256" i="5"/>
  <c r="AH255" i="5"/>
  <c r="AF255" i="5"/>
  <c r="AD255" i="5"/>
  <c r="AB255" i="5"/>
  <c r="AH254" i="5"/>
  <c r="AF254" i="5"/>
  <c r="AD254" i="5"/>
  <c r="AB254" i="5"/>
  <c r="AH253" i="5"/>
  <c r="AF253" i="5"/>
  <c r="AD253" i="5"/>
  <c r="AB253" i="5"/>
  <c r="AH187" i="5"/>
  <c r="AF187" i="5"/>
  <c r="AD187" i="5"/>
  <c r="AB187" i="5"/>
  <c r="B187" i="5" s="1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92" i="5"/>
  <c r="AF192" i="5"/>
  <c r="AD192" i="5"/>
  <c r="AB192" i="5"/>
  <c r="AH191" i="5"/>
  <c r="AF191" i="5"/>
  <c r="AD191" i="5"/>
  <c r="AB191" i="5"/>
  <c r="AH204" i="5"/>
  <c r="AF204" i="5"/>
  <c r="AD204" i="5"/>
  <c r="AB204" i="5"/>
  <c r="B204" i="5"/>
  <c r="AH203" i="5"/>
  <c r="AF203" i="5"/>
  <c r="AD203" i="5"/>
  <c r="AB203" i="5"/>
  <c r="AH202" i="5"/>
  <c r="AF202" i="5"/>
  <c r="AD202" i="5"/>
  <c r="AB202" i="5"/>
  <c r="AH201" i="5"/>
  <c r="AF201" i="5"/>
  <c r="AD201" i="5"/>
  <c r="AB201" i="5"/>
  <c r="AH230" i="5"/>
  <c r="AF230" i="5"/>
  <c r="AD230" i="5"/>
  <c r="AB230" i="5"/>
  <c r="AH229" i="5"/>
  <c r="AF229" i="5"/>
  <c r="AD229" i="5"/>
  <c r="AB229" i="5"/>
  <c r="AH228" i="5"/>
  <c r="AF228" i="5"/>
  <c r="AD228" i="5"/>
  <c r="AB228" i="5"/>
  <c r="AH227" i="5"/>
  <c r="AF227" i="5"/>
  <c r="AD227" i="5"/>
  <c r="AB227" i="5"/>
  <c r="AH217" i="5"/>
  <c r="AF217" i="5"/>
  <c r="AD217" i="5"/>
  <c r="AB217" i="5"/>
  <c r="AH216" i="5"/>
  <c r="AF216" i="5"/>
  <c r="AD216" i="5"/>
  <c r="AB216" i="5"/>
  <c r="AH215" i="5"/>
  <c r="AF215" i="5"/>
  <c r="AD215" i="5"/>
  <c r="AB215" i="5"/>
  <c r="AH214" i="5"/>
  <c r="AF214" i="5"/>
  <c r="AD214" i="5"/>
  <c r="AB214" i="5"/>
  <c r="AH241" i="5"/>
  <c r="AF241" i="5"/>
  <c r="AD241" i="5"/>
  <c r="AB241" i="5"/>
  <c r="AH240" i="5"/>
  <c r="AF240" i="5"/>
  <c r="AD240" i="5"/>
  <c r="AB240" i="5"/>
  <c r="AH243" i="5"/>
  <c r="AF243" i="5"/>
  <c r="AD243" i="5"/>
  <c r="AB243" i="5"/>
  <c r="AH242" i="5"/>
  <c r="AF242" i="5"/>
  <c r="AD242" i="5"/>
  <c r="AB242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28" i="5"/>
  <c r="AD128" i="5"/>
  <c r="AB129" i="5"/>
  <c r="AD129" i="5"/>
  <c r="AB130" i="5"/>
  <c r="AD130" i="5"/>
  <c r="AB122" i="5"/>
  <c r="AD122" i="5"/>
  <c r="AB123" i="5"/>
  <c r="AD123" i="5"/>
  <c r="AB115" i="5"/>
  <c r="AD115" i="5"/>
  <c r="AB116" i="5"/>
  <c r="AD116" i="5"/>
  <c r="AB23" i="5"/>
  <c r="AD23" i="5"/>
  <c r="AB24" i="5"/>
  <c r="AD24" i="5"/>
  <c r="AH595" i="5"/>
  <c r="AF595" i="5"/>
  <c r="AD595" i="5"/>
  <c r="AB595" i="5"/>
  <c r="B595" i="5"/>
  <c r="AH594" i="5"/>
  <c r="AF594" i="5"/>
  <c r="AD594" i="5"/>
  <c r="AB594" i="5"/>
  <c r="AH590" i="5"/>
  <c r="AF590" i="5"/>
  <c r="AD590" i="5"/>
  <c r="AB590" i="5"/>
  <c r="AH589" i="5"/>
  <c r="AF589" i="5"/>
  <c r="AD589" i="5"/>
  <c r="AB589" i="5"/>
  <c r="AH588" i="5"/>
  <c r="AF588" i="5"/>
  <c r="AD588" i="5"/>
  <c r="AB588" i="5"/>
  <c r="B588" i="5" s="1"/>
  <c r="AH587" i="5"/>
  <c r="AF587" i="5"/>
  <c r="AD587" i="5"/>
  <c r="AB587" i="5"/>
  <c r="AH597" i="5"/>
  <c r="AF597" i="5"/>
  <c r="AD597" i="5"/>
  <c r="AB597" i="5"/>
  <c r="AH596" i="5"/>
  <c r="AF596" i="5"/>
  <c r="AD596" i="5"/>
  <c r="AB596" i="5"/>
  <c r="AH593" i="5"/>
  <c r="AF593" i="5"/>
  <c r="AD593" i="5"/>
  <c r="AB593" i="5"/>
  <c r="AH591" i="5"/>
  <c r="AF591" i="5"/>
  <c r="AD591" i="5"/>
  <c r="AB591" i="5"/>
  <c r="AH585" i="5"/>
  <c r="AF585" i="5"/>
  <c r="AD585" i="5"/>
  <c r="AB585" i="5"/>
  <c r="AH584" i="5"/>
  <c r="AF584" i="5"/>
  <c r="AD584" i="5"/>
  <c r="AB584" i="5"/>
  <c r="M265" i="5"/>
  <c r="M264" i="5"/>
  <c r="M251" i="5"/>
  <c r="M250" i="5"/>
  <c r="M238" i="5"/>
  <c r="M237" i="5"/>
  <c r="M225" i="5"/>
  <c r="M224" i="5"/>
  <c r="M212" i="5"/>
  <c r="M211" i="5"/>
  <c r="M199" i="5"/>
  <c r="M198" i="5"/>
  <c r="M182" i="5"/>
  <c r="M181" i="5"/>
  <c r="M172" i="5"/>
  <c r="M171" i="5"/>
  <c r="M162" i="5"/>
  <c r="M161" i="5"/>
  <c r="M150" i="5"/>
  <c r="M149" i="5"/>
  <c r="AH232" i="5"/>
  <c r="AF232" i="5"/>
  <c r="AD232" i="5"/>
  <c r="AB232" i="5"/>
  <c r="AH225" i="5"/>
  <c r="AF225" i="5"/>
  <c r="AD225" i="5"/>
  <c r="AB225" i="5"/>
  <c r="B225" i="5" s="1"/>
  <c r="J225" i="5"/>
  <c r="G225" i="5"/>
  <c r="D225" i="5"/>
  <c r="AH224" i="5"/>
  <c r="AF224" i="5"/>
  <c r="AD224" i="5"/>
  <c r="AB224" i="5"/>
  <c r="J224" i="5"/>
  <c r="G224" i="5"/>
  <c r="D224" i="5"/>
  <c r="AH223" i="5"/>
  <c r="AF223" i="5"/>
  <c r="AD223" i="5"/>
  <c r="AB223" i="5"/>
  <c r="J223" i="5"/>
  <c r="I223" i="5"/>
  <c r="AH222" i="5"/>
  <c r="AF222" i="5"/>
  <c r="AD222" i="5"/>
  <c r="AB222" i="5"/>
  <c r="J222" i="5"/>
  <c r="I222" i="5"/>
  <c r="AH221" i="5"/>
  <c r="AF221" i="5"/>
  <c r="AD221" i="5"/>
  <c r="AB221" i="5"/>
  <c r="J221" i="5"/>
  <c r="I221" i="5"/>
  <c r="AH220" i="5"/>
  <c r="AF220" i="5"/>
  <c r="AD220" i="5"/>
  <c r="AB220" i="5"/>
  <c r="J220" i="5"/>
  <c r="I220" i="5"/>
  <c r="G238" i="5"/>
  <c r="G237" i="5"/>
  <c r="G251" i="5"/>
  <c r="G250" i="5"/>
  <c r="G212" i="5"/>
  <c r="G211" i="5"/>
  <c r="G199" i="5"/>
  <c r="G198" i="5"/>
  <c r="J212" i="5"/>
  <c r="J211" i="5"/>
  <c r="J266" i="5"/>
  <c r="I266" i="5"/>
  <c r="AH270" i="5"/>
  <c r="AF270" i="5"/>
  <c r="AD270" i="5"/>
  <c r="AB270" i="5"/>
  <c r="AH268" i="5"/>
  <c r="AF268" i="5"/>
  <c r="AD268" i="5"/>
  <c r="AB268" i="5"/>
  <c r="AH266" i="5"/>
  <c r="AF266" i="5"/>
  <c r="AD266" i="5"/>
  <c r="AB266" i="5"/>
  <c r="J267" i="5"/>
  <c r="I267" i="5"/>
  <c r="J265" i="5"/>
  <c r="G265" i="5"/>
  <c r="D265" i="5"/>
  <c r="J264" i="5"/>
  <c r="G264" i="5"/>
  <c r="D264" i="5"/>
  <c r="J263" i="5"/>
  <c r="I263" i="5"/>
  <c r="AH262" i="5"/>
  <c r="AF262" i="5"/>
  <c r="AD262" i="5"/>
  <c r="AB262" i="5"/>
  <c r="AH271" i="5"/>
  <c r="AF271" i="5"/>
  <c r="AD271" i="5"/>
  <c r="AB271" i="5"/>
  <c r="AH269" i="5"/>
  <c r="AF269" i="5"/>
  <c r="AD269" i="5"/>
  <c r="AB269" i="5"/>
  <c r="AH267" i="5"/>
  <c r="AF267" i="5"/>
  <c r="AD267" i="5"/>
  <c r="AB267" i="5"/>
  <c r="AH196" i="5"/>
  <c r="AF196" i="5"/>
  <c r="AD196" i="5"/>
  <c r="AB196" i="5"/>
  <c r="J196" i="5"/>
  <c r="I196" i="5"/>
  <c r="AH194" i="5"/>
  <c r="AF194" i="5"/>
  <c r="AD194" i="5"/>
  <c r="AB194" i="5"/>
  <c r="J194" i="5"/>
  <c r="I194" i="5"/>
  <c r="AH510" i="5"/>
  <c r="AF510" i="5"/>
  <c r="AD510" i="5"/>
  <c r="AB510" i="5"/>
  <c r="AH509" i="5"/>
  <c r="AF509" i="5"/>
  <c r="AD509" i="5"/>
  <c r="AB509" i="5"/>
  <c r="AH508" i="5"/>
  <c r="AF508" i="5"/>
  <c r="AD508" i="5"/>
  <c r="AB508" i="5"/>
  <c r="AH507" i="5"/>
  <c r="AF507" i="5"/>
  <c r="AD507" i="5"/>
  <c r="AB507" i="5"/>
  <c r="AH505" i="5"/>
  <c r="AF505" i="5"/>
  <c r="AD505" i="5"/>
  <c r="AB505" i="5"/>
  <c r="AH504" i="5"/>
  <c r="AF504" i="5"/>
  <c r="AD504" i="5"/>
  <c r="AB504" i="5"/>
  <c r="AH503" i="5"/>
  <c r="AF503" i="5"/>
  <c r="AD503" i="5"/>
  <c r="AB503" i="5"/>
  <c r="AH502" i="5"/>
  <c r="AF502" i="5"/>
  <c r="AD502" i="5"/>
  <c r="AB502" i="5"/>
  <c r="AH500" i="5"/>
  <c r="AF500" i="5"/>
  <c r="AD500" i="5"/>
  <c r="AB500" i="5"/>
  <c r="AH499" i="5"/>
  <c r="AF499" i="5"/>
  <c r="AD499" i="5"/>
  <c r="AB499" i="5"/>
  <c r="AH498" i="5"/>
  <c r="AF498" i="5"/>
  <c r="AD498" i="5"/>
  <c r="AB498" i="5"/>
  <c r="AH497" i="5"/>
  <c r="AF497" i="5"/>
  <c r="AD497" i="5"/>
  <c r="AB497" i="5"/>
  <c r="AH357" i="5"/>
  <c r="AF357" i="5"/>
  <c r="AD357" i="5"/>
  <c r="AB357" i="5"/>
  <c r="AH356" i="5"/>
  <c r="AF356" i="5"/>
  <c r="AD356" i="5"/>
  <c r="AB356" i="5"/>
  <c r="AH355" i="5"/>
  <c r="AF355" i="5"/>
  <c r="AD355" i="5"/>
  <c r="AB355" i="5"/>
  <c r="AH354" i="5"/>
  <c r="AF354" i="5"/>
  <c r="AD354" i="5"/>
  <c r="AB354" i="5"/>
  <c r="AH353" i="5"/>
  <c r="AF353" i="5"/>
  <c r="AD353" i="5"/>
  <c r="AB353" i="5"/>
  <c r="AH330" i="5"/>
  <c r="AF330" i="5"/>
  <c r="AD330" i="5"/>
  <c r="A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31" i="5"/>
  <c r="AF331" i="5"/>
  <c r="AD331" i="5"/>
  <c r="AB331" i="5"/>
  <c r="AH495" i="5"/>
  <c r="AF495" i="5"/>
  <c r="AD495" i="5"/>
  <c r="AB495" i="5"/>
  <c r="AH494" i="5"/>
  <c r="AF494" i="5"/>
  <c r="AD494" i="5"/>
  <c r="AB494" i="5"/>
  <c r="B494" i="5"/>
  <c r="AH493" i="5"/>
  <c r="AF493" i="5"/>
  <c r="AD493" i="5"/>
  <c r="AB493" i="5"/>
  <c r="AH492" i="5"/>
  <c r="AF492" i="5"/>
  <c r="AD492" i="5"/>
  <c r="AB492" i="5"/>
  <c r="M529" i="5"/>
  <c r="J529" i="5"/>
  <c r="M460" i="5"/>
  <c r="J460" i="5"/>
  <c r="M459" i="5"/>
  <c r="J459" i="5"/>
  <c r="M458" i="5"/>
  <c r="J458" i="5"/>
  <c r="M457" i="5"/>
  <c r="J457" i="5"/>
  <c r="M485" i="5"/>
  <c r="M484" i="5"/>
  <c r="J485" i="5"/>
  <c r="J484" i="5"/>
  <c r="AH490" i="5"/>
  <c r="AF490" i="5"/>
  <c r="AD490" i="5"/>
  <c r="AB490" i="5"/>
  <c r="AH489" i="5"/>
  <c r="AF489" i="5"/>
  <c r="AD489" i="5"/>
  <c r="AB489" i="5"/>
  <c r="AH488" i="5"/>
  <c r="AF488" i="5"/>
  <c r="AD488" i="5"/>
  <c r="AB488" i="5"/>
  <c r="AH313" i="5"/>
  <c r="AF313" i="5"/>
  <c r="AD313" i="5"/>
  <c r="AB313" i="5"/>
  <c r="AH312" i="5"/>
  <c r="AF312" i="5"/>
  <c r="AD312" i="5"/>
  <c r="AB312" i="5"/>
  <c r="AH325" i="5"/>
  <c r="AF325" i="5"/>
  <c r="AD325" i="5"/>
  <c r="AB325" i="5"/>
  <c r="AH324" i="5"/>
  <c r="AF324" i="5"/>
  <c r="AD324" i="5"/>
  <c r="AB324" i="5"/>
  <c r="AH323" i="5"/>
  <c r="AF323" i="5"/>
  <c r="AD323" i="5"/>
  <c r="AB323" i="5"/>
  <c r="AH322" i="5"/>
  <c r="AF322" i="5"/>
  <c r="AD322" i="5"/>
  <c r="AB322" i="5"/>
  <c r="AH319" i="5"/>
  <c r="AF319" i="5"/>
  <c r="AD319" i="5"/>
  <c r="AB319" i="5"/>
  <c r="AH318" i="5"/>
  <c r="AF318" i="5"/>
  <c r="AD318" i="5"/>
  <c r="AB318" i="5"/>
  <c r="AH317" i="5"/>
  <c r="AF317" i="5"/>
  <c r="AD317" i="5"/>
  <c r="AB317" i="5"/>
  <c r="AH316" i="5"/>
  <c r="AF316" i="5"/>
  <c r="AD316" i="5"/>
  <c r="AB316" i="5"/>
  <c r="AH315" i="5"/>
  <c r="AF315" i="5"/>
  <c r="AD315" i="5"/>
  <c r="AB315" i="5"/>
  <c r="AH321" i="5"/>
  <c r="AF321" i="5"/>
  <c r="AD321" i="5"/>
  <c r="AB321" i="5"/>
  <c r="AH476" i="5"/>
  <c r="AF476" i="5"/>
  <c r="AD476" i="5"/>
  <c r="AB476" i="5"/>
  <c r="AH480" i="5"/>
  <c r="AF480" i="5"/>
  <c r="AD480" i="5"/>
  <c r="AB480" i="5"/>
  <c r="AH479" i="5"/>
  <c r="AF479" i="5"/>
  <c r="AD479" i="5"/>
  <c r="AB479" i="5"/>
  <c r="AH478" i="5"/>
  <c r="AF478" i="5"/>
  <c r="AD478" i="5"/>
  <c r="AB478" i="5"/>
  <c r="AH477" i="5"/>
  <c r="AF477" i="5"/>
  <c r="AD477" i="5"/>
  <c r="AB477" i="5"/>
  <c r="AH487" i="5"/>
  <c r="AF487" i="5"/>
  <c r="AD487" i="5"/>
  <c r="AB487" i="5"/>
  <c r="AH553" i="5"/>
  <c r="AF553" i="5"/>
  <c r="AD553" i="5"/>
  <c r="AB553" i="5"/>
  <c r="AH552" i="5"/>
  <c r="AF552" i="5"/>
  <c r="AD552" i="5"/>
  <c r="AB552" i="5"/>
  <c r="AH550" i="5"/>
  <c r="AF550" i="5"/>
  <c r="AD550" i="5"/>
  <c r="AB550" i="5"/>
  <c r="AH549" i="5"/>
  <c r="AF549" i="5"/>
  <c r="AD549" i="5"/>
  <c r="AB549" i="5"/>
  <c r="AH548" i="5"/>
  <c r="AF548" i="5"/>
  <c r="AD548" i="5"/>
  <c r="AB548" i="5"/>
  <c r="AH546" i="5"/>
  <c r="AF546" i="5"/>
  <c r="AD546" i="5"/>
  <c r="AB546" i="5"/>
  <c r="AH545" i="5"/>
  <c r="AF545" i="5"/>
  <c r="AD545" i="5"/>
  <c r="AB545" i="5"/>
  <c r="AH544" i="5"/>
  <c r="AF544" i="5"/>
  <c r="AD544" i="5"/>
  <c r="AB544" i="5"/>
  <c r="AH543" i="5"/>
  <c r="AF543" i="5"/>
  <c r="AD543" i="5"/>
  <c r="AB543" i="5"/>
  <c r="AH541" i="5"/>
  <c r="AH540" i="5"/>
  <c r="AH539" i="5"/>
  <c r="AH538" i="5"/>
  <c r="AH537" i="5"/>
  <c r="AH536" i="5"/>
  <c r="AH535" i="5"/>
  <c r="AH534" i="5"/>
  <c r="AH533" i="5"/>
  <c r="AH532" i="5"/>
  <c r="AF541" i="5"/>
  <c r="AF540" i="5"/>
  <c r="AF539" i="5"/>
  <c r="AF538" i="5"/>
  <c r="AF537" i="5"/>
  <c r="AF536" i="5"/>
  <c r="AF535" i="5"/>
  <c r="AF534" i="5"/>
  <c r="AD541" i="5"/>
  <c r="AD540" i="5"/>
  <c r="AD539" i="5"/>
  <c r="AD538" i="5"/>
  <c r="AB541" i="5"/>
  <c r="AB540" i="5"/>
  <c r="AB539" i="5"/>
  <c r="AB538" i="5"/>
  <c r="AD534" i="5"/>
  <c r="AB534" i="5"/>
  <c r="AD535" i="5"/>
  <c r="AB535" i="5"/>
  <c r="AF533" i="5"/>
  <c r="AD533" i="5"/>
  <c r="AB533" i="5"/>
  <c r="AF532" i="5"/>
  <c r="AD532" i="5"/>
  <c r="AB532" i="5"/>
  <c r="AH531" i="5"/>
  <c r="AF531" i="5"/>
  <c r="AD531" i="5"/>
  <c r="AB531" i="5"/>
  <c r="AH530" i="5"/>
  <c r="AF530" i="5"/>
  <c r="AD530" i="5"/>
  <c r="AB530" i="5"/>
  <c r="G484" i="5"/>
  <c r="G485" i="5"/>
  <c r="G460" i="5"/>
  <c r="G459" i="5"/>
  <c r="G458" i="5"/>
  <c r="G457" i="5"/>
  <c r="G529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AH182" i="5"/>
  <c r="AH181" i="5"/>
  <c r="AH180" i="5"/>
  <c r="AH179" i="5"/>
  <c r="AH178" i="5"/>
  <c r="AH177" i="5"/>
  <c r="AH176" i="5"/>
  <c r="AH175" i="5"/>
  <c r="AH174" i="5"/>
  <c r="AH172" i="5"/>
  <c r="AH171" i="5"/>
  <c r="AH169" i="5"/>
  <c r="AH168" i="5"/>
  <c r="AH167" i="5"/>
  <c r="AH166" i="5"/>
  <c r="AH165" i="5"/>
  <c r="AH164" i="5"/>
  <c r="AH162" i="5"/>
  <c r="AH161" i="5"/>
  <c r="AH159" i="5"/>
  <c r="AH158" i="5"/>
  <c r="AH157" i="5"/>
  <c r="AH156" i="5"/>
  <c r="AH155" i="5"/>
  <c r="AH154" i="5"/>
  <c r="AH80" i="5"/>
  <c r="AH265" i="5"/>
  <c r="AH264" i="5"/>
  <c r="AH263" i="5"/>
  <c r="AH261" i="5"/>
  <c r="AH260" i="5"/>
  <c r="AH258" i="5"/>
  <c r="AH257" i="5"/>
  <c r="AH251" i="5"/>
  <c r="AH250" i="5"/>
  <c r="AH249" i="5"/>
  <c r="AH248" i="5"/>
  <c r="AH247" i="5"/>
  <c r="AH246" i="5"/>
  <c r="AH245" i="5"/>
  <c r="AH238" i="5"/>
  <c r="AH237" i="5"/>
  <c r="AH236" i="5"/>
  <c r="AH235" i="5"/>
  <c r="AH234" i="5"/>
  <c r="AH233" i="5"/>
  <c r="AH219" i="5"/>
  <c r="AH212" i="5"/>
  <c r="AH211" i="5"/>
  <c r="AH210" i="5"/>
  <c r="AH209" i="5"/>
  <c r="AH208" i="5"/>
  <c r="AH207" i="5"/>
  <c r="AH206" i="5"/>
  <c r="AH199" i="5"/>
  <c r="AH198" i="5"/>
  <c r="AH197" i="5"/>
  <c r="AH195" i="5"/>
  <c r="AH189" i="5"/>
  <c r="AH188" i="5"/>
  <c r="AH173" i="5"/>
  <c r="AH170" i="5"/>
  <c r="AH163" i="5"/>
  <c r="AH160" i="5"/>
  <c r="AH152" i="5"/>
  <c r="AH151" i="5"/>
  <c r="AH150" i="5"/>
  <c r="AH149" i="5"/>
  <c r="AH148" i="5"/>
  <c r="AH147" i="5"/>
  <c r="AH146" i="5"/>
  <c r="AH145" i="5"/>
  <c r="AH144" i="5"/>
  <c r="AH143" i="5"/>
  <c r="AH142" i="5"/>
  <c r="AH140" i="5"/>
  <c r="AH139" i="5"/>
  <c r="AH138" i="5"/>
  <c r="AH137" i="5"/>
  <c r="AH136" i="5"/>
  <c r="AH134" i="5"/>
  <c r="AH592" i="5"/>
  <c r="AH583" i="5"/>
  <c r="AH582" i="5"/>
  <c r="AH581" i="5"/>
  <c r="AH580" i="5"/>
  <c r="AH579" i="5"/>
  <c r="AH578" i="5"/>
  <c r="AH577" i="5"/>
  <c r="AH576" i="5"/>
  <c r="AH575" i="5"/>
  <c r="AH574" i="5"/>
  <c r="AH573" i="5"/>
  <c r="AH572" i="5"/>
  <c r="AH571" i="5"/>
  <c r="AH570" i="5"/>
  <c r="AH569" i="5"/>
  <c r="AH568" i="5"/>
  <c r="AH567" i="5"/>
  <c r="AH566" i="5"/>
  <c r="AH565" i="5"/>
  <c r="AH564" i="5"/>
  <c r="AH563" i="5"/>
  <c r="AH562" i="5"/>
  <c r="AH561" i="5"/>
  <c r="AH560" i="5"/>
  <c r="AH559" i="5"/>
  <c r="AH555" i="5"/>
  <c r="AH529" i="5"/>
  <c r="AH523" i="5"/>
  <c r="AH522" i="5"/>
  <c r="AH521" i="5"/>
  <c r="AH519" i="5"/>
  <c r="AH518" i="5"/>
  <c r="AH460" i="5"/>
  <c r="AH459" i="5"/>
  <c r="AH458" i="5"/>
  <c r="AH457" i="5"/>
  <c r="AH486" i="5"/>
  <c r="AH485" i="5"/>
  <c r="AH474" i="5"/>
  <c r="AH484" i="5"/>
  <c r="AH473" i="5"/>
  <c r="AH47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0" i="5"/>
  <c r="AH289" i="5"/>
  <c r="AH288" i="5"/>
  <c r="AH286" i="5"/>
  <c r="AH285" i="5"/>
  <c r="AH284" i="5"/>
  <c r="AH283" i="5"/>
  <c r="AH282" i="5"/>
  <c r="AH281" i="5"/>
  <c r="AH280" i="5"/>
  <c r="AH279" i="5"/>
  <c r="AH278" i="5"/>
  <c r="AH277" i="5"/>
  <c r="AH24" i="5"/>
  <c r="AH23" i="5"/>
  <c r="AH116" i="5"/>
  <c r="AH115" i="5"/>
  <c r="AH123" i="5"/>
  <c r="AH122" i="5"/>
  <c r="AH130" i="5"/>
  <c r="AH129" i="5"/>
  <c r="AH128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28" i="5"/>
  <c r="AF130" i="5"/>
  <c r="AF96" i="5"/>
  <c r="AF97" i="5"/>
  <c r="AF95" i="5"/>
  <c r="AF175" i="5"/>
  <c r="AD175" i="5"/>
  <c r="AB175" i="5"/>
  <c r="J175" i="5"/>
  <c r="I175" i="5"/>
  <c r="AF165" i="5"/>
  <c r="AD165" i="5"/>
  <c r="AB165" i="5"/>
  <c r="J165" i="5"/>
  <c r="I165" i="5"/>
  <c r="AF155" i="5"/>
  <c r="AD155" i="5"/>
  <c r="AB155" i="5"/>
  <c r="J155" i="5"/>
  <c r="I155" i="5"/>
  <c r="AF143" i="5"/>
  <c r="AD143" i="5"/>
  <c r="AB143" i="5"/>
  <c r="J143" i="5"/>
  <c r="I143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5" i="5"/>
  <c r="AD285" i="5"/>
  <c r="AB285" i="5"/>
  <c r="AF310" i="5"/>
  <c r="AD310" i="5"/>
  <c r="AB310" i="5"/>
  <c r="AF306" i="5"/>
  <c r="AD306" i="5"/>
  <c r="AB306" i="5"/>
  <c r="AF302" i="5"/>
  <c r="AD302" i="5"/>
  <c r="AB302" i="5"/>
  <c r="AF298" i="5"/>
  <c r="AD298" i="5"/>
  <c r="AB298" i="5"/>
  <c r="AF309" i="5"/>
  <c r="AD309" i="5"/>
  <c r="AB309" i="5"/>
  <c r="AF308" i="5"/>
  <c r="AD308" i="5"/>
  <c r="AB308" i="5"/>
  <c r="AF307" i="5"/>
  <c r="AD307" i="5"/>
  <c r="AB307" i="5"/>
  <c r="AF305" i="5"/>
  <c r="AD305" i="5"/>
  <c r="AB305" i="5"/>
  <c r="AF304" i="5"/>
  <c r="AD304" i="5"/>
  <c r="AB304" i="5"/>
  <c r="AF303" i="5"/>
  <c r="AD303" i="5"/>
  <c r="AB303" i="5"/>
  <c r="AF301" i="5"/>
  <c r="AD301" i="5"/>
  <c r="AB301" i="5"/>
  <c r="AF300" i="5"/>
  <c r="AD300" i="5"/>
  <c r="AB300" i="5"/>
  <c r="AF299" i="5"/>
  <c r="AD299" i="5"/>
  <c r="AB299" i="5"/>
  <c r="AF297" i="5"/>
  <c r="AD297" i="5"/>
  <c r="AB297" i="5"/>
  <c r="AF296" i="5"/>
  <c r="AD296" i="5"/>
  <c r="AB296" i="5"/>
  <c r="AF295" i="5"/>
  <c r="AD295" i="5"/>
  <c r="AB295" i="5"/>
  <c r="AF24" i="5"/>
  <c r="AF23" i="5"/>
  <c r="AF116" i="5"/>
  <c r="AF115" i="5"/>
  <c r="AF123" i="5"/>
  <c r="AF122" i="5"/>
  <c r="AF129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36" i="5"/>
  <c r="AB536" i="5"/>
  <c r="AF581" i="5"/>
  <c r="AD581" i="5"/>
  <c r="AB581" i="5"/>
  <c r="G182" i="5"/>
  <c r="G181" i="5"/>
  <c r="G172" i="5"/>
  <c r="G171" i="5"/>
  <c r="G162" i="5"/>
  <c r="G161" i="5"/>
  <c r="G150" i="5"/>
  <c r="G149" i="5"/>
  <c r="D182" i="5"/>
  <c r="D181" i="5"/>
  <c r="D172" i="5"/>
  <c r="D171" i="5"/>
  <c r="D162" i="5"/>
  <c r="D161" i="5"/>
  <c r="D150" i="5"/>
  <c r="D149" i="5"/>
  <c r="AF142" i="5"/>
  <c r="AD142" i="5"/>
  <c r="AB142" i="5"/>
  <c r="J142" i="5"/>
  <c r="I142" i="5"/>
  <c r="AF474" i="5"/>
  <c r="AD474" i="5"/>
  <c r="AB474" i="5"/>
  <c r="AF473" i="5"/>
  <c r="AD473" i="5"/>
  <c r="AB473" i="5"/>
  <c r="AF583" i="5"/>
  <c r="AD583" i="5"/>
  <c r="AB583" i="5"/>
  <c r="AF523" i="5"/>
  <c r="AD523" i="5"/>
  <c r="AB523" i="5"/>
  <c r="AF522" i="5"/>
  <c r="AD522" i="5"/>
  <c r="AB522" i="5"/>
  <c r="AF521" i="5"/>
  <c r="AD521" i="5"/>
  <c r="AB521" i="5"/>
  <c r="AF519" i="5"/>
  <c r="AD519" i="5"/>
  <c r="AB519" i="5"/>
  <c r="AF518" i="5"/>
  <c r="AD518" i="5"/>
  <c r="AB518" i="5"/>
  <c r="AF582" i="5"/>
  <c r="AD582" i="5"/>
  <c r="AB582" i="5"/>
  <c r="AF580" i="5"/>
  <c r="AD580" i="5"/>
  <c r="AB580" i="5"/>
  <c r="J148" i="5"/>
  <c r="I148" i="5"/>
  <c r="J160" i="5"/>
  <c r="J170" i="5"/>
  <c r="J180" i="5"/>
  <c r="J174" i="5"/>
  <c r="J164" i="5"/>
  <c r="AF146" i="5"/>
  <c r="AD146" i="5"/>
  <c r="AB146" i="5"/>
  <c r="AF144" i="5"/>
  <c r="AD144" i="5"/>
  <c r="AB144" i="5"/>
  <c r="J154" i="5"/>
  <c r="J138" i="5"/>
  <c r="I138" i="5"/>
  <c r="I137" i="5"/>
  <c r="I136" i="5"/>
  <c r="J150" i="5"/>
  <c r="J149" i="5"/>
  <c r="J162" i="5"/>
  <c r="J161" i="5"/>
  <c r="J171" i="5"/>
  <c r="J172" i="5"/>
  <c r="J181" i="5"/>
  <c r="J182" i="5"/>
  <c r="AF212" i="5"/>
  <c r="AD212" i="5"/>
  <c r="AB212" i="5"/>
  <c r="D212" i="5"/>
  <c r="AF211" i="5"/>
  <c r="AD211" i="5"/>
  <c r="AB211" i="5"/>
  <c r="D211" i="5"/>
  <c r="AF210" i="5"/>
  <c r="AD210" i="5"/>
  <c r="AB210" i="5"/>
  <c r="J210" i="5"/>
  <c r="I210" i="5"/>
  <c r="AF209" i="5"/>
  <c r="AD209" i="5"/>
  <c r="AB209" i="5"/>
  <c r="J209" i="5"/>
  <c r="I209" i="5"/>
  <c r="AF208" i="5"/>
  <c r="AD208" i="5"/>
  <c r="AB208" i="5"/>
  <c r="J208" i="5"/>
  <c r="I208" i="5"/>
  <c r="AF207" i="5"/>
  <c r="AD207" i="5"/>
  <c r="AB207" i="5"/>
  <c r="J207" i="5"/>
  <c r="I207" i="5"/>
  <c r="AF206" i="5"/>
  <c r="AD206" i="5"/>
  <c r="AB206" i="5"/>
  <c r="AF238" i="5"/>
  <c r="AD238" i="5"/>
  <c r="AB238" i="5"/>
  <c r="J238" i="5"/>
  <c r="I238" i="5"/>
  <c r="D238" i="5"/>
  <c r="AF237" i="5"/>
  <c r="AD237" i="5"/>
  <c r="AB237" i="5"/>
  <c r="J237" i="5"/>
  <c r="I237" i="5"/>
  <c r="D237" i="5"/>
  <c r="AF236" i="5"/>
  <c r="AD236" i="5"/>
  <c r="AB236" i="5"/>
  <c r="J236" i="5"/>
  <c r="I236" i="5"/>
  <c r="AF235" i="5"/>
  <c r="AD235" i="5"/>
  <c r="AB235" i="5"/>
  <c r="J235" i="5"/>
  <c r="I235" i="5"/>
  <c r="AF234" i="5"/>
  <c r="AD234" i="5"/>
  <c r="AB234" i="5"/>
  <c r="J234" i="5"/>
  <c r="I234" i="5"/>
  <c r="AF233" i="5"/>
  <c r="AD233" i="5"/>
  <c r="AB233" i="5"/>
  <c r="J233" i="5"/>
  <c r="I233" i="5"/>
  <c r="AF219" i="5"/>
  <c r="AD219" i="5"/>
  <c r="AB219" i="5"/>
  <c r="J249" i="5"/>
  <c r="J248" i="5"/>
  <c r="I249" i="5"/>
  <c r="I248" i="5"/>
  <c r="J247" i="5"/>
  <c r="J246" i="5"/>
  <c r="I247" i="5"/>
  <c r="I246" i="5"/>
  <c r="AF248" i="5"/>
  <c r="AD248" i="5"/>
  <c r="AB248" i="5"/>
  <c r="AF246" i="5"/>
  <c r="AD246" i="5"/>
  <c r="AB246" i="5"/>
  <c r="AF249" i="5"/>
  <c r="AD249" i="5"/>
  <c r="AB249" i="5"/>
  <c r="AF247" i="5"/>
  <c r="AD247" i="5"/>
  <c r="AB247" i="5"/>
  <c r="J197" i="5"/>
  <c r="J195" i="5"/>
  <c r="I195" i="5"/>
  <c r="I197" i="5"/>
  <c r="AF197" i="5"/>
  <c r="AD197" i="5"/>
  <c r="AB197" i="5"/>
  <c r="AF195" i="5"/>
  <c r="AD195" i="5"/>
  <c r="AB195" i="5"/>
  <c r="J251" i="5"/>
  <c r="J250" i="5"/>
  <c r="J199" i="5"/>
  <c r="D251" i="5"/>
  <c r="D250" i="5"/>
  <c r="D199" i="5"/>
  <c r="J198" i="5"/>
  <c r="D198" i="5"/>
  <c r="AF160" i="5"/>
  <c r="AD160" i="5"/>
  <c r="AB160" i="5"/>
  <c r="I160" i="5"/>
  <c r="AF170" i="5"/>
  <c r="AD170" i="5"/>
  <c r="AB170" i="5"/>
  <c r="I170" i="5"/>
  <c r="I180" i="5"/>
  <c r="AF180" i="5"/>
  <c r="AD180" i="5"/>
  <c r="AB180" i="5"/>
  <c r="AF158" i="5"/>
  <c r="AD158" i="5"/>
  <c r="AB158" i="5"/>
  <c r="AF156" i="5"/>
  <c r="AD156" i="5"/>
  <c r="AB156" i="5"/>
  <c r="AF154" i="5"/>
  <c r="AD154" i="5"/>
  <c r="AB154" i="5"/>
  <c r="I154" i="5"/>
  <c r="AF172" i="5"/>
  <c r="AD172" i="5"/>
  <c r="AB172" i="5"/>
  <c r="AF171" i="5"/>
  <c r="AD171" i="5"/>
  <c r="AB171" i="5"/>
  <c r="AF169" i="5"/>
  <c r="AD169" i="5"/>
  <c r="AB169" i="5"/>
  <c r="AF168" i="5"/>
  <c r="AD168" i="5"/>
  <c r="AB168" i="5"/>
  <c r="AF167" i="5"/>
  <c r="AD167" i="5"/>
  <c r="AB167" i="5"/>
  <c r="AF166" i="5"/>
  <c r="AD166" i="5"/>
  <c r="AB166" i="5"/>
  <c r="AF164" i="5"/>
  <c r="AD164" i="5"/>
  <c r="AB164" i="5"/>
  <c r="I164" i="5"/>
  <c r="AF163" i="5"/>
  <c r="AF178" i="5"/>
  <c r="AD178" i="5"/>
  <c r="AB178" i="5"/>
  <c r="AF176" i="5"/>
  <c r="AD176" i="5"/>
  <c r="AB176" i="5"/>
  <c r="I174" i="5"/>
  <c r="AF174" i="5"/>
  <c r="AD174" i="5"/>
  <c r="AB174" i="5"/>
  <c r="AF182" i="5"/>
  <c r="AF181" i="5"/>
  <c r="AF179" i="5"/>
  <c r="AF177" i="5"/>
  <c r="AF173" i="5"/>
  <c r="AD182" i="5"/>
  <c r="AB182" i="5"/>
  <c r="AD181" i="5"/>
  <c r="AB181" i="5"/>
  <c r="AD179" i="5"/>
  <c r="AB179" i="5"/>
  <c r="AD177" i="5"/>
  <c r="AB177" i="5"/>
  <c r="AF290" i="5"/>
  <c r="AD290" i="5"/>
  <c r="AB290" i="5"/>
  <c r="AF289" i="5"/>
  <c r="AD289" i="5"/>
  <c r="AB289" i="5"/>
  <c r="AF288" i="5"/>
  <c r="AD288" i="5"/>
  <c r="AB288" i="5"/>
  <c r="AF265" i="5"/>
  <c r="AF264" i="5"/>
  <c r="AF263" i="5"/>
  <c r="AF261" i="5"/>
  <c r="AF260" i="5"/>
  <c r="AF258" i="5"/>
  <c r="AF257" i="5"/>
  <c r="AF251" i="5"/>
  <c r="AF250" i="5"/>
  <c r="AF245" i="5"/>
  <c r="AF199" i="5"/>
  <c r="AF198" i="5"/>
  <c r="AF189" i="5"/>
  <c r="AF188" i="5"/>
  <c r="AF162" i="5"/>
  <c r="AF161" i="5"/>
  <c r="AD265" i="5"/>
  <c r="AD264" i="5"/>
  <c r="AD263" i="5"/>
  <c r="AD261" i="5"/>
  <c r="AD260" i="5"/>
  <c r="AD258" i="5"/>
  <c r="AD257" i="5"/>
  <c r="AD251" i="5"/>
  <c r="AD250" i="5"/>
  <c r="AD245" i="5"/>
  <c r="AD199" i="5"/>
  <c r="AD198" i="5"/>
  <c r="AD189" i="5"/>
  <c r="AD188" i="5"/>
  <c r="AD162" i="5"/>
  <c r="AD161" i="5"/>
  <c r="AB265" i="5"/>
  <c r="AB264" i="5"/>
  <c r="AB263" i="5"/>
  <c r="AB261" i="5"/>
  <c r="AB260" i="5"/>
  <c r="AB258" i="5"/>
  <c r="AB257" i="5"/>
  <c r="AB251" i="5"/>
  <c r="AB250" i="5"/>
  <c r="AB245" i="5"/>
  <c r="AB199" i="5"/>
  <c r="AB198" i="5"/>
  <c r="AB189" i="5"/>
  <c r="AB188" i="5"/>
  <c r="AB162" i="5"/>
  <c r="I251" i="5"/>
  <c r="I250" i="5"/>
  <c r="I199" i="5"/>
  <c r="I198" i="5"/>
  <c r="AF159" i="5"/>
  <c r="AF157" i="5"/>
  <c r="AD159" i="5"/>
  <c r="AD157" i="5"/>
  <c r="AB161" i="5"/>
  <c r="AB159" i="5"/>
  <c r="AB157" i="5"/>
  <c r="AF152" i="5"/>
  <c r="AF151" i="5"/>
  <c r="AF150" i="5"/>
  <c r="AF149" i="5"/>
  <c r="AF148" i="5"/>
  <c r="AF147" i="5"/>
  <c r="AF145" i="5"/>
  <c r="AF140" i="5"/>
  <c r="AF139" i="5"/>
  <c r="AF138" i="5"/>
  <c r="AF137" i="5"/>
  <c r="AF136" i="5"/>
  <c r="AF134" i="5"/>
  <c r="AF592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5" i="5"/>
  <c r="AF564" i="5"/>
  <c r="AF563" i="5"/>
  <c r="AF562" i="5"/>
  <c r="AF561" i="5"/>
  <c r="AF560" i="5"/>
  <c r="AF559" i="5"/>
  <c r="AF555" i="5"/>
  <c r="AF529" i="5"/>
  <c r="AF460" i="5"/>
  <c r="AF459" i="5"/>
  <c r="AF458" i="5"/>
  <c r="AF457" i="5"/>
  <c r="AF486" i="5"/>
  <c r="AF485" i="5"/>
  <c r="AF484" i="5"/>
  <c r="AF471" i="5"/>
  <c r="AF286" i="5"/>
  <c r="AF284" i="5"/>
  <c r="AF283" i="5"/>
  <c r="AF282" i="5"/>
  <c r="AF281" i="5"/>
  <c r="AF280" i="5"/>
  <c r="AF279" i="5"/>
  <c r="AF278" i="5"/>
  <c r="AF277" i="5"/>
  <c r="AD152" i="5"/>
  <c r="AD151" i="5"/>
  <c r="AD150" i="5"/>
  <c r="AD149" i="5"/>
  <c r="AD148" i="5"/>
  <c r="AD147" i="5"/>
  <c r="AD145" i="5"/>
  <c r="AD140" i="5"/>
  <c r="AD139" i="5"/>
  <c r="AD138" i="5"/>
  <c r="AD137" i="5"/>
  <c r="AD136" i="5"/>
  <c r="AD134" i="5"/>
  <c r="AD592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5" i="5"/>
  <c r="AD564" i="5"/>
  <c r="AD563" i="5"/>
  <c r="AD562" i="5"/>
  <c r="AD561" i="5"/>
  <c r="AD560" i="5"/>
  <c r="AD559" i="5"/>
  <c r="AD555" i="5"/>
  <c r="AD537" i="5"/>
  <c r="AD529" i="5"/>
  <c r="AD460" i="5"/>
  <c r="AD459" i="5"/>
  <c r="AD458" i="5"/>
  <c r="AD457" i="5"/>
  <c r="AD486" i="5"/>
  <c r="AD485" i="5"/>
  <c r="AD484" i="5"/>
  <c r="AD471" i="5"/>
  <c r="AD286" i="5"/>
  <c r="AD284" i="5"/>
  <c r="AD283" i="5"/>
  <c r="AD282" i="5"/>
  <c r="AD281" i="5"/>
  <c r="AD280" i="5"/>
  <c r="AD279" i="5"/>
  <c r="AD278" i="5"/>
  <c r="AB152" i="5"/>
  <c r="AB151" i="5"/>
  <c r="AB150" i="5"/>
  <c r="AB149" i="5"/>
  <c r="AB148" i="5"/>
  <c r="AB147" i="5"/>
  <c r="AB145" i="5"/>
  <c r="AB140" i="5"/>
  <c r="AB139" i="5"/>
  <c r="AB138" i="5"/>
  <c r="AB137" i="5"/>
  <c r="AB136" i="5"/>
  <c r="AB134" i="5"/>
  <c r="AB592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5" i="5"/>
  <c r="AB564" i="5"/>
  <c r="AB563" i="5"/>
  <c r="AB562" i="5"/>
  <c r="AB561" i="5"/>
  <c r="AB560" i="5"/>
  <c r="AB559" i="5"/>
  <c r="AB555" i="5"/>
  <c r="AB537" i="5"/>
  <c r="AB529" i="5"/>
  <c r="AB460" i="5"/>
  <c r="AB459" i="5"/>
  <c r="AB458" i="5"/>
  <c r="AB457" i="5"/>
  <c r="AB486" i="5"/>
  <c r="AB485" i="5"/>
  <c r="AB484" i="5"/>
  <c r="AB471" i="5"/>
  <c r="AB286" i="5"/>
  <c r="AB284" i="5"/>
  <c r="AB283" i="5"/>
  <c r="AB282" i="5"/>
  <c r="AB281" i="5"/>
  <c r="AB280" i="5"/>
  <c r="AB279" i="5"/>
  <c r="AB278" i="5"/>
  <c r="AB277" i="5"/>
  <c r="D460" i="5"/>
  <c r="D529" i="5"/>
  <c r="D459" i="5"/>
  <c r="D458" i="5"/>
  <c r="D457" i="5"/>
  <c r="D485" i="5"/>
  <c r="D484" i="5"/>
  <c r="AD277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6" i="5" l="1"/>
  <c r="B423" i="5"/>
  <c r="B13" i="5"/>
  <c r="B436" i="5"/>
  <c r="B426" i="5"/>
  <c r="B112" i="5"/>
  <c r="B424" i="5"/>
  <c r="B450" i="5"/>
  <c r="B118" i="5"/>
  <c r="B440" i="5"/>
  <c r="B447" i="5"/>
  <c r="B377" i="5"/>
  <c r="B102" i="5"/>
  <c r="B119" i="5"/>
  <c r="B378" i="5"/>
  <c r="B379" i="5"/>
  <c r="B467" i="5"/>
  <c r="B330" i="5"/>
  <c r="B120" i="5"/>
  <c r="B376" i="5"/>
  <c r="B73" i="5"/>
  <c r="B399" i="5"/>
  <c r="B117" i="5"/>
  <c r="B75" i="5"/>
  <c r="B66" i="5"/>
  <c r="B58" i="5"/>
  <c r="B452" i="5"/>
  <c r="B124" i="5"/>
  <c r="B60" i="5"/>
  <c r="B454" i="5"/>
  <c r="B455" i="5"/>
  <c r="B449" i="5"/>
  <c r="B46" i="5"/>
  <c r="B428" i="5"/>
  <c r="B429" i="5"/>
  <c r="B68" i="5"/>
  <c r="B435" i="5"/>
  <c r="B433" i="5"/>
  <c r="B422" i="5"/>
  <c r="B400" i="5"/>
  <c r="B27" i="5"/>
  <c r="B594" i="5"/>
  <c r="B126" i="5"/>
  <c r="B69" i="5"/>
  <c r="B28" i="5"/>
  <c r="B224" i="5"/>
  <c r="B414" i="5"/>
  <c r="B65" i="5"/>
  <c r="B381" i="5"/>
  <c r="B412" i="5"/>
  <c r="B402" i="5"/>
  <c r="B411" i="5"/>
  <c r="B41" i="5"/>
  <c r="B61" i="5"/>
  <c r="B410" i="5"/>
  <c r="B125" i="5"/>
  <c r="B293" i="5"/>
  <c r="B74" i="5"/>
  <c r="B387" i="5"/>
  <c r="B67" i="5"/>
  <c r="B243" i="5"/>
  <c r="B14" i="5"/>
  <c r="B106" i="5"/>
  <c r="B388" i="5"/>
  <c r="B42" i="5"/>
  <c r="B17" i="5"/>
  <c r="B498" i="5"/>
  <c r="B413" i="5"/>
  <c r="B16" i="5"/>
  <c r="B464" i="5"/>
  <c r="B512" i="5"/>
  <c r="B34" i="5"/>
  <c r="B417" i="5"/>
  <c r="B510" i="5"/>
  <c r="B385" i="5"/>
  <c r="B409" i="5"/>
  <c r="B395" i="5"/>
  <c r="B315" i="5"/>
  <c r="B392" i="5"/>
  <c r="B384" i="5"/>
  <c r="B383" i="5"/>
  <c r="B415" i="5"/>
  <c r="B369" i="5"/>
  <c r="B335" i="5"/>
  <c r="B589" i="5"/>
  <c r="B404" i="5"/>
  <c r="B405" i="5"/>
  <c r="B406" i="5"/>
  <c r="B407" i="5"/>
  <c r="B101" i="5"/>
  <c r="B30" i="5"/>
  <c r="B418" i="5"/>
  <c r="B416" i="5"/>
  <c r="B408" i="5"/>
  <c r="B593" i="5"/>
  <c r="B31" i="5"/>
  <c r="B105" i="5"/>
  <c r="B517" i="5"/>
  <c r="B15" i="5"/>
  <c r="B590" i="5"/>
  <c r="B103" i="5"/>
  <c r="B107" i="5"/>
  <c r="B104" i="5"/>
  <c r="B287" i="5"/>
  <c r="B372" i="5"/>
  <c r="B466" i="5"/>
  <c r="B515" i="5"/>
  <c r="B230" i="5"/>
  <c r="B465" i="5"/>
  <c r="B478" i="5"/>
  <c r="B366" i="5"/>
  <c r="B227" i="5"/>
  <c r="B191" i="5"/>
  <c r="B516" i="5"/>
  <c r="B514" i="5"/>
  <c r="B371" i="5"/>
  <c r="B367" i="5"/>
  <c r="B361" i="5"/>
  <c r="B184" i="5"/>
  <c r="B370" i="5"/>
  <c r="B513" i="5"/>
  <c r="B222" i="5"/>
  <c r="B266" i="5"/>
  <c r="B242" i="5"/>
  <c r="B363" i="5"/>
  <c r="B185" i="5"/>
  <c r="B368" i="5"/>
  <c r="B186" i="5"/>
  <c r="B217" i="5"/>
  <c r="B362" i="5"/>
  <c r="B255" i="5"/>
  <c r="B203" i="5"/>
  <c r="B365" i="5"/>
  <c r="B507" i="5"/>
  <c r="B360" i="5"/>
  <c r="B215" i="5"/>
  <c r="B214" i="5"/>
  <c r="B256" i="5"/>
  <c r="B254" i="5"/>
  <c r="B505" i="5"/>
  <c r="B241" i="5"/>
  <c r="B291" i="5"/>
  <c r="B192" i="5"/>
  <c r="B201" i="5"/>
  <c r="B253" i="5"/>
  <c r="B328" i="5"/>
  <c r="B240" i="5"/>
  <c r="B202" i="5"/>
  <c r="B228" i="5"/>
  <c r="B229" i="5"/>
  <c r="B216" i="5"/>
  <c r="B221" i="5"/>
  <c r="B596" i="5"/>
  <c r="B319" i="5"/>
  <c r="B318" i="5"/>
  <c r="B591" i="5"/>
  <c r="B587" i="5"/>
  <c r="B597" i="5"/>
  <c r="B196" i="5"/>
  <c r="B357" i="5"/>
  <c r="B355" i="5"/>
  <c r="B592" i="5"/>
  <c r="B270" i="5"/>
  <c r="B223" i="5"/>
  <c r="B220" i="5"/>
  <c r="B503" i="5"/>
  <c r="B495" i="5"/>
  <c r="B350" i="5"/>
  <c r="B271" i="5"/>
  <c r="B497" i="5"/>
  <c r="B268" i="5"/>
  <c r="B502" i="5"/>
  <c r="B267" i="5"/>
  <c r="B325" i="5"/>
  <c r="B356" i="5"/>
  <c r="B269" i="5"/>
  <c r="B353" i="5"/>
  <c r="B500" i="5"/>
  <c r="B194" i="5"/>
  <c r="B509" i="5"/>
  <c r="B508" i="5"/>
  <c r="B354" i="5"/>
  <c r="B504" i="5"/>
  <c r="B316" i="5"/>
  <c r="B499" i="5"/>
  <c r="B312" i="5"/>
  <c r="B490" i="5"/>
  <c r="B329" i="5"/>
  <c r="B331" i="5"/>
  <c r="B327" i="5"/>
  <c r="B541" i="5"/>
  <c r="B540" i="5"/>
  <c r="B489" i="5"/>
  <c r="B488" i="5"/>
  <c r="B322" i="5"/>
  <c r="B480" i="5"/>
  <c r="B492" i="5"/>
  <c r="B493" i="5"/>
  <c r="B321" i="5"/>
  <c r="B313" i="5"/>
  <c r="B323" i="5"/>
  <c r="B324" i="5"/>
  <c r="B476" i="5"/>
  <c r="B317" i="5"/>
  <c r="B552" i="5"/>
  <c r="B479" i="5"/>
  <c r="B477" i="5"/>
  <c r="B534" i="5"/>
  <c r="B487" i="5"/>
  <c r="B548" i="5"/>
  <c r="B161" i="5"/>
  <c r="B347" i="5"/>
  <c r="B128" i="5"/>
  <c r="B549" i="5"/>
  <c r="B533" i="5"/>
  <c r="B349" i="5"/>
  <c r="B553" i="5"/>
  <c r="B546" i="5"/>
  <c r="B544" i="5"/>
  <c r="B535" i="5"/>
  <c r="B545" i="5"/>
  <c r="B550" i="5"/>
  <c r="B531" i="5"/>
  <c r="B96" i="5"/>
  <c r="B97" i="5"/>
  <c r="B95" i="5"/>
  <c r="B38" i="5"/>
  <c r="B36" i="5"/>
  <c r="B35" i="5"/>
  <c r="B581" i="5"/>
  <c r="B530" i="5"/>
  <c r="B543" i="5"/>
  <c r="B538" i="5"/>
  <c r="B539" i="5"/>
  <c r="B57" i="5"/>
  <c r="B56" i="5"/>
  <c r="B51" i="5"/>
  <c r="B50" i="5"/>
  <c r="B45" i="5"/>
  <c r="B44" i="5"/>
  <c r="B39" i="5"/>
  <c r="B162" i="5"/>
  <c r="B536" i="5"/>
  <c r="B165" i="5"/>
  <c r="B155" i="5"/>
  <c r="B339" i="5"/>
  <c r="B337" i="5"/>
  <c r="B129" i="5"/>
  <c r="B580" i="5"/>
  <c r="B265" i="5"/>
  <c r="B264" i="5"/>
  <c r="B263" i="5"/>
  <c r="B261" i="5"/>
  <c r="B260" i="5"/>
  <c r="B250" i="5"/>
  <c r="B199" i="5"/>
  <c r="B198" i="5"/>
  <c r="B346" i="5"/>
  <c r="B122" i="5"/>
  <c r="B351" i="5"/>
  <c r="B348" i="5"/>
  <c r="B345" i="5"/>
  <c r="B340" i="5"/>
  <c r="B342" i="5"/>
  <c r="B123" i="5"/>
  <c r="B344" i="5"/>
  <c r="B341" i="5"/>
  <c r="B301" i="5"/>
  <c r="B300" i="5"/>
  <c r="B299" i="5"/>
  <c r="B532" i="5"/>
  <c r="B303" i="5"/>
  <c r="B304" i="5"/>
  <c r="B154" i="5"/>
  <c r="B172" i="5"/>
  <c r="B171" i="5"/>
  <c r="B169" i="5"/>
  <c r="B167" i="5"/>
  <c r="B166" i="5"/>
  <c r="B164" i="5"/>
  <c r="B174" i="5"/>
  <c r="B343" i="5"/>
  <c r="B33" i="5"/>
  <c r="B305" i="5"/>
  <c r="B251" i="5"/>
  <c r="B309" i="5"/>
  <c r="B308" i="5"/>
  <c r="B307" i="5"/>
  <c r="B583" i="5"/>
  <c r="B176" i="5"/>
  <c r="B236" i="5"/>
  <c r="B234" i="5"/>
  <c r="B197" i="5"/>
  <c r="B195" i="5"/>
  <c r="B338" i="5"/>
  <c r="B336" i="5"/>
  <c r="B582" i="5"/>
  <c r="B160" i="5"/>
  <c r="B170" i="5"/>
  <c r="B282" i="5"/>
  <c r="B281" i="5"/>
  <c r="B280" i="5"/>
  <c r="B279" i="5"/>
  <c r="B278" i="5"/>
  <c r="B175" i="5"/>
  <c r="B115" i="5"/>
  <c r="B238" i="5"/>
  <c r="B237" i="5"/>
  <c r="B562" i="5"/>
  <c r="B561" i="5"/>
  <c r="B560" i="5"/>
  <c r="B559" i="5"/>
  <c r="B529" i="5"/>
  <c r="B460" i="5"/>
  <c r="B459" i="5"/>
  <c r="B458" i="5"/>
  <c r="B457" i="5"/>
  <c r="B485" i="5"/>
  <c r="B484" i="5"/>
  <c r="B284" i="5"/>
  <c r="B283" i="5"/>
  <c r="B523" i="5"/>
  <c r="B310" i="5"/>
  <c r="B302" i="5"/>
  <c r="B297" i="5"/>
  <c r="B277" i="5"/>
  <c r="B93" i="5"/>
  <c r="B92" i="5"/>
  <c r="B89" i="5"/>
  <c r="B87" i="5"/>
  <c r="B86" i="5"/>
  <c r="B84" i="5"/>
  <c r="B83" i="5"/>
  <c r="B78" i="5"/>
  <c r="B77" i="5"/>
  <c r="B130" i="5"/>
  <c r="B296" i="5"/>
  <c r="B295" i="5"/>
  <c r="B24" i="5"/>
  <c r="B23" i="5"/>
  <c r="B116" i="5"/>
  <c r="B72" i="5"/>
  <c r="B71" i="5"/>
  <c r="B64" i="5"/>
  <c r="B63" i="5"/>
  <c r="B212" i="5"/>
  <c r="B211" i="5"/>
  <c r="B210" i="5"/>
  <c r="B208" i="5"/>
  <c r="B168" i="5"/>
  <c r="B290" i="5"/>
  <c r="B289" i="5"/>
  <c r="B288" i="5"/>
  <c r="B148" i="5"/>
  <c r="B138" i="5"/>
  <c r="B137" i="5"/>
  <c r="B136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21" i="5"/>
  <c r="B285" i="5"/>
  <c r="B474" i="5"/>
  <c r="B298" i="5"/>
  <c r="B522" i="5"/>
  <c r="B473" i="5"/>
  <c r="B306" i="5"/>
  <c r="B81" i="5"/>
  <c r="B142" i="5"/>
  <c r="B180" i="5"/>
  <c r="B158" i="5"/>
  <c r="B156" i="5"/>
  <c r="B178" i="5"/>
  <c r="B182" i="5"/>
  <c r="B181" i="5"/>
  <c r="B179" i="5"/>
  <c r="B177" i="5"/>
  <c r="B159" i="5"/>
  <c r="B157" i="5"/>
  <c r="B249" i="5"/>
  <c r="B248" i="5"/>
  <c r="B247" i="5"/>
  <c r="B246" i="5"/>
  <c r="B209" i="5"/>
  <c r="B207" i="5"/>
  <c r="B233" i="5"/>
  <c r="B235" i="5"/>
  <c r="B150" i="5"/>
  <c r="B149" i="5"/>
  <c r="B147" i="5"/>
  <c r="B146" i="5"/>
  <c r="B145" i="5"/>
  <c r="B144" i="5"/>
  <c r="B143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<sst xmlns="http://schemas.openxmlformats.org/spreadsheetml/2006/main" count="8044" uniqueCount="471">
  <si>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</si>
  <si>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</si>
  <si>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</si>
  <si>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</si>
  <si>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</si>
  <si>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</si>
  <si>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</si>
  <si>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</si>
  <si>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</si>
  <si>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</si>
  <si>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</si>
  <si>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</si>
  <si>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</si>
  <si>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</si>
  <si>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</si>
  <si>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</si>
  <si>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</si>
  <si>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</si>
  <si>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</si>
  <si>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</si>
  <si>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</si>
  <si>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</si>
  <si>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</si>
  <si>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</si>
  <si>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</si>
  <si>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</si>
  <si>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</si>
  <si>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</si>
  <si>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</si>
  <si>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</si>
  <si>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</si>
  <si>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</si>
  <si>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</si>
  <si>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</si>
  <si>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</si>
  <si>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</si>
  <si>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</si>
  <si>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</si>
  <si>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</si>
  <si>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</si>
  <si>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</si>
  <si>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</si>
  <si>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</si>
  <si>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</si>
  <si>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</si>
  <si>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</si>
  <si>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</si>
  <si>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</si>
  <si>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</si>
  <si>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</si>
  <si>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</si>
  <si>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</si>
  <si>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</si>
  <si>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</si>
  <si>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</si>
  <si>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</si>
  <si>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</si>
  <si>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</si>
  <si>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</si>
  <si>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</si>
  <si>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</si>
  <si>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</si>
  <si>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</si>
  <si>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</si>
  <si>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</si>
  <si>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</si>
  <si>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</si>
  <si>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</si>
  <si>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</si>
  <si>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</si>
  <si>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</si>
  <si>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</si>
  <si>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</si>
  <si>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</si>
  <si>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</si>
  <si>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</si>
  <si>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</si>
  <si>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</si>
  <si>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</si>
  <si>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</si>
  <si>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</si>
  <si>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</si>
  <si>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</si>
  <si>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</si>
  <si>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</si>
  <si>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</si>
  <si>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</si>
  <si>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</si>
  <si>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</si>
  <si>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</si>
  <si>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</si>
  <si>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</si>
  <si>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</si>
  <si>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</si>
  <si>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</si>
  <si>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</si>
  <si>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</si>
  <si>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</si>
  <si>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</si>
  <si>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</si>
  <si>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</si>
  <si>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</si>
  <si>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</si>
  <si>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</si>
  <si>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</si>
  <si>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</si>
  <si>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</si>
  <si>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</si>
  <si>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</si>
  <si>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</si>
  <si>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</si>
  <si>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</si>
  <si>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</si>
  <si>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</si>
  <si>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</si>
  <si>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</si>
  <si>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</si>
  <si>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</si>
  <si>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</si>
  <si>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</si>
  <si>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</si>
  <si>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</si>
  <si>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</si>
  <si>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</si>
  <si>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</si>
  <si>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</si>
  <si>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</si>
  <si>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</si>
  <si>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</si>
  <si>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</si>
  <si>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</si>
  <si>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</si>
  <si>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</si>
  <si>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</si>
  <si>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</si>
  <si>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</si>
  <si>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</si>
  <si>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</si>
  <si>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</si>
  <si>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</si>
  <si>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</si>
  <si>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</si>
  <si>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</si>
  <si>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</si>
  <si>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</si>
  <si>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</si>
  <si>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</si>
  <si>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</si>
  <si>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</si>
  <si>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</si>
  <si>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</si>
  <si>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</si>
  <si>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</si>
  <si>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</si>
  <si>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</si>
  <si>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</si>
  <si>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</si>
  <si>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</si>
  <si>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</si>
  <si>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</si>
  <si>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</si>
  <si>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</si>
  <si>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</si>
  <si>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</si>
  <si>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</si>
  <si>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</si>
  <si>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</si>
  <si>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</si>
  <si>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</si>
  <si>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</si>
  <si>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</si>
  <si>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</si>
  <si>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</si>
  <si>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</si>
  <si>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</si>
  <si>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</si>
  <si>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</si>
  <si>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</si>
  <si>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</si>
  <si>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</si>
  <si>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</si>
  <si>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</si>
  <si>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</si>
  <si>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</si>
  <si>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</si>
  <si>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</si>
  <si>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</si>
  <si>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</si>
  <si>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</si>
  <si>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</si>
  <si>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</si>
  <si>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</si>
  <si>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</si>
  <si>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</si>
  <si>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</si>
  <si>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</si>
  <si>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</si>
  <si>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</si>
  <si>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</si>
  <si>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</si>
  <si>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</si>
  <si>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</si>
  <si>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</si>
  <si>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</si>
  <si>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</si>
  <si>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</si>
  <si>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</si>
  <si>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</si>
  <si>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</si>
  <si>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</si>
  <si>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</si>
  <si>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</si>
  <si>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</si>
  <si>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</si>
  <si>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</si>
  <si>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</si>
  <si>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</si>
  <si>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</si>
  <si>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</si>
  <si>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</si>
  <si>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</si>
  <si>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</si>
  <si>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</si>
  <si>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</si>
  <si>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</si>
  <si>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</si>
  <si>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</si>
  <si>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</si>
  <si>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</si>
  <si>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</si>
  <si>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</si>
  <si>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</si>
  <si>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</si>
  <si>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</si>
  <si>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</si>
  <si>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</si>
  <si>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</si>
  <si>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</si>
  <si>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</si>
  <si>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</si>
  <si>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</si>
  <si>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</si>
  <si>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</si>
  <si>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</si>
  <si>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</si>
  <si>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</si>
  <si>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</si>
  <si>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</si>
  <si>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</si>
  <si>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</si>
  <si>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</si>
  <si>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</si>
  <si>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</si>
  <si>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</si>
  <si>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</si>
  <si>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</si>
  <si>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</si>
  <si>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</si>
  <si>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</si>
  <si>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</si>
  <si>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</si>
  <si>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</si>
  <si>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</si>
  <si>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</si>
  <si>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</si>
  <si>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</si>
  <si>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</si>
  <si>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</si>
  <si>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</si>
  <si>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</si>
  <si>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</si>
  <si>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</si>
  <si>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</si>
  <si>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</si>
  <si>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</si>
  <si>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</si>
  <si>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</si>
  <si>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</si>
  <si>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</si>
  <si>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</si>
  <si>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</si>
  <si>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</si>
  <si>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</si>
  <si>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</si>
  <si>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</si>
  <si>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</si>
  <si>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</si>
  <si>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</si>
  <si>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</si>
  <si>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</si>
  <si>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</si>
  <si>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</si>
  <si>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</si>
  <si>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</si>
  <si>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</si>
  <si>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</si>
  <si>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</si>
  <si>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</si>
  <si>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</si>
  <si>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</si>
  <si>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</si>
  <si>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</si>
  <si>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</si>
  <si>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</si>
  <si>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</si>
  <si>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</si>
  <si>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</si>
  <si>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</si>
  <si>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</si>
  <si>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</si>
  <si>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</si>
  <si>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</si>
  <si>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</si>
  <si>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</si>
  <si>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</si>
  <si>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</si>
  <si>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</si>
  <si>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</si>
  <si>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</si>
  <si>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</si>
  <si>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</si>
  <si>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</si>
  <si>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</si>
  <si>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</si>
  <si>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</si>
  <si>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</si>
  <si>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</si>
  <si>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</si>
  <si>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</si>
  <si>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</si>
  <si>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</si>
  <si>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</si>
  <si>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</si>
  <si>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</si>
  <si>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</si>
  <si>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</si>
  <si>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</si>
  <si>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</si>
  <si>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</si>
  <si>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</si>
  <si>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</si>
  <si>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</si>
  <si>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</si>
  <si>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</si>
  <si>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</si>
  <si>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</si>
  <si>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</si>
  <si>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</si>
  <si>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</si>
  <si>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</si>
  <si>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</si>
  <si>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</si>
  <si>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</si>
  <si>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</si>
  <si>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</si>
  <si>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</si>
  <si>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</si>
  <si>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</si>
  <si>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</si>
  <si>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</si>
  <si>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</si>
  <si>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</si>
  <si>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</si>
  <si>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</si>
  <si>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</si>
  <si>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</si>
  <si>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</si>
  <si>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</si>
  <si>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</si>
  <si>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</si>
  <si>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</si>
  <si>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</si>
  <si>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</si>
  <si>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</si>
  <si>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</si>
  <si>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</si>
  <si>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</si>
  <si>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</si>
  <si>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</si>
  <si>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</si>
  <si>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</si>
  <si>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</si>
  <si>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</si>
  <si>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</si>
  <si>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</si>
  <si>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</si>
  <si>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</si>
  <si>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</si>
  <si>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</si>
  <si>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</si>
  <si>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</si>
  <si>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</si>
  <si>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</si>
  <si>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</si>
  <si>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</si>
  <si>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</si>
  <si>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</si>
  <si>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</si>
  <si>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</si>
  <si>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</si>
  <si>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</si>
  <si>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</si>
  <si>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</si>
  <si>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</si>
  <si>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</si>
  <si>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</si>
  <si>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</si>
  <si>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</si>
  <si>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</si>
  <si>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</si>
  <si>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</si>
  <si>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</si>
  <si>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</si>
  <si>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</si>
  <si>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</si>
  <si>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</si>
  <si>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</si>
  <si>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</si>
  <si>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</si>
  <si>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</si>
  <si>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</si>
  <si>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</si>
  <si>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</si>
  <si>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</si>
  <si>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</si>
  <si>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</si>
  <si>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</si>
  <si>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</si>
  <si>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</si>
  <si>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</si>
  <si>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</si>
  <si>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</si>
  <si>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</si>
  <si>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</si>
  <si>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</si>
  <si>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</si>
  <si>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</si>
  <si>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</si>
  <si>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</si>
  <si>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</si>
  <si>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</si>
  <si>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</si>
  <si>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</si>
  <si>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</si>
  <si>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</si>
  <si>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</si>
  <si>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</si>
  <si>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</si>
  <si>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</si>
  <si>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</si>
  <si>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</si>
  <si>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</si>
  <si>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</si>
  <si>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</si>
  <si>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</si>
  <si>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</si>
  <si>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</si>
  <si>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</si>
  <si>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</si>
  <si>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</si>
  <si>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</si>
  <si>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</si>
  <si>
    <t>power</t>
  </si>
  <si>
    <t>"#545454"</t>
  </si>
  <si>
    <t>"#ababab"</t>
  </si>
  <si>
    <t>roadnumber</t>
  </si>
  <si>
    <t>non_us</t>
  </si>
  <si>
    <t>icon_size</t>
  </si>
  <si>
    <t>text_font</t>
  </si>
  <si>
    <t>"Noto Sans Regular"</t>
  </si>
  <si>
    <t>"Noto Sans Bold"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</si>
</sst>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7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BABA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49" fontId="1" fillId="125" borderId="0" xfId="0" applyNumberFormat="1" applyFont="1" applyFill="1"/>
    <xf numFmtId="49" fontId="1" fillId="12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97"/>
  <sheetViews>
    <sheetView tabSelected="1" topLeftCell="A3" zoomScale="85" zoomScaleNormal="85" workbookViewId="0">
      <pane ySplit="4" topLeftCell="A503" activePane="bottomLeft" state="frozen"/>
      <selection activeCell="A3" sqref="A3"/>
      <selection pane="bottomLeft" activeCell="U607" sqref="U607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1" t="s">
        <v>272</v>
      </c>
      <c r="D39" s="38" t="s">
        <v>218</v>
      </c>
      <c r="F39" s="32" t="s">
        <v>273</v>
      </c>
      <c r="G39" s="37" t="s">
        <v>210</v>
      </c>
      <c r="I39" s="31" t="s">
        <v>272</v>
      </c>
      <c r="J39" s="38" t="s">
        <v>218</v>
      </c>
      <c r="L39" s="32" t="s">
        <v>273</v>
      </c>
      <c r="M39" s="37" t="s">
        <v>210</v>
      </c>
      <c r="U39" s="31" t="s">
        <v>272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1" t="s">
        <v>272</v>
      </c>
      <c r="D45" s="38" t="s">
        <v>218</v>
      </c>
      <c r="F45" s="32" t="s">
        <v>273</v>
      </c>
      <c r="G45" s="37" t="s">
        <v>210</v>
      </c>
      <c r="I45" s="31" t="s">
        <v>272</v>
      </c>
      <c r="J45" s="38" t="s">
        <v>218</v>
      </c>
      <c r="L45" s="32" t="s">
        <v>273</v>
      </c>
      <c r="M45" s="37" t="s">
        <v>210</v>
      </c>
      <c r="U45" s="31" t="s">
        <v>272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1" t="s">
        <v>272</v>
      </c>
      <c r="D51" s="38" t="s">
        <v>218</v>
      </c>
      <c r="F51" s="32" t="s">
        <v>273</v>
      </c>
      <c r="G51" s="37" t="s">
        <v>210</v>
      </c>
      <c r="I51" s="31" t="s">
        <v>272</v>
      </c>
      <c r="J51" s="38" t="s">
        <v>218</v>
      </c>
      <c r="L51" s="32" t="s">
        <v>273</v>
      </c>
      <c r="M51" s="37" t="s">
        <v>210</v>
      </c>
      <c r="U51" s="31" t="s">
        <v>272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1" t="s">
        <v>272</v>
      </c>
      <c r="D57" s="38" t="s">
        <v>218</v>
      </c>
      <c r="F57" s="32" t="s">
        <v>273</v>
      </c>
      <c r="G57" s="37" t="s">
        <v>210</v>
      </c>
      <c r="I57" s="31" t="s">
        <v>272</v>
      </c>
      <c r="J57" s="38" t="s">
        <v>218</v>
      </c>
      <c r="L57" s="32" t="s">
        <v>273</v>
      </c>
      <c r="M57" s="37" t="s">
        <v>210</v>
      </c>
      <c r="U57" s="31" t="s">
        <v>272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1" t="s">
        <v>272</v>
      </c>
      <c r="D64" s="38" t="s">
        <v>218</v>
      </c>
      <c r="F64" s="32" t="s">
        <v>273</v>
      </c>
      <c r="G64" s="37" t="s">
        <v>210</v>
      </c>
      <c r="I64" s="31" t="s">
        <v>272</v>
      </c>
      <c r="J64" s="38" t="s">
        <v>218</v>
      </c>
      <c r="L64" s="32" t="s">
        <v>273</v>
      </c>
      <c r="M64" s="37" t="s">
        <v>210</v>
      </c>
      <c r="U64" s="31" t="s">
        <v>272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1" t="s">
        <v>272</v>
      </c>
      <c r="D72" s="38" t="s">
        <v>218</v>
      </c>
      <c r="F72" s="32" t="s">
        <v>273</v>
      </c>
      <c r="G72" s="37" t="s">
        <v>210</v>
      </c>
      <c r="I72" s="31" t="s">
        <v>272</v>
      </c>
      <c r="J72" s="38" t="s">
        <v>218</v>
      </c>
      <c r="L72" s="32" t="s">
        <v>273</v>
      </c>
      <c r="M72" s="37" t="s">
        <v>210</v>
      </c>
      <c r="U72" s="31" t="s">
        <v>272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@text_font-label_highway_roadnumber_non_us</v>
      </c>
      <c r="C111" s="28" t="s">
        <v>469</v>
      </c>
      <c r="D111" s="28" t="s">
        <v>470</v>
      </c>
      <c r="F111" s="28" t="s">
        <v>469</v>
      </c>
      <c r="G111" s="28" t="s">
        <v>470</v>
      </c>
      <c r="I111" s="28" t="s">
        <v>469</v>
      </c>
      <c r="J111" s="28" t="s">
        <v>470</v>
      </c>
      <c r="L111" s="28" t="s">
        <v>469</v>
      </c>
      <c r="M111" s="28" t="s">
        <v>470</v>
      </c>
      <c r="U111" s="28" t="s">
        <v>469</v>
      </c>
      <c r="V111" s="28" t="s">
        <v>470</v>
      </c>
      <c r="X111" s="28" t="s">
        <v>469</v>
      </c>
      <c r="Y111" s="28" t="s">
        <v>470</v>
      </c>
      <c r="AA111" s="2" t="s">
        <v>468</v>
      </c>
      <c r="AB111" s="2" t="str">
        <f t="shared" ref="AB111" si="123">IF(NOT(ISBLANK(AC111)),"-","")</f>
        <v>-</v>
      </c>
      <c r="AC111" s="2" t="s">
        <v>262</v>
      </c>
      <c r="AD111" s="2" t="str">
        <f t="shared" ref="AD111" si="124">IF(NOT(ISBLANK(AE111)),"_","")</f>
        <v>_</v>
      </c>
      <c r="AE111" s="2" t="s">
        <v>279</v>
      </c>
      <c r="AF111" s="2" t="str">
        <f t="shared" ref="AF111" si="125">IF(NOT(ISBLANK(AG111)),"_","")</f>
        <v>_</v>
      </c>
      <c r="AG111" s="2" t="s">
        <v>465</v>
      </c>
      <c r="AH111" s="2" t="str">
        <f>IF(NOT(ISBLANK(AI111)),"_","")</f>
        <v>_</v>
      </c>
      <c r="AI111" s="185" t="s">
        <v>466</v>
      </c>
    </row>
    <row r="112" spans="1:35" x14ac:dyDescent="0.25">
      <c r="B112" s="2" t="str">
        <f>_xlfn.CONCAT("@",AA112,AB112,AC112,AD112,AE112,AF112,AG112,AH112,AI112)</f>
        <v>@text_size-label_highway_roadnumber_non_us</v>
      </c>
      <c r="C112" s="28" t="s">
        <v>317</v>
      </c>
      <c r="D112" s="28" t="s">
        <v>327</v>
      </c>
      <c r="F112" s="28" t="s">
        <v>317</v>
      </c>
      <c r="G112" s="28" t="s">
        <v>327</v>
      </c>
      <c r="I112" s="28" t="s">
        <v>317</v>
      </c>
      <c r="J112" s="28" t="s">
        <v>327</v>
      </c>
      <c r="L112" s="28" t="s">
        <v>317</v>
      </c>
      <c r="M112" s="28" t="s">
        <v>327</v>
      </c>
      <c r="U112" s="28" t="s">
        <v>317</v>
      </c>
      <c r="V112" s="28" t="s">
        <v>327</v>
      </c>
      <c r="X112" s="28" t="s">
        <v>317</v>
      </c>
      <c r="Y112" s="28" t="s">
        <v>327</v>
      </c>
      <c r="AA112" s="2" t="s">
        <v>437</v>
      </c>
      <c r="AB112" s="2" t="str">
        <f t="shared" ref="AB112" si="126">IF(NOT(ISBLANK(AC112)),"-","")</f>
        <v>-</v>
      </c>
      <c r="AC112" s="2" t="s">
        <v>262</v>
      </c>
      <c r="AD112" s="2" t="str">
        <f t="shared" ref="AD112" si="127">IF(NOT(ISBLANK(AE112)),"_","")</f>
        <v>_</v>
      </c>
      <c r="AE112" s="2" t="s">
        <v>279</v>
      </c>
      <c r="AF112" s="2" t="str">
        <f t="shared" ref="AF112" si="128">IF(NOT(ISBLANK(AG112)),"_","")</f>
        <v>_</v>
      </c>
      <c r="AG112" s="2" t="s">
        <v>465</v>
      </c>
      <c r="AH112" s="2" t="str">
        <f>IF(NOT(ISBLANK(AI112)),"_","")</f>
        <v>_</v>
      </c>
      <c r="AI112" s="185" t="s">
        <v>466</v>
      </c>
    </row>
    <row r="113" spans="2:35" x14ac:dyDescent="0.25">
      <c r="B113" s="2" t="str">
        <f>_xlfn.CONCAT("@",AA113,AB113,AC113,AD113,AE113,AF113,AG113,AH113,AI113)</f>
        <v>@icon_size-label_highway_roadnumber_non_us</v>
      </c>
      <c r="C113" s="28" t="s">
        <v>92</v>
      </c>
      <c r="D113" s="28" t="s">
        <v>76</v>
      </c>
      <c r="F113" s="28" t="s">
        <v>92</v>
      </c>
      <c r="G113" s="28" t="s">
        <v>76</v>
      </c>
      <c r="I113" s="28" t="s">
        <v>92</v>
      </c>
      <c r="J113" s="28" t="s">
        <v>76</v>
      </c>
      <c r="L113" s="28" t="s">
        <v>92</v>
      </c>
      <c r="M113" s="28" t="s">
        <v>76</v>
      </c>
      <c r="U113" s="28" t="s">
        <v>92</v>
      </c>
      <c r="V113" s="28" t="s">
        <v>76</v>
      </c>
      <c r="X113" s="28" t="s">
        <v>92</v>
      </c>
      <c r="Y113" s="28" t="s">
        <v>76</v>
      </c>
      <c r="AA113" s="2" t="s">
        <v>467</v>
      </c>
      <c r="AB113" s="2" t="str">
        <f t="shared" ref="AB113" si="129">IF(NOT(ISBLANK(AC113)),"-","")</f>
        <v>-</v>
      </c>
      <c r="AC113" s="2" t="s">
        <v>262</v>
      </c>
      <c r="AD113" s="2" t="str">
        <f t="shared" ref="AD113" si="130">IF(NOT(ISBLANK(AE113)),"_","")</f>
        <v>_</v>
      </c>
      <c r="AE113" s="2" t="s">
        <v>279</v>
      </c>
      <c r="AF113" s="2" t="str">
        <f t="shared" ref="AF113" si="131">IF(NOT(ISBLANK(AG113)),"_","")</f>
        <v>_</v>
      </c>
      <c r="AG113" s="2" t="s">
        <v>465</v>
      </c>
      <c r="AH113" s="2" t="str">
        <f>IF(NOT(ISBLANK(AI113)),"_","")</f>
        <v>_</v>
      </c>
      <c r="AI113" s="185" t="s">
        <v>466</v>
      </c>
    </row>
    <row r="114" spans="2:35" x14ac:dyDescent="0.25"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2:35" x14ac:dyDescent="0.25">
      <c r="B115" s="2" t="str">
        <f>_xlfn.CONCAT("@",AA115,AB115,AC115,AD115,AE115,AF115,AG115,AH115,AI115)</f>
        <v>@color-label_highway_trunk_primary_secondary_tertiary</v>
      </c>
      <c r="C115" s="33" t="s">
        <v>280</v>
      </c>
      <c r="D115" s="37" t="s">
        <v>210</v>
      </c>
      <c r="F115" s="34" t="s">
        <v>281</v>
      </c>
      <c r="G115" s="38" t="s">
        <v>218</v>
      </c>
      <c r="I115" s="33" t="s">
        <v>280</v>
      </c>
      <c r="J115" s="37" t="s">
        <v>210</v>
      </c>
      <c r="L115" s="34" t="s">
        <v>281</v>
      </c>
      <c r="M115" s="38" t="s">
        <v>218</v>
      </c>
      <c r="U115" s="33" t="s">
        <v>280</v>
      </c>
      <c r="V115" s="37" t="s">
        <v>210</v>
      </c>
      <c r="X115" s="34" t="s">
        <v>281</v>
      </c>
      <c r="Y115" s="38" t="s">
        <v>218</v>
      </c>
      <c r="AA115" s="2" t="s">
        <v>6</v>
      </c>
      <c r="AB115" s="2" t="str">
        <f>IF(NOT(ISBLANK(AC115)),"-","")</f>
        <v>-</v>
      </c>
      <c r="AC115" s="2" t="s">
        <v>262</v>
      </c>
      <c r="AD115" s="2" t="str">
        <f>IF(NOT(ISBLANK(AE115)),"_","")</f>
        <v>_</v>
      </c>
      <c r="AE115" s="2" t="s">
        <v>279</v>
      </c>
      <c r="AF115" s="2" t="str">
        <f>IF(NOT(ISBLANK(AG115)),"_","")</f>
        <v>_</v>
      </c>
      <c r="AG115" s="2" t="s">
        <v>282</v>
      </c>
      <c r="AH115" s="2" t="str">
        <f>IF(NOT(ISBLANK(AI115)),"_","")</f>
        <v/>
      </c>
      <c r="AI115" s="2"/>
    </row>
    <row r="116" spans="2:35" x14ac:dyDescent="0.25">
      <c r="B116" s="2" t="str">
        <f>_xlfn.CONCAT("@",AA116,AB116,AC116,AD116,AE116,AF116,AG116,AH116,AI116)</f>
        <v>@color-label_halo_highway_trunk_primary_secondary_tertiary</v>
      </c>
      <c r="C116" s="38" t="s">
        <v>218</v>
      </c>
      <c r="D116" s="38" t="s">
        <v>218</v>
      </c>
      <c r="F116" s="37" t="s">
        <v>210</v>
      </c>
      <c r="G116" s="37" t="s">
        <v>210</v>
      </c>
      <c r="I116" s="38" t="s">
        <v>218</v>
      </c>
      <c r="J116" s="38" t="s">
        <v>218</v>
      </c>
      <c r="L116" s="37" t="s">
        <v>210</v>
      </c>
      <c r="M116" s="37" t="s">
        <v>210</v>
      </c>
      <c r="U116" s="38" t="s">
        <v>218</v>
      </c>
      <c r="V116" s="38" t="s">
        <v>218</v>
      </c>
      <c r="X116" s="37" t="s">
        <v>210</v>
      </c>
      <c r="Y116" s="37" t="s">
        <v>210</v>
      </c>
      <c r="AA116" s="2" t="s">
        <v>6</v>
      </c>
      <c r="AB116" s="2" t="str">
        <f t="shared" ref="AB116:AB120" si="132">IF(NOT(ISBLANK(AC116)),"-","")</f>
        <v>-</v>
      </c>
      <c r="AC116" s="2" t="s">
        <v>271</v>
      </c>
      <c r="AD116" s="2" t="str">
        <f t="shared" ref="AD116:AD120" si="133">IF(NOT(ISBLANK(AE116)),"_","")</f>
        <v>_</v>
      </c>
      <c r="AE116" s="2" t="s">
        <v>279</v>
      </c>
      <c r="AF116" s="2" t="str">
        <f t="shared" ref="AF116:AF120" si="134">IF(NOT(ISBLANK(AG116)),"_","")</f>
        <v>_</v>
      </c>
      <c r="AG116" s="2" t="s">
        <v>282</v>
      </c>
      <c r="AH116" s="2" t="str">
        <f>IF(NOT(ISBLANK(AI116)),"_","")</f>
        <v/>
      </c>
      <c r="AI116" s="2"/>
    </row>
    <row r="117" spans="2:35" x14ac:dyDescent="0.25">
      <c r="B117" s="2" t="str">
        <f>_xlfn.CONCAT("@",AA117,AB117,AC117,AD117,AE117,AF117,AG117,AH117,AI117)</f>
        <v>@text_size-label_highway_trunk_primary_secondary_tertiary_z13</v>
      </c>
      <c r="C117" s="28" t="s">
        <v>327</v>
      </c>
      <c r="D117" s="28" t="s">
        <v>322</v>
      </c>
      <c r="F117" s="28" t="s">
        <v>327</v>
      </c>
      <c r="G117" s="28" t="s">
        <v>322</v>
      </c>
      <c r="I117" s="28" t="s">
        <v>327</v>
      </c>
      <c r="J117" s="28" t="s">
        <v>322</v>
      </c>
      <c r="L117" s="28" t="s">
        <v>327</v>
      </c>
      <c r="M117" s="28" t="s">
        <v>322</v>
      </c>
      <c r="U117" s="28" t="s">
        <v>327</v>
      </c>
      <c r="V117" s="28" t="s">
        <v>322</v>
      </c>
      <c r="X117" s="28" t="s">
        <v>327</v>
      </c>
      <c r="Y117" s="28" t="s">
        <v>322</v>
      </c>
      <c r="AA117" s="2" t="s">
        <v>437</v>
      </c>
      <c r="AB117" s="2" t="str">
        <f t="shared" ref="AB117" si="135">IF(NOT(ISBLANK(AC117)),"-","")</f>
        <v>-</v>
      </c>
      <c r="AC117" s="2" t="s">
        <v>262</v>
      </c>
      <c r="AD117" s="2" t="str">
        <f t="shared" ref="AD117" si="136">IF(NOT(ISBLANK(AE117)),"_","")</f>
        <v>_</v>
      </c>
      <c r="AE117" s="2" t="s">
        <v>279</v>
      </c>
      <c r="AF117" s="2" t="str">
        <f t="shared" ref="AF117" si="137">IF(NOT(ISBLANK(AG117)),"_","")</f>
        <v>_</v>
      </c>
      <c r="AG117" s="2" t="s">
        <v>282</v>
      </c>
      <c r="AH117" s="2" t="str">
        <f>IF(NOT(ISBLANK(AI117)),"_","")</f>
        <v>_</v>
      </c>
      <c r="AI117" s="2" t="s">
        <v>320</v>
      </c>
    </row>
    <row r="118" spans="2:35" x14ac:dyDescent="0.25">
      <c r="B118" s="2" t="str">
        <f>_xlfn.CONCAT("@",AA118,AB118,AC118,AD118,AE118,AF118,AG118,AH118,AI118)</f>
        <v>@text_size-label_highway_trunk_primary_secondary_tertiary_z14</v>
      </c>
      <c r="C118" s="28" t="s">
        <v>352</v>
      </c>
      <c r="D118" s="28" t="s">
        <v>318</v>
      </c>
      <c r="F118" s="28" t="s">
        <v>352</v>
      </c>
      <c r="G118" s="28" t="s">
        <v>318</v>
      </c>
      <c r="I118" s="28" t="s">
        <v>352</v>
      </c>
      <c r="J118" s="28" t="s">
        <v>318</v>
      </c>
      <c r="L118" s="28" t="s">
        <v>352</v>
      </c>
      <c r="M118" s="28" t="s">
        <v>318</v>
      </c>
      <c r="U118" s="28" t="s">
        <v>352</v>
      </c>
      <c r="V118" s="28" t="s">
        <v>318</v>
      </c>
      <c r="X118" s="28" t="s">
        <v>352</v>
      </c>
      <c r="Y118" s="28" t="s">
        <v>318</v>
      </c>
      <c r="AA118" s="2" t="s">
        <v>437</v>
      </c>
      <c r="AB118" s="2" t="str">
        <f t="shared" si="132"/>
        <v>-</v>
      </c>
      <c r="AC118" s="2" t="s">
        <v>262</v>
      </c>
      <c r="AD118" s="2" t="str">
        <f t="shared" si="133"/>
        <v>_</v>
      </c>
      <c r="AE118" s="2" t="s">
        <v>279</v>
      </c>
      <c r="AF118" s="2" t="str">
        <f t="shared" si="134"/>
        <v>_</v>
      </c>
      <c r="AG118" s="2" t="s">
        <v>282</v>
      </c>
      <c r="AH118" s="2" t="str">
        <f t="shared" ref="AH118:AH120" si="138">IF(NOT(ISBLANK(AI118)),"_","")</f>
        <v>_</v>
      </c>
      <c r="AI118" s="2" t="s">
        <v>70</v>
      </c>
    </row>
    <row r="119" spans="2:35" x14ac:dyDescent="0.25">
      <c r="B119" s="2" t="str">
        <f>_xlfn.CONCAT("@",AA119,AB119,AC119,AD119,AE119,AF119,AG119,AH119,AI119)</f>
        <v>@text_size-label_highway_trunk_primary_secondary_tertiary_z16</v>
      </c>
      <c r="C119" s="28" t="s">
        <v>318</v>
      </c>
      <c r="D119" s="28" t="s">
        <v>141</v>
      </c>
      <c r="F119" s="28" t="s">
        <v>318</v>
      </c>
      <c r="G119" s="28" t="s">
        <v>141</v>
      </c>
      <c r="I119" s="28" t="s">
        <v>318</v>
      </c>
      <c r="J119" s="28" t="s">
        <v>141</v>
      </c>
      <c r="L119" s="28" t="s">
        <v>318</v>
      </c>
      <c r="M119" s="28" t="s">
        <v>141</v>
      </c>
      <c r="U119" s="28" t="s">
        <v>318</v>
      </c>
      <c r="V119" s="28" t="s">
        <v>141</v>
      </c>
      <c r="X119" s="28" t="s">
        <v>318</v>
      </c>
      <c r="Y119" s="28" t="s">
        <v>141</v>
      </c>
      <c r="AA119" s="2" t="s">
        <v>437</v>
      </c>
      <c r="AB119" s="2" t="str">
        <f t="shared" si="132"/>
        <v>-</v>
      </c>
      <c r="AC119" s="2" t="s">
        <v>262</v>
      </c>
      <c r="AD119" s="2" t="str">
        <f t="shared" si="133"/>
        <v>_</v>
      </c>
      <c r="AE119" s="2" t="s">
        <v>279</v>
      </c>
      <c r="AF119" s="2" t="str">
        <f t="shared" si="134"/>
        <v>_</v>
      </c>
      <c r="AG119" s="2" t="s">
        <v>282</v>
      </c>
      <c r="AH119" s="2" t="str">
        <f t="shared" si="138"/>
        <v>_</v>
      </c>
      <c r="AI119" s="2" t="s">
        <v>71</v>
      </c>
    </row>
    <row r="120" spans="2:35" x14ac:dyDescent="0.25">
      <c r="B120" s="2" t="str">
        <f>_xlfn.CONCAT("@",AA120,AB120,AC120,AD120,AE120,AF120,AG120,AH120,AI120)</f>
        <v>@text_size-label_highway_trunk_primary_secondary_tertiary_z18</v>
      </c>
      <c r="C120" s="28" t="s">
        <v>442</v>
      </c>
      <c r="D120" s="28" t="s">
        <v>443</v>
      </c>
      <c r="F120" s="28" t="s">
        <v>442</v>
      </c>
      <c r="G120" s="28" t="s">
        <v>443</v>
      </c>
      <c r="I120" s="28" t="s">
        <v>442</v>
      </c>
      <c r="J120" s="28" t="s">
        <v>443</v>
      </c>
      <c r="L120" s="28" t="s">
        <v>442</v>
      </c>
      <c r="M120" s="28" t="s">
        <v>443</v>
      </c>
      <c r="U120" s="28" t="s">
        <v>442</v>
      </c>
      <c r="V120" s="28" t="s">
        <v>443</v>
      </c>
      <c r="X120" s="28" t="s">
        <v>442</v>
      </c>
      <c r="Y120" s="28" t="s">
        <v>443</v>
      </c>
      <c r="AA120" s="2" t="s">
        <v>437</v>
      </c>
      <c r="AB120" s="2" t="str">
        <f t="shared" si="132"/>
        <v>-</v>
      </c>
      <c r="AC120" s="2" t="s">
        <v>262</v>
      </c>
      <c r="AD120" s="2" t="str">
        <f t="shared" si="133"/>
        <v>_</v>
      </c>
      <c r="AE120" s="2" t="s">
        <v>279</v>
      </c>
      <c r="AF120" s="2" t="str">
        <f t="shared" si="134"/>
        <v>_</v>
      </c>
      <c r="AG120" s="2" t="s">
        <v>282</v>
      </c>
      <c r="AH120" s="2" t="str">
        <f t="shared" si="138"/>
        <v>_</v>
      </c>
      <c r="AI120" s="2" t="s">
        <v>72</v>
      </c>
    </row>
    <row r="121" spans="2:35" x14ac:dyDescent="0.25"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2:35" x14ac:dyDescent="0.25">
      <c r="B122" s="2" t="str">
        <f t="shared" ref="B122:B123" si="139">_xlfn.CONCAT("@",AA122,AB122,AC122,AD122,AE122,AF122,AG122,AH122,AI122)</f>
        <v>@color-label_highway_minor</v>
      </c>
      <c r="C122" s="33" t="s">
        <v>280</v>
      </c>
      <c r="D122" s="37" t="s">
        <v>210</v>
      </c>
      <c r="F122" s="34" t="s">
        <v>281</v>
      </c>
      <c r="G122" s="38" t="s">
        <v>218</v>
      </c>
      <c r="I122" s="33" t="s">
        <v>280</v>
      </c>
      <c r="J122" s="37" t="s">
        <v>210</v>
      </c>
      <c r="L122" s="34" t="s">
        <v>281</v>
      </c>
      <c r="M122" s="38" t="s">
        <v>218</v>
      </c>
      <c r="U122" s="33" t="s">
        <v>280</v>
      </c>
      <c r="V122" s="37" t="s">
        <v>210</v>
      </c>
      <c r="X122" s="34" t="s">
        <v>281</v>
      </c>
      <c r="Y122" s="38" t="s">
        <v>218</v>
      </c>
      <c r="AA122" s="2" t="s">
        <v>6</v>
      </c>
      <c r="AB122" s="2" t="str">
        <f t="shared" ref="AB122" si="140">IF(NOT(ISBLANK(AC122)),"-","")</f>
        <v>-</v>
      </c>
      <c r="AC122" s="2" t="s">
        <v>262</v>
      </c>
      <c r="AD122" s="2" t="str">
        <f t="shared" ref="AD122" si="141">IF(NOT(ISBLANK(AE122)),"_","")</f>
        <v>_</v>
      </c>
      <c r="AE122" s="2" t="s">
        <v>279</v>
      </c>
      <c r="AF122" s="2" t="str">
        <f t="shared" ref="AF122" si="142">IF(NOT(ISBLANK(AG122)),"_","")</f>
        <v>_</v>
      </c>
      <c r="AG122" s="2" t="s">
        <v>31</v>
      </c>
      <c r="AH122" s="2" t="str">
        <f t="shared" ref="AH122:AH126" si="143">IF(NOT(ISBLANK(AI122)),"_","")</f>
        <v/>
      </c>
      <c r="AI122" s="2"/>
    </row>
    <row r="123" spans="2:35" x14ac:dyDescent="0.25">
      <c r="B123" s="2" t="str">
        <f t="shared" si="139"/>
        <v>@color-label_halo_highway_minor</v>
      </c>
      <c r="C123" s="38" t="s">
        <v>218</v>
      </c>
      <c r="D123" s="38" t="s">
        <v>218</v>
      </c>
      <c r="F123" s="37" t="s">
        <v>210</v>
      </c>
      <c r="G123" s="37" t="s">
        <v>210</v>
      </c>
      <c r="I123" s="38" t="s">
        <v>218</v>
      </c>
      <c r="J123" s="38" t="s">
        <v>218</v>
      </c>
      <c r="L123" s="37" t="s">
        <v>210</v>
      </c>
      <c r="M123" s="37" t="s">
        <v>210</v>
      </c>
      <c r="U123" s="38" t="s">
        <v>218</v>
      </c>
      <c r="V123" s="38" t="s">
        <v>218</v>
      </c>
      <c r="X123" s="37" t="s">
        <v>210</v>
      </c>
      <c r="Y123" s="37" t="s">
        <v>210</v>
      </c>
      <c r="AA123" s="2" t="s">
        <v>6</v>
      </c>
      <c r="AB123" s="2" t="str">
        <f t="shared" ref="AB123:AB126" si="144">IF(NOT(ISBLANK(AC123)),"-","")</f>
        <v>-</v>
      </c>
      <c r="AC123" s="2" t="s">
        <v>271</v>
      </c>
      <c r="AD123" s="2" t="str">
        <f t="shared" ref="AD123:AD126" si="145">IF(NOT(ISBLANK(AE123)),"_","")</f>
        <v>_</v>
      </c>
      <c r="AE123" s="2" t="s">
        <v>279</v>
      </c>
      <c r="AF123" s="2" t="str">
        <f t="shared" ref="AF123:AF126" si="146">IF(NOT(ISBLANK(AG123)),"_","")</f>
        <v>_</v>
      </c>
      <c r="AG123" s="2" t="s">
        <v>31</v>
      </c>
      <c r="AH123" s="2" t="str">
        <f t="shared" si="143"/>
        <v/>
      </c>
      <c r="AI123" s="2"/>
    </row>
    <row r="124" spans="2:35" x14ac:dyDescent="0.25">
      <c r="B124" s="2" t="str">
        <f>_xlfn.CONCAT("@",AA124,AB124,AC124,AD124,AE124,AF124,AG124,AH124,AI124)</f>
        <v>@text_size-label_highway_minor_z14</v>
      </c>
      <c r="C124" s="28" t="s">
        <v>327</v>
      </c>
      <c r="D124" s="28" t="s">
        <v>322</v>
      </c>
      <c r="F124" s="28" t="s">
        <v>327</v>
      </c>
      <c r="G124" s="28" t="s">
        <v>322</v>
      </c>
      <c r="I124" s="28" t="s">
        <v>327</v>
      </c>
      <c r="J124" s="28" t="s">
        <v>322</v>
      </c>
      <c r="L124" s="28" t="s">
        <v>327</v>
      </c>
      <c r="M124" s="28" t="s">
        <v>322</v>
      </c>
      <c r="U124" s="28" t="s">
        <v>327</v>
      </c>
      <c r="V124" s="28" t="s">
        <v>322</v>
      </c>
      <c r="X124" s="28" t="s">
        <v>327</v>
      </c>
      <c r="Y124" s="28" t="s">
        <v>322</v>
      </c>
      <c r="AA124" s="2" t="s">
        <v>437</v>
      </c>
      <c r="AB124" s="2" t="str">
        <f t="shared" si="144"/>
        <v>-</v>
      </c>
      <c r="AC124" s="2" t="s">
        <v>262</v>
      </c>
      <c r="AD124" s="2" t="str">
        <f t="shared" si="145"/>
        <v>_</v>
      </c>
      <c r="AE124" s="2" t="s">
        <v>279</v>
      </c>
      <c r="AF124" s="2" t="str">
        <f t="shared" si="146"/>
        <v>_</v>
      </c>
      <c r="AG124" s="2" t="s">
        <v>31</v>
      </c>
      <c r="AH124" s="2" t="str">
        <f t="shared" si="143"/>
        <v>_</v>
      </c>
      <c r="AI124" s="2" t="s">
        <v>70</v>
      </c>
    </row>
    <row r="125" spans="2:35" x14ac:dyDescent="0.25">
      <c r="B125" s="2" t="str">
        <f>_xlfn.CONCAT("@",AA125,AB125,AC125,AD125,AE125,AF125,AG125,AH125,AI125)</f>
        <v>@text_size-label_highway_minor_z16</v>
      </c>
      <c r="C125" s="28" t="s">
        <v>324</v>
      </c>
      <c r="D125" s="28" t="s">
        <v>85</v>
      </c>
      <c r="F125" s="28" t="s">
        <v>324</v>
      </c>
      <c r="G125" s="28" t="s">
        <v>85</v>
      </c>
      <c r="I125" s="28" t="s">
        <v>324</v>
      </c>
      <c r="J125" s="28" t="s">
        <v>85</v>
      </c>
      <c r="L125" s="28" t="s">
        <v>324</v>
      </c>
      <c r="M125" s="28" t="s">
        <v>85</v>
      </c>
      <c r="U125" s="28" t="s">
        <v>324</v>
      </c>
      <c r="V125" s="28" t="s">
        <v>85</v>
      </c>
      <c r="X125" s="28" t="s">
        <v>324</v>
      </c>
      <c r="Y125" s="28" t="s">
        <v>85</v>
      </c>
      <c r="AA125" s="2" t="s">
        <v>437</v>
      </c>
      <c r="AB125" s="2" t="str">
        <f t="shared" si="144"/>
        <v>-</v>
      </c>
      <c r="AC125" s="2" t="s">
        <v>262</v>
      </c>
      <c r="AD125" s="2" t="str">
        <f t="shared" si="145"/>
        <v>_</v>
      </c>
      <c r="AE125" s="2" t="s">
        <v>279</v>
      </c>
      <c r="AF125" s="2" t="str">
        <f t="shared" si="146"/>
        <v>_</v>
      </c>
      <c r="AG125" s="2" t="s">
        <v>31</v>
      </c>
      <c r="AH125" s="2" t="str">
        <f t="shared" si="143"/>
        <v>_</v>
      </c>
      <c r="AI125" s="2" t="s">
        <v>71</v>
      </c>
    </row>
    <row r="126" spans="2:35" x14ac:dyDescent="0.25">
      <c r="B126" s="2" t="str">
        <f>_xlfn.CONCAT("@",AA126,AB126,AC126,AD126,AE126,AF126,AG126,AH126,AI126)</f>
        <v>@text_size-label_highway_minor_z18</v>
      </c>
      <c r="C126" s="28" t="s">
        <v>137</v>
      </c>
      <c r="D126" s="28" t="s">
        <v>442</v>
      </c>
      <c r="F126" s="28" t="s">
        <v>137</v>
      </c>
      <c r="G126" s="28" t="s">
        <v>442</v>
      </c>
      <c r="I126" s="28" t="s">
        <v>137</v>
      </c>
      <c r="J126" s="28" t="s">
        <v>442</v>
      </c>
      <c r="L126" s="28" t="s">
        <v>137</v>
      </c>
      <c r="M126" s="28" t="s">
        <v>442</v>
      </c>
      <c r="U126" s="28" t="s">
        <v>137</v>
      </c>
      <c r="V126" s="28" t="s">
        <v>442</v>
      </c>
      <c r="X126" s="28" t="s">
        <v>137</v>
      </c>
      <c r="Y126" s="28" t="s">
        <v>442</v>
      </c>
      <c r="AA126" s="2" t="s">
        <v>437</v>
      </c>
      <c r="AB126" s="2" t="str">
        <f t="shared" si="144"/>
        <v>-</v>
      </c>
      <c r="AC126" s="2" t="s">
        <v>262</v>
      </c>
      <c r="AD126" s="2" t="str">
        <f t="shared" si="145"/>
        <v>_</v>
      </c>
      <c r="AE126" s="2" t="s">
        <v>279</v>
      </c>
      <c r="AF126" s="2" t="str">
        <f t="shared" si="146"/>
        <v>_</v>
      </c>
      <c r="AG126" s="2" t="s">
        <v>31</v>
      </c>
      <c r="AH126" s="2" t="str">
        <f t="shared" si="143"/>
        <v>_</v>
      </c>
      <c r="AI126" s="2" t="s">
        <v>72</v>
      </c>
    </row>
    <row r="127" spans="2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2:35" x14ac:dyDescent="0.25">
      <c r="B128" s="2" t="str">
        <f t="shared" ref="B128:B130" si="147">_xlfn.CONCAT("@",AA128,AB128,AC128,AD128,AE128,AF128,AG128,AH128,AI128)</f>
        <v>@textsize-label_highway_path</v>
      </c>
      <c r="C128" s="33" t="s">
        <v>280</v>
      </c>
      <c r="D128" s="37" t="s">
        <v>210</v>
      </c>
      <c r="F128" s="34" t="s">
        <v>281</v>
      </c>
      <c r="G128" s="38" t="s">
        <v>218</v>
      </c>
      <c r="I128" s="33" t="s">
        <v>280</v>
      </c>
      <c r="J128" s="37" t="s">
        <v>210</v>
      </c>
      <c r="L128" s="34" t="s">
        <v>281</v>
      </c>
      <c r="M128" s="38" t="s">
        <v>218</v>
      </c>
      <c r="U128" s="33" t="s">
        <v>280</v>
      </c>
      <c r="V128" s="37" t="s">
        <v>210</v>
      </c>
      <c r="X128" s="34" t="s">
        <v>281</v>
      </c>
      <c r="Y128" s="38" t="s">
        <v>218</v>
      </c>
      <c r="AA128" s="2" t="s">
        <v>299</v>
      </c>
      <c r="AB128" s="2" t="str">
        <f t="shared" ref="AB128" si="148">IF(NOT(ISBLANK(AC128)),"-","")</f>
        <v>-</v>
      </c>
      <c r="AC128" s="2" t="s">
        <v>262</v>
      </c>
      <c r="AD128" s="2" t="str">
        <f t="shared" ref="AD128" si="149">IF(NOT(ISBLANK(AE128)),"_","")</f>
        <v>_</v>
      </c>
      <c r="AE128" s="2" t="s">
        <v>279</v>
      </c>
      <c r="AF128" s="2" t="str">
        <f t="shared" ref="AF128" si="150">IF(NOT(ISBLANK(AG128)),"_","")</f>
        <v>_</v>
      </c>
      <c r="AG128" s="2" t="s">
        <v>67</v>
      </c>
      <c r="AH128" s="2" t="str">
        <f t="shared" ref="AH128:AH130" si="151">IF(NOT(ISBLANK(AI128)),"_","")</f>
        <v/>
      </c>
      <c r="AI128" s="2"/>
    </row>
    <row r="129" spans="1:35" x14ac:dyDescent="0.25">
      <c r="B129" s="2" t="str">
        <f t="shared" si="147"/>
        <v>@color-label_highway_path</v>
      </c>
      <c r="C129" s="33" t="s">
        <v>280</v>
      </c>
      <c r="D129" s="37" t="s">
        <v>210</v>
      </c>
      <c r="F129" s="34" t="s">
        <v>281</v>
      </c>
      <c r="G129" s="38" t="s">
        <v>218</v>
      </c>
      <c r="I129" s="33" t="s">
        <v>280</v>
      </c>
      <c r="J129" s="37" t="s">
        <v>210</v>
      </c>
      <c r="L129" s="34" t="s">
        <v>281</v>
      </c>
      <c r="M129" s="38" t="s">
        <v>218</v>
      </c>
      <c r="U129" s="33" t="s">
        <v>280</v>
      </c>
      <c r="V129" s="37" t="s">
        <v>210</v>
      </c>
      <c r="X129" s="34" t="s">
        <v>281</v>
      </c>
      <c r="Y129" s="38" t="s">
        <v>218</v>
      </c>
      <c r="AA129" s="2" t="s">
        <v>6</v>
      </c>
      <c r="AB129" s="2" t="str">
        <f>IF(NOT(ISBLANK(AC129)),"-","")</f>
        <v>-</v>
      </c>
      <c r="AC129" s="2" t="s">
        <v>262</v>
      </c>
      <c r="AD129" s="2" t="str">
        <f>IF(NOT(ISBLANK(AE129)),"_","")</f>
        <v>_</v>
      </c>
      <c r="AE129" s="2" t="s">
        <v>279</v>
      </c>
      <c r="AF129" s="2" t="str">
        <f>IF(NOT(ISBLANK(AG129)),"_","")</f>
        <v>_</v>
      </c>
      <c r="AG129" s="2" t="s">
        <v>67</v>
      </c>
      <c r="AH129" s="2" t="str">
        <f t="shared" si="151"/>
        <v/>
      </c>
      <c r="AI129" s="2"/>
    </row>
    <row r="130" spans="1:35" x14ac:dyDescent="0.25">
      <c r="B130" s="2" t="str">
        <f t="shared" si="147"/>
        <v>@color-label_halo_highway_path</v>
      </c>
      <c r="C130" s="38" t="s">
        <v>218</v>
      </c>
      <c r="D130" s="38" t="s">
        <v>218</v>
      </c>
      <c r="F130" s="37" t="s">
        <v>210</v>
      </c>
      <c r="G130" s="37" t="s">
        <v>210</v>
      </c>
      <c r="I130" s="38" t="s">
        <v>218</v>
      </c>
      <c r="J130" s="38" t="s">
        <v>218</v>
      </c>
      <c r="L130" s="37" t="s">
        <v>210</v>
      </c>
      <c r="M130" s="37" t="s">
        <v>210</v>
      </c>
      <c r="U130" s="38" t="s">
        <v>218</v>
      </c>
      <c r="V130" s="38" t="s">
        <v>218</v>
      </c>
      <c r="X130" s="37" t="s">
        <v>210</v>
      </c>
      <c r="Y130" s="37" t="s">
        <v>210</v>
      </c>
      <c r="AA130" s="2" t="s">
        <v>6</v>
      </c>
      <c r="AB130" s="2" t="str">
        <f>IF(NOT(ISBLANK(AC130)),"-","")</f>
        <v>-</v>
      </c>
      <c r="AC130" s="2" t="s">
        <v>271</v>
      </c>
      <c r="AD130" s="2" t="str">
        <f>IF(NOT(ISBLANK(AE130)),"_","")</f>
        <v>_</v>
      </c>
      <c r="AE130" s="2" t="s">
        <v>279</v>
      </c>
      <c r="AF130" s="2" t="str">
        <f>IF(NOT(ISBLANK(AG130)),"_","")</f>
        <v>_</v>
      </c>
      <c r="AG130" s="2" t="s">
        <v>67</v>
      </c>
      <c r="AH130" s="2" t="str">
        <f t="shared" si="151"/>
        <v/>
      </c>
      <c r="AI130" s="2"/>
    </row>
    <row r="131" spans="1:35" x14ac:dyDescent="0.25"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1:35" s="5" customFormat="1" x14ac:dyDescent="0.25">
      <c r="A132" s="184" t="s">
        <v>455</v>
      </c>
      <c r="B132" s="184"/>
      <c r="C132" s="184"/>
      <c r="D132" s="184"/>
      <c r="F132" s="184"/>
      <c r="G132" s="184"/>
      <c r="I132" s="184"/>
      <c r="J132" s="184"/>
      <c r="L132" s="184"/>
      <c r="M132" s="184"/>
      <c r="O132" s="184"/>
      <c r="P132" s="184"/>
      <c r="R132" s="184"/>
      <c r="S132" s="184"/>
      <c r="U132" s="184"/>
      <c r="V132" s="184"/>
      <c r="X132" s="184"/>
      <c r="Y132" s="184"/>
      <c r="AA132" s="184"/>
      <c r="AB132" s="184" t="str">
        <f t="shared" ref="AB132:AB133" si="152">IF(NOT(ISBLANK(AC132)),"-","")</f>
        <v/>
      </c>
      <c r="AC132" s="184"/>
      <c r="AD132" s="184" t="str">
        <f t="shared" ref="AD132:AD133" si="153">IF(NOT(ISBLANK(AE132)),"_","")</f>
        <v/>
      </c>
      <c r="AE132" s="184"/>
      <c r="AF132" s="184" t="str">
        <f t="shared" ref="AF132:AF133" si="154">IF(NOT(ISBLANK(AG132)),"_","")</f>
        <v/>
      </c>
      <c r="AG132" s="184"/>
      <c r="AH132" s="184" t="str">
        <f t="shared" ref="AH132:AH133" si="155">IF(NOT(ISBLANK(AI132)),"_","")</f>
        <v/>
      </c>
      <c r="AI132" s="184"/>
    </row>
    <row r="133" spans="1:35" x14ac:dyDescent="0.25">
      <c r="AB133" s="28" t="str">
        <f t="shared" si="152"/>
        <v/>
      </c>
      <c r="AD133" s="28" t="str">
        <f t="shared" si="153"/>
        <v/>
      </c>
      <c r="AF133" s="2" t="str">
        <f t="shared" si="154"/>
        <v/>
      </c>
      <c r="AH133" s="2" t="str">
        <f t="shared" si="155"/>
        <v/>
      </c>
    </row>
    <row r="134" spans="1:35" s="2" customFormat="1" x14ac:dyDescent="0.25">
      <c r="A134" s="185"/>
      <c r="B134" s="3" t="s">
        <v>16</v>
      </c>
      <c r="C134" s="27"/>
      <c r="D134" s="6"/>
      <c r="E134" s="7"/>
      <c r="F134" s="6"/>
      <c r="G134" s="6"/>
      <c r="H134" s="7"/>
      <c r="I134" s="6"/>
      <c r="J134" s="6"/>
      <c r="K134" s="7"/>
      <c r="L134" s="6"/>
      <c r="M134" s="6"/>
      <c r="N134" s="7"/>
      <c r="O134" s="6"/>
      <c r="P134" s="6"/>
      <c r="Q134" s="7"/>
      <c r="R134" s="6"/>
      <c r="S134" s="6"/>
      <c r="T134" s="7"/>
      <c r="U134" s="6"/>
      <c r="V134" s="6"/>
      <c r="W134" s="7"/>
      <c r="X134" s="6"/>
      <c r="Y134" s="6"/>
      <c r="AA134" s="4"/>
      <c r="AB134" s="4" t="str">
        <f>IF(NOT(ISBLANK(AC134)),"-","")</f>
        <v/>
      </c>
      <c r="AC134" s="4"/>
      <c r="AD134" s="4" t="str">
        <f>IF(NOT(ISBLANK(AE134)),"_","")</f>
        <v/>
      </c>
      <c r="AE134" s="4"/>
      <c r="AF134" s="4" t="str">
        <f>IF(NOT(ISBLANK(AG134)),"_","")</f>
        <v/>
      </c>
      <c r="AG134" s="4"/>
      <c r="AH134" s="4" t="str">
        <f>IF(NOT(ISBLANK(AI134)),"_","")</f>
        <v/>
      </c>
      <c r="AI134" s="4"/>
    </row>
    <row r="135" spans="1:35" x14ac:dyDescent="0.25">
      <c r="AB135" s="28" t="str">
        <f t="shared" ref="AB135" si="156">IF(NOT(ISBLANK(AC135)),"-","")</f>
        <v/>
      </c>
      <c r="AD135" s="28" t="str">
        <f t="shared" ref="AD135" si="157">IF(NOT(ISBLANK(AE135)),"_","")</f>
        <v/>
      </c>
      <c r="AF135" s="2" t="str">
        <f t="shared" ref="AF135" si="158">IF(NOT(ISBLANK(AG135)),"_","")</f>
        <v/>
      </c>
      <c r="AH135" s="2" t="str">
        <f t="shared" ref="AH135" si="159">IF(NOT(ISBLANK(AI135)),"_","")</f>
        <v/>
      </c>
    </row>
    <row r="136" spans="1:35" x14ac:dyDescent="0.25">
      <c r="B136" s="2" t="str">
        <f t="shared" ref="B136:B138" si="160">_xlfn.CONCAT("@",AA136,AB136,AC136,AD136,AE136,AF136,AG136,AH136,AI136)</f>
        <v>@color-motorway_case_farzoom</v>
      </c>
      <c r="C136" s="65" t="s">
        <v>207</v>
      </c>
      <c r="D136" s="47" t="s">
        <v>210</v>
      </c>
      <c r="F136" s="65" t="s">
        <v>207</v>
      </c>
      <c r="G136" s="65" t="s">
        <v>207</v>
      </c>
      <c r="I136" s="66" t="str">
        <f>C136</f>
        <v>"#bf440f"</v>
      </c>
      <c r="J136" s="47" t="s">
        <v>210</v>
      </c>
      <c r="L136" s="65" t="s">
        <v>207</v>
      </c>
      <c r="M136" s="65" t="s">
        <v>207</v>
      </c>
      <c r="U136" s="65" t="s">
        <v>207</v>
      </c>
      <c r="V136" s="47" t="s">
        <v>210</v>
      </c>
      <c r="X136" s="65" t="s">
        <v>207</v>
      </c>
      <c r="Y136" s="65" t="s">
        <v>207</v>
      </c>
      <c r="AA136" s="2" t="s">
        <v>6</v>
      </c>
      <c r="AB136" s="2" t="str">
        <f>IF(NOT(ISBLANK(AC136)),"-","")</f>
        <v>-</v>
      </c>
      <c r="AC136" s="2" t="s">
        <v>16</v>
      </c>
      <c r="AD136" s="2" t="str">
        <f>IF(NOT(ISBLANK(AE136)),"_","")</f>
        <v>_</v>
      </c>
      <c r="AE136" s="2" t="s">
        <v>17</v>
      </c>
      <c r="AF136" s="2" t="str">
        <f>IF(NOT(ISBLANK(AG136)),"_","")</f>
        <v>_</v>
      </c>
      <c r="AG136" s="2" t="s">
        <v>20</v>
      </c>
      <c r="AH136" s="2" t="str">
        <f>IF(NOT(ISBLANK(AI136)),"_","")</f>
        <v/>
      </c>
      <c r="AI136" s="2"/>
    </row>
    <row r="137" spans="1:35" x14ac:dyDescent="0.25">
      <c r="B137" s="2" t="str">
        <f t="shared" si="160"/>
        <v>@color-motorway_case_default</v>
      </c>
      <c r="C137" s="67" t="s">
        <v>208</v>
      </c>
      <c r="D137" s="47" t="s">
        <v>210</v>
      </c>
      <c r="F137" s="47" t="s">
        <v>210</v>
      </c>
      <c r="G137" s="47" t="s">
        <v>210</v>
      </c>
      <c r="I137" s="68" t="str">
        <f>C137</f>
        <v>"#a15412"</v>
      </c>
      <c r="J137" s="47" t="s">
        <v>210</v>
      </c>
      <c r="L137" s="47" t="s">
        <v>210</v>
      </c>
      <c r="M137" s="47" t="s">
        <v>210</v>
      </c>
      <c r="U137" s="67" t="s">
        <v>208</v>
      </c>
      <c r="V137" s="47" t="s">
        <v>210</v>
      </c>
      <c r="X137" s="47" t="s">
        <v>210</v>
      </c>
      <c r="Y137" s="47" t="s">
        <v>210</v>
      </c>
      <c r="AA137" s="2" t="s">
        <v>6</v>
      </c>
      <c r="AB137" s="2" t="str">
        <f>IF(NOT(ISBLANK(AC137)),"-","")</f>
        <v>-</v>
      </c>
      <c r="AC137" s="2" t="s">
        <v>16</v>
      </c>
      <c r="AD137" s="2" t="str">
        <f>IF(NOT(ISBLANK(AE137)),"_","")</f>
        <v>_</v>
      </c>
      <c r="AE137" s="2" t="s">
        <v>17</v>
      </c>
      <c r="AF137" s="2" t="str">
        <f>IF(NOT(ISBLANK(AG137)),"_","")</f>
        <v>_</v>
      </c>
      <c r="AG137" s="2" t="s">
        <v>255</v>
      </c>
      <c r="AH137" s="2" t="str">
        <f>IF(NOT(ISBLANK(AI137)),"_","")</f>
        <v/>
      </c>
      <c r="AI137" s="2"/>
    </row>
    <row r="138" spans="1:35" x14ac:dyDescent="0.25">
      <c r="B138" s="2" t="str">
        <f t="shared" si="160"/>
        <v>@color-motorway_line_default</v>
      </c>
      <c r="C138" s="69" t="s">
        <v>209</v>
      </c>
      <c r="D138" s="70" t="s">
        <v>211</v>
      </c>
      <c r="F138" s="70" t="s">
        <v>211</v>
      </c>
      <c r="G138" s="70" t="s">
        <v>211</v>
      </c>
      <c r="I138" s="71" t="str">
        <f>C138</f>
        <v>"#ffcc88"</v>
      </c>
      <c r="J138" s="72" t="str">
        <f>D138</f>
        <v>"#d6771e"</v>
      </c>
      <c r="L138" s="70" t="s">
        <v>211</v>
      </c>
      <c r="M138" s="70" t="s">
        <v>211</v>
      </c>
      <c r="U138" s="69" t="s">
        <v>209</v>
      </c>
      <c r="V138" s="70" t="s">
        <v>211</v>
      </c>
      <c r="X138" s="70" t="s">
        <v>211</v>
      </c>
      <c r="Y138" s="70" t="s">
        <v>211</v>
      </c>
      <c r="AA138" s="2" t="s">
        <v>6</v>
      </c>
      <c r="AB138" s="2" t="str">
        <f>IF(NOT(ISBLANK(AC138)),"-","")</f>
        <v>-</v>
      </c>
      <c r="AC138" s="2" t="s">
        <v>16</v>
      </c>
      <c r="AD138" s="2" t="str">
        <f>IF(NOT(ISBLANK(AE138)),"_","")</f>
        <v>_</v>
      </c>
      <c r="AE138" s="2" t="s">
        <v>13</v>
      </c>
      <c r="AF138" s="2" t="str">
        <f>IF(NOT(ISBLANK(AG138)),"_","")</f>
        <v>_</v>
      </c>
      <c r="AG138" s="2" t="s">
        <v>255</v>
      </c>
      <c r="AH138" s="2" t="str">
        <f>IF(NOT(ISBLANK(AI138)),"_","")</f>
        <v/>
      </c>
      <c r="AI138" s="2"/>
    </row>
    <row r="139" spans="1:35" x14ac:dyDescent="0.25">
      <c r="AB139" s="28" t="str">
        <f>IF(NOT(ISBLANK(AC139)),"-","")</f>
        <v/>
      </c>
      <c r="AD139" s="28" t="str">
        <f>IF(NOT(ISBLANK(AE139)),"_","")</f>
        <v/>
      </c>
      <c r="AF139" s="28" t="str">
        <f>IF(NOT(ISBLANK(AG139)),"_","")</f>
        <v/>
      </c>
      <c r="AH139" s="28" t="str">
        <f>IF(NOT(ISBLANK(AI139)),"_","")</f>
        <v/>
      </c>
    </row>
    <row r="140" spans="1:35" s="2" customFormat="1" x14ac:dyDescent="0.25">
      <c r="A140" s="185"/>
      <c r="B140" s="3" t="s">
        <v>18</v>
      </c>
      <c r="C140" s="27"/>
      <c r="D140" s="6"/>
      <c r="E140" s="7"/>
      <c r="F140" s="6"/>
      <c r="G140" s="6"/>
      <c r="H140" s="7"/>
      <c r="I140" s="6"/>
      <c r="J140" s="6"/>
      <c r="K140" s="7"/>
      <c r="L140" s="6"/>
      <c r="M140" s="6"/>
      <c r="N140" s="7"/>
      <c r="O140" s="6"/>
      <c r="P140" s="6"/>
      <c r="Q140" s="7"/>
      <c r="R140" s="6"/>
      <c r="S140" s="6"/>
      <c r="T140" s="7"/>
      <c r="U140" s="6"/>
      <c r="V140" s="6"/>
      <c r="W140" s="7"/>
      <c r="X140" s="6"/>
      <c r="Y140" s="6"/>
      <c r="AA140" s="4"/>
      <c r="AB140" s="4" t="str">
        <f>IF(NOT(ISBLANK(AC140)),"-","")</f>
        <v/>
      </c>
      <c r="AC140" s="4"/>
      <c r="AD140" s="4" t="str">
        <f>IF(NOT(ISBLANK(AE140)),"_","")</f>
        <v/>
      </c>
      <c r="AE140" s="4"/>
      <c r="AF140" s="4" t="str">
        <f>IF(NOT(ISBLANK(AG140)),"_","")</f>
        <v/>
      </c>
      <c r="AG140" s="4"/>
      <c r="AH140" s="4" t="str">
        <f>IF(NOT(ISBLANK(AI140)),"_","")</f>
        <v/>
      </c>
      <c r="AI140" s="4"/>
    </row>
    <row r="141" spans="1:35" x14ac:dyDescent="0.25">
      <c r="AB141" s="28" t="str">
        <f t="shared" ref="AB141" si="161">IF(NOT(ISBLANK(AC141)),"-","")</f>
        <v/>
      </c>
      <c r="AD141" s="28" t="str">
        <f t="shared" ref="AD141" si="162">IF(NOT(ISBLANK(AE141)),"_","")</f>
        <v/>
      </c>
      <c r="AF141" s="2" t="str">
        <f t="shared" ref="AF141" si="163">IF(NOT(ISBLANK(AG141)),"_","")</f>
        <v/>
      </c>
      <c r="AH141" s="2" t="str">
        <f t="shared" ref="AH141" si="164">IF(NOT(ISBLANK(AI141)),"_","")</f>
        <v/>
      </c>
    </row>
    <row r="142" spans="1:35" x14ac:dyDescent="0.25">
      <c r="B142" s="2" t="str">
        <f t="shared" ref="B142:B150" si="165">_xlfn.CONCAT("@",AA142,AB142,AC142,AD142,AE142,AF142,AG142,AH142,AI142)</f>
        <v>@color-trunk_case_bicycle_no_default</v>
      </c>
      <c r="C142" s="73" t="s">
        <v>220</v>
      </c>
      <c r="D142" s="47" t="s">
        <v>210</v>
      </c>
      <c r="F142" s="47" t="s">
        <v>210</v>
      </c>
      <c r="G142" s="47" t="s">
        <v>210</v>
      </c>
      <c r="I142" s="74" t="str">
        <f>C142</f>
        <v>"#bd430f"</v>
      </c>
      <c r="J142" s="37" t="str">
        <f>D142</f>
        <v>"#000000"</v>
      </c>
      <c r="L142" s="47" t="s">
        <v>210</v>
      </c>
      <c r="M142" s="47" t="s">
        <v>210</v>
      </c>
      <c r="U142" s="73" t="s">
        <v>220</v>
      </c>
      <c r="V142" s="47" t="s">
        <v>210</v>
      </c>
      <c r="X142" s="47" t="s">
        <v>210</v>
      </c>
      <c r="Y142" s="47" t="s">
        <v>210</v>
      </c>
      <c r="AA142" s="28" t="s">
        <v>6</v>
      </c>
      <c r="AB142" s="2" t="str">
        <f>IF(NOT(ISBLANK(AC142)),"-","")</f>
        <v>-</v>
      </c>
      <c r="AC142" s="2" t="s">
        <v>18</v>
      </c>
      <c r="AD142" s="2" t="str">
        <f t="shared" ref="AD142" si="166">IF(NOT(ISBLANK(AE142)),"_","")</f>
        <v>_</v>
      </c>
      <c r="AE142" s="28" t="s">
        <v>17</v>
      </c>
      <c r="AF142" s="2" t="str">
        <f t="shared" ref="AF142" si="167">IF(NOT(ISBLANK(AG142)),"_","")</f>
        <v>_</v>
      </c>
      <c r="AG142" s="28" t="s">
        <v>23</v>
      </c>
      <c r="AH142" s="2" t="str">
        <f>IF(NOT(ISBLANK(AI142)),"_","")</f>
        <v>_</v>
      </c>
      <c r="AI142" s="28" t="s">
        <v>255</v>
      </c>
    </row>
    <row r="143" spans="1:35" x14ac:dyDescent="0.25">
      <c r="B143" s="2" t="str">
        <f t="shared" si="165"/>
        <v>@color-trunk_case_bicycle_no_farzoom</v>
      </c>
      <c r="C143" s="73" t="s">
        <v>220</v>
      </c>
      <c r="D143" s="47" t="s">
        <v>210</v>
      </c>
      <c r="F143" s="73" t="s">
        <v>220</v>
      </c>
      <c r="G143" s="73" t="s">
        <v>220</v>
      </c>
      <c r="I143" s="74" t="str">
        <f>C143</f>
        <v>"#bd430f"</v>
      </c>
      <c r="J143" s="37" t="str">
        <f>D143</f>
        <v>"#000000"</v>
      </c>
      <c r="L143" s="73" t="s">
        <v>220</v>
      </c>
      <c r="M143" s="73" t="s">
        <v>220</v>
      </c>
      <c r="U143" s="73" t="s">
        <v>220</v>
      </c>
      <c r="V143" s="47" t="s">
        <v>210</v>
      </c>
      <c r="X143" s="73" t="s">
        <v>220</v>
      </c>
      <c r="Y143" s="73" t="s">
        <v>220</v>
      </c>
      <c r="AA143" s="28" t="s">
        <v>6</v>
      </c>
      <c r="AB143" s="2" t="str">
        <f t="shared" ref="AB143" si="168">IF(NOT(ISBLANK(AC143)),"-","")</f>
        <v>-</v>
      </c>
      <c r="AC143" s="2" t="s">
        <v>18</v>
      </c>
      <c r="AD143" s="2" t="str">
        <f t="shared" ref="AD143" si="169">IF(NOT(ISBLANK(AE143)),"_","")</f>
        <v>_</v>
      </c>
      <c r="AE143" s="28" t="s">
        <v>17</v>
      </c>
      <c r="AF143" s="2" t="str">
        <f t="shared" ref="AF143" si="170">IF(NOT(ISBLANK(AG143)),"_","")</f>
        <v>_</v>
      </c>
      <c r="AG143" s="28" t="s">
        <v>23</v>
      </c>
      <c r="AH143" s="2" t="str">
        <f>IF(NOT(ISBLANK(AI143)),"_","")</f>
        <v>_</v>
      </c>
      <c r="AI143" s="28" t="s">
        <v>20</v>
      </c>
    </row>
    <row r="144" spans="1:35" x14ac:dyDescent="0.25">
      <c r="B144" s="2" t="str">
        <f t="shared" si="165"/>
        <v>@color-trunk_case_unpaved_farzoom</v>
      </c>
      <c r="C144" s="75" t="s">
        <v>221</v>
      </c>
      <c r="D144" s="76" t="s">
        <v>223</v>
      </c>
      <c r="F144" s="76" t="s">
        <v>223</v>
      </c>
      <c r="G144" s="75" t="s">
        <v>221</v>
      </c>
      <c r="I144" s="75" t="s">
        <v>221</v>
      </c>
      <c r="J144" s="76" t="s">
        <v>223</v>
      </c>
      <c r="L144" s="76" t="s">
        <v>223</v>
      </c>
      <c r="M144" s="75" t="s">
        <v>221</v>
      </c>
      <c r="U144" s="78" t="s">
        <v>222</v>
      </c>
      <c r="V144" s="47" t="s">
        <v>210</v>
      </c>
      <c r="X144" s="78" t="s">
        <v>222</v>
      </c>
      <c r="Y144" s="78" t="s">
        <v>222</v>
      </c>
      <c r="AA144" s="28" t="s">
        <v>6</v>
      </c>
      <c r="AB144" s="2" t="str">
        <f>IF(NOT(ISBLANK(AC144)),"-","")</f>
        <v>-</v>
      </c>
      <c r="AC144" s="2" t="s">
        <v>18</v>
      </c>
      <c r="AD144" s="2" t="str">
        <f>IF(NOT(ISBLANK(AE144)),"_","")</f>
        <v>_</v>
      </c>
      <c r="AE144" s="28" t="s">
        <v>17</v>
      </c>
      <c r="AF144" s="2" t="str">
        <f>IF(NOT(ISBLANK(AG144)),"_","")</f>
        <v>_</v>
      </c>
      <c r="AG144" s="28" t="s">
        <v>21</v>
      </c>
      <c r="AH144" s="2" t="str">
        <f>IF(NOT(ISBLANK(AI144)),"_","")</f>
        <v>_</v>
      </c>
      <c r="AI144" s="28" t="s">
        <v>20</v>
      </c>
    </row>
    <row r="145" spans="1:35" x14ac:dyDescent="0.25">
      <c r="B145" s="2" t="str">
        <f t="shared" si="165"/>
        <v>@color-trunk_case_unpaved_default</v>
      </c>
      <c r="C145" s="77" t="s">
        <v>213</v>
      </c>
      <c r="D145" s="47" t="s">
        <v>210</v>
      </c>
      <c r="F145" s="47" t="s">
        <v>210</v>
      </c>
      <c r="G145" s="47" t="s">
        <v>210</v>
      </c>
      <c r="I145" s="77" t="s">
        <v>213</v>
      </c>
      <c r="J145" s="47" t="s">
        <v>210</v>
      </c>
      <c r="L145" s="47" t="s">
        <v>210</v>
      </c>
      <c r="M145" s="47" t="s">
        <v>210</v>
      </c>
      <c r="U145" s="79" t="s">
        <v>214</v>
      </c>
      <c r="V145" s="47" t="s">
        <v>210</v>
      </c>
      <c r="X145" s="47" t="s">
        <v>210</v>
      </c>
      <c r="Y145" s="47" t="s">
        <v>210</v>
      </c>
      <c r="AA145" s="28" t="s">
        <v>6</v>
      </c>
      <c r="AB145" s="28" t="str">
        <f>IF(NOT(ISBLANK(AC145)),"-","")</f>
        <v>-</v>
      </c>
      <c r="AC145" s="2" t="s">
        <v>18</v>
      </c>
      <c r="AD145" s="28" t="str">
        <f>IF(NOT(ISBLANK(AE145)),"_","")</f>
        <v>_</v>
      </c>
      <c r="AE145" s="28" t="s">
        <v>17</v>
      </c>
      <c r="AF145" s="28" t="str">
        <f>IF(NOT(ISBLANK(AG145)),"_","")</f>
        <v>_</v>
      </c>
      <c r="AG145" s="28" t="s">
        <v>21</v>
      </c>
      <c r="AH145" s="28" t="str">
        <f t="shared" ref="AH145:AH155" si="171">IF(NOT(ISBLANK(AI145)),"_","")</f>
        <v>_</v>
      </c>
      <c r="AI145" s="28" t="s">
        <v>255</v>
      </c>
    </row>
    <row r="146" spans="1:35" x14ac:dyDescent="0.25">
      <c r="B146" s="2" t="str">
        <f t="shared" si="165"/>
        <v>@color-trunk_case_paved_or_uk_farzoom</v>
      </c>
      <c r="C146" s="78" t="s">
        <v>222</v>
      </c>
      <c r="D146" s="47" t="s">
        <v>210</v>
      </c>
      <c r="F146" s="78" t="s">
        <v>222</v>
      </c>
      <c r="G146" s="78" t="s">
        <v>222</v>
      </c>
      <c r="I146" s="78" t="s">
        <v>222</v>
      </c>
      <c r="J146" s="47" t="s">
        <v>210</v>
      </c>
      <c r="L146" s="78" t="s">
        <v>222</v>
      </c>
      <c r="M146" s="78" t="s">
        <v>222</v>
      </c>
      <c r="U146" s="78" t="s">
        <v>222</v>
      </c>
      <c r="V146" s="47" t="s">
        <v>210</v>
      </c>
      <c r="X146" s="78" t="s">
        <v>222</v>
      </c>
      <c r="Y146" s="78" t="s">
        <v>222</v>
      </c>
      <c r="AA146" s="2" t="s">
        <v>6</v>
      </c>
      <c r="AB146" s="2" t="str">
        <f>IF(NOT(ISBLANK(AC146)),"-","")</f>
        <v>-</v>
      </c>
      <c r="AC146" s="2" t="s">
        <v>18</v>
      </c>
      <c r="AD146" s="2" t="str">
        <f>IF(NOT(ISBLANK(AE146)),"_","")</f>
        <v>_</v>
      </c>
      <c r="AE146" s="2" t="s">
        <v>17</v>
      </c>
      <c r="AF146" s="2" t="str">
        <f>IF(NOT(ISBLANK(AG146)),"_","")</f>
        <v>_</v>
      </c>
      <c r="AG146" s="2" t="s">
        <v>24</v>
      </c>
      <c r="AH146" s="2" t="str">
        <f t="shared" si="171"/>
        <v>_</v>
      </c>
      <c r="AI146" s="28" t="s">
        <v>20</v>
      </c>
    </row>
    <row r="147" spans="1:35" x14ac:dyDescent="0.25">
      <c r="B147" s="2" t="str">
        <f t="shared" si="165"/>
        <v>@color-trunk_case_paved_or_uk_default</v>
      </c>
      <c r="C147" s="79" t="s">
        <v>214</v>
      </c>
      <c r="D147" s="47" t="s">
        <v>210</v>
      </c>
      <c r="F147" s="47" t="s">
        <v>210</v>
      </c>
      <c r="G147" s="47" t="s">
        <v>210</v>
      </c>
      <c r="I147" s="79" t="s">
        <v>214</v>
      </c>
      <c r="J147" s="47" t="s">
        <v>210</v>
      </c>
      <c r="L147" s="47" t="s">
        <v>210</v>
      </c>
      <c r="M147" s="47" t="s">
        <v>210</v>
      </c>
      <c r="U147" s="79" t="s">
        <v>214</v>
      </c>
      <c r="V147" s="47" t="s">
        <v>210</v>
      </c>
      <c r="X147" s="47" t="s">
        <v>210</v>
      </c>
      <c r="Y147" s="47" t="s">
        <v>210</v>
      </c>
      <c r="AA147" s="2" t="s">
        <v>6</v>
      </c>
      <c r="AB147" s="2" t="str">
        <f>IF(NOT(ISBLANK(AC147)),"-","")</f>
        <v>-</v>
      </c>
      <c r="AC147" s="2" t="s">
        <v>18</v>
      </c>
      <c r="AD147" s="2" t="str">
        <f>IF(NOT(ISBLANK(AE147)),"_","")</f>
        <v>_</v>
      </c>
      <c r="AE147" s="2" t="s">
        <v>17</v>
      </c>
      <c r="AF147" s="2" t="str">
        <f>IF(NOT(ISBLANK(AG147)),"_","")</f>
        <v>_</v>
      </c>
      <c r="AG147" s="2" t="s">
        <v>24</v>
      </c>
      <c r="AH147" s="2" t="str">
        <f t="shared" si="171"/>
        <v>_</v>
      </c>
      <c r="AI147" s="28" t="s">
        <v>255</v>
      </c>
    </row>
    <row r="148" spans="1:35" x14ac:dyDescent="0.25">
      <c r="B148" s="2" t="str">
        <f t="shared" si="165"/>
        <v>@color-trunk_line_bicycle_no</v>
      </c>
      <c r="C148" s="69" t="s">
        <v>209</v>
      </c>
      <c r="D148" s="70" t="s">
        <v>211</v>
      </c>
      <c r="F148" s="69" t="s">
        <v>209</v>
      </c>
      <c r="G148" s="70" t="s">
        <v>211</v>
      </c>
      <c r="I148" s="71" t="str">
        <f>C148</f>
        <v>"#ffcc88"</v>
      </c>
      <c r="J148" s="72" t="str">
        <f>D148</f>
        <v>"#d6771e"</v>
      </c>
      <c r="L148" s="69" t="s">
        <v>209</v>
      </c>
      <c r="M148" s="70" t="s">
        <v>211</v>
      </c>
      <c r="U148" s="69" t="s">
        <v>209</v>
      </c>
      <c r="V148" s="70" t="s">
        <v>211</v>
      </c>
      <c r="X148" s="69" t="s">
        <v>209</v>
      </c>
      <c r="Y148" s="70" t="s">
        <v>211</v>
      </c>
      <c r="AA148" s="2" t="s">
        <v>6</v>
      </c>
      <c r="AB148" s="2" t="str">
        <f>IF(NOT(ISBLANK(AC148)),"-","")</f>
        <v>-</v>
      </c>
      <c r="AC148" s="2" t="s">
        <v>18</v>
      </c>
      <c r="AD148" s="2" t="str">
        <f>IF(NOT(ISBLANK(AE148)),"_","")</f>
        <v>_</v>
      </c>
      <c r="AE148" s="2" t="s">
        <v>13</v>
      </c>
      <c r="AF148" s="2" t="str">
        <f>IF(NOT(ISBLANK(AG148)),"_","")</f>
        <v>_</v>
      </c>
      <c r="AG148" s="2" t="s">
        <v>23</v>
      </c>
      <c r="AH148" s="2" t="str">
        <f t="shared" si="171"/>
        <v/>
      </c>
      <c r="AI148" s="2"/>
    </row>
    <row r="149" spans="1:35" x14ac:dyDescent="0.25">
      <c r="B149" s="2" t="str">
        <f t="shared" si="165"/>
        <v>@color-trunk_line_unpaved_default</v>
      </c>
      <c r="C149" s="80" t="s">
        <v>217</v>
      </c>
      <c r="D149" s="81" t="str">
        <f>C149</f>
        <v>"#eddfca"</v>
      </c>
      <c r="F149" s="80" t="s">
        <v>217</v>
      </c>
      <c r="G149" s="81" t="str">
        <f>F149</f>
        <v>"#eddfca"</v>
      </c>
      <c r="I149" s="80" t="s">
        <v>217</v>
      </c>
      <c r="J149" s="81" t="str">
        <f>I149</f>
        <v>"#eddfca"</v>
      </c>
      <c r="L149" s="80" t="s">
        <v>217</v>
      </c>
      <c r="M149" s="81" t="str">
        <f>L149</f>
        <v>"#eddfca"</v>
      </c>
      <c r="U149" s="46" t="s">
        <v>218</v>
      </c>
      <c r="V149" s="38" t="str">
        <f>U149</f>
        <v>"#ffffff"</v>
      </c>
      <c r="X149" s="46" t="s">
        <v>218</v>
      </c>
      <c r="Y149" s="38" t="str">
        <f>X149</f>
        <v>"#ffffff"</v>
      </c>
      <c r="AA149" s="2" t="s">
        <v>6</v>
      </c>
      <c r="AB149" s="2" t="str">
        <f>IF(NOT(ISBLANK(AC149)),"-","")</f>
        <v>-</v>
      </c>
      <c r="AC149" s="2" t="s">
        <v>18</v>
      </c>
      <c r="AD149" s="2" t="str">
        <f>IF(NOT(ISBLANK(AE149)),"_","")</f>
        <v>_</v>
      </c>
      <c r="AE149" s="2" t="s">
        <v>13</v>
      </c>
      <c r="AF149" s="2" t="str">
        <f>IF(NOT(ISBLANK(AG149)),"_","")</f>
        <v>_</v>
      </c>
      <c r="AG149" s="2" t="s">
        <v>21</v>
      </c>
      <c r="AH149" s="2" t="str">
        <f t="shared" si="171"/>
        <v>_</v>
      </c>
      <c r="AI149" s="28" t="s">
        <v>255</v>
      </c>
    </row>
    <row r="150" spans="1:35" x14ac:dyDescent="0.25">
      <c r="B150" s="2" t="str">
        <f t="shared" si="165"/>
        <v>@color-trunk_line_paved_or_uk_default</v>
      </c>
      <c r="C150" s="46" t="s">
        <v>218</v>
      </c>
      <c r="D150" s="38" t="str">
        <f>C150</f>
        <v>"#ffffff"</v>
      </c>
      <c r="F150" s="46" t="s">
        <v>218</v>
      </c>
      <c r="G150" s="38" t="str">
        <f>F150</f>
        <v>"#ffffff"</v>
      </c>
      <c r="I150" s="46" t="s">
        <v>218</v>
      </c>
      <c r="J150" s="38" t="str">
        <f>I150</f>
        <v>"#ffffff"</v>
      </c>
      <c r="L150" s="46" t="s">
        <v>218</v>
      </c>
      <c r="M150" s="38" t="str">
        <f>L150</f>
        <v>"#ffffff"</v>
      </c>
      <c r="U150" s="46" t="s">
        <v>218</v>
      </c>
      <c r="V150" s="38" t="str">
        <f>U150</f>
        <v>"#ffffff"</v>
      </c>
      <c r="X150" s="46" t="s">
        <v>218</v>
      </c>
      <c r="Y150" s="38" t="str">
        <f>X150</f>
        <v>"#ffffff"</v>
      </c>
      <c r="AA150" s="28" t="s">
        <v>6</v>
      </c>
      <c r="AB150" s="28" t="str">
        <f>IF(NOT(ISBLANK(AC150)),"-","")</f>
        <v>-</v>
      </c>
      <c r="AC150" s="28" t="s">
        <v>18</v>
      </c>
      <c r="AD150" s="28" t="str">
        <f>IF(NOT(ISBLANK(AE150)),"_","")</f>
        <v>_</v>
      </c>
      <c r="AE150" s="28" t="s">
        <v>13</v>
      </c>
      <c r="AF150" s="28" t="str">
        <f>IF(NOT(ISBLANK(AG150)),"_","")</f>
        <v>_</v>
      </c>
      <c r="AG150" s="28" t="s">
        <v>24</v>
      </c>
      <c r="AH150" s="28" t="str">
        <f t="shared" si="171"/>
        <v>_</v>
      </c>
      <c r="AI150" s="28" t="s">
        <v>255</v>
      </c>
    </row>
    <row r="151" spans="1:35" x14ac:dyDescent="0.25">
      <c r="B151" s="2"/>
      <c r="AB151" s="28" t="str">
        <f>IF(NOT(ISBLANK(AC151)),"-","")</f>
        <v/>
      </c>
      <c r="AD151" s="28" t="str">
        <f>IF(NOT(ISBLANK(AE151)),"_","")</f>
        <v/>
      </c>
      <c r="AF151" s="28" t="str">
        <f>IF(NOT(ISBLANK(AG151)),"_","")</f>
        <v/>
      </c>
      <c r="AH151" s="28" t="str">
        <f t="shared" si="171"/>
        <v/>
      </c>
    </row>
    <row r="152" spans="1:35" s="2" customFormat="1" x14ac:dyDescent="0.25">
      <c r="A152" s="185"/>
      <c r="B152" s="3" t="s">
        <v>301</v>
      </c>
      <c r="C152" s="27"/>
      <c r="D152" s="6"/>
      <c r="E152" s="7"/>
      <c r="F152" s="6"/>
      <c r="G152" s="6"/>
      <c r="H152" s="7"/>
      <c r="I152" s="6"/>
      <c r="J152" s="6"/>
      <c r="K152" s="7"/>
      <c r="L152" s="6"/>
      <c r="M152" s="6"/>
      <c r="N152" s="7"/>
      <c r="O152" s="6"/>
      <c r="P152" s="6"/>
      <c r="Q152" s="7"/>
      <c r="R152" s="6"/>
      <c r="S152" s="6"/>
      <c r="T152" s="7"/>
      <c r="U152" s="6"/>
      <c r="V152" s="6"/>
      <c r="W152" s="7"/>
      <c r="X152" s="6"/>
      <c r="Y152" s="6"/>
      <c r="AA152" s="4"/>
      <c r="AB152" s="4" t="str">
        <f>IF(NOT(ISBLANK(AC152)),"-","")</f>
        <v/>
      </c>
      <c r="AC152" s="4"/>
      <c r="AD152" s="4" t="str">
        <f>IF(NOT(ISBLANK(AE152)),"_","")</f>
        <v/>
      </c>
      <c r="AE152" s="4"/>
      <c r="AF152" s="4" t="str">
        <f>IF(NOT(ISBLANK(AG152)),"_","")</f>
        <v/>
      </c>
      <c r="AG152" s="4"/>
      <c r="AH152" s="4" t="str">
        <f t="shared" si="171"/>
        <v/>
      </c>
      <c r="AI152" s="4"/>
    </row>
    <row r="153" spans="1:35" x14ac:dyDescent="0.25">
      <c r="AB153" s="28" t="str">
        <f t="shared" ref="AB153" si="172">IF(NOT(ISBLANK(AC153)),"-","")</f>
        <v/>
      </c>
      <c r="AD153" s="28" t="str">
        <f t="shared" ref="AD153" si="173">IF(NOT(ISBLANK(AE153)),"_","")</f>
        <v/>
      </c>
      <c r="AF153" s="2" t="str">
        <f t="shared" ref="AF153" si="174">IF(NOT(ISBLANK(AG153)),"_","")</f>
        <v/>
      </c>
      <c r="AH153" s="2" t="str">
        <f t="shared" si="171"/>
        <v/>
      </c>
    </row>
    <row r="154" spans="1:35" x14ac:dyDescent="0.25">
      <c r="B154" s="2" t="str">
        <f t="shared" ref="B154:B162" si="175">_xlfn.CONCAT("@",AA154,AB154,AC154,AD154,AE154,AF154,AG154,AH154,AI154)</f>
        <v>@color-primary_case_bicycle_no_default</v>
      </c>
      <c r="C154" s="73" t="s">
        <v>220</v>
      </c>
      <c r="D154" s="47" t="s">
        <v>210</v>
      </c>
      <c r="F154" s="47" t="s">
        <v>210</v>
      </c>
      <c r="G154" s="47" t="s">
        <v>210</v>
      </c>
      <c r="I154" s="74" t="str">
        <f>C154</f>
        <v>"#bd430f"</v>
      </c>
      <c r="J154" s="37" t="str">
        <f>D154</f>
        <v>"#000000"</v>
      </c>
      <c r="L154" s="47" t="s">
        <v>210</v>
      </c>
      <c r="M154" s="47" t="s">
        <v>210</v>
      </c>
      <c r="U154" s="73" t="s">
        <v>220</v>
      </c>
      <c r="V154" s="47" t="s">
        <v>210</v>
      </c>
      <c r="X154" s="47" t="s">
        <v>210</v>
      </c>
      <c r="Y154" s="47" t="s">
        <v>210</v>
      </c>
      <c r="AA154" s="28" t="s">
        <v>6</v>
      </c>
      <c r="AB154" s="2" t="str">
        <f t="shared" ref="AB154:AB265" si="176">IF(NOT(ISBLANK(AC154)),"-","")</f>
        <v>-</v>
      </c>
      <c r="AC154" s="2" t="s">
        <v>25</v>
      </c>
      <c r="AD154" s="2" t="str">
        <f>IF(NOT(ISBLANK(AE154)),"_","")</f>
        <v>_</v>
      </c>
      <c r="AE154" s="28" t="s">
        <v>17</v>
      </c>
      <c r="AF154" s="2" t="str">
        <f>IF(NOT(ISBLANK(AG154)),"_","")</f>
        <v>_</v>
      </c>
      <c r="AG154" s="28" t="s">
        <v>23</v>
      </c>
      <c r="AH154" s="2" t="str">
        <f t="shared" si="171"/>
        <v>_</v>
      </c>
      <c r="AI154" s="28" t="s">
        <v>255</v>
      </c>
    </row>
    <row r="155" spans="1:35" x14ac:dyDescent="0.25">
      <c r="B155" s="2" t="str">
        <f t="shared" si="175"/>
        <v>@color-primary_case_bicycle_no_farzoom</v>
      </c>
      <c r="C155" s="73" t="s">
        <v>220</v>
      </c>
      <c r="D155" s="47" t="s">
        <v>210</v>
      </c>
      <c r="F155" s="73" t="s">
        <v>220</v>
      </c>
      <c r="G155" s="73" t="s">
        <v>220</v>
      </c>
      <c r="I155" s="74" t="str">
        <f>C155</f>
        <v>"#bd430f"</v>
      </c>
      <c r="J155" s="37" t="str">
        <f>D155</f>
        <v>"#000000"</v>
      </c>
      <c r="L155" s="73" t="s">
        <v>220</v>
      </c>
      <c r="M155" s="73" t="s">
        <v>220</v>
      </c>
      <c r="U155" s="73" t="s">
        <v>220</v>
      </c>
      <c r="V155" s="47" t="s">
        <v>210</v>
      </c>
      <c r="X155" s="73" t="s">
        <v>220</v>
      </c>
      <c r="Y155" s="73" t="s">
        <v>220</v>
      </c>
      <c r="AA155" s="28" t="s">
        <v>6</v>
      </c>
      <c r="AB155" s="2" t="str">
        <f t="shared" ref="AB155" si="177">IF(NOT(ISBLANK(AC155)),"-","")</f>
        <v>-</v>
      </c>
      <c r="AC155" s="2" t="s">
        <v>25</v>
      </c>
      <c r="AD155" s="2" t="str">
        <f t="shared" ref="AD155" si="178">IF(NOT(ISBLANK(AE155)),"_","")</f>
        <v>_</v>
      </c>
      <c r="AE155" s="28" t="s">
        <v>17</v>
      </c>
      <c r="AF155" s="2" t="str">
        <f t="shared" ref="AF155" si="179">IF(NOT(ISBLANK(AG155)),"_","")</f>
        <v>_</v>
      </c>
      <c r="AG155" s="28" t="s">
        <v>23</v>
      </c>
      <c r="AH155" s="2" t="str">
        <f t="shared" si="171"/>
        <v>_</v>
      </c>
      <c r="AI155" s="28" t="s">
        <v>20</v>
      </c>
    </row>
    <row r="156" spans="1:35" x14ac:dyDescent="0.25">
      <c r="B156" s="2" t="str">
        <f t="shared" si="175"/>
        <v>@color-primary_case_unpaved_farzoom</v>
      </c>
      <c r="C156" s="75" t="s">
        <v>221</v>
      </c>
      <c r="D156" s="76" t="s">
        <v>223</v>
      </c>
      <c r="F156" s="76" t="s">
        <v>223</v>
      </c>
      <c r="G156" s="75" t="s">
        <v>221</v>
      </c>
      <c r="I156" s="75" t="s">
        <v>221</v>
      </c>
      <c r="J156" s="76" t="s">
        <v>223</v>
      </c>
      <c r="L156" s="76" t="s">
        <v>223</v>
      </c>
      <c r="M156" s="75" t="s">
        <v>221</v>
      </c>
      <c r="U156" s="78" t="s">
        <v>222</v>
      </c>
      <c r="V156" s="47" t="s">
        <v>210</v>
      </c>
      <c r="X156" s="78" t="s">
        <v>222</v>
      </c>
      <c r="Y156" s="78" t="s">
        <v>222</v>
      </c>
      <c r="AA156" s="28" t="s">
        <v>6</v>
      </c>
      <c r="AB156" s="2" t="str">
        <f>IF(NOT(ISBLANK(AC156)),"-","")</f>
        <v>-</v>
      </c>
      <c r="AC156" s="2" t="s">
        <v>25</v>
      </c>
      <c r="AD156" s="2" t="str">
        <f>IF(NOT(ISBLANK(AE156)),"_","")</f>
        <v>_</v>
      </c>
      <c r="AE156" s="28" t="s">
        <v>17</v>
      </c>
      <c r="AF156" s="2" t="str">
        <f>IF(NOT(ISBLANK(AG156)),"_","")</f>
        <v>_</v>
      </c>
      <c r="AG156" s="28" t="s">
        <v>21</v>
      </c>
      <c r="AH156" s="2" t="str">
        <f>IF(NOT(ISBLANK(AI156)),"_","")</f>
        <v>_</v>
      </c>
      <c r="AI156" s="28" t="s">
        <v>20</v>
      </c>
    </row>
    <row r="157" spans="1:35" x14ac:dyDescent="0.25">
      <c r="B157" s="2" t="str">
        <f t="shared" si="175"/>
        <v>@color-primary_case_unpaved_default</v>
      </c>
      <c r="C157" s="77" t="s">
        <v>213</v>
      </c>
      <c r="D157" s="76" t="s">
        <v>223</v>
      </c>
      <c r="F157" s="47" t="s">
        <v>210</v>
      </c>
      <c r="G157" s="47" t="s">
        <v>210</v>
      </c>
      <c r="I157" s="77" t="s">
        <v>213</v>
      </c>
      <c r="J157" s="76" t="s">
        <v>223</v>
      </c>
      <c r="L157" s="47" t="s">
        <v>210</v>
      </c>
      <c r="M157" s="47" t="s">
        <v>210</v>
      </c>
      <c r="U157" s="79" t="s">
        <v>214</v>
      </c>
      <c r="V157" s="47" t="s">
        <v>210</v>
      </c>
      <c r="X157" s="47" t="s">
        <v>210</v>
      </c>
      <c r="Y157" s="47" t="s">
        <v>210</v>
      </c>
      <c r="AA157" s="28" t="s">
        <v>6</v>
      </c>
      <c r="AB157" s="2" t="str">
        <f t="shared" si="176"/>
        <v>-</v>
      </c>
      <c r="AC157" s="2" t="s">
        <v>25</v>
      </c>
      <c r="AD157" s="2" t="str">
        <f>IF(NOT(ISBLANK(AE157)),"_","")</f>
        <v>_</v>
      </c>
      <c r="AE157" s="28" t="s">
        <v>17</v>
      </c>
      <c r="AF157" s="2" t="str">
        <f>IF(NOT(ISBLANK(AG157)),"_","")</f>
        <v>_</v>
      </c>
      <c r="AG157" s="28" t="s">
        <v>21</v>
      </c>
      <c r="AH157" s="28" t="str">
        <f t="shared" ref="AH157:AH159" si="180">IF(NOT(ISBLANK(AI157)),"_","")</f>
        <v>_</v>
      </c>
      <c r="AI157" s="28" t="s">
        <v>255</v>
      </c>
    </row>
    <row r="158" spans="1:35" x14ac:dyDescent="0.25">
      <c r="B158" s="2" t="str">
        <f t="shared" si="175"/>
        <v>@color-primary_case_paved_or_uk_farzoom</v>
      </c>
      <c r="C158" s="78" t="s">
        <v>222</v>
      </c>
      <c r="D158" s="47" t="s">
        <v>210</v>
      </c>
      <c r="F158" s="78" t="s">
        <v>222</v>
      </c>
      <c r="G158" s="78" t="s">
        <v>222</v>
      </c>
      <c r="I158" s="78" t="s">
        <v>222</v>
      </c>
      <c r="J158" s="47" t="s">
        <v>210</v>
      </c>
      <c r="L158" s="78" t="s">
        <v>222</v>
      </c>
      <c r="M158" s="78" t="s">
        <v>222</v>
      </c>
      <c r="U158" s="78" t="s">
        <v>222</v>
      </c>
      <c r="V158" s="47" t="s">
        <v>210</v>
      </c>
      <c r="X158" s="78" t="s">
        <v>222</v>
      </c>
      <c r="Y158" s="78" t="s">
        <v>222</v>
      </c>
      <c r="AA158" s="2" t="s">
        <v>6</v>
      </c>
      <c r="AB158" s="2" t="str">
        <f t="shared" si="176"/>
        <v>-</v>
      </c>
      <c r="AC158" s="2" t="s">
        <v>25</v>
      </c>
      <c r="AD158" s="2" t="str">
        <f t="shared" ref="AD158" si="181">IF(NOT(ISBLANK(AE158)),"_","")</f>
        <v>_</v>
      </c>
      <c r="AE158" s="2" t="s">
        <v>17</v>
      </c>
      <c r="AF158" s="2" t="str">
        <f t="shared" ref="AF158" si="182">IF(NOT(ISBLANK(AG158)),"_","")</f>
        <v>_</v>
      </c>
      <c r="AG158" s="2" t="s">
        <v>24</v>
      </c>
      <c r="AH158" s="2" t="str">
        <f t="shared" si="180"/>
        <v>_</v>
      </c>
      <c r="AI158" s="28" t="s">
        <v>20</v>
      </c>
    </row>
    <row r="159" spans="1:35" x14ac:dyDescent="0.25">
      <c r="B159" s="2" t="str">
        <f t="shared" si="175"/>
        <v>@color-primary_case_paved_or_uk_default</v>
      </c>
      <c r="C159" s="79" t="s">
        <v>214</v>
      </c>
      <c r="D159" s="47" t="s">
        <v>210</v>
      </c>
      <c r="F159" s="47" t="s">
        <v>210</v>
      </c>
      <c r="G159" s="47" t="s">
        <v>210</v>
      </c>
      <c r="I159" s="79" t="s">
        <v>214</v>
      </c>
      <c r="J159" s="47" t="s">
        <v>210</v>
      </c>
      <c r="L159" s="47" t="s">
        <v>210</v>
      </c>
      <c r="M159" s="47" t="s">
        <v>210</v>
      </c>
      <c r="U159" s="79" t="s">
        <v>214</v>
      </c>
      <c r="V159" s="47" t="s">
        <v>210</v>
      </c>
      <c r="X159" s="47" t="s">
        <v>210</v>
      </c>
      <c r="Y159" s="47" t="s">
        <v>210</v>
      </c>
      <c r="AA159" s="2" t="s">
        <v>6</v>
      </c>
      <c r="AB159" s="2" t="str">
        <f t="shared" si="176"/>
        <v>-</v>
      </c>
      <c r="AC159" s="28" t="s">
        <v>25</v>
      </c>
      <c r="AD159" s="2" t="str">
        <f t="shared" ref="AD159:AD265" si="183">IF(NOT(ISBLANK(AE159)),"_","")</f>
        <v>_</v>
      </c>
      <c r="AE159" s="2" t="s">
        <v>17</v>
      </c>
      <c r="AF159" s="2" t="str">
        <f t="shared" ref="AF159:AF265" si="184">IF(NOT(ISBLANK(AG159)),"_","")</f>
        <v>_</v>
      </c>
      <c r="AG159" s="2" t="s">
        <v>24</v>
      </c>
      <c r="AH159" s="2" t="str">
        <f t="shared" si="180"/>
        <v>_</v>
      </c>
      <c r="AI159" s="28" t="s">
        <v>255</v>
      </c>
    </row>
    <row r="160" spans="1:35" x14ac:dyDescent="0.25">
      <c r="B160" s="2" t="str">
        <f t="shared" si="175"/>
        <v>@color-primary_line_bicycle_no</v>
      </c>
      <c r="C160" s="82" t="s">
        <v>225</v>
      </c>
      <c r="D160" s="70" t="s">
        <v>211</v>
      </c>
      <c r="F160" s="82" t="s">
        <v>225</v>
      </c>
      <c r="G160" s="70" t="s">
        <v>211</v>
      </c>
      <c r="I160" s="83" t="str">
        <f>C160</f>
        <v>"#ffcc8a"</v>
      </c>
      <c r="J160" s="72" t="str">
        <f>D160</f>
        <v>"#d6771e"</v>
      </c>
      <c r="L160" s="82" t="s">
        <v>225</v>
      </c>
      <c r="M160" s="70" t="s">
        <v>211</v>
      </c>
      <c r="U160" s="82" t="s">
        <v>225</v>
      </c>
      <c r="V160" s="70" t="s">
        <v>211</v>
      </c>
      <c r="X160" s="82" t="s">
        <v>225</v>
      </c>
      <c r="Y160" s="70" t="s">
        <v>211</v>
      </c>
      <c r="AA160" s="28" t="s">
        <v>6</v>
      </c>
      <c r="AB160" s="2" t="str">
        <f t="shared" si="176"/>
        <v>-</v>
      </c>
      <c r="AC160" s="28" t="s">
        <v>25</v>
      </c>
      <c r="AD160" s="2" t="str">
        <f t="shared" si="183"/>
        <v>_</v>
      </c>
      <c r="AE160" s="28" t="s">
        <v>13</v>
      </c>
      <c r="AF160" s="2" t="str">
        <f t="shared" si="184"/>
        <v>_</v>
      </c>
      <c r="AG160" s="28" t="s">
        <v>23</v>
      </c>
      <c r="AH160" s="2" t="str">
        <f t="shared" ref="AH160:AH165" si="185">IF(NOT(ISBLANK(AI160)),"_","")</f>
        <v/>
      </c>
    </row>
    <row r="161" spans="2:35" x14ac:dyDescent="0.25">
      <c r="B161" s="2" t="str">
        <f t="shared" si="175"/>
        <v>@color-primary_line_unpaved_default</v>
      </c>
      <c r="C161" s="80" t="s">
        <v>217</v>
      </c>
      <c r="D161" s="81" t="str">
        <f>C161</f>
        <v>"#eddfca"</v>
      </c>
      <c r="F161" s="80" t="s">
        <v>217</v>
      </c>
      <c r="G161" s="81" t="str">
        <f>F161</f>
        <v>"#eddfca"</v>
      </c>
      <c r="I161" s="80" t="s">
        <v>217</v>
      </c>
      <c r="J161" s="81" t="str">
        <f>I161</f>
        <v>"#eddfca"</v>
      </c>
      <c r="L161" s="80" t="s">
        <v>217</v>
      </c>
      <c r="M161" s="81" t="str">
        <f>L161</f>
        <v>"#eddfca"</v>
      </c>
      <c r="U161" s="46" t="s">
        <v>218</v>
      </c>
      <c r="V161" s="38" t="str">
        <f>U161</f>
        <v>"#ffffff"</v>
      </c>
      <c r="X161" s="46" t="s">
        <v>218</v>
      </c>
      <c r="Y161" s="38" t="str">
        <f>X161</f>
        <v>"#ffffff"</v>
      </c>
      <c r="AA161" s="2" t="s">
        <v>6</v>
      </c>
      <c r="AB161" s="2" t="str">
        <f t="shared" si="176"/>
        <v>-</v>
      </c>
      <c r="AC161" s="2" t="s">
        <v>25</v>
      </c>
      <c r="AD161" s="2" t="str">
        <f t="shared" si="183"/>
        <v>_</v>
      </c>
      <c r="AE161" s="2" t="s">
        <v>13</v>
      </c>
      <c r="AF161" s="2" t="str">
        <f t="shared" si="184"/>
        <v>_</v>
      </c>
      <c r="AG161" s="2" t="s">
        <v>21</v>
      </c>
      <c r="AH161" s="2" t="str">
        <f t="shared" si="185"/>
        <v>_</v>
      </c>
      <c r="AI161" s="28" t="s">
        <v>255</v>
      </c>
    </row>
    <row r="162" spans="2:35" x14ac:dyDescent="0.25">
      <c r="B162" s="2" t="str">
        <f t="shared" si="175"/>
        <v>@color-primary_line_paved_or_uk_default</v>
      </c>
      <c r="C162" s="46" t="s">
        <v>218</v>
      </c>
      <c r="D162" s="38" t="str">
        <f>C162</f>
        <v>"#ffffff"</v>
      </c>
      <c r="F162" s="46" t="s">
        <v>218</v>
      </c>
      <c r="G162" s="38" t="str">
        <f>F162</f>
        <v>"#ffffff"</v>
      </c>
      <c r="I162" s="46" t="s">
        <v>218</v>
      </c>
      <c r="J162" s="38" t="str">
        <f>I162</f>
        <v>"#ffffff"</v>
      </c>
      <c r="L162" s="46" t="s">
        <v>218</v>
      </c>
      <c r="M162" s="38" t="str">
        <f>L162</f>
        <v>"#ffffff"</v>
      </c>
      <c r="U162" s="46" t="s">
        <v>218</v>
      </c>
      <c r="V162" s="38" t="str">
        <f>U162</f>
        <v>"#ffffff"</v>
      </c>
      <c r="X162" s="46" t="s">
        <v>218</v>
      </c>
      <c r="Y162" s="38" t="str">
        <f>X162</f>
        <v>"#ffffff"</v>
      </c>
      <c r="AA162" s="2" t="s">
        <v>6</v>
      </c>
      <c r="AB162" s="2" t="str">
        <f t="shared" si="176"/>
        <v>-</v>
      </c>
      <c r="AC162" s="2" t="s">
        <v>25</v>
      </c>
      <c r="AD162" s="2" t="str">
        <f t="shared" si="183"/>
        <v>_</v>
      </c>
      <c r="AE162" s="2" t="s">
        <v>13</v>
      </c>
      <c r="AF162" s="2" t="str">
        <f t="shared" si="184"/>
        <v>_</v>
      </c>
      <c r="AG162" s="28" t="s">
        <v>24</v>
      </c>
      <c r="AH162" s="28" t="str">
        <f t="shared" si="185"/>
        <v>_</v>
      </c>
      <c r="AI162" s="28" t="s">
        <v>255</v>
      </c>
    </row>
    <row r="163" spans="2:35" x14ac:dyDescent="0.25">
      <c r="B163" s="2"/>
      <c r="C163" s="26"/>
      <c r="D163" s="26"/>
      <c r="I163" s="26"/>
      <c r="U163" s="26"/>
      <c r="V163" s="26"/>
      <c r="AB163" s="2"/>
      <c r="AD163" s="2"/>
      <c r="AF163" s="2" t="str">
        <f t="shared" ref="AF163:AF172" si="186">IF(NOT(ISBLANK(AG163)),"_","")</f>
        <v/>
      </c>
      <c r="AH163" s="2" t="str">
        <f t="shared" si="185"/>
        <v/>
      </c>
    </row>
    <row r="164" spans="2:35" x14ac:dyDescent="0.25">
      <c r="B164" s="2" t="str">
        <f t="shared" ref="B164:B172" si="187">_xlfn.CONCAT("@",AA164,AB164,AC164,AD164,AE164,AF164,AG164,AH164,AI164)</f>
        <v>@color-secondary_case_bicycle_no_default</v>
      </c>
      <c r="C164" s="73" t="s">
        <v>220</v>
      </c>
      <c r="D164" s="47" t="s">
        <v>210</v>
      </c>
      <c r="F164" s="47" t="s">
        <v>210</v>
      </c>
      <c r="G164" s="47" t="s">
        <v>210</v>
      </c>
      <c r="I164" s="74" t="str">
        <f>C164</f>
        <v>"#bd430f"</v>
      </c>
      <c r="J164" s="37" t="str">
        <f>D164</f>
        <v>"#000000"</v>
      </c>
      <c r="L164" s="47" t="s">
        <v>210</v>
      </c>
      <c r="M164" s="47" t="s">
        <v>210</v>
      </c>
      <c r="U164" s="73" t="s">
        <v>220</v>
      </c>
      <c r="V164" s="47" t="s">
        <v>210</v>
      </c>
      <c r="X164" s="47" t="s">
        <v>210</v>
      </c>
      <c r="Y164" s="47" t="s">
        <v>210</v>
      </c>
      <c r="AA164" s="28" t="s">
        <v>6</v>
      </c>
      <c r="AB164" s="2" t="str">
        <f t="shared" ref="AB164:AB172" si="188">IF(NOT(ISBLANK(AC164)),"-","")</f>
        <v>-</v>
      </c>
      <c r="AC164" s="2" t="s">
        <v>27</v>
      </c>
      <c r="AD164" s="2" t="str">
        <f t="shared" ref="AD164:AD172" si="189">IF(NOT(ISBLANK(AE164)),"_","")</f>
        <v>_</v>
      </c>
      <c r="AE164" s="28" t="s">
        <v>17</v>
      </c>
      <c r="AF164" s="2" t="str">
        <f t="shared" si="186"/>
        <v>_</v>
      </c>
      <c r="AG164" s="28" t="s">
        <v>23</v>
      </c>
      <c r="AH164" s="2" t="str">
        <f t="shared" si="185"/>
        <v>_</v>
      </c>
      <c r="AI164" s="28" t="s">
        <v>255</v>
      </c>
    </row>
    <row r="165" spans="2:35" x14ac:dyDescent="0.25">
      <c r="B165" s="2" t="str">
        <f t="shared" si="187"/>
        <v>@color-secondary_case_bicycle_no_farzoom</v>
      </c>
      <c r="C165" s="73" t="s">
        <v>220</v>
      </c>
      <c r="D165" s="47" t="s">
        <v>210</v>
      </c>
      <c r="F165" s="73" t="s">
        <v>220</v>
      </c>
      <c r="G165" s="73" t="s">
        <v>220</v>
      </c>
      <c r="I165" s="74" t="str">
        <f>C165</f>
        <v>"#bd430f"</v>
      </c>
      <c r="J165" s="37" t="str">
        <f>D165</f>
        <v>"#000000"</v>
      </c>
      <c r="L165" s="73" t="s">
        <v>220</v>
      </c>
      <c r="M165" s="73" t="s">
        <v>220</v>
      </c>
      <c r="U165" s="73" t="s">
        <v>220</v>
      </c>
      <c r="V165" s="47" t="s">
        <v>210</v>
      </c>
      <c r="X165" s="73" t="s">
        <v>220</v>
      </c>
      <c r="Y165" s="73" t="s">
        <v>220</v>
      </c>
      <c r="AA165" s="28" t="s">
        <v>6</v>
      </c>
      <c r="AB165" s="2" t="str">
        <f t="shared" ref="AB165" si="190">IF(NOT(ISBLANK(AC165)),"-","")</f>
        <v>-</v>
      </c>
      <c r="AC165" s="2" t="s">
        <v>27</v>
      </c>
      <c r="AD165" s="2" t="str">
        <f t="shared" ref="AD165" si="191">IF(NOT(ISBLANK(AE165)),"_","")</f>
        <v>_</v>
      </c>
      <c r="AE165" s="28" t="s">
        <v>17</v>
      </c>
      <c r="AF165" s="2" t="str">
        <f t="shared" ref="AF165" si="192">IF(NOT(ISBLANK(AG165)),"_","")</f>
        <v>_</v>
      </c>
      <c r="AG165" s="28" t="s">
        <v>23</v>
      </c>
      <c r="AH165" s="2" t="str">
        <f t="shared" si="185"/>
        <v>_</v>
      </c>
      <c r="AI165" s="28" t="s">
        <v>20</v>
      </c>
    </row>
    <row r="166" spans="2:35" x14ac:dyDescent="0.25">
      <c r="B166" s="2" t="str">
        <f t="shared" si="187"/>
        <v>@color-secondary_case_unpaved_farzoom</v>
      </c>
      <c r="C166" s="75" t="s">
        <v>221</v>
      </c>
      <c r="D166" s="76" t="s">
        <v>223</v>
      </c>
      <c r="F166" s="76" t="s">
        <v>223</v>
      </c>
      <c r="G166" s="75" t="s">
        <v>221</v>
      </c>
      <c r="I166" s="75" t="s">
        <v>221</v>
      </c>
      <c r="J166" s="76" t="s">
        <v>223</v>
      </c>
      <c r="L166" s="76" t="s">
        <v>223</v>
      </c>
      <c r="M166" s="75" t="s">
        <v>221</v>
      </c>
      <c r="U166" s="78" t="s">
        <v>222</v>
      </c>
      <c r="V166" s="47" t="s">
        <v>210</v>
      </c>
      <c r="X166" s="78" t="s">
        <v>222</v>
      </c>
      <c r="Y166" s="78" t="s">
        <v>222</v>
      </c>
      <c r="AA166" s="28" t="s">
        <v>6</v>
      </c>
      <c r="AB166" s="2" t="str">
        <f>IF(NOT(ISBLANK(AC166)),"-","")</f>
        <v>-</v>
      </c>
      <c r="AC166" s="2" t="s">
        <v>27</v>
      </c>
      <c r="AD166" s="2" t="str">
        <f>IF(NOT(ISBLANK(AE166)),"_","")</f>
        <v>_</v>
      </c>
      <c r="AE166" s="28" t="s">
        <v>17</v>
      </c>
      <c r="AF166" s="2" t="str">
        <f>IF(NOT(ISBLANK(AG166)),"_","")</f>
        <v>_</v>
      </c>
      <c r="AG166" s="28" t="s">
        <v>21</v>
      </c>
      <c r="AH166" s="2" t="str">
        <f>IF(NOT(ISBLANK(AI166)),"_","")</f>
        <v>_</v>
      </c>
      <c r="AI166" s="28" t="s">
        <v>20</v>
      </c>
    </row>
    <row r="167" spans="2:35" x14ac:dyDescent="0.25">
      <c r="B167" s="2" t="str">
        <f t="shared" si="187"/>
        <v>@color-secondary_case_unpaved_default</v>
      </c>
      <c r="C167" s="76" t="s">
        <v>223</v>
      </c>
      <c r="D167" s="76" t="s">
        <v>223</v>
      </c>
      <c r="F167" s="47" t="s">
        <v>210</v>
      </c>
      <c r="G167" s="47" t="s">
        <v>210</v>
      </c>
      <c r="I167" s="76" t="s">
        <v>223</v>
      </c>
      <c r="J167" s="76" t="s">
        <v>223</v>
      </c>
      <c r="L167" s="47" t="s">
        <v>210</v>
      </c>
      <c r="M167" s="47" t="s">
        <v>210</v>
      </c>
      <c r="U167" s="84" t="s">
        <v>224</v>
      </c>
      <c r="V167" s="47" t="s">
        <v>210</v>
      </c>
      <c r="X167" s="47" t="s">
        <v>210</v>
      </c>
      <c r="Y167" s="47" t="s">
        <v>210</v>
      </c>
      <c r="AA167" s="28" t="s">
        <v>6</v>
      </c>
      <c r="AB167" s="2" t="str">
        <f t="shared" si="188"/>
        <v>-</v>
      </c>
      <c r="AC167" s="2" t="s">
        <v>27</v>
      </c>
      <c r="AD167" s="2" t="str">
        <f t="shared" si="189"/>
        <v>_</v>
      </c>
      <c r="AE167" s="28" t="s">
        <v>17</v>
      </c>
      <c r="AF167" s="2" t="str">
        <f t="shared" si="186"/>
        <v>_</v>
      </c>
      <c r="AG167" s="28" t="s">
        <v>21</v>
      </c>
      <c r="AH167" s="28" t="str">
        <f t="shared" ref="AH167:AH169" si="193">IF(NOT(ISBLANK(AI167)),"_","")</f>
        <v>_</v>
      </c>
      <c r="AI167" s="28" t="s">
        <v>255</v>
      </c>
    </row>
    <row r="168" spans="2:35" x14ac:dyDescent="0.25">
      <c r="B168" s="2" t="str">
        <f t="shared" si="187"/>
        <v>@color-secondary_case_paved_or_uk_farzoom</v>
      </c>
      <c r="C168" s="78" t="s">
        <v>222</v>
      </c>
      <c r="D168" s="47" t="s">
        <v>210</v>
      </c>
      <c r="F168" s="78" t="s">
        <v>222</v>
      </c>
      <c r="G168" s="78" t="s">
        <v>222</v>
      </c>
      <c r="I168" s="78" t="s">
        <v>222</v>
      </c>
      <c r="J168" s="47" t="s">
        <v>210</v>
      </c>
      <c r="L168" s="78" t="s">
        <v>222</v>
      </c>
      <c r="M168" s="78" t="s">
        <v>222</v>
      </c>
      <c r="U168" s="78" t="s">
        <v>222</v>
      </c>
      <c r="V168" s="47" t="s">
        <v>210</v>
      </c>
      <c r="X168" s="78" t="s">
        <v>222</v>
      </c>
      <c r="Y168" s="78" t="s">
        <v>222</v>
      </c>
      <c r="AA168" s="2" t="s">
        <v>6</v>
      </c>
      <c r="AB168" s="2" t="str">
        <f t="shared" si="188"/>
        <v>-</v>
      </c>
      <c r="AC168" s="2" t="s">
        <v>27</v>
      </c>
      <c r="AD168" s="2" t="str">
        <f t="shared" si="189"/>
        <v>_</v>
      </c>
      <c r="AE168" s="2" t="s">
        <v>17</v>
      </c>
      <c r="AF168" s="2" t="str">
        <f t="shared" si="186"/>
        <v>_</v>
      </c>
      <c r="AG168" s="2" t="s">
        <v>24</v>
      </c>
      <c r="AH168" s="2" t="str">
        <f t="shared" si="193"/>
        <v>_</v>
      </c>
      <c r="AI168" s="28" t="s">
        <v>20</v>
      </c>
    </row>
    <row r="169" spans="2:35" x14ac:dyDescent="0.25">
      <c r="B169" s="2" t="str">
        <f t="shared" si="187"/>
        <v>@color-secondary_case_paved_or_uk_default</v>
      </c>
      <c r="C169" s="84" t="s">
        <v>224</v>
      </c>
      <c r="D169" s="47" t="s">
        <v>210</v>
      </c>
      <c r="F169" s="47" t="s">
        <v>210</v>
      </c>
      <c r="G169" s="47" t="s">
        <v>210</v>
      </c>
      <c r="I169" s="84" t="s">
        <v>224</v>
      </c>
      <c r="J169" s="47" t="s">
        <v>210</v>
      </c>
      <c r="L169" s="47" t="s">
        <v>210</v>
      </c>
      <c r="M169" s="47" t="s">
        <v>210</v>
      </c>
      <c r="U169" s="84" t="s">
        <v>224</v>
      </c>
      <c r="V169" s="47" t="s">
        <v>210</v>
      </c>
      <c r="X169" s="47" t="s">
        <v>210</v>
      </c>
      <c r="Y169" s="47" t="s">
        <v>210</v>
      </c>
      <c r="AA169" s="2" t="s">
        <v>6</v>
      </c>
      <c r="AB169" s="2" t="str">
        <f t="shared" si="188"/>
        <v>-</v>
      </c>
      <c r="AC169" s="2" t="s">
        <v>27</v>
      </c>
      <c r="AD169" s="2" t="str">
        <f t="shared" si="189"/>
        <v>_</v>
      </c>
      <c r="AE169" s="2" t="s">
        <v>17</v>
      </c>
      <c r="AF169" s="2" t="str">
        <f t="shared" si="186"/>
        <v>_</v>
      </c>
      <c r="AG169" s="2" t="s">
        <v>24</v>
      </c>
      <c r="AH169" s="2" t="str">
        <f t="shared" si="193"/>
        <v>_</v>
      </c>
      <c r="AI169" s="28" t="s">
        <v>255</v>
      </c>
    </row>
    <row r="170" spans="2:35" x14ac:dyDescent="0.25">
      <c r="B170" s="2" t="str">
        <f t="shared" si="187"/>
        <v>@color-secondary_line_bicycle_no</v>
      </c>
      <c r="C170" s="82" t="s">
        <v>225</v>
      </c>
      <c r="D170" s="70" t="s">
        <v>211</v>
      </c>
      <c r="F170" s="82" t="s">
        <v>225</v>
      </c>
      <c r="G170" s="70" t="s">
        <v>211</v>
      </c>
      <c r="I170" s="83" t="str">
        <f>C170</f>
        <v>"#ffcc8a"</v>
      </c>
      <c r="J170" s="72" t="str">
        <f>D170</f>
        <v>"#d6771e"</v>
      </c>
      <c r="L170" s="82" t="s">
        <v>225</v>
      </c>
      <c r="M170" s="70" t="s">
        <v>211</v>
      </c>
      <c r="U170" s="82" t="s">
        <v>225</v>
      </c>
      <c r="V170" s="70" t="s">
        <v>211</v>
      </c>
      <c r="X170" s="82" t="s">
        <v>225</v>
      </c>
      <c r="Y170" s="70" t="s">
        <v>211</v>
      </c>
      <c r="AA170" s="28" t="s">
        <v>6</v>
      </c>
      <c r="AB170" s="2" t="str">
        <f t="shared" si="188"/>
        <v>-</v>
      </c>
      <c r="AC170" s="2" t="s">
        <v>27</v>
      </c>
      <c r="AD170" s="2" t="str">
        <f t="shared" si="189"/>
        <v>_</v>
      </c>
      <c r="AE170" s="28" t="s">
        <v>13</v>
      </c>
      <c r="AF170" s="2" t="str">
        <f t="shared" si="186"/>
        <v>_</v>
      </c>
      <c r="AG170" s="28" t="s">
        <v>23</v>
      </c>
      <c r="AH170" s="2" t="str">
        <f t="shared" ref="AH170:AH266" si="194">IF(NOT(ISBLANK(AI170)),"_","")</f>
        <v/>
      </c>
    </row>
    <row r="171" spans="2:35" x14ac:dyDescent="0.25">
      <c r="B171" s="2" t="str">
        <f t="shared" si="187"/>
        <v>@color-secondary_line_unpaved_default</v>
      </c>
      <c r="C171" s="80" t="s">
        <v>217</v>
      </c>
      <c r="D171" s="81" t="str">
        <f>C171</f>
        <v>"#eddfca"</v>
      </c>
      <c r="F171" s="80" t="s">
        <v>217</v>
      </c>
      <c r="G171" s="81" t="str">
        <f>F171</f>
        <v>"#eddfca"</v>
      </c>
      <c r="I171" s="80" t="s">
        <v>217</v>
      </c>
      <c r="J171" s="81" t="str">
        <f>I171</f>
        <v>"#eddfca"</v>
      </c>
      <c r="L171" s="80" t="s">
        <v>217</v>
      </c>
      <c r="M171" s="81" t="str">
        <f>L171</f>
        <v>"#eddfca"</v>
      </c>
      <c r="U171" s="46" t="s">
        <v>218</v>
      </c>
      <c r="V171" s="38" t="str">
        <f>U171</f>
        <v>"#ffffff"</v>
      </c>
      <c r="X171" s="46" t="s">
        <v>218</v>
      </c>
      <c r="Y171" s="38" t="str">
        <f>X171</f>
        <v>"#ffffff"</v>
      </c>
      <c r="AA171" s="2" t="s">
        <v>6</v>
      </c>
      <c r="AB171" s="2" t="str">
        <f t="shared" si="188"/>
        <v>-</v>
      </c>
      <c r="AC171" s="2" t="s">
        <v>27</v>
      </c>
      <c r="AD171" s="2" t="str">
        <f t="shared" si="189"/>
        <v>_</v>
      </c>
      <c r="AE171" s="2" t="s">
        <v>13</v>
      </c>
      <c r="AF171" s="2" t="str">
        <f t="shared" si="186"/>
        <v>_</v>
      </c>
      <c r="AG171" s="2" t="s">
        <v>21</v>
      </c>
      <c r="AH171" s="2" t="str">
        <f t="shared" si="194"/>
        <v>_</v>
      </c>
      <c r="AI171" s="28" t="s">
        <v>255</v>
      </c>
    </row>
    <row r="172" spans="2:35" x14ac:dyDescent="0.25">
      <c r="B172" s="2" t="str">
        <f t="shared" si="187"/>
        <v>@color-secondary_line_paved_or_uk_default</v>
      </c>
      <c r="C172" s="46" t="s">
        <v>218</v>
      </c>
      <c r="D172" s="38" t="str">
        <f>C172</f>
        <v>"#ffffff"</v>
      </c>
      <c r="F172" s="46" t="s">
        <v>218</v>
      </c>
      <c r="G172" s="38" t="str">
        <f>F172</f>
        <v>"#ffffff"</v>
      </c>
      <c r="I172" s="46" t="s">
        <v>218</v>
      </c>
      <c r="J172" s="38" t="str">
        <f>I172</f>
        <v>"#ffffff"</v>
      </c>
      <c r="L172" s="46" t="s">
        <v>218</v>
      </c>
      <c r="M172" s="38" t="str">
        <f>L172</f>
        <v>"#ffffff"</v>
      </c>
      <c r="U172" s="46" t="s">
        <v>218</v>
      </c>
      <c r="V172" s="38" t="str">
        <f>U172</f>
        <v>"#ffffff"</v>
      </c>
      <c r="X172" s="46" t="s">
        <v>218</v>
      </c>
      <c r="Y172" s="38" t="str">
        <f>X172</f>
        <v>"#ffffff"</v>
      </c>
      <c r="AA172" s="2" t="s">
        <v>6</v>
      </c>
      <c r="AB172" s="2" t="str">
        <f t="shared" si="188"/>
        <v>-</v>
      </c>
      <c r="AC172" s="2" t="s">
        <v>27</v>
      </c>
      <c r="AD172" s="2" t="str">
        <f t="shared" si="189"/>
        <v>_</v>
      </c>
      <c r="AE172" s="2" t="s">
        <v>13</v>
      </c>
      <c r="AF172" s="2" t="str">
        <f t="shared" si="186"/>
        <v>_</v>
      </c>
      <c r="AG172" s="28" t="s">
        <v>24</v>
      </c>
      <c r="AH172" s="28" t="str">
        <f t="shared" si="194"/>
        <v>_</v>
      </c>
      <c r="AI172" s="28" t="s">
        <v>255</v>
      </c>
    </row>
    <row r="173" spans="2:35" x14ac:dyDescent="0.25">
      <c r="B173" s="2"/>
      <c r="C173" s="26"/>
      <c r="D173" s="26"/>
      <c r="I173" s="26"/>
      <c r="U173" s="26"/>
      <c r="V173" s="26"/>
      <c r="AB173" s="2"/>
      <c r="AD173" s="2"/>
      <c r="AF173" s="2" t="str">
        <f t="shared" si="184"/>
        <v/>
      </c>
      <c r="AH173" s="2" t="str">
        <f t="shared" si="194"/>
        <v/>
      </c>
    </row>
    <row r="174" spans="2:35" x14ac:dyDescent="0.25">
      <c r="B174" s="2" t="str">
        <f t="shared" ref="B174:B182" si="195">_xlfn.CONCAT("@",AA174,AB174,AC174,AD174,AE174,AF174,AG174,AH174,AI174)</f>
        <v>@color-tertiary_case_bicycle_no_default</v>
      </c>
      <c r="C174" s="73" t="s">
        <v>220</v>
      </c>
      <c r="D174" s="47" t="s">
        <v>210</v>
      </c>
      <c r="F174" s="47" t="s">
        <v>210</v>
      </c>
      <c r="G174" s="47" t="s">
        <v>210</v>
      </c>
      <c r="I174" s="74" t="str">
        <f>C174</f>
        <v>"#bd430f"</v>
      </c>
      <c r="J174" s="37" t="str">
        <f>D174</f>
        <v>"#000000"</v>
      </c>
      <c r="L174" s="47" t="s">
        <v>210</v>
      </c>
      <c r="M174" s="47" t="s">
        <v>210</v>
      </c>
      <c r="U174" s="73" t="s">
        <v>220</v>
      </c>
      <c r="V174" s="47" t="s">
        <v>210</v>
      </c>
      <c r="X174" s="47" t="s">
        <v>210</v>
      </c>
      <c r="Y174" s="47" t="s">
        <v>210</v>
      </c>
      <c r="AA174" s="28" t="s">
        <v>6</v>
      </c>
      <c r="AB174" s="2" t="str">
        <f t="shared" ref="AB174:AB176" si="196">IF(NOT(ISBLANK(AC174)),"-","")</f>
        <v>-</v>
      </c>
      <c r="AC174" s="2" t="s">
        <v>26</v>
      </c>
      <c r="AD174" s="2" t="str">
        <f t="shared" ref="AD174:AD176" si="197">IF(NOT(ISBLANK(AE174)),"_","")</f>
        <v>_</v>
      </c>
      <c r="AE174" s="28" t="s">
        <v>17</v>
      </c>
      <c r="AF174" s="2" t="str">
        <f t="shared" ref="AF174:AF176" si="198">IF(NOT(ISBLANK(AG174)),"_","")</f>
        <v>_</v>
      </c>
      <c r="AG174" s="28" t="s">
        <v>23</v>
      </c>
      <c r="AH174" s="2" t="str">
        <f t="shared" si="194"/>
        <v>_</v>
      </c>
      <c r="AI174" s="28" t="s">
        <v>255</v>
      </c>
    </row>
    <row r="175" spans="2:35" x14ac:dyDescent="0.25">
      <c r="B175" s="2" t="str">
        <f t="shared" si="195"/>
        <v>@color-tertiary_case_bicycle_no_farzoom</v>
      </c>
      <c r="C175" s="73" t="s">
        <v>220</v>
      </c>
      <c r="D175" s="47" t="s">
        <v>210</v>
      </c>
      <c r="F175" s="73" t="s">
        <v>220</v>
      </c>
      <c r="G175" s="73" t="s">
        <v>220</v>
      </c>
      <c r="I175" s="74" t="str">
        <f>C175</f>
        <v>"#bd430f"</v>
      </c>
      <c r="J175" s="37" t="str">
        <f>D175</f>
        <v>"#000000"</v>
      </c>
      <c r="L175" s="73" t="s">
        <v>220</v>
      </c>
      <c r="M175" s="73" t="s">
        <v>220</v>
      </c>
      <c r="U175" s="73" t="s">
        <v>220</v>
      </c>
      <c r="V175" s="47" t="s">
        <v>210</v>
      </c>
      <c r="X175" s="73" t="s">
        <v>220</v>
      </c>
      <c r="Y175" s="73" t="s">
        <v>220</v>
      </c>
      <c r="AA175" s="28" t="s">
        <v>6</v>
      </c>
      <c r="AB175" s="2" t="str">
        <f t="shared" ref="AB175" si="199">IF(NOT(ISBLANK(AC175)),"-","")</f>
        <v>-</v>
      </c>
      <c r="AC175" s="2" t="s">
        <v>26</v>
      </c>
      <c r="AD175" s="2" t="str">
        <f t="shared" ref="AD175" si="200">IF(NOT(ISBLANK(AE175)),"_","")</f>
        <v>_</v>
      </c>
      <c r="AE175" s="28" t="s">
        <v>17</v>
      </c>
      <c r="AF175" s="2" t="str">
        <f t="shared" ref="AF175" si="201">IF(NOT(ISBLANK(AG175)),"_","")</f>
        <v>_</v>
      </c>
      <c r="AG175" s="28" t="s">
        <v>23</v>
      </c>
      <c r="AH175" s="2" t="str">
        <f t="shared" si="194"/>
        <v>_</v>
      </c>
      <c r="AI175" s="28" t="s">
        <v>20</v>
      </c>
    </row>
    <row r="176" spans="2:35" x14ac:dyDescent="0.25">
      <c r="B176" s="2" t="str">
        <f t="shared" si="195"/>
        <v>@color-tertiary_case_unpaved_farzoom</v>
      </c>
      <c r="C176" s="75" t="s">
        <v>221</v>
      </c>
      <c r="D176" s="76" t="s">
        <v>223</v>
      </c>
      <c r="F176" s="76" t="s">
        <v>223</v>
      </c>
      <c r="G176" s="75" t="s">
        <v>221</v>
      </c>
      <c r="I176" s="75" t="s">
        <v>221</v>
      </c>
      <c r="J176" s="76" t="s">
        <v>223</v>
      </c>
      <c r="L176" s="76" t="s">
        <v>223</v>
      </c>
      <c r="M176" s="75" t="s">
        <v>221</v>
      </c>
      <c r="U176" s="78" t="s">
        <v>222</v>
      </c>
      <c r="V176" s="47" t="s">
        <v>210</v>
      </c>
      <c r="X176" s="78" t="s">
        <v>222</v>
      </c>
      <c r="Y176" s="78" t="s">
        <v>222</v>
      </c>
      <c r="AA176" s="28" t="s">
        <v>6</v>
      </c>
      <c r="AB176" s="2" t="str">
        <f t="shared" si="196"/>
        <v>-</v>
      </c>
      <c r="AC176" s="2" t="s">
        <v>26</v>
      </c>
      <c r="AD176" s="2" t="str">
        <f t="shared" si="197"/>
        <v>_</v>
      </c>
      <c r="AE176" s="28" t="s">
        <v>17</v>
      </c>
      <c r="AF176" s="2" t="str">
        <f t="shared" si="198"/>
        <v>_</v>
      </c>
      <c r="AG176" s="28" t="s">
        <v>21</v>
      </c>
      <c r="AH176" s="2" t="str">
        <f>IF(NOT(ISBLANK(AI176)),"_","")</f>
        <v>_</v>
      </c>
      <c r="AI176" s="28" t="s">
        <v>20</v>
      </c>
    </row>
    <row r="177" spans="1:35" x14ac:dyDescent="0.25">
      <c r="B177" s="2" t="str">
        <f t="shared" si="195"/>
        <v>@color-tertiary_case_unpaved_default</v>
      </c>
      <c r="C177" s="76" t="s">
        <v>223</v>
      </c>
      <c r="D177" s="76" t="s">
        <v>223</v>
      </c>
      <c r="F177" s="47" t="s">
        <v>210</v>
      </c>
      <c r="G177" s="47" t="s">
        <v>210</v>
      </c>
      <c r="I177" s="76" t="s">
        <v>223</v>
      </c>
      <c r="J177" s="76" t="s">
        <v>223</v>
      </c>
      <c r="L177" s="47" t="s">
        <v>210</v>
      </c>
      <c r="M177" s="47" t="s">
        <v>210</v>
      </c>
      <c r="U177" s="84" t="s">
        <v>224</v>
      </c>
      <c r="V177" s="47" t="s">
        <v>210</v>
      </c>
      <c r="X177" s="47" t="s">
        <v>210</v>
      </c>
      <c r="Y177" s="47" t="s">
        <v>210</v>
      </c>
      <c r="AA177" s="28" t="s">
        <v>6</v>
      </c>
      <c r="AB177" s="2" t="str">
        <f t="shared" ref="AB177:AB182" si="202">IF(NOT(ISBLANK(AC177)),"-","")</f>
        <v>-</v>
      </c>
      <c r="AC177" s="2" t="s">
        <v>26</v>
      </c>
      <c r="AD177" s="2" t="str">
        <f t="shared" ref="AD177:AD182" si="203">IF(NOT(ISBLANK(AE177)),"_","")</f>
        <v>_</v>
      </c>
      <c r="AE177" s="28" t="s">
        <v>17</v>
      </c>
      <c r="AF177" s="2" t="str">
        <f t="shared" si="184"/>
        <v>_</v>
      </c>
      <c r="AG177" s="28" t="s">
        <v>21</v>
      </c>
      <c r="AH177" s="28" t="str">
        <f t="shared" ref="AH177:AH182" si="204">IF(NOT(ISBLANK(AI177)),"_","")</f>
        <v>_</v>
      </c>
      <c r="AI177" s="28" t="s">
        <v>255</v>
      </c>
    </row>
    <row r="178" spans="1:35" x14ac:dyDescent="0.25">
      <c r="B178" s="2" t="str">
        <f t="shared" si="195"/>
        <v>@color-tertiary_case_paved_or_uk_farzoom</v>
      </c>
      <c r="C178" s="78" t="s">
        <v>222</v>
      </c>
      <c r="D178" s="47" t="s">
        <v>210</v>
      </c>
      <c r="F178" s="78" t="s">
        <v>222</v>
      </c>
      <c r="G178" s="78" t="s">
        <v>222</v>
      </c>
      <c r="I178" s="78" t="s">
        <v>222</v>
      </c>
      <c r="J178" s="47" t="s">
        <v>210</v>
      </c>
      <c r="L178" s="78" t="s">
        <v>222</v>
      </c>
      <c r="M178" s="78" t="s">
        <v>222</v>
      </c>
      <c r="U178" s="78" t="s">
        <v>222</v>
      </c>
      <c r="V178" s="47" t="s">
        <v>210</v>
      </c>
      <c r="X178" s="78" t="s">
        <v>222</v>
      </c>
      <c r="Y178" s="78" t="s">
        <v>222</v>
      </c>
      <c r="AA178" s="2" t="s">
        <v>6</v>
      </c>
      <c r="AB178" s="2" t="str">
        <f t="shared" ref="AB178" si="205">IF(NOT(ISBLANK(AC178)),"-","")</f>
        <v>-</v>
      </c>
      <c r="AC178" s="2" t="s">
        <v>26</v>
      </c>
      <c r="AD178" s="2" t="str">
        <f t="shared" ref="AD178" si="206">IF(NOT(ISBLANK(AE178)),"_","")</f>
        <v>_</v>
      </c>
      <c r="AE178" s="2" t="s">
        <v>17</v>
      </c>
      <c r="AF178" s="2" t="str">
        <f t="shared" ref="AF178" si="207">IF(NOT(ISBLANK(AG178)),"_","")</f>
        <v>_</v>
      </c>
      <c r="AG178" s="2" t="s">
        <v>24</v>
      </c>
      <c r="AH178" s="2" t="str">
        <f t="shared" si="204"/>
        <v>_</v>
      </c>
      <c r="AI178" s="28" t="s">
        <v>20</v>
      </c>
    </row>
    <row r="179" spans="1:35" x14ac:dyDescent="0.25">
      <c r="B179" s="2" t="str">
        <f t="shared" si="195"/>
        <v>@color-tertiary_case_paved_or_uk_default</v>
      </c>
      <c r="C179" s="84" t="s">
        <v>224</v>
      </c>
      <c r="D179" s="47" t="s">
        <v>210</v>
      </c>
      <c r="F179" s="47" t="s">
        <v>210</v>
      </c>
      <c r="G179" s="47" t="s">
        <v>210</v>
      </c>
      <c r="I179" s="84" t="s">
        <v>224</v>
      </c>
      <c r="J179" s="47" t="s">
        <v>210</v>
      </c>
      <c r="L179" s="47" t="s">
        <v>210</v>
      </c>
      <c r="M179" s="47" t="s">
        <v>210</v>
      </c>
      <c r="U179" s="84" t="s">
        <v>224</v>
      </c>
      <c r="V179" s="47" t="s">
        <v>210</v>
      </c>
      <c r="X179" s="47" t="s">
        <v>210</v>
      </c>
      <c r="Y179" s="47" t="s">
        <v>210</v>
      </c>
      <c r="AA179" s="2" t="s">
        <v>6</v>
      </c>
      <c r="AB179" s="2" t="str">
        <f t="shared" si="202"/>
        <v>-</v>
      </c>
      <c r="AC179" s="2" t="s">
        <v>26</v>
      </c>
      <c r="AD179" s="2" t="str">
        <f t="shared" si="203"/>
        <v>_</v>
      </c>
      <c r="AE179" s="2" t="s">
        <v>17</v>
      </c>
      <c r="AF179" s="2" t="str">
        <f t="shared" si="184"/>
        <v>_</v>
      </c>
      <c r="AG179" s="2" t="s">
        <v>24</v>
      </c>
      <c r="AH179" s="2" t="str">
        <f t="shared" si="204"/>
        <v>_</v>
      </c>
      <c r="AI179" s="28" t="s">
        <v>255</v>
      </c>
    </row>
    <row r="180" spans="1:35" x14ac:dyDescent="0.25">
      <c r="B180" s="2" t="str">
        <f t="shared" si="195"/>
        <v>@color-tertiary_line_bicycle_no</v>
      </c>
      <c r="C180" s="82" t="s">
        <v>225</v>
      </c>
      <c r="D180" s="70" t="s">
        <v>211</v>
      </c>
      <c r="F180" s="82" t="s">
        <v>225</v>
      </c>
      <c r="G180" s="70" t="s">
        <v>211</v>
      </c>
      <c r="I180" s="83" t="str">
        <f>C180</f>
        <v>"#ffcc8a"</v>
      </c>
      <c r="J180" s="72" t="str">
        <f>D180</f>
        <v>"#d6771e"</v>
      </c>
      <c r="L180" s="82" t="s">
        <v>225</v>
      </c>
      <c r="M180" s="70" t="s">
        <v>211</v>
      </c>
      <c r="U180" s="82" t="s">
        <v>225</v>
      </c>
      <c r="V180" s="70" t="s">
        <v>211</v>
      </c>
      <c r="X180" s="82" t="s">
        <v>225</v>
      </c>
      <c r="Y180" s="70" t="s">
        <v>211</v>
      </c>
      <c r="AA180" s="28" t="s">
        <v>6</v>
      </c>
      <c r="AB180" s="2" t="str">
        <f t="shared" si="202"/>
        <v>-</v>
      </c>
      <c r="AC180" s="2" t="s">
        <v>26</v>
      </c>
      <c r="AD180" s="2" t="str">
        <f t="shared" si="203"/>
        <v>_</v>
      </c>
      <c r="AE180" s="28" t="s">
        <v>13</v>
      </c>
      <c r="AF180" s="2" t="str">
        <f t="shared" si="184"/>
        <v>_</v>
      </c>
      <c r="AG180" s="28" t="s">
        <v>23</v>
      </c>
      <c r="AH180" s="2" t="str">
        <f t="shared" si="204"/>
        <v/>
      </c>
    </row>
    <row r="181" spans="1:35" x14ac:dyDescent="0.25">
      <c r="B181" s="2" t="str">
        <f t="shared" si="195"/>
        <v>@color-tertiary_line_unpaved_default</v>
      </c>
      <c r="C181" s="80" t="s">
        <v>217</v>
      </c>
      <c r="D181" s="81" t="str">
        <f>C181</f>
        <v>"#eddfca"</v>
      </c>
      <c r="F181" s="80" t="s">
        <v>217</v>
      </c>
      <c r="G181" s="81" t="str">
        <f>F181</f>
        <v>"#eddfca"</v>
      </c>
      <c r="I181" s="80" t="s">
        <v>217</v>
      </c>
      <c r="J181" s="81" t="str">
        <f>I181</f>
        <v>"#eddfca"</v>
      </c>
      <c r="L181" s="80" t="s">
        <v>217</v>
      </c>
      <c r="M181" s="81" t="str">
        <f>L181</f>
        <v>"#eddfca"</v>
      </c>
      <c r="U181" s="46" t="s">
        <v>218</v>
      </c>
      <c r="V181" s="38" t="str">
        <f>U181</f>
        <v>"#ffffff"</v>
      </c>
      <c r="X181" s="46" t="s">
        <v>218</v>
      </c>
      <c r="Y181" s="38" t="str">
        <f>X181</f>
        <v>"#ffffff"</v>
      </c>
      <c r="AA181" s="2" t="s">
        <v>6</v>
      </c>
      <c r="AB181" s="2" t="str">
        <f t="shared" si="202"/>
        <v>-</v>
      </c>
      <c r="AC181" s="2" t="s">
        <v>26</v>
      </c>
      <c r="AD181" s="2" t="str">
        <f t="shared" si="203"/>
        <v>_</v>
      </c>
      <c r="AE181" s="2" t="s">
        <v>13</v>
      </c>
      <c r="AF181" s="2" t="str">
        <f t="shared" si="184"/>
        <v>_</v>
      </c>
      <c r="AG181" s="2" t="s">
        <v>21</v>
      </c>
      <c r="AH181" s="2" t="str">
        <f t="shared" si="204"/>
        <v>_</v>
      </c>
      <c r="AI181" s="28" t="s">
        <v>255</v>
      </c>
    </row>
    <row r="182" spans="1:35" x14ac:dyDescent="0.25">
      <c r="B182" s="2" t="str">
        <f t="shared" si="195"/>
        <v>@color-tertiary_line_paved_or_uk_default</v>
      </c>
      <c r="C182" s="46" t="s">
        <v>218</v>
      </c>
      <c r="D182" s="38" t="str">
        <f>C182</f>
        <v>"#ffffff"</v>
      </c>
      <c r="F182" s="46" t="s">
        <v>218</v>
      </c>
      <c r="G182" s="38" t="str">
        <f>F182</f>
        <v>"#ffffff"</v>
      </c>
      <c r="I182" s="46" t="s">
        <v>218</v>
      </c>
      <c r="J182" s="38" t="str">
        <f>I182</f>
        <v>"#ffffff"</v>
      </c>
      <c r="L182" s="46" t="s">
        <v>218</v>
      </c>
      <c r="M182" s="38" t="str">
        <f>L182</f>
        <v>"#ffffff"</v>
      </c>
      <c r="U182" s="46" t="s">
        <v>218</v>
      </c>
      <c r="V182" s="38" t="str">
        <f>U182</f>
        <v>"#ffffff"</v>
      </c>
      <c r="X182" s="46" t="s">
        <v>218</v>
      </c>
      <c r="Y182" s="38" t="str">
        <f>X182</f>
        <v>"#ffffff"</v>
      </c>
      <c r="AA182" s="2" t="s">
        <v>6</v>
      </c>
      <c r="AB182" s="2" t="str">
        <f t="shared" si="202"/>
        <v>-</v>
      </c>
      <c r="AC182" s="2" t="s">
        <v>26</v>
      </c>
      <c r="AD182" s="2" t="str">
        <f t="shared" si="203"/>
        <v>_</v>
      </c>
      <c r="AE182" s="2" t="s">
        <v>13</v>
      </c>
      <c r="AF182" s="2" t="str">
        <f t="shared" si="184"/>
        <v>_</v>
      </c>
      <c r="AG182" s="28" t="s">
        <v>24</v>
      </c>
      <c r="AH182" s="28" t="str">
        <f t="shared" si="204"/>
        <v>_</v>
      </c>
      <c r="AI182" s="28" t="s">
        <v>255</v>
      </c>
    </row>
    <row r="183" spans="1:35" x14ac:dyDescent="0.25">
      <c r="B183" s="2"/>
      <c r="C183" s="26"/>
      <c r="F183" s="26"/>
      <c r="L183" s="26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1:35" x14ac:dyDescent="0.25">
      <c r="B184" s="2" t="str">
        <f t="shared" ref="B184:B187" si="208">_xlfn.CONCAT("@",AA184,AB184,AC184,AD184,AE184,AF184,AG184,AH184,AI184)</f>
        <v>@dasharray-tertiary_case_medium_dash</v>
      </c>
      <c r="C184" s="28" t="s">
        <v>327</v>
      </c>
      <c r="D184" s="28" t="s">
        <v>327</v>
      </c>
      <c r="F184" s="28" t="s">
        <v>327</v>
      </c>
      <c r="G184" s="28" t="s">
        <v>327</v>
      </c>
      <c r="I184" s="28" t="s">
        <v>127</v>
      </c>
      <c r="J184" s="28" t="s">
        <v>127</v>
      </c>
      <c r="L184" s="28" t="s">
        <v>127</v>
      </c>
      <c r="M184" s="28" t="s">
        <v>127</v>
      </c>
      <c r="U184" s="28" t="s">
        <v>327</v>
      </c>
      <c r="V184" s="28" t="s">
        <v>327</v>
      </c>
      <c r="X184" s="28" t="s">
        <v>327</v>
      </c>
      <c r="Y184" s="28" t="s">
        <v>327</v>
      </c>
      <c r="AA184" s="2" t="s">
        <v>371</v>
      </c>
      <c r="AB184" s="2" t="str">
        <f t="shared" ref="AB184:AB187" si="209">IF(NOT(ISBLANK(AC184)),"-","")</f>
        <v>-</v>
      </c>
      <c r="AC184" s="2" t="s">
        <v>26</v>
      </c>
      <c r="AD184" s="2" t="str">
        <f t="shared" ref="AD184:AD187" si="210">IF(NOT(ISBLANK(AE184)),"_","")</f>
        <v>_</v>
      </c>
      <c r="AE184" s="2" t="s">
        <v>17</v>
      </c>
      <c r="AF184" s="2" t="str">
        <f t="shared" ref="AF184:AF187" si="211">IF(NOT(ISBLANK(AG184)),"_","")</f>
        <v>_</v>
      </c>
      <c r="AG184" s="2" t="s">
        <v>75</v>
      </c>
      <c r="AH184" s="2" t="str">
        <f t="shared" ref="AH184:AH187" si="212">IF(NOT(ISBLANK(AI184)),"_","")</f>
        <v>_</v>
      </c>
      <c r="AI184" s="2" t="s">
        <v>373</v>
      </c>
    </row>
    <row r="185" spans="1:35" x14ac:dyDescent="0.25">
      <c r="B185" s="2" t="str">
        <f t="shared" si="208"/>
        <v>@dasharray-tertiary_case_medium_gap</v>
      </c>
      <c r="C185" s="28" t="s">
        <v>375</v>
      </c>
      <c r="D185" s="28" t="s">
        <v>375</v>
      </c>
      <c r="F185" s="28" t="s">
        <v>375</v>
      </c>
      <c r="G185" s="28" t="s">
        <v>375</v>
      </c>
      <c r="I185" s="28" t="s">
        <v>94</v>
      </c>
      <c r="J185" s="28" t="s">
        <v>94</v>
      </c>
      <c r="L185" s="28" t="s">
        <v>94</v>
      </c>
      <c r="M185" s="28" t="s">
        <v>94</v>
      </c>
      <c r="U185" s="28" t="s">
        <v>375</v>
      </c>
      <c r="V185" s="28" t="s">
        <v>375</v>
      </c>
      <c r="X185" s="28" t="s">
        <v>375</v>
      </c>
      <c r="Y185" s="28" t="s">
        <v>375</v>
      </c>
      <c r="AA185" s="2" t="s">
        <v>371</v>
      </c>
      <c r="AB185" s="2" t="str">
        <f t="shared" si="209"/>
        <v>-</v>
      </c>
      <c r="AC185" s="2" t="s">
        <v>26</v>
      </c>
      <c r="AD185" s="2" t="str">
        <f t="shared" si="210"/>
        <v>_</v>
      </c>
      <c r="AE185" s="2" t="s">
        <v>17</v>
      </c>
      <c r="AF185" s="2" t="str">
        <f t="shared" si="211"/>
        <v>_</v>
      </c>
      <c r="AG185" s="2" t="s">
        <v>75</v>
      </c>
      <c r="AH185" s="2" t="str">
        <f t="shared" si="212"/>
        <v>_</v>
      </c>
      <c r="AI185" s="2" t="s">
        <v>374</v>
      </c>
    </row>
    <row r="186" spans="1:35" x14ac:dyDescent="0.25">
      <c r="B186" s="2" t="str">
        <f t="shared" si="208"/>
        <v>@dasharray-tertiary_case_rough_dash</v>
      </c>
      <c r="C186" s="28" t="s">
        <v>327</v>
      </c>
      <c r="D186" s="28" t="s">
        <v>327</v>
      </c>
      <c r="F186" s="28" t="s">
        <v>327</v>
      </c>
      <c r="G186" s="28" t="s">
        <v>327</v>
      </c>
      <c r="I186" s="28" t="s">
        <v>92</v>
      </c>
      <c r="J186" s="28" t="s">
        <v>92</v>
      </c>
      <c r="L186" s="28" t="s">
        <v>92</v>
      </c>
      <c r="M186" s="28" t="s">
        <v>92</v>
      </c>
      <c r="U186" s="28" t="s">
        <v>327</v>
      </c>
      <c r="V186" s="28" t="s">
        <v>327</v>
      </c>
      <c r="X186" s="28" t="s">
        <v>327</v>
      </c>
      <c r="Y186" s="28" t="s">
        <v>327</v>
      </c>
      <c r="AA186" s="2" t="s">
        <v>371</v>
      </c>
      <c r="AB186" s="2" t="str">
        <f t="shared" si="209"/>
        <v>-</v>
      </c>
      <c r="AC186" s="2" t="s">
        <v>26</v>
      </c>
      <c r="AD186" s="2" t="str">
        <f t="shared" si="210"/>
        <v>_</v>
      </c>
      <c r="AE186" s="2" t="s">
        <v>17</v>
      </c>
      <c r="AF186" s="2" t="str">
        <f t="shared" si="211"/>
        <v>_</v>
      </c>
      <c r="AG186" s="2" t="s">
        <v>372</v>
      </c>
      <c r="AH186" s="2" t="str">
        <f t="shared" si="212"/>
        <v>_</v>
      </c>
      <c r="AI186" s="2" t="s">
        <v>373</v>
      </c>
    </row>
    <row r="187" spans="1:35" x14ac:dyDescent="0.25">
      <c r="B187" s="2" t="str">
        <f t="shared" si="208"/>
        <v>@dasharray-tertiary_case_rough_gap</v>
      </c>
      <c r="C187" s="28" t="s">
        <v>375</v>
      </c>
      <c r="D187" s="28" t="s">
        <v>375</v>
      </c>
      <c r="F187" s="28" t="s">
        <v>375</v>
      </c>
      <c r="G187" s="28" t="s">
        <v>375</v>
      </c>
      <c r="I187" s="28" t="s">
        <v>94</v>
      </c>
      <c r="J187" s="28" t="s">
        <v>94</v>
      </c>
      <c r="L187" s="28" t="s">
        <v>94</v>
      </c>
      <c r="M187" s="28" t="s">
        <v>94</v>
      </c>
      <c r="U187" s="28" t="s">
        <v>375</v>
      </c>
      <c r="V187" s="28" t="s">
        <v>375</v>
      </c>
      <c r="X187" s="28" t="s">
        <v>375</v>
      </c>
      <c r="Y187" s="28" t="s">
        <v>375</v>
      </c>
      <c r="AA187" s="2" t="s">
        <v>371</v>
      </c>
      <c r="AB187" s="2" t="str">
        <f t="shared" si="209"/>
        <v>-</v>
      </c>
      <c r="AC187" s="2" t="s">
        <v>26</v>
      </c>
      <c r="AD187" s="2" t="str">
        <f t="shared" si="210"/>
        <v>_</v>
      </c>
      <c r="AE187" s="2" t="s">
        <v>17</v>
      </c>
      <c r="AF187" s="2" t="str">
        <f t="shared" si="211"/>
        <v>_</v>
      </c>
      <c r="AG187" s="2" t="s">
        <v>372</v>
      </c>
      <c r="AH187" s="2" t="str">
        <f t="shared" si="212"/>
        <v>_</v>
      </c>
      <c r="AI187" s="2" t="s">
        <v>374</v>
      </c>
    </row>
    <row r="188" spans="1:35" x14ac:dyDescent="0.25">
      <c r="B188" s="2"/>
      <c r="AB188" s="28" t="str">
        <f t="shared" si="176"/>
        <v/>
      </c>
      <c r="AD188" s="28" t="str">
        <f t="shared" si="183"/>
        <v/>
      </c>
      <c r="AF188" s="28" t="str">
        <f t="shared" si="184"/>
        <v/>
      </c>
      <c r="AH188" s="28" t="str">
        <f t="shared" si="194"/>
        <v/>
      </c>
    </row>
    <row r="189" spans="1:35" s="2" customFormat="1" x14ac:dyDescent="0.25">
      <c r="A189" s="185"/>
      <c r="B189" s="3" t="s">
        <v>31</v>
      </c>
      <c r="C189" s="27"/>
      <c r="D189" s="6"/>
      <c r="E189" s="7"/>
      <c r="F189" s="6"/>
      <c r="G189" s="6"/>
      <c r="H189" s="7"/>
      <c r="I189" s="6"/>
      <c r="J189" s="6"/>
      <c r="K189" s="7"/>
      <c r="L189" s="6"/>
      <c r="M189" s="6"/>
      <c r="N189" s="7"/>
      <c r="O189" s="6"/>
      <c r="P189" s="6"/>
      <c r="Q189" s="7"/>
      <c r="R189" s="6"/>
      <c r="S189" s="6"/>
      <c r="T189" s="7"/>
      <c r="U189" s="6"/>
      <c r="V189" s="6"/>
      <c r="W189" s="7"/>
      <c r="X189" s="6"/>
      <c r="Y189" s="6"/>
      <c r="AA189" s="4"/>
      <c r="AB189" s="4" t="str">
        <f t="shared" si="176"/>
        <v/>
      </c>
      <c r="AC189" s="4"/>
      <c r="AD189" s="4" t="str">
        <f t="shared" si="183"/>
        <v/>
      </c>
      <c r="AE189" s="4"/>
      <c r="AF189" s="4" t="str">
        <f t="shared" si="184"/>
        <v/>
      </c>
      <c r="AG189" s="4"/>
      <c r="AH189" s="4" t="str">
        <f t="shared" si="194"/>
        <v/>
      </c>
      <c r="AI189" s="4"/>
    </row>
    <row r="190" spans="1:35" x14ac:dyDescent="0.25">
      <c r="AB190" s="28" t="str">
        <f t="shared" si="176"/>
        <v/>
      </c>
      <c r="AD190" s="28" t="str">
        <f t="shared" si="183"/>
        <v/>
      </c>
      <c r="AF190" s="2" t="str">
        <f t="shared" si="184"/>
        <v/>
      </c>
      <c r="AH190" s="2" t="str">
        <f t="shared" si="194"/>
        <v/>
      </c>
    </row>
    <row r="191" spans="1:35" x14ac:dyDescent="0.25">
      <c r="B191" s="2" t="str">
        <f t="shared" ref="B191:B192" si="213">_xlfn.CONCAT("@",AA191,AB191,AC191,AD191,AE191,AF191,AG191,AH191,AI191)</f>
        <v>@color-parking_aisle_line_unpaved</v>
      </c>
      <c r="C191" s="85" t="s">
        <v>226</v>
      </c>
      <c r="D191" s="76" t="s">
        <v>223</v>
      </c>
      <c r="F191" s="85" t="s">
        <v>226</v>
      </c>
      <c r="G191" s="75" t="s">
        <v>221</v>
      </c>
      <c r="I191" s="85" t="s">
        <v>226</v>
      </c>
      <c r="J191" s="76" t="s">
        <v>223</v>
      </c>
      <c r="L191" s="85" t="s">
        <v>226</v>
      </c>
      <c r="M191" s="75" t="s">
        <v>221</v>
      </c>
      <c r="U191" s="88" t="s">
        <v>227</v>
      </c>
      <c r="V191" s="89" t="s">
        <v>228</v>
      </c>
      <c r="X191" s="88" t="s">
        <v>227</v>
      </c>
      <c r="Y191" s="88" t="s">
        <v>227</v>
      </c>
      <c r="AA191" s="2" t="s">
        <v>6</v>
      </c>
      <c r="AB191" s="2" t="str">
        <f t="shared" ref="AB191:AB192" si="214">IF(NOT(ISBLANK(AC191)),"-","")</f>
        <v>-</v>
      </c>
      <c r="AC191" s="2" t="s">
        <v>377</v>
      </c>
      <c r="AD191" s="2" t="str">
        <f t="shared" ref="AD191:AD192" si="215">IF(NOT(ISBLANK(AE191)),"_","")</f>
        <v>_</v>
      </c>
      <c r="AE191" s="2" t="s">
        <v>13</v>
      </c>
      <c r="AF191" s="2" t="str">
        <f t="shared" ref="AF191:AF192" si="216">IF(NOT(ISBLANK(AG191)),"_","")</f>
        <v>_</v>
      </c>
      <c r="AG191" s="2" t="s">
        <v>21</v>
      </c>
      <c r="AH191" s="2" t="str">
        <f t="shared" ref="AH191:AH192" si="217">IF(NOT(ISBLANK(AI191)),"_","")</f>
        <v/>
      </c>
      <c r="AI191" s="2"/>
    </row>
    <row r="192" spans="1:35" x14ac:dyDescent="0.25">
      <c r="B192" s="2" t="str">
        <f t="shared" si="213"/>
        <v>@color-parking_aisle_line_paved_or_uk</v>
      </c>
      <c r="C192" s="88" t="s">
        <v>227</v>
      </c>
      <c r="D192" s="89" t="s">
        <v>228</v>
      </c>
      <c r="F192" s="88" t="s">
        <v>227</v>
      </c>
      <c r="G192" s="88" t="s">
        <v>227</v>
      </c>
      <c r="I192" s="88" t="s">
        <v>227</v>
      </c>
      <c r="J192" s="89" t="s">
        <v>228</v>
      </c>
      <c r="L192" s="88" t="s">
        <v>227</v>
      </c>
      <c r="M192" s="88" t="s">
        <v>227</v>
      </c>
      <c r="U192" s="88" t="s">
        <v>227</v>
      </c>
      <c r="V192" s="89" t="s">
        <v>228</v>
      </c>
      <c r="X192" s="88" t="s">
        <v>227</v>
      </c>
      <c r="Y192" s="88" t="s">
        <v>227</v>
      </c>
      <c r="AA192" s="2" t="s">
        <v>6</v>
      </c>
      <c r="AB192" s="2" t="str">
        <f t="shared" si="214"/>
        <v>-</v>
      </c>
      <c r="AC192" s="2" t="s">
        <v>377</v>
      </c>
      <c r="AD192" s="2" t="str">
        <f t="shared" si="215"/>
        <v>_</v>
      </c>
      <c r="AE192" s="2" t="s">
        <v>13</v>
      </c>
      <c r="AF192" s="2" t="str">
        <f t="shared" si="216"/>
        <v>_</v>
      </c>
      <c r="AG192" s="2" t="s">
        <v>24</v>
      </c>
      <c r="AH192" s="2" t="str">
        <f t="shared" si="217"/>
        <v/>
      </c>
      <c r="AI192" s="2"/>
    </row>
    <row r="193" spans="2:35" x14ac:dyDescent="0.25">
      <c r="B193" s="2"/>
      <c r="C193" s="26"/>
      <c r="D193" s="38"/>
      <c r="F193" s="46"/>
      <c r="G193" s="38"/>
      <c r="I193" s="38"/>
      <c r="J193" s="38"/>
      <c r="L193" s="46"/>
      <c r="M193" s="38"/>
      <c r="U193" s="26"/>
      <c r="V193" s="38"/>
      <c r="X193" s="46"/>
      <c r="Y193" s="38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2:35" x14ac:dyDescent="0.25">
      <c r="B194" s="2" t="str">
        <f t="shared" ref="B194:B199" si="218">_xlfn.CONCAT("@",AA194,AB194,AC194,AD194,AE194,AF194,AG194,AH194,AI194)</f>
        <v>@color-raceway_case_unpaved_farzoom</v>
      </c>
      <c r="C194" s="75" t="s">
        <v>221</v>
      </c>
      <c r="D194" s="76" t="s">
        <v>223</v>
      </c>
      <c r="F194" s="76" t="s">
        <v>223</v>
      </c>
      <c r="G194" s="75" t="s">
        <v>221</v>
      </c>
      <c r="I194" s="92" t="str">
        <f t="shared" ref="I194" si="219">C194</f>
        <v>"#b99346"</v>
      </c>
      <c r="J194" s="87" t="str">
        <f t="shared" ref="J194" si="220">D194</f>
        <v>"#644507"</v>
      </c>
      <c r="L194" s="76" t="s">
        <v>223</v>
      </c>
      <c r="M194" s="75" t="s">
        <v>221</v>
      </c>
      <c r="U194" s="78" t="s">
        <v>222</v>
      </c>
      <c r="V194" s="47" t="s">
        <v>210</v>
      </c>
      <c r="X194" s="78" t="s">
        <v>222</v>
      </c>
      <c r="Y194" s="78" t="s">
        <v>222</v>
      </c>
      <c r="AA194" s="2" t="s">
        <v>6</v>
      </c>
      <c r="AB194" s="2" t="str">
        <f t="shared" ref="AB194" si="221">IF(NOT(ISBLANK(AC194)),"-","")</f>
        <v>-</v>
      </c>
      <c r="AC194" s="2" t="s">
        <v>28</v>
      </c>
      <c r="AD194" s="2" t="str">
        <f t="shared" ref="AD194" si="222">IF(NOT(ISBLANK(AE194)),"_","")</f>
        <v>_</v>
      </c>
      <c r="AE194" s="2" t="s">
        <v>17</v>
      </c>
      <c r="AF194" s="2" t="str">
        <f t="shared" ref="AF194" si="223">IF(NOT(ISBLANK(AG194)),"_","")</f>
        <v>_</v>
      </c>
      <c r="AG194" s="2" t="s">
        <v>21</v>
      </c>
      <c r="AH194" s="2" t="str">
        <f t="shared" ref="AH194" si="224">IF(NOT(ISBLANK(AI194)),"_","")</f>
        <v>_</v>
      </c>
      <c r="AI194" s="28" t="s">
        <v>20</v>
      </c>
    </row>
    <row r="195" spans="2:35" x14ac:dyDescent="0.25">
      <c r="B195" s="2" t="str">
        <f t="shared" si="218"/>
        <v>@color-raceway_case_unpaved_default</v>
      </c>
      <c r="C195" s="85" t="s">
        <v>226</v>
      </c>
      <c r="D195" s="76" t="s">
        <v>223</v>
      </c>
      <c r="F195" s="47" t="s">
        <v>210</v>
      </c>
      <c r="G195" s="47" t="s">
        <v>210</v>
      </c>
      <c r="I195" s="86" t="str">
        <f>C195</f>
        <v>"#af9564"</v>
      </c>
      <c r="J195" s="87" t="str">
        <f>D195</f>
        <v>"#644507"</v>
      </c>
      <c r="L195" s="47" t="s">
        <v>210</v>
      </c>
      <c r="M195" s="47" t="s">
        <v>210</v>
      </c>
      <c r="U195" s="88" t="s">
        <v>227</v>
      </c>
      <c r="V195" s="89" t="s">
        <v>228</v>
      </c>
      <c r="X195" s="47" t="s">
        <v>210</v>
      </c>
      <c r="Y195" s="47" t="s">
        <v>210</v>
      </c>
      <c r="AA195" s="2" t="s">
        <v>6</v>
      </c>
      <c r="AB195" s="2" t="str">
        <f t="shared" ref="AB195:AB197" si="225">IF(NOT(ISBLANK(AC195)),"-","")</f>
        <v>-</v>
      </c>
      <c r="AC195" s="2" t="s">
        <v>28</v>
      </c>
      <c r="AD195" s="2" t="str">
        <f t="shared" ref="AD195:AD197" si="226">IF(NOT(ISBLANK(AE195)),"_","")</f>
        <v>_</v>
      </c>
      <c r="AE195" s="2" t="s">
        <v>17</v>
      </c>
      <c r="AF195" s="2" t="str">
        <f t="shared" ref="AF195:AF197" si="227">IF(NOT(ISBLANK(AG195)),"_","")</f>
        <v>_</v>
      </c>
      <c r="AG195" s="2" t="s">
        <v>21</v>
      </c>
      <c r="AH195" s="2" t="str">
        <f t="shared" si="194"/>
        <v>_</v>
      </c>
      <c r="AI195" s="2" t="s">
        <v>255</v>
      </c>
    </row>
    <row r="196" spans="2:35" x14ac:dyDescent="0.25">
      <c r="B196" s="2" t="str">
        <f t="shared" si="218"/>
        <v>@color-raceway_case_paved_or_uk_farzoom</v>
      </c>
      <c r="C196" s="78" t="s">
        <v>222</v>
      </c>
      <c r="D196" s="47" t="s">
        <v>210</v>
      </c>
      <c r="F196" s="78" t="s">
        <v>222</v>
      </c>
      <c r="G196" s="78" t="s">
        <v>222</v>
      </c>
      <c r="I196" s="93" t="str">
        <f t="shared" ref="I196" si="228">C196</f>
        <v>"#808080"</v>
      </c>
      <c r="J196" s="37" t="str">
        <f t="shared" ref="J196" si="229">D196</f>
        <v>"#000000"</v>
      </c>
      <c r="L196" s="78" t="s">
        <v>222</v>
      </c>
      <c r="M196" s="78" t="s">
        <v>222</v>
      </c>
      <c r="U196" s="78" t="s">
        <v>222</v>
      </c>
      <c r="V196" s="47" t="s">
        <v>210</v>
      </c>
      <c r="X196" s="78" t="s">
        <v>222</v>
      </c>
      <c r="Y196" s="78" t="s">
        <v>222</v>
      </c>
      <c r="AA196" s="2" t="s">
        <v>6</v>
      </c>
      <c r="AB196" s="2" t="str">
        <f t="shared" si="225"/>
        <v>-</v>
      </c>
      <c r="AC196" s="2" t="s">
        <v>28</v>
      </c>
      <c r="AD196" s="2" t="str">
        <f t="shared" si="226"/>
        <v>_</v>
      </c>
      <c r="AE196" s="2" t="s">
        <v>17</v>
      </c>
      <c r="AF196" s="2" t="str">
        <f t="shared" si="227"/>
        <v>_</v>
      </c>
      <c r="AG196" s="2" t="s">
        <v>24</v>
      </c>
      <c r="AH196" s="2" t="str">
        <f t="shared" ref="AH196" si="230">IF(NOT(ISBLANK(AI196)),"_","")</f>
        <v>_</v>
      </c>
      <c r="AI196" s="28" t="s">
        <v>20</v>
      </c>
    </row>
    <row r="197" spans="2:35" x14ac:dyDescent="0.25">
      <c r="B197" s="2" t="str">
        <f t="shared" si="218"/>
        <v>@color-raceway_case_paved_or_uk_default</v>
      </c>
      <c r="C197" s="88" t="s">
        <v>227</v>
      </c>
      <c r="D197" s="89" t="s">
        <v>228</v>
      </c>
      <c r="F197" s="47" t="s">
        <v>210</v>
      </c>
      <c r="G197" s="47" t="s">
        <v>210</v>
      </c>
      <c r="I197" s="90" t="str">
        <f>C197</f>
        <v>"#a8a6a4"</v>
      </c>
      <c r="J197" s="91" t="str">
        <f>D197</f>
        <v>"#4a4a4a"</v>
      </c>
      <c r="L197" s="47" t="s">
        <v>210</v>
      </c>
      <c r="M197" s="47" t="s">
        <v>210</v>
      </c>
      <c r="U197" s="88" t="s">
        <v>227</v>
      </c>
      <c r="V197" s="89" t="s">
        <v>228</v>
      </c>
      <c r="X197" s="47" t="s">
        <v>210</v>
      </c>
      <c r="Y197" s="47" t="s">
        <v>210</v>
      </c>
      <c r="AA197" s="2" t="s">
        <v>6</v>
      </c>
      <c r="AB197" s="2" t="str">
        <f t="shared" si="225"/>
        <v>-</v>
      </c>
      <c r="AC197" s="2" t="s">
        <v>28</v>
      </c>
      <c r="AD197" s="2" t="str">
        <f t="shared" si="226"/>
        <v>_</v>
      </c>
      <c r="AE197" s="2" t="s">
        <v>17</v>
      </c>
      <c r="AF197" s="2" t="str">
        <f t="shared" si="227"/>
        <v>_</v>
      </c>
      <c r="AG197" s="2" t="s">
        <v>24</v>
      </c>
      <c r="AH197" s="2" t="str">
        <f t="shared" si="194"/>
        <v>_</v>
      </c>
      <c r="AI197" s="2" t="s">
        <v>255</v>
      </c>
    </row>
    <row r="198" spans="2:35" x14ac:dyDescent="0.25">
      <c r="B198" s="2" t="str">
        <f t="shared" si="218"/>
        <v>@color-raceway_line_unpaved</v>
      </c>
      <c r="C198" s="80" t="s">
        <v>217</v>
      </c>
      <c r="D198" s="81" t="str">
        <f>C198</f>
        <v>"#eddfca"</v>
      </c>
      <c r="F198" s="80" t="s">
        <v>217</v>
      </c>
      <c r="G198" s="38" t="str">
        <f t="shared" ref="G198:G199" si="231">F198</f>
        <v>"#eddfca"</v>
      </c>
      <c r="I198" s="81" t="str">
        <f>C198</f>
        <v>"#eddfca"</v>
      </c>
      <c r="J198" s="81" t="str">
        <f>C198</f>
        <v>"#eddfca"</v>
      </c>
      <c r="L198" s="80" t="s">
        <v>217</v>
      </c>
      <c r="M198" s="38" t="str">
        <f t="shared" ref="M198:M199" si="232">L198</f>
        <v>"#eddfca"</v>
      </c>
      <c r="U198" s="26" t="s">
        <v>218</v>
      </c>
      <c r="V198" s="38" t="str">
        <f>U198</f>
        <v>"#ffffff"</v>
      </c>
      <c r="X198" s="46" t="s">
        <v>218</v>
      </c>
      <c r="Y198" s="38" t="str">
        <f t="shared" ref="Y198" si="233">X198</f>
        <v>"#ffffff"</v>
      </c>
      <c r="AA198" s="2" t="s">
        <v>6</v>
      </c>
      <c r="AB198" s="2" t="str">
        <f t="shared" si="176"/>
        <v>-</v>
      </c>
      <c r="AC198" s="2" t="s">
        <v>28</v>
      </c>
      <c r="AD198" s="2" t="str">
        <f t="shared" si="183"/>
        <v>_</v>
      </c>
      <c r="AE198" s="2" t="s">
        <v>13</v>
      </c>
      <c r="AF198" s="2" t="str">
        <f t="shared" si="184"/>
        <v>_</v>
      </c>
      <c r="AG198" s="2" t="s">
        <v>21</v>
      </c>
      <c r="AH198" s="2" t="str">
        <f t="shared" si="194"/>
        <v/>
      </c>
      <c r="AI198" s="2"/>
    </row>
    <row r="199" spans="2:35" x14ac:dyDescent="0.25">
      <c r="B199" s="2" t="str">
        <f t="shared" si="218"/>
        <v>@color-raceway_line_paved_or_uk</v>
      </c>
      <c r="C199" s="26" t="s">
        <v>218</v>
      </c>
      <c r="D199" s="38" t="str">
        <f>C199</f>
        <v>"#ffffff"</v>
      </c>
      <c r="F199" s="46" t="s">
        <v>218</v>
      </c>
      <c r="G199" s="38" t="str">
        <f t="shared" si="231"/>
        <v>"#ffffff"</v>
      </c>
      <c r="I199" s="38" t="str">
        <f>C199</f>
        <v>"#ffffff"</v>
      </c>
      <c r="J199" s="38" t="str">
        <f>C199</f>
        <v>"#ffffff"</v>
      </c>
      <c r="L199" s="46" t="s">
        <v>218</v>
      </c>
      <c r="M199" s="38" t="str">
        <f t="shared" si="232"/>
        <v>"#ffffff"</v>
      </c>
      <c r="U199" s="26" t="s">
        <v>218</v>
      </c>
      <c r="V199" s="38" t="str">
        <f>U199</f>
        <v>"#ffffff"</v>
      </c>
      <c r="X199" s="46" t="s">
        <v>218</v>
      </c>
      <c r="Y199" s="38" t="str">
        <f t="shared" ref="Y199" si="234">X199</f>
        <v>"#ffffff"</v>
      </c>
      <c r="AA199" s="2" t="s">
        <v>6</v>
      </c>
      <c r="AB199" s="2" t="str">
        <f t="shared" si="176"/>
        <v>-</v>
      </c>
      <c r="AC199" s="2" t="s">
        <v>28</v>
      </c>
      <c r="AD199" s="2" t="str">
        <f t="shared" si="183"/>
        <v>_</v>
      </c>
      <c r="AE199" s="2" t="s">
        <v>13</v>
      </c>
      <c r="AF199" s="2" t="str">
        <f t="shared" si="184"/>
        <v>_</v>
      </c>
      <c r="AG199" s="2" t="s">
        <v>24</v>
      </c>
      <c r="AH199" s="2" t="str">
        <f t="shared" si="194"/>
        <v/>
      </c>
      <c r="AI199" s="2"/>
    </row>
    <row r="200" spans="2:35" x14ac:dyDescent="0.25">
      <c r="B200" s="2"/>
      <c r="C200" s="26"/>
      <c r="F200" s="26"/>
      <c r="L200" s="26"/>
      <c r="U200" s="26"/>
      <c r="X200" s="26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2:35" x14ac:dyDescent="0.25">
      <c r="B201" s="2" t="str">
        <f t="shared" ref="B201:B204" si="235">_xlfn.CONCAT("@",AA201,AB201,AC201,AD201,AE201,AF201,AG201,AH201,AI201)</f>
        <v>@dasharray-raceway_case_medium_dash</v>
      </c>
      <c r="C201" s="28" t="s">
        <v>327</v>
      </c>
      <c r="D201" s="28" t="s">
        <v>327</v>
      </c>
      <c r="F201" s="28" t="s">
        <v>327</v>
      </c>
      <c r="G201" s="28" t="s">
        <v>327</v>
      </c>
      <c r="I201" s="28" t="s">
        <v>127</v>
      </c>
      <c r="J201" s="28" t="s">
        <v>127</v>
      </c>
      <c r="L201" s="28" t="s">
        <v>127</v>
      </c>
      <c r="M201" s="28" t="s">
        <v>127</v>
      </c>
      <c r="U201" s="28" t="s">
        <v>327</v>
      </c>
      <c r="V201" s="28" t="s">
        <v>327</v>
      </c>
      <c r="X201" s="28" t="s">
        <v>327</v>
      </c>
      <c r="Y201" s="28" t="s">
        <v>327</v>
      </c>
      <c r="AA201" s="2" t="s">
        <v>371</v>
      </c>
      <c r="AB201" s="2" t="str">
        <f t="shared" ref="AB201:AB204" si="236">IF(NOT(ISBLANK(AC201)),"-","")</f>
        <v>-</v>
      </c>
      <c r="AC201" s="2" t="s">
        <v>28</v>
      </c>
      <c r="AD201" s="2" t="str">
        <f t="shared" ref="AD201:AD204" si="237">IF(NOT(ISBLANK(AE201)),"_","")</f>
        <v>_</v>
      </c>
      <c r="AE201" s="2" t="s">
        <v>17</v>
      </c>
      <c r="AF201" s="2" t="str">
        <f t="shared" ref="AF201:AF204" si="238">IF(NOT(ISBLANK(AG201)),"_","")</f>
        <v>_</v>
      </c>
      <c r="AG201" s="2" t="s">
        <v>75</v>
      </c>
      <c r="AH201" s="2" t="str">
        <f t="shared" ref="AH201:AH204" si="239">IF(NOT(ISBLANK(AI201)),"_","")</f>
        <v>_</v>
      </c>
      <c r="AI201" s="2" t="s">
        <v>373</v>
      </c>
    </row>
    <row r="202" spans="2:35" x14ac:dyDescent="0.25">
      <c r="B202" s="2" t="str">
        <f t="shared" si="235"/>
        <v>@dasharray-raceway_case_medium_gap</v>
      </c>
      <c r="C202" s="28" t="s">
        <v>375</v>
      </c>
      <c r="D202" s="28" t="s">
        <v>375</v>
      </c>
      <c r="F202" s="28" t="s">
        <v>375</v>
      </c>
      <c r="G202" s="28" t="s">
        <v>375</v>
      </c>
      <c r="I202" s="28" t="s">
        <v>94</v>
      </c>
      <c r="J202" s="28" t="s">
        <v>94</v>
      </c>
      <c r="L202" s="28" t="s">
        <v>94</v>
      </c>
      <c r="M202" s="28" t="s">
        <v>94</v>
      </c>
      <c r="U202" s="28" t="s">
        <v>375</v>
      </c>
      <c r="V202" s="28" t="s">
        <v>375</v>
      </c>
      <c r="X202" s="28" t="s">
        <v>375</v>
      </c>
      <c r="Y202" s="28" t="s">
        <v>375</v>
      </c>
      <c r="AA202" s="2" t="s">
        <v>371</v>
      </c>
      <c r="AB202" s="2" t="str">
        <f t="shared" si="236"/>
        <v>-</v>
      </c>
      <c r="AC202" s="2" t="s">
        <v>28</v>
      </c>
      <c r="AD202" s="2" t="str">
        <f t="shared" si="237"/>
        <v>_</v>
      </c>
      <c r="AE202" s="2" t="s">
        <v>17</v>
      </c>
      <c r="AF202" s="2" t="str">
        <f t="shared" si="238"/>
        <v>_</v>
      </c>
      <c r="AG202" s="2" t="s">
        <v>75</v>
      </c>
      <c r="AH202" s="2" t="str">
        <f t="shared" si="239"/>
        <v>_</v>
      </c>
      <c r="AI202" s="2" t="s">
        <v>374</v>
      </c>
    </row>
    <row r="203" spans="2:35" x14ac:dyDescent="0.25">
      <c r="B203" s="2" t="str">
        <f t="shared" si="235"/>
        <v>@dasharray-raceway_case_rough_dash</v>
      </c>
      <c r="C203" s="28" t="s">
        <v>327</v>
      </c>
      <c r="D203" s="28" t="s">
        <v>327</v>
      </c>
      <c r="F203" s="28" t="s">
        <v>327</v>
      </c>
      <c r="G203" s="28" t="s">
        <v>327</v>
      </c>
      <c r="I203" s="28" t="s">
        <v>92</v>
      </c>
      <c r="J203" s="28" t="s">
        <v>92</v>
      </c>
      <c r="L203" s="28" t="s">
        <v>92</v>
      </c>
      <c r="M203" s="28" t="s">
        <v>92</v>
      </c>
      <c r="U203" s="28" t="s">
        <v>327</v>
      </c>
      <c r="V203" s="28" t="s">
        <v>327</v>
      </c>
      <c r="X203" s="28" t="s">
        <v>327</v>
      </c>
      <c r="Y203" s="28" t="s">
        <v>327</v>
      </c>
      <c r="AA203" s="2" t="s">
        <v>371</v>
      </c>
      <c r="AB203" s="2" t="str">
        <f t="shared" si="236"/>
        <v>-</v>
      </c>
      <c r="AC203" s="2" t="s">
        <v>28</v>
      </c>
      <c r="AD203" s="2" t="str">
        <f t="shared" si="237"/>
        <v>_</v>
      </c>
      <c r="AE203" s="2" t="s">
        <v>17</v>
      </c>
      <c r="AF203" s="2" t="str">
        <f t="shared" si="238"/>
        <v>_</v>
      </c>
      <c r="AG203" s="2" t="s">
        <v>372</v>
      </c>
      <c r="AH203" s="2" t="str">
        <f t="shared" si="239"/>
        <v>_</v>
      </c>
      <c r="AI203" s="2" t="s">
        <v>373</v>
      </c>
    </row>
    <row r="204" spans="2:35" x14ac:dyDescent="0.25">
      <c r="B204" s="2" t="str">
        <f t="shared" si="235"/>
        <v>@dasharray-raceway_case_rough_gap</v>
      </c>
      <c r="C204" s="28" t="s">
        <v>375</v>
      </c>
      <c r="D204" s="28" t="s">
        <v>375</v>
      </c>
      <c r="F204" s="28" t="s">
        <v>375</v>
      </c>
      <c r="G204" s="28" t="s">
        <v>375</v>
      </c>
      <c r="I204" s="28" t="s">
        <v>94</v>
      </c>
      <c r="J204" s="28" t="s">
        <v>94</v>
      </c>
      <c r="L204" s="28" t="s">
        <v>94</v>
      </c>
      <c r="M204" s="28" t="s">
        <v>94</v>
      </c>
      <c r="U204" s="28" t="s">
        <v>375</v>
      </c>
      <c r="V204" s="28" t="s">
        <v>375</v>
      </c>
      <c r="X204" s="28" t="s">
        <v>375</v>
      </c>
      <c r="Y204" s="28" t="s">
        <v>375</v>
      </c>
      <c r="AA204" s="2" t="s">
        <v>371</v>
      </c>
      <c r="AB204" s="2" t="str">
        <f t="shared" si="236"/>
        <v>-</v>
      </c>
      <c r="AC204" s="2" t="s">
        <v>28</v>
      </c>
      <c r="AD204" s="2" t="str">
        <f t="shared" si="237"/>
        <v>_</v>
      </c>
      <c r="AE204" s="2" t="s">
        <v>17</v>
      </c>
      <c r="AF204" s="2" t="str">
        <f t="shared" si="238"/>
        <v>_</v>
      </c>
      <c r="AG204" s="2" t="s">
        <v>372</v>
      </c>
      <c r="AH204" s="2" t="str">
        <f t="shared" si="239"/>
        <v>_</v>
      </c>
      <c r="AI204" s="2" t="s">
        <v>374</v>
      </c>
    </row>
    <row r="205" spans="2:35" x14ac:dyDescent="0.25">
      <c r="B205" s="2"/>
      <c r="C205" s="26"/>
      <c r="F205" s="26"/>
      <c r="L205" s="26"/>
      <c r="U205" s="26"/>
      <c r="X205" s="26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2:35" x14ac:dyDescent="0.25">
      <c r="B206" s="2"/>
      <c r="AB206" s="28" t="str">
        <f t="shared" si="176"/>
        <v/>
      </c>
      <c r="AD206" s="28" t="str">
        <f t="shared" si="183"/>
        <v/>
      </c>
      <c r="AF206" s="28" t="str">
        <f t="shared" si="184"/>
        <v/>
      </c>
      <c r="AH206" s="28" t="str">
        <f t="shared" si="194"/>
        <v/>
      </c>
    </row>
    <row r="207" spans="2:35" x14ac:dyDescent="0.25">
      <c r="B207" s="2" t="str">
        <f t="shared" ref="B207:B212" si="240">_xlfn.CONCAT("@",AA207,AB207,AC207,AD207,AE207,AF207,AG207,AH207,AI207)</f>
        <v>@color-driveway_case_unpaved_farzoom</v>
      </c>
      <c r="C207" s="75" t="s">
        <v>221</v>
      </c>
      <c r="D207" s="76" t="s">
        <v>223</v>
      </c>
      <c r="F207" s="76" t="s">
        <v>223</v>
      </c>
      <c r="G207" s="75" t="s">
        <v>221</v>
      </c>
      <c r="I207" s="92" t="str">
        <f t="shared" ref="I207:J210" si="241">C207</f>
        <v>"#b99346"</v>
      </c>
      <c r="J207" s="87" t="str">
        <f t="shared" si="241"/>
        <v>"#644507"</v>
      </c>
      <c r="L207" s="76" t="s">
        <v>223</v>
      </c>
      <c r="M207" s="75" t="s">
        <v>221</v>
      </c>
      <c r="U207" s="78" t="s">
        <v>222</v>
      </c>
      <c r="V207" s="47" t="s">
        <v>210</v>
      </c>
      <c r="X207" s="78" t="s">
        <v>222</v>
      </c>
      <c r="Y207" s="78" t="s">
        <v>222</v>
      </c>
      <c r="AA207" s="2" t="s">
        <v>6</v>
      </c>
      <c r="AB207" s="2" t="str">
        <f t="shared" si="176"/>
        <v>-</v>
      </c>
      <c r="AC207" s="2" t="s">
        <v>29</v>
      </c>
      <c r="AD207" s="2" t="str">
        <f t="shared" si="183"/>
        <v>_</v>
      </c>
      <c r="AE207" s="2" t="s">
        <v>17</v>
      </c>
      <c r="AF207" s="2" t="str">
        <f t="shared" si="184"/>
        <v>_</v>
      </c>
      <c r="AG207" s="2" t="s">
        <v>21</v>
      </c>
      <c r="AH207" s="2" t="str">
        <f t="shared" si="194"/>
        <v>_</v>
      </c>
      <c r="AI207" s="28" t="s">
        <v>20</v>
      </c>
    </row>
    <row r="208" spans="2:35" x14ac:dyDescent="0.25">
      <c r="B208" s="2" t="str">
        <f t="shared" si="240"/>
        <v>@color-driveway_case_unpaved_default</v>
      </c>
      <c r="C208" s="76" t="s">
        <v>223</v>
      </c>
      <c r="D208" s="76" t="s">
        <v>223</v>
      </c>
      <c r="F208" s="47" t="s">
        <v>210</v>
      </c>
      <c r="G208" s="47" t="s">
        <v>210</v>
      </c>
      <c r="I208" s="87" t="str">
        <f t="shared" si="241"/>
        <v>"#644507"</v>
      </c>
      <c r="J208" s="87" t="str">
        <f t="shared" si="241"/>
        <v>"#644507"</v>
      </c>
      <c r="L208" s="47" t="s">
        <v>210</v>
      </c>
      <c r="M208" s="47" t="s">
        <v>210</v>
      </c>
      <c r="U208" s="79" t="s">
        <v>214</v>
      </c>
      <c r="V208" s="47" t="s">
        <v>210</v>
      </c>
      <c r="X208" s="47" t="s">
        <v>210</v>
      </c>
      <c r="Y208" s="47" t="s">
        <v>210</v>
      </c>
      <c r="AA208" s="2" t="s">
        <v>6</v>
      </c>
      <c r="AB208" s="2" t="str">
        <f t="shared" si="176"/>
        <v>-</v>
      </c>
      <c r="AC208" s="2" t="s">
        <v>29</v>
      </c>
      <c r="AD208" s="2" t="str">
        <f t="shared" si="183"/>
        <v>_</v>
      </c>
      <c r="AE208" s="2" t="s">
        <v>17</v>
      </c>
      <c r="AF208" s="2" t="str">
        <f t="shared" si="184"/>
        <v>_</v>
      </c>
      <c r="AG208" s="2" t="s">
        <v>21</v>
      </c>
      <c r="AH208" s="2" t="str">
        <f t="shared" si="194"/>
        <v>_</v>
      </c>
      <c r="AI208" s="2" t="s">
        <v>255</v>
      </c>
    </row>
    <row r="209" spans="2:35" x14ac:dyDescent="0.25">
      <c r="B209" s="2" t="str">
        <f t="shared" si="240"/>
        <v>@color-driveway_case_paved_or_uk_farzoom</v>
      </c>
      <c r="C209" s="78" t="s">
        <v>222</v>
      </c>
      <c r="D209" s="47" t="s">
        <v>210</v>
      </c>
      <c r="F209" s="78" t="s">
        <v>222</v>
      </c>
      <c r="G209" s="78" t="s">
        <v>222</v>
      </c>
      <c r="I209" s="93" t="str">
        <f t="shared" si="241"/>
        <v>"#808080"</v>
      </c>
      <c r="J209" s="37" t="str">
        <f t="shared" si="241"/>
        <v>"#000000"</v>
      </c>
      <c r="L209" s="78" t="s">
        <v>222</v>
      </c>
      <c r="M209" s="78" t="s">
        <v>222</v>
      </c>
      <c r="U209" s="78" t="s">
        <v>222</v>
      </c>
      <c r="V209" s="47" t="s">
        <v>210</v>
      </c>
      <c r="X209" s="78" t="s">
        <v>222</v>
      </c>
      <c r="Y209" s="78" t="s">
        <v>222</v>
      </c>
      <c r="AA209" s="2" t="s">
        <v>6</v>
      </c>
      <c r="AB209" s="2" t="str">
        <f t="shared" si="176"/>
        <v>-</v>
      </c>
      <c r="AC209" s="2" t="s">
        <v>29</v>
      </c>
      <c r="AD209" s="2" t="str">
        <f t="shared" si="183"/>
        <v>_</v>
      </c>
      <c r="AE209" s="2" t="s">
        <v>17</v>
      </c>
      <c r="AF209" s="2" t="str">
        <f t="shared" si="184"/>
        <v>_</v>
      </c>
      <c r="AG209" s="2" t="s">
        <v>24</v>
      </c>
      <c r="AH209" s="2" t="str">
        <f t="shared" si="194"/>
        <v>_</v>
      </c>
      <c r="AI209" s="28" t="s">
        <v>20</v>
      </c>
    </row>
    <row r="210" spans="2:35" x14ac:dyDescent="0.25">
      <c r="B210" s="2" t="str">
        <f t="shared" si="240"/>
        <v>@color-driveway_case_paved_or_uk_default</v>
      </c>
      <c r="C210" s="79" t="s">
        <v>214</v>
      </c>
      <c r="D210" s="47" t="s">
        <v>210</v>
      </c>
      <c r="F210" s="47" t="s">
        <v>210</v>
      </c>
      <c r="G210" s="47" t="s">
        <v>210</v>
      </c>
      <c r="I210" s="94" t="str">
        <f t="shared" si="241"/>
        <v>"#404040"</v>
      </c>
      <c r="J210" s="37" t="str">
        <f t="shared" si="241"/>
        <v>"#000000"</v>
      </c>
      <c r="L210" s="47" t="s">
        <v>210</v>
      </c>
      <c r="M210" s="47" t="s">
        <v>210</v>
      </c>
      <c r="Q210" s="7"/>
      <c r="U210" s="79" t="s">
        <v>214</v>
      </c>
      <c r="V210" s="47" t="s">
        <v>210</v>
      </c>
      <c r="X210" s="47" t="s">
        <v>210</v>
      </c>
      <c r="Y210" s="47" t="s">
        <v>210</v>
      </c>
      <c r="AA210" s="2" t="s">
        <v>6</v>
      </c>
      <c r="AB210" s="2" t="str">
        <f t="shared" si="176"/>
        <v>-</v>
      </c>
      <c r="AC210" s="2" t="s">
        <v>29</v>
      </c>
      <c r="AD210" s="2" t="str">
        <f t="shared" si="183"/>
        <v>_</v>
      </c>
      <c r="AE210" s="2" t="s">
        <v>17</v>
      </c>
      <c r="AF210" s="2" t="str">
        <f t="shared" si="184"/>
        <v>_</v>
      </c>
      <c r="AG210" s="2" t="s">
        <v>24</v>
      </c>
      <c r="AH210" s="2" t="str">
        <f t="shared" si="194"/>
        <v>_</v>
      </c>
      <c r="AI210" s="2" t="s">
        <v>255</v>
      </c>
    </row>
    <row r="211" spans="2:35" x14ac:dyDescent="0.25">
      <c r="B211" s="2" t="str">
        <f t="shared" si="240"/>
        <v>@color-driveway_line_unpaved</v>
      </c>
      <c r="C211" s="80" t="s">
        <v>217</v>
      </c>
      <c r="D211" s="38" t="str">
        <f t="shared" ref="D211:D212" si="242">C211</f>
        <v>"#eddfca"</v>
      </c>
      <c r="F211" s="80" t="s">
        <v>217</v>
      </c>
      <c r="G211" s="38" t="str">
        <f t="shared" ref="G211:G212" si="243">F211</f>
        <v>"#eddfca"</v>
      </c>
      <c r="I211" s="80" t="s">
        <v>217</v>
      </c>
      <c r="J211" s="38" t="str">
        <f t="shared" ref="J211:J212" si="244">I211</f>
        <v>"#eddfca"</v>
      </c>
      <c r="L211" s="80" t="s">
        <v>217</v>
      </c>
      <c r="M211" s="38" t="str">
        <f t="shared" ref="M211:M212" si="245">L211</f>
        <v>"#eddfca"</v>
      </c>
      <c r="U211" s="46" t="s">
        <v>218</v>
      </c>
      <c r="V211" s="38" t="str">
        <f t="shared" ref="V211" si="246">U211</f>
        <v>"#ffffff"</v>
      </c>
      <c r="X211" s="46" t="s">
        <v>218</v>
      </c>
      <c r="Y211" s="38" t="str">
        <f t="shared" ref="Y211" si="247">X211</f>
        <v>"#ffffff"</v>
      </c>
      <c r="AA211" s="2" t="s">
        <v>6</v>
      </c>
      <c r="AB211" s="2" t="str">
        <f t="shared" si="176"/>
        <v>-</v>
      </c>
      <c r="AC211" s="2" t="s">
        <v>29</v>
      </c>
      <c r="AD211" s="2" t="str">
        <f t="shared" si="183"/>
        <v>_</v>
      </c>
      <c r="AE211" s="2" t="s">
        <v>13</v>
      </c>
      <c r="AF211" s="2" t="str">
        <f t="shared" si="184"/>
        <v>_</v>
      </c>
      <c r="AG211" s="2" t="s">
        <v>21</v>
      </c>
      <c r="AH211" s="2" t="str">
        <f t="shared" si="194"/>
        <v/>
      </c>
      <c r="AI211" s="2"/>
    </row>
    <row r="212" spans="2:35" x14ac:dyDescent="0.25">
      <c r="B212" s="2" t="str">
        <f t="shared" si="240"/>
        <v>@color-driveway_line_paved_or_uk</v>
      </c>
      <c r="C212" s="46" t="s">
        <v>218</v>
      </c>
      <c r="D212" s="38" t="str">
        <f t="shared" si="242"/>
        <v>"#ffffff"</v>
      </c>
      <c r="F212" s="46" t="s">
        <v>218</v>
      </c>
      <c r="G212" s="38" t="str">
        <f t="shared" si="243"/>
        <v>"#ffffff"</v>
      </c>
      <c r="I212" s="46" t="s">
        <v>218</v>
      </c>
      <c r="J212" s="38" t="str">
        <f t="shared" si="244"/>
        <v>"#ffffff"</v>
      </c>
      <c r="L212" s="46" t="s">
        <v>218</v>
      </c>
      <c r="M212" s="38" t="str">
        <f t="shared" si="245"/>
        <v>"#ffffff"</v>
      </c>
      <c r="U212" s="46" t="s">
        <v>218</v>
      </c>
      <c r="V212" s="38" t="str">
        <f t="shared" ref="V212" si="248">U212</f>
        <v>"#ffffff"</v>
      </c>
      <c r="X212" s="46" t="s">
        <v>218</v>
      </c>
      <c r="Y212" s="38" t="str">
        <f t="shared" ref="Y212" si="249">X212</f>
        <v>"#ffffff"</v>
      </c>
      <c r="AA212" s="2" t="s">
        <v>6</v>
      </c>
      <c r="AB212" s="2" t="str">
        <f t="shared" si="176"/>
        <v>-</v>
      </c>
      <c r="AC212" s="2" t="s">
        <v>29</v>
      </c>
      <c r="AD212" s="2" t="str">
        <f t="shared" si="183"/>
        <v>_</v>
      </c>
      <c r="AE212" s="2" t="s">
        <v>13</v>
      </c>
      <c r="AF212" s="2" t="str">
        <f t="shared" si="184"/>
        <v>_</v>
      </c>
      <c r="AG212" s="2" t="s">
        <v>24</v>
      </c>
      <c r="AH212" s="2" t="str">
        <f t="shared" si="194"/>
        <v/>
      </c>
      <c r="AI212" s="2"/>
    </row>
    <row r="213" spans="2:35" x14ac:dyDescent="0.25">
      <c r="B213" s="2"/>
      <c r="C213" s="26"/>
      <c r="F213" s="26"/>
      <c r="L213" s="26"/>
      <c r="U213" s="26"/>
      <c r="X213" s="26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2:35" x14ac:dyDescent="0.25">
      <c r="B214" s="2" t="str">
        <f t="shared" ref="B214:B217" si="250">_xlfn.CONCAT("@",AA214,AB214,AC214,AD214,AE214,AF214,AG214,AH214,AI214)</f>
        <v>@dasharray-driveway_case_medium_dash</v>
      </c>
      <c r="C214" s="28" t="s">
        <v>327</v>
      </c>
      <c r="D214" s="28" t="s">
        <v>327</v>
      </c>
      <c r="F214" s="28" t="s">
        <v>327</v>
      </c>
      <c r="G214" s="28" t="s">
        <v>327</v>
      </c>
      <c r="I214" s="28" t="s">
        <v>127</v>
      </c>
      <c r="J214" s="28" t="s">
        <v>127</v>
      </c>
      <c r="L214" s="28" t="s">
        <v>127</v>
      </c>
      <c r="M214" s="28" t="s">
        <v>127</v>
      </c>
      <c r="U214" s="28" t="s">
        <v>327</v>
      </c>
      <c r="V214" s="28" t="s">
        <v>327</v>
      </c>
      <c r="X214" s="28" t="s">
        <v>327</v>
      </c>
      <c r="Y214" s="28" t="s">
        <v>327</v>
      </c>
      <c r="AA214" s="2" t="s">
        <v>371</v>
      </c>
      <c r="AB214" s="2" t="str">
        <f t="shared" ref="AB214:AB217" si="251">IF(NOT(ISBLANK(AC214)),"-","")</f>
        <v>-</v>
      </c>
      <c r="AC214" s="2" t="s">
        <v>29</v>
      </c>
      <c r="AD214" s="2" t="str">
        <f t="shared" ref="AD214:AD217" si="252">IF(NOT(ISBLANK(AE214)),"_","")</f>
        <v>_</v>
      </c>
      <c r="AE214" s="2" t="s">
        <v>17</v>
      </c>
      <c r="AF214" s="2" t="str">
        <f t="shared" ref="AF214:AF217" si="253">IF(NOT(ISBLANK(AG214)),"_","")</f>
        <v>_</v>
      </c>
      <c r="AG214" s="2" t="s">
        <v>75</v>
      </c>
      <c r="AH214" s="2" t="str">
        <f t="shared" ref="AH214:AH217" si="254">IF(NOT(ISBLANK(AI214)),"_","")</f>
        <v>_</v>
      </c>
      <c r="AI214" s="2" t="s">
        <v>373</v>
      </c>
    </row>
    <row r="215" spans="2:35" x14ac:dyDescent="0.25">
      <c r="B215" s="2" t="str">
        <f t="shared" si="250"/>
        <v>@dasharray-driveway_case_medium_gap</v>
      </c>
      <c r="C215" s="28" t="s">
        <v>375</v>
      </c>
      <c r="D215" s="28" t="s">
        <v>375</v>
      </c>
      <c r="F215" s="28" t="s">
        <v>375</v>
      </c>
      <c r="G215" s="28" t="s">
        <v>375</v>
      </c>
      <c r="I215" s="28" t="s">
        <v>94</v>
      </c>
      <c r="J215" s="28" t="s">
        <v>94</v>
      </c>
      <c r="L215" s="28" t="s">
        <v>94</v>
      </c>
      <c r="M215" s="28" t="s">
        <v>94</v>
      </c>
      <c r="U215" s="28" t="s">
        <v>375</v>
      </c>
      <c r="V215" s="28" t="s">
        <v>375</v>
      </c>
      <c r="X215" s="28" t="s">
        <v>375</v>
      </c>
      <c r="Y215" s="28" t="s">
        <v>375</v>
      </c>
      <c r="AA215" s="2" t="s">
        <v>371</v>
      </c>
      <c r="AB215" s="2" t="str">
        <f t="shared" si="251"/>
        <v>-</v>
      </c>
      <c r="AC215" s="2" t="s">
        <v>29</v>
      </c>
      <c r="AD215" s="2" t="str">
        <f t="shared" si="252"/>
        <v>_</v>
      </c>
      <c r="AE215" s="2" t="s">
        <v>17</v>
      </c>
      <c r="AF215" s="2" t="str">
        <f t="shared" si="253"/>
        <v>_</v>
      </c>
      <c r="AG215" s="2" t="s">
        <v>75</v>
      </c>
      <c r="AH215" s="2" t="str">
        <f t="shared" si="254"/>
        <v>_</v>
      </c>
      <c r="AI215" s="2" t="s">
        <v>374</v>
      </c>
    </row>
    <row r="216" spans="2:35" x14ac:dyDescent="0.25">
      <c r="B216" s="2" t="str">
        <f t="shared" si="250"/>
        <v>@dasharray-driveway_case_rough_dash</v>
      </c>
      <c r="C216" s="28" t="s">
        <v>327</v>
      </c>
      <c r="D216" s="28" t="s">
        <v>327</v>
      </c>
      <c r="F216" s="28" t="s">
        <v>327</v>
      </c>
      <c r="G216" s="28" t="s">
        <v>327</v>
      </c>
      <c r="I216" s="28" t="s">
        <v>92</v>
      </c>
      <c r="J216" s="28" t="s">
        <v>92</v>
      </c>
      <c r="L216" s="28" t="s">
        <v>92</v>
      </c>
      <c r="M216" s="28" t="s">
        <v>92</v>
      </c>
      <c r="U216" s="28" t="s">
        <v>327</v>
      </c>
      <c r="V216" s="28" t="s">
        <v>327</v>
      </c>
      <c r="X216" s="28" t="s">
        <v>327</v>
      </c>
      <c r="Y216" s="28" t="s">
        <v>327</v>
      </c>
      <c r="AA216" s="2" t="s">
        <v>371</v>
      </c>
      <c r="AB216" s="2" t="str">
        <f t="shared" si="251"/>
        <v>-</v>
      </c>
      <c r="AC216" s="2" t="s">
        <v>29</v>
      </c>
      <c r="AD216" s="2" t="str">
        <f t="shared" si="252"/>
        <v>_</v>
      </c>
      <c r="AE216" s="2" t="s">
        <v>17</v>
      </c>
      <c r="AF216" s="2" t="str">
        <f t="shared" si="253"/>
        <v>_</v>
      </c>
      <c r="AG216" s="2" t="s">
        <v>372</v>
      </c>
      <c r="AH216" s="2" t="str">
        <f t="shared" si="254"/>
        <v>_</v>
      </c>
      <c r="AI216" s="2" t="s">
        <v>373</v>
      </c>
    </row>
    <row r="217" spans="2:35" x14ac:dyDescent="0.25">
      <c r="B217" s="2" t="str">
        <f t="shared" si="250"/>
        <v>@dasharray-driveway_case_rough_gap</v>
      </c>
      <c r="C217" s="28" t="s">
        <v>375</v>
      </c>
      <c r="D217" s="28" t="s">
        <v>375</v>
      </c>
      <c r="F217" s="28" t="s">
        <v>375</v>
      </c>
      <c r="G217" s="28" t="s">
        <v>375</v>
      </c>
      <c r="I217" s="28" t="s">
        <v>94</v>
      </c>
      <c r="J217" s="28" t="s">
        <v>94</v>
      </c>
      <c r="L217" s="28" t="s">
        <v>94</v>
      </c>
      <c r="M217" s="28" t="s">
        <v>94</v>
      </c>
      <c r="U217" s="28" t="s">
        <v>375</v>
      </c>
      <c r="V217" s="28" t="s">
        <v>375</v>
      </c>
      <c r="X217" s="28" t="s">
        <v>375</v>
      </c>
      <c r="Y217" s="28" t="s">
        <v>375</v>
      </c>
      <c r="AA217" s="2" t="s">
        <v>371</v>
      </c>
      <c r="AB217" s="2" t="str">
        <f t="shared" si="251"/>
        <v>-</v>
      </c>
      <c r="AC217" s="2" t="s">
        <v>29</v>
      </c>
      <c r="AD217" s="2" t="str">
        <f t="shared" si="252"/>
        <v>_</v>
      </c>
      <c r="AE217" s="2" t="s">
        <v>17</v>
      </c>
      <c r="AF217" s="2" t="str">
        <f t="shared" si="253"/>
        <v>_</v>
      </c>
      <c r="AG217" s="2" t="s">
        <v>372</v>
      </c>
      <c r="AH217" s="2" t="str">
        <f t="shared" si="254"/>
        <v>_</v>
      </c>
      <c r="AI217" s="2" t="s">
        <v>374</v>
      </c>
    </row>
    <row r="218" spans="2:35" x14ac:dyDescent="0.25">
      <c r="B218" s="2"/>
      <c r="C218" s="26"/>
      <c r="F218" s="26"/>
      <c r="I218" s="26"/>
      <c r="J218" s="26"/>
      <c r="L218" s="26"/>
      <c r="M218" s="26"/>
      <c r="U218" s="26"/>
      <c r="X218" s="26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2:35" x14ac:dyDescent="0.25">
      <c r="B219" s="2"/>
      <c r="AB219" s="28" t="str">
        <f t="shared" ref="AB219:AB238" si="255">IF(NOT(ISBLANK(AC219)),"-","")</f>
        <v/>
      </c>
      <c r="AD219" s="28" t="str">
        <f t="shared" ref="AD219:AD238" si="256">IF(NOT(ISBLANK(AE219)),"_","")</f>
        <v/>
      </c>
      <c r="AF219" s="28" t="str">
        <f t="shared" ref="AF219:AF238" si="257">IF(NOT(ISBLANK(AG219)),"_","")</f>
        <v/>
      </c>
      <c r="AH219" s="28" t="str">
        <f t="shared" si="194"/>
        <v/>
      </c>
    </row>
    <row r="220" spans="2:35" x14ac:dyDescent="0.25">
      <c r="B220" s="2" t="str">
        <f t="shared" ref="B220:B225" si="258">_xlfn.CONCAT("@",AA220,AB220,AC220,AD220,AE220,AF220,AG220,AH220,AI220)</f>
        <v>@color-busway_case_unpaved_farzoom</v>
      </c>
      <c r="C220" s="75" t="s">
        <v>221</v>
      </c>
      <c r="D220" s="76" t="s">
        <v>223</v>
      </c>
      <c r="F220" s="76" t="s">
        <v>223</v>
      </c>
      <c r="G220" s="75" t="s">
        <v>221</v>
      </c>
      <c r="I220" s="92" t="str">
        <f t="shared" ref="I220:I223" si="259">C220</f>
        <v>"#b99346"</v>
      </c>
      <c r="J220" s="87" t="str">
        <f t="shared" ref="J220:J223" si="260">D220</f>
        <v>"#644507"</v>
      </c>
      <c r="L220" s="76" t="s">
        <v>223</v>
      </c>
      <c r="M220" s="75" t="s">
        <v>221</v>
      </c>
      <c r="U220" s="78" t="s">
        <v>222</v>
      </c>
      <c r="V220" s="47" t="s">
        <v>210</v>
      </c>
      <c r="X220" s="78" t="s">
        <v>222</v>
      </c>
      <c r="Y220" s="78" t="s">
        <v>222</v>
      </c>
      <c r="AA220" s="2" t="s">
        <v>6</v>
      </c>
      <c r="AB220" s="2" t="str">
        <f t="shared" si="255"/>
        <v>-</v>
      </c>
      <c r="AC220" s="2" t="s">
        <v>356</v>
      </c>
      <c r="AD220" s="2" t="str">
        <f t="shared" si="256"/>
        <v>_</v>
      </c>
      <c r="AE220" s="2" t="s">
        <v>17</v>
      </c>
      <c r="AF220" s="2" t="str">
        <f t="shared" si="257"/>
        <v>_</v>
      </c>
      <c r="AG220" s="2" t="s">
        <v>21</v>
      </c>
      <c r="AH220" s="2" t="str">
        <f t="shared" ref="AH220:AH232" si="261">IF(NOT(ISBLANK(AI220)),"_","")</f>
        <v>_</v>
      </c>
      <c r="AI220" s="28" t="s">
        <v>20</v>
      </c>
    </row>
    <row r="221" spans="2:35" x14ac:dyDescent="0.25">
      <c r="B221" s="2" t="str">
        <f t="shared" si="258"/>
        <v>@color-busway_case_unpaved_default</v>
      </c>
      <c r="C221" s="76" t="s">
        <v>223</v>
      </c>
      <c r="D221" s="76" t="s">
        <v>223</v>
      </c>
      <c r="F221" s="47" t="s">
        <v>210</v>
      </c>
      <c r="G221" s="47" t="s">
        <v>210</v>
      </c>
      <c r="I221" s="87" t="str">
        <f t="shared" si="259"/>
        <v>"#644507"</v>
      </c>
      <c r="J221" s="87" t="str">
        <f t="shared" si="260"/>
        <v>"#644507"</v>
      </c>
      <c r="L221" s="47" t="s">
        <v>210</v>
      </c>
      <c r="M221" s="47" t="s">
        <v>210</v>
      </c>
      <c r="U221" s="79" t="s">
        <v>214</v>
      </c>
      <c r="V221" s="47" t="s">
        <v>210</v>
      </c>
      <c r="X221" s="47" t="s">
        <v>210</v>
      </c>
      <c r="Y221" s="47" t="s">
        <v>210</v>
      </c>
      <c r="AA221" s="2" t="s">
        <v>6</v>
      </c>
      <c r="AB221" s="2" t="str">
        <f t="shared" si="255"/>
        <v>-</v>
      </c>
      <c r="AC221" s="2" t="s">
        <v>356</v>
      </c>
      <c r="AD221" s="2" t="str">
        <f t="shared" si="256"/>
        <v>_</v>
      </c>
      <c r="AE221" s="2" t="s">
        <v>17</v>
      </c>
      <c r="AF221" s="2" t="str">
        <f t="shared" si="257"/>
        <v>_</v>
      </c>
      <c r="AG221" s="2" t="s">
        <v>21</v>
      </c>
      <c r="AH221" s="2" t="str">
        <f t="shared" si="261"/>
        <v>_</v>
      </c>
      <c r="AI221" s="2" t="s">
        <v>255</v>
      </c>
    </row>
    <row r="222" spans="2:35" x14ac:dyDescent="0.25">
      <c r="B222" s="2" t="str">
        <f t="shared" si="258"/>
        <v>@color-busway_case_paved_or_uk_farzoom</v>
      </c>
      <c r="C222" s="78" t="s">
        <v>222</v>
      </c>
      <c r="D222" s="47" t="s">
        <v>210</v>
      </c>
      <c r="F222" s="78" t="s">
        <v>222</v>
      </c>
      <c r="G222" s="78" t="s">
        <v>222</v>
      </c>
      <c r="I222" s="93" t="str">
        <f t="shared" si="259"/>
        <v>"#808080"</v>
      </c>
      <c r="J222" s="37" t="str">
        <f t="shared" si="260"/>
        <v>"#000000"</v>
      </c>
      <c r="L222" s="78" t="s">
        <v>222</v>
      </c>
      <c r="M222" s="78" t="s">
        <v>222</v>
      </c>
      <c r="U222" s="78" t="s">
        <v>222</v>
      </c>
      <c r="V222" s="47" t="s">
        <v>210</v>
      </c>
      <c r="X222" s="78" t="s">
        <v>222</v>
      </c>
      <c r="Y222" s="78" t="s">
        <v>222</v>
      </c>
      <c r="AA222" s="2" t="s">
        <v>6</v>
      </c>
      <c r="AB222" s="2" t="str">
        <f t="shared" si="255"/>
        <v>-</v>
      </c>
      <c r="AC222" s="2" t="s">
        <v>356</v>
      </c>
      <c r="AD222" s="2" t="str">
        <f t="shared" si="256"/>
        <v>_</v>
      </c>
      <c r="AE222" s="2" t="s">
        <v>17</v>
      </c>
      <c r="AF222" s="2" t="str">
        <f t="shared" si="257"/>
        <v>_</v>
      </c>
      <c r="AG222" s="2" t="s">
        <v>24</v>
      </c>
      <c r="AH222" s="2" t="str">
        <f t="shared" si="261"/>
        <v>_</v>
      </c>
      <c r="AI222" s="28" t="s">
        <v>20</v>
      </c>
    </row>
    <row r="223" spans="2:35" x14ac:dyDescent="0.25">
      <c r="B223" s="2" t="str">
        <f t="shared" si="258"/>
        <v>@color-busway_case_paved_or_uk_default</v>
      </c>
      <c r="C223" s="79" t="s">
        <v>214</v>
      </c>
      <c r="D223" s="47" t="s">
        <v>210</v>
      </c>
      <c r="F223" s="47" t="s">
        <v>210</v>
      </c>
      <c r="G223" s="47" t="s">
        <v>210</v>
      </c>
      <c r="I223" s="94" t="str">
        <f t="shared" si="259"/>
        <v>"#404040"</v>
      </c>
      <c r="J223" s="37" t="str">
        <f t="shared" si="260"/>
        <v>"#000000"</v>
      </c>
      <c r="L223" s="47" t="s">
        <v>210</v>
      </c>
      <c r="M223" s="47" t="s">
        <v>210</v>
      </c>
      <c r="Q223" s="7"/>
      <c r="U223" s="79" t="s">
        <v>214</v>
      </c>
      <c r="V223" s="47" t="s">
        <v>210</v>
      </c>
      <c r="X223" s="47" t="s">
        <v>210</v>
      </c>
      <c r="Y223" s="47" t="s">
        <v>210</v>
      </c>
      <c r="AA223" s="2" t="s">
        <v>6</v>
      </c>
      <c r="AB223" s="2" t="str">
        <f t="shared" si="255"/>
        <v>-</v>
      </c>
      <c r="AC223" s="2" t="s">
        <v>356</v>
      </c>
      <c r="AD223" s="2" t="str">
        <f t="shared" si="256"/>
        <v>_</v>
      </c>
      <c r="AE223" s="2" t="s">
        <v>17</v>
      </c>
      <c r="AF223" s="2" t="str">
        <f t="shared" si="257"/>
        <v>_</v>
      </c>
      <c r="AG223" s="2" t="s">
        <v>24</v>
      </c>
      <c r="AH223" s="2" t="str">
        <f t="shared" si="261"/>
        <v>_</v>
      </c>
      <c r="AI223" s="2" t="s">
        <v>255</v>
      </c>
    </row>
    <row r="224" spans="2:35" x14ac:dyDescent="0.25">
      <c r="B224" s="2" t="str">
        <f t="shared" si="258"/>
        <v>@color-busway_line_unpaved</v>
      </c>
      <c r="C224" s="80" t="s">
        <v>217</v>
      </c>
      <c r="D224" s="38" t="str">
        <f t="shared" ref="D224:D225" si="262">C224</f>
        <v>"#eddfca"</v>
      </c>
      <c r="F224" s="80" t="s">
        <v>217</v>
      </c>
      <c r="G224" s="38" t="str">
        <f t="shared" ref="G224:G225" si="263">F224</f>
        <v>"#eddfca"</v>
      </c>
      <c r="I224" s="80" t="s">
        <v>217</v>
      </c>
      <c r="J224" s="38" t="str">
        <f t="shared" ref="J224:J225" si="264">I224</f>
        <v>"#eddfca"</v>
      </c>
      <c r="L224" s="80" t="s">
        <v>217</v>
      </c>
      <c r="M224" s="38" t="str">
        <f t="shared" ref="M224:M225" si="265">L224</f>
        <v>"#eddfca"</v>
      </c>
      <c r="U224" s="46" t="s">
        <v>218</v>
      </c>
      <c r="V224" s="38" t="str">
        <f t="shared" ref="V224" si="266">U224</f>
        <v>"#ffffff"</v>
      </c>
      <c r="X224" s="46" t="s">
        <v>218</v>
      </c>
      <c r="Y224" s="38" t="str">
        <f t="shared" ref="Y224" si="267">X224</f>
        <v>"#ffffff"</v>
      </c>
      <c r="AA224" s="2" t="s">
        <v>6</v>
      </c>
      <c r="AB224" s="2" t="str">
        <f t="shared" si="255"/>
        <v>-</v>
      </c>
      <c r="AC224" s="2" t="s">
        <v>356</v>
      </c>
      <c r="AD224" s="2" t="str">
        <f t="shared" si="256"/>
        <v>_</v>
      </c>
      <c r="AE224" s="2" t="s">
        <v>13</v>
      </c>
      <c r="AF224" s="2" t="str">
        <f t="shared" si="257"/>
        <v>_</v>
      </c>
      <c r="AG224" s="2" t="s">
        <v>21</v>
      </c>
      <c r="AH224" s="2" t="str">
        <f t="shared" si="261"/>
        <v/>
      </c>
      <c r="AI224" s="2"/>
    </row>
    <row r="225" spans="2:35" x14ac:dyDescent="0.25">
      <c r="B225" s="2" t="str">
        <f t="shared" si="258"/>
        <v>@color-busway_line_paved_or_uk</v>
      </c>
      <c r="C225" s="46" t="s">
        <v>218</v>
      </c>
      <c r="D225" s="38" t="str">
        <f t="shared" si="262"/>
        <v>"#ffffff"</v>
      </c>
      <c r="F225" s="46" t="s">
        <v>218</v>
      </c>
      <c r="G225" s="38" t="str">
        <f t="shared" si="263"/>
        <v>"#ffffff"</v>
      </c>
      <c r="I225" s="46" t="s">
        <v>218</v>
      </c>
      <c r="J225" s="38" t="str">
        <f t="shared" si="264"/>
        <v>"#ffffff"</v>
      </c>
      <c r="L225" s="46" t="s">
        <v>218</v>
      </c>
      <c r="M225" s="38" t="str">
        <f t="shared" si="265"/>
        <v>"#ffffff"</v>
      </c>
      <c r="U225" s="46" t="s">
        <v>218</v>
      </c>
      <c r="V225" s="38" t="str">
        <f t="shared" ref="V225" si="268">U225</f>
        <v>"#ffffff"</v>
      </c>
      <c r="X225" s="46" t="s">
        <v>218</v>
      </c>
      <c r="Y225" s="38" t="str">
        <f t="shared" ref="Y225" si="269">X225</f>
        <v>"#ffffff"</v>
      </c>
      <c r="AA225" s="2" t="s">
        <v>6</v>
      </c>
      <c r="AB225" s="2" t="str">
        <f t="shared" si="255"/>
        <v>-</v>
      </c>
      <c r="AC225" s="2" t="s">
        <v>356</v>
      </c>
      <c r="AD225" s="2" t="str">
        <f t="shared" si="256"/>
        <v>_</v>
      </c>
      <c r="AE225" s="2" t="s">
        <v>13</v>
      </c>
      <c r="AF225" s="2" t="str">
        <f t="shared" si="257"/>
        <v>_</v>
      </c>
      <c r="AG225" s="2" t="s">
        <v>24</v>
      </c>
      <c r="AH225" s="2" t="str">
        <f t="shared" si="261"/>
        <v/>
      </c>
      <c r="AI225" s="2"/>
    </row>
    <row r="226" spans="2:35" x14ac:dyDescent="0.25">
      <c r="B226" s="2"/>
      <c r="C226" s="26"/>
      <c r="F226" s="26"/>
      <c r="L226" s="26"/>
      <c r="U226" s="26"/>
      <c r="X226" s="26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2:35" x14ac:dyDescent="0.25">
      <c r="B227" s="2" t="str">
        <f t="shared" ref="B227:B230" si="270">_xlfn.CONCAT("@",AA227,AB227,AC227,AD227,AE227,AF227,AG227,AH227,AI227)</f>
        <v>@dasharray-busway_case_medium_dash</v>
      </c>
      <c r="C227" s="28" t="s">
        <v>327</v>
      </c>
      <c r="D227" s="28" t="s">
        <v>327</v>
      </c>
      <c r="F227" s="28" t="s">
        <v>327</v>
      </c>
      <c r="G227" s="28" t="s">
        <v>327</v>
      </c>
      <c r="I227" s="28" t="s">
        <v>127</v>
      </c>
      <c r="J227" s="28" t="s">
        <v>127</v>
      </c>
      <c r="L227" s="28" t="s">
        <v>127</v>
      </c>
      <c r="M227" s="28" t="s">
        <v>127</v>
      </c>
      <c r="U227" s="28" t="s">
        <v>327</v>
      </c>
      <c r="V227" s="28" t="s">
        <v>327</v>
      </c>
      <c r="X227" s="28" t="s">
        <v>327</v>
      </c>
      <c r="Y227" s="28" t="s">
        <v>327</v>
      </c>
      <c r="AA227" s="2" t="s">
        <v>371</v>
      </c>
      <c r="AB227" s="2" t="str">
        <f t="shared" ref="AB227:AB230" si="271">IF(NOT(ISBLANK(AC227)),"-","")</f>
        <v>-</v>
      </c>
      <c r="AC227" s="2" t="s">
        <v>356</v>
      </c>
      <c r="AD227" s="2" t="str">
        <f t="shared" ref="AD227:AD230" si="272">IF(NOT(ISBLANK(AE227)),"_","")</f>
        <v>_</v>
      </c>
      <c r="AE227" s="2" t="s">
        <v>17</v>
      </c>
      <c r="AF227" s="2" t="str">
        <f t="shared" ref="AF227:AF230" si="273">IF(NOT(ISBLANK(AG227)),"_","")</f>
        <v>_</v>
      </c>
      <c r="AG227" s="2" t="s">
        <v>75</v>
      </c>
      <c r="AH227" s="2" t="str">
        <f t="shared" ref="AH227:AH230" si="274">IF(NOT(ISBLANK(AI227)),"_","")</f>
        <v>_</v>
      </c>
      <c r="AI227" s="2" t="s">
        <v>373</v>
      </c>
    </row>
    <row r="228" spans="2:35" x14ac:dyDescent="0.25">
      <c r="B228" s="2" t="str">
        <f t="shared" si="270"/>
        <v>@dasharray-busway_case_medium_gap</v>
      </c>
      <c r="C228" s="28" t="s">
        <v>375</v>
      </c>
      <c r="D228" s="28" t="s">
        <v>375</v>
      </c>
      <c r="F228" s="28" t="s">
        <v>375</v>
      </c>
      <c r="G228" s="28" t="s">
        <v>375</v>
      </c>
      <c r="I228" s="28" t="s">
        <v>94</v>
      </c>
      <c r="J228" s="28" t="s">
        <v>94</v>
      </c>
      <c r="L228" s="28" t="s">
        <v>94</v>
      </c>
      <c r="M228" s="28" t="s">
        <v>94</v>
      </c>
      <c r="U228" s="28" t="s">
        <v>375</v>
      </c>
      <c r="V228" s="28" t="s">
        <v>375</v>
      </c>
      <c r="X228" s="28" t="s">
        <v>375</v>
      </c>
      <c r="Y228" s="28" t="s">
        <v>375</v>
      </c>
      <c r="AA228" s="2" t="s">
        <v>371</v>
      </c>
      <c r="AB228" s="2" t="str">
        <f t="shared" si="271"/>
        <v>-</v>
      </c>
      <c r="AC228" s="2" t="s">
        <v>356</v>
      </c>
      <c r="AD228" s="2" t="str">
        <f t="shared" si="272"/>
        <v>_</v>
      </c>
      <c r="AE228" s="2" t="s">
        <v>17</v>
      </c>
      <c r="AF228" s="2" t="str">
        <f t="shared" si="273"/>
        <v>_</v>
      </c>
      <c r="AG228" s="2" t="s">
        <v>75</v>
      </c>
      <c r="AH228" s="2" t="str">
        <f t="shared" si="274"/>
        <v>_</v>
      </c>
      <c r="AI228" s="2" t="s">
        <v>374</v>
      </c>
    </row>
    <row r="229" spans="2:35" x14ac:dyDescent="0.25">
      <c r="B229" s="2" t="str">
        <f t="shared" si="270"/>
        <v>@dasharray-busway_case_rough_dash</v>
      </c>
      <c r="C229" s="28" t="s">
        <v>327</v>
      </c>
      <c r="D229" s="28" t="s">
        <v>327</v>
      </c>
      <c r="F229" s="28" t="s">
        <v>327</v>
      </c>
      <c r="G229" s="28" t="s">
        <v>327</v>
      </c>
      <c r="I229" s="28" t="s">
        <v>92</v>
      </c>
      <c r="J229" s="28" t="s">
        <v>92</v>
      </c>
      <c r="L229" s="28" t="s">
        <v>92</v>
      </c>
      <c r="M229" s="28" t="s">
        <v>92</v>
      </c>
      <c r="U229" s="28" t="s">
        <v>327</v>
      </c>
      <c r="V229" s="28" t="s">
        <v>327</v>
      </c>
      <c r="X229" s="28" t="s">
        <v>327</v>
      </c>
      <c r="Y229" s="28" t="s">
        <v>327</v>
      </c>
      <c r="AA229" s="2" t="s">
        <v>371</v>
      </c>
      <c r="AB229" s="2" t="str">
        <f t="shared" si="271"/>
        <v>-</v>
      </c>
      <c r="AC229" s="2" t="s">
        <v>356</v>
      </c>
      <c r="AD229" s="2" t="str">
        <f t="shared" si="272"/>
        <v>_</v>
      </c>
      <c r="AE229" s="2" t="s">
        <v>17</v>
      </c>
      <c r="AF229" s="2" t="str">
        <f t="shared" si="273"/>
        <v>_</v>
      </c>
      <c r="AG229" s="2" t="s">
        <v>372</v>
      </c>
      <c r="AH229" s="2" t="str">
        <f t="shared" si="274"/>
        <v>_</v>
      </c>
      <c r="AI229" s="2" t="s">
        <v>373</v>
      </c>
    </row>
    <row r="230" spans="2:35" x14ac:dyDescent="0.25">
      <c r="B230" s="2" t="str">
        <f t="shared" si="270"/>
        <v>@dasharray-busway_case_rough_gap</v>
      </c>
      <c r="C230" s="28" t="s">
        <v>375</v>
      </c>
      <c r="D230" s="28" t="s">
        <v>375</v>
      </c>
      <c r="F230" s="28" t="s">
        <v>375</v>
      </c>
      <c r="G230" s="28" t="s">
        <v>375</v>
      </c>
      <c r="I230" s="28" t="s">
        <v>94</v>
      </c>
      <c r="J230" s="28" t="s">
        <v>94</v>
      </c>
      <c r="L230" s="28" t="s">
        <v>94</v>
      </c>
      <c r="M230" s="28" t="s">
        <v>94</v>
      </c>
      <c r="U230" s="28" t="s">
        <v>375</v>
      </c>
      <c r="V230" s="28" t="s">
        <v>375</v>
      </c>
      <c r="X230" s="28" t="s">
        <v>375</v>
      </c>
      <c r="Y230" s="28" t="s">
        <v>375</v>
      </c>
      <c r="AA230" s="2" t="s">
        <v>371</v>
      </c>
      <c r="AB230" s="2" t="str">
        <f t="shared" si="271"/>
        <v>-</v>
      </c>
      <c r="AC230" s="2" t="s">
        <v>356</v>
      </c>
      <c r="AD230" s="2" t="str">
        <f t="shared" si="272"/>
        <v>_</v>
      </c>
      <c r="AE230" s="2" t="s">
        <v>17</v>
      </c>
      <c r="AF230" s="2" t="str">
        <f t="shared" si="273"/>
        <v>_</v>
      </c>
      <c r="AG230" s="2" t="s">
        <v>372</v>
      </c>
      <c r="AH230" s="2" t="str">
        <f t="shared" si="274"/>
        <v>_</v>
      </c>
      <c r="AI230" s="2" t="s">
        <v>374</v>
      </c>
    </row>
    <row r="231" spans="2:35" x14ac:dyDescent="0.25">
      <c r="B231" s="2"/>
      <c r="C231" s="26"/>
      <c r="F231" s="26"/>
      <c r="I231" s="26"/>
      <c r="L231" s="26"/>
      <c r="U231" s="26"/>
      <c r="X231" s="26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2:35" x14ac:dyDescent="0.25">
      <c r="B232" s="2"/>
      <c r="AB232" s="28" t="str">
        <f t="shared" ref="AB232" si="275">IF(NOT(ISBLANK(AC232)),"-","")</f>
        <v/>
      </c>
      <c r="AD232" s="28" t="str">
        <f t="shared" ref="AD232" si="276">IF(NOT(ISBLANK(AE232)),"_","")</f>
        <v/>
      </c>
      <c r="AF232" s="28" t="str">
        <f t="shared" ref="AF232" si="277">IF(NOT(ISBLANK(AG232)),"_","")</f>
        <v/>
      </c>
      <c r="AH232" s="28" t="str">
        <f t="shared" si="261"/>
        <v/>
      </c>
    </row>
    <row r="233" spans="2:35" x14ac:dyDescent="0.25">
      <c r="B233" s="2" t="str">
        <f t="shared" ref="B233:B238" si="278">_xlfn.CONCAT("@",AA233,AB233,AC233,AD233,AE233,AF233,AG233,AH233,AI233)</f>
        <v>@color-service_case_unpaved_farzoom</v>
      </c>
      <c r="C233" s="75" t="s">
        <v>221</v>
      </c>
      <c r="D233" s="76" t="s">
        <v>223</v>
      </c>
      <c r="F233" s="76" t="s">
        <v>223</v>
      </c>
      <c r="G233" s="75" t="s">
        <v>221</v>
      </c>
      <c r="I233" s="92" t="str">
        <f t="shared" ref="I233:J236" si="279">C233</f>
        <v>"#b99346"</v>
      </c>
      <c r="J233" s="87" t="str">
        <f t="shared" si="279"/>
        <v>"#644507"</v>
      </c>
      <c r="L233" s="76" t="s">
        <v>223</v>
      </c>
      <c r="M233" s="75" t="s">
        <v>221</v>
      </c>
      <c r="U233" s="78" t="s">
        <v>222</v>
      </c>
      <c r="V233" s="47" t="s">
        <v>210</v>
      </c>
      <c r="X233" s="47" t="s">
        <v>210</v>
      </c>
      <c r="Y233" s="47" t="s">
        <v>210</v>
      </c>
      <c r="AA233" s="2" t="s">
        <v>6</v>
      </c>
      <c r="AB233" s="2" t="str">
        <f t="shared" si="255"/>
        <v>-</v>
      </c>
      <c r="AC233" s="2" t="s">
        <v>30</v>
      </c>
      <c r="AD233" s="2" t="str">
        <f t="shared" si="256"/>
        <v>_</v>
      </c>
      <c r="AE233" s="2" t="s">
        <v>17</v>
      </c>
      <c r="AF233" s="2" t="str">
        <f t="shared" si="257"/>
        <v>_</v>
      </c>
      <c r="AG233" s="2" t="s">
        <v>21</v>
      </c>
      <c r="AH233" s="2" t="str">
        <f t="shared" si="194"/>
        <v>_</v>
      </c>
      <c r="AI233" s="28" t="s">
        <v>20</v>
      </c>
    </row>
    <row r="234" spans="2:35" x14ac:dyDescent="0.25">
      <c r="B234" s="2" t="str">
        <f t="shared" si="278"/>
        <v>@color-service_case_unpaved_default</v>
      </c>
      <c r="C234" s="76" t="s">
        <v>223</v>
      </c>
      <c r="D234" s="76" t="s">
        <v>223</v>
      </c>
      <c r="F234" s="47" t="s">
        <v>210</v>
      </c>
      <c r="G234" s="47" t="s">
        <v>210</v>
      </c>
      <c r="I234" s="87" t="str">
        <f t="shared" si="279"/>
        <v>"#644507"</v>
      </c>
      <c r="J234" s="87" t="str">
        <f t="shared" si="279"/>
        <v>"#644507"</v>
      </c>
      <c r="L234" s="47" t="s">
        <v>210</v>
      </c>
      <c r="M234" s="47" t="s">
        <v>210</v>
      </c>
      <c r="U234" s="79" t="s">
        <v>214</v>
      </c>
      <c r="V234" s="47" t="s">
        <v>210</v>
      </c>
      <c r="X234" s="47" t="s">
        <v>210</v>
      </c>
      <c r="Y234" s="47" t="s">
        <v>210</v>
      </c>
      <c r="AA234" s="2" t="s">
        <v>6</v>
      </c>
      <c r="AB234" s="2" t="str">
        <f t="shared" si="255"/>
        <v>-</v>
      </c>
      <c r="AC234" s="2" t="s">
        <v>30</v>
      </c>
      <c r="AD234" s="2" t="str">
        <f t="shared" si="256"/>
        <v>_</v>
      </c>
      <c r="AE234" s="2" t="s">
        <v>17</v>
      </c>
      <c r="AF234" s="2" t="str">
        <f t="shared" si="257"/>
        <v>_</v>
      </c>
      <c r="AG234" s="2" t="s">
        <v>21</v>
      </c>
      <c r="AH234" s="2" t="str">
        <f t="shared" si="194"/>
        <v>_</v>
      </c>
      <c r="AI234" s="2" t="s">
        <v>255</v>
      </c>
    </row>
    <row r="235" spans="2:35" x14ac:dyDescent="0.25">
      <c r="B235" s="2" t="str">
        <f t="shared" si="278"/>
        <v>@color-service_case_paved_or_uk_farzoom</v>
      </c>
      <c r="C235" s="78" t="s">
        <v>222</v>
      </c>
      <c r="D235" s="47" t="s">
        <v>210</v>
      </c>
      <c r="F235" s="47" t="s">
        <v>210</v>
      </c>
      <c r="G235" s="47" t="s">
        <v>210</v>
      </c>
      <c r="I235" s="93" t="str">
        <f t="shared" si="279"/>
        <v>"#808080"</v>
      </c>
      <c r="J235" s="37" t="str">
        <f t="shared" si="279"/>
        <v>"#000000"</v>
      </c>
      <c r="L235" s="47" t="s">
        <v>210</v>
      </c>
      <c r="M235" s="47" t="s">
        <v>210</v>
      </c>
      <c r="U235" s="78" t="s">
        <v>222</v>
      </c>
      <c r="V235" s="47" t="s">
        <v>210</v>
      </c>
      <c r="X235" s="47" t="s">
        <v>210</v>
      </c>
      <c r="Y235" s="47" t="s">
        <v>210</v>
      </c>
      <c r="AA235" s="2" t="s">
        <v>6</v>
      </c>
      <c r="AB235" s="2" t="str">
        <f t="shared" si="255"/>
        <v>-</v>
      </c>
      <c r="AC235" s="2" t="s">
        <v>30</v>
      </c>
      <c r="AD235" s="2" t="str">
        <f t="shared" si="256"/>
        <v>_</v>
      </c>
      <c r="AE235" s="2" t="s">
        <v>17</v>
      </c>
      <c r="AF235" s="2" t="str">
        <f t="shared" si="257"/>
        <v>_</v>
      </c>
      <c r="AG235" s="2" t="s">
        <v>24</v>
      </c>
      <c r="AH235" s="2" t="str">
        <f t="shared" si="194"/>
        <v>_</v>
      </c>
      <c r="AI235" s="28" t="s">
        <v>20</v>
      </c>
    </row>
    <row r="236" spans="2:35" x14ac:dyDescent="0.25">
      <c r="B236" s="2" t="str">
        <f t="shared" si="278"/>
        <v>@color-service_case_paved_or_uk_default</v>
      </c>
      <c r="C236" s="79" t="s">
        <v>214</v>
      </c>
      <c r="D236" s="47" t="s">
        <v>210</v>
      </c>
      <c r="F236" s="47" t="s">
        <v>210</v>
      </c>
      <c r="G236" s="47" t="s">
        <v>210</v>
      </c>
      <c r="I236" s="94" t="str">
        <f t="shared" si="279"/>
        <v>"#404040"</v>
      </c>
      <c r="J236" s="37" t="str">
        <f t="shared" si="279"/>
        <v>"#000000"</v>
      </c>
      <c r="L236" s="47" t="s">
        <v>210</v>
      </c>
      <c r="M236" s="47" t="s">
        <v>210</v>
      </c>
      <c r="Q236" s="7"/>
      <c r="U236" s="79" t="s">
        <v>214</v>
      </c>
      <c r="V236" s="47" t="s">
        <v>210</v>
      </c>
      <c r="X236" s="47" t="s">
        <v>210</v>
      </c>
      <c r="Y236" s="47" t="s">
        <v>210</v>
      </c>
      <c r="AA236" s="2" t="s">
        <v>6</v>
      </c>
      <c r="AB236" s="2" t="str">
        <f t="shared" si="255"/>
        <v>-</v>
      </c>
      <c r="AC236" s="2" t="s">
        <v>30</v>
      </c>
      <c r="AD236" s="2" t="str">
        <f t="shared" si="256"/>
        <v>_</v>
      </c>
      <c r="AE236" s="2" t="s">
        <v>17</v>
      </c>
      <c r="AF236" s="2" t="str">
        <f t="shared" si="257"/>
        <v>_</v>
      </c>
      <c r="AG236" s="2" t="s">
        <v>24</v>
      </c>
      <c r="AH236" s="2" t="str">
        <f t="shared" si="194"/>
        <v>_</v>
      </c>
      <c r="AI236" s="2" t="s">
        <v>255</v>
      </c>
    </row>
    <row r="237" spans="2:35" x14ac:dyDescent="0.25">
      <c r="B237" s="2" t="str">
        <f t="shared" si="278"/>
        <v>@color-service_line_unpaved</v>
      </c>
      <c r="C237" s="80" t="s">
        <v>217</v>
      </c>
      <c r="D237" s="38" t="str">
        <f t="shared" ref="D237:D238" si="280">C237</f>
        <v>"#eddfca"</v>
      </c>
      <c r="F237" s="80" t="s">
        <v>217</v>
      </c>
      <c r="G237" s="38" t="str">
        <f t="shared" ref="G237:G238" si="281">F237</f>
        <v>"#eddfca"</v>
      </c>
      <c r="I237" s="81" t="str">
        <f>C237</f>
        <v>"#eddfca"</v>
      </c>
      <c r="J237" s="38" t="str">
        <f t="shared" ref="J237:J238" si="282">C237</f>
        <v>"#eddfca"</v>
      </c>
      <c r="L237" s="80" t="s">
        <v>217</v>
      </c>
      <c r="M237" s="38" t="str">
        <f t="shared" ref="M237:M238" si="283">L237</f>
        <v>"#eddfca"</v>
      </c>
      <c r="U237" s="46" t="s">
        <v>218</v>
      </c>
      <c r="V237" s="38" t="str">
        <f t="shared" ref="V237" si="284">U237</f>
        <v>"#ffffff"</v>
      </c>
      <c r="X237" s="46" t="s">
        <v>218</v>
      </c>
      <c r="Y237" s="38" t="str">
        <f t="shared" ref="Y237" si="285">X237</f>
        <v>"#ffffff"</v>
      </c>
      <c r="AA237" s="2" t="s">
        <v>6</v>
      </c>
      <c r="AB237" s="2" t="str">
        <f t="shared" si="255"/>
        <v>-</v>
      </c>
      <c r="AC237" s="2" t="s">
        <v>30</v>
      </c>
      <c r="AD237" s="2" t="str">
        <f t="shared" si="256"/>
        <v>_</v>
      </c>
      <c r="AE237" s="2" t="s">
        <v>13</v>
      </c>
      <c r="AF237" s="2" t="str">
        <f t="shared" si="257"/>
        <v>_</v>
      </c>
      <c r="AG237" s="2" t="s">
        <v>21</v>
      </c>
      <c r="AH237" s="2" t="str">
        <f t="shared" si="194"/>
        <v/>
      </c>
      <c r="AI237" s="2"/>
    </row>
    <row r="238" spans="2:35" x14ac:dyDescent="0.25">
      <c r="B238" s="2" t="str">
        <f t="shared" si="278"/>
        <v>@color-service_line_paved_or_uk</v>
      </c>
      <c r="C238" s="46" t="s">
        <v>218</v>
      </c>
      <c r="D238" s="38" t="str">
        <f t="shared" si="280"/>
        <v>"#ffffff"</v>
      </c>
      <c r="F238" s="46" t="s">
        <v>218</v>
      </c>
      <c r="G238" s="38" t="str">
        <f t="shared" si="281"/>
        <v>"#ffffff"</v>
      </c>
      <c r="I238" s="38" t="str">
        <f>C238</f>
        <v>"#ffffff"</v>
      </c>
      <c r="J238" s="38" t="str">
        <f t="shared" si="282"/>
        <v>"#ffffff"</v>
      </c>
      <c r="L238" s="46" t="s">
        <v>218</v>
      </c>
      <c r="M238" s="38" t="str">
        <f t="shared" si="283"/>
        <v>"#ffffff"</v>
      </c>
      <c r="U238" s="46" t="s">
        <v>218</v>
      </c>
      <c r="V238" s="38" t="str">
        <f t="shared" ref="V238" si="286">U238</f>
        <v>"#ffffff"</v>
      </c>
      <c r="X238" s="46" t="s">
        <v>218</v>
      </c>
      <c r="Y238" s="38" t="str">
        <f t="shared" ref="Y238" si="287">X238</f>
        <v>"#ffffff"</v>
      </c>
      <c r="AA238" s="2" t="s">
        <v>6</v>
      </c>
      <c r="AB238" s="2" t="str">
        <f t="shared" si="255"/>
        <v>-</v>
      </c>
      <c r="AC238" s="2" t="s">
        <v>30</v>
      </c>
      <c r="AD238" s="2" t="str">
        <f t="shared" si="256"/>
        <v>_</v>
      </c>
      <c r="AE238" s="2" t="s">
        <v>13</v>
      </c>
      <c r="AF238" s="2" t="str">
        <f t="shared" si="257"/>
        <v>_</v>
      </c>
      <c r="AG238" s="2" t="s">
        <v>24</v>
      </c>
      <c r="AH238" s="2" t="str">
        <f t="shared" si="194"/>
        <v/>
      </c>
      <c r="AI238" s="2"/>
    </row>
    <row r="239" spans="2:35" x14ac:dyDescent="0.25">
      <c r="B239" s="2"/>
      <c r="C239" s="26"/>
      <c r="F239" s="26"/>
      <c r="L239" s="26"/>
      <c r="U239" s="26"/>
      <c r="X239" s="26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2:35" x14ac:dyDescent="0.25">
      <c r="B240" s="2" t="str">
        <f t="shared" ref="B240:B241" si="288">_xlfn.CONCAT("@",AA240,AB240,AC240,AD240,AE240,AF240,AG240,AH240,AI240)</f>
        <v>@dasharray-service_case_medium_dash</v>
      </c>
      <c r="C240" s="28" t="s">
        <v>327</v>
      </c>
      <c r="D240" s="28" t="s">
        <v>327</v>
      </c>
      <c r="F240" s="28" t="s">
        <v>327</v>
      </c>
      <c r="G240" s="28" t="s">
        <v>327</v>
      </c>
      <c r="I240" s="28" t="s">
        <v>127</v>
      </c>
      <c r="J240" s="28" t="s">
        <v>127</v>
      </c>
      <c r="L240" s="28" t="s">
        <v>127</v>
      </c>
      <c r="M240" s="28" t="s">
        <v>127</v>
      </c>
      <c r="U240" s="28" t="s">
        <v>327</v>
      </c>
      <c r="V240" s="28" t="s">
        <v>327</v>
      </c>
      <c r="X240" s="28" t="s">
        <v>327</v>
      </c>
      <c r="Y240" s="28" t="s">
        <v>327</v>
      </c>
      <c r="AA240" s="2" t="s">
        <v>371</v>
      </c>
      <c r="AB240" s="2" t="str">
        <f t="shared" ref="AB240:AB241" si="289">IF(NOT(ISBLANK(AC240)),"-","")</f>
        <v>-</v>
      </c>
      <c r="AC240" s="2" t="s">
        <v>30</v>
      </c>
      <c r="AD240" s="2" t="str">
        <f t="shared" ref="AD240:AD241" si="290">IF(NOT(ISBLANK(AE240)),"_","")</f>
        <v>_</v>
      </c>
      <c r="AE240" s="2" t="s">
        <v>17</v>
      </c>
      <c r="AF240" s="2" t="str">
        <f t="shared" ref="AF240:AF241" si="291">IF(NOT(ISBLANK(AG240)),"_","")</f>
        <v>_</v>
      </c>
      <c r="AG240" s="2" t="s">
        <v>75</v>
      </c>
      <c r="AH240" s="2" t="str">
        <f t="shared" ref="AH240:AH241" si="292">IF(NOT(ISBLANK(AI240)),"_","")</f>
        <v>_</v>
      </c>
      <c r="AI240" s="2" t="s">
        <v>373</v>
      </c>
    </row>
    <row r="241" spans="2:35" x14ac:dyDescent="0.25">
      <c r="B241" s="2" t="str">
        <f t="shared" si="288"/>
        <v>@dasharray-service_case_medium_gap</v>
      </c>
      <c r="C241" s="28" t="s">
        <v>375</v>
      </c>
      <c r="D241" s="28" t="s">
        <v>375</v>
      </c>
      <c r="F241" s="28" t="s">
        <v>375</v>
      </c>
      <c r="G241" s="28" t="s">
        <v>375</v>
      </c>
      <c r="I241" s="28" t="s">
        <v>94</v>
      </c>
      <c r="J241" s="28" t="s">
        <v>94</v>
      </c>
      <c r="L241" s="28" t="s">
        <v>94</v>
      </c>
      <c r="M241" s="28" t="s">
        <v>94</v>
      </c>
      <c r="U241" s="28" t="s">
        <v>375</v>
      </c>
      <c r="V241" s="28" t="s">
        <v>375</v>
      </c>
      <c r="X241" s="28" t="s">
        <v>375</v>
      </c>
      <c r="Y241" s="28" t="s">
        <v>375</v>
      </c>
      <c r="AA241" s="2" t="s">
        <v>371</v>
      </c>
      <c r="AB241" s="2" t="str">
        <f t="shared" si="289"/>
        <v>-</v>
      </c>
      <c r="AC241" s="2" t="s">
        <v>30</v>
      </c>
      <c r="AD241" s="2" t="str">
        <f t="shared" si="290"/>
        <v>_</v>
      </c>
      <c r="AE241" s="2" t="s">
        <v>17</v>
      </c>
      <c r="AF241" s="2" t="str">
        <f t="shared" si="291"/>
        <v>_</v>
      </c>
      <c r="AG241" s="2" t="s">
        <v>75</v>
      </c>
      <c r="AH241" s="2" t="str">
        <f t="shared" si="292"/>
        <v>_</v>
      </c>
      <c r="AI241" s="2" t="s">
        <v>374</v>
      </c>
    </row>
    <row r="242" spans="2:35" x14ac:dyDescent="0.25">
      <c r="B242" s="2" t="str">
        <f t="shared" ref="B242" si="293">_xlfn.CONCAT("@",AA242,AB242,AC242,AD242,AE242,AF242,AG242,AH242,AI242)</f>
        <v>@dasharray-service_case_rough_dash</v>
      </c>
      <c r="C242" s="28" t="s">
        <v>327</v>
      </c>
      <c r="D242" s="28" t="s">
        <v>327</v>
      </c>
      <c r="F242" s="28" t="s">
        <v>327</v>
      </c>
      <c r="G242" s="28" t="s">
        <v>327</v>
      </c>
      <c r="I242" s="28" t="s">
        <v>92</v>
      </c>
      <c r="J242" s="28" t="s">
        <v>92</v>
      </c>
      <c r="L242" s="28" t="s">
        <v>92</v>
      </c>
      <c r="M242" s="28" t="s">
        <v>92</v>
      </c>
      <c r="U242" s="28" t="s">
        <v>327</v>
      </c>
      <c r="V242" s="28" t="s">
        <v>327</v>
      </c>
      <c r="X242" s="28" t="s">
        <v>327</v>
      </c>
      <c r="Y242" s="28" t="s">
        <v>327</v>
      </c>
      <c r="AA242" s="2" t="s">
        <v>371</v>
      </c>
      <c r="AB242" s="2" t="str">
        <f t="shared" ref="AB242" si="294">IF(NOT(ISBLANK(AC242)),"-","")</f>
        <v>-</v>
      </c>
      <c r="AC242" s="2" t="s">
        <v>30</v>
      </c>
      <c r="AD242" s="2" t="str">
        <f t="shared" ref="AD242" si="295">IF(NOT(ISBLANK(AE242)),"_","")</f>
        <v>_</v>
      </c>
      <c r="AE242" s="2" t="s">
        <v>17</v>
      </c>
      <c r="AF242" s="2" t="str">
        <f t="shared" ref="AF242" si="296">IF(NOT(ISBLANK(AG242)),"_","")</f>
        <v>_</v>
      </c>
      <c r="AG242" s="2" t="s">
        <v>372</v>
      </c>
      <c r="AH242" s="2" t="str">
        <f t="shared" ref="AH242" si="297">IF(NOT(ISBLANK(AI242)),"_","")</f>
        <v>_</v>
      </c>
      <c r="AI242" s="2" t="s">
        <v>373</v>
      </c>
    </row>
    <row r="243" spans="2:35" x14ac:dyDescent="0.25">
      <c r="B243" s="2" t="str">
        <f t="shared" ref="B243" si="298">_xlfn.CONCAT("@",AA243,AB243,AC243,AD243,AE243,AF243,AG243,AH243,AI243)</f>
        <v>@dasharray-service_case_rough_gap</v>
      </c>
      <c r="C243" s="28" t="s">
        <v>375</v>
      </c>
      <c r="D243" s="28" t="s">
        <v>375</v>
      </c>
      <c r="F243" s="28" t="s">
        <v>375</v>
      </c>
      <c r="G243" s="28" t="s">
        <v>375</v>
      </c>
      <c r="I243" s="28" t="s">
        <v>94</v>
      </c>
      <c r="J243" s="28" t="s">
        <v>94</v>
      </c>
      <c r="L243" s="28" t="s">
        <v>94</v>
      </c>
      <c r="M243" s="28" t="s">
        <v>94</v>
      </c>
      <c r="U243" s="28" t="s">
        <v>375</v>
      </c>
      <c r="V243" s="28" t="s">
        <v>375</v>
      </c>
      <c r="X243" s="28" t="s">
        <v>375</v>
      </c>
      <c r="Y243" s="28" t="s">
        <v>375</v>
      </c>
      <c r="AA243" s="2" t="s">
        <v>371</v>
      </c>
      <c r="AB243" s="2" t="str">
        <f t="shared" ref="AB243" si="299">IF(NOT(ISBLANK(AC243)),"-","")</f>
        <v>-</v>
      </c>
      <c r="AC243" s="2" t="s">
        <v>30</v>
      </c>
      <c r="AD243" s="2" t="str">
        <f t="shared" ref="AD243" si="300">IF(NOT(ISBLANK(AE243)),"_","")</f>
        <v>_</v>
      </c>
      <c r="AE243" s="2" t="s">
        <v>17</v>
      </c>
      <c r="AF243" s="2" t="str">
        <f t="shared" ref="AF243" si="301">IF(NOT(ISBLANK(AG243)),"_","")</f>
        <v>_</v>
      </c>
      <c r="AG243" s="2" t="s">
        <v>372</v>
      </c>
      <c r="AH243" s="2" t="str">
        <f t="shared" ref="AH243" si="302">IF(NOT(ISBLANK(AI243)),"_","")</f>
        <v>_</v>
      </c>
      <c r="AI243" s="2" t="s">
        <v>374</v>
      </c>
    </row>
    <row r="244" spans="2:35" x14ac:dyDescent="0.25">
      <c r="B244" s="2"/>
      <c r="C244" s="110" t="s">
        <v>376</v>
      </c>
      <c r="U244" s="110" t="s">
        <v>376</v>
      </c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2:35" x14ac:dyDescent="0.25">
      <c r="B245" s="2"/>
      <c r="AB245" s="28" t="str">
        <f t="shared" si="176"/>
        <v/>
      </c>
      <c r="AD245" s="28" t="str">
        <f t="shared" si="183"/>
        <v/>
      </c>
      <c r="AF245" s="28" t="str">
        <f t="shared" si="184"/>
        <v/>
      </c>
      <c r="AH245" s="28" t="str">
        <f t="shared" si="194"/>
        <v/>
      </c>
    </row>
    <row r="246" spans="2:35" x14ac:dyDescent="0.25">
      <c r="B246" s="2" t="str">
        <f t="shared" ref="B246:B251" si="303">_xlfn.CONCAT("@",AA246,AB246,AC246,AD246,AE246,AF246,AG246,AH246,AI246)</f>
        <v>@color-minor_case_unpaved_farzoom</v>
      </c>
      <c r="C246" s="75" t="s">
        <v>221</v>
      </c>
      <c r="D246" s="76" t="s">
        <v>223</v>
      </c>
      <c r="F246" s="76" t="s">
        <v>223</v>
      </c>
      <c r="G246" s="75" t="s">
        <v>221</v>
      </c>
      <c r="I246" s="92" t="str">
        <f t="shared" ref="I246:J249" si="304">C246</f>
        <v>"#b99346"</v>
      </c>
      <c r="J246" s="87" t="str">
        <f t="shared" si="304"/>
        <v>"#644507"</v>
      </c>
      <c r="L246" s="76" t="s">
        <v>223</v>
      </c>
      <c r="M246" s="75" t="s">
        <v>221</v>
      </c>
      <c r="U246" s="78" t="s">
        <v>222</v>
      </c>
      <c r="V246" s="47" t="s">
        <v>210</v>
      </c>
      <c r="X246" s="78" t="s">
        <v>222</v>
      </c>
      <c r="Y246" s="78" t="s">
        <v>222</v>
      </c>
      <c r="AA246" s="2" t="s">
        <v>6</v>
      </c>
      <c r="AB246" s="2" t="str">
        <f t="shared" ref="AB246" si="305">IF(NOT(ISBLANK(AC246)),"-","")</f>
        <v>-</v>
      </c>
      <c r="AC246" s="2" t="s">
        <v>31</v>
      </c>
      <c r="AD246" s="2" t="str">
        <f t="shared" ref="AD246" si="306">IF(NOT(ISBLANK(AE246)),"_","")</f>
        <v>_</v>
      </c>
      <c r="AE246" s="2" t="s">
        <v>17</v>
      </c>
      <c r="AF246" s="2" t="str">
        <f t="shared" ref="AF246" si="307">IF(NOT(ISBLANK(AG246)),"_","")</f>
        <v>_</v>
      </c>
      <c r="AG246" s="2" t="s">
        <v>21</v>
      </c>
      <c r="AH246" s="2" t="str">
        <f t="shared" si="194"/>
        <v>_</v>
      </c>
      <c r="AI246" s="28" t="s">
        <v>20</v>
      </c>
    </row>
    <row r="247" spans="2:35" x14ac:dyDescent="0.25">
      <c r="B247" s="2" t="str">
        <f t="shared" si="303"/>
        <v>@color-minor_case_unpaved_default</v>
      </c>
      <c r="C247" s="76" t="s">
        <v>223</v>
      </c>
      <c r="D247" s="76" t="s">
        <v>223</v>
      </c>
      <c r="F247" s="47" t="s">
        <v>210</v>
      </c>
      <c r="G247" s="47" t="s">
        <v>210</v>
      </c>
      <c r="I247" s="87" t="str">
        <f t="shared" si="304"/>
        <v>"#644507"</v>
      </c>
      <c r="J247" s="87" t="str">
        <f t="shared" si="304"/>
        <v>"#644507"</v>
      </c>
      <c r="L247" s="47" t="s">
        <v>210</v>
      </c>
      <c r="M247" s="47" t="s">
        <v>210</v>
      </c>
      <c r="U247" s="79" t="s">
        <v>214</v>
      </c>
      <c r="V247" s="47" t="s">
        <v>210</v>
      </c>
      <c r="X247" s="47" t="s">
        <v>210</v>
      </c>
      <c r="Y247" s="47" t="s">
        <v>210</v>
      </c>
      <c r="AA247" s="2" t="s">
        <v>6</v>
      </c>
      <c r="AB247" s="2" t="str">
        <f t="shared" si="176"/>
        <v>-</v>
      </c>
      <c r="AC247" s="2" t="s">
        <v>31</v>
      </c>
      <c r="AD247" s="2" t="str">
        <f t="shared" si="183"/>
        <v>_</v>
      </c>
      <c r="AE247" s="2" t="s">
        <v>17</v>
      </c>
      <c r="AF247" s="2" t="str">
        <f t="shared" si="184"/>
        <v>_</v>
      </c>
      <c r="AG247" s="2" t="s">
        <v>21</v>
      </c>
      <c r="AH247" s="2" t="str">
        <f t="shared" si="194"/>
        <v>_</v>
      </c>
      <c r="AI247" s="28" t="s">
        <v>255</v>
      </c>
    </row>
    <row r="248" spans="2:35" x14ac:dyDescent="0.25">
      <c r="B248" s="2" t="str">
        <f t="shared" si="303"/>
        <v>@color-minor_case_paved_or_uk_farzoom</v>
      </c>
      <c r="C248" s="78" t="s">
        <v>222</v>
      </c>
      <c r="D248" s="47" t="s">
        <v>210</v>
      </c>
      <c r="F248" s="78" t="s">
        <v>222</v>
      </c>
      <c r="G248" s="78" t="s">
        <v>222</v>
      </c>
      <c r="I248" s="93" t="str">
        <f t="shared" si="304"/>
        <v>"#808080"</v>
      </c>
      <c r="J248" s="37" t="str">
        <f t="shared" si="304"/>
        <v>"#000000"</v>
      </c>
      <c r="L248" s="78" t="s">
        <v>222</v>
      </c>
      <c r="M248" s="78" t="s">
        <v>222</v>
      </c>
      <c r="U248" s="78" t="s">
        <v>222</v>
      </c>
      <c r="V248" s="47" t="s">
        <v>210</v>
      </c>
      <c r="X248" s="78" t="s">
        <v>222</v>
      </c>
      <c r="Y248" s="78" t="s">
        <v>222</v>
      </c>
      <c r="AA248" s="2" t="s">
        <v>6</v>
      </c>
      <c r="AB248" s="2" t="str">
        <f t="shared" ref="AB248" si="308">IF(NOT(ISBLANK(AC248)),"-","")</f>
        <v>-</v>
      </c>
      <c r="AC248" s="2" t="s">
        <v>31</v>
      </c>
      <c r="AD248" s="2" t="str">
        <f t="shared" ref="AD248" si="309">IF(NOT(ISBLANK(AE248)),"_","")</f>
        <v>_</v>
      </c>
      <c r="AE248" s="2" t="s">
        <v>17</v>
      </c>
      <c r="AF248" s="2" t="str">
        <f t="shared" ref="AF248" si="310">IF(NOT(ISBLANK(AG248)),"_","")</f>
        <v>_</v>
      </c>
      <c r="AG248" s="2" t="s">
        <v>24</v>
      </c>
      <c r="AH248" s="2" t="str">
        <f t="shared" si="194"/>
        <v>_</v>
      </c>
      <c r="AI248" s="28" t="s">
        <v>20</v>
      </c>
    </row>
    <row r="249" spans="2:35" x14ac:dyDescent="0.25">
      <c r="B249" s="2" t="str">
        <f t="shared" si="303"/>
        <v>@color-minor_case_paved_or_uk_default</v>
      </c>
      <c r="C249" s="79" t="s">
        <v>214</v>
      </c>
      <c r="D249" s="47" t="s">
        <v>210</v>
      </c>
      <c r="F249" s="47" t="s">
        <v>210</v>
      </c>
      <c r="G249" s="47" t="s">
        <v>210</v>
      </c>
      <c r="I249" s="94" t="str">
        <f t="shared" si="304"/>
        <v>"#404040"</v>
      </c>
      <c r="J249" s="37" t="str">
        <f t="shared" si="304"/>
        <v>"#000000"</v>
      </c>
      <c r="L249" s="47" t="s">
        <v>210</v>
      </c>
      <c r="M249" s="47" t="s">
        <v>210</v>
      </c>
      <c r="U249" s="79" t="s">
        <v>214</v>
      </c>
      <c r="V249" s="47" t="s">
        <v>210</v>
      </c>
      <c r="X249" s="47" t="s">
        <v>210</v>
      </c>
      <c r="Y249" s="47" t="s">
        <v>210</v>
      </c>
      <c r="AA249" s="2" t="s">
        <v>6</v>
      </c>
      <c r="AB249" s="2" t="str">
        <f t="shared" si="176"/>
        <v>-</v>
      </c>
      <c r="AC249" s="2" t="s">
        <v>31</v>
      </c>
      <c r="AD249" s="2" t="str">
        <f t="shared" si="183"/>
        <v>_</v>
      </c>
      <c r="AE249" s="2" t="s">
        <v>17</v>
      </c>
      <c r="AF249" s="2" t="str">
        <f t="shared" si="184"/>
        <v>_</v>
      </c>
      <c r="AG249" s="2" t="s">
        <v>24</v>
      </c>
      <c r="AH249" s="2" t="str">
        <f t="shared" si="194"/>
        <v>_</v>
      </c>
      <c r="AI249" s="28" t="s">
        <v>255</v>
      </c>
    </row>
    <row r="250" spans="2:35" x14ac:dyDescent="0.25">
      <c r="B250" s="2" t="str">
        <f t="shared" si="303"/>
        <v>@color-minor_line_unpaved</v>
      </c>
      <c r="C250" s="80" t="s">
        <v>217</v>
      </c>
      <c r="D250" s="38" t="str">
        <f t="shared" ref="D250:D251" si="311">C250</f>
        <v>"#eddfca"</v>
      </c>
      <c r="F250" s="80" t="s">
        <v>217</v>
      </c>
      <c r="G250" s="38" t="str">
        <f t="shared" ref="G250:G251" si="312">F250</f>
        <v>"#eddfca"</v>
      </c>
      <c r="I250" s="81" t="str">
        <f>C250</f>
        <v>"#eddfca"</v>
      </c>
      <c r="J250" s="38" t="str">
        <f t="shared" ref="J250:J251" si="313">C250</f>
        <v>"#eddfca"</v>
      </c>
      <c r="L250" s="80" t="s">
        <v>217</v>
      </c>
      <c r="M250" s="38" t="str">
        <f t="shared" ref="M250:M251" si="314">L250</f>
        <v>"#eddfca"</v>
      </c>
      <c r="U250" s="46" t="s">
        <v>218</v>
      </c>
      <c r="V250" s="38" t="str">
        <f t="shared" ref="V250" si="315">U250</f>
        <v>"#ffffff"</v>
      </c>
      <c r="X250" s="46" t="s">
        <v>218</v>
      </c>
      <c r="Y250" s="38" t="str">
        <f t="shared" ref="Y250" si="316">X250</f>
        <v>"#ffffff"</v>
      </c>
      <c r="AA250" s="2" t="s">
        <v>6</v>
      </c>
      <c r="AB250" s="2" t="str">
        <f t="shared" si="176"/>
        <v>-</v>
      </c>
      <c r="AC250" s="2" t="s">
        <v>31</v>
      </c>
      <c r="AD250" s="2" t="str">
        <f t="shared" si="183"/>
        <v>_</v>
      </c>
      <c r="AE250" s="2" t="s">
        <v>13</v>
      </c>
      <c r="AF250" s="2" t="str">
        <f t="shared" si="184"/>
        <v>_</v>
      </c>
      <c r="AG250" s="2" t="s">
        <v>21</v>
      </c>
      <c r="AH250" s="2" t="str">
        <f t="shared" si="194"/>
        <v/>
      </c>
      <c r="AI250" s="2"/>
    </row>
    <row r="251" spans="2:35" x14ac:dyDescent="0.25">
      <c r="B251" s="2" t="str">
        <f t="shared" si="303"/>
        <v>@color-minor_line_paved_or_uk</v>
      </c>
      <c r="C251" s="46" t="s">
        <v>218</v>
      </c>
      <c r="D251" s="38" t="str">
        <f t="shared" si="311"/>
        <v>"#ffffff"</v>
      </c>
      <c r="F251" s="46" t="s">
        <v>218</v>
      </c>
      <c r="G251" s="38" t="str">
        <f t="shared" si="312"/>
        <v>"#ffffff"</v>
      </c>
      <c r="I251" s="38" t="str">
        <f>C251</f>
        <v>"#ffffff"</v>
      </c>
      <c r="J251" s="38" t="str">
        <f t="shared" si="313"/>
        <v>"#ffffff"</v>
      </c>
      <c r="L251" s="46" t="s">
        <v>218</v>
      </c>
      <c r="M251" s="38" t="str">
        <f t="shared" si="314"/>
        <v>"#ffffff"</v>
      </c>
      <c r="U251" s="46" t="s">
        <v>218</v>
      </c>
      <c r="V251" s="38" t="str">
        <f t="shared" ref="V251" si="317">U251</f>
        <v>"#ffffff"</v>
      </c>
      <c r="X251" s="46" t="s">
        <v>218</v>
      </c>
      <c r="Y251" s="38" t="str">
        <f t="shared" ref="Y251" si="318">X251</f>
        <v>"#ffffff"</v>
      </c>
      <c r="AA251" s="2" t="s">
        <v>6</v>
      </c>
      <c r="AB251" s="2" t="str">
        <f t="shared" si="176"/>
        <v>-</v>
      </c>
      <c r="AC251" s="2" t="s">
        <v>31</v>
      </c>
      <c r="AD251" s="2" t="str">
        <f t="shared" si="183"/>
        <v>_</v>
      </c>
      <c r="AE251" s="2" t="s">
        <v>13</v>
      </c>
      <c r="AF251" s="2" t="str">
        <f t="shared" si="184"/>
        <v>_</v>
      </c>
      <c r="AG251" s="2" t="s">
        <v>24</v>
      </c>
      <c r="AH251" s="2" t="str">
        <f t="shared" si="194"/>
        <v/>
      </c>
      <c r="AI251" s="2"/>
    </row>
    <row r="252" spans="2:35" x14ac:dyDescent="0.25">
      <c r="B252" s="2"/>
      <c r="C252" s="26"/>
      <c r="F252" s="26"/>
      <c r="L252" s="26"/>
      <c r="U252" s="26"/>
      <c r="X252" s="26"/>
      <c r="AA252" s="2"/>
      <c r="AB252" s="2"/>
      <c r="AC252" s="2"/>
      <c r="AD252" s="2"/>
      <c r="AE252" s="2"/>
      <c r="AF252" s="2"/>
      <c r="AG252" s="2"/>
      <c r="AH252" s="2"/>
      <c r="AI252" s="2"/>
    </row>
    <row r="253" spans="2:35" x14ac:dyDescent="0.25">
      <c r="B253" s="2" t="str">
        <f t="shared" ref="B253:B256" si="319">_xlfn.CONCAT("@",AA253,AB253,AC253,AD253,AE253,AF253,AG253,AH253,AI253)</f>
        <v>@dasharray-minor_case_medium_dash</v>
      </c>
      <c r="C253" s="28" t="s">
        <v>327</v>
      </c>
      <c r="D253" s="28" t="s">
        <v>327</v>
      </c>
      <c r="F253" s="28" t="s">
        <v>327</v>
      </c>
      <c r="G253" s="28" t="s">
        <v>327</v>
      </c>
      <c r="I253" s="28" t="s">
        <v>127</v>
      </c>
      <c r="J253" s="28" t="s">
        <v>127</v>
      </c>
      <c r="L253" s="28" t="s">
        <v>127</v>
      </c>
      <c r="M253" s="28" t="s">
        <v>127</v>
      </c>
      <c r="U253" s="28" t="s">
        <v>327</v>
      </c>
      <c r="V253" s="28" t="s">
        <v>327</v>
      </c>
      <c r="X253" s="28" t="s">
        <v>327</v>
      </c>
      <c r="Y253" s="28" t="s">
        <v>327</v>
      </c>
      <c r="AA253" s="2" t="s">
        <v>371</v>
      </c>
      <c r="AB253" s="2" t="str">
        <f t="shared" ref="AB253:AB256" si="320">IF(NOT(ISBLANK(AC253)),"-","")</f>
        <v>-</v>
      </c>
      <c r="AC253" s="2" t="s">
        <v>31</v>
      </c>
      <c r="AD253" s="2" t="str">
        <f t="shared" ref="AD253:AD256" si="321">IF(NOT(ISBLANK(AE253)),"_","")</f>
        <v>_</v>
      </c>
      <c r="AE253" s="2" t="s">
        <v>17</v>
      </c>
      <c r="AF253" s="2" t="str">
        <f t="shared" ref="AF253:AF256" si="322">IF(NOT(ISBLANK(AG253)),"_","")</f>
        <v>_</v>
      </c>
      <c r="AG253" s="2" t="s">
        <v>75</v>
      </c>
      <c r="AH253" s="2" t="str">
        <f t="shared" ref="AH253:AH256" si="323">IF(NOT(ISBLANK(AI253)),"_","")</f>
        <v>_</v>
      </c>
      <c r="AI253" s="2" t="s">
        <v>373</v>
      </c>
    </row>
    <row r="254" spans="2:35" x14ac:dyDescent="0.25">
      <c r="B254" s="2" t="str">
        <f t="shared" si="319"/>
        <v>@dasharray-minor_case_medium_gap</v>
      </c>
      <c r="C254" s="28" t="s">
        <v>375</v>
      </c>
      <c r="D254" s="28" t="s">
        <v>375</v>
      </c>
      <c r="F254" s="28" t="s">
        <v>375</v>
      </c>
      <c r="G254" s="28" t="s">
        <v>375</v>
      </c>
      <c r="I254" s="28" t="s">
        <v>94</v>
      </c>
      <c r="J254" s="28" t="s">
        <v>94</v>
      </c>
      <c r="L254" s="28" t="s">
        <v>94</v>
      </c>
      <c r="M254" s="28" t="s">
        <v>94</v>
      </c>
      <c r="U254" s="28" t="s">
        <v>375</v>
      </c>
      <c r="V254" s="28" t="s">
        <v>375</v>
      </c>
      <c r="X254" s="28" t="s">
        <v>375</v>
      </c>
      <c r="Y254" s="28" t="s">
        <v>375</v>
      </c>
      <c r="AA254" s="2" t="s">
        <v>371</v>
      </c>
      <c r="AB254" s="2" t="str">
        <f t="shared" si="320"/>
        <v>-</v>
      </c>
      <c r="AC254" s="2" t="s">
        <v>31</v>
      </c>
      <c r="AD254" s="2" t="str">
        <f t="shared" si="321"/>
        <v>_</v>
      </c>
      <c r="AE254" s="2" t="s">
        <v>17</v>
      </c>
      <c r="AF254" s="2" t="str">
        <f t="shared" si="322"/>
        <v>_</v>
      </c>
      <c r="AG254" s="2" t="s">
        <v>75</v>
      </c>
      <c r="AH254" s="2" t="str">
        <f t="shared" si="323"/>
        <v>_</v>
      </c>
      <c r="AI254" s="2" t="s">
        <v>374</v>
      </c>
    </row>
    <row r="255" spans="2:35" x14ac:dyDescent="0.25">
      <c r="B255" s="2" t="str">
        <f t="shared" si="319"/>
        <v>@dasharray-minor_case_rough_dash</v>
      </c>
      <c r="C255" s="28" t="s">
        <v>327</v>
      </c>
      <c r="D255" s="28" t="s">
        <v>327</v>
      </c>
      <c r="F255" s="28" t="s">
        <v>327</v>
      </c>
      <c r="G255" s="28" t="s">
        <v>327</v>
      </c>
      <c r="I255" s="28" t="s">
        <v>92</v>
      </c>
      <c r="J255" s="28" t="s">
        <v>92</v>
      </c>
      <c r="L255" s="28" t="s">
        <v>92</v>
      </c>
      <c r="M255" s="28" t="s">
        <v>92</v>
      </c>
      <c r="U255" s="28" t="s">
        <v>327</v>
      </c>
      <c r="V255" s="28" t="s">
        <v>327</v>
      </c>
      <c r="X255" s="28" t="s">
        <v>327</v>
      </c>
      <c r="Y255" s="28" t="s">
        <v>327</v>
      </c>
      <c r="AA255" s="2" t="s">
        <v>371</v>
      </c>
      <c r="AB255" s="2" t="str">
        <f t="shared" si="320"/>
        <v>-</v>
      </c>
      <c r="AC255" s="2" t="s">
        <v>31</v>
      </c>
      <c r="AD255" s="2" t="str">
        <f t="shared" si="321"/>
        <v>_</v>
      </c>
      <c r="AE255" s="2" t="s">
        <v>17</v>
      </c>
      <c r="AF255" s="2" t="str">
        <f t="shared" si="322"/>
        <v>_</v>
      </c>
      <c r="AG255" s="2" t="s">
        <v>372</v>
      </c>
      <c r="AH255" s="2" t="str">
        <f t="shared" si="323"/>
        <v>_</v>
      </c>
      <c r="AI255" s="2" t="s">
        <v>373</v>
      </c>
    </row>
    <row r="256" spans="2:35" x14ac:dyDescent="0.25">
      <c r="B256" s="2" t="str">
        <f t="shared" si="319"/>
        <v>@dasharray-minor_case_rough_gap</v>
      </c>
      <c r="C256" s="28" t="s">
        <v>375</v>
      </c>
      <c r="D256" s="28" t="s">
        <v>375</v>
      </c>
      <c r="F256" s="28" t="s">
        <v>375</v>
      </c>
      <c r="G256" s="28" t="s">
        <v>375</v>
      </c>
      <c r="I256" s="28" t="s">
        <v>94</v>
      </c>
      <c r="J256" s="28" t="s">
        <v>94</v>
      </c>
      <c r="L256" s="28" t="s">
        <v>94</v>
      </c>
      <c r="M256" s="28" t="s">
        <v>94</v>
      </c>
      <c r="U256" s="28" t="s">
        <v>375</v>
      </c>
      <c r="V256" s="28" t="s">
        <v>375</v>
      </c>
      <c r="X256" s="28" t="s">
        <v>375</v>
      </c>
      <c r="Y256" s="28" t="s">
        <v>375</v>
      </c>
      <c r="AA256" s="2" t="s">
        <v>371</v>
      </c>
      <c r="AB256" s="2" t="str">
        <f t="shared" si="320"/>
        <v>-</v>
      </c>
      <c r="AC256" s="2" t="s">
        <v>31</v>
      </c>
      <c r="AD256" s="2" t="str">
        <f t="shared" si="321"/>
        <v>_</v>
      </c>
      <c r="AE256" s="2" t="s">
        <v>17</v>
      </c>
      <c r="AF256" s="2" t="str">
        <f t="shared" si="322"/>
        <v>_</v>
      </c>
      <c r="AG256" s="2" t="s">
        <v>372</v>
      </c>
      <c r="AH256" s="2" t="str">
        <f t="shared" si="323"/>
        <v>_</v>
      </c>
      <c r="AI256" s="2" t="s">
        <v>374</v>
      </c>
    </row>
    <row r="257" spans="1:35" x14ac:dyDescent="0.25">
      <c r="B257" s="2"/>
      <c r="AB257" s="28" t="str">
        <f t="shared" si="176"/>
        <v/>
      </c>
      <c r="AD257" s="28" t="str">
        <f t="shared" si="183"/>
        <v/>
      </c>
      <c r="AF257" s="28" t="str">
        <f t="shared" si="184"/>
        <v/>
      </c>
      <c r="AH257" s="28" t="str">
        <f t="shared" si="194"/>
        <v/>
      </c>
    </row>
    <row r="258" spans="1:35" s="2" customFormat="1" x14ac:dyDescent="0.25">
      <c r="A258" s="185"/>
      <c r="B258" s="3" t="s">
        <v>456</v>
      </c>
      <c r="C258" s="27"/>
      <c r="D258" s="6"/>
      <c r="E258" s="7"/>
      <c r="F258" s="6"/>
      <c r="G258" s="6"/>
      <c r="H258" s="7"/>
      <c r="I258" s="6"/>
      <c r="J258" s="6"/>
      <c r="K258" s="7"/>
      <c r="L258" s="6"/>
      <c r="M258" s="6"/>
      <c r="N258" s="7"/>
      <c r="O258" s="6"/>
      <c r="P258" s="6"/>
      <c r="Q258" s="7"/>
      <c r="R258" s="6"/>
      <c r="S258" s="6"/>
      <c r="T258" s="7"/>
      <c r="U258" s="6"/>
      <c r="V258" s="6"/>
      <c r="W258" s="7"/>
      <c r="X258" s="6"/>
      <c r="Y258" s="6"/>
      <c r="AA258" s="4"/>
      <c r="AB258" s="4" t="str">
        <f t="shared" si="176"/>
        <v/>
      </c>
      <c r="AC258" s="4"/>
      <c r="AD258" s="4" t="str">
        <f t="shared" si="183"/>
        <v/>
      </c>
      <c r="AE258" s="4"/>
      <c r="AF258" s="4" t="str">
        <f t="shared" si="184"/>
        <v/>
      </c>
      <c r="AG258" s="4"/>
      <c r="AH258" s="4" t="str">
        <f t="shared" si="194"/>
        <v/>
      </c>
      <c r="AI258" s="4"/>
    </row>
    <row r="259" spans="1:35" x14ac:dyDescent="0.25">
      <c r="AB259" s="28" t="str">
        <f t="shared" ref="AB259" si="324">IF(NOT(ISBLANK(AC259)),"-","")</f>
        <v/>
      </c>
      <c r="AD259" s="28" t="str">
        <f t="shared" ref="AD259" si="325">IF(NOT(ISBLANK(AE259)),"_","")</f>
        <v/>
      </c>
      <c r="AF259" s="2" t="str">
        <f t="shared" ref="AF259" si="326">IF(NOT(ISBLANK(AG259)),"_","")</f>
        <v/>
      </c>
      <c r="AH259" s="2" t="str">
        <f t="shared" ref="AH259" si="327">IF(NOT(ISBLANK(AI259)),"_","")</f>
        <v/>
      </c>
    </row>
    <row r="260" spans="1:35" x14ac:dyDescent="0.25">
      <c r="B260" s="2" t="str">
        <f t="shared" ref="B260:B266" si="328">_xlfn.CONCAT("@",AA260,AB260,AC260,AD260,AE260,AF260,AG260,AH260,AI260)</f>
        <v>@color-motorway_link_line</v>
      </c>
      <c r="C260" s="71" t="s">
        <v>209</v>
      </c>
      <c r="D260" s="72" t="s">
        <v>211</v>
      </c>
      <c r="F260" s="70" t="s">
        <v>211</v>
      </c>
      <c r="G260" s="70" t="s">
        <v>211</v>
      </c>
      <c r="I260" s="71" t="s">
        <v>209</v>
      </c>
      <c r="J260" s="72" t="s">
        <v>211</v>
      </c>
      <c r="L260" s="70" t="s">
        <v>211</v>
      </c>
      <c r="M260" s="70" t="s">
        <v>211</v>
      </c>
      <c r="O260" s="71" t="s">
        <v>209</v>
      </c>
      <c r="P260" s="72" t="s">
        <v>211</v>
      </c>
      <c r="R260" s="70" t="s">
        <v>211</v>
      </c>
      <c r="S260" s="70" t="s">
        <v>211</v>
      </c>
      <c r="U260" s="71" t="s">
        <v>209</v>
      </c>
      <c r="V260" s="72" t="s">
        <v>211</v>
      </c>
      <c r="X260" s="70" t="s">
        <v>211</v>
      </c>
      <c r="Y260" s="70" t="s">
        <v>211</v>
      </c>
      <c r="AA260" s="2" t="s">
        <v>6</v>
      </c>
      <c r="AB260" s="2" t="str">
        <f t="shared" si="176"/>
        <v>-</v>
      </c>
      <c r="AC260" s="2" t="s">
        <v>33</v>
      </c>
      <c r="AD260" s="2" t="str">
        <f t="shared" si="183"/>
        <v>_</v>
      </c>
      <c r="AE260" s="2" t="s">
        <v>13</v>
      </c>
      <c r="AF260" s="2" t="str">
        <f t="shared" si="184"/>
        <v/>
      </c>
      <c r="AG260" s="2"/>
      <c r="AH260" s="2" t="str">
        <f t="shared" si="194"/>
        <v/>
      </c>
      <c r="AI260" s="2"/>
    </row>
    <row r="261" spans="1:35" x14ac:dyDescent="0.25">
      <c r="B261" s="2" t="str">
        <f t="shared" si="328"/>
        <v>@color-motorway_link_case</v>
      </c>
      <c r="C261" s="68" t="s">
        <v>208</v>
      </c>
      <c r="D261" s="37" t="s">
        <v>210</v>
      </c>
      <c r="F261" s="47" t="s">
        <v>210</v>
      </c>
      <c r="G261" s="47" t="s">
        <v>210</v>
      </c>
      <c r="I261" s="68" t="s">
        <v>208</v>
      </c>
      <c r="J261" s="37" t="s">
        <v>210</v>
      </c>
      <c r="L261" s="47" t="s">
        <v>210</v>
      </c>
      <c r="M261" s="47" t="s">
        <v>210</v>
      </c>
      <c r="O261" s="68" t="s">
        <v>208</v>
      </c>
      <c r="P261" s="37" t="s">
        <v>210</v>
      </c>
      <c r="R261" s="47" t="s">
        <v>210</v>
      </c>
      <c r="S261" s="47" t="s">
        <v>210</v>
      </c>
      <c r="U261" s="68" t="s">
        <v>208</v>
      </c>
      <c r="V261" s="37" t="s">
        <v>210</v>
      </c>
      <c r="X261" s="47" t="s">
        <v>210</v>
      </c>
      <c r="Y261" s="47" t="s">
        <v>210</v>
      </c>
      <c r="AA261" s="2" t="s">
        <v>6</v>
      </c>
      <c r="AB261" s="2" t="str">
        <f t="shared" si="176"/>
        <v>-</v>
      </c>
      <c r="AC261" s="2" t="s">
        <v>33</v>
      </c>
      <c r="AD261" s="2" t="str">
        <f t="shared" si="183"/>
        <v>_</v>
      </c>
      <c r="AE261" s="2" t="s">
        <v>17</v>
      </c>
      <c r="AF261" s="2" t="str">
        <f t="shared" si="184"/>
        <v/>
      </c>
      <c r="AG261" s="2"/>
      <c r="AH261" s="2" t="str">
        <f t="shared" si="194"/>
        <v/>
      </c>
      <c r="AI261" s="2"/>
    </row>
    <row r="262" spans="1:35" x14ac:dyDescent="0.25">
      <c r="B262" s="2"/>
      <c r="AB262" s="28" t="str">
        <f t="shared" ref="AB262" si="329">IF(NOT(ISBLANK(AC262)),"-","")</f>
        <v/>
      </c>
      <c r="AD262" s="28" t="str">
        <f t="shared" ref="AD262" si="330">IF(NOT(ISBLANK(AE262)),"_","")</f>
        <v/>
      </c>
      <c r="AF262" s="28" t="str">
        <f t="shared" ref="AF262" si="331">IF(NOT(ISBLANK(AG262)),"_","")</f>
        <v/>
      </c>
      <c r="AH262" s="28" t="str">
        <f t="shared" ref="AH262" si="332">IF(NOT(ISBLANK(AI262)),"_","")</f>
        <v/>
      </c>
    </row>
    <row r="263" spans="1:35" x14ac:dyDescent="0.25">
      <c r="B263" s="2" t="str">
        <f t="shared" si="328"/>
        <v>@color-trunk_primary_secondary_tertiary_link_line_bicycle_no</v>
      </c>
      <c r="C263" s="82" t="s">
        <v>225</v>
      </c>
      <c r="D263" s="70" t="s">
        <v>211</v>
      </c>
      <c r="F263" s="82" t="s">
        <v>225</v>
      </c>
      <c r="G263" s="70" t="s">
        <v>211</v>
      </c>
      <c r="I263" s="83" t="str">
        <f>C263</f>
        <v>"#ffcc8a"</v>
      </c>
      <c r="J263" s="72" t="str">
        <f>D263</f>
        <v>"#d6771e"</v>
      </c>
      <c r="L263" s="82" t="s">
        <v>225</v>
      </c>
      <c r="M263" s="70" t="s">
        <v>211</v>
      </c>
      <c r="U263" s="82" t="s">
        <v>225</v>
      </c>
      <c r="V263" s="70" t="s">
        <v>211</v>
      </c>
      <c r="X263" s="82" t="s">
        <v>225</v>
      </c>
      <c r="Y263" s="70" t="s">
        <v>211</v>
      </c>
      <c r="AA263" s="2" t="s">
        <v>6</v>
      </c>
      <c r="AB263" s="2" t="str">
        <f t="shared" si="176"/>
        <v>-</v>
      </c>
      <c r="AC263" s="2" t="s">
        <v>32</v>
      </c>
      <c r="AD263" s="2" t="str">
        <f t="shared" si="183"/>
        <v>_</v>
      </c>
      <c r="AE263" s="2" t="s">
        <v>13</v>
      </c>
      <c r="AF263" s="2" t="str">
        <f t="shared" si="184"/>
        <v>_</v>
      </c>
      <c r="AG263" s="2" t="s">
        <v>23</v>
      </c>
      <c r="AH263" s="2" t="str">
        <f t="shared" si="194"/>
        <v/>
      </c>
      <c r="AI263" s="2"/>
    </row>
    <row r="264" spans="1:35" x14ac:dyDescent="0.25">
      <c r="B264" s="2" t="str">
        <f t="shared" si="328"/>
        <v>@color-trunk_primary_secondary_tertiary_link_line_unpaved</v>
      </c>
      <c r="C264" s="81" t="s">
        <v>217</v>
      </c>
      <c r="D264" s="81" t="str">
        <f>C264</f>
        <v>"#eddfca"</v>
      </c>
      <c r="F264" s="81" t="s">
        <v>217</v>
      </c>
      <c r="G264" s="81" t="str">
        <f>F264</f>
        <v>"#eddfca"</v>
      </c>
      <c r="I264" s="81" t="s">
        <v>217</v>
      </c>
      <c r="J264" s="81" t="str">
        <f>I264</f>
        <v>"#eddfca"</v>
      </c>
      <c r="L264" s="81" t="s">
        <v>217</v>
      </c>
      <c r="M264" s="81" t="str">
        <f>L264</f>
        <v>"#eddfca"</v>
      </c>
      <c r="U264" s="46" t="s">
        <v>218</v>
      </c>
      <c r="V264" s="38" t="str">
        <f>U264</f>
        <v>"#ffffff"</v>
      </c>
      <c r="X264" s="46" t="s">
        <v>218</v>
      </c>
      <c r="Y264" s="38" t="str">
        <f>X264</f>
        <v>"#ffffff"</v>
      </c>
      <c r="AA264" s="2" t="s">
        <v>6</v>
      </c>
      <c r="AB264" s="2" t="str">
        <f t="shared" si="176"/>
        <v>-</v>
      </c>
      <c r="AC264" s="2" t="s">
        <v>32</v>
      </c>
      <c r="AD264" s="2" t="str">
        <f t="shared" si="183"/>
        <v>_</v>
      </c>
      <c r="AE264" s="2" t="s">
        <v>13</v>
      </c>
      <c r="AF264" s="2" t="str">
        <f t="shared" si="184"/>
        <v>_</v>
      </c>
      <c r="AG264" s="2" t="s">
        <v>21</v>
      </c>
      <c r="AH264" s="2" t="str">
        <f t="shared" si="194"/>
        <v/>
      </c>
      <c r="AI264" s="2"/>
    </row>
    <row r="265" spans="1:35" x14ac:dyDescent="0.25">
      <c r="B265" s="2" t="str">
        <f t="shared" si="328"/>
        <v>@color-trunk_primary_secondary_tertiary_link_line_paved_or_uk</v>
      </c>
      <c r="C265" s="46" t="s">
        <v>218</v>
      </c>
      <c r="D265" s="38" t="str">
        <f>C265</f>
        <v>"#ffffff"</v>
      </c>
      <c r="F265" s="46" t="s">
        <v>218</v>
      </c>
      <c r="G265" s="38" t="str">
        <f>F265</f>
        <v>"#ffffff"</v>
      </c>
      <c r="I265" s="46" t="s">
        <v>218</v>
      </c>
      <c r="J265" s="38" t="str">
        <f>I265</f>
        <v>"#ffffff"</v>
      </c>
      <c r="L265" s="46" t="s">
        <v>218</v>
      </c>
      <c r="M265" s="38" t="str">
        <f>L265</f>
        <v>"#ffffff"</v>
      </c>
      <c r="U265" s="46" t="s">
        <v>218</v>
      </c>
      <c r="V265" s="38" t="str">
        <f>U265</f>
        <v>"#ffffff"</v>
      </c>
      <c r="X265" s="46" t="s">
        <v>218</v>
      </c>
      <c r="Y265" s="38" t="str">
        <f>X265</f>
        <v>"#ffffff"</v>
      </c>
      <c r="AA265" s="2" t="s">
        <v>6</v>
      </c>
      <c r="AB265" s="2" t="str">
        <f t="shared" si="176"/>
        <v>-</v>
      </c>
      <c r="AC265" s="2" t="s">
        <v>32</v>
      </c>
      <c r="AD265" s="2" t="str">
        <f t="shared" si="183"/>
        <v>_</v>
      </c>
      <c r="AE265" s="2" t="s">
        <v>13</v>
      </c>
      <c r="AF265" s="2" t="str">
        <f t="shared" si="184"/>
        <v>_</v>
      </c>
      <c r="AG265" s="2" t="s">
        <v>24</v>
      </c>
      <c r="AH265" s="2" t="str">
        <f t="shared" si="194"/>
        <v/>
      </c>
      <c r="AI265" s="2"/>
    </row>
    <row r="266" spans="1:35" x14ac:dyDescent="0.25">
      <c r="B266" s="2" t="str">
        <f t="shared" si="328"/>
        <v>@color-trunk_primary_secondary_tertiary_link_case_bicycle_no_farzoom</v>
      </c>
      <c r="C266" s="73" t="s">
        <v>220</v>
      </c>
      <c r="D266" s="47" t="s">
        <v>210</v>
      </c>
      <c r="F266" s="73" t="s">
        <v>220</v>
      </c>
      <c r="G266" s="73" t="s">
        <v>220</v>
      </c>
      <c r="I266" s="74" t="str">
        <f>C266</f>
        <v>"#bd430f"</v>
      </c>
      <c r="J266" s="37" t="str">
        <f>D266</f>
        <v>"#000000"</v>
      </c>
      <c r="L266" s="73" t="s">
        <v>220</v>
      </c>
      <c r="M266" s="73" t="s">
        <v>220</v>
      </c>
      <c r="U266" s="73" t="s">
        <v>220</v>
      </c>
      <c r="V266" s="47" t="s">
        <v>210</v>
      </c>
      <c r="X266" s="73" t="s">
        <v>220</v>
      </c>
      <c r="Y266" s="73" t="s">
        <v>220</v>
      </c>
      <c r="AA266" s="2" t="s">
        <v>6</v>
      </c>
      <c r="AB266" s="2" t="str">
        <f t="shared" ref="AB266" si="333">IF(NOT(ISBLANK(AC266)),"-","")</f>
        <v>-</v>
      </c>
      <c r="AC266" s="2" t="s">
        <v>32</v>
      </c>
      <c r="AD266" s="2" t="str">
        <f t="shared" ref="AD266" si="334">IF(NOT(ISBLANK(AE266)),"_","")</f>
        <v>_</v>
      </c>
      <c r="AE266" s="2" t="s">
        <v>17</v>
      </c>
      <c r="AF266" s="2" t="str">
        <f t="shared" ref="AF266" si="335">IF(NOT(ISBLANK(AG266)),"_","")</f>
        <v>_</v>
      </c>
      <c r="AG266" s="2" t="s">
        <v>23</v>
      </c>
      <c r="AH266" s="2" t="str">
        <f t="shared" si="194"/>
        <v>_</v>
      </c>
      <c r="AI266" s="2" t="s">
        <v>20</v>
      </c>
    </row>
    <row r="267" spans="1:35" x14ac:dyDescent="0.25">
      <c r="B267" s="2" t="str">
        <f t="shared" ref="B267:B271" si="336">_xlfn.CONCAT("@",AA267,AB267,AC267,AD267,AE267,AF267,AG267,AH267,AI267)</f>
        <v>@color-trunk_primary_secondary_tertiary_link_case_bicycle_no_default</v>
      </c>
      <c r="C267" s="73" t="s">
        <v>220</v>
      </c>
      <c r="D267" s="47" t="s">
        <v>210</v>
      </c>
      <c r="F267" s="47" t="s">
        <v>210</v>
      </c>
      <c r="G267" s="47" t="s">
        <v>210</v>
      </c>
      <c r="I267" s="74" t="str">
        <f>C267</f>
        <v>"#bd430f"</v>
      </c>
      <c r="J267" s="37" t="str">
        <f>D267</f>
        <v>"#000000"</v>
      </c>
      <c r="L267" s="47" t="s">
        <v>210</v>
      </c>
      <c r="M267" s="47" t="s">
        <v>210</v>
      </c>
      <c r="U267" s="73" t="s">
        <v>220</v>
      </c>
      <c r="V267" s="47" t="s">
        <v>210</v>
      </c>
      <c r="X267" s="47" t="s">
        <v>210</v>
      </c>
      <c r="Y267" s="47" t="s">
        <v>210</v>
      </c>
      <c r="AA267" s="2" t="s">
        <v>6</v>
      </c>
      <c r="AB267" s="2" t="str">
        <f t="shared" ref="AB267:AB271" si="337">IF(NOT(ISBLANK(AC267)),"-","")</f>
        <v>-</v>
      </c>
      <c r="AC267" s="2" t="s">
        <v>32</v>
      </c>
      <c r="AD267" s="2" t="str">
        <f t="shared" ref="AD267:AD271" si="338">IF(NOT(ISBLANK(AE267)),"_","")</f>
        <v>_</v>
      </c>
      <c r="AE267" s="2" t="s">
        <v>17</v>
      </c>
      <c r="AF267" s="2" t="str">
        <f t="shared" ref="AF267:AF271" si="339">IF(NOT(ISBLANK(AG267)),"_","")</f>
        <v>_</v>
      </c>
      <c r="AG267" s="2" t="s">
        <v>23</v>
      </c>
      <c r="AH267" s="2" t="str">
        <f t="shared" ref="AH267:AH271" si="340">IF(NOT(ISBLANK(AI267)),"_","")</f>
        <v>_</v>
      </c>
      <c r="AI267" s="2" t="s">
        <v>255</v>
      </c>
    </row>
    <row r="268" spans="1:35" x14ac:dyDescent="0.25">
      <c r="B268" s="2" t="str">
        <f t="shared" ref="B268" si="341">_xlfn.CONCAT("@",AA268,AB268,AC268,AD268,AE268,AF268,AG268,AH268,AI268)</f>
        <v>@color-trunk_primary_secondary_tertiary_link_case_unpaved_farzoom</v>
      </c>
      <c r="C268" s="75" t="s">
        <v>221</v>
      </c>
      <c r="D268" s="76" t="s">
        <v>223</v>
      </c>
      <c r="F268" s="76" t="s">
        <v>223</v>
      </c>
      <c r="G268" s="75" t="s">
        <v>221</v>
      </c>
      <c r="I268" s="75" t="s">
        <v>221</v>
      </c>
      <c r="J268" s="76" t="s">
        <v>223</v>
      </c>
      <c r="L268" s="76" t="s">
        <v>223</v>
      </c>
      <c r="M268" s="75" t="s">
        <v>221</v>
      </c>
      <c r="U268" s="78" t="s">
        <v>222</v>
      </c>
      <c r="V268" s="47" t="s">
        <v>210</v>
      </c>
      <c r="X268" s="78" t="s">
        <v>222</v>
      </c>
      <c r="Y268" s="78" t="s">
        <v>222</v>
      </c>
      <c r="AA268" s="2" t="s">
        <v>6</v>
      </c>
      <c r="AB268" s="2" t="str">
        <f t="shared" ref="AB268" si="342">IF(NOT(ISBLANK(AC268)),"-","")</f>
        <v>-</v>
      </c>
      <c r="AC268" s="2" t="s">
        <v>32</v>
      </c>
      <c r="AD268" s="2" t="str">
        <f t="shared" ref="AD268" si="343">IF(NOT(ISBLANK(AE268)),"_","")</f>
        <v>_</v>
      </c>
      <c r="AE268" s="2" t="s">
        <v>17</v>
      </c>
      <c r="AF268" s="2" t="str">
        <f t="shared" ref="AF268" si="344">IF(NOT(ISBLANK(AG268)),"_","")</f>
        <v>_</v>
      </c>
      <c r="AG268" s="2" t="s">
        <v>21</v>
      </c>
      <c r="AH268" s="2" t="str">
        <f t="shared" ref="AH268" si="345">IF(NOT(ISBLANK(AI268)),"_","")</f>
        <v>_</v>
      </c>
      <c r="AI268" s="2" t="s">
        <v>20</v>
      </c>
    </row>
    <row r="269" spans="1:35" x14ac:dyDescent="0.25">
      <c r="B269" s="2" t="str">
        <f t="shared" si="336"/>
        <v>@color-trunk_primary_secondary_tertiary_link_case_unpaved_default</v>
      </c>
      <c r="C269" s="76" t="s">
        <v>223</v>
      </c>
      <c r="D269" s="76" t="s">
        <v>223</v>
      </c>
      <c r="F269" s="47" t="s">
        <v>210</v>
      </c>
      <c r="G269" s="47" t="s">
        <v>210</v>
      </c>
      <c r="I269" s="76" t="s">
        <v>223</v>
      </c>
      <c r="J269" s="76" t="s">
        <v>223</v>
      </c>
      <c r="L269" s="47" t="s">
        <v>210</v>
      </c>
      <c r="M269" s="47" t="s">
        <v>210</v>
      </c>
      <c r="U269" s="84" t="s">
        <v>224</v>
      </c>
      <c r="V269" s="47" t="s">
        <v>210</v>
      </c>
      <c r="X269" s="47" t="s">
        <v>210</v>
      </c>
      <c r="Y269" s="47" t="s">
        <v>210</v>
      </c>
      <c r="AA269" s="2" t="s">
        <v>6</v>
      </c>
      <c r="AB269" s="2" t="str">
        <f t="shared" si="337"/>
        <v>-</v>
      </c>
      <c r="AC269" s="2" t="s">
        <v>32</v>
      </c>
      <c r="AD269" s="2" t="str">
        <f t="shared" si="338"/>
        <v>_</v>
      </c>
      <c r="AE269" s="2" t="s">
        <v>17</v>
      </c>
      <c r="AF269" s="2" t="str">
        <f t="shared" si="339"/>
        <v>_</v>
      </c>
      <c r="AG269" s="2" t="s">
        <v>21</v>
      </c>
      <c r="AH269" s="2" t="str">
        <f t="shared" si="340"/>
        <v>_</v>
      </c>
      <c r="AI269" s="2" t="s">
        <v>255</v>
      </c>
    </row>
    <row r="270" spans="1:35" x14ac:dyDescent="0.25">
      <c r="B270" s="2" t="str">
        <f t="shared" ref="B270" si="346">_xlfn.CONCAT("@",AA270,AB270,AC270,AD270,AE270,AF270,AG270,AH270,AI270)</f>
        <v>@color-trunk_primary_secondary_tertiary_link_case_paved_or_uk_farzoom</v>
      </c>
      <c r="C270" s="78" t="s">
        <v>222</v>
      </c>
      <c r="D270" s="47" t="s">
        <v>210</v>
      </c>
      <c r="F270" s="78" t="s">
        <v>222</v>
      </c>
      <c r="G270" s="78" t="s">
        <v>222</v>
      </c>
      <c r="I270" s="78" t="s">
        <v>222</v>
      </c>
      <c r="J270" s="47" t="s">
        <v>210</v>
      </c>
      <c r="L270" s="78" t="s">
        <v>222</v>
      </c>
      <c r="M270" s="78" t="s">
        <v>222</v>
      </c>
      <c r="U270" s="78" t="s">
        <v>222</v>
      </c>
      <c r="V270" s="47" t="s">
        <v>210</v>
      </c>
      <c r="X270" s="78" t="s">
        <v>222</v>
      </c>
      <c r="Y270" s="78" t="s">
        <v>222</v>
      </c>
      <c r="AA270" s="2" t="s">
        <v>6</v>
      </c>
      <c r="AB270" s="2" t="str">
        <f t="shared" ref="AB270" si="347">IF(NOT(ISBLANK(AC270)),"-","")</f>
        <v>-</v>
      </c>
      <c r="AC270" s="2" t="s">
        <v>32</v>
      </c>
      <c r="AD270" s="2" t="str">
        <f t="shared" ref="AD270" si="348">IF(NOT(ISBLANK(AE270)),"_","")</f>
        <v>_</v>
      </c>
      <c r="AE270" s="2" t="s">
        <v>17</v>
      </c>
      <c r="AF270" s="2" t="str">
        <f t="shared" ref="AF270" si="349">IF(NOT(ISBLANK(AG270)),"_","")</f>
        <v>_</v>
      </c>
      <c r="AG270" s="2" t="s">
        <v>24</v>
      </c>
      <c r="AH270" s="2" t="str">
        <f t="shared" ref="AH270" si="350">IF(NOT(ISBLANK(AI270)),"_","")</f>
        <v>_</v>
      </c>
      <c r="AI270" s="2" t="s">
        <v>20</v>
      </c>
    </row>
    <row r="271" spans="1:35" x14ac:dyDescent="0.25">
      <c r="B271" s="2" t="str">
        <f t="shared" si="336"/>
        <v>@color-trunk_primary_secondary_tertiary_link_case_paved_or_uk_default</v>
      </c>
      <c r="C271" s="84" t="s">
        <v>224</v>
      </c>
      <c r="D271" s="47" t="s">
        <v>210</v>
      </c>
      <c r="F271" s="47" t="s">
        <v>210</v>
      </c>
      <c r="G271" s="47" t="s">
        <v>210</v>
      </c>
      <c r="I271" s="84" t="s">
        <v>224</v>
      </c>
      <c r="J271" s="47" t="s">
        <v>210</v>
      </c>
      <c r="L271" s="47" t="s">
        <v>210</v>
      </c>
      <c r="M271" s="47" t="s">
        <v>210</v>
      </c>
      <c r="U271" s="84" t="s">
        <v>224</v>
      </c>
      <c r="V271" s="47" t="s">
        <v>210</v>
      </c>
      <c r="X271" s="47" t="s">
        <v>210</v>
      </c>
      <c r="Y271" s="47" t="s">
        <v>210</v>
      </c>
      <c r="AA271" s="2" t="s">
        <v>6</v>
      </c>
      <c r="AB271" s="2" t="str">
        <f t="shared" si="337"/>
        <v>-</v>
      </c>
      <c r="AC271" s="2" t="s">
        <v>32</v>
      </c>
      <c r="AD271" s="2" t="str">
        <f t="shared" si="338"/>
        <v>_</v>
      </c>
      <c r="AE271" s="2" t="s">
        <v>17</v>
      </c>
      <c r="AF271" s="2" t="str">
        <f t="shared" si="339"/>
        <v>_</v>
      </c>
      <c r="AG271" s="2" t="s">
        <v>24</v>
      </c>
      <c r="AH271" s="2" t="str">
        <f t="shared" si="340"/>
        <v>_</v>
      </c>
      <c r="AI271" s="2" t="s">
        <v>255</v>
      </c>
    </row>
    <row r="272" spans="1:35" x14ac:dyDescent="0.25">
      <c r="B272" s="2"/>
      <c r="AA272" s="2"/>
      <c r="AB272" s="2"/>
      <c r="AC272" s="2"/>
      <c r="AD272" s="2"/>
      <c r="AE272" s="2"/>
    </row>
    <row r="273" spans="1:35" s="5" customFormat="1" x14ac:dyDescent="0.25">
      <c r="A273" s="184" t="s">
        <v>454</v>
      </c>
      <c r="B273" s="184"/>
      <c r="C273" s="184"/>
      <c r="D273" s="184"/>
      <c r="F273" s="184"/>
      <c r="G273" s="184"/>
      <c r="I273" s="184"/>
      <c r="J273" s="184"/>
      <c r="L273" s="184"/>
      <c r="M273" s="184"/>
      <c r="O273" s="184"/>
      <c r="P273" s="184"/>
      <c r="R273" s="184"/>
      <c r="S273" s="184"/>
      <c r="U273" s="184"/>
      <c r="V273" s="184"/>
      <c r="X273" s="184"/>
      <c r="Y273" s="184"/>
      <c r="AA273" s="184"/>
      <c r="AB273" s="184"/>
      <c r="AC273" s="184"/>
      <c r="AD273" s="184"/>
      <c r="AE273" s="184"/>
      <c r="AF273" s="184"/>
      <c r="AG273" s="184"/>
      <c r="AH273" s="184"/>
      <c r="AI273" s="184"/>
    </row>
    <row r="274" spans="1:35" x14ac:dyDescent="0.25">
      <c r="B274" s="2"/>
      <c r="AA274" s="2"/>
      <c r="AB274" s="2"/>
      <c r="AC274" s="2"/>
      <c r="AD274" s="2"/>
      <c r="AE274" s="2"/>
    </row>
    <row r="275" spans="1:35" s="2" customFormat="1" x14ac:dyDescent="0.25">
      <c r="A275" s="185"/>
      <c r="B275" s="3" t="s">
        <v>457</v>
      </c>
      <c r="C275" s="27"/>
      <c r="D275" s="6"/>
      <c r="E275" s="7"/>
      <c r="F275" s="6"/>
      <c r="G275" s="6"/>
      <c r="H275" s="7"/>
      <c r="I275" s="6"/>
      <c r="J275" s="6"/>
      <c r="K275" s="7"/>
      <c r="L275" s="6"/>
      <c r="M275" s="6"/>
      <c r="N275" s="7"/>
      <c r="O275" s="6"/>
      <c r="P275" s="6"/>
      <c r="Q275" s="7"/>
      <c r="R275" s="6"/>
      <c r="S275" s="6"/>
      <c r="T275" s="7"/>
      <c r="U275" s="6"/>
      <c r="V275" s="6"/>
      <c r="W275" s="7"/>
      <c r="X275" s="6"/>
      <c r="Y275" s="6"/>
      <c r="AA275" s="4"/>
      <c r="AB275" s="4" t="str">
        <f t="shared" ref="AB275" si="351">IF(NOT(ISBLANK(AC275)),"-","")</f>
        <v/>
      </c>
      <c r="AC275" s="4"/>
      <c r="AD275" s="4" t="str">
        <f t="shared" ref="AD275" si="352">IF(NOT(ISBLANK(AE275)),"_","")</f>
        <v/>
      </c>
      <c r="AE275" s="4"/>
      <c r="AF275" s="4" t="str">
        <f t="shared" ref="AF275" si="353">IF(NOT(ISBLANK(AG275)),"_","")</f>
        <v/>
      </c>
      <c r="AG275" s="4"/>
      <c r="AH275" s="4" t="str">
        <f t="shared" ref="AH275" si="354">IF(NOT(ISBLANK(AI275)),"_","")</f>
        <v/>
      </c>
      <c r="AI275" s="4"/>
    </row>
    <row r="276" spans="1:35" x14ac:dyDescent="0.25">
      <c r="B276" s="2"/>
      <c r="AA276" s="2"/>
      <c r="AB276" s="2"/>
      <c r="AC276" s="2"/>
      <c r="AD276" s="2"/>
      <c r="AE276" s="2"/>
    </row>
    <row r="277" spans="1:35" x14ac:dyDescent="0.25">
      <c r="B277" s="2" t="str">
        <f t="shared" ref="B277:B285" si="355">_xlfn.CONCAT("@",AA277,AB277,AC277,AD277,AE277,AF277,AG277,AH277,AI277)</f>
        <v>@color-mtb:scale_0-</v>
      </c>
      <c r="C277" s="111" t="s">
        <v>166</v>
      </c>
      <c r="D277" s="112" t="s">
        <v>174</v>
      </c>
      <c r="F277" s="111" t="s">
        <v>166</v>
      </c>
      <c r="G277" s="112" t="s">
        <v>174</v>
      </c>
      <c r="I277" s="111" t="s">
        <v>166</v>
      </c>
      <c r="J277" s="112" t="s">
        <v>174</v>
      </c>
      <c r="L277" s="111" t="s">
        <v>166</v>
      </c>
      <c r="M277" s="112" t="s">
        <v>174</v>
      </c>
      <c r="U277" s="110" t="s">
        <v>287</v>
      </c>
      <c r="V277" s="110" t="s">
        <v>287</v>
      </c>
      <c r="X277" s="110" t="s">
        <v>287</v>
      </c>
      <c r="Y277" s="110" t="s">
        <v>287</v>
      </c>
      <c r="AA277" s="2" t="s">
        <v>6</v>
      </c>
      <c r="AB277" s="2" t="str">
        <f t="shared" ref="AB277:AB284" si="356">IF(NOT(ISBLANK(AC277)),"-","")</f>
        <v>-</v>
      </c>
      <c r="AC277" s="2" t="s">
        <v>7</v>
      </c>
      <c r="AD277" s="2" t="str">
        <f t="shared" ref="AD277:AD284" si="357">IF(NOT(ISBLANK(AE277)),"_","")</f>
        <v>_</v>
      </c>
      <c r="AE277" s="2" t="s">
        <v>9</v>
      </c>
      <c r="AF277" s="2" t="str">
        <f t="shared" ref="AF277:AF284" si="358">IF(NOT(ISBLANK(AG277)),"_","")</f>
        <v/>
      </c>
      <c r="AG277" s="2"/>
      <c r="AH277" s="2" t="str">
        <f t="shared" ref="AH277:AH290" si="359">IF(NOT(ISBLANK(AI277)),"_","")</f>
        <v/>
      </c>
      <c r="AI277" s="2"/>
    </row>
    <row r="278" spans="1:35" x14ac:dyDescent="0.25">
      <c r="B278" s="2" t="str">
        <f t="shared" si="355"/>
        <v>@color-mtb:scale_0</v>
      </c>
      <c r="C278" s="113" t="s">
        <v>167</v>
      </c>
      <c r="D278" s="114" t="s">
        <v>175</v>
      </c>
      <c r="F278" s="113" t="s">
        <v>167</v>
      </c>
      <c r="G278" s="114" t="s">
        <v>175</v>
      </c>
      <c r="I278" s="113" t="s">
        <v>167</v>
      </c>
      <c r="J278" s="114" t="s">
        <v>175</v>
      </c>
      <c r="L278" s="113" t="s">
        <v>167</v>
      </c>
      <c r="M278" s="114" t="s">
        <v>175</v>
      </c>
      <c r="U278" s="110" t="s">
        <v>287</v>
      </c>
      <c r="V278" s="110" t="s">
        <v>287</v>
      </c>
      <c r="X278" s="110" t="s">
        <v>287</v>
      </c>
      <c r="Y278" s="110" t="s">
        <v>287</v>
      </c>
      <c r="AA278" s="2" t="s">
        <v>6</v>
      </c>
      <c r="AB278" s="2" t="str">
        <f t="shared" si="356"/>
        <v>-</v>
      </c>
      <c r="AC278" s="2" t="s">
        <v>7</v>
      </c>
      <c r="AD278" s="2" t="str">
        <f t="shared" si="357"/>
        <v>_</v>
      </c>
      <c r="AE278" s="2">
        <v>0</v>
      </c>
      <c r="AF278" s="2" t="str">
        <f t="shared" si="358"/>
        <v/>
      </c>
      <c r="AH278" s="2" t="str">
        <f t="shared" si="359"/>
        <v/>
      </c>
    </row>
    <row r="279" spans="1:35" x14ac:dyDescent="0.25">
      <c r="B279" s="2" t="str">
        <f t="shared" si="355"/>
        <v>@color-mtb:scale_1</v>
      </c>
      <c r="C279" s="115" t="s">
        <v>168</v>
      </c>
      <c r="D279" s="116" t="s">
        <v>176</v>
      </c>
      <c r="F279" s="115" t="s">
        <v>168</v>
      </c>
      <c r="G279" s="116" t="s">
        <v>176</v>
      </c>
      <c r="I279" s="115" t="s">
        <v>168</v>
      </c>
      <c r="J279" s="116" t="s">
        <v>176</v>
      </c>
      <c r="L279" s="115" t="s">
        <v>168</v>
      </c>
      <c r="M279" s="116" t="s">
        <v>176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si="356"/>
        <v>-</v>
      </c>
      <c r="AC279" s="2" t="s">
        <v>7</v>
      </c>
      <c r="AD279" s="2" t="str">
        <f t="shared" si="357"/>
        <v>_</v>
      </c>
      <c r="AE279" s="2">
        <v>1</v>
      </c>
      <c r="AF279" s="2" t="str">
        <f t="shared" si="358"/>
        <v/>
      </c>
      <c r="AH279" s="2" t="str">
        <f t="shared" si="359"/>
        <v/>
      </c>
    </row>
    <row r="280" spans="1:35" x14ac:dyDescent="0.25">
      <c r="B280" s="2" t="str">
        <f t="shared" si="355"/>
        <v>@color-mtb:scale_2</v>
      </c>
      <c r="C280" s="117" t="s">
        <v>169</v>
      </c>
      <c r="D280" s="118" t="s">
        <v>177</v>
      </c>
      <c r="F280" s="117" t="s">
        <v>169</v>
      </c>
      <c r="G280" s="118" t="s">
        <v>177</v>
      </c>
      <c r="I280" s="117" t="s">
        <v>169</v>
      </c>
      <c r="J280" s="118" t="s">
        <v>177</v>
      </c>
      <c r="L280" s="117" t="s">
        <v>169</v>
      </c>
      <c r="M280" s="118" t="s">
        <v>177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56"/>
        <v>-</v>
      </c>
      <c r="AC280" s="2" t="s">
        <v>7</v>
      </c>
      <c r="AD280" s="2" t="str">
        <f t="shared" si="357"/>
        <v>_</v>
      </c>
      <c r="AE280" s="2">
        <v>2</v>
      </c>
      <c r="AF280" s="2" t="str">
        <f t="shared" si="358"/>
        <v/>
      </c>
      <c r="AH280" s="2" t="str">
        <f t="shared" si="359"/>
        <v/>
      </c>
    </row>
    <row r="281" spans="1:35" x14ac:dyDescent="0.25">
      <c r="B281" s="2" t="str">
        <f t="shared" si="355"/>
        <v>@color-mtb:scale_3</v>
      </c>
      <c r="C281" s="119" t="s">
        <v>170</v>
      </c>
      <c r="D281" s="119" t="s">
        <v>170</v>
      </c>
      <c r="F281" s="119" t="s">
        <v>170</v>
      </c>
      <c r="G281" s="119" t="s">
        <v>170</v>
      </c>
      <c r="I281" s="119" t="s">
        <v>170</v>
      </c>
      <c r="J281" s="119" t="s">
        <v>170</v>
      </c>
      <c r="L281" s="119" t="s">
        <v>170</v>
      </c>
      <c r="M281" s="119" t="s">
        <v>170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si="356"/>
        <v>-</v>
      </c>
      <c r="AC281" s="2" t="s">
        <v>7</v>
      </c>
      <c r="AD281" s="2" t="str">
        <f t="shared" si="357"/>
        <v>_</v>
      </c>
      <c r="AE281" s="2">
        <v>3</v>
      </c>
      <c r="AF281" s="2" t="str">
        <f t="shared" si="358"/>
        <v/>
      </c>
      <c r="AH281" s="2" t="str">
        <f t="shared" si="359"/>
        <v/>
      </c>
    </row>
    <row r="282" spans="1:35" x14ac:dyDescent="0.25">
      <c r="B282" s="2" t="str">
        <f t="shared" si="355"/>
        <v>@color-mtb:scale_4</v>
      </c>
      <c r="C282" s="120" t="s">
        <v>171</v>
      </c>
      <c r="D282" s="121" t="s">
        <v>178</v>
      </c>
      <c r="F282" s="120" t="s">
        <v>171</v>
      </c>
      <c r="G282" s="121" t="s">
        <v>178</v>
      </c>
      <c r="I282" s="120" t="s">
        <v>171</v>
      </c>
      <c r="J282" s="121" t="s">
        <v>178</v>
      </c>
      <c r="L282" s="120" t="s">
        <v>171</v>
      </c>
      <c r="M282" s="121" t="s">
        <v>178</v>
      </c>
      <c r="U282" s="110" t="s">
        <v>287</v>
      </c>
      <c r="V282" s="110" t="s">
        <v>287</v>
      </c>
      <c r="X282" s="110" t="s">
        <v>287</v>
      </c>
      <c r="Y282" s="110" t="s">
        <v>287</v>
      </c>
      <c r="AA282" s="2" t="s">
        <v>6</v>
      </c>
      <c r="AB282" s="2" t="str">
        <f t="shared" si="356"/>
        <v>-</v>
      </c>
      <c r="AC282" s="2" t="s">
        <v>7</v>
      </c>
      <c r="AD282" s="2" t="str">
        <f t="shared" si="357"/>
        <v>_</v>
      </c>
      <c r="AE282" s="2">
        <v>4</v>
      </c>
      <c r="AF282" s="2" t="str">
        <f t="shared" si="358"/>
        <v/>
      </c>
      <c r="AH282" s="2" t="str">
        <f t="shared" si="359"/>
        <v/>
      </c>
    </row>
    <row r="283" spans="1:35" x14ac:dyDescent="0.25">
      <c r="B283" s="2" t="str">
        <f t="shared" si="355"/>
        <v>@color-mtb:scale_5</v>
      </c>
      <c r="C283" s="122" t="s">
        <v>172</v>
      </c>
      <c r="D283" s="123" t="s">
        <v>179</v>
      </c>
      <c r="F283" s="122" t="s">
        <v>172</v>
      </c>
      <c r="G283" s="123" t="s">
        <v>179</v>
      </c>
      <c r="I283" s="122" t="s">
        <v>172</v>
      </c>
      <c r="J283" s="123" t="s">
        <v>179</v>
      </c>
      <c r="L283" s="122" t="s">
        <v>172</v>
      </c>
      <c r="M283" s="123" t="s">
        <v>179</v>
      </c>
      <c r="U283" s="110" t="s">
        <v>287</v>
      </c>
      <c r="V283" s="110" t="s">
        <v>287</v>
      </c>
      <c r="X283" s="110" t="s">
        <v>287</v>
      </c>
      <c r="Y283" s="110" t="s">
        <v>287</v>
      </c>
      <c r="AA283" s="2" t="s">
        <v>6</v>
      </c>
      <c r="AB283" s="2" t="str">
        <f t="shared" si="356"/>
        <v>-</v>
      </c>
      <c r="AC283" s="2" t="s">
        <v>7</v>
      </c>
      <c r="AD283" s="2" t="str">
        <f t="shared" si="357"/>
        <v>_</v>
      </c>
      <c r="AE283" s="2">
        <v>5</v>
      </c>
      <c r="AF283" s="2" t="str">
        <f t="shared" si="358"/>
        <v/>
      </c>
      <c r="AH283" s="2" t="str">
        <f t="shared" si="359"/>
        <v/>
      </c>
    </row>
    <row r="284" spans="1:35" x14ac:dyDescent="0.25">
      <c r="B284" s="2" t="str">
        <f t="shared" si="355"/>
        <v>@color-mtb:scale_6</v>
      </c>
      <c r="C284" s="124" t="s">
        <v>173</v>
      </c>
      <c r="D284" s="125" t="s">
        <v>180</v>
      </c>
      <c r="F284" s="124" t="s">
        <v>173</v>
      </c>
      <c r="G284" s="125" t="s">
        <v>180</v>
      </c>
      <c r="I284" s="124" t="s">
        <v>173</v>
      </c>
      <c r="J284" s="125" t="s">
        <v>180</v>
      </c>
      <c r="L284" s="124" t="s">
        <v>173</v>
      </c>
      <c r="M284" s="125" t="s">
        <v>180</v>
      </c>
      <c r="U284" s="110" t="s">
        <v>287</v>
      </c>
      <c r="V284" s="110" t="s">
        <v>287</v>
      </c>
      <c r="X284" s="110" t="s">
        <v>287</v>
      </c>
      <c r="Y284" s="110" t="s">
        <v>287</v>
      </c>
      <c r="AA284" s="2" t="s">
        <v>6</v>
      </c>
      <c r="AB284" s="2" t="str">
        <f t="shared" si="356"/>
        <v>-</v>
      </c>
      <c r="AC284" s="2" t="s">
        <v>7</v>
      </c>
      <c r="AD284" s="2" t="str">
        <f t="shared" si="357"/>
        <v>_</v>
      </c>
      <c r="AE284" s="2">
        <v>6</v>
      </c>
      <c r="AF284" s="2" t="str">
        <f t="shared" si="358"/>
        <v/>
      </c>
      <c r="AH284" s="2" t="str">
        <f t="shared" si="359"/>
        <v/>
      </c>
    </row>
    <row r="285" spans="1:35" x14ac:dyDescent="0.25">
      <c r="B285" s="2" t="str">
        <f t="shared" si="355"/>
        <v>@color-mtb:scale_null</v>
      </c>
      <c r="C285" s="38" t="s">
        <v>218</v>
      </c>
      <c r="D285" s="38" t="s">
        <v>218</v>
      </c>
      <c r="F285" s="31" t="s">
        <v>272</v>
      </c>
      <c r="G285" s="31" t="s">
        <v>272</v>
      </c>
      <c r="I285" s="38" t="s">
        <v>218</v>
      </c>
      <c r="J285" s="38" t="s">
        <v>218</v>
      </c>
      <c r="L285" s="31" t="s">
        <v>272</v>
      </c>
      <c r="M285" s="31" t="s">
        <v>272</v>
      </c>
      <c r="U285" s="110" t="s">
        <v>287</v>
      </c>
      <c r="V285" s="110" t="s">
        <v>287</v>
      </c>
      <c r="X285" s="110" t="s">
        <v>287</v>
      </c>
      <c r="Y285" s="110" t="s">
        <v>287</v>
      </c>
      <c r="AA285" s="2" t="s">
        <v>6</v>
      </c>
      <c r="AB285" s="2" t="str">
        <f t="shared" ref="AB285" si="360">IF(NOT(ISBLANK(AC285)),"-","")</f>
        <v>-</v>
      </c>
      <c r="AC285" s="2" t="s">
        <v>7</v>
      </c>
      <c r="AD285" s="2" t="str">
        <f t="shared" ref="AD285" si="361">IF(NOT(ISBLANK(AE285)),"_","")</f>
        <v>_</v>
      </c>
      <c r="AE285" s="2" t="s">
        <v>287</v>
      </c>
      <c r="AF285" s="2" t="str">
        <f t="shared" ref="AF285" si="362">IF(NOT(ISBLANK(AG285)),"_","")</f>
        <v/>
      </c>
      <c r="AH285" s="2" t="str">
        <f t="shared" si="359"/>
        <v/>
      </c>
    </row>
    <row r="286" spans="1:35" x14ac:dyDescent="0.25">
      <c r="B286" s="2"/>
      <c r="AA286" s="2"/>
      <c r="AB286" s="2" t="str">
        <f>IF(NOT(ISBLANK(AC286)),"-","")</f>
        <v/>
      </c>
      <c r="AC286" s="2"/>
      <c r="AD286" s="2" t="str">
        <f>IF(NOT(ISBLANK(AE286)),"_","")</f>
        <v/>
      </c>
      <c r="AE286" s="2"/>
      <c r="AF286" s="28" t="str">
        <f>IF(NOT(ISBLANK(AG286)),"_","")</f>
        <v/>
      </c>
      <c r="AH286" s="28" t="str">
        <f t="shared" si="359"/>
        <v/>
      </c>
    </row>
    <row r="287" spans="1:35" x14ac:dyDescent="0.25">
      <c r="B287" s="2" t="str">
        <f>_xlfn.CONCAT("@",AA287,AB287,AC287,AD287,AE287,AF287,AG287,AH287,AI287)</f>
        <v>@color-mtb:winter_groomed</v>
      </c>
      <c r="C287" s="110" t="s">
        <v>287</v>
      </c>
      <c r="D287" s="110" t="s">
        <v>287</v>
      </c>
      <c r="F287" s="110" t="s">
        <v>287</v>
      </c>
      <c r="G287" s="110" t="s">
        <v>287</v>
      </c>
      <c r="I287" s="110" t="s">
        <v>287</v>
      </c>
      <c r="J287" s="110" t="s">
        <v>287</v>
      </c>
      <c r="L287" s="110" t="s">
        <v>287</v>
      </c>
      <c r="M287" s="110" t="s">
        <v>287</v>
      </c>
      <c r="O287" s="110" t="s">
        <v>287</v>
      </c>
      <c r="P287" s="110" t="s">
        <v>287</v>
      </c>
      <c r="R287" s="110" t="s">
        <v>287</v>
      </c>
      <c r="S287" s="110" t="s">
        <v>287</v>
      </c>
      <c r="U287" s="111" t="s">
        <v>166</v>
      </c>
      <c r="V287" s="112" t="s">
        <v>174</v>
      </c>
      <c r="X287" s="111" t="s">
        <v>166</v>
      </c>
      <c r="Y287" s="112" t="s">
        <v>174</v>
      </c>
      <c r="AA287" s="2" t="s">
        <v>6</v>
      </c>
      <c r="AB287" s="2" t="str">
        <f t="shared" ref="AB287" si="363">IF(NOT(ISBLANK(AC287)),"-","")</f>
        <v>-</v>
      </c>
      <c r="AC287" s="2" t="s">
        <v>219</v>
      </c>
      <c r="AD287" s="2" t="str">
        <f t="shared" ref="AD287" si="364">IF(NOT(ISBLANK(AE287)),"_","")</f>
        <v>_</v>
      </c>
      <c r="AE287" s="2" t="s">
        <v>395</v>
      </c>
      <c r="AF287" s="2" t="str">
        <f t="shared" ref="AF287" si="365">IF(NOT(ISBLANK(AG287)),"_","")</f>
        <v/>
      </c>
      <c r="AH287" s="2" t="str">
        <f t="shared" ref="AH287" si="366">IF(NOT(ISBLANK(AI287)),"_","")</f>
        <v/>
      </c>
    </row>
    <row r="288" spans="1:35" x14ac:dyDescent="0.25">
      <c r="B288" s="2" t="str">
        <f>_xlfn.CONCAT("@",AA288,AB288,AC288,AD288,AE288,AF288,AG288,AH288,AI288)</f>
        <v>@color-mtb:winter_1</v>
      </c>
      <c r="C288" s="110" t="s">
        <v>287</v>
      </c>
      <c r="D288" s="110" t="s">
        <v>287</v>
      </c>
      <c r="F288" s="110" t="s">
        <v>287</v>
      </c>
      <c r="G288" s="110" t="s">
        <v>287</v>
      </c>
      <c r="I288" s="110" t="s">
        <v>287</v>
      </c>
      <c r="J288" s="110" t="s">
        <v>287</v>
      </c>
      <c r="L288" s="110" t="s">
        <v>287</v>
      </c>
      <c r="M288" s="110" t="s">
        <v>287</v>
      </c>
      <c r="O288" s="110" t="s">
        <v>287</v>
      </c>
      <c r="P288" s="110" t="s">
        <v>287</v>
      </c>
      <c r="R288" s="110" t="s">
        <v>287</v>
      </c>
      <c r="S288" s="110" t="s">
        <v>287</v>
      </c>
      <c r="U288" s="40" t="s">
        <v>167</v>
      </c>
      <c r="V288" s="41" t="s">
        <v>175</v>
      </c>
      <c r="X288" s="40" t="s">
        <v>167</v>
      </c>
      <c r="Y288" s="41" t="s">
        <v>175</v>
      </c>
      <c r="AA288" s="2" t="s">
        <v>6</v>
      </c>
      <c r="AB288" s="2" t="str">
        <f t="shared" ref="AB288" si="367">IF(NOT(ISBLANK(AC288)),"-","")</f>
        <v>-</v>
      </c>
      <c r="AC288" s="2" t="s">
        <v>219</v>
      </c>
      <c r="AD288" s="2" t="str">
        <f t="shared" ref="AD288" si="368">IF(NOT(ISBLANK(AE288)),"_","")</f>
        <v>_</v>
      </c>
      <c r="AE288" s="2">
        <v>1</v>
      </c>
      <c r="AF288" s="2" t="str">
        <f t="shared" ref="AF288" si="369">IF(NOT(ISBLANK(AG288)),"_","")</f>
        <v/>
      </c>
      <c r="AH288" s="2" t="str">
        <f t="shared" si="359"/>
        <v/>
      </c>
    </row>
    <row r="289" spans="2:34" x14ac:dyDescent="0.25">
      <c r="B289" s="2" t="str">
        <f t="shared" ref="B289:B290" si="370">_xlfn.CONCAT("@",AA289,AB289,AC289,AD289,AE289,AF289,AG289,AH289,AI289)</f>
        <v>@color-mtb:winter_2</v>
      </c>
      <c r="C289" s="110" t="s">
        <v>287</v>
      </c>
      <c r="D289" s="110" t="s">
        <v>287</v>
      </c>
      <c r="F289" s="110" t="s">
        <v>287</v>
      </c>
      <c r="G289" s="110" t="s">
        <v>287</v>
      </c>
      <c r="I289" s="110" t="s">
        <v>287</v>
      </c>
      <c r="J289" s="110" t="s">
        <v>287</v>
      </c>
      <c r="L289" s="110" t="s">
        <v>287</v>
      </c>
      <c r="M289" s="110" t="s">
        <v>287</v>
      </c>
      <c r="O289" s="110" t="s">
        <v>287</v>
      </c>
      <c r="P289" s="110" t="s">
        <v>287</v>
      </c>
      <c r="R289" s="110" t="s">
        <v>287</v>
      </c>
      <c r="S289" s="110" t="s">
        <v>287</v>
      </c>
      <c r="U289" s="42" t="s">
        <v>168</v>
      </c>
      <c r="V289" s="43" t="s">
        <v>176</v>
      </c>
      <c r="X289" s="42" t="s">
        <v>168</v>
      </c>
      <c r="Y289" s="43" t="s">
        <v>176</v>
      </c>
      <c r="AA289" s="2" t="s">
        <v>6</v>
      </c>
      <c r="AB289" s="2" t="str">
        <f t="shared" ref="AB289:AB290" si="371">IF(NOT(ISBLANK(AC289)),"-","")</f>
        <v>-</v>
      </c>
      <c r="AC289" s="2" t="s">
        <v>219</v>
      </c>
      <c r="AD289" s="2" t="str">
        <f>IF(NOT(ISBLANK(AE289)),"_","")</f>
        <v>_</v>
      </c>
      <c r="AE289" s="2">
        <v>2</v>
      </c>
      <c r="AF289" s="2" t="str">
        <f>IF(NOT(ISBLANK(AG289)),"_","")</f>
        <v/>
      </c>
      <c r="AH289" s="2" t="str">
        <f t="shared" si="359"/>
        <v/>
      </c>
    </row>
    <row r="290" spans="2:34" x14ac:dyDescent="0.25">
      <c r="B290" s="2" t="str">
        <f t="shared" si="370"/>
        <v>@color-mtb:winter_3</v>
      </c>
      <c r="C290" s="110" t="s">
        <v>287</v>
      </c>
      <c r="D290" s="110" t="s">
        <v>287</v>
      </c>
      <c r="F290" s="110" t="s">
        <v>287</v>
      </c>
      <c r="G290" s="110" t="s">
        <v>287</v>
      </c>
      <c r="I290" s="110" t="s">
        <v>287</v>
      </c>
      <c r="J290" s="110" t="s">
        <v>287</v>
      </c>
      <c r="L290" s="110" t="s">
        <v>287</v>
      </c>
      <c r="M290" s="110" t="s">
        <v>287</v>
      </c>
      <c r="O290" s="110" t="s">
        <v>287</v>
      </c>
      <c r="P290" s="110" t="s">
        <v>287</v>
      </c>
      <c r="R290" s="110" t="s">
        <v>287</v>
      </c>
      <c r="S290" s="110" t="s">
        <v>287</v>
      </c>
      <c r="U290" s="44" t="s">
        <v>169</v>
      </c>
      <c r="V290" s="45" t="s">
        <v>177</v>
      </c>
      <c r="X290" s="44" t="s">
        <v>169</v>
      </c>
      <c r="Y290" s="45" t="s">
        <v>177</v>
      </c>
      <c r="AA290" s="2" t="s">
        <v>6</v>
      </c>
      <c r="AB290" s="2" t="str">
        <f t="shared" si="371"/>
        <v>-</v>
      </c>
      <c r="AC290" s="2" t="s">
        <v>219</v>
      </c>
      <c r="AD290" s="2" t="str">
        <f>IF(NOT(ISBLANK(AE290)),"_","")</f>
        <v>_</v>
      </c>
      <c r="AE290" s="2">
        <v>3</v>
      </c>
      <c r="AF290" s="2" t="str">
        <f>IF(NOT(ISBLANK(AG290)),"_","")</f>
        <v/>
      </c>
      <c r="AH290" s="2" t="str">
        <f t="shared" si="359"/>
        <v/>
      </c>
    </row>
    <row r="291" spans="2:34" x14ac:dyDescent="0.25">
      <c r="B291" s="2" t="str">
        <f t="shared" ref="B291" si="372">_xlfn.CONCAT("@",AA291,AB291,AC291,AD291,AE291,AF291,AG291,AH291,AI291)</f>
        <v>@color-mtb:winter_null</v>
      </c>
      <c r="C291" s="110" t="s">
        <v>287</v>
      </c>
      <c r="D291" s="110" t="s">
        <v>287</v>
      </c>
      <c r="F291" s="110" t="s">
        <v>287</v>
      </c>
      <c r="G291" s="110" t="s">
        <v>287</v>
      </c>
      <c r="I291" s="110" t="s">
        <v>287</v>
      </c>
      <c r="J291" s="110" t="s">
        <v>287</v>
      </c>
      <c r="L291" s="110" t="s">
        <v>287</v>
      </c>
      <c r="M291" s="110" t="s">
        <v>287</v>
      </c>
      <c r="O291" s="110" t="s">
        <v>287</v>
      </c>
      <c r="P291" s="110" t="s">
        <v>287</v>
      </c>
      <c r="R291" s="110" t="s">
        <v>287</v>
      </c>
      <c r="S291" s="110" t="s">
        <v>287</v>
      </c>
      <c r="U291" s="38" t="s">
        <v>218</v>
      </c>
      <c r="V291" s="38" t="s">
        <v>218</v>
      </c>
      <c r="X291" s="128" t="s">
        <v>403</v>
      </c>
      <c r="Y291" s="128" t="s">
        <v>403</v>
      </c>
      <c r="AA291" s="2" t="s">
        <v>6</v>
      </c>
      <c r="AB291" s="2" t="str">
        <f t="shared" ref="AB291" si="373">IF(NOT(ISBLANK(AC291)),"-","")</f>
        <v>-</v>
      </c>
      <c r="AC291" s="2" t="s">
        <v>219</v>
      </c>
      <c r="AD291" s="2" t="str">
        <f>IF(NOT(ISBLANK(AE291)),"_","")</f>
        <v>_</v>
      </c>
      <c r="AE291" s="2" t="s">
        <v>287</v>
      </c>
      <c r="AF291" s="2" t="str">
        <f>IF(NOT(ISBLANK(AG291)),"_","")</f>
        <v/>
      </c>
      <c r="AH291" s="2" t="str">
        <f t="shared" ref="AH291" si="374">IF(NOT(ISBLANK(AI291)),"_","")</f>
        <v/>
      </c>
    </row>
    <row r="292" spans="2:34" x14ac:dyDescent="0.25">
      <c r="B292" s="2"/>
      <c r="AA292" s="2"/>
      <c r="AB292" s="2"/>
      <c r="AC292" s="2"/>
      <c r="AD292" s="2"/>
      <c r="AE292" s="2"/>
    </row>
    <row r="293" spans="2:34" x14ac:dyDescent="0.25">
      <c r="B293" s="2" t="str">
        <f t="shared" ref="B293" si="375">_xlfn.CONCAT("@",AA293,AB293,AC293,AD293,AE293,AF293,AG293,AH293,AI293)</f>
        <v>@color-path_track_noexit</v>
      </c>
      <c r="C293" s="38" t="s">
        <v>218</v>
      </c>
      <c r="D293" s="38" t="s">
        <v>218</v>
      </c>
      <c r="F293" s="31" t="s">
        <v>272</v>
      </c>
      <c r="G293" s="31" t="s">
        <v>272</v>
      </c>
      <c r="I293" s="38" t="s">
        <v>218</v>
      </c>
      <c r="J293" s="38" t="s">
        <v>218</v>
      </c>
      <c r="L293" s="31" t="s">
        <v>272</v>
      </c>
      <c r="M293" s="31" t="s">
        <v>272</v>
      </c>
      <c r="U293" s="38" t="s">
        <v>218</v>
      </c>
      <c r="V293" s="38" t="s">
        <v>218</v>
      </c>
      <c r="X293" s="128" t="s">
        <v>403</v>
      </c>
      <c r="Y293" s="128" t="s">
        <v>403</v>
      </c>
      <c r="AA293" s="2" t="s">
        <v>6</v>
      </c>
      <c r="AB293" s="2" t="str">
        <f t="shared" ref="AB293" si="376">IF(NOT(ISBLANK(AC293)),"-","")</f>
        <v>-</v>
      </c>
      <c r="AC293" s="2" t="s">
        <v>421</v>
      </c>
      <c r="AD293" s="2" t="str">
        <f t="shared" ref="AD293" si="377">IF(NOT(ISBLANK(AE293)),"_","")</f>
        <v>_</v>
      </c>
      <c r="AE293" s="2" t="s">
        <v>422</v>
      </c>
      <c r="AF293" s="2" t="str">
        <f t="shared" ref="AF293" si="378">IF(NOT(ISBLANK(AG293)),"_","")</f>
        <v/>
      </c>
      <c r="AH293" s="2" t="str">
        <f t="shared" ref="AH293:AH294" si="379">IF(NOT(ISBLANK(AI293)),"_","")</f>
        <v/>
      </c>
    </row>
    <row r="294" spans="2:34" x14ac:dyDescent="0.25">
      <c r="B294" s="2"/>
      <c r="AA294" s="2"/>
      <c r="AB294" s="2" t="str">
        <f>IF(NOT(ISBLANK(AC294)),"-","")</f>
        <v/>
      </c>
      <c r="AC294" s="2"/>
      <c r="AD294" s="2" t="str">
        <f>IF(NOT(ISBLANK(AE294)),"_","")</f>
        <v/>
      </c>
      <c r="AE294" s="2"/>
      <c r="AF294" s="28" t="str">
        <f>IF(NOT(ISBLANK(AG294)),"_","")</f>
        <v/>
      </c>
      <c r="AH294" s="28" t="str">
        <f t="shared" si="379"/>
        <v/>
      </c>
    </row>
    <row r="295" spans="2:34" x14ac:dyDescent="0.25">
      <c r="B295" s="2" t="str">
        <f t="shared" ref="B295:B310" si="380">_xlfn.CONCAT("@",AA295,AB295,AC295,AD295,AE295,AF295,AG295,AH295,AI295)</f>
        <v>@case_width-path_narrow_z11</v>
      </c>
      <c r="C295" s="28" t="s">
        <v>76</v>
      </c>
      <c r="D295" s="28" t="s">
        <v>81</v>
      </c>
      <c r="F295" s="28" t="s">
        <v>76</v>
      </c>
      <c r="G295" s="28" t="s">
        <v>81</v>
      </c>
      <c r="I295" s="28" t="s">
        <v>91</v>
      </c>
      <c r="L295" s="28" t="s">
        <v>91</v>
      </c>
      <c r="U295" s="28" t="s">
        <v>80</v>
      </c>
      <c r="V295" s="28" t="s">
        <v>84</v>
      </c>
      <c r="X295" s="28" t="s">
        <v>80</v>
      </c>
      <c r="Y295" s="28" t="s">
        <v>84</v>
      </c>
      <c r="AA295" s="2" t="s">
        <v>74</v>
      </c>
      <c r="AB295" s="2" t="str">
        <f t="shared" ref="AB295" si="381">IF(NOT(ISBLANK(AC295)),"-","")</f>
        <v>-</v>
      </c>
      <c r="AC295" s="2" t="s">
        <v>67</v>
      </c>
      <c r="AD295" s="2" t="str">
        <f t="shared" ref="AD295" si="382">IF(NOT(ISBLANK(AE295)),"_","")</f>
        <v>_</v>
      </c>
      <c r="AE295" s="2" t="s">
        <v>68</v>
      </c>
      <c r="AF295" s="2" t="str">
        <f t="shared" ref="AF295" si="383">IF(NOT(ISBLANK(AG295)),"_","")</f>
        <v>_</v>
      </c>
      <c r="AG295" s="28" t="s">
        <v>66</v>
      </c>
      <c r="AH295" s="2" t="str">
        <f t="shared" ref="AH295:AH310" si="384">IF(NOT(ISBLANK(AI295)),"_","")</f>
        <v/>
      </c>
    </row>
    <row r="296" spans="2:34" x14ac:dyDescent="0.25">
      <c r="B296" s="2" t="str">
        <f t="shared" si="380"/>
        <v>@case_width-path_medium_z11</v>
      </c>
      <c r="C296" s="28" t="s">
        <v>80</v>
      </c>
      <c r="D296" s="28" t="s">
        <v>84</v>
      </c>
      <c r="F296" s="28" t="s">
        <v>80</v>
      </c>
      <c r="G296" s="28" t="s">
        <v>84</v>
      </c>
      <c r="I296" s="28" t="s">
        <v>92</v>
      </c>
      <c r="L296" s="28" t="s">
        <v>92</v>
      </c>
      <c r="U296" s="28" t="s">
        <v>80</v>
      </c>
      <c r="V296" s="28" t="s">
        <v>84</v>
      </c>
      <c r="X296" s="28" t="s">
        <v>80</v>
      </c>
      <c r="Y296" s="28" t="s">
        <v>84</v>
      </c>
      <c r="AA296" s="2" t="s">
        <v>74</v>
      </c>
      <c r="AB296" s="2" t="str">
        <f t="shared" ref="AB296" si="385">IF(NOT(ISBLANK(AC296)),"-","")</f>
        <v>-</v>
      </c>
      <c r="AC296" s="2" t="s">
        <v>67</v>
      </c>
      <c r="AD296" s="2" t="str">
        <f t="shared" ref="AD296" si="386">IF(NOT(ISBLANK(AE296)),"_","")</f>
        <v>_</v>
      </c>
      <c r="AE296" s="2" t="s">
        <v>75</v>
      </c>
      <c r="AF296" s="2" t="str">
        <f t="shared" ref="AF296" si="387">IF(NOT(ISBLANK(AG296)),"_","")</f>
        <v>_</v>
      </c>
      <c r="AG296" s="28" t="s">
        <v>66</v>
      </c>
      <c r="AH296" s="2" t="str">
        <f t="shared" si="384"/>
        <v/>
      </c>
    </row>
    <row r="297" spans="2:34" x14ac:dyDescent="0.25">
      <c r="B297" s="2" t="str">
        <f t="shared" si="380"/>
        <v>@case_width-path_wide_z11</v>
      </c>
      <c r="C297" s="28" t="s">
        <v>81</v>
      </c>
      <c r="D297" s="28" t="s">
        <v>88</v>
      </c>
      <c r="F297" s="28" t="s">
        <v>81</v>
      </c>
      <c r="G297" s="28" t="s">
        <v>88</v>
      </c>
      <c r="I297" s="28" t="s">
        <v>80</v>
      </c>
      <c r="L297" s="28" t="s">
        <v>80</v>
      </c>
      <c r="U297" s="28" t="s">
        <v>80</v>
      </c>
      <c r="V297" s="28" t="s">
        <v>84</v>
      </c>
      <c r="X297" s="28" t="s">
        <v>80</v>
      </c>
      <c r="Y297" s="28" t="s">
        <v>84</v>
      </c>
      <c r="AA297" s="2" t="s">
        <v>74</v>
      </c>
      <c r="AB297" s="2" t="str">
        <f t="shared" ref="AB297:AB300" si="388">IF(NOT(ISBLANK(AC297)),"-","")</f>
        <v>-</v>
      </c>
      <c r="AC297" s="2" t="s">
        <v>67</v>
      </c>
      <c r="AD297" s="2" t="str">
        <f t="shared" ref="AD297:AD300" si="389">IF(NOT(ISBLANK(AE297)),"_","")</f>
        <v>_</v>
      </c>
      <c r="AE297" s="2" t="s">
        <v>73</v>
      </c>
      <c r="AF297" s="2" t="str">
        <f t="shared" ref="AF297:AF300" si="390">IF(NOT(ISBLANK(AG297)),"_","")</f>
        <v>_</v>
      </c>
      <c r="AG297" s="28" t="s">
        <v>66</v>
      </c>
      <c r="AH297" s="2" t="str">
        <f t="shared" si="384"/>
        <v/>
      </c>
    </row>
    <row r="298" spans="2:34" x14ac:dyDescent="0.25">
      <c r="B298" s="2" t="str">
        <f t="shared" si="380"/>
        <v>@case_width-path_widest_z11</v>
      </c>
      <c r="C298" s="28" t="s">
        <v>81</v>
      </c>
      <c r="D298" s="28" t="s">
        <v>88</v>
      </c>
      <c r="F298" s="28" t="s">
        <v>81</v>
      </c>
      <c r="G298" s="28" t="s">
        <v>88</v>
      </c>
      <c r="I298" s="28" t="s">
        <v>80</v>
      </c>
      <c r="L298" s="28" t="s">
        <v>80</v>
      </c>
      <c r="U298" s="28" t="s">
        <v>80</v>
      </c>
      <c r="V298" s="28" t="s">
        <v>84</v>
      </c>
      <c r="X298" s="28" t="s">
        <v>80</v>
      </c>
      <c r="Y298" s="28" t="s">
        <v>84</v>
      </c>
      <c r="AA298" s="2" t="s">
        <v>74</v>
      </c>
      <c r="AB298" s="2" t="str">
        <f t="shared" ref="AB298" si="391">IF(NOT(ISBLANK(AC298)),"-","")</f>
        <v>-</v>
      </c>
      <c r="AC298" s="2" t="s">
        <v>67</v>
      </c>
      <c r="AD298" s="2" t="str">
        <f t="shared" ref="AD298" si="392">IF(NOT(ISBLANK(AE298)),"_","")</f>
        <v>_</v>
      </c>
      <c r="AE298" s="2" t="s">
        <v>286</v>
      </c>
      <c r="AF298" s="2" t="str">
        <f t="shared" ref="AF298" si="393">IF(NOT(ISBLANK(AG298)),"_","")</f>
        <v>_</v>
      </c>
      <c r="AG298" s="28" t="s">
        <v>66</v>
      </c>
      <c r="AH298" s="2" t="str">
        <f t="shared" si="384"/>
        <v/>
      </c>
    </row>
    <row r="299" spans="2:34" x14ac:dyDescent="0.25">
      <c r="B299" s="2" t="str">
        <f t="shared" si="380"/>
        <v>@case_width-path_narrow_z14</v>
      </c>
      <c r="C299" s="28" t="s">
        <v>77</v>
      </c>
      <c r="D299" s="28" t="s">
        <v>86</v>
      </c>
      <c r="F299" s="28" t="s">
        <v>77</v>
      </c>
      <c r="G299" s="28" t="s">
        <v>86</v>
      </c>
      <c r="I299" s="28" t="s">
        <v>76</v>
      </c>
      <c r="L299" s="28" t="s">
        <v>76</v>
      </c>
      <c r="U299" s="28" t="s">
        <v>81</v>
      </c>
      <c r="V299" s="28" t="s">
        <v>88</v>
      </c>
      <c r="X299" s="28" t="s">
        <v>81</v>
      </c>
      <c r="Y299" s="28" t="s">
        <v>88</v>
      </c>
      <c r="AA299" s="2" t="s">
        <v>74</v>
      </c>
      <c r="AB299" s="2" t="str">
        <f t="shared" si="388"/>
        <v>-</v>
      </c>
      <c r="AC299" s="2" t="s">
        <v>67</v>
      </c>
      <c r="AD299" s="2" t="str">
        <f t="shared" si="389"/>
        <v>_</v>
      </c>
      <c r="AE299" s="2" t="s">
        <v>68</v>
      </c>
      <c r="AF299" s="2" t="str">
        <f t="shared" si="390"/>
        <v>_</v>
      </c>
      <c r="AG299" s="28" t="s">
        <v>70</v>
      </c>
      <c r="AH299" s="2" t="str">
        <f t="shared" si="384"/>
        <v/>
      </c>
    </row>
    <row r="300" spans="2:34" x14ac:dyDescent="0.25">
      <c r="B300" s="2" t="str">
        <f t="shared" si="380"/>
        <v>@case_width-path_medium_z14</v>
      </c>
      <c r="C300" s="28" t="s">
        <v>81</v>
      </c>
      <c r="D300" s="28" t="s">
        <v>88</v>
      </c>
      <c r="F300" s="28" t="s">
        <v>81</v>
      </c>
      <c r="G300" s="28" t="s">
        <v>88</v>
      </c>
      <c r="I300" s="28" t="s">
        <v>93</v>
      </c>
      <c r="L300" s="28" t="s">
        <v>93</v>
      </c>
      <c r="U300" s="28" t="s">
        <v>81</v>
      </c>
      <c r="V300" s="28" t="s">
        <v>88</v>
      </c>
      <c r="X300" s="28" t="s">
        <v>81</v>
      </c>
      <c r="Y300" s="28" t="s">
        <v>88</v>
      </c>
      <c r="AA300" s="2" t="s">
        <v>74</v>
      </c>
      <c r="AB300" s="2" t="str">
        <f t="shared" si="388"/>
        <v>-</v>
      </c>
      <c r="AC300" s="2" t="s">
        <v>67</v>
      </c>
      <c r="AD300" s="2" t="str">
        <f t="shared" si="389"/>
        <v>_</v>
      </c>
      <c r="AE300" s="2" t="s">
        <v>75</v>
      </c>
      <c r="AF300" s="2" t="str">
        <f t="shared" si="390"/>
        <v>_</v>
      </c>
      <c r="AG300" s="28" t="s">
        <v>70</v>
      </c>
      <c r="AH300" s="2" t="str">
        <f t="shared" si="384"/>
        <v/>
      </c>
    </row>
    <row r="301" spans="2:34" x14ac:dyDescent="0.25">
      <c r="B301" s="2" t="str">
        <f t="shared" si="380"/>
        <v>@case_width-path_wide_z14</v>
      </c>
      <c r="C301" s="28" t="s">
        <v>84</v>
      </c>
      <c r="D301" s="28" t="s">
        <v>82</v>
      </c>
      <c r="F301" s="28" t="s">
        <v>84</v>
      </c>
      <c r="G301" s="28" t="s">
        <v>82</v>
      </c>
      <c r="I301" s="28" t="s">
        <v>94</v>
      </c>
      <c r="L301" s="28" t="s">
        <v>94</v>
      </c>
      <c r="U301" s="28" t="s">
        <v>81</v>
      </c>
      <c r="V301" s="28" t="s">
        <v>88</v>
      </c>
      <c r="X301" s="28" t="s">
        <v>81</v>
      </c>
      <c r="Y301" s="28" t="s">
        <v>88</v>
      </c>
      <c r="AA301" s="2" t="s">
        <v>74</v>
      </c>
      <c r="AB301" s="2" t="str">
        <f t="shared" ref="AB301:AB304" si="394">IF(NOT(ISBLANK(AC301)),"-","")</f>
        <v>-</v>
      </c>
      <c r="AC301" s="2" t="s">
        <v>67</v>
      </c>
      <c r="AD301" s="2" t="str">
        <f t="shared" ref="AD301:AD304" si="395">IF(NOT(ISBLANK(AE301)),"_","")</f>
        <v>_</v>
      </c>
      <c r="AE301" s="2" t="s">
        <v>73</v>
      </c>
      <c r="AF301" s="2" t="str">
        <f t="shared" ref="AF301:AF304" si="396">IF(NOT(ISBLANK(AG301)),"_","")</f>
        <v>_</v>
      </c>
      <c r="AG301" s="28" t="s">
        <v>70</v>
      </c>
      <c r="AH301" s="2" t="str">
        <f t="shared" si="384"/>
        <v/>
      </c>
    </row>
    <row r="302" spans="2:34" x14ac:dyDescent="0.25">
      <c r="B302" s="2" t="str">
        <f t="shared" si="380"/>
        <v>@case_width-path_widest_z14</v>
      </c>
      <c r="C302" s="28" t="s">
        <v>88</v>
      </c>
      <c r="D302" s="28" t="s">
        <v>82</v>
      </c>
      <c r="F302" s="28" t="s">
        <v>88</v>
      </c>
      <c r="G302" s="28" t="s">
        <v>82</v>
      </c>
      <c r="I302" s="28" t="s">
        <v>88</v>
      </c>
      <c r="J302" s="28" t="s">
        <v>82</v>
      </c>
      <c r="L302" s="28" t="s">
        <v>88</v>
      </c>
      <c r="M302" s="28" t="s">
        <v>82</v>
      </c>
      <c r="U302" s="28" t="s">
        <v>88</v>
      </c>
      <c r="V302" s="28" t="s">
        <v>82</v>
      </c>
      <c r="X302" s="28" t="s">
        <v>88</v>
      </c>
      <c r="Y302" s="28" t="s">
        <v>82</v>
      </c>
      <c r="AA302" s="2" t="s">
        <v>74</v>
      </c>
      <c r="AB302" s="2" t="str">
        <f t="shared" ref="AB302" si="397">IF(NOT(ISBLANK(AC302)),"-","")</f>
        <v>-</v>
      </c>
      <c r="AC302" s="2" t="s">
        <v>67</v>
      </c>
      <c r="AD302" s="2" t="str">
        <f t="shared" ref="AD302" si="398">IF(NOT(ISBLANK(AE302)),"_","")</f>
        <v>_</v>
      </c>
      <c r="AE302" s="2" t="s">
        <v>286</v>
      </c>
      <c r="AF302" s="2" t="str">
        <f t="shared" ref="AF302" si="399">IF(NOT(ISBLANK(AG302)),"_","")</f>
        <v>_</v>
      </c>
      <c r="AG302" s="28" t="s">
        <v>70</v>
      </c>
      <c r="AH302" s="2" t="str">
        <f t="shared" si="384"/>
        <v/>
      </c>
    </row>
    <row r="303" spans="2:34" x14ac:dyDescent="0.25">
      <c r="B303" s="2" t="str">
        <f t="shared" si="380"/>
        <v>@case_width-path_narrow_z16</v>
      </c>
      <c r="C303" s="28" t="s">
        <v>84</v>
      </c>
      <c r="D303" s="28" t="s">
        <v>84</v>
      </c>
      <c r="F303" s="28" t="s">
        <v>84</v>
      </c>
      <c r="G303" s="28" t="s">
        <v>84</v>
      </c>
      <c r="I303" s="28" t="s">
        <v>76</v>
      </c>
      <c r="L303" s="28" t="s">
        <v>76</v>
      </c>
      <c r="U303" s="28" t="s">
        <v>82</v>
      </c>
      <c r="V303" s="28" t="s">
        <v>82</v>
      </c>
      <c r="X303" s="28" t="s">
        <v>82</v>
      </c>
      <c r="Y303" s="28" t="s">
        <v>82</v>
      </c>
      <c r="AA303" s="2" t="s">
        <v>74</v>
      </c>
      <c r="AB303" s="2" t="str">
        <f t="shared" si="394"/>
        <v>-</v>
      </c>
      <c r="AC303" s="2" t="s">
        <v>67</v>
      </c>
      <c r="AD303" s="2" t="str">
        <f t="shared" si="395"/>
        <v>_</v>
      </c>
      <c r="AE303" s="2" t="s">
        <v>68</v>
      </c>
      <c r="AF303" s="2" t="str">
        <f t="shared" si="396"/>
        <v>_</v>
      </c>
      <c r="AG303" s="28" t="s">
        <v>71</v>
      </c>
      <c r="AH303" s="2" t="str">
        <f t="shared" si="384"/>
        <v/>
      </c>
    </row>
    <row r="304" spans="2:34" x14ac:dyDescent="0.25">
      <c r="B304" s="2" t="str">
        <f t="shared" si="380"/>
        <v>@case_width-path_medium_z16</v>
      </c>
      <c r="C304" s="28" t="s">
        <v>82</v>
      </c>
      <c r="D304" s="28" t="s">
        <v>82</v>
      </c>
      <c r="F304" s="28" t="s">
        <v>82</v>
      </c>
      <c r="G304" s="28" t="s">
        <v>82</v>
      </c>
      <c r="I304" s="28" t="s">
        <v>94</v>
      </c>
      <c r="L304" s="28" t="s">
        <v>94</v>
      </c>
      <c r="U304" s="28" t="s">
        <v>82</v>
      </c>
      <c r="V304" s="28" t="s">
        <v>82</v>
      </c>
      <c r="X304" s="28" t="s">
        <v>82</v>
      </c>
      <c r="Y304" s="28" t="s">
        <v>82</v>
      </c>
      <c r="AA304" s="2" t="s">
        <v>74</v>
      </c>
      <c r="AB304" s="2" t="str">
        <f t="shared" si="394"/>
        <v>-</v>
      </c>
      <c r="AC304" s="2" t="s">
        <v>67</v>
      </c>
      <c r="AD304" s="2" t="str">
        <f t="shared" si="395"/>
        <v>_</v>
      </c>
      <c r="AE304" s="2" t="s">
        <v>75</v>
      </c>
      <c r="AF304" s="2" t="str">
        <f t="shared" si="396"/>
        <v>_</v>
      </c>
      <c r="AG304" s="28" t="s">
        <v>71</v>
      </c>
      <c r="AH304" s="2" t="str">
        <f t="shared" si="384"/>
        <v/>
      </c>
    </row>
    <row r="305" spans="2:34" x14ac:dyDescent="0.25">
      <c r="B305" s="2" t="str">
        <f t="shared" si="380"/>
        <v>@case_width-path_wide_z16</v>
      </c>
      <c r="C305" s="28" t="s">
        <v>83</v>
      </c>
      <c r="D305" s="28" t="s">
        <v>83</v>
      </c>
      <c r="F305" s="28" t="s">
        <v>83</v>
      </c>
      <c r="G305" s="28" t="s">
        <v>83</v>
      </c>
      <c r="I305" s="28" t="s">
        <v>95</v>
      </c>
      <c r="L305" s="28" t="s">
        <v>95</v>
      </c>
      <c r="U305" s="28" t="s">
        <v>82</v>
      </c>
      <c r="V305" s="28" t="s">
        <v>82</v>
      </c>
      <c r="X305" s="28" t="s">
        <v>82</v>
      </c>
      <c r="Y305" s="28" t="s">
        <v>82</v>
      </c>
      <c r="AA305" s="2" t="s">
        <v>74</v>
      </c>
      <c r="AB305" s="2" t="str">
        <f t="shared" ref="AB305:AB308" si="400">IF(NOT(ISBLANK(AC305)),"-","")</f>
        <v>-</v>
      </c>
      <c r="AC305" s="2" t="s">
        <v>67</v>
      </c>
      <c r="AD305" s="2" t="str">
        <f t="shared" ref="AD305:AD308" si="401">IF(NOT(ISBLANK(AE305)),"_","")</f>
        <v>_</v>
      </c>
      <c r="AE305" s="2" t="s">
        <v>73</v>
      </c>
      <c r="AF305" s="2" t="str">
        <f t="shared" ref="AF305:AF308" si="402">IF(NOT(ISBLANK(AG305)),"_","")</f>
        <v>_</v>
      </c>
      <c r="AG305" s="28" t="s">
        <v>71</v>
      </c>
      <c r="AH305" s="2" t="str">
        <f t="shared" si="384"/>
        <v/>
      </c>
    </row>
    <row r="306" spans="2:34" x14ac:dyDescent="0.25">
      <c r="B306" s="2" t="str">
        <f t="shared" si="380"/>
        <v>@case_width-path_widest_z16</v>
      </c>
      <c r="C306" s="28" t="s">
        <v>83</v>
      </c>
      <c r="D306" s="28" t="s">
        <v>83</v>
      </c>
      <c r="F306" s="28" t="s">
        <v>83</v>
      </c>
      <c r="G306" s="28" t="s">
        <v>83</v>
      </c>
      <c r="I306" s="28" t="s">
        <v>83</v>
      </c>
      <c r="J306" s="28" t="s">
        <v>83</v>
      </c>
      <c r="L306" s="28" t="s">
        <v>83</v>
      </c>
      <c r="M306" s="28" t="s">
        <v>83</v>
      </c>
      <c r="U306" s="28" t="s">
        <v>83</v>
      </c>
      <c r="V306" s="28" t="s">
        <v>83</v>
      </c>
      <c r="X306" s="28" t="s">
        <v>83</v>
      </c>
      <c r="Y306" s="28" t="s">
        <v>83</v>
      </c>
      <c r="AA306" s="2" t="s">
        <v>74</v>
      </c>
      <c r="AB306" s="2" t="str">
        <f t="shared" ref="AB306" si="403">IF(NOT(ISBLANK(AC306)),"-","")</f>
        <v>-</v>
      </c>
      <c r="AC306" s="2" t="s">
        <v>67</v>
      </c>
      <c r="AD306" s="2" t="str">
        <f t="shared" ref="AD306" si="404">IF(NOT(ISBLANK(AE306)),"_","")</f>
        <v>_</v>
      </c>
      <c r="AE306" s="2" t="s">
        <v>286</v>
      </c>
      <c r="AF306" s="2" t="str">
        <f t="shared" ref="AF306" si="405">IF(NOT(ISBLANK(AG306)),"_","")</f>
        <v>_</v>
      </c>
      <c r="AG306" s="28" t="s">
        <v>71</v>
      </c>
      <c r="AH306" s="2" t="str">
        <f t="shared" si="384"/>
        <v/>
      </c>
    </row>
    <row r="307" spans="2:34" x14ac:dyDescent="0.25">
      <c r="B307" s="2" t="str">
        <f t="shared" si="380"/>
        <v>@case_width-path_narrow_z18</v>
      </c>
      <c r="C307" s="28" t="s">
        <v>79</v>
      </c>
      <c r="D307" s="28" t="s">
        <v>87</v>
      </c>
      <c r="F307" s="28" t="s">
        <v>79</v>
      </c>
      <c r="G307" s="28" t="s">
        <v>87</v>
      </c>
      <c r="I307" s="28" t="s">
        <v>80</v>
      </c>
      <c r="L307" s="28" t="s">
        <v>80</v>
      </c>
      <c r="U307" s="28" t="s">
        <v>83</v>
      </c>
      <c r="V307" s="28" t="s">
        <v>89</v>
      </c>
      <c r="X307" s="28" t="s">
        <v>83</v>
      </c>
      <c r="Y307" s="28" t="s">
        <v>89</v>
      </c>
      <c r="AA307" s="2" t="s">
        <v>74</v>
      </c>
      <c r="AB307" s="2" t="str">
        <f t="shared" si="400"/>
        <v>-</v>
      </c>
      <c r="AC307" s="2" t="s">
        <v>67</v>
      </c>
      <c r="AD307" s="2" t="str">
        <f t="shared" si="401"/>
        <v>_</v>
      </c>
      <c r="AE307" s="2" t="s">
        <v>68</v>
      </c>
      <c r="AF307" s="2" t="str">
        <f t="shared" si="402"/>
        <v>_</v>
      </c>
      <c r="AG307" s="28" t="s">
        <v>72</v>
      </c>
      <c r="AH307" s="2" t="str">
        <f t="shared" si="384"/>
        <v/>
      </c>
    </row>
    <row r="308" spans="2:34" x14ac:dyDescent="0.25">
      <c r="B308" s="2" t="str">
        <f t="shared" si="380"/>
        <v>@case_width-path_medium_z18</v>
      </c>
      <c r="C308" s="28" t="s">
        <v>83</v>
      </c>
      <c r="D308" s="28" t="s">
        <v>89</v>
      </c>
      <c r="F308" s="28" t="s">
        <v>83</v>
      </c>
      <c r="G308" s="28" t="s">
        <v>89</v>
      </c>
      <c r="I308" s="28" t="s">
        <v>95</v>
      </c>
      <c r="L308" s="28" t="s">
        <v>95</v>
      </c>
      <c r="U308" s="28" t="s">
        <v>83</v>
      </c>
      <c r="V308" s="28" t="s">
        <v>89</v>
      </c>
      <c r="X308" s="28" t="s">
        <v>83</v>
      </c>
      <c r="Y308" s="28" t="s">
        <v>89</v>
      </c>
      <c r="AA308" s="2" t="s">
        <v>74</v>
      </c>
      <c r="AB308" s="2" t="str">
        <f t="shared" si="400"/>
        <v>-</v>
      </c>
      <c r="AC308" s="2" t="s">
        <v>67</v>
      </c>
      <c r="AD308" s="2" t="str">
        <f t="shared" si="401"/>
        <v>_</v>
      </c>
      <c r="AE308" s="2" t="s">
        <v>75</v>
      </c>
      <c r="AF308" s="2" t="str">
        <f t="shared" si="402"/>
        <v>_</v>
      </c>
      <c r="AG308" s="28" t="s">
        <v>72</v>
      </c>
      <c r="AH308" s="2" t="str">
        <f t="shared" si="384"/>
        <v/>
      </c>
    </row>
    <row r="309" spans="2:34" x14ac:dyDescent="0.25">
      <c r="B309" s="2" t="str">
        <f t="shared" si="380"/>
        <v>@case_width-path_wide_z18</v>
      </c>
      <c r="C309" s="28" t="s">
        <v>85</v>
      </c>
      <c r="D309" s="28" t="s">
        <v>90</v>
      </c>
      <c r="F309" s="28" t="s">
        <v>85</v>
      </c>
      <c r="G309" s="28" t="s">
        <v>90</v>
      </c>
      <c r="I309" s="28" t="s">
        <v>96</v>
      </c>
      <c r="L309" s="28" t="s">
        <v>96</v>
      </c>
      <c r="U309" s="28" t="s">
        <v>83</v>
      </c>
      <c r="V309" s="28" t="s">
        <v>89</v>
      </c>
      <c r="X309" s="28" t="s">
        <v>83</v>
      </c>
      <c r="Y309" s="28" t="s">
        <v>89</v>
      </c>
      <c r="AA309" s="2" t="s">
        <v>74</v>
      </c>
      <c r="AB309" s="2" t="str">
        <f t="shared" ref="AB309" si="406">IF(NOT(ISBLANK(AC309)),"-","")</f>
        <v>-</v>
      </c>
      <c r="AC309" s="2" t="s">
        <v>67</v>
      </c>
      <c r="AD309" s="2" t="str">
        <f t="shared" ref="AD309" si="407">IF(NOT(ISBLANK(AE309)),"_","")</f>
        <v>_</v>
      </c>
      <c r="AE309" s="2" t="s">
        <v>73</v>
      </c>
      <c r="AF309" s="2" t="str">
        <f t="shared" ref="AF309" si="408">IF(NOT(ISBLANK(AG309)),"_","")</f>
        <v>_</v>
      </c>
      <c r="AG309" s="28" t="s">
        <v>72</v>
      </c>
      <c r="AH309" s="2" t="str">
        <f t="shared" si="384"/>
        <v/>
      </c>
    </row>
    <row r="310" spans="2:34" x14ac:dyDescent="0.25">
      <c r="B310" s="2" t="str">
        <f t="shared" si="380"/>
        <v>@case_width-path_widest_z18</v>
      </c>
      <c r="C310" s="28" t="s">
        <v>85</v>
      </c>
      <c r="D310" s="28" t="s">
        <v>90</v>
      </c>
      <c r="F310" s="28" t="s">
        <v>85</v>
      </c>
      <c r="G310" s="28" t="s">
        <v>90</v>
      </c>
      <c r="I310" s="28" t="s">
        <v>85</v>
      </c>
      <c r="J310" s="28" t="s">
        <v>90</v>
      </c>
      <c r="L310" s="28" t="s">
        <v>85</v>
      </c>
      <c r="M310" s="28" t="s">
        <v>90</v>
      </c>
      <c r="U310" s="28" t="s">
        <v>85</v>
      </c>
      <c r="V310" s="28" t="s">
        <v>90</v>
      </c>
      <c r="X310" s="28" t="s">
        <v>85</v>
      </c>
      <c r="Y310" s="28" t="s">
        <v>90</v>
      </c>
      <c r="AA310" s="2" t="s">
        <v>74</v>
      </c>
      <c r="AB310" s="2" t="str">
        <f t="shared" ref="AB310" si="409">IF(NOT(ISBLANK(AC310)),"-","")</f>
        <v>-</v>
      </c>
      <c r="AC310" s="2" t="s">
        <v>67</v>
      </c>
      <c r="AD310" s="2" t="str">
        <f t="shared" ref="AD310" si="410">IF(NOT(ISBLANK(AE310)),"_","")</f>
        <v>_</v>
      </c>
      <c r="AE310" s="2" t="s">
        <v>286</v>
      </c>
      <c r="AF310" s="2" t="str">
        <f t="shared" ref="AF310" si="411">IF(NOT(ISBLANK(AG310)),"_","")</f>
        <v>_</v>
      </c>
      <c r="AG310" s="28" t="s">
        <v>72</v>
      </c>
      <c r="AH310" s="2" t="str">
        <f t="shared" si="384"/>
        <v/>
      </c>
    </row>
    <row r="311" spans="2:34" x14ac:dyDescent="0.25">
      <c r="B311" s="2"/>
      <c r="AA311" s="2"/>
      <c r="AB311" s="2"/>
      <c r="AC311" s="2"/>
      <c r="AD311" s="2"/>
      <c r="AE311" s="2"/>
      <c r="AF311" s="2"/>
      <c r="AH311" s="2"/>
    </row>
    <row r="312" spans="2:34" x14ac:dyDescent="0.25">
      <c r="B312" s="2" t="str">
        <f t="shared" ref="B312" si="412">_xlfn.CONCAT("@",AA312,AB312,AC312,AD312,AE312,AF312,AG312,AH312,AI312)</f>
        <v>@color-path_track_footway_cycleway_railings</v>
      </c>
      <c r="C312" s="47" t="s">
        <v>210</v>
      </c>
      <c r="D312" s="47" t="s">
        <v>210</v>
      </c>
      <c r="F312" s="31" t="s">
        <v>272</v>
      </c>
      <c r="G312" s="31" t="s">
        <v>272</v>
      </c>
      <c r="I312" s="47" t="s">
        <v>210</v>
      </c>
      <c r="J312" s="47" t="s">
        <v>210</v>
      </c>
      <c r="L312" s="31" t="s">
        <v>272</v>
      </c>
      <c r="M312" s="31" t="s">
        <v>272</v>
      </c>
      <c r="U312" s="47" t="s">
        <v>210</v>
      </c>
      <c r="V312" s="47" t="s">
        <v>210</v>
      </c>
      <c r="X312" s="31" t="s">
        <v>272</v>
      </c>
      <c r="Y312" s="31" t="s">
        <v>272</v>
      </c>
      <c r="AA312" s="2" t="s">
        <v>6</v>
      </c>
      <c r="AB312" s="2" t="str">
        <f t="shared" ref="AB312" si="413">IF(NOT(ISBLANK(AC312)),"-","")</f>
        <v>-</v>
      </c>
      <c r="AC312" s="2" t="s">
        <v>335</v>
      </c>
      <c r="AD312" s="2" t="str">
        <f t="shared" ref="AD312" si="414">IF(NOT(ISBLANK(AE312)),"_","")</f>
        <v>_</v>
      </c>
      <c r="AE312" s="2" t="s">
        <v>328</v>
      </c>
      <c r="AF312" s="2" t="str">
        <f t="shared" ref="AF312" si="415">IF(NOT(ISBLANK(AG312)),"_","")</f>
        <v/>
      </c>
      <c r="AH312" s="2" t="str">
        <f t="shared" ref="AH312" si="416">IF(NOT(ISBLANK(AI312)),"_","")</f>
        <v/>
      </c>
    </row>
    <row r="313" spans="2:34" x14ac:dyDescent="0.25">
      <c r="B313" s="2" t="str">
        <f t="shared" ref="B313" si="417">_xlfn.CONCAT("@",AA313,AB313,AC313,AD313,AE313,AF313,AG313,AH313,AI313)</f>
        <v>@color-path_track_footway_cycleway_floor</v>
      </c>
      <c r="C313" s="46" t="s">
        <v>218</v>
      </c>
      <c r="D313" s="46" t="s">
        <v>218</v>
      </c>
      <c r="F313" s="47" t="s">
        <v>210</v>
      </c>
      <c r="G313" s="47" t="s">
        <v>210</v>
      </c>
      <c r="I313" s="46" t="s">
        <v>218</v>
      </c>
      <c r="J313" s="46" t="s">
        <v>218</v>
      </c>
      <c r="L313" s="47" t="s">
        <v>210</v>
      </c>
      <c r="M313" s="47" t="s">
        <v>210</v>
      </c>
      <c r="U313" s="46" t="s">
        <v>218</v>
      </c>
      <c r="V313" s="46" t="s">
        <v>218</v>
      </c>
      <c r="X313" s="47" t="s">
        <v>210</v>
      </c>
      <c r="Y313" s="47" t="s">
        <v>210</v>
      </c>
      <c r="AA313" s="2" t="s">
        <v>6</v>
      </c>
      <c r="AB313" s="2" t="str">
        <f t="shared" ref="AB313" si="418">IF(NOT(ISBLANK(AC313)),"-","")</f>
        <v>-</v>
      </c>
      <c r="AC313" s="2" t="s">
        <v>335</v>
      </c>
      <c r="AD313" s="2" t="str">
        <f t="shared" ref="AD313" si="419">IF(NOT(ISBLANK(AE313)),"_","")</f>
        <v>_</v>
      </c>
      <c r="AE313" s="2" t="s">
        <v>329</v>
      </c>
      <c r="AF313" s="2" t="str">
        <f t="shared" ref="AF313" si="420">IF(NOT(ISBLANK(AG313)),"_","")</f>
        <v/>
      </c>
      <c r="AH313" s="2" t="str">
        <f t="shared" ref="AH313" si="421">IF(NOT(ISBLANK(AI313)),"_","")</f>
        <v/>
      </c>
    </row>
    <row r="314" spans="2:34" x14ac:dyDescent="0.25">
      <c r="B314" s="2"/>
      <c r="AA314" s="2"/>
      <c r="AB314" s="2"/>
      <c r="AC314" s="2"/>
      <c r="AD314" s="2"/>
      <c r="AE314" s="2"/>
      <c r="AF314" s="2"/>
      <c r="AH314" s="2"/>
    </row>
    <row r="315" spans="2:34" x14ac:dyDescent="0.25">
      <c r="B315" s="2" t="str">
        <f t="shared" ref="B315" si="422">_xlfn.CONCAT("@",AA315,AB315,AC315,AD315,AE315,AF315,AG315,AH315,AI315)</f>
        <v>@case_width-path_track_footway_cycleway_railings_z12</v>
      </c>
      <c r="C315" s="28" t="s">
        <v>127</v>
      </c>
      <c r="D315" s="28" t="s">
        <v>127</v>
      </c>
      <c r="F315" s="28" t="s">
        <v>127</v>
      </c>
      <c r="G315" s="28" t="s">
        <v>127</v>
      </c>
      <c r="I315" s="28" t="s">
        <v>127</v>
      </c>
      <c r="J315" s="28" t="s">
        <v>78</v>
      </c>
      <c r="L315" s="28" t="s">
        <v>127</v>
      </c>
      <c r="M315" s="28" t="s">
        <v>78</v>
      </c>
      <c r="U315" s="28" t="s">
        <v>127</v>
      </c>
      <c r="V315" s="28" t="s">
        <v>127</v>
      </c>
      <c r="X315" s="28" t="s">
        <v>127</v>
      </c>
      <c r="Y315" s="28" t="s">
        <v>127</v>
      </c>
      <c r="AA315" s="2" t="s">
        <v>74</v>
      </c>
      <c r="AB315" s="2" t="str">
        <f t="shared" ref="AB315" si="423">IF(NOT(ISBLANK(AC315)),"-","")</f>
        <v>-</v>
      </c>
      <c r="AC315" s="2" t="s">
        <v>335</v>
      </c>
      <c r="AD315" s="2" t="str">
        <f t="shared" ref="AD315" si="424">IF(NOT(ISBLANK(AE315)),"_","")</f>
        <v>_</v>
      </c>
      <c r="AE315" s="2" t="s">
        <v>328</v>
      </c>
      <c r="AF315" s="2" t="str">
        <f t="shared" ref="AF315" si="425">IF(NOT(ISBLANK(AG315)),"_","")</f>
        <v>_</v>
      </c>
      <c r="AG315" s="28" t="s">
        <v>105</v>
      </c>
      <c r="AH315" s="2" t="str">
        <f t="shared" ref="AH315" si="426">IF(NOT(ISBLANK(AI315)),"_","")</f>
        <v/>
      </c>
    </row>
    <row r="316" spans="2:34" x14ac:dyDescent="0.25">
      <c r="B316" s="2" t="str">
        <f t="shared" ref="B316" si="427">_xlfn.CONCAT("@",AA316,AB316,AC316,AD316,AE316,AF316,AG316,AH316,AI316)</f>
        <v>@case_width-path_track_footway_cycleway_railings_z14</v>
      </c>
      <c r="C316" s="28" t="s">
        <v>330</v>
      </c>
      <c r="D316" s="28" t="s">
        <v>330</v>
      </c>
      <c r="F316" s="28" t="s">
        <v>330</v>
      </c>
      <c r="G316" s="28" t="s">
        <v>330</v>
      </c>
      <c r="I316" s="28" t="s">
        <v>82</v>
      </c>
      <c r="J316" s="28" t="s">
        <v>130</v>
      </c>
      <c r="L316" s="28" t="s">
        <v>82</v>
      </c>
      <c r="M316" s="28" t="s">
        <v>130</v>
      </c>
      <c r="U316" s="28" t="s">
        <v>330</v>
      </c>
      <c r="V316" s="28" t="s">
        <v>330</v>
      </c>
      <c r="X316" s="28" t="s">
        <v>330</v>
      </c>
      <c r="Y316" s="28" t="s">
        <v>330</v>
      </c>
      <c r="AA316" s="2" t="s">
        <v>74</v>
      </c>
      <c r="AB316" s="2" t="str">
        <f t="shared" ref="AB316" si="428">IF(NOT(ISBLANK(AC316)),"-","")</f>
        <v>-</v>
      </c>
      <c r="AC316" s="2" t="s">
        <v>335</v>
      </c>
      <c r="AD316" s="2" t="str">
        <f t="shared" ref="AD316" si="429">IF(NOT(ISBLANK(AE316)),"_","")</f>
        <v>_</v>
      </c>
      <c r="AE316" s="2" t="s">
        <v>328</v>
      </c>
      <c r="AF316" s="2" t="str">
        <f t="shared" ref="AF316" si="430">IF(NOT(ISBLANK(AG316)),"_","")</f>
        <v>_</v>
      </c>
      <c r="AG316" s="28" t="s">
        <v>70</v>
      </c>
      <c r="AH316" s="2" t="str">
        <f t="shared" ref="AH316" si="431">IF(NOT(ISBLANK(AI316)),"_","")</f>
        <v/>
      </c>
    </row>
    <row r="317" spans="2:34" x14ac:dyDescent="0.25">
      <c r="B317" s="2" t="str">
        <f t="shared" ref="B317" si="432">_xlfn.CONCAT("@",AA317,AB317,AC317,AD317,AE317,AF317,AG317,AH317,AI317)</f>
        <v>@case_width-path_track_footway_cycleway_railings_z15</v>
      </c>
      <c r="C317" s="28" t="s">
        <v>124</v>
      </c>
      <c r="D317" s="28" t="s">
        <v>303</v>
      </c>
      <c r="F317" s="28" t="s">
        <v>124</v>
      </c>
      <c r="G317" s="28" t="s">
        <v>82</v>
      </c>
      <c r="I317" s="28" t="s">
        <v>130</v>
      </c>
      <c r="J317" s="28" t="s">
        <v>317</v>
      </c>
      <c r="L317" s="28" t="s">
        <v>130</v>
      </c>
      <c r="M317" s="28" t="s">
        <v>317</v>
      </c>
      <c r="U317" s="28" t="s">
        <v>124</v>
      </c>
      <c r="V317" s="28" t="s">
        <v>303</v>
      </c>
      <c r="X317" s="28" t="s">
        <v>124</v>
      </c>
      <c r="Y317" s="28" t="s">
        <v>82</v>
      </c>
      <c r="AA317" s="2" t="s">
        <v>74</v>
      </c>
      <c r="AB317" s="2" t="str">
        <f t="shared" ref="AB317" si="433">IF(NOT(ISBLANK(AC317)),"-","")</f>
        <v>-</v>
      </c>
      <c r="AC317" s="2" t="s">
        <v>335</v>
      </c>
      <c r="AD317" s="2" t="str">
        <f t="shared" ref="AD317" si="434">IF(NOT(ISBLANK(AE317)),"_","")</f>
        <v>_</v>
      </c>
      <c r="AE317" s="2" t="s">
        <v>328</v>
      </c>
      <c r="AF317" s="2" t="str">
        <f t="shared" ref="AF317" si="435">IF(NOT(ISBLANK(AG317)),"_","")</f>
        <v>_</v>
      </c>
      <c r="AG317" s="28" t="s">
        <v>323</v>
      </c>
      <c r="AH317" s="2" t="str">
        <f t="shared" ref="AH317" si="436">IF(NOT(ISBLANK(AI317)),"_","")</f>
        <v/>
      </c>
    </row>
    <row r="318" spans="2:34" x14ac:dyDescent="0.25">
      <c r="B318" s="2" t="str">
        <f t="shared" ref="B318" si="437">_xlfn.CONCAT("@",AA318,AB318,AC318,AD318,AE318,AF318,AG318,AH318,AI318)</f>
        <v>@case_width-path_track_footway_cycleway_railings_z16</v>
      </c>
      <c r="C318" s="28" t="s">
        <v>326</v>
      </c>
      <c r="D318" s="28" t="s">
        <v>331</v>
      </c>
      <c r="F318" s="28" t="s">
        <v>326</v>
      </c>
      <c r="G318" s="28" t="s">
        <v>331</v>
      </c>
      <c r="I318" s="28" t="s">
        <v>131</v>
      </c>
      <c r="J318" s="28" t="s">
        <v>333</v>
      </c>
      <c r="L318" s="28" t="s">
        <v>131</v>
      </c>
      <c r="M318" s="28" t="s">
        <v>333</v>
      </c>
      <c r="U318" s="28" t="s">
        <v>326</v>
      </c>
      <c r="V318" s="28" t="s">
        <v>331</v>
      </c>
      <c r="X318" s="28" t="s">
        <v>326</v>
      </c>
      <c r="Y318" s="28" t="s">
        <v>331</v>
      </c>
      <c r="AA318" s="2" t="s">
        <v>74</v>
      </c>
      <c r="AB318" s="2" t="str">
        <f t="shared" ref="AB318" si="438">IF(NOT(ISBLANK(AC318)),"-","")</f>
        <v>-</v>
      </c>
      <c r="AC318" s="2" t="s">
        <v>335</v>
      </c>
      <c r="AD318" s="2" t="str">
        <f t="shared" ref="AD318" si="439">IF(NOT(ISBLANK(AE318)),"_","")</f>
        <v>_</v>
      </c>
      <c r="AE318" s="2" t="s">
        <v>328</v>
      </c>
      <c r="AF318" s="2" t="str">
        <f t="shared" ref="AF318" si="440">IF(NOT(ISBLANK(AG318)),"_","")</f>
        <v>_</v>
      </c>
      <c r="AG318" s="28" t="s">
        <v>71</v>
      </c>
      <c r="AH318" s="2" t="str">
        <f t="shared" ref="AH318" si="441">IF(NOT(ISBLANK(AI318)),"_","")</f>
        <v/>
      </c>
    </row>
    <row r="319" spans="2:34" x14ac:dyDescent="0.25">
      <c r="B319" s="2" t="str">
        <f t="shared" ref="B319" si="442">_xlfn.CONCAT("@",AA319,AB319,AC319,AD319,AE319,AF319,AG319,AH319,AI319)</f>
        <v>@case_width-path_track_footway_cycleway_railings_z18</v>
      </c>
      <c r="C319" s="28" t="s">
        <v>85</v>
      </c>
      <c r="D319" s="28" t="s">
        <v>325</v>
      </c>
      <c r="F319" s="28" t="s">
        <v>85</v>
      </c>
      <c r="G319" s="28" t="s">
        <v>325</v>
      </c>
      <c r="I319" s="28" t="s">
        <v>332</v>
      </c>
      <c r="J319" s="28" t="s">
        <v>334</v>
      </c>
      <c r="L319" s="28" t="s">
        <v>332</v>
      </c>
      <c r="M319" s="28" t="s">
        <v>334</v>
      </c>
      <c r="U319" s="28" t="s">
        <v>85</v>
      </c>
      <c r="V319" s="28" t="s">
        <v>325</v>
      </c>
      <c r="X319" s="28" t="s">
        <v>85</v>
      </c>
      <c r="Y319" s="28" t="s">
        <v>325</v>
      </c>
      <c r="AA319" s="2" t="s">
        <v>74</v>
      </c>
      <c r="AB319" s="2" t="str">
        <f t="shared" ref="AB319" si="443">IF(NOT(ISBLANK(AC319)),"-","")</f>
        <v>-</v>
      </c>
      <c r="AC319" s="2" t="s">
        <v>335</v>
      </c>
      <c r="AD319" s="2" t="str">
        <f t="shared" ref="AD319" si="444">IF(NOT(ISBLANK(AE319)),"_","")</f>
        <v>_</v>
      </c>
      <c r="AE319" s="2" t="s">
        <v>328</v>
      </c>
      <c r="AF319" s="2" t="str">
        <f t="shared" ref="AF319" si="445">IF(NOT(ISBLANK(AG319)),"_","")</f>
        <v>_</v>
      </c>
      <c r="AG319" s="28" t="s">
        <v>72</v>
      </c>
      <c r="AH319" s="2" t="str">
        <f t="shared" ref="AH319" si="446">IF(NOT(ISBLANK(AI319)),"_","")</f>
        <v/>
      </c>
    </row>
    <row r="320" spans="2:34" x14ac:dyDescent="0.25">
      <c r="B320" s="2"/>
      <c r="AA320" s="2"/>
      <c r="AB320" s="2"/>
      <c r="AC320" s="2"/>
      <c r="AD320" s="2"/>
      <c r="AE320" s="2"/>
      <c r="AF320" s="2"/>
      <c r="AH320" s="2"/>
    </row>
    <row r="321" spans="1:35" x14ac:dyDescent="0.25">
      <c r="B321" s="2" t="str">
        <f t="shared" ref="B321" si="447">_xlfn.CONCAT("@",AA321,AB321,AC321,AD321,AE321,AF321,AG321,AH321,AI321)</f>
        <v>@case_width-path_track_footway_cycleway_floor_z12</v>
      </c>
      <c r="C321" s="28" t="s">
        <v>108</v>
      </c>
      <c r="D321" s="28" t="s">
        <v>108</v>
      </c>
      <c r="F321" s="28" t="s">
        <v>108</v>
      </c>
      <c r="G321" s="28" t="s">
        <v>108</v>
      </c>
      <c r="I321" s="28" t="s">
        <v>108</v>
      </c>
      <c r="J321" s="28" t="s">
        <v>86</v>
      </c>
      <c r="L321" s="28" t="s">
        <v>108</v>
      </c>
      <c r="M321" s="28" t="s">
        <v>86</v>
      </c>
      <c r="U321" s="28" t="s">
        <v>108</v>
      </c>
      <c r="V321" s="28" t="s">
        <v>108</v>
      </c>
      <c r="X321" s="28" t="s">
        <v>108</v>
      </c>
      <c r="Y321" s="28" t="s">
        <v>108</v>
      </c>
      <c r="AA321" s="2" t="s">
        <v>74</v>
      </c>
      <c r="AB321" s="2" t="str">
        <f t="shared" ref="AB321" si="448">IF(NOT(ISBLANK(AC321)),"-","")</f>
        <v>-</v>
      </c>
      <c r="AC321" s="2" t="s">
        <v>335</v>
      </c>
      <c r="AD321" s="2" t="str">
        <f t="shared" ref="AD321" si="449">IF(NOT(ISBLANK(AE321)),"_","")</f>
        <v>_</v>
      </c>
      <c r="AE321" s="2" t="s">
        <v>329</v>
      </c>
      <c r="AF321" s="2" t="str">
        <f t="shared" ref="AF321" si="450">IF(NOT(ISBLANK(AG321)),"_","")</f>
        <v>_</v>
      </c>
      <c r="AG321" s="28" t="s">
        <v>105</v>
      </c>
      <c r="AH321" s="2" t="str">
        <f t="shared" ref="AH321" si="451">IF(NOT(ISBLANK(AI321)),"_","")</f>
        <v/>
      </c>
    </row>
    <row r="322" spans="1:35" x14ac:dyDescent="0.25">
      <c r="B322" s="2" t="str">
        <f t="shared" ref="B322" si="452">_xlfn.CONCAT("@",AA322,AB322,AC322,AD322,AE322,AF322,AG322,AH322,AI322)</f>
        <v>@case_width-path_track_footway_cycleway_floor_z14</v>
      </c>
      <c r="C322" s="28" t="s">
        <v>108</v>
      </c>
      <c r="D322" s="28" t="s">
        <v>108</v>
      </c>
      <c r="F322" s="28" t="s">
        <v>108</v>
      </c>
      <c r="G322" s="28" t="s">
        <v>108</v>
      </c>
      <c r="I322" s="28" t="s">
        <v>124</v>
      </c>
      <c r="J322" s="28" t="s">
        <v>303</v>
      </c>
      <c r="L322" s="28" t="s">
        <v>124</v>
      </c>
      <c r="M322" s="28" t="s">
        <v>303</v>
      </c>
      <c r="U322" s="28" t="s">
        <v>108</v>
      </c>
      <c r="V322" s="28" t="s">
        <v>108</v>
      </c>
      <c r="X322" s="28" t="s">
        <v>108</v>
      </c>
      <c r="Y322" s="28" t="s">
        <v>108</v>
      </c>
      <c r="AA322" s="2" t="s">
        <v>74</v>
      </c>
      <c r="AB322" s="2" t="str">
        <f t="shared" ref="AB322" si="453">IF(NOT(ISBLANK(AC322)),"-","")</f>
        <v>-</v>
      </c>
      <c r="AC322" s="2" t="s">
        <v>335</v>
      </c>
      <c r="AD322" s="2" t="str">
        <f t="shared" ref="AD322" si="454">IF(NOT(ISBLANK(AE322)),"_","")</f>
        <v>_</v>
      </c>
      <c r="AE322" s="2" t="s">
        <v>329</v>
      </c>
      <c r="AF322" s="2" t="str">
        <f t="shared" ref="AF322" si="455">IF(NOT(ISBLANK(AG322)),"_","")</f>
        <v>_</v>
      </c>
      <c r="AG322" s="28" t="s">
        <v>70</v>
      </c>
      <c r="AH322" s="2" t="str">
        <f t="shared" ref="AH322" si="456">IF(NOT(ISBLANK(AI322)),"_","")</f>
        <v/>
      </c>
    </row>
    <row r="323" spans="1:35" x14ac:dyDescent="0.25">
      <c r="B323" s="2" t="str">
        <f t="shared" ref="B323:B324" si="457">_xlfn.CONCAT("@",AA323,AB323,AC323,AD323,AE323,AF323,AG323,AH323,AI323)</f>
        <v>@case_width-path_track_footway_cycleway_floor_z15</v>
      </c>
      <c r="C323" s="28" t="s">
        <v>84</v>
      </c>
      <c r="D323" s="28" t="s">
        <v>88</v>
      </c>
      <c r="F323" s="28" t="s">
        <v>84</v>
      </c>
      <c r="G323" s="28" t="s">
        <v>88</v>
      </c>
      <c r="I323" s="28" t="s">
        <v>79</v>
      </c>
      <c r="J323" s="28" t="s">
        <v>82</v>
      </c>
      <c r="L323" s="28" t="s">
        <v>79</v>
      </c>
      <c r="M323" s="28" t="s">
        <v>82</v>
      </c>
      <c r="U323" s="28" t="s">
        <v>84</v>
      </c>
      <c r="V323" s="28" t="s">
        <v>88</v>
      </c>
      <c r="X323" s="28" t="s">
        <v>84</v>
      </c>
      <c r="Y323" s="28" t="s">
        <v>88</v>
      </c>
      <c r="AA323" s="2" t="s">
        <v>74</v>
      </c>
      <c r="AB323" s="2" t="str">
        <f t="shared" ref="AB323:AB324" si="458">IF(NOT(ISBLANK(AC323)),"-","")</f>
        <v>-</v>
      </c>
      <c r="AC323" s="2" t="s">
        <v>335</v>
      </c>
      <c r="AD323" s="2" t="str">
        <f t="shared" ref="AD323:AD324" si="459">IF(NOT(ISBLANK(AE323)),"_","")</f>
        <v>_</v>
      </c>
      <c r="AE323" s="2" t="s">
        <v>329</v>
      </c>
      <c r="AF323" s="2" t="str">
        <f t="shared" ref="AF323:AF324" si="460">IF(NOT(ISBLANK(AG323)),"_","")</f>
        <v>_</v>
      </c>
      <c r="AG323" s="28" t="s">
        <v>323</v>
      </c>
      <c r="AH323" s="2" t="str">
        <f t="shared" ref="AH323:AH324" si="461">IF(NOT(ISBLANK(AI323)),"_","")</f>
        <v/>
      </c>
    </row>
    <row r="324" spans="1:35" x14ac:dyDescent="0.25">
      <c r="B324" s="2" t="str">
        <f t="shared" si="457"/>
        <v>@case_width-path_track_footway_cycleway_floor_z16</v>
      </c>
      <c r="C324" s="28" t="s">
        <v>82</v>
      </c>
      <c r="D324" s="28" t="s">
        <v>130</v>
      </c>
      <c r="F324" s="28" t="s">
        <v>82</v>
      </c>
      <c r="G324" s="28" t="s">
        <v>130</v>
      </c>
      <c r="I324" s="28" t="s">
        <v>317</v>
      </c>
      <c r="J324" s="28" t="s">
        <v>327</v>
      </c>
      <c r="L324" s="28" t="s">
        <v>317</v>
      </c>
      <c r="M324" s="28" t="s">
        <v>327</v>
      </c>
      <c r="U324" s="28" t="s">
        <v>82</v>
      </c>
      <c r="V324" s="28" t="s">
        <v>130</v>
      </c>
      <c r="X324" s="28" t="s">
        <v>82</v>
      </c>
      <c r="Y324" s="28" t="s">
        <v>130</v>
      </c>
      <c r="AA324" s="2" t="s">
        <v>74</v>
      </c>
      <c r="AB324" s="2" t="str">
        <f t="shared" si="458"/>
        <v>-</v>
      </c>
      <c r="AC324" s="2" t="s">
        <v>335</v>
      </c>
      <c r="AD324" s="2" t="str">
        <f t="shared" si="459"/>
        <v>_</v>
      </c>
      <c r="AE324" s="2" t="s">
        <v>329</v>
      </c>
      <c r="AF324" s="2" t="str">
        <f t="shared" si="460"/>
        <v>_</v>
      </c>
      <c r="AG324" s="28" t="s">
        <v>71</v>
      </c>
      <c r="AH324" s="2" t="str">
        <f t="shared" si="461"/>
        <v/>
      </c>
    </row>
    <row r="325" spans="1:35" x14ac:dyDescent="0.25">
      <c r="B325" s="2" t="str">
        <f t="shared" ref="B325" si="462">_xlfn.CONCAT("@",AA325,AB325,AC325,AD325,AE325,AF325,AG325,AH325,AI325)</f>
        <v>@case_width-path_track_footway_cycleway_floor_z18</v>
      </c>
      <c r="C325" s="28" t="s">
        <v>322</v>
      </c>
      <c r="D325" s="28" t="s">
        <v>324</v>
      </c>
      <c r="F325" s="28" t="s">
        <v>322</v>
      </c>
      <c r="G325" s="28" t="s">
        <v>324</v>
      </c>
      <c r="I325" s="28" t="s">
        <v>325</v>
      </c>
      <c r="J325" s="28" t="s">
        <v>141</v>
      </c>
      <c r="L325" s="28" t="s">
        <v>325</v>
      </c>
      <c r="M325" s="28" t="s">
        <v>141</v>
      </c>
      <c r="U325" s="28" t="s">
        <v>322</v>
      </c>
      <c r="V325" s="28" t="s">
        <v>324</v>
      </c>
      <c r="X325" s="28" t="s">
        <v>322</v>
      </c>
      <c r="Y325" s="28" t="s">
        <v>324</v>
      </c>
      <c r="AA325" s="2" t="s">
        <v>74</v>
      </c>
      <c r="AB325" s="2" t="str">
        <f t="shared" ref="AB325" si="463">IF(NOT(ISBLANK(AC325)),"-","")</f>
        <v>-</v>
      </c>
      <c r="AC325" s="2" t="s">
        <v>335</v>
      </c>
      <c r="AD325" s="2" t="str">
        <f t="shared" ref="AD325" si="464">IF(NOT(ISBLANK(AE325)),"_","")</f>
        <v>_</v>
      </c>
      <c r="AE325" s="2" t="s">
        <v>329</v>
      </c>
      <c r="AF325" s="2" t="str">
        <f t="shared" ref="AF325" si="465">IF(NOT(ISBLANK(AG325)),"_","")</f>
        <v>_</v>
      </c>
      <c r="AG325" s="28" t="s">
        <v>72</v>
      </c>
      <c r="AH325" s="2" t="str">
        <f t="shared" ref="AH325" si="466">IF(NOT(ISBLANK(AI325)),"_","")</f>
        <v/>
      </c>
    </row>
    <row r="326" spans="1:35" x14ac:dyDescent="0.25">
      <c r="B326" s="2"/>
      <c r="AA326" s="2"/>
      <c r="AB326" s="2"/>
      <c r="AC326" s="2"/>
      <c r="AD326" s="2"/>
      <c r="AE326" s="2"/>
    </row>
    <row r="327" spans="1:35" x14ac:dyDescent="0.25">
      <c r="B327" s="2" t="str">
        <f>_xlfn.CONCAT("@",AA327,AB327,AC327,AD327,AE327,AF327,AG327,AH327,AI327)</f>
        <v>@case_width-track_default_z10</v>
      </c>
      <c r="C327" s="28" t="s">
        <v>81</v>
      </c>
      <c r="D327" s="28" t="s">
        <v>340</v>
      </c>
      <c r="F327" s="28" t="s">
        <v>81</v>
      </c>
      <c r="G327" s="28" t="s">
        <v>340</v>
      </c>
      <c r="I327" s="28" t="s">
        <v>81</v>
      </c>
      <c r="J327" s="28" t="s">
        <v>340</v>
      </c>
      <c r="L327" s="28" t="s">
        <v>81</v>
      </c>
      <c r="M327" s="28" t="s">
        <v>340</v>
      </c>
      <c r="U327" s="28" t="s">
        <v>81</v>
      </c>
      <c r="V327" s="28" t="s">
        <v>340</v>
      </c>
      <c r="X327" s="28" t="s">
        <v>81</v>
      </c>
      <c r="Y327" s="28" t="s">
        <v>340</v>
      </c>
      <c r="AA327" s="2" t="s">
        <v>74</v>
      </c>
      <c r="AB327" s="2" t="str">
        <f>IF(NOT(ISBLANK(AC327)),"-","")</f>
        <v>-</v>
      </c>
      <c r="AC327" s="2" t="s">
        <v>98</v>
      </c>
      <c r="AD327" s="2" t="str">
        <f>IF(NOT(ISBLANK(AE327)),"_","")</f>
        <v>_</v>
      </c>
      <c r="AE327" s="2" t="s">
        <v>255</v>
      </c>
      <c r="AF327" s="2" t="str">
        <f>IF(NOT(ISBLANK(AG327)),"_","")</f>
        <v>_</v>
      </c>
      <c r="AG327" s="28" t="s">
        <v>99</v>
      </c>
      <c r="AH327" s="2" t="str">
        <f>IF(NOT(ISBLANK(AI327)),"_","")</f>
        <v/>
      </c>
    </row>
    <row r="328" spans="1:35" x14ac:dyDescent="0.25">
      <c r="B328" s="2" t="str">
        <f>_xlfn.CONCAT("@",AA328,AB328,AC328,AD328,AE328,AF328,AG328,AH328,AI328)</f>
        <v>@case_width-track_default_z12</v>
      </c>
      <c r="C328" s="28" t="s">
        <v>78</v>
      </c>
      <c r="D328" s="28" t="s">
        <v>79</v>
      </c>
      <c r="F328" s="28" t="s">
        <v>78</v>
      </c>
      <c r="G328" s="28" t="s">
        <v>79</v>
      </c>
      <c r="I328" s="28" t="s">
        <v>78</v>
      </c>
      <c r="J328" s="28" t="s">
        <v>79</v>
      </c>
      <c r="L328" s="28" t="s">
        <v>78</v>
      </c>
      <c r="M328" s="28" t="s">
        <v>79</v>
      </c>
      <c r="U328" s="28" t="s">
        <v>78</v>
      </c>
      <c r="V328" s="28" t="s">
        <v>79</v>
      </c>
      <c r="X328" s="28" t="s">
        <v>78</v>
      </c>
      <c r="Y328" s="28" t="s">
        <v>79</v>
      </c>
      <c r="AA328" s="2" t="s">
        <v>74</v>
      </c>
      <c r="AB328" s="2" t="str">
        <f>IF(NOT(ISBLANK(AC328)),"-","")</f>
        <v>-</v>
      </c>
      <c r="AC328" s="2" t="s">
        <v>98</v>
      </c>
      <c r="AD328" s="2" t="str">
        <f>IF(NOT(ISBLANK(AE328)),"_","")</f>
        <v>_</v>
      </c>
      <c r="AE328" s="2" t="s">
        <v>255</v>
      </c>
      <c r="AF328" s="2" t="str">
        <f>IF(NOT(ISBLANK(AG328)),"_","")</f>
        <v>_</v>
      </c>
      <c r="AG328" s="28" t="s">
        <v>105</v>
      </c>
      <c r="AH328" s="2" t="str">
        <f>IF(NOT(ISBLANK(AI328)),"_","")</f>
        <v/>
      </c>
    </row>
    <row r="329" spans="1:35" x14ac:dyDescent="0.25">
      <c r="B329" s="2" t="str">
        <f>_xlfn.CONCAT("@",AA329,AB329,AC329,AD329,AE329,AF329,AG329,AH329,AI329)</f>
        <v>@case_width-track_default_z14</v>
      </c>
      <c r="C329" s="28" t="s">
        <v>88</v>
      </c>
      <c r="D329" s="28" t="s">
        <v>82</v>
      </c>
      <c r="F329" s="28" t="s">
        <v>88</v>
      </c>
      <c r="G329" s="28" t="s">
        <v>82</v>
      </c>
      <c r="I329" s="28" t="s">
        <v>88</v>
      </c>
      <c r="J329" s="28" t="s">
        <v>82</v>
      </c>
      <c r="L329" s="28" t="s">
        <v>88</v>
      </c>
      <c r="M329" s="28" t="s">
        <v>82</v>
      </c>
      <c r="U329" s="28" t="s">
        <v>88</v>
      </c>
      <c r="V329" s="28" t="s">
        <v>82</v>
      </c>
      <c r="X329" s="28" t="s">
        <v>88</v>
      </c>
      <c r="Y329" s="28" t="s">
        <v>82</v>
      </c>
      <c r="AA329" s="2" t="s">
        <v>74</v>
      </c>
      <c r="AB329" s="2" t="str">
        <f>IF(NOT(ISBLANK(AC329)),"-","")</f>
        <v>-</v>
      </c>
      <c r="AC329" s="2" t="s">
        <v>98</v>
      </c>
      <c r="AD329" s="2" t="str">
        <f>IF(NOT(ISBLANK(AE329)),"_","")</f>
        <v>_</v>
      </c>
      <c r="AE329" s="2" t="s">
        <v>255</v>
      </c>
      <c r="AF329" s="2" t="str">
        <f>IF(NOT(ISBLANK(AG329)),"_","")</f>
        <v>_</v>
      </c>
      <c r="AG329" s="28" t="s">
        <v>70</v>
      </c>
      <c r="AH329" s="2" t="str">
        <f>IF(NOT(ISBLANK(AI329)),"_","")</f>
        <v/>
      </c>
    </row>
    <row r="330" spans="1:35" x14ac:dyDescent="0.25">
      <c r="B330" s="2" t="str">
        <f>_xlfn.CONCAT("@",AA330,AB330,AC330,AD330,AE330,AF330,AG330,AH330,AI330)</f>
        <v>@case_width-track_default_z16</v>
      </c>
      <c r="C330" s="28" t="s">
        <v>83</v>
      </c>
      <c r="D330" s="28" t="s">
        <v>83</v>
      </c>
      <c r="F330" s="28" t="s">
        <v>83</v>
      </c>
      <c r="G330" s="28" t="s">
        <v>83</v>
      </c>
      <c r="I330" s="28" t="s">
        <v>83</v>
      </c>
      <c r="J330" s="28" t="s">
        <v>83</v>
      </c>
      <c r="L330" s="28" t="s">
        <v>83</v>
      </c>
      <c r="M330" s="28" t="s">
        <v>83</v>
      </c>
      <c r="U330" s="28" t="s">
        <v>83</v>
      </c>
      <c r="V330" s="28" t="s">
        <v>83</v>
      </c>
      <c r="X330" s="28" t="s">
        <v>83</v>
      </c>
      <c r="Y330" s="28" t="s">
        <v>83</v>
      </c>
      <c r="AA330" s="2" t="s">
        <v>74</v>
      </c>
      <c r="AB330" s="2" t="str">
        <f>IF(NOT(ISBLANK(AC330)),"-","")</f>
        <v>-</v>
      </c>
      <c r="AC330" s="2" t="s">
        <v>98</v>
      </c>
      <c r="AD330" s="2" t="str">
        <f>IF(NOT(ISBLANK(AE330)),"_","")</f>
        <v>_</v>
      </c>
      <c r="AE330" s="2" t="s">
        <v>255</v>
      </c>
      <c r="AF330" s="2" t="str">
        <f>IF(NOT(ISBLANK(AG330)),"_","")</f>
        <v>_</v>
      </c>
      <c r="AG330" s="28" t="s">
        <v>71</v>
      </c>
      <c r="AH330" s="2" t="str">
        <f>IF(NOT(ISBLANK(AI330)),"_","")</f>
        <v/>
      </c>
    </row>
    <row r="331" spans="1:35" x14ac:dyDescent="0.25">
      <c r="B331" s="2" t="str">
        <f>_xlfn.CONCAT("@",AA331,AB331,AC331,AD331,AE331,AF331,AG331,AH331,AI331)</f>
        <v>@case_width-track_default_z18</v>
      </c>
      <c r="C331" s="28" t="s">
        <v>85</v>
      </c>
      <c r="D331" s="28" t="s">
        <v>90</v>
      </c>
      <c r="F331" s="28" t="s">
        <v>85</v>
      </c>
      <c r="G331" s="28" t="s">
        <v>90</v>
      </c>
      <c r="I331" s="28" t="s">
        <v>85</v>
      </c>
      <c r="J331" s="28" t="s">
        <v>90</v>
      </c>
      <c r="L331" s="28" t="s">
        <v>85</v>
      </c>
      <c r="M331" s="28" t="s">
        <v>90</v>
      </c>
      <c r="U331" s="28" t="s">
        <v>85</v>
      </c>
      <c r="V331" s="28" t="s">
        <v>90</v>
      </c>
      <c r="X331" s="28" t="s">
        <v>85</v>
      </c>
      <c r="Y331" s="28" t="s">
        <v>90</v>
      </c>
      <c r="AA331" s="2" t="s">
        <v>74</v>
      </c>
      <c r="AB331" s="2" t="str">
        <f>IF(NOT(ISBLANK(AC331)),"-","")</f>
        <v>-</v>
      </c>
      <c r="AC331" s="2" t="s">
        <v>98</v>
      </c>
      <c r="AD331" s="2" t="str">
        <f>IF(NOT(ISBLANK(AE331)),"_","")</f>
        <v>_</v>
      </c>
      <c r="AE331" s="2" t="s">
        <v>255</v>
      </c>
      <c r="AF331" s="2" t="str">
        <f>IF(NOT(ISBLANK(AG331)),"_","")</f>
        <v>_</v>
      </c>
      <c r="AG331" s="28" t="s">
        <v>72</v>
      </c>
      <c r="AH331" s="2" t="str">
        <f>IF(NOT(ISBLANK(AI331)),"_","")</f>
        <v/>
      </c>
    </row>
    <row r="333" spans="1:35" s="2" customFormat="1" x14ac:dyDescent="0.25">
      <c r="A333" s="185"/>
      <c r="B333" s="3" t="s">
        <v>448</v>
      </c>
      <c r="C333" s="27"/>
      <c r="D333" s="6"/>
      <c r="E333" s="7"/>
      <c r="F333" s="6"/>
      <c r="G333" s="6"/>
      <c r="H333" s="7"/>
      <c r="I333" s="6"/>
      <c r="J333" s="6"/>
      <c r="K333" s="7"/>
      <c r="L333" s="6"/>
      <c r="M333" s="6"/>
      <c r="N333" s="7"/>
      <c r="O333" s="6"/>
      <c r="P333" s="6"/>
      <c r="Q333" s="7"/>
      <c r="R333" s="6"/>
      <c r="S333" s="6"/>
      <c r="T333" s="7"/>
      <c r="U333" s="6"/>
      <c r="V333" s="6"/>
      <c r="W333" s="7"/>
      <c r="X333" s="6"/>
      <c r="Y333" s="6"/>
      <c r="AA333" s="4"/>
      <c r="AB333" s="4" t="str">
        <f t="shared" ref="AB333" si="467">IF(NOT(ISBLANK(AC333)),"-","")</f>
        <v/>
      </c>
      <c r="AC333" s="4"/>
      <c r="AD333" s="4" t="str">
        <f t="shared" ref="AD333" si="468">IF(NOT(ISBLANK(AE333)),"_","")</f>
        <v/>
      </c>
      <c r="AE333" s="4"/>
      <c r="AF333" s="4" t="str">
        <f t="shared" ref="AF333" si="469">IF(NOT(ISBLANK(AG333)),"_","")</f>
        <v/>
      </c>
      <c r="AG333" s="4"/>
      <c r="AH333" s="4" t="str">
        <f t="shared" ref="AH333" si="470">IF(NOT(ISBLANK(AI333)),"_","")</f>
        <v/>
      </c>
      <c r="AI333" s="4"/>
    </row>
    <row r="334" spans="1:35" x14ac:dyDescent="0.25">
      <c r="B334" s="2"/>
      <c r="AA334" s="2"/>
      <c r="AB334" s="2"/>
      <c r="AC334" s="2"/>
      <c r="AD334" s="2"/>
      <c r="AE334" s="2"/>
    </row>
    <row r="335" spans="1:35" x14ac:dyDescent="0.25">
      <c r="B335" s="2" t="str">
        <f t="shared" ref="B335" si="471">_xlfn.CONCAT("@",AA335,AB335,AC335,AD335,AE335,AF335,AG335,AH335,AI335)</f>
        <v>@line_width-path_default_farzoom</v>
      </c>
      <c r="C335" s="28" t="s">
        <v>118</v>
      </c>
      <c r="D335" s="28" t="s">
        <v>118</v>
      </c>
      <c r="F335" s="28" t="s">
        <v>118</v>
      </c>
      <c r="G335" s="28" t="s">
        <v>118</v>
      </c>
      <c r="I335" s="28" t="s">
        <v>118</v>
      </c>
      <c r="J335" s="28" t="s">
        <v>118</v>
      </c>
      <c r="L335" s="28" t="s">
        <v>118</v>
      </c>
      <c r="M335" s="28" t="s">
        <v>118</v>
      </c>
      <c r="U335" s="28" t="s">
        <v>118</v>
      </c>
      <c r="V335" s="28" t="s">
        <v>118</v>
      </c>
      <c r="X335" s="28" t="s">
        <v>118</v>
      </c>
      <c r="Y335" s="28" t="s">
        <v>118</v>
      </c>
      <c r="AA335" s="2" t="s">
        <v>115</v>
      </c>
      <c r="AB335" s="2" t="str">
        <f t="shared" ref="AB335" si="472">IF(NOT(ISBLANK(AC335)),"-","")</f>
        <v>-</v>
      </c>
      <c r="AC335" s="2" t="s">
        <v>67</v>
      </c>
      <c r="AD335" s="2" t="str">
        <f t="shared" ref="AD335" si="473">IF(NOT(ISBLANK(AE335)),"_","")</f>
        <v>_</v>
      </c>
      <c r="AE335" s="2" t="s">
        <v>255</v>
      </c>
      <c r="AF335" s="2" t="str">
        <f t="shared" ref="AF335" si="474">IF(NOT(ISBLANK(AG335)),"_","")</f>
        <v>_</v>
      </c>
      <c r="AG335" s="28" t="s">
        <v>20</v>
      </c>
      <c r="AH335" s="2" t="str">
        <f t="shared" ref="AH335" si="475">IF(NOT(ISBLANK(AI335)),"_","")</f>
        <v/>
      </c>
    </row>
    <row r="336" spans="1:35" x14ac:dyDescent="0.25">
      <c r="B336" s="2" t="str">
        <f t="shared" ref="B336:B351" si="476">_xlfn.CONCAT("@",AA336,AB336,AC336,AD336,AE336,AF336,AG336,AH336,AI336)</f>
        <v>@line_width-path_narrow_z12</v>
      </c>
      <c r="C336" s="28" t="s">
        <v>116</v>
      </c>
      <c r="D336" s="28" t="s">
        <v>118</v>
      </c>
      <c r="F336" s="28" t="s">
        <v>116</v>
      </c>
      <c r="G336" s="28" t="s">
        <v>118</v>
      </c>
      <c r="I336" s="28" t="s">
        <v>116</v>
      </c>
      <c r="J336" s="28" t="s">
        <v>118</v>
      </c>
      <c r="L336" s="28" t="s">
        <v>116</v>
      </c>
      <c r="M336" s="28" t="s">
        <v>118</v>
      </c>
      <c r="U336" s="28" t="s">
        <v>118</v>
      </c>
      <c r="V336" s="28" t="s">
        <v>112</v>
      </c>
      <c r="X336" s="28" t="s">
        <v>118</v>
      </c>
      <c r="Y336" s="28" t="s">
        <v>112</v>
      </c>
      <c r="AA336" s="2" t="s">
        <v>115</v>
      </c>
      <c r="AB336" s="2" t="str">
        <f t="shared" ref="AB336:AB351" si="477">IF(NOT(ISBLANK(AC336)),"-","")</f>
        <v>-</v>
      </c>
      <c r="AC336" s="2" t="s">
        <v>67</v>
      </c>
      <c r="AD336" s="2" t="str">
        <f t="shared" ref="AD336:AD351" si="478">IF(NOT(ISBLANK(AE336)),"_","")</f>
        <v>_</v>
      </c>
      <c r="AE336" s="2" t="s">
        <v>68</v>
      </c>
      <c r="AF336" s="2" t="str">
        <f t="shared" ref="AF336:AF351" si="479">IF(NOT(ISBLANK(AG336)),"_","")</f>
        <v>_</v>
      </c>
      <c r="AG336" s="28" t="s">
        <v>105</v>
      </c>
      <c r="AH336" s="2" t="str">
        <f t="shared" ref="AH336:AH351" si="480">IF(NOT(ISBLANK(AI336)),"_","")</f>
        <v/>
      </c>
    </row>
    <row r="337" spans="2:34" x14ac:dyDescent="0.25">
      <c r="B337" s="2" t="str">
        <f t="shared" si="476"/>
        <v>@line_width-path_medium_z12</v>
      </c>
      <c r="C337" s="28" t="s">
        <v>118</v>
      </c>
      <c r="D337" s="28" t="s">
        <v>112</v>
      </c>
      <c r="F337" s="28" t="s">
        <v>118</v>
      </c>
      <c r="G337" s="28" t="s">
        <v>112</v>
      </c>
      <c r="I337" s="28" t="s">
        <v>118</v>
      </c>
      <c r="J337" s="28" t="s">
        <v>112</v>
      </c>
      <c r="L337" s="28" t="s">
        <v>118</v>
      </c>
      <c r="M337" s="28" t="s">
        <v>112</v>
      </c>
      <c r="U337" s="28" t="s">
        <v>118</v>
      </c>
      <c r="V337" s="28" t="s">
        <v>112</v>
      </c>
      <c r="X337" s="28" t="s">
        <v>118</v>
      </c>
      <c r="Y337" s="28" t="s">
        <v>112</v>
      </c>
      <c r="AA337" s="2" t="s">
        <v>115</v>
      </c>
      <c r="AB337" s="2" t="str">
        <f t="shared" si="477"/>
        <v>-</v>
      </c>
      <c r="AC337" s="2" t="s">
        <v>67</v>
      </c>
      <c r="AD337" s="2" t="str">
        <f t="shared" si="478"/>
        <v>_</v>
      </c>
      <c r="AE337" s="2" t="s">
        <v>75</v>
      </c>
      <c r="AF337" s="2" t="str">
        <f t="shared" si="479"/>
        <v>_</v>
      </c>
      <c r="AG337" s="28" t="s">
        <v>105</v>
      </c>
      <c r="AH337" s="2" t="str">
        <f t="shared" si="480"/>
        <v/>
      </c>
    </row>
    <row r="338" spans="2:34" x14ac:dyDescent="0.25">
      <c r="B338" s="2" t="str">
        <f t="shared" si="476"/>
        <v>@line_width-path_wide_z12</v>
      </c>
      <c r="C338" s="28" t="s">
        <v>93</v>
      </c>
      <c r="D338" s="28" t="s">
        <v>119</v>
      </c>
      <c r="F338" s="28" t="s">
        <v>93</v>
      </c>
      <c r="G338" s="28" t="s">
        <v>119</v>
      </c>
      <c r="I338" s="28" t="s">
        <v>93</v>
      </c>
      <c r="J338" s="28" t="s">
        <v>119</v>
      </c>
      <c r="L338" s="28" t="s">
        <v>93</v>
      </c>
      <c r="M338" s="28" t="s">
        <v>119</v>
      </c>
      <c r="U338" s="28" t="s">
        <v>118</v>
      </c>
      <c r="V338" s="28" t="s">
        <v>112</v>
      </c>
      <c r="X338" s="28" t="s">
        <v>118</v>
      </c>
      <c r="Y338" s="28" t="s">
        <v>112</v>
      </c>
      <c r="AA338" s="2" t="s">
        <v>115</v>
      </c>
      <c r="AB338" s="2" t="str">
        <f t="shared" si="477"/>
        <v>-</v>
      </c>
      <c r="AC338" s="2" t="s">
        <v>67</v>
      </c>
      <c r="AD338" s="2" t="str">
        <f t="shared" si="478"/>
        <v>_</v>
      </c>
      <c r="AE338" s="2" t="s">
        <v>73</v>
      </c>
      <c r="AF338" s="2" t="str">
        <f t="shared" si="479"/>
        <v>_</v>
      </c>
      <c r="AG338" s="28" t="s">
        <v>105</v>
      </c>
      <c r="AH338" s="2" t="str">
        <f t="shared" si="480"/>
        <v/>
      </c>
    </row>
    <row r="339" spans="2:34" x14ac:dyDescent="0.25">
      <c r="B339" s="2" t="str">
        <f t="shared" si="476"/>
        <v>@line_width-path_widest_z12</v>
      </c>
      <c r="C339" s="28" t="s">
        <v>93</v>
      </c>
      <c r="D339" s="28" t="s">
        <v>119</v>
      </c>
      <c r="F339" s="28" t="s">
        <v>93</v>
      </c>
      <c r="G339" s="28" t="s">
        <v>119</v>
      </c>
      <c r="I339" s="28" t="s">
        <v>93</v>
      </c>
      <c r="J339" s="28" t="s">
        <v>119</v>
      </c>
      <c r="L339" s="28" t="s">
        <v>93</v>
      </c>
      <c r="M339" s="28" t="s">
        <v>119</v>
      </c>
      <c r="U339" s="28" t="s">
        <v>118</v>
      </c>
      <c r="V339" s="28" t="s">
        <v>112</v>
      </c>
      <c r="X339" s="28" t="s">
        <v>118</v>
      </c>
      <c r="Y339" s="28" t="s">
        <v>112</v>
      </c>
      <c r="AA339" s="2" t="s">
        <v>115</v>
      </c>
      <c r="AB339" s="2" t="str">
        <f t="shared" si="477"/>
        <v>-</v>
      </c>
      <c r="AC339" s="2" t="s">
        <v>67</v>
      </c>
      <c r="AD339" s="2" t="str">
        <f t="shared" si="478"/>
        <v>_</v>
      </c>
      <c r="AE339" s="2" t="s">
        <v>286</v>
      </c>
      <c r="AF339" s="2" t="str">
        <f t="shared" si="479"/>
        <v>_</v>
      </c>
      <c r="AG339" s="28" t="s">
        <v>105</v>
      </c>
      <c r="AH339" s="2" t="str">
        <f t="shared" si="480"/>
        <v/>
      </c>
    </row>
    <row r="340" spans="2:34" x14ac:dyDescent="0.25">
      <c r="B340" s="2" t="str">
        <f t="shared" si="476"/>
        <v>@line_width-path_narrow_z14</v>
      </c>
      <c r="C340" s="28" t="s">
        <v>92</v>
      </c>
      <c r="D340" s="28" t="s">
        <v>93</v>
      </c>
      <c r="F340" s="28" t="s">
        <v>92</v>
      </c>
      <c r="G340" s="28" t="s">
        <v>93</v>
      </c>
      <c r="I340" s="28" t="s">
        <v>91</v>
      </c>
      <c r="J340" s="28" t="s">
        <v>111</v>
      </c>
      <c r="L340" s="28" t="s">
        <v>91</v>
      </c>
      <c r="M340" s="28" t="s">
        <v>111</v>
      </c>
      <c r="U340" s="28" t="s">
        <v>76</v>
      </c>
      <c r="V340" s="28" t="s">
        <v>80</v>
      </c>
      <c r="X340" s="28" t="s">
        <v>76</v>
      </c>
      <c r="Y340" s="28" t="s">
        <v>80</v>
      </c>
      <c r="AA340" s="2" t="s">
        <v>115</v>
      </c>
      <c r="AB340" s="2" t="str">
        <f t="shared" si="477"/>
        <v>-</v>
      </c>
      <c r="AC340" s="2" t="s">
        <v>67</v>
      </c>
      <c r="AD340" s="2" t="str">
        <f t="shared" si="478"/>
        <v>_</v>
      </c>
      <c r="AE340" s="2" t="s">
        <v>68</v>
      </c>
      <c r="AF340" s="2" t="str">
        <f t="shared" si="479"/>
        <v>_</v>
      </c>
      <c r="AG340" s="28" t="s">
        <v>70</v>
      </c>
      <c r="AH340" s="2" t="str">
        <f t="shared" si="480"/>
        <v/>
      </c>
    </row>
    <row r="341" spans="2:34" x14ac:dyDescent="0.25">
      <c r="B341" s="2" t="str">
        <f t="shared" si="476"/>
        <v>@line_width-path_medium_z14</v>
      </c>
      <c r="C341" s="28" t="s">
        <v>76</v>
      </c>
      <c r="D341" s="28" t="s">
        <v>80</v>
      </c>
      <c r="F341" s="28" t="s">
        <v>76</v>
      </c>
      <c r="G341" s="28" t="s">
        <v>80</v>
      </c>
      <c r="I341" s="28" t="s">
        <v>92</v>
      </c>
      <c r="J341" s="28" t="s">
        <v>93</v>
      </c>
      <c r="L341" s="28" t="s">
        <v>92</v>
      </c>
      <c r="M341" s="28" t="s">
        <v>93</v>
      </c>
      <c r="U341" s="28" t="s">
        <v>76</v>
      </c>
      <c r="V341" s="28" t="s">
        <v>80</v>
      </c>
      <c r="X341" s="28" t="s">
        <v>76</v>
      </c>
      <c r="Y341" s="28" t="s">
        <v>80</v>
      </c>
      <c r="AA341" s="2" t="s">
        <v>115</v>
      </c>
      <c r="AB341" s="2" t="str">
        <f t="shared" si="477"/>
        <v>-</v>
      </c>
      <c r="AC341" s="2" t="s">
        <v>67</v>
      </c>
      <c r="AD341" s="2" t="str">
        <f t="shared" si="478"/>
        <v>_</v>
      </c>
      <c r="AE341" s="2" t="s">
        <v>75</v>
      </c>
      <c r="AF341" s="2" t="str">
        <f t="shared" si="479"/>
        <v>_</v>
      </c>
      <c r="AG341" s="28" t="s">
        <v>70</v>
      </c>
      <c r="AH341" s="2" t="str">
        <f t="shared" si="480"/>
        <v/>
      </c>
    </row>
    <row r="342" spans="2:34" x14ac:dyDescent="0.25">
      <c r="B342" s="2" t="str">
        <f t="shared" si="476"/>
        <v>@line_width-path_wide_z14</v>
      </c>
      <c r="C342" s="28" t="s">
        <v>119</v>
      </c>
      <c r="D342" s="28" t="s">
        <v>122</v>
      </c>
      <c r="F342" s="28" t="s">
        <v>119</v>
      </c>
      <c r="G342" s="28" t="s">
        <v>122</v>
      </c>
      <c r="I342" s="28" t="s">
        <v>80</v>
      </c>
      <c r="J342" s="28" t="s">
        <v>108</v>
      </c>
      <c r="L342" s="28" t="s">
        <v>80</v>
      </c>
      <c r="M342" s="28" t="s">
        <v>108</v>
      </c>
      <c r="U342" s="28" t="s">
        <v>76</v>
      </c>
      <c r="V342" s="28" t="s">
        <v>80</v>
      </c>
      <c r="X342" s="28" t="s">
        <v>76</v>
      </c>
      <c r="Y342" s="28" t="s">
        <v>80</v>
      </c>
      <c r="AA342" s="2" t="s">
        <v>115</v>
      </c>
      <c r="AB342" s="2" t="str">
        <f t="shared" si="477"/>
        <v>-</v>
      </c>
      <c r="AC342" s="2" t="s">
        <v>67</v>
      </c>
      <c r="AD342" s="2" t="str">
        <f t="shared" si="478"/>
        <v>_</v>
      </c>
      <c r="AE342" s="2" t="s">
        <v>73</v>
      </c>
      <c r="AF342" s="2" t="str">
        <f t="shared" si="479"/>
        <v>_</v>
      </c>
      <c r="AG342" s="28" t="s">
        <v>70</v>
      </c>
      <c r="AH342" s="2" t="str">
        <f t="shared" si="480"/>
        <v/>
      </c>
    </row>
    <row r="343" spans="2:34" x14ac:dyDescent="0.25">
      <c r="B343" s="2" t="str">
        <f t="shared" si="476"/>
        <v>@line_width-path_widest_z14</v>
      </c>
      <c r="C343" s="28" t="s">
        <v>119</v>
      </c>
      <c r="D343" s="28" t="s">
        <v>122</v>
      </c>
      <c r="F343" s="28" t="s">
        <v>119</v>
      </c>
      <c r="G343" s="28" t="s">
        <v>122</v>
      </c>
      <c r="I343" s="28" t="s">
        <v>80</v>
      </c>
      <c r="J343" s="28" t="s">
        <v>108</v>
      </c>
      <c r="L343" s="28" t="s">
        <v>80</v>
      </c>
      <c r="M343" s="28" t="s">
        <v>108</v>
      </c>
      <c r="U343" s="28" t="s">
        <v>76</v>
      </c>
      <c r="V343" s="28" t="s">
        <v>80</v>
      </c>
      <c r="X343" s="28" t="s">
        <v>76</v>
      </c>
      <c r="Y343" s="28" t="s">
        <v>80</v>
      </c>
      <c r="AA343" s="2" t="s">
        <v>115</v>
      </c>
      <c r="AB343" s="2" t="str">
        <f t="shared" si="477"/>
        <v>-</v>
      </c>
      <c r="AC343" s="2" t="s">
        <v>67</v>
      </c>
      <c r="AD343" s="2" t="str">
        <f t="shared" si="478"/>
        <v>_</v>
      </c>
      <c r="AE343" s="2" t="s">
        <v>286</v>
      </c>
      <c r="AF343" s="2" t="str">
        <f t="shared" si="479"/>
        <v>_</v>
      </c>
      <c r="AG343" s="28" t="s">
        <v>70</v>
      </c>
      <c r="AH343" s="2" t="str">
        <f t="shared" si="480"/>
        <v/>
      </c>
    </row>
    <row r="344" spans="2:34" x14ac:dyDescent="0.25">
      <c r="B344" s="2" t="str">
        <f t="shared" si="476"/>
        <v>@line_width-path_narrow_z16</v>
      </c>
      <c r="C344" s="28" t="s">
        <v>76</v>
      </c>
      <c r="D344" s="28" t="s">
        <v>81</v>
      </c>
      <c r="F344" s="28" t="s">
        <v>76</v>
      </c>
      <c r="G344" s="28" t="s">
        <v>81</v>
      </c>
      <c r="I344" s="28" t="s">
        <v>76</v>
      </c>
      <c r="J344" s="28" t="s">
        <v>80</v>
      </c>
      <c r="L344" s="28" t="s">
        <v>76</v>
      </c>
      <c r="M344" s="28" t="s">
        <v>80</v>
      </c>
      <c r="U344" s="28" t="s">
        <v>119</v>
      </c>
      <c r="V344" s="28" t="s">
        <v>122</v>
      </c>
      <c r="X344" s="28" t="s">
        <v>119</v>
      </c>
      <c r="Y344" s="28" t="s">
        <v>122</v>
      </c>
      <c r="AA344" s="2" t="s">
        <v>115</v>
      </c>
      <c r="AB344" s="2" t="str">
        <f t="shared" si="477"/>
        <v>-</v>
      </c>
      <c r="AC344" s="2" t="s">
        <v>67</v>
      </c>
      <c r="AD344" s="2" t="str">
        <f t="shared" si="478"/>
        <v>_</v>
      </c>
      <c r="AE344" s="2" t="s">
        <v>68</v>
      </c>
      <c r="AF344" s="2" t="str">
        <f t="shared" si="479"/>
        <v>_</v>
      </c>
      <c r="AG344" s="28" t="s">
        <v>71</v>
      </c>
      <c r="AH344" s="2" t="str">
        <f t="shared" si="480"/>
        <v/>
      </c>
    </row>
    <row r="345" spans="2:34" x14ac:dyDescent="0.25">
      <c r="B345" s="2" t="str">
        <f t="shared" si="476"/>
        <v>@line_width-path_medium_z16</v>
      </c>
      <c r="C345" s="28" t="s">
        <v>119</v>
      </c>
      <c r="D345" s="28" t="s">
        <v>122</v>
      </c>
      <c r="F345" s="28" t="s">
        <v>119</v>
      </c>
      <c r="G345" s="28" t="s">
        <v>122</v>
      </c>
      <c r="I345" s="28" t="s">
        <v>93</v>
      </c>
      <c r="J345" s="28" t="s">
        <v>119</v>
      </c>
      <c r="L345" s="28" t="s">
        <v>93</v>
      </c>
      <c r="M345" s="28" t="s">
        <v>119</v>
      </c>
      <c r="U345" s="28" t="s">
        <v>119</v>
      </c>
      <c r="V345" s="28" t="s">
        <v>122</v>
      </c>
      <c r="X345" s="28" t="s">
        <v>119</v>
      </c>
      <c r="Y345" s="28" t="s">
        <v>122</v>
      </c>
      <c r="AA345" s="2" t="s">
        <v>115</v>
      </c>
      <c r="AB345" s="2" t="str">
        <f t="shared" si="477"/>
        <v>-</v>
      </c>
      <c r="AC345" s="2" t="s">
        <v>67</v>
      </c>
      <c r="AD345" s="2" t="str">
        <f t="shared" si="478"/>
        <v>_</v>
      </c>
      <c r="AE345" s="2" t="s">
        <v>75</v>
      </c>
      <c r="AF345" s="2" t="str">
        <f t="shared" si="479"/>
        <v>_</v>
      </c>
      <c r="AG345" s="28" t="s">
        <v>71</v>
      </c>
      <c r="AH345" s="2" t="str">
        <f t="shared" si="480"/>
        <v/>
      </c>
    </row>
    <row r="346" spans="2:34" x14ac:dyDescent="0.25">
      <c r="B346" s="2" t="str">
        <f t="shared" si="476"/>
        <v>@line_width-path_wide_z16</v>
      </c>
      <c r="C346" s="28" t="s">
        <v>84</v>
      </c>
      <c r="D346" s="28" t="s">
        <v>124</v>
      </c>
      <c r="F346" s="28" t="s">
        <v>84</v>
      </c>
      <c r="G346" s="28" t="s">
        <v>124</v>
      </c>
      <c r="I346" s="28" t="s">
        <v>94</v>
      </c>
      <c r="J346" s="28" t="s">
        <v>95</v>
      </c>
      <c r="L346" s="28" t="s">
        <v>94</v>
      </c>
      <c r="M346" s="28" t="s">
        <v>95</v>
      </c>
      <c r="U346" s="28" t="s">
        <v>119</v>
      </c>
      <c r="V346" s="28" t="s">
        <v>122</v>
      </c>
      <c r="X346" s="28" t="s">
        <v>119</v>
      </c>
      <c r="Y346" s="28" t="s">
        <v>122</v>
      </c>
      <c r="AA346" s="2" t="s">
        <v>115</v>
      </c>
      <c r="AB346" s="2" t="str">
        <f t="shared" si="477"/>
        <v>-</v>
      </c>
      <c r="AC346" s="2" t="s">
        <v>67</v>
      </c>
      <c r="AD346" s="2" t="str">
        <f t="shared" si="478"/>
        <v>_</v>
      </c>
      <c r="AE346" s="2" t="s">
        <v>73</v>
      </c>
      <c r="AF346" s="2" t="str">
        <f t="shared" si="479"/>
        <v>_</v>
      </c>
      <c r="AG346" s="28" t="s">
        <v>71</v>
      </c>
      <c r="AH346" s="2" t="str">
        <f t="shared" si="480"/>
        <v/>
      </c>
    </row>
    <row r="347" spans="2:34" x14ac:dyDescent="0.25">
      <c r="B347" s="2" t="str">
        <f t="shared" si="476"/>
        <v>@line_width-path_widest_z16</v>
      </c>
      <c r="C347" s="28" t="s">
        <v>84</v>
      </c>
      <c r="D347" s="28" t="s">
        <v>124</v>
      </c>
      <c r="F347" s="28" t="s">
        <v>84</v>
      </c>
      <c r="G347" s="28" t="s">
        <v>124</v>
      </c>
      <c r="I347" s="28" t="s">
        <v>94</v>
      </c>
      <c r="J347" s="28" t="s">
        <v>95</v>
      </c>
      <c r="L347" s="28" t="s">
        <v>94</v>
      </c>
      <c r="M347" s="28" t="s">
        <v>95</v>
      </c>
      <c r="U347" s="28" t="s">
        <v>119</v>
      </c>
      <c r="V347" s="28" t="s">
        <v>122</v>
      </c>
      <c r="X347" s="28" t="s">
        <v>119</v>
      </c>
      <c r="Y347" s="28" t="s">
        <v>122</v>
      </c>
      <c r="AA347" s="2" t="s">
        <v>115</v>
      </c>
      <c r="AB347" s="2" t="str">
        <f t="shared" si="477"/>
        <v>-</v>
      </c>
      <c r="AC347" s="2" t="s">
        <v>67</v>
      </c>
      <c r="AD347" s="2" t="str">
        <f t="shared" si="478"/>
        <v>_</v>
      </c>
      <c r="AE347" s="2" t="s">
        <v>286</v>
      </c>
      <c r="AF347" s="2" t="str">
        <f t="shared" si="479"/>
        <v>_</v>
      </c>
      <c r="AG347" s="28" t="s">
        <v>71</v>
      </c>
      <c r="AH347" s="2" t="str">
        <f t="shared" si="480"/>
        <v/>
      </c>
    </row>
    <row r="348" spans="2:34" x14ac:dyDescent="0.25">
      <c r="B348" s="2" t="str">
        <f t="shared" si="476"/>
        <v>@line_width-path_narrow_z18</v>
      </c>
      <c r="C348" s="28" t="s">
        <v>81</v>
      </c>
      <c r="D348" s="28" t="s">
        <v>84</v>
      </c>
      <c r="F348" s="28" t="s">
        <v>81</v>
      </c>
      <c r="G348" s="28" t="s">
        <v>84</v>
      </c>
      <c r="I348" s="28" t="s">
        <v>76</v>
      </c>
      <c r="J348" s="28" t="s">
        <v>80</v>
      </c>
      <c r="L348" s="28" t="s">
        <v>76</v>
      </c>
      <c r="M348" s="28" t="s">
        <v>80</v>
      </c>
      <c r="U348" s="28" t="s">
        <v>78</v>
      </c>
      <c r="V348" s="28" t="s">
        <v>123</v>
      </c>
      <c r="X348" s="28" t="s">
        <v>78</v>
      </c>
      <c r="Y348" s="28" t="s">
        <v>123</v>
      </c>
      <c r="AA348" s="2" t="s">
        <v>115</v>
      </c>
      <c r="AB348" s="2" t="str">
        <f t="shared" si="477"/>
        <v>-</v>
      </c>
      <c r="AC348" s="2" t="s">
        <v>67</v>
      </c>
      <c r="AD348" s="2" t="str">
        <f t="shared" si="478"/>
        <v>_</v>
      </c>
      <c r="AE348" s="2" t="s">
        <v>68</v>
      </c>
      <c r="AF348" s="2" t="str">
        <f t="shared" si="479"/>
        <v>_</v>
      </c>
      <c r="AG348" s="28" t="s">
        <v>72</v>
      </c>
      <c r="AH348" s="2" t="str">
        <f t="shared" si="480"/>
        <v/>
      </c>
    </row>
    <row r="349" spans="2:34" x14ac:dyDescent="0.25">
      <c r="B349" s="2" t="str">
        <f t="shared" si="476"/>
        <v>@line_width-path_medium_z18</v>
      </c>
      <c r="C349" s="28" t="s">
        <v>78</v>
      </c>
      <c r="D349" s="28" t="s">
        <v>123</v>
      </c>
      <c r="F349" s="28" t="s">
        <v>78</v>
      </c>
      <c r="G349" s="28" t="s">
        <v>123</v>
      </c>
      <c r="I349" s="28" t="s">
        <v>94</v>
      </c>
      <c r="J349" s="28" t="s">
        <v>95</v>
      </c>
      <c r="L349" s="28" t="s">
        <v>94</v>
      </c>
      <c r="M349" s="28" t="s">
        <v>95</v>
      </c>
      <c r="U349" s="28" t="s">
        <v>78</v>
      </c>
      <c r="V349" s="28" t="s">
        <v>123</v>
      </c>
      <c r="X349" s="28" t="s">
        <v>78</v>
      </c>
      <c r="Y349" s="28" t="s">
        <v>123</v>
      </c>
      <c r="AA349" s="2" t="s">
        <v>115</v>
      </c>
      <c r="AB349" s="2" t="str">
        <f t="shared" si="477"/>
        <v>-</v>
      </c>
      <c r="AC349" s="2" t="s">
        <v>67</v>
      </c>
      <c r="AD349" s="2" t="str">
        <f t="shared" si="478"/>
        <v>_</v>
      </c>
      <c r="AE349" s="2" t="s">
        <v>75</v>
      </c>
      <c r="AF349" s="2" t="str">
        <f t="shared" si="479"/>
        <v>_</v>
      </c>
      <c r="AG349" s="28" t="s">
        <v>72</v>
      </c>
      <c r="AH349" s="2" t="str">
        <f t="shared" si="480"/>
        <v/>
      </c>
    </row>
    <row r="350" spans="2:34" x14ac:dyDescent="0.25">
      <c r="B350" s="2" t="str">
        <f t="shared" si="476"/>
        <v>@line_width-path_wide_z18</v>
      </c>
      <c r="C350" s="28" t="s">
        <v>303</v>
      </c>
      <c r="D350" s="28" t="s">
        <v>125</v>
      </c>
      <c r="F350" s="28" t="s">
        <v>303</v>
      </c>
      <c r="G350" s="28" t="s">
        <v>125</v>
      </c>
      <c r="I350" s="28" t="s">
        <v>95</v>
      </c>
      <c r="J350" s="28" t="s">
        <v>96</v>
      </c>
      <c r="L350" s="28" t="s">
        <v>95</v>
      </c>
      <c r="M350" s="28" t="s">
        <v>96</v>
      </c>
      <c r="U350" s="28" t="s">
        <v>78</v>
      </c>
      <c r="V350" s="28" t="s">
        <v>123</v>
      </c>
      <c r="X350" s="28" t="s">
        <v>78</v>
      </c>
      <c r="Y350" s="28" t="s">
        <v>123</v>
      </c>
      <c r="AA350" s="2" t="s">
        <v>115</v>
      </c>
      <c r="AB350" s="2" t="str">
        <f t="shared" si="477"/>
        <v>-</v>
      </c>
      <c r="AC350" s="2" t="s">
        <v>67</v>
      </c>
      <c r="AD350" s="2" t="str">
        <f t="shared" si="478"/>
        <v>_</v>
      </c>
      <c r="AE350" s="2" t="s">
        <v>73</v>
      </c>
      <c r="AF350" s="2" t="str">
        <f t="shared" si="479"/>
        <v>_</v>
      </c>
      <c r="AG350" s="28" t="s">
        <v>72</v>
      </c>
      <c r="AH350" s="2" t="str">
        <f t="shared" si="480"/>
        <v/>
      </c>
    </row>
    <row r="351" spans="2:34" x14ac:dyDescent="0.25">
      <c r="B351" s="2" t="str">
        <f t="shared" si="476"/>
        <v>@line_width-path_widest_z18</v>
      </c>
      <c r="C351" s="28" t="s">
        <v>303</v>
      </c>
      <c r="D351" s="28" t="s">
        <v>125</v>
      </c>
      <c r="F351" s="28" t="s">
        <v>303</v>
      </c>
      <c r="G351" s="28" t="s">
        <v>125</v>
      </c>
      <c r="I351" s="28" t="s">
        <v>95</v>
      </c>
      <c r="J351" s="28" t="s">
        <v>96</v>
      </c>
      <c r="L351" s="28" t="s">
        <v>95</v>
      </c>
      <c r="M351" s="28" t="s">
        <v>96</v>
      </c>
      <c r="U351" s="28" t="s">
        <v>78</v>
      </c>
      <c r="V351" s="28" t="s">
        <v>123</v>
      </c>
      <c r="X351" s="28" t="s">
        <v>78</v>
      </c>
      <c r="Y351" s="28" t="s">
        <v>123</v>
      </c>
      <c r="AA351" s="2" t="s">
        <v>115</v>
      </c>
      <c r="AB351" s="2" t="str">
        <f t="shared" si="477"/>
        <v>-</v>
      </c>
      <c r="AC351" s="2" t="s">
        <v>67</v>
      </c>
      <c r="AD351" s="2" t="str">
        <f t="shared" si="478"/>
        <v>_</v>
      </c>
      <c r="AE351" s="2" t="s">
        <v>286</v>
      </c>
      <c r="AF351" s="2" t="str">
        <f t="shared" si="479"/>
        <v>_</v>
      </c>
      <c r="AG351" s="28" t="s">
        <v>72</v>
      </c>
      <c r="AH351" s="2" t="str">
        <f t="shared" si="480"/>
        <v/>
      </c>
    </row>
    <row r="352" spans="2:34" x14ac:dyDescent="0.25">
      <c r="B352" s="2"/>
      <c r="AA352" s="2"/>
      <c r="AB352" s="2"/>
      <c r="AC352" s="2"/>
      <c r="AD352" s="2"/>
      <c r="AE352" s="2"/>
      <c r="AF352" s="2"/>
      <c r="AH352" s="2"/>
    </row>
    <row r="353" spans="2:35" x14ac:dyDescent="0.25">
      <c r="B353" s="2" t="str">
        <f>_xlfn.CONCAT("@",AA353,AB353,AC353,AD353,AE353,AF353,AG353,AH353,AI353)</f>
        <v>@line_width-track_default_z10</v>
      </c>
      <c r="C353" s="28" t="s">
        <v>116</v>
      </c>
      <c r="D353" s="28" t="s">
        <v>77</v>
      </c>
      <c r="F353" s="28" t="s">
        <v>116</v>
      </c>
      <c r="G353" s="28" t="s">
        <v>77</v>
      </c>
      <c r="I353" s="28" t="s">
        <v>92</v>
      </c>
      <c r="J353" s="28" t="s">
        <v>339</v>
      </c>
      <c r="L353" s="28" t="s">
        <v>92</v>
      </c>
      <c r="M353" s="28" t="s">
        <v>339</v>
      </c>
      <c r="U353" s="28" t="s">
        <v>116</v>
      </c>
      <c r="V353" s="28" t="s">
        <v>77</v>
      </c>
      <c r="X353" s="28" t="s">
        <v>116</v>
      </c>
      <c r="Y353" s="28" t="s">
        <v>77</v>
      </c>
      <c r="AA353" s="2" t="s">
        <v>115</v>
      </c>
      <c r="AB353" s="2" t="str">
        <f t="shared" ref="AB353:AB357" si="481">IF(NOT(ISBLANK(AC353)),"-","")</f>
        <v>-</v>
      </c>
      <c r="AC353" s="2" t="s">
        <v>98</v>
      </c>
      <c r="AD353" s="2" t="str">
        <f t="shared" ref="AD353:AD357" si="482">IF(NOT(ISBLANK(AE353)),"_","")</f>
        <v>_</v>
      </c>
      <c r="AE353" s="2" t="s">
        <v>255</v>
      </c>
      <c r="AF353" s="2" t="str">
        <f t="shared" ref="AF353:AF357" si="483">IF(NOT(ISBLANK(AG353)),"_","")</f>
        <v>_</v>
      </c>
      <c r="AG353" s="28" t="s">
        <v>99</v>
      </c>
      <c r="AH353" s="2" t="str">
        <f t="shared" ref="AH353:AH357" si="484">IF(NOT(ISBLANK(AI353)),"_","")</f>
        <v/>
      </c>
    </row>
    <row r="354" spans="2:35" x14ac:dyDescent="0.25">
      <c r="B354" s="2" t="str">
        <f>_xlfn.CONCAT("@",AA354,AB354,AC354,AD354,AE354,AF354,AG354,AH354,AI354)</f>
        <v>@line_width-track_default_z12</v>
      </c>
      <c r="C354" s="28" t="s">
        <v>92</v>
      </c>
      <c r="D354" s="28" t="s">
        <v>94</v>
      </c>
      <c r="F354" s="28" t="s">
        <v>92</v>
      </c>
      <c r="G354" s="28" t="s">
        <v>94</v>
      </c>
      <c r="I354" s="28" t="s">
        <v>93</v>
      </c>
      <c r="J354" s="28" t="s">
        <v>119</v>
      </c>
      <c r="L354" s="28" t="s">
        <v>93</v>
      </c>
      <c r="M354" s="28" t="s">
        <v>119</v>
      </c>
      <c r="U354" s="28" t="s">
        <v>92</v>
      </c>
      <c r="V354" s="28" t="s">
        <v>94</v>
      </c>
      <c r="X354" s="28" t="s">
        <v>92</v>
      </c>
      <c r="Y354" s="28" t="s">
        <v>94</v>
      </c>
      <c r="AA354" s="2" t="s">
        <v>115</v>
      </c>
      <c r="AB354" s="2" t="str">
        <f t="shared" si="481"/>
        <v>-</v>
      </c>
      <c r="AC354" s="2" t="s">
        <v>98</v>
      </c>
      <c r="AD354" s="2" t="str">
        <f t="shared" si="482"/>
        <v>_</v>
      </c>
      <c r="AE354" s="2" t="s">
        <v>255</v>
      </c>
      <c r="AF354" s="2" t="str">
        <f t="shared" si="483"/>
        <v>_</v>
      </c>
      <c r="AG354" s="28" t="s">
        <v>105</v>
      </c>
      <c r="AH354" s="2" t="str">
        <f t="shared" si="484"/>
        <v/>
      </c>
    </row>
    <row r="355" spans="2:35" x14ac:dyDescent="0.25">
      <c r="B355" s="2" t="str">
        <f>_xlfn.CONCAT("@",AA355,AB355,AC355,AD355,AE355,AF355,AG355,AH355,AI355)</f>
        <v>@line_width-track_default_z14</v>
      </c>
      <c r="C355" s="28" t="s">
        <v>77</v>
      </c>
      <c r="D355" s="28" t="s">
        <v>81</v>
      </c>
      <c r="F355" s="28" t="s">
        <v>77</v>
      </c>
      <c r="G355" s="28" t="s">
        <v>81</v>
      </c>
      <c r="I355" s="28" t="s">
        <v>94</v>
      </c>
      <c r="J355" s="28" t="s">
        <v>95</v>
      </c>
      <c r="L355" s="28" t="s">
        <v>94</v>
      </c>
      <c r="M355" s="28" t="s">
        <v>95</v>
      </c>
      <c r="U355" s="28" t="s">
        <v>77</v>
      </c>
      <c r="V355" s="28" t="s">
        <v>81</v>
      </c>
      <c r="X355" s="28" t="s">
        <v>77</v>
      </c>
      <c r="Y355" s="28" t="s">
        <v>81</v>
      </c>
      <c r="AA355" s="2" t="s">
        <v>115</v>
      </c>
      <c r="AB355" s="2" t="str">
        <f t="shared" si="481"/>
        <v>-</v>
      </c>
      <c r="AC355" s="2" t="s">
        <v>98</v>
      </c>
      <c r="AD355" s="2" t="str">
        <f t="shared" si="482"/>
        <v>_</v>
      </c>
      <c r="AE355" s="2" t="s">
        <v>255</v>
      </c>
      <c r="AF355" s="2" t="str">
        <f t="shared" si="483"/>
        <v>_</v>
      </c>
      <c r="AG355" s="28" t="s">
        <v>70</v>
      </c>
      <c r="AH355" s="2" t="str">
        <f t="shared" si="484"/>
        <v/>
      </c>
    </row>
    <row r="356" spans="2:35" x14ac:dyDescent="0.25">
      <c r="B356" s="2" t="str">
        <f>_xlfn.CONCAT("@",AA356,AB356,AC356,AD356,AE356,AF356,AG356,AH356,AI356)</f>
        <v>@line_width-track_default_z16</v>
      </c>
      <c r="C356" s="28" t="s">
        <v>78</v>
      </c>
      <c r="D356" s="28" t="s">
        <v>123</v>
      </c>
      <c r="F356" s="28" t="s">
        <v>78</v>
      </c>
      <c r="G356" s="28" t="s">
        <v>123</v>
      </c>
      <c r="I356" s="28" t="s">
        <v>88</v>
      </c>
      <c r="J356" s="28" t="s">
        <v>82</v>
      </c>
      <c r="L356" s="28" t="s">
        <v>88</v>
      </c>
      <c r="M356" s="28" t="s">
        <v>82</v>
      </c>
      <c r="U356" s="28" t="s">
        <v>78</v>
      </c>
      <c r="V356" s="28" t="s">
        <v>123</v>
      </c>
      <c r="X356" s="28" t="s">
        <v>78</v>
      </c>
      <c r="Y356" s="28" t="s">
        <v>123</v>
      </c>
      <c r="AA356" s="2" t="s">
        <v>115</v>
      </c>
      <c r="AB356" s="2" t="str">
        <f t="shared" si="481"/>
        <v>-</v>
      </c>
      <c r="AC356" s="2" t="s">
        <v>98</v>
      </c>
      <c r="AD356" s="2" t="str">
        <f t="shared" si="482"/>
        <v>_</v>
      </c>
      <c r="AE356" s="2" t="s">
        <v>255</v>
      </c>
      <c r="AF356" s="2" t="str">
        <f t="shared" si="483"/>
        <v>_</v>
      </c>
      <c r="AG356" s="28" t="s">
        <v>71</v>
      </c>
      <c r="AH356" s="2" t="str">
        <f t="shared" si="484"/>
        <v/>
      </c>
    </row>
    <row r="357" spans="2:35" x14ac:dyDescent="0.25">
      <c r="B357" s="2" t="str">
        <f>_xlfn.CONCAT("@",AA357,AB357,AC357,AD357,AE357,AF357,AG357,AH357,AI357)</f>
        <v>@line_width-track_default_z18</v>
      </c>
      <c r="C357" s="28" t="s">
        <v>130</v>
      </c>
      <c r="D357" s="28" t="s">
        <v>131</v>
      </c>
      <c r="F357" s="28" t="s">
        <v>130</v>
      </c>
      <c r="G357" s="28" t="s">
        <v>131</v>
      </c>
      <c r="I357" s="28" t="s">
        <v>317</v>
      </c>
      <c r="J357" s="28" t="s">
        <v>322</v>
      </c>
      <c r="L357" s="28" t="s">
        <v>317</v>
      </c>
      <c r="M357" s="28" t="s">
        <v>322</v>
      </c>
      <c r="U357" s="28" t="s">
        <v>130</v>
      </c>
      <c r="V357" s="28" t="s">
        <v>131</v>
      </c>
      <c r="X357" s="28" t="s">
        <v>130</v>
      </c>
      <c r="Y357" s="28" t="s">
        <v>131</v>
      </c>
      <c r="AA357" s="2" t="s">
        <v>115</v>
      </c>
      <c r="AB357" s="2" t="str">
        <f t="shared" si="481"/>
        <v>-</v>
      </c>
      <c r="AC357" s="2" t="s">
        <v>98</v>
      </c>
      <c r="AD357" s="2" t="str">
        <f t="shared" si="482"/>
        <v>_</v>
      </c>
      <c r="AE357" s="2" t="s">
        <v>255</v>
      </c>
      <c r="AF357" s="2" t="str">
        <f t="shared" si="483"/>
        <v>_</v>
      </c>
      <c r="AG357" s="28" t="s">
        <v>72</v>
      </c>
      <c r="AH357" s="2" t="str">
        <f t="shared" si="484"/>
        <v/>
      </c>
    </row>
    <row r="358" spans="2:35" s="183" customFormat="1" x14ac:dyDescent="0.25">
      <c r="B358" s="182"/>
      <c r="AA358" s="182"/>
      <c r="AB358" s="182"/>
      <c r="AC358" s="182"/>
      <c r="AD358" s="182"/>
      <c r="AE358" s="182"/>
      <c r="AF358" s="182"/>
      <c r="AH358" s="182"/>
    </row>
    <row r="359" spans="2:35" s="180" customFormat="1" x14ac:dyDescent="0.25">
      <c r="B359" s="181"/>
      <c r="AA359" s="181"/>
      <c r="AB359" s="181"/>
      <c r="AC359" s="181"/>
      <c r="AD359" s="181"/>
      <c r="AE359" s="181"/>
      <c r="AF359" s="181"/>
      <c r="AH359" s="181"/>
    </row>
    <row r="360" spans="2:35" x14ac:dyDescent="0.25">
      <c r="B360" s="2" t="str">
        <f>_xlfn.CONCAT("@",AA360,AB360,AC360,AD360,AE360,AF360,AG360,AH360,AI360)</f>
        <v>@dasharray-path_badvis_farzoom_dash</v>
      </c>
      <c r="C360" s="28" t="s">
        <v>92</v>
      </c>
      <c r="D360" s="28" t="s">
        <v>92</v>
      </c>
      <c r="F360" s="28" t="s">
        <v>92</v>
      </c>
      <c r="G360" s="28" t="s">
        <v>92</v>
      </c>
      <c r="I360" s="28" t="s">
        <v>92</v>
      </c>
      <c r="J360" s="28" t="s">
        <v>92</v>
      </c>
      <c r="L360" s="28" t="s">
        <v>92</v>
      </c>
      <c r="M360" s="28" t="s">
        <v>92</v>
      </c>
      <c r="U360" s="28" t="s">
        <v>86</v>
      </c>
      <c r="V360" s="28" t="s">
        <v>86</v>
      </c>
      <c r="X360" s="28" t="s">
        <v>86</v>
      </c>
      <c r="Y360" s="28" t="s">
        <v>86</v>
      </c>
      <c r="AA360" s="2" t="s">
        <v>371</v>
      </c>
      <c r="AB360" s="2" t="str">
        <f t="shared" ref="AB360" si="485">IF(NOT(ISBLANK(AC360)),"-","")</f>
        <v>-</v>
      </c>
      <c r="AC360" s="2" t="s">
        <v>67</v>
      </c>
      <c r="AD360" s="2" t="str">
        <f t="shared" ref="AD360" si="486">IF(NOT(ISBLANK(AE360)),"_","")</f>
        <v>_</v>
      </c>
      <c r="AE360" s="2" t="s">
        <v>379</v>
      </c>
      <c r="AF360" s="2" t="str">
        <f t="shared" ref="AF360" si="487">IF(NOT(ISBLANK(AG360)),"_","")</f>
        <v>_</v>
      </c>
      <c r="AG360" s="28" t="s">
        <v>20</v>
      </c>
      <c r="AH360" s="2" t="str">
        <f t="shared" ref="AH360" si="488">IF(NOT(ISBLANK(AI360)),"_","")</f>
        <v>_</v>
      </c>
      <c r="AI360" s="28" t="s">
        <v>373</v>
      </c>
    </row>
    <row r="361" spans="2:35" x14ac:dyDescent="0.25">
      <c r="B361" s="2" t="str">
        <f>_xlfn.CONCAT("@",AA361,AB361,AC361,AD361,AE361,AF361,AG361,AH361,AI361)</f>
        <v>@dasharray-path_badvis_farzoom_gap</v>
      </c>
      <c r="C361" s="28" t="s">
        <v>80</v>
      </c>
      <c r="D361" s="28" t="s">
        <v>80</v>
      </c>
      <c r="F361" s="28" t="s">
        <v>80</v>
      </c>
      <c r="G361" s="28" t="s">
        <v>80</v>
      </c>
      <c r="I361" s="28" t="s">
        <v>80</v>
      </c>
      <c r="J361" s="28" t="s">
        <v>80</v>
      </c>
      <c r="L361" s="28" t="s">
        <v>80</v>
      </c>
      <c r="M361" s="28" t="s">
        <v>80</v>
      </c>
      <c r="U361" s="28" t="s">
        <v>81</v>
      </c>
      <c r="V361" s="28" t="s">
        <v>81</v>
      </c>
      <c r="X361" s="28" t="s">
        <v>81</v>
      </c>
      <c r="Y361" s="28" t="s">
        <v>81</v>
      </c>
      <c r="AA361" s="2" t="s">
        <v>371</v>
      </c>
      <c r="AB361" s="2" t="str">
        <f t="shared" ref="AB361:AB362" si="489">IF(NOT(ISBLANK(AC361)),"-","")</f>
        <v>-</v>
      </c>
      <c r="AC361" s="2" t="s">
        <v>67</v>
      </c>
      <c r="AD361" s="2" t="str">
        <f t="shared" ref="AD361:AD362" si="490">IF(NOT(ISBLANK(AE361)),"_","")</f>
        <v>_</v>
      </c>
      <c r="AE361" s="2" t="s">
        <v>379</v>
      </c>
      <c r="AF361" s="2" t="str">
        <f t="shared" ref="AF361:AF362" si="491">IF(NOT(ISBLANK(AG361)),"_","")</f>
        <v>_</v>
      </c>
      <c r="AG361" s="28" t="s">
        <v>20</v>
      </c>
      <c r="AH361" s="2" t="str">
        <f t="shared" ref="AH361:AH362" si="492">IF(NOT(ISBLANK(AI361)),"_","")</f>
        <v>_</v>
      </c>
      <c r="AI361" s="28" t="s">
        <v>374</v>
      </c>
    </row>
    <row r="362" spans="2:35" x14ac:dyDescent="0.25">
      <c r="B362" s="2" t="str">
        <f>_xlfn.CONCAT("@",AA362,AB362,AC362,AD362,AE362,AF362,AG362,AH362,AI362)</f>
        <v>@dasharray-path_badvis_default_dash</v>
      </c>
      <c r="C362" s="28" t="s">
        <v>92</v>
      </c>
      <c r="D362" s="28" t="s">
        <v>92</v>
      </c>
      <c r="F362" s="28" t="s">
        <v>92</v>
      </c>
      <c r="G362" s="28" t="s">
        <v>92</v>
      </c>
      <c r="I362" s="28" t="s">
        <v>92</v>
      </c>
      <c r="J362" s="28" t="s">
        <v>92</v>
      </c>
      <c r="L362" s="28" t="s">
        <v>92</v>
      </c>
      <c r="M362" s="28" t="s">
        <v>92</v>
      </c>
      <c r="U362" s="28" t="s">
        <v>86</v>
      </c>
      <c r="V362" s="28" t="s">
        <v>86</v>
      </c>
      <c r="X362" s="28" t="s">
        <v>86</v>
      </c>
      <c r="Y362" s="28" t="s">
        <v>86</v>
      </c>
      <c r="AA362" s="2" t="s">
        <v>371</v>
      </c>
      <c r="AB362" s="2" t="str">
        <f t="shared" si="489"/>
        <v>-</v>
      </c>
      <c r="AC362" s="2" t="s">
        <v>67</v>
      </c>
      <c r="AD362" s="2" t="str">
        <f t="shared" si="490"/>
        <v>_</v>
      </c>
      <c r="AE362" s="2" t="s">
        <v>379</v>
      </c>
      <c r="AF362" s="2" t="str">
        <f t="shared" si="491"/>
        <v>_</v>
      </c>
      <c r="AG362" s="2" t="s">
        <v>255</v>
      </c>
      <c r="AH362" s="2" t="str">
        <f t="shared" si="492"/>
        <v>_</v>
      </c>
      <c r="AI362" s="28" t="s">
        <v>373</v>
      </c>
    </row>
    <row r="363" spans="2:35" x14ac:dyDescent="0.25">
      <c r="B363" s="2" t="str">
        <f>_xlfn.CONCAT("@",AA363,AB363,AC363,AD363,AE363,AF363,AG363,AH363,AI363)</f>
        <v>@dasharray-path_badvis_default_gap</v>
      </c>
      <c r="C363" s="28" t="s">
        <v>80</v>
      </c>
      <c r="D363" s="28" t="s">
        <v>80</v>
      </c>
      <c r="F363" s="28" t="s">
        <v>80</v>
      </c>
      <c r="G363" s="28" t="s">
        <v>80</v>
      </c>
      <c r="I363" s="28" t="s">
        <v>80</v>
      </c>
      <c r="J363" s="28" t="s">
        <v>80</v>
      </c>
      <c r="L363" s="28" t="s">
        <v>80</v>
      </c>
      <c r="M363" s="28" t="s">
        <v>80</v>
      </c>
      <c r="U363" s="28" t="s">
        <v>81</v>
      </c>
      <c r="V363" s="28" t="s">
        <v>81</v>
      </c>
      <c r="X363" s="28" t="s">
        <v>81</v>
      </c>
      <c r="Y363" s="28" t="s">
        <v>81</v>
      </c>
      <c r="AA363" s="2" t="s">
        <v>371</v>
      </c>
      <c r="AB363" s="2" t="str">
        <f t="shared" ref="AB363" si="493">IF(NOT(ISBLANK(AC363)),"-","")</f>
        <v>-</v>
      </c>
      <c r="AC363" s="2" t="s">
        <v>67</v>
      </c>
      <c r="AD363" s="2" t="str">
        <f t="shared" ref="AD363" si="494">IF(NOT(ISBLANK(AE363)),"_","")</f>
        <v>_</v>
      </c>
      <c r="AE363" s="2" t="s">
        <v>379</v>
      </c>
      <c r="AF363" s="2" t="str">
        <f t="shared" ref="AF363" si="495">IF(NOT(ISBLANK(AG363)),"_","")</f>
        <v>_</v>
      </c>
      <c r="AG363" s="2" t="s">
        <v>255</v>
      </c>
      <c r="AH363" s="2" t="str">
        <f t="shared" ref="AH363" si="496">IF(NOT(ISBLANK(AI363)),"_","")</f>
        <v>_</v>
      </c>
      <c r="AI363" s="28" t="s">
        <v>374</v>
      </c>
    </row>
    <row r="364" spans="2:35" x14ac:dyDescent="0.25">
      <c r="B364" s="2"/>
      <c r="AA364" s="2"/>
      <c r="AB364" s="2"/>
      <c r="AC364" s="2"/>
      <c r="AD364" s="2"/>
      <c r="AE364" s="2"/>
    </row>
    <row r="365" spans="2:35" x14ac:dyDescent="0.25">
      <c r="B365" s="2" t="str">
        <f t="shared" ref="B365:B372" si="497">_xlfn.CONCAT("@",AA365,AB365,AC365,AD365,AE365,AF365,AG365,AH365,AI365)</f>
        <v>@dasharray-path_goodvis_farzoom_dash</v>
      </c>
      <c r="C365" s="28" t="s">
        <v>86</v>
      </c>
      <c r="D365" s="28" t="s">
        <v>86</v>
      </c>
      <c r="F365" s="28" t="s">
        <v>86</v>
      </c>
      <c r="G365" s="28" t="s">
        <v>86</v>
      </c>
      <c r="I365" s="28" t="s">
        <v>86</v>
      </c>
      <c r="J365" s="28" t="s">
        <v>86</v>
      </c>
      <c r="L365" s="28" t="s">
        <v>86</v>
      </c>
      <c r="M365" s="28" t="s">
        <v>86</v>
      </c>
      <c r="U365" s="28" t="s">
        <v>86</v>
      </c>
      <c r="V365" s="28" t="s">
        <v>81</v>
      </c>
      <c r="X365" s="28" t="s">
        <v>86</v>
      </c>
      <c r="Y365" s="28" t="s">
        <v>86</v>
      </c>
      <c r="AA365" s="2" t="s">
        <v>371</v>
      </c>
      <c r="AB365" s="2" t="str">
        <f t="shared" ref="AB365:AB366" si="498">IF(NOT(ISBLANK(AC365)),"-","")</f>
        <v>-</v>
      </c>
      <c r="AC365" s="2" t="s">
        <v>67</v>
      </c>
      <c r="AD365" s="2" t="str">
        <f t="shared" ref="AD365:AD366" si="499">IF(NOT(ISBLANK(AE365)),"_","")</f>
        <v>_</v>
      </c>
      <c r="AE365" s="2" t="s">
        <v>380</v>
      </c>
      <c r="AF365" s="2" t="str">
        <f t="shared" ref="AF365:AF366" si="500">IF(NOT(ISBLANK(AG365)),"_","")</f>
        <v>_</v>
      </c>
      <c r="AG365" s="28" t="s">
        <v>20</v>
      </c>
      <c r="AH365" s="2" t="str">
        <f t="shared" ref="AH365:AH366" si="501">IF(NOT(ISBLANK(AI365)),"_","")</f>
        <v>_</v>
      </c>
      <c r="AI365" s="28" t="s">
        <v>373</v>
      </c>
    </row>
    <row r="366" spans="2:35" x14ac:dyDescent="0.25">
      <c r="B366" s="2" t="str">
        <f t="shared" si="497"/>
        <v>@dasharray-path_goodvis_farzoom_gap</v>
      </c>
      <c r="C366" s="28" t="s">
        <v>81</v>
      </c>
      <c r="D366" s="28" t="s">
        <v>81</v>
      </c>
      <c r="F366" s="28" t="s">
        <v>81</v>
      </c>
      <c r="G366" s="28" t="s">
        <v>81</v>
      </c>
      <c r="I366" s="28" t="s">
        <v>81</v>
      </c>
      <c r="J366" s="28" t="s">
        <v>81</v>
      </c>
      <c r="L366" s="28" t="s">
        <v>81</v>
      </c>
      <c r="M366" s="28" t="s">
        <v>81</v>
      </c>
      <c r="U366" s="28" t="s">
        <v>81</v>
      </c>
      <c r="V366" s="28" t="s">
        <v>81</v>
      </c>
      <c r="X366" s="28" t="s">
        <v>81</v>
      </c>
      <c r="Y366" s="28" t="s">
        <v>81</v>
      </c>
      <c r="AA366" s="2" t="s">
        <v>371</v>
      </c>
      <c r="AB366" s="2" t="str">
        <f t="shared" si="498"/>
        <v>-</v>
      </c>
      <c r="AC366" s="2" t="s">
        <v>67</v>
      </c>
      <c r="AD366" s="2" t="str">
        <f t="shared" si="499"/>
        <v>_</v>
      </c>
      <c r="AE366" s="2" t="s">
        <v>380</v>
      </c>
      <c r="AF366" s="2" t="str">
        <f t="shared" si="500"/>
        <v>_</v>
      </c>
      <c r="AG366" s="28" t="s">
        <v>20</v>
      </c>
      <c r="AH366" s="2" t="str">
        <f t="shared" si="501"/>
        <v>_</v>
      </c>
      <c r="AI366" s="28" t="s">
        <v>374</v>
      </c>
    </row>
    <row r="367" spans="2:35" x14ac:dyDescent="0.25">
      <c r="B367" s="2" t="str">
        <f t="shared" si="497"/>
        <v>@dasharray-path_goodvis_narrow_dash</v>
      </c>
      <c r="C367" s="28" t="s">
        <v>381</v>
      </c>
      <c r="D367" s="28" t="s">
        <v>381</v>
      </c>
      <c r="F367" s="28" t="s">
        <v>381</v>
      </c>
      <c r="G367" s="28" t="s">
        <v>381</v>
      </c>
      <c r="I367" s="28" t="s">
        <v>381</v>
      </c>
      <c r="J367" s="28" t="s">
        <v>381</v>
      </c>
      <c r="L367" s="28" t="s">
        <v>381</v>
      </c>
      <c r="M367" s="28" t="s">
        <v>381</v>
      </c>
      <c r="U367" s="28" t="s">
        <v>78</v>
      </c>
      <c r="V367" s="28" t="s">
        <v>86</v>
      </c>
      <c r="X367" s="28" t="s">
        <v>78</v>
      </c>
      <c r="Y367" s="28" t="s">
        <v>78</v>
      </c>
      <c r="AA367" s="2" t="s">
        <v>371</v>
      </c>
      <c r="AB367" s="2" t="str">
        <f t="shared" ref="AB367:AB368" si="502">IF(NOT(ISBLANK(AC367)),"-","")</f>
        <v>-</v>
      </c>
      <c r="AC367" s="2" t="s">
        <v>67</v>
      </c>
      <c r="AD367" s="2" t="str">
        <f t="shared" ref="AD367:AD368" si="503">IF(NOT(ISBLANK(AE367)),"_","")</f>
        <v>_</v>
      </c>
      <c r="AE367" s="2" t="s">
        <v>380</v>
      </c>
      <c r="AF367" s="2" t="str">
        <f t="shared" ref="AF367:AF368" si="504">IF(NOT(ISBLANK(AG367)),"_","")</f>
        <v>_</v>
      </c>
      <c r="AG367" s="28" t="s">
        <v>68</v>
      </c>
      <c r="AH367" s="2" t="str">
        <f t="shared" ref="AH367:AH368" si="505">IF(NOT(ISBLANK(AI367)),"_","")</f>
        <v>_</v>
      </c>
      <c r="AI367" s="28" t="s">
        <v>373</v>
      </c>
    </row>
    <row r="368" spans="2:35" x14ac:dyDescent="0.25">
      <c r="B368" s="2" t="str">
        <f t="shared" si="497"/>
        <v>@dasharray-path_goodvis_narrow_gap</v>
      </c>
      <c r="C368" s="28" t="s">
        <v>382</v>
      </c>
      <c r="D368" s="28" t="s">
        <v>382</v>
      </c>
      <c r="F368" s="28" t="s">
        <v>382</v>
      </c>
      <c r="G368" s="28" t="s">
        <v>382</v>
      </c>
      <c r="I368" s="28" t="s">
        <v>382</v>
      </c>
      <c r="J368" s="28" t="s">
        <v>382</v>
      </c>
      <c r="L368" s="28" t="s">
        <v>382</v>
      </c>
      <c r="M368" s="28" t="s">
        <v>382</v>
      </c>
      <c r="U368" s="28" t="s">
        <v>86</v>
      </c>
      <c r="V368" s="28" t="s">
        <v>86</v>
      </c>
      <c r="X368" s="28" t="s">
        <v>86</v>
      </c>
      <c r="Y368" s="28" t="s">
        <v>86</v>
      </c>
      <c r="AA368" s="2" t="s">
        <v>371</v>
      </c>
      <c r="AB368" s="2" t="str">
        <f t="shared" si="502"/>
        <v>-</v>
      </c>
      <c r="AC368" s="2" t="s">
        <v>67</v>
      </c>
      <c r="AD368" s="2" t="str">
        <f t="shared" si="503"/>
        <v>_</v>
      </c>
      <c r="AE368" s="2" t="s">
        <v>380</v>
      </c>
      <c r="AF368" s="2" t="str">
        <f t="shared" si="504"/>
        <v>_</v>
      </c>
      <c r="AG368" s="28" t="s">
        <v>68</v>
      </c>
      <c r="AH368" s="2" t="str">
        <f t="shared" si="505"/>
        <v>_</v>
      </c>
      <c r="AI368" s="28" t="s">
        <v>374</v>
      </c>
    </row>
    <row r="369" spans="1:35" x14ac:dyDescent="0.25">
      <c r="B369" s="2" t="str">
        <f t="shared" si="497"/>
        <v>@dasharray-path_goodvis_medium_dash</v>
      </c>
      <c r="C369" s="28" t="s">
        <v>78</v>
      </c>
      <c r="D369" s="28" t="s">
        <v>78</v>
      </c>
      <c r="F369" s="28" t="s">
        <v>78</v>
      </c>
      <c r="G369" s="28" t="s">
        <v>78</v>
      </c>
      <c r="I369" s="28" t="s">
        <v>78</v>
      </c>
      <c r="J369" s="28" t="s">
        <v>78</v>
      </c>
      <c r="L369" s="28" t="s">
        <v>78</v>
      </c>
      <c r="M369" s="28" t="s">
        <v>78</v>
      </c>
      <c r="U369" s="28" t="s">
        <v>78</v>
      </c>
      <c r="V369" s="28" t="s">
        <v>86</v>
      </c>
      <c r="X369" s="28" t="s">
        <v>78</v>
      </c>
      <c r="Y369" s="28" t="s">
        <v>78</v>
      </c>
      <c r="AA369" s="2" t="s">
        <v>371</v>
      </c>
      <c r="AB369" s="2" t="str">
        <f t="shared" ref="AB369:AB370" si="506">IF(NOT(ISBLANK(AC369)),"-","")</f>
        <v>-</v>
      </c>
      <c r="AC369" s="2" t="s">
        <v>67</v>
      </c>
      <c r="AD369" s="2" t="str">
        <f t="shared" ref="AD369:AD370" si="507">IF(NOT(ISBLANK(AE369)),"_","")</f>
        <v>_</v>
      </c>
      <c r="AE369" s="2" t="s">
        <v>380</v>
      </c>
      <c r="AF369" s="2" t="str">
        <f t="shared" ref="AF369:AF370" si="508">IF(NOT(ISBLANK(AG369)),"_","")</f>
        <v>_</v>
      </c>
      <c r="AG369" s="28" t="s">
        <v>75</v>
      </c>
      <c r="AH369" s="2" t="str">
        <f t="shared" ref="AH369:AH370" si="509">IF(NOT(ISBLANK(AI369)),"_","")</f>
        <v>_</v>
      </c>
      <c r="AI369" s="28" t="s">
        <v>373</v>
      </c>
    </row>
    <row r="370" spans="1:35" x14ac:dyDescent="0.25">
      <c r="B370" s="2" t="str">
        <f t="shared" si="497"/>
        <v>@dasharray-path_goodvis_medium_gap</v>
      </c>
      <c r="C370" s="28" t="s">
        <v>86</v>
      </c>
      <c r="D370" s="28" t="s">
        <v>86</v>
      </c>
      <c r="F370" s="28" t="s">
        <v>86</v>
      </c>
      <c r="G370" s="28" t="s">
        <v>86</v>
      </c>
      <c r="I370" s="28" t="s">
        <v>86</v>
      </c>
      <c r="J370" s="28" t="s">
        <v>86</v>
      </c>
      <c r="L370" s="28" t="s">
        <v>86</v>
      </c>
      <c r="M370" s="28" t="s">
        <v>86</v>
      </c>
      <c r="U370" s="28" t="s">
        <v>86</v>
      </c>
      <c r="V370" s="28" t="s">
        <v>86</v>
      </c>
      <c r="X370" s="28" t="s">
        <v>86</v>
      </c>
      <c r="Y370" s="28" t="s">
        <v>86</v>
      </c>
      <c r="AA370" s="2" t="s">
        <v>371</v>
      </c>
      <c r="AB370" s="2" t="str">
        <f t="shared" si="506"/>
        <v>-</v>
      </c>
      <c r="AC370" s="2" t="s">
        <v>67</v>
      </c>
      <c r="AD370" s="2" t="str">
        <f t="shared" si="507"/>
        <v>_</v>
      </c>
      <c r="AE370" s="2" t="s">
        <v>380</v>
      </c>
      <c r="AF370" s="2" t="str">
        <f t="shared" si="508"/>
        <v>_</v>
      </c>
      <c r="AG370" s="28" t="s">
        <v>75</v>
      </c>
      <c r="AH370" s="2" t="str">
        <f t="shared" si="509"/>
        <v>_</v>
      </c>
      <c r="AI370" s="28" t="s">
        <v>374</v>
      </c>
    </row>
    <row r="371" spans="1:35" x14ac:dyDescent="0.25">
      <c r="B371" s="2" t="str">
        <f t="shared" si="497"/>
        <v>@dasharray-path_goodvis_wide_dash</v>
      </c>
      <c r="C371" s="28" t="s">
        <v>383</v>
      </c>
      <c r="D371" s="28" t="s">
        <v>383</v>
      </c>
      <c r="F371" s="28" t="s">
        <v>383</v>
      </c>
      <c r="G371" s="28" t="s">
        <v>383</v>
      </c>
      <c r="I371" s="28" t="s">
        <v>383</v>
      </c>
      <c r="J371" s="28" t="s">
        <v>383</v>
      </c>
      <c r="L371" s="28" t="s">
        <v>383</v>
      </c>
      <c r="M371" s="28" t="s">
        <v>383</v>
      </c>
      <c r="U371" s="28" t="s">
        <v>78</v>
      </c>
      <c r="V371" s="28" t="s">
        <v>86</v>
      </c>
      <c r="X371" s="28" t="s">
        <v>78</v>
      </c>
      <c r="Y371" s="28" t="s">
        <v>78</v>
      </c>
      <c r="AA371" s="2" t="s">
        <v>371</v>
      </c>
      <c r="AB371" s="2" t="str">
        <f t="shared" ref="AB371:AB372" si="510">IF(NOT(ISBLANK(AC371)),"-","")</f>
        <v>-</v>
      </c>
      <c r="AC371" s="2" t="s">
        <v>67</v>
      </c>
      <c r="AD371" s="2" t="str">
        <f t="shared" ref="AD371:AD372" si="511">IF(NOT(ISBLANK(AE371)),"_","")</f>
        <v>_</v>
      </c>
      <c r="AE371" s="2" t="s">
        <v>380</v>
      </c>
      <c r="AF371" s="2" t="str">
        <f t="shared" ref="AF371:AF372" si="512">IF(NOT(ISBLANK(AG371)),"_","")</f>
        <v>_</v>
      </c>
      <c r="AG371" s="28" t="s">
        <v>73</v>
      </c>
      <c r="AH371" s="2" t="str">
        <f t="shared" ref="AH371:AH372" si="513">IF(NOT(ISBLANK(AI371)),"_","")</f>
        <v>_</v>
      </c>
      <c r="AI371" s="28" t="s">
        <v>373</v>
      </c>
    </row>
    <row r="372" spans="1:35" x14ac:dyDescent="0.25">
      <c r="B372" s="2" t="str">
        <f t="shared" si="497"/>
        <v>@dasharray-path_goodvis_wide_gap</v>
      </c>
      <c r="C372" s="28" t="s">
        <v>80</v>
      </c>
      <c r="D372" s="28" t="s">
        <v>80</v>
      </c>
      <c r="F372" s="28" t="s">
        <v>80</v>
      </c>
      <c r="G372" s="28" t="s">
        <v>80</v>
      </c>
      <c r="I372" s="28" t="s">
        <v>80</v>
      </c>
      <c r="J372" s="28" t="s">
        <v>80</v>
      </c>
      <c r="L372" s="28" t="s">
        <v>80</v>
      </c>
      <c r="M372" s="28" t="s">
        <v>80</v>
      </c>
      <c r="U372" s="28" t="s">
        <v>86</v>
      </c>
      <c r="V372" s="28" t="s">
        <v>86</v>
      </c>
      <c r="X372" s="28" t="s">
        <v>86</v>
      </c>
      <c r="Y372" s="28" t="s">
        <v>86</v>
      </c>
      <c r="AA372" s="2" t="s">
        <v>371</v>
      </c>
      <c r="AB372" s="2" t="str">
        <f t="shared" si="510"/>
        <v>-</v>
      </c>
      <c r="AC372" s="2" t="s">
        <v>67</v>
      </c>
      <c r="AD372" s="2" t="str">
        <f t="shared" si="511"/>
        <v>_</v>
      </c>
      <c r="AE372" s="2" t="s">
        <v>380</v>
      </c>
      <c r="AF372" s="2" t="str">
        <f t="shared" si="512"/>
        <v>_</v>
      </c>
      <c r="AG372" s="28" t="s">
        <v>73</v>
      </c>
      <c r="AH372" s="2" t="str">
        <f t="shared" si="513"/>
        <v>_</v>
      </c>
      <c r="AI372" s="28" t="s">
        <v>374</v>
      </c>
    </row>
    <row r="373" spans="1:35" x14ac:dyDescent="0.25">
      <c r="B373" s="2"/>
      <c r="AA373" s="2"/>
      <c r="AB373" s="2"/>
      <c r="AC373" s="2"/>
      <c r="AD373" s="2"/>
      <c r="AE373" s="2"/>
      <c r="AF373" s="2"/>
      <c r="AH373" s="2"/>
    </row>
    <row r="374" spans="1:35" s="2" customFormat="1" x14ac:dyDescent="0.25">
      <c r="A374" s="185"/>
      <c r="B374" s="3" t="s">
        <v>449</v>
      </c>
      <c r="C374" s="27"/>
      <c r="D374" s="6"/>
      <c r="E374" s="7"/>
      <c r="F374" s="6"/>
      <c r="G374" s="6"/>
      <c r="H374" s="7"/>
      <c r="I374" s="6"/>
      <c r="J374" s="6"/>
      <c r="K374" s="7"/>
      <c r="L374" s="6"/>
      <c r="M374" s="6"/>
      <c r="N374" s="7"/>
      <c r="O374" s="6"/>
      <c r="P374" s="6"/>
      <c r="Q374" s="7"/>
      <c r="R374" s="6"/>
      <c r="S374" s="6"/>
      <c r="T374" s="7"/>
      <c r="U374" s="6"/>
      <c r="V374" s="6"/>
      <c r="W374" s="7"/>
      <c r="X374" s="6"/>
      <c r="Y374" s="6"/>
      <c r="AA374" s="4"/>
      <c r="AB374" s="4" t="str">
        <f t="shared" ref="AB374" si="514">IF(NOT(ISBLANK(AC374)),"-","")</f>
        <v/>
      </c>
      <c r="AC374" s="4"/>
      <c r="AD374" s="4" t="str">
        <f t="shared" ref="AD374" si="515">IF(NOT(ISBLANK(AE374)),"_","")</f>
        <v/>
      </c>
      <c r="AE374" s="4"/>
      <c r="AF374" s="4" t="str">
        <f t="shared" ref="AF374" si="516">IF(NOT(ISBLANK(AG374)),"_","")</f>
        <v/>
      </c>
      <c r="AG374" s="4"/>
      <c r="AH374" s="4" t="str">
        <f t="shared" ref="AH374" si="517">IF(NOT(ISBLANK(AI374)),"_","")</f>
        <v/>
      </c>
      <c r="AI374" s="4"/>
    </row>
    <row r="375" spans="1:35" x14ac:dyDescent="0.25">
      <c r="B375" s="2"/>
      <c r="AA375" s="2"/>
      <c r="AB375" s="2"/>
      <c r="AC375" s="2"/>
      <c r="AD375" s="2"/>
      <c r="AE375" s="2"/>
      <c r="AF375" s="2"/>
      <c r="AH375" s="2"/>
    </row>
    <row r="376" spans="1:35" x14ac:dyDescent="0.25">
      <c r="B376" s="2" t="str">
        <f t="shared" ref="B376:B379" si="518">_xlfn.CONCAT("@",AA376,AB376,AC376,AD376,AE376,AF376,AG376,AH376,AI376)</f>
        <v>@line_width-path_track_all_vegetation_z12</v>
      </c>
      <c r="C376" s="28" t="s">
        <v>93</v>
      </c>
      <c r="D376" s="28" t="s">
        <v>119</v>
      </c>
      <c r="F376" s="28" t="s">
        <v>93</v>
      </c>
      <c r="G376" s="28" t="s">
        <v>119</v>
      </c>
      <c r="I376" s="28" t="s">
        <v>93</v>
      </c>
      <c r="J376" s="28" t="s">
        <v>119</v>
      </c>
      <c r="L376" s="28" t="s">
        <v>93</v>
      </c>
      <c r="M376" s="28" t="s">
        <v>119</v>
      </c>
      <c r="U376" s="28" t="s">
        <v>93</v>
      </c>
      <c r="V376" s="28" t="s">
        <v>119</v>
      </c>
      <c r="X376" s="28" t="s">
        <v>93</v>
      </c>
      <c r="Y376" s="28" t="s">
        <v>119</v>
      </c>
      <c r="AA376" s="2" t="s">
        <v>115</v>
      </c>
      <c r="AB376" s="2" t="str">
        <f t="shared" ref="AB376:AB379" si="519">IF(NOT(ISBLANK(AC376)),"-","")</f>
        <v>-</v>
      </c>
      <c r="AC376" s="2" t="s">
        <v>421</v>
      </c>
      <c r="AD376" s="2" t="str">
        <f t="shared" ref="AD376:AD379" si="520">IF(NOT(ISBLANK(AE376)),"_","")</f>
        <v>_</v>
      </c>
      <c r="AE376" s="2" t="s">
        <v>444</v>
      </c>
      <c r="AF376" s="2" t="str">
        <f t="shared" ref="AF376:AF379" si="521">IF(NOT(ISBLANK(AG376)),"_","")</f>
        <v>_</v>
      </c>
      <c r="AG376" s="28" t="s">
        <v>36</v>
      </c>
      <c r="AH376" s="2" t="str">
        <f t="shared" ref="AH376:AH379" si="522">IF(NOT(ISBLANK(AI376)),"_","")</f>
        <v>_</v>
      </c>
      <c r="AI376" s="28" t="s">
        <v>105</v>
      </c>
    </row>
    <row r="377" spans="1:35" x14ac:dyDescent="0.25">
      <c r="B377" s="2" t="str">
        <f t="shared" si="518"/>
        <v>@line_width-path_track_all_vegetation_z14</v>
      </c>
      <c r="C377" s="28" t="s">
        <v>107</v>
      </c>
      <c r="D377" s="28" t="s">
        <v>122</v>
      </c>
      <c r="F377" s="28" t="s">
        <v>107</v>
      </c>
      <c r="G377" s="28" t="s">
        <v>122</v>
      </c>
      <c r="I377" s="28" t="s">
        <v>107</v>
      </c>
      <c r="J377" s="28" t="s">
        <v>122</v>
      </c>
      <c r="L377" s="28" t="s">
        <v>107</v>
      </c>
      <c r="M377" s="28" t="s">
        <v>122</v>
      </c>
      <c r="U377" s="28" t="s">
        <v>107</v>
      </c>
      <c r="V377" s="28" t="s">
        <v>122</v>
      </c>
      <c r="X377" s="28" t="s">
        <v>107</v>
      </c>
      <c r="Y377" s="28" t="s">
        <v>122</v>
      </c>
      <c r="AA377" s="2" t="s">
        <v>115</v>
      </c>
      <c r="AB377" s="2" t="str">
        <f t="shared" si="519"/>
        <v>-</v>
      </c>
      <c r="AC377" s="2" t="s">
        <v>421</v>
      </c>
      <c r="AD377" s="2" t="str">
        <f t="shared" si="520"/>
        <v>_</v>
      </c>
      <c r="AE377" s="2" t="s">
        <v>444</v>
      </c>
      <c r="AF377" s="2" t="str">
        <f t="shared" si="521"/>
        <v>_</v>
      </c>
      <c r="AG377" s="28" t="s">
        <v>36</v>
      </c>
      <c r="AH377" s="2" t="str">
        <f t="shared" si="522"/>
        <v>_</v>
      </c>
      <c r="AI377" s="28" t="s">
        <v>70</v>
      </c>
    </row>
    <row r="378" spans="1:35" x14ac:dyDescent="0.25">
      <c r="B378" s="2" t="str">
        <f t="shared" si="518"/>
        <v>@line_width-path_track_all_vegetation_z16</v>
      </c>
      <c r="C378" s="28" t="s">
        <v>336</v>
      </c>
      <c r="D378" s="28" t="s">
        <v>123</v>
      </c>
      <c r="F378" s="28" t="s">
        <v>336</v>
      </c>
      <c r="G378" s="28" t="s">
        <v>123</v>
      </c>
      <c r="I378" s="28" t="s">
        <v>336</v>
      </c>
      <c r="J378" s="28" t="s">
        <v>123</v>
      </c>
      <c r="L378" s="28" t="s">
        <v>336</v>
      </c>
      <c r="M378" s="28" t="s">
        <v>123</v>
      </c>
      <c r="U378" s="28" t="s">
        <v>336</v>
      </c>
      <c r="V378" s="28" t="s">
        <v>123</v>
      </c>
      <c r="X378" s="28" t="s">
        <v>336</v>
      </c>
      <c r="Y378" s="28" t="s">
        <v>123</v>
      </c>
      <c r="AA378" s="2" t="s">
        <v>115</v>
      </c>
      <c r="AB378" s="2" t="str">
        <f t="shared" si="519"/>
        <v>-</v>
      </c>
      <c r="AC378" s="2" t="s">
        <v>421</v>
      </c>
      <c r="AD378" s="2" t="str">
        <f t="shared" si="520"/>
        <v>_</v>
      </c>
      <c r="AE378" s="2" t="s">
        <v>444</v>
      </c>
      <c r="AF378" s="2" t="str">
        <f t="shared" si="521"/>
        <v>_</v>
      </c>
      <c r="AG378" s="28" t="s">
        <v>36</v>
      </c>
      <c r="AH378" s="2" t="str">
        <f t="shared" si="522"/>
        <v>_</v>
      </c>
      <c r="AI378" s="28" t="s">
        <v>71</v>
      </c>
    </row>
    <row r="379" spans="1:35" x14ac:dyDescent="0.25">
      <c r="B379" s="2" t="str">
        <f t="shared" si="518"/>
        <v>@line_width-path_track_all_vegetation_z18</v>
      </c>
      <c r="C379" s="28" t="s">
        <v>317</v>
      </c>
      <c r="D379" s="28" t="s">
        <v>322</v>
      </c>
      <c r="F379" s="28" t="s">
        <v>317</v>
      </c>
      <c r="G379" s="28" t="s">
        <v>322</v>
      </c>
      <c r="I379" s="28" t="s">
        <v>317</v>
      </c>
      <c r="J379" s="28" t="s">
        <v>322</v>
      </c>
      <c r="L379" s="28" t="s">
        <v>317</v>
      </c>
      <c r="M379" s="28" t="s">
        <v>322</v>
      </c>
      <c r="U379" s="28" t="s">
        <v>317</v>
      </c>
      <c r="V379" s="28" t="s">
        <v>322</v>
      </c>
      <c r="X379" s="28" t="s">
        <v>317</v>
      </c>
      <c r="Y379" s="28" t="s">
        <v>322</v>
      </c>
      <c r="AA379" s="2" t="s">
        <v>115</v>
      </c>
      <c r="AB379" s="2" t="str">
        <f t="shared" si="519"/>
        <v>-</v>
      </c>
      <c r="AC379" s="2" t="s">
        <v>421</v>
      </c>
      <c r="AD379" s="2" t="str">
        <f t="shared" si="520"/>
        <v>_</v>
      </c>
      <c r="AE379" s="2" t="s">
        <v>444</v>
      </c>
      <c r="AF379" s="2" t="str">
        <f t="shared" si="521"/>
        <v>_</v>
      </c>
      <c r="AG379" s="28" t="s">
        <v>36</v>
      </c>
      <c r="AH379" s="2" t="str">
        <f t="shared" si="522"/>
        <v>_</v>
      </c>
      <c r="AI379" s="28" t="s">
        <v>72</v>
      </c>
    </row>
    <row r="380" spans="1:35" x14ac:dyDescent="0.25">
      <c r="B380" s="2"/>
      <c r="AA380" s="2"/>
      <c r="AB380" s="2"/>
      <c r="AC380" s="2"/>
      <c r="AD380" s="2"/>
      <c r="AE380" s="2"/>
      <c r="AF380" s="2"/>
      <c r="AH380" s="2"/>
    </row>
    <row r="381" spans="1:35" x14ac:dyDescent="0.25">
      <c r="B381" s="2" t="str">
        <f t="shared" ref="B381:B396" si="523">_xlfn.CONCAT("@",AA381,AB381,AC381,AD381,AE381,AF381,AG381,AH381,AI381)</f>
        <v>@line_offset-path_narrow_vegetation_z12</v>
      </c>
      <c r="C381" s="28" t="s">
        <v>425</v>
      </c>
      <c r="D381" s="28" t="s">
        <v>429</v>
      </c>
      <c r="F381" s="28" t="s">
        <v>425</v>
      </c>
      <c r="G381" s="28" t="s">
        <v>429</v>
      </c>
      <c r="I381" s="28" t="s">
        <v>425</v>
      </c>
      <c r="J381" s="28" t="s">
        <v>429</v>
      </c>
      <c r="L381" s="28" t="s">
        <v>425</v>
      </c>
      <c r="M381" s="28" t="s">
        <v>429</v>
      </c>
      <c r="U381" s="28" t="s">
        <v>350</v>
      </c>
      <c r="V381" s="28" t="s">
        <v>345</v>
      </c>
      <c r="X381" s="28" t="s">
        <v>350</v>
      </c>
      <c r="Y381" s="28" t="s">
        <v>345</v>
      </c>
      <c r="AA381" s="2" t="s">
        <v>341</v>
      </c>
      <c r="AB381" s="2" t="str">
        <f t="shared" ref="AB381:AB396" si="524">IF(NOT(ISBLANK(AC381)),"-","")</f>
        <v>-</v>
      </c>
      <c r="AC381" s="2" t="s">
        <v>67</v>
      </c>
      <c r="AD381" s="2" t="str">
        <f t="shared" ref="AD381:AD396" si="525">IF(NOT(ISBLANK(AE381)),"_","")</f>
        <v>_</v>
      </c>
      <c r="AE381" s="2" t="s">
        <v>68</v>
      </c>
      <c r="AF381" s="2" t="str">
        <f t="shared" ref="AF381:AF396" si="526">IF(NOT(ISBLANK(AG381)),"_","")</f>
        <v>_</v>
      </c>
      <c r="AG381" s="28" t="s">
        <v>36</v>
      </c>
      <c r="AH381" s="2" t="str">
        <f t="shared" ref="AH381:AH396" si="527">IF(NOT(ISBLANK(AI381)),"_","")</f>
        <v>_</v>
      </c>
      <c r="AI381" s="28" t="s">
        <v>105</v>
      </c>
    </row>
    <row r="382" spans="1:35" x14ac:dyDescent="0.25">
      <c r="B382" s="2" t="str">
        <f t="shared" si="523"/>
        <v>@line_offset-path_medium_vegetation_z12</v>
      </c>
      <c r="C382" s="28" t="s">
        <v>350</v>
      </c>
      <c r="D382" s="28" t="s">
        <v>345</v>
      </c>
      <c r="F382" s="28" t="s">
        <v>350</v>
      </c>
      <c r="G382" s="28" t="s">
        <v>345</v>
      </c>
      <c r="I382" s="28" t="s">
        <v>350</v>
      </c>
      <c r="J382" s="28" t="s">
        <v>345</v>
      </c>
      <c r="L382" s="28" t="s">
        <v>350</v>
      </c>
      <c r="M382" s="28" t="s">
        <v>345</v>
      </c>
      <c r="U382" s="28" t="s">
        <v>350</v>
      </c>
      <c r="V382" s="28" t="s">
        <v>345</v>
      </c>
      <c r="X382" s="28" t="s">
        <v>350</v>
      </c>
      <c r="Y382" s="28" t="s">
        <v>345</v>
      </c>
      <c r="AA382" s="2" t="s">
        <v>341</v>
      </c>
      <c r="AB382" s="2" t="str">
        <f t="shared" si="524"/>
        <v>-</v>
      </c>
      <c r="AC382" s="2" t="s">
        <v>67</v>
      </c>
      <c r="AD382" s="2" t="str">
        <f t="shared" si="525"/>
        <v>_</v>
      </c>
      <c r="AE382" s="2" t="s">
        <v>75</v>
      </c>
      <c r="AF382" s="2" t="str">
        <f t="shared" si="526"/>
        <v>_</v>
      </c>
      <c r="AG382" s="28" t="s">
        <v>36</v>
      </c>
      <c r="AH382" s="2" t="str">
        <f t="shared" si="527"/>
        <v>_</v>
      </c>
      <c r="AI382" s="28" t="s">
        <v>105</v>
      </c>
    </row>
    <row r="383" spans="1:35" x14ac:dyDescent="0.25">
      <c r="B383" s="2" t="str">
        <f t="shared" si="523"/>
        <v>@line_offset-path_wide_vegetation_z12</v>
      </c>
      <c r="C383" s="28" t="s">
        <v>426</v>
      </c>
      <c r="D383" s="28" t="s">
        <v>346</v>
      </c>
      <c r="F383" s="28" t="s">
        <v>426</v>
      </c>
      <c r="G383" s="28" t="s">
        <v>346</v>
      </c>
      <c r="I383" s="28" t="s">
        <v>426</v>
      </c>
      <c r="J383" s="28" t="s">
        <v>346</v>
      </c>
      <c r="L383" s="28" t="s">
        <v>426</v>
      </c>
      <c r="M383" s="28" t="s">
        <v>346</v>
      </c>
      <c r="U383" s="28" t="s">
        <v>350</v>
      </c>
      <c r="V383" s="28" t="s">
        <v>345</v>
      </c>
      <c r="X383" s="28" t="s">
        <v>350</v>
      </c>
      <c r="Y383" s="28" t="s">
        <v>345</v>
      </c>
      <c r="AA383" s="2" t="s">
        <v>341</v>
      </c>
      <c r="AB383" s="2" t="str">
        <f t="shared" si="524"/>
        <v>-</v>
      </c>
      <c r="AC383" s="2" t="s">
        <v>67</v>
      </c>
      <c r="AD383" s="2" t="str">
        <f t="shared" si="525"/>
        <v>_</v>
      </c>
      <c r="AE383" s="2" t="s">
        <v>73</v>
      </c>
      <c r="AF383" s="2" t="str">
        <f t="shared" si="526"/>
        <v>_</v>
      </c>
      <c r="AG383" s="28" t="s">
        <v>36</v>
      </c>
      <c r="AH383" s="2" t="str">
        <f t="shared" si="527"/>
        <v>_</v>
      </c>
      <c r="AI383" s="28" t="s">
        <v>105</v>
      </c>
    </row>
    <row r="384" spans="1:35" x14ac:dyDescent="0.25">
      <c r="B384" s="2" t="str">
        <f t="shared" si="523"/>
        <v>@line_offset-path_widest_vegetation_z12</v>
      </c>
      <c r="C384" s="28" t="s">
        <v>426</v>
      </c>
      <c r="D384" s="28" t="s">
        <v>346</v>
      </c>
      <c r="F384" s="28" t="s">
        <v>426</v>
      </c>
      <c r="G384" s="28" t="s">
        <v>346</v>
      </c>
      <c r="I384" s="28" t="s">
        <v>426</v>
      </c>
      <c r="J384" s="28" t="s">
        <v>346</v>
      </c>
      <c r="L384" s="28" t="s">
        <v>426</v>
      </c>
      <c r="M384" s="28" t="s">
        <v>346</v>
      </c>
      <c r="U384" s="28" t="s">
        <v>350</v>
      </c>
      <c r="V384" s="28" t="s">
        <v>345</v>
      </c>
      <c r="X384" s="28" t="s">
        <v>350</v>
      </c>
      <c r="Y384" s="28" t="s">
        <v>345</v>
      </c>
      <c r="AA384" s="2" t="s">
        <v>341</v>
      </c>
      <c r="AB384" s="2" t="str">
        <f t="shared" si="524"/>
        <v>-</v>
      </c>
      <c r="AC384" s="2" t="s">
        <v>67</v>
      </c>
      <c r="AD384" s="2" t="str">
        <f t="shared" si="525"/>
        <v>_</v>
      </c>
      <c r="AE384" s="2" t="s">
        <v>286</v>
      </c>
      <c r="AF384" s="2" t="str">
        <f t="shared" si="526"/>
        <v>_</v>
      </c>
      <c r="AG384" s="28" t="s">
        <v>36</v>
      </c>
      <c r="AH384" s="2" t="str">
        <f t="shared" si="527"/>
        <v>_</v>
      </c>
      <c r="AI384" s="28" t="s">
        <v>105</v>
      </c>
    </row>
    <row r="385" spans="2:35" x14ac:dyDescent="0.25">
      <c r="B385" s="2" t="str">
        <f t="shared" si="523"/>
        <v>@line_offset-path_narrow_vegetation_z14</v>
      </c>
      <c r="C385" s="28" t="s">
        <v>427</v>
      </c>
      <c r="D385" s="28" t="s">
        <v>345</v>
      </c>
      <c r="F385" s="28" t="s">
        <v>427</v>
      </c>
      <c r="G385" s="28" t="s">
        <v>345</v>
      </c>
      <c r="I385" s="28" t="s">
        <v>427</v>
      </c>
      <c r="J385" s="28" t="s">
        <v>345</v>
      </c>
      <c r="L385" s="28" t="s">
        <v>427</v>
      </c>
      <c r="M385" s="28" t="s">
        <v>345</v>
      </c>
      <c r="U385" s="28" t="s">
        <v>346</v>
      </c>
      <c r="V385" s="28" t="s">
        <v>346</v>
      </c>
      <c r="X385" s="28" t="s">
        <v>346</v>
      </c>
      <c r="Y385" s="28" t="s">
        <v>346</v>
      </c>
      <c r="AA385" s="2" t="s">
        <v>341</v>
      </c>
      <c r="AB385" s="2" t="str">
        <f t="shared" si="524"/>
        <v>-</v>
      </c>
      <c r="AC385" s="2" t="s">
        <v>67</v>
      </c>
      <c r="AD385" s="2" t="str">
        <f t="shared" si="525"/>
        <v>_</v>
      </c>
      <c r="AE385" s="2" t="s">
        <v>68</v>
      </c>
      <c r="AF385" s="2" t="str">
        <f t="shared" si="526"/>
        <v>_</v>
      </c>
      <c r="AG385" s="28" t="s">
        <v>36</v>
      </c>
      <c r="AH385" s="2" t="str">
        <f t="shared" si="527"/>
        <v>_</v>
      </c>
      <c r="AI385" s="28" t="s">
        <v>70</v>
      </c>
    </row>
    <row r="386" spans="2:35" x14ac:dyDescent="0.25">
      <c r="B386" s="2" t="str">
        <f t="shared" si="523"/>
        <v>@line_offset-path_medium_vegetation_z14</v>
      </c>
      <c r="C386" s="28" t="s">
        <v>426</v>
      </c>
      <c r="D386" s="28" t="s">
        <v>346</v>
      </c>
      <c r="F386" s="28" t="s">
        <v>426</v>
      </c>
      <c r="G386" s="28" t="s">
        <v>346</v>
      </c>
      <c r="I386" s="28" t="s">
        <v>426</v>
      </c>
      <c r="J386" s="28" t="s">
        <v>346</v>
      </c>
      <c r="L386" s="28" t="s">
        <v>426</v>
      </c>
      <c r="M386" s="28" t="s">
        <v>346</v>
      </c>
      <c r="U386" s="28" t="s">
        <v>346</v>
      </c>
      <c r="V386" s="28" t="s">
        <v>346</v>
      </c>
      <c r="X386" s="28" t="s">
        <v>346</v>
      </c>
      <c r="Y386" s="28" t="s">
        <v>346</v>
      </c>
      <c r="AA386" s="2" t="s">
        <v>341</v>
      </c>
      <c r="AB386" s="2" t="str">
        <f t="shared" si="524"/>
        <v>-</v>
      </c>
      <c r="AC386" s="2" t="s">
        <v>67</v>
      </c>
      <c r="AD386" s="2" t="str">
        <f t="shared" si="525"/>
        <v>_</v>
      </c>
      <c r="AE386" s="2" t="s">
        <v>75</v>
      </c>
      <c r="AF386" s="2" t="str">
        <f t="shared" si="526"/>
        <v>_</v>
      </c>
      <c r="AG386" s="28" t="s">
        <v>36</v>
      </c>
      <c r="AH386" s="2" t="str">
        <f t="shared" si="527"/>
        <v>_</v>
      </c>
      <c r="AI386" s="28" t="s">
        <v>70</v>
      </c>
    </row>
    <row r="387" spans="2:35" x14ac:dyDescent="0.25">
      <c r="B387" s="2" t="str">
        <f t="shared" si="523"/>
        <v>@line_offset-path_wide_vegetation_z14</v>
      </c>
      <c r="C387" s="28" t="s">
        <v>345</v>
      </c>
      <c r="D387" s="28" t="s">
        <v>430</v>
      </c>
      <c r="F387" s="28" t="s">
        <v>345</v>
      </c>
      <c r="G387" s="28" t="s">
        <v>430</v>
      </c>
      <c r="I387" s="28" t="s">
        <v>345</v>
      </c>
      <c r="J387" s="28" t="s">
        <v>430</v>
      </c>
      <c r="L387" s="28" t="s">
        <v>345</v>
      </c>
      <c r="M387" s="28" t="s">
        <v>430</v>
      </c>
      <c r="U387" s="28" t="s">
        <v>346</v>
      </c>
      <c r="V387" s="28" t="s">
        <v>346</v>
      </c>
      <c r="X387" s="28" t="s">
        <v>346</v>
      </c>
      <c r="Y387" s="28" t="s">
        <v>346</v>
      </c>
      <c r="AA387" s="2" t="s">
        <v>341</v>
      </c>
      <c r="AB387" s="2" t="str">
        <f t="shared" si="524"/>
        <v>-</v>
      </c>
      <c r="AC387" s="2" t="s">
        <v>67</v>
      </c>
      <c r="AD387" s="2" t="str">
        <f t="shared" si="525"/>
        <v>_</v>
      </c>
      <c r="AE387" s="2" t="s">
        <v>73</v>
      </c>
      <c r="AF387" s="2" t="str">
        <f t="shared" si="526"/>
        <v>_</v>
      </c>
      <c r="AG387" s="28" t="s">
        <v>36</v>
      </c>
      <c r="AH387" s="2" t="str">
        <f t="shared" si="527"/>
        <v>_</v>
      </c>
      <c r="AI387" s="28" t="s">
        <v>70</v>
      </c>
    </row>
    <row r="388" spans="2:35" x14ac:dyDescent="0.25">
      <c r="B388" s="2" t="str">
        <f t="shared" si="523"/>
        <v>@line_offset-path_widest_vegetation_z14</v>
      </c>
      <c r="C388" s="28" t="s">
        <v>345</v>
      </c>
      <c r="D388" s="28" t="s">
        <v>430</v>
      </c>
      <c r="F388" s="28" t="s">
        <v>345</v>
      </c>
      <c r="G388" s="28" t="s">
        <v>430</v>
      </c>
      <c r="I388" s="28" t="s">
        <v>345</v>
      </c>
      <c r="J388" s="28" t="s">
        <v>430</v>
      </c>
      <c r="L388" s="28" t="s">
        <v>345</v>
      </c>
      <c r="M388" s="28" t="s">
        <v>430</v>
      </c>
      <c r="U388" s="28" t="s">
        <v>346</v>
      </c>
      <c r="V388" s="28" t="s">
        <v>346</v>
      </c>
      <c r="X388" s="28" t="s">
        <v>346</v>
      </c>
      <c r="Y388" s="28" t="s">
        <v>346</v>
      </c>
      <c r="AA388" s="2" t="s">
        <v>341</v>
      </c>
      <c r="AB388" s="2" t="str">
        <f t="shared" si="524"/>
        <v>-</v>
      </c>
      <c r="AC388" s="2" t="s">
        <v>67</v>
      </c>
      <c r="AD388" s="2" t="str">
        <f t="shared" si="525"/>
        <v>_</v>
      </c>
      <c r="AE388" s="2" t="s">
        <v>286</v>
      </c>
      <c r="AF388" s="2" t="str">
        <f t="shared" si="526"/>
        <v>_</v>
      </c>
      <c r="AG388" s="28" t="s">
        <v>36</v>
      </c>
      <c r="AH388" s="2" t="str">
        <f t="shared" si="527"/>
        <v>_</v>
      </c>
      <c r="AI388" s="28" t="s">
        <v>70</v>
      </c>
    </row>
    <row r="389" spans="2:35" x14ac:dyDescent="0.25">
      <c r="B389" s="2" t="str">
        <f t="shared" si="523"/>
        <v>@line_offset-path_narrow_vegetation_z16</v>
      </c>
      <c r="C389" s="28" t="s">
        <v>346</v>
      </c>
      <c r="D389" s="28" t="s">
        <v>431</v>
      </c>
      <c r="F389" s="28" t="s">
        <v>346</v>
      </c>
      <c r="G389" s="28" t="s">
        <v>431</v>
      </c>
      <c r="I389" s="28" t="s">
        <v>346</v>
      </c>
      <c r="J389" s="28" t="s">
        <v>431</v>
      </c>
      <c r="L389" s="28" t="s">
        <v>346</v>
      </c>
      <c r="M389" s="28" t="s">
        <v>431</v>
      </c>
      <c r="U389" s="28" t="s">
        <v>347</v>
      </c>
      <c r="V389" s="28" t="s">
        <v>432</v>
      </c>
      <c r="X389" s="28" t="s">
        <v>347</v>
      </c>
      <c r="Y389" s="28" t="s">
        <v>432</v>
      </c>
      <c r="AA389" s="2" t="s">
        <v>341</v>
      </c>
      <c r="AB389" s="2" t="str">
        <f t="shared" si="524"/>
        <v>-</v>
      </c>
      <c r="AC389" s="2" t="s">
        <v>67</v>
      </c>
      <c r="AD389" s="2" t="str">
        <f t="shared" si="525"/>
        <v>_</v>
      </c>
      <c r="AE389" s="2" t="s">
        <v>68</v>
      </c>
      <c r="AF389" s="2" t="str">
        <f t="shared" si="526"/>
        <v>_</v>
      </c>
      <c r="AG389" s="28" t="s">
        <v>36</v>
      </c>
      <c r="AH389" s="2" t="str">
        <f t="shared" si="527"/>
        <v>_</v>
      </c>
      <c r="AI389" s="28" t="s">
        <v>71</v>
      </c>
    </row>
    <row r="390" spans="2:35" x14ac:dyDescent="0.25">
      <c r="B390" s="2" t="str">
        <f t="shared" si="523"/>
        <v>@line_offset-path_medium_vegetation_z16</v>
      </c>
      <c r="C390" s="28" t="s">
        <v>428</v>
      </c>
      <c r="D390" s="28" t="s">
        <v>432</v>
      </c>
      <c r="F390" s="28" t="s">
        <v>428</v>
      </c>
      <c r="G390" s="28" t="s">
        <v>432</v>
      </c>
      <c r="I390" s="28" t="s">
        <v>428</v>
      </c>
      <c r="J390" s="28" t="s">
        <v>432</v>
      </c>
      <c r="L390" s="28" t="s">
        <v>428</v>
      </c>
      <c r="M390" s="28" t="s">
        <v>432</v>
      </c>
      <c r="U390" s="28" t="s">
        <v>347</v>
      </c>
      <c r="V390" s="28" t="s">
        <v>432</v>
      </c>
      <c r="X390" s="28" t="s">
        <v>347</v>
      </c>
      <c r="Y390" s="28" t="s">
        <v>432</v>
      </c>
      <c r="AA390" s="2" t="s">
        <v>341</v>
      </c>
      <c r="AB390" s="2" t="str">
        <f t="shared" si="524"/>
        <v>-</v>
      </c>
      <c r="AC390" s="2" t="s">
        <v>67</v>
      </c>
      <c r="AD390" s="2" t="str">
        <f t="shared" si="525"/>
        <v>_</v>
      </c>
      <c r="AE390" s="2" t="s">
        <v>75</v>
      </c>
      <c r="AF390" s="2" t="str">
        <f t="shared" si="526"/>
        <v>_</v>
      </c>
      <c r="AG390" s="28" t="s">
        <v>36</v>
      </c>
      <c r="AH390" s="2" t="str">
        <f t="shared" si="527"/>
        <v>_</v>
      </c>
      <c r="AI390" s="28" t="s">
        <v>71</v>
      </c>
    </row>
    <row r="391" spans="2:35" x14ac:dyDescent="0.25">
      <c r="B391" s="2" t="str">
        <f t="shared" si="523"/>
        <v>@line_offset-path_wide_vegetation_z16</v>
      </c>
      <c r="C391" s="28" t="s">
        <v>347</v>
      </c>
      <c r="D391" s="28" t="s">
        <v>433</v>
      </c>
      <c r="F391" s="28" t="s">
        <v>347</v>
      </c>
      <c r="G391" s="28" t="s">
        <v>433</v>
      </c>
      <c r="I391" s="28" t="s">
        <v>347</v>
      </c>
      <c r="J391" s="28" t="s">
        <v>433</v>
      </c>
      <c r="L391" s="28" t="s">
        <v>347</v>
      </c>
      <c r="M391" s="28" t="s">
        <v>433</v>
      </c>
      <c r="U391" s="28" t="s">
        <v>347</v>
      </c>
      <c r="V391" s="28" t="s">
        <v>432</v>
      </c>
      <c r="X391" s="28" t="s">
        <v>347</v>
      </c>
      <c r="Y391" s="28" t="s">
        <v>432</v>
      </c>
      <c r="AA391" s="2" t="s">
        <v>341</v>
      </c>
      <c r="AB391" s="2" t="str">
        <f t="shared" si="524"/>
        <v>-</v>
      </c>
      <c r="AC391" s="2" t="s">
        <v>67</v>
      </c>
      <c r="AD391" s="2" t="str">
        <f t="shared" si="525"/>
        <v>_</v>
      </c>
      <c r="AE391" s="2" t="s">
        <v>73</v>
      </c>
      <c r="AF391" s="2" t="str">
        <f t="shared" si="526"/>
        <v>_</v>
      </c>
      <c r="AG391" s="28" t="s">
        <v>36</v>
      </c>
      <c r="AH391" s="2" t="str">
        <f t="shared" si="527"/>
        <v>_</v>
      </c>
      <c r="AI391" s="28" t="s">
        <v>71</v>
      </c>
    </row>
    <row r="392" spans="2:35" x14ac:dyDescent="0.25">
      <c r="B392" s="2" t="str">
        <f t="shared" si="523"/>
        <v>@line_offset-path_widest_vegetation_z16</v>
      </c>
      <c r="C392" s="28" t="s">
        <v>347</v>
      </c>
      <c r="D392" s="28" t="s">
        <v>433</v>
      </c>
      <c r="F392" s="28" t="s">
        <v>347</v>
      </c>
      <c r="G392" s="28" t="s">
        <v>433</v>
      </c>
      <c r="I392" s="28" t="s">
        <v>347</v>
      </c>
      <c r="J392" s="28" t="s">
        <v>433</v>
      </c>
      <c r="L392" s="28" t="s">
        <v>347</v>
      </c>
      <c r="M392" s="28" t="s">
        <v>433</v>
      </c>
      <c r="U392" s="28" t="s">
        <v>347</v>
      </c>
      <c r="V392" s="28" t="s">
        <v>432</v>
      </c>
      <c r="X392" s="28" t="s">
        <v>347</v>
      </c>
      <c r="Y392" s="28" t="s">
        <v>432</v>
      </c>
      <c r="AA392" s="2" t="s">
        <v>341</v>
      </c>
      <c r="AB392" s="2" t="str">
        <f t="shared" si="524"/>
        <v>-</v>
      </c>
      <c r="AC392" s="2" t="s">
        <v>67</v>
      </c>
      <c r="AD392" s="2" t="str">
        <f t="shared" si="525"/>
        <v>_</v>
      </c>
      <c r="AE392" s="2" t="s">
        <v>286</v>
      </c>
      <c r="AF392" s="2" t="str">
        <f t="shared" si="526"/>
        <v>_</v>
      </c>
      <c r="AG392" s="28" t="s">
        <v>36</v>
      </c>
      <c r="AH392" s="2" t="str">
        <f t="shared" si="527"/>
        <v>_</v>
      </c>
      <c r="AI392" s="28" t="s">
        <v>71</v>
      </c>
    </row>
    <row r="393" spans="2:35" x14ac:dyDescent="0.25">
      <c r="B393" s="2" t="str">
        <f t="shared" si="523"/>
        <v>@line_offset-path_narrow_vegetation_z18</v>
      </c>
      <c r="C393" s="28" t="s">
        <v>428</v>
      </c>
      <c r="D393" s="28" t="s">
        <v>434</v>
      </c>
      <c r="F393" s="28" t="s">
        <v>428</v>
      </c>
      <c r="G393" s="28" t="s">
        <v>434</v>
      </c>
      <c r="I393" s="28" t="s">
        <v>428</v>
      </c>
      <c r="J393" s="28" t="s">
        <v>434</v>
      </c>
      <c r="L393" s="28" t="s">
        <v>428</v>
      </c>
      <c r="M393" s="28" t="s">
        <v>434</v>
      </c>
      <c r="U393" s="28" t="s">
        <v>343</v>
      </c>
      <c r="V393" s="28" t="s">
        <v>435</v>
      </c>
      <c r="X393" s="28" t="s">
        <v>343</v>
      </c>
      <c r="Y393" s="28" t="s">
        <v>435</v>
      </c>
      <c r="AA393" s="2" t="s">
        <v>341</v>
      </c>
      <c r="AB393" s="2" t="str">
        <f t="shared" si="524"/>
        <v>-</v>
      </c>
      <c r="AC393" s="2" t="s">
        <v>67</v>
      </c>
      <c r="AD393" s="2" t="str">
        <f t="shared" si="525"/>
        <v>_</v>
      </c>
      <c r="AE393" s="2" t="s">
        <v>68</v>
      </c>
      <c r="AF393" s="2" t="str">
        <f t="shared" si="526"/>
        <v>_</v>
      </c>
      <c r="AG393" s="28" t="s">
        <v>36</v>
      </c>
      <c r="AH393" s="2" t="str">
        <f t="shared" si="527"/>
        <v>_</v>
      </c>
      <c r="AI393" s="28" t="s">
        <v>72</v>
      </c>
    </row>
    <row r="394" spans="2:35" x14ac:dyDescent="0.25">
      <c r="B394" s="2" t="str">
        <f t="shared" si="523"/>
        <v>@line_offset-path_medium_vegetation_z18</v>
      </c>
      <c r="C394" s="28" t="s">
        <v>343</v>
      </c>
      <c r="D394" s="28" t="s">
        <v>435</v>
      </c>
      <c r="F394" s="28" t="s">
        <v>343</v>
      </c>
      <c r="G394" s="28" t="s">
        <v>435</v>
      </c>
      <c r="I394" s="28" t="s">
        <v>343</v>
      </c>
      <c r="J394" s="28" t="s">
        <v>435</v>
      </c>
      <c r="L394" s="28" t="s">
        <v>343</v>
      </c>
      <c r="M394" s="28" t="s">
        <v>435</v>
      </c>
      <c r="U394" s="28" t="s">
        <v>343</v>
      </c>
      <c r="V394" s="28" t="s">
        <v>435</v>
      </c>
      <c r="X394" s="28" t="s">
        <v>343</v>
      </c>
      <c r="Y394" s="28" t="s">
        <v>435</v>
      </c>
      <c r="AA394" s="2" t="s">
        <v>341</v>
      </c>
      <c r="AB394" s="2" t="str">
        <f t="shared" si="524"/>
        <v>-</v>
      </c>
      <c r="AC394" s="2" t="s">
        <v>67</v>
      </c>
      <c r="AD394" s="2" t="str">
        <f t="shared" si="525"/>
        <v>_</v>
      </c>
      <c r="AE394" s="2" t="s">
        <v>75</v>
      </c>
      <c r="AF394" s="2" t="str">
        <f t="shared" si="526"/>
        <v>_</v>
      </c>
      <c r="AG394" s="28" t="s">
        <v>36</v>
      </c>
      <c r="AH394" s="2" t="str">
        <f t="shared" si="527"/>
        <v>_</v>
      </c>
      <c r="AI394" s="28" t="s">
        <v>72</v>
      </c>
    </row>
    <row r="395" spans="2:35" x14ac:dyDescent="0.25">
      <c r="B395" s="2" t="str">
        <f t="shared" si="523"/>
        <v>@line_offset-path_wide_vegetation_z18</v>
      </c>
      <c r="C395" s="28" t="s">
        <v>348</v>
      </c>
      <c r="D395" s="28" t="s">
        <v>436</v>
      </c>
      <c r="F395" s="28" t="s">
        <v>348</v>
      </c>
      <c r="G395" s="28" t="s">
        <v>436</v>
      </c>
      <c r="I395" s="28" t="s">
        <v>348</v>
      </c>
      <c r="J395" s="28" t="s">
        <v>436</v>
      </c>
      <c r="L395" s="28" t="s">
        <v>348</v>
      </c>
      <c r="M395" s="28" t="s">
        <v>436</v>
      </c>
      <c r="U395" s="28" t="s">
        <v>343</v>
      </c>
      <c r="V395" s="28" t="s">
        <v>435</v>
      </c>
      <c r="X395" s="28" t="s">
        <v>343</v>
      </c>
      <c r="Y395" s="28" t="s">
        <v>435</v>
      </c>
      <c r="AA395" s="2" t="s">
        <v>341</v>
      </c>
      <c r="AB395" s="2" t="str">
        <f t="shared" si="524"/>
        <v>-</v>
      </c>
      <c r="AC395" s="2" t="s">
        <v>67</v>
      </c>
      <c r="AD395" s="2" t="str">
        <f t="shared" si="525"/>
        <v>_</v>
      </c>
      <c r="AE395" s="2" t="s">
        <v>73</v>
      </c>
      <c r="AF395" s="2" t="str">
        <f t="shared" si="526"/>
        <v>_</v>
      </c>
      <c r="AG395" s="28" t="s">
        <v>36</v>
      </c>
      <c r="AH395" s="2" t="str">
        <f t="shared" si="527"/>
        <v>_</v>
      </c>
      <c r="AI395" s="28" t="s">
        <v>72</v>
      </c>
    </row>
    <row r="396" spans="2:35" x14ac:dyDescent="0.25">
      <c r="B396" s="2" t="str">
        <f t="shared" si="523"/>
        <v>@line_offset-path_widest_vegetation_z18</v>
      </c>
      <c r="C396" s="28" t="s">
        <v>343</v>
      </c>
      <c r="D396" s="28" t="s">
        <v>436</v>
      </c>
      <c r="F396" s="28" t="s">
        <v>343</v>
      </c>
      <c r="G396" s="28" t="s">
        <v>436</v>
      </c>
      <c r="I396" s="28" t="s">
        <v>343</v>
      </c>
      <c r="J396" s="28" t="s">
        <v>436</v>
      </c>
      <c r="L396" s="28" t="s">
        <v>343</v>
      </c>
      <c r="M396" s="28" t="s">
        <v>436</v>
      </c>
      <c r="U396" s="28" t="s">
        <v>343</v>
      </c>
      <c r="V396" s="28" t="s">
        <v>435</v>
      </c>
      <c r="X396" s="28" t="s">
        <v>343</v>
      </c>
      <c r="Y396" s="28" t="s">
        <v>435</v>
      </c>
      <c r="AA396" s="2" t="s">
        <v>341</v>
      </c>
      <c r="AB396" s="2" t="str">
        <f t="shared" si="524"/>
        <v>-</v>
      </c>
      <c r="AC396" s="2" t="s">
        <v>67</v>
      </c>
      <c r="AD396" s="2" t="str">
        <f t="shared" si="525"/>
        <v>_</v>
      </c>
      <c r="AE396" s="2" t="s">
        <v>286</v>
      </c>
      <c r="AF396" s="2" t="str">
        <f t="shared" si="526"/>
        <v>_</v>
      </c>
      <c r="AG396" s="28" t="s">
        <v>36</v>
      </c>
      <c r="AH396" s="2" t="str">
        <f t="shared" si="527"/>
        <v>_</v>
      </c>
      <c r="AI396" s="28" t="s">
        <v>72</v>
      </c>
    </row>
    <row r="397" spans="2:35" x14ac:dyDescent="0.25">
      <c r="B397" s="2"/>
      <c r="AA397" s="2"/>
      <c r="AB397" s="2"/>
      <c r="AC397" s="2"/>
      <c r="AD397" s="2"/>
      <c r="AE397" s="2"/>
      <c r="AF397" s="2"/>
      <c r="AH397" s="2"/>
    </row>
    <row r="398" spans="2:35" x14ac:dyDescent="0.25">
      <c r="B398" s="2"/>
      <c r="AA398" s="2"/>
      <c r="AB398" s="2"/>
      <c r="AC398" s="2"/>
      <c r="AD398" s="2"/>
      <c r="AE398" s="2"/>
      <c r="AF398" s="2"/>
      <c r="AH398" s="2"/>
    </row>
    <row r="399" spans="2:35" x14ac:dyDescent="0.25">
      <c r="B399" s="2" t="str">
        <f t="shared" ref="B399" si="528">_xlfn.CONCAT("@",AA399,AB399,AC399,AD399,AE399,AF399,AG399,AH399,AI399)</f>
        <v>@line_width-path_track_all_mud_z12</v>
      </c>
      <c r="C399" s="28" t="s">
        <v>93</v>
      </c>
      <c r="D399" s="28" t="s">
        <v>119</v>
      </c>
      <c r="F399" s="28" t="s">
        <v>93</v>
      </c>
      <c r="G399" s="28" t="s">
        <v>119</v>
      </c>
      <c r="I399" s="28" t="s">
        <v>93</v>
      </c>
      <c r="J399" s="28" t="s">
        <v>119</v>
      </c>
      <c r="L399" s="28" t="s">
        <v>93</v>
      </c>
      <c r="M399" s="28" t="s">
        <v>119</v>
      </c>
      <c r="U399" s="28" t="s">
        <v>93</v>
      </c>
      <c r="V399" s="28" t="s">
        <v>119</v>
      </c>
      <c r="X399" s="28" t="s">
        <v>93</v>
      </c>
      <c r="Y399" s="28" t="s">
        <v>119</v>
      </c>
      <c r="AA399" s="2" t="s">
        <v>115</v>
      </c>
      <c r="AB399" s="2" t="str">
        <f t="shared" ref="AB399" si="529">IF(NOT(ISBLANK(AC399)),"-","")</f>
        <v>-</v>
      </c>
      <c r="AC399" s="2" t="s">
        <v>421</v>
      </c>
      <c r="AD399" s="2" t="str">
        <f t="shared" ref="AD399" si="530">IF(NOT(ISBLANK(AE399)),"_","")</f>
        <v>_</v>
      </c>
      <c r="AE399" s="2" t="s">
        <v>444</v>
      </c>
      <c r="AF399" s="2" t="str">
        <f t="shared" ref="AF399" si="531">IF(NOT(ISBLANK(AG399)),"_","")</f>
        <v>_</v>
      </c>
      <c r="AG399" s="28" t="s">
        <v>38</v>
      </c>
      <c r="AH399" s="2" t="str">
        <f t="shared" ref="AH399" si="532">IF(NOT(ISBLANK(AI399)),"_","")</f>
        <v>_</v>
      </c>
      <c r="AI399" s="28" t="s">
        <v>105</v>
      </c>
    </row>
    <row r="400" spans="2:35" x14ac:dyDescent="0.25">
      <c r="B400" s="2" t="str">
        <f t="shared" ref="B400" si="533">_xlfn.CONCAT("@",AA400,AB400,AC400,AD400,AE400,AF400,AG400,AH400,AI400)</f>
        <v>@line_width-path_track_all_mud_z14</v>
      </c>
      <c r="C400" s="28" t="s">
        <v>107</v>
      </c>
      <c r="D400" s="28" t="s">
        <v>122</v>
      </c>
      <c r="F400" s="28" t="s">
        <v>107</v>
      </c>
      <c r="G400" s="28" t="s">
        <v>122</v>
      </c>
      <c r="I400" s="28" t="s">
        <v>107</v>
      </c>
      <c r="J400" s="28" t="s">
        <v>122</v>
      </c>
      <c r="L400" s="28" t="s">
        <v>107</v>
      </c>
      <c r="M400" s="28" t="s">
        <v>122</v>
      </c>
      <c r="U400" s="28" t="s">
        <v>107</v>
      </c>
      <c r="V400" s="28" t="s">
        <v>122</v>
      </c>
      <c r="X400" s="28" t="s">
        <v>107</v>
      </c>
      <c r="Y400" s="28" t="s">
        <v>122</v>
      </c>
      <c r="AA400" s="2" t="s">
        <v>115</v>
      </c>
      <c r="AB400" s="2" t="str">
        <f t="shared" ref="AB400" si="534">IF(NOT(ISBLANK(AC400)),"-","")</f>
        <v>-</v>
      </c>
      <c r="AC400" s="2" t="s">
        <v>421</v>
      </c>
      <c r="AD400" s="2" t="str">
        <f t="shared" ref="AD400" si="535">IF(NOT(ISBLANK(AE400)),"_","")</f>
        <v>_</v>
      </c>
      <c r="AE400" s="2" t="s">
        <v>444</v>
      </c>
      <c r="AF400" s="2" t="str">
        <f t="shared" ref="AF400" si="536">IF(NOT(ISBLANK(AG400)),"_","")</f>
        <v>_</v>
      </c>
      <c r="AG400" s="28" t="s">
        <v>38</v>
      </c>
      <c r="AH400" s="2" t="str">
        <f t="shared" ref="AH400" si="537">IF(NOT(ISBLANK(AI400)),"_","")</f>
        <v>_</v>
      </c>
      <c r="AI400" s="28" t="s">
        <v>70</v>
      </c>
    </row>
    <row r="401" spans="2:35" x14ac:dyDescent="0.25">
      <c r="B401" s="2" t="str">
        <f t="shared" ref="B401" si="538">_xlfn.CONCAT("@",AA401,AB401,AC401,AD401,AE401,AF401,AG401,AH401,AI401)</f>
        <v>@line_width-path_track_all_mud_z16</v>
      </c>
      <c r="C401" s="28" t="s">
        <v>336</v>
      </c>
      <c r="D401" s="28" t="s">
        <v>123</v>
      </c>
      <c r="F401" s="28" t="s">
        <v>336</v>
      </c>
      <c r="G401" s="28" t="s">
        <v>123</v>
      </c>
      <c r="I401" s="28" t="s">
        <v>336</v>
      </c>
      <c r="J401" s="28" t="s">
        <v>123</v>
      </c>
      <c r="L401" s="28" t="s">
        <v>336</v>
      </c>
      <c r="M401" s="28" t="s">
        <v>123</v>
      </c>
      <c r="U401" s="28" t="s">
        <v>336</v>
      </c>
      <c r="V401" s="28" t="s">
        <v>123</v>
      </c>
      <c r="X401" s="28" t="s">
        <v>336</v>
      </c>
      <c r="Y401" s="28" t="s">
        <v>123</v>
      </c>
      <c r="AA401" s="2" t="s">
        <v>115</v>
      </c>
      <c r="AB401" s="2" t="str">
        <f t="shared" ref="AB401" si="539">IF(NOT(ISBLANK(AC401)),"-","")</f>
        <v>-</v>
      </c>
      <c r="AC401" s="2" t="s">
        <v>421</v>
      </c>
      <c r="AD401" s="2" t="str">
        <f t="shared" ref="AD401" si="540">IF(NOT(ISBLANK(AE401)),"_","")</f>
        <v>_</v>
      </c>
      <c r="AE401" s="2" t="s">
        <v>444</v>
      </c>
      <c r="AF401" s="2" t="str">
        <f t="shared" ref="AF401" si="541">IF(NOT(ISBLANK(AG401)),"_","")</f>
        <v>_</v>
      </c>
      <c r="AG401" s="28" t="s">
        <v>38</v>
      </c>
      <c r="AH401" s="2" t="str">
        <f t="shared" ref="AH401" si="542">IF(NOT(ISBLANK(AI401)),"_","")</f>
        <v>_</v>
      </c>
      <c r="AI401" s="28" t="s">
        <v>71</v>
      </c>
    </row>
    <row r="402" spans="2:35" x14ac:dyDescent="0.25">
      <c r="B402" s="2" t="str">
        <f t="shared" ref="B402" si="543">_xlfn.CONCAT("@",AA402,AB402,AC402,AD402,AE402,AF402,AG402,AH402,AI402)</f>
        <v>@line_width-path_track_all_mud_z18</v>
      </c>
      <c r="C402" s="28" t="s">
        <v>317</v>
      </c>
      <c r="D402" s="28" t="s">
        <v>322</v>
      </c>
      <c r="F402" s="28" t="s">
        <v>317</v>
      </c>
      <c r="G402" s="28" t="s">
        <v>322</v>
      </c>
      <c r="I402" s="28" t="s">
        <v>317</v>
      </c>
      <c r="J402" s="28" t="s">
        <v>322</v>
      </c>
      <c r="L402" s="28" t="s">
        <v>317</v>
      </c>
      <c r="M402" s="28" t="s">
        <v>322</v>
      </c>
      <c r="U402" s="28" t="s">
        <v>317</v>
      </c>
      <c r="V402" s="28" t="s">
        <v>322</v>
      </c>
      <c r="X402" s="28" t="s">
        <v>317</v>
      </c>
      <c r="Y402" s="28" t="s">
        <v>322</v>
      </c>
      <c r="AA402" s="2" t="s">
        <v>115</v>
      </c>
      <c r="AB402" s="2" t="str">
        <f t="shared" ref="AB402" si="544">IF(NOT(ISBLANK(AC402)),"-","")</f>
        <v>-</v>
      </c>
      <c r="AC402" s="2" t="s">
        <v>421</v>
      </c>
      <c r="AD402" s="2" t="str">
        <f t="shared" ref="AD402" si="545">IF(NOT(ISBLANK(AE402)),"_","")</f>
        <v>_</v>
      </c>
      <c r="AE402" s="2" t="s">
        <v>444</v>
      </c>
      <c r="AF402" s="2" t="str">
        <f t="shared" ref="AF402" si="546">IF(NOT(ISBLANK(AG402)),"_","")</f>
        <v>_</v>
      </c>
      <c r="AG402" s="28" t="s">
        <v>38</v>
      </c>
      <c r="AH402" s="2" t="str">
        <f t="shared" ref="AH402" si="547">IF(NOT(ISBLANK(AI402)),"_","")</f>
        <v>_</v>
      </c>
      <c r="AI402" s="28" t="s">
        <v>72</v>
      </c>
    </row>
    <row r="403" spans="2:35" x14ac:dyDescent="0.25">
      <c r="B403" s="2"/>
      <c r="AA403" s="2"/>
      <c r="AB403" s="2"/>
      <c r="AC403" s="2"/>
      <c r="AD403" s="2"/>
      <c r="AE403" s="2"/>
      <c r="AF403" s="2"/>
      <c r="AH403" s="2"/>
    </row>
    <row r="404" spans="2:35" x14ac:dyDescent="0.25">
      <c r="B404" s="2" t="str">
        <f t="shared" ref="B404:B419" si="548">_xlfn.CONCAT("@",AA404,AB404,AC404,AD404,AE404,AF404,AG404,AH404,AI404)</f>
        <v>@line_offset-path_narrow_mud_z12</v>
      </c>
      <c r="C404" s="28" t="s">
        <v>92</v>
      </c>
      <c r="D404" s="28" t="s">
        <v>95</v>
      </c>
      <c r="F404" s="28" t="s">
        <v>92</v>
      </c>
      <c r="G404" s="28" t="s">
        <v>95</v>
      </c>
      <c r="I404" s="28" t="s">
        <v>92</v>
      </c>
      <c r="J404" s="28" t="s">
        <v>95</v>
      </c>
      <c r="L404" s="28" t="s">
        <v>92</v>
      </c>
      <c r="M404" s="28" t="s">
        <v>95</v>
      </c>
      <c r="U404" s="28" t="s">
        <v>81</v>
      </c>
      <c r="V404" s="28" t="s">
        <v>84</v>
      </c>
      <c r="X404" s="28" t="s">
        <v>81</v>
      </c>
      <c r="Y404" s="28" t="s">
        <v>84</v>
      </c>
      <c r="AA404" s="2" t="s">
        <v>341</v>
      </c>
      <c r="AB404" s="2" t="str">
        <f t="shared" ref="AB404:AB419" si="549">IF(NOT(ISBLANK(AC404)),"-","")</f>
        <v>-</v>
      </c>
      <c r="AC404" s="2" t="s">
        <v>67</v>
      </c>
      <c r="AD404" s="2" t="str">
        <f t="shared" ref="AD404:AD419" si="550">IF(NOT(ISBLANK(AE404)),"_","")</f>
        <v>_</v>
      </c>
      <c r="AE404" s="2" t="s">
        <v>68</v>
      </c>
      <c r="AF404" s="2" t="str">
        <f t="shared" ref="AF404:AF419" si="551">IF(NOT(ISBLANK(AG404)),"_","")</f>
        <v>_</v>
      </c>
      <c r="AG404" s="28" t="s">
        <v>38</v>
      </c>
      <c r="AH404" s="2" t="str">
        <f t="shared" ref="AH404:AH419" si="552">IF(NOT(ISBLANK(AI404)),"_","")</f>
        <v>_</v>
      </c>
      <c r="AI404" s="28" t="s">
        <v>105</v>
      </c>
    </row>
    <row r="405" spans="2:35" x14ac:dyDescent="0.25">
      <c r="B405" s="2" t="str">
        <f t="shared" si="548"/>
        <v>@line_offset-path_medium_mud_z12</v>
      </c>
      <c r="C405" s="28" t="s">
        <v>81</v>
      </c>
      <c r="D405" s="28" t="s">
        <v>84</v>
      </c>
      <c r="F405" s="28" t="s">
        <v>81</v>
      </c>
      <c r="G405" s="28" t="s">
        <v>84</v>
      </c>
      <c r="I405" s="28" t="s">
        <v>81</v>
      </c>
      <c r="J405" s="28" t="s">
        <v>84</v>
      </c>
      <c r="L405" s="28" t="s">
        <v>81</v>
      </c>
      <c r="M405" s="28" t="s">
        <v>84</v>
      </c>
      <c r="U405" s="28" t="s">
        <v>81</v>
      </c>
      <c r="V405" s="28" t="s">
        <v>84</v>
      </c>
      <c r="X405" s="28" t="s">
        <v>81</v>
      </c>
      <c r="Y405" s="28" t="s">
        <v>84</v>
      </c>
      <c r="AA405" s="2" t="s">
        <v>341</v>
      </c>
      <c r="AB405" s="2" t="str">
        <f t="shared" si="549"/>
        <v>-</v>
      </c>
      <c r="AC405" s="2" t="s">
        <v>67</v>
      </c>
      <c r="AD405" s="2" t="str">
        <f t="shared" si="550"/>
        <v>_</v>
      </c>
      <c r="AE405" s="2" t="s">
        <v>75</v>
      </c>
      <c r="AF405" s="2" t="str">
        <f t="shared" si="551"/>
        <v>_</v>
      </c>
      <c r="AG405" s="28" t="s">
        <v>38</v>
      </c>
      <c r="AH405" s="2" t="str">
        <f t="shared" si="552"/>
        <v>_</v>
      </c>
      <c r="AI405" s="28" t="s">
        <v>105</v>
      </c>
    </row>
    <row r="406" spans="2:35" x14ac:dyDescent="0.25">
      <c r="B406" s="2" t="str">
        <f t="shared" si="548"/>
        <v>@line_offset-path_wide_mud_z12</v>
      </c>
      <c r="C406" s="28" t="s">
        <v>86</v>
      </c>
      <c r="D406" s="28" t="s">
        <v>88</v>
      </c>
      <c r="F406" s="28" t="s">
        <v>86</v>
      </c>
      <c r="G406" s="28" t="s">
        <v>88</v>
      </c>
      <c r="I406" s="28" t="s">
        <v>86</v>
      </c>
      <c r="J406" s="28" t="s">
        <v>88</v>
      </c>
      <c r="L406" s="28" t="s">
        <v>86</v>
      </c>
      <c r="M406" s="28" t="s">
        <v>88</v>
      </c>
      <c r="U406" s="28" t="s">
        <v>81</v>
      </c>
      <c r="V406" s="28" t="s">
        <v>84</v>
      </c>
      <c r="X406" s="28" t="s">
        <v>81</v>
      </c>
      <c r="Y406" s="28" t="s">
        <v>84</v>
      </c>
      <c r="AA406" s="2" t="s">
        <v>341</v>
      </c>
      <c r="AB406" s="2" t="str">
        <f t="shared" si="549"/>
        <v>-</v>
      </c>
      <c r="AC406" s="2" t="s">
        <v>67</v>
      </c>
      <c r="AD406" s="2" t="str">
        <f t="shared" si="550"/>
        <v>_</v>
      </c>
      <c r="AE406" s="2" t="s">
        <v>73</v>
      </c>
      <c r="AF406" s="2" t="str">
        <f t="shared" si="551"/>
        <v>_</v>
      </c>
      <c r="AG406" s="28" t="s">
        <v>38</v>
      </c>
      <c r="AH406" s="2" t="str">
        <f t="shared" si="552"/>
        <v>_</v>
      </c>
      <c r="AI406" s="28" t="s">
        <v>105</v>
      </c>
    </row>
    <row r="407" spans="2:35" x14ac:dyDescent="0.25">
      <c r="B407" s="2" t="str">
        <f t="shared" si="548"/>
        <v>@line_offset-path_widest_mud_z12</v>
      </c>
      <c r="C407" s="28" t="s">
        <v>86</v>
      </c>
      <c r="D407" s="28" t="s">
        <v>88</v>
      </c>
      <c r="F407" s="28" t="s">
        <v>86</v>
      </c>
      <c r="G407" s="28" t="s">
        <v>88</v>
      </c>
      <c r="I407" s="28" t="s">
        <v>86</v>
      </c>
      <c r="J407" s="28" t="s">
        <v>88</v>
      </c>
      <c r="L407" s="28" t="s">
        <v>86</v>
      </c>
      <c r="M407" s="28" t="s">
        <v>88</v>
      </c>
      <c r="U407" s="28" t="s">
        <v>81</v>
      </c>
      <c r="V407" s="28" t="s">
        <v>84</v>
      </c>
      <c r="X407" s="28" t="s">
        <v>81</v>
      </c>
      <c r="Y407" s="28" t="s">
        <v>84</v>
      </c>
      <c r="AA407" s="2" t="s">
        <v>341</v>
      </c>
      <c r="AB407" s="2" t="str">
        <f t="shared" si="549"/>
        <v>-</v>
      </c>
      <c r="AC407" s="2" t="s">
        <v>67</v>
      </c>
      <c r="AD407" s="2" t="str">
        <f t="shared" si="550"/>
        <v>_</v>
      </c>
      <c r="AE407" s="2" t="s">
        <v>286</v>
      </c>
      <c r="AF407" s="2" t="str">
        <f t="shared" si="551"/>
        <v>_</v>
      </c>
      <c r="AG407" s="28" t="s">
        <v>38</v>
      </c>
      <c r="AH407" s="2" t="str">
        <f t="shared" si="552"/>
        <v>_</v>
      </c>
      <c r="AI407" s="28" t="s">
        <v>105</v>
      </c>
    </row>
    <row r="408" spans="2:35" x14ac:dyDescent="0.25">
      <c r="B408" s="2" t="str">
        <f t="shared" si="548"/>
        <v>@line_offset-path_narrow_mud_z14</v>
      </c>
      <c r="C408" s="28" t="s">
        <v>76</v>
      </c>
      <c r="D408" s="28" t="s">
        <v>84</v>
      </c>
      <c r="F408" s="28" t="s">
        <v>76</v>
      </c>
      <c r="G408" s="28" t="s">
        <v>84</v>
      </c>
      <c r="I408" s="28" t="s">
        <v>76</v>
      </c>
      <c r="J408" s="28" t="s">
        <v>84</v>
      </c>
      <c r="L408" s="28" t="s">
        <v>76</v>
      </c>
      <c r="M408" s="28" t="s">
        <v>84</v>
      </c>
      <c r="U408" s="28" t="s">
        <v>88</v>
      </c>
      <c r="V408" s="28" t="s">
        <v>88</v>
      </c>
      <c r="X408" s="28" t="s">
        <v>88</v>
      </c>
      <c r="Y408" s="28" t="s">
        <v>88</v>
      </c>
      <c r="AA408" s="2" t="s">
        <v>341</v>
      </c>
      <c r="AB408" s="2" t="str">
        <f t="shared" si="549"/>
        <v>-</v>
      </c>
      <c r="AC408" s="2" t="s">
        <v>67</v>
      </c>
      <c r="AD408" s="2" t="str">
        <f t="shared" si="550"/>
        <v>_</v>
      </c>
      <c r="AE408" s="2" t="s">
        <v>68</v>
      </c>
      <c r="AF408" s="2" t="str">
        <f t="shared" si="551"/>
        <v>_</v>
      </c>
      <c r="AG408" s="28" t="s">
        <v>38</v>
      </c>
      <c r="AH408" s="2" t="str">
        <f t="shared" si="552"/>
        <v>_</v>
      </c>
      <c r="AI408" s="28" t="s">
        <v>70</v>
      </c>
    </row>
    <row r="409" spans="2:35" x14ac:dyDescent="0.25">
      <c r="B409" s="2" t="str">
        <f t="shared" si="548"/>
        <v>@line_offset-path_medium_mud_z14</v>
      </c>
      <c r="C409" s="28" t="s">
        <v>86</v>
      </c>
      <c r="D409" s="28" t="s">
        <v>88</v>
      </c>
      <c r="F409" s="28" t="s">
        <v>86</v>
      </c>
      <c r="G409" s="28" t="s">
        <v>88</v>
      </c>
      <c r="I409" s="28" t="s">
        <v>86</v>
      </c>
      <c r="J409" s="28" t="s">
        <v>88</v>
      </c>
      <c r="L409" s="28" t="s">
        <v>86</v>
      </c>
      <c r="M409" s="28" t="s">
        <v>88</v>
      </c>
      <c r="U409" s="28" t="s">
        <v>88</v>
      </c>
      <c r="V409" s="28" t="s">
        <v>88</v>
      </c>
      <c r="X409" s="28" t="s">
        <v>88</v>
      </c>
      <c r="Y409" s="28" t="s">
        <v>88</v>
      </c>
      <c r="AA409" s="2" t="s">
        <v>341</v>
      </c>
      <c r="AB409" s="2" t="str">
        <f t="shared" si="549"/>
        <v>-</v>
      </c>
      <c r="AC409" s="2" t="s">
        <v>67</v>
      </c>
      <c r="AD409" s="2" t="str">
        <f t="shared" si="550"/>
        <v>_</v>
      </c>
      <c r="AE409" s="2" t="s">
        <v>75</v>
      </c>
      <c r="AF409" s="2" t="str">
        <f t="shared" si="551"/>
        <v>_</v>
      </c>
      <c r="AG409" s="28" t="s">
        <v>38</v>
      </c>
      <c r="AH409" s="2" t="str">
        <f t="shared" si="552"/>
        <v>_</v>
      </c>
      <c r="AI409" s="28" t="s">
        <v>70</v>
      </c>
    </row>
    <row r="410" spans="2:35" x14ac:dyDescent="0.25">
      <c r="B410" s="2" t="str">
        <f t="shared" si="548"/>
        <v>@line_offset-path_wide_mud_z14</v>
      </c>
      <c r="C410" s="28" t="s">
        <v>84</v>
      </c>
      <c r="D410" s="28" t="s">
        <v>79</v>
      </c>
      <c r="F410" s="28" t="s">
        <v>84</v>
      </c>
      <c r="G410" s="28" t="s">
        <v>79</v>
      </c>
      <c r="I410" s="28" t="s">
        <v>84</v>
      </c>
      <c r="J410" s="28" t="s">
        <v>79</v>
      </c>
      <c r="L410" s="28" t="s">
        <v>84</v>
      </c>
      <c r="M410" s="28" t="s">
        <v>79</v>
      </c>
      <c r="U410" s="28" t="s">
        <v>88</v>
      </c>
      <c r="V410" s="28" t="s">
        <v>88</v>
      </c>
      <c r="X410" s="28" t="s">
        <v>88</v>
      </c>
      <c r="Y410" s="28" t="s">
        <v>88</v>
      </c>
      <c r="AA410" s="2" t="s">
        <v>341</v>
      </c>
      <c r="AB410" s="2" t="str">
        <f t="shared" si="549"/>
        <v>-</v>
      </c>
      <c r="AC410" s="2" t="s">
        <v>67</v>
      </c>
      <c r="AD410" s="2" t="str">
        <f t="shared" si="550"/>
        <v>_</v>
      </c>
      <c r="AE410" s="2" t="s">
        <v>73</v>
      </c>
      <c r="AF410" s="2" t="str">
        <f t="shared" si="551"/>
        <v>_</v>
      </c>
      <c r="AG410" s="28" t="s">
        <v>38</v>
      </c>
      <c r="AH410" s="2" t="str">
        <f t="shared" si="552"/>
        <v>_</v>
      </c>
      <c r="AI410" s="28" t="s">
        <v>70</v>
      </c>
    </row>
    <row r="411" spans="2:35" x14ac:dyDescent="0.25">
      <c r="B411" s="2" t="str">
        <f t="shared" si="548"/>
        <v>@line_offset-path_widest_mud_z14</v>
      </c>
      <c r="C411" s="28" t="s">
        <v>84</v>
      </c>
      <c r="D411" s="28" t="s">
        <v>79</v>
      </c>
      <c r="F411" s="28" t="s">
        <v>84</v>
      </c>
      <c r="G411" s="28" t="s">
        <v>79</v>
      </c>
      <c r="I411" s="28" t="s">
        <v>84</v>
      </c>
      <c r="J411" s="28" t="s">
        <v>79</v>
      </c>
      <c r="L411" s="28" t="s">
        <v>84</v>
      </c>
      <c r="M411" s="28" t="s">
        <v>79</v>
      </c>
      <c r="U411" s="28" t="s">
        <v>88</v>
      </c>
      <c r="V411" s="28" t="s">
        <v>88</v>
      </c>
      <c r="X411" s="28" t="s">
        <v>88</v>
      </c>
      <c r="Y411" s="28" t="s">
        <v>88</v>
      </c>
      <c r="AA411" s="2" t="s">
        <v>341</v>
      </c>
      <c r="AB411" s="2" t="str">
        <f t="shared" si="549"/>
        <v>-</v>
      </c>
      <c r="AC411" s="2" t="s">
        <v>67</v>
      </c>
      <c r="AD411" s="2" t="str">
        <f t="shared" si="550"/>
        <v>_</v>
      </c>
      <c r="AE411" s="2" t="s">
        <v>286</v>
      </c>
      <c r="AF411" s="2" t="str">
        <f t="shared" si="551"/>
        <v>_</v>
      </c>
      <c r="AG411" s="28" t="s">
        <v>38</v>
      </c>
      <c r="AH411" s="2" t="str">
        <f t="shared" si="552"/>
        <v>_</v>
      </c>
      <c r="AI411" s="28" t="s">
        <v>70</v>
      </c>
    </row>
    <row r="412" spans="2:35" x14ac:dyDescent="0.25">
      <c r="B412" s="2" t="str">
        <f t="shared" si="548"/>
        <v>@line_offset-path_narrow_mud_z16</v>
      </c>
      <c r="C412" s="28" t="s">
        <v>88</v>
      </c>
      <c r="D412" s="28" t="s">
        <v>83</v>
      </c>
      <c r="F412" s="28" t="s">
        <v>88</v>
      </c>
      <c r="G412" s="28" t="s">
        <v>83</v>
      </c>
      <c r="I412" s="28" t="s">
        <v>88</v>
      </c>
      <c r="J412" s="28" t="s">
        <v>83</v>
      </c>
      <c r="L412" s="28" t="s">
        <v>88</v>
      </c>
      <c r="M412" s="28" t="s">
        <v>83</v>
      </c>
      <c r="U412" s="28" t="s">
        <v>317</v>
      </c>
      <c r="V412" s="28" t="s">
        <v>89</v>
      </c>
      <c r="X412" s="28" t="s">
        <v>317</v>
      </c>
      <c r="Y412" s="28" t="s">
        <v>89</v>
      </c>
      <c r="AA412" s="2" t="s">
        <v>341</v>
      </c>
      <c r="AB412" s="2" t="str">
        <f t="shared" si="549"/>
        <v>-</v>
      </c>
      <c r="AC412" s="2" t="s">
        <v>67</v>
      </c>
      <c r="AD412" s="2" t="str">
        <f t="shared" si="550"/>
        <v>_</v>
      </c>
      <c r="AE412" s="2" t="s">
        <v>68</v>
      </c>
      <c r="AF412" s="2" t="str">
        <f t="shared" si="551"/>
        <v>_</v>
      </c>
      <c r="AG412" s="28" t="s">
        <v>38</v>
      </c>
      <c r="AH412" s="2" t="str">
        <f t="shared" si="552"/>
        <v>_</v>
      </c>
      <c r="AI412" s="28" t="s">
        <v>71</v>
      </c>
    </row>
    <row r="413" spans="2:35" x14ac:dyDescent="0.25">
      <c r="B413" s="2" t="str">
        <f t="shared" si="548"/>
        <v>@line_offset-path_medium_mud_z16</v>
      </c>
      <c r="C413" s="28" t="s">
        <v>82</v>
      </c>
      <c r="D413" s="28" t="s">
        <v>89</v>
      </c>
      <c r="F413" s="28" t="s">
        <v>82</v>
      </c>
      <c r="G413" s="28" t="s">
        <v>89</v>
      </c>
      <c r="I413" s="28" t="s">
        <v>82</v>
      </c>
      <c r="J413" s="28" t="s">
        <v>89</v>
      </c>
      <c r="L413" s="28" t="s">
        <v>82</v>
      </c>
      <c r="M413" s="28" t="s">
        <v>89</v>
      </c>
      <c r="U413" s="28" t="s">
        <v>317</v>
      </c>
      <c r="V413" s="28" t="s">
        <v>89</v>
      </c>
      <c r="X413" s="28" t="s">
        <v>317</v>
      </c>
      <c r="Y413" s="28" t="s">
        <v>89</v>
      </c>
      <c r="AA413" s="2" t="s">
        <v>341</v>
      </c>
      <c r="AB413" s="2" t="str">
        <f t="shared" si="549"/>
        <v>-</v>
      </c>
      <c r="AC413" s="2" t="s">
        <v>67</v>
      </c>
      <c r="AD413" s="2" t="str">
        <f t="shared" si="550"/>
        <v>_</v>
      </c>
      <c r="AE413" s="2" t="s">
        <v>75</v>
      </c>
      <c r="AF413" s="2" t="str">
        <f t="shared" si="551"/>
        <v>_</v>
      </c>
      <c r="AG413" s="28" t="s">
        <v>38</v>
      </c>
      <c r="AH413" s="2" t="str">
        <f t="shared" si="552"/>
        <v>_</v>
      </c>
      <c r="AI413" s="28" t="s">
        <v>71</v>
      </c>
    </row>
    <row r="414" spans="2:35" x14ac:dyDescent="0.25">
      <c r="B414" s="2" t="str">
        <f t="shared" si="548"/>
        <v>@line_offset-path_wide_mud_z16</v>
      </c>
      <c r="C414" s="28" t="s">
        <v>317</v>
      </c>
      <c r="D414" s="28" t="s">
        <v>85</v>
      </c>
      <c r="F414" s="28" t="s">
        <v>317</v>
      </c>
      <c r="G414" s="28" t="s">
        <v>85</v>
      </c>
      <c r="I414" s="28" t="s">
        <v>317</v>
      </c>
      <c r="J414" s="28" t="s">
        <v>85</v>
      </c>
      <c r="L414" s="28" t="s">
        <v>317</v>
      </c>
      <c r="M414" s="28" t="s">
        <v>85</v>
      </c>
      <c r="U414" s="28" t="s">
        <v>317</v>
      </c>
      <c r="V414" s="28" t="s">
        <v>89</v>
      </c>
      <c r="X414" s="28" t="s">
        <v>317</v>
      </c>
      <c r="Y414" s="28" t="s">
        <v>89</v>
      </c>
      <c r="AA414" s="2" t="s">
        <v>341</v>
      </c>
      <c r="AB414" s="2" t="str">
        <f t="shared" si="549"/>
        <v>-</v>
      </c>
      <c r="AC414" s="2" t="s">
        <v>67</v>
      </c>
      <c r="AD414" s="2" t="str">
        <f t="shared" si="550"/>
        <v>_</v>
      </c>
      <c r="AE414" s="2" t="s">
        <v>73</v>
      </c>
      <c r="AF414" s="2" t="str">
        <f t="shared" si="551"/>
        <v>_</v>
      </c>
      <c r="AG414" s="28" t="s">
        <v>38</v>
      </c>
      <c r="AH414" s="2" t="str">
        <f t="shared" si="552"/>
        <v>_</v>
      </c>
      <c r="AI414" s="28" t="s">
        <v>71</v>
      </c>
    </row>
    <row r="415" spans="2:35" x14ac:dyDescent="0.25">
      <c r="B415" s="2" t="str">
        <f t="shared" si="548"/>
        <v>@line_offset-path_widest_mud_z16</v>
      </c>
      <c r="C415" s="28" t="s">
        <v>317</v>
      </c>
      <c r="D415" s="28" t="s">
        <v>85</v>
      </c>
      <c r="F415" s="28" t="s">
        <v>317</v>
      </c>
      <c r="G415" s="28" t="s">
        <v>85</v>
      </c>
      <c r="I415" s="28" t="s">
        <v>317</v>
      </c>
      <c r="J415" s="28" t="s">
        <v>85</v>
      </c>
      <c r="L415" s="28" t="s">
        <v>317</v>
      </c>
      <c r="M415" s="28" t="s">
        <v>85</v>
      </c>
      <c r="U415" s="28" t="s">
        <v>317</v>
      </c>
      <c r="V415" s="28" t="s">
        <v>89</v>
      </c>
      <c r="X415" s="28" t="s">
        <v>317</v>
      </c>
      <c r="Y415" s="28" t="s">
        <v>89</v>
      </c>
      <c r="AA415" s="2" t="s">
        <v>341</v>
      </c>
      <c r="AB415" s="2" t="str">
        <f t="shared" si="549"/>
        <v>-</v>
      </c>
      <c r="AC415" s="2" t="s">
        <v>67</v>
      </c>
      <c r="AD415" s="2" t="str">
        <f t="shared" si="550"/>
        <v>_</v>
      </c>
      <c r="AE415" s="2" t="s">
        <v>286</v>
      </c>
      <c r="AF415" s="2" t="str">
        <f t="shared" si="551"/>
        <v>_</v>
      </c>
      <c r="AG415" s="28" t="s">
        <v>38</v>
      </c>
      <c r="AH415" s="2" t="str">
        <f t="shared" si="552"/>
        <v>_</v>
      </c>
      <c r="AI415" s="28" t="s">
        <v>71</v>
      </c>
    </row>
    <row r="416" spans="2:35" x14ac:dyDescent="0.25">
      <c r="B416" s="2" t="str">
        <f t="shared" si="548"/>
        <v>@line_offset-path_narrow_mud_z18</v>
      </c>
      <c r="C416" s="28" t="s">
        <v>82</v>
      </c>
      <c r="D416" s="28" t="s">
        <v>318</v>
      </c>
      <c r="F416" s="28" t="s">
        <v>82</v>
      </c>
      <c r="G416" s="28" t="s">
        <v>318</v>
      </c>
      <c r="I416" s="28" t="s">
        <v>82</v>
      </c>
      <c r="J416" s="28" t="s">
        <v>318</v>
      </c>
      <c r="L416" s="28" t="s">
        <v>82</v>
      </c>
      <c r="M416" s="28" t="s">
        <v>318</v>
      </c>
      <c r="U416" s="28" t="s">
        <v>352</v>
      </c>
      <c r="V416" s="28" t="s">
        <v>423</v>
      </c>
      <c r="X416" s="28" t="s">
        <v>352</v>
      </c>
      <c r="Y416" s="28" t="s">
        <v>423</v>
      </c>
      <c r="AA416" s="2" t="s">
        <v>341</v>
      </c>
      <c r="AB416" s="2" t="str">
        <f t="shared" si="549"/>
        <v>-</v>
      </c>
      <c r="AC416" s="2" t="s">
        <v>67</v>
      </c>
      <c r="AD416" s="2" t="str">
        <f t="shared" si="550"/>
        <v>_</v>
      </c>
      <c r="AE416" s="2" t="s">
        <v>68</v>
      </c>
      <c r="AF416" s="2" t="str">
        <f t="shared" si="551"/>
        <v>_</v>
      </c>
      <c r="AG416" s="28" t="s">
        <v>38</v>
      </c>
      <c r="AH416" s="2" t="str">
        <f t="shared" si="552"/>
        <v>_</v>
      </c>
      <c r="AI416" s="28" t="s">
        <v>72</v>
      </c>
    </row>
    <row r="417" spans="2:35" x14ac:dyDescent="0.25">
      <c r="B417" s="2" t="str">
        <f t="shared" si="548"/>
        <v>@line_offset-path_medium_mud_z18</v>
      </c>
      <c r="C417" s="28" t="s">
        <v>352</v>
      </c>
      <c r="D417" s="28" t="s">
        <v>423</v>
      </c>
      <c r="F417" s="28" t="s">
        <v>352</v>
      </c>
      <c r="G417" s="28" t="s">
        <v>423</v>
      </c>
      <c r="I417" s="28" t="s">
        <v>352</v>
      </c>
      <c r="J417" s="28" t="s">
        <v>423</v>
      </c>
      <c r="L417" s="28" t="s">
        <v>352</v>
      </c>
      <c r="M417" s="28" t="s">
        <v>423</v>
      </c>
      <c r="U417" s="28" t="s">
        <v>352</v>
      </c>
      <c r="V417" s="28" t="s">
        <v>423</v>
      </c>
      <c r="X417" s="28" t="s">
        <v>352</v>
      </c>
      <c r="Y417" s="28" t="s">
        <v>423</v>
      </c>
      <c r="AA417" s="2" t="s">
        <v>341</v>
      </c>
      <c r="AB417" s="2" t="str">
        <f t="shared" si="549"/>
        <v>-</v>
      </c>
      <c r="AC417" s="2" t="s">
        <v>67</v>
      </c>
      <c r="AD417" s="2" t="str">
        <f t="shared" si="550"/>
        <v>_</v>
      </c>
      <c r="AE417" s="2" t="s">
        <v>75</v>
      </c>
      <c r="AF417" s="2" t="str">
        <f t="shared" si="551"/>
        <v>_</v>
      </c>
      <c r="AG417" s="28" t="s">
        <v>38</v>
      </c>
      <c r="AH417" s="2" t="str">
        <f t="shared" si="552"/>
        <v>_</v>
      </c>
      <c r="AI417" s="28" t="s">
        <v>72</v>
      </c>
    </row>
    <row r="418" spans="2:35" x14ac:dyDescent="0.25">
      <c r="B418" s="2" t="str">
        <f t="shared" si="548"/>
        <v>@line_offset-path_wide_mud_z18</v>
      </c>
      <c r="C418" s="28" t="s">
        <v>325</v>
      </c>
      <c r="D418" s="28" t="s">
        <v>424</v>
      </c>
      <c r="F418" s="28" t="s">
        <v>325</v>
      </c>
      <c r="G418" s="28" t="s">
        <v>424</v>
      </c>
      <c r="I418" s="28" t="s">
        <v>325</v>
      </c>
      <c r="J418" s="28" t="s">
        <v>424</v>
      </c>
      <c r="L418" s="28" t="s">
        <v>325</v>
      </c>
      <c r="M418" s="28" t="s">
        <v>424</v>
      </c>
      <c r="U418" s="28" t="s">
        <v>352</v>
      </c>
      <c r="V418" s="28" t="s">
        <v>423</v>
      </c>
      <c r="X418" s="28" t="s">
        <v>352</v>
      </c>
      <c r="Y418" s="28" t="s">
        <v>423</v>
      </c>
      <c r="AA418" s="2" t="s">
        <v>341</v>
      </c>
      <c r="AB418" s="2" t="str">
        <f t="shared" si="549"/>
        <v>-</v>
      </c>
      <c r="AC418" s="2" t="s">
        <v>67</v>
      </c>
      <c r="AD418" s="2" t="str">
        <f t="shared" si="550"/>
        <v>_</v>
      </c>
      <c r="AE418" s="2" t="s">
        <v>73</v>
      </c>
      <c r="AF418" s="2" t="str">
        <f t="shared" si="551"/>
        <v>_</v>
      </c>
      <c r="AG418" s="28" t="s">
        <v>38</v>
      </c>
      <c r="AH418" s="2" t="str">
        <f t="shared" si="552"/>
        <v>_</v>
      </c>
      <c r="AI418" s="28" t="s">
        <v>72</v>
      </c>
    </row>
    <row r="419" spans="2:35" x14ac:dyDescent="0.25">
      <c r="B419" s="2" t="str">
        <f t="shared" si="548"/>
        <v>@line_offset-path_widest_mud_z18</v>
      </c>
      <c r="C419" s="28" t="s">
        <v>352</v>
      </c>
      <c r="D419" s="28" t="s">
        <v>424</v>
      </c>
      <c r="F419" s="28" t="s">
        <v>352</v>
      </c>
      <c r="G419" s="28" t="s">
        <v>424</v>
      </c>
      <c r="I419" s="28" t="s">
        <v>352</v>
      </c>
      <c r="J419" s="28" t="s">
        <v>424</v>
      </c>
      <c r="L419" s="28" t="s">
        <v>352</v>
      </c>
      <c r="M419" s="28" t="s">
        <v>424</v>
      </c>
      <c r="U419" s="28" t="s">
        <v>352</v>
      </c>
      <c r="V419" s="28" t="s">
        <v>423</v>
      </c>
      <c r="X419" s="28" t="s">
        <v>352</v>
      </c>
      <c r="Y419" s="28" t="s">
        <v>423</v>
      </c>
      <c r="AA419" s="2" t="s">
        <v>341</v>
      </c>
      <c r="AB419" s="2" t="str">
        <f t="shared" si="549"/>
        <v>-</v>
      </c>
      <c r="AC419" s="2" t="s">
        <v>67</v>
      </c>
      <c r="AD419" s="2" t="str">
        <f t="shared" si="550"/>
        <v>_</v>
      </c>
      <c r="AE419" s="2" t="s">
        <v>286</v>
      </c>
      <c r="AF419" s="2" t="str">
        <f t="shared" si="551"/>
        <v>_</v>
      </c>
      <c r="AG419" s="28" t="s">
        <v>38</v>
      </c>
      <c r="AH419" s="2" t="str">
        <f t="shared" si="552"/>
        <v>_</v>
      </c>
      <c r="AI419" s="28" t="s">
        <v>72</v>
      </c>
    </row>
    <row r="420" spans="2:35" s="183" customFormat="1" x14ac:dyDescent="0.25">
      <c r="B420" s="182"/>
      <c r="AA420" s="182"/>
      <c r="AB420" s="182"/>
      <c r="AC420" s="182"/>
      <c r="AD420" s="182"/>
      <c r="AE420" s="182"/>
      <c r="AF420" s="182"/>
      <c r="AH420" s="182"/>
    </row>
    <row r="421" spans="2:35" s="183" customFormat="1" x14ac:dyDescent="0.25">
      <c r="B421" s="182"/>
      <c r="AA421" s="182"/>
      <c r="AB421" s="182"/>
      <c r="AC421" s="182"/>
      <c r="AD421" s="182"/>
      <c r="AE421" s="182"/>
    </row>
    <row r="422" spans="2:35" s="183" customFormat="1" x14ac:dyDescent="0.25">
      <c r="B422" s="182" t="str">
        <f t="shared" ref="B422:B424" si="553">_xlfn.CONCAT("@",AA422,AB422,AC422,AD422,AE422,AF422,AG422,AH422,AI422)</f>
        <v>@line_width-path_track_all_bicycle_no_or_discouraged_z14</v>
      </c>
      <c r="C422" s="183" t="s">
        <v>107</v>
      </c>
      <c r="D422" s="183" t="s">
        <v>122</v>
      </c>
      <c r="F422" s="183" t="s">
        <v>107</v>
      </c>
      <c r="G422" s="183" t="s">
        <v>122</v>
      </c>
      <c r="I422" s="183" t="s">
        <v>107</v>
      </c>
      <c r="J422" s="183" t="s">
        <v>122</v>
      </c>
      <c r="L422" s="183" t="s">
        <v>107</v>
      </c>
      <c r="M422" s="183" t="s">
        <v>122</v>
      </c>
      <c r="U422" s="183" t="s">
        <v>107</v>
      </c>
      <c r="V422" s="183" t="s">
        <v>122</v>
      </c>
      <c r="X422" s="183" t="s">
        <v>107</v>
      </c>
      <c r="Y422" s="183" t="s">
        <v>122</v>
      </c>
      <c r="AA422" s="182" t="s">
        <v>115</v>
      </c>
      <c r="AB422" s="182" t="str">
        <f t="shared" ref="AB422:AB424" si="554">IF(NOT(ISBLANK(AC422)),"-","")</f>
        <v>-</v>
      </c>
      <c r="AC422" s="182" t="s">
        <v>421</v>
      </c>
      <c r="AD422" s="182" t="str">
        <f t="shared" ref="AD422:AD424" si="555">IF(NOT(ISBLANK(AE422)),"_","")</f>
        <v>_</v>
      </c>
      <c r="AE422" s="182" t="s">
        <v>444</v>
      </c>
      <c r="AF422" s="182" t="str">
        <f t="shared" ref="AF422:AF424" si="556">IF(NOT(ISBLANK(AG422)),"_","")</f>
        <v>_</v>
      </c>
      <c r="AG422" s="183" t="s">
        <v>445</v>
      </c>
      <c r="AH422" s="182" t="str">
        <f t="shared" ref="AH422:AH424" si="557">IF(NOT(ISBLANK(AI422)),"_","")</f>
        <v>_</v>
      </c>
      <c r="AI422" s="183" t="s">
        <v>70</v>
      </c>
    </row>
    <row r="423" spans="2:35" s="183" customFormat="1" x14ac:dyDescent="0.25">
      <c r="B423" s="182" t="str">
        <f t="shared" si="553"/>
        <v>@line_width-path_track_all_bicycle_no_or_discouraged_z16</v>
      </c>
      <c r="C423" s="183" t="s">
        <v>336</v>
      </c>
      <c r="D423" s="183" t="s">
        <v>123</v>
      </c>
      <c r="F423" s="183" t="s">
        <v>336</v>
      </c>
      <c r="G423" s="183" t="s">
        <v>123</v>
      </c>
      <c r="I423" s="183" t="s">
        <v>336</v>
      </c>
      <c r="J423" s="183" t="s">
        <v>123</v>
      </c>
      <c r="L423" s="183" t="s">
        <v>336</v>
      </c>
      <c r="M423" s="183" t="s">
        <v>123</v>
      </c>
      <c r="U423" s="183" t="s">
        <v>336</v>
      </c>
      <c r="V423" s="183" t="s">
        <v>123</v>
      </c>
      <c r="X423" s="183" t="s">
        <v>336</v>
      </c>
      <c r="Y423" s="183" t="s">
        <v>123</v>
      </c>
      <c r="AA423" s="182" t="s">
        <v>115</v>
      </c>
      <c r="AB423" s="182" t="str">
        <f t="shared" si="554"/>
        <v>-</v>
      </c>
      <c r="AC423" s="182" t="s">
        <v>421</v>
      </c>
      <c r="AD423" s="182" t="str">
        <f t="shared" si="555"/>
        <v>_</v>
      </c>
      <c r="AE423" s="182" t="s">
        <v>444</v>
      </c>
      <c r="AF423" s="182" t="str">
        <f t="shared" si="556"/>
        <v>_</v>
      </c>
      <c r="AG423" s="183" t="s">
        <v>445</v>
      </c>
      <c r="AH423" s="182" t="str">
        <f t="shared" si="557"/>
        <v>_</v>
      </c>
      <c r="AI423" s="183" t="s">
        <v>71</v>
      </c>
    </row>
    <row r="424" spans="2:35" s="183" customFormat="1" x14ac:dyDescent="0.25">
      <c r="B424" s="182" t="str">
        <f t="shared" si="553"/>
        <v>@line_width-path_track_all_bicycle_no_or_discouraged_z18</v>
      </c>
      <c r="C424" s="183" t="s">
        <v>317</v>
      </c>
      <c r="D424" s="183" t="s">
        <v>322</v>
      </c>
      <c r="F424" s="183" t="s">
        <v>317</v>
      </c>
      <c r="G424" s="183" t="s">
        <v>322</v>
      </c>
      <c r="I424" s="183" t="s">
        <v>317</v>
      </c>
      <c r="J424" s="183" t="s">
        <v>322</v>
      </c>
      <c r="L424" s="183" t="s">
        <v>317</v>
      </c>
      <c r="M424" s="183" t="s">
        <v>322</v>
      </c>
      <c r="U424" s="183" t="s">
        <v>317</v>
      </c>
      <c r="V424" s="183" t="s">
        <v>322</v>
      </c>
      <c r="X424" s="183" t="s">
        <v>317</v>
      </c>
      <c r="Y424" s="183" t="s">
        <v>322</v>
      </c>
      <c r="AA424" s="182" t="s">
        <v>115</v>
      </c>
      <c r="AB424" s="182" t="str">
        <f t="shared" si="554"/>
        <v>-</v>
      </c>
      <c r="AC424" s="182" t="s">
        <v>421</v>
      </c>
      <c r="AD424" s="182" t="str">
        <f t="shared" si="555"/>
        <v>_</v>
      </c>
      <c r="AE424" s="182" t="s">
        <v>444</v>
      </c>
      <c r="AF424" s="182" t="str">
        <f t="shared" si="556"/>
        <v>_</v>
      </c>
      <c r="AG424" s="183" t="s">
        <v>445</v>
      </c>
      <c r="AH424" s="182" t="str">
        <f t="shared" si="557"/>
        <v>_</v>
      </c>
      <c r="AI424" s="183" t="s">
        <v>72</v>
      </c>
    </row>
    <row r="425" spans="2:35" s="183" customFormat="1" x14ac:dyDescent="0.25">
      <c r="B425" s="182"/>
      <c r="AA425" s="182"/>
      <c r="AB425" s="182"/>
      <c r="AC425" s="182"/>
      <c r="AD425" s="182"/>
      <c r="AE425" s="182"/>
      <c r="AF425" s="182"/>
      <c r="AH425" s="182"/>
    </row>
    <row r="426" spans="2:35" s="183" customFormat="1" x14ac:dyDescent="0.25">
      <c r="B426" s="182" t="str">
        <f t="shared" ref="B426:B437" si="558">_xlfn.CONCAT("@",AA426,AB426,AC426,AD426,AE426,AF426,AG426,AH426,AI426)</f>
        <v>@line_offset-path_narrow_bicycle_no_or_discouraged_z14</v>
      </c>
      <c r="C426" s="183" t="s">
        <v>427</v>
      </c>
      <c r="D426" s="183" t="s">
        <v>345</v>
      </c>
      <c r="F426" s="183" t="s">
        <v>427</v>
      </c>
      <c r="G426" s="183" t="s">
        <v>345</v>
      </c>
      <c r="I426" s="183" t="s">
        <v>427</v>
      </c>
      <c r="J426" s="183" t="s">
        <v>345</v>
      </c>
      <c r="L426" s="183" t="s">
        <v>427</v>
      </c>
      <c r="M426" s="183" t="s">
        <v>345</v>
      </c>
      <c r="U426" s="183" t="s">
        <v>345</v>
      </c>
      <c r="V426" s="183" t="s">
        <v>430</v>
      </c>
      <c r="X426" s="183" t="s">
        <v>345</v>
      </c>
      <c r="Y426" s="183" t="s">
        <v>430</v>
      </c>
      <c r="AA426" s="182" t="s">
        <v>341</v>
      </c>
      <c r="AB426" s="182" t="str">
        <f t="shared" ref="AB426:AB437" si="559">IF(NOT(ISBLANK(AC426)),"-","")</f>
        <v>-</v>
      </c>
      <c r="AC426" s="182" t="s">
        <v>67</v>
      </c>
      <c r="AD426" s="182" t="str">
        <f t="shared" ref="AD426:AD437" si="560">IF(NOT(ISBLANK(AE426)),"_","")</f>
        <v>_</v>
      </c>
      <c r="AE426" s="182" t="s">
        <v>68</v>
      </c>
      <c r="AF426" s="182" t="str">
        <f t="shared" ref="AF426:AF437" si="561">IF(NOT(ISBLANK(AG426)),"_","")</f>
        <v>_</v>
      </c>
      <c r="AG426" s="183" t="s">
        <v>445</v>
      </c>
      <c r="AH426" s="182" t="str">
        <f t="shared" ref="AH426:AH437" si="562">IF(NOT(ISBLANK(AI426)),"_","")</f>
        <v>_</v>
      </c>
      <c r="AI426" s="183" t="s">
        <v>70</v>
      </c>
    </row>
    <row r="427" spans="2:35" s="183" customFormat="1" x14ac:dyDescent="0.25">
      <c r="B427" s="182" t="str">
        <f t="shared" si="558"/>
        <v>@line_offset-path_medium_bicycle_no_or_discouraged_z14</v>
      </c>
      <c r="C427" s="183" t="s">
        <v>426</v>
      </c>
      <c r="D427" s="183" t="s">
        <v>346</v>
      </c>
      <c r="F427" s="183" t="s">
        <v>426</v>
      </c>
      <c r="G427" s="183" t="s">
        <v>346</v>
      </c>
      <c r="I427" s="183" t="s">
        <v>426</v>
      </c>
      <c r="J427" s="183" t="s">
        <v>346</v>
      </c>
      <c r="L427" s="183" t="s">
        <v>426</v>
      </c>
      <c r="M427" s="183" t="s">
        <v>346</v>
      </c>
      <c r="U427" s="183" t="s">
        <v>345</v>
      </c>
      <c r="V427" s="183" t="s">
        <v>430</v>
      </c>
      <c r="X427" s="183" t="s">
        <v>345</v>
      </c>
      <c r="Y427" s="183" t="s">
        <v>430</v>
      </c>
      <c r="AA427" s="182" t="s">
        <v>341</v>
      </c>
      <c r="AB427" s="182" t="str">
        <f t="shared" si="559"/>
        <v>-</v>
      </c>
      <c r="AC427" s="182" t="s">
        <v>67</v>
      </c>
      <c r="AD427" s="182" t="str">
        <f t="shared" si="560"/>
        <v>_</v>
      </c>
      <c r="AE427" s="182" t="s">
        <v>75</v>
      </c>
      <c r="AF427" s="182" t="str">
        <f t="shared" si="561"/>
        <v>_</v>
      </c>
      <c r="AG427" s="183" t="s">
        <v>445</v>
      </c>
      <c r="AH427" s="182" t="str">
        <f t="shared" si="562"/>
        <v>_</v>
      </c>
      <c r="AI427" s="183" t="s">
        <v>70</v>
      </c>
    </row>
    <row r="428" spans="2:35" s="183" customFormat="1" x14ac:dyDescent="0.25">
      <c r="B428" s="182" t="str">
        <f t="shared" si="558"/>
        <v>@line_offset-path_wide_bicycle_no_or_discouraged_z14</v>
      </c>
      <c r="C428" s="183" t="s">
        <v>345</v>
      </c>
      <c r="D428" s="183" t="s">
        <v>430</v>
      </c>
      <c r="F428" s="183" t="s">
        <v>345</v>
      </c>
      <c r="G428" s="183" t="s">
        <v>430</v>
      </c>
      <c r="I428" s="183" t="s">
        <v>345</v>
      </c>
      <c r="J428" s="183" t="s">
        <v>430</v>
      </c>
      <c r="L428" s="183" t="s">
        <v>345</v>
      </c>
      <c r="M428" s="183" t="s">
        <v>430</v>
      </c>
      <c r="U428" s="183" t="s">
        <v>345</v>
      </c>
      <c r="V428" s="183" t="s">
        <v>430</v>
      </c>
      <c r="X428" s="183" t="s">
        <v>345</v>
      </c>
      <c r="Y428" s="183" t="s">
        <v>430</v>
      </c>
      <c r="AA428" s="182" t="s">
        <v>341</v>
      </c>
      <c r="AB428" s="182" t="str">
        <f t="shared" si="559"/>
        <v>-</v>
      </c>
      <c r="AC428" s="182" t="s">
        <v>67</v>
      </c>
      <c r="AD428" s="182" t="str">
        <f t="shared" si="560"/>
        <v>_</v>
      </c>
      <c r="AE428" s="182" t="s">
        <v>73</v>
      </c>
      <c r="AF428" s="182" t="str">
        <f t="shared" si="561"/>
        <v>_</v>
      </c>
      <c r="AG428" s="183" t="s">
        <v>445</v>
      </c>
      <c r="AH428" s="182" t="str">
        <f t="shared" si="562"/>
        <v>_</v>
      </c>
      <c r="AI428" s="183" t="s">
        <v>70</v>
      </c>
    </row>
    <row r="429" spans="2:35" s="183" customFormat="1" x14ac:dyDescent="0.25">
      <c r="B429" s="182" t="str">
        <f t="shared" si="558"/>
        <v>@line_offset-path_widest_bicycle_no_or_discouraged_z14</v>
      </c>
      <c r="C429" s="183" t="s">
        <v>345</v>
      </c>
      <c r="D429" s="183" t="s">
        <v>430</v>
      </c>
      <c r="F429" s="183" t="s">
        <v>345</v>
      </c>
      <c r="G429" s="183" t="s">
        <v>430</v>
      </c>
      <c r="I429" s="183" t="s">
        <v>345</v>
      </c>
      <c r="J429" s="183" t="s">
        <v>430</v>
      </c>
      <c r="L429" s="183" t="s">
        <v>345</v>
      </c>
      <c r="M429" s="183" t="s">
        <v>430</v>
      </c>
      <c r="U429" s="183" t="s">
        <v>345</v>
      </c>
      <c r="V429" s="183" t="s">
        <v>430</v>
      </c>
      <c r="X429" s="183" t="s">
        <v>345</v>
      </c>
      <c r="Y429" s="183" t="s">
        <v>430</v>
      </c>
      <c r="AA429" s="182" t="s">
        <v>341</v>
      </c>
      <c r="AB429" s="182" t="str">
        <f t="shared" si="559"/>
        <v>-</v>
      </c>
      <c r="AC429" s="182" t="s">
        <v>67</v>
      </c>
      <c r="AD429" s="182" t="str">
        <f t="shared" si="560"/>
        <v>_</v>
      </c>
      <c r="AE429" s="182" t="s">
        <v>286</v>
      </c>
      <c r="AF429" s="182" t="str">
        <f t="shared" si="561"/>
        <v>_</v>
      </c>
      <c r="AG429" s="183" t="s">
        <v>445</v>
      </c>
      <c r="AH429" s="182" t="str">
        <f t="shared" si="562"/>
        <v>_</v>
      </c>
      <c r="AI429" s="183" t="s">
        <v>70</v>
      </c>
    </row>
    <row r="430" spans="2:35" s="183" customFormat="1" x14ac:dyDescent="0.25">
      <c r="B430" s="182" t="str">
        <f t="shared" si="558"/>
        <v>@line_offset-path_narrow_bicycle_no_or_discouraged_z16</v>
      </c>
      <c r="C430" s="183" t="s">
        <v>346</v>
      </c>
      <c r="D430" s="183" t="s">
        <v>431</v>
      </c>
      <c r="F430" s="183" t="s">
        <v>346</v>
      </c>
      <c r="G430" s="183" t="s">
        <v>431</v>
      </c>
      <c r="I430" s="183" t="s">
        <v>346</v>
      </c>
      <c r="J430" s="183" t="s">
        <v>431</v>
      </c>
      <c r="L430" s="183" t="s">
        <v>346</v>
      </c>
      <c r="M430" s="183" t="s">
        <v>431</v>
      </c>
      <c r="U430" s="183" t="s">
        <v>347</v>
      </c>
      <c r="V430" s="183" t="s">
        <v>433</v>
      </c>
      <c r="X430" s="183" t="s">
        <v>347</v>
      </c>
      <c r="Y430" s="183" t="s">
        <v>433</v>
      </c>
      <c r="AA430" s="182" t="s">
        <v>341</v>
      </c>
      <c r="AB430" s="182" t="str">
        <f t="shared" si="559"/>
        <v>-</v>
      </c>
      <c r="AC430" s="182" t="s">
        <v>67</v>
      </c>
      <c r="AD430" s="182" t="str">
        <f t="shared" si="560"/>
        <v>_</v>
      </c>
      <c r="AE430" s="182" t="s">
        <v>68</v>
      </c>
      <c r="AF430" s="182" t="str">
        <f t="shared" si="561"/>
        <v>_</v>
      </c>
      <c r="AG430" s="183" t="s">
        <v>445</v>
      </c>
      <c r="AH430" s="182" t="str">
        <f t="shared" si="562"/>
        <v>_</v>
      </c>
      <c r="AI430" s="183" t="s">
        <v>71</v>
      </c>
    </row>
    <row r="431" spans="2:35" s="183" customFormat="1" x14ac:dyDescent="0.25">
      <c r="B431" s="182" t="str">
        <f t="shared" si="558"/>
        <v>@line_offset-path_medium_bicycle_no_or_discouraged_z16</v>
      </c>
      <c r="C431" s="183" t="s">
        <v>428</v>
      </c>
      <c r="D431" s="183" t="s">
        <v>432</v>
      </c>
      <c r="F431" s="183" t="s">
        <v>428</v>
      </c>
      <c r="G431" s="183" t="s">
        <v>432</v>
      </c>
      <c r="I431" s="183" t="s">
        <v>428</v>
      </c>
      <c r="J431" s="183" t="s">
        <v>432</v>
      </c>
      <c r="L431" s="183" t="s">
        <v>428</v>
      </c>
      <c r="M431" s="183" t="s">
        <v>432</v>
      </c>
      <c r="U431" s="183" t="s">
        <v>347</v>
      </c>
      <c r="V431" s="183" t="s">
        <v>433</v>
      </c>
      <c r="X431" s="183" t="s">
        <v>347</v>
      </c>
      <c r="Y431" s="183" t="s">
        <v>433</v>
      </c>
      <c r="AA431" s="182" t="s">
        <v>341</v>
      </c>
      <c r="AB431" s="182" t="str">
        <f t="shared" si="559"/>
        <v>-</v>
      </c>
      <c r="AC431" s="182" t="s">
        <v>67</v>
      </c>
      <c r="AD431" s="182" t="str">
        <f t="shared" si="560"/>
        <v>_</v>
      </c>
      <c r="AE431" s="182" t="s">
        <v>75</v>
      </c>
      <c r="AF431" s="182" t="str">
        <f t="shared" si="561"/>
        <v>_</v>
      </c>
      <c r="AG431" s="183" t="s">
        <v>445</v>
      </c>
      <c r="AH431" s="182" t="str">
        <f t="shared" si="562"/>
        <v>_</v>
      </c>
      <c r="AI431" s="183" t="s">
        <v>71</v>
      </c>
    </row>
    <row r="432" spans="2:35" s="183" customFormat="1" x14ac:dyDescent="0.25">
      <c r="B432" s="182" t="str">
        <f t="shared" si="558"/>
        <v>@line_offset-path_wide_bicycle_no_or_discouraged_z16</v>
      </c>
      <c r="C432" s="183" t="s">
        <v>347</v>
      </c>
      <c r="D432" s="183" t="s">
        <v>433</v>
      </c>
      <c r="F432" s="183" t="s">
        <v>347</v>
      </c>
      <c r="G432" s="183" t="s">
        <v>433</v>
      </c>
      <c r="I432" s="183" t="s">
        <v>347</v>
      </c>
      <c r="J432" s="183" t="s">
        <v>433</v>
      </c>
      <c r="L432" s="183" t="s">
        <v>347</v>
      </c>
      <c r="M432" s="183" t="s">
        <v>433</v>
      </c>
      <c r="U432" s="183" t="s">
        <v>347</v>
      </c>
      <c r="V432" s="183" t="s">
        <v>433</v>
      </c>
      <c r="X432" s="183" t="s">
        <v>347</v>
      </c>
      <c r="Y432" s="183" t="s">
        <v>433</v>
      </c>
      <c r="AA432" s="182" t="s">
        <v>341</v>
      </c>
      <c r="AB432" s="182" t="str">
        <f t="shared" si="559"/>
        <v>-</v>
      </c>
      <c r="AC432" s="182" t="s">
        <v>67</v>
      </c>
      <c r="AD432" s="182" t="str">
        <f t="shared" si="560"/>
        <v>_</v>
      </c>
      <c r="AE432" s="182" t="s">
        <v>73</v>
      </c>
      <c r="AF432" s="182" t="str">
        <f t="shared" si="561"/>
        <v>_</v>
      </c>
      <c r="AG432" s="183" t="s">
        <v>445</v>
      </c>
      <c r="AH432" s="182" t="str">
        <f t="shared" si="562"/>
        <v>_</v>
      </c>
      <c r="AI432" s="183" t="s">
        <v>71</v>
      </c>
    </row>
    <row r="433" spans="2:35" s="183" customFormat="1" x14ac:dyDescent="0.25">
      <c r="B433" s="182" t="str">
        <f t="shared" si="558"/>
        <v>@line_offset-path_widest_bicycle_no_or_discouraged_z16</v>
      </c>
      <c r="C433" s="183" t="s">
        <v>347</v>
      </c>
      <c r="D433" s="183" t="s">
        <v>433</v>
      </c>
      <c r="F433" s="183" t="s">
        <v>347</v>
      </c>
      <c r="G433" s="183" t="s">
        <v>433</v>
      </c>
      <c r="I433" s="183" t="s">
        <v>347</v>
      </c>
      <c r="J433" s="183" t="s">
        <v>433</v>
      </c>
      <c r="L433" s="183" t="s">
        <v>347</v>
      </c>
      <c r="M433" s="183" t="s">
        <v>433</v>
      </c>
      <c r="U433" s="183" t="s">
        <v>347</v>
      </c>
      <c r="V433" s="183" t="s">
        <v>433</v>
      </c>
      <c r="X433" s="183" t="s">
        <v>347</v>
      </c>
      <c r="Y433" s="183" t="s">
        <v>433</v>
      </c>
      <c r="AA433" s="182" t="s">
        <v>341</v>
      </c>
      <c r="AB433" s="182" t="str">
        <f t="shared" si="559"/>
        <v>-</v>
      </c>
      <c r="AC433" s="182" t="s">
        <v>67</v>
      </c>
      <c r="AD433" s="182" t="str">
        <f t="shared" si="560"/>
        <v>_</v>
      </c>
      <c r="AE433" s="182" t="s">
        <v>286</v>
      </c>
      <c r="AF433" s="182" t="str">
        <f t="shared" si="561"/>
        <v>_</v>
      </c>
      <c r="AG433" s="183" t="s">
        <v>445</v>
      </c>
      <c r="AH433" s="182" t="str">
        <f t="shared" si="562"/>
        <v>_</v>
      </c>
      <c r="AI433" s="183" t="s">
        <v>71</v>
      </c>
    </row>
    <row r="434" spans="2:35" s="183" customFormat="1" x14ac:dyDescent="0.25">
      <c r="B434" s="182" t="str">
        <f t="shared" si="558"/>
        <v>@line_offset-path_narrow_bicycle_no_or_discouraged_z18</v>
      </c>
      <c r="C434" s="183" t="s">
        <v>428</v>
      </c>
      <c r="D434" s="183" t="s">
        <v>434</v>
      </c>
      <c r="F434" s="183" t="s">
        <v>428</v>
      </c>
      <c r="G434" s="183" t="s">
        <v>434</v>
      </c>
      <c r="I434" s="183" t="s">
        <v>428</v>
      </c>
      <c r="J434" s="183" t="s">
        <v>434</v>
      </c>
      <c r="L434" s="183" t="s">
        <v>428</v>
      </c>
      <c r="M434" s="183" t="s">
        <v>434</v>
      </c>
      <c r="U434" s="183" t="s">
        <v>348</v>
      </c>
      <c r="V434" s="183" t="s">
        <v>436</v>
      </c>
      <c r="X434" s="183" t="s">
        <v>348</v>
      </c>
      <c r="Y434" s="183" t="s">
        <v>436</v>
      </c>
      <c r="AA434" s="182" t="s">
        <v>341</v>
      </c>
      <c r="AB434" s="182" t="str">
        <f t="shared" si="559"/>
        <v>-</v>
      </c>
      <c r="AC434" s="182" t="s">
        <v>67</v>
      </c>
      <c r="AD434" s="182" t="str">
        <f t="shared" si="560"/>
        <v>_</v>
      </c>
      <c r="AE434" s="182" t="s">
        <v>68</v>
      </c>
      <c r="AF434" s="182" t="str">
        <f t="shared" si="561"/>
        <v>_</v>
      </c>
      <c r="AG434" s="183" t="s">
        <v>445</v>
      </c>
      <c r="AH434" s="182" t="str">
        <f t="shared" si="562"/>
        <v>_</v>
      </c>
      <c r="AI434" s="183" t="s">
        <v>72</v>
      </c>
    </row>
    <row r="435" spans="2:35" s="183" customFormat="1" x14ac:dyDescent="0.25">
      <c r="B435" s="182" t="str">
        <f t="shared" si="558"/>
        <v>@line_offset-path_medium_bicycle_no_or_discouraged_z18</v>
      </c>
      <c r="C435" s="183" t="s">
        <v>343</v>
      </c>
      <c r="D435" s="183" t="s">
        <v>435</v>
      </c>
      <c r="F435" s="183" t="s">
        <v>343</v>
      </c>
      <c r="G435" s="183" t="s">
        <v>435</v>
      </c>
      <c r="I435" s="183" t="s">
        <v>343</v>
      </c>
      <c r="J435" s="183" t="s">
        <v>435</v>
      </c>
      <c r="L435" s="183" t="s">
        <v>343</v>
      </c>
      <c r="M435" s="183" t="s">
        <v>435</v>
      </c>
      <c r="U435" s="183" t="s">
        <v>348</v>
      </c>
      <c r="V435" s="183" t="s">
        <v>436</v>
      </c>
      <c r="X435" s="183" t="s">
        <v>348</v>
      </c>
      <c r="Y435" s="183" t="s">
        <v>436</v>
      </c>
      <c r="AA435" s="182" t="s">
        <v>341</v>
      </c>
      <c r="AB435" s="182" t="str">
        <f t="shared" si="559"/>
        <v>-</v>
      </c>
      <c r="AC435" s="182" t="s">
        <v>67</v>
      </c>
      <c r="AD435" s="182" t="str">
        <f t="shared" si="560"/>
        <v>_</v>
      </c>
      <c r="AE435" s="182" t="s">
        <v>75</v>
      </c>
      <c r="AF435" s="182" t="str">
        <f t="shared" si="561"/>
        <v>_</v>
      </c>
      <c r="AG435" s="183" t="s">
        <v>445</v>
      </c>
      <c r="AH435" s="182" t="str">
        <f t="shared" si="562"/>
        <v>_</v>
      </c>
      <c r="AI435" s="183" t="s">
        <v>72</v>
      </c>
    </row>
    <row r="436" spans="2:35" s="183" customFormat="1" x14ac:dyDescent="0.25">
      <c r="B436" s="182" t="str">
        <f t="shared" si="558"/>
        <v>@line_offset-path_wide_bicycle_no_or_discouraged_z18</v>
      </c>
      <c r="C436" s="183" t="s">
        <v>348</v>
      </c>
      <c r="D436" s="183" t="s">
        <v>436</v>
      </c>
      <c r="F436" s="183" t="s">
        <v>348</v>
      </c>
      <c r="G436" s="183" t="s">
        <v>436</v>
      </c>
      <c r="I436" s="183" t="s">
        <v>348</v>
      </c>
      <c r="J436" s="183" t="s">
        <v>436</v>
      </c>
      <c r="L436" s="183" t="s">
        <v>348</v>
      </c>
      <c r="M436" s="183" t="s">
        <v>436</v>
      </c>
      <c r="U436" s="183" t="s">
        <v>348</v>
      </c>
      <c r="V436" s="183" t="s">
        <v>436</v>
      </c>
      <c r="X436" s="183" t="s">
        <v>348</v>
      </c>
      <c r="Y436" s="183" t="s">
        <v>436</v>
      </c>
      <c r="AA436" s="182" t="s">
        <v>341</v>
      </c>
      <c r="AB436" s="182" t="str">
        <f t="shared" si="559"/>
        <v>-</v>
      </c>
      <c r="AC436" s="182" t="s">
        <v>67</v>
      </c>
      <c r="AD436" s="182" t="str">
        <f t="shared" si="560"/>
        <v>_</v>
      </c>
      <c r="AE436" s="182" t="s">
        <v>73</v>
      </c>
      <c r="AF436" s="182" t="str">
        <f t="shared" si="561"/>
        <v>_</v>
      </c>
      <c r="AG436" s="183" t="s">
        <v>445</v>
      </c>
      <c r="AH436" s="182" t="str">
        <f t="shared" si="562"/>
        <v>_</v>
      </c>
      <c r="AI436" s="183" t="s">
        <v>72</v>
      </c>
    </row>
    <row r="437" spans="2:35" s="183" customFormat="1" x14ac:dyDescent="0.25">
      <c r="B437" s="182" t="str">
        <f t="shared" si="558"/>
        <v>@line_offset-path_widest_bicycle_no_or_discouraged_z18</v>
      </c>
      <c r="C437" s="183" t="s">
        <v>348</v>
      </c>
      <c r="D437" s="183" t="s">
        <v>436</v>
      </c>
      <c r="F437" s="183" t="s">
        <v>348</v>
      </c>
      <c r="G437" s="183" t="s">
        <v>436</v>
      </c>
      <c r="I437" s="183" t="s">
        <v>348</v>
      </c>
      <c r="J437" s="183" t="s">
        <v>436</v>
      </c>
      <c r="L437" s="183" t="s">
        <v>348</v>
      </c>
      <c r="M437" s="183" t="s">
        <v>436</v>
      </c>
      <c r="U437" s="183" t="s">
        <v>348</v>
      </c>
      <c r="V437" s="183" t="s">
        <v>436</v>
      </c>
      <c r="X437" s="183" t="s">
        <v>348</v>
      </c>
      <c r="Y437" s="183" t="s">
        <v>436</v>
      </c>
      <c r="AA437" s="182" t="s">
        <v>341</v>
      </c>
      <c r="AB437" s="182" t="str">
        <f t="shared" si="559"/>
        <v>-</v>
      </c>
      <c r="AC437" s="182" t="s">
        <v>67</v>
      </c>
      <c r="AD437" s="182" t="str">
        <f t="shared" si="560"/>
        <v>_</v>
      </c>
      <c r="AE437" s="182" t="s">
        <v>286</v>
      </c>
      <c r="AF437" s="182" t="str">
        <f t="shared" si="561"/>
        <v>_</v>
      </c>
      <c r="AG437" s="183" t="s">
        <v>445</v>
      </c>
      <c r="AH437" s="182" t="str">
        <f t="shared" si="562"/>
        <v>_</v>
      </c>
      <c r="AI437" s="183" t="s">
        <v>72</v>
      </c>
    </row>
    <row r="438" spans="2:35" s="183" customFormat="1" x14ac:dyDescent="0.25">
      <c r="B438" s="182"/>
      <c r="AA438" s="182"/>
      <c r="AB438" s="182"/>
      <c r="AC438" s="182"/>
      <c r="AD438" s="182"/>
      <c r="AE438" s="182"/>
      <c r="AF438" s="182"/>
      <c r="AH438" s="182"/>
    </row>
    <row r="439" spans="2:35" s="183" customFormat="1" x14ac:dyDescent="0.25">
      <c r="B439" s="182"/>
      <c r="AA439" s="182"/>
      <c r="AB439" s="182"/>
      <c r="AC439" s="182"/>
      <c r="AD439" s="182"/>
      <c r="AE439" s="182"/>
    </row>
    <row r="440" spans="2:35" s="183" customFormat="1" x14ac:dyDescent="0.25">
      <c r="B440" s="182" t="str">
        <f t="shared" ref="B440:B442" si="563">_xlfn.CONCAT("@",AA440,AB440,AC440,AD440,AE440,AF440,AG440,AH440,AI440)</f>
        <v>@line_width-path_track_all_any_no_or_discouraged_z14</v>
      </c>
      <c r="C440" s="183" t="s">
        <v>81</v>
      </c>
      <c r="D440" s="183" t="s">
        <v>84</v>
      </c>
      <c r="F440" s="183" t="s">
        <v>81</v>
      </c>
      <c r="G440" s="183" t="s">
        <v>84</v>
      </c>
      <c r="I440" s="183" t="s">
        <v>81</v>
      </c>
      <c r="J440" s="183" t="s">
        <v>84</v>
      </c>
      <c r="L440" s="183" t="s">
        <v>81</v>
      </c>
      <c r="M440" s="183" t="s">
        <v>84</v>
      </c>
      <c r="U440" s="183" t="s">
        <v>81</v>
      </c>
      <c r="V440" s="183" t="s">
        <v>84</v>
      </c>
      <c r="X440" s="183" t="s">
        <v>81</v>
      </c>
      <c r="Y440" s="183" t="s">
        <v>84</v>
      </c>
      <c r="AA440" s="182" t="s">
        <v>115</v>
      </c>
      <c r="AB440" s="182" t="str">
        <f t="shared" ref="AB440:AB442" si="564">IF(NOT(ISBLANK(AC440)),"-","")</f>
        <v>-</v>
      </c>
      <c r="AC440" s="182" t="s">
        <v>421</v>
      </c>
      <c r="AD440" s="182" t="str">
        <f t="shared" ref="AD440:AD442" si="565">IF(NOT(ISBLANK(AE440)),"_","")</f>
        <v>_</v>
      </c>
      <c r="AE440" s="182" t="s">
        <v>444</v>
      </c>
      <c r="AF440" s="182" t="str">
        <f t="shared" ref="AF440:AF442" si="566">IF(NOT(ISBLANK(AG440)),"_","")</f>
        <v>_</v>
      </c>
      <c r="AG440" s="183" t="s">
        <v>446</v>
      </c>
      <c r="AH440" s="182" t="str">
        <f t="shared" ref="AH440:AH442" si="567">IF(NOT(ISBLANK(AI440)),"_","")</f>
        <v>_</v>
      </c>
      <c r="AI440" s="183" t="s">
        <v>70</v>
      </c>
    </row>
    <row r="441" spans="2:35" s="183" customFormat="1" x14ac:dyDescent="0.25">
      <c r="B441" s="182" t="str">
        <f t="shared" si="563"/>
        <v>@line_width-path_track_all_any_no_or_discouraged_z16</v>
      </c>
      <c r="C441" s="183" t="s">
        <v>84</v>
      </c>
      <c r="D441" s="183" t="s">
        <v>82</v>
      </c>
      <c r="F441" s="183" t="s">
        <v>84</v>
      </c>
      <c r="G441" s="183" t="s">
        <v>82</v>
      </c>
      <c r="I441" s="183" t="s">
        <v>84</v>
      </c>
      <c r="J441" s="183" t="s">
        <v>82</v>
      </c>
      <c r="L441" s="183" t="s">
        <v>84</v>
      </c>
      <c r="M441" s="183" t="s">
        <v>82</v>
      </c>
      <c r="U441" s="183" t="s">
        <v>84</v>
      </c>
      <c r="V441" s="183" t="s">
        <v>82</v>
      </c>
      <c r="X441" s="183" t="s">
        <v>84</v>
      </c>
      <c r="Y441" s="183" t="s">
        <v>82</v>
      </c>
      <c r="AA441" s="182" t="s">
        <v>115</v>
      </c>
      <c r="AB441" s="182" t="str">
        <f t="shared" si="564"/>
        <v>-</v>
      </c>
      <c r="AC441" s="182" t="s">
        <v>421</v>
      </c>
      <c r="AD441" s="182" t="str">
        <f t="shared" si="565"/>
        <v>_</v>
      </c>
      <c r="AE441" s="182" t="s">
        <v>444</v>
      </c>
      <c r="AF441" s="182" t="str">
        <f t="shared" si="566"/>
        <v>_</v>
      </c>
      <c r="AG441" s="183" t="s">
        <v>446</v>
      </c>
      <c r="AH441" s="182" t="str">
        <f t="shared" si="567"/>
        <v>_</v>
      </c>
      <c r="AI441" s="183" t="s">
        <v>71</v>
      </c>
    </row>
    <row r="442" spans="2:35" s="183" customFormat="1" x14ac:dyDescent="0.25">
      <c r="B442" s="182" t="str">
        <f t="shared" si="563"/>
        <v>@line_width-path_track_all_any_no_or_discouraged_z18</v>
      </c>
      <c r="C442" s="183" t="s">
        <v>317</v>
      </c>
      <c r="D442" s="183" t="s">
        <v>83</v>
      </c>
      <c r="F442" s="183" t="s">
        <v>317</v>
      </c>
      <c r="G442" s="183" t="s">
        <v>83</v>
      </c>
      <c r="I442" s="183" t="s">
        <v>317</v>
      </c>
      <c r="J442" s="183" t="s">
        <v>83</v>
      </c>
      <c r="L442" s="183" t="s">
        <v>317</v>
      </c>
      <c r="M442" s="183" t="s">
        <v>83</v>
      </c>
      <c r="U442" s="183" t="s">
        <v>317</v>
      </c>
      <c r="V442" s="183" t="s">
        <v>83</v>
      </c>
      <c r="X442" s="183" t="s">
        <v>317</v>
      </c>
      <c r="Y442" s="183" t="s">
        <v>83</v>
      </c>
      <c r="AA442" s="182" t="s">
        <v>115</v>
      </c>
      <c r="AB442" s="182" t="str">
        <f t="shared" si="564"/>
        <v>-</v>
      </c>
      <c r="AC442" s="182" t="s">
        <v>421</v>
      </c>
      <c r="AD442" s="182" t="str">
        <f t="shared" si="565"/>
        <v>_</v>
      </c>
      <c r="AE442" s="182" t="s">
        <v>444</v>
      </c>
      <c r="AF442" s="182" t="str">
        <f t="shared" si="566"/>
        <v>_</v>
      </c>
      <c r="AG442" s="183" t="s">
        <v>446</v>
      </c>
      <c r="AH442" s="182" t="str">
        <f t="shared" si="567"/>
        <v>_</v>
      </c>
      <c r="AI442" s="183" t="s">
        <v>72</v>
      </c>
    </row>
    <row r="443" spans="2:35" s="183" customFormat="1" x14ac:dyDescent="0.25">
      <c r="B443" s="182"/>
      <c r="AA443" s="182"/>
      <c r="AB443" s="182"/>
      <c r="AC443" s="182"/>
      <c r="AD443" s="182"/>
      <c r="AE443" s="182"/>
      <c r="AF443" s="182"/>
      <c r="AH443" s="182"/>
    </row>
    <row r="444" spans="2:35" s="183" customFormat="1" x14ac:dyDescent="0.25">
      <c r="B444" s="182" t="str">
        <f t="shared" ref="B444:B455" si="568">_xlfn.CONCAT("@",AA444,AB444,AC444,AD444,AE444,AF444,AG444,AH444,AI444)</f>
        <v>@line_gap_width-path_narrow_any_no_or_discouraged_z14</v>
      </c>
      <c r="C444" s="183" t="s">
        <v>76</v>
      </c>
      <c r="D444" s="183" t="s">
        <v>80</v>
      </c>
      <c r="F444" s="183" t="s">
        <v>76</v>
      </c>
      <c r="G444" s="183" t="s">
        <v>80</v>
      </c>
      <c r="I444" s="183" t="s">
        <v>76</v>
      </c>
      <c r="J444" s="183" t="s">
        <v>80</v>
      </c>
      <c r="L444" s="183" t="s">
        <v>76</v>
      </c>
      <c r="M444" s="183" t="s">
        <v>80</v>
      </c>
      <c r="U444" s="183" t="s">
        <v>84</v>
      </c>
      <c r="V444" s="183" t="s">
        <v>128</v>
      </c>
      <c r="X444" s="183" t="s">
        <v>84</v>
      </c>
      <c r="Y444" s="183" t="s">
        <v>128</v>
      </c>
      <c r="AA444" s="182" t="s">
        <v>447</v>
      </c>
      <c r="AB444" s="182" t="str">
        <f t="shared" ref="AB444:AB455" si="569">IF(NOT(ISBLANK(AC444)),"-","")</f>
        <v>-</v>
      </c>
      <c r="AC444" s="182" t="s">
        <v>67</v>
      </c>
      <c r="AD444" s="182" t="str">
        <f t="shared" ref="AD444:AD455" si="570">IF(NOT(ISBLANK(AE444)),"_","")</f>
        <v>_</v>
      </c>
      <c r="AE444" s="182" t="s">
        <v>68</v>
      </c>
      <c r="AF444" s="182" t="str">
        <f t="shared" ref="AF444:AF455" si="571">IF(NOT(ISBLANK(AG444)),"_","")</f>
        <v>_</v>
      </c>
      <c r="AG444" s="183" t="s">
        <v>446</v>
      </c>
      <c r="AH444" s="182" t="str">
        <f t="shared" ref="AH444:AH455" si="572">IF(NOT(ISBLANK(AI444)),"_","")</f>
        <v>_</v>
      </c>
      <c r="AI444" s="183" t="s">
        <v>70</v>
      </c>
    </row>
    <row r="445" spans="2:35" s="183" customFormat="1" x14ac:dyDescent="0.25">
      <c r="B445" s="182" t="str">
        <f t="shared" si="568"/>
        <v>@line_gap_width-path_medium_any_no_or_discouraged_z14</v>
      </c>
      <c r="C445" s="183" t="s">
        <v>86</v>
      </c>
      <c r="D445" s="183" t="s">
        <v>382</v>
      </c>
      <c r="F445" s="183" t="s">
        <v>86</v>
      </c>
      <c r="G445" s="183" t="s">
        <v>382</v>
      </c>
      <c r="I445" s="183" t="s">
        <v>86</v>
      </c>
      <c r="J445" s="183" t="s">
        <v>382</v>
      </c>
      <c r="L445" s="183" t="s">
        <v>86</v>
      </c>
      <c r="M445" s="183" t="s">
        <v>382</v>
      </c>
      <c r="U445" s="183" t="s">
        <v>84</v>
      </c>
      <c r="V445" s="183" t="s">
        <v>128</v>
      </c>
      <c r="X445" s="183" t="s">
        <v>84</v>
      </c>
      <c r="Y445" s="183" t="s">
        <v>128</v>
      </c>
      <c r="AA445" s="182" t="s">
        <v>447</v>
      </c>
      <c r="AB445" s="182" t="str">
        <f t="shared" si="569"/>
        <v>-</v>
      </c>
      <c r="AC445" s="182" t="s">
        <v>67</v>
      </c>
      <c r="AD445" s="182" t="str">
        <f t="shared" si="570"/>
        <v>_</v>
      </c>
      <c r="AE445" s="182" t="s">
        <v>75</v>
      </c>
      <c r="AF445" s="182" t="str">
        <f t="shared" si="571"/>
        <v>_</v>
      </c>
      <c r="AG445" s="183" t="s">
        <v>446</v>
      </c>
      <c r="AH445" s="182" t="str">
        <f t="shared" si="572"/>
        <v>_</v>
      </c>
      <c r="AI445" s="183" t="s">
        <v>70</v>
      </c>
    </row>
    <row r="446" spans="2:35" s="183" customFormat="1" x14ac:dyDescent="0.25">
      <c r="B446" s="182" t="str">
        <f t="shared" si="568"/>
        <v>@line_gap_width-path_wide_any_no_or_discouraged_z14</v>
      </c>
      <c r="C446" s="183" t="s">
        <v>84</v>
      </c>
      <c r="D446" s="183" t="s">
        <v>128</v>
      </c>
      <c r="F446" s="183" t="s">
        <v>84</v>
      </c>
      <c r="G446" s="183" t="s">
        <v>128</v>
      </c>
      <c r="I446" s="183" t="s">
        <v>84</v>
      </c>
      <c r="J446" s="183" t="s">
        <v>128</v>
      </c>
      <c r="L446" s="183" t="s">
        <v>84</v>
      </c>
      <c r="M446" s="183" t="s">
        <v>128</v>
      </c>
      <c r="U446" s="183" t="s">
        <v>84</v>
      </c>
      <c r="V446" s="183" t="s">
        <v>128</v>
      </c>
      <c r="X446" s="183" t="s">
        <v>84</v>
      </c>
      <c r="Y446" s="183" t="s">
        <v>128</v>
      </c>
      <c r="AA446" s="182" t="s">
        <v>447</v>
      </c>
      <c r="AB446" s="182" t="str">
        <f t="shared" si="569"/>
        <v>-</v>
      </c>
      <c r="AC446" s="182" t="s">
        <v>67</v>
      </c>
      <c r="AD446" s="182" t="str">
        <f t="shared" si="570"/>
        <v>_</v>
      </c>
      <c r="AE446" s="182" t="s">
        <v>73</v>
      </c>
      <c r="AF446" s="182" t="str">
        <f t="shared" si="571"/>
        <v>_</v>
      </c>
      <c r="AG446" s="183" t="s">
        <v>446</v>
      </c>
      <c r="AH446" s="182" t="str">
        <f t="shared" si="572"/>
        <v>_</v>
      </c>
      <c r="AI446" s="183" t="s">
        <v>70</v>
      </c>
    </row>
    <row r="447" spans="2:35" s="183" customFormat="1" x14ac:dyDescent="0.25">
      <c r="B447" s="182" t="str">
        <f t="shared" si="568"/>
        <v>@line_gap_width-path_widest_any_no_or_discouraged_z14</v>
      </c>
      <c r="C447" s="183" t="s">
        <v>84</v>
      </c>
      <c r="D447" s="183" t="s">
        <v>128</v>
      </c>
      <c r="F447" s="183" t="s">
        <v>84</v>
      </c>
      <c r="G447" s="183" t="s">
        <v>128</v>
      </c>
      <c r="I447" s="183" t="s">
        <v>84</v>
      </c>
      <c r="J447" s="183" t="s">
        <v>128</v>
      </c>
      <c r="L447" s="183" t="s">
        <v>84</v>
      </c>
      <c r="M447" s="183" t="s">
        <v>128</v>
      </c>
      <c r="U447" s="183" t="s">
        <v>84</v>
      </c>
      <c r="V447" s="183" t="s">
        <v>128</v>
      </c>
      <c r="X447" s="183" t="s">
        <v>84</v>
      </c>
      <c r="Y447" s="183" t="s">
        <v>128</v>
      </c>
      <c r="AA447" s="182" t="s">
        <v>447</v>
      </c>
      <c r="AB447" s="182" t="str">
        <f t="shared" si="569"/>
        <v>-</v>
      </c>
      <c r="AC447" s="182" t="s">
        <v>67</v>
      </c>
      <c r="AD447" s="182" t="str">
        <f t="shared" si="570"/>
        <v>_</v>
      </c>
      <c r="AE447" s="182" t="s">
        <v>286</v>
      </c>
      <c r="AF447" s="182" t="str">
        <f t="shared" si="571"/>
        <v>_</v>
      </c>
      <c r="AG447" s="183" t="s">
        <v>446</v>
      </c>
      <c r="AH447" s="182" t="str">
        <f t="shared" si="572"/>
        <v>_</v>
      </c>
      <c r="AI447" s="183" t="s">
        <v>70</v>
      </c>
    </row>
    <row r="448" spans="2:35" s="183" customFormat="1" x14ac:dyDescent="0.25">
      <c r="B448" s="182" t="str">
        <f t="shared" si="568"/>
        <v>@line_gap_width-path_narrow_any_no_or_discouraged_z16</v>
      </c>
      <c r="C448" s="183" t="s">
        <v>88</v>
      </c>
      <c r="D448" s="183" t="s">
        <v>82</v>
      </c>
      <c r="F448" s="183" t="s">
        <v>88</v>
      </c>
      <c r="G448" s="183" t="s">
        <v>82</v>
      </c>
      <c r="I448" s="183" t="s">
        <v>88</v>
      </c>
      <c r="J448" s="183" t="s">
        <v>82</v>
      </c>
      <c r="L448" s="183" t="s">
        <v>88</v>
      </c>
      <c r="M448" s="183" t="s">
        <v>82</v>
      </c>
      <c r="U448" s="183" t="s">
        <v>327</v>
      </c>
      <c r="V448" s="183" t="s">
        <v>85</v>
      </c>
      <c r="X448" s="183" t="s">
        <v>327</v>
      </c>
      <c r="Y448" s="183" t="s">
        <v>85</v>
      </c>
      <c r="AA448" s="182" t="s">
        <v>447</v>
      </c>
      <c r="AB448" s="182" t="str">
        <f t="shared" si="569"/>
        <v>-</v>
      </c>
      <c r="AC448" s="182" t="s">
        <v>67</v>
      </c>
      <c r="AD448" s="182" t="str">
        <f t="shared" si="570"/>
        <v>_</v>
      </c>
      <c r="AE448" s="182" t="s">
        <v>68</v>
      </c>
      <c r="AF448" s="182" t="str">
        <f t="shared" si="571"/>
        <v>_</v>
      </c>
      <c r="AG448" s="183" t="s">
        <v>446</v>
      </c>
      <c r="AH448" s="182" t="str">
        <f t="shared" si="572"/>
        <v>_</v>
      </c>
      <c r="AI448" s="183" t="s">
        <v>71</v>
      </c>
    </row>
    <row r="449" spans="1:39" s="183" customFormat="1" x14ac:dyDescent="0.25">
      <c r="B449" s="182" t="str">
        <f t="shared" si="568"/>
        <v>@line_gap_width-path_medium_any_no_or_discouraged_z16</v>
      </c>
      <c r="C449" s="183" t="s">
        <v>130</v>
      </c>
      <c r="D449" s="183" t="s">
        <v>131</v>
      </c>
      <c r="F449" s="183" t="s">
        <v>130</v>
      </c>
      <c r="G449" s="183" t="s">
        <v>131</v>
      </c>
      <c r="I449" s="183" t="s">
        <v>130</v>
      </c>
      <c r="J449" s="183" t="s">
        <v>131</v>
      </c>
      <c r="L449" s="183" t="s">
        <v>130</v>
      </c>
      <c r="M449" s="183" t="s">
        <v>131</v>
      </c>
      <c r="U449" s="183" t="s">
        <v>327</v>
      </c>
      <c r="V449" s="183" t="s">
        <v>85</v>
      </c>
      <c r="X449" s="183" t="s">
        <v>327</v>
      </c>
      <c r="Y449" s="183" t="s">
        <v>85</v>
      </c>
      <c r="AA449" s="182" t="s">
        <v>447</v>
      </c>
      <c r="AB449" s="182" t="str">
        <f t="shared" si="569"/>
        <v>-</v>
      </c>
      <c r="AC449" s="182" t="s">
        <v>67</v>
      </c>
      <c r="AD449" s="182" t="str">
        <f t="shared" si="570"/>
        <v>_</v>
      </c>
      <c r="AE449" s="182" t="s">
        <v>75</v>
      </c>
      <c r="AF449" s="182" t="str">
        <f t="shared" si="571"/>
        <v>_</v>
      </c>
      <c r="AG449" s="183" t="s">
        <v>446</v>
      </c>
      <c r="AH449" s="182" t="str">
        <f t="shared" si="572"/>
        <v>_</v>
      </c>
      <c r="AI449" s="183" t="s">
        <v>71</v>
      </c>
    </row>
    <row r="450" spans="1:39" s="183" customFormat="1" x14ac:dyDescent="0.25">
      <c r="B450" s="182" t="str">
        <f t="shared" si="568"/>
        <v>@line_gap_width-path_wide_any_no_or_discouraged_z16</v>
      </c>
      <c r="C450" s="183" t="s">
        <v>327</v>
      </c>
      <c r="D450" s="183" t="s">
        <v>85</v>
      </c>
      <c r="F450" s="183" t="s">
        <v>327</v>
      </c>
      <c r="G450" s="183" t="s">
        <v>85</v>
      </c>
      <c r="I450" s="183" t="s">
        <v>327</v>
      </c>
      <c r="J450" s="183" t="s">
        <v>85</v>
      </c>
      <c r="L450" s="183" t="s">
        <v>327</v>
      </c>
      <c r="M450" s="183" t="s">
        <v>85</v>
      </c>
      <c r="U450" s="183" t="s">
        <v>327</v>
      </c>
      <c r="V450" s="183" t="s">
        <v>85</v>
      </c>
      <c r="X450" s="183" t="s">
        <v>327</v>
      </c>
      <c r="Y450" s="183" t="s">
        <v>85</v>
      </c>
      <c r="AA450" s="182" t="s">
        <v>447</v>
      </c>
      <c r="AB450" s="182" t="str">
        <f t="shared" si="569"/>
        <v>-</v>
      </c>
      <c r="AC450" s="182" t="s">
        <v>67</v>
      </c>
      <c r="AD450" s="182" t="str">
        <f t="shared" si="570"/>
        <v>_</v>
      </c>
      <c r="AE450" s="182" t="s">
        <v>73</v>
      </c>
      <c r="AF450" s="182" t="str">
        <f t="shared" si="571"/>
        <v>_</v>
      </c>
      <c r="AG450" s="183" t="s">
        <v>446</v>
      </c>
      <c r="AH450" s="182" t="str">
        <f t="shared" si="572"/>
        <v>_</v>
      </c>
      <c r="AI450" s="183" t="s">
        <v>71</v>
      </c>
    </row>
    <row r="451" spans="1:39" s="183" customFormat="1" x14ac:dyDescent="0.25">
      <c r="B451" s="182" t="str">
        <f t="shared" si="568"/>
        <v>@line_gap_width-path_widest_any_no_or_discouraged_z16</v>
      </c>
      <c r="C451" s="183" t="s">
        <v>327</v>
      </c>
      <c r="D451" s="183" t="s">
        <v>85</v>
      </c>
      <c r="F451" s="183" t="s">
        <v>327</v>
      </c>
      <c r="G451" s="183" t="s">
        <v>85</v>
      </c>
      <c r="I451" s="183" t="s">
        <v>327</v>
      </c>
      <c r="J451" s="183" t="s">
        <v>85</v>
      </c>
      <c r="L451" s="183" t="s">
        <v>327</v>
      </c>
      <c r="M451" s="183" t="s">
        <v>85</v>
      </c>
      <c r="U451" s="183" t="s">
        <v>327</v>
      </c>
      <c r="V451" s="183" t="s">
        <v>85</v>
      </c>
      <c r="X451" s="183" t="s">
        <v>327</v>
      </c>
      <c r="Y451" s="183" t="s">
        <v>85</v>
      </c>
      <c r="AA451" s="182" t="s">
        <v>447</v>
      </c>
      <c r="AB451" s="182" t="str">
        <f t="shared" si="569"/>
        <v>-</v>
      </c>
      <c r="AC451" s="182" t="s">
        <v>67</v>
      </c>
      <c r="AD451" s="182" t="str">
        <f t="shared" si="570"/>
        <v>_</v>
      </c>
      <c r="AE451" s="182" t="s">
        <v>286</v>
      </c>
      <c r="AF451" s="182" t="str">
        <f t="shared" si="571"/>
        <v>_</v>
      </c>
      <c r="AG451" s="183" t="s">
        <v>446</v>
      </c>
      <c r="AH451" s="182" t="str">
        <f t="shared" si="572"/>
        <v>_</v>
      </c>
      <c r="AI451" s="183" t="s">
        <v>71</v>
      </c>
    </row>
    <row r="452" spans="1:39" s="183" customFormat="1" x14ac:dyDescent="0.25">
      <c r="B452" s="182" t="str">
        <f t="shared" si="568"/>
        <v>@line_gap_width-path_narrow_any_no_or_discouraged_z18</v>
      </c>
      <c r="C452" s="183" t="s">
        <v>317</v>
      </c>
      <c r="D452" s="183" t="s">
        <v>322</v>
      </c>
      <c r="F452" s="183" t="s">
        <v>317</v>
      </c>
      <c r="G452" s="183" t="s">
        <v>322</v>
      </c>
      <c r="I452" s="183" t="s">
        <v>317</v>
      </c>
      <c r="J452" s="183" t="s">
        <v>322</v>
      </c>
      <c r="L452" s="183" t="s">
        <v>317</v>
      </c>
      <c r="M452" s="183" t="s">
        <v>322</v>
      </c>
      <c r="U452" s="183" t="s">
        <v>439</v>
      </c>
      <c r="V452" s="183" t="s">
        <v>443</v>
      </c>
      <c r="X452" s="183" t="s">
        <v>439</v>
      </c>
      <c r="Y452" s="183" t="s">
        <v>443</v>
      </c>
      <c r="AA452" s="182" t="s">
        <v>447</v>
      </c>
      <c r="AB452" s="182" t="str">
        <f t="shared" si="569"/>
        <v>-</v>
      </c>
      <c r="AC452" s="182" t="s">
        <v>67</v>
      </c>
      <c r="AD452" s="182" t="str">
        <f t="shared" si="570"/>
        <v>_</v>
      </c>
      <c r="AE452" s="182" t="s">
        <v>68</v>
      </c>
      <c r="AF452" s="182" t="str">
        <f t="shared" si="571"/>
        <v>_</v>
      </c>
      <c r="AG452" s="183" t="s">
        <v>446</v>
      </c>
      <c r="AH452" s="182" t="str">
        <f t="shared" si="572"/>
        <v>_</v>
      </c>
      <c r="AI452" s="183" t="s">
        <v>72</v>
      </c>
    </row>
    <row r="453" spans="1:39" s="183" customFormat="1" x14ac:dyDescent="0.25">
      <c r="B453" s="182" t="str">
        <f t="shared" si="568"/>
        <v>@line_gap_width-path_medium_any_no_or_discouraged_z18</v>
      </c>
      <c r="C453" s="183" t="s">
        <v>318</v>
      </c>
      <c r="D453" s="183" t="s">
        <v>334</v>
      </c>
      <c r="F453" s="183" t="s">
        <v>318</v>
      </c>
      <c r="G453" s="183" t="s">
        <v>334</v>
      </c>
      <c r="I453" s="183" t="s">
        <v>318</v>
      </c>
      <c r="J453" s="183" t="s">
        <v>334</v>
      </c>
      <c r="L453" s="183" t="s">
        <v>318</v>
      </c>
      <c r="M453" s="183" t="s">
        <v>334</v>
      </c>
      <c r="U453" s="183" t="s">
        <v>439</v>
      </c>
      <c r="V453" s="183" t="s">
        <v>443</v>
      </c>
      <c r="X453" s="183" t="s">
        <v>439</v>
      </c>
      <c r="Y453" s="183" t="s">
        <v>443</v>
      </c>
      <c r="AA453" s="182" t="s">
        <v>447</v>
      </c>
      <c r="AB453" s="182" t="str">
        <f t="shared" si="569"/>
        <v>-</v>
      </c>
      <c r="AC453" s="182" t="s">
        <v>67</v>
      </c>
      <c r="AD453" s="182" t="str">
        <f t="shared" si="570"/>
        <v>_</v>
      </c>
      <c r="AE453" s="182" t="s">
        <v>75</v>
      </c>
      <c r="AF453" s="182" t="str">
        <f t="shared" si="571"/>
        <v>_</v>
      </c>
      <c r="AG453" s="183" t="s">
        <v>446</v>
      </c>
      <c r="AH453" s="182" t="str">
        <f t="shared" si="572"/>
        <v>_</v>
      </c>
      <c r="AI453" s="183" t="s">
        <v>72</v>
      </c>
    </row>
    <row r="454" spans="1:39" s="183" customFormat="1" x14ac:dyDescent="0.25">
      <c r="B454" s="182" t="str">
        <f t="shared" si="568"/>
        <v>@line_gap_width-path_wide_any_no_or_discouraged_z18</v>
      </c>
      <c r="C454" s="183" t="s">
        <v>439</v>
      </c>
      <c r="D454" s="183" t="s">
        <v>443</v>
      </c>
      <c r="F454" s="183" t="s">
        <v>439</v>
      </c>
      <c r="G454" s="183" t="s">
        <v>443</v>
      </c>
      <c r="I454" s="183" t="s">
        <v>439</v>
      </c>
      <c r="J454" s="183" t="s">
        <v>443</v>
      </c>
      <c r="L454" s="183" t="s">
        <v>439</v>
      </c>
      <c r="M454" s="183" t="s">
        <v>443</v>
      </c>
      <c r="U454" s="183" t="s">
        <v>439</v>
      </c>
      <c r="V454" s="183" t="s">
        <v>443</v>
      </c>
      <c r="X454" s="183" t="s">
        <v>439</v>
      </c>
      <c r="Y454" s="183" t="s">
        <v>443</v>
      </c>
      <c r="AA454" s="182" t="s">
        <v>447</v>
      </c>
      <c r="AB454" s="182" t="str">
        <f t="shared" si="569"/>
        <v>-</v>
      </c>
      <c r="AC454" s="182" t="s">
        <v>67</v>
      </c>
      <c r="AD454" s="182" t="str">
        <f t="shared" si="570"/>
        <v>_</v>
      </c>
      <c r="AE454" s="182" t="s">
        <v>73</v>
      </c>
      <c r="AF454" s="182" t="str">
        <f t="shared" si="571"/>
        <v>_</v>
      </c>
      <c r="AG454" s="183" t="s">
        <v>446</v>
      </c>
      <c r="AH454" s="182" t="str">
        <f t="shared" si="572"/>
        <v>_</v>
      </c>
      <c r="AI454" s="183" t="s">
        <v>72</v>
      </c>
    </row>
    <row r="455" spans="1:39" s="183" customFormat="1" x14ac:dyDescent="0.25">
      <c r="B455" s="182" t="str">
        <f t="shared" si="568"/>
        <v>@line_gap_width-path_widest_any_no_or_discouraged_z18</v>
      </c>
      <c r="C455" s="183" t="s">
        <v>439</v>
      </c>
      <c r="D455" s="183" t="s">
        <v>443</v>
      </c>
      <c r="F455" s="183" t="s">
        <v>439</v>
      </c>
      <c r="G455" s="183" t="s">
        <v>443</v>
      </c>
      <c r="I455" s="183" t="s">
        <v>439</v>
      </c>
      <c r="J455" s="183" t="s">
        <v>443</v>
      </c>
      <c r="L455" s="183" t="s">
        <v>439</v>
      </c>
      <c r="M455" s="183" t="s">
        <v>443</v>
      </c>
      <c r="U455" s="183" t="s">
        <v>439</v>
      </c>
      <c r="V455" s="183" t="s">
        <v>443</v>
      </c>
      <c r="X455" s="183" t="s">
        <v>439</v>
      </c>
      <c r="Y455" s="183" t="s">
        <v>443</v>
      </c>
      <c r="AA455" s="182" t="s">
        <v>447</v>
      </c>
      <c r="AB455" s="182" t="str">
        <f t="shared" si="569"/>
        <v>-</v>
      </c>
      <c r="AC455" s="182" t="s">
        <v>67</v>
      </c>
      <c r="AD455" s="182" t="str">
        <f t="shared" si="570"/>
        <v>_</v>
      </c>
      <c r="AE455" s="182" t="s">
        <v>286</v>
      </c>
      <c r="AF455" s="182" t="str">
        <f t="shared" si="571"/>
        <v>_</v>
      </c>
      <c r="AG455" s="183" t="s">
        <v>446</v>
      </c>
      <c r="AH455" s="182" t="str">
        <f t="shared" si="572"/>
        <v>_</v>
      </c>
      <c r="AI455" s="183" t="s">
        <v>72</v>
      </c>
    </row>
    <row r="456" spans="1:39" x14ac:dyDescent="0.25">
      <c r="AA456" s="2"/>
      <c r="AB456" s="2"/>
      <c r="AC456" s="2"/>
      <c r="AD456" s="2"/>
      <c r="AE456" s="2"/>
    </row>
    <row r="457" spans="1:39" x14ac:dyDescent="0.25">
      <c r="B457" s="2" t="str">
        <f t="shared" ref="B457:B460" si="573">_xlfn.CONCAT("@",AA457,AB457,AC457,AD457,AE457,AF457,AG457,AH457,AI457)</f>
        <v>@color-obstacle_vegetation</v>
      </c>
      <c r="C457" s="50" t="s">
        <v>183</v>
      </c>
      <c r="D457" s="51" t="str">
        <f>C457</f>
        <v>"#4a9100"</v>
      </c>
      <c r="F457" s="50" t="s">
        <v>183</v>
      </c>
      <c r="G457" s="51" t="str">
        <f>F457</f>
        <v>"#4a9100"</v>
      </c>
      <c r="I457" s="50" t="s">
        <v>183</v>
      </c>
      <c r="J457" s="51" t="str">
        <f>I457</f>
        <v>"#4a9100"</v>
      </c>
      <c r="L457" s="50" t="s">
        <v>183</v>
      </c>
      <c r="M457" s="51" t="str">
        <f>L457</f>
        <v>"#4a9100"</v>
      </c>
      <c r="U457" s="50" t="s">
        <v>183</v>
      </c>
      <c r="V457" s="51" t="str">
        <f>U457</f>
        <v>"#4a9100"</v>
      </c>
      <c r="X457" s="50" t="s">
        <v>183</v>
      </c>
      <c r="Y457" s="51" t="str">
        <f>X457</f>
        <v>"#4a9100"</v>
      </c>
      <c r="AA457" s="2" t="s">
        <v>6</v>
      </c>
      <c r="AB457" s="2" t="str">
        <f>IF(NOT(ISBLANK(AC457)),"-","")</f>
        <v>-</v>
      </c>
      <c r="AC457" s="2" t="s">
        <v>35</v>
      </c>
      <c r="AD457" s="2" t="str">
        <f>IF(NOT(ISBLANK(AE457)),"_","")</f>
        <v>_</v>
      </c>
      <c r="AE457" s="2" t="s">
        <v>36</v>
      </c>
      <c r="AF457" s="2" t="str">
        <f>IF(NOT(ISBLANK(AG457)),"_","")</f>
        <v/>
      </c>
      <c r="AG457" s="2"/>
      <c r="AH457" s="2" t="str">
        <f>IF(NOT(ISBLANK(AI457)),"_","")</f>
        <v/>
      </c>
      <c r="AI457" s="2"/>
      <c r="AJ457" s="2"/>
      <c r="AK457" s="2"/>
      <c r="AL457" s="2"/>
      <c r="AM457" s="2"/>
    </row>
    <row r="458" spans="1:39" x14ac:dyDescent="0.25">
      <c r="B458" s="2" t="str">
        <f t="shared" si="573"/>
        <v>@color-surface_mud</v>
      </c>
      <c r="C458" s="52" t="s">
        <v>184</v>
      </c>
      <c r="D458" s="53" t="str">
        <f>C458</f>
        <v>"#0e84ed"</v>
      </c>
      <c r="F458" s="52" t="s">
        <v>184</v>
      </c>
      <c r="G458" s="53" t="str">
        <f>F458</f>
        <v>"#0e84ed"</v>
      </c>
      <c r="I458" s="52" t="s">
        <v>184</v>
      </c>
      <c r="J458" s="53" t="str">
        <f>I458</f>
        <v>"#0e84ed"</v>
      </c>
      <c r="L458" s="52" t="s">
        <v>184</v>
      </c>
      <c r="M458" s="53" t="str">
        <f>L458</f>
        <v>"#0e84ed"</v>
      </c>
      <c r="U458" s="52" t="s">
        <v>184</v>
      </c>
      <c r="V458" s="53" t="str">
        <f>U458</f>
        <v>"#0e84ed"</v>
      </c>
      <c r="X458" s="52" t="s">
        <v>184</v>
      </c>
      <c r="Y458" s="53" t="str">
        <f>X458</f>
        <v>"#0e84ed"</v>
      </c>
      <c r="AA458" s="2" t="s">
        <v>6</v>
      </c>
      <c r="AB458" s="2" t="str">
        <f>IF(NOT(ISBLANK(AC458)),"-","")</f>
        <v>-</v>
      </c>
      <c r="AC458" s="2" t="s">
        <v>37</v>
      </c>
      <c r="AD458" s="2" t="str">
        <f>IF(NOT(ISBLANK(AE458)),"_","")</f>
        <v>_</v>
      </c>
      <c r="AE458" s="2" t="s">
        <v>38</v>
      </c>
      <c r="AF458" s="2" t="str">
        <f>IF(NOT(ISBLANK(AG458)),"_","")</f>
        <v/>
      </c>
      <c r="AG458" s="2"/>
      <c r="AH458" s="2" t="str">
        <f>IF(NOT(ISBLANK(AI458)),"_","")</f>
        <v/>
      </c>
      <c r="AI458" s="2"/>
    </row>
    <row r="459" spans="1:39" x14ac:dyDescent="0.25">
      <c r="B459" s="2" t="str">
        <f t="shared" si="573"/>
        <v>@color-access_no</v>
      </c>
      <c r="C459" s="54" t="s">
        <v>185</v>
      </c>
      <c r="D459" s="55" t="str">
        <f>C459</f>
        <v>"#ff003d"</v>
      </c>
      <c r="F459" s="54" t="s">
        <v>185</v>
      </c>
      <c r="G459" s="55" t="str">
        <f>F459</f>
        <v>"#ff003d"</v>
      </c>
      <c r="I459" s="54" t="s">
        <v>185</v>
      </c>
      <c r="J459" s="55" t="str">
        <f>I459</f>
        <v>"#ff003d"</v>
      </c>
      <c r="L459" s="54" t="s">
        <v>185</v>
      </c>
      <c r="M459" s="55" t="str">
        <f>L459</f>
        <v>"#ff003d"</v>
      </c>
      <c r="U459" s="54" t="s">
        <v>185</v>
      </c>
      <c r="V459" s="55" t="str">
        <f>U459</f>
        <v>"#ff003d"</v>
      </c>
      <c r="X459" s="54" t="s">
        <v>185</v>
      </c>
      <c r="Y459" s="55" t="str">
        <f>X459</f>
        <v>"#ff003d"</v>
      </c>
      <c r="AA459" s="2" t="s">
        <v>6</v>
      </c>
      <c r="AB459" s="2" t="str">
        <f>IF(NOT(ISBLANK(AC459)),"-","")</f>
        <v>-</v>
      </c>
      <c r="AC459" s="2" t="s">
        <v>39</v>
      </c>
      <c r="AD459" s="2" t="str">
        <f>IF(NOT(ISBLANK(AE459)),"_","")</f>
        <v>_</v>
      </c>
      <c r="AE459" s="2" t="s">
        <v>40</v>
      </c>
      <c r="AF459" s="2" t="str">
        <f>IF(NOT(ISBLANK(AG459)),"_","")</f>
        <v/>
      </c>
      <c r="AG459" s="2"/>
      <c r="AH459" s="2" t="str">
        <f>IF(NOT(ISBLANK(AI459)),"_","")</f>
        <v/>
      </c>
      <c r="AI459" s="2"/>
    </row>
    <row r="460" spans="1:39" x14ac:dyDescent="0.25">
      <c r="B460" s="2" t="str">
        <f t="shared" si="573"/>
        <v>@color-access_discouraged</v>
      </c>
      <c r="C460" s="56" t="s">
        <v>186</v>
      </c>
      <c r="D460" s="57" t="str">
        <f>C460</f>
        <v>"#ff6a00"</v>
      </c>
      <c r="F460" s="56" t="s">
        <v>186</v>
      </c>
      <c r="G460" s="57" t="str">
        <f>F460</f>
        <v>"#ff6a00"</v>
      </c>
      <c r="I460" s="56" t="s">
        <v>186</v>
      </c>
      <c r="J460" s="57" t="str">
        <f>I460</f>
        <v>"#ff6a00"</v>
      </c>
      <c r="L460" s="56" t="s">
        <v>186</v>
      </c>
      <c r="M460" s="57" t="str">
        <f>L460</f>
        <v>"#ff6a00"</v>
      </c>
      <c r="U460" s="56" t="s">
        <v>186</v>
      </c>
      <c r="V460" s="57" t="str">
        <f>U460</f>
        <v>"#ff6a00"</v>
      </c>
      <c r="X460" s="56" t="s">
        <v>186</v>
      </c>
      <c r="Y460" s="57" t="str">
        <f>X460</f>
        <v>"#ff6a00"</v>
      </c>
      <c r="AA460" s="2" t="s">
        <v>6</v>
      </c>
      <c r="AB460" s="2" t="str">
        <f>IF(NOT(ISBLANK(AC460)),"-","")</f>
        <v>-</v>
      </c>
      <c r="AC460" s="2" t="s">
        <v>39</v>
      </c>
      <c r="AD460" s="2" t="str">
        <f>IF(NOT(ISBLANK(AE460)),"_","")</f>
        <v>_</v>
      </c>
      <c r="AE460" s="2" t="s">
        <v>41</v>
      </c>
      <c r="AF460" s="2" t="str">
        <f>IF(NOT(ISBLANK(AG460)),"_","")</f>
        <v/>
      </c>
      <c r="AG460" s="2"/>
      <c r="AH460" s="2" t="str">
        <f>IF(NOT(ISBLANK(AI460)),"_","")</f>
        <v/>
      </c>
      <c r="AI460" s="2"/>
    </row>
    <row r="461" spans="1:39" x14ac:dyDescent="0.25">
      <c r="B461" s="2"/>
      <c r="AA461" s="2"/>
      <c r="AB461" s="2"/>
      <c r="AC461" s="2"/>
      <c r="AD461" s="2"/>
      <c r="AE461" s="2"/>
    </row>
    <row r="462" spans="1:39" s="5" customFormat="1" x14ac:dyDescent="0.25">
      <c r="A462" s="184" t="s">
        <v>387</v>
      </c>
      <c r="B462" s="184"/>
      <c r="C462" s="184"/>
      <c r="D462" s="184"/>
      <c r="F462" s="184"/>
      <c r="G462" s="184"/>
      <c r="I462" s="184"/>
      <c r="J462" s="184"/>
      <c r="L462" s="184"/>
      <c r="M462" s="184"/>
      <c r="O462" s="184"/>
      <c r="P462" s="184"/>
      <c r="R462" s="184"/>
      <c r="S462" s="184"/>
      <c r="U462" s="184"/>
      <c r="V462" s="184"/>
      <c r="X462" s="184"/>
      <c r="Y462" s="184"/>
      <c r="AA462" s="184"/>
      <c r="AB462" s="184"/>
      <c r="AC462" s="184"/>
      <c r="AD462" s="184"/>
      <c r="AE462" s="184"/>
      <c r="AF462" s="184"/>
      <c r="AG462" s="184"/>
      <c r="AH462" s="184"/>
      <c r="AI462" s="184"/>
    </row>
    <row r="463" spans="1:39" x14ac:dyDescent="0.25">
      <c r="B463" s="2"/>
      <c r="AA463" s="2"/>
      <c r="AB463" s="2"/>
      <c r="AC463" s="2"/>
      <c r="AD463" s="2"/>
      <c r="AE463" s="2"/>
    </row>
    <row r="464" spans="1:39" x14ac:dyDescent="0.25">
      <c r="B464" s="2" t="str">
        <f t="shared" ref="B464" si="574">_xlfn.CONCAT("@",AA464,AB464,AC464,AD464,AE464,AF464,AG464,AH464,AI464)</f>
        <v>@color-piste_trail_ski_case</v>
      </c>
      <c r="C464" s="110" t="s">
        <v>287</v>
      </c>
      <c r="D464" s="110" t="s">
        <v>287</v>
      </c>
      <c r="F464" s="110" t="s">
        <v>287</v>
      </c>
      <c r="G464" s="110" t="s">
        <v>287</v>
      </c>
      <c r="I464" s="110" t="s">
        <v>287</v>
      </c>
      <c r="J464" s="110" t="s">
        <v>287</v>
      </c>
      <c r="L464" s="110" t="s">
        <v>287</v>
      </c>
      <c r="M464" s="110" t="s">
        <v>287</v>
      </c>
      <c r="U464" s="46" t="s">
        <v>218</v>
      </c>
      <c r="V464" s="46" t="s">
        <v>218</v>
      </c>
      <c r="X464" s="31" t="s">
        <v>272</v>
      </c>
      <c r="Y464" s="31" t="s">
        <v>272</v>
      </c>
      <c r="AA464" s="2" t="s">
        <v>6</v>
      </c>
      <c r="AB464" s="2" t="str">
        <f t="shared" ref="AB464" si="575">IF(NOT(ISBLANK(AC464)),"-","")</f>
        <v>-</v>
      </c>
      <c r="AC464" s="2" t="s">
        <v>388</v>
      </c>
      <c r="AD464" s="2" t="str">
        <f t="shared" ref="AD464" si="576">IF(NOT(ISBLANK(AE464)),"_","")</f>
        <v>_</v>
      </c>
      <c r="AE464" s="2" t="s">
        <v>389</v>
      </c>
      <c r="AF464" s="2" t="str">
        <f t="shared" ref="AF464" si="577">IF(NOT(ISBLANK(AG464)),"_","")</f>
        <v>_</v>
      </c>
      <c r="AG464" s="28" t="s">
        <v>17</v>
      </c>
      <c r="AH464" s="2" t="str">
        <f t="shared" ref="AH464" si="578">IF(NOT(ISBLANK(AI464)),"_","")</f>
        <v/>
      </c>
    </row>
    <row r="465" spans="1:35" x14ac:dyDescent="0.25">
      <c r="B465" s="2" t="str">
        <f t="shared" ref="B465" si="579">_xlfn.CONCAT("@",AA465,AB465,AC465,AD465,AE465,AF465,AG465,AH465,AI465)</f>
        <v>@color-piste_trail_ski_line_osm</v>
      </c>
      <c r="C465" s="110" t="s">
        <v>287</v>
      </c>
      <c r="D465" s="110" t="s">
        <v>287</v>
      </c>
      <c r="F465" s="110" t="s">
        <v>287</v>
      </c>
      <c r="G465" s="110" t="s">
        <v>287</v>
      </c>
      <c r="I465" s="110" t="s">
        <v>287</v>
      </c>
      <c r="J465" s="110" t="s">
        <v>287</v>
      </c>
      <c r="L465" s="110" t="s">
        <v>287</v>
      </c>
      <c r="M465" s="110" t="s">
        <v>287</v>
      </c>
      <c r="U465" s="126" t="s">
        <v>392</v>
      </c>
      <c r="V465" s="126" t="s">
        <v>392</v>
      </c>
      <c r="X465" s="126" t="s">
        <v>392</v>
      </c>
      <c r="Y465" s="126" t="s">
        <v>392</v>
      </c>
      <c r="AA465" s="2" t="s">
        <v>6</v>
      </c>
      <c r="AB465" s="2" t="str">
        <f t="shared" ref="AB465" si="580">IF(NOT(ISBLANK(AC465)),"-","")</f>
        <v>-</v>
      </c>
      <c r="AC465" s="2" t="s">
        <v>388</v>
      </c>
      <c r="AD465" s="2" t="str">
        <f t="shared" ref="AD465" si="581">IF(NOT(ISBLANK(AE465)),"_","")</f>
        <v>_</v>
      </c>
      <c r="AE465" s="2" t="s">
        <v>389</v>
      </c>
      <c r="AF465" s="2" t="str">
        <f t="shared" ref="AF465" si="582">IF(NOT(ISBLANK(AG465)),"_","")</f>
        <v>_</v>
      </c>
      <c r="AG465" s="28" t="s">
        <v>13</v>
      </c>
      <c r="AH465" s="2" t="str">
        <f t="shared" ref="AH465" si="583">IF(NOT(ISBLANK(AI465)),"_","")</f>
        <v>_</v>
      </c>
      <c r="AI465" s="28" t="s">
        <v>391</v>
      </c>
    </row>
    <row r="466" spans="1:35" x14ac:dyDescent="0.25">
      <c r="B466" s="2" t="str">
        <f t="shared" ref="B466" si="584">_xlfn.CONCAT("@",AA466,AB466,AC466,AD466,AE466,AF466,AG466,AH466,AI466)</f>
        <v>@color-piste_trail_ski_line_lipas</v>
      </c>
      <c r="C466" s="110" t="s">
        <v>287</v>
      </c>
      <c r="D466" s="110" t="s">
        <v>287</v>
      </c>
      <c r="F466" s="110" t="s">
        <v>287</v>
      </c>
      <c r="G466" s="110" t="s">
        <v>287</v>
      </c>
      <c r="I466" s="110" t="s">
        <v>287</v>
      </c>
      <c r="J466" s="110" t="s">
        <v>287</v>
      </c>
      <c r="L466" s="110" t="s">
        <v>287</v>
      </c>
      <c r="M466" s="110" t="s">
        <v>287</v>
      </c>
      <c r="U466" s="127" t="s">
        <v>394</v>
      </c>
      <c r="V466" s="127" t="s">
        <v>394</v>
      </c>
      <c r="X466" s="127" t="s">
        <v>394</v>
      </c>
      <c r="Y466" s="127" t="s">
        <v>394</v>
      </c>
      <c r="AA466" s="2" t="s">
        <v>6</v>
      </c>
      <c r="AB466" s="2" t="str">
        <f t="shared" ref="AB466" si="585">IF(NOT(ISBLANK(AC466)),"-","")</f>
        <v>-</v>
      </c>
      <c r="AC466" s="2" t="s">
        <v>388</v>
      </c>
      <c r="AD466" s="2" t="str">
        <f t="shared" ref="AD466" si="586">IF(NOT(ISBLANK(AE466)),"_","")</f>
        <v>_</v>
      </c>
      <c r="AE466" s="2" t="s">
        <v>389</v>
      </c>
      <c r="AF466" s="2" t="str">
        <f t="shared" ref="AF466" si="587">IF(NOT(ISBLANK(AG466)),"_","")</f>
        <v>_</v>
      </c>
      <c r="AG466" s="28" t="s">
        <v>13</v>
      </c>
      <c r="AH466" s="2" t="str">
        <f t="shared" ref="AH466" si="588">IF(NOT(ISBLANK(AI466)),"_","")</f>
        <v>_</v>
      </c>
      <c r="AI466" s="28" t="s">
        <v>393</v>
      </c>
    </row>
    <row r="467" spans="1:35" x14ac:dyDescent="0.25">
      <c r="B467" s="2" t="str">
        <f t="shared" ref="B467" si="589">_xlfn.CONCAT("@",AA467,AB467,AC467,AD467,AE467,AF467,AG467,AH467,AI467)</f>
        <v>@color-piste_trail_ski_center</v>
      </c>
      <c r="C467" s="110" t="s">
        <v>287</v>
      </c>
      <c r="D467" s="110" t="s">
        <v>287</v>
      </c>
      <c r="F467" s="110" t="s">
        <v>287</v>
      </c>
      <c r="G467" s="110" t="s">
        <v>287</v>
      </c>
      <c r="I467" s="110" t="s">
        <v>287</v>
      </c>
      <c r="J467" s="110" t="s">
        <v>287</v>
      </c>
      <c r="L467" s="110" t="s">
        <v>287</v>
      </c>
      <c r="M467" s="110" t="s">
        <v>287</v>
      </c>
      <c r="U467" s="46" t="s">
        <v>218</v>
      </c>
      <c r="V467" s="46" t="s">
        <v>218</v>
      </c>
      <c r="X467" s="31" t="s">
        <v>272</v>
      </c>
      <c r="Y467" s="31" t="s">
        <v>272</v>
      </c>
      <c r="AA467" s="2" t="s">
        <v>6</v>
      </c>
      <c r="AB467" s="2" t="str">
        <f t="shared" ref="AB467" si="590">IF(NOT(ISBLANK(AC467)),"-","")</f>
        <v>-</v>
      </c>
      <c r="AC467" s="2" t="s">
        <v>388</v>
      </c>
      <c r="AD467" s="2" t="str">
        <f t="shared" ref="AD467" si="591">IF(NOT(ISBLANK(AE467)),"_","")</f>
        <v>_</v>
      </c>
      <c r="AE467" s="2" t="s">
        <v>389</v>
      </c>
      <c r="AF467" s="2" t="str">
        <f t="shared" ref="AF467" si="592">IF(NOT(ISBLANK(AG467)),"_","")</f>
        <v>_</v>
      </c>
      <c r="AG467" s="28" t="s">
        <v>390</v>
      </c>
      <c r="AH467" s="2" t="str">
        <f t="shared" ref="AH467" si="593">IF(NOT(ISBLANK(AI467)),"_","")</f>
        <v/>
      </c>
    </row>
    <row r="468" spans="1:35" x14ac:dyDescent="0.25">
      <c r="B468" s="2"/>
      <c r="AA468" s="2"/>
      <c r="AB468" s="2"/>
      <c r="AC468" s="2"/>
      <c r="AD468" s="2"/>
      <c r="AE468" s="2"/>
    </row>
    <row r="469" spans="1:35" s="5" customFormat="1" x14ac:dyDescent="0.25">
      <c r="A469" s="184" t="s">
        <v>386</v>
      </c>
      <c r="B469" s="184"/>
      <c r="C469" s="184"/>
      <c r="D469" s="184"/>
      <c r="F469" s="184"/>
      <c r="G469" s="184"/>
      <c r="I469" s="184"/>
      <c r="J469" s="184"/>
      <c r="L469" s="184"/>
      <c r="M469" s="184"/>
      <c r="O469" s="184"/>
      <c r="P469" s="184"/>
      <c r="R469" s="184"/>
      <c r="S469" s="184"/>
      <c r="U469" s="184"/>
      <c r="V469" s="184"/>
      <c r="X469" s="184"/>
      <c r="Y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</row>
    <row r="470" spans="1:35" x14ac:dyDescent="0.25">
      <c r="B470" s="2"/>
      <c r="AA470" s="2"/>
      <c r="AB470" s="2"/>
      <c r="AC470" s="2"/>
      <c r="AD470" s="2"/>
      <c r="AE470" s="2"/>
    </row>
    <row r="471" spans="1:35" s="2" customFormat="1" x14ac:dyDescent="0.25">
      <c r="A471" s="185"/>
      <c r="B471" s="3" t="s">
        <v>457</v>
      </c>
      <c r="C471" s="27"/>
      <c r="D471" s="6"/>
      <c r="E471" s="7"/>
      <c r="F471" s="6"/>
      <c r="G471" s="6"/>
      <c r="H471" s="7"/>
      <c r="I471" s="6"/>
      <c r="J471" s="6"/>
      <c r="K471" s="7"/>
      <c r="L471" s="6"/>
      <c r="M471" s="6"/>
      <c r="N471" s="7"/>
      <c r="O471" s="6"/>
      <c r="P471" s="6"/>
      <c r="Q471" s="7"/>
      <c r="R471" s="6"/>
      <c r="S471" s="6"/>
      <c r="T471" s="7"/>
      <c r="U471" s="6"/>
      <c r="V471" s="6"/>
      <c r="W471" s="7"/>
      <c r="X471" s="6"/>
      <c r="Y471" s="6"/>
      <c r="AA471" s="4"/>
      <c r="AB471" s="4" t="str">
        <f t="shared" ref="AB471:AB592" si="594">IF(NOT(ISBLANK(AC471)),"-","")</f>
        <v/>
      </c>
      <c r="AC471" s="4"/>
      <c r="AD471" s="4" t="str">
        <f t="shared" ref="AD471:AD592" si="595">IF(NOT(ISBLANK(AE471)),"_","")</f>
        <v/>
      </c>
      <c r="AE471" s="4"/>
      <c r="AF471" s="4" t="str">
        <f t="shared" ref="AF471:AF592" si="596">IF(NOT(ISBLANK(AG471)),"_","")</f>
        <v/>
      </c>
      <c r="AG471" s="4"/>
      <c r="AH471" s="4" t="str">
        <f t="shared" ref="AH471:AH524" si="597">IF(NOT(ISBLANK(AI471)),"_","")</f>
        <v/>
      </c>
      <c r="AI471" s="4"/>
    </row>
    <row r="472" spans="1:35" x14ac:dyDescent="0.25">
      <c r="B472" s="2"/>
      <c r="AA472" s="2"/>
      <c r="AB472" s="2"/>
      <c r="AC472" s="2"/>
      <c r="AD472" s="2"/>
      <c r="AE472" s="2"/>
    </row>
    <row r="473" spans="1:35" x14ac:dyDescent="0.25">
      <c r="B473" s="2" t="str">
        <f t="shared" ref="B473" si="598">_xlfn.CONCAT("@",AA473,AB473,AC473,AD473,AE473,AF473,AG473,AH473,AI473)</f>
        <v>@color-cycleway_case</v>
      </c>
      <c r="C473" s="38" t="s">
        <v>218</v>
      </c>
      <c r="D473" s="38" t="s">
        <v>218</v>
      </c>
      <c r="F473" s="37" t="s">
        <v>210</v>
      </c>
      <c r="G473" s="37" t="s">
        <v>210</v>
      </c>
      <c r="I473" s="38" t="s">
        <v>218</v>
      </c>
      <c r="J473" s="38" t="s">
        <v>218</v>
      </c>
      <c r="L473" s="37" t="s">
        <v>210</v>
      </c>
      <c r="M473" s="37" t="s">
        <v>210</v>
      </c>
      <c r="U473" s="38" t="s">
        <v>218</v>
      </c>
      <c r="V473" s="38" t="s">
        <v>218</v>
      </c>
      <c r="X473" s="37" t="s">
        <v>210</v>
      </c>
      <c r="Y473" s="37" t="s">
        <v>210</v>
      </c>
      <c r="AA473" s="2" t="s">
        <v>6</v>
      </c>
      <c r="AB473" s="2" t="str">
        <f t="shared" ref="AB473" si="599">IF(NOT(ISBLANK(AC473)),"-","")</f>
        <v>-</v>
      </c>
      <c r="AC473" s="2" t="s">
        <v>12</v>
      </c>
      <c r="AD473" s="2" t="str">
        <f t="shared" ref="AD473" si="600">IF(NOT(ISBLANK(AE473)),"_","")</f>
        <v>_</v>
      </c>
      <c r="AE473" s="2" t="s">
        <v>17</v>
      </c>
      <c r="AF473" s="2" t="str">
        <f t="shared" ref="AF473" si="601">IF(NOT(ISBLANK(AG473)),"_","")</f>
        <v/>
      </c>
      <c r="AH473" s="2" t="str">
        <f t="shared" si="597"/>
        <v/>
      </c>
    </row>
    <row r="474" spans="1:35" x14ac:dyDescent="0.25">
      <c r="B474" s="2" t="str">
        <f>_xlfn.CONCAT("@",AA474,AB474,AC474,AD474,AE474,AF474,AG474,AH474,AI474)</f>
        <v>@color-footway_case</v>
      </c>
      <c r="C474" s="38" t="s">
        <v>218</v>
      </c>
      <c r="D474" s="38" t="s">
        <v>218</v>
      </c>
      <c r="F474" s="37" t="s">
        <v>210</v>
      </c>
      <c r="G474" s="37" t="s">
        <v>210</v>
      </c>
      <c r="I474" s="38" t="s">
        <v>218</v>
      </c>
      <c r="J474" s="38" t="s">
        <v>218</v>
      </c>
      <c r="L474" s="37" t="s">
        <v>210</v>
      </c>
      <c r="M474" s="37" t="s">
        <v>210</v>
      </c>
      <c r="U474" s="38" t="s">
        <v>218</v>
      </c>
      <c r="V474" s="38" t="s">
        <v>218</v>
      </c>
      <c r="X474" s="37" t="s">
        <v>210</v>
      </c>
      <c r="Y474" s="37" t="s">
        <v>210</v>
      </c>
      <c r="AA474" s="2" t="s">
        <v>6</v>
      </c>
      <c r="AB474" s="2" t="str">
        <f t="shared" ref="AB474:AB477" si="602">IF(NOT(ISBLANK(AC474)),"-","")</f>
        <v>-</v>
      </c>
      <c r="AC474" s="2" t="s">
        <v>34</v>
      </c>
      <c r="AD474" s="2" t="str">
        <f t="shared" ref="AD474:AD477" si="603">IF(NOT(ISBLANK(AE474)),"_","")</f>
        <v>_</v>
      </c>
      <c r="AE474" s="2" t="s">
        <v>17</v>
      </c>
      <c r="AF474" s="2" t="str">
        <f t="shared" ref="AF474:AF477" si="604">IF(NOT(ISBLANK(AG474)),"_","")</f>
        <v/>
      </c>
      <c r="AG474" s="2"/>
      <c r="AH474" s="2" t="str">
        <f>IF(NOT(ISBLANK(AI474)),"_","")</f>
        <v/>
      </c>
      <c r="AI474" s="2"/>
    </row>
    <row r="475" spans="1:35" x14ac:dyDescent="0.25">
      <c r="B475" s="2"/>
      <c r="AA475" s="2"/>
      <c r="AB475" s="2"/>
      <c r="AC475" s="2"/>
      <c r="AD475" s="2"/>
      <c r="AE475" s="2"/>
    </row>
    <row r="476" spans="1:35" x14ac:dyDescent="0.25">
      <c r="B476" s="2" t="str">
        <f t="shared" ref="B476" si="605">_xlfn.CONCAT("@",AA476,AB476,AC476,AD476,AE476,AF476,AG476,AH476,AI476)</f>
        <v>@case_width-cycleway_default_z12</v>
      </c>
      <c r="C476" s="28" t="s">
        <v>108</v>
      </c>
      <c r="D476" s="28" t="s">
        <v>108</v>
      </c>
      <c r="F476" s="28" t="s">
        <v>108</v>
      </c>
      <c r="G476" s="28" t="s">
        <v>108</v>
      </c>
      <c r="I476" s="28" t="s">
        <v>108</v>
      </c>
      <c r="J476" s="28" t="s">
        <v>86</v>
      </c>
      <c r="L476" s="28" t="s">
        <v>108</v>
      </c>
      <c r="M476" s="28" t="s">
        <v>86</v>
      </c>
      <c r="U476" s="28" t="s">
        <v>108</v>
      </c>
      <c r="V476" s="28" t="s">
        <v>108</v>
      </c>
      <c r="X476" s="28" t="s">
        <v>108</v>
      </c>
      <c r="Y476" s="28" t="s">
        <v>108</v>
      </c>
      <c r="AA476" s="2" t="s">
        <v>74</v>
      </c>
      <c r="AB476" s="2" t="str">
        <f t="shared" ref="AB476" si="606">IF(NOT(ISBLANK(AC476)),"-","")</f>
        <v>-</v>
      </c>
      <c r="AC476" s="2" t="s">
        <v>12</v>
      </c>
      <c r="AD476" s="2" t="str">
        <f t="shared" ref="AD476" si="607">IF(NOT(ISBLANK(AE476)),"_","")</f>
        <v>_</v>
      </c>
      <c r="AE476" s="2" t="s">
        <v>255</v>
      </c>
      <c r="AF476" s="2" t="str">
        <f t="shared" ref="AF476" si="608">IF(NOT(ISBLANK(AG476)),"_","")</f>
        <v>_</v>
      </c>
      <c r="AG476" s="28" t="s">
        <v>105</v>
      </c>
      <c r="AH476" s="2" t="str">
        <f t="shared" ref="AH476" si="609">IF(NOT(ISBLANK(AI476)),"_","")</f>
        <v/>
      </c>
    </row>
    <row r="477" spans="1:35" x14ac:dyDescent="0.25">
      <c r="B477" s="2" t="str">
        <f t="shared" ref="B477" si="610">_xlfn.CONCAT("@",AA477,AB477,AC477,AD477,AE477,AF477,AG477,AH477,AI477)</f>
        <v>@case_width-cycleway_default_z14</v>
      </c>
      <c r="C477" s="28" t="s">
        <v>108</v>
      </c>
      <c r="D477" s="28" t="s">
        <v>108</v>
      </c>
      <c r="F477" s="28" t="s">
        <v>108</v>
      </c>
      <c r="G477" s="28" t="s">
        <v>108</v>
      </c>
      <c r="I477" s="28" t="s">
        <v>124</v>
      </c>
      <c r="J477" s="28" t="s">
        <v>303</v>
      </c>
      <c r="L477" s="28" t="s">
        <v>124</v>
      </c>
      <c r="M477" s="28" t="s">
        <v>303</v>
      </c>
      <c r="U477" s="28" t="s">
        <v>108</v>
      </c>
      <c r="V477" s="28" t="s">
        <v>108</v>
      </c>
      <c r="X477" s="28" t="s">
        <v>108</v>
      </c>
      <c r="Y477" s="28" t="s">
        <v>108</v>
      </c>
      <c r="AA477" s="2" t="s">
        <v>74</v>
      </c>
      <c r="AB477" s="2" t="str">
        <f t="shared" si="602"/>
        <v>-</v>
      </c>
      <c r="AC477" s="2" t="s">
        <v>12</v>
      </c>
      <c r="AD477" s="2" t="str">
        <f t="shared" si="603"/>
        <v>_</v>
      </c>
      <c r="AE477" s="2" t="s">
        <v>255</v>
      </c>
      <c r="AF477" s="2" t="str">
        <f t="shared" si="604"/>
        <v>_</v>
      </c>
      <c r="AG477" s="28" t="s">
        <v>70</v>
      </c>
      <c r="AH477" s="2" t="str">
        <f t="shared" ref="AH477" si="611">IF(NOT(ISBLANK(AI477)),"_","")</f>
        <v/>
      </c>
    </row>
    <row r="478" spans="1:35" x14ac:dyDescent="0.25">
      <c r="B478" s="2" t="str">
        <f t="shared" ref="B478" si="612">_xlfn.CONCAT("@",AA478,AB478,AC478,AD478,AE478,AF478,AG478,AH478,AI478)</f>
        <v>@case_width-cycleway_default_z15</v>
      </c>
      <c r="C478" s="28" t="s">
        <v>84</v>
      </c>
      <c r="D478" s="28" t="s">
        <v>88</v>
      </c>
      <c r="F478" s="28" t="s">
        <v>84</v>
      </c>
      <c r="G478" s="28" t="s">
        <v>88</v>
      </c>
      <c r="I478" s="28" t="s">
        <v>79</v>
      </c>
      <c r="J478" s="28" t="s">
        <v>82</v>
      </c>
      <c r="L478" s="28" t="s">
        <v>79</v>
      </c>
      <c r="M478" s="28" t="s">
        <v>82</v>
      </c>
      <c r="U478" s="28" t="s">
        <v>84</v>
      </c>
      <c r="V478" s="28" t="s">
        <v>88</v>
      </c>
      <c r="X478" s="28" t="s">
        <v>84</v>
      </c>
      <c r="Y478" s="28" t="s">
        <v>88</v>
      </c>
      <c r="AA478" s="2" t="s">
        <v>74</v>
      </c>
      <c r="AB478" s="2" t="str">
        <f t="shared" ref="AB478" si="613">IF(NOT(ISBLANK(AC478)),"-","")</f>
        <v>-</v>
      </c>
      <c r="AC478" s="2" t="s">
        <v>12</v>
      </c>
      <c r="AD478" s="2" t="str">
        <f t="shared" ref="AD478" si="614">IF(NOT(ISBLANK(AE478)),"_","")</f>
        <v>_</v>
      </c>
      <c r="AE478" s="2" t="s">
        <v>255</v>
      </c>
      <c r="AF478" s="2" t="str">
        <f t="shared" ref="AF478" si="615">IF(NOT(ISBLANK(AG478)),"_","")</f>
        <v>_</v>
      </c>
      <c r="AG478" s="28" t="s">
        <v>323</v>
      </c>
      <c r="AH478" s="2" t="str">
        <f t="shared" ref="AH478" si="616">IF(NOT(ISBLANK(AI478)),"_","")</f>
        <v/>
      </c>
    </row>
    <row r="479" spans="1:35" x14ac:dyDescent="0.25">
      <c r="B479" s="2" t="str">
        <f t="shared" ref="B479" si="617">_xlfn.CONCAT("@",AA479,AB479,AC479,AD479,AE479,AF479,AG479,AH479,AI479)</f>
        <v>@case_width-cycleway_default_z16</v>
      </c>
      <c r="C479" s="28" t="s">
        <v>82</v>
      </c>
      <c r="D479" s="28" t="s">
        <v>130</v>
      </c>
      <c r="F479" s="28" t="s">
        <v>82</v>
      </c>
      <c r="G479" s="28" t="s">
        <v>130</v>
      </c>
      <c r="I479" s="28" t="s">
        <v>317</v>
      </c>
      <c r="J479" s="28" t="s">
        <v>327</v>
      </c>
      <c r="L479" s="28" t="s">
        <v>317</v>
      </c>
      <c r="M479" s="28" t="s">
        <v>327</v>
      </c>
      <c r="U479" s="28" t="s">
        <v>82</v>
      </c>
      <c r="V479" s="28" t="s">
        <v>130</v>
      </c>
      <c r="X479" s="28" t="s">
        <v>82</v>
      </c>
      <c r="Y479" s="28" t="s">
        <v>130</v>
      </c>
      <c r="AA479" s="2" t="s">
        <v>74</v>
      </c>
      <c r="AB479" s="2" t="str">
        <f t="shared" ref="AB479" si="618">IF(NOT(ISBLANK(AC479)),"-","")</f>
        <v>-</v>
      </c>
      <c r="AC479" s="2" t="s">
        <v>12</v>
      </c>
      <c r="AD479" s="2" t="str">
        <f t="shared" ref="AD479" si="619">IF(NOT(ISBLANK(AE479)),"_","")</f>
        <v>_</v>
      </c>
      <c r="AE479" s="2" t="s">
        <v>255</v>
      </c>
      <c r="AF479" s="2" t="str">
        <f t="shared" ref="AF479" si="620">IF(NOT(ISBLANK(AG479)),"_","")</f>
        <v>_</v>
      </c>
      <c r="AG479" s="28" t="s">
        <v>71</v>
      </c>
      <c r="AH479" s="2" t="str">
        <f t="shared" ref="AH479" si="621">IF(NOT(ISBLANK(AI479)),"_","")</f>
        <v/>
      </c>
    </row>
    <row r="480" spans="1:35" x14ac:dyDescent="0.25">
      <c r="B480" s="2" t="str">
        <f t="shared" ref="B480" si="622">_xlfn.CONCAT("@",AA480,AB480,AC480,AD480,AE480,AF480,AG480,AH480,AI480)</f>
        <v>@case_width-cycleway_default_z18</v>
      </c>
      <c r="C480" s="28" t="s">
        <v>322</v>
      </c>
      <c r="D480" s="28" t="s">
        <v>324</v>
      </c>
      <c r="F480" s="28" t="s">
        <v>322</v>
      </c>
      <c r="G480" s="28" t="s">
        <v>324</v>
      </c>
      <c r="I480" s="28" t="s">
        <v>325</v>
      </c>
      <c r="J480" s="28" t="s">
        <v>141</v>
      </c>
      <c r="L480" s="28" t="s">
        <v>325</v>
      </c>
      <c r="M480" s="28" t="s">
        <v>141</v>
      </c>
      <c r="U480" s="28" t="s">
        <v>322</v>
      </c>
      <c r="V480" s="28" t="s">
        <v>324</v>
      </c>
      <c r="X480" s="28" t="s">
        <v>322</v>
      </c>
      <c r="Y480" s="28" t="s">
        <v>324</v>
      </c>
      <c r="AA480" s="2" t="s">
        <v>74</v>
      </c>
      <c r="AB480" s="2" t="str">
        <f t="shared" ref="AB480" si="623">IF(NOT(ISBLANK(AC480)),"-","")</f>
        <v>-</v>
      </c>
      <c r="AC480" s="2" t="s">
        <v>12</v>
      </c>
      <c r="AD480" s="2" t="str">
        <f t="shared" ref="AD480" si="624">IF(NOT(ISBLANK(AE480)),"_","")</f>
        <v>_</v>
      </c>
      <c r="AE480" s="2" t="s">
        <v>255</v>
      </c>
      <c r="AF480" s="2" t="str">
        <f t="shared" ref="AF480" si="625">IF(NOT(ISBLANK(AG480)),"_","")</f>
        <v>_</v>
      </c>
      <c r="AG480" s="28" t="s">
        <v>72</v>
      </c>
      <c r="AH480" s="2" t="str">
        <f t="shared" ref="AH480" si="626">IF(NOT(ISBLANK(AI480)),"_","")</f>
        <v/>
      </c>
    </row>
    <row r="481" spans="1:35" x14ac:dyDescent="0.25">
      <c r="B481" s="2"/>
      <c r="AA481" s="2"/>
      <c r="AB481" s="2"/>
      <c r="AC481" s="2"/>
      <c r="AD481" s="2"/>
      <c r="AE481" s="2"/>
    </row>
    <row r="482" spans="1:35" s="2" customFormat="1" x14ac:dyDescent="0.25">
      <c r="A482" s="185"/>
      <c r="B482" s="3" t="s">
        <v>458</v>
      </c>
      <c r="C482" s="27"/>
      <c r="D482" s="6"/>
      <c r="E482" s="7"/>
      <c r="F482" s="6"/>
      <c r="G482" s="6"/>
      <c r="H482" s="7"/>
      <c r="I482" s="6"/>
      <c r="J482" s="6"/>
      <c r="K482" s="7"/>
      <c r="L482" s="6"/>
      <c r="M482" s="6"/>
      <c r="N482" s="7"/>
      <c r="O482" s="6"/>
      <c r="P482" s="6"/>
      <c r="Q482" s="7"/>
      <c r="R482" s="6"/>
      <c r="S482" s="6"/>
      <c r="T482" s="7"/>
      <c r="U482" s="6"/>
      <c r="V482" s="6"/>
      <c r="W482" s="7"/>
      <c r="X482" s="6"/>
      <c r="Y482" s="6"/>
      <c r="AA482" s="4"/>
      <c r="AB482" s="4"/>
      <c r="AC482" s="4"/>
      <c r="AD482" s="4"/>
      <c r="AE482" s="4"/>
      <c r="AF482" s="4"/>
      <c r="AG482" s="4"/>
      <c r="AH482" s="4"/>
      <c r="AI482" s="4"/>
    </row>
    <row r="483" spans="1:35" x14ac:dyDescent="0.25">
      <c r="B483" s="2"/>
      <c r="AA483" s="2"/>
      <c r="AB483" s="2"/>
      <c r="AC483" s="2"/>
      <c r="AD483" s="2"/>
      <c r="AE483" s="2"/>
    </row>
    <row r="484" spans="1:35" x14ac:dyDescent="0.25">
      <c r="B484" s="2" t="str">
        <f>_xlfn.CONCAT("@",AA484,AB484,AC484,AD484,AE484,AF484,AG484,AH484,AI484)</f>
        <v>@color-cycleway_line</v>
      </c>
      <c r="C484" s="133" t="s">
        <v>181</v>
      </c>
      <c r="D484" s="133" t="str">
        <f>C484</f>
        <v>"#3046d7"</v>
      </c>
      <c r="F484" s="133" t="s">
        <v>181</v>
      </c>
      <c r="G484" s="133" t="str">
        <f>F484</f>
        <v>"#3046d7"</v>
      </c>
      <c r="I484" s="133" t="s">
        <v>181</v>
      </c>
      <c r="J484" s="133" t="str">
        <f>I484</f>
        <v>"#3046d7"</v>
      </c>
      <c r="L484" s="133" t="s">
        <v>181</v>
      </c>
      <c r="M484" s="133" t="str">
        <f>L484</f>
        <v>"#3046d7"</v>
      </c>
      <c r="U484" s="133" t="s">
        <v>181</v>
      </c>
      <c r="V484" s="133" t="str">
        <f>U484</f>
        <v>"#3046d7"</v>
      </c>
      <c r="X484" s="133" t="s">
        <v>181</v>
      </c>
      <c r="Y484" s="133" t="str">
        <f>X484</f>
        <v>"#3046d7"</v>
      </c>
      <c r="AA484" s="2" t="s">
        <v>6</v>
      </c>
      <c r="AB484" s="2" t="str">
        <f>IF(NOT(ISBLANK(AC484)),"-","")</f>
        <v>-</v>
      </c>
      <c r="AC484" s="2" t="s">
        <v>12</v>
      </c>
      <c r="AD484" s="2" t="str">
        <f>IF(NOT(ISBLANK(AE484)),"_","")</f>
        <v>_</v>
      </c>
      <c r="AE484" s="2" t="s">
        <v>13</v>
      </c>
      <c r="AF484" s="2" t="str">
        <f>IF(NOT(ISBLANK(AG484)),"_","")</f>
        <v/>
      </c>
      <c r="AH484" s="2" t="str">
        <f>IF(NOT(ISBLANK(AI484)),"_","")</f>
        <v/>
      </c>
    </row>
    <row r="485" spans="1:35" x14ac:dyDescent="0.25">
      <c r="B485" s="2" t="str">
        <f>_xlfn.CONCAT("@",AA485,AB485,AC485,AD485,AE485,AF485,AG485,AH485,AI485)</f>
        <v>@color-footway_line</v>
      </c>
      <c r="C485" s="48" t="s">
        <v>182</v>
      </c>
      <c r="D485" s="49" t="str">
        <f>C485</f>
        <v>"#a43820"</v>
      </c>
      <c r="F485" s="48" t="s">
        <v>182</v>
      </c>
      <c r="G485" s="49" t="str">
        <f>F485</f>
        <v>"#a43820"</v>
      </c>
      <c r="I485" s="48" t="s">
        <v>182</v>
      </c>
      <c r="J485" s="49" t="str">
        <f>I485</f>
        <v>"#a43820"</v>
      </c>
      <c r="L485" s="48" t="s">
        <v>182</v>
      </c>
      <c r="M485" s="49" t="str">
        <f>L485</f>
        <v>"#a43820"</v>
      </c>
      <c r="U485" s="48" t="s">
        <v>182</v>
      </c>
      <c r="V485" s="49" t="str">
        <f>U485</f>
        <v>"#a43820"</v>
      </c>
      <c r="X485" s="48" t="s">
        <v>182</v>
      </c>
      <c r="Y485" s="49" t="str">
        <f>X485</f>
        <v>"#a43820"</v>
      </c>
      <c r="AA485" s="2" t="s">
        <v>6</v>
      </c>
      <c r="AB485" s="2" t="str">
        <f>IF(NOT(ISBLANK(AC485)),"-","")</f>
        <v>-</v>
      </c>
      <c r="AC485" s="2" t="s">
        <v>34</v>
      </c>
      <c r="AD485" s="2" t="str">
        <f>IF(NOT(ISBLANK(AE485)),"_","")</f>
        <v>_</v>
      </c>
      <c r="AE485" s="2" t="s">
        <v>13</v>
      </c>
      <c r="AF485" s="2" t="str">
        <f>IF(NOT(ISBLANK(AG485)),"_","")</f>
        <v/>
      </c>
      <c r="AG485" s="2"/>
      <c r="AH485" s="2" t="str">
        <f>IF(NOT(ISBLANK(AI485)),"_","")</f>
        <v/>
      </c>
      <c r="AI485" s="2"/>
    </row>
    <row r="486" spans="1:35" x14ac:dyDescent="0.25">
      <c r="AA486" s="2"/>
      <c r="AB486" s="2" t="str">
        <f t="shared" si="594"/>
        <v/>
      </c>
      <c r="AC486" s="2"/>
      <c r="AD486" s="2" t="str">
        <f t="shared" si="595"/>
        <v/>
      </c>
      <c r="AE486" s="2"/>
      <c r="AF486" s="28" t="str">
        <f t="shared" si="596"/>
        <v/>
      </c>
      <c r="AH486" s="28" t="str">
        <f t="shared" si="597"/>
        <v/>
      </c>
    </row>
    <row r="487" spans="1:35" x14ac:dyDescent="0.25">
      <c r="B487" s="2" t="str">
        <f t="shared" ref="B487" si="627">_xlfn.CONCAT("@",AA487,AB487,AC487,AD487,AE487,AF487,AG487,AH487,AI487)</f>
        <v>@line_width-cycleway_paved_or_uk_z12</v>
      </c>
      <c r="C487" s="28" t="s">
        <v>80</v>
      </c>
      <c r="D487" s="28" t="s">
        <v>80</v>
      </c>
      <c r="F487" s="28" t="s">
        <v>80</v>
      </c>
      <c r="G487" s="28" t="s">
        <v>80</v>
      </c>
      <c r="I487" s="28" t="s">
        <v>119</v>
      </c>
      <c r="J487" s="28" t="s">
        <v>119</v>
      </c>
      <c r="L487" s="28" t="s">
        <v>119</v>
      </c>
      <c r="M487" s="28" t="s">
        <v>119</v>
      </c>
      <c r="U487" s="28" t="s">
        <v>80</v>
      </c>
      <c r="V487" s="28" t="s">
        <v>80</v>
      </c>
      <c r="X487" s="28" t="s">
        <v>80</v>
      </c>
      <c r="Y487" s="28" t="s">
        <v>80</v>
      </c>
      <c r="AA487" s="2" t="s">
        <v>115</v>
      </c>
      <c r="AB487" s="2" t="str">
        <f t="shared" ref="AB487" si="628">IF(NOT(ISBLANK(AC487)),"-","")</f>
        <v>-</v>
      </c>
      <c r="AC487" s="2" t="s">
        <v>12</v>
      </c>
      <c r="AD487" s="2" t="str">
        <f t="shared" ref="AD487" si="629">IF(NOT(ISBLANK(AE487)),"_","")</f>
        <v>_</v>
      </c>
      <c r="AE487" s="2" t="s">
        <v>24</v>
      </c>
      <c r="AF487" s="2" t="str">
        <f t="shared" ref="AF487" si="630">IF(NOT(ISBLANK(AG487)),"_","")</f>
        <v>_</v>
      </c>
      <c r="AG487" s="28" t="s">
        <v>105</v>
      </c>
      <c r="AH487" s="2" t="str">
        <f t="shared" ref="AH487" si="631">IF(NOT(ISBLANK(AI487)),"_","")</f>
        <v/>
      </c>
    </row>
    <row r="488" spans="1:35" x14ac:dyDescent="0.25">
      <c r="B488" s="2" t="str">
        <f t="shared" ref="B488" si="632">_xlfn.CONCAT("@",AA488,AB488,AC488,AD488,AE488,AF488,AG488,AH488,AI488)</f>
        <v>@line_width-cycleway_paved_or_uk_z14</v>
      </c>
      <c r="C488" s="28" t="s">
        <v>119</v>
      </c>
      <c r="D488" s="28" t="s">
        <v>86</v>
      </c>
      <c r="F488" s="28" t="s">
        <v>119</v>
      </c>
      <c r="G488" s="28" t="s">
        <v>86</v>
      </c>
      <c r="I488" s="28" t="s">
        <v>108</v>
      </c>
      <c r="J488" s="28" t="s">
        <v>336</v>
      </c>
      <c r="L488" s="28" t="s">
        <v>108</v>
      </c>
      <c r="M488" s="28" t="s">
        <v>336</v>
      </c>
      <c r="U488" s="28" t="s">
        <v>119</v>
      </c>
      <c r="V488" s="28" t="s">
        <v>86</v>
      </c>
      <c r="X488" s="28" t="s">
        <v>119</v>
      </c>
      <c r="Y488" s="28" t="s">
        <v>86</v>
      </c>
      <c r="AA488" s="2" t="s">
        <v>115</v>
      </c>
      <c r="AB488" s="2" t="str">
        <f t="shared" ref="AB488" si="633">IF(NOT(ISBLANK(AC488)),"-","")</f>
        <v>-</v>
      </c>
      <c r="AC488" s="2" t="s">
        <v>12</v>
      </c>
      <c r="AD488" s="2" t="str">
        <f t="shared" ref="AD488" si="634">IF(NOT(ISBLANK(AE488)),"_","")</f>
        <v>_</v>
      </c>
      <c r="AE488" s="2" t="s">
        <v>24</v>
      </c>
      <c r="AF488" s="2" t="str">
        <f t="shared" ref="AF488" si="635">IF(NOT(ISBLANK(AG488)),"_","")</f>
        <v>_</v>
      </c>
      <c r="AG488" s="28" t="s">
        <v>70</v>
      </c>
      <c r="AH488" s="2" t="str">
        <f t="shared" ref="AH488" si="636">IF(NOT(ISBLANK(AI488)),"_","")</f>
        <v/>
      </c>
    </row>
    <row r="489" spans="1:35" x14ac:dyDescent="0.25">
      <c r="B489" s="2" t="str">
        <f t="shared" ref="B489" si="637">_xlfn.CONCAT("@",AA489,AB489,AC489,AD489,AE489,AF489,AG489,AH489,AI489)</f>
        <v>@line_width-cycleway_paved_or_uk_z16</v>
      </c>
      <c r="C489" s="28" t="s">
        <v>84</v>
      </c>
      <c r="D489" s="28" t="s">
        <v>88</v>
      </c>
      <c r="F489" s="28" t="s">
        <v>84</v>
      </c>
      <c r="G489" s="28" t="s">
        <v>88</v>
      </c>
      <c r="I489" s="28" t="s">
        <v>78</v>
      </c>
      <c r="J489" s="28" t="s">
        <v>79</v>
      </c>
      <c r="L489" s="28" t="s">
        <v>78</v>
      </c>
      <c r="M489" s="28" t="s">
        <v>79</v>
      </c>
      <c r="U489" s="28" t="s">
        <v>84</v>
      </c>
      <c r="V489" s="28" t="s">
        <v>88</v>
      </c>
      <c r="X489" s="28" t="s">
        <v>84</v>
      </c>
      <c r="Y489" s="28" t="s">
        <v>88</v>
      </c>
      <c r="AA489" s="2" t="s">
        <v>115</v>
      </c>
      <c r="AB489" s="2" t="str">
        <f t="shared" ref="AB489" si="638">IF(NOT(ISBLANK(AC489)),"-","")</f>
        <v>-</v>
      </c>
      <c r="AC489" s="2" t="s">
        <v>12</v>
      </c>
      <c r="AD489" s="2" t="str">
        <f t="shared" ref="AD489" si="639">IF(NOT(ISBLANK(AE489)),"_","")</f>
        <v>_</v>
      </c>
      <c r="AE489" s="2" t="s">
        <v>24</v>
      </c>
      <c r="AF489" s="2" t="str">
        <f t="shared" ref="AF489" si="640">IF(NOT(ISBLANK(AG489)),"_","")</f>
        <v>_</v>
      </c>
      <c r="AG489" s="28" t="s">
        <v>71</v>
      </c>
      <c r="AH489" s="2" t="str">
        <f t="shared" ref="AH489" si="641">IF(NOT(ISBLANK(AI489)),"_","")</f>
        <v/>
      </c>
    </row>
    <row r="490" spans="1:35" x14ac:dyDescent="0.25">
      <c r="B490" s="2" t="str">
        <f t="shared" ref="B490" si="642">_xlfn.CONCAT("@",AA490,AB490,AC490,AD490,AE490,AF490,AG490,AH490,AI490)</f>
        <v>@line_width-cycleway_paved_or_uk_z18</v>
      </c>
      <c r="C490" s="28" t="s">
        <v>82</v>
      </c>
      <c r="D490" s="28" t="s">
        <v>327</v>
      </c>
      <c r="F490" s="28" t="s">
        <v>82</v>
      </c>
      <c r="G490" s="28" t="s">
        <v>327</v>
      </c>
      <c r="I490" s="28" t="s">
        <v>130</v>
      </c>
      <c r="J490" s="28" t="s">
        <v>322</v>
      </c>
      <c r="L490" s="28" t="s">
        <v>130</v>
      </c>
      <c r="M490" s="28" t="s">
        <v>322</v>
      </c>
      <c r="U490" s="28" t="s">
        <v>82</v>
      </c>
      <c r="V490" s="28" t="s">
        <v>327</v>
      </c>
      <c r="X490" s="28" t="s">
        <v>82</v>
      </c>
      <c r="Y490" s="28" t="s">
        <v>327</v>
      </c>
      <c r="AA490" s="2" t="s">
        <v>115</v>
      </c>
      <c r="AB490" s="2" t="str">
        <f t="shared" ref="AB490" si="643">IF(NOT(ISBLANK(AC490)),"-","")</f>
        <v>-</v>
      </c>
      <c r="AC490" s="2" t="s">
        <v>12</v>
      </c>
      <c r="AD490" s="2" t="str">
        <f t="shared" ref="AD490" si="644">IF(NOT(ISBLANK(AE490)),"_","")</f>
        <v>_</v>
      </c>
      <c r="AE490" s="2" t="s">
        <v>24</v>
      </c>
      <c r="AF490" s="2" t="str">
        <f t="shared" ref="AF490" si="645">IF(NOT(ISBLANK(AG490)),"_","")</f>
        <v>_</v>
      </c>
      <c r="AG490" s="28" t="s">
        <v>72</v>
      </c>
      <c r="AH490" s="2" t="str">
        <f t="shared" ref="AH490" si="646">IF(NOT(ISBLANK(AI490)),"_","")</f>
        <v/>
      </c>
    </row>
    <row r="491" spans="1:35" x14ac:dyDescent="0.25">
      <c r="AA491" s="2"/>
      <c r="AB491" s="2"/>
      <c r="AC491" s="2"/>
      <c r="AD491" s="2"/>
      <c r="AE491" s="2"/>
    </row>
    <row r="492" spans="1:35" x14ac:dyDescent="0.25">
      <c r="B492" s="2" t="str">
        <f t="shared" ref="B492:B495" si="647">_xlfn.CONCAT("@",AA492,AB492,AC492,AD492,AE492,AF492,AG492,AH492,AI492)</f>
        <v>@line_width-cycleway_unpaved_z12</v>
      </c>
      <c r="C492" s="28" t="s">
        <v>108</v>
      </c>
      <c r="D492" s="28" t="s">
        <v>108</v>
      </c>
      <c r="F492" s="28" t="s">
        <v>108</v>
      </c>
      <c r="G492" s="28" t="s">
        <v>108</v>
      </c>
      <c r="I492" s="28" t="s">
        <v>122</v>
      </c>
      <c r="J492" s="28" t="s">
        <v>122</v>
      </c>
      <c r="L492" s="28" t="s">
        <v>122</v>
      </c>
      <c r="M492" s="28" t="s">
        <v>122</v>
      </c>
      <c r="U492" s="28" t="s">
        <v>80</v>
      </c>
      <c r="V492" s="28" t="s">
        <v>80</v>
      </c>
      <c r="X492" s="28" t="s">
        <v>80</v>
      </c>
      <c r="Y492" s="28" t="s">
        <v>80</v>
      </c>
      <c r="AA492" s="2" t="s">
        <v>115</v>
      </c>
      <c r="AB492" s="2" t="str">
        <f t="shared" ref="AB492:AB495" si="648">IF(NOT(ISBLANK(AC492)),"-","")</f>
        <v>-</v>
      </c>
      <c r="AC492" s="2" t="s">
        <v>12</v>
      </c>
      <c r="AD492" s="2" t="str">
        <f t="shared" ref="AD492:AD495" si="649">IF(NOT(ISBLANK(AE492)),"_","")</f>
        <v>_</v>
      </c>
      <c r="AE492" s="2" t="s">
        <v>21</v>
      </c>
      <c r="AF492" s="2" t="str">
        <f t="shared" ref="AF492:AF495" si="650">IF(NOT(ISBLANK(AG492)),"_","")</f>
        <v>_</v>
      </c>
      <c r="AG492" s="28" t="s">
        <v>105</v>
      </c>
      <c r="AH492" s="2" t="str">
        <f t="shared" ref="AH492:AH495" si="651">IF(NOT(ISBLANK(AI492)),"_","")</f>
        <v/>
      </c>
    </row>
    <row r="493" spans="1:35" x14ac:dyDescent="0.25">
      <c r="B493" s="2" t="str">
        <f t="shared" si="647"/>
        <v>@line_width-cycleway_unpaved_z14</v>
      </c>
      <c r="C493" s="28" t="s">
        <v>122</v>
      </c>
      <c r="D493" s="28" t="s">
        <v>330</v>
      </c>
      <c r="F493" s="28" t="s">
        <v>122</v>
      </c>
      <c r="G493" s="28" t="s">
        <v>330</v>
      </c>
      <c r="I493" s="28" t="s">
        <v>337</v>
      </c>
      <c r="J493" s="28" t="s">
        <v>338</v>
      </c>
      <c r="L493" s="28" t="s">
        <v>337</v>
      </c>
      <c r="M493" s="28" t="s">
        <v>338</v>
      </c>
      <c r="U493" s="28" t="s">
        <v>119</v>
      </c>
      <c r="V493" s="28" t="s">
        <v>86</v>
      </c>
      <c r="X493" s="28" t="s">
        <v>119</v>
      </c>
      <c r="Y493" s="28" t="s">
        <v>86</v>
      </c>
      <c r="AA493" s="2" t="s">
        <v>115</v>
      </c>
      <c r="AB493" s="2" t="str">
        <f t="shared" si="648"/>
        <v>-</v>
      </c>
      <c r="AC493" s="2" t="s">
        <v>12</v>
      </c>
      <c r="AD493" s="2" t="str">
        <f t="shared" si="649"/>
        <v>_</v>
      </c>
      <c r="AE493" s="2" t="s">
        <v>21</v>
      </c>
      <c r="AF493" s="2" t="str">
        <f t="shared" si="650"/>
        <v>_</v>
      </c>
      <c r="AG493" s="28" t="s">
        <v>70</v>
      </c>
      <c r="AH493" s="2" t="str">
        <f t="shared" si="651"/>
        <v/>
      </c>
    </row>
    <row r="494" spans="1:35" x14ac:dyDescent="0.25">
      <c r="B494" s="2" t="str">
        <f t="shared" si="647"/>
        <v>@line_width-cycleway_unpaved_z16</v>
      </c>
      <c r="C494" s="28" t="s">
        <v>124</v>
      </c>
      <c r="D494" s="28" t="s">
        <v>82</v>
      </c>
      <c r="F494" s="28" t="s">
        <v>124</v>
      </c>
      <c r="G494" s="28" t="s">
        <v>82</v>
      </c>
      <c r="I494" s="28" t="s">
        <v>123</v>
      </c>
      <c r="J494" s="28" t="s">
        <v>87</v>
      </c>
      <c r="L494" s="28" t="s">
        <v>123</v>
      </c>
      <c r="M494" s="28" t="s">
        <v>87</v>
      </c>
      <c r="U494" s="28" t="s">
        <v>84</v>
      </c>
      <c r="V494" s="28" t="s">
        <v>88</v>
      </c>
      <c r="X494" s="28" t="s">
        <v>84</v>
      </c>
      <c r="Y494" s="28" t="s">
        <v>88</v>
      </c>
      <c r="AA494" s="2" t="s">
        <v>115</v>
      </c>
      <c r="AB494" s="2" t="str">
        <f t="shared" si="648"/>
        <v>-</v>
      </c>
      <c r="AC494" s="2" t="s">
        <v>12</v>
      </c>
      <c r="AD494" s="2" t="str">
        <f t="shared" si="649"/>
        <v>_</v>
      </c>
      <c r="AE494" s="2" t="s">
        <v>21</v>
      </c>
      <c r="AF494" s="2" t="str">
        <f t="shared" si="650"/>
        <v>_</v>
      </c>
      <c r="AG494" s="28" t="s">
        <v>71</v>
      </c>
      <c r="AH494" s="2" t="str">
        <f t="shared" si="651"/>
        <v/>
      </c>
    </row>
    <row r="495" spans="1:35" x14ac:dyDescent="0.25">
      <c r="B495" s="2" t="str">
        <f t="shared" si="647"/>
        <v>@line_width-cycleway_unpaved_z18</v>
      </c>
      <c r="C495" s="28" t="s">
        <v>83</v>
      </c>
      <c r="D495" s="28" t="s">
        <v>85</v>
      </c>
      <c r="F495" s="28" t="s">
        <v>83</v>
      </c>
      <c r="G495" s="28" t="s">
        <v>85</v>
      </c>
      <c r="I495" s="28" t="s">
        <v>131</v>
      </c>
      <c r="J495" s="28" t="s">
        <v>141</v>
      </c>
      <c r="L495" s="28" t="s">
        <v>131</v>
      </c>
      <c r="M495" s="28" t="s">
        <v>141</v>
      </c>
      <c r="U495" s="28" t="s">
        <v>82</v>
      </c>
      <c r="V495" s="28" t="s">
        <v>327</v>
      </c>
      <c r="X495" s="28" t="s">
        <v>82</v>
      </c>
      <c r="Y495" s="28" t="s">
        <v>327</v>
      </c>
      <c r="AA495" s="2" t="s">
        <v>115</v>
      </c>
      <c r="AB495" s="2" t="str">
        <f t="shared" si="648"/>
        <v>-</v>
      </c>
      <c r="AC495" s="2" t="s">
        <v>12</v>
      </c>
      <c r="AD495" s="2" t="str">
        <f t="shared" si="649"/>
        <v>_</v>
      </c>
      <c r="AE495" s="2" t="s">
        <v>21</v>
      </c>
      <c r="AF495" s="2" t="str">
        <f t="shared" si="650"/>
        <v>_</v>
      </c>
      <c r="AG495" s="28" t="s">
        <v>72</v>
      </c>
      <c r="AH495" s="2" t="str">
        <f t="shared" si="651"/>
        <v/>
      </c>
    </row>
    <row r="496" spans="1:35" x14ac:dyDescent="0.25">
      <c r="AA496" s="2"/>
      <c r="AB496" s="2"/>
      <c r="AC496" s="2"/>
      <c r="AD496" s="2"/>
      <c r="AE496" s="2"/>
    </row>
    <row r="497" spans="2:35" x14ac:dyDescent="0.25">
      <c r="B497" s="2" t="str">
        <f t="shared" ref="B497:B500" si="652">_xlfn.CONCAT("@",AA497,AB497,AC497,AD497,AE497,AF497,AG497,AH497,AI497)</f>
        <v>@line_width-footway_default_z12</v>
      </c>
      <c r="C497" s="28" t="s">
        <v>92</v>
      </c>
      <c r="D497" s="28" t="s">
        <v>112</v>
      </c>
      <c r="F497" s="28" t="s">
        <v>92</v>
      </c>
      <c r="G497" s="28" t="s">
        <v>112</v>
      </c>
      <c r="I497" s="28" t="s">
        <v>92</v>
      </c>
      <c r="J497" s="28" t="s">
        <v>112</v>
      </c>
      <c r="L497" s="28" t="s">
        <v>92</v>
      </c>
      <c r="M497" s="28" t="s">
        <v>112</v>
      </c>
      <c r="U497" s="28" t="s">
        <v>92</v>
      </c>
      <c r="V497" s="28" t="s">
        <v>112</v>
      </c>
      <c r="X497" s="28" t="s">
        <v>92</v>
      </c>
      <c r="Y497" s="28" t="s">
        <v>112</v>
      </c>
      <c r="AA497" s="2" t="s">
        <v>115</v>
      </c>
      <c r="AB497" s="2" t="str">
        <f t="shared" ref="AB497:AB500" si="653">IF(NOT(ISBLANK(AC497)),"-","")</f>
        <v>-</v>
      </c>
      <c r="AC497" s="2" t="s">
        <v>34</v>
      </c>
      <c r="AD497" s="2" t="str">
        <f t="shared" ref="AD497:AD500" si="654">IF(NOT(ISBLANK(AE497)),"_","")</f>
        <v>_</v>
      </c>
      <c r="AE497" s="2" t="s">
        <v>255</v>
      </c>
      <c r="AF497" s="2" t="str">
        <f t="shared" ref="AF497:AF500" si="655">IF(NOT(ISBLANK(AG497)),"_","")</f>
        <v>_</v>
      </c>
      <c r="AG497" s="28" t="s">
        <v>105</v>
      </c>
      <c r="AH497" s="2" t="str">
        <f t="shared" ref="AH497:AH500" si="656">IF(NOT(ISBLANK(AI497)),"_","")</f>
        <v/>
      </c>
    </row>
    <row r="498" spans="2:35" x14ac:dyDescent="0.25">
      <c r="B498" s="2" t="str">
        <f t="shared" si="652"/>
        <v>@line_width-footway_default_z14</v>
      </c>
      <c r="C498" s="28" t="s">
        <v>80</v>
      </c>
      <c r="D498" s="28" t="s">
        <v>86</v>
      </c>
      <c r="F498" s="28" t="s">
        <v>80</v>
      </c>
      <c r="G498" s="28" t="s">
        <v>86</v>
      </c>
      <c r="I498" s="28" t="s">
        <v>80</v>
      </c>
      <c r="J498" s="28" t="s">
        <v>86</v>
      </c>
      <c r="L498" s="28" t="s">
        <v>80</v>
      </c>
      <c r="M498" s="28" t="s">
        <v>86</v>
      </c>
      <c r="U498" s="28" t="s">
        <v>80</v>
      </c>
      <c r="V498" s="28" t="s">
        <v>86</v>
      </c>
      <c r="X498" s="28" t="s">
        <v>80</v>
      </c>
      <c r="Y498" s="28" t="s">
        <v>86</v>
      </c>
      <c r="AA498" s="2" t="s">
        <v>115</v>
      </c>
      <c r="AB498" s="2" t="str">
        <f t="shared" si="653"/>
        <v>-</v>
      </c>
      <c r="AC498" s="2" t="s">
        <v>34</v>
      </c>
      <c r="AD498" s="2" t="str">
        <f t="shared" si="654"/>
        <v>_</v>
      </c>
      <c r="AE498" s="2" t="s">
        <v>255</v>
      </c>
      <c r="AF498" s="2" t="str">
        <f t="shared" si="655"/>
        <v>_</v>
      </c>
      <c r="AG498" s="28" t="s">
        <v>70</v>
      </c>
      <c r="AH498" s="2" t="str">
        <f t="shared" si="656"/>
        <v/>
      </c>
    </row>
    <row r="499" spans="2:35" x14ac:dyDescent="0.25">
      <c r="B499" s="2" t="str">
        <f t="shared" si="652"/>
        <v>@line_width-footway_default_z16</v>
      </c>
      <c r="C499" s="28" t="s">
        <v>86</v>
      </c>
      <c r="D499" s="28" t="s">
        <v>88</v>
      </c>
      <c r="F499" s="28" t="s">
        <v>86</v>
      </c>
      <c r="G499" s="28" t="s">
        <v>88</v>
      </c>
      <c r="I499" s="28" t="s">
        <v>86</v>
      </c>
      <c r="J499" s="28" t="s">
        <v>88</v>
      </c>
      <c r="L499" s="28" t="s">
        <v>86</v>
      </c>
      <c r="M499" s="28" t="s">
        <v>88</v>
      </c>
      <c r="U499" s="28" t="s">
        <v>86</v>
      </c>
      <c r="V499" s="28" t="s">
        <v>88</v>
      </c>
      <c r="X499" s="28" t="s">
        <v>86</v>
      </c>
      <c r="Y499" s="28" t="s">
        <v>88</v>
      </c>
      <c r="AA499" s="2" t="s">
        <v>115</v>
      </c>
      <c r="AB499" s="2" t="str">
        <f t="shared" si="653"/>
        <v>-</v>
      </c>
      <c r="AC499" s="2" t="s">
        <v>34</v>
      </c>
      <c r="AD499" s="2" t="str">
        <f t="shared" si="654"/>
        <v>_</v>
      </c>
      <c r="AE499" s="2" t="s">
        <v>255</v>
      </c>
      <c r="AF499" s="2" t="str">
        <f t="shared" si="655"/>
        <v>_</v>
      </c>
      <c r="AG499" s="28" t="s">
        <v>71</v>
      </c>
      <c r="AH499" s="2" t="str">
        <f t="shared" si="656"/>
        <v/>
      </c>
    </row>
    <row r="500" spans="2:35" x14ac:dyDescent="0.25">
      <c r="B500" s="2" t="str">
        <f t="shared" si="652"/>
        <v>@line_width-footway_default_z18</v>
      </c>
      <c r="C500" s="28" t="s">
        <v>88</v>
      </c>
      <c r="D500" s="28" t="s">
        <v>82</v>
      </c>
      <c r="F500" s="28" t="s">
        <v>88</v>
      </c>
      <c r="G500" s="28" t="s">
        <v>82</v>
      </c>
      <c r="I500" s="28" t="s">
        <v>88</v>
      </c>
      <c r="J500" s="28" t="s">
        <v>82</v>
      </c>
      <c r="L500" s="28" t="s">
        <v>88</v>
      </c>
      <c r="M500" s="28" t="s">
        <v>82</v>
      </c>
      <c r="U500" s="28" t="s">
        <v>88</v>
      </c>
      <c r="V500" s="28" t="s">
        <v>82</v>
      </c>
      <c r="X500" s="28" t="s">
        <v>88</v>
      </c>
      <c r="Y500" s="28" t="s">
        <v>82</v>
      </c>
      <c r="AA500" s="2" t="s">
        <v>115</v>
      </c>
      <c r="AB500" s="2" t="str">
        <f t="shared" si="653"/>
        <v>-</v>
      </c>
      <c r="AC500" s="2" t="s">
        <v>34</v>
      </c>
      <c r="AD500" s="2" t="str">
        <f t="shared" si="654"/>
        <v>_</v>
      </c>
      <c r="AE500" s="2" t="s">
        <v>255</v>
      </c>
      <c r="AF500" s="2" t="str">
        <f t="shared" si="655"/>
        <v>_</v>
      </c>
      <c r="AG500" s="28" t="s">
        <v>72</v>
      </c>
      <c r="AH500" s="2" t="str">
        <f t="shared" si="656"/>
        <v/>
      </c>
    </row>
    <row r="501" spans="2:35" x14ac:dyDescent="0.25">
      <c r="AA501" s="2"/>
      <c r="AB501" s="2"/>
      <c r="AC501" s="2"/>
      <c r="AD501" s="2"/>
      <c r="AE501" s="2"/>
    </row>
    <row r="502" spans="2:35" x14ac:dyDescent="0.25">
      <c r="B502" s="2" t="str">
        <f t="shared" ref="B502:B505" si="657">_xlfn.CONCAT("@",AA502,AB502,AC502,AD502,AE502,AF502,AG502,AH502,AI502)</f>
        <v>@line_offset-footway_left_z12</v>
      </c>
      <c r="C502" s="28" t="s">
        <v>349</v>
      </c>
      <c r="D502" s="28" t="s">
        <v>350</v>
      </c>
      <c r="F502" s="28" t="s">
        <v>349</v>
      </c>
      <c r="G502" s="28" t="s">
        <v>350</v>
      </c>
      <c r="I502" s="28" t="s">
        <v>349</v>
      </c>
      <c r="J502" s="28" t="s">
        <v>350</v>
      </c>
      <c r="L502" s="28" t="s">
        <v>349</v>
      </c>
      <c r="M502" s="28" t="s">
        <v>350</v>
      </c>
      <c r="U502" s="28" t="s">
        <v>349</v>
      </c>
      <c r="V502" s="28" t="s">
        <v>350</v>
      </c>
      <c r="X502" s="28" t="s">
        <v>349</v>
      </c>
      <c r="Y502" s="28" t="s">
        <v>350</v>
      </c>
      <c r="AA502" s="2" t="s">
        <v>341</v>
      </c>
      <c r="AB502" s="2" t="str">
        <f t="shared" ref="AB502:AB505" si="658">IF(NOT(ISBLANK(AC502)),"-","")</f>
        <v>-</v>
      </c>
      <c r="AC502" s="2" t="s">
        <v>34</v>
      </c>
      <c r="AD502" s="2" t="str">
        <f t="shared" ref="AD502:AD505" si="659">IF(NOT(ISBLANK(AE502)),"_","")</f>
        <v>_</v>
      </c>
      <c r="AE502" s="2" t="s">
        <v>342</v>
      </c>
      <c r="AF502" s="2" t="str">
        <f t="shared" ref="AF502:AF505" si="660">IF(NOT(ISBLANK(AG502)),"_","")</f>
        <v>_</v>
      </c>
      <c r="AG502" s="28" t="s">
        <v>105</v>
      </c>
      <c r="AH502" s="2" t="str">
        <f t="shared" ref="AH502:AH505" si="661">IF(NOT(ISBLANK(AI502)),"_","")</f>
        <v/>
      </c>
    </row>
    <row r="503" spans="2:35" x14ac:dyDescent="0.25">
      <c r="B503" s="2" t="str">
        <f t="shared" si="657"/>
        <v>@line_offset-footway_left_z14</v>
      </c>
      <c r="C503" s="28" t="s">
        <v>345</v>
      </c>
      <c r="D503" s="28" t="s">
        <v>346</v>
      </c>
      <c r="F503" s="28" t="s">
        <v>345</v>
      </c>
      <c r="G503" s="28" t="s">
        <v>346</v>
      </c>
      <c r="I503" s="28" t="s">
        <v>345</v>
      </c>
      <c r="J503" s="28" t="s">
        <v>346</v>
      </c>
      <c r="L503" s="28" t="s">
        <v>345</v>
      </c>
      <c r="M503" s="28" t="s">
        <v>346</v>
      </c>
      <c r="U503" s="28" t="s">
        <v>345</v>
      </c>
      <c r="V503" s="28" t="s">
        <v>346</v>
      </c>
      <c r="X503" s="28" t="s">
        <v>345</v>
      </c>
      <c r="Y503" s="28" t="s">
        <v>346</v>
      </c>
      <c r="AA503" s="2" t="s">
        <v>341</v>
      </c>
      <c r="AB503" s="2" t="str">
        <f t="shared" si="658"/>
        <v>-</v>
      </c>
      <c r="AC503" s="2" t="s">
        <v>34</v>
      </c>
      <c r="AD503" s="2" t="str">
        <f t="shared" si="659"/>
        <v>_</v>
      </c>
      <c r="AE503" s="2" t="s">
        <v>342</v>
      </c>
      <c r="AF503" s="2" t="str">
        <f t="shared" si="660"/>
        <v>_</v>
      </c>
      <c r="AG503" s="28" t="s">
        <v>70</v>
      </c>
      <c r="AH503" s="2" t="str">
        <f t="shared" si="661"/>
        <v/>
      </c>
    </row>
    <row r="504" spans="2:35" x14ac:dyDescent="0.25">
      <c r="B504" s="2" t="str">
        <f t="shared" si="657"/>
        <v>@line_offset-footway_left_z16</v>
      </c>
      <c r="C504" s="28" t="s">
        <v>344</v>
      </c>
      <c r="D504" s="28" t="s">
        <v>347</v>
      </c>
      <c r="F504" s="28" t="s">
        <v>344</v>
      </c>
      <c r="G504" s="28" t="s">
        <v>347</v>
      </c>
      <c r="I504" s="28" t="s">
        <v>344</v>
      </c>
      <c r="J504" s="28" t="s">
        <v>347</v>
      </c>
      <c r="L504" s="28" t="s">
        <v>344</v>
      </c>
      <c r="M504" s="28" t="s">
        <v>347</v>
      </c>
      <c r="U504" s="28" t="s">
        <v>344</v>
      </c>
      <c r="V504" s="28" t="s">
        <v>347</v>
      </c>
      <c r="X504" s="28" t="s">
        <v>344</v>
      </c>
      <c r="Y504" s="28" t="s">
        <v>347</v>
      </c>
      <c r="AA504" s="2" t="s">
        <v>341</v>
      </c>
      <c r="AB504" s="2" t="str">
        <f t="shared" si="658"/>
        <v>-</v>
      </c>
      <c r="AC504" s="2" t="s">
        <v>34</v>
      </c>
      <c r="AD504" s="2" t="str">
        <f t="shared" si="659"/>
        <v>_</v>
      </c>
      <c r="AE504" s="2" t="s">
        <v>342</v>
      </c>
      <c r="AF504" s="2" t="str">
        <f t="shared" si="660"/>
        <v>_</v>
      </c>
      <c r="AG504" s="28" t="s">
        <v>71</v>
      </c>
      <c r="AH504" s="2" t="str">
        <f t="shared" si="661"/>
        <v/>
      </c>
    </row>
    <row r="505" spans="2:35" x14ac:dyDescent="0.25">
      <c r="B505" s="2" t="str">
        <f t="shared" si="657"/>
        <v>@line_offset-footway_left_z18</v>
      </c>
      <c r="C505" s="28" t="s">
        <v>343</v>
      </c>
      <c r="D505" s="28" t="s">
        <v>348</v>
      </c>
      <c r="F505" s="28" t="s">
        <v>343</v>
      </c>
      <c r="G505" s="28" t="s">
        <v>348</v>
      </c>
      <c r="I505" s="28" t="s">
        <v>343</v>
      </c>
      <c r="J505" s="28" t="s">
        <v>348</v>
      </c>
      <c r="L505" s="28" t="s">
        <v>343</v>
      </c>
      <c r="M505" s="28" t="s">
        <v>348</v>
      </c>
      <c r="U505" s="28" t="s">
        <v>343</v>
      </c>
      <c r="V505" s="28" t="s">
        <v>348</v>
      </c>
      <c r="X505" s="28" t="s">
        <v>343</v>
      </c>
      <c r="Y505" s="28" t="s">
        <v>348</v>
      </c>
      <c r="AA505" s="2" t="s">
        <v>341</v>
      </c>
      <c r="AB505" s="2" t="str">
        <f t="shared" si="658"/>
        <v>-</v>
      </c>
      <c r="AC505" s="2" t="s">
        <v>34</v>
      </c>
      <c r="AD505" s="2" t="str">
        <f t="shared" si="659"/>
        <v>_</v>
      </c>
      <c r="AE505" s="2" t="s">
        <v>342</v>
      </c>
      <c r="AF505" s="2" t="str">
        <f t="shared" si="660"/>
        <v>_</v>
      </c>
      <c r="AG505" s="28" t="s">
        <v>72</v>
      </c>
      <c r="AH505" s="2" t="str">
        <f t="shared" si="661"/>
        <v/>
      </c>
    </row>
    <row r="506" spans="2:35" x14ac:dyDescent="0.25">
      <c r="AA506" s="2"/>
      <c r="AB506" s="2"/>
      <c r="AC506" s="2"/>
      <c r="AD506" s="2"/>
      <c r="AE506" s="2"/>
    </row>
    <row r="507" spans="2:35" x14ac:dyDescent="0.25">
      <c r="B507" s="2" t="str">
        <f t="shared" ref="B507:B510" si="662">_xlfn.CONCAT("@",AA507,AB507,AC507,AD507,AE507,AF507,AG507,AH507,AI507)</f>
        <v>@line_offset-footway_right_z12</v>
      </c>
      <c r="C507" s="28" t="s">
        <v>80</v>
      </c>
      <c r="D507" s="28" t="s">
        <v>81</v>
      </c>
      <c r="F507" s="28" t="s">
        <v>349</v>
      </c>
      <c r="G507" s="28" t="s">
        <v>350</v>
      </c>
      <c r="I507" s="28" t="s">
        <v>349</v>
      </c>
      <c r="J507" s="28" t="s">
        <v>350</v>
      </c>
      <c r="L507" s="28" t="s">
        <v>349</v>
      </c>
      <c r="M507" s="28" t="s">
        <v>350</v>
      </c>
      <c r="U507" s="28" t="s">
        <v>80</v>
      </c>
      <c r="V507" s="28" t="s">
        <v>81</v>
      </c>
      <c r="X507" s="28" t="s">
        <v>349</v>
      </c>
      <c r="Y507" s="28" t="s">
        <v>350</v>
      </c>
      <c r="AA507" s="2" t="s">
        <v>341</v>
      </c>
      <c r="AB507" s="2" t="str">
        <f t="shared" ref="AB507:AB510" si="663">IF(NOT(ISBLANK(AC507)),"-","")</f>
        <v>-</v>
      </c>
      <c r="AC507" s="2" t="s">
        <v>34</v>
      </c>
      <c r="AD507" s="2" t="str">
        <f t="shared" ref="AD507:AD510" si="664">IF(NOT(ISBLANK(AE507)),"_","")</f>
        <v>_</v>
      </c>
      <c r="AE507" s="2" t="s">
        <v>351</v>
      </c>
      <c r="AF507" s="2" t="str">
        <f t="shared" ref="AF507:AF510" si="665">IF(NOT(ISBLANK(AG507)),"_","")</f>
        <v>_</v>
      </c>
      <c r="AG507" s="28" t="s">
        <v>105</v>
      </c>
      <c r="AH507" s="2" t="str">
        <f t="shared" ref="AH507:AH510" si="666">IF(NOT(ISBLANK(AI507)),"_","")</f>
        <v/>
      </c>
    </row>
    <row r="508" spans="2:35" x14ac:dyDescent="0.25">
      <c r="B508" s="2" t="str">
        <f t="shared" si="662"/>
        <v>@line_offset-footway_right_z14</v>
      </c>
      <c r="C508" s="28" t="s">
        <v>84</v>
      </c>
      <c r="D508" s="28" t="s">
        <v>88</v>
      </c>
      <c r="F508" s="28" t="s">
        <v>345</v>
      </c>
      <c r="G508" s="28" t="s">
        <v>346</v>
      </c>
      <c r="I508" s="28" t="s">
        <v>345</v>
      </c>
      <c r="J508" s="28" t="s">
        <v>346</v>
      </c>
      <c r="L508" s="28" t="s">
        <v>345</v>
      </c>
      <c r="M508" s="28" t="s">
        <v>346</v>
      </c>
      <c r="U508" s="28" t="s">
        <v>84</v>
      </c>
      <c r="V508" s="28" t="s">
        <v>88</v>
      </c>
      <c r="X508" s="28" t="s">
        <v>345</v>
      </c>
      <c r="Y508" s="28" t="s">
        <v>346</v>
      </c>
      <c r="AA508" s="2" t="s">
        <v>341</v>
      </c>
      <c r="AB508" s="2" t="str">
        <f t="shared" si="663"/>
        <v>-</v>
      </c>
      <c r="AC508" s="2" t="s">
        <v>34</v>
      </c>
      <c r="AD508" s="2" t="str">
        <f t="shared" si="664"/>
        <v>_</v>
      </c>
      <c r="AE508" s="2" t="s">
        <v>351</v>
      </c>
      <c r="AF508" s="2" t="str">
        <f t="shared" si="665"/>
        <v>_</v>
      </c>
      <c r="AG508" s="28" t="s">
        <v>70</v>
      </c>
      <c r="AH508" s="2" t="str">
        <f t="shared" si="666"/>
        <v/>
      </c>
    </row>
    <row r="509" spans="2:35" x14ac:dyDescent="0.25">
      <c r="B509" s="2" t="str">
        <f t="shared" si="662"/>
        <v>@line_offset-footway_right_z16</v>
      </c>
      <c r="C509" s="28" t="s">
        <v>130</v>
      </c>
      <c r="D509" s="28" t="s">
        <v>317</v>
      </c>
      <c r="F509" s="28" t="s">
        <v>344</v>
      </c>
      <c r="G509" s="28" t="s">
        <v>347</v>
      </c>
      <c r="I509" s="28" t="s">
        <v>344</v>
      </c>
      <c r="J509" s="28" t="s">
        <v>347</v>
      </c>
      <c r="L509" s="28" t="s">
        <v>344</v>
      </c>
      <c r="M509" s="28" t="s">
        <v>347</v>
      </c>
      <c r="U509" s="28" t="s">
        <v>130</v>
      </c>
      <c r="V509" s="28" t="s">
        <v>317</v>
      </c>
      <c r="X509" s="28" t="s">
        <v>344</v>
      </c>
      <c r="Y509" s="28" t="s">
        <v>347</v>
      </c>
      <c r="AA509" s="2" t="s">
        <v>341</v>
      </c>
      <c r="AB509" s="2" t="str">
        <f t="shared" si="663"/>
        <v>-</v>
      </c>
      <c r="AC509" s="2" t="s">
        <v>34</v>
      </c>
      <c r="AD509" s="2" t="str">
        <f t="shared" si="664"/>
        <v>_</v>
      </c>
      <c r="AE509" s="2" t="s">
        <v>351</v>
      </c>
      <c r="AF509" s="2" t="str">
        <f t="shared" si="665"/>
        <v>_</v>
      </c>
      <c r="AG509" s="28" t="s">
        <v>71</v>
      </c>
      <c r="AH509" s="2" t="str">
        <f t="shared" si="666"/>
        <v/>
      </c>
    </row>
    <row r="510" spans="2:35" x14ac:dyDescent="0.25">
      <c r="B510" s="2" t="str">
        <f t="shared" si="662"/>
        <v>@line_offset-footway_right_z18</v>
      </c>
      <c r="C510" s="28" t="s">
        <v>352</v>
      </c>
      <c r="D510" s="28" t="s">
        <v>325</v>
      </c>
      <c r="F510" s="28" t="s">
        <v>343</v>
      </c>
      <c r="G510" s="28" t="s">
        <v>348</v>
      </c>
      <c r="I510" s="28" t="s">
        <v>343</v>
      </c>
      <c r="J510" s="28" t="s">
        <v>348</v>
      </c>
      <c r="L510" s="28" t="s">
        <v>343</v>
      </c>
      <c r="M510" s="28" t="s">
        <v>348</v>
      </c>
      <c r="U510" s="28" t="s">
        <v>352</v>
      </c>
      <c r="V510" s="28" t="s">
        <v>325</v>
      </c>
      <c r="X510" s="28" t="s">
        <v>343</v>
      </c>
      <c r="Y510" s="28" t="s">
        <v>348</v>
      </c>
      <c r="AA510" s="2" t="s">
        <v>341</v>
      </c>
      <c r="AB510" s="2" t="str">
        <f t="shared" si="663"/>
        <v>-</v>
      </c>
      <c r="AC510" s="2" t="s">
        <v>34</v>
      </c>
      <c r="AD510" s="2" t="str">
        <f t="shared" si="664"/>
        <v>_</v>
      </c>
      <c r="AE510" s="2" t="s">
        <v>351</v>
      </c>
      <c r="AF510" s="2" t="str">
        <f t="shared" si="665"/>
        <v>_</v>
      </c>
      <c r="AG510" s="28" t="s">
        <v>72</v>
      </c>
      <c r="AH510" s="2" t="str">
        <f t="shared" si="666"/>
        <v/>
      </c>
    </row>
    <row r="511" spans="2:35" x14ac:dyDescent="0.25">
      <c r="B511" s="2"/>
      <c r="AA511" s="2"/>
      <c r="AB511" s="2"/>
      <c r="AC511" s="2"/>
      <c r="AD511" s="2"/>
      <c r="AE511" s="2"/>
    </row>
    <row r="512" spans="2:35" x14ac:dyDescent="0.25">
      <c r="B512" s="2" t="str">
        <f t="shared" ref="B512:B513" si="667">_xlfn.CONCAT("@",AA512,AB512,AC512,AD512,AE512,AF512,AG512,AH512,AI512)</f>
        <v>@dasharray-cycleway_paved_default_dash</v>
      </c>
      <c r="C512" s="28" t="s">
        <v>82</v>
      </c>
      <c r="D512" s="28" t="s">
        <v>82</v>
      </c>
      <c r="F512" s="28" t="s">
        <v>82</v>
      </c>
      <c r="G512" s="28" t="s">
        <v>82</v>
      </c>
      <c r="I512" s="28" t="s">
        <v>82</v>
      </c>
      <c r="J512" s="28" t="s">
        <v>82</v>
      </c>
      <c r="L512" s="28" t="s">
        <v>82</v>
      </c>
      <c r="M512" s="28" t="s">
        <v>82</v>
      </c>
      <c r="U512" s="28" t="s">
        <v>82</v>
      </c>
      <c r="V512" s="28" t="s">
        <v>82</v>
      </c>
      <c r="X512" s="28" t="s">
        <v>82</v>
      </c>
      <c r="Y512" s="28" t="s">
        <v>82</v>
      </c>
      <c r="AA512" s="2" t="s">
        <v>371</v>
      </c>
      <c r="AB512" s="2" t="str">
        <f t="shared" ref="AB512" si="668">IF(NOT(ISBLANK(AC512)),"-","")</f>
        <v>-</v>
      </c>
      <c r="AC512" s="2" t="s">
        <v>12</v>
      </c>
      <c r="AD512" s="2" t="str">
        <f t="shared" ref="AD512" si="669">IF(NOT(ISBLANK(AE512)),"_","")</f>
        <v>_</v>
      </c>
      <c r="AE512" s="2" t="s">
        <v>384</v>
      </c>
      <c r="AF512" s="2" t="str">
        <f t="shared" ref="AF512" si="670">IF(NOT(ISBLANK(AG512)),"_","")</f>
        <v>_</v>
      </c>
      <c r="AG512" s="28" t="s">
        <v>255</v>
      </c>
      <c r="AH512" s="2" t="str">
        <f t="shared" ref="AH512:AH513" si="671">IF(NOT(ISBLANK(AI512)),"_","")</f>
        <v>_</v>
      </c>
      <c r="AI512" s="28" t="s">
        <v>373</v>
      </c>
    </row>
    <row r="513" spans="1:35" x14ac:dyDescent="0.25">
      <c r="B513" s="2" t="str">
        <f t="shared" si="667"/>
        <v>@dasharray-cycleway_paved_default_gap</v>
      </c>
      <c r="C513" s="28" t="s">
        <v>80</v>
      </c>
      <c r="D513" s="28" t="s">
        <v>80</v>
      </c>
      <c r="F513" s="28" t="s">
        <v>80</v>
      </c>
      <c r="G513" s="28" t="s">
        <v>80</v>
      </c>
      <c r="I513" s="28" t="s">
        <v>80</v>
      </c>
      <c r="J513" s="28" t="s">
        <v>80</v>
      </c>
      <c r="L513" s="28" t="s">
        <v>80</v>
      </c>
      <c r="M513" s="28" t="s">
        <v>80</v>
      </c>
      <c r="U513" s="28" t="s">
        <v>80</v>
      </c>
      <c r="V513" s="28" t="s">
        <v>80</v>
      </c>
      <c r="X513" s="28" t="s">
        <v>80</v>
      </c>
      <c r="Y513" s="28" t="s">
        <v>80</v>
      </c>
      <c r="AA513" s="2" t="s">
        <v>371</v>
      </c>
      <c r="AB513" s="2" t="str">
        <f t="shared" ref="AB513:AB514" si="672">IF(NOT(ISBLANK(AC513)),"-","")</f>
        <v>-</v>
      </c>
      <c r="AC513" s="2" t="s">
        <v>12</v>
      </c>
      <c r="AD513" s="2" t="str">
        <f t="shared" ref="AD513:AD514" si="673">IF(NOT(ISBLANK(AE513)),"_","")</f>
        <v>_</v>
      </c>
      <c r="AE513" s="2" t="s">
        <v>384</v>
      </c>
      <c r="AF513" s="2" t="str">
        <f t="shared" ref="AF513:AF514" si="674">IF(NOT(ISBLANK(AG513)),"_","")</f>
        <v>_</v>
      </c>
      <c r="AG513" s="28" t="s">
        <v>255</v>
      </c>
      <c r="AH513" s="2" t="str">
        <f t="shared" si="671"/>
        <v>_</v>
      </c>
      <c r="AI513" s="28" t="s">
        <v>374</v>
      </c>
    </row>
    <row r="514" spans="1:35" x14ac:dyDescent="0.25">
      <c r="B514" s="2" t="str">
        <f t="shared" ref="B514:B515" si="675">_xlfn.CONCAT("@",AA514,AB514,AC514,AD514,AE514,AF514,AG514,AH514,AI514)</f>
        <v>@dasharray-cycleway_unpaved_default_dash</v>
      </c>
      <c r="C514" s="28" t="s">
        <v>76</v>
      </c>
      <c r="D514" s="28" t="s">
        <v>76</v>
      </c>
      <c r="F514" s="28" t="s">
        <v>76</v>
      </c>
      <c r="G514" s="28" t="s">
        <v>76</v>
      </c>
      <c r="I514" s="28" t="s">
        <v>76</v>
      </c>
      <c r="J514" s="28" t="s">
        <v>76</v>
      </c>
      <c r="L514" s="28" t="s">
        <v>76</v>
      </c>
      <c r="M514" s="28" t="s">
        <v>76</v>
      </c>
      <c r="U514" s="28" t="s">
        <v>82</v>
      </c>
      <c r="V514" s="28" t="s">
        <v>82</v>
      </c>
      <c r="X514" s="28" t="s">
        <v>82</v>
      </c>
      <c r="Y514" s="28" t="s">
        <v>82</v>
      </c>
      <c r="AA514" s="2" t="s">
        <v>371</v>
      </c>
      <c r="AB514" s="2" t="str">
        <f t="shared" si="672"/>
        <v>-</v>
      </c>
      <c r="AC514" s="2" t="s">
        <v>12</v>
      </c>
      <c r="AD514" s="2" t="str">
        <f t="shared" si="673"/>
        <v>_</v>
      </c>
      <c r="AE514" s="2" t="s">
        <v>21</v>
      </c>
      <c r="AF514" s="2" t="str">
        <f t="shared" si="674"/>
        <v>_</v>
      </c>
      <c r="AG514" s="28" t="s">
        <v>255</v>
      </c>
      <c r="AH514" s="2" t="str">
        <f t="shared" ref="AH514:AH515" si="676">IF(NOT(ISBLANK(AI514)),"_","")</f>
        <v>_</v>
      </c>
      <c r="AI514" s="28" t="s">
        <v>373</v>
      </c>
    </row>
    <row r="515" spans="1:35" x14ac:dyDescent="0.25">
      <c r="B515" s="2" t="str">
        <f t="shared" si="675"/>
        <v>@dasharray-cycleway_unpaved_default_gap</v>
      </c>
      <c r="C515" s="28" t="s">
        <v>91</v>
      </c>
      <c r="D515" s="28" t="s">
        <v>91</v>
      </c>
      <c r="F515" s="28" t="s">
        <v>91</v>
      </c>
      <c r="G515" s="28" t="s">
        <v>91</v>
      </c>
      <c r="I515" s="28" t="s">
        <v>91</v>
      </c>
      <c r="J515" s="28" t="s">
        <v>91</v>
      </c>
      <c r="L515" s="28" t="s">
        <v>91</v>
      </c>
      <c r="M515" s="28" t="s">
        <v>91</v>
      </c>
      <c r="U515" s="28" t="s">
        <v>80</v>
      </c>
      <c r="V515" s="28" t="s">
        <v>80</v>
      </c>
      <c r="X515" s="28" t="s">
        <v>80</v>
      </c>
      <c r="Y515" s="28" t="s">
        <v>80</v>
      </c>
      <c r="AA515" s="2" t="s">
        <v>371</v>
      </c>
      <c r="AB515" s="2" t="str">
        <f t="shared" ref="AB515:AB516" si="677">IF(NOT(ISBLANK(AC515)),"-","")</f>
        <v>-</v>
      </c>
      <c r="AC515" s="2" t="s">
        <v>12</v>
      </c>
      <c r="AD515" s="2" t="str">
        <f t="shared" ref="AD515:AD516" si="678">IF(NOT(ISBLANK(AE515)),"_","")</f>
        <v>_</v>
      </c>
      <c r="AE515" s="2" t="s">
        <v>21</v>
      </c>
      <c r="AF515" s="2" t="str">
        <f t="shared" ref="AF515:AF516" si="679">IF(NOT(ISBLANK(AG515)),"_","")</f>
        <v>_</v>
      </c>
      <c r="AG515" s="28" t="s">
        <v>255</v>
      </c>
      <c r="AH515" s="2" t="str">
        <f t="shared" si="676"/>
        <v>_</v>
      </c>
      <c r="AI515" s="28" t="s">
        <v>374</v>
      </c>
    </row>
    <row r="516" spans="1:35" x14ac:dyDescent="0.25">
      <c r="B516" s="2" t="str">
        <f t="shared" ref="B516:B517" si="680">_xlfn.CONCAT("@",AA516,AB516,AC516,AD516,AE516,AF516,AG516,AH516,AI516)</f>
        <v>@dasharray-cycleway_unknown_default_dash</v>
      </c>
      <c r="C516" s="28" t="s">
        <v>86</v>
      </c>
      <c r="D516" s="28" t="s">
        <v>86</v>
      </c>
      <c r="F516" s="28" t="s">
        <v>86</v>
      </c>
      <c r="G516" s="28" t="s">
        <v>86</v>
      </c>
      <c r="I516" s="28" t="s">
        <v>86</v>
      </c>
      <c r="J516" s="28" t="s">
        <v>86</v>
      </c>
      <c r="L516" s="28" t="s">
        <v>86</v>
      </c>
      <c r="M516" s="28" t="s">
        <v>86</v>
      </c>
      <c r="U516" s="28" t="s">
        <v>82</v>
      </c>
      <c r="V516" s="28" t="s">
        <v>82</v>
      </c>
      <c r="X516" s="28" t="s">
        <v>82</v>
      </c>
      <c r="Y516" s="28" t="s">
        <v>82</v>
      </c>
      <c r="AA516" s="2" t="s">
        <v>371</v>
      </c>
      <c r="AB516" s="2" t="str">
        <f t="shared" si="677"/>
        <v>-</v>
      </c>
      <c r="AC516" s="2" t="s">
        <v>12</v>
      </c>
      <c r="AD516" s="2" t="str">
        <f t="shared" si="678"/>
        <v>_</v>
      </c>
      <c r="AE516" s="2" t="s">
        <v>385</v>
      </c>
      <c r="AF516" s="2" t="str">
        <f t="shared" si="679"/>
        <v>_</v>
      </c>
      <c r="AG516" s="28" t="s">
        <v>255</v>
      </c>
      <c r="AH516" s="2" t="str">
        <f t="shared" ref="AH516:AH517" si="681">IF(NOT(ISBLANK(AI516)),"_","")</f>
        <v>_</v>
      </c>
      <c r="AI516" s="28" t="s">
        <v>373</v>
      </c>
    </row>
    <row r="517" spans="1:35" x14ac:dyDescent="0.25">
      <c r="B517" s="2" t="str">
        <f t="shared" si="680"/>
        <v>@dasharray-cycleway_unknown_default_gap</v>
      </c>
      <c r="C517" s="28" t="s">
        <v>80</v>
      </c>
      <c r="D517" s="28" t="s">
        <v>80</v>
      </c>
      <c r="F517" s="28" t="s">
        <v>80</v>
      </c>
      <c r="G517" s="28" t="s">
        <v>80</v>
      </c>
      <c r="I517" s="28" t="s">
        <v>80</v>
      </c>
      <c r="J517" s="28" t="s">
        <v>80</v>
      </c>
      <c r="L517" s="28" t="s">
        <v>80</v>
      </c>
      <c r="M517" s="28" t="s">
        <v>80</v>
      </c>
      <c r="U517" s="28" t="s">
        <v>80</v>
      </c>
      <c r="V517" s="28" t="s">
        <v>80</v>
      </c>
      <c r="X517" s="28" t="s">
        <v>80</v>
      </c>
      <c r="Y517" s="28" t="s">
        <v>80</v>
      </c>
      <c r="AA517" s="2" t="s">
        <v>371</v>
      </c>
      <c r="AB517" s="2" t="str">
        <f t="shared" ref="AB517" si="682">IF(NOT(ISBLANK(AC517)),"-","")</f>
        <v>-</v>
      </c>
      <c r="AC517" s="2" t="s">
        <v>12</v>
      </c>
      <c r="AD517" s="2" t="str">
        <f t="shared" ref="AD517" si="683">IF(NOT(ISBLANK(AE517)),"_","")</f>
        <v>_</v>
      </c>
      <c r="AE517" s="2" t="s">
        <v>385</v>
      </c>
      <c r="AF517" s="2" t="str">
        <f t="shared" ref="AF517" si="684">IF(NOT(ISBLANK(AG517)),"_","")</f>
        <v>_</v>
      </c>
      <c r="AG517" s="28" t="s">
        <v>255</v>
      </c>
      <c r="AH517" s="2" t="str">
        <f t="shared" si="681"/>
        <v>_</v>
      </c>
      <c r="AI517" s="28" t="s">
        <v>374</v>
      </c>
    </row>
    <row r="518" spans="1:35" x14ac:dyDescent="0.25">
      <c r="AB518" s="28" t="str">
        <f t="shared" ref="AB518:AB521" si="685">IF(NOT(ISBLANK(AC518)),"-","")</f>
        <v/>
      </c>
      <c r="AD518" s="28" t="str">
        <f t="shared" ref="AD518:AD521" si="686">IF(NOT(ISBLANK(AE518)),"_","")</f>
        <v/>
      </c>
      <c r="AF518" s="28" t="str">
        <f t="shared" ref="AF518:AF521" si="687">IF(NOT(ISBLANK(AG518)),"_","")</f>
        <v/>
      </c>
      <c r="AH518" s="28" t="str">
        <f t="shared" si="597"/>
        <v/>
      </c>
    </row>
    <row r="519" spans="1:35" s="5" customFormat="1" x14ac:dyDescent="0.25">
      <c r="A519" s="184" t="s">
        <v>451</v>
      </c>
      <c r="B519" s="184"/>
      <c r="C519" s="184"/>
      <c r="D519" s="184"/>
      <c r="F519" s="184"/>
      <c r="G519" s="184"/>
      <c r="I519" s="184"/>
      <c r="J519" s="184"/>
      <c r="L519" s="184"/>
      <c r="M519" s="184"/>
      <c r="O519" s="184"/>
      <c r="P519" s="184"/>
      <c r="R519" s="184"/>
      <c r="S519" s="184"/>
      <c r="U519" s="184"/>
      <c r="V519" s="184"/>
      <c r="X519" s="184"/>
      <c r="Y519" s="184"/>
      <c r="AA519" s="184"/>
      <c r="AB519" s="184" t="str">
        <f t="shared" si="685"/>
        <v/>
      </c>
      <c r="AC519" s="184"/>
      <c r="AD519" s="184" t="str">
        <f t="shared" si="686"/>
        <v/>
      </c>
      <c r="AE519" s="184"/>
      <c r="AF519" s="184" t="str">
        <f t="shared" si="687"/>
        <v/>
      </c>
      <c r="AG519" s="184"/>
      <c r="AH519" s="184" t="str">
        <f t="shared" si="597"/>
        <v/>
      </c>
      <c r="AI519" s="184"/>
    </row>
    <row r="520" spans="1:35" x14ac:dyDescent="0.25">
      <c r="AB520" s="28" t="str">
        <f t="shared" si="685"/>
        <v/>
      </c>
      <c r="AD520" s="28" t="str">
        <f t="shared" si="686"/>
        <v/>
      </c>
      <c r="AF520" s="2" t="str">
        <f t="shared" si="687"/>
        <v/>
      </c>
      <c r="AH520" s="2" t="str">
        <f t="shared" si="597"/>
        <v/>
      </c>
    </row>
    <row r="521" spans="1:35" x14ac:dyDescent="0.25">
      <c r="B521" s="2" t="str">
        <f t="shared" ref="B521:B541" si="688">_xlfn.CONCAT("@",AA521,AB521,AC521,AD521,AE521,AF521,AG521,AH521,AI521)</f>
        <v>@color-building_area_residential</v>
      </c>
      <c r="C521" s="58" t="s">
        <v>250</v>
      </c>
      <c r="D521" s="58" t="s">
        <v>250</v>
      </c>
      <c r="F521" s="59" t="s">
        <v>241</v>
      </c>
      <c r="G521" s="78" t="s">
        <v>222</v>
      </c>
      <c r="I521" s="58" t="s">
        <v>250</v>
      </c>
      <c r="J521" s="58" t="s">
        <v>250</v>
      </c>
      <c r="L521" s="59" t="s">
        <v>241</v>
      </c>
      <c r="M521" s="78" t="s">
        <v>222</v>
      </c>
      <c r="U521" s="58" t="s">
        <v>250</v>
      </c>
      <c r="V521" s="58" t="s">
        <v>250</v>
      </c>
      <c r="X521" s="59" t="s">
        <v>241</v>
      </c>
      <c r="Y521" s="78" t="s">
        <v>222</v>
      </c>
      <c r="AA521" s="2" t="s">
        <v>6</v>
      </c>
      <c r="AB521" s="2" t="str">
        <f t="shared" si="685"/>
        <v>-</v>
      </c>
      <c r="AC521" s="2" t="s">
        <v>246</v>
      </c>
      <c r="AD521" s="2" t="str">
        <f t="shared" si="686"/>
        <v>_</v>
      </c>
      <c r="AE521" s="2" t="s">
        <v>252</v>
      </c>
      <c r="AF521" s="2" t="str">
        <f t="shared" si="687"/>
        <v>_</v>
      </c>
      <c r="AG521" s="2" t="s">
        <v>60</v>
      </c>
      <c r="AH521" s="2" t="str">
        <f t="shared" si="597"/>
        <v/>
      </c>
      <c r="AI521" s="2"/>
    </row>
    <row r="522" spans="1:35" x14ac:dyDescent="0.25">
      <c r="B522" s="2" t="str">
        <f t="shared" si="688"/>
        <v>@color-building_area_generic</v>
      </c>
      <c r="C522" s="60" t="s">
        <v>249</v>
      </c>
      <c r="D522" s="60" t="s">
        <v>249</v>
      </c>
      <c r="F522" s="61" t="s">
        <v>247</v>
      </c>
      <c r="G522" s="109" t="s">
        <v>353</v>
      </c>
      <c r="I522" s="60" t="s">
        <v>249</v>
      </c>
      <c r="J522" s="60" t="s">
        <v>249</v>
      </c>
      <c r="L522" s="61" t="s">
        <v>247</v>
      </c>
      <c r="M522" s="109" t="s">
        <v>353</v>
      </c>
      <c r="U522" s="60" t="s">
        <v>249</v>
      </c>
      <c r="V522" s="60" t="s">
        <v>249</v>
      </c>
      <c r="X522" s="61" t="s">
        <v>247</v>
      </c>
      <c r="Y522" s="109" t="s">
        <v>353</v>
      </c>
      <c r="AA522" s="2" t="s">
        <v>6</v>
      </c>
      <c r="AB522" s="2" t="str">
        <f t="shared" ref="AB522" si="689">IF(NOT(ISBLANK(AC522)),"-","")</f>
        <v>-</v>
      </c>
      <c r="AC522" s="2" t="s">
        <v>246</v>
      </c>
      <c r="AD522" s="2" t="str">
        <f t="shared" ref="AD522" si="690">IF(NOT(ISBLANK(AE522)),"_","")</f>
        <v>_</v>
      </c>
      <c r="AE522" s="2" t="s">
        <v>252</v>
      </c>
      <c r="AF522" s="2" t="str">
        <f t="shared" ref="AF522" si="691">IF(NOT(ISBLANK(AG522)),"_","")</f>
        <v>_</v>
      </c>
      <c r="AG522" s="2" t="s">
        <v>248</v>
      </c>
      <c r="AH522" s="2" t="str">
        <f t="shared" si="597"/>
        <v/>
      </c>
      <c r="AI522" s="2"/>
    </row>
    <row r="523" spans="1:35" x14ac:dyDescent="0.25">
      <c r="B523" s="2" t="str">
        <f t="shared" si="688"/>
        <v>@color-building_line_top</v>
      </c>
      <c r="C523" s="60" t="s">
        <v>249</v>
      </c>
      <c r="D523" s="60" t="s">
        <v>249</v>
      </c>
      <c r="F523" s="61" t="s">
        <v>247</v>
      </c>
      <c r="G523" s="109" t="s">
        <v>353</v>
      </c>
      <c r="I523" s="60" t="s">
        <v>249</v>
      </c>
      <c r="J523" s="60" t="s">
        <v>249</v>
      </c>
      <c r="L523" s="61" t="s">
        <v>247</v>
      </c>
      <c r="M523" s="109" t="s">
        <v>353</v>
      </c>
      <c r="U523" s="60" t="s">
        <v>249</v>
      </c>
      <c r="V523" s="60" t="s">
        <v>249</v>
      </c>
      <c r="X523" s="61" t="s">
        <v>247</v>
      </c>
      <c r="Y523" s="109" t="s">
        <v>353</v>
      </c>
      <c r="AA523" s="2" t="s">
        <v>6</v>
      </c>
      <c r="AB523" s="2" t="str">
        <f t="shared" ref="AB523:AB524" si="692">IF(NOT(ISBLANK(AC523)),"-","")</f>
        <v>-</v>
      </c>
      <c r="AC523" s="2" t="s">
        <v>246</v>
      </c>
      <c r="AD523" s="2" t="str">
        <f t="shared" ref="AD523:AD524" si="693">IF(NOT(ISBLANK(AE523)),"_","")</f>
        <v>_</v>
      </c>
      <c r="AE523" s="2" t="s">
        <v>13</v>
      </c>
      <c r="AF523" s="2" t="str">
        <f t="shared" ref="AF523:AF524" si="694">IF(NOT(ISBLANK(AG523)),"_","")</f>
        <v>_</v>
      </c>
      <c r="AG523" s="2" t="s">
        <v>251</v>
      </c>
      <c r="AH523" s="2" t="str">
        <f t="shared" si="597"/>
        <v/>
      </c>
      <c r="AI523" s="2"/>
    </row>
    <row r="524" spans="1:35" x14ac:dyDescent="0.25">
      <c r="AB524" s="28" t="str">
        <f t="shared" si="692"/>
        <v/>
      </c>
      <c r="AD524" s="28" t="str">
        <f t="shared" si="693"/>
        <v/>
      </c>
      <c r="AF524" s="2" t="str">
        <f t="shared" si="694"/>
        <v/>
      </c>
      <c r="AH524" s="2" t="str">
        <f t="shared" si="597"/>
        <v/>
      </c>
    </row>
    <row r="525" spans="1:35" x14ac:dyDescent="0.25">
      <c r="AB525" s="28" t="str">
        <f t="shared" ref="AB525:AB526" si="695">IF(NOT(ISBLANK(AC525)),"-","")</f>
        <v/>
      </c>
      <c r="AD525" s="28" t="str">
        <f t="shared" ref="AD525:AD526" si="696">IF(NOT(ISBLANK(AE525)),"_","")</f>
        <v/>
      </c>
      <c r="AF525" s="2" t="str">
        <f t="shared" ref="AF525:AF526" si="697">IF(NOT(ISBLANK(AG525)),"_","")</f>
        <v/>
      </c>
      <c r="AH525" s="2" t="str">
        <f t="shared" ref="AH525:AH526" si="698">IF(NOT(ISBLANK(AI525)),"_","")</f>
        <v/>
      </c>
    </row>
    <row r="526" spans="1:35" x14ac:dyDescent="0.25">
      <c r="B526" s="2" t="str">
        <f t="shared" ref="B526" si="699">_xlfn.CONCAT("@",AA526,AB526,AC526,AD526,AE526,AF526,AG526,AH526,AI526)</f>
        <v>@color-power_line_all</v>
      </c>
      <c r="C526" s="186" t="s">
        <v>463</v>
      </c>
      <c r="D526" s="186" t="s">
        <v>463</v>
      </c>
      <c r="F526" s="187" t="s">
        <v>464</v>
      </c>
      <c r="G526" s="187" t="s">
        <v>464</v>
      </c>
      <c r="I526" s="186" t="s">
        <v>463</v>
      </c>
      <c r="J526" s="186" t="s">
        <v>463</v>
      </c>
      <c r="L526" s="187" t="s">
        <v>464</v>
      </c>
      <c r="M526" s="187" t="s">
        <v>464</v>
      </c>
      <c r="U526" s="186" t="s">
        <v>463</v>
      </c>
      <c r="V526" s="186" t="s">
        <v>463</v>
      </c>
      <c r="X526" s="187" t="s">
        <v>464</v>
      </c>
      <c r="Y526" s="187" t="s">
        <v>464</v>
      </c>
      <c r="AA526" s="2" t="s">
        <v>6</v>
      </c>
      <c r="AB526" s="2" t="str">
        <f t="shared" si="695"/>
        <v>-</v>
      </c>
      <c r="AC526" s="2" t="s">
        <v>462</v>
      </c>
      <c r="AD526" s="2" t="str">
        <f t="shared" si="696"/>
        <v>_</v>
      </c>
      <c r="AE526" s="2" t="s">
        <v>13</v>
      </c>
      <c r="AF526" s="2" t="str">
        <f t="shared" si="697"/>
        <v>_</v>
      </c>
      <c r="AG526" s="2" t="s">
        <v>444</v>
      </c>
      <c r="AH526" s="2" t="str">
        <f t="shared" si="698"/>
        <v/>
      </c>
      <c r="AI526" s="2"/>
    </row>
    <row r="527" spans="1:35" x14ac:dyDescent="0.25">
      <c r="AB527" s="28" t="str">
        <f t="shared" ref="AB527" si="700">IF(NOT(ISBLANK(AC527)),"-","")</f>
        <v/>
      </c>
      <c r="AD527" s="28" t="str">
        <f t="shared" ref="AD527" si="701">IF(NOT(ISBLANK(AE527)),"_","")</f>
        <v/>
      </c>
      <c r="AF527" s="2" t="str">
        <f t="shared" ref="AF527" si="702">IF(NOT(ISBLANK(AG527)),"_","")</f>
        <v/>
      </c>
      <c r="AH527" s="2" t="str">
        <f t="shared" ref="AH527" si="703">IF(NOT(ISBLANK(AI527)),"_","")</f>
        <v/>
      </c>
    </row>
    <row r="528" spans="1:35" x14ac:dyDescent="0.25">
      <c r="AB528" s="28" t="str">
        <f t="shared" ref="AB528" si="704">IF(NOT(ISBLANK(AC528)),"-","")</f>
        <v/>
      </c>
      <c r="AD528" s="28" t="str">
        <f t="shared" ref="AD528" si="705">IF(NOT(ISBLANK(AE528)),"_","")</f>
        <v/>
      </c>
      <c r="AF528" s="2" t="str">
        <f t="shared" ref="AF528" si="706">IF(NOT(ISBLANK(AG528)),"_","")</f>
        <v/>
      </c>
      <c r="AH528" s="2" t="str">
        <f t="shared" ref="AH528" si="707">IF(NOT(ISBLANK(AI528)),"_","")</f>
        <v/>
      </c>
    </row>
    <row r="529" spans="2:35" x14ac:dyDescent="0.25">
      <c r="B529" s="2" t="str">
        <f t="shared" si="688"/>
        <v>@color-contours_line</v>
      </c>
      <c r="C529" s="62" t="s">
        <v>187</v>
      </c>
      <c r="D529" s="63" t="str">
        <f>C529</f>
        <v>"#916f4c"</v>
      </c>
      <c r="F529" s="64" t="s">
        <v>260</v>
      </c>
      <c r="G529" s="64" t="str">
        <f>F529</f>
        <v>"#5f472f"</v>
      </c>
      <c r="I529" s="62" t="s">
        <v>187</v>
      </c>
      <c r="J529" s="63" t="str">
        <f>I529</f>
        <v>"#916f4c"</v>
      </c>
      <c r="L529" s="64" t="s">
        <v>260</v>
      </c>
      <c r="M529" s="64" t="str">
        <f>L529</f>
        <v>"#5f472f"</v>
      </c>
      <c r="U529" s="62" t="s">
        <v>187</v>
      </c>
      <c r="V529" s="63" t="str">
        <f>U529</f>
        <v>"#916f4c"</v>
      </c>
      <c r="X529" s="64" t="s">
        <v>260</v>
      </c>
      <c r="Y529" s="64" t="str">
        <f>X529</f>
        <v>"#5f472f"</v>
      </c>
      <c r="AA529" s="2" t="s">
        <v>6</v>
      </c>
      <c r="AB529" s="2" t="str">
        <f t="shared" ref="AB529:AB536" si="708">IF(NOT(ISBLANK(AC529)),"-","")</f>
        <v>-</v>
      </c>
      <c r="AC529" s="2" t="s">
        <v>63</v>
      </c>
      <c r="AD529" s="2" t="str">
        <f t="shared" ref="AD529:AD536" si="709">IF(NOT(ISBLANK(AE529)),"_","")</f>
        <v>_</v>
      </c>
      <c r="AE529" s="2" t="s">
        <v>13</v>
      </c>
      <c r="AF529" s="2" t="str">
        <f>IF(NOT(ISBLANK(AG529)),"_","")</f>
        <v/>
      </c>
      <c r="AG529" s="2"/>
      <c r="AH529" s="2" t="str">
        <f>IF(NOT(ISBLANK(AI529)),"_","")</f>
        <v/>
      </c>
      <c r="AI529" s="2"/>
    </row>
    <row r="530" spans="2:35" x14ac:dyDescent="0.25">
      <c r="B530" s="2" t="str">
        <f t="shared" ref="B530" si="710">_xlfn.CONCAT("@",AA530,AB530,AC530,AD530,AE530,AF530,AG530,AH530,AI530)</f>
        <v>@color-water_contours_line_1500</v>
      </c>
      <c r="C530" s="101" t="s">
        <v>305</v>
      </c>
      <c r="D530" s="105" t="s">
        <v>310</v>
      </c>
      <c r="F530" s="102" t="s">
        <v>306</v>
      </c>
      <c r="G530" s="102" t="s">
        <v>306</v>
      </c>
      <c r="I530" s="101" t="s">
        <v>305</v>
      </c>
      <c r="J530" s="105" t="s">
        <v>310</v>
      </c>
      <c r="L530" s="102" t="s">
        <v>306</v>
      </c>
      <c r="M530" s="102" t="s">
        <v>306</v>
      </c>
      <c r="U530" s="101" t="s">
        <v>305</v>
      </c>
      <c r="V530" s="105" t="s">
        <v>310</v>
      </c>
      <c r="X530" s="102" t="s">
        <v>306</v>
      </c>
      <c r="Y530" s="102" t="s">
        <v>306</v>
      </c>
      <c r="AA530" s="2" t="s">
        <v>6</v>
      </c>
      <c r="AB530" s="2" t="str">
        <f t="shared" si="708"/>
        <v>-</v>
      </c>
      <c r="AC530" s="2" t="s">
        <v>304</v>
      </c>
      <c r="AD530" s="2" t="str">
        <f t="shared" si="709"/>
        <v>_</v>
      </c>
      <c r="AE530" s="2" t="s">
        <v>13</v>
      </c>
      <c r="AF530" s="2" t="str">
        <f>IF(NOT(ISBLANK(AG530)),"_","")</f>
        <v>_</v>
      </c>
      <c r="AG530" s="2">
        <v>1500</v>
      </c>
      <c r="AH530" s="2" t="str">
        <f>IF(NOT(ISBLANK(AI530)),"_","")</f>
        <v/>
      </c>
      <c r="AI530" s="2"/>
    </row>
    <row r="531" spans="2:35" x14ac:dyDescent="0.25">
      <c r="B531" s="2" t="str">
        <f t="shared" ref="B531" si="711">_xlfn.CONCAT("@",AA531,AB531,AC531,AD531,AE531,AF531,AG531,AH531,AI531)</f>
        <v>@color-water_contours_line_3000</v>
      </c>
      <c r="C531" s="103" t="s">
        <v>308</v>
      </c>
      <c r="D531" s="106" t="s">
        <v>311</v>
      </c>
      <c r="F531" s="102" t="s">
        <v>306</v>
      </c>
      <c r="G531" s="102" t="s">
        <v>306</v>
      </c>
      <c r="I531" s="103" t="s">
        <v>308</v>
      </c>
      <c r="J531" s="106" t="s">
        <v>311</v>
      </c>
      <c r="L531" s="102" t="s">
        <v>306</v>
      </c>
      <c r="M531" s="102" t="s">
        <v>306</v>
      </c>
      <c r="U531" s="103" t="s">
        <v>308</v>
      </c>
      <c r="V531" s="106" t="s">
        <v>311</v>
      </c>
      <c r="X531" s="102" t="s">
        <v>306</v>
      </c>
      <c r="Y531" s="102" t="s">
        <v>306</v>
      </c>
      <c r="AA531" s="2" t="s">
        <v>6</v>
      </c>
      <c r="AB531" s="2" t="str">
        <f t="shared" si="708"/>
        <v>-</v>
      </c>
      <c r="AC531" s="2" t="s">
        <v>304</v>
      </c>
      <c r="AD531" s="2" t="str">
        <f t="shared" si="709"/>
        <v>_</v>
      </c>
      <c r="AE531" s="2" t="s">
        <v>13</v>
      </c>
      <c r="AF531" s="2" t="str">
        <f>IF(NOT(ISBLANK(AG531)),"_","")</f>
        <v>_</v>
      </c>
      <c r="AG531" s="2">
        <v>3000</v>
      </c>
      <c r="AH531" s="2" t="str">
        <f>IF(NOT(ISBLANK(AI531)),"_","")</f>
        <v/>
      </c>
      <c r="AI531" s="2"/>
    </row>
    <row r="532" spans="2:35" x14ac:dyDescent="0.25">
      <c r="B532" s="2" t="str">
        <f t="shared" ref="B532" si="712">_xlfn.CONCAT("@",AA532,AB532,AC532,AD532,AE532,AF532,AG532,AH532,AI532)</f>
        <v>@color-water_contours_line_6000</v>
      </c>
      <c r="C532" s="104" t="s">
        <v>309</v>
      </c>
      <c r="D532" s="107" t="s">
        <v>312</v>
      </c>
      <c r="F532" s="102" t="s">
        <v>306</v>
      </c>
      <c r="G532" s="102" t="s">
        <v>306</v>
      </c>
      <c r="I532" s="104" t="s">
        <v>309</v>
      </c>
      <c r="J532" s="107" t="s">
        <v>312</v>
      </c>
      <c r="L532" s="102" t="s">
        <v>306</v>
      </c>
      <c r="M532" s="102" t="s">
        <v>306</v>
      </c>
      <c r="U532" s="104" t="s">
        <v>309</v>
      </c>
      <c r="V532" s="107" t="s">
        <v>312</v>
      </c>
      <c r="X532" s="102" t="s">
        <v>306</v>
      </c>
      <c r="Y532" s="102" t="s">
        <v>306</v>
      </c>
      <c r="AA532" s="2" t="s">
        <v>6</v>
      </c>
      <c r="AB532" s="2" t="str">
        <f t="shared" si="708"/>
        <v>-</v>
      </c>
      <c r="AC532" s="2" t="s">
        <v>304</v>
      </c>
      <c r="AD532" s="2" t="str">
        <f t="shared" si="709"/>
        <v>_</v>
      </c>
      <c r="AE532" s="2" t="s">
        <v>13</v>
      </c>
      <c r="AF532" s="2" t="str">
        <f>IF(NOT(ISBLANK(AG532)),"_","")</f>
        <v>_</v>
      </c>
      <c r="AG532" s="2">
        <v>6000</v>
      </c>
      <c r="AH532" s="2" t="str">
        <f t="shared" ref="AH532:AH553" si="713">IF(NOT(ISBLANK(AI532)),"_","")</f>
        <v/>
      </c>
      <c r="AI532" s="2"/>
    </row>
    <row r="533" spans="2:35" x14ac:dyDescent="0.25">
      <c r="B533" s="2" t="str">
        <f t="shared" ref="B533:B534" si="714">_xlfn.CONCAT("@",AA533,AB533,AC533,AD533,AE533,AF533,AG533,AH533,AI533)</f>
        <v>@color-water_contours_line_over6000</v>
      </c>
      <c r="C533" s="105" t="s">
        <v>310</v>
      </c>
      <c r="D533" s="108" t="s">
        <v>313</v>
      </c>
      <c r="F533" s="102" t="s">
        <v>306</v>
      </c>
      <c r="G533" s="102" t="s">
        <v>306</v>
      </c>
      <c r="I533" s="105" t="s">
        <v>310</v>
      </c>
      <c r="J533" s="108" t="s">
        <v>313</v>
      </c>
      <c r="L533" s="102" t="s">
        <v>306</v>
      </c>
      <c r="M533" s="102" t="s">
        <v>306</v>
      </c>
      <c r="U533" s="105" t="s">
        <v>310</v>
      </c>
      <c r="V533" s="108" t="s">
        <v>313</v>
      </c>
      <c r="X533" s="102" t="s">
        <v>306</v>
      </c>
      <c r="Y533" s="102" t="s">
        <v>306</v>
      </c>
      <c r="AA533" s="2" t="s">
        <v>6</v>
      </c>
      <c r="AB533" s="2" t="str">
        <f t="shared" si="708"/>
        <v>-</v>
      </c>
      <c r="AC533" s="2" t="s">
        <v>304</v>
      </c>
      <c r="AD533" s="2" t="str">
        <f t="shared" si="709"/>
        <v>_</v>
      </c>
      <c r="AE533" s="2" t="s">
        <v>13</v>
      </c>
      <c r="AF533" s="2" t="str">
        <f>IF(NOT(ISBLANK(AG533)),"_","")</f>
        <v>_</v>
      </c>
      <c r="AG533" s="2" t="s">
        <v>307</v>
      </c>
      <c r="AH533" s="2" t="str">
        <f t="shared" si="713"/>
        <v/>
      </c>
      <c r="AI533" s="2"/>
    </row>
    <row r="534" spans="2:35" x14ac:dyDescent="0.25">
      <c r="B534" s="2" t="str">
        <f t="shared" si="714"/>
        <v>@color-water_contours_label</v>
      </c>
      <c r="C534" s="104" t="s">
        <v>309</v>
      </c>
      <c r="D534" s="107" t="s">
        <v>312</v>
      </c>
      <c r="F534" s="102" t="s">
        <v>306</v>
      </c>
      <c r="G534" s="102" t="s">
        <v>306</v>
      </c>
      <c r="I534" s="104" t="s">
        <v>309</v>
      </c>
      <c r="J534" s="107" t="s">
        <v>312</v>
      </c>
      <c r="L534" s="102" t="s">
        <v>306</v>
      </c>
      <c r="M534" s="102" t="s">
        <v>306</v>
      </c>
      <c r="U534" s="104" t="s">
        <v>309</v>
      </c>
      <c r="V534" s="107" t="s">
        <v>312</v>
      </c>
      <c r="X534" s="102" t="s">
        <v>306</v>
      </c>
      <c r="Y534" s="102" t="s">
        <v>306</v>
      </c>
      <c r="AA534" s="2" t="s">
        <v>6</v>
      </c>
      <c r="AB534" s="2" t="str">
        <f t="shared" si="708"/>
        <v>-</v>
      </c>
      <c r="AC534" s="2" t="s">
        <v>304</v>
      </c>
      <c r="AD534" s="2" t="str">
        <f t="shared" si="709"/>
        <v>_</v>
      </c>
      <c r="AE534" s="2" t="s">
        <v>262</v>
      </c>
      <c r="AF534" s="2" t="str">
        <f t="shared" ref="AF534:AF553" si="715">IF(NOT(ISBLANK(AG534)),"_","")</f>
        <v/>
      </c>
      <c r="AG534" s="2"/>
      <c r="AH534" s="2" t="str">
        <f t="shared" si="713"/>
        <v/>
      </c>
      <c r="AI534" s="2"/>
    </row>
    <row r="535" spans="2:35" x14ac:dyDescent="0.25">
      <c r="B535" s="2" t="str">
        <f t="shared" ref="B535" si="716">_xlfn.CONCAT("@",AA535,AB535,AC535,AD535,AE535,AF535,AG535,AH535,AI535)</f>
        <v>@color-water_shipping_lane</v>
      </c>
      <c r="C535" s="47" t="s">
        <v>210</v>
      </c>
      <c r="D535" s="47" t="s">
        <v>210</v>
      </c>
      <c r="F535" s="46" t="s">
        <v>218</v>
      </c>
      <c r="G535" s="46" t="s">
        <v>218</v>
      </c>
      <c r="I535" s="47" t="s">
        <v>210</v>
      </c>
      <c r="J535" s="47" t="s">
        <v>210</v>
      </c>
      <c r="L535" s="46" t="s">
        <v>218</v>
      </c>
      <c r="M535" s="46" t="s">
        <v>218</v>
      </c>
      <c r="U535" s="47" t="s">
        <v>210</v>
      </c>
      <c r="V535" s="47" t="s">
        <v>210</v>
      </c>
      <c r="X535" s="46" t="s">
        <v>218</v>
      </c>
      <c r="Y535" s="46" t="s">
        <v>218</v>
      </c>
      <c r="AA535" s="2" t="s">
        <v>6</v>
      </c>
      <c r="AB535" s="2" t="str">
        <f t="shared" si="708"/>
        <v>-</v>
      </c>
      <c r="AC535" s="2" t="s">
        <v>314</v>
      </c>
      <c r="AD535" s="2" t="str">
        <f t="shared" si="709"/>
        <v/>
      </c>
      <c r="AE535" s="2"/>
      <c r="AF535" s="2" t="str">
        <f t="shared" si="715"/>
        <v/>
      </c>
      <c r="AG535" s="2"/>
      <c r="AH535" s="2" t="str">
        <f t="shared" si="713"/>
        <v/>
      </c>
      <c r="AI535" s="2"/>
    </row>
    <row r="536" spans="2:35" x14ac:dyDescent="0.25">
      <c r="B536" s="2" t="str">
        <f t="shared" si="688"/>
        <v>@color-cliff_line</v>
      </c>
      <c r="C536" s="47" t="s">
        <v>210</v>
      </c>
      <c r="D536" s="47" t="s">
        <v>210</v>
      </c>
      <c r="F536" s="46" t="s">
        <v>218</v>
      </c>
      <c r="G536" s="46" t="s">
        <v>218</v>
      </c>
      <c r="I536" s="47" t="s">
        <v>210</v>
      </c>
      <c r="J536" s="47" t="s">
        <v>210</v>
      </c>
      <c r="L536" s="46" t="s">
        <v>218</v>
      </c>
      <c r="M536" s="46" t="s">
        <v>218</v>
      </c>
      <c r="U536" s="47" t="s">
        <v>210</v>
      </c>
      <c r="V536" s="47" t="s">
        <v>210</v>
      </c>
      <c r="X536" s="46" t="s">
        <v>218</v>
      </c>
      <c r="Y536" s="46" t="s">
        <v>218</v>
      </c>
      <c r="AA536" s="2" t="s">
        <v>6</v>
      </c>
      <c r="AB536" s="2" t="str">
        <f t="shared" si="708"/>
        <v>-</v>
      </c>
      <c r="AC536" s="2" t="s">
        <v>261</v>
      </c>
      <c r="AD536" s="2" t="str">
        <f t="shared" si="709"/>
        <v>_</v>
      </c>
      <c r="AE536" s="2" t="s">
        <v>13</v>
      </c>
      <c r="AF536" s="2" t="str">
        <f t="shared" si="715"/>
        <v/>
      </c>
      <c r="AG536" s="2"/>
      <c r="AH536" s="2" t="str">
        <f t="shared" si="713"/>
        <v/>
      </c>
      <c r="AI536" s="2"/>
    </row>
    <row r="537" spans="2:35" x14ac:dyDescent="0.25">
      <c r="AB537" s="28" t="str">
        <f t="shared" si="594"/>
        <v/>
      </c>
      <c r="AD537" s="28" t="str">
        <f t="shared" si="595"/>
        <v/>
      </c>
      <c r="AF537" s="2" t="str">
        <f t="shared" si="715"/>
        <v/>
      </c>
      <c r="AH537" s="2" t="str">
        <f t="shared" si="713"/>
        <v/>
      </c>
    </row>
    <row r="538" spans="2:35" x14ac:dyDescent="0.25">
      <c r="B538" s="2" t="str">
        <f t="shared" si="688"/>
        <v>@line_width-ditch_z12</v>
      </c>
      <c r="C538" s="28" t="s">
        <v>91</v>
      </c>
      <c r="D538" s="28" t="s">
        <v>76</v>
      </c>
      <c r="F538" s="28" t="s">
        <v>91</v>
      </c>
      <c r="G538" s="28" t="s">
        <v>76</v>
      </c>
      <c r="I538" s="28" t="s">
        <v>91</v>
      </c>
      <c r="J538" s="28" t="s">
        <v>76</v>
      </c>
      <c r="L538" s="28" t="s">
        <v>91</v>
      </c>
      <c r="M538" s="28" t="s">
        <v>76</v>
      </c>
      <c r="O538" s="28" t="s">
        <v>91</v>
      </c>
      <c r="P538" s="28" t="s">
        <v>76</v>
      </c>
      <c r="R538" s="28" t="s">
        <v>91</v>
      </c>
      <c r="S538" s="28" t="s">
        <v>76</v>
      </c>
      <c r="U538" s="28" t="s">
        <v>91</v>
      </c>
      <c r="V538" s="28" t="s">
        <v>76</v>
      </c>
      <c r="X538" s="28" t="s">
        <v>91</v>
      </c>
      <c r="Y538" s="28" t="s">
        <v>76</v>
      </c>
      <c r="AA538" s="2" t="s">
        <v>115</v>
      </c>
      <c r="AB538" s="2" t="str">
        <f t="shared" si="594"/>
        <v>-</v>
      </c>
      <c r="AC538" s="28" t="s">
        <v>315</v>
      </c>
      <c r="AD538" s="2" t="str">
        <f t="shared" si="595"/>
        <v>_</v>
      </c>
      <c r="AE538" s="28" t="s">
        <v>105</v>
      </c>
      <c r="AF538" s="2" t="str">
        <f t="shared" si="715"/>
        <v/>
      </c>
      <c r="AH538" s="2" t="str">
        <f t="shared" si="713"/>
        <v/>
      </c>
    </row>
    <row r="539" spans="2:35" x14ac:dyDescent="0.25">
      <c r="B539" s="2" t="str">
        <f t="shared" si="688"/>
        <v>@line_width-ditch_z14</v>
      </c>
      <c r="C539" s="28" t="s">
        <v>80</v>
      </c>
      <c r="D539" s="28" t="s">
        <v>81</v>
      </c>
      <c r="F539" s="28" t="s">
        <v>80</v>
      </c>
      <c r="G539" s="28" t="s">
        <v>81</v>
      </c>
      <c r="I539" s="28" t="s">
        <v>80</v>
      </c>
      <c r="J539" s="28" t="s">
        <v>81</v>
      </c>
      <c r="L539" s="28" t="s">
        <v>80</v>
      </c>
      <c r="M539" s="28" t="s">
        <v>81</v>
      </c>
      <c r="O539" s="28" t="s">
        <v>80</v>
      </c>
      <c r="P539" s="28" t="s">
        <v>81</v>
      </c>
      <c r="R539" s="28" t="s">
        <v>80</v>
      </c>
      <c r="S539" s="28" t="s">
        <v>81</v>
      </c>
      <c r="U539" s="28" t="s">
        <v>80</v>
      </c>
      <c r="V539" s="28" t="s">
        <v>81</v>
      </c>
      <c r="X539" s="28" t="s">
        <v>80</v>
      </c>
      <c r="Y539" s="28" t="s">
        <v>81</v>
      </c>
      <c r="AA539" s="2" t="s">
        <v>115</v>
      </c>
      <c r="AB539" s="2" t="str">
        <f t="shared" si="594"/>
        <v>-</v>
      </c>
      <c r="AC539" s="28" t="s">
        <v>315</v>
      </c>
      <c r="AD539" s="2" t="str">
        <f t="shared" si="595"/>
        <v>_</v>
      </c>
      <c r="AE539" s="28" t="s">
        <v>70</v>
      </c>
      <c r="AF539" s="2" t="str">
        <f t="shared" si="715"/>
        <v/>
      </c>
      <c r="AH539" s="2" t="str">
        <f t="shared" si="713"/>
        <v/>
      </c>
    </row>
    <row r="540" spans="2:35" x14ac:dyDescent="0.25">
      <c r="B540" s="2" t="str">
        <f t="shared" si="688"/>
        <v>@line_width-ditch_z16</v>
      </c>
      <c r="C540" s="28" t="s">
        <v>88</v>
      </c>
      <c r="D540" s="28" t="s">
        <v>88</v>
      </c>
      <c r="F540" s="28" t="s">
        <v>88</v>
      </c>
      <c r="G540" s="28" t="s">
        <v>88</v>
      </c>
      <c r="I540" s="28" t="s">
        <v>88</v>
      </c>
      <c r="J540" s="28" t="s">
        <v>88</v>
      </c>
      <c r="L540" s="28" t="s">
        <v>88</v>
      </c>
      <c r="M540" s="28" t="s">
        <v>88</v>
      </c>
      <c r="O540" s="28" t="s">
        <v>88</v>
      </c>
      <c r="P540" s="28" t="s">
        <v>88</v>
      </c>
      <c r="R540" s="28" t="s">
        <v>88</v>
      </c>
      <c r="S540" s="28" t="s">
        <v>88</v>
      </c>
      <c r="U540" s="28" t="s">
        <v>88</v>
      </c>
      <c r="V540" s="28" t="s">
        <v>88</v>
      </c>
      <c r="X540" s="28" t="s">
        <v>88</v>
      </c>
      <c r="Y540" s="28" t="s">
        <v>88</v>
      </c>
      <c r="AA540" s="2" t="s">
        <v>115</v>
      </c>
      <c r="AB540" s="2" t="str">
        <f t="shared" si="594"/>
        <v>-</v>
      </c>
      <c r="AC540" s="28" t="s">
        <v>315</v>
      </c>
      <c r="AD540" s="2" t="str">
        <f t="shared" si="595"/>
        <v>_</v>
      </c>
      <c r="AE540" s="28" t="s">
        <v>71</v>
      </c>
      <c r="AF540" s="2" t="str">
        <f t="shared" si="715"/>
        <v/>
      </c>
      <c r="AH540" s="2" t="str">
        <f t="shared" si="713"/>
        <v/>
      </c>
    </row>
    <row r="541" spans="2:35" x14ac:dyDescent="0.25">
      <c r="B541" s="2" t="str">
        <f t="shared" si="688"/>
        <v>@line_width-ditch_z18</v>
      </c>
      <c r="C541" s="28" t="s">
        <v>317</v>
      </c>
      <c r="D541" s="28" t="s">
        <v>317</v>
      </c>
      <c r="F541" s="28" t="s">
        <v>317</v>
      </c>
      <c r="G541" s="28" t="s">
        <v>317</v>
      </c>
      <c r="I541" s="28" t="s">
        <v>317</v>
      </c>
      <c r="J541" s="28" t="s">
        <v>317</v>
      </c>
      <c r="L541" s="28" t="s">
        <v>317</v>
      </c>
      <c r="M541" s="28" t="s">
        <v>317</v>
      </c>
      <c r="O541" s="28" t="s">
        <v>317</v>
      </c>
      <c r="P541" s="28" t="s">
        <v>317</v>
      </c>
      <c r="R541" s="28" t="s">
        <v>317</v>
      </c>
      <c r="S541" s="28" t="s">
        <v>317</v>
      </c>
      <c r="U541" s="28" t="s">
        <v>317</v>
      </c>
      <c r="V541" s="28" t="s">
        <v>317</v>
      </c>
      <c r="X541" s="28" t="s">
        <v>317</v>
      </c>
      <c r="Y541" s="28" t="s">
        <v>317</v>
      </c>
      <c r="AA541" s="2" t="s">
        <v>115</v>
      </c>
      <c r="AB541" s="2" t="str">
        <f t="shared" si="594"/>
        <v>-</v>
      </c>
      <c r="AC541" s="28" t="s">
        <v>315</v>
      </c>
      <c r="AD541" s="2" t="str">
        <f t="shared" si="595"/>
        <v>_</v>
      </c>
      <c r="AE541" s="28" t="s">
        <v>72</v>
      </c>
      <c r="AF541" s="2" t="str">
        <f t="shared" si="715"/>
        <v/>
      </c>
      <c r="AH541" s="2" t="str">
        <f t="shared" si="713"/>
        <v/>
      </c>
    </row>
    <row r="542" spans="2:35" x14ac:dyDescent="0.25">
      <c r="B542" s="2"/>
      <c r="AA542" s="2"/>
      <c r="AB542" s="2"/>
      <c r="AD542" s="2"/>
      <c r="AF542" s="2"/>
      <c r="AH542" s="2"/>
    </row>
    <row r="543" spans="2:35" x14ac:dyDescent="0.25">
      <c r="B543" s="2" t="str">
        <f t="shared" ref="B543:B546" si="717">_xlfn.CONCAT("@",AA543,AB543,AC543,AD543,AE543,AF543,AG543,AH543,AI543)</f>
        <v>@line_width-stream_z12</v>
      </c>
      <c r="C543" s="28" t="s">
        <v>76</v>
      </c>
      <c r="D543" s="28" t="s">
        <v>81</v>
      </c>
      <c r="F543" s="28" t="s">
        <v>76</v>
      </c>
      <c r="G543" s="28" t="s">
        <v>81</v>
      </c>
      <c r="I543" s="28" t="s">
        <v>76</v>
      </c>
      <c r="J543" s="28" t="s">
        <v>81</v>
      </c>
      <c r="L543" s="28" t="s">
        <v>76</v>
      </c>
      <c r="M543" s="28" t="s">
        <v>81</v>
      </c>
      <c r="O543" s="28" t="s">
        <v>76</v>
      </c>
      <c r="P543" s="28" t="s">
        <v>81</v>
      </c>
      <c r="R543" s="28" t="s">
        <v>76</v>
      </c>
      <c r="S543" s="28" t="s">
        <v>81</v>
      </c>
      <c r="U543" s="28" t="s">
        <v>76</v>
      </c>
      <c r="V543" s="28" t="s">
        <v>81</v>
      </c>
      <c r="X543" s="28" t="s">
        <v>76</v>
      </c>
      <c r="Y543" s="28" t="s">
        <v>81</v>
      </c>
      <c r="AA543" s="2" t="s">
        <v>115</v>
      </c>
      <c r="AB543" s="2" t="str">
        <f t="shared" ref="AB543:AB546" si="718">IF(NOT(ISBLANK(AC543)),"-","")</f>
        <v>-</v>
      </c>
      <c r="AC543" s="28" t="s">
        <v>316</v>
      </c>
      <c r="AD543" s="2" t="str">
        <f t="shared" ref="AD543:AD546" si="719">IF(NOT(ISBLANK(AE543)),"_","")</f>
        <v>_</v>
      </c>
      <c r="AE543" s="28" t="s">
        <v>105</v>
      </c>
      <c r="AF543" s="2" t="str">
        <f t="shared" si="715"/>
        <v/>
      </c>
      <c r="AH543" s="2" t="str">
        <f t="shared" si="713"/>
        <v/>
      </c>
    </row>
    <row r="544" spans="2:35" x14ac:dyDescent="0.25">
      <c r="B544" s="2" t="str">
        <f t="shared" si="717"/>
        <v>@line_width-stream_z14</v>
      </c>
      <c r="C544" s="28" t="s">
        <v>86</v>
      </c>
      <c r="D544" s="28" t="s">
        <v>84</v>
      </c>
      <c r="F544" s="28" t="s">
        <v>86</v>
      </c>
      <c r="G544" s="28" t="s">
        <v>84</v>
      </c>
      <c r="I544" s="28" t="s">
        <v>86</v>
      </c>
      <c r="J544" s="28" t="s">
        <v>84</v>
      </c>
      <c r="L544" s="28" t="s">
        <v>86</v>
      </c>
      <c r="M544" s="28" t="s">
        <v>84</v>
      </c>
      <c r="O544" s="28" t="s">
        <v>86</v>
      </c>
      <c r="P544" s="28" t="s">
        <v>84</v>
      </c>
      <c r="R544" s="28" t="s">
        <v>86</v>
      </c>
      <c r="S544" s="28" t="s">
        <v>84</v>
      </c>
      <c r="U544" s="28" t="s">
        <v>86</v>
      </c>
      <c r="V544" s="28" t="s">
        <v>84</v>
      </c>
      <c r="X544" s="28" t="s">
        <v>86</v>
      </c>
      <c r="Y544" s="28" t="s">
        <v>84</v>
      </c>
      <c r="AA544" s="2" t="s">
        <v>115</v>
      </c>
      <c r="AB544" s="2" t="str">
        <f t="shared" si="718"/>
        <v>-</v>
      </c>
      <c r="AC544" s="28" t="s">
        <v>316</v>
      </c>
      <c r="AD544" s="2" t="str">
        <f t="shared" si="719"/>
        <v>_</v>
      </c>
      <c r="AE544" s="28" t="s">
        <v>70</v>
      </c>
      <c r="AF544" s="2" t="str">
        <f t="shared" si="715"/>
        <v/>
      </c>
      <c r="AH544" s="2" t="str">
        <f t="shared" si="713"/>
        <v/>
      </c>
    </row>
    <row r="545" spans="1:35" x14ac:dyDescent="0.25">
      <c r="B545" s="2" t="str">
        <f t="shared" si="717"/>
        <v>@line_width-stream_z16</v>
      </c>
      <c r="C545" s="28" t="s">
        <v>82</v>
      </c>
      <c r="D545" s="28" t="s">
        <v>82</v>
      </c>
      <c r="F545" s="28" t="s">
        <v>82</v>
      </c>
      <c r="G545" s="28" t="s">
        <v>82</v>
      </c>
      <c r="I545" s="28" t="s">
        <v>82</v>
      </c>
      <c r="J545" s="28" t="s">
        <v>82</v>
      </c>
      <c r="L545" s="28" t="s">
        <v>82</v>
      </c>
      <c r="M545" s="28" t="s">
        <v>82</v>
      </c>
      <c r="O545" s="28" t="s">
        <v>82</v>
      </c>
      <c r="P545" s="28" t="s">
        <v>82</v>
      </c>
      <c r="R545" s="28" t="s">
        <v>82</v>
      </c>
      <c r="S545" s="28" t="s">
        <v>82</v>
      </c>
      <c r="U545" s="28" t="s">
        <v>82</v>
      </c>
      <c r="V545" s="28" t="s">
        <v>82</v>
      </c>
      <c r="X545" s="28" t="s">
        <v>82</v>
      </c>
      <c r="Y545" s="28" t="s">
        <v>82</v>
      </c>
      <c r="AA545" s="2" t="s">
        <v>115</v>
      </c>
      <c r="AB545" s="2" t="str">
        <f t="shared" si="718"/>
        <v>-</v>
      </c>
      <c r="AC545" s="28" t="s">
        <v>316</v>
      </c>
      <c r="AD545" s="2" t="str">
        <f t="shared" si="719"/>
        <v>_</v>
      </c>
      <c r="AE545" s="28" t="s">
        <v>71</v>
      </c>
      <c r="AF545" s="2" t="str">
        <f t="shared" si="715"/>
        <v/>
      </c>
      <c r="AH545" s="2" t="str">
        <f t="shared" si="713"/>
        <v/>
      </c>
    </row>
    <row r="546" spans="1:35" x14ac:dyDescent="0.25">
      <c r="B546" s="2" t="str">
        <f t="shared" si="717"/>
        <v>@line_width-stream_z18</v>
      </c>
      <c r="C546" s="28" t="s">
        <v>318</v>
      </c>
      <c r="D546" s="28" t="s">
        <v>318</v>
      </c>
      <c r="F546" s="28" t="s">
        <v>318</v>
      </c>
      <c r="G546" s="28" t="s">
        <v>318</v>
      </c>
      <c r="I546" s="28" t="s">
        <v>318</v>
      </c>
      <c r="J546" s="28" t="s">
        <v>318</v>
      </c>
      <c r="L546" s="28" t="s">
        <v>318</v>
      </c>
      <c r="M546" s="28" t="s">
        <v>318</v>
      </c>
      <c r="O546" s="28" t="s">
        <v>318</v>
      </c>
      <c r="P546" s="28" t="s">
        <v>318</v>
      </c>
      <c r="R546" s="28" t="s">
        <v>318</v>
      </c>
      <c r="S546" s="28" t="s">
        <v>318</v>
      </c>
      <c r="U546" s="28" t="s">
        <v>318</v>
      </c>
      <c r="V546" s="28" t="s">
        <v>318</v>
      </c>
      <c r="X546" s="28" t="s">
        <v>318</v>
      </c>
      <c r="Y546" s="28" t="s">
        <v>318</v>
      </c>
      <c r="AA546" s="2" t="s">
        <v>115</v>
      </c>
      <c r="AB546" s="2" t="str">
        <f t="shared" si="718"/>
        <v>-</v>
      </c>
      <c r="AC546" s="28" t="s">
        <v>316</v>
      </c>
      <c r="AD546" s="2" t="str">
        <f t="shared" si="719"/>
        <v>_</v>
      </c>
      <c r="AE546" s="28" t="s">
        <v>72</v>
      </c>
      <c r="AF546" s="2" t="str">
        <f t="shared" si="715"/>
        <v/>
      </c>
      <c r="AH546" s="2" t="str">
        <f t="shared" si="713"/>
        <v/>
      </c>
    </row>
    <row r="547" spans="1:35" x14ac:dyDescent="0.25">
      <c r="B547" s="2"/>
      <c r="AA547" s="2"/>
      <c r="AB547" s="2"/>
      <c r="AD547" s="2"/>
      <c r="AF547" s="2"/>
      <c r="AH547" s="2"/>
    </row>
    <row r="548" spans="1:35" x14ac:dyDescent="0.25">
      <c r="B548" s="2" t="str">
        <f t="shared" ref="B548:B550" si="720">_xlfn.CONCAT("@",AA548,AB548,AC548,AD548,AE548,AF548,AG548,AH548,AI548)</f>
        <v>@line_width-canal_z13</v>
      </c>
      <c r="C548" s="28" t="s">
        <v>91</v>
      </c>
      <c r="D548" s="28" t="s">
        <v>76</v>
      </c>
      <c r="F548" s="28" t="s">
        <v>91</v>
      </c>
      <c r="G548" s="28" t="s">
        <v>76</v>
      </c>
      <c r="I548" s="28" t="s">
        <v>91</v>
      </c>
      <c r="J548" s="28" t="s">
        <v>76</v>
      </c>
      <c r="L548" s="28" t="s">
        <v>91</v>
      </c>
      <c r="M548" s="28" t="s">
        <v>76</v>
      </c>
      <c r="O548" s="28" t="s">
        <v>91</v>
      </c>
      <c r="P548" s="28" t="s">
        <v>76</v>
      </c>
      <c r="R548" s="28" t="s">
        <v>91</v>
      </c>
      <c r="S548" s="28" t="s">
        <v>76</v>
      </c>
      <c r="U548" s="28" t="s">
        <v>91</v>
      </c>
      <c r="V548" s="28" t="s">
        <v>76</v>
      </c>
      <c r="X548" s="28" t="s">
        <v>91</v>
      </c>
      <c r="Y548" s="28" t="s">
        <v>76</v>
      </c>
      <c r="AA548" s="2" t="s">
        <v>115</v>
      </c>
      <c r="AB548" s="2" t="str">
        <f t="shared" ref="AB548:AB550" si="721">IF(NOT(ISBLANK(AC548)),"-","")</f>
        <v>-</v>
      </c>
      <c r="AC548" s="28" t="s">
        <v>319</v>
      </c>
      <c r="AD548" s="2" t="str">
        <f t="shared" ref="AD548:AD550" si="722">IF(NOT(ISBLANK(AE548)),"_","")</f>
        <v>_</v>
      </c>
      <c r="AE548" s="28" t="s">
        <v>320</v>
      </c>
      <c r="AF548" s="2" t="str">
        <f t="shared" si="715"/>
        <v/>
      </c>
      <c r="AH548" s="2" t="str">
        <f t="shared" si="713"/>
        <v/>
      </c>
    </row>
    <row r="549" spans="1:35" x14ac:dyDescent="0.25">
      <c r="B549" s="2" t="str">
        <f t="shared" si="720"/>
        <v>@line_width-canal_z16</v>
      </c>
      <c r="C549" s="28" t="s">
        <v>124</v>
      </c>
      <c r="D549" s="28" t="s">
        <v>82</v>
      </c>
      <c r="F549" s="28" t="s">
        <v>124</v>
      </c>
      <c r="G549" s="28" t="s">
        <v>82</v>
      </c>
      <c r="I549" s="28" t="s">
        <v>124</v>
      </c>
      <c r="J549" s="28" t="s">
        <v>82</v>
      </c>
      <c r="L549" s="28" t="s">
        <v>124</v>
      </c>
      <c r="M549" s="28" t="s">
        <v>82</v>
      </c>
      <c r="O549" s="28" t="s">
        <v>124</v>
      </c>
      <c r="P549" s="28" t="s">
        <v>82</v>
      </c>
      <c r="R549" s="28" t="s">
        <v>124</v>
      </c>
      <c r="S549" s="28" t="s">
        <v>82</v>
      </c>
      <c r="U549" s="28" t="s">
        <v>124</v>
      </c>
      <c r="V549" s="28" t="s">
        <v>82</v>
      </c>
      <c r="X549" s="28" t="s">
        <v>124</v>
      </c>
      <c r="Y549" s="28" t="s">
        <v>82</v>
      </c>
      <c r="AA549" s="2" t="s">
        <v>115</v>
      </c>
      <c r="AB549" s="2" t="str">
        <f t="shared" si="721"/>
        <v>-</v>
      </c>
      <c r="AC549" s="28" t="s">
        <v>319</v>
      </c>
      <c r="AD549" s="2" t="str">
        <f t="shared" si="722"/>
        <v>_</v>
      </c>
      <c r="AE549" s="28" t="s">
        <v>71</v>
      </c>
      <c r="AF549" s="2" t="str">
        <f t="shared" si="715"/>
        <v/>
      </c>
      <c r="AH549" s="2" t="str">
        <f t="shared" si="713"/>
        <v/>
      </c>
    </row>
    <row r="550" spans="1:35" x14ac:dyDescent="0.25">
      <c r="B550" s="2" t="str">
        <f t="shared" si="720"/>
        <v>@line_width-canal_z20</v>
      </c>
      <c r="C550" s="28" t="s">
        <v>82</v>
      </c>
      <c r="D550" s="28" t="s">
        <v>83</v>
      </c>
      <c r="F550" s="28" t="s">
        <v>82</v>
      </c>
      <c r="G550" s="28" t="s">
        <v>83</v>
      </c>
      <c r="I550" s="28" t="s">
        <v>82</v>
      </c>
      <c r="J550" s="28" t="s">
        <v>83</v>
      </c>
      <c r="L550" s="28" t="s">
        <v>82</v>
      </c>
      <c r="M550" s="28" t="s">
        <v>83</v>
      </c>
      <c r="O550" s="28" t="s">
        <v>82</v>
      </c>
      <c r="P550" s="28" t="s">
        <v>83</v>
      </c>
      <c r="R550" s="28" t="s">
        <v>82</v>
      </c>
      <c r="S550" s="28" t="s">
        <v>83</v>
      </c>
      <c r="U550" s="28" t="s">
        <v>82</v>
      </c>
      <c r="V550" s="28" t="s">
        <v>83</v>
      </c>
      <c r="X550" s="28" t="s">
        <v>82</v>
      </c>
      <c r="Y550" s="28" t="s">
        <v>83</v>
      </c>
      <c r="AA550" s="2" t="s">
        <v>115</v>
      </c>
      <c r="AB550" s="2" t="str">
        <f t="shared" si="721"/>
        <v>-</v>
      </c>
      <c r="AC550" s="28" t="s">
        <v>319</v>
      </c>
      <c r="AD550" s="2" t="str">
        <f t="shared" si="722"/>
        <v>_</v>
      </c>
      <c r="AE550" s="28" t="s">
        <v>135</v>
      </c>
      <c r="AF550" s="2" t="str">
        <f t="shared" si="715"/>
        <v/>
      </c>
      <c r="AH550" s="2" t="str">
        <f t="shared" si="713"/>
        <v/>
      </c>
    </row>
    <row r="551" spans="1:35" x14ac:dyDescent="0.25">
      <c r="B551" s="2"/>
      <c r="AA551" s="2"/>
      <c r="AB551" s="2"/>
      <c r="AD551" s="2"/>
      <c r="AF551" s="2"/>
      <c r="AH551" s="2"/>
    </row>
    <row r="552" spans="1:35" x14ac:dyDescent="0.25">
      <c r="B552" s="2" t="str">
        <f t="shared" ref="B552:B553" si="723">_xlfn.CONCAT("@",AA552,AB552,AC552,AD552,AE552,AF552,AG552,AH552,AI552)</f>
        <v>@line_width-river_z10</v>
      </c>
      <c r="C552" s="28" t="s">
        <v>92</v>
      </c>
      <c r="D552" s="28" t="s">
        <v>93</v>
      </c>
      <c r="F552" s="28" t="s">
        <v>92</v>
      </c>
      <c r="G552" s="28" t="s">
        <v>93</v>
      </c>
      <c r="I552" s="28" t="s">
        <v>92</v>
      </c>
      <c r="J552" s="28" t="s">
        <v>93</v>
      </c>
      <c r="L552" s="28" t="s">
        <v>92</v>
      </c>
      <c r="M552" s="28" t="s">
        <v>93</v>
      </c>
      <c r="O552" s="28" t="s">
        <v>92</v>
      </c>
      <c r="P552" s="28" t="s">
        <v>93</v>
      </c>
      <c r="R552" s="28" t="s">
        <v>92</v>
      </c>
      <c r="S552" s="28" t="s">
        <v>93</v>
      </c>
      <c r="U552" s="28" t="s">
        <v>92</v>
      </c>
      <c r="V552" s="28" t="s">
        <v>93</v>
      </c>
      <c r="X552" s="28" t="s">
        <v>92</v>
      </c>
      <c r="Y552" s="28" t="s">
        <v>93</v>
      </c>
      <c r="AA552" s="2" t="s">
        <v>115</v>
      </c>
      <c r="AB552" s="2" t="str">
        <f t="shared" ref="AB552:AB553" si="724">IF(NOT(ISBLANK(AC552)),"-","")</f>
        <v>-</v>
      </c>
      <c r="AC552" s="28" t="s">
        <v>321</v>
      </c>
      <c r="AD552" s="2" t="str">
        <f t="shared" ref="AD552:AD553" si="725">IF(NOT(ISBLANK(AE552)),"_","")</f>
        <v>_</v>
      </c>
      <c r="AE552" s="28" t="s">
        <v>99</v>
      </c>
      <c r="AF552" s="2" t="str">
        <f t="shared" si="715"/>
        <v/>
      </c>
      <c r="AH552" s="2" t="str">
        <f t="shared" si="713"/>
        <v/>
      </c>
    </row>
    <row r="553" spans="1:35" x14ac:dyDescent="0.25">
      <c r="B553" s="2" t="str">
        <f t="shared" si="723"/>
        <v>@line_width-river_z20</v>
      </c>
      <c r="C553" s="28" t="s">
        <v>82</v>
      </c>
      <c r="D553" s="28" t="s">
        <v>322</v>
      </c>
      <c r="F553" s="28" t="s">
        <v>82</v>
      </c>
      <c r="G553" s="28" t="s">
        <v>322</v>
      </c>
      <c r="I553" s="28" t="s">
        <v>82</v>
      </c>
      <c r="J553" s="28" t="s">
        <v>322</v>
      </c>
      <c r="L553" s="28" t="s">
        <v>82</v>
      </c>
      <c r="M553" s="28" t="s">
        <v>322</v>
      </c>
      <c r="O553" s="28" t="s">
        <v>82</v>
      </c>
      <c r="P553" s="28" t="s">
        <v>322</v>
      </c>
      <c r="R553" s="28" t="s">
        <v>82</v>
      </c>
      <c r="S553" s="28" t="s">
        <v>322</v>
      </c>
      <c r="U553" s="28" t="s">
        <v>82</v>
      </c>
      <c r="V553" s="28" t="s">
        <v>322</v>
      </c>
      <c r="X553" s="28" t="s">
        <v>82</v>
      </c>
      <c r="Y553" s="28" t="s">
        <v>322</v>
      </c>
      <c r="AA553" s="2" t="s">
        <v>115</v>
      </c>
      <c r="AB553" s="2" t="str">
        <f t="shared" si="724"/>
        <v>-</v>
      </c>
      <c r="AC553" s="28" t="s">
        <v>321</v>
      </c>
      <c r="AD553" s="2" t="str">
        <f t="shared" si="725"/>
        <v>_</v>
      </c>
      <c r="AE553" s="28" t="s">
        <v>135</v>
      </c>
      <c r="AF553" s="2" t="str">
        <f t="shared" si="715"/>
        <v/>
      </c>
      <c r="AH553" s="2" t="str">
        <f t="shared" si="713"/>
        <v/>
      </c>
    </row>
    <row r="554" spans="1:35" x14ac:dyDescent="0.25">
      <c r="AA554" s="2"/>
    </row>
    <row r="555" spans="1:35" s="5" customFormat="1" x14ac:dyDescent="0.25">
      <c r="A555" s="184" t="s">
        <v>453</v>
      </c>
      <c r="B555" s="184"/>
      <c r="C555" s="184"/>
      <c r="D555" s="184"/>
      <c r="F555" s="184"/>
      <c r="G555" s="184"/>
      <c r="I555" s="184"/>
      <c r="J555" s="184"/>
      <c r="L555" s="184"/>
      <c r="M555" s="184"/>
      <c r="O555" s="184"/>
      <c r="P555" s="184"/>
      <c r="R555" s="184"/>
      <c r="S555" s="184"/>
      <c r="U555" s="184"/>
      <c r="V555" s="184"/>
      <c r="X555" s="184"/>
      <c r="Y555" s="184"/>
      <c r="AA555" s="184"/>
      <c r="AB555" s="184" t="str">
        <f t="shared" si="594"/>
        <v/>
      </c>
      <c r="AC555" s="184"/>
      <c r="AD555" s="184" t="str">
        <f t="shared" si="595"/>
        <v/>
      </c>
      <c r="AE555" s="184"/>
      <c r="AF555" s="184" t="str">
        <f t="shared" si="596"/>
        <v/>
      </c>
      <c r="AG555" s="184"/>
      <c r="AH555" s="184" t="str">
        <f t="shared" ref="AH555:AH592" si="726">IF(NOT(ISBLANK(AI555)),"_","")</f>
        <v/>
      </c>
      <c r="AI555" s="184"/>
    </row>
    <row r="556" spans="1:35" x14ac:dyDescent="0.25">
      <c r="AB556" s="28" t="str">
        <f t="shared" si="594"/>
        <v/>
      </c>
      <c r="AD556" s="28" t="str">
        <f t="shared" si="595"/>
        <v/>
      </c>
      <c r="AF556" s="2" t="str">
        <f t="shared" si="596"/>
        <v/>
      </c>
      <c r="AH556" s="2" t="str">
        <f t="shared" si="726"/>
        <v/>
      </c>
    </row>
    <row r="557" spans="1:35" s="2" customFormat="1" x14ac:dyDescent="0.25">
      <c r="A557" s="185"/>
      <c r="B557" s="3" t="s">
        <v>459</v>
      </c>
      <c r="C557" s="27"/>
      <c r="D557" s="6"/>
      <c r="E557" s="7"/>
      <c r="F557" s="6"/>
      <c r="G557" s="6"/>
      <c r="H557" s="7"/>
      <c r="I557" s="6"/>
      <c r="J557" s="6"/>
      <c r="K557" s="7"/>
      <c r="L557" s="6"/>
      <c r="M557" s="6"/>
      <c r="N557" s="7"/>
      <c r="O557" s="6"/>
      <c r="P557" s="6"/>
      <c r="Q557" s="7"/>
      <c r="R557" s="6"/>
      <c r="S557" s="6"/>
      <c r="T557" s="7"/>
      <c r="U557" s="6"/>
      <c r="V557" s="6"/>
      <c r="W557" s="7"/>
      <c r="X557" s="6"/>
      <c r="Y557" s="6"/>
      <c r="AA557" s="4"/>
      <c r="AB557" s="4" t="str">
        <f t="shared" si="594"/>
        <v/>
      </c>
      <c r="AC557" s="4"/>
      <c r="AD557" s="4" t="str">
        <f t="shared" si="595"/>
        <v/>
      </c>
      <c r="AE557" s="4"/>
      <c r="AF557" s="4" t="str">
        <f t="shared" si="596"/>
        <v/>
      </c>
      <c r="AG557" s="4"/>
      <c r="AH557" s="4" t="str">
        <f t="shared" si="726"/>
        <v/>
      </c>
      <c r="AI557" s="4"/>
    </row>
    <row r="558" spans="1:35" x14ac:dyDescent="0.25">
      <c r="AB558" s="28" t="str">
        <f t="shared" si="594"/>
        <v/>
      </c>
      <c r="AD558" s="28" t="str">
        <f t="shared" si="595"/>
        <v/>
      </c>
      <c r="AF558" s="28" t="str">
        <f t="shared" si="596"/>
        <v/>
      </c>
      <c r="AH558" s="28" t="str">
        <f t="shared" si="726"/>
        <v/>
      </c>
    </row>
    <row r="559" spans="1:35" x14ac:dyDescent="0.25">
      <c r="B559" s="2" t="str">
        <f t="shared" ref="B559:B583" si="727">_xlfn.CONCAT("@",AA559,AB559,AC559,AD559,AE559,AF559,AG559,AH559,AI559)</f>
        <v>@color-background</v>
      </c>
      <c r="C559" s="134" t="s">
        <v>188</v>
      </c>
      <c r="D559" s="38" t="s">
        <v>218</v>
      </c>
      <c r="F559" s="37" t="s">
        <v>210</v>
      </c>
      <c r="G559" s="37" t="s">
        <v>210</v>
      </c>
      <c r="I559" s="134" t="s">
        <v>188</v>
      </c>
      <c r="J559" s="38" t="s">
        <v>218</v>
      </c>
      <c r="L559" s="37" t="s">
        <v>210</v>
      </c>
      <c r="M559" s="37" t="s">
        <v>210</v>
      </c>
      <c r="U559" s="134" t="s">
        <v>188</v>
      </c>
      <c r="V559" s="38" t="s">
        <v>218</v>
      </c>
      <c r="X559" s="37" t="s">
        <v>210</v>
      </c>
      <c r="Y559" s="37" t="s">
        <v>210</v>
      </c>
      <c r="AA559" s="2" t="s">
        <v>6</v>
      </c>
      <c r="AB559" s="2" t="str">
        <f t="shared" si="594"/>
        <v>-</v>
      </c>
      <c r="AC559" s="2" t="s">
        <v>62</v>
      </c>
      <c r="AD559" s="2" t="str">
        <f t="shared" si="595"/>
        <v/>
      </c>
      <c r="AE559" s="2"/>
      <c r="AF559" s="2" t="str">
        <f t="shared" si="596"/>
        <v/>
      </c>
      <c r="AG559" s="2"/>
      <c r="AH559" s="2" t="str">
        <f t="shared" si="726"/>
        <v/>
      </c>
      <c r="AI559" s="2"/>
    </row>
    <row r="560" spans="1:35" x14ac:dyDescent="0.25">
      <c r="B560" s="2" t="str">
        <f t="shared" si="727"/>
        <v>@color-water</v>
      </c>
      <c r="C560" s="135" t="s">
        <v>189</v>
      </c>
      <c r="D560" s="136" t="s">
        <v>190</v>
      </c>
      <c r="F560" s="137" t="s">
        <v>229</v>
      </c>
      <c r="G560" s="137" t="s">
        <v>229</v>
      </c>
      <c r="I560" s="135" t="s">
        <v>189</v>
      </c>
      <c r="J560" s="136" t="s">
        <v>190</v>
      </c>
      <c r="L560" s="137" t="s">
        <v>229</v>
      </c>
      <c r="M560" s="137" t="s">
        <v>229</v>
      </c>
      <c r="U560" s="138" t="s">
        <v>397</v>
      </c>
      <c r="V560" s="136" t="s">
        <v>190</v>
      </c>
      <c r="X560" s="137" t="s">
        <v>229</v>
      </c>
      <c r="Y560" s="137" t="s">
        <v>229</v>
      </c>
      <c r="AA560" s="2" t="s">
        <v>6</v>
      </c>
      <c r="AB560" s="2" t="str">
        <f t="shared" si="594"/>
        <v>-</v>
      </c>
      <c r="AC560" s="2" t="s">
        <v>14</v>
      </c>
      <c r="AD560" s="2" t="str">
        <f t="shared" si="595"/>
        <v/>
      </c>
      <c r="AE560" s="2"/>
      <c r="AF560" s="2" t="str">
        <f t="shared" si="596"/>
        <v/>
      </c>
      <c r="AG560" s="2"/>
      <c r="AH560" s="2" t="str">
        <f t="shared" si="726"/>
        <v/>
      </c>
      <c r="AI560" s="2"/>
    </row>
    <row r="561" spans="2:35" x14ac:dyDescent="0.25">
      <c r="B561" s="2" t="str">
        <f t="shared" si="727"/>
        <v>@color-landcover_field</v>
      </c>
      <c r="C561" s="139" t="s">
        <v>191</v>
      </c>
      <c r="D561" s="140" t="s">
        <v>192</v>
      </c>
      <c r="F561" s="141" t="s">
        <v>232</v>
      </c>
      <c r="G561" s="141" t="s">
        <v>232</v>
      </c>
      <c r="I561" s="142" t="s">
        <v>354</v>
      </c>
      <c r="J561" s="140" t="s">
        <v>192</v>
      </c>
      <c r="L561" s="141" t="s">
        <v>232</v>
      </c>
      <c r="M561" s="141" t="s">
        <v>232</v>
      </c>
      <c r="U561" s="143" t="s">
        <v>398</v>
      </c>
      <c r="V561" s="144" t="s">
        <v>399</v>
      </c>
      <c r="X561" s="141" t="s">
        <v>232</v>
      </c>
      <c r="Y561" s="141" t="s">
        <v>232</v>
      </c>
      <c r="AA561" s="2" t="s">
        <v>6</v>
      </c>
      <c r="AB561" s="2" t="str">
        <f t="shared" si="594"/>
        <v>-</v>
      </c>
      <c r="AC561" s="2" t="s">
        <v>47</v>
      </c>
      <c r="AD561" s="2" t="str">
        <f t="shared" si="595"/>
        <v>_</v>
      </c>
      <c r="AE561" s="2" t="s">
        <v>42</v>
      </c>
      <c r="AF561" s="2" t="str">
        <f t="shared" si="596"/>
        <v/>
      </c>
      <c r="AG561" s="2"/>
      <c r="AH561" s="2" t="str">
        <f t="shared" si="726"/>
        <v/>
      </c>
      <c r="AI561" s="2"/>
    </row>
    <row r="562" spans="2:35" x14ac:dyDescent="0.25">
      <c r="B562" s="2" t="str">
        <f t="shared" si="727"/>
        <v>@color-landcover_meadow</v>
      </c>
      <c r="C562" s="145" t="s">
        <v>193</v>
      </c>
      <c r="D562" s="146" t="s">
        <v>194</v>
      </c>
      <c r="F562" s="147" t="s">
        <v>231</v>
      </c>
      <c r="G562" s="147" t="s">
        <v>231</v>
      </c>
      <c r="I562" s="148" t="s">
        <v>355</v>
      </c>
      <c r="J562" s="146" t="s">
        <v>194</v>
      </c>
      <c r="L562" s="147" t="s">
        <v>231</v>
      </c>
      <c r="M562" s="147" t="s">
        <v>231</v>
      </c>
      <c r="U562" s="149" t="s">
        <v>400</v>
      </c>
      <c r="V562" s="150" t="s">
        <v>401</v>
      </c>
      <c r="X562" s="151" t="s">
        <v>404</v>
      </c>
      <c r="Y562" s="151" t="s">
        <v>404</v>
      </c>
      <c r="AA562" s="2" t="s">
        <v>6</v>
      </c>
      <c r="AB562" s="2" t="str">
        <f t="shared" si="594"/>
        <v>-</v>
      </c>
      <c r="AC562" s="2" t="s">
        <v>47</v>
      </c>
      <c r="AD562" s="2" t="str">
        <f t="shared" si="595"/>
        <v>_</v>
      </c>
      <c r="AE562" s="2" t="s">
        <v>43</v>
      </c>
      <c r="AF562" s="2" t="str">
        <f t="shared" si="596"/>
        <v/>
      </c>
      <c r="AG562" s="2"/>
      <c r="AH562" s="2" t="str">
        <f t="shared" si="726"/>
        <v/>
      </c>
      <c r="AI562" s="2"/>
    </row>
    <row r="563" spans="2:35" x14ac:dyDescent="0.25">
      <c r="B563" s="2" t="str">
        <f t="shared" si="727"/>
        <v>@color-landcover_bare_rock</v>
      </c>
      <c r="C563" s="152" t="s">
        <v>195</v>
      </c>
      <c r="D563" s="152" t="s">
        <v>195</v>
      </c>
      <c r="F563" s="153" t="s">
        <v>236</v>
      </c>
      <c r="G563" s="153" t="s">
        <v>236</v>
      </c>
      <c r="I563" s="152" t="s">
        <v>195</v>
      </c>
      <c r="J563" s="152" t="s">
        <v>195</v>
      </c>
      <c r="L563" s="153" t="s">
        <v>236</v>
      </c>
      <c r="M563" s="153" t="s">
        <v>236</v>
      </c>
      <c r="U563" s="152" t="s">
        <v>195</v>
      </c>
      <c r="V563" s="152" t="s">
        <v>195</v>
      </c>
      <c r="X563" s="153" t="s">
        <v>236</v>
      </c>
      <c r="Y563" s="153" t="s">
        <v>236</v>
      </c>
      <c r="AA563" s="2" t="s">
        <v>6</v>
      </c>
      <c r="AB563" s="2" t="str">
        <f t="shared" si="594"/>
        <v>-</v>
      </c>
      <c r="AC563" s="2" t="s">
        <v>47</v>
      </c>
      <c r="AD563" s="2" t="str">
        <f t="shared" si="595"/>
        <v>_</v>
      </c>
      <c r="AE563" s="2" t="s">
        <v>44</v>
      </c>
      <c r="AF563" s="2" t="str">
        <f t="shared" si="596"/>
        <v/>
      </c>
      <c r="AG563" s="2"/>
      <c r="AH563" s="2" t="str">
        <f t="shared" si="726"/>
        <v/>
      </c>
      <c r="AI563" s="2"/>
    </row>
    <row r="564" spans="2:35" x14ac:dyDescent="0.25">
      <c r="B564" s="2" t="str">
        <f t="shared" si="727"/>
        <v>@color-landcover_sand</v>
      </c>
      <c r="C564" s="154" t="s">
        <v>196</v>
      </c>
      <c r="D564" s="38" t="s">
        <v>218</v>
      </c>
      <c r="F564" s="155" t="s">
        <v>237</v>
      </c>
      <c r="G564" s="37" t="s">
        <v>210</v>
      </c>
      <c r="I564" s="154" t="s">
        <v>196</v>
      </c>
      <c r="J564" s="38" t="s">
        <v>218</v>
      </c>
      <c r="L564" s="155" t="s">
        <v>237</v>
      </c>
      <c r="M564" s="37" t="s">
        <v>210</v>
      </c>
      <c r="U564" s="156" t="s">
        <v>402</v>
      </c>
      <c r="V564" s="38" t="s">
        <v>218</v>
      </c>
      <c r="X564" s="155" t="s">
        <v>237</v>
      </c>
      <c r="Y564" s="37" t="s">
        <v>210</v>
      </c>
      <c r="AA564" s="2" t="s">
        <v>6</v>
      </c>
      <c r="AB564" s="2" t="str">
        <f t="shared" si="594"/>
        <v>-</v>
      </c>
      <c r="AC564" s="2" t="s">
        <v>47</v>
      </c>
      <c r="AD564" s="2" t="str">
        <f t="shared" si="595"/>
        <v>_</v>
      </c>
      <c r="AE564" s="2" t="s">
        <v>45</v>
      </c>
      <c r="AF564" s="2" t="str">
        <f t="shared" si="596"/>
        <v/>
      </c>
      <c r="AG564" s="2"/>
      <c r="AH564" s="2" t="str">
        <f t="shared" si="726"/>
        <v/>
      </c>
      <c r="AI564" s="2"/>
    </row>
    <row r="565" spans="2:35" x14ac:dyDescent="0.25">
      <c r="B565" s="2" t="str">
        <f t="shared" si="727"/>
        <v>@color-landcover_allotments</v>
      </c>
      <c r="C565" s="157" t="s">
        <v>197</v>
      </c>
      <c r="D565" s="157" t="s">
        <v>197</v>
      </c>
      <c r="F565" s="158" t="s">
        <v>238</v>
      </c>
      <c r="G565" s="158" t="s">
        <v>238</v>
      </c>
      <c r="I565" s="157" t="s">
        <v>197</v>
      </c>
      <c r="J565" s="157" t="s">
        <v>197</v>
      </c>
      <c r="L565" s="158" t="s">
        <v>238</v>
      </c>
      <c r="M565" s="158" t="s">
        <v>238</v>
      </c>
      <c r="U565" s="157" t="s">
        <v>197</v>
      </c>
      <c r="V565" s="157" t="s">
        <v>197</v>
      </c>
      <c r="X565" s="158" t="s">
        <v>238</v>
      </c>
      <c r="Y565" s="158" t="s">
        <v>238</v>
      </c>
      <c r="AA565" s="2" t="s">
        <v>6</v>
      </c>
      <c r="AB565" s="2" t="str">
        <f t="shared" si="594"/>
        <v>-</v>
      </c>
      <c r="AC565" s="2" t="s">
        <v>47</v>
      </c>
      <c r="AD565" s="2" t="str">
        <f t="shared" si="595"/>
        <v>_</v>
      </c>
      <c r="AE565" s="2" t="s">
        <v>46</v>
      </c>
      <c r="AF565" s="2" t="str">
        <f t="shared" si="596"/>
        <v/>
      </c>
      <c r="AG565" s="2"/>
      <c r="AH565" s="2" t="str">
        <f t="shared" si="726"/>
        <v/>
      </c>
      <c r="AI565" s="2"/>
    </row>
    <row r="566" spans="2:35" x14ac:dyDescent="0.25">
      <c r="B566" s="2" t="str">
        <f t="shared" si="727"/>
        <v>@color-landcover_heath_fell</v>
      </c>
      <c r="C566" s="159" t="s">
        <v>198</v>
      </c>
      <c r="D566" s="38" t="s">
        <v>218</v>
      </c>
      <c r="F566" s="160" t="s">
        <v>239</v>
      </c>
      <c r="G566" s="37" t="s">
        <v>210</v>
      </c>
      <c r="I566" s="159" t="s">
        <v>198</v>
      </c>
      <c r="J566" s="38" t="s">
        <v>218</v>
      </c>
      <c r="L566" s="160" t="s">
        <v>239</v>
      </c>
      <c r="M566" s="37" t="s">
        <v>210</v>
      </c>
      <c r="U566" s="159" t="s">
        <v>198</v>
      </c>
      <c r="V566" s="38" t="s">
        <v>218</v>
      </c>
      <c r="X566" s="160" t="s">
        <v>239</v>
      </c>
      <c r="Y566" s="37" t="s">
        <v>210</v>
      </c>
      <c r="AA566" s="2" t="s">
        <v>6</v>
      </c>
      <c r="AB566" s="2" t="str">
        <f t="shared" si="594"/>
        <v>-</v>
      </c>
      <c r="AC566" s="2" t="s">
        <v>47</v>
      </c>
      <c r="AD566" s="2" t="str">
        <f t="shared" si="595"/>
        <v>_</v>
      </c>
      <c r="AE566" s="2" t="s">
        <v>48</v>
      </c>
      <c r="AF566" s="2" t="str">
        <f t="shared" si="596"/>
        <v/>
      </c>
      <c r="AG566" s="2"/>
      <c r="AH566" s="2" t="str">
        <f t="shared" si="726"/>
        <v/>
      </c>
      <c r="AI566" s="2"/>
    </row>
    <row r="567" spans="2:35" x14ac:dyDescent="0.25">
      <c r="B567" s="2" t="str">
        <f t="shared" si="727"/>
        <v>@color-landcover_grass</v>
      </c>
      <c r="C567" s="161" t="s">
        <v>199</v>
      </c>
      <c r="D567" s="38" t="s">
        <v>218</v>
      </c>
      <c r="F567" s="162" t="s">
        <v>266</v>
      </c>
      <c r="G567" s="37" t="s">
        <v>210</v>
      </c>
      <c r="I567" s="161" t="s">
        <v>199</v>
      </c>
      <c r="J567" s="38" t="s">
        <v>218</v>
      </c>
      <c r="L567" s="162" t="s">
        <v>266</v>
      </c>
      <c r="M567" s="37" t="s">
        <v>210</v>
      </c>
      <c r="U567" s="161" t="s">
        <v>199</v>
      </c>
      <c r="V567" s="38" t="s">
        <v>218</v>
      </c>
      <c r="X567" s="162" t="s">
        <v>266</v>
      </c>
      <c r="Y567" s="37" t="s">
        <v>210</v>
      </c>
      <c r="AA567" s="2" t="s">
        <v>6</v>
      </c>
      <c r="AB567" s="2" t="str">
        <f t="shared" si="594"/>
        <v>-</v>
      </c>
      <c r="AC567" s="2" t="s">
        <v>47</v>
      </c>
      <c r="AD567" s="2" t="str">
        <f t="shared" si="595"/>
        <v>_</v>
      </c>
      <c r="AE567" s="2" t="s">
        <v>49</v>
      </c>
      <c r="AF567" s="2" t="str">
        <f t="shared" si="596"/>
        <v/>
      </c>
      <c r="AG567" s="2"/>
      <c r="AH567" s="2" t="str">
        <f t="shared" si="726"/>
        <v/>
      </c>
      <c r="AI567" s="2"/>
    </row>
    <row r="568" spans="2:35" x14ac:dyDescent="0.25">
      <c r="B568" s="2" t="str">
        <f t="shared" si="727"/>
        <v>@color-landcover_quarry</v>
      </c>
      <c r="C568" s="163" t="s">
        <v>200</v>
      </c>
      <c r="D568" s="163" t="s">
        <v>200</v>
      </c>
      <c r="F568" s="164" t="s">
        <v>240</v>
      </c>
      <c r="G568" s="164" t="s">
        <v>240</v>
      </c>
      <c r="I568" s="163" t="s">
        <v>200</v>
      </c>
      <c r="J568" s="163" t="s">
        <v>200</v>
      </c>
      <c r="L568" s="164" t="s">
        <v>240</v>
      </c>
      <c r="M568" s="164" t="s">
        <v>240</v>
      </c>
      <c r="U568" s="163" t="s">
        <v>200</v>
      </c>
      <c r="V568" s="163" t="s">
        <v>200</v>
      </c>
      <c r="X568" s="164" t="s">
        <v>240</v>
      </c>
      <c r="Y568" s="164" t="s">
        <v>240</v>
      </c>
      <c r="AA568" s="2" t="s">
        <v>6</v>
      </c>
      <c r="AB568" s="2" t="str">
        <f t="shared" si="594"/>
        <v>-</v>
      </c>
      <c r="AC568" s="2" t="s">
        <v>47</v>
      </c>
      <c r="AD568" s="2" t="str">
        <f t="shared" si="595"/>
        <v>_</v>
      </c>
      <c r="AE568" s="2" t="s">
        <v>50</v>
      </c>
      <c r="AF568" s="2" t="str">
        <f t="shared" si="596"/>
        <v/>
      </c>
      <c r="AG568" s="2"/>
      <c r="AH568" s="2" t="str">
        <f t="shared" si="726"/>
        <v/>
      </c>
      <c r="AI568" s="2"/>
    </row>
    <row r="569" spans="2:35" x14ac:dyDescent="0.25">
      <c r="B569" s="2" t="str">
        <f t="shared" si="727"/>
        <v>@color-landcover_storage</v>
      </c>
      <c r="C569" s="165" t="s">
        <v>201</v>
      </c>
      <c r="D569" s="165" t="s">
        <v>201</v>
      </c>
      <c r="F569" s="166" t="s">
        <v>253</v>
      </c>
      <c r="G569" s="166" t="s">
        <v>253</v>
      </c>
      <c r="I569" s="165" t="s">
        <v>201</v>
      </c>
      <c r="J569" s="165" t="s">
        <v>201</v>
      </c>
      <c r="L569" s="166" t="s">
        <v>253</v>
      </c>
      <c r="M569" s="166" t="s">
        <v>253</v>
      </c>
      <c r="U569" s="165" t="s">
        <v>201</v>
      </c>
      <c r="V569" s="165" t="s">
        <v>201</v>
      </c>
      <c r="X569" s="166" t="s">
        <v>253</v>
      </c>
      <c r="Y569" s="166" t="s">
        <v>253</v>
      </c>
      <c r="AA569" s="2" t="s">
        <v>6</v>
      </c>
      <c r="AB569" s="2" t="str">
        <f t="shared" si="594"/>
        <v>-</v>
      </c>
      <c r="AC569" s="2" t="s">
        <v>47</v>
      </c>
      <c r="AD569" s="2" t="str">
        <f t="shared" si="595"/>
        <v>_</v>
      </c>
      <c r="AE569" s="2" t="s">
        <v>51</v>
      </c>
      <c r="AF569" s="2" t="str">
        <f t="shared" si="596"/>
        <v/>
      </c>
      <c r="AG569" s="2"/>
      <c r="AH569" s="2" t="str">
        <f t="shared" si="726"/>
        <v/>
      </c>
      <c r="AI569" s="2"/>
    </row>
    <row r="570" spans="2:35" x14ac:dyDescent="0.25">
      <c r="B570" s="2" t="str">
        <f t="shared" si="727"/>
        <v>@color-landcover_wood</v>
      </c>
      <c r="C570" s="167" t="s">
        <v>202</v>
      </c>
      <c r="D570" s="167" t="s">
        <v>202</v>
      </c>
      <c r="F570" s="168" t="s">
        <v>230</v>
      </c>
      <c r="G570" s="168" t="s">
        <v>230</v>
      </c>
      <c r="I570" s="167" t="s">
        <v>202</v>
      </c>
      <c r="J570" s="167" t="s">
        <v>202</v>
      </c>
      <c r="L570" s="168" t="s">
        <v>230</v>
      </c>
      <c r="M570" s="168" t="s">
        <v>230</v>
      </c>
      <c r="U570" s="167" t="s">
        <v>202</v>
      </c>
      <c r="V570" s="167" t="s">
        <v>202</v>
      </c>
      <c r="X570" s="168" t="s">
        <v>230</v>
      </c>
      <c r="Y570" s="168" t="s">
        <v>230</v>
      </c>
      <c r="AA570" s="2" t="s">
        <v>6</v>
      </c>
      <c r="AB570" s="2" t="str">
        <f t="shared" si="594"/>
        <v>-</v>
      </c>
      <c r="AC570" s="2" t="s">
        <v>47</v>
      </c>
      <c r="AD570" s="2" t="str">
        <f t="shared" si="595"/>
        <v>_</v>
      </c>
      <c r="AE570" s="2" t="s">
        <v>52</v>
      </c>
      <c r="AF570" s="2" t="str">
        <f t="shared" si="596"/>
        <v/>
      </c>
      <c r="AG570" s="2"/>
      <c r="AH570" s="2" t="str">
        <f t="shared" si="726"/>
        <v/>
      </c>
      <c r="AI570" s="2"/>
    </row>
    <row r="571" spans="2:35" x14ac:dyDescent="0.25">
      <c r="B571" s="2" t="str">
        <f t="shared" si="727"/>
        <v>@color-landcover_parking_area</v>
      </c>
      <c r="C571" s="169" t="s">
        <v>203</v>
      </c>
      <c r="D571" s="169" t="s">
        <v>203</v>
      </c>
      <c r="F571" s="170" t="s">
        <v>241</v>
      </c>
      <c r="G571" s="170" t="s">
        <v>241</v>
      </c>
      <c r="I571" s="169" t="s">
        <v>203</v>
      </c>
      <c r="J571" s="169" t="s">
        <v>203</v>
      </c>
      <c r="L571" s="170" t="s">
        <v>241</v>
      </c>
      <c r="M571" s="170" t="s">
        <v>241</v>
      </c>
      <c r="U571" s="169" t="s">
        <v>203</v>
      </c>
      <c r="V571" s="169" t="s">
        <v>203</v>
      </c>
      <c r="X571" s="170" t="s">
        <v>241</v>
      </c>
      <c r="Y571" s="170" t="s">
        <v>241</v>
      </c>
      <c r="AA571" s="2" t="s">
        <v>6</v>
      </c>
      <c r="AB571" s="2" t="str">
        <f t="shared" si="594"/>
        <v>-</v>
      </c>
      <c r="AC571" s="2" t="s">
        <v>47</v>
      </c>
      <c r="AD571" s="2" t="str">
        <f t="shared" si="595"/>
        <v>_</v>
      </c>
      <c r="AE571" s="2" t="s">
        <v>53</v>
      </c>
      <c r="AF571" s="2" t="str">
        <f t="shared" si="596"/>
        <v/>
      </c>
      <c r="AG571" s="2"/>
      <c r="AH571" s="2" t="str">
        <f t="shared" si="726"/>
        <v/>
      </c>
      <c r="AI571" s="2"/>
    </row>
    <row r="572" spans="2:35" x14ac:dyDescent="0.25">
      <c r="B572" s="2" t="str">
        <f t="shared" si="727"/>
        <v>@color-landcover_railway</v>
      </c>
      <c r="C572" s="171" t="s">
        <v>204</v>
      </c>
      <c r="D572" s="171" t="s">
        <v>204</v>
      </c>
      <c r="F572" s="172" t="s">
        <v>242</v>
      </c>
      <c r="G572" s="172" t="s">
        <v>242</v>
      </c>
      <c r="I572" s="171" t="s">
        <v>204</v>
      </c>
      <c r="J572" s="171" t="s">
        <v>204</v>
      </c>
      <c r="L572" s="172" t="s">
        <v>242</v>
      </c>
      <c r="M572" s="172" t="s">
        <v>242</v>
      </c>
      <c r="U572" s="171" t="s">
        <v>204</v>
      </c>
      <c r="V572" s="171" t="s">
        <v>204</v>
      </c>
      <c r="X572" s="172" t="s">
        <v>242</v>
      </c>
      <c r="Y572" s="172" t="s">
        <v>242</v>
      </c>
      <c r="AA572" s="2" t="s">
        <v>6</v>
      </c>
      <c r="AB572" s="2" t="str">
        <f t="shared" si="594"/>
        <v>-</v>
      </c>
      <c r="AC572" s="2" t="s">
        <v>47</v>
      </c>
      <c r="AD572" s="2" t="str">
        <f t="shared" si="595"/>
        <v>_</v>
      </c>
      <c r="AE572" s="2" t="s">
        <v>54</v>
      </c>
      <c r="AF572" s="2" t="str">
        <f t="shared" si="596"/>
        <v/>
      </c>
      <c r="AG572" s="2"/>
      <c r="AH572" s="2" t="str">
        <f t="shared" si="726"/>
        <v/>
      </c>
      <c r="AI572" s="2"/>
    </row>
    <row r="573" spans="2:35" x14ac:dyDescent="0.25">
      <c r="B573" s="2" t="str">
        <f t="shared" si="727"/>
        <v>@color-landcover_school</v>
      </c>
      <c r="C573" s="173" t="s">
        <v>206</v>
      </c>
      <c r="D573" s="173" t="s">
        <v>206</v>
      </c>
      <c r="F573" s="166" t="s">
        <v>253</v>
      </c>
      <c r="G573" s="166" t="s">
        <v>253</v>
      </c>
      <c r="I573" s="173" t="s">
        <v>206</v>
      </c>
      <c r="J573" s="173" t="s">
        <v>206</v>
      </c>
      <c r="L573" s="166" t="s">
        <v>253</v>
      </c>
      <c r="M573" s="166" t="s">
        <v>253</v>
      </c>
      <c r="U573" s="173" t="s">
        <v>206</v>
      </c>
      <c r="V573" s="173" t="s">
        <v>206</v>
      </c>
      <c r="X573" s="166" t="s">
        <v>253</v>
      </c>
      <c r="Y573" s="166" t="s">
        <v>253</v>
      </c>
      <c r="AA573" s="2" t="s">
        <v>6</v>
      </c>
      <c r="AB573" s="2" t="str">
        <f t="shared" si="594"/>
        <v>-</v>
      </c>
      <c r="AC573" s="2" t="s">
        <v>47</v>
      </c>
      <c r="AD573" s="2" t="str">
        <f t="shared" si="595"/>
        <v>_</v>
      </c>
      <c r="AE573" s="2" t="s">
        <v>55</v>
      </c>
      <c r="AF573" s="2" t="str">
        <f t="shared" si="596"/>
        <v/>
      </c>
      <c r="AG573" s="2"/>
      <c r="AH573" s="2" t="str">
        <f t="shared" si="726"/>
        <v/>
      </c>
      <c r="AI573" s="2"/>
    </row>
    <row r="574" spans="2:35" x14ac:dyDescent="0.25">
      <c r="B574" s="2" t="str">
        <f t="shared" si="727"/>
        <v>@color-landcover_cemetery</v>
      </c>
      <c r="C574" s="174" t="s">
        <v>205</v>
      </c>
      <c r="D574" s="174" t="s">
        <v>205</v>
      </c>
      <c r="F574" s="175" t="s">
        <v>243</v>
      </c>
      <c r="G574" s="175" t="s">
        <v>243</v>
      </c>
      <c r="I574" s="174" t="s">
        <v>205</v>
      </c>
      <c r="J574" s="174" t="s">
        <v>205</v>
      </c>
      <c r="L574" s="175" t="s">
        <v>243</v>
      </c>
      <c r="M574" s="175" t="s">
        <v>243</v>
      </c>
      <c r="U574" s="174" t="s">
        <v>205</v>
      </c>
      <c r="V574" s="174" t="s">
        <v>205</v>
      </c>
      <c r="X574" s="175" t="s">
        <v>243</v>
      </c>
      <c r="Y574" s="175" t="s">
        <v>243</v>
      </c>
      <c r="AA574" s="2" t="s">
        <v>6</v>
      </c>
      <c r="AB574" s="2" t="str">
        <f t="shared" si="594"/>
        <v>-</v>
      </c>
      <c r="AC574" s="2" t="s">
        <v>47</v>
      </c>
      <c r="AD574" s="2" t="str">
        <f t="shared" si="595"/>
        <v>_</v>
      </c>
      <c r="AE574" s="2" t="s">
        <v>57</v>
      </c>
      <c r="AF574" s="2" t="str">
        <f t="shared" si="596"/>
        <v/>
      </c>
      <c r="AG574" s="2"/>
      <c r="AH574" s="2" t="str">
        <f t="shared" si="726"/>
        <v/>
      </c>
      <c r="AI574" s="2"/>
    </row>
    <row r="575" spans="2:35" x14ac:dyDescent="0.25">
      <c r="B575" s="2" t="str">
        <f t="shared" si="727"/>
        <v>@color-landcover_hospital</v>
      </c>
      <c r="C575" s="173" t="s">
        <v>206</v>
      </c>
      <c r="D575" s="173" t="s">
        <v>206</v>
      </c>
      <c r="F575" s="166" t="s">
        <v>253</v>
      </c>
      <c r="G575" s="166" t="s">
        <v>253</v>
      </c>
      <c r="I575" s="173" t="s">
        <v>206</v>
      </c>
      <c r="J575" s="173" t="s">
        <v>206</v>
      </c>
      <c r="L575" s="166" t="s">
        <v>253</v>
      </c>
      <c r="M575" s="166" t="s">
        <v>253</v>
      </c>
      <c r="U575" s="173" t="s">
        <v>206</v>
      </c>
      <c r="V575" s="173" t="s">
        <v>206</v>
      </c>
      <c r="X575" s="166" t="s">
        <v>253</v>
      </c>
      <c r="Y575" s="166" t="s">
        <v>253</v>
      </c>
      <c r="AA575" s="2" t="s">
        <v>6</v>
      </c>
      <c r="AB575" s="2" t="str">
        <f t="shared" si="594"/>
        <v>-</v>
      </c>
      <c r="AC575" s="2" t="s">
        <v>47</v>
      </c>
      <c r="AD575" s="2" t="str">
        <f t="shared" si="595"/>
        <v>_</v>
      </c>
      <c r="AE575" s="2" t="s">
        <v>56</v>
      </c>
      <c r="AF575" s="2" t="str">
        <f t="shared" si="596"/>
        <v/>
      </c>
      <c r="AG575" s="2"/>
      <c r="AH575" s="2" t="str">
        <f t="shared" si="726"/>
        <v/>
      </c>
      <c r="AI575" s="2"/>
    </row>
    <row r="576" spans="2:35" x14ac:dyDescent="0.25">
      <c r="B576" s="2" t="str">
        <f t="shared" si="727"/>
        <v>@color-landcover_industrial</v>
      </c>
      <c r="C576" s="173" t="s">
        <v>206</v>
      </c>
      <c r="D576" s="173" t="s">
        <v>206</v>
      </c>
      <c r="F576" s="166" t="s">
        <v>253</v>
      </c>
      <c r="G576" s="166" t="s">
        <v>253</v>
      </c>
      <c r="I576" s="173" t="s">
        <v>206</v>
      </c>
      <c r="J576" s="173" t="s">
        <v>206</v>
      </c>
      <c r="L576" s="166" t="s">
        <v>253</v>
      </c>
      <c r="M576" s="166" t="s">
        <v>253</v>
      </c>
      <c r="U576" s="173" t="s">
        <v>206</v>
      </c>
      <c r="V576" s="173" t="s">
        <v>206</v>
      </c>
      <c r="X576" s="166" t="s">
        <v>253</v>
      </c>
      <c r="Y576" s="166" t="s">
        <v>253</v>
      </c>
      <c r="AA576" s="2" t="s">
        <v>6</v>
      </c>
      <c r="AB576" s="2" t="str">
        <f t="shared" si="594"/>
        <v>-</v>
      </c>
      <c r="AC576" s="2" t="s">
        <v>47</v>
      </c>
      <c r="AD576" s="2" t="str">
        <f t="shared" si="595"/>
        <v>_</v>
      </c>
      <c r="AE576" s="2" t="s">
        <v>58</v>
      </c>
      <c r="AF576" s="2" t="str">
        <f t="shared" si="596"/>
        <v/>
      </c>
      <c r="AG576" s="2"/>
      <c r="AH576" s="2" t="str">
        <f t="shared" si="726"/>
        <v/>
      </c>
      <c r="AI576" s="2"/>
    </row>
    <row r="577" spans="1:35" x14ac:dyDescent="0.25">
      <c r="B577" s="2" t="str">
        <f t="shared" si="727"/>
        <v>@color-landcover_commercial</v>
      </c>
      <c r="C577" s="173" t="s">
        <v>206</v>
      </c>
      <c r="D577" s="173" t="s">
        <v>206</v>
      </c>
      <c r="F577" s="166" t="s">
        <v>253</v>
      </c>
      <c r="G577" s="166" t="s">
        <v>253</v>
      </c>
      <c r="I577" s="173" t="s">
        <v>206</v>
      </c>
      <c r="J577" s="173" t="s">
        <v>206</v>
      </c>
      <c r="L577" s="166" t="s">
        <v>253</v>
      </c>
      <c r="M577" s="166" t="s">
        <v>253</v>
      </c>
      <c r="U577" s="173" t="s">
        <v>206</v>
      </c>
      <c r="V577" s="173" t="s">
        <v>206</v>
      </c>
      <c r="X577" s="166" t="s">
        <v>253</v>
      </c>
      <c r="Y577" s="166" t="s">
        <v>253</v>
      </c>
      <c r="AA577" s="2" t="s">
        <v>6</v>
      </c>
      <c r="AB577" s="2" t="str">
        <f t="shared" si="594"/>
        <v>-</v>
      </c>
      <c r="AC577" s="2" t="s">
        <v>47</v>
      </c>
      <c r="AD577" s="2" t="str">
        <f t="shared" si="595"/>
        <v>_</v>
      </c>
      <c r="AE577" s="2" t="s">
        <v>59</v>
      </c>
      <c r="AF577" s="2" t="str">
        <f t="shared" si="596"/>
        <v/>
      </c>
      <c r="AG577" s="2"/>
      <c r="AH577" s="2" t="str">
        <f t="shared" si="726"/>
        <v/>
      </c>
      <c r="AI577" s="2"/>
    </row>
    <row r="578" spans="1:35" x14ac:dyDescent="0.25">
      <c r="B578" s="2" t="str">
        <f t="shared" si="727"/>
        <v>@color-landcover_residential</v>
      </c>
      <c r="C578" s="173" t="s">
        <v>206</v>
      </c>
      <c r="D578" s="173" t="s">
        <v>206</v>
      </c>
      <c r="F578" s="166" t="s">
        <v>253</v>
      </c>
      <c r="G578" s="166" t="s">
        <v>253</v>
      </c>
      <c r="I578" s="173" t="s">
        <v>206</v>
      </c>
      <c r="J578" s="173" t="s">
        <v>206</v>
      </c>
      <c r="L578" s="166" t="s">
        <v>253</v>
      </c>
      <c r="M578" s="166" t="s">
        <v>253</v>
      </c>
      <c r="U578" s="173" t="s">
        <v>206</v>
      </c>
      <c r="V578" s="173" t="s">
        <v>206</v>
      </c>
      <c r="X578" s="166" t="s">
        <v>253</v>
      </c>
      <c r="Y578" s="166" t="s">
        <v>253</v>
      </c>
      <c r="AA578" s="2" t="s">
        <v>6</v>
      </c>
      <c r="AB578" s="2" t="str">
        <f t="shared" si="594"/>
        <v>-</v>
      </c>
      <c r="AC578" s="2" t="s">
        <v>47</v>
      </c>
      <c r="AD578" s="2" t="str">
        <f t="shared" si="595"/>
        <v>_</v>
      </c>
      <c r="AE578" s="2" t="s">
        <v>60</v>
      </c>
      <c r="AF578" s="2" t="str">
        <f t="shared" si="596"/>
        <v/>
      </c>
      <c r="AG578" s="2"/>
      <c r="AH578" s="2" t="str">
        <f t="shared" si="726"/>
        <v/>
      </c>
      <c r="AI578" s="2"/>
    </row>
    <row r="579" spans="1:35" x14ac:dyDescent="0.25">
      <c r="B579" s="2" t="str">
        <f t="shared" si="727"/>
        <v>@color-landcover_built-up</v>
      </c>
      <c r="C579" s="173" t="s">
        <v>206</v>
      </c>
      <c r="D579" s="173" t="s">
        <v>206</v>
      </c>
      <c r="F579" s="166" t="s">
        <v>253</v>
      </c>
      <c r="G579" s="166" t="s">
        <v>253</v>
      </c>
      <c r="I579" s="173" t="s">
        <v>206</v>
      </c>
      <c r="J579" s="173" t="s">
        <v>206</v>
      </c>
      <c r="L579" s="166" t="s">
        <v>253</v>
      </c>
      <c r="M579" s="166" t="s">
        <v>253</v>
      </c>
      <c r="U579" s="173" t="s">
        <v>206</v>
      </c>
      <c r="V579" s="173" t="s">
        <v>206</v>
      </c>
      <c r="X579" s="166" t="s">
        <v>253</v>
      </c>
      <c r="Y579" s="166" t="s">
        <v>253</v>
      </c>
      <c r="AA579" s="2" t="s">
        <v>6</v>
      </c>
      <c r="AB579" s="2" t="str">
        <f t="shared" si="594"/>
        <v>-</v>
      </c>
      <c r="AC579" s="2" t="s">
        <v>47</v>
      </c>
      <c r="AD579" s="2" t="str">
        <f t="shared" si="595"/>
        <v>_</v>
      </c>
      <c r="AE579" s="2" t="s">
        <v>61</v>
      </c>
      <c r="AF579" s="2" t="str">
        <f t="shared" si="596"/>
        <v/>
      </c>
      <c r="AG579" s="2"/>
      <c r="AH579" s="2" t="str">
        <f t="shared" si="726"/>
        <v/>
      </c>
      <c r="AI579" s="2"/>
    </row>
    <row r="580" spans="1:35" x14ac:dyDescent="0.25">
      <c r="B580" s="2" t="str">
        <f t="shared" si="727"/>
        <v>@color-landcover_ice_shelf</v>
      </c>
      <c r="C580" s="134" t="s">
        <v>188</v>
      </c>
      <c r="D580" s="134" t="s">
        <v>188</v>
      </c>
      <c r="F580" s="176" t="s">
        <v>244</v>
      </c>
      <c r="G580" s="176" t="s">
        <v>244</v>
      </c>
      <c r="I580" s="134" t="s">
        <v>188</v>
      </c>
      <c r="J580" s="134" t="s">
        <v>188</v>
      </c>
      <c r="L580" s="176" t="s">
        <v>244</v>
      </c>
      <c r="M580" s="176" t="s">
        <v>244</v>
      </c>
      <c r="U580" s="134" t="s">
        <v>188</v>
      </c>
      <c r="V580" s="134" t="s">
        <v>188</v>
      </c>
      <c r="X580" s="176" t="s">
        <v>244</v>
      </c>
      <c r="Y580" s="176" t="s">
        <v>244</v>
      </c>
      <c r="AA580" s="2" t="s">
        <v>6</v>
      </c>
      <c r="AB580" s="2" t="str">
        <f t="shared" ref="AB580:AB591" si="728">IF(NOT(ISBLANK(AC580)),"-","")</f>
        <v>-</v>
      </c>
      <c r="AC580" s="2" t="s">
        <v>47</v>
      </c>
      <c r="AD580" s="2" t="str">
        <f t="shared" ref="AD580:AD591" si="729">IF(NOT(ISBLANK(AE580)),"_","")</f>
        <v>_</v>
      </c>
      <c r="AE580" s="2" t="s">
        <v>233</v>
      </c>
      <c r="AF580" s="2" t="str">
        <f t="shared" ref="AF580:AF591" si="730">IF(NOT(ISBLANK(AG580)),"_","")</f>
        <v/>
      </c>
      <c r="AG580" s="2"/>
      <c r="AH580" s="2" t="str">
        <f t="shared" si="726"/>
        <v/>
      </c>
      <c r="AI580" s="2"/>
    </row>
    <row r="581" spans="1:35" x14ac:dyDescent="0.25">
      <c r="B581" s="2" t="str">
        <f t="shared" si="727"/>
        <v>@color-landcover_glacier</v>
      </c>
      <c r="C581" s="134" t="s">
        <v>188</v>
      </c>
      <c r="D581" s="134" t="s">
        <v>188</v>
      </c>
      <c r="F581" s="176" t="s">
        <v>244</v>
      </c>
      <c r="G581" s="176" t="s">
        <v>244</v>
      </c>
      <c r="I581" s="134" t="s">
        <v>188</v>
      </c>
      <c r="J581" s="134" t="s">
        <v>188</v>
      </c>
      <c r="L581" s="176" t="s">
        <v>244</v>
      </c>
      <c r="M581" s="176" t="s">
        <v>244</v>
      </c>
      <c r="U581" s="134" t="s">
        <v>188</v>
      </c>
      <c r="V581" s="134" t="s">
        <v>188</v>
      </c>
      <c r="X581" s="176" t="s">
        <v>244</v>
      </c>
      <c r="Y581" s="176" t="s">
        <v>244</v>
      </c>
      <c r="AA581" s="2" t="s">
        <v>6</v>
      </c>
      <c r="AB581" s="2" t="str">
        <f t="shared" ref="AB581" si="731">IF(NOT(ISBLANK(AC581)),"-","")</f>
        <v>-</v>
      </c>
      <c r="AC581" s="2" t="s">
        <v>47</v>
      </c>
      <c r="AD581" s="2" t="str">
        <f t="shared" ref="AD581" si="732">IF(NOT(ISBLANK(AE581)),"_","")</f>
        <v>_</v>
      </c>
      <c r="AE581" s="2" t="s">
        <v>256</v>
      </c>
      <c r="AF581" s="2" t="str">
        <f t="shared" ref="AF581" si="733">IF(NOT(ISBLANK(AG581)),"_","")</f>
        <v/>
      </c>
      <c r="AG581" s="2"/>
      <c r="AH581" s="2" t="str">
        <f t="shared" si="726"/>
        <v/>
      </c>
      <c r="AI581" s="2"/>
    </row>
    <row r="582" spans="1:35" x14ac:dyDescent="0.25">
      <c r="B582" s="2" t="str">
        <f t="shared" si="727"/>
        <v>@color-landcover_sport_play</v>
      </c>
      <c r="C582" s="177" t="s">
        <v>235</v>
      </c>
      <c r="D582" s="177" t="s">
        <v>235</v>
      </c>
      <c r="F582" s="178" t="s">
        <v>245</v>
      </c>
      <c r="G582" s="178" t="s">
        <v>245</v>
      </c>
      <c r="I582" s="177" t="s">
        <v>235</v>
      </c>
      <c r="J582" s="177" t="s">
        <v>235</v>
      </c>
      <c r="L582" s="178" t="s">
        <v>245</v>
      </c>
      <c r="M582" s="178" t="s">
        <v>245</v>
      </c>
      <c r="U582" s="177" t="s">
        <v>235</v>
      </c>
      <c r="V582" s="177" t="s">
        <v>235</v>
      </c>
      <c r="X582" s="178" t="s">
        <v>245</v>
      </c>
      <c r="Y582" s="178" t="s">
        <v>245</v>
      </c>
      <c r="AA582" s="2" t="s">
        <v>6</v>
      </c>
      <c r="AB582" s="2" t="str">
        <f t="shared" si="728"/>
        <v>-</v>
      </c>
      <c r="AC582" s="2" t="s">
        <v>47</v>
      </c>
      <c r="AD582" s="2" t="str">
        <f t="shared" si="729"/>
        <v>_</v>
      </c>
      <c r="AE582" s="2" t="s">
        <v>234</v>
      </c>
      <c r="AF582" s="2" t="str">
        <f t="shared" si="730"/>
        <v/>
      </c>
      <c r="AG582" s="2"/>
      <c r="AH582" s="2" t="str">
        <f t="shared" si="726"/>
        <v/>
      </c>
      <c r="AI582" s="2"/>
    </row>
    <row r="583" spans="1:35" x14ac:dyDescent="0.25">
      <c r="B583" s="2" t="str">
        <f t="shared" si="727"/>
        <v>@color-landcover_line_generic</v>
      </c>
      <c r="C583" s="179" t="s">
        <v>254</v>
      </c>
      <c r="D583" s="179" t="s">
        <v>254</v>
      </c>
      <c r="F583" s="166" t="s">
        <v>253</v>
      </c>
      <c r="G583" s="166" t="s">
        <v>253</v>
      </c>
      <c r="I583" s="179" t="s">
        <v>254</v>
      </c>
      <c r="J583" s="179" t="s">
        <v>254</v>
      </c>
      <c r="L583" s="166" t="s">
        <v>253</v>
      </c>
      <c r="M583" s="166" t="s">
        <v>253</v>
      </c>
      <c r="U583" s="179" t="s">
        <v>254</v>
      </c>
      <c r="V583" s="179" t="s">
        <v>254</v>
      </c>
      <c r="X583" s="166" t="s">
        <v>253</v>
      </c>
      <c r="Y583" s="166" t="s">
        <v>253</v>
      </c>
      <c r="AA583" s="2" t="s">
        <v>6</v>
      </c>
      <c r="AB583" s="2" t="str">
        <f t="shared" si="728"/>
        <v>-</v>
      </c>
      <c r="AC583" s="2" t="s">
        <v>47</v>
      </c>
      <c r="AD583" s="2" t="str">
        <f t="shared" si="729"/>
        <v>_</v>
      </c>
      <c r="AE583" s="2" t="s">
        <v>13</v>
      </c>
      <c r="AF583" s="2" t="str">
        <f t="shared" si="730"/>
        <v>_</v>
      </c>
      <c r="AG583" s="2" t="s">
        <v>248</v>
      </c>
      <c r="AH583" s="2" t="str">
        <f t="shared" si="726"/>
        <v/>
      </c>
      <c r="AI583" s="2"/>
    </row>
    <row r="584" spans="1:35" x14ac:dyDescent="0.25">
      <c r="AB584" s="28" t="str">
        <f t="shared" si="728"/>
        <v/>
      </c>
      <c r="AD584" s="28" t="str">
        <f t="shared" si="729"/>
        <v/>
      </c>
      <c r="AF584" s="28" t="str">
        <f t="shared" si="730"/>
        <v/>
      </c>
      <c r="AH584" s="28" t="str">
        <f t="shared" ref="AH584:AH591" si="734">IF(NOT(ISBLANK(AI584)),"_","")</f>
        <v/>
      </c>
    </row>
    <row r="585" spans="1:35" s="2" customFormat="1" x14ac:dyDescent="0.25">
      <c r="A585" s="185"/>
      <c r="B585" s="3" t="s">
        <v>357</v>
      </c>
      <c r="C585" s="27"/>
      <c r="D585" s="6"/>
      <c r="E585" s="7"/>
      <c r="F585" s="6"/>
      <c r="G585" s="6"/>
      <c r="H585" s="7"/>
      <c r="I585" s="6"/>
      <c r="J585" s="6"/>
      <c r="K585" s="7"/>
      <c r="L585" s="6"/>
      <c r="M585" s="6"/>
      <c r="N585" s="7"/>
      <c r="O585" s="6"/>
      <c r="P585" s="6"/>
      <c r="Q585" s="7"/>
      <c r="R585" s="6"/>
      <c r="S585" s="6"/>
      <c r="T585" s="7"/>
      <c r="U585" s="6"/>
      <c r="V585" s="6"/>
      <c r="W585" s="7"/>
      <c r="X585" s="6"/>
      <c r="Y585" s="6"/>
      <c r="AA585" s="4"/>
      <c r="AB585" s="4" t="str">
        <f t="shared" si="728"/>
        <v/>
      </c>
      <c r="AC585" s="4"/>
      <c r="AD585" s="4" t="str">
        <f t="shared" si="729"/>
        <v/>
      </c>
      <c r="AE585" s="4"/>
      <c r="AF585" s="4" t="str">
        <f t="shared" si="730"/>
        <v/>
      </c>
      <c r="AG585" s="4"/>
      <c r="AH585" s="4" t="str">
        <f t="shared" si="734"/>
        <v/>
      </c>
      <c r="AI585" s="4"/>
    </row>
    <row r="586" spans="1:35" x14ac:dyDescent="0.25">
      <c r="AB586" s="28" t="str">
        <f t="shared" ref="AB586" si="735">IF(NOT(ISBLANK(AC586)),"-","")</f>
        <v/>
      </c>
      <c r="AD586" s="28" t="str">
        <f t="shared" ref="AD586" si="736">IF(NOT(ISBLANK(AE586)),"_","")</f>
        <v/>
      </c>
      <c r="AF586" s="28" t="str">
        <f t="shared" ref="AF586" si="737">IF(NOT(ISBLANK(AG586)),"_","")</f>
        <v/>
      </c>
      <c r="AH586" s="28" t="str">
        <f t="shared" ref="AH586" si="738">IF(NOT(ISBLANK(AI586)),"_","")</f>
        <v/>
      </c>
    </row>
    <row r="587" spans="1:35" x14ac:dyDescent="0.25">
      <c r="B587" s="2" t="str">
        <f t="shared" ref="B587:B590" si="739">_xlfn.CONCAT("@",AA587,AB587,AC587,AD587,AE587,AF587,AG587,AH587,AI587)</f>
        <v>@opacity-landcover_clearcut_mid</v>
      </c>
      <c r="C587" s="28" t="s">
        <v>91</v>
      </c>
      <c r="D587" s="28" t="s">
        <v>91</v>
      </c>
      <c r="F587" s="28" t="s">
        <v>91</v>
      </c>
      <c r="G587" s="28" t="s">
        <v>91</v>
      </c>
      <c r="I587" s="28" t="s">
        <v>361</v>
      </c>
      <c r="J587" s="28" t="s">
        <v>361</v>
      </c>
      <c r="L587" s="28" t="s">
        <v>361</v>
      </c>
      <c r="M587" s="28" t="s">
        <v>361</v>
      </c>
      <c r="O587" s="28" t="s">
        <v>362</v>
      </c>
      <c r="P587" s="28" t="s">
        <v>362</v>
      </c>
      <c r="R587" s="28" t="s">
        <v>362</v>
      </c>
      <c r="S587" s="28" t="s">
        <v>362</v>
      </c>
      <c r="U587" s="28" t="s">
        <v>362</v>
      </c>
      <c r="V587" s="28" t="s">
        <v>362</v>
      </c>
      <c r="X587" s="28" t="s">
        <v>362</v>
      </c>
      <c r="Y587" s="28" t="s">
        <v>362</v>
      </c>
      <c r="AA587" s="28" t="s">
        <v>378</v>
      </c>
      <c r="AB587" s="28" t="str">
        <f t="shared" ref="AB587:AB590" si="740">IF(NOT(ISBLANK(AC587)),"-","")</f>
        <v>-</v>
      </c>
      <c r="AC587" s="28" t="s">
        <v>47</v>
      </c>
      <c r="AD587" s="28" t="str">
        <f t="shared" ref="AD587:AD590" si="741">IF(NOT(ISBLANK(AE587)),"_","")</f>
        <v>_</v>
      </c>
      <c r="AE587" s="28" t="s">
        <v>369</v>
      </c>
      <c r="AF587" s="28" t="str">
        <f t="shared" ref="AF587:AF590" si="742">IF(NOT(ISBLANK(AG587)),"_","")</f>
        <v>_</v>
      </c>
      <c r="AG587" s="28" t="s">
        <v>360</v>
      </c>
      <c r="AH587" s="28" t="str">
        <f t="shared" ref="AH587:AH590" si="743">IF(NOT(ISBLANK(AI587)),"_","")</f>
        <v/>
      </c>
    </row>
    <row r="588" spans="1:35" x14ac:dyDescent="0.25">
      <c r="B588" s="2" t="str">
        <f t="shared" si="739"/>
        <v>@opacity-landcover_clearcut_full</v>
      </c>
      <c r="C588" s="28" t="s">
        <v>76</v>
      </c>
      <c r="D588" s="28" t="s">
        <v>76</v>
      </c>
      <c r="F588" s="28" t="s">
        <v>76</v>
      </c>
      <c r="G588" s="28" t="s">
        <v>76</v>
      </c>
      <c r="I588" s="28" t="s">
        <v>91</v>
      </c>
      <c r="J588" s="28" t="s">
        <v>91</v>
      </c>
      <c r="L588" s="28" t="s">
        <v>91</v>
      </c>
      <c r="M588" s="28" t="s">
        <v>91</v>
      </c>
      <c r="O588" s="28" t="s">
        <v>120</v>
      </c>
      <c r="P588" s="28" t="s">
        <v>120</v>
      </c>
      <c r="R588" s="28" t="s">
        <v>120</v>
      </c>
      <c r="S588" s="28" t="s">
        <v>120</v>
      </c>
      <c r="U588" s="28" t="s">
        <v>120</v>
      </c>
      <c r="V588" s="28" t="s">
        <v>120</v>
      </c>
      <c r="X588" s="28" t="s">
        <v>120</v>
      </c>
      <c r="Y588" s="28" t="s">
        <v>120</v>
      </c>
      <c r="AA588" s="28" t="s">
        <v>378</v>
      </c>
      <c r="AB588" s="28" t="str">
        <f t="shared" si="740"/>
        <v>-</v>
      </c>
      <c r="AC588" s="28" t="s">
        <v>47</v>
      </c>
      <c r="AD588" s="28" t="str">
        <f t="shared" si="741"/>
        <v>_</v>
      </c>
      <c r="AE588" s="28" t="s">
        <v>369</v>
      </c>
      <c r="AF588" s="28" t="str">
        <f t="shared" si="742"/>
        <v>_</v>
      </c>
      <c r="AG588" s="28" t="s">
        <v>359</v>
      </c>
      <c r="AH588" s="28" t="str">
        <f t="shared" si="743"/>
        <v/>
      </c>
    </row>
    <row r="589" spans="1:35" x14ac:dyDescent="0.25">
      <c r="B589" s="2" t="str">
        <f t="shared" si="739"/>
        <v>@opacity-landcover_field_mid</v>
      </c>
      <c r="C589" s="28" t="s">
        <v>91</v>
      </c>
      <c r="D589" s="28" t="s">
        <v>91</v>
      </c>
      <c r="F589" s="28" t="s">
        <v>91</v>
      </c>
      <c r="G589" s="28" t="s">
        <v>91</v>
      </c>
      <c r="I589" s="28" t="s">
        <v>91</v>
      </c>
      <c r="J589" s="28" t="s">
        <v>91</v>
      </c>
      <c r="L589" s="28" t="s">
        <v>91</v>
      </c>
      <c r="M589" s="28" t="s">
        <v>91</v>
      </c>
      <c r="O589" s="28" t="s">
        <v>91</v>
      </c>
      <c r="P589" s="28" t="s">
        <v>91</v>
      </c>
      <c r="R589" s="28" t="s">
        <v>91</v>
      </c>
      <c r="S589" s="28" t="s">
        <v>91</v>
      </c>
      <c r="U589" s="28" t="s">
        <v>362</v>
      </c>
      <c r="V589" s="28" t="s">
        <v>362</v>
      </c>
      <c r="X589" s="28" t="s">
        <v>362</v>
      </c>
      <c r="Y589" s="28" t="s">
        <v>362</v>
      </c>
      <c r="AA589" s="28" t="s">
        <v>378</v>
      </c>
      <c r="AB589" s="28" t="str">
        <f t="shared" si="740"/>
        <v>-</v>
      </c>
      <c r="AC589" s="28" t="s">
        <v>47</v>
      </c>
      <c r="AD589" s="28" t="str">
        <f t="shared" si="741"/>
        <v>_</v>
      </c>
      <c r="AE589" s="28" t="s">
        <v>42</v>
      </c>
      <c r="AF589" s="28" t="str">
        <f t="shared" si="742"/>
        <v>_</v>
      </c>
      <c r="AG589" s="28" t="s">
        <v>360</v>
      </c>
      <c r="AH589" s="28" t="str">
        <f t="shared" si="743"/>
        <v/>
      </c>
    </row>
    <row r="590" spans="1:35" x14ac:dyDescent="0.25">
      <c r="B590" s="2" t="str">
        <f t="shared" si="739"/>
        <v>@opacity-landcover_field_full</v>
      </c>
      <c r="C590" s="28" t="s">
        <v>76</v>
      </c>
      <c r="D590" s="28" t="s">
        <v>76</v>
      </c>
      <c r="F590" s="28" t="s">
        <v>76</v>
      </c>
      <c r="G590" s="28" t="s">
        <v>76</v>
      </c>
      <c r="I590" s="28" t="s">
        <v>76</v>
      </c>
      <c r="J590" s="28" t="s">
        <v>76</v>
      </c>
      <c r="L590" s="28" t="s">
        <v>76</v>
      </c>
      <c r="M590" s="28" t="s">
        <v>76</v>
      </c>
      <c r="O590" s="28" t="s">
        <v>76</v>
      </c>
      <c r="P590" s="28" t="s">
        <v>76</v>
      </c>
      <c r="R590" s="28" t="s">
        <v>76</v>
      </c>
      <c r="S590" s="28" t="s">
        <v>76</v>
      </c>
      <c r="U590" s="28" t="s">
        <v>120</v>
      </c>
      <c r="V590" s="28" t="s">
        <v>120</v>
      </c>
      <c r="X590" s="28" t="s">
        <v>120</v>
      </c>
      <c r="Y590" s="28" t="s">
        <v>120</v>
      </c>
      <c r="AA590" s="28" t="s">
        <v>378</v>
      </c>
      <c r="AB590" s="28" t="str">
        <f t="shared" si="740"/>
        <v>-</v>
      </c>
      <c r="AC590" s="28" t="s">
        <v>47</v>
      </c>
      <c r="AD590" s="28" t="str">
        <f t="shared" si="741"/>
        <v>_</v>
      </c>
      <c r="AE590" s="28" t="s">
        <v>42</v>
      </c>
      <c r="AF590" s="28" t="str">
        <f t="shared" si="742"/>
        <v>_</v>
      </c>
      <c r="AG590" s="28" t="s">
        <v>359</v>
      </c>
      <c r="AH590" s="28" t="str">
        <f t="shared" si="743"/>
        <v/>
      </c>
    </row>
    <row r="591" spans="1:35" x14ac:dyDescent="0.25">
      <c r="B591" s="2" t="str">
        <f t="shared" ref="B591" si="744">_xlfn.CONCAT("@",AA591,AB591,AC591,AD591,AE591,AF591,AG591,AH591,AI591)</f>
        <v>@opacity-landcover_scrub_mid</v>
      </c>
      <c r="C591" s="28" t="s">
        <v>91</v>
      </c>
      <c r="D591" s="28" t="s">
        <v>91</v>
      </c>
      <c r="F591" s="28" t="s">
        <v>91</v>
      </c>
      <c r="G591" s="28" t="s">
        <v>91</v>
      </c>
      <c r="I591" s="28" t="s">
        <v>361</v>
      </c>
      <c r="J591" s="28" t="s">
        <v>361</v>
      </c>
      <c r="L591" s="28" t="s">
        <v>361</v>
      </c>
      <c r="M591" s="28" t="s">
        <v>361</v>
      </c>
      <c r="O591" s="28" t="s">
        <v>362</v>
      </c>
      <c r="P591" s="28" t="s">
        <v>362</v>
      </c>
      <c r="R591" s="28" t="s">
        <v>362</v>
      </c>
      <c r="S591" s="28" t="s">
        <v>362</v>
      </c>
      <c r="U591" s="28" t="s">
        <v>362</v>
      </c>
      <c r="V591" s="28" t="s">
        <v>362</v>
      </c>
      <c r="X591" s="28" t="s">
        <v>362</v>
      </c>
      <c r="Y591" s="28" t="s">
        <v>362</v>
      </c>
      <c r="AA591" s="28" t="s">
        <v>378</v>
      </c>
      <c r="AB591" s="28" t="str">
        <f t="shared" si="728"/>
        <v>-</v>
      </c>
      <c r="AC591" s="28" t="s">
        <v>47</v>
      </c>
      <c r="AD591" s="28" t="str">
        <f t="shared" si="729"/>
        <v>_</v>
      </c>
      <c r="AE591" s="28" t="s">
        <v>358</v>
      </c>
      <c r="AF591" s="28" t="str">
        <f t="shared" si="730"/>
        <v>_</v>
      </c>
      <c r="AG591" s="28" t="s">
        <v>360</v>
      </c>
      <c r="AH591" s="28" t="str">
        <f t="shared" si="734"/>
        <v/>
      </c>
    </row>
    <row r="592" spans="1:35" x14ac:dyDescent="0.25">
      <c r="B592" s="2" t="str">
        <f t="shared" ref="B592" si="745">_xlfn.CONCAT("@",AA592,AB592,AC592,AD592,AE592,AF592,AG592,AH592,AI592)</f>
        <v>@opacity-landcover_scrub_full</v>
      </c>
      <c r="C592" s="28" t="s">
        <v>76</v>
      </c>
      <c r="D592" s="28" t="s">
        <v>76</v>
      </c>
      <c r="F592" s="28" t="s">
        <v>76</v>
      </c>
      <c r="G592" s="28" t="s">
        <v>76</v>
      </c>
      <c r="I592" s="28" t="s">
        <v>91</v>
      </c>
      <c r="J592" s="28" t="s">
        <v>91</v>
      </c>
      <c r="L592" s="28" t="s">
        <v>91</v>
      </c>
      <c r="M592" s="28" t="s">
        <v>91</v>
      </c>
      <c r="O592" s="28" t="s">
        <v>120</v>
      </c>
      <c r="P592" s="28" t="s">
        <v>120</v>
      </c>
      <c r="R592" s="28" t="s">
        <v>120</v>
      </c>
      <c r="S592" s="28" t="s">
        <v>120</v>
      </c>
      <c r="U592" s="28" t="s">
        <v>120</v>
      </c>
      <c r="V592" s="28" t="s">
        <v>120</v>
      </c>
      <c r="X592" s="28" t="s">
        <v>120</v>
      </c>
      <c r="Y592" s="28" t="s">
        <v>120</v>
      </c>
      <c r="AA592" s="28" t="s">
        <v>378</v>
      </c>
      <c r="AB592" s="28" t="str">
        <f t="shared" si="594"/>
        <v>-</v>
      </c>
      <c r="AC592" s="28" t="s">
        <v>47</v>
      </c>
      <c r="AD592" s="28" t="str">
        <f t="shared" si="595"/>
        <v>_</v>
      </c>
      <c r="AE592" s="28" t="s">
        <v>358</v>
      </c>
      <c r="AF592" s="28" t="str">
        <f t="shared" si="596"/>
        <v>_</v>
      </c>
      <c r="AG592" s="28" t="s">
        <v>359</v>
      </c>
      <c r="AH592" s="28" t="str">
        <f t="shared" si="726"/>
        <v/>
      </c>
    </row>
    <row r="593" spans="2:34" x14ac:dyDescent="0.25">
      <c r="B593" s="2" t="str">
        <f t="shared" ref="B593:B595" si="746">_xlfn.CONCAT("@",AA593,AB593,AC593,AD593,AE593,AF593,AG593,AH593,AI593)</f>
        <v>@opacity-landcover_wetland_full</v>
      </c>
      <c r="C593" s="28" t="s">
        <v>76</v>
      </c>
      <c r="D593" s="28" t="s">
        <v>76</v>
      </c>
      <c r="F593" s="28" t="s">
        <v>76</v>
      </c>
      <c r="G593" s="28" t="s">
        <v>76</v>
      </c>
      <c r="I593" s="28" t="s">
        <v>91</v>
      </c>
      <c r="J593" s="28" t="s">
        <v>91</v>
      </c>
      <c r="L593" s="28" t="s">
        <v>76</v>
      </c>
      <c r="M593" s="28" t="s">
        <v>91</v>
      </c>
      <c r="O593" s="28" t="s">
        <v>120</v>
      </c>
      <c r="P593" s="28" t="s">
        <v>120</v>
      </c>
      <c r="R593" s="28" t="s">
        <v>120</v>
      </c>
      <c r="S593" s="28" t="s">
        <v>120</v>
      </c>
      <c r="U593" s="28" t="s">
        <v>91</v>
      </c>
      <c r="V593" s="28" t="s">
        <v>91</v>
      </c>
      <c r="X593" s="28" t="s">
        <v>76</v>
      </c>
      <c r="Y593" s="28" t="s">
        <v>91</v>
      </c>
      <c r="AA593" s="28" t="s">
        <v>378</v>
      </c>
      <c r="AB593" s="28" t="str">
        <f t="shared" ref="AB593:AB595" si="747">IF(NOT(ISBLANK(AC593)),"-","")</f>
        <v>-</v>
      </c>
      <c r="AC593" s="28" t="s">
        <v>47</v>
      </c>
      <c r="AD593" s="28" t="str">
        <f t="shared" ref="AD593:AD595" si="748">IF(NOT(ISBLANK(AE593)),"_","")</f>
        <v>_</v>
      </c>
      <c r="AE593" s="28" t="s">
        <v>363</v>
      </c>
      <c r="AF593" s="28" t="str">
        <f t="shared" ref="AF593:AF595" si="749">IF(NOT(ISBLANK(AG593)),"_","")</f>
        <v>_</v>
      </c>
      <c r="AG593" s="28" t="s">
        <v>359</v>
      </c>
      <c r="AH593" s="28" t="str">
        <f t="shared" ref="AH593:AH595" si="750">IF(NOT(ISBLANK(AI593)),"_","")</f>
        <v/>
      </c>
    </row>
    <row r="594" spans="2:34" x14ac:dyDescent="0.25">
      <c r="B594" s="2" t="str">
        <f t="shared" si="746"/>
        <v>@opacity-landuse_sport_play_mid</v>
      </c>
      <c r="C594" s="28" t="s">
        <v>91</v>
      </c>
      <c r="D594" s="28" t="s">
        <v>91</v>
      </c>
      <c r="F594" s="28" t="s">
        <v>91</v>
      </c>
      <c r="G594" s="28" t="s">
        <v>91</v>
      </c>
      <c r="I594" s="28" t="s">
        <v>91</v>
      </c>
      <c r="J594" s="28" t="s">
        <v>91</v>
      </c>
      <c r="L594" s="28" t="s">
        <v>91</v>
      </c>
      <c r="M594" s="28" t="s">
        <v>91</v>
      </c>
      <c r="O594" s="28" t="s">
        <v>91</v>
      </c>
      <c r="P594" s="28" t="s">
        <v>91</v>
      </c>
      <c r="R594" s="28" t="s">
        <v>91</v>
      </c>
      <c r="S594" s="28" t="s">
        <v>91</v>
      </c>
      <c r="U594" s="28" t="s">
        <v>91</v>
      </c>
      <c r="V594" s="28" t="s">
        <v>91</v>
      </c>
      <c r="X594" s="28" t="s">
        <v>91</v>
      </c>
      <c r="Y594" s="28" t="s">
        <v>91</v>
      </c>
      <c r="AA594" s="28" t="s">
        <v>378</v>
      </c>
      <c r="AB594" s="28" t="str">
        <f t="shared" si="747"/>
        <v>-</v>
      </c>
      <c r="AC594" s="28" t="s">
        <v>370</v>
      </c>
      <c r="AD594" s="28" t="str">
        <f t="shared" si="748"/>
        <v>_</v>
      </c>
      <c r="AE594" s="28" t="s">
        <v>234</v>
      </c>
      <c r="AF594" s="28" t="str">
        <f t="shared" si="749"/>
        <v>_</v>
      </c>
      <c r="AG594" s="28" t="s">
        <v>360</v>
      </c>
      <c r="AH594" s="28" t="str">
        <f t="shared" si="750"/>
        <v/>
      </c>
    </row>
    <row r="595" spans="2:34" x14ac:dyDescent="0.25">
      <c r="B595" s="2" t="str">
        <f t="shared" si="746"/>
        <v>@opacity-landuse_sport_play_full</v>
      </c>
      <c r="C595" s="28" t="s">
        <v>76</v>
      </c>
      <c r="D595" s="28" t="s">
        <v>76</v>
      </c>
      <c r="F595" s="28" t="s">
        <v>76</v>
      </c>
      <c r="G595" s="28" t="s">
        <v>76</v>
      </c>
      <c r="I595" s="28" t="s">
        <v>76</v>
      </c>
      <c r="J595" s="28" t="s">
        <v>76</v>
      </c>
      <c r="L595" s="28" t="s">
        <v>76</v>
      </c>
      <c r="M595" s="28" t="s">
        <v>76</v>
      </c>
      <c r="O595" s="28" t="s">
        <v>76</v>
      </c>
      <c r="P595" s="28" t="s">
        <v>76</v>
      </c>
      <c r="R595" s="28" t="s">
        <v>76</v>
      </c>
      <c r="S595" s="28" t="s">
        <v>76</v>
      </c>
      <c r="U595" s="28" t="s">
        <v>76</v>
      </c>
      <c r="V595" s="28" t="s">
        <v>76</v>
      </c>
      <c r="X595" s="28" t="s">
        <v>76</v>
      </c>
      <c r="Y595" s="28" t="s">
        <v>76</v>
      </c>
      <c r="AA595" s="28" t="s">
        <v>378</v>
      </c>
      <c r="AB595" s="28" t="str">
        <f t="shared" si="747"/>
        <v>-</v>
      </c>
      <c r="AC595" s="28" t="s">
        <v>370</v>
      </c>
      <c r="AD595" s="28" t="str">
        <f t="shared" si="748"/>
        <v>_</v>
      </c>
      <c r="AE595" s="28" t="s">
        <v>234</v>
      </c>
      <c r="AF595" s="28" t="str">
        <f t="shared" si="749"/>
        <v>_</v>
      </c>
      <c r="AG595" s="28" t="s">
        <v>359</v>
      </c>
      <c r="AH595" s="28" t="str">
        <f t="shared" si="750"/>
        <v/>
      </c>
    </row>
    <row r="596" spans="2:34" x14ac:dyDescent="0.25">
      <c r="B596" s="2" t="str">
        <f t="shared" ref="B596" si="751">_xlfn.CONCAT("@",AA596,AB596,AC596,AD596,AE596,AF596,AG596,AH596,AI596)</f>
        <v>@opacity-portected_area_outline-inner_full</v>
      </c>
      <c r="C596" s="28" t="s">
        <v>116</v>
      </c>
      <c r="D596" s="28" t="s">
        <v>116</v>
      </c>
      <c r="F596" s="28" t="s">
        <v>366</v>
      </c>
      <c r="G596" s="28" t="s">
        <v>366</v>
      </c>
      <c r="I596" s="28" t="s">
        <v>366</v>
      </c>
      <c r="J596" s="28" t="s">
        <v>366</v>
      </c>
      <c r="L596" s="28" t="s">
        <v>367</v>
      </c>
      <c r="M596" s="28" t="s">
        <v>367</v>
      </c>
      <c r="O596" s="28" t="s">
        <v>366</v>
      </c>
      <c r="P596" s="28" t="s">
        <v>366</v>
      </c>
      <c r="R596" s="28" t="s">
        <v>367</v>
      </c>
      <c r="S596" s="28" t="s">
        <v>367</v>
      </c>
      <c r="U596" s="28" t="s">
        <v>116</v>
      </c>
      <c r="V596" s="28" t="s">
        <v>116</v>
      </c>
      <c r="X596" s="28" t="s">
        <v>116</v>
      </c>
      <c r="Y596" s="28" t="s">
        <v>116</v>
      </c>
      <c r="AA596" s="28" t="s">
        <v>378</v>
      </c>
      <c r="AB596" s="28" t="str">
        <f t="shared" ref="AB596" si="752">IF(NOT(ISBLANK(AC596)),"-","")</f>
        <v>-</v>
      </c>
      <c r="AC596" s="28" t="s">
        <v>364</v>
      </c>
      <c r="AD596" s="28" t="str">
        <f t="shared" ref="AD596" si="753">IF(NOT(ISBLANK(AE596)),"_","")</f>
        <v>_</v>
      </c>
      <c r="AE596" s="28" t="s">
        <v>365</v>
      </c>
      <c r="AF596" s="28" t="str">
        <f t="shared" ref="AF596" si="754">IF(NOT(ISBLANK(AG596)),"_","")</f>
        <v>_</v>
      </c>
      <c r="AG596" s="28" t="s">
        <v>359</v>
      </c>
      <c r="AH596" s="28" t="str">
        <f t="shared" ref="AH596" si="755">IF(NOT(ISBLANK(AI596)),"_","")</f>
        <v/>
      </c>
    </row>
    <row r="597" spans="2:34" x14ac:dyDescent="0.25">
      <c r="B597" s="2" t="str">
        <f t="shared" ref="B597" si="756">_xlfn.CONCAT("@",AA597,AB597,AC597,AD597,AE597,AF597,AG597,AH597,AI597)</f>
        <v>@opacity-portected_area_outline-outer_full</v>
      </c>
      <c r="C597" s="28" t="s">
        <v>76</v>
      </c>
      <c r="D597" s="28" t="s">
        <v>76</v>
      </c>
      <c r="F597" s="28" t="s">
        <v>118</v>
      </c>
      <c r="G597" s="28" t="s">
        <v>118</v>
      </c>
      <c r="I597" s="28" t="s">
        <v>91</v>
      </c>
      <c r="J597" s="28" t="s">
        <v>91</v>
      </c>
      <c r="L597" s="28" t="s">
        <v>361</v>
      </c>
      <c r="M597" s="28" t="s">
        <v>361</v>
      </c>
      <c r="O597" s="28" t="s">
        <v>120</v>
      </c>
      <c r="P597" s="28" t="s">
        <v>120</v>
      </c>
      <c r="R597" s="28" t="s">
        <v>362</v>
      </c>
      <c r="S597" s="28" t="s">
        <v>362</v>
      </c>
      <c r="U597" s="28" t="s">
        <v>76</v>
      </c>
      <c r="V597" s="28" t="s">
        <v>76</v>
      </c>
      <c r="X597" s="28" t="s">
        <v>118</v>
      </c>
      <c r="Y597" s="28" t="s">
        <v>118</v>
      </c>
      <c r="AA597" s="28" t="s">
        <v>378</v>
      </c>
      <c r="AB597" s="28" t="str">
        <f t="shared" ref="AB597" si="757">IF(NOT(ISBLANK(AC597)),"-","")</f>
        <v>-</v>
      </c>
      <c r="AC597" s="28" t="s">
        <v>364</v>
      </c>
      <c r="AD597" s="28" t="str">
        <f t="shared" ref="AD597" si="758">IF(NOT(ISBLANK(AE597)),"_","")</f>
        <v>_</v>
      </c>
      <c r="AE597" s="28" t="s">
        <v>368</v>
      </c>
      <c r="AF597" s="28" t="str">
        <f t="shared" ref="AF597" si="759">IF(NOT(ISBLANK(AG597)),"_","")</f>
        <v>_</v>
      </c>
      <c r="AG597" s="28" t="s">
        <v>359</v>
      </c>
      <c r="AH597" s="28" t="str">
        <f t="shared" ref="AH597" si="760">IF(NOT(ISBLANK(AI597)),"_","")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6 C299 M295:T295 M296:T296 M297:T297 M299:T299 M300:T300 M301:T301 M303:T303 M304:T304 M305:T305 M307:T307 M308:T308 M309:T309 D299:E299 E295 E296 E297 E298 D307:E309 E300 E301 E303 E304 E305 H299 H295:L295 H296:L296 H297:L297 H298:L298 H307:L309 H300:L300 H301:L301 H303 H304:L304 H305:L305 J299:K299 J303:K30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2026-01-06T06:36:01Z</dcterms:modified>
</cp:coreProperties>
</file>