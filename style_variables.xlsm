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E76C3CB2-B780-43CF-B7EF-5BCAAD37223C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96" i="5" l="1"/>
  <c r="AF296" i="5"/>
  <c r="AD296" i="5"/>
  <c r="AB296" i="5"/>
  <c r="B296" i="5"/>
  <c r="AH295" i="5"/>
  <c r="AF295" i="5"/>
  <c r="AD295" i="5"/>
  <c r="AB295" i="5"/>
  <c r="B295" i="5"/>
  <c r="AH294" i="5"/>
  <c r="AF294" i="5"/>
  <c r="AD294" i="5"/>
  <c r="AB294" i="5"/>
  <c r="B294" i="5" s="1"/>
  <c r="AH293" i="5"/>
  <c r="AF293" i="5"/>
  <c r="AD293" i="5"/>
  <c r="AB293" i="5"/>
  <c r="B293" i="5"/>
  <c r="AH301" i="5"/>
  <c r="AF301" i="5"/>
  <c r="AD301" i="5"/>
  <c r="AB301" i="5"/>
  <c r="B301" i="5"/>
  <c r="AH300" i="5"/>
  <c r="AF300" i="5"/>
  <c r="AD300" i="5"/>
  <c r="AB300" i="5"/>
  <c r="B300" i="5" s="1"/>
  <c r="AH313" i="5"/>
  <c r="AF313" i="5"/>
  <c r="AD313" i="5"/>
  <c r="AB313" i="5"/>
  <c r="B313" i="5"/>
  <c r="AH312" i="5"/>
  <c r="AF312" i="5"/>
  <c r="AD312" i="5"/>
  <c r="AB312" i="5"/>
  <c r="B312" i="5" s="1"/>
  <c r="AH311" i="5"/>
  <c r="AF311" i="5"/>
  <c r="AD311" i="5"/>
  <c r="AB311" i="5"/>
  <c r="AH310" i="5"/>
  <c r="AF310" i="5"/>
  <c r="AD310" i="5"/>
  <c r="AB310" i="5"/>
  <c r="B310" i="5" s="1"/>
  <c r="AH339" i="5"/>
  <c r="AF339" i="5"/>
  <c r="AD339" i="5"/>
  <c r="AB339" i="5"/>
  <c r="B339" i="5" s="1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B336" i="5"/>
  <c r="AH326" i="5"/>
  <c r="AF326" i="5"/>
  <c r="AD326" i="5"/>
  <c r="AB326" i="5"/>
  <c r="B326" i="5"/>
  <c r="AH325" i="5"/>
  <c r="AF325" i="5"/>
  <c r="AD325" i="5"/>
  <c r="AB325" i="5"/>
  <c r="AH324" i="5"/>
  <c r="AF324" i="5"/>
  <c r="AD324" i="5"/>
  <c r="AB324" i="5"/>
  <c r="B324" i="5" s="1"/>
  <c r="AH323" i="5"/>
  <c r="AF323" i="5"/>
  <c r="AD323" i="5"/>
  <c r="AB323" i="5"/>
  <c r="B323" i="5"/>
  <c r="AH350" i="5"/>
  <c r="AF350" i="5"/>
  <c r="AD350" i="5"/>
  <c r="AB350" i="5"/>
  <c r="B350" i="5"/>
  <c r="AH349" i="5"/>
  <c r="AF349" i="5"/>
  <c r="AD349" i="5"/>
  <c r="AB349" i="5"/>
  <c r="AH352" i="5"/>
  <c r="AF352" i="5"/>
  <c r="AD352" i="5"/>
  <c r="AB352" i="5"/>
  <c r="B352" i="5"/>
  <c r="AH351" i="5"/>
  <c r="AF351" i="5"/>
  <c r="AD351" i="5"/>
  <c r="AB351" i="5"/>
  <c r="B351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42" i="5"/>
  <c r="AF242" i="5"/>
  <c r="AD242" i="5"/>
  <c r="AB242" i="5"/>
  <c r="B242" i="5"/>
  <c r="AH241" i="5"/>
  <c r="AF241" i="5"/>
  <c r="AD241" i="5"/>
  <c r="AB241" i="5"/>
  <c r="B241" i="5" s="1"/>
  <c r="AH237" i="5"/>
  <c r="AF237" i="5"/>
  <c r="AD237" i="5"/>
  <c r="AB237" i="5"/>
  <c r="B237" i="5"/>
  <c r="AH236" i="5"/>
  <c r="AF236" i="5"/>
  <c r="AD236" i="5"/>
  <c r="AB236" i="5"/>
  <c r="B236" i="5" s="1"/>
  <c r="AH235" i="5"/>
  <c r="AF235" i="5"/>
  <c r="AD235" i="5"/>
  <c r="AB235" i="5"/>
  <c r="B235" i="5" s="1"/>
  <c r="AH234" i="5"/>
  <c r="AF234" i="5"/>
  <c r="AD234" i="5"/>
  <c r="AB234" i="5"/>
  <c r="AH244" i="5"/>
  <c r="AF244" i="5"/>
  <c r="AD244" i="5"/>
  <c r="AB244" i="5"/>
  <c r="AH243" i="5"/>
  <c r="AF243" i="5"/>
  <c r="AD243" i="5"/>
  <c r="AB243" i="5"/>
  <c r="AH240" i="5"/>
  <c r="AF240" i="5"/>
  <c r="AD240" i="5"/>
  <c r="AB240" i="5"/>
  <c r="B240" i="5"/>
  <c r="AH238" i="5"/>
  <c r="AF238" i="5"/>
  <c r="AD238" i="5"/>
  <c r="AB238" i="5"/>
  <c r="AH233" i="5"/>
  <c r="AF233" i="5"/>
  <c r="AD233" i="5"/>
  <c r="AB233" i="5"/>
  <c r="AH232" i="5"/>
  <c r="AF232" i="5"/>
  <c r="AD232" i="5"/>
  <c r="AB232" i="5"/>
  <c r="M368" i="5"/>
  <c r="M367" i="5"/>
  <c r="M360" i="5"/>
  <c r="M359" i="5"/>
  <c r="M347" i="5"/>
  <c r="M346" i="5"/>
  <c r="M334" i="5"/>
  <c r="M333" i="5"/>
  <c r="M321" i="5"/>
  <c r="M320" i="5"/>
  <c r="M308" i="5"/>
  <c r="M307" i="5"/>
  <c r="M291" i="5"/>
  <c r="M290" i="5"/>
  <c r="M281" i="5"/>
  <c r="M280" i="5"/>
  <c r="M271" i="5"/>
  <c r="M270" i="5"/>
  <c r="M260" i="5"/>
  <c r="M259" i="5"/>
  <c r="AH341" i="5"/>
  <c r="AF341" i="5"/>
  <c r="AD341" i="5"/>
  <c r="AB341" i="5"/>
  <c r="AH334" i="5"/>
  <c r="AF334" i="5"/>
  <c r="AD334" i="5"/>
  <c r="AB334" i="5"/>
  <c r="J334" i="5"/>
  <c r="G334" i="5"/>
  <c r="D334" i="5"/>
  <c r="B334" i="5"/>
  <c r="AH333" i="5"/>
  <c r="AF333" i="5"/>
  <c r="AD333" i="5"/>
  <c r="AB333" i="5"/>
  <c r="B333" i="5" s="1"/>
  <c r="J333" i="5"/>
  <c r="G333" i="5"/>
  <c r="D333" i="5"/>
  <c r="AH332" i="5"/>
  <c r="AF332" i="5"/>
  <c r="AD332" i="5"/>
  <c r="AB332" i="5"/>
  <c r="J332" i="5"/>
  <c r="I332" i="5"/>
  <c r="AH331" i="5"/>
  <c r="AF331" i="5"/>
  <c r="AD331" i="5"/>
  <c r="AB331" i="5"/>
  <c r="B331" i="5" s="1"/>
  <c r="J331" i="5"/>
  <c r="I331" i="5"/>
  <c r="AH330" i="5"/>
  <c r="AF330" i="5"/>
  <c r="AD330" i="5"/>
  <c r="AB330" i="5"/>
  <c r="J330" i="5"/>
  <c r="I330" i="5"/>
  <c r="AH329" i="5"/>
  <c r="AF329" i="5"/>
  <c r="AD329" i="5"/>
  <c r="AB329" i="5"/>
  <c r="J329" i="5"/>
  <c r="I329" i="5"/>
  <c r="G347" i="5"/>
  <c r="G346" i="5"/>
  <c r="G360" i="5"/>
  <c r="G359" i="5"/>
  <c r="G321" i="5"/>
  <c r="G320" i="5"/>
  <c r="G308" i="5"/>
  <c r="G307" i="5"/>
  <c r="J321" i="5"/>
  <c r="J320" i="5"/>
  <c r="J369" i="5"/>
  <c r="I369" i="5"/>
  <c r="AH373" i="5"/>
  <c r="AF373" i="5"/>
  <c r="AD373" i="5"/>
  <c r="AB373" i="5"/>
  <c r="AH371" i="5"/>
  <c r="AF371" i="5"/>
  <c r="AD371" i="5"/>
  <c r="AB371" i="5"/>
  <c r="AH369" i="5"/>
  <c r="AF369" i="5"/>
  <c r="AD369" i="5"/>
  <c r="AB369" i="5"/>
  <c r="B369" i="5" s="1"/>
  <c r="J370" i="5"/>
  <c r="I370" i="5"/>
  <c r="J368" i="5"/>
  <c r="G368" i="5"/>
  <c r="D368" i="5"/>
  <c r="J367" i="5"/>
  <c r="G367" i="5"/>
  <c r="D367" i="5"/>
  <c r="J366" i="5"/>
  <c r="I366" i="5"/>
  <c r="AH365" i="5"/>
  <c r="AF365" i="5"/>
  <c r="AD365" i="5"/>
  <c r="AB365" i="5"/>
  <c r="AH374" i="5"/>
  <c r="AF374" i="5"/>
  <c r="AD374" i="5"/>
  <c r="AB374" i="5"/>
  <c r="AH372" i="5"/>
  <c r="AF372" i="5"/>
  <c r="AD372" i="5"/>
  <c r="AB372" i="5"/>
  <c r="AH370" i="5"/>
  <c r="AF370" i="5"/>
  <c r="AD370" i="5"/>
  <c r="AB370" i="5"/>
  <c r="AH305" i="5"/>
  <c r="AF305" i="5"/>
  <c r="AD305" i="5"/>
  <c r="AB305" i="5"/>
  <c r="J305" i="5"/>
  <c r="I305" i="5"/>
  <c r="AH303" i="5"/>
  <c r="AF303" i="5"/>
  <c r="AD303" i="5"/>
  <c r="AB303" i="5"/>
  <c r="J303" i="5"/>
  <c r="I303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91" i="5"/>
  <c r="AH290" i="5"/>
  <c r="AH289" i="5"/>
  <c r="AH288" i="5"/>
  <c r="AH287" i="5"/>
  <c r="AH286" i="5"/>
  <c r="AH285" i="5"/>
  <c r="AH284" i="5"/>
  <c r="AH283" i="5"/>
  <c r="AH281" i="5"/>
  <c r="AH280" i="5"/>
  <c r="AH278" i="5"/>
  <c r="AH277" i="5"/>
  <c r="AH276" i="5"/>
  <c r="AH275" i="5"/>
  <c r="AH274" i="5"/>
  <c r="AH273" i="5"/>
  <c r="AH271" i="5"/>
  <c r="AH270" i="5"/>
  <c r="AH268" i="5"/>
  <c r="AH267" i="5"/>
  <c r="AH266" i="5"/>
  <c r="AH265" i="5"/>
  <c r="AH264" i="5"/>
  <c r="AH263" i="5"/>
  <c r="AH28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AH368" i="5"/>
  <c r="AH367" i="5"/>
  <c r="AH366" i="5"/>
  <c r="AH364" i="5"/>
  <c r="AH363" i="5"/>
  <c r="AH362" i="5"/>
  <c r="AH361" i="5"/>
  <c r="AH360" i="5"/>
  <c r="AH359" i="5"/>
  <c r="AH358" i="5"/>
  <c r="AH357" i="5"/>
  <c r="AH356" i="5"/>
  <c r="AH355" i="5"/>
  <c r="AH354" i="5"/>
  <c r="AH347" i="5"/>
  <c r="AH346" i="5"/>
  <c r="AH345" i="5"/>
  <c r="AH344" i="5"/>
  <c r="AH343" i="5"/>
  <c r="AH342" i="5"/>
  <c r="AH328" i="5"/>
  <c r="AH321" i="5"/>
  <c r="AH320" i="5"/>
  <c r="AH319" i="5"/>
  <c r="AH318" i="5"/>
  <c r="AH317" i="5"/>
  <c r="AH316" i="5"/>
  <c r="AH315" i="5"/>
  <c r="AH308" i="5"/>
  <c r="AH307" i="5"/>
  <c r="AH306" i="5"/>
  <c r="AH304" i="5"/>
  <c r="AH298" i="5"/>
  <c r="AH297" i="5"/>
  <c r="AH282" i="5"/>
  <c r="AH279" i="5"/>
  <c r="AH272" i="5"/>
  <c r="AH269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39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284" i="5"/>
  <c r="AD284" i="5"/>
  <c r="AB284" i="5"/>
  <c r="V284" i="5"/>
  <c r="U284" i="5"/>
  <c r="J284" i="5"/>
  <c r="I284" i="5"/>
  <c r="AF274" i="5"/>
  <c r="AD274" i="5"/>
  <c r="AB274" i="5"/>
  <c r="V274" i="5"/>
  <c r="U274" i="5"/>
  <c r="J274" i="5"/>
  <c r="I274" i="5"/>
  <c r="AF264" i="5"/>
  <c r="AD264" i="5"/>
  <c r="AB264" i="5"/>
  <c r="V264" i="5"/>
  <c r="U264" i="5"/>
  <c r="J264" i="5"/>
  <c r="I264" i="5"/>
  <c r="AF253" i="5"/>
  <c r="AD253" i="5"/>
  <c r="AB253" i="5"/>
  <c r="V253" i="5"/>
  <c r="U253" i="5"/>
  <c r="J253" i="5"/>
  <c r="I253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186" i="5"/>
  <c r="AB186" i="5"/>
  <c r="AF229" i="5"/>
  <c r="AD229" i="5"/>
  <c r="AB229" i="5"/>
  <c r="G291" i="5"/>
  <c r="G290" i="5"/>
  <c r="G281" i="5"/>
  <c r="G280" i="5"/>
  <c r="G271" i="5"/>
  <c r="G270" i="5"/>
  <c r="G260" i="5"/>
  <c r="G259" i="5"/>
  <c r="D291" i="5"/>
  <c r="D290" i="5"/>
  <c r="D281" i="5"/>
  <c r="D280" i="5"/>
  <c r="D271" i="5"/>
  <c r="D270" i="5"/>
  <c r="D260" i="5"/>
  <c r="D259" i="5"/>
  <c r="AF252" i="5"/>
  <c r="AD252" i="5"/>
  <c r="AB252" i="5"/>
  <c r="V252" i="5"/>
  <c r="U252" i="5"/>
  <c r="J252" i="5"/>
  <c r="I252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83" i="5"/>
  <c r="V273" i="5"/>
  <c r="V258" i="5"/>
  <c r="V263" i="5"/>
  <c r="V269" i="5"/>
  <c r="J258" i="5"/>
  <c r="I258" i="5"/>
  <c r="J269" i="5"/>
  <c r="J279" i="5"/>
  <c r="V279" i="5" s="1"/>
  <c r="J289" i="5"/>
  <c r="V289" i="5" s="1"/>
  <c r="J283" i="5"/>
  <c r="J273" i="5"/>
  <c r="U249" i="5"/>
  <c r="U248" i="5"/>
  <c r="U247" i="5"/>
  <c r="U258" i="5"/>
  <c r="AF256" i="5"/>
  <c r="AD256" i="5"/>
  <c r="AB256" i="5"/>
  <c r="AF254" i="5"/>
  <c r="AD254" i="5"/>
  <c r="AB254" i="5"/>
  <c r="J263" i="5"/>
  <c r="J249" i="5"/>
  <c r="I249" i="5"/>
  <c r="I248" i="5"/>
  <c r="I247" i="5"/>
  <c r="J260" i="5"/>
  <c r="J259" i="5"/>
  <c r="J271" i="5"/>
  <c r="J270" i="5"/>
  <c r="J280" i="5"/>
  <c r="J281" i="5"/>
  <c r="J290" i="5"/>
  <c r="J291" i="5"/>
  <c r="AF321" i="5"/>
  <c r="AD321" i="5"/>
  <c r="AB321" i="5"/>
  <c r="D321" i="5"/>
  <c r="AF320" i="5"/>
  <c r="AD320" i="5"/>
  <c r="AB320" i="5"/>
  <c r="D320" i="5"/>
  <c r="AF319" i="5"/>
  <c r="AD319" i="5"/>
  <c r="AB319" i="5"/>
  <c r="J319" i="5"/>
  <c r="I319" i="5"/>
  <c r="AF318" i="5"/>
  <c r="AD318" i="5"/>
  <c r="AB318" i="5"/>
  <c r="J318" i="5"/>
  <c r="I318" i="5"/>
  <c r="AF317" i="5"/>
  <c r="AD317" i="5"/>
  <c r="AB317" i="5"/>
  <c r="J317" i="5"/>
  <c r="I317" i="5"/>
  <c r="AF316" i="5"/>
  <c r="AD316" i="5"/>
  <c r="AB316" i="5"/>
  <c r="J316" i="5"/>
  <c r="I316" i="5"/>
  <c r="AF315" i="5"/>
  <c r="AD315" i="5"/>
  <c r="AB315" i="5"/>
  <c r="AF347" i="5"/>
  <c r="AD347" i="5"/>
  <c r="AB347" i="5"/>
  <c r="J347" i="5"/>
  <c r="I347" i="5"/>
  <c r="D347" i="5"/>
  <c r="AF346" i="5"/>
  <c r="AD346" i="5"/>
  <c r="AB346" i="5"/>
  <c r="J346" i="5"/>
  <c r="I346" i="5"/>
  <c r="D346" i="5"/>
  <c r="AF345" i="5"/>
  <c r="AD345" i="5"/>
  <c r="AB345" i="5"/>
  <c r="J345" i="5"/>
  <c r="I345" i="5"/>
  <c r="AF344" i="5"/>
  <c r="AD344" i="5"/>
  <c r="AB344" i="5"/>
  <c r="J344" i="5"/>
  <c r="I344" i="5"/>
  <c r="AF343" i="5"/>
  <c r="AD343" i="5"/>
  <c r="AB343" i="5"/>
  <c r="J343" i="5"/>
  <c r="I343" i="5"/>
  <c r="AF342" i="5"/>
  <c r="AD342" i="5"/>
  <c r="AB342" i="5"/>
  <c r="J342" i="5"/>
  <c r="I342" i="5"/>
  <c r="AF328" i="5"/>
  <c r="AD328" i="5"/>
  <c r="AB328" i="5"/>
  <c r="J358" i="5"/>
  <c r="J357" i="5"/>
  <c r="I358" i="5"/>
  <c r="I357" i="5"/>
  <c r="J356" i="5"/>
  <c r="J355" i="5"/>
  <c r="I356" i="5"/>
  <c r="I355" i="5"/>
  <c r="AF357" i="5"/>
  <c r="AD357" i="5"/>
  <c r="AB357" i="5"/>
  <c r="AF355" i="5"/>
  <c r="AD355" i="5"/>
  <c r="AB355" i="5"/>
  <c r="AF358" i="5"/>
  <c r="AD358" i="5"/>
  <c r="AB358" i="5"/>
  <c r="AF356" i="5"/>
  <c r="AD356" i="5"/>
  <c r="AB356" i="5"/>
  <c r="J306" i="5"/>
  <c r="J304" i="5"/>
  <c r="I304" i="5"/>
  <c r="I306" i="5"/>
  <c r="AF306" i="5"/>
  <c r="AD306" i="5"/>
  <c r="AB306" i="5"/>
  <c r="AF304" i="5"/>
  <c r="AD304" i="5"/>
  <c r="AB304" i="5"/>
  <c r="J360" i="5"/>
  <c r="J359" i="5"/>
  <c r="J308" i="5"/>
  <c r="D360" i="5"/>
  <c r="D359" i="5"/>
  <c r="D308" i="5"/>
  <c r="J307" i="5"/>
  <c r="D307" i="5"/>
  <c r="U283" i="5"/>
  <c r="U273" i="5"/>
  <c r="U263" i="5"/>
  <c r="U289" i="5"/>
  <c r="U279" i="5"/>
  <c r="U269" i="5"/>
  <c r="AF269" i="5"/>
  <c r="AD269" i="5"/>
  <c r="AB269" i="5"/>
  <c r="I269" i="5"/>
  <c r="AF279" i="5"/>
  <c r="AD279" i="5"/>
  <c r="AB279" i="5"/>
  <c r="I279" i="5"/>
  <c r="I289" i="5"/>
  <c r="AF289" i="5"/>
  <c r="AD289" i="5"/>
  <c r="AB289" i="5"/>
  <c r="AF267" i="5"/>
  <c r="AD267" i="5"/>
  <c r="AB267" i="5"/>
  <c r="AF265" i="5"/>
  <c r="AD265" i="5"/>
  <c r="AB265" i="5"/>
  <c r="AF263" i="5"/>
  <c r="AD263" i="5"/>
  <c r="AB263" i="5"/>
  <c r="I263" i="5"/>
  <c r="AF281" i="5"/>
  <c r="AD281" i="5"/>
  <c r="AB281" i="5"/>
  <c r="AF280" i="5"/>
  <c r="AD280" i="5"/>
  <c r="AB280" i="5"/>
  <c r="AF278" i="5"/>
  <c r="AD278" i="5"/>
  <c r="AB278" i="5"/>
  <c r="AF277" i="5"/>
  <c r="AD277" i="5"/>
  <c r="AB277" i="5"/>
  <c r="AF276" i="5"/>
  <c r="AD276" i="5"/>
  <c r="AB276" i="5"/>
  <c r="AF275" i="5"/>
  <c r="AD275" i="5"/>
  <c r="AB275" i="5"/>
  <c r="AF273" i="5"/>
  <c r="AD273" i="5"/>
  <c r="AB273" i="5"/>
  <c r="I273" i="5"/>
  <c r="AF272" i="5"/>
  <c r="AF287" i="5"/>
  <c r="AD287" i="5"/>
  <c r="AB287" i="5"/>
  <c r="AF285" i="5"/>
  <c r="AD285" i="5"/>
  <c r="AB285" i="5"/>
  <c r="I283" i="5"/>
  <c r="AF283" i="5"/>
  <c r="AD283" i="5"/>
  <c r="AB283" i="5"/>
  <c r="AF291" i="5"/>
  <c r="AF290" i="5"/>
  <c r="AF288" i="5"/>
  <c r="AF286" i="5"/>
  <c r="AF282" i="5"/>
  <c r="AD291" i="5"/>
  <c r="AB291" i="5"/>
  <c r="AD290" i="5"/>
  <c r="AB290" i="5"/>
  <c r="AD288" i="5"/>
  <c r="AB288" i="5"/>
  <c r="AD286" i="5"/>
  <c r="AB286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68" i="5"/>
  <c r="AF367" i="5"/>
  <c r="AF366" i="5"/>
  <c r="AF364" i="5"/>
  <c r="AF363" i="5"/>
  <c r="AF362" i="5"/>
  <c r="AF361" i="5"/>
  <c r="AF360" i="5"/>
  <c r="AF359" i="5"/>
  <c r="AF354" i="5"/>
  <c r="AF308" i="5"/>
  <c r="AF307" i="5"/>
  <c r="AF298" i="5"/>
  <c r="AF297" i="5"/>
  <c r="AF271" i="5"/>
  <c r="AF270" i="5"/>
  <c r="AD368" i="5"/>
  <c r="AD367" i="5"/>
  <c r="AD366" i="5"/>
  <c r="AD364" i="5"/>
  <c r="AD363" i="5"/>
  <c r="AD362" i="5"/>
  <c r="AD361" i="5"/>
  <c r="AD360" i="5"/>
  <c r="AD359" i="5"/>
  <c r="AD354" i="5"/>
  <c r="AD308" i="5"/>
  <c r="AD307" i="5"/>
  <c r="AD298" i="5"/>
  <c r="AD297" i="5"/>
  <c r="AD271" i="5"/>
  <c r="AD270" i="5"/>
  <c r="AB368" i="5"/>
  <c r="AB367" i="5"/>
  <c r="AB366" i="5"/>
  <c r="AB364" i="5"/>
  <c r="AB363" i="5"/>
  <c r="AB362" i="5"/>
  <c r="AB361" i="5"/>
  <c r="AB360" i="5"/>
  <c r="AB359" i="5"/>
  <c r="AB354" i="5"/>
  <c r="AB308" i="5"/>
  <c r="AB307" i="5"/>
  <c r="AB298" i="5"/>
  <c r="AB297" i="5"/>
  <c r="AB271" i="5"/>
  <c r="I360" i="5"/>
  <c r="I359" i="5"/>
  <c r="I308" i="5"/>
  <c r="I307" i="5"/>
  <c r="AF268" i="5"/>
  <c r="AF266" i="5"/>
  <c r="AD268" i="5"/>
  <c r="AD266" i="5"/>
  <c r="AB270" i="5"/>
  <c r="AB268" i="5"/>
  <c r="AB266" i="5"/>
  <c r="AF262" i="5"/>
  <c r="AF261" i="5"/>
  <c r="AF260" i="5"/>
  <c r="AF259" i="5"/>
  <c r="AF258" i="5"/>
  <c r="AF257" i="5"/>
  <c r="AF255" i="5"/>
  <c r="AF251" i="5"/>
  <c r="AF250" i="5"/>
  <c r="AF249" i="5"/>
  <c r="AF248" i="5"/>
  <c r="AF247" i="5"/>
  <c r="AF246" i="5"/>
  <c r="AF239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62" i="5"/>
  <c r="AD261" i="5"/>
  <c r="AD260" i="5"/>
  <c r="AD259" i="5"/>
  <c r="AD258" i="5"/>
  <c r="AD257" i="5"/>
  <c r="AD255" i="5"/>
  <c r="AD251" i="5"/>
  <c r="AD250" i="5"/>
  <c r="AD249" i="5"/>
  <c r="AD248" i="5"/>
  <c r="AD247" i="5"/>
  <c r="AD246" i="5"/>
  <c r="AD239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62" i="5"/>
  <c r="AB261" i="5"/>
  <c r="AB260" i="5"/>
  <c r="AB259" i="5"/>
  <c r="AB258" i="5"/>
  <c r="AB257" i="5"/>
  <c r="AB255" i="5"/>
  <c r="AB251" i="5"/>
  <c r="AB250" i="5"/>
  <c r="AB249" i="5"/>
  <c r="AB248" i="5"/>
  <c r="AB247" i="5"/>
  <c r="AB246" i="5"/>
  <c r="AB239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01" i="5" l="1"/>
  <c r="B349" i="5"/>
  <c r="B311" i="5"/>
  <c r="B337" i="5"/>
  <c r="B338" i="5"/>
  <c r="B325" i="5"/>
  <c r="B330" i="5"/>
  <c r="B243" i="5"/>
  <c r="B92" i="5"/>
  <c r="B91" i="5"/>
  <c r="B238" i="5"/>
  <c r="B234" i="5"/>
  <c r="B244" i="5"/>
  <c r="B305" i="5"/>
  <c r="B128" i="5"/>
  <c r="B126" i="5"/>
  <c r="B239" i="5"/>
  <c r="B373" i="5"/>
  <c r="B332" i="5"/>
  <c r="B329" i="5"/>
  <c r="B160" i="5"/>
  <c r="B152" i="5"/>
  <c r="B121" i="5"/>
  <c r="B374" i="5"/>
  <c r="B154" i="5"/>
  <c r="B371" i="5"/>
  <c r="B159" i="5"/>
  <c r="B370" i="5"/>
  <c r="B98" i="5"/>
  <c r="B127" i="5"/>
  <c r="B372" i="5"/>
  <c r="B124" i="5"/>
  <c r="B157" i="5"/>
  <c r="B303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70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71" i="5"/>
  <c r="B186" i="5"/>
  <c r="B274" i="5"/>
  <c r="B264" i="5"/>
  <c r="B110" i="5"/>
  <c r="B108" i="5"/>
  <c r="B43" i="5"/>
  <c r="B228" i="5"/>
  <c r="B368" i="5"/>
  <c r="B367" i="5"/>
  <c r="B366" i="5"/>
  <c r="B364" i="5"/>
  <c r="B363" i="5"/>
  <c r="B359" i="5"/>
  <c r="B308" i="5"/>
  <c r="B307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63" i="5"/>
  <c r="B281" i="5"/>
  <c r="B280" i="5"/>
  <c r="B278" i="5"/>
  <c r="B276" i="5"/>
  <c r="B275" i="5"/>
  <c r="B273" i="5"/>
  <c r="B283" i="5"/>
  <c r="B114" i="5"/>
  <c r="B11" i="5"/>
  <c r="B78" i="5"/>
  <c r="B360" i="5"/>
  <c r="B82" i="5"/>
  <c r="B81" i="5"/>
  <c r="B80" i="5"/>
  <c r="B231" i="5"/>
  <c r="B285" i="5"/>
  <c r="B345" i="5"/>
  <c r="B343" i="5"/>
  <c r="B306" i="5"/>
  <c r="B304" i="5"/>
  <c r="B109" i="5"/>
  <c r="B107" i="5"/>
  <c r="B230" i="5"/>
  <c r="B269" i="5"/>
  <c r="B279" i="5"/>
  <c r="B59" i="5"/>
  <c r="B58" i="5"/>
  <c r="B57" i="5"/>
  <c r="B56" i="5"/>
  <c r="B55" i="5"/>
  <c r="B284" i="5"/>
  <c r="B48" i="5"/>
  <c r="B347" i="5"/>
  <c r="B346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21" i="5"/>
  <c r="B320" i="5"/>
  <c r="B319" i="5"/>
  <c r="B317" i="5"/>
  <c r="B277" i="5"/>
  <c r="B66" i="5"/>
  <c r="B65" i="5"/>
  <c r="B64" i="5"/>
  <c r="B258" i="5"/>
  <c r="B249" i="5"/>
  <c r="B248" i="5"/>
  <c r="B247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52" i="5"/>
  <c r="B289" i="5"/>
  <c r="B267" i="5"/>
  <c r="B265" i="5"/>
  <c r="B287" i="5"/>
  <c r="B291" i="5"/>
  <c r="B290" i="5"/>
  <c r="B288" i="5"/>
  <c r="B286" i="5"/>
  <c r="B268" i="5"/>
  <c r="B266" i="5"/>
  <c r="B358" i="5"/>
  <c r="B357" i="5"/>
  <c r="B356" i="5"/>
  <c r="B355" i="5"/>
  <c r="B318" i="5"/>
  <c r="B316" i="5"/>
  <c r="B342" i="5"/>
  <c r="B344" i="5"/>
  <c r="B260" i="5"/>
  <c r="B259" i="5"/>
  <c r="B257" i="5"/>
  <c r="B256" i="5"/>
  <c r="B255" i="5"/>
  <c r="B254" i="5"/>
  <c r="B253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<sst xmlns="http://schemas.openxmlformats.org/spreadsheetml/2006/main" count="4644" uniqueCount="393">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</sst>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93"/>
  <sheetViews>
    <sheetView tabSelected="1" topLeftCell="A3" zoomScale="85" zoomScaleNormal="85" workbookViewId="0">
      <pane ySplit="4" topLeftCell="A83" activePane="bottomLeft" state="frozen"/>
      <selection activeCell="A3" sqref="A3"/>
      <selection pane="bottomLeft" activeCell="P155" sqref="P155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U26" s="161" t="s">
        <v>302</v>
      </c>
      <c r="V26" s="161" t="s">
        <v>302</v>
      </c>
      <c r="X26" s="162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U28" s="163" t="s">
        <v>304</v>
      </c>
      <c r="V28" s="163" t="s">
        <v>304</v>
      </c>
      <c r="X28" s="164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U30" s="163" t="s">
        <v>304</v>
      </c>
      <c r="V30" s="163" t="s">
        <v>304</v>
      </c>
      <c r="X30" s="164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U32" s="163" t="s">
        <v>304</v>
      </c>
      <c r="V32" s="163" t="s">
        <v>304</v>
      </c>
      <c r="X32" s="164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U34" s="163" t="s">
        <v>304</v>
      </c>
      <c r="V34" s="163" t="s">
        <v>304</v>
      </c>
      <c r="X34" s="164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U36" s="159" t="s">
        <v>299</v>
      </c>
      <c r="V36" s="159" t="s">
        <v>299</v>
      </c>
      <c r="X36" s="160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U38" s="159" t="s">
        <v>299</v>
      </c>
      <c r="V38" s="159" t="s">
        <v>299</v>
      </c>
      <c r="X38" s="160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X64" s="45" t="s">
        <v>171</v>
      </c>
      <c r="Y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X65" s="49" t="s">
        <v>172</v>
      </c>
      <c r="Y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X66" s="53" t="s">
        <v>173</v>
      </c>
      <c r="Y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100</v>
      </c>
      <c r="L75" s="28" t="s">
        <v>100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91</v>
      </c>
      <c r="L79" s="28" t="s">
        <v>91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332</v>
      </c>
      <c r="L83" s="28" t="s">
        <v>332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62" si="181">IF(NOT(ISBLANK(AC130)),"-","")</f>
        <v/>
      </c>
      <c r="AC130" s="4"/>
      <c r="AD130" s="4" t="str">
        <f t="shared" ref="AD130:AD266" si="182">IF(NOT(ISBLANK(AE130)),"_","")</f>
        <v/>
      </c>
      <c r="AE130" s="4"/>
      <c r="AF130" s="4" t="str">
        <f t="shared" ref="AF130:AF266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53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8" si="285">IF(NOT(ISBLANK(AC228)),"-","")</f>
        <v>-</v>
      </c>
      <c r="AC228" s="2" t="s">
        <v>51</v>
      </c>
      <c r="AD228" s="2" t="str">
        <f t="shared" ref="AD228:AD238" si="286">IF(NOT(ISBLANK(AE228)),"_","")</f>
        <v>_</v>
      </c>
      <c r="AE228" s="2" t="s">
        <v>239</v>
      </c>
      <c r="AF228" s="2" t="str">
        <f t="shared" ref="AF228:AF238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8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:B237" si="292">_xlfn.CONCAT("@",AA234,AB234,AC234,AD234,AE234,AF234,AG234,AH234,AI234)</f>
        <v>@fill-opacity-landcover_clearcut_mid</v>
      </c>
      <c r="C234" s="28" t="s">
        <v>95</v>
      </c>
      <c r="D234" s="28" t="s">
        <v>95</v>
      </c>
      <c r="F234" s="28" t="s">
        <v>95</v>
      </c>
      <c r="G234" s="28" t="s">
        <v>95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ref="AB234:AB237" si="293">IF(NOT(ISBLANK(AC234)),"-","")</f>
        <v>-</v>
      </c>
      <c r="AC234" s="28" t="s">
        <v>51</v>
      </c>
      <c r="AD234" s="28" t="str">
        <f t="shared" ref="AD234:AD237" si="294">IF(NOT(ISBLANK(AE234)),"_","")</f>
        <v>_</v>
      </c>
      <c r="AE234" s="28" t="s">
        <v>384</v>
      </c>
      <c r="AF234" s="28" t="str">
        <f t="shared" ref="AF234:AF237" si="295">IF(NOT(ISBLANK(AG234)),"_","")</f>
        <v>_</v>
      </c>
      <c r="AG234" s="28" t="s">
        <v>375</v>
      </c>
      <c r="AH234" s="28" t="str">
        <f t="shared" ref="AH234:AH237" si="296">IF(NOT(ISBLANK(AI234)),"_","")</f>
        <v/>
      </c>
    </row>
    <row r="235" spans="1:35" x14ac:dyDescent="0.25">
      <c r="B235" s="2" t="str">
        <f t="shared" si="292"/>
        <v>@fill-opacity-landcover_clearcut_full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293"/>
        <v>-</v>
      </c>
      <c r="AC235" s="28" t="s">
        <v>51</v>
      </c>
      <c r="AD235" s="28" t="str">
        <f t="shared" si="294"/>
        <v>_</v>
      </c>
      <c r="AE235" s="28" t="s">
        <v>384</v>
      </c>
      <c r="AF235" s="28" t="str">
        <f t="shared" si="295"/>
        <v>_</v>
      </c>
      <c r="AG235" s="28" t="s">
        <v>374</v>
      </c>
      <c r="AH235" s="28" t="str">
        <f t="shared" si="296"/>
        <v/>
      </c>
    </row>
    <row r="236" spans="1:35" x14ac:dyDescent="0.25">
      <c r="B236" s="2" t="str">
        <f t="shared" si="292"/>
        <v>@fill-opacity-landcover_field_mid</v>
      </c>
      <c r="C236" s="28" t="s">
        <v>95</v>
      </c>
      <c r="D236" s="28" t="s">
        <v>95</v>
      </c>
      <c r="F236" s="28" t="s">
        <v>95</v>
      </c>
      <c r="G236" s="28" t="s">
        <v>95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95</v>
      </c>
      <c r="P236" s="28" t="s">
        <v>95</v>
      </c>
      <c r="R236" s="28" t="s">
        <v>95</v>
      </c>
      <c r="S236" s="28" t="s">
        <v>95</v>
      </c>
      <c r="U236" s="28" t="s">
        <v>95</v>
      </c>
      <c r="V236" s="28" t="s">
        <v>95</v>
      </c>
      <c r="X236" s="28" t="s">
        <v>95</v>
      </c>
      <c r="Y236" s="28" t="s">
        <v>95</v>
      </c>
      <c r="AA236" s="28" t="s">
        <v>372</v>
      </c>
      <c r="AB236" s="28" t="str">
        <f t="shared" si="293"/>
        <v>-</v>
      </c>
      <c r="AC236" s="28" t="s">
        <v>51</v>
      </c>
      <c r="AD236" s="28" t="str">
        <f t="shared" si="294"/>
        <v>_</v>
      </c>
      <c r="AE236" s="28" t="s">
        <v>46</v>
      </c>
      <c r="AF236" s="28" t="str">
        <f t="shared" si="295"/>
        <v>_</v>
      </c>
      <c r="AG236" s="28" t="s">
        <v>375</v>
      </c>
      <c r="AH236" s="28" t="str">
        <f t="shared" si="296"/>
        <v/>
      </c>
    </row>
    <row r="237" spans="1:35" x14ac:dyDescent="0.25">
      <c r="B237" s="2" t="str">
        <f t="shared" si="292"/>
        <v>@fill-opacity-landcover_field_full</v>
      </c>
      <c r="C237" s="28" t="s">
        <v>80</v>
      </c>
      <c r="D237" s="28" t="s">
        <v>80</v>
      </c>
      <c r="F237" s="28" t="s">
        <v>80</v>
      </c>
      <c r="G237" s="28" t="s">
        <v>80</v>
      </c>
      <c r="I237" s="28" t="s">
        <v>80</v>
      </c>
      <c r="J237" s="28" t="s">
        <v>80</v>
      </c>
      <c r="L237" s="28" t="s">
        <v>80</v>
      </c>
      <c r="M237" s="28" t="s">
        <v>80</v>
      </c>
      <c r="O237" s="28" t="s">
        <v>80</v>
      </c>
      <c r="P237" s="28" t="s">
        <v>80</v>
      </c>
      <c r="R237" s="28" t="s">
        <v>80</v>
      </c>
      <c r="S237" s="28" t="s">
        <v>80</v>
      </c>
      <c r="U237" s="28" t="s">
        <v>80</v>
      </c>
      <c r="V237" s="28" t="s">
        <v>80</v>
      </c>
      <c r="X237" s="28" t="s">
        <v>80</v>
      </c>
      <c r="Y237" s="28" t="s">
        <v>80</v>
      </c>
      <c r="AA237" s="28" t="s">
        <v>372</v>
      </c>
      <c r="AB237" s="28" t="str">
        <f t="shared" si="293"/>
        <v>-</v>
      </c>
      <c r="AC237" s="28" t="s">
        <v>51</v>
      </c>
      <c r="AD237" s="28" t="str">
        <f t="shared" si="294"/>
        <v>_</v>
      </c>
      <c r="AE237" s="28" t="s">
        <v>46</v>
      </c>
      <c r="AF237" s="28" t="str">
        <f t="shared" si="295"/>
        <v>_</v>
      </c>
      <c r="AG237" s="28" t="s">
        <v>374</v>
      </c>
      <c r="AH237" s="28" t="str">
        <f t="shared" si="296"/>
        <v/>
      </c>
    </row>
    <row r="238" spans="1:35" x14ac:dyDescent="0.25">
      <c r="B238" s="2" t="str">
        <f t="shared" ref="B238" si="297">_xlfn.CONCAT("@",AA238,AB238,AC238,AD238,AE238,AF238,AG238,AH238,AI238)</f>
        <v>@fill-opacity-landcover_scrub_mid</v>
      </c>
      <c r="C238" s="28" t="s">
        <v>95</v>
      </c>
      <c r="D238" s="28" t="s">
        <v>95</v>
      </c>
      <c r="F238" s="28" t="s">
        <v>95</v>
      </c>
      <c r="G238" s="28" t="s">
        <v>95</v>
      </c>
      <c r="I238" s="28" t="s">
        <v>376</v>
      </c>
      <c r="J238" s="28" t="s">
        <v>376</v>
      </c>
      <c r="L238" s="28" t="s">
        <v>376</v>
      </c>
      <c r="M238" s="28" t="s">
        <v>376</v>
      </c>
      <c r="O238" s="28" t="s">
        <v>377</v>
      </c>
      <c r="P238" s="28" t="s">
        <v>377</v>
      </c>
      <c r="R238" s="28" t="s">
        <v>377</v>
      </c>
      <c r="S238" s="28" t="s">
        <v>377</v>
      </c>
      <c r="U238" s="28" t="s">
        <v>377</v>
      </c>
      <c r="V238" s="28" t="s">
        <v>377</v>
      </c>
      <c r="X238" s="28" t="s">
        <v>377</v>
      </c>
      <c r="Y238" s="28" t="s">
        <v>377</v>
      </c>
      <c r="AA238" s="28" t="s">
        <v>372</v>
      </c>
      <c r="AB238" s="28" t="str">
        <f t="shared" si="285"/>
        <v>-</v>
      </c>
      <c r="AC238" s="28" t="s">
        <v>51</v>
      </c>
      <c r="AD238" s="28" t="str">
        <f t="shared" si="286"/>
        <v>_</v>
      </c>
      <c r="AE238" s="28" t="s">
        <v>373</v>
      </c>
      <c r="AF238" s="28" t="str">
        <f t="shared" si="287"/>
        <v>_</v>
      </c>
      <c r="AG238" s="28" t="s">
        <v>375</v>
      </c>
      <c r="AH238" s="28" t="str">
        <f t="shared" si="291"/>
        <v/>
      </c>
    </row>
    <row r="239" spans="1:35" x14ac:dyDescent="0.25">
      <c r="B239" s="2" t="str">
        <f t="shared" ref="B239" si="298">_xlfn.CONCAT("@",AA239,AB239,AC239,AD239,AE239,AF239,AG239,AH239,AI239)</f>
        <v>@fill-opacity-landcover_scrub_full</v>
      </c>
      <c r="C239" s="28" t="s">
        <v>80</v>
      </c>
      <c r="D239" s="28" t="s">
        <v>80</v>
      </c>
      <c r="F239" s="28" t="s">
        <v>80</v>
      </c>
      <c r="G239" s="28" t="s">
        <v>80</v>
      </c>
      <c r="I239" s="28" t="s">
        <v>95</v>
      </c>
      <c r="J239" s="28" t="s">
        <v>95</v>
      </c>
      <c r="L239" s="28" t="s">
        <v>95</v>
      </c>
      <c r="M239" s="28" t="s">
        <v>95</v>
      </c>
      <c r="O239" s="28" t="s">
        <v>124</v>
      </c>
      <c r="P239" s="28" t="s">
        <v>124</v>
      </c>
      <c r="R239" s="28" t="s">
        <v>124</v>
      </c>
      <c r="S239" s="28" t="s">
        <v>124</v>
      </c>
      <c r="U239" s="28" t="s">
        <v>124</v>
      </c>
      <c r="V239" s="28" t="s">
        <v>124</v>
      </c>
      <c r="X239" s="28" t="s">
        <v>124</v>
      </c>
      <c r="Y239" s="28" t="s">
        <v>124</v>
      </c>
      <c r="AA239" s="28" t="s">
        <v>372</v>
      </c>
      <c r="AB239" s="28" t="str">
        <f t="shared" si="181"/>
        <v>-</v>
      </c>
      <c r="AC239" s="28" t="s">
        <v>51</v>
      </c>
      <c r="AD239" s="28" t="str">
        <f t="shared" si="182"/>
        <v>_</v>
      </c>
      <c r="AE239" s="28" t="s">
        <v>373</v>
      </c>
      <c r="AF239" s="28" t="str">
        <f t="shared" si="183"/>
        <v>_</v>
      </c>
      <c r="AG239" s="28" t="s">
        <v>374</v>
      </c>
      <c r="AH239" s="28" t="str">
        <f t="shared" si="283"/>
        <v/>
      </c>
    </row>
    <row r="240" spans="1:35" x14ac:dyDescent="0.25">
      <c r="B240" s="2" t="str">
        <f t="shared" ref="B240:B242" si="299">_xlfn.CONCAT("@",AA240,AB240,AC240,AD240,AE240,AF240,AG240,AH240,AI240)</f>
        <v>@fill-opacity-landcover_wetland_full</v>
      </c>
      <c r="C240" s="28" t="s">
        <v>80</v>
      </c>
      <c r="D240" s="28" t="s">
        <v>80</v>
      </c>
      <c r="F240" s="28" t="s">
        <v>80</v>
      </c>
      <c r="G240" s="28" t="s">
        <v>80</v>
      </c>
      <c r="I240" s="28" t="s">
        <v>95</v>
      </c>
      <c r="J240" s="28" t="s">
        <v>95</v>
      </c>
      <c r="L240" s="28" t="s">
        <v>95</v>
      </c>
      <c r="M240" s="28" t="s">
        <v>95</v>
      </c>
      <c r="O240" s="28" t="s">
        <v>124</v>
      </c>
      <c r="P240" s="28" t="s">
        <v>124</v>
      </c>
      <c r="R240" s="28" t="s">
        <v>124</v>
      </c>
      <c r="S240" s="28" t="s">
        <v>124</v>
      </c>
      <c r="U240" s="28" t="s">
        <v>124</v>
      </c>
      <c r="V240" s="28" t="s">
        <v>124</v>
      </c>
      <c r="X240" s="28" t="s">
        <v>124</v>
      </c>
      <c r="Y240" s="28" t="s">
        <v>124</v>
      </c>
      <c r="AA240" s="28" t="s">
        <v>372</v>
      </c>
      <c r="AB240" s="28" t="str">
        <f t="shared" ref="AB240:AB242" si="300">IF(NOT(ISBLANK(AC240)),"-","")</f>
        <v>-</v>
      </c>
      <c r="AC240" s="28" t="s">
        <v>51</v>
      </c>
      <c r="AD240" s="28" t="str">
        <f t="shared" ref="AD240:AD242" si="301">IF(NOT(ISBLANK(AE240)),"_","")</f>
        <v>_</v>
      </c>
      <c r="AE240" s="28" t="s">
        <v>378</v>
      </c>
      <c r="AF240" s="28" t="str">
        <f t="shared" ref="AF240:AF242" si="302">IF(NOT(ISBLANK(AG240)),"_","")</f>
        <v>_</v>
      </c>
      <c r="AG240" s="28" t="s">
        <v>374</v>
      </c>
      <c r="AH240" s="28" t="str">
        <f t="shared" ref="AH240:AH242" si="303">IF(NOT(ISBLANK(AI240)),"_","")</f>
        <v/>
      </c>
    </row>
    <row r="241" spans="1:35" x14ac:dyDescent="0.25">
      <c r="B241" s="2" t="str">
        <f t="shared" si="299"/>
        <v>@fill-opacity-landuse_sport_play_mid</v>
      </c>
      <c r="C241" s="28" t="s">
        <v>95</v>
      </c>
      <c r="D241" s="28" t="s">
        <v>95</v>
      </c>
      <c r="F241" s="28" t="s">
        <v>95</v>
      </c>
      <c r="G241" s="28" t="s">
        <v>95</v>
      </c>
      <c r="I241" s="28" t="s">
        <v>95</v>
      </c>
      <c r="J241" s="28" t="s">
        <v>95</v>
      </c>
      <c r="L241" s="28" t="s">
        <v>95</v>
      </c>
      <c r="M241" s="28" t="s">
        <v>95</v>
      </c>
      <c r="O241" s="28" t="s">
        <v>95</v>
      </c>
      <c r="P241" s="28" t="s">
        <v>95</v>
      </c>
      <c r="R241" s="28" t="s">
        <v>95</v>
      </c>
      <c r="S241" s="28" t="s">
        <v>95</v>
      </c>
      <c r="U241" s="28" t="s">
        <v>95</v>
      </c>
      <c r="V241" s="28" t="s">
        <v>95</v>
      </c>
      <c r="X241" s="28" t="s">
        <v>95</v>
      </c>
      <c r="Y241" s="28" t="s">
        <v>95</v>
      </c>
      <c r="AA241" s="28" t="s">
        <v>372</v>
      </c>
      <c r="AB241" s="28" t="str">
        <f t="shared" si="300"/>
        <v>-</v>
      </c>
      <c r="AC241" s="28" t="s">
        <v>385</v>
      </c>
      <c r="AD241" s="28" t="str">
        <f t="shared" si="301"/>
        <v>_</v>
      </c>
      <c r="AE241" s="28" t="s">
        <v>240</v>
      </c>
      <c r="AF241" s="28" t="str">
        <f t="shared" si="302"/>
        <v>_</v>
      </c>
      <c r="AG241" s="28" t="s">
        <v>375</v>
      </c>
      <c r="AH241" s="28" t="str">
        <f t="shared" si="303"/>
        <v/>
      </c>
    </row>
    <row r="242" spans="1:35" x14ac:dyDescent="0.25">
      <c r="B242" s="2" t="str">
        <f t="shared" si="299"/>
        <v>@fill-opacity-landuse_sport_play_full</v>
      </c>
      <c r="C242" s="28" t="s">
        <v>80</v>
      </c>
      <c r="D242" s="28" t="s">
        <v>80</v>
      </c>
      <c r="F242" s="28" t="s">
        <v>80</v>
      </c>
      <c r="G242" s="28" t="s">
        <v>80</v>
      </c>
      <c r="I242" s="28" t="s">
        <v>80</v>
      </c>
      <c r="J242" s="28" t="s">
        <v>80</v>
      </c>
      <c r="L242" s="28" t="s">
        <v>80</v>
      </c>
      <c r="M242" s="28" t="s">
        <v>80</v>
      </c>
      <c r="O242" s="28" t="s">
        <v>80</v>
      </c>
      <c r="P242" s="28" t="s">
        <v>80</v>
      </c>
      <c r="R242" s="28" t="s">
        <v>80</v>
      </c>
      <c r="S242" s="28" t="s">
        <v>80</v>
      </c>
      <c r="U242" s="28" t="s">
        <v>80</v>
      </c>
      <c r="V242" s="28" t="s">
        <v>80</v>
      </c>
      <c r="X242" s="28" t="s">
        <v>80</v>
      </c>
      <c r="Y242" s="28" t="s">
        <v>80</v>
      </c>
      <c r="AA242" s="28" t="s">
        <v>372</v>
      </c>
      <c r="AB242" s="28" t="str">
        <f t="shared" si="300"/>
        <v>-</v>
      </c>
      <c r="AC242" s="28" t="s">
        <v>385</v>
      </c>
      <c r="AD242" s="28" t="str">
        <f t="shared" si="301"/>
        <v>_</v>
      </c>
      <c r="AE242" s="28" t="s">
        <v>240</v>
      </c>
      <c r="AF242" s="28" t="str">
        <f t="shared" si="302"/>
        <v>_</v>
      </c>
      <c r="AG242" s="28" t="s">
        <v>374</v>
      </c>
      <c r="AH242" s="28" t="str">
        <f t="shared" si="303"/>
        <v/>
      </c>
    </row>
    <row r="243" spans="1:35" x14ac:dyDescent="0.25">
      <c r="B243" s="2" t="str">
        <f t="shared" ref="B243" si="304">_xlfn.CONCAT("@",AA243,AB243,AC243,AD243,AE243,AF243,AG243,AH243,AI243)</f>
        <v>@fill-opacity-portected_area_outline-inner_full</v>
      </c>
      <c r="C243" s="28" t="s">
        <v>120</v>
      </c>
      <c r="D243" s="28" t="s">
        <v>120</v>
      </c>
      <c r="F243" s="28" t="s">
        <v>381</v>
      </c>
      <c r="G243" s="28" t="s">
        <v>381</v>
      </c>
      <c r="I243" s="28" t="s">
        <v>381</v>
      </c>
      <c r="J243" s="28" t="s">
        <v>381</v>
      </c>
      <c r="L243" s="28" t="s">
        <v>382</v>
      </c>
      <c r="M243" s="28" t="s">
        <v>382</v>
      </c>
      <c r="O243" s="28" t="s">
        <v>381</v>
      </c>
      <c r="P243" s="28" t="s">
        <v>381</v>
      </c>
      <c r="R243" s="28" t="s">
        <v>382</v>
      </c>
      <c r="S243" s="28" t="s">
        <v>382</v>
      </c>
      <c r="U243" s="28" t="s">
        <v>120</v>
      </c>
      <c r="V243" s="28" t="s">
        <v>120</v>
      </c>
      <c r="X243" s="28" t="s">
        <v>120</v>
      </c>
      <c r="Y243" s="28" t="s">
        <v>120</v>
      </c>
      <c r="AA243" s="28" t="s">
        <v>372</v>
      </c>
      <c r="AB243" s="28" t="str">
        <f t="shared" ref="AB243" si="305">IF(NOT(ISBLANK(AC243)),"-","")</f>
        <v>-</v>
      </c>
      <c r="AC243" s="28" t="s">
        <v>379</v>
      </c>
      <c r="AD243" s="28" t="str">
        <f t="shared" ref="AD243" si="306">IF(NOT(ISBLANK(AE243)),"_","")</f>
        <v>_</v>
      </c>
      <c r="AE243" s="28" t="s">
        <v>380</v>
      </c>
      <c r="AF243" s="28" t="str">
        <f t="shared" ref="AF243" si="307">IF(NOT(ISBLANK(AG243)),"_","")</f>
        <v>_</v>
      </c>
      <c r="AG243" s="28" t="s">
        <v>374</v>
      </c>
      <c r="AH243" s="28" t="str">
        <f t="shared" ref="AH243" si="308">IF(NOT(ISBLANK(AI243)),"_","")</f>
        <v/>
      </c>
    </row>
    <row r="244" spans="1:35" x14ac:dyDescent="0.25">
      <c r="B244" s="2" t="str">
        <f t="shared" ref="B244" si="309">_xlfn.CONCAT("@",AA244,AB244,AC244,AD244,AE244,AF244,AG244,AH244,AI244)</f>
        <v>@fill-opacity-portected_area_outline-outer_full</v>
      </c>
      <c r="C244" s="28" t="s">
        <v>80</v>
      </c>
      <c r="D244" s="28" t="s">
        <v>80</v>
      </c>
      <c r="F244" s="28" t="s">
        <v>122</v>
      </c>
      <c r="G244" s="28" t="s">
        <v>122</v>
      </c>
      <c r="I244" s="28" t="s">
        <v>95</v>
      </c>
      <c r="J244" s="28" t="s">
        <v>95</v>
      </c>
      <c r="L244" s="28" t="s">
        <v>376</v>
      </c>
      <c r="M244" s="28" t="s">
        <v>376</v>
      </c>
      <c r="O244" s="28" t="s">
        <v>124</v>
      </c>
      <c r="P244" s="28" t="s">
        <v>124</v>
      </c>
      <c r="R244" s="28" t="s">
        <v>377</v>
      </c>
      <c r="S244" s="28" t="s">
        <v>377</v>
      </c>
      <c r="U244" s="28" t="s">
        <v>80</v>
      </c>
      <c r="V244" s="28" t="s">
        <v>80</v>
      </c>
      <c r="X244" s="28" t="s">
        <v>122</v>
      </c>
      <c r="Y244" s="28" t="s">
        <v>122</v>
      </c>
      <c r="AA244" s="28" t="s">
        <v>372</v>
      </c>
      <c r="AB244" s="28" t="str">
        <f t="shared" ref="AB244" si="310">IF(NOT(ISBLANK(AC244)),"-","")</f>
        <v>-</v>
      </c>
      <c r="AC244" s="28" t="s">
        <v>379</v>
      </c>
      <c r="AD244" s="28" t="str">
        <f t="shared" ref="AD244" si="311">IF(NOT(ISBLANK(AE244)),"_","")</f>
        <v>_</v>
      </c>
      <c r="AE244" s="28" t="s">
        <v>383</v>
      </c>
      <c r="AF244" s="28" t="str">
        <f t="shared" ref="AF244" si="312">IF(NOT(ISBLANK(AG244)),"_","")</f>
        <v>_</v>
      </c>
      <c r="AG244" s="28" t="s">
        <v>374</v>
      </c>
      <c r="AH244" s="28" t="str">
        <f t="shared" ref="AH244" si="313">IF(NOT(ISBLANK(AI244)),"_","")</f>
        <v/>
      </c>
    </row>
    <row r="246" spans="1:35" s="2" customFormat="1" x14ac:dyDescent="0.25">
      <c r="A246" s="3" t="s">
        <v>43</v>
      </c>
      <c r="B246" s="3"/>
      <c r="C246" s="27"/>
      <c r="D246" s="6"/>
      <c r="E246" s="7"/>
      <c r="F246" s="6"/>
      <c r="G246" s="6"/>
      <c r="H246" s="7"/>
      <c r="I246" s="6"/>
      <c r="J246" s="6"/>
      <c r="K246" s="7"/>
      <c r="L246" s="6"/>
      <c r="M246" s="6"/>
      <c r="N246" s="7"/>
      <c r="O246" s="6"/>
      <c r="P246" s="6"/>
      <c r="Q246" s="7"/>
      <c r="R246" s="6"/>
      <c r="S246" s="6"/>
      <c r="T246" s="7"/>
      <c r="U246" s="6"/>
      <c r="V246" s="6"/>
      <c r="W246" s="7"/>
      <c r="X246" s="6"/>
      <c r="Y246" s="6"/>
      <c r="AA246" s="4"/>
      <c r="AB246" s="4" t="str">
        <f t="shared" si="181"/>
        <v/>
      </c>
      <c r="AC246" s="4"/>
      <c r="AD246" s="4" t="str">
        <f t="shared" si="182"/>
        <v/>
      </c>
      <c r="AE246" s="4"/>
      <c r="AF246" s="4" t="str">
        <f t="shared" si="183"/>
        <v/>
      </c>
      <c r="AG246" s="4"/>
      <c r="AH246" s="4" t="str">
        <f t="shared" si="283"/>
        <v/>
      </c>
      <c r="AI246" s="4"/>
    </row>
    <row r="247" spans="1:35" x14ac:dyDescent="0.25">
      <c r="B247" s="2" t="str">
        <f t="shared" ref="B247:B249" si="314">_xlfn.CONCAT("@",AA247,AB247,AC247,AD247,AE247,AF247,AG247,AH247,AI247)</f>
        <v>@color-motorway_case_farzoom</v>
      </c>
      <c r="C247" s="129" t="s">
        <v>211</v>
      </c>
      <c r="D247" s="72" t="s">
        <v>214</v>
      </c>
      <c r="F247" s="129" t="s">
        <v>211</v>
      </c>
      <c r="G247" s="129" t="s">
        <v>211</v>
      </c>
      <c r="I247" s="130" t="str">
        <f>C247</f>
        <v>"#bf440f"</v>
      </c>
      <c r="J247" s="72" t="s">
        <v>214</v>
      </c>
      <c r="L247" s="129" t="s">
        <v>211</v>
      </c>
      <c r="M247" s="129" t="s">
        <v>211</v>
      </c>
      <c r="U247" s="130" t="str">
        <f>C247</f>
        <v>"#bf440f"</v>
      </c>
      <c r="AA247" s="2" t="s">
        <v>6</v>
      </c>
      <c r="AB247" s="2" t="str">
        <f t="shared" si="181"/>
        <v>-</v>
      </c>
      <c r="AC247" s="2" t="s">
        <v>16</v>
      </c>
      <c r="AD247" s="2" t="str">
        <f t="shared" si="182"/>
        <v>_</v>
      </c>
      <c r="AE247" s="2" t="s">
        <v>17</v>
      </c>
      <c r="AF247" s="2" t="str">
        <f t="shared" si="183"/>
        <v>_</v>
      </c>
      <c r="AG247" s="2" t="s">
        <v>20</v>
      </c>
      <c r="AH247" s="2" t="str">
        <f t="shared" si="283"/>
        <v/>
      </c>
      <c r="AI247" s="2"/>
    </row>
    <row r="248" spans="1:35" x14ac:dyDescent="0.25">
      <c r="B248" s="2" t="str">
        <f t="shared" si="314"/>
        <v>@color-motorway_case_default</v>
      </c>
      <c r="C248" s="131" t="s">
        <v>212</v>
      </c>
      <c r="D248" s="72" t="s">
        <v>214</v>
      </c>
      <c r="F248" s="72" t="s">
        <v>214</v>
      </c>
      <c r="G248" s="72" t="s">
        <v>214</v>
      </c>
      <c r="I248" s="132" t="str">
        <f>C248</f>
        <v>"#a15412"</v>
      </c>
      <c r="J248" s="72" t="s">
        <v>214</v>
      </c>
      <c r="L248" s="72" t="s">
        <v>214</v>
      </c>
      <c r="M248" s="72" t="s">
        <v>214</v>
      </c>
      <c r="U248" s="132" t="str">
        <f>C248</f>
        <v>"#a15412"</v>
      </c>
      <c r="AA248" s="2" t="s">
        <v>6</v>
      </c>
      <c r="AB248" s="2" t="str">
        <f t="shared" si="181"/>
        <v>-</v>
      </c>
      <c r="AC248" s="2" t="s">
        <v>16</v>
      </c>
      <c r="AD248" s="2" t="str">
        <f t="shared" si="182"/>
        <v>_</v>
      </c>
      <c r="AE248" s="2" t="s">
        <v>17</v>
      </c>
      <c r="AF248" s="2" t="str">
        <f t="shared" si="183"/>
        <v>_</v>
      </c>
      <c r="AG248" s="2" t="s">
        <v>262</v>
      </c>
      <c r="AH248" s="2" t="str">
        <f t="shared" si="283"/>
        <v/>
      </c>
      <c r="AI248" s="2"/>
    </row>
    <row r="249" spans="1:35" x14ac:dyDescent="0.25">
      <c r="B249" s="2" t="str">
        <f t="shared" si="314"/>
        <v>@color-motorway_line_default</v>
      </c>
      <c r="C249" s="133" t="s">
        <v>213</v>
      </c>
      <c r="D249" s="134" t="s">
        <v>215</v>
      </c>
      <c r="F249" s="134" t="s">
        <v>215</v>
      </c>
      <c r="G249" s="134" t="s">
        <v>215</v>
      </c>
      <c r="I249" s="135" t="str">
        <f>C249</f>
        <v>"#ffcc88"</v>
      </c>
      <c r="J249" s="136" t="str">
        <f>D249</f>
        <v>"#d6771e"</v>
      </c>
      <c r="L249" s="134" t="s">
        <v>215</v>
      </c>
      <c r="M249" s="134" t="s">
        <v>215</v>
      </c>
      <c r="U249" s="135" t="str">
        <f>C249</f>
        <v>"#ffcc88"</v>
      </c>
      <c r="AA249" s="2" t="s">
        <v>6</v>
      </c>
      <c r="AB249" s="2" t="str">
        <f t="shared" si="181"/>
        <v>-</v>
      </c>
      <c r="AC249" s="2" t="s">
        <v>16</v>
      </c>
      <c r="AD249" s="2" t="str">
        <f t="shared" si="182"/>
        <v>_</v>
      </c>
      <c r="AE249" s="2" t="s">
        <v>13</v>
      </c>
      <c r="AF249" s="2" t="str">
        <f t="shared" si="183"/>
        <v>_</v>
      </c>
      <c r="AG249" s="2" t="s">
        <v>262</v>
      </c>
      <c r="AH249" s="2" t="str">
        <f t="shared" si="283"/>
        <v/>
      </c>
      <c r="AI249" s="2"/>
    </row>
    <row r="250" spans="1:35" x14ac:dyDescent="0.25">
      <c r="AB250" s="28" t="str">
        <f t="shared" si="181"/>
        <v/>
      </c>
      <c r="AD250" s="28" t="str">
        <f t="shared" si="182"/>
        <v/>
      </c>
      <c r="AF250" s="28" t="str">
        <f t="shared" si="183"/>
        <v/>
      </c>
      <c r="AH250" s="28" t="str">
        <f t="shared" si="283"/>
        <v/>
      </c>
    </row>
    <row r="251" spans="1:35" s="2" customFormat="1" x14ac:dyDescent="0.25">
      <c r="A251" s="3" t="s">
        <v>45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181"/>
        <v/>
      </c>
      <c r="AC251" s="4"/>
      <c r="AD251" s="4" t="str">
        <f t="shared" si="182"/>
        <v/>
      </c>
      <c r="AE251" s="4"/>
      <c r="AF251" s="4" t="str">
        <f t="shared" si="183"/>
        <v/>
      </c>
      <c r="AG251" s="4"/>
      <c r="AH251" s="4" t="str">
        <f t="shared" si="283"/>
        <v/>
      </c>
      <c r="AI251" s="4"/>
    </row>
    <row r="252" spans="1:35" x14ac:dyDescent="0.25">
      <c r="B252" s="2" t="str">
        <f t="shared" ref="B252:B260" si="315">_xlfn.CONCAT("@",AA252,AB252,AC252,AD252,AE252,AF252,AG252,AH252,AI252)</f>
        <v>@color-trunk_case_bicycle_no_default</v>
      </c>
      <c r="C252" s="137" t="s">
        <v>226</v>
      </c>
      <c r="D252" s="72" t="s">
        <v>214</v>
      </c>
      <c r="F252" s="72" t="s">
        <v>214</v>
      </c>
      <c r="G252" s="72" t="s">
        <v>214</v>
      </c>
      <c r="I252" s="138" t="str">
        <f>C252</f>
        <v>"#bd430f"</v>
      </c>
      <c r="J252" s="37" t="str">
        <f>D252</f>
        <v>"#000000"</v>
      </c>
      <c r="L252" s="72" t="s">
        <v>214</v>
      </c>
      <c r="M252" s="72" t="s">
        <v>214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si="181"/>
        <v>-</v>
      </c>
      <c r="AC252" s="2" t="s">
        <v>18</v>
      </c>
      <c r="AD252" s="2" t="str">
        <f t="shared" ref="AD252" si="316">IF(NOT(ISBLANK(AE252)),"_","")</f>
        <v>_</v>
      </c>
      <c r="AE252" s="28" t="s">
        <v>17</v>
      </c>
      <c r="AF252" s="2" t="str">
        <f t="shared" ref="AF252" si="317">IF(NOT(ISBLANK(AG252)),"_","")</f>
        <v>_</v>
      </c>
      <c r="AG252" s="28" t="s">
        <v>23</v>
      </c>
      <c r="AH252" s="2" t="str">
        <f t="shared" si="283"/>
        <v>_</v>
      </c>
      <c r="AI252" s="28" t="s">
        <v>262</v>
      </c>
    </row>
    <row r="253" spans="1:35" x14ac:dyDescent="0.25">
      <c r="B253" s="2" t="str">
        <f t="shared" si="315"/>
        <v>@color-trunk_case_bicycle_no_farzoom</v>
      </c>
      <c r="C253" s="137" t="s">
        <v>226</v>
      </c>
      <c r="D253" s="72" t="s">
        <v>214</v>
      </c>
      <c r="F253" s="137" t="s">
        <v>226</v>
      </c>
      <c r="G253" s="137" t="s">
        <v>226</v>
      </c>
      <c r="I253" s="138" t="str">
        <f>C253</f>
        <v>"#bd430f"</v>
      </c>
      <c r="J253" s="37" t="str">
        <f>D253</f>
        <v>"#000000"</v>
      </c>
      <c r="L253" s="137" t="s">
        <v>226</v>
      </c>
      <c r="M253" s="137" t="s">
        <v>226</v>
      </c>
      <c r="U253" s="138" t="str">
        <f>C253</f>
        <v>"#bd430f"</v>
      </c>
      <c r="V253" s="37" t="str">
        <f>D253</f>
        <v>"#000000"</v>
      </c>
      <c r="AA253" s="28" t="s">
        <v>6</v>
      </c>
      <c r="AB253" s="2" t="str">
        <f t="shared" ref="AB253" si="318">IF(NOT(ISBLANK(AC253)),"-","")</f>
        <v>-</v>
      </c>
      <c r="AC253" s="2" t="s">
        <v>18</v>
      </c>
      <c r="AD253" s="2" t="str">
        <f t="shared" ref="AD253" si="319">IF(NOT(ISBLANK(AE253)),"_","")</f>
        <v>_</v>
      </c>
      <c r="AE253" s="28" t="s">
        <v>17</v>
      </c>
      <c r="AF253" s="2" t="str">
        <f t="shared" ref="AF253" si="320">IF(NOT(ISBLANK(AG253)),"_","")</f>
        <v>_</v>
      </c>
      <c r="AG253" s="28" t="s">
        <v>23</v>
      </c>
      <c r="AH253" s="2" t="str">
        <f t="shared" si="283"/>
        <v>_</v>
      </c>
      <c r="AI253" s="28" t="s">
        <v>20</v>
      </c>
    </row>
    <row r="254" spans="1:35" x14ac:dyDescent="0.25">
      <c r="B254" s="2" t="str">
        <f t="shared" si="315"/>
        <v>@color-trunk_case_unpaved_farzoom</v>
      </c>
      <c r="C254" s="139" t="s">
        <v>227</v>
      </c>
      <c r="D254" s="140" t="s">
        <v>229</v>
      </c>
      <c r="F254" s="140" t="s">
        <v>229</v>
      </c>
      <c r="G254" s="139" t="s">
        <v>227</v>
      </c>
      <c r="I254" s="139" t="s">
        <v>227</v>
      </c>
      <c r="J254" s="140" t="s">
        <v>229</v>
      </c>
      <c r="L254" s="140" t="s">
        <v>229</v>
      </c>
      <c r="M254" s="139" t="s">
        <v>227</v>
      </c>
      <c r="U254" s="44"/>
      <c r="V254" s="44"/>
      <c r="X254" s="44"/>
      <c r="Y254" s="44"/>
      <c r="AA254" s="28" t="s">
        <v>6</v>
      </c>
      <c r="AB254" s="2" t="str">
        <f>IF(NOT(ISBLANK(AC254)),"-","")</f>
        <v>-</v>
      </c>
      <c r="AC254" s="2" t="s">
        <v>18</v>
      </c>
      <c r="AD254" s="2" t="str">
        <f>IF(NOT(ISBLANK(AE254)),"_","")</f>
        <v>_</v>
      </c>
      <c r="AE254" s="28" t="s">
        <v>17</v>
      </c>
      <c r="AF254" s="2" t="str">
        <f>IF(NOT(ISBLANK(AG254)),"_","")</f>
        <v>_</v>
      </c>
      <c r="AG254" s="28" t="s">
        <v>21</v>
      </c>
      <c r="AH254" s="2" t="str">
        <f>IF(NOT(ISBLANK(AI254)),"_","")</f>
        <v>_</v>
      </c>
      <c r="AI254" s="28" t="s">
        <v>20</v>
      </c>
    </row>
    <row r="255" spans="1:35" x14ac:dyDescent="0.25">
      <c r="B255" s="2" t="str">
        <f t="shared" si="315"/>
        <v>@color-trunk_case_unpaved_default</v>
      </c>
      <c r="C255" s="141" t="s">
        <v>217</v>
      </c>
      <c r="D255" s="72" t="s">
        <v>214</v>
      </c>
      <c r="F255" s="72" t="s">
        <v>214</v>
      </c>
      <c r="G255" s="72" t="s">
        <v>214</v>
      </c>
      <c r="I255" s="141" t="s">
        <v>217</v>
      </c>
      <c r="J255" s="72" t="s">
        <v>214</v>
      </c>
      <c r="L255" s="72" t="s">
        <v>214</v>
      </c>
      <c r="M255" s="72" t="s">
        <v>214</v>
      </c>
      <c r="U255" s="44"/>
      <c r="V255" s="44"/>
      <c r="X255" s="44"/>
      <c r="Y255" s="44"/>
      <c r="AA255" s="28" t="s">
        <v>6</v>
      </c>
      <c r="AB255" s="28" t="str">
        <f t="shared" si="181"/>
        <v>-</v>
      </c>
      <c r="AC255" s="2" t="s">
        <v>18</v>
      </c>
      <c r="AD255" s="28" t="str">
        <f t="shared" si="182"/>
        <v>_</v>
      </c>
      <c r="AE255" s="28" t="s">
        <v>17</v>
      </c>
      <c r="AF255" s="28" t="str">
        <f t="shared" si="183"/>
        <v>_</v>
      </c>
      <c r="AG255" s="28" t="s">
        <v>21</v>
      </c>
      <c r="AH255" s="28" t="str">
        <f t="shared" ref="AH255:AH264" si="321">IF(NOT(ISBLANK(AI255)),"_","")</f>
        <v>_</v>
      </c>
      <c r="AI255" s="28" t="s">
        <v>262</v>
      </c>
    </row>
    <row r="256" spans="1:35" x14ac:dyDescent="0.25">
      <c r="B256" s="2" t="str">
        <f t="shared" si="315"/>
        <v>@color-trunk_case_paved_or_uk_farzoom</v>
      </c>
      <c r="C256" s="142" t="s">
        <v>228</v>
      </c>
      <c r="D256" s="72" t="s">
        <v>214</v>
      </c>
      <c r="F256" s="142" t="s">
        <v>228</v>
      </c>
      <c r="G256" s="142" t="s">
        <v>228</v>
      </c>
      <c r="I256" s="142" t="s">
        <v>228</v>
      </c>
      <c r="J256" s="72" t="s">
        <v>214</v>
      </c>
      <c r="L256" s="142" t="s">
        <v>228</v>
      </c>
      <c r="M256" s="142" t="s">
        <v>228</v>
      </c>
      <c r="U256" s="44"/>
      <c r="V256" s="44"/>
      <c r="X256" s="44"/>
      <c r="Y256" s="44"/>
      <c r="AA256" s="2" t="s">
        <v>6</v>
      </c>
      <c r="AB256" s="2" t="str">
        <f t="shared" si="181"/>
        <v>-</v>
      </c>
      <c r="AC256" s="2" t="s">
        <v>18</v>
      </c>
      <c r="AD256" s="2" t="str">
        <f t="shared" si="182"/>
        <v>_</v>
      </c>
      <c r="AE256" s="2" t="s">
        <v>17</v>
      </c>
      <c r="AF256" s="2" t="str">
        <f t="shared" si="183"/>
        <v>_</v>
      </c>
      <c r="AG256" s="2" t="s">
        <v>24</v>
      </c>
      <c r="AH256" s="2" t="str">
        <f t="shared" si="321"/>
        <v>_</v>
      </c>
      <c r="AI256" s="28" t="s">
        <v>20</v>
      </c>
    </row>
    <row r="257" spans="1:35" x14ac:dyDescent="0.25">
      <c r="B257" s="2" t="str">
        <f t="shared" si="315"/>
        <v>@color-trunk_case_paved_or_uk_default</v>
      </c>
      <c r="C257" s="143" t="s">
        <v>218</v>
      </c>
      <c r="D257" s="72" t="s">
        <v>214</v>
      </c>
      <c r="F257" s="72" t="s">
        <v>214</v>
      </c>
      <c r="G257" s="72" t="s">
        <v>214</v>
      </c>
      <c r="I257" s="143" t="s">
        <v>218</v>
      </c>
      <c r="J257" s="72" t="s">
        <v>214</v>
      </c>
      <c r="L257" s="72" t="s">
        <v>214</v>
      </c>
      <c r="M257" s="72" t="s">
        <v>214</v>
      </c>
      <c r="U257" s="44"/>
      <c r="V257" s="44"/>
      <c r="X257" s="44"/>
      <c r="Y257" s="44"/>
      <c r="AA257" s="2" t="s">
        <v>6</v>
      </c>
      <c r="AB257" s="2" t="str">
        <f t="shared" si="181"/>
        <v>-</v>
      </c>
      <c r="AC257" s="2" t="s">
        <v>18</v>
      </c>
      <c r="AD257" s="2" t="str">
        <f t="shared" si="182"/>
        <v>_</v>
      </c>
      <c r="AE257" s="2" t="s">
        <v>17</v>
      </c>
      <c r="AF257" s="2" t="str">
        <f t="shared" si="183"/>
        <v>_</v>
      </c>
      <c r="AG257" s="2" t="s">
        <v>24</v>
      </c>
      <c r="AH257" s="2" t="str">
        <f t="shared" si="321"/>
        <v>_</v>
      </c>
      <c r="AI257" s="28" t="s">
        <v>262</v>
      </c>
    </row>
    <row r="258" spans="1:35" x14ac:dyDescent="0.25">
      <c r="B258" s="2" t="str">
        <f t="shared" si="315"/>
        <v>@color-trunk_line_bicycle_no</v>
      </c>
      <c r="C258" s="133" t="s">
        <v>213</v>
      </c>
      <c r="D258" s="134" t="s">
        <v>215</v>
      </c>
      <c r="F258" s="133" t="s">
        <v>213</v>
      </c>
      <c r="G258" s="134" t="s">
        <v>215</v>
      </c>
      <c r="I258" s="135" t="str">
        <f>C258</f>
        <v>"#ffcc88"</v>
      </c>
      <c r="J258" s="136" t="str">
        <f>D258</f>
        <v>"#d6771e"</v>
      </c>
      <c r="L258" s="133" t="s">
        <v>213</v>
      </c>
      <c r="M258" s="134" t="s">
        <v>215</v>
      </c>
      <c r="U258" s="135" t="str">
        <f>C258</f>
        <v>"#ffcc88"</v>
      </c>
      <c r="V258" s="136" t="str">
        <f>D258</f>
        <v>"#d6771e"</v>
      </c>
      <c r="AA258" s="2" t="s">
        <v>6</v>
      </c>
      <c r="AB258" s="2" t="str">
        <f t="shared" si="181"/>
        <v>-</v>
      </c>
      <c r="AC258" s="2" t="s">
        <v>18</v>
      </c>
      <c r="AD258" s="2" t="str">
        <f t="shared" si="182"/>
        <v>_</v>
      </c>
      <c r="AE258" s="2" t="s">
        <v>13</v>
      </c>
      <c r="AF258" s="2" t="str">
        <f t="shared" si="183"/>
        <v>_</v>
      </c>
      <c r="AG258" s="2" t="s">
        <v>23</v>
      </c>
      <c r="AH258" s="2" t="str">
        <f t="shared" si="321"/>
        <v/>
      </c>
      <c r="AI258" s="2"/>
    </row>
    <row r="259" spans="1:35" x14ac:dyDescent="0.25">
      <c r="B259" s="2" t="str">
        <f t="shared" si="315"/>
        <v>@color-trunk_line_unpaved_default</v>
      </c>
      <c r="C259" s="144" t="s">
        <v>221</v>
      </c>
      <c r="D259" s="145" t="str">
        <f>C259</f>
        <v>"#eddfca"</v>
      </c>
      <c r="F259" s="144" t="s">
        <v>221</v>
      </c>
      <c r="G259" s="145" t="str">
        <f>F259</f>
        <v>"#eddfca"</v>
      </c>
      <c r="I259" s="144" t="s">
        <v>221</v>
      </c>
      <c r="J259" s="145" t="str">
        <f>I259</f>
        <v>"#eddfca"</v>
      </c>
      <c r="L259" s="144" t="s">
        <v>221</v>
      </c>
      <c r="M259" s="145" t="str">
        <f>L259</f>
        <v>"#eddfca"</v>
      </c>
      <c r="U259" s="44"/>
      <c r="V259" s="44"/>
      <c r="X259" s="44"/>
      <c r="Y259" s="44"/>
      <c r="AA259" s="2" t="s">
        <v>6</v>
      </c>
      <c r="AB259" s="2" t="str">
        <f t="shared" si="181"/>
        <v>-</v>
      </c>
      <c r="AC259" s="2" t="s">
        <v>18</v>
      </c>
      <c r="AD259" s="2" t="str">
        <f t="shared" si="182"/>
        <v>_</v>
      </c>
      <c r="AE259" s="2" t="s">
        <v>13</v>
      </c>
      <c r="AF259" s="2" t="str">
        <f t="shared" si="183"/>
        <v>_</v>
      </c>
      <c r="AG259" s="2" t="s">
        <v>21</v>
      </c>
      <c r="AH259" s="2" t="str">
        <f t="shared" si="321"/>
        <v>_</v>
      </c>
      <c r="AI259" s="28" t="s">
        <v>262</v>
      </c>
    </row>
    <row r="260" spans="1:35" x14ac:dyDescent="0.25">
      <c r="B260" s="2" t="str">
        <f t="shared" si="315"/>
        <v>@color-trunk_line_paved_or_uk_default</v>
      </c>
      <c r="C260" s="71" t="s">
        <v>222</v>
      </c>
      <c r="D260" s="38" t="str">
        <f>C260</f>
        <v>"#ffffff"</v>
      </c>
      <c r="F260" s="71" t="s">
        <v>222</v>
      </c>
      <c r="G260" s="38" t="str">
        <f>F260</f>
        <v>"#ffffff"</v>
      </c>
      <c r="I260" s="71" t="s">
        <v>222</v>
      </c>
      <c r="J260" s="38" t="str">
        <f>I260</f>
        <v>"#ffffff"</v>
      </c>
      <c r="L260" s="71" t="s">
        <v>222</v>
      </c>
      <c r="M260" s="38" t="str">
        <f>L260</f>
        <v>"#ffffff"</v>
      </c>
      <c r="U260" s="44"/>
      <c r="V260" s="44"/>
      <c r="X260" s="44"/>
      <c r="Y260" s="44"/>
      <c r="AA260" s="28" t="s">
        <v>6</v>
      </c>
      <c r="AB260" s="28" t="str">
        <f t="shared" si="181"/>
        <v>-</v>
      </c>
      <c r="AC260" s="28" t="s">
        <v>18</v>
      </c>
      <c r="AD260" s="28" t="str">
        <f t="shared" si="182"/>
        <v>_</v>
      </c>
      <c r="AE260" s="28" t="s">
        <v>13</v>
      </c>
      <c r="AF260" s="28" t="str">
        <f t="shared" si="183"/>
        <v>_</v>
      </c>
      <c r="AG260" s="28" t="s">
        <v>24</v>
      </c>
      <c r="AH260" s="28" t="str">
        <f t="shared" si="321"/>
        <v>_</v>
      </c>
      <c r="AI260" s="28" t="s">
        <v>262</v>
      </c>
    </row>
    <row r="261" spans="1:35" x14ac:dyDescent="0.25">
      <c r="B261" s="2"/>
      <c r="AB261" s="28" t="str">
        <f t="shared" si="181"/>
        <v/>
      </c>
      <c r="AD261" s="28" t="str">
        <f t="shared" si="182"/>
        <v/>
      </c>
      <c r="AF261" s="28" t="str">
        <f t="shared" si="183"/>
        <v/>
      </c>
      <c r="AH261" s="28" t="str">
        <f t="shared" si="321"/>
        <v/>
      </c>
    </row>
    <row r="262" spans="1:35" s="2" customFormat="1" x14ac:dyDescent="0.25">
      <c r="A262" s="3" t="s">
        <v>44</v>
      </c>
      <c r="B262" s="3"/>
      <c r="C262" s="27"/>
      <c r="D262" s="6"/>
      <c r="E262" s="7"/>
      <c r="F262" s="6"/>
      <c r="G262" s="6"/>
      <c r="H262" s="7"/>
      <c r="I262" s="6"/>
      <c r="J262" s="6"/>
      <c r="K262" s="7"/>
      <c r="L262" s="6"/>
      <c r="M262" s="6"/>
      <c r="N262" s="7"/>
      <c r="O262" s="6"/>
      <c r="P262" s="6"/>
      <c r="Q262" s="7"/>
      <c r="R262" s="6"/>
      <c r="S262" s="6"/>
      <c r="T262" s="7"/>
      <c r="U262" s="6"/>
      <c r="V262" s="6"/>
      <c r="W262" s="7"/>
      <c r="X262" s="6"/>
      <c r="Y262" s="6"/>
      <c r="AA262" s="4"/>
      <c r="AB262" s="4" t="str">
        <f t="shared" si="181"/>
        <v/>
      </c>
      <c r="AC262" s="4"/>
      <c r="AD262" s="4" t="str">
        <f t="shared" si="182"/>
        <v/>
      </c>
      <c r="AE262" s="4"/>
      <c r="AF262" s="4" t="str">
        <f t="shared" si="183"/>
        <v/>
      </c>
      <c r="AG262" s="4"/>
      <c r="AH262" s="4" t="str">
        <f t="shared" si="321"/>
        <v/>
      </c>
      <c r="AI262" s="4"/>
    </row>
    <row r="263" spans="1:35" x14ac:dyDescent="0.25">
      <c r="B263" s="2" t="str">
        <f t="shared" ref="B263:B271" si="322">_xlfn.CONCAT("@",AA263,AB263,AC263,AD263,AE263,AF263,AG263,AH263,AI263)</f>
        <v>@color-primary_case_bicycle_no_default</v>
      </c>
      <c r="C263" s="137" t="s">
        <v>226</v>
      </c>
      <c r="D263" s="72" t="s">
        <v>214</v>
      </c>
      <c r="F263" s="72" t="s">
        <v>214</v>
      </c>
      <c r="G263" s="72" t="s">
        <v>214</v>
      </c>
      <c r="I263" s="138" t="str">
        <f>C263</f>
        <v>"#bd430f"</v>
      </c>
      <c r="J263" s="37" t="str">
        <f>D263</f>
        <v>"#000000"</v>
      </c>
      <c r="L263" s="72" t="s">
        <v>214</v>
      </c>
      <c r="M263" s="72" t="s">
        <v>214</v>
      </c>
      <c r="U263" s="138" t="str">
        <f>C263</f>
        <v>"#bd430f"</v>
      </c>
      <c r="V263" s="37" t="str">
        <f>D263</f>
        <v>"#000000"</v>
      </c>
      <c r="AA263" s="28" t="s">
        <v>6</v>
      </c>
      <c r="AB263" s="2" t="str">
        <f t="shared" ref="AB263:AB368" si="323">IF(NOT(ISBLANK(AC263)),"-","")</f>
        <v>-</v>
      </c>
      <c r="AC263" s="2" t="s">
        <v>25</v>
      </c>
      <c r="AD263" s="2" t="str">
        <f t="shared" si="182"/>
        <v>_</v>
      </c>
      <c r="AE263" s="28" t="s">
        <v>17</v>
      </c>
      <c r="AF263" s="2" t="str">
        <f t="shared" si="183"/>
        <v>_</v>
      </c>
      <c r="AG263" s="28" t="s">
        <v>23</v>
      </c>
      <c r="AH263" s="2" t="str">
        <f t="shared" si="321"/>
        <v>_</v>
      </c>
      <c r="AI263" s="28" t="s">
        <v>262</v>
      </c>
    </row>
    <row r="264" spans="1:35" x14ac:dyDescent="0.25">
      <c r="B264" s="2" t="str">
        <f t="shared" si="322"/>
        <v>@color-primary_case_bicycle_no_farzoom</v>
      </c>
      <c r="C264" s="137" t="s">
        <v>226</v>
      </c>
      <c r="D264" s="72" t="s">
        <v>214</v>
      </c>
      <c r="F264" s="137" t="s">
        <v>226</v>
      </c>
      <c r="G264" s="137" t="s">
        <v>226</v>
      </c>
      <c r="I264" s="138" t="str">
        <f>C264</f>
        <v>"#bd430f"</v>
      </c>
      <c r="J264" s="37" t="str">
        <f>D264</f>
        <v>"#000000"</v>
      </c>
      <c r="L264" s="137" t="s">
        <v>226</v>
      </c>
      <c r="M264" s="137" t="s">
        <v>226</v>
      </c>
      <c r="U264" s="138" t="str">
        <f>C264</f>
        <v>"#bd430f"</v>
      </c>
      <c r="V264" s="37" t="str">
        <f>D264</f>
        <v>"#000000"</v>
      </c>
      <c r="AA264" s="28" t="s">
        <v>6</v>
      </c>
      <c r="AB264" s="2" t="str">
        <f t="shared" ref="AB264" si="324">IF(NOT(ISBLANK(AC264)),"-","")</f>
        <v>-</v>
      </c>
      <c r="AC264" s="2" t="s">
        <v>25</v>
      </c>
      <c r="AD264" s="2" t="str">
        <f t="shared" ref="AD264" si="325">IF(NOT(ISBLANK(AE264)),"_","")</f>
        <v>_</v>
      </c>
      <c r="AE264" s="28" t="s">
        <v>17</v>
      </c>
      <c r="AF264" s="2" t="str">
        <f t="shared" ref="AF264" si="326">IF(NOT(ISBLANK(AG264)),"_","")</f>
        <v>_</v>
      </c>
      <c r="AG264" s="28" t="s">
        <v>23</v>
      </c>
      <c r="AH264" s="2" t="str">
        <f t="shared" si="321"/>
        <v>_</v>
      </c>
      <c r="AI264" s="28" t="s">
        <v>20</v>
      </c>
    </row>
    <row r="265" spans="1:35" x14ac:dyDescent="0.25">
      <c r="B265" s="2" t="str">
        <f t="shared" si="322"/>
        <v>@color-primary_case_unpaved_farzoom</v>
      </c>
      <c r="C265" s="139" t="s">
        <v>227</v>
      </c>
      <c r="D265" s="140" t="s">
        <v>229</v>
      </c>
      <c r="F265" s="140" t="s">
        <v>229</v>
      </c>
      <c r="G265" s="139" t="s">
        <v>227</v>
      </c>
      <c r="I265" s="139" t="s">
        <v>227</v>
      </c>
      <c r="J265" s="140" t="s">
        <v>229</v>
      </c>
      <c r="L265" s="140" t="s">
        <v>229</v>
      </c>
      <c r="M265" s="139" t="s">
        <v>227</v>
      </c>
      <c r="U265" s="44"/>
      <c r="V265" s="44"/>
      <c r="X265" s="44"/>
      <c r="Y265" s="44"/>
      <c r="AA265" s="28" t="s">
        <v>6</v>
      </c>
      <c r="AB265" s="2" t="str">
        <f>IF(NOT(ISBLANK(AC265)),"-","")</f>
        <v>-</v>
      </c>
      <c r="AC265" s="2" t="s">
        <v>25</v>
      </c>
      <c r="AD265" s="2" t="str">
        <f>IF(NOT(ISBLANK(AE265)),"_","")</f>
        <v>_</v>
      </c>
      <c r="AE265" s="28" t="s">
        <v>17</v>
      </c>
      <c r="AF265" s="2" t="str">
        <f>IF(NOT(ISBLANK(AG265)),"_","")</f>
        <v>_</v>
      </c>
      <c r="AG265" s="28" t="s">
        <v>21</v>
      </c>
      <c r="AH265" s="2" t="str">
        <f>IF(NOT(ISBLANK(AI265)),"_","")</f>
        <v>_</v>
      </c>
      <c r="AI265" s="28" t="s">
        <v>20</v>
      </c>
    </row>
    <row r="266" spans="1:35" x14ac:dyDescent="0.25">
      <c r="B266" s="2" t="str">
        <f t="shared" si="322"/>
        <v>@color-primary_case_unpaved_default</v>
      </c>
      <c r="C266" s="141" t="s">
        <v>217</v>
      </c>
      <c r="D266" s="140" t="s">
        <v>229</v>
      </c>
      <c r="F266" s="72" t="s">
        <v>214</v>
      </c>
      <c r="G266" s="72" t="s">
        <v>214</v>
      </c>
      <c r="I266" s="141" t="s">
        <v>217</v>
      </c>
      <c r="J266" s="140" t="s">
        <v>229</v>
      </c>
      <c r="L266" s="72" t="s">
        <v>214</v>
      </c>
      <c r="M266" s="72" t="s">
        <v>214</v>
      </c>
      <c r="U266" s="44"/>
      <c r="V266" s="44"/>
      <c r="X266" s="44"/>
      <c r="Y266" s="44"/>
      <c r="AA266" s="28" t="s">
        <v>6</v>
      </c>
      <c r="AB266" s="2" t="str">
        <f t="shared" si="323"/>
        <v>-</v>
      </c>
      <c r="AC266" s="2" t="s">
        <v>25</v>
      </c>
      <c r="AD266" s="2" t="str">
        <f t="shared" si="182"/>
        <v>_</v>
      </c>
      <c r="AE266" s="28" t="s">
        <v>17</v>
      </c>
      <c r="AF266" s="2" t="str">
        <f t="shared" si="183"/>
        <v>_</v>
      </c>
      <c r="AG266" s="28" t="s">
        <v>21</v>
      </c>
      <c r="AH266" s="28" t="str">
        <f t="shared" ref="AH266:AH268" si="327">IF(NOT(ISBLANK(AI266)),"_","")</f>
        <v>_</v>
      </c>
      <c r="AI266" s="28" t="s">
        <v>262</v>
      </c>
    </row>
    <row r="267" spans="1:35" x14ac:dyDescent="0.25">
      <c r="B267" s="2" t="str">
        <f t="shared" si="322"/>
        <v>@color-primary_case_paved_or_uk_farzoom</v>
      </c>
      <c r="C267" s="142" t="s">
        <v>228</v>
      </c>
      <c r="D267" s="72" t="s">
        <v>214</v>
      </c>
      <c r="F267" s="142" t="s">
        <v>228</v>
      </c>
      <c r="G267" s="142" t="s">
        <v>228</v>
      </c>
      <c r="I267" s="142" t="s">
        <v>228</v>
      </c>
      <c r="J267" s="72" t="s">
        <v>214</v>
      </c>
      <c r="L267" s="142" t="s">
        <v>228</v>
      </c>
      <c r="M267" s="142" t="s">
        <v>228</v>
      </c>
      <c r="U267" s="44"/>
      <c r="V267" s="44"/>
      <c r="X267" s="44"/>
      <c r="Y267" s="44"/>
      <c r="AA267" s="2" t="s">
        <v>6</v>
      </c>
      <c r="AB267" s="2" t="str">
        <f t="shared" si="323"/>
        <v>-</v>
      </c>
      <c r="AC267" s="2" t="s">
        <v>25</v>
      </c>
      <c r="AD267" s="2" t="str">
        <f t="shared" ref="AD267" si="328">IF(NOT(ISBLANK(AE267)),"_","")</f>
        <v>_</v>
      </c>
      <c r="AE267" s="2" t="s">
        <v>17</v>
      </c>
      <c r="AF267" s="2" t="str">
        <f t="shared" ref="AF267" si="329">IF(NOT(ISBLANK(AG267)),"_","")</f>
        <v>_</v>
      </c>
      <c r="AG267" s="2" t="s">
        <v>24</v>
      </c>
      <c r="AH267" s="2" t="str">
        <f t="shared" si="327"/>
        <v>_</v>
      </c>
      <c r="AI267" s="28" t="s">
        <v>20</v>
      </c>
    </row>
    <row r="268" spans="1:35" x14ac:dyDescent="0.25">
      <c r="B268" s="2" t="str">
        <f t="shared" si="322"/>
        <v>@color-primary_case_paved_or_uk_default</v>
      </c>
      <c r="C268" s="143" t="s">
        <v>218</v>
      </c>
      <c r="D268" s="72" t="s">
        <v>214</v>
      </c>
      <c r="F268" s="72" t="s">
        <v>214</v>
      </c>
      <c r="G268" s="72" t="s">
        <v>214</v>
      </c>
      <c r="I268" s="143" t="s">
        <v>218</v>
      </c>
      <c r="J268" s="72" t="s">
        <v>214</v>
      </c>
      <c r="L268" s="72" t="s">
        <v>214</v>
      </c>
      <c r="M268" s="72" t="s">
        <v>214</v>
      </c>
      <c r="U268" s="44"/>
      <c r="V268" s="44"/>
      <c r="X268" s="44"/>
      <c r="Y268" s="44"/>
      <c r="AA268" s="2" t="s">
        <v>6</v>
      </c>
      <c r="AB268" s="2" t="str">
        <f t="shared" si="323"/>
        <v>-</v>
      </c>
      <c r="AC268" s="28" t="s">
        <v>25</v>
      </c>
      <c r="AD268" s="2" t="str">
        <f t="shared" ref="AD268:AD368" si="330">IF(NOT(ISBLANK(AE268)),"_","")</f>
        <v>_</v>
      </c>
      <c r="AE268" s="2" t="s">
        <v>17</v>
      </c>
      <c r="AF268" s="2" t="str">
        <f t="shared" ref="AF268:AF368" si="331">IF(NOT(ISBLANK(AG268)),"_","")</f>
        <v>_</v>
      </c>
      <c r="AG268" s="2" t="s">
        <v>24</v>
      </c>
      <c r="AH268" s="2" t="str">
        <f t="shared" si="327"/>
        <v>_</v>
      </c>
      <c r="AI268" s="28" t="s">
        <v>262</v>
      </c>
    </row>
    <row r="269" spans="1:35" x14ac:dyDescent="0.25">
      <c r="B269" s="2" t="str">
        <f t="shared" si="322"/>
        <v>@color-primary_line_bicycle_no</v>
      </c>
      <c r="C269" s="146" t="s">
        <v>231</v>
      </c>
      <c r="D269" s="134" t="s">
        <v>215</v>
      </c>
      <c r="F269" s="146" t="s">
        <v>231</v>
      </c>
      <c r="G269" s="134" t="s">
        <v>215</v>
      </c>
      <c r="I269" s="147" t="str">
        <f>C269</f>
        <v>"#ffcc8a"</v>
      </c>
      <c r="J269" s="136" t="str">
        <f>D269</f>
        <v>"#d6771e"</v>
      </c>
      <c r="L269" s="146" t="s">
        <v>231</v>
      </c>
      <c r="M269" s="134" t="s">
        <v>215</v>
      </c>
      <c r="U269" s="147" t="str">
        <f>C269</f>
        <v>"#ffcc8a"</v>
      </c>
      <c r="V269" s="136" t="str">
        <f>D269</f>
        <v>"#d6771e"</v>
      </c>
      <c r="AA269" s="28" t="s">
        <v>6</v>
      </c>
      <c r="AB269" s="2" t="str">
        <f t="shared" si="323"/>
        <v>-</v>
      </c>
      <c r="AC269" s="28" t="s">
        <v>25</v>
      </c>
      <c r="AD269" s="2" t="str">
        <f t="shared" si="330"/>
        <v>_</v>
      </c>
      <c r="AE269" s="28" t="s">
        <v>13</v>
      </c>
      <c r="AF269" s="2" t="str">
        <f t="shared" si="331"/>
        <v>_</v>
      </c>
      <c r="AG269" s="28" t="s">
        <v>23</v>
      </c>
      <c r="AH269" s="2" t="str">
        <f t="shared" ref="AH269:AH274" si="332">IF(NOT(ISBLANK(AI269)),"_","")</f>
        <v/>
      </c>
    </row>
    <row r="270" spans="1:35" x14ac:dyDescent="0.25">
      <c r="B270" s="2" t="str">
        <f t="shared" si="322"/>
        <v>@color-primary_line_unpaved_default</v>
      </c>
      <c r="C270" s="144" t="s">
        <v>221</v>
      </c>
      <c r="D270" s="145" t="str">
        <f>C270</f>
        <v>"#eddfca"</v>
      </c>
      <c r="F270" s="144" t="s">
        <v>221</v>
      </c>
      <c r="G270" s="145" t="str">
        <f>F270</f>
        <v>"#eddfca"</v>
      </c>
      <c r="I270" s="144" t="s">
        <v>221</v>
      </c>
      <c r="J270" s="145" t="str">
        <f>I270</f>
        <v>"#eddfca"</v>
      </c>
      <c r="L270" s="144" t="s">
        <v>221</v>
      </c>
      <c r="M270" s="145" t="str">
        <f>L270</f>
        <v>"#eddfca"</v>
      </c>
      <c r="U270" s="44"/>
      <c r="V270" s="44"/>
      <c r="X270" s="44"/>
      <c r="Y270" s="44"/>
      <c r="AA270" s="2" t="s">
        <v>6</v>
      </c>
      <c r="AB270" s="2" t="str">
        <f t="shared" si="323"/>
        <v>-</v>
      </c>
      <c r="AC270" s="2" t="s">
        <v>25</v>
      </c>
      <c r="AD270" s="2" t="str">
        <f t="shared" si="330"/>
        <v>_</v>
      </c>
      <c r="AE270" s="2" t="s">
        <v>13</v>
      </c>
      <c r="AF270" s="2" t="str">
        <f t="shared" si="331"/>
        <v>_</v>
      </c>
      <c r="AG270" s="2" t="s">
        <v>21</v>
      </c>
      <c r="AH270" s="2" t="str">
        <f t="shared" si="332"/>
        <v>_</v>
      </c>
      <c r="AI270" s="28" t="s">
        <v>262</v>
      </c>
    </row>
    <row r="271" spans="1:35" x14ac:dyDescent="0.25">
      <c r="B271" s="2" t="str">
        <f t="shared" si="322"/>
        <v>@color-primary_line_paved_or_uk_default</v>
      </c>
      <c r="C271" s="71" t="s">
        <v>222</v>
      </c>
      <c r="D271" s="38" t="str">
        <f>C271</f>
        <v>"#ffffff"</v>
      </c>
      <c r="F271" s="71" t="s">
        <v>222</v>
      </c>
      <c r="G271" s="38" t="str">
        <f>F271</f>
        <v>"#ffffff"</v>
      </c>
      <c r="I271" s="71" t="s">
        <v>222</v>
      </c>
      <c r="J271" s="38" t="str">
        <f>I271</f>
        <v>"#ffffff"</v>
      </c>
      <c r="L271" s="71" t="s">
        <v>222</v>
      </c>
      <c r="M271" s="38" t="str">
        <f>L271</f>
        <v>"#ffffff"</v>
      </c>
      <c r="U271" s="44"/>
      <c r="V271" s="44"/>
      <c r="X271" s="44"/>
      <c r="Y271" s="44"/>
      <c r="AA271" s="2" t="s">
        <v>6</v>
      </c>
      <c r="AB271" s="2" t="str">
        <f t="shared" si="323"/>
        <v>-</v>
      </c>
      <c r="AC271" s="2" t="s">
        <v>25</v>
      </c>
      <c r="AD271" s="2" t="str">
        <f t="shared" si="330"/>
        <v>_</v>
      </c>
      <c r="AE271" s="2" t="s">
        <v>13</v>
      </c>
      <c r="AF271" s="2" t="str">
        <f t="shared" si="331"/>
        <v>_</v>
      </c>
      <c r="AG271" s="28" t="s">
        <v>24</v>
      </c>
      <c r="AH271" s="28" t="str">
        <f t="shared" si="332"/>
        <v>_</v>
      </c>
      <c r="AI271" s="28" t="s">
        <v>262</v>
      </c>
    </row>
    <row r="272" spans="1:35" x14ac:dyDescent="0.25">
      <c r="B272" s="2"/>
      <c r="C272" s="26"/>
      <c r="D272" s="26"/>
      <c r="I272" s="26"/>
      <c r="AB272" s="2"/>
      <c r="AD272" s="2"/>
      <c r="AF272" s="2" t="str">
        <f t="shared" ref="AF272:AF281" si="333">IF(NOT(ISBLANK(AG272)),"_","")</f>
        <v/>
      </c>
      <c r="AH272" s="2" t="str">
        <f t="shared" si="332"/>
        <v/>
      </c>
    </row>
    <row r="273" spans="2:35" x14ac:dyDescent="0.25">
      <c r="B273" s="2" t="str">
        <f t="shared" ref="B273:B281" si="334">_xlfn.CONCAT("@",AA273,AB273,AC273,AD273,AE273,AF273,AG273,AH273,AI273)</f>
        <v>@color-secondary_case_bicycle_no_default</v>
      </c>
      <c r="C273" s="137" t="s">
        <v>226</v>
      </c>
      <c r="D273" s="72" t="s">
        <v>214</v>
      </c>
      <c r="F273" s="72" t="s">
        <v>214</v>
      </c>
      <c r="G273" s="72" t="s">
        <v>214</v>
      </c>
      <c r="I273" s="138" t="str">
        <f>C273</f>
        <v>"#bd430f"</v>
      </c>
      <c r="J273" s="37" t="str">
        <f>D273</f>
        <v>"#000000"</v>
      </c>
      <c r="L273" s="72" t="s">
        <v>214</v>
      </c>
      <c r="M273" s="72" t="s">
        <v>214</v>
      </c>
      <c r="U273" s="138" t="str">
        <f>C273</f>
        <v>"#bd430f"</v>
      </c>
      <c r="V273" s="37" t="str">
        <f>D273</f>
        <v>"#000000"</v>
      </c>
      <c r="AA273" s="28" t="s">
        <v>6</v>
      </c>
      <c r="AB273" s="2" t="str">
        <f t="shared" ref="AB273:AB281" si="335">IF(NOT(ISBLANK(AC273)),"-","")</f>
        <v>-</v>
      </c>
      <c r="AC273" s="2" t="s">
        <v>27</v>
      </c>
      <c r="AD273" s="2" t="str">
        <f t="shared" ref="AD273:AD281" si="336">IF(NOT(ISBLANK(AE273)),"_","")</f>
        <v>_</v>
      </c>
      <c r="AE273" s="28" t="s">
        <v>17</v>
      </c>
      <c r="AF273" s="2" t="str">
        <f t="shared" si="333"/>
        <v>_</v>
      </c>
      <c r="AG273" s="28" t="s">
        <v>23</v>
      </c>
      <c r="AH273" s="2" t="str">
        <f t="shared" si="332"/>
        <v>_</v>
      </c>
      <c r="AI273" s="28" t="s">
        <v>262</v>
      </c>
    </row>
    <row r="274" spans="2:35" x14ac:dyDescent="0.25">
      <c r="B274" s="2" t="str">
        <f t="shared" si="334"/>
        <v>@color-secondary_case_bicycle_no_farzoom</v>
      </c>
      <c r="C274" s="137" t="s">
        <v>226</v>
      </c>
      <c r="D274" s="72" t="s">
        <v>214</v>
      </c>
      <c r="F274" s="137" t="s">
        <v>226</v>
      </c>
      <c r="G274" s="137" t="s">
        <v>226</v>
      </c>
      <c r="I274" s="138" t="str">
        <f>C274</f>
        <v>"#bd430f"</v>
      </c>
      <c r="J274" s="37" t="str">
        <f>D274</f>
        <v>"#000000"</v>
      </c>
      <c r="L274" s="137" t="s">
        <v>226</v>
      </c>
      <c r="M274" s="137" t="s">
        <v>226</v>
      </c>
      <c r="U274" s="138" t="str">
        <f>C274</f>
        <v>"#bd430f"</v>
      </c>
      <c r="V274" s="37" t="str">
        <f>D274</f>
        <v>"#000000"</v>
      </c>
      <c r="AA274" s="28" t="s">
        <v>6</v>
      </c>
      <c r="AB274" s="2" t="str">
        <f t="shared" ref="AB274" si="337">IF(NOT(ISBLANK(AC274)),"-","")</f>
        <v>-</v>
      </c>
      <c r="AC274" s="2" t="s">
        <v>27</v>
      </c>
      <c r="AD274" s="2" t="str">
        <f t="shared" ref="AD274" si="338">IF(NOT(ISBLANK(AE274)),"_","")</f>
        <v>_</v>
      </c>
      <c r="AE274" s="28" t="s">
        <v>17</v>
      </c>
      <c r="AF274" s="2" t="str">
        <f t="shared" ref="AF274" si="339">IF(NOT(ISBLANK(AG274)),"_","")</f>
        <v>_</v>
      </c>
      <c r="AG274" s="28" t="s">
        <v>23</v>
      </c>
      <c r="AH274" s="2" t="str">
        <f t="shared" si="332"/>
        <v>_</v>
      </c>
      <c r="AI274" s="28" t="s">
        <v>20</v>
      </c>
    </row>
    <row r="275" spans="2:35" x14ac:dyDescent="0.25">
      <c r="B275" s="2" t="str">
        <f t="shared" si="334"/>
        <v>@color-secondary_case_unpaved_farzoom</v>
      </c>
      <c r="C275" s="139" t="s">
        <v>227</v>
      </c>
      <c r="D275" s="140" t="s">
        <v>229</v>
      </c>
      <c r="F275" s="140" t="s">
        <v>229</v>
      </c>
      <c r="G275" s="139" t="s">
        <v>227</v>
      </c>
      <c r="I275" s="139" t="s">
        <v>227</v>
      </c>
      <c r="J275" s="140" t="s">
        <v>229</v>
      </c>
      <c r="L275" s="140" t="s">
        <v>229</v>
      </c>
      <c r="M275" s="139" t="s">
        <v>227</v>
      </c>
      <c r="U275" s="44"/>
      <c r="V275" s="44"/>
      <c r="X275" s="44"/>
      <c r="Y275" s="44"/>
      <c r="AA275" s="28" t="s">
        <v>6</v>
      </c>
      <c r="AB275" s="2" t="str">
        <f>IF(NOT(ISBLANK(AC275)),"-","")</f>
        <v>-</v>
      </c>
      <c r="AC275" s="2" t="s">
        <v>27</v>
      </c>
      <c r="AD275" s="2" t="str">
        <f>IF(NOT(ISBLANK(AE275)),"_","")</f>
        <v>_</v>
      </c>
      <c r="AE275" s="28" t="s">
        <v>17</v>
      </c>
      <c r="AF275" s="2" t="str">
        <f>IF(NOT(ISBLANK(AG275)),"_","")</f>
        <v>_</v>
      </c>
      <c r="AG275" s="28" t="s">
        <v>21</v>
      </c>
      <c r="AH275" s="2" t="str">
        <f>IF(NOT(ISBLANK(AI275)),"_","")</f>
        <v>_</v>
      </c>
      <c r="AI275" s="28" t="s">
        <v>20</v>
      </c>
    </row>
    <row r="276" spans="2:35" x14ac:dyDescent="0.25">
      <c r="B276" s="2" t="str">
        <f t="shared" si="334"/>
        <v>@color-secondary_case_unpaved_default</v>
      </c>
      <c r="C276" s="140" t="s">
        <v>229</v>
      </c>
      <c r="D276" s="140" t="s">
        <v>229</v>
      </c>
      <c r="F276" s="72" t="s">
        <v>214</v>
      </c>
      <c r="G276" s="72" t="s">
        <v>214</v>
      </c>
      <c r="I276" s="140" t="s">
        <v>229</v>
      </c>
      <c r="J276" s="140" t="s">
        <v>229</v>
      </c>
      <c r="L276" s="72" t="s">
        <v>214</v>
      </c>
      <c r="M276" s="72" t="s">
        <v>214</v>
      </c>
      <c r="U276" s="44"/>
      <c r="V276" s="44"/>
      <c r="X276" s="44"/>
      <c r="Y276" s="44"/>
      <c r="AA276" s="28" t="s">
        <v>6</v>
      </c>
      <c r="AB276" s="2" t="str">
        <f t="shared" si="335"/>
        <v>-</v>
      </c>
      <c r="AC276" s="2" t="s">
        <v>27</v>
      </c>
      <c r="AD276" s="2" t="str">
        <f t="shared" si="336"/>
        <v>_</v>
      </c>
      <c r="AE276" s="28" t="s">
        <v>17</v>
      </c>
      <c r="AF276" s="2" t="str">
        <f t="shared" si="333"/>
        <v>_</v>
      </c>
      <c r="AG276" s="28" t="s">
        <v>21</v>
      </c>
      <c r="AH276" s="28" t="str">
        <f t="shared" ref="AH276:AH278" si="340">IF(NOT(ISBLANK(AI276)),"_","")</f>
        <v>_</v>
      </c>
      <c r="AI276" s="28" t="s">
        <v>262</v>
      </c>
    </row>
    <row r="277" spans="2:35" x14ac:dyDescent="0.25">
      <c r="B277" s="2" t="str">
        <f t="shared" si="334"/>
        <v>@color-secondary_case_paved_or_uk_farzoom</v>
      </c>
      <c r="C277" s="142" t="s">
        <v>228</v>
      </c>
      <c r="D277" s="72" t="s">
        <v>214</v>
      </c>
      <c r="F277" s="142" t="s">
        <v>228</v>
      </c>
      <c r="G277" s="142" t="s">
        <v>228</v>
      </c>
      <c r="I277" s="142" t="s">
        <v>228</v>
      </c>
      <c r="J277" s="72" t="s">
        <v>214</v>
      </c>
      <c r="L277" s="142" t="s">
        <v>228</v>
      </c>
      <c r="M277" s="142" t="s">
        <v>228</v>
      </c>
      <c r="U277" s="44"/>
      <c r="V277" s="44"/>
      <c r="X277" s="44"/>
      <c r="Y277" s="44"/>
      <c r="AA277" s="2" t="s">
        <v>6</v>
      </c>
      <c r="AB277" s="2" t="str">
        <f t="shared" si="335"/>
        <v>-</v>
      </c>
      <c r="AC277" s="2" t="s">
        <v>27</v>
      </c>
      <c r="AD277" s="2" t="str">
        <f t="shared" si="336"/>
        <v>_</v>
      </c>
      <c r="AE277" s="2" t="s">
        <v>17</v>
      </c>
      <c r="AF277" s="2" t="str">
        <f t="shared" si="333"/>
        <v>_</v>
      </c>
      <c r="AG277" s="2" t="s">
        <v>24</v>
      </c>
      <c r="AH277" s="2" t="str">
        <f t="shared" si="340"/>
        <v>_</v>
      </c>
      <c r="AI277" s="28" t="s">
        <v>20</v>
      </c>
    </row>
    <row r="278" spans="2:35" x14ac:dyDescent="0.25">
      <c r="B278" s="2" t="str">
        <f t="shared" si="334"/>
        <v>@color-secondary_case_paved_or_uk_default</v>
      </c>
      <c r="C278" s="148" t="s">
        <v>230</v>
      </c>
      <c r="D278" s="72" t="s">
        <v>214</v>
      </c>
      <c r="F278" s="72" t="s">
        <v>214</v>
      </c>
      <c r="G278" s="72" t="s">
        <v>214</v>
      </c>
      <c r="I278" s="148" t="s">
        <v>230</v>
      </c>
      <c r="J278" s="72" t="s">
        <v>214</v>
      </c>
      <c r="L278" s="72" t="s">
        <v>214</v>
      </c>
      <c r="M278" s="72" t="s">
        <v>214</v>
      </c>
      <c r="U278" s="44"/>
      <c r="V278" s="44"/>
      <c r="X278" s="44"/>
      <c r="Y278" s="44"/>
      <c r="AA278" s="2" t="s">
        <v>6</v>
      </c>
      <c r="AB278" s="2" t="str">
        <f t="shared" si="335"/>
        <v>-</v>
      </c>
      <c r="AC278" s="2" t="s">
        <v>27</v>
      </c>
      <c r="AD278" s="2" t="str">
        <f t="shared" si="336"/>
        <v>_</v>
      </c>
      <c r="AE278" s="2" t="s">
        <v>17</v>
      </c>
      <c r="AF278" s="2" t="str">
        <f t="shared" si="333"/>
        <v>_</v>
      </c>
      <c r="AG278" s="2" t="s">
        <v>24</v>
      </c>
      <c r="AH278" s="2" t="str">
        <f t="shared" si="340"/>
        <v>_</v>
      </c>
      <c r="AI278" s="28" t="s">
        <v>262</v>
      </c>
    </row>
    <row r="279" spans="2:35" x14ac:dyDescent="0.25">
      <c r="B279" s="2" t="str">
        <f t="shared" si="334"/>
        <v>@color-secondary_line_bicycle_no</v>
      </c>
      <c r="C279" s="146" t="s">
        <v>231</v>
      </c>
      <c r="D279" s="134" t="s">
        <v>215</v>
      </c>
      <c r="F279" s="146" t="s">
        <v>231</v>
      </c>
      <c r="G279" s="134" t="s">
        <v>215</v>
      </c>
      <c r="I279" s="147" t="str">
        <f>C279</f>
        <v>"#ffcc8a"</v>
      </c>
      <c r="J279" s="136" t="str">
        <f>D279</f>
        <v>"#d6771e"</v>
      </c>
      <c r="L279" s="146" t="s">
        <v>231</v>
      </c>
      <c r="M279" s="134" t="s">
        <v>215</v>
      </c>
      <c r="U279" s="147" t="str">
        <f>C279</f>
        <v>"#ffcc8a"</v>
      </c>
      <c r="V279" s="136" t="str">
        <f>J279</f>
        <v>"#d6771e"</v>
      </c>
      <c r="AA279" s="28" t="s">
        <v>6</v>
      </c>
      <c r="AB279" s="2" t="str">
        <f t="shared" si="335"/>
        <v>-</v>
      </c>
      <c r="AC279" s="2" t="s">
        <v>27</v>
      </c>
      <c r="AD279" s="2" t="str">
        <f t="shared" si="336"/>
        <v>_</v>
      </c>
      <c r="AE279" s="28" t="s">
        <v>13</v>
      </c>
      <c r="AF279" s="2" t="str">
        <f t="shared" si="333"/>
        <v>_</v>
      </c>
      <c r="AG279" s="28" t="s">
        <v>23</v>
      </c>
      <c r="AH279" s="2" t="str">
        <f t="shared" ref="AH279:AH369" si="341">IF(NOT(ISBLANK(AI279)),"_","")</f>
        <v/>
      </c>
    </row>
    <row r="280" spans="2:35" x14ac:dyDescent="0.25">
      <c r="B280" s="2" t="str">
        <f t="shared" si="334"/>
        <v>@color-secondary_line_unpaved_default</v>
      </c>
      <c r="C280" s="144" t="s">
        <v>221</v>
      </c>
      <c r="D280" s="145" t="str">
        <f>C280</f>
        <v>"#eddfca"</v>
      </c>
      <c r="F280" s="144" t="s">
        <v>221</v>
      </c>
      <c r="G280" s="145" t="str">
        <f>F280</f>
        <v>"#eddfca"</v>
      </c>
      <c r="I280" s="144" t="s">
        <v>221</v>
      </c>
      <c r="J280" s="145" t="str">
        <f>I280</f>
        <v>"#eddfca"</v>
      </c>
      <c r="L280" s="144" t="s">
        <v>221</v>
      </c>
      <c r="M280" s="145" t="str">
        <f>L280</f>
        <v>"#eddfca"</v>
      </c>
      <c r="U280" s="44"/>
      <c r="V280" s="44"/>
      <c r="X280" s="44"/>
      <c r="Y280" s="44"/>
      <c r="AA280" s="2" t="s">
        <v>6</v>
      </c>
      <c r="AB280" s="2" t="str">
        <f t="shared" si="335"/>
        <v>-</v>
      </c>
      <c r="AC280" s="2" t="s">
        <v>27</v>
      </c>
      <c r="AD280" s="2" t="str">
        <f t="shared" si="336"/>
        <v>_</v>
      </c>
      <c r="AE280" s="2" t="s">
        <v>13</v>
      </c>
      <c r="AF280" s="2" t="str">
        <f t="shared" si="333"/>
        <v>_</v>
      </c>
      <c r="AG280" s="2" t="s">
        <v>21</v>
      </c>
      <c r="AH280" s="2" t="str">
        <f t="shared" si="341"/>
        <v>_</v>
      </c>
      <c r="AI280" s="28" t="s">
        <v>262</v>
      </c>
    </row>
    <row r="281" spans="2:35" x14ac:dyDescent="0.25">
      <c r="B281" s="2" t="str">
        <f t="shared" si="334"/>
        <v>@color-secondary_line_paved_or_uk_default</v>
      </c>
      <c r="C281" s="71" t="s">
        <v>222</v>
      </c>
      <c r="D281" s="38" t="str">
        <f>C281</f>
        <v>"#ffffff"</v>
      </c>
      <c r="F281" s="71" t="s">
        <v>222</v>
      </c>
      <c r="G281" s="38" t="str">
        <f>F281</f>
        <v>"#ffffff"</v>
      </c>
      <c r="I281" s="71" t="s">
        <v>222</v>
      </c>
      <c r="J281" s="38" t="str">
        <f>I281</f>
        <v>"#ffffff"</v>
      </c>
      <c r="L281" s="71" t="s">
        <v>222</v>
      </c>
      <c r="M281" s="38" t="str">
        <f>L281</f>
        <v>"#ffffff"</v>
      </c>
      <c r="U281" s="44"/>
      <c r="V281" s="44"/>
      <c r="X281" s="44"/>
      <c r="Y281" s="44"/>
      <c r="AA281" s="2" t="s">
        <v>6</v>
      </c>
      <c r="AB281" s="2" t="str">
        <f t="shared" si="335"/>
        <v>-</v>
      </c>
      <c r="AC281" s="2" t="s">
        <v>27</v>
      </c>
      <c r="AD281" s="2" t="str">
        <f t="shared" si="336"/>
        <v>_</v>
      </c>
      <c r="AE281" s="2" t="s">
        <v>13</v>
      </c>
      <c r="AF281" s="2" t="str">
        <f t="shared" si="333"/>
        <v>_</v>
      </c>
      <c r="AG281" s="28" t="s">
        <v>24</v>
      </c>
      <c r="AH281" s="28" t="str">
        <f t="shared" si="341"/>
        <v>_</v>
      </c>
      <c r="AI281" s="28" t="s">
        <v>262</v>
      </c>
    </row>
    <row r="282" spans="2:35" x14ac:dyDescent="0.25">
      <c r="B282" s="2"/>
      <c r="C282" s="26"/>
      <c r="D282" s="26"/>
      <c r="I282" s="26"/>
      <c r="AB282" s="2"/>
      <c r="AD282" s="2"/>
      <c r="AF282" s="2" t="str">
        <f t="shared" si="331"/>
        <v/>
      </c>
      <c r="AH282" s="2" t="str">
        <f t="shared" si="341"/>
        <v/>
      </c>
    </row>
    <row r="283" spans="2:35" x14ac:dyDescent="0.25">
      <c r="B283" s="2" t="str">
        <f t="shared" ref="B283:B291" si="342">_xlfn.CONCAT("@",AA283,AB283,AC283,AD283,AE283,AF283,AG283,AH283,AI283)</f>
        <v>@color-tertiary_case_bicycle_no_default</v>
      </c>
      <c r="C283" s="137" t="s">
        <v>226</v>
      </c>
      <c r="D283" s="72" t="s">
        <v>214</v>
      </c>
      <c r="F283" s="72" t="s">
        <v>214</v>
      </c>
      <c r="G283" s="72" t="s">
        <v>214</v>
      </c>
      <c r="I283" s="138" t="str">
        <f>C283</f>
        <v>"#bd430f"</v>
      </c>
      <c r="J283" s="37" t="str">
        <f>D283</f>
        <v>"#000000"</v>
      </c>
      <c r="L283" s="72" t="s">
        <v>214</v>
      </c>
      <c r="M283" s="72" t="s">
        <v>214</v>
      </c>
      <c r="U283" s="138" t="str">
        <f>C283</f>
        <v>"#bd430f"</v>
      </c>
      <c r="V283" s="37" t="str">
        <f>D283</f>
        <v>"#000000"</v>
      </c>
      <c r="AA283" s="28" t="s">
        <v>6</v>
      </c>
      <c r="AB283" s="2" t="str">
        <f t="shared" ref="AB283:AB285" si="343">IF(NOT(ISBLANK(AC283)),"-","")</f>
        <v>-</v>
      </c>
      <c r="AC283" s="2" t="s">
        <v>26</v>
      </c>
      <c r="AD283" s="2" t="str">
        <f t="shared" ref="AD283:AD285" si="344">IF(NOT(ISBLANK(AE283)),"_","")</f>
        <v>_</v>
      </c>
      <c r="AE283" s="28" t="s">
        <v>17</v>
      </c>
      <c r="AF283" s="2" t="str">
        <f t="shared" ref="AF283:AF285" si="345">IF(NOT(ISBLANK(AG283)),"_","")</f>
        <v>_</v>
      </c>
      <c r="AG283" s="28" t="s">
        <v>23</v>
      </c>
      <c r="AH283" s="2" t="str">
        <f t="shared" si="341"/>
        <v>_</v>
      </c>
      <c r="AI283" s="28" t="s">
        <v>262</v>
      </c>
    </row>
    <row r="284" spans="2:35" x14ac:dyDescent="0.25">
      <c r="B284" s="2" t="str">
        <f t="shared" si="342"/>
        <v>@color-tertiary_case_bicycle_no_farzoom</v>
      </c>
      <c r="C284" s="137" t="s">
        <v>226</v>
      </c>
      <c r="D284" s="72" t="s">
        <v>214</v>
      </c>
      <c r="F284" s="137" t="s">
        <v>226</v>
      </c>
      <c r="G284" s="137" t="s">
        <v>226</v>
      </c>
      <c r="I284" s="138" t="str">
        <f>C284</f>
        <v>"#bd430f"</v>
      </c>
      <c r="J284" s="37" t="str">
        <f>D284</f>
        <v>"#000000"</v>
      </c>
      <c r="L284" s="137" t="s">
        <v>226</v>
      </c>
      <c r="M284" s="137" t="s">
        <v>226</v>
      </c>
      <c r="U284" s="138" t="str">
        <f>C284</f>
        <v>"#bd430f"</v>
      </c>
      <c r="V284" s="37" t="str">
        <f>D284</f>
        <v>"#000000"</v>
      </c>
      <c r="AA284" s="28" t="s">
        <v>6</v>
      </c>
      <c r="AB284" s="2" t="str">
        <f t="shared" ref="AB284" si="346">IF(NOT(ISBLANK(AC284)),"-","")</f>
        <v>-</v>
      </c>
      <c r="AC284" s="2" t="s">
        <v>26</v>
      </c>
      <c r="AD284" s="2" t="str">
        <f t="shared" ref="AD284" si="347">IF(NOT(ISBLANK(AE284)),"_","")</f>
        <v>_</v>
      </c>
      <c r="AE284" s="28" t="s">
        <v>17</v>
      </c>
      <c r="AF284" s="2" t="str">
        <f t="shared" ref="AF284" si="348">IF(NOT(ISBLANK(AG284)),"_","")</f>
        <v>_</v>
      </c>
      <c r="AG284" s="28" t="s">
        <v>23</v>
      </c>
      <c r="AH284" s="2" t="str">
        <f t="shared" si="341"/>
        <v>_</v>
      </c>
      <c r="AI284" s="28" t="s">
        <v>20</v>
      </c>
    </row>
    <row r="285" spans="2:35" x14ac:dyDescent="0.25">
      <c r="B285" s="2" t="str">
        <f t="shared" si="342"/>
        <v>@color-tertiary_case_unpaved_farzoom</v>
      </c>
      <c r="C285" s="139" t="s">
        <v>227</v>
      </c>
      <c r="D285" s="140" t="s">
        <v>229</v>
      </c>
      <c r="F285" s="140" t="s">
        <v>229</v>
      </c>
      <c r="G285" s="139" t="s">
        <v>227</v>
      </c>
      <c r="I285" s="139" t="s">
        <v>227</v>
      </c>
      <c r="J285" s="140" t="s">
        <v>229</v>
      </c>
      <c r="L285" s="140" t="s">
        <v>229</v>
      </c>
      <c r="M285" s="139" t="s">
        <v>227</v>
      </c>
      <c r="U285" s="44"/>
      <c r="V285" s="44"/>
      <c r="X285" s="44"/>
      <c r="Y285" s="44"/>
      <c r="AA285" s="28" t="s">
        <v>6</v>
      </c>
      <c r="AB285" s="2" t="str">
        <f t="shared" si="343"/>
        <v>-</v>
      </c>
      <c r="AC285" s="2" t="s">
        <v>26</v>
      </c>
      <c r="AD285" s="2" t="str">
        <f t="shared" si="344"/>
        <v>_</v>
      </c>
      <c r="AE285" s="28" t="s">
        <v>17</v>
      </c>
      <c r="AF285" s="2" t="str">
        <f t="shared" si="345"/>
        <v>_</v>
      </c>
      <c r="AG285" s="28" t="s">
        <v>21</v>
      </c>
      <c r="AH285" s="2" t="str">
        <f>IF(NOT(ISBLANK(AI285)),"_","")</f>
        <v>_</v>
      </c>
      <c r="AI285" s="28" t="s">
        <v>20</v>
      </c>
    </row>
    <row r="286" spans="2:35" x14ac:dyDescent="0.25">
      <c r="B286" s="2" t="str">
        <f t="shared" si="342"/>
        <v>@color-tertiary_case_unpaved_default</v>
      </c>
      <c r="C286" s="140" t="s">
        <v>229</v>
      </c>
      <c r="D286" s="140" t="s">
        <v>229</v>
      </c>
      <c r="F286" s="72" t="s">
        <v>214</v>
      </c>
      <c r="G286" s="72" t="s">
        <v>214</v>
      </c>
      <c r="I286" s="140" t="s">
        <v>229</v>
      </c>
      <c r="J286" s="140" t="s">
        <v>229</v>
      </c>
      <c r="L286" s="72" t="s">
        <v>214</v>
      </c>
      <c r="M286" s="72" t="s">
        <v>214</v>
      </c>
      <c r="U286" s="44"/>
      <c r="V286" s="44"/>
      <c r="X286" s="44"/>
      <c r="Y286" s="44"/>
      <c r="AA286" s="28" t="s">
        <v>6</v>
      </c>
      <c r="AB286" s="2" t="str">
        <f t="shared" ref="AB286:AB291" si="349">IF(NOT(ISBLANK(AC286)),"-","")</f>
        <v>-</v>
      </c>
      <c r="AC286" s="2" t="s">
        <v>26</v>
      </c>
      <c r="AD286" s="2" t="str">
        <f t="shared" ref="AD286:AD291" si="350">IF(NOT(ISBLANK(AE286)),"_","")</f>
        <v>_</v>
      </c>
      <c r="AE286" s="28" t="s">
        <v>17</v>
      </c>
      <c r="AF286" s="2" t="str">
        <f t="shared" si="331"/>
        <v>_</v>
      </c>
      <c r="AG286" s="28" t="s">
        <v>21</v>
      </c>
      <c r="AH286" s="28" t="str">
        <f t="shared" ref="AH286:AH291" si="351">IF(NOT(ISBLANK(AI286)),"_","")</f>
        <v>_</v>
      </c>
      <c r="AI286" s="28" t="s">
        <v>262</v>
      </c>
    </row>
    <row r="287" spans="2:35" x14ac:dyDescent="0.25">
      <c r="B287" s="2" t="str">
        <f t="shared" si="342"/>
        <v>@color-tertiary_case_paved_or_uk_farzoom</v>
      </c>
      <c r="C287" s="142" t="s">
        <v>228</v>
      </c>
      <c r="D287" s="72" t="s">
        <v>214</v>
      </c>
      <c r="F287" s="142" t="s">
        <v>228</v>
      </c>
      <c r="G287" s="142" t="s">
        <v>228</v>
      </c>
      <c r="I287" s="142" t="s">
        <v>228</v>
      </c>
      <c r="J287" s="72" t="s">
        <v>214</v>
      </c>
      <c r="L287" s="142" t="s">
        <v>228</v>
      </c>
      <c r="M287" s="142" t="s">
        <v>228</v>
      </c>
      <c r="U287" s="44"/>
      <c r="V287" s="44"/>
      <c r="X287" s="44"/>
      <c r="Y287" s="44"/>
      <c r="AA287" s="2" t="s">
        <v>6</v>
      </c>
      <c r="AB287" s="2" t="str">
        <f t="shared" ref="AB287" si="352">IF(NOT(ISBLANK(AC287)),"-","")</f>
        <v>-</v>
      </c>
      <c r="AC287" s="2" t="s">
        <v>26</v>
      </c>
      <c r="AD287" s="2" t="str">
        <f t="shared" ref="AD287" si="353">IF(NOT(ISBLANK(AE287)),"_","")</f>
        <v>_</v>
      </c>
      <c r="AE287" s="2" t="s">
        <v>17</v>
      </c>
      <c r="AF287" s="2" t="str">
        <f t="shared" ref="AF287" si="354">IF(NOT(ISBLANK(AG287)),"_","")</f>
        <v>_</v>
      </c>
      <c r="AG287" s="2" t="s">
        <v>24</v>
      </c>
      <c r="AH287" s="2" t="str">
        <f t="shared" si="351"/>
        <v>_</v>
      </c>
      <c r="AI287" s="28" t="s">
        <v>20</v>
      </c>
    </row>
    <row r="288" spans="2:35" x14ac:dyDescent="0.25">
      <c r="B288" s="2" t="str">
        <f t="shared" si="342"/>
        <v>@color-tertiary_case_paved_or_uk_default</v>
      </c>
      <c r="C288" s="148" t="s">
        <v>230</v>
      </c>
      <c r="D288" s="72" t="s">
        <v>214</v>
      </c>
      <c r="F288" s="72" t="s">
        <v>214</v>
      </c>
      <c r="G288" s="72" t="s">
        <v>214</v>
      </c>
      <c r="I288" s="148" t="s">
        <v>230</v>
      </c>
      <c r="J288" s="72" t="s">
        <v>214</v>
      </c>
      <c r="L288" s="72" t="s">
        <v>214</v>
      </c>
      <c r="M288" s="72" t="s">
        <v>214</v>
      </c>
      <c r="U288" s="44"/>
      <c r="V288" s="44"/>
      <c r="X288" s="44"/>
      <c r="Y288" s="44"/>
      <c r="AA288" s="2" t="s">
        <v>6</v>
      </c>
      <c r="AB288" s="2" t="str">
        <f t="shared" si="349"/>
        <v>-</v>
      </c>
      <c r="AC288" s="2" t="s">
        <v>26</v>
      </c>
      <c r="AD288" s="2" t="str">
        <f t="shared" si="350"/>
        <v>_</v>
      </c>
      <c r="AE288" s="2" t="s">
        <v>17</v>
      </c>
      <c r="AF288" s="2" t="str">
        <f t="shared" si="331"/>
        <v>_</v>
      </c>
      <c r="AG288" s="2" t="s">
        <v>24</v>
      </c>
      <c r="AH288" s="2" t="str">
        <f t="shared" si="351"/>
        <v>_</v>
      </c>
      <c r="AI288" s="28" t="s">
        <v>262</v>
      </c>
    </row>
    <row r="289" spans="1:35" x14ac:dyDescent="0.25">
      <c r="B289" s="2" t="str">
        <f t="shared" si="342"/>
        <v>@color-tertiary_line_bicycle_no</v>
      </c>
      <c r="C289" s="146" t="s">
        <v>231</v>
      </c>
      <c r="D289" s="134" t="s">
        <v>215</v>
      </c>
      <c r="F289" s="146" t="s">
        <v>231</v>
      </c>
      <c r="G289" s="134" t="s">
        <v>215</v>
      </c>
      <c r="I289" s="147" t="str">
        <f>C289</f>
        <v>"#ffcc8a"</v>
      </c>
      <c r="J289" s="136" t="str">
        <f>D289</f>
        <v>"#d6771e"</v>
      </c>
      <c r="L289" s="146" t="s">
        <v>231</v>
      </c>
      <c r="M289" s="134" t="s">
        <v>215</v>
      </c>
      <c r="U289" s="147" t="str">
        <f>C289</f>
        <v>"#ffcc8a"</v>
      </c>
      <c r="V289" s="136" t="str">
        <f>J289</f>
        <v>"#d6771e"</v>
      </c>
      <c r="AA289" s="28" t="s">
        <v>6</v>
      </c>
      <c r="AB289" s="2" t="str">
        <f t="shared" si="349"/>
        <v>-</v>
      </c>
      <c r="AC289" s="2" t="s">
        <v>26</v>
      </c>
      <c r="AD289" s="2" t="str">
        <f t="shared" si="350"/>
        <v>_</v>
      </c>
      <c r="AE289" s="28" t="s">
        <v>13</v>
      </c>
      <c r="AF289" s="2" t="str">
        <f t="shared" si="331"/>
        <v>_</v>
      </c>
      <c r="AG289" s="28" t="s">
        <v>23</v>
      </c>
      <c r="AH289" s="2" t="str">
        <f t="shared" si="351"/>
        <v/>
      </c>
    </row>
    <row r="290" spans="1:35" x14ac:dyDescent="0.25">
      <c r="B290" s="2" t="str">
        <f t="shared" si="342"/>
        <v>@color-tertiary_line_unpaved_default</v>
      </c>
      <c r="C290" s="144" t="s">
        <v>221</v>
      </c>
      <c r="D290" s="145" t="str">
        <f>C290</f>
        <v>"#eddfca"</v>
      </c>
      <c r="F290" s="144" t="s">
        <v>221</v>
      </c>
      <c r="G290" s="145" t="str">
        <f>F290</f>
        <v>"#eddfca"</v>
      </c>
      <c r="I290" s="144" t="s">
        <v>221</v>
      </c>
      <c r="J290" s="145" t="str">
        <f>I290</f>
        <v>"#eddfca"</v>
      </c>
      <c r="L290" s="144" t="s">
        <v>221</v>
      </c>
      <c r="M290" s="145" t="str">
        <f>L290</f>
        <v>"#eddfca"</v>
      </c>
      <c r="U290" s="44"/>
      <c r="V290" s="44"/>
      <c r="X290" s="44"/>
      <c r="Y290" s="44"/>
      <c r="AA290" s="2" t="s">
        <v>6</v>
      </c>
      <c r="AB290" s="2" t="str">
        <f t="shared" si="349"/>
        <v>-</v>
      </c>
      <c r="AC290" s="2" t="s">
        <v>26</v>
      </c>
      <c r="AD290" s="2" t="str">
        <f t="shared" si="350"/>
        <v>_</v>
      </c>
      <c r="AE290" s="2" t="s">
        <v>13</v>
      </c>
      <c r="AF290" s="2" t="str">
        <f t="shared" si="331"/>
        <v>_</v>
      </c>
      <c r="AG290" s="2" t="s">
        <v>21</v>
      </c>
      <c r="AH290" s="2" t="str">
        <f t="shared" si="351"/>
        <v>_</v>
      </c>
      <c r="AI290" s="28" t="s">
        <v>262</v>
      </c>
    </row>
    <row r="291" spans="1:35" x14ac:dyDescent="0.25">
      <c r="B291" s="2" t="str">
        <f t="shared" si="342"/>
        <v>@color-tertiary_line_paved_or_uk_default</v>
      </c>
      <c r="C291" s="71" t="s">
        <v>222</v>
      </c>
      <c r="D291" s="38" t="str">
        <f>C291</f>
        <v>"#ffffff"</v>
      </c>
      <c r="F291" s="71" t="s">
        <v>222</v>
      </c>
      <c r="G291" s="38" t="str">
        <f>F291</f>
        <v>"#ffffff"</v>
      </c>
      <c r="I291" s="71" t="s">
        <v>222</v>
      </c>
      <c r="J291" s="38" t="str">
        <f>I291</f>
        <v>"#ffffff"</v>
      </c>
      <c r="L291" s="71" t="s">
        <v>222</v>
      </c>
      <c r="M291" s="38" t="str">
        <f>L291</f>
        <v>"#ffffff"</v>
      </c>
      <c r="U291" s="44"/>
      <c r="V291" s="44"/>
      <c r="X291" s="44"/>
      <c r="Y291" s="44"/>
      <c r="AA291" s="2" t="s">
        <v>6</v>
      </c>
      <c r="AB291" s="2" t="str">
        <f t="shared" si="349"/>
        <v>-</v>
      </c>
      <c r="AC291" s="2" t="s">
        <v>26</v>
      </c>
      <c r="AD291" s="2" t="str">
        <f t="shared" si="350"/>
        <v>_</v>
      </c>
      <c r="AE291" s="2" t="s">
        <v>13</v>
      </c>
      <c r="AF291" s="2" t="str">
        <f t="shared" si="331"/>
        <v>_</v>
      </c>
      <c r="AG291" s="28" t="s">
        <v>24</v>
      </c>
      <c r="AH291" s="28" t="str">
        <f t="shared" si="351"/>
        <v>_</v>
      </c>
      <c r="AI291" s="28" t="s">
        <v>262</v>
      </c>
    </row>
    <row r="292" spans="1:35" x14ac:dyDescent="0.25">
      <c r="B292" s="2"/>
      <c r="C292" s="177"/>
      <c r="D292" s="178"/>
      <c r="E292" s="178"/>
      <c r="F292" s="177"/>
      <c r="G292" s="178"/>
      <c r="H292" s="178"/>
      <c r="I292" s="178"/>
      <c r="J292" s="178"/>
      <c r="K292" s="178"/>
      <c r="L292" s="177"/>
      <c r="M292" s="178"/>
      <c r="U292" s="176"/>
      <c r="V292" s="176"/>
      <c r="X292" s="176"/>
      <c r="Y292" s="176"/>
      <c r="AA292" s="2"/>
      <c r="AB292" s="2"/>
      <c r="AC292" s="2"/>
      <c r="AD292" s="2"/>
      <c r="AE292" s="2"/>
      <c r="AF292" s="2"/>
      <c r="AG292" s="2"/>
      <c r="AH292" s="2"/>
      <c r="AI292" s="2"/>
    </row>
    <row r="293" spans="1:35" x14ac:dyDescent="0.25">
      <c r="B293" s="2" t="str">
        <f t="shared" ref="B293:B296" si="355">_xlfn.CONCAT("@",AA293,AB293,AC293,AD293,AE293,AF293,AG293,AH293,AI293)</f>
        <v>@dasharray-tertiary_case_medium_dash</v>
      </c>
      <c r="C293" s="179" t="s">
        <v>341</v>
      </c>
      <c r="D293" s="179" t="s">
        <v>341</v>
      </c>
      <c r="E293" s="179"/>
      <c r="F293" s="179" t="s">
        <v>341</v>
      </c>
      <c r="G293" s="179" t="s">
        <v>341</v>
      </c>
      <c r="H293" s="179"/>
      <c r="I293" s="179" t="s">
        <v>92</v>
      </c>
      <c r="J293" s="179" t="s">
        <v>92</v>
      </c>
      <c r="K293" s="179"/>
      <c r="L293" s="179" t="s">
        <v>92</v>
      </c>
      <c r="M293" s="179" t="s">
        <v>92</v>
      </c>
      <c r="N293" s="180"/>
      <c r="U293" s="179" t="s">
        <v>341</v>
      </c>
      <c r="V293" s="179" t="s">
        <v>341</v>
      </c>
      <c r="W293" s="179"/>
      <c r="X293" s="179" t="s">
        <v>341</v>
      </c>
      <c r="Y293" s="179" t="s">
        <v>341</v>
      </c>
      <c r="AA293" s="2" t="s">
        <v>386</v>
      </c>
      <c r="AB293" s="2" t="str">
        <f t="shared" ref="AB293:AB296" si="356">IF(NOT(ISBLANK(AC293)),"-","")</f>
        <v>-</v>
      </c>
      <c r="AC293" s="2" t="s">
        <v>26</v>
      </c>
      <c r="AD293" s="2" t="str">
        <f t="shared" ref="AD293:AD296" si="357">IF(NOT(ISBLANK(AE293)),"_","")</f>
        <v>_</v>
      </c>
      <c r="AE293" s="2" t="s">
        <v>17</v>
      </c>
      <c r="AF293" s="2" t="str">
        <f t="shared" ref="AF293:AF296" si="358">IF(NOT(ISBLANK(AG293)),"_","")</f>
        <v>_</v>
      </c>
      <c r="AG293" s="2" t="s">
        <v>79</v>
      </c>
      <c r="AH293" s="2" t="str">
        <f t="shared" ref="AH293:AH296" si="359">IF(NOT(ISBLANK(AI293)),"_","")</f>
        <v>_</v>
      </c>
      <c r="AI293" s="2" t="s">
        <v>388</v>
      </c>
    </row>
    <row r="294" spans="1:35" x14ac:dyDescent="0.25">
      <c r="B294" s="2" t="str">
        <f t="shared" si="355"/>
        <v>@dasharray-tertiary_case_medium_gap</v>
      </c>
      <c r="C294" s="179" t="s">
        <v>390</v>
      </c>
      <c r="D294" s="179" t="s">
        <v>390</v>
      </c>
      <c r="E294" s="179"/>
      <c r="F294" s="179" t="s">
        <v>390</v>
      </c>
      <c r="G294" s="179" t="s">
        <v>390</v>
      </c>
      <c r="H294" s="179"/>
      <c r="I294" s="179" t="s">
        <v>96</v>
      </c>
      <c r="J294" s="179" t="s">
        <v>96</v>
      </c>
      <c r="K294" s="179"/>
      <c r="L294" s="179" t="s">
        <v>96</v>
      </c>
      <c r="M294" s="179" t="s">
        <v>96</v>
      </c>
      <c r="N294" s="180"/>
      <c r="U294" s="179" t="s">
        <v>390</v>
      </c>
      <c r="V294" s="179" t="s">
        <v>390</v>
      </c>
      <c r="W294" s="179"/>
      <c r="X294" s="179" t="s">
        <v>390</v>
      </c>
      <c r="Y294" s="179" t="s">
        <v>390</v>
      </c>
      <c r="AA294" s="2" t="s">
        <v>386</v>
      </c>
      <c r="AB294" s="2" t="str">
        <f t="shared" si="356"/>
        <v>-</v>
      </c>
      <c r="AC294" s="2" t="s">
        <v>26</v>
      </c>
      <c r="AD294" s="2" t="str">
        <f t="shared" si="357"/>
        <v>_</v>
      </c>
      <c r="AE294" s="2" t="s">
        <v>17</v>
      </c>
      <c r="AF294" s="2" t="str">
        <f t="shared" si="358"/>
        <v>_</v>
      </c>
      <c r="AG294" s="2" t="s">
        <v>79</v>
      </c>
      <c r="AH294" s="2" t="str">
        <f t="shared" si="359"/>
        <v>_</v>
      </c>
      <c r="AI294" s="2" t="s">
        <v>389</v>
      </c>
    </row>
    <row r="295" spans="1:35" x14ac:dyDescent="0.25">
      <c r="B295" s="2" t="str">
        <f t="shared" si="355"/>
        <v>@dasharray-tertiary_case_rough_dash</v>
      </c>
      <c r="C295" s="179" t="s">
        <v>341</v>
      </c>
      <c r="D295" s="179" t="s">
        <v>341</v>
      </c>
      <c r="E295" s="179"/>
      <c r="F295" s="179" t="s">
        <v>341</v>
      </c>
      <c r="G295" s="179" t="s">
        <v>341</v>
      </c>
      <c r="H295" s="179"/>
      <c r="I295" s="179" t="s">
        <v>97</v>
      </c>
      <c r="J295" s="179" t="s">
        <v>97</v>
      </c>
      <c r="K295" s="179"/>
      <c r="L295" s="179" t="s">
        <v>97</v>
      </c>
      <c r="M295" s="179" t="s">
        <v>97</v>
      </c>
      <c r="N295" s="180"/>
      <c r="U295" s="179" t="s">
        <v>341</v>
      </c>
      <c r="V295" s="179" t="s">
        <v>341</v>
      </c>
      <c r="W295" s="179"/>
      <c r="X295" s="179" t="s">
        <v>341</v>
      </c>
      <c r="Y295" s="179" t="s">
        <v>341</v>
      </c>
      <c r="AA295" s="2" t="s">
        <v>386</v>
      </c>
      <c r="AB295" s="2" t="str">
        <f t="shared" si="356"/>
        <v>-</v>
      </c>
      <c r="AC295" s="2" t="s">
        <v>26</v>
      </c>
      <c r="AD295" s="2" t="str">
        <f t="shared" si="357"/>
        <v>_</v>
      </c>
      <c r="AE295" s="2" t="s">
        <v>17</v>
      </c>
      <c r="AF295" s="2" t="str">
        <f t="shared" si="358"/>
        <v>_</v>
      </c>
      <c r="AG295" s="2" t="s">
        <v>387</v>
      </c>
      <c r="AH295" s="2" t="str">
        <f t="shared" si="359"/>
        <v>_</v>
      </c>
      <c r="AI295" s="2" t="s">
        <v>388</v>
      </c>
    </row>
    <row r="296" spans="1:35" x14ac:dyDescent="0.25">
      <c r="B296" s="2" t="str">
        <f t="shared" si="355"/>
        <v>@dasharray-tertiary_case_rough_gap</v>
      </c>
      <c r="C296" s="179" t="s">
        <v>390</v>
      </c>
      <c r="D296" s="179" t="s">
        <v>390</v>
      </c>
      <c r="E296" s="179"/>
      <c r="F296" s="179" t="s">
        <v>390</v>
      </c>
      <c r="G296" s="179" t="s">
        <v>390</v>
      </c>
      <c r="H296" s="179"/>
      <c r="I296" s="179" t="s">
        <v>96</v>
      </c>
      <c r="J296" s="179" t="s">
        <v>96</v>
      </c>
      <c r="K296" s="179"/>
      <c r="L296" s="179" t="s">
        <v>96</v>
      </c>
      <c r="M296" s="179" t="s">
        <v>96</v>
      </c>
      <c r="N296" s="180"/>
      <c r="U296" s="179" t="s">
        <v>390</v>
      </c>
      <c r="V296" s="179" t="s">
        <v>390</v>
      </c>
      <c r="W296" s="179"/>
      <c r="X296" s="179" t="s">
        <v>390</v>
      </c>
      <c r="Y296" s="179" t="s">
        <v>390</v>
      </c>
      <c r="AA296" s="2" t="s">
        <v>386</v>
      </c>
      <c r="AB296" s="2" t="str">
        <f t="shared" si="356"/>
        <v>-</v>
      </c>
      <c r="AC296" s="2" t="s">
        <v>26</v>
      </c>
      <c r="AD296" s="2" t="str">
        <f t="shared" si="357"/>
        <v>_</v>
      </c>
      <c r="AE296" s="2" t="s">
        <v>17</v>
      </c>
      <c r="AF296" s="2" t="str">
        <f t="shared" si="358"/>
        <v>_</v>
      </c>
      <c r="AG296" s="2" t="s">
        <v>387</v>
      </c>
      <c r="AH296" s="2" t="str">
        <f t="shared" si="359"/>
        <v>_</v>
      </c>
      <c r="AI296" s="2" t="s">
        <v>389</v>
      </c>
    </row>
    <row r="297" spans="1:35" x14ac:dyDescent="0.25">
      <c r="B297" s="2"/>
      <c r="AB297" s="28" t="str">
        <f t="shared" si="323"/>
        <v/>
      </c>
      <c r="AD297" s="28" t="str">
        <f t="shared" si="330"/>
        <v/>
      </c>
      <c r="AF297" s="28" t="str">
        <f t="shared" si="331"/>
        <v/>
      </c>
      <c r="AH297" s="28" t="str">
        <f t="shared" si="341"/>
        <v/>
      </c>
    </row>
    <row r="298" spans="1:35" s="2" customFormat="1" x14ac:dyDescent="0.25">
      <c r="A298" s="3" t="s">
        <v>223</v>
      </c>
      <c r="B298" s="3"/>
      <c r="C298" s="27"/>
      <c r="D298" s="6"/>
      <c r="E298" s="7"/>
      <c r="F298" s="6"/>
      <c r="G298" s="6"/>
      <c r="H298" s="7"/>
      <c r="I298" s="6"/>
      <c r="J298" s="6"/>
      <c r="K298" s="7"/>
      <c r="L298" s="6"/>
      <c r="M298" s="6"/>
      <c r="N298" s="7"/>
      <c r="O298" s="6"/>
      <c r="P298" s="6"/>
      <c r="Q298" s="7"/>
      <c r="R298" s="6"/>
      <c r="S298" s="6"/>
      <c r="T298" s="7"/>
      <c r="U298" s="6"/>
      <c r="V298" s="6"/>
      <c r="W298" s="7"/>
      <c r="X298" s="6"/>
      <c r="Y298" s="6"/>
      <c r="AA298" s="4"/>
      <c r="AB298" s="4" t="str">
        <f t="shared" si="323"/>
        <v/>
      </c>
      <c r="AC298" s="4"/>
      <c r="AD298" s="4" t="str">
        <f t="shared" si="330"/>
        <v/>
      </c>
      <c r="AE298" s="4"/>
      <c r="AF298" s="4" t="str">
        <f t="shared" si="331"/>
        <v/>
      </c>
      <c r="AG298" s="4"/>
      <c r="AH298" s="4" t="str">
        <f t="shared" si="341"/>
        <v/>
      </c>
      <c r="AI298" s="4"/>
    </row>
    <row r="299" spans="1:35" x14ac:dyDescent="0.25">
      <c r="B299" s="2"/>
      <c r="C299" s="26"/>
      <c r="D299" s="38"/>
      <c r="F299" s="71"/>
      <c r="G299" s="38"/>
      <c r="I299" s="38"/>
      <c r="J299" s="38"/>
      <c r="L299" s="71"/>
      <c r="M299" s="38"/>
      <c r="U299" s="176"/>
      <c r="V299" s="176"/>
      <c r="X299" s="176"/>
      <c r="Y299" s="176"/>
      <c r="AA299" s="2"/>
      <c r="AB299" s="2"/>
      <c r="AC299" s="2"/>
      <c r="AD299" s="2"/>
      <c r="AE299" s="2"/>
      <c r="AF299" s="2"/>
      <c r="AG299" s="2"/>
      <c r="AH299" s="2"/>
      <c r="AI299" s="2"/>
    </row>
    <row r="300" spans="1:35" x14ac:dyDescent="0.25">
      <c r="B300" s="2" t="str">
        <f t="shared" ref="B300:B301" si="360">_xlfn.CONCAT("@",AA300,AB300,AC300,AD300,AE300,AF300,AG300,AH300,AI300)</f>
        <v>@color-parking_aisle_line_unpaved</v>
      </c>
      <c r="C300" s="149" t="s">
        <v>232</v>
      </c>
      <c r="D300" s="140" t="s">
        <v>229</v>
      </c>
      <c r="F300" s="149" t="s">
        <v>232</v>
      </c>
      <c r="G300" s="139" t="s">
        <v>227</v>
      </c>
      <c r="I300" s="149" t="s">
        <v>232</v>
      </c>
      <c r="J300" s="140" t="s">
        <v>229</v>
      </c>
      <c r="L300" s="149" t="s">
        <v>232</v>
      </c>
      <c r="M300" s="139" t="s">
        <v>227</v>
      </c>
      <c r="U300" s="176"/>
      <c r="V300" s="176"/>
      <c r="X300" s="176"/>
      <c r="Y300" s="176"/>
      <c r="AA300" s="2" t="s">
        <v>6</v>
      </c>
      <c r="AB300" s="2" t="str">
        <f t="shared" ref="AB300:AB301" si="361">IF(NOT(ISBLANK(AC300)),"-","")</f>
        <v>-</v>
      </c>
      <c r="AC300" s="2" t="s">
        <v>392</v>
      </c>
      <c r="AD300" s="2" t="str">
        <f t="shared" ref="AD300:AD301" si="362">IF(NOT(ISBLANK(AE300)),"_","")</f>
        <v>_</v>
      </c>
      <c r="AE300" s="2" t="s">
        <v>13</v>
      </c>
      <c r="AF300" s="2" t="str">
        <f t="shared" ref="AF300:AF301" si="363">IF(NOT(ISBLANK(AG300)),"_","")</f>
        <v>_</v>
      </c>
      <c r="AG300" s="2" t="s">
        <v>21</v>
      </c>
      <c r="AH300" s="2" t="str">
        <f t="shared" ref="AH300:AH301" si="364">IF(NOT(ISBLANK(AI300)),"_","")</f>
        <v/>
      </c>
      <c r="AI300" s="2"/>
    </row>
    <row r="301" spans="1:35" x14ac:dyDescent="0.25">
      <c r="B301" s="2" t="str">
        <f t="shared" si="360"/>
        <v>@color-parking_aisle_line_paved_or_uk</v>
      </c>
      <c r="C301" s="152" t="s">
        <v>233</v>
      </c>
      <c r="D301" s="153" t="s">
        <v>234</v>
      </c>
      <c r="F301" s="152" t="s">
        <v>233</v>
      </c>
      <c r="G301" s="152" t="s">
        <v>233</v>
      </c>
      <c r="I301" s="152" t="s">
        <v>233</v>
      </c>
      <c r="J301" s="153" t="s">
        <v>234</v>
      </c>
      <c r="L301" s="152" t="s">
        <v>233</v>
      </c>
      <c r="M301" s="152" t="s">
        <v>233</v>
      </c>
      <c r="U301" s="176"/>
      <c r="V301" s="176"/>
      <c r="X301" s="176"/>
      <c r="Y301" s="176"/>
      <c r="AA301" s="2" t="s">
        <v>6</v>
      </c>
      <c r="AB301" s="2" t="str">
        <f t="shared" si="361"/>
        <v>-</v>
      </c>
      <c r="AC301" s="2" t="s">
        <v>392</v>
      </c>
      <c r="AD301" s="2" t="str">
        <f t="shared" si="362"/>
        <v>_</v>
      </c>
      <c r="AE301" s="2" t="s">
        <v>13</v>
      </c>
      <c r="AF301" s="2" t="str">
        <f t="shared" si="363"/>
        <v>_</v>
      </c>
      <c r="AG301" s="2" t="s">
        <v>24</v>
      </c>
      <c r="AH301" s="2" t="str">
        <f t="shared" si="364"/>
        <v/>
      </c>
      <c r="AI301" s="2"/>
    </row>
    <row r="302" spans="1:35" x14ac:dyDescent="0.25">
      <c r="B302" s="2"/>
      <c r="C302" s="26"/>
      <c r="D302" s="38"/>
      <c r="F302" s="71"/>
      <c r="G302" s="38"/>
      <c r="I302" s="38"/>
      <c r="J302" s="38"/>
      <c r="L302" s="71"/>
      <c r="M302" s="38"/>
      <c r="U302" s="176"/>
      <c r="V302" s="176"/>
      <c r="X302" s="176"/>
      <c r="Y302" s="176"/>
      <c r="AA302" s="2"/>
      <c r="AB302" s="2"/>
      <c r="AC302" s="2"/>
      <c r="AD302" s="2"/>
      <c r="AE302" s="2"/>
      <c r="AF302" s="2"/>
      <c r="AG302" s="2"/>
      <c r="AH302" s="2"/>
      <c r="AI302" s="2"/>
    </row>
    <row r="303" spans="1:35" x14ac:dyDescent="0.25">
      <c r="B303" s="2" t="str">
        <f t="shared" ref="B303:B308" si="365">_xlfn.CONCAT("@",AA303,AB303,AC303,AD303,AE303,AF303,AG303,AH303,AI303)</f>
        <v>@color-raceway_case_unpaved_farzoom</v>
      </c>
      <c r="C303" s="139" t="s">
        <v>227</v>
      </c>
      <c r="D303" s="140" t="s">
        <v>229</v>
      </c>
      <c r="F303" s="140" t="s">
        <v>229</v>
      </c>
      <c r="G303" s="139" t="s">
        <v>227</v>
      </c>
      <c r="I303" s="156" t="str">
        <f t="shared" ref="I303" si="366">C303</f>
        <v>"#b99346"</v>
      </c>
      <c r="J303" s="151" t="str">
        <f t="shared" ref="J303" si="367">D303</f>
        <v>"#644507"</v>
      </c>
      <c r="L303" s="140" t="s">
        <v>229</v>
      </c>
      <c r="M303" s="139" t="s">
        <v>227</v>
      </c>
      <c r="U303" s="44"/>
      <c r="V303" s="44"/>
      <c r="X303" s="44"/>
      <c r="Y303" s="44"/>
      <c r="AA303" s="2" t="s">
        <v>6</v>
      </c>
      <c r="AB303" s="2" t="str">
        <f t="shared" ref="AB303" si="368">IF(NOT(ISBLANK(AC303)),"-","")</f>
        <v>-</v>
      </c>
      <c r="AC303" s="2" t="s">
        <v>28</v>
      </c>
      <c r="AD303" s="2" t="str">
        <f t="shared" ref="AD303" si="369">IF(NOT(ISBLANK(AE303)),"_","")</f>
        <v>_</v>
      </c>
      <c r="AE303" s="2" t="s">
        <v>17</v>
      </c>
      <c r="AF303" s="2" t="str">
        <f t="shared" ref="AF303" si="370">IF(NOT(ISBLANK(AG303)),"_","")</f>
        <v>_</v>
      </c>
      <c r="AG303" s="2" t="s">
        <v>21</v>
      </c>
      <c r="AH303" s="2" t="str">
        <f t="shared" ref="AH303" si="371">IF(NOT(ISBLANK(AI303)),"_","")</f>
        <v>_</v>
      </c>
      <c r="AI303" s="28" t="s">
        <v>20</v>
      </c>
    </row>
    <row r="304" spans="1:35" x14ac:dyDescent="0.25">
      <c r="B304" s="2" t="str">
        <f t="shared" si="365"/>
        <v>@color-raceway_case_unpaved_default</v>
      </c>
      <c r="C304" s="149" t="s">
        <v>232</v>
      </c>
      <c r="D304" s="140" t="s">
        <v>229</v>
      </c>
      <c r="F304" s="72" t="s">
        <v>214</v>
      </c>
      <c r="G304" s="72" t="s">
        <v>214</v>
      </c>
      <c r="I304" s="150" t="str">
        <f>C304</f>
        <v>"#af9564"</v>
      </c>
      <c r="J304" s="151" t="str">
        <f>D304</f>
        <v>"#644507"</v>
      </c>
      <c r="L304" s="72" t="s">
        <v>214</v>
      </c>
      <c r="M304" s="72" t="s">
        <v>214</v>
      </c>
      <c r="U304" s="44"/>
      <c r="V304" s="44"/>
      <c r="X304" s="44"/>
      <c r="Y304" s="44"/>
      <c r="AA304" s="2" t="s">
        <v>6</v>
      </c>
      <c r="AB304" s="2" t="str">
        <f t="shared" ref="AB304:AB306" si="372">IF(NOT(ISBLANK(AC304)),"-","")</f>
        <v>-</v>
      </c>
      <c r="AC304" s="2" t="s">
        <v>28</v>
      </c>
      <c r="AD304" s="2" t="str">
        <f t="shared" ref="AD304:AD306" si="373">IF(NOT(ISBLANK(AE304)),"_","")</f>
        <v>_</v>
      </c>
      <c r="AE304" s="2" t="s">
        <v>17</v>
      </c>
      <c r="AF304" s="2" t="str">
        <f t="shared" ref="AF304:AF306" si="374">IF(NOT(ISBLANK(AG304)),"_","")</f>
        <v>_</v>
      </c>
      <c r="AG304" s="2" t="s">
        <v>21</v>
      </c>
      <c r="AH304" s="2" t="str">
        <f t="shared" si="341"/>
        <v>_</v>
      </c>
      <c r="AI304" s="2" t="s">
        <v>262</v>
      </c>
    </row>
    <row r="305" spans="2:35" x14ac:dyDescent="0.25">
      <c r="B305" s="2" t="str">
        <f t="shared" si="365"/>
        <v>@color-raceway_case_paved_or_uk_farzoom</v>
      </c>
      <c r="C305" s="142" t="s">
        <v>228</v>
      </c>
      <c r="D305" s="72" t="s">
        <v>214</v>
      </c>
      <c r="F305" s="142" t="s">
        <v>228</v>
      </c>
      <c r="G305" s="142" t="s">
        <v>228</v>
      </c>
      <c r="I305" s="157" t="str">
        <f t="shared" ref="I305" si="375">C305</f>
        <v>"#808080"</v>
      </c>
      <c r="J305" s="37" t="str">
        <f t="shared" ref="J305" si="376">D305</f>
        <v>"#000000"</v>
      </c>
      <c r="L305" s="142" t="s">
        <v>228</v>
      </c>
      <c r="M305" s="142" t="s">
        <v>228</v>
      </c>
      <c r="U305" s="44"/>
      <c r="V305" s="44"/>
      <c r="X305" s="44"/>
      <c r="Y305" s="44"/>
      <c r="AA305" s="2" t="s">
        <v>6</v>
      </c>
      <c r="AB305" s="2" t="str">
        <f t="shared" si="372"/>
        <v>-</v>
      </c>
      <c r="AC305" s="2" t="s">
        <v>28</v>
      </c>
      <c r="AD305" s="2" t="str">
        <f t="shared" si="373"/>
        <v>_</v>
      </c>
      <c r="AE305" s="2" t="s">
        <v>17</v>
      </c>
      <c r="AF305" s="2" t="str">
        <f t="shared" si="374"/>
        <v>_</v>
      </c>
      <c r="AG305" s="2" t="s">
        <v>24</v>
      </c>
      <c r="AH305" s="2" t="str">
        <f t="shared" ref="AH305" si="377">IF(NOT(ISBLANK(AI305)),"_","")</f>
        <v>_</v>
      </c>
      <c r="AI305" s="28" t="s">
        <v>20</v>
      </c>
    </row>
    <row r="306" spans="2:35" x14ac:dyDescent="0.25">
      <c r="B306" s="2" t="str">
        <f t="shared" si="365"/>
        <v>@color-raceway_case_paved_or_uk_default</v>
      </c>
      <c r="C306" s="152" t="s">
        <v>233</v>
      </c>
      <c r="D306" s="153" t="s">
        <v>234</v>
      </c>
      <c r="F306" s="72" t="s">
        <v>214</v>
      </c>
      <c r="G306" s="72" t="s">
        <v>214</v>
      </c>
      <c r="I306" s="154" t="str">
        <f>C306</f>
        <v>"#a8a6a4"</v>
      </c>
      <c r="J306" s="155" t="str">
        <f>D306</f>
        <v>"#4a4a4a"</v>
      </c>
      <c r="L306" s="72" t="s">
        <v>214</v>
      </c>
      <c r="M306" s="72" t="s">
        <v>214</v>
      </c>
      <c r="U306" s="44"/>
      <c r="V306" s="44"/>
      <c r="X306" s="44"/>
      <c r="Y306" s="44"/>
      <c r="AA306" s="2" t="s">
        <v>6</v>
      </c>
      <c r="AB306" s="2" t="str">
        <f t="shared" si="372"/>
        <v>-</v>
      </c>
      <c r="AC306" s="2" t="s">
        <v>28</v>
      </c>
      <c r="AD306" s="2" t="str">
        <f t="shared" si="373"/>
        <v>_</v>
      </c>
      <c r="AE306" s="2" t="s">
        <v>17</v>
      </c>
      <c r="AF306" s="2" t="str">
        <f t="shared" si="374"/>
        <v>_</v>
      </c>
      <c r="AG306" s="2" t="s">
        <v>24</v>
      </c>
      <c r="AH306" s="2" t="str">
        <f t="shared" si="341"/>
        <v>_</v>
      </c>
      <c r="AI306" s="2" t="s">
        <v>262</v>
      </c>
    </row>
    <row r="307" spans="2:35" x14ac:dyDescent="0.25">
      <c r="B307" s="2" t="str">
        <f t="shared" si="365"/>
        <v>@color-raceway_line_unpaved</v>
      </c>
      <c r="C307" s="144" t="s">
        <v>221</v>
      </c>
      <c r="D307" s="145" t="str">
        <f>C307</f>
        <v>"#eddfca"</v>
      </c>
      <c r="F307" s="144" t="s">
        <v>221</v>
      </c>
      <c r="G307" s="38" t="str">
        <f t="shared" ref="G307:G308" si="378">F307</f>
        <v>"#eddfca"</v>
      </c>
      <c r="I307" s="145" t="str">
        <f>C307</f>
        <v>"#eddfca"</v>
      </c>
      <c r="J307" s="145" t="str">
        <f>C307</f>
        <v>"#eddfca"</v>
      </c>
      <c r="L307" s="144" t="s">
        <v>221</v>
      </c>
      <c r="M307" s="38" t="str">
        <f t="shared" ref="M307:M308" si="379">L307</f>
        <v>"#eddfca"</v>
      </c>
      <c r="U307" s="44"/>
      <c r="V307" s="44"/>
      <c r="X307" s="44"/>
      <c r="Y307" s="44"/>
      <c r="AA307" s="2" t="s">
        <v>6</v>
      </c>
      <c r="AB307" s="2" t="str">
        <f t="shared" si="323"/>
        <v>-</v>
      </c>
      <c r="AC307" s="2" t="s">
        <v>28</v>
      </c>
      <c r="AD307" s="2" t="str">
        <f t="shared" si="330"/>
        <v>_</v>
      </c>
      <c r="AE307" s="2" t="s">
        <v>13</v>
      </c>
      <c r="AF307" s="2" t="str">
        <f t="shared" si="331"/>
        <v>_</v>
      </c>
      <c r="AG307" s="2" t="s">
        <v>21</v>
      </c>
      <c r="AH307" s="2" t="str">
        <f t="shared" si="341"/>
        <v/>
      </c>
      <c r="AI307" s="2"/>
    </row>
    <row r="308" spans="2:35" x14ac:dyDescent="0.25">
      <c r="B308" s="2" t="str">
        <f t="shared" si="365"/>
        <v>@color-raceway_line_paved_or_uk</v>
      </c>
      <c r="C308" s="26" t="s">
        <v>222</v>
      </c>
      <c r="D308" s="38" t="str">
        <f>C308</f>
        <v>"#ffffff"</v>
      </c>
      <c r="F308" s="71" t="s">
        <v>222</v>
      </c>
      <c r="G308" s="38" t="str">
        <f t="shared" si="378"/>
        <v>"#ffffff"</v>
      </c>
      <c r="I308" s="38" t="str">
        <f>C308</f>
        <v>"#ffffff"</v>
      </c>
      <c r="J308" s="38" t="str">
        <f>C308</f>
        <v>"#ffffff"</v>
      </c>
      <c r="L308" s="71" t="s">
        <v>222</v>
      </c>
      <c r="M308" s="38" t="str">
        <f t="shared" si="379"/>
        <v>"#ffffff"</v>
      </c>
      <c r="U308" s="44"/>
      <c r="V308" s="44"/>
      <c r="X308" s="44"/>
      <c r="Y308" s="44"/>
      <c r="AA308" s="2" t="s">
        <v>6</v>
      </c>
      <c r="AB308" s="2" t="str">
        <f t="shared" si="323"/>
        <v>-</v>
      </c>
      <c r="AC308" s="2" t="s">
        <v>28</v>
      </c>
      <c r="AD308" s="2" t="str">
        <f t="shared" si="330"/>
        <v>_</v>
      </c>
      <c r="AE308" s="2" t="s">
        <v>13</v>
      </c>
      <c r="AF308" s="2" t="str">
        <f t="shared" si="331"/>
        <v>_</v>
      </c>
      <c r="AG308" s="2" t="s">
        <v>24</v>
      </c>
      <c r="AH308" s="2" t="str">
        <f t="shared" si="341"/>
        <v/>
      </c>
      <c r="AI308" s="2"/>
    </row>
    <row r="309" spans="2:35" x14ac:dyDescent="0.25">
      <c r="B309" s="2"/>
      <c r="C309" s="177"/>
      <c r="D309" s="178"/>
      <c r="E309" s="178"/>
      <c r="F309" s="177"/>
      <c r="G309" s="178"/>
      <c r="H309" s="178"/>
      <c r="I309" s="178"/>
      <c r="J309" s="178"/>
      <c r="K309" s="178"/>
      <c r="L309" s="177"/>
      <c r="M309" s="178"/>
      <c r="N309" s="178"/>
      <c r="O309" s="178"/>
      <c r="P309" s="178"/>
      <c r="Q309" s="178"/>
      <c r="R309" s="178"/>
      <c r="U309" s="176"/>
      <c r="V309" s="176"/>
      <c r="X309" s="176"/>
      <c r="Y309" s="176"/>
      <c r="AA309" s="2"/>
      <c r="AB309" s="2"/>
      <c r="AC309" s="2"/>
      <c r="AD309" s="2"/>
      <c r="AE309" s="2"/>
      <c r="AF309" s="2"/>
      <c r="AG309" s="2"/>
      <c r="AH309" s="2"/>
      <c r="AI309" s="2"/>
    </row>
    <row r="310" spans="2:35" x14ac:dyDescent="0.25">
      <c r="B310" s="2" t="str">
        <f t="shared" ref="B310:B313" si="380">_xlfn.CONCAT("@",AA310,AB310,AC310,AD310,AE310,AF310,AG310,AH310,AI310)</f>
        <v>@dasharray-raceway_case_medium_dash</v>
      </c>
      <c r="C310" s="179" t="s">
        <v>341</v>
      </c>
      <c r="D310" s="179" t="s">
        <v>341</v>
      </c>
      <c r="E310" s="179"/>
      <c r="F310" s="179" t="s">
        <v>341</v>
      </c>
      <c r="G310" s="179" t="s">
        <v>341</v>
      </c>
      <c r="H310" s="179"/>
      <c r="I310" s="179" t="s">
        <v>92</v>
      </c>
      <c r="J310" s="179" t="s">
        <v>92</v>
      </c>
      <c r="K310" s="179"/>
      <c r="L310" s="179" t="s">
        <v>92</v>
      </c>
      <c r="M310" s="179" t="s">
        <v>92</v>
      </c>
      <c r="N310" s="180"/>
      <c r="U310" s="179" t="s">
        <v>341</v>
      </c>
      <c r="V310" s="179" t="s">
        <v>341</v>
      </c>
      <c r="W310" s="179"/>
      <c r="X310" s="179" t="s">
        <v>341</v>
      </c>
      <c r="Y310" s="179" t="s">
        <v>341</v>
      </c>
      <c r="AA310" s="2" t="s">
        <v>386</v>
      </c>
      <c r="AB310" s="2" t="str">
        <f t="shared" ref="AB310:AB313" si="381">IF(NOT(ISBLANK(AC310)),"-","")</f>
        <v>-</v>
      </c>
      <c r="AC310" s="2" t="s">
        <v>28</v>
      </c>
      <c r="AD310" s="2" t="str">
        <f t="shared" ref="AD310:AD313" si="382">IF(NOT(ISBLANK(AE310)),"_","")</f>
        <v>_</v>
      </c>
      <c r="AE310" s="2" t="s">
        <v>17</v>
      </c>
      <c r="AF310" s="2" t="str">
        <f t="shared" ref="AF310:AF313" si="383">IF(NOT(ISBLANK(AG310)),"_","")</f>
        <v>_</v>
      </c>
      <c r="AG310" s="2" t="s">
        <v>79</v>
      </c>
      <c r="AH310" s="2" t="str">
        <f t="shared" ref="AH310:AH313" si="384">IF(NOT(ISBLANK(AI310)),"_","")</f>
        <v>_</v>
      </c>
      <c r="AI310" s="2" t="s">
        <v>388</v>
      </c>
    </row>
    <row r="311" spans="2:35" x14ac:dyDescent="0.25">
      <c r="B311" s="2" t="str">
        <f t="shared" si="380"/>
        <v>@dasharray-raceway_case_medium_gap</v>
      </c>
      <c r="C311" s="179" t="s">
        <v>390</v>
      </c>
      <c r="D311" s="179" t="s">
        <v>390</v>
      </c>
      <c r="E311" s="179"/>
      <c r="F311" s="179" t="s">
        <v>390</v>
      </c>
      <c r="G311" s="179" t="s">
        <v>390</v>
      </c>
      <c r="H311" s="179"/>
      <c r="I311" s="179" t="s">
        <v>96</v>
      </c>
      <c r="J311" s="179" t="s">
        <v>96</v>
      </c>
      <c r="K311" s="179"/>
      <c r="L311" s="179" t="s">
        <v>96</v>
      </c>
      <c r="M311" s="179" t="s">
        <v>96</v>
      </c>
      <c r="N311" s="180"/>
      <c r="U311" s="179" t="s">
        <v>390</v>
      </c>
      <c r="V311" s="179" t="s">
        <v>390</v>
      </c>
      <c r="W311" s="179"/>
      <c r="X311" s="179" t="s">
        <v>390</v>
      </c>
      <c r="Y311" s="179" t="s">
        <v>390</v>
      </c>
      <c r="AA311" s="2" t="s">
        <v>386</v>
      </c>
      <c r="AB311" s="2" t="str">
        <f t="shared" si="381"/>
        <v>-</v>
      </c>
      <c r="AC311" s="2" t="s">
        <v>28</v>
      </c>
      <c r="AD311" s="2" t="str">
        <f t="shared" si="382"/>
        <v>_</v>
      </c>
      <c r="AE311" s="2" t="s">
        <v>17</v>
      </c>
      <c r="AF311" s="2" t="str">
        <f t="shared" si="383"/>
        <v>_</v>
      </c>
      <c r="AG311" s="2" t="s">
        <v>79</v>
      </c>
      <c r="AH311" s="2" t="str">
        <f t="shared" si="384"/>
        <v>_</v>
      </c>
      <c r="AI311" s="2" t="s">
        <v>389</v>
      </c>
    </row>
    <row r="312" spans="2:35" x14ac:dyDescent="0.25">
      <c r="B312" s="2" t="str">
        <f t="shared" si="380"/>
        <v>@dasharray-raceway_case_rough_dash</v>
      </c>
      <c r="C312" s="179" t="s">
        <v>341</v>
      </c>
      <c r="D312" s="179" t="s">
        <v>341</v>
      </c>
      <c r="E312" s="179"/>
      <c r="F312" s="179" t="s">
        <v>341</v>
      </c>
      <c r="G312" s="179" t="s">
        <v>341</v>
      </c>
      <c r="H312" s="179"/>
      <c r="I312" s="179" t="s">
        <v>97</v>
      </c>
      <c r="J312" s="179" t="s">
        <v>97</v>
      </c>
      <c r="K312" s="179"/>
      <c r="L312" s="179" t="s">
        <v>97</v>
      </c>
      <c r="M312" s="179" t="s">
        <v>97</v>
      </c>
      <c r="N312" s="180"/>
      <c r="U312" s="179" t="s">
        <v>341</v>
      </c>
      <c r="V312" s="179" t="s">
        <v>341</v>
      </c>
      <c r="W312" s="179"/>
      <c r="X312" s="179" t="s">
        <v>341</v>
      </c>
      <c r="Y312" s="179" t="s">
        <v>341</v>
      </c>
      <c r="AA312" s="2" t="s">
        <v>386</v>
      </c>
      <c r="AB312" s="2" t="str">
        <f t="shared" si="381"/>
        <v>-</v>
      </c>
      <c r="AC312" s="2" t="s">
        <v>28</v>
      </c>
      <c r="AD312" s="2" t="str">
        <f t="shared" si="382"/>
        <v>_</v>
      </c>
      <c r="AE312" s="2" t="s">
        <v>17</v>
      </c>
      <c r="AF312" s="2" t="str">
        <f t="shared" si="383"/>
        <v>_</v>
      </c>
      <c r="AG312" s="2" t="s">
        <v>387</v>
      </c>
      <c r="AH312" s="2" t="str">
        <f t="shared" si="384"/>
        <v>_</v>
      </c>
      <c r="AI312" s="2" t="s">
        <v>388</v>
      </c>
    </row>
    <row r="313" spans="2:35" x14ac:dyDescent="0.25">
      <c r="B313" s="2" t="str">
        <f t="shared" si="380"/>
        <v>@dasharray-raceway_case_rough_gap</v>
      </c>
      <c r="C313" s="179" t="s">
        <v>390</v>
      </c>
      <c r="D313" s="179" t="s">
        <v>390</v>
      </c>
      <c r="E313" s="179"/>
      <c r="F313" s="179" t="s">
        <v>390</v>
      </c>
      <c r="G313" s="179" t="s">
        <v>390</v>
      </c>
      <c r="H313" s="179"/>
      <c r="I313" s="179" t="s">
        <v>96</v>
      </c>
      <c r="J313" s="179" t="s">
        <v>96</v>
      </c>
      <c r="K313" s="179"/>
      <c r="L313" s="179" t="s">
        <v>96</v>
      </c>
      <c r="M313" s="179" t="s">
        <v>96</v>
      </c>
      <c r="N313" s="180"/>
      <c r="U313" s="179" t="s">
        <v>390</v>
      </c>
      <c r="V313" s="179" t="s">
        <v>390</v>
      </c>
      <c r="W313" s="179"/>
      <c r="X313" s="179" t="s">
        <v>390</v>
      </c>
      <c r="Y313" s="179" t="s">
        <v>390</v>
      </c>
      <c r="AA313" s="2" t="s">
        <v>386</v>
      </c>
      <c r="AB313" s="2" t="str">
        <f t="shared" si="381"/>
        <v>-</v>
      </c>
      <c r="AC313" s="2" t="s">
        <v>28</v>
      </c>
      <c r="AD313" s="2" t="str">
        <f t="shared" si="382"/>
        <v>_</v>
      </c>
      <c r="AE313" s="2" t="s">
        <v>17</v>
      </c>
      <c r="AF313" s="2" t="str">
        <f t="shared" si="383"/>
        <v>_</v>
      </c>
      <c r="AG313" s="2" t="s">
        <v>387</v>
      </c>
      <c r="AH313" s="2" t="str">
        <f t="shared" si="384"/>
        <v>_</v>
      </c>
      <c r="AI313" s="2" t="s">
        <v>389</v>
      </c>
    </row>
    <row r="314" spans="2:35" x14ac:dyDescent="0.25">
      <c r="B314" s="2"/>
      <c r="C314" s="177"/>
      <c r="D314" s="178"/>
      <c r="E314" s="178"/>
      <c r="F314" s="177"/>
      <c r="G314" s="178"/>
      <c r="H314" s="178"/>
      <c r="I314" s="178"/>
      <c r="J314" s="178"/>
      <c r="K314" s="178"/>
      <c r="L314" s="177"/>
      <c r="M314" s="178"/>
      <c r="U314" s="176"/>
      <c r="V314" s="176"/>
      <c r="X314" s="176"/>
      <c r="Y314" s="176"/>
      <c r="AA314" s="2"/>
      <c r="AB314" s="2"/>
      <c r="AC314" s="2"/>
      <c r="AD314" s="2"/>
      <c r="AE314" s="2"/>
      <c r="AF314" s="2"/>
      <c r="AG314" s="2"/>
      <c r="AH314" s="2"/>
      <c r="AI314" s="2"/>
    </row>
    <row r="315" spans="2:35" x14ac:dyDescent="0.25">
      <c r="B315" s="2"/>
      <c r="C315" s="178"/>
      <c r="D315" s="178"/>
      <c r="E315" s="178"/>
      <c r="F315" s="178"/>
      <c r="G315" s="178"/>
      <c r="H315" s="178"/>
      <c r="I315" s="178"/>
      <c r="J315" s="178"/>
      <c r="K315" s="178"/>
      <c r="L315" s="178"/>
      <c r="M315" s="178"/>
      <c r="AB315" s="28" t="str">
        <f t="shared" si="323"/>
        <v/>
      </c>
      <c r="AD315" s="28" t="str">
        <f t="shared" si="330"/>
        <v/>
      </c>
      <c r="AF315" s="28" t="str">
        <f t="shared" si="331"/>
        <v/>
      </c>
      <c r="AH315" s="28" t="str">
        <f t="shared" si="341"/>
        <v/>
      </c>
    </row>
    <row r="316" spans="2:35" x14ac:dyDescent="0.25">
      <c r="B316" s="2" t="str">
        <f t="shared" ref="B316:B321" si="385">_xlfn.CONCAT("@",AA316,AB316,AC316,AD316,AE316,AF316,AG316,AH316,AI316)</f>
        <v>@color-driveway_case_unpaved_farzoom</v>
      </c>
      <c r="C316" s="139" t="s">
        <v>227</v>
      </c>
      <c r="D316" s="140" t="s">
        <v>229</v>
      </c>
      <c r="F316" s="140" t="s">
        <v>229</v>
      </c>
      <c r="G316" s="139" t="s">
        <v>227</v>
      </c>
      <c r="I316" s="156" t="str">
        <f t="shared" ref="I316:J319" si="386">C316</f>
        <v>"#b99346"</v>
      </c>
      <c r="J316" s="151" t="str">
        <f t="shared" si="386"/>
        <v>"#644507"</v>
      </c>
      <c r="L316" s="140" t="s">
        <v>229</v>
      </c>
      <c r="M316" s="139" t="s">
        <v>227</v>
      </c>
      <c r="U316" s="44"/>
      <c r="V316" s="44"/>
      <c r="X316" s="44"/>
      <c r="Y316" s="44"/>
      <c r="AA316" s="2" t="s">
        <v>6</v>
      </c>
      <c r="AB316" s="2" t="str">
        <f t="shared" si="323"/>
        <v>-</v>
      </c>
      <c r="AC316" s="2" t="s">
        <v>29</v>
      </c>
      <c r="AD316" s="2" t="str">
        <f t="shared" si="330"/>
        <v>_</v>
      </c>
      <c r="AE316" s="2" t="s">
        <v>17</v>
      </c>
      <c r="AF316" s="2" t="str">
        <f t="shared" si="331"/>
        <v>_</v>
      </c>
      <c r="AG316" s="2" t="s">
        <v>21</v>
      </c>
      <c r="AH316" s="2" t="str">
        <f t="shared" si="341"/>
        <v>_</v>
      </c>
      <c r="AI316" s="28" t="s">
        <v>20</v>
      </c>
    </row>
    <row r="317" spans="2:35" x14ac:dyDescent="0.25">
      <c r="B317" s="2" t="str">
        <f t="shared" si="385"/>
        <v>@color-driveway_case_unpaved_default</v>
      </c>
      <c r="C317" s="140" t="s">
        <v>229</v>
      </c>
      <c r="D317" s="140" t="s">
        <v>229</v>
      </c>
      <c r="F317" s="72" t="s">
        <v>214</v>
      </c>
      <c r="G317" s="72" t="s">
        <v>214</v>
      </c>
      <c r="I317" s="151" t="str">
        <f t="shared" si="386"/>
        <v>"#644507"</v>
      </c>
      <c r="J317" s="151" t="str">
        <f t="shared" si="386"/>
        <v>"#644507"</v>
      </c>
      <c r="L317" s="72" t="s">
        <v>214</v>
      </c>
      <c r="M317" s="72" t="s">
        <v>214</v>
      </c>
      <c r="U317" s="44"/>
      <c r="V317" s="44"/>
      <c r="X317" s="44"/>
      <c r="Y317" s="44"/>
      <c r="AA317" s="2" t="s">
        <v>6</v>
      </c>
      <c r="AB317" s="2" t="str">
        <f t="shared" si="323"/>
        <v>-</v>
      </c>
      <c r="AC317" s="2" t="s">
        <v>29</v>
      </c>
      <c r="AD317" s="2" t="str">
        <f t="shared" si="330"/>
        <v>_</v>
      </c>
      <c r="AE317" s="2" t="s">
        <v>17</v>
      </c>
      <c r="AF317" s="2" t="str">
        <f t="shared" si="331"/>
        <v>_</v>
      </c>
      <c r="AG317" s="2" t="s">
        <v>21</v>
      </c>
      <c r="AH317" s="2" t="str">
        <f t="shared" si="341"/>
        <v>_</v>
      </c>
      <c r="AI317" s="2" t="s">
        <v>262</v>
      </c>
    </row>
    <row r="318" spans="2:35" x14ac:dyDescent="0.25">
      <c r="B318" s="2" t="str">
        <f t="shared" si="385"/>
        <v>@color-driveway_case_paved_or_uk_farzoom</v>
      </c>
      <c r="C318" s="142" t="s">
        <v>228</v>
      </c>
      <c r="D318" s="72" t="s">
        <v>214</v>
      </c>
      <c r="F318" s="142" t="s">
        <v>228</v>
      </c>
      <c r="G318" s="142" t="s">
        <v>228</v>
      </c>
      <c r="I318" s="157" t="str">
        <f t="shared" si="386"/>
        <v>"#808080"</v>
      </c>
      <c r="J318" s="37" t="str">
        <f t="shared" si="386"/>
        <v>"#000000"</v>
      </c>
      <c r="L318" s="142" t="s">
        <v>228</v>
      </c>
      <c r="M318" s="142" t="s">
        <v>228</v>
      </c>
      <c r="U318" s="44"/>
      <c r="V318" s="44"/>
      <c r="X318" s="44"/>
      <c r="Y318" s="44"/>
      <c r="AA318" s="2" t="s">
        <v>6</v>
      </c>
      <c r="AB318" s="2" t="str">
        <f t="shared" si="323"/>
        <v>-</v>
      </c>
      <c r="AC318" s="2" t="s">
        <v>29</v>
      </c>
      <c r="AD318" s="2" t="str">
        <f t="shared" si="330"/>
        <v>_</v>
      </c>
      <c r="AE318" s="2" t="s">
        <v>17</v>
      </c>
      <c r="AF318" s="2" t="str">
        <f t="shared" si="331"/>
        <v>_</v>
      </c>
      <c r="AG318" s="2" t="s">
        <v>24</v>
      </c>
      <c r="AH318" s="2" t="str">
        <f t="shared" si="341"/>
        <v>_</v>
      </c>
      <c r="AI318" s="28" t="s">
        <v>20</v>
      </c>
    </row>
    <row r="319" spans="2:35" x14ac:dyDescent="0.25">
      <c r="B319" s="2" t="str">
        <f t="shared" si="385"/>
        <v>@color-driveway_case_paved_or_uk_default</v>
      </c>
      <c r="C319" s="143" t="s">
        <v>218</v>
      </c>
      <c r="D319" s="72" t="s">
        <v>214</v>
      </c>
      <c r="F319" s="72" t="s">
        <v>214</v>
      </c>
      <c r="G319" s="72" t="s">
        <v>214</v>
      </c>
      <c r="I319" s="158" t="str">
        <f t="shared" si="386"/>
        <v>"#404040"</v>
      </c>
      <c r="J319" s="37" t="str">
        <f t="shared" si="386"/>
        <v>"#000000"</v>
      </c>
      <c r="L319" s="72" t="s">
        <v>214</v>
      </c>
      <c r="M319" s="72" t="s">
        <v>214</v>
      </c>
      <c r="Q319" s="7"/>
      <c r="U319" s="44"/>
      <c r="V319" s="44"/>
      <c r="X319" s="44"/>
      <c r="Y319" s="44"/>
      <c r="AA319" s="2" t="s">
        <v>6</v>
      </c>
      <c r="AB319" s="2" t="str">
        <f t="shared" si="323"/>
        <v>-</v>
      </c>
      <c r="AC319" s="2" t="s">
        <v>29</v>
      </c>
      <c r="AD319" s="2" t="str">
        <f t="shared" si="330"/>
        <v>_</v>
      </c>
      <c r="AE319" s="2" t="s">
        <v>17</v>
      </c>
      <c r="AF319" s="2" t="str">
        <f t="shared" si="331"/>
        <v>_</v>
      </c>
      <c r="AG319" s="2" t="s">
        <v>24</v>
      </c>
      <c r="AH319" s="2" t="str">
        <f t="shared" si="341"/>
        <v>_</v>
      </c>
      <c r="AI319" s="2" t="s">
        <v>262</v>
      </c>
    </row>
    <row r="320" spans="2:35" x14ac:dyDescent="0.25">
      <c r="B320" s="2" t="str">
        <f t="shared" si="385"/>
        <v>@color-driveway_line_unpaved</v>
      </c>
      <c r="C320" s="144" t="s">
        <v>221</v>
      </c>
      <c r="D320" s="38" t="str">
        <f t="shared" ref="D320:D321" si="387">C320</f>
        <v>"#eddfca"</v>
      </c>
      <c r="F320" s="144" t="s">
        <v>221</v>
      </c>
      <c r="G320" s="38" t="str">
        <f t="shared" ref="G320:G321" si="388">F320</f>
        <v>"#eddfca"</v>
      </c>
      <c r="I320" s="144" t="s">
        <v>221</v>
      </c>
      <c r="J320" s="38" t="str">
        <f t="shared" ref="J320:J321" si="389">I320</f>
        <v>"#eddfca"</v>
      </c>
      <c r="L320" s="144" t="s">
        <v>221</v>
      </c>
      <c r="M320" s="38" t="str">
        <f t="shared" ref="M320:M321" si="390">L320</f>
        <v>"#eddfca"</v>
      </c>
      <c r="U320" s="44"/>
      <c r="V320" s="44"/>
      <c r="X320" s="44"/>
      <c r="Y320" s="44"/>
      <c r="AA320" s="2" t="s">
        <v>6</v>
      </c>
      <c r="AB320" s="2" t="str">
        <f t="shared" si="323"/>
        <v>-</v>
      </c>
      <c r="AC320" s="2" t="s">
        <v>29</v>
      </c>
      <c r="AD320" s="2" t="str">
        <f t="shared" si="330"/>
        <v>_</v>
      </c>
      <c r="AE320" s="2" t="s">
        <v>13</v>
      </c>
      <c r="AF320" s="2" t="str">
        <f t="shared" si="331"/>
        <v>_</v>
      </c>
      <c r="AG320" s="2" t="s">
        <v>21</v>
      </c>
      <c r="AH320" s="2" t="str">
        <f t="shared" si="341"/>
        <v/>
      </c>
      <c r="AI320" s="2"/>
    </row>
    <row r="321" spans="2:35" x14ac:dyDescent="0.25">
      <c r="B321" s="2" t="str">
        <f t="shared" si="385"/>
        <v>@color-driveway_line_paved_or_uk</v>
      </c>
      <c r="C321" s="71" t="s">
        <v>222</v>
      </c>
      <c r="D321" s="38" t="str">
        <f t="shared" si="387"/>
        <v>"#ffffff"</v>
      </c>
      <c r="F321" s="71" t="s">
        <v>222</v>
      </c>
      <c r="G321" s="38" t="str">
        <f t="shared" si="388"/>
        <v>"#ffffff"</v>
      </c>
      <c r="I321" s="71" t="s">
        <v>222</v>
      </c>
      <c r="J321" s="38" t="str">
        <f t="shared" si="389"/>
        <v>"#ffffff"</v>
      </c>
      <c r="L321" s="71" t="s">
        <v>222</v>
      </c>
      <c r="M321" s="38" t="str">
        <f t="shared" si="390"/>
        <v>"#ffffff"</v>
      </c>
      <c r="U321" s="44"/>
      <c r="V321" s="44"/>
      <c r="X321" s="44"/>
      <c r="Y321" s="44"/>
      <c r="AA321" s="2" t="s">
        <v>6</v>
      </c>
      <c r="AB321" s="2" t="str">
        <f t="shared" si="323"/>
        <v>-</v>
      </c>
      <c r="AC321" s="2" t="s">
        <v>29</v>
      </c>
      <c r="AD321" s="2" t="str">
        <f t="shared" si="330"/>
        <v>_</v>
      </c>
      <c r="AE321" s="2" t="s">
        <v>13</v>
      </c>
      <c r="AF321" s="2" t="str">
        <f t="shared" si="331"/>
        <v>_</v>
      </c>
      <c r="AG321" s="2" t="s">
        <v>24</v>
      </c>
      <c r="AH321" s="2" t="str">
        <f t="shared" si="341"/>
        <v/>
      </c>
      <c r="AI321" s="2"/>
    </row>
    <row r="322" spans="2:35" x14ac:dyDescent="0.25">
      <c r="B322" s="2"/>
      <c r="C322" s="177"/>
      <c r="D322" s="178"/>
      <c r="E322" s="178"/>
      <c r="F322" s="177"/>
      <c r="G322" s="178"/>
      <c r="H322" s="178"/>
      <c r="I322" s="178"/>
      <c r="J322" s="178"/>
      <c r="K322" s="178"/>
      <c r="L322" s="177"/>
      <c r="M322" s="178"/>
      <c r="U322" s="176"/>
      <c r="V322" s="176"/>
      <c r="X322" s="176"/>
      <c r="Y322" s="176"/>
      <c r="AA322" s="2"/>
      <c r="AB322" s="2"/>
      <c r="AC322" s="2"/>
      <c r="AD322" s="2"/>
      <c r="AE322" s="2"/>
      <c r="AF322" s="2"/>
      <c r="AG322" s="2"/>
      <c r="AH322" s="2"/>
      <c r="AI322" s="2"/>
    </row>
    <row r="323" spans="2:35" x14ac:dyDescent="0.25">
      <c r="B323" s="2" t="str">
        <f t="shared" ref="B323:B326" si="391">_xlfn.CONCAT("@",AA323,AB323,AC323,AD323,AE323,AF323,AG323,AH323,AI323)</f>
        <v>@dasharray-driveway_case_medium_dash</v>
      </c>
      <c r="C323" s="179" t="s">
        <v>341</v>
      </c>
      <c r="D323" s="179" t="s">
        <v>341</v>
      </c>
      <c r="E323" s="179"/>
      <c r="F323" s="179" t="s">
        <v>341</v>
      </c>
      <c r="G323" s="179" t="s">
        <v>341</v>
      </c>
      <c r="H323" s="179"/>
      <c r="I323" s="179" t="s">
        <v>92</v>
      </c>
      <c r="J323" s="179" t="s">
        <v>92</v>
      </c>
      <c r="K323" s="179"/>
      <c r="L323" s="179" t="s">
        <v>92</v>
      </c>
      <c r="M323" s="179" t="s">
        <v>92</v>
      </c>
      <c r="N323" s="180"/>
      <c r="U323" s="179" t="s">
        <v>341</v>
      </c>
      <c r="V323" s="179" t="s">
        <v>341</v>
      </c>
      <c r="W323" s="179"/>
      <c r="X323" s="179" t="s">
        <v>341</v>
      </c>
      <c r="Y323" s="179" t="s">
        <v>341</v>
      </c>
      <c r="AA323" s="2" t="s">
        <v>386</v>
      </c>
      <c r="AB323" s="2" t="str">
        <f t="shared" ref="AB323:AB326" si="392">IF(NOT(ISBLANK(AC323)),"-","")</f>
        <v>-</v>
      </c>
      <c r="AC323" s="2" t="s">
        <v>29</v>
      </c>
      <c r="AD323" s="2" t="str">
        <f t="shared" ref="AD323:AD326" si="393">IF(NOT(ISBLANK(AE323)),"_","")</f>
        <v>_</v>
      </c>
      <c r="AE323" s="2" t="s">
        <v>17</v>
      </c>
      <c r="AF323" s="2" t="str">
        <f t="shared" ref="AF323:AF326" si="394">IF(NOT(ISBLANK(AG323)),"_","")</f>
        <v>_</v>
      </c>
      <c r="AG323" s="2" t="s">
        <v>79</v>
      </c>
      <c r="AH323" s="2" t="str">
        <f t="shared" ref="AH323:AH326" si="395">IF(NOT(ISBLANK(AI323)),"_","")</f>
        <v>_</v>
      </c>
      <c r="AI323" s="2" t="s">
        <v>388</v>
      </c>
    </row>
    <row r="324" spans="2:35" x14ac:dyDescent="0.25">
      <c r="B324" s="2" t="str">
        <f t="shared" si="391"/>
        <v>@dasharray-driveway_case_medium_gap</v>
      </c>
      <c r="C324" s="179" t="s">
        <v>390</v>
      </c>
      <c r="D324" s="179" t="s">
        <v>390</v>
      </c>
      <c r="E324" s="179"/>
      <c r="F324" s="179" t="s">
        <v>390</v>
      </c>
      <c r="G324" s="179" t="s">
        <v>390</v>
      </c>
      <c r="H324" s="179"/>
      <c r="I324" s="179" t="s">
        <v>96</v>
      </c>
      <c r="J324" s="179" t="s">
        <v>96</v>
      </c>
      <c r="K324" s="179"/>
      <c r="L324" s="179" t="s">
        <v>96</v>
      </c>
      <c r="M324" s="179" t="s">
        <v>96</v>
      </c>
      <c r="N324" s="180"/>
      <c r="U324" s="179" t="s">
        <v>390</v>
      </c>
      <c r="V324" s="179" t="s">
        <v>390</v>
      </c>
      <c r="W324" s="179"/>
      <c r="X324" s="179" t="s">
        <v>390</v>
      </c>
      <c r="Y324" s="179" t="s">
        <v>390</v>
      </c>
      <c r="AA324" s="2" t="s">
        <v>386</v>
      </c>
      <c r="AB324" s="2" t="str">
        <f t="shared" si="392"/>
        <v>-</v>
      </c>
      <c r="AC324" s="2" t="s">
        <v>29</v>
      </c>
      <c r="AD324" s="2" t="str">
        <f t="shared" si="393"/>
        <v>_</v>
      </c>
      <c r="AE324" s="2" t="s">
        <v>17</v>
      </c>
      <c r="AF324" s="2" t="str">
        <f t="shared" si="394"/>
        <v>_</v>
      </c>
      <c r="AG324" s="2" t="s">
        <v>79</v>
      </c>
      <c r="AH324" s="2" t="str">
        <f t="shared" si="395"/>
        <v>_</v>
      </c>
      <c r="AI324" s="2" t="s">
        <v>389</v>
      </c>
    </row>
    <row r="325" spans="2:35" x14ac:dyDescent="0.25">
      <c r="B325" s="2" t="str">
        <f t="shared" si="391"/>
        <v>@dasharray-driveway_case_rough_dash</v>
      </c>
      <c r="C325" s="179" t="s">
        <v>341</v>
      </c>
      <c r="D325" s="179" t="s">
        <v>341</v>
      </c>
      <c r="E325" s="179"/>
      <c r="F325" s="179" t="s">
        <v>341</v>
      </c>
      <c r="G325" s="179" t="s">
        <v>341</v>
      </c>
      <c r="H325" s="179"/>
      <c r="I325" s="179" t="s">
        <v>97</v>
      </c>
      <c r="J325" s="179" t="s">
        <v>97</v>
      </c>
      <c r="K325" s="179"/>
      <c r="L325" s="179" t="s">
        <v>97</v>
      </c>
      <c r="M325" s="179" t="s">
        <v>97</v>
      </c>
      <c r="N325" s="180"/>
      <c r="U325" s="179" t="s">
        <v>341</v>
      </c>
      <c r="V325" s="179" t="s">
        <v>341</v>
      </c>
      <c r="W325" s="179"/>
      <c r="X325" s="179" t="s">
        <v>341</v>
      </c>
      <c r="Y325" s="179" t="s">
        <v>341</v>
      </c>
      <c r="AA325" s="2" t="s">
        <v>386</v>
      </c>
      <c r="AB325" s="2" t="str">
        <f t="shared" si="392"/>
        <v>-</v>
      </c>
      <c r="AC325" s="2" t="s">
        <v>29</v>
      </c>
      <c r="AD325" s="2" t="str">
        <f t="shared" si="393"/>
        <v>_</v>
      </c>
      <c r="AE325" s="2" t="s">
        <v>17</v>
      </c>
      <c r="AF325" s="2" t="str">
        <f t="shared" si="394"/>
        <v>_</v>
      </c>
      <c r="AG325" s="2" t="s">
        <v>387</v>
      </c>
      <c r="AH325" s="2" t="str">
        <f t="shared" si="395"/>
        <v>_</v>
      </c>
      <c r="AI325" s="2" t="s">
        <v>388</v>
      </c>
    </row>
    <row r="326" spans="2:35" x14ac:dyDescent="0.25">
      <c r="B326" s="2" t="str">
        <f t="shared" si="391"/>
        <v>@dasharray-driveway_case_rough_gap</v>
      </c>
      <c r="C326" s="179" t="s">
        <v>390</v>
      </c>
      <c r="D326" s="179" t="s">
        <v>390</v>
      </c>
      <c r="E326" s="179"/>
      <c r="F326" s="179" t="s">
        <v>390</v>
      </c>
      <c r="G326" s="179" t="s">
        <v>390</v>
      </c>
      <c r="H326" s="179"/>
      <c r="I326" s="179" t="s">
        <v>96</v>
      </c>
      <c r="J326" s="179" t="s">
        <v>96</v>
      </c>
      <c r="K326" s="179"/>
      <c r="L326" s="179" t="s">
        <v>96</v>
      </c>
      <c r="M326" s="179" t="s">
        <v>96</v>
      </c>
      <c r="N326" s="180"/>
      <c r="U326" s="179" t="s">
        <v>390</v>
      </c>
      <c r="V326" s="179" t="s">
        <v>390</v>
      </c>
      <c r="W326" s="179"/>
      <c r="X326" s="179" t="s">
        <v>390</v>
      </c>
      <c r="Y326" s="179" t="s">
        <v>390</v>
      </c>
      <c r="AA326" s="2" t="s">
        <v>386</v>
      </c>
      <c r="AB326" s="2" t="str">
        <f t="shared" si="392"/>
        <v>-</v>
      </c>
      <c r="AC326" s="2" t="s">
        <v>29</v>
      </c>
      <c r="AD326" s="2" t="str">
        <f t="shared" si="393"/>
        <v>_</v>
      </c>
      <c r="AE326" s="2" t="s">
        <v>17</v>
      </c>
      <c r="AF326" s="2" t="str">
        <f t="shared" si="394"/>
        <v>_</v>
      </c>
      <c r="AG326" s="2" t="s">
        <v>387</v>
      </c>
      <c r="AH326" s="2" t="str">
        <f t="shared" si="395"/>
        <v>_</v>
      </c>
      <c r="AI326" s="2" t="s">
        <v>389</v>
      </c>
    </row>
    <row r="327" spans="2:35" x14ac:dyDescent="0.25">
      <c r="B327" s="2"/>
      <c r="C327" s="177"/>
      <c r="D327" s="178"/>
      <c r="E327" s="178"/>
      <c r="F327" s="177"/>
      <c r="G327" s="178"/>
      <c r="H327" s="178"/>
      <c r="I327" s="177"/>
      <c r="J327" s="178"/>
      <c r="K327" s="178"/>
      <c r="L327" s="177"/>
      <c r="M327" s="178"/>
      <c r="U327" s="176"/>
      <c r="V327" s="176"/>
      <c r="X327" s="176"/>
      <c r="Y327" s="176"/>
      <c r="AA327" s="2"/>
      <c r="AB327" s="2"/>
      <c r="AC327" s="2"/>
      <c r="AD327" s="2"/>
      <c r="AE327" s="2"/>
      <c r="AF327" s="2"/>
      <c r="AG327" s="2"/>
      <c r="AH327" s="2"/>
      <c r="AI327" s="2"/>
    </row>
    <row r="328" spans="2:35" x14ac:dyDescent="0.25">
      <c r="B328" s="2"/>
      <c r="C328" s="178"/>
      <c r="D328" s="178"/>
      <c r="E328" s="178"/>
      <c r="F328" s="178"/>
      <c r="G328" s="178"/>
      <c r="H328" s="178"/>
      <c r="I328" s="178"/>
      <c r="J328" s="178"/>
      <c r="K328" s="178"/>
      <c r="L328" s="178"/>
      <c r="M328" s="178"/>
      <c r="AB328" s="28" t="str">
        <f t="shared" ref="AB328:AB347" si="396">IF(NOT(ISBLANK(AC328)),"-","")</f>
        <v/>
      </c>
      <c r="AD328" s="28" t="str">
        <f t="shared" ref="AD328:AD347" si="397">IF(NOT(ISBLANK(AE328)),"_","")</f>
        <v/>
      </c>
      <c r="AF328" s="28" t="str">
        <f t="shared" ref="AF328:AF347" si="398">IF(NOT(ISBLANK(AG328)),"_","")</f>
        <v/>
      </c>
      <c r="AH328" s="28" t="str">
        <f t="shared" si="341"/>
        <v/>
      </c>
    </row>
    <row r="329" spans="2:35" x14ac:dyDescent="0.25">
      <c r="B329" s="2" t="str">
        <f t="shared" ref="B329:B334" si="399">_xlfn.CONCAT("@",AA329,AB329,AC329,AD329,AE329,AF329,AG329,AH329,AI329)</f>
        <v>@color-busway_case_unpaved_farzoom</v>
      </c>
      <c r="C329" s="139" t="s">
        <v>227</v>
      </c>
      <c r="D329" s="140" t="s">
        <v>229</v>
      </c>
      <c r="F329" s="140" t="s">
        <v>229</v>
      </c>
      <c r="G329" s="139" t="s">
        <v>227</v>
      </c>
      <c r="I329" s="156" t="str">
        <f t="shared" ref="I329:I332" si="400">C329</f>
        <v>"#b99346"</v>
      </c>
      <c r="J329" s="151" t="str">
        <f t="shared" ref="J329:J332" si="401">D329</f>
        <v>"#644507"</v>
      </c>
      <c r="L329" s="140" t="s">
        <v>229</v>
      </c>
      <c r="M329" s="139" t="s">
        <v>227</v>
      </c>
      <c r="U329" s="44"/>
      <c r="V329" s="44"/>
      <c r="X329" s="44"/>
      <c r="Y329" s="44"/>
      <c r="AA329" s="2" t="s">
        <v>6</v>
      </c>
      <c r="AB329" s="2" t="str">
        <f t="shared" si="396"/>
        <v>-</v>
      </c>
      <c r="AC329" s="2" t="s">
        <v>370</v>
      </c>
      <c r="AD329" s="2" t="str">
        <f t="shared" si="397"/>
        <v>_</v>
      </c>
      <c r="AE329" s="2" t="s">
        <v>17</v>
      </c>
      <c r="AF329" s="2" t="str">
        <f t="shared" si="398"/>
        <v>_</v>
      </c>
      <c r="AG329" s="2" t="s">
        <v>21</v>
      </c>
      <c r="AH329" s="2" t="str">
        <f t="shared" ref="AH329:AH341" si="402">IF(NOT(ISBLANK(AI329)),"_","")</f>
        <v>_</v>
      </c>
      <c r="AI329" s="28" t="s">
        <v>20</v>
      </c>
    </row>
    <row r="330" spans="2:35" x14ac:dyDescent="0.25">
      <c r="B330" s="2" t="str">
        <f t="shared" si="399"/>
        <v>@color-busway_case_unpaved_default</v>
      </c>
      <c r="C330" s="140" t="s">
        <v>229</v>
      </c>
      <c r="D330" s="140" t="s">
        <v>229</v>
      </c>
      <c r="F330" s="72" t="s">
        <v>214</v>
      </c>
      <c r="G330" s="72" t="s">
        <v>214</v>
      </c>
      <c r="I330" s="151" t="str">
        <f t="shared" si="400"/>
        <v>"#644507"</v>
      </c>
      <c r="J330" s="151" t="str">
        <f t="shared" si="401"/>
        <v>"#644507"</v>
      </c>
      <c r="L330" s="72" t="s">
        <v>214</v>
      </c>
      <c r="M330" s="72" t="s">
        <v>214</v>
      </c>
      <c r="U330" s="44"/>
      <c r="V330" s="44"/>
      <c r="X330" s="44"/>
      <c r="Y330" s="44"/>
      <c r="AA330" s="2" t="s">
        <v>6</v>
      </c>
      <c r="AB330" s="2" t="str">
        <f t="shared" si="396"/>
        <v>-</v>
      </c>
      <c r="AC330" s="2" t="s">
        <v>370</v>
      </c>
      <c r="AD330" s="2" t="str">
        <f t="shared" si="397"/>
        <v>_</v>
      </c>
      <c r="AE330" s="2" t="s">
        <v>17</v>
      </c>
      <c r="AF330" s="2" t="str">
        <f t="shared" si="398"/>
        <v>_</v>
      </c>
      <c r="AG330" s="2" t="s">
        <v>21</v>
      </c>
      <c r="AH330" s="2" t="str">
        <f t="shared" si="402"/>
        <v>_</v>
      </c>
      <c r="AI330" s="2" t="s">
        <v>262</v>
      </c>
    </row>
    <row r="331" spans="2:35" x14ac:dyDescent="0.25">
      <c r="B331" s="2" t="str">
        <f t="shared" si="399"/>
        <v>@color-busway_case_paved_or_uk_farzoom</v>
      </c>
      <c r="C331" s="142" t="s">
        <v>228</v>
      </c>
      <c r="D331" s="72" t="s">
        <v>214</v>
      </c>
      <c r="F331" s="142" t="s">
        <v>228</v>
      </c>
      <c r="G331" s="142" t="s">
        <v>228</v>
      </c>
      <c r="I331" s="157" t="str">
        <f t="shared" si="400"/>
        <v>"#808080"</v>
      </c>
      <c r="J331" s="37" t="str">
        <f t="shared" si="401"/>
        <v>"#000000"</v>
      </c>
      <c r="L331" s="142" t="s">
        <v>228</v>
      </c>
      <c r="M331" s="142" t="s">
        <v>228</v>
      </c>
      <c r="U331" s="44"/>
      <c r="V331" s="44"/>
      <c r="X331" s="44"/>
      <c r="Y331" s="44"/>
      <c r="AA331" s="2" t="s">
        <v>6</v>
      </c>
      <c r="AB331" s="2" t="str">
        <f t="shared" si="396"/>
        <v>-</v>
      </c>
      <c r="AC331" s="2" t="s">
        <v>370</v>
      </c>
      <c r="AD331" s="2" t="str">
        <f t="shared" si="397"/>
        <v>_</v>
      </c>
      <c r="AE331" s="2" t="s">
        <v>17</v>
      </c>
      <c r="AF331" s="2" t="str">
        <f t="shared" si="398"/>
        <v>_</v>
      </c>
      <c r="AG331" s="2" t="s">
        <v>24</v>
      </c>
      <c r="AH331" s="2" t="str">
        <f t="shared" si="402"/>
        <v>_</v>
      </c>
      <c r="AI331" s="28" t="s">
        <v>20</v>
      </c>
    </row>
    <row r="332" spans="2:35" x14ac:dyDescent="0.25">
      <c r="B332" s="2" t="str">
        <f t="shared" si="399"/>
        <v>@color-busway_case_paved_or_uk_default</v>
      </c>
      <c r="C332" s="143" t="s">
        <v>218</v>
      </c>
      <c r="D332" s="72" t="s">
        <v>214</v>
      </c>
      <c r="F332" s="72" t="s">
        <v>214</v>
      </c>
      <c r="G332" s="72" t="s">
        <v>214</v>
      </c>
      <c r="I332" s="158" t="str">
        <f t="shared" si="400"/>
        <v>"#404040"</v>
      </c>
      <c r="J332" s="37" t="str">
        <f t="shared" si="401"/>
        <v>"#000000"</v>
      </c>
      <c r="L332" s="72" t="s">
        <v>214</v>
      </c>
      <c r="M332" s="72" t="s">
        <v>214</v>
      </c>
      <c r="Q332" s="7"/>
      <c r="U332" s="44"/>
      <c r="V332" s="44"/>
      <c r="X332" s="44"/>
      <c r="Y332" s="44"/>
      <c r="AA332" s="2" t="s">
        <v>6</v>
      </c>
      <c r="AB332" s="2" t="str">
        <f t="shared" si="396"/>
        <v>-</v>
      </c>
      <c r="AC332" s="2" t="s">
        <v>370</v>
      </c>
      <c r="AD332" s="2" t="str">
        <f t="shared" si="397"/>
        <v>_</v>
      </c>
      <c r="AE332" s="2" t="s">
        <v>17</v>
      </c>
      <c r="AF332" s="2" t="str">
        <f t="shared" si="398"/>
        <v>_</v>
      </c>
      <c r="AG332" s="2" t="s">
        <v>24</v>
      </c>
      <c r="AH332" s="2" t="str">
        <f t="shared" si="402"/>
        <v>_</v>
      </c>
      <c r="AI332" s="2" t="s">
        <v>262</v>
      </c>
    </row>
    <row r="333" spans="2:35" x14ac:dyDescent="0.25">
      <c r="B333" s="2" t="str">
        <f t="shared" si="399"/>
        <v>@color-busway_line_unpaved</v>
      </c>
      <c r="C333" s="144" t="s">
        <v>221</v>
      </c>
      <c r="D333" s="38" t="str">
        <f t="shared" ref="D333:D334" si="403">C333</f>
        <v>"#eddfca"</v>
      </c>
      <c r="F333" s="144" t="s">
        <v>221</v>
      </c>
      <c r="G333" s="38" t="str">
        <f t="shared" ref="G333:G334" si="404">F333</f>
        <v>"#eddfca"</v>
      </c>
      <c r="I333" s="144" t="s">
        <v>221</v>
      </c>
      <c r="J333" s="38" t="str">
        <f t="shared" ref="J333:J334" si="405">I333</f>
        <v>"#eddfca"</v>
      </c>
      <c r="L333" s="144" t="s">
        <v>221</v>
      </c>
      <c r="M333" s="38" t="str">
        <f t="shared" ref="M333:M334" si="406">L333</f>
        <v>"#eddfca"</v>
      </c>
      <c r="U333" s="44"/>
      <c r="V333" s="44"/>
      <c r="X333" s="44"/>
      <c r="Y333" s="44"/>
      <c r="AA333" s="2" t="s">
        <v>6</v>
      </c>
      <c r="AB333" s="2" t="str">
        <f t="shared" si="396"/>
        <v>-</v>
      </c>
      <c r="AC333" s="2" t="s">
        <v>370</v>
      </c>
      <c r="AD333" s="2" t="str">
        <f t="shared" si="397"/>
        <v>_</v>
      </c>
      <c r="AE333" s="2" t="s">
        <v>13</v>
      </c>
      <c r="AF333" s="2" t="str">
        <f t="shared" si="398"/>
        <v>_</v>
      </c>
      <c r="AG333" s="2" t="s">
        <v>21</v>
      </c>
      <c r="AH333" s="2" t="str">
        <f t="shared" si="402"/>
        <v/>
      </c>
      <c r="AI333" s="2"/>
    </row>
    <row r="334" spans="2:35" x14ac:dyDescent="0.25">
      <c r="B334" s="2" t="str">
        <f t="shared" si="399"/>
        <v>@color-busway_line_paved_or_uk</v>
      </c>
      <c r="C334" s="71" t="s">
        <v>222</v>
      </c>
      <c r="D334" s="38" t="str">
        <f t="shared" si="403"/>
        <v>"#ffffff"</v>
      </c>
      <c r="F334" s="71" t="s">
        <v>222</v>
      </c>
      <c r="G334" s="38" t="str">
        <f t="shared" si="404"/>
        <v>"#ffffff"</v>
      </c>
      <c r="I334" s="71" t="s">
        <v>222</v>
      </c>
      <c r="J334" s="38" t="str">
        <f t="shared" si="405"/>
        <v>"#ffffff"</v>
      </c>
      <c r="L334" s="71" t="s">
        <v>222</v>
      </c>
      <c r="M334" s="38" t="str">
        <f t="shared" si="406"/>
        <v>"#ffffff"</v>
      </c>
      <c r="U334" s="44"/>
      <c r="V334" s="44"/>
      <c r="X334" s="44"/>
      <c r="Y334" s="44"/>
      <c r="AA334" s="2" t="s">
        <v>6</v>
      </c>
      <c r="AB334" s="2" t="str">
        <f t="shared" si="396"/>
        <v>-</v>
      </c>
      <c r="AC334" s="2" t="s">
        <v>370</v>
      </c>
      <c r="AD334" s="2" t="str">
        <f t="shared" si="397"/>
        <v>_</v>
      </c>
      <c r="AE334" s="2" t="s">
        <v>13</v>
      </c>
      <c r="AF334" s="2" t="str">
        <f t="shared" si="398"/>
        <v>_</v>
      </c>
      <c r="AG334" s="2" t="s">
        <v>24</v>
      </c>
      <c r="AH334" s="2" t="str">
        <f t="shared" si="402"/>
        <v/>
      </c>
      <c r="AI334" s="2"/>
    </row>
    <row r="335" spans="2:35" x14ac:dyDescent="0.25">
      <c r="B335" s="2"/>
      <c r="C335" s="177"/>
      <c r="D335" s="178"/>
      <c r="E335" s="178"/>
      <c r="F335" s="177"/>
      <c r="G335" s="178"/>
      <c r="H335" s="178"/>
      <c r="I335" s="178"/>
      <c r="J335" s="178"/>
      <c r="K335" s="178"/>
      <c r="L335" s="177"/>
      <c r="M335" s="178"/>
      <c r="U335" s="176"/>
      <c r="V335" s="176"/>
      <c r="X335" s="176"/>
      <c r="Y335" s="176"/>
      <c r="AA335" s="2"/>
      <c r="AB335" s="2"/>
      <c r="AC335" s="2"/>
      <c r="AD335" s="2"/>
      <c r="AE335" s="2"/>
      <c r="AF335" s="2"/>
      <c r="AG335" s="2"/>
      <c r="AH335" s="2"/>
      <c r="AI335" s="2"/>
    </row>
    <row r="336" spans="2:35" x14ac:dyDescent="0.25">
      <c r="B336" s="2" t="str">
        <f t="shared" ref="B336:B339" si="407">_xlfn.CONCAT("@",AA336,AB336,AC336,AD336,AE336,AF336,AG336,AH336,AI336)</f>
        <v>@dasharray-busway_case_medium_dash</v>
      </c>
      <c r="C336" s="179" t="s">
        <v>341</v>
      </c>
      <c r="D336" s="179" t="s">
        <v>341</v>
      </c>
      <c r="E336" s="179"/>
      <c r="F336" s="179" t="s">
        <v>341</v>
      </c>
      <c r="G336" s="179" t="s">
        <v>341</v>
      </c>
      <c r="H336" s="179"/>
      <c r="I336" s="179" t="s">
        <v>92</v>
      </c>
      <c r="J336" s="179" t="s">
        <v>92</v>
      </c>
      <c r="K336" s="179"/>
      <c r="L336" s="179" t="s">
        <v>92</v>
      </c>
      <c r="M336" s="179" t="s">
        <v>92</v>
      </c>
      <c r="N336" s="180"/>
      <c r="U336" s="179" t="s">
        <v>341</v>
      </c>
      <c r="V336" s="179" t="s">
        <v>341</v>
      </c>
      <c r="W336" s="179"/>
      <c r="X336" s="179" t="s">
        <v>341</v>
      </c>
      <c r="Y336" s="179" t="s">
        <v>341</v>
      </c>
      <c r="AA336" s="2" t="s">
        <v>386</v>
      </c>
      <c r="AB336" s="2" t="str">
        <f t="shared" ref="AB336:AB339" si="408">IF(NOT(ISBLANK(AC336)),"-","")</f>
        <v>-</v>
      </c>
      <c r="AC336" s="2" t="s">
        <v>370</v>
      </c>
      <c r="AD336" s="2" t="str">
        <f t="shared" ref="AD336:AD339" si="409">IF(NOT(ISBLANK(AE336)),"_","")</f>
        <v>_</v>
      </c>
      <c r="AE336" s="2" t="s">
        <v>17</v>
      </c>
      <c r="AF336" s="2" t="str">
        <f t="shared" ref="AF336:AF339" si="410">IF(NOT(ISBLANK(AG336)),"_","")</f>
        <v>_</v>
      </c>
      <c r="AG336" s="2" t="s">
        <v>79</v>
      </c>
      <c r="AH336" s="2" t="str">
        <f t="shared" ref="AH336:AH339" si="411">IF(NOT(ISBLANK(AI336)),"_","")</f>
        <v>_</v>
      </c>
      <c r="AI336" s="2" t="s">
        <v>388</v>
      </c>
    </row>
    <row r="337" spans="2:35" x14ac:dyDescent="0.25">
      <c r="B337" s="2" t="str">
        <f t="shared" si="407"/>
        <v>@dasharray-busway_case_medium_gap</v>
      </c>
      <c r="C337" s="179" t="s">
        <v>390</v>
      </c>
      <c r="D337" s="179" t="s">
        <v>390</v>
      </c>
      <c r="E337" s="179"/>
      <c r="F337" s="179" t="s">
        <v>390</v>
      </c>
      <c r="G337" s="179" t="s">
        <v>390</v>
      </c>
      <c r="H337" s="179"/>
      <c r="I337" s="179" t="s">
        <v>96</v>
      </c>
      <c r="J337" s="179" t="s">
        <v>96</v>
      </c>
      <c r="K337" s="179"/>
      <c r="L337" s="179" t="s">
        <v>96</v>
      </c>
      <c r="M337" s="179" t="s">
        <v>96</v>
      </c>
      <c r="N337" s="180"/>
      <c r="U337" s="179" t="s">
        <v>390</v>
      </c>
      <c r="V337" s="179" t="s">
        <v>390</v>
      </c>
      <c r="W337" s="179"/>
      <c r="X337" s="179" t="s">
        <v>390</v>
      </c>
      <c r="Y337" s="179" t="s">
        <v>390</v>
      </c>
      <c r="AA337" s="2" t="s">
        <v>386</v>
      </c>
      <c r="AB337" s="2" t="str">
        <f t="shared" si="408"/>
        <v>-</v>
      </c>
      <c r="AC337" s="2" t="s">
        <v>370</v>
      </c>
      <c r="AD337" s="2" t="str">
        <f t="shared" si="409"/>
        <v>_</v>
      </c>
      <c r="AE337" s="2" t="s">
        <v>17</v>
      </c>
      <c r="AF337" s="2" t="str">
        <f t="shared" si="410"/>
        <v>_</v>
      </c>
      <c r="AG337" s="2" t="s">
        <v>79</v>
      </c>
      <c r="AH337" s="2" t="str">
        <f t="shared" si="411"/>
        <v>_</v>
      </c>
      <c r="AI337" s="2" t="s">
        <v>389</v>
      </c>
    </row>
    <row r="338" spans="2:35" x14ac:dyDescent="0.25">
      <c r="B338" s="2" t="str">
        <f t="shared" si="407"/>
        <v>@dasharray-busway_case_rough_dash</v>
      </c>
      <c r="C338" s="179" t="s">
        <v>341</v>
      </c>
      <c r="D338" s="179" t="s">
        <v>341</v>
      </c>
      <c r="E338" s="179"/>
      <c r="F338" s="179" t="s">
        <v>341</v>
      </c>
      <c r="G338" s="179" t="s">
        <v>341</v>
      </c>
      <c r="H338" s="179"/>
      <c r="I338" s="179" t="s">
        <v>97</v>
      </c>
      <c r="J338" s="179" t="s">
        <v>97</v>
      </c>
      <c r="K338" s="179"/>
      <c r="L338" s="179" t="s">
        <v>97</v>
      </c>
      <c r="M338" s="179" t="s">
        <v>97</v>
      </c>
      <c r="N338" s="180"/>
      <c r="U338" s="179" t="s">
        <v>341</v>
      </c>
      <c r="V338" s="179" t="s">
        <v>341</v>
      </c>
      <c r="W338" s="179"/>
      <c r="X338" s="179" t="s">
        <v>341</v>
      </c>
      <c r="Y338" s="179" t="s">
        <v>341</v>
      </c>
      <c r="AA338" s="2" t="s">
        <v>386</v>
      </c>
      <c r="AB338" s="2" t="str">
        <f t="shared" si="408"/>
        <v>-</v>
      </c>
      <c r="AC338" s="2" t="s">
        <v>370</v>
      </c>
      <c r="AD338" s="2" t="str">
        <f t="shared" si="409"/>
        <v>_</v>
      </c>
      <c r="AE338" s="2" t="s">
        <v>17</v>
      </c>
      <c r="AF338" s="2" t="str">
        <f t="shared" si="410"/>
        <v>_</v>
      </c>
      <c r="AG338" s="2" t="s">
        <v>387</v>
      </c>
      <c r="AH338" s="2" t="str">
        <f t="shared" si="411"/>
        <v>_</v>
      </c>
      <c r="AI338" s="2" t="s">
        <v>388</v>
      </c>
    </row>
    <row r="339" spans="2:35" x14ac:dyDescent="0.25">
      <c r="B339" s="2" t="str">
        <f t="shared" si="407"/>
        <v>@dasharray-busway_case_rough_gap</v>
      </c>
      <c r="C339" s="179" t="s">
        <v>390</v>
      </c>
      <c r="D339" s="179" t="s">
        <v>390</v>
      </c>
      <c r="E339" s="179"/>
      <c r="F339" s="179" t="s">
        <v>390</v>
      </c>
      <c r="G339" s="179" t="s">
        <v>390</v>
      </c>
      <c r="H339" s="179"/>
      <c r="I339" s="179" t="s">
        <v>96</v>
      </c>
      <c r="J339" s="179" t="s">
        <v>96</v>
      </c>
      <c r="K339" s="179"/>
      <c r="L339" s="179" t="s">
        <v>96</v>
      </c>
      <c r="M339" s="179" t="s">
        <v>96</v>
      </c>
      <c r="N339" s="180"/>
      <c r="U339" s="179" t="s">
        <v>390</v>
      </c>
      <c r="V339" s="179" t="s">
        <v>390</v>
      </c>
      <c r="W339" s="179"/>
      <c r="X339" s="179" t="s">
        <v>390</v>
      </c>
      <c r="Y339" s="179" t="s">
        <v>390</v>
      </c>
      <c r="AA339" s="2" t="s">
        <v>386</v>
      </c>
      <c r="AB339" s="2" t="str">
        <f t="shared" si="408"/>
        <v>-</v>
      </c>
      <c r="AC339" s="2" t="s">
        <v>370</v>
      </c>
      <c r="AD339" s="2" t="str">
        <f t="shared" si="409"/>
        <v>_</v>
      </c>
      <c r="AE339" s="2" t="s">
        <v>17</v>
      </c>
      <c r="AF339" s="2" t="str">
        <f t="shared" si="410"/>
        <v>_</v>
      </c>
      <c r="AG339" s="2" t="s">
        <v>387</v>
      </c>
      <c r="AH339" s="2" t="str">
        <f t="shared" si="411"/>
        <v>_</v>
      </c>
      <c r="AI339" s="2" t="s">
        <v>389</v>
      </c>
    </row>
    <row r="340" spans="2:35" x14ac:dyDescent="0.25">
      <c r="B340" s="182"/>
      <c r="C340" s="177"/>
      <c r="D340" s="178"/>
      <c r="E340" s="178"/>
      <c r="F340" s="177"/>
      <c r="G340" s="178"/>
      <c r="H340" s="178"/>
      <c r="I340" s="177"/>
      <c r="J340" s="178"/>
      <c r="K340" s="178"/>
      <c r="L340" s="177"/>
      <c r="M340" s="178"/>
      <c r="N340" s="178"/>
      <c r="O340" s="178"/>
      <c r="U340" s="176"/>
      <c r="V340" s="176"/>
      <c r="X340" s="176"/>
      <c r="Y340" s="176"/>
      <c r="AA340" s="2"/>
      <c r="AB340" s="2"/>
      <c r="AC340" s="2"/>
      <c r="AD340" s="2"/>
      <c r="AE340" s="2"/>
      <c r="AF340" s="2"/>
      <c r="AG340" s="2"/>
      <c r="AH340" s="2"/>
      <c r="AI340" s="2"/>
    </row>
    <row r="341" spans="2:35" x14ac:dyDescent="0.25">
      <c r="B341" s="182"/>
      <c r="C341" s="178"/>
      <c r="D341" s="178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AB341" s="28" t="str">
        <f t="shared" ref="AB341" si="412">IF(NOT(ISBLANK(AC341)),"-","")</f>
        <v/>
      </c>
      <c r="AD341" s="28" t="str">
        <f t="shared" ref="AD341" si="413">IF(NOT(ISBLANK(AE341)),"_","")</f>
        <v/>
      </c>
      <c r="AF341" s="28" t="str">
        <f t="shared" ref="AF341" si="414">IF(NOT(ISBLANK(AG341)),"_","")</f>
        <v/>
      </c>
      <c r="AH341" s="28" t="str">
        <f t="shared" si="402"/>
        <v/>
      </c>
    </row>
    <row r="342" spans="2:35" x14ac:dyDescent="0.25">
      <c r="B342" s="2" t="str">
        <f t="shared" ref="B342:B347" si="415">_xlfn.CONCAT("@",AA342,AB342,AC342,AD342,AE342,AF342,AG342,AH342,AI342)</f>
        <v>@color-service_case_unpaved_farzoom</v>
      </c>
      <c r="C342" s="139" t="s">
        <v>227</v>
      </c>
      <c r="D342" s="140" t="s">
        <v>229</v>
      </c>
      <c r="F342" s="140" t="s">
        <v>229</v>
      </c>
      <c r="G342" s="139" t="s">
        <v>227</v>
      </c>
      <c r="I342" s="156" t="str">
        <f t="shared" ref="I342:J345" si="416">C342</f>
        <v>"#b99346"</v>
      </c>
      <c r="J342" s="151" t="str">
        <f t="shared" si="416"/>
        <v>"#644507"</v>
      </c>
      <c r="L342" s="140" t="s">
        <v>229</v>
      </c>
      <c r="M342" s="139" t="s">
        <v>227</v>
      </c>
      <c r="U342" s="44"/>
      <c r="V342" s="44"/>
      <c r="X342" s="44"/>
      <c r="Y342" s="44"/>
      <c r="AA342" s="2" t="s">
        <v>6</v>
      </c>
      <c r="AB342" s="2" t="str">
        <f t="shared" si="396"/>
        <v>-</v>
      </c>
      <c r="AC342" s="2" t="s">
        <v>30</v>
      </c>
      <c r="AD342" s="2" t="str">
        <f t="shared" si="397"/>
        <v>_</v>
      </c>
      <c r="AE342" s="2" t="s">
        <v>17</v>
      </c>
      <c r="AF342" s="2" t="str">
        <f t="shared" si="398"/>
        <v>_</v>
      </c>
      <c r="AG342" s="2" t="s">
        <v>21</v>
      </c>
      <c r="AH342" s="2" t="str">
        <f t="shared" si="341"/>
        <v>_</v>
      </c>
      <c r="AI342" s="28" t="s">
        <v>20</v>
      </c>
    </row>
    <row r="343" spans="2:35" x14ac:dyDescent="0.25">
      <c r="B343" s="2" t="str">
        <f t="shared" si="415"/>
        <v>@color-service_case_unpaved_default</v>
      </c>
      <c r="C343" s="140" t="s">
        <v>229</v>
      </c>
      <c r="D343" s="140" t="s">
        <v>229</v>
      </c>
      <c r="F343" s="72" t="s">
        <v>214</v>
      </c>
      <c r="G343" s="72" t="s">
        <v>214</v>
      </c>
      <c r="I343" s="151" t="str">
        <f t="shared" si="416"/>
        <v>"#644507"</v>
      </c>
      <c r="J343" s="151" t="str">
        <f t="shared" si="416"/>
        <v>"#644507"</v>
      </c>
      <c r="L343" s="72" t="s">
        <v>214</v>
      </c>
      <c r="M343" s="72" t="s">
        <v>214</v>
      </c>
      <c r="U343" s="44"/>
      <c r="V343" s="44"/>
      <c r="X343" s="44"/>
      <c r="Y343" s="44"/>
      <c r="AA343" s="2" t="s">
        <v>6</v>
      </c>
      <c r="AB343" s="2" t="str">
        <f t="shared" si="396"/>
        <v>-</v>
      </c>
      <c r="AC343" s="2" t="s">
        <v>30</v>
      </c>
      <c r="AD343" s="2" t="str">
        <f t="shared" si="397"/>
        <v>_</v>
      </c>
      <c r="AE343" s="2" t="s">
        <v>17</v>
      </c>
      <c r="AF343" s="2" t="str">
        <f t="shared" si="398"/>
        <v>_</v>
      </c>
      <c r="AG343" s="2" t="s">
        <v>21</v>
      </c>
      <c r="AH343" s="2" t="str">
        <f t="shared" si="341"/>
        <v>_</v>
      </c>
      <c r="AI343" s="2" t="s">
        <v>262</v>
      </c>
    </row>
    <row r="344" spans="2:35" x14ac:dyDescent="0.25">
      <c r="B344" s="2" t="str">
        <f t="shared" si="415"/>
        <v>@color-service_case_paved_or_uk_farzoom</v>
      </c>
      <c r="C344" s="142" t="s">
        <v>228</v>
      </c>
      <c r="D344" s="72" t="s">
        <v>214</v>
      </c>
      <c r="F344" s="72" t="s">
        <v>214</v>
      </c>
      <c r="G344" s="72" t="s">
        <v>214</v>
      </c>
      <c r="I344" s="157" t="str">
        <f t="shared" si="416"/>
        <v>"#808080"</v>
      </c>
      <c r="J344" s="37" t="str">
        <f t="shared" si="416"/>
        <v>"#000000"</v>
      </c>
      <c r="L344" s="72" t="s">
        <v>214</v>
      </c>
      <c r="M344" s="72" t="s">
        <v>214</v>
      </c>
      <c r="U344" s="44"/>
      <c r="V344" s="44"/>
      <c r="X344" s="44"/>
      <c r="Y344" s="44"/>
      <c r="AA344" s="2" t="s">
        <v>6</v>
      </c>
      <c r="AB344" s="2" t="str">
        <f t="shared" si="396"/>
        <v>-</v>
      </c>
      <c r="AC344" s="2" t="s">
        <v>30</v>
      </c>
      <c r="AD344" s="2" t="str">
        <f t="shared" si="397"/>
        <v>_</v>
      </c>
      <c r="AE344" s="2" t="s">
        <v>17</v>
      </c>
      <c r="AF344" s="2" t="str">
        <f t="shared" si="398"/>
        <v>_</v>
      </c>
      <c r="AG344" s="2" t="s">
        <v>24</v>
      </c>
      <c r="AH344" s="2" t="str">
        <f t="shared" si="341"/>
        <v>_</v>
      </c>
      <c r="AI344" s="28" t="s">
        <v>20</v>
      </c>
    </row>
    <row r="345" spans="2:35" x14ac:dyDescent="0.25">
      <c r="B345" s="2" t="str">
        <f t="shared" si="415"/>
        <v>@color-service_case_paved_or_uk_default</v>
      </c>
      <c r="C345" s="143" t="s">
        <v>218</v>
      </c>
      <c r="D345" s="72" t="s">
        <v>214</v>
      </c>
      <c r="F345" s="72" t="s">
        <v>214</v>
      </c>
      <c r="G345" s="72" t="s">
        <v>214</v>
      </c>
      <c r="I345" s="158" t="str">
        <f t="shared" si="416"/>
        <v>"#404040"</v>
      </c>
      <c r="J345" s="37" t="str">
        <f t="shared" si="416"/>
        <v>"#000000"</v>
      </c>
      <c r="L345" s="72" t="s">
        <v>214</v>
      </c>
      <c r="M345" s="72" t="s">
        <v>214</v>
      </c>
      <c r="Q345" s="7"/>
      <c r="U345" s="44"/>
      <c r="V345" s="44"/>
      <c r="X345" s="44"/>
      <c r="Y345" s="44"/>
      <c r="AA345" s="2" t="s">
        <v>6</v>
      </c>
      <c r="AB345" s="2" t="str">
        <f t="shared" si="396"/>
        <v>-</v>
      </c>
      <c r="AC345" s="2" t="s">
        <v>30</v>
      </c>
      <c r="AD345" s="2" t="str">
        <f t="shared" si="397"/>
        <v>_</v>
      </c>
      <c r="AE345" s="2" t="s">
        <v>17</v>
      </c>
      <c r="AF345" s="2" t="str">
        <f t="shared" si="398"/>
        <v>_</v>
      </c>
      <c r="AG345" s="2" t="s">
        <v>24</v>
      </c>
      <c r="AH345" s="2" t="str">
        <f t="shared" si="341"/>
        <v>_</v>
      </c>
      <c r="AI345" s="2" t="s">
        <v>262</v>
      </c>
    </row>
    <row r="346" spans="2:35" x14ac:dyDescent="0.25">
      <c r="B346" s="2" t="str">
        <f t="shared" si="415"/>
        <v>@color-service_line_unpaved</v>
      </c>
      <c r="C346" s="144" t="s">
        <v>221</v>
      </c>
      <c r="D346" s="38" t="str">
        <f t="shared" ref="D346:D347" si="417">C346</f>
        <v>"#eddfca"</v>
      </c>
      <c r="F346" s="144" t="s">
        <v>221</v>
      </c>
      <c r="G346" s="38" t="str">
        <f t="shared" ref="G346:G347" si="418">F346</f>
        <v>"#eddfca"</v>
      </c>
      <c r="I346" s="145" t="str">
        <f>C346</f>
        <v>"#eddfca"</v>
      </c>
      <c r="J346" s="38" t="str">
        <f t="shared" ref="J346:J347" si="419">C346</f>
        <v>"#eddfca"</v>
      </c>
      <c r="L346" s="144" t="s">
        <v>221</v>
      </c>
      <c r="M346" s="38" t="str">
        <f t="shared" ref="M346:M347" si="420">L346</f>
        <v>"#eddfca"</v>
      </c>
      <c r="U346" s="44"/>
      <c r="V346" s="44"/>
      <c r="X346" s="44"/>
      <c r="Y346" s="44"/>
      <c r="AA346" s="2" t="s">
        <v>6</v>
      </c>
      <c r="AB346" s="2" t="str">
        <f t="shared" si="396"/>
        <v>-</v>
      </c>
      <c r="AC346" s="2" t="s">
        <v>30</v>
      </c>
      <c r="AD346" s="2" t="str">
        <f t="shared" si="397"/>
        <v>_</v>
      </c>
      <c r="AE346" s="2" t="s">
        <v>13</v>
      </c>
      <c r="AF346" s="2" t="str">
        <f t="shared" si="398"/>
        <v>_</v>
      </c>
      <c r="AG346" s="2" t="s">
        <v>21</v>
      </c>
      <c r="AH346" s="2" t="str">
        <f t="shared" si="341"/>
        <v/>
      </c>
      <c r="AI346" s="2"/>
    </row>
    <row r="347" spans="2:35" x14ac:dyDescent="0.25">
      <c r="B347" s="2" t="str">
        <f t="shared" si="415"/>
        <v>@color-service_line_paved_or_uk</v>
      </c>
      <c r="C347" s="71" t="s">
        <v>222</v>
      </c>
      <c r="D347" s="38" t="str">
        <f t="shared" si="417"/>
        <v>"#ffffff"</v>
      </c>
      <c r="F347" s="71" t="s">
        <v>222</v>
      </c>
      <c r="G347" s="38" t="str">
        <f t="shared" si="418"/>
        <v>"#ffffff"</v>
      </c>
      <c r="I347" s="38" t="str">
        <f>C347</f>
        <v>"#ffffff"</v>
      </c>
      <c r="J347" s="38" t="str">
        <f t="shared" si="419"/>
        <v>"#ffffff"</v>
      </c>
      <c r="L347" s="71" t="s">
        <v>222</v>
      </c>
      <c r="M347" s="38" t="str">
        <f t="shared" si="420"/>
        <v>"#ffffff"</v>
      </c>
      <c r="U347" s="44"/>
      <c r="V347" s="44"/>
      <c r="X347" s="44"/>
      <c r="Y347" s="44"/>
      <c r="AA347" s="2" t="s">
        <v>6</v>
      </c>
      <c r="AB347" s="2" t="str">
        <f t="shared" si="396"/>
        <v>-</v>
      </c>
      <c r="AC347" s="2" t="s">
        <v>30</v>
      </c>
      <c r="AD347" s="2" t="str">
        <f t="shared" si="397"/>
        <v>_</v>
      </c>
      <c r="AE347" s="2" t="s">
        <v>13</v>
      </c>
      <c r="AF347" s="2" t="str">
        <f t="shared" si="398"/>
        <v>_</v>
      </c>
      <c r="AG347" s="2" t="s">
        <v>24</v>
      </c>
      <c r="AH347" s="2" t="str">
        <f t="shared" si="341"/>
        <v/>
      </c>
      <c r="AI347" s="2"/>
    </row>
    <row r="348" spans="2:35" x14ac:dyDescent="0.25">
      <c r="B348" s="2"/>
      <c r="C348" s="177"/>
      <c r="D348" s="178"/>
      <c r="E348" s="178"/>
      <c r="F348" s="177"/>
      <c r="G348" s="178"/>
      <c r="H348" s="178"/>
      <c r="I348" s="178"/>
      <c r="J348" s="178"/>
      <c r="K348" s="178"/>
      <c r="L348" s="177"/>
      <c r="M348" s="178"/>
      <c r="U348" s="176"/>
      <c r="V348" s="176"/>
      <c r="X348" s="176"/>
      <c r="Y348" s="176"/>
      <c r="AA348" s="2"/>
      <c r="AB348" s="2"/>
      <c r="AC348" s="2"/>
      <c r="AD348" s="2"/>
      <c r="AE348" s="2"/>
      <c r="AF348" s="2"/>
      <c r="AG348" s="2"/>
      <c r="AH348" s="2"/>
      <c r="AI348" s="2"/>
    </row>
    <row r="349" spans="2:35" x14ac:dyDescent="0.25">
      <c r="B349" s="2" t="str">
        <f t="shared" ref="B349:B350" si="421">_xlfn.CONCAT("@",AA349,AB349,AC349,AD349,AE349,AF349,AG349,AH349,AI349)</f>
        <v>@dasharray-service_case_medium_dash</v>
      </c>
      <c r="C349" s="179" t="s">
        <v>341</v>
      </c>
      <c r="D349" s="179" t="s">
        <v>341</v>
      </c>
      <c r="E349" s="179"/>
      <c r="F349" s="179" t="s">
        <v>341</v>
      </c>
      <c r="G349" s="179" t="s">
        <v>341</v>
      </c>
      <c r="H349" s="179"/>
      <c r="I349" s="179" t="s">
        <v>92</v>
      </c>
      <c r="J349" s="179" t="s">
        <v>92</v>
      </c>
      <c r="K349" s="179"/>
      <c r="L349" s="179" t="s">
        <v>92</v>
      </c>
      <c r="M349" s="179" t="s">
        <v>92</v>
      </c>
      <c r="N349" s="180"/>
      <c r="U349" s="179" t="s">
        <v>341</v>
      </c>
      <c r="V349" s="179" t="s">
        <v>341</v>
      </c>
      <c r="W349" s="179"/>
      <c r="X349" s="179" t="s">
        <v>341</v>
      </c>
      <c r="Y349" s="179" t="s">
        <v>341</v>
      </c>
      <c r="AA349" s="2" t="s">
        <v>386</v>
      </c>
      <c r="AB349" s="2" t="str">
        <f t="shared" ref="AB349:AB350" si="422">IF(NOT(ISBLANK(AC349)),"-","")</f>
        <v>-</v>
      </c>
      <c r="AC349" s="2" t="s">
        <v>30</v>
      </c>
      <c r="AD349" s="2" t="str">
        <f t="shared" ref="AD349:AD350" si="423">IF(NOT(ISBLANK(AE349)),"_","")</f>
        <v>_</v>
      </c>
      <c r="AE349" s="2" t="s">
        <v>17</v>
      </c>
      <c r="AF349" s="2" t="str">
        <f t="shared" ref="AF349:AF350" si="424">IF(NOT(ISBLANK(AG349)),"_","")</f>
        <v>_</v>
      </c>
      <c r="AG349" s="2" t="s">
        <v>79</v>
      </c>
      <c r="AH349" s="2" t="str">
        <f t="shared" ref="AH349:AH350" si="425">IF(NOT(ISBLANK(AI349)),"_","")</f>
        <v>_</v>
      </c>
      <c r="AI349" s="2" t="s">
        <v>388</v>
      </c>
    </row>
    <row r="350" spans="2:35" x14ac:dyDescent="0.25">
      <c r="B350" s="2" t="str">
        <f t="shared" si="421"/>
        <v>@dasharray-service_case_medium_gap</v>
      </c>
      <c r="C350" s="179" t="s">
        <v>390</v>
      </c>
      <c r="D350" s="179" t="s">
        <v>390</v>
      </c>
      <c r="E350" s="179"/>
      <c r="F350" s="179" t="s">
        <v>390</v>
      </c>
      <c r="G350" s="179" t="s">
        <v>390</v>
      </c>
      <c r="H350" s="179"/>
      <c r="I350" s="179" t="s">
        <v>96</v>
      </c>
      <c r="J350" s="179" t="s">
        <v>96</v>
      </c>
      <c r="K350" s="179"/>
      <c r="L350" s="179" t="s">
        <v>96</v>
      </c>
      <c r="M350" s="179" t="s">
        <v>96</v>
      </c>
      <c r="N350" s="180"/>
      <c r="U350" s="179" t="s">
        <v>390</v>
      </c>
      <c r="V350" s="179" t="s">
        <v>390</v>
      </c>
      <c r="W350" s="179"/>
      <c r="X350" s="179" t="s">
        <v>390</v>
      </c>
      <c r="Y350" s="179" t="s">
        <v>390</v>
      </c>
      <c r="AA350" s="2" t="s">
        <v>386</v>
      </c>
      <c r="AB350" s="2" t="str">
        <f t="shared" si="422"/>
        <v>-</v>
      </c>
      <c r="AC350" s="2" t="s">
        <v>30</v>
      </c>
      <c r="AD350" s="2" t="str">
        <f t="shared" si="423"/>
        <v>_</v>
      </c>
      <c r="AE350" s="2" t="s">
        <v>17</v>
      </c>
      <c r="AF350" s="2" t="str">
        <f t="shared" si="424"/>
        <v>_</v>
      </c>
      <c r="AG350" s="2" t="s">
        <v>79</v>
      </c>
      <c r="AH350" s="2" t="str">
        <f t="shared" si="425"/>
        <v>_</v>
      </c>
      <c r="AI350" s="2" t="s">
        <v>389</v>
      </c>
    </row>
    <row r="351" spans="2:35" x14ac:dyDescent="0.25">
      <c r="B351" s="2" t="str">
        <f t="shared" ref="B351" si="426">_xlfn.CONCAT("@",AA351,AB351,AC351,AD351,AE351,AF351,AG351,AH351,AI351)</f>
        <v>@dasharray-service_case_rough_dash</v>
      </c>
      <c r="C351" s="179" t="s">
        <v>341</v>
      </c>
      <c r="D351" s="179" t="s">
        <v>341</v>
      </c>
      <c r="E351" s="179"/>
      <c r="F351" s="179" t="s">
        <v>341</v>
      </c>
      <c r="G351" s="179" t="s">
        <v>341</v>
      </c>
      <c r="H351" s="179"/>
      <c r="I351" s="179" t="s">
        <v>97</v>
      </c>
      <c r="J351" s="179" t="s">
        <v>97</v>
      </c>
      <c r="K351" s="179"/>
      <c r="L351" s="179" t="s">
        <v>97</v>
      </c>
      <c r="M351" s="179" t="s">
        <v>97</v>
      </c>
      <c r="N351" s="180"/>
      <c r="U351" s="179" t="s">
        <v>341</v>
      </c>
      <c r="V351" s="179" t="s">
        <v>341</v>
      </c>
      <c r="W351" s="179"/>
      <c r="X351" s="179" t="s">
        <v>341</v>
      </c>
      <c r="Y351" s="179" t="s">
        <v>341</v>
      </c>
      <c r="AA351" s="2" t="s">
        <v>386</v>
      </c>
      <c r="AB351" s="2" t="str">
        <f t="shared" ref="AB351" si="427">IF(NOT(ISBLANK(AC351)),"-","")</f>
        <v>-</v>
      </c>
      <c r="AC351" s="2" t="s">
        <v>30</v>
      </c>
      <c r="AD351" s="2" t="str">
        <f t="shared" ref="AD351" si="428">IF(NOT(ISBLANK(AE351)),"_","")</f>
        <v>_</v>
      </c>
      <c r="AE351" s="2" t="s">
        <v>17</v>
      </c>
      <c r="AF351" s="2" t="str">
        <f t="shared" ref="AF351" si="429">IF(NOT(ISBLANK(AG351)),"_","")</f>
        <v>_</v>
      </c>
      <c r="AG351" s="2" t="s">
        <v>387</v>
      </c>
      <c r="AH351" s="2" t="str">
        <f t="shared" ref="AH351" si="430">IF(NOT(ISBLANK(AI351)),"_","")</f>
        <v>_</v>
      </c>
      <c r="AI351" s="2" t="s">
        <v>388</v>
      </c>
    </row>
    <row r="352" spans="2:35" x14ac:dyDescent="0.25">
      <c r="B352" s="2" t="str">
        <f t="shared" ref="B352" si="431">_xlfn.CONCAT("@",AA352,AB352,AC352,AD352,AE352,AF352,AG352,AH352,AI352)</f>
        <v>@dasharray-service_case_rough_gap</v>
      </c>
      <c r="C352" s="179" t="s">
        <v>390</v>
      </c>
      <c r="D352" s="179" t="s">
        <v>390</v>
      </c>
      <c r="E352" s="179"/>
      <c r="F352" s="179" t="s">
        <v>390</v>
      </c>
      <c r="G352" s="179" t="s">
        <v>390</v>
      </c>
      <c r="H352" s="179"/>
      <c r="I352" s="179" t="s">
        <v>96</v>
      </c>
      <c r="J352" s="179" t="s">
        <v>96</v>
      </c>
      <c r="K352" s="179"/>
      <c r="L352" s="179" t="s">
        <v>96</v>
      </c>
      <c r="M352" s="179" t="s">
        <v>96</v>
      </c>
      <c r="N352" s="180"/>
      <c r="U352" s="179" t="s">
        <v>390</v>
      </c>
      <c r="V352" s="179" t="s">
        <v>390</v>
      </c>
      <c r="W352" s="179"/>
      <c r="X352" s="179" t="s">
        <v>390</v>
      </c>
      <c r="Y352" s="179" t="s">
        <v>390</v>
      </c>
      <c r="AA352" s="2" t="s">
        <v>386</v>
      </c>
      <c r="AB352" s="2" t="str">
        <f t="shared" ref="AB352" si="432">IF(NOT(ISBLANK(AC352)),"-","")</f>
        <v>-</v>
      </c>
      <c r="AC352" s="2" t="s">
        <v>30</v>
      </c>
      <c r="AD352" s="2" t="str">
        <f t="shared" ref="AD352" si="433">IF(NOT(ISBLANK(AE352)),"_","")</f>
        <v>_</v>
      </c>
      <c r="AE352" s="2" t="s">
        <v>17</v>
      </c>
      <c r="AF352" s="2" t="str">
        <f t="shared" ref="AF352" si="434">IF(NOT(ISBLANK(AG352)),"_","")</f>
        <v>_</v>
      </c>
      <c r="AG352" s="2" t="s">
        <v>387</v>
      </c>
      <c r="AH352" s="2" t="str">
        <f t="shared" ref="AH352" si="435">IF(NOT(ISBLANK(AI352)),"_","")</f>
        <v>_</v>
      </c>
      <c r="AI352" s="2" t="s">
        <v>389</v>
      </c>
    </row>
    <row r="353" spans="1:35" x14ac:dyDescent="0.25">
      <c r="B353" s="2"/>
      <c r="C353" s="181" t="s">
        <v>391</v>
      </c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U353" s="176"/>
      <c r="V353" s="176"/>
      <c r="X353" s="176"/>
      <c r="Y353" s="176"/>
      <c r="AA353" s="2"/>
      <c r="AB353" s="2"/>
      <c r="AC353" s="2"/>
      <c r="AD353" s="2"/>
      <c r="AE353" s="2"/>
      <c r="AF353" s="2"/>
      <c r="AG353" s="2"/>
      <c r="AH353" s="2"/>
      <c r="AI353" s="2"/>
    </row>
    <row r="354" spans="1:35" x14ac:dyDescent="0.25">
      <c r="B354" s="2"/>
      <c r="C354" s="178"/>
      <c r="D354" s="178"/>
      <c r="E354" s="178"/>
      <c r="F354" s="178"/>
      <c r="G354" s="178"/>
      <c r="H354" s="178"/>
      <c r="I354" s="178"/>
      <c r="J354" s="178"/>
      <c r="K354" s="178"/>
      <c r="L354" s="178"/>
      <c r="M354" s="178"/>
      <c r="AB354" s="28" t="str">
        <f t="shared" si="323"/>
        <v/>
      </c>
      <c r="AD354" s="28" t="str">
        <f t="shared" si="330"/>
        <v/>
      </c>
      <c r="AF354" s="28" t="str">
        <f t="shared" si="331"/>
        <v/>
      </c>
      <c r="AH354" s="28" t="str">
        <f t="shared" si="341"/>
        <v/>
      </c>
    </row>
    <row r="355" spans="1:35" x14ac:dyDescent="0.25">
      <c r="B355" s="2" t="str">
        <f t="shared" ref="B355:B360" si="436">_xlfn.CONCAT("@",AA355,AB355,AC355,AD355,AE355,AF355,AG355,AH355,AI355)</f>
        <v>@color-minor_case_unpaved_farzoom</v>
      </c>
      <c r="C355" s="139" t="s">
        <v>227</v>
      </c>
      <c r="D355" s="140" t="s">
        <v>229</v>
      </c>
      <c r="F355" s="140" t="s">
        <v>229</v>
      </c>
      <c r="G355" s="139" t="s">
        <v>227</v>
      </c>
      <c r="I355" s="156" t="str">
        <f t="shared" ref="I355:J358" si="437">C355</f>
        <v>"#b99346"</v>
      </c>
      <c r="J355" s="151" t="str">
        <f t="shared" si="437"/>
        <v>"#644507"</v>
      </c>
      <c r="L355" s="140" t="s">
        <v>229</v>
      </c>
      <c r="M355" s="139" t="s">
        <v>227</v>
      </c>
      <c r="U355" s="44"/>
      <c r="V355" s="44"/>
      <c r="X355" s="44"/>
      <c r="Y355" s="44"/>
      <c r="AA355" s="2" t="s">
        <v>6</v>
      </c>
      <c r="AB355" s="2" t="str">
        <f t="shared" ref="AB355" si="438">IF(NOT(ISBLANK(AC355)),"-","")</f>
        <v>-</v>
      </c>
      <c r="AC355" s="2" t="s">
        <v>31</v>
      </c>
      <c r="AD355" s="2" t="str">
        <f t="shared" ref="AD355" si="439">IF(NOT(ISBLANK(AE355)),"_","")</f>
        <v>_</v>
      </c>
      <c r="AE355" s="2" t="s">
        <v>17</v>
      </c>
      <c r="AF355" s="2" t="str">
        <f t="shared" ref="AF355" si="440">IF(NOT(ISBLANK(AG355)),"_","")</f>
        <v>_</v>
      </c>
      <c r="AG355" s="2" t="s">
        <v>21</v>
      </c>
      <c r="AH355" s="2" t="str">
        <f t="shared" si="341"/>
        <v>_</v>
      </c>
      <c r="AI355" s="28" t="s">
        <v>20</v>
      </c>
    </row>
    <row r="356" spans="1:35" x14ac:dyDescent="0.25">
      <c r="B356" s="2" t="str">
        <f t="shared" si="436"/>
        <v>@color-minor_case_unpaved_default</v>
      </c>
      <c r="C356" s="140" t="s">
        <v>229</v>
      </c>
      <c r="D356" s="140" t="s">
        <v>229</v>
      </c>
      <c r="F356" s="72" t="s">
        <v>214</v>
      </c>
      <c r="G356" s="72" t="s">
        <v>214</v>
      </c>
      <c r="I356" s="151" t="str">
        <f t="shared" si="437"/>
        <v>"#644507"</v>
      </c>
      <c r="J356" s="151" t="str">
        <f t="shared" si="437"/>
        <v>"#644507"</v>
      </c>
      <c r="L356" s="72" t="s">
        <v>214</v>
      </c>
      <c r="M356" s="72" t="s">
        <v>214</v>
      </c>
      <c r="U356" s="44"/>
      <c r="V356" s="44"/>
      <c r="X356" s="44"/>
      <c r="Y356" s="44"/>
      <c r="AA356" s="2" t="s">
        <v>6</v>
      </c>
      <c r="AB356" s="2" t="str">
        <f t="shared" si="323"/>
        <v>-</v>
      </c>
      <c r="AC356" s="2" t="s">
        <v>31</v>
      </c>
      <c r="AD356" s="2" t="str">
        <f t="shared" si="330"/>
        <v>_</v>
      </c>
      <c r="AE356" s="2" t="s">
        <v>17</v>
      </c>
      <c r="AF356" s="2" t="str">
        <f t="shared" si="331"/>
        <v>_</v>
      </c>
      <c r="AG356" s="2" t="s">
        <v>21</v>
      </c>
      <c r="AH356" s="2" t="str">
        <f t="shared" si="341"/>
        <v>_</v>
      </c>
      <c r="AI356" s="28" t="s">
        <v>262</v>
      </c>
    </row>
    <row r="357" spans="1:35" x14ac:dyDescent="0.25">
      <c r="B357" s="2" t="str">
        <f t="shared" si="436"/>
        <v>@color-minor_case_paved_or_uk_farzoom</v>
      </c>
      <c r="C357" s="142" t="s">
        <v>228</v>
      </c>
      <c r="D357" s="72" t="s">
        <v>214</v>
      </c>
      <c r="F357" s="142" t="s">
        <v>228</v>
      </c>
      <c r="G357" s="142" t="s">
        <v>228</v>
      </c>
      <c r="I357" s="157" t="str">
        <f t="shared" si="437"/>
        <v>"#808080"</v>
      </c>
      <c r="J357" s="37" t="str">
        <f t="shared" si="437"/>
        <v>"#000000"</v>
      </c>
      <c r="L357" s="142" t="s">
        <v>228</v>
      </c>
      <c r="M357" s="142" t="s">
        <v>228</v>
      </c>
      <c r="U357" s="44"/>
      <c r="V357" s="44"/>
      <c r="X357" s="44"/>
      <c r="Y357" s="44"/>
      <c r="AA357" s="2" t="s">
        <v>6</v>
      </c>
      <c r="AB357" s="2" t="str">
        <f t="shared" ref="AB357" si="441">IF(NOT(ISBLANK(AC357)),"-","")</f>
        <v>-</v>
      </c>
      <c r="AC357" s="2" t="s">
        <v>31</v>
      </c>
      <c r="AD357" s="2" t="str">
        <f t="shared" ref="AD357" si="442">IF(NOT(ISBLANK(AE357)),"_","")</f>
        <v>_</v>
      </c>
      <c r="AE357" s="2" t="s">
        <v>17</v>
      </c>
      <c r="AF357" s="2" t="str">
        <f t="shared" ref="AF357" si="443">IF(NOT(ISBLANK(AG357)),"_","")</f>
        <v>_</v>
      </c>
      <c r="AG357" s="2" t="s">
        <v>24</v>
      </c>
      <c r="AH357" s="2" t="str">
        <f t="shared" si="341"/>
        <v>_</v>
      </c>
      <c r="AI357" s="28" t="s">
        <v>20</v>
      </c>
    </row>
    <row r="358" spans="1:35" x14ac:dyDescent="0.25">
      <c r="B358" s="2" t="str">
        <f t="shared" si="436"/>
        <v>@color-minor_case_paved_or_uk_default</v>
      </c>
      <c r="C358" s="143" t="s">
        <v>218</v>
      </c>
      <c r="D358" s="72" t="s">
        <v>214</v>
      </c>
      <c r="F358" s="72" t="s">
        <v>214</v>
      </c>
      <c r="G358" s="72" t="s">
        <v>214</v>
      </c>
      <c r="I358" s="158" t="str">
        <f t="shared" si="437"/>
        <v>"#404040"</v>
      </c>
      <c r="J358" s="37" t="str">
        <f t="shared" si="437"/>
        <v>"#000000"</v>
      </c>
      <c r="L358" s="72" t="s">
        <v>214</v>
      </c>
      <c r="M358" s="72" t="s">
        <v>214</v>
      </c>
      <c r="U358" s="44"/>
      <c r="V358" s="44"/>
      <c r="X358" s="44"/>
      <c r="Y358" s="44"/>
      <c r="AA358" s="2" t="s">
        <v>6</v>
      </c>
      <c r="AB358" s="2" t="str">
        <f t="shared" si="323"/>
        <v>-</v>
      </c>
      <c r="AC358" s="2" t="s">
        <v>31</v>
      </c>
      <c r="AD358" s="2" t="str">
        <f t="shared" si="330"/>
        <v>_</v>
      </c>
      <c r="AE358" s="2" t="s">
        <v>17</v>
      </c>
      <c r="AF358" s="2" t="str">
        <f t="shared" si="331"/>
        <v>_</v>
      </c>
      <c r="AG358" s="2" t="s">
        <v>24</v>
      </c>
      <c r="AH358" s="2" t="str">
        <f t="shared" si="341"/>
        <v>_</v>
      </c>
      <c r="AI358" s="28" t="s">
        <v>262</v>
      </c>
    </row>
    <row r="359" spans="1:35" x14ac:dyDescent="0.25">
      <c r="B359" s="2" t="str">
        <f t="shared" si="436"/>
        <v>@color-minor_line_unpaved</v>
      </c>
      <c r="C359" s="144" t="s">
        <v>221</v>
      </c>
      <c r="D359" s="38" t="str">
        <f t="shared" ref="D359:D360" si="444">C359</f>
        <v>"#eddfca"</v>
      </c>
      <c r="F359" s="144" t="s">
        <v>221</v>
      </c>
      <c r="G359" s="38" t="str">
        <f t="shared" ref="G359:G360" si="445">F359</f>
        <v>"#eddfca"</v>
      </c>
      <c r="I359" s="145" t="str">
        <f>C359</f>
        <v>"#eddfca"</v>
      </c>
      <c r="J359" s="38" t="str">
        <f t="shared" ref="J359:J360" si="446">C359</f>
        <v>"#eddfca"</v>
      </c>
      <c r="L359" s="144" t="s">
        <v>221</v>
      </c>
      <c r="M359" s="38" t="str">
        <f t="shared" ref="M359:M360" si="447">L359</f>
        <v>"#eddfca"</v>
      </c>
      <c r="U359" s="44"/>
      <c r="V359" s="44"/>
      <c r="X359" s="44"/>
      <c r="Y359" s="44"/>
      <c r="AA359" s="2" t="s">
        <v>6</v>
      </c>
      <c r="AB359" s="2" t="str">
        <f t="shared" si="323"/>
        <v>-</v>
      </c>
      <c r="AC359" s="2" t="s">
        <v>31</v>
      </c>
      <c r="AD359" s="2" t="str">
        <f t="shared" si="330"/>
        <v>_</v>
      </c>
      <c r="AE359" s="2" t="s">
        <v>13</v>
      </c>
      <c r="AF359" s="2" t="str">
        <f t="shared" si="331"/>
        <v>_</v>
      </c>
      <c r="AG359" s="2" t="s">
        <v>21</v>
      </c>
      <c r="AH359" s="2" t="str">
        <f t="shared" si="341"/>
        <v/>
      </c>
      <c r="AI359" s="2"/>
    </row>
    <row r="360" spans="1:35" x14ac:dyDescent="0.25">
      <c r="B360" s="2" t="str">
        <f t="shared" si="436"/>
        <v>@color-minor_line_paved_or_uk</v>
      </c>
      <c r="C360" s="71" t="s">
        <v>222</v>
      </c>
      <c r="D360" s="38" t="str">
        <f t="shared" si="444"/>
        <v>"#ffffff"</v>
      </c>
      <c r="F360" s="71" t="s">
        <v>222</v>
      </c>
      <c r="G360" s="38" t="str">
        <f t="shared" si="445"/>
        <v>"#ffffff"</v>
      </c>
      <c r="I360" s="38" t="str">
        <f>C360</f>
        <v>"#ffffff"</v>
      </c>
      <c r="J360" s="38" t="str">
        <f t="shared" si="446"/>
        <v>"#ffffff"</v>
      </c>
      <c r="L360" s="71" t="s">
        <v>222</v>
      </c>
      <c r="M360" s="38" t="str">
        <f t="shared" si="447"/>
        <v>"#ffffff"</v>
      </c>
      <c r="U360" s="44"/>
      <c r="V360" s="44"/>
      <c r="X360" s="44"/>
      <c r="Y360" s="44"/>
      <c r="AA360" s="2" t="s">
        <v>6</v>
      </c>
      <c r="AB360" s="2" t="str">
        <f t="shared" si="323"/>
        <v>-</v>
      </c>
      <c r="AC360" s="2" t="s">
        <v>31</v>
      </c>
      <c r="AD360" s="2" t="str">
        <f t="shared" si="330"/>
        <v>_</v>
      </c>
      <c r="AE360" s="2" t="s">
        <v>13</v>
      </c>
      <c r="AF360" s="2" t="str">
        <f t="shared" si="331"/>
        <v>_</v>
      </c>
      <c r="AG360" s="2" t="s">
        <v>24</v>
      </c>
      <c r="AH360" s="2" t="str">
        <f t="shared" si="341"/>
        <v/>
      </c>
      <c r="AI360" s="2"/>
    </row>
    <row r="361" spans="1:35" x14ac:dyDescent="0.25">
      <c r="B361" s="2"/>
      <c r="AB361" s="28" t="str">
        <f t="shared" si="323"/>
        <v/>
      </c>
      <c r="AD361" s="28" t="str">
        <f t="shared" si="330"/>
        <v/>
      </c>
      <c r="AF361" s="28" t="str">
        <f t="shared" si="331"/>
        <v/>
      </c>
      <c r="AH361" s="28" t="str">
        <f t="shared" si="341"/>
        <v/>
      </c>
    </row>
    <row r="362" spans="1:35" s="2" customFormat="1" x14ac:dyDescent="0.25">
      <c r="A362" s="3" t="s">
        <v>224</v>
      </c>
      <c r="B362" s="3"/>
      <c r="C362" s="27"/>
      <c r="D362" s="6"/>
      <c r="E362" s="7"/>
      <c r="F362" s="6"/>
      <c r="G362" s="6"/>
      <c r="H362" s="7"/>
      <c r="I362" s="6"/>
      <c r="J362" s="6"/>
      <c r="K362" s="7"/>
      <c r="L362" s="6"/>
      <c r="M362" s="6"/>
      <c r="N362" s="7"/>
      <c r="O362" s="6"/>
      <c r="P362" s="6"/>
      <c r="Q362" s="7"/>
      <c r="R362" s="6"/>
      <c r="S362" s="6"/>
      <c r="T362" s="7"/>
      <c r="U362" s="6"/>
      <c r="V362" s="6"/>
      <c r="W362" s="7"/>
      <c r="X362" s="6"/>
      <c r="Y362" s="6"/>
      <c r="AA362" s="4"/>
      <c r="AB362" s="4" t="str">
        <f t="shared" si="323"/>
        <v/>
      </c>
      <c r="AC362" s="4"/>
      <c r="AD362" s="4" t="str">
        <f t="shared" si="330"/>
        <v/>
      </c>
      <c r="AE362" s="4"/>
      <c r="AF362" s="4" t="str">
        <f t="shared" si="331"/>
        <v/>
      </c>
      <c r="AG362" s="4"/>
      <c r="AH362" s="4" t="str">
        <f t="shared" si="341"/>
        <v/>
      </c>
      <c r="AI362" s="4"/>
    </row>
    <row r="363" spans="1:35" x14ac:dyDescent="0.25">
      <c r="B363" s="2" t="str">
        <f t="shared" ref="B363:B393" si="448">_xlfn.CONCAT("@",AA363,AB363,AC363,AD363,AE363,AF363,AG363,AH363,AI363)</f>
        <v>@color-motorway_link_line</v>
      </c>
      <c r="C363" s="135" t="s">
        <v>213</v>
      </c>
      <c r="D363" s="136" t="s">
        <v>215</v>
      </c>
      <c r="F363" s="134" t="s">
        <v>215</v>
      </c>
      <c r="G363" s="134" t="s">
        <v>215</v>
      </c>
      <c r="I363" s="135" t="s">
        <v>213</v>
      </c>
      <c r="J363" s="136" t="s">
        <v>215</v>
      </c>
      <c r="L363" s="134" t="s">
        <v>215</v>
      </c>
      <c r="M363" s="134" t="s">
        <v>215</v>
      </c>
      <c r="O363" s="135" t="s">
        <v>213</v>
      </c>
      <c r="P363" s="136" t="s">
        <v>215</v>
      </c>
      <c r="R363" s="134" t="s">
        <v>215</v>
      </c>
      <c r="S363" s="134" t="s">
        <v>215</v>
      </c>
      <c r="U363" s="135" t="s">
        <v>213</v>
      </c>
      <c r="V363" s="136" t="s">
        <v>215</v>
      </c>
      <c r="X363" s="134" t="s">
        <v>215</v>
      </c>
      <c r="Y363" s="134" t="s">
        <v>215</v>
      </c>
      <c r="AA363" s="2" t="s">
        <v>6</v>
      </c>
      <c r="AB363" s="2" t="str">
        <f t="shared" si="323"/>
        <v>-</v>
      </c>
      <c r="AC363" s="2" t="s">
        <v>33</v>
      </c>
      <c r="AD363" s="2" t="str">
        <f t="shared" si="330"/>
        <v>_</v>
      </c>
      <c r="AE363" s="2" t="s">
        <v>13</v>
      </c>
      <c r="AF363" s="2" t="str">
        <f t="shared" si="331"/>
        <v/>
      </c>
      <c r="AG363" s="2"/>
      <c r="AH363" s="2" t="str">
        <f t="shared" si="341"/>
        <v/>
      </c>
      <c r="AI363" s="2"/>
    </row>
    <row r="364" spans="1:35" x14ac:dyDescent="0.25">
      <c r="B364" s="2" t="str">
        <f t="shared" si="448"/>
        <v>@color-motorway_link_case</v>
      </c>
      <c r="C364" s="132" t="s">
        <v>212</v>
      </c>
      <c r="D364" s="37" t="s">
        <v>214</v>
      </c>
      <c r="F364" s="72" t="s">
        <v>214</v>
      </c>
      <c r="G364" s="72" t="s">
        <v>214</v>
      </c>
      <c r="I364" s="132" t="s">
        <v>212</v>
      </c>
      <c r="J364" s="37" t="s">
        <v>214</v>
      </c>
      <c r="L364" s="72" t="s">
        <v>214</v>
      </c>
      <c r="M364" s="72" t="s">
        <v>214</v>
      </c>
      <c r="O364" s="132" t="s">
        <v>212</v>
      </c>
      <c r="P364" s="37" t="s">
        <v>214</v>
      </c>
      <c r="R364" s="72" t="s">
        <v>214</v>
      </c>
      <c r="S364" s="72" t="s">
        <v>214</v>
      </c>
      <c r="U364" s="132" t="s">
        <v>212</v>
      </c>
      <c r="V364" s="37" t="s">
        <v>214</v>
      </c>
      <c r="X364" s="72" t="s">
        <v>214</v>
      </c>
      <c r="Y364" s="72" t="s">
        <v>214</v>
      </c>
      <c r="AA364" s="2" t="s">
        <v>6</v>
      </c>
      <c r="AB364" s="2" t="str">
        <f t="shared" si="323"/>
        <v>-</v>
      </c>
      <c r="AC364" s="2" t="s">
        <v>33</v>
      </c>
      <c r="AD364" s="2" t="str">
        <f t="shared" si="330"/>
        <v>_</v>
      </c>
      <c r="AE364" s="2" t="s">
        <v>17</v>
      </c>
      <c r="AF364" s="2" t="str">
        <f t="shared" si="331"/>
        <v/>
      </c>
      <c r="AG364" s="2"/>
      <c r="AH364" s="2" t="str">
        <f t="shared" si="341"/>
        <v/>
      </c>
      <c r="AI364" s="2"/>
    </row>
    <row r="365" spans="1:35" x14ac:dyDescent="0.25">
      <c r="B365" s="2"/>
      <c r="AB365" s="28" t="str">
        <f t="shared" ref="AB365" si="449">IF(NOT(ISBLANK(AC365)),"-","")</f>
        <v/>
      </c>
      <c r="AD365" s="28" t="str">
        <f t="shared" ref="AD365" si="450">IF(NOT(ISBLANK(AE365)),"_","")</f>
        <v/>
      </c>
      <c r="AF365" s="28" t="str">
        <f t="shared" ref="AF365" si="451">IF(NOT(ISBLANK(AG365)),"_","")</f>
        <v/>
      </c>
      <c r="AH365" s="28" t="str">
        <f t="shared" ref="AH365" si="452">IF(NOT(ISBLANK(AI365)),"_","")</f>
        <v/>
      </c>
    </row>
    <row r="366" spans="1:35" x14ac:dyDescent="0.25">
      <c r="B366" s="2" t="str">
        <f t="shared" si="448"/>
        <v>@color-trunk_primary_secondary_tertiary_link_line_bicycle_no</v>
      </c>
      <c r="C366" s="146" t="s">
        <v>231</v>
      </c>
      <c r="D366" s="134" t="s">
        <v>215</v>
      </c>
      <c r="F366" s="146" t="s">
        <v>231</v>
      </c>
      <c r="G366" s="134" t="s">
        <v>215</v>
      </c>
      <c r="I366" s="147" t="str">
        <f>C366</f>
        <v>"#ffcc8a"</v>
      </c>
      <c r="J366" s="136" t="str">
        <f>D366</f>
        <v>"#d6771e"</v>
      </c>
      <c r="L366" s="146" t="s">
        <v>231</v>
      </c>
      <c r="M366" s="134" t="s">
        <v>215</v>
      </c>
      <c r="AA366" s="2" t="s">
        <v>6</v>
      </c>
      <c r="AB366" s="2" t="str">
        <f t="shared" si="323"/>
        <v>-</v>
      </c>
      <c r="AC366" s="2" t="s">
        <v>32</v>
      </c>
      <c r="AD366" s="2" t="str">
        <f t="shared" si="330"/>
        <v>_</v>
      </c>
      <c r="AE366" s="2" t="s">
        <v>13</v>
      </c>
      <c r="AF366" s="2" t="str">
        <f t="shared" si="331"/>
        <v>_</v>
      </c>
      <c r="AG366" s="2" t="s">
        <v>23</v>
      </c>
      <c r="AH366" s="2" t="str">
        <f t="shared" si="341"/>
        <v/>
      </c>
      <c r="AI366" s="2"/>
    </row>
    <row r="367" spans="1:35" x14ac:dyDescent="0.25">
      <c r="B367" s="2" t="str">
        <f t="shared" si="448"/>
        <v>@color-trunk_primary_secondary_tertiary_link_line_unpaved</v>
      </c>
      <c r="C367" s="145" t="s">
        <v>221</v>
      </c>
      <c r="D367" s="145" t="str">
        <f>C367</f>
        <v>"#eddfca"</v>
      </c>
      <c r="F367" s="145" t="s">
        <v>221</v>
      </c>
      <c r="G367" s="145" t="str">
        <f>F367</f>
        <v>"#eddfca"</v>
      </c>
      <c r="I367" s="145" t="s">
        <v>221</v>
      </c>
      <c r="J367" s="145" t="str">
        <f>I367</f>
        <v>"#eddfca"</v>
      </c>
      <c r="L367" s="145" t="s">
        <v>221</v>
      </c>
      <c r="M367" s="145" t="str">
        <f>L367</f>
        <v>"#eddfca"</v>
      </c>
      <c r="AA367" s="2" t="s">
        <v>6</v>
      </c>
      <c r="AB367" s="2" t="str">
        <f t="shared" si="323"/>
        <v>-</v>
      </c>
      <c r="AC367" s="2" t="s">
        <v>32</v>
      </c>
      <c r="AD367" s="2" t="str">
        <f t="shared" si="330"/>
        <v>_</v>
      </c>
      <c r="AE367" s="2" t="s">
        <v>13</v>
      </c>
      <c r="AF367" s="2" t="str">
        <f t="shared" si="331"/>
        <v>_</v>
      </c>
      <c r="AG367" s="2" t="s">
        <v>21</v>
      </c>
      <c r="AH367" s="2" t="str">
        <f t="shared" si="341"/>
        <v/>
      </c>
      <c r="AI367" s="2"/>
    </row>
    <row r="368" spans="1:35" x14ac:dyDescent="0.25">
      <c r="B368" s="2" t="str">
        <f t="shared" si="448"/>
        <v>@color-trunk_primary_secondary_tertiary_link_line_paved_or_uk</v>
      </c>
      <c r="C368" s="71" t="s">
        <v>222</v>
      </c>
      <c r="D368" s="38" t="str">
        <f>C368</f>
        <v>"#ffffff"</v>
      </c>
      <c r="F368" s="71" t="s">
        <v>222</v>
      </c>
      <c r="G368" s="38" t="str">
        <f>F368</f>
        <v>"#ffffff"</v>
      </c>
      <c r="I368" s="71" t="s">
        <v>222</v>
      </c>
      <c r="J368" s="38" t="str">
        <f>I368</f>
        <v>"#ffffff"</v>
      </c>
      <c r="L368" s="71" t="s">
        <v>222</v>
      </c>
      <c r="M368" s="38" t="str">
        <f>L368</f>
        <v>"#ffffff"</v>
      </c>
      <c r="AA368" s="2" t="s">
        <v>6</v>
      </c>
      <c r="AB368" s="2" t="str">
        <f t="shared" si="323"/>
        <v>-</v>
      </c>
      <c r="AC368" s="2" t="s">
        <v>32</v>
      </c>
      <c r="AD368" s="2" t="str">
        <f t="shared" si="330"/>
        <v>_</v>
      </c>
      <c r="AE368" s="2" t="s">
        <v>13</v>
      </c>
      <c r="AF368" s="2" t="str">
        <f t="shared" si="331"/>
        <v>_</v>
      </c>
      <c r="AG368" s="2" t="s">
        <v>24</v>
      </c>
      <c r="AH368" s="2" t="str">
        <f t="shared" si="341"/>
        <v/>
      </c>
      <c r="AI368" s="2"/>
    </row>
    <row r="369" spans="2:35" x14ac:dyDescent="0.25">
      <c r="B369" s="2" t="str">
        <f t="shared" si="448"/>
        <v>@color-trunk_primary_secondary_tertiary_link_case_bicycle_no_farzoom</v>
      </c>
      <c r="C369" s="137" t="s">
        <v>226</v>
      </c>
      <c r="D369" s="72" t="s">
        <v>214</v>
      </c>
      <c r="F369" s="137" t="s">
        <v>226</v>
      </c>
      <c r="G369" s="137" t="s">
        <v>226</v>
      </c>
      <c r="I369" s="138" t="str">
        <f>C369</f>
        <v>"#bd430f"</v>
      </c>
      <c r="J369" s="37" t="str">
        <f>D369</f>
        <v>"#000000"</v>
      </c>
      <c r="L369" s="137" t="s">
        <v>226</v>
      </c>
      <c r="M369" s="137" t="s">
        <v>226</v>
      </c>
      <c r="AA369" s="2" t="s">
        <v>6</v>
      </c>
      <c r="AB369" s="2" t="str">
        <f t="shared" ref="AB369" si="453">IF(NOT(ISBLANK(AC369)),"-","")</f>
        <v>-</v>
      </c>
      <c r="AC369" s="2" t="s">
        <v>32</v>
      </c>
      <c r="AD369" s="2" t="str">
        <f t="shared" ref="AD369" si="454">IF(NOT(ISBLANK(AE369)),"_","")</f>
        <v>_</v>
      </c>
      <c r="AE369" s="2" t="s">
        <v>17</v>
      </c>
      <c r="AF369" s="2" t="str">
        <f t="shared" ref="AF369" si="455">IF(NOT(ISBLANK(AG369)),"_","")</f>
        <v>_</v>
      </c>
      <c r="AG369" s="2" t="s">
        <v>23</v>
      </c>
      <c r="AH369" s="2" t="str">
        <f t="shared" si="341"/>
        <v>_</v>
      </c>
      <c r="AI369" s="2" t="s">
        <v>20</v>
      </c>
    </row>
    <row r="370" spans="2:35" x14ac:dyDescent="0.25">
      <c r="B370" s="2" t="str">
        <f t="shared" ref="B370:B374" si="456">_xlfn.CONCAT("@",AA370,AB370,AC370,AD370,AE370,AF370,AG370,AH370,AI370)</f>
        <v>@color-trunk_primary_secondary_tertiary_link_case_bicycle_no_default</v>
      </c>
      <c r="C370" s="137" t="s">
        <v>226</v>
      </c>
      <c r="D370" s="72" t="s">
        <v>214</v>
      </c>
      <c r="F370" s="72" t="s">
        <v>214</v>
      </c>
      <c r="G370" s="72" t="s">
        <v>214</v>
      </c>
      <c r="I370" s="138" t="str">
        <f>C370</f>
        <v>"#bd430f"</v>
      </c>
      <c r="J370" s="37" t="str">
        <f>D370</f>
        <v>"#000000"</v>
      </c>
      <c r="L370" s="72" t="s">
        <v>214</v>
      </c>
      <c r="M370" s="72" t="s">
        <v>214</v>
      </c>
      <c r="AA370" s="2" t="s">
        <v>6</v>
      </c>
      <c r="AB370" s="2" t="str">
        <f t="shared" ref="AB370:AB374" si="457">IF(NOT(ISBLANK(AC370)),"-","")</f>
        <v>-</v>
      </c>
      <c r="AC370" s="2" t="s">
        <v>32</v>
      </c>
      <c r="AD370" s="2" t="str">
        <f t="shared" ref="AD370:AD374" si="458">IF(NOT(ISBLANK(AE370)),"_","")</f>
        <v>_</v>
      </c>
      <c r="AE370" s="2" t="s">
        <v>17</v>
      </c>
      <c r="AF370" s="2" t="str">
        <f t="shared" ref="AF370:AF374" si="459">IF(NOT(ISBLANK(AG370)),"_","")</f>
        <v>_</v>
      </c>
      <c r="AG370" s="2" t="s">
        <v>23</v>
      </c>
      <c r="AH370" s="2" t="str">
        <f t="shared" ref="AH370:AH374" si="460">IF(NOT(ISBLANK(AI370)),"_","")</f>
        <v>_</v>
      </c>
      <c r="AI370" s="2" t="s">
        <v>262</v>
      </c>
    </row>
    <row r="371" spans="2:35" x14ac:dyDescent="0.25">
      <c r="B371" s="2" t="str">
        <f t="shared" ref="B371" si="461">_xlfn.CONCAT("@",AA371,AB371,AC371,AD371,AE371,AF371,AG371,AH371,AI371)</f>
        <v>@color-trunk_primary_secondary_tertiary_link_case_unpaved_farzoom</v>
      </c>
      <c r="C371" s="139" t="s">
        <v>227</v>
      </c>
      <c r="D371" s="140" t="s">
        <v>229</v>
      </c>
      <c r="F371" s="140" t="s">
        <v>229</v>
      </c>
      <c r="G371" s="139" t="s">
        <v>227</v>
      </c>
      <c r="I371" s="139" t="s">
        <v>227</v>
      </c>
      <c r="J371" s="140" t="s">
        <v>229</v>
      </c>
      <c r="L371" s="140" t="s">
        <v>229</v>
      </c>
      <c r="M371" s="139" t="s">
        <v>227</v>
      </c>
      <c r="AA371" s="2" t="s">
        <v>6</v>
      </c>
      <c r="AB371" s="2" t="str">
        <f t="shared" ref="AB371" si="462">IF(NOT(ISBLANK(AC371)),"-","")</f>
        <v>-</v>
      </c>
      <c r="AC371" s="2" t="s">
        <v>32</v>
      </c>
      <c r="AD371" s="2" t="str">
        <f t="shared" ref="AD371" si="463">IF(NOT(ISBLANK(AE371)),"_","")</f>
        <v>_</v>
      </c>
      <c r="AE371" s="2" t="s">
        <v>17</v>
      </c>
      <c r="AF371" s="2" t="str">
        <f t="shared" ref="AF371" si="464">IF(NOT(ISBLANK(AG371)),"_","")</f>
        <v>_</v>
      </c>
      <c r="AG371" s="2" t="s">
        <v>21</v>
      </c>
      <c r="AH371" s="2" t="str">
        <f t="shared" ref="AH371" si="465">IF(NOT(ISBLANK(AI371)),"_","")</f>
        <v>_</v>
      </c>
      <c r="AI371" s="2" t="s">
        <v>20</v>
      </c>
    </row>
    <row r="372" spans="2:35" x14ac:dyDescent="0.25">
      <c r="B372" s="2" t="str">
        <f t="shared" si="456"/>
        <v>@color-trunk_primary_secondary_tertiary_link_case_unpaved_default</v>
      </c>
      <c r="C372" s="140" t="s">
        <v>229</v>
      </c>
      <c r="D372" s="140" t="s">
        <v>229</v>
      </c>
      <c r="F372" s="72" t="s">
        <v>214</v>
      </c>
      <c r="G372" s="72" t="s">
        <v>214</v>
      </c>
      <c r="I372" s="140" t="s">
        <v>229</v>
      </c>
      <c r="J372" s="140" t="s">
        <v>229</v>
      </c>
      <c r="L372" s="72" t="s">
        <v>214</v>
      </c>
      <c r="M372" s="72" t="s">
        <v>214</v>
      </c>
      <c r="AA372" s="2" t="s">
        <v>6</v>
      </c>
      <c r="AB372" s="2" t="str">
        <f t="shared" si="457"/>
        <v>-</v>
      </c>
      <c r="AC372" s="2" t="s">
        <v>32</v>
      </c>
      <c r="AD372" s="2" t="str">
        <f t="shared" si="458"/>
        <v>_</v>
      </c>
      <c r="AE372" s="2" t="s">
        <v>17</v>
      </c>
      <c r="AF372" s="2" t="str">
        <f t="shared" si="459"/>
        <v>_</v>
      </c>
      <c r="AG372" s="2" t="s">
        <v>21</v>
      </c>
      <c r="AH372" s="2" t="str">
        <f t="shared" si="460"/>
        <v>_</v>
      </c>
      <c r="AI372" s="2" t="s">
        <v>262</v>
      </c>
    </row>
    <row r="373" spans="2:35" x14ac:dyDescent="0.25">
      <c r="B373" s="2" t="str">
        <f t="shared" ref="B373" si="466">_xlfn.CONCAT("@",AA373,AB373,AC373,AD373,AE373,AF373,AG373,AH373,AI373)</f>
        <v>@color-trunk_primary_secondary_tertiary_link_case_paved_or_uk_farzoom</v>
      </c>
      <c r="C373" s="142" t="s">
        <v>228</v>
      </c>
      <c r="D373" s="72" t="s">
        <v>214</v>
      </c>
      <c r="F373" s="142" t="s">
        <v>228</v>
      </c>
      <c r="G373" s="142" t="s">
        <v>228</v>
      </c>
      <c r="I373" s="142" t="s">
        <v>228</v>
      </c>
      <c r="J373" s="72" t="s">
        <v>214</v>
      </c>
      <c r="L373" s="142" t="s">
        <v>228</v>
      </c>
      <c r="M373" s="142" t="s">
        <v>228</v>
      </c>
      <c r="AA373" s="2" t="s">
        <v>6</v>
      </c>
      <c r="AB373" s="2" t="str">
        <f t="shared" ref="AB373" si="467">IF(NOT(ISBLANK(AC373)),"-","")</f>
        <v>-</v>
      </c>
      <c r="AC373" s="2" t="s">
        <v>32</v>
      </c>
      <c r="AD373" s="2" t="str">
        <f t="shared" ref="AD373" si="468">IF(NOT(ISBLANK(AE373)),"_","")</f>
        <v>_</v>
      </c>
      <c r="AE373" s="2" t="s">
        <v>17</v>
      </c>
      <c r="AF373" s="2" t="str">
        <f t="shared" ref="AF373" si="469">IF(NOT(ISBLANK(AG373)),"_","")</f>
        <v>_</v>
      </c>
      <c r="AG373" s="2" t="s">
        <v>24</v>
      </c>
      <c r="AH373" s="2" t="str">
        <f t="shared" ref="AH373" si="470">IF(NOT(ISBLANK(AI373)),"_","")</f>
        <v>_</v>
      </c>
      <c r="AI373" s="2" t="s">
        <v>20</v>
      </c>
    </row>
    <row r="374" spans="2:35" x14ac:dyDescent="0.25">
      <c r="B374" s="2" t="str">
        <f t="shared" si="456"/>
        <v>@color-trunk_primary_secondary_tertiary_link_case_paved_or_uk_default</v>
      </c>
      <c r="C374" s="148" t="s">
        <v>230</v>
      </c>
      <c r="D374" s="72" t="s">
        <v>214</v>
      </c>
      <c r="F374" s="72" t="s">
        <v>214</v>
      </c>
      <c r="G374" s="72" t="s">
        <v>214</v>
      </c>
      <c r="I374" s="148" t="s">
        <v>230</v>
      </c>
      <c r="J374" s="72" t="s">
        <v>214</v>
      </c>
      <c r="L374" s="72" t="s">
        <v>214</v>
      </c>
      <c r="M374" s="72" t="s">
        <v>214</v>
      </c>
      <c r="AA374" s="2" t="s">
        <v>6</v>
      </c>
      <c r="AB374" s="2" t="str">
        <f t="shared" si="457"/>
        <v>-</v>
      </c>
      <c r="AC374" s="2" t="s">
        <v>32</v>
      </c>
      <c r="AD374" s="2" t="str">
        <f t="shared" si="458"/>
        <v>_</v>
      </c>
      <c r="AE374" s="2" t="s">
        <v>17</v>
      </c>
      <c r="AF374" s="2" t="str">
        <f t="shared" si="459"/>
        <v>_</v>
      </c>
      <c r="AG374" s="2" t="s">
        <v>24</v>
      </c>
      <c r="AH374" s="2" t="str">
        <f t="shared" si="460"/>
        <v>_</v>
      </c>
      <c r="AI374" s="2" t="s">
        <v>262</v>
      </c>
    </row>
    <row r="375" spans="2:35" x14ac:dyDescent="0.25">
      <c r="B375" s="2" t="str">
        <f t="shared" si="448"/>
        <v>@</v>
      </c>
    </row>
    <row r="376" spans="2:35" x14ac:dyDescent="0.25">
      <c r="B376" s="2" t="str">
        <f t="shared" si="448"/>
        <v>@</v>
      </c>
    </row>
    <row r="377" spans="2:35" x14ac:dyDescent="0.25">
      <c r="B377" s="2" t="str">
        <f t="shared" si="448"/>
        <v>@</v>
      </c>
    </row>
    <row r="378" spans="2:35" x14ac:dyDescent="0.25">
      <c r="B378" s="2" t="str">
        <f t="shared" si="448"/>
        <v>@</v>
      </c>
    </row>
    <row r="379" spans="2:35" x14ac:dyDescent="0.25">
      <c r="B379" s="2" t="str">
        <f t="shared" si="448"/>
        <v>@</v>
      </c>
    </row>
    <row r="380" spans="2:35" x14ac:dyDescent="0.25">
      <c r="B380" s="2" t="str">
        <f t="shared" si="448"/>
        <v>@</v>
      </c>
    </row>
    <row r="381" spans="2:35" x14ac:dyDescent="0.25">
      <c r="B381" s="2" t="str">
        <f t="shared" si="448"/>
        <v>@</v>
      </c>
    </row>
    <row r="382" spans="2:35" x14ac:dyDescent="0.25">
      <c r="B382" s="2" t="str">
        <f t="shared" si="448"/>
        <v>@</v>
      </c>
    </row>
    <row r="383" spans="2:35" x14ac:dyDescent="0.25">
      <c r="B383" s="2" t="str">
        <f t="shared" si="448"/>
        <v>@</v>
      </c>
    </row>
    <row r="384" spans="2:35" x14ac:dyDescent="0.25">
      <c r="B384" s="2" t="str">
        <f t="shared" si="448"/>
        <v>@</v>
      </c>
    </row>
    <row r="385" spans="2:2" x14ac:dyDescent="0.25">
      <c r="B385" s="2" t="str">
        <f t="shared" si="448"/>
        <v>@</v>
      </c>
    </row>
    <row r="386" spans="2:2" x14ac:dyDescent="0.25">
      <c r="B386" s="2" t="str">
        <f t="shared" si="448"/>
        <v>@</v>
      </c>
    </row>
    <row r="387" spans="2:2" x14ac:dyDescent="0.25">
      <c r="B387" s="2" t="str">
        <f t="shared" si="448"/>
        <v>@</v>
      </c>
    </row>
    <row r="388" spans="2:2" x14ac:dyDescent="0.25">
      <c r="B388" s="2" t="str">
        <f t="shared" si="448"/>
        <v>@</v>
      </c>
    </row>
    <row r="389" spans="2:2" x14ac:dyDescent="0.25">
      <c r="B389" s="2" t="str">
        <f t="shared" si="448"/>
        <v>@</v>
      </c>
    </row>
    <row r="390" spans="2:2" x14ac:dyDescent="0.25">
      <c r="B390" s="2" t="str">
        <f t="shared" si="448"/>
        <v>@</v>
      </c>
    </row>
    <row r="391" spans="2:2" x14ac:dyDescent="0.25">
      <c r="B391" s="2" t="str">
        <f t="shared" si="448"/>
        <v>@</v>
      </c>
    </row>
    <row r="392" spans="2:2" x14ac:dyDescent="0.25">
      <c r="B392" s="2" t="str">
        <f t="shared" si="448"/>
        <v>@</v>
      </c>
    </row>
    <row r="393" spans="2:2" x14ac:dyDescent="0.25">
      <c r="B393" s="2" t="str">
        <f t="shared" si="448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2 H73:L73 H74:L74 H75 H76 H77:L77 H78:L78 H79 J72:K72 J76:K76 H83 J83:K83 J75:K7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2025-12-28T11:54:38Z</dcterms:modified>
</cp:coreProperties>
</file>