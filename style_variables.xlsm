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6D26E288-4BCD-4FF8-9642-6B02C7690CEF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4" i="5" l="1"/>
  <c r="AF64" i="5"/>
  <c r="AD64" i="5"/>
  <c r="AB64" i="5"/>
  <c r="B64" i="5"/>
  <c r="AH151" i="5"/>
  <c r="AF151" i="5"/>
  <c r="AD151" i="5"/>
  <c r="AB151" i="5"/>
  <c r="B151" i="5"/>
  <c r="AH152" i="5"/>
  <c r="AF152" i="5"/>
  <c r="AD152" i="5"/>
  <c r="AB152" i="5"/>
  <c r="B152" i="5"/>
  <c r="AH150" i="5"/>
  <c r="AF150" i="5"/>
  <c r="AD150" i="5"/>
  <c r="AB150" i="5"/>
  <c r="AH149" i="5"/>
  <c r="AF149" i="5"/>
  <c r="AD149" i="5"/>
  <c r="AB149" i="5"/>
  <c r="B149" i="5"/>
  <c r="AH203" i="5"/>
  <c r="AF203" i="5"/>
  <c r="AD203" i="5"/>
  <c r="AB203" i="5"/>
  <c r="B203" i="5"/>
  <c r="AH202" i="5"/>
  <c r="AF202" i="5"/>
  <c r="AD202" i="5"/>
  <c r="AB202" i="5"/>
  <c r="AH201" i="5"/>
  <c r="AF201" i="5"/>
  <c r="AD201" i="5"/>
  <c r="AB201" i="5"/>
  <c r="B201" i="5"/>
  <c r="AH200" i="5"/>
  <c r="AF200" i="5"/>
  <c r="AD200" i="5"/>
  <c r="AB200" i="5"/>
  <c r="AF199" i="5"/>
  <c r="AD199" i="5"/>
  <c r="AB199" i="5"/>
  <c r="AH199" i="5"/>
  <c r="AH198" i="5"/>
  <c r="AF198" i="5"/>
  <c r="AD198" i="5"/>
  <c r="AB198" i="5"/>
  <c r="B198" i="5" s="1"/>
  <c r="Y295" i="5"/>
  <c r="V295" i="5"/>
  <c r="Y306" i="5"/>
  <c r="V306" i="5"/>
  <c r="Y316" i="5"/>
  <c r="V316" i="5"/>
  <c r="Y326" i="5"/>
  <c r="V326" i="5"/>
  <c r="Y407" i="5"/>
  <c r="V407" i="5"/>
  <c r="Y394" i="5"/>
  <c r="V394" i="5"/>
  <c r="Y381" i="5"/>
  <c r="V381" i="5"/>
  <c r="V382" i="5"/>
  <c r="Y382" i="5"/>
  <c r="Y368" i="5"/>
  <c r="V368" i="5"/>
  <c r="Y355" i="5"/>
  <c r="V355" i="5"/>
  <c r="Y342" i="5"/>
  <c r="V342" i="5"/>
  <c r="AH146" i="5"/>
  <c r="AF146" i="5"/>
  <c r="AD146" i="5"/>
  <c r="AB146" i="5"/>
  <c r="B146" i="5" s="1"/>
  <c r="AH145" i="5"/>
  <c r="AF145" i="5"/>
  <c r="AD145" i="5"/>
  <c r="AB145" i="5"/>
  <c r="AH144" i="5"/>
  <c r="AF144" i="5"/>
  <c r="AD144" i="5"/>
  <c r="AB144" i="5"/>
  <c r="AH143" i="5"/>
  <c r="AF143" i="5"/>
  <c r="AD143" i="5"/>
  <c r="AB143" i="5"/>
  <c r="B143" i="5"/>
  <c r="AH142" i="5"/>
  <c r="AF142" i="5"/>
  <c r="AD142" i="5"/>
  <c r="AB142" i="5"/>
  <c r="AH141" i="5"/>
  <c r="AF141" i="5"/>
  <c r="AD141" i="5"/>
  <c r="AB141" i="5"/>
  <c r="AH137" i="5"/>
  <c r="AF137" i="5"/>
  <c r="AD137" i="5"/>
  <c r="AB137" i="5"/>
  <c r="AH136" i="5"/>
  <c r="AF136" i="5"/>
  <c r="AD136" i="5"/>
  <c r="AB136" i="5"/>
  <c r="AH109" i="5"/>
  <c r="AF109" i="5"/>
  <c r="AD109" i="5"/>
  <c r="AB109" i="5"/>
  <c r="B109" i="5"/>
  <c r="AH140" i="5"/>
  <c r="AF140" i="5"/>
  <c r="AD140" i="5"/>
  <c r="AB140" i="5"/>
  <c r="AH139" i="5"/>
  <c r="AF139" i="5"/>
  <c r="AD139" i="5"/>
  <c r="AB139" i="5"/>
  <c r="AH135" i="5"/>
  <c r="AF135" i="5"/>
  <c r="AD135" i="5"/>
  <c r="AB135" i="5"/>
  <c r="AH134" i="5"/>
  <c r="AF134" i="5"/>
  <c r="AD134" i="5"/>
  <c r="AB134" i="5"/>
  <c r="Y408" i="5"/>
  <c r="V408" i="5"/>
  <c r="Y395" i="5"/>
  <c r="V395" i="5"/>
  <c r="Y369" i="5"/>
  <c r="V369" i="5"/>
  <c r="Y356" i="5"/>
  <c r="V356" i="5"/>
  <c r="Y343" i="5"/>
  <c r="V343" i="5"/>
  <c r="Y327" i="5"/>
  <c r="V327" i="5"/>
  <c r="Y317" i="5"/>
  <c r="V317" i="5"/>
  <c r="Y307" i="5"/>
  <c r="V307" i="5"/>
  <c r="Y296" i="5"/>
  <c r="V296" i="5"/>
  <c r="Y215" i="5"/>
  <c r="V215" i="5"/>
  <c r="Y209" i="5"/>
  <c r="V209" i="5"/>
  <c r="Y208" i="5"/>
  <c r="V208" i="5"/>
  <c r="Y207" i="5"/>
  <c r="V207" i="5"/>
  <c r="Y206" i="5"/>
  <c r="V206" i="5"/>
  <c r="Y171" i="5"/>
  <c r="V171" i="5"/>
  <c r="Y170" i="5"/>
  <c r="V170" i="5"/>
  <c r="AH68" i="5"/>
  <c r="AF68" i="5"/>
  <c r="AD68" i="5"/>
  <c r="AB68" i="5"/>
  <c r="AH400" i="5"/>
  <c r="AF400" i="5"/>
  <c r="AD400" i="5"/>
  <c r="AB400" i="5"/>
  <c r="AH399" i="5"/>
  <c r="AF399" i="5"/>
  <c r="AD399" i="5"/>
  <c r="AB399" i="5"/>
  <c r="AH398" i="5"/>
  <c r="AF398" i="5"/>
  <c r="AD398" i="5"/>
  <c r="AB398" i="5"/>
  <c r="AH397" i="5"/>
  <c r="AF397" i="5"/>
  <c r="AD397" i="5"/>
  <c r="AB397" i="5"/>
  <c r="AH332" i="5"/>
  <c r="AF332" i="5"/>
  <c r="AD332" i="5"/>
  <c r="AB332" i="5"/>
  <c r="B332" i="5"/>
  <c r="AH331" i="5"/>
  <c r="AF331" i="5"/>
  <c r="AD331" i="5"/>
  <c r="AB331" i="5"/>
  <c r="AH330" i="5"/>
  <c r="AF330" i="5"/>
  <c r="AD330" i="5"/>
  <c r="AB330" i="5"/>
  <c r="AH329" i="5"/>
  <c r="AF329" i="5"/>
  <c r="AD329" i="5"/>
  <c r="AB329" i="5"/>
  <c r="AH336" i="5"/>
  <c r="AF336" i="5"/>
  <c r="AD336" i="5"/>
  <c r="AB336" i="5"/>
  <c r="AH335" i="5"/>
  <c r="AF335" i="5"/>
  <c r="AD335" i="5"/>
  <c r="AB335" i="5"/>
  <c r="AH348" i="5"/>
  <c r="AF348" i="5"/>
  <c r="AD348" i="5"/>
  <c r="AB348" i="5"/>
  <c r="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74" i="5"/>
  <c r="AF374" i="5"/>
  <c r="AD374" i="5"/>
  <c r="AB374" i="5"/>
  <c r="AH373" i="5"/>
  <c r="AF373" i="5"/>
  <c r="AD373" i="5"/>
  <c r="AB373" i="5"/>
  <c r="AH372" i="5"/>
  <c r="AF372" i="5"/>
  <c r="AD372" i="5"/>
  <c r="AB372" i="5"/>
  <c r="AH371" i="5"/>
  <c r="AF371" i="5"/>
  <c r="AD371" i="5"/>
  <c r="AB371" i="5"/>
  <c r="AH361" i="5"/>
  <c r="AF361" i="5"/>
  <c r="AD361" i="5"/>
  <c r="AB361" i="5"/>
  <c r="AH360" i="5"/>
  <c r="AF360" i="5"/>
  <c r="AD360" i="5"/>
  <c r="AB360" i="5"/>
  <c r="AH359" i="5"/>
  <c r="AF359" i="5"/>
  <c r="AD359" i="5"/>
  <c r="AB359" i="5"/>
  <c r="AH358" i="5"/>
  <c r="AF358" i="5"/>
  <c r="AD358" i="5"/>
  <c r="AB358" i="5"/>
  <c r="AH385" i="5"/>
  <c r="AF385" i="5"/>
  <c r="AD385" i="5"/>
  <c r="AB385" i="5"/>
  <c r="AH384" i="5"/>
  <c r="AF384" i="5"/>
  <c r="AD384" i="5"/>
  <c r="AB384" i="5"/>
  <c r="AH387" i="5"/>
  <c r="AF387" i="5"/>
  <c r="AD387" i="5"/>
  <c r="AB387" i="5"/>
  <c r="B387" i="5"/>
  <c r="AH386" i="5"/>
  <c r="AF386" i="5"/>
  <c r="AD386" i="5"/>
  <c r="AB386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78" i="5"/>
  <c r="AF278" i="5"/>
  <c r="AD278" i="5"/>
  <c r="AB278" i="5"/>
  <c r="B278" i="5"/>
  <c r="AH277" i="5"/>
  <c r="AF277" i="5"/>
  <c r="AD277" i="5"/>
  <c r="AB277" i="5"/>
  <c r="B277" i="5" s="1"/>
  <c r="AH273" i="5"/>
  <c r="AF273" i="5"/>
  <c r="AD273" i="5"/>
  <c r="AB273" i="5"/>
  <c r="B273" i="5"/>
  <c r="AH272" i="5"/>
  <c r="AF272" i="5"/>
  <c r="AD272" i="5"/>
  <c r="AB272" i="5"/>
  <c r="B272" i="5" s="1"/>
  <c r="AH271" i="5"/>
  <c r="AF271" i="5"/>
  <c r="AD271" i="5"/>
  <c r="AB271" i="5"/>
  <c r="B271" i="5" s="1"/>
  <c r="AH270" i="5"/>
  <c r="AF270" i="5"/>
  <c r="AD270" i="5"/>
  <c r="AB270" i="5"/>
  <c r="AH280" i="5"/>
  <c r="AF280" i="5"/>
  <c r="AD280" i="5"/>
  <c r="AB280" i="5"/>
  <c r="AH279" i="5"/>
  <c r="AF279" i="5"/>
  <c r="AD279" i="5"/>
  <c r="AB279" i="5"/>
  <c r="AH276" i="5"/>
  <c r="AF276" i="5"/>
  <c r="AD276" i="5"/>
  <c r="AB276" i="5"/>
  <c r="B276" i="5"/>
  <c r="AH274" i="5"/>
  <c r="AF274" i="5"/>
  <c r="AD274" i="5"/>
  <c r="AB274" i="5"/>
  <c r="AH269" i="5"/>
  <c r="AF269" i="5"/>
  <c r="AD269" i="5"/>
  <c r="AB269" i="5"/>
  <c r="AH268" i="5"/>
  <c r="AF268" i="5"/>
  <c r="AD268" i="5"/>
  <c r="AB268" i="5"/>
  <c r="M408" i="5"/>
  <c r="M407" i="5"/>
  <c r="M395" i="5"/>
  <c r="M394" i="5"/>
  <c r="M382" i="5"/>
  <c r="M381" i="5"/>
  <c r="M369" i="5"/>
  <c r="M368" i="5"/>
  <c r="M356" i="5"/>
  <c r="M355" i="5"/>
  <c r="M343" i="5"/>
  <c r="M342" i="5"/>
  <c r="M327" i="5"/>
  <c r="M326" i="5"/>
  <c r="M317" i="5"/>
  <c r="M316" i="5"/>
  <c r="M307" i="5"/>
  <c r="M306" i="5"/>
  <c r="M296" i="5"/>
  <c r="M295" i="5"/>
  <c r="AH376" i="5"/>
  <c r="AF376" i="5"/>
  <c r="AD376" i="5"/>
  <c r="AB376" i="5"/>
  <c r="AH369" i="5"/>
  <c r="AF369" i="5"/>
  <c r="AD369" i="5"/>
  <c r="AB369" i="5"/>
  <c r="J369" i="5"/>
  <c r="G369" i="5"/>
  <c r="D369" i="5"/>
  <c r="B369" i="5"/>
  <c r="AH368" i="5"/>
  <c r="AF368" i="5"/>
  <c r="AD368" i="5"/>
  <c r="AB368" i="5"/>
  <c r="B368" i="5" s="1"/>
  <c r="J368" i="5"/>
  <c r="G368" i="5"/>
  <c r="D368" i="5"/>
  <c r="AH367" i="5"/>
  <c r="AF367" i="5"/>
  <c r="AD367" i="5"/>
  <c r="AB367" i="5"/>
  <c r="J367" i="5"/>
  <c r="I367" i="5"/>
  <c r="AH366" i="5"/>
  <c r="AF366" i="5"/>
  <c r="AD366" i="5"/>
  <c r="AB366" i="5"/>
  <c r="J366" i="5"/>
  <c r="I366" i="5"/>
  <c r="AH365" i="5"/>
  <c r="AF365" i="5"/>
  <c r="AD365" i="5"/>
  <c r="AB365" i="5"/>
  <c r="J365" i="5"/>
  <c r="I365" i="5"/>
  <c r="AH364" i="5"/>
  <c r="AF364" i="5"/>
  <c r="AD364" i="5"/>
  <c r="AB364" i="5"/>
  <c r="J364" i="5"/>
  <c r="I364" i="5"/>
  <c r="G382" i="5"/>
  <c r="G381" i="5"/>
  <c r="G395" i="5"/>
  <c r="G394" i="5"/>
  <c r="G356" i="5"/>
  <c r="G355" i="5"/>
  <c r="G343" i="5"/>
  <c r="G342" i="5"/>
  <c r="J356" i="5"/>
  <c r="J355" i="5"/>
  <c r="J409" i="5"/>
  <c r="I409" i="5"/>
  <c r="AH413" i="5"/>
  <c r="AF413" i="5"/>
  <c r="AD413" i="5"/>
  <c r="AB413" i="5"/>
  <c r="AH411" i="5"/>
  <c r="AF411" i="5"/>
  <c r="AD411" i="5"/>
  <c r="AB411" i="5"/>
  <c r="AH409" i="5"/>
  <c r="AF409" i="5"/>
  <c r="AD409" i="5"/>
  <c r="AB409" i="5"/>
  <c r="J410" i="5"/>
  <c r="I410" i="5"/>
  <c r="J408" i="5"/>
  <c r="G408" i="5"/>
  <c r="D408" i="5"/>
  <c r="J407" i="5"/>
  <c r="G407" i="5"/>
  <c r="D407" i="5"/>
  <c r="J406" i="5"/>
  <c r="I406" i="5"/>
  <c r="AH405" i="5"/>
  <c r="AF405" i="5"/>
  <c r="AD405" i="5"/>
  <c r="AB405" i="5"/>
  <c r="AH414" i="5"/>
  <c r="AF414" i="5"/>
  <c r="AD414" i="5"/>
  <c r="AB414" i="5"/>
  <c r="AH412" i="5"/>
  <c r="AF412" i="5"/>
  <c r="AD412" i="5"/>
  <c r="AB412" i="5"/>
  <c r="AH410" i="5"/>
  <c r="AF410" i="5"/>
  <c r="AD410" i="5"/>
  <c r="AB410" i="5"/>
  <c r="AH340" i="5"/>
  <c r="AF340" i="5"/>
  <c r="AD340" i="5"/>
  <c r="AB340" i="5"/>
  <c r="J340" i="5"/>
  <c r="I340" i="5"/>
  <c r="AH338" i="5"/>
  <c r="AF338" i="5"/>
  <c r="AD338" i="5"/>
  <c r="AB338" i="5"/>
  <c r="J338" i="5"/>
  <c r="I338" i="5"/>
  <c r="AH196" i="5"/>
  <c r="AF196" i="5"/>
  <c r="AD196" i="5"/>
  <c r="AB196" i="5"/>
  <c r="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F191" i="5"/>
  <c r="AD191" i="5"/>
  <c r="AB191" i="5"/>
  <c r="AH190" i="5"/>
  <c r="AF190" i="5"/>
  <c r="AD190" i="5"/>
  <c r="AB190" i="5"/>
  <c r="AH189" i="5"/>
  <c r="AF189" i="5"/>
  <c r="AD189" i="5"/>
  <c r="AB189" i="5"/>
  <c r="AH188" i="5"/>
  <c r="AF188" i="5"/>
  <c r="AD188" i="5"/>
  <c r="AB188" i="5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B184" i="5"/>
  <c r="AH183" i="5"/>
  <c r="AF183" i="5"/>
  <c r="AD183" i="5"/>
  <c r="AB183" i="5"/>
  <c r="AH131" i="5"/>
  <c r="AF131" i="5"/>
  <c r="AD131" i="5"/>
  <c r="AB131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05" i="5"/>
  <c r="AF105" i="5"/>
  <c r="AD105" i="5"/>
  <c r="AB105" i="5"/>
  <c r="B105" i="5" s="1"/>
  <c r="AH104" i="5"/>
  <c r="AF104" i="5"/>
  <c r="AD104" i="5"/>
  <c r="AB104" i="5"/>
  <c r="AH103" i="5"/>
  <c r="AF103" i="5"/>
  <c r="AD103" i="5"/>
  <c r="AB103" i="5"/>
  <c r="AH102" i="5"/>
  <c r="AF102" i="5"/>
  <c r="AD102" i="5"/>
  <c r="AB102" i="5"/>
  <c r="AH106" i="5"/>
  <c r="AF106" i="5"/>
  <c r="AD106" i="5"/>
  <c r="AB106" i="5"/>
  <c r="AH181" i="5"/>
  <c r="AF181" i="5"/>
  <c r="AD181" i="5"/>
  <c r="AB181" i="5"/>
  <c r="AH180" i="5"/>
  <c r="AF180" i="5"/>
  <c r="AD180" i="5"/>
  <c r="AB180" i="5"/>
  <c r="B180" i="5"/>
  <c r="AH179" i="5"/>
  <c r="AF179" i="5"/>
  <c r="AD179" i="5"/>
  <c r="AB179" i="5"/>
  <c r="AH178" i="5"/>
  <c r="AF178" i="5"/>
  <c r="AD178" i="5"/>
  <c r="AB178" i="5"/>
  <c r="M215" i="5"/>
  <c r="J215" i="5"/>
  <c r="M209" i="5"/>
  <c r="J209" i="5"/>
  <c r="M208" i="5"/>
  <c r="J208" i="5"/>
  <c r="M207" i="5"/>
  <c r="J207" i="5"/>
  <c r="M206" i="5"/>
  <c r="J206" i="5"/>
  <c r="M171" i="5"/>
  <c r="M170" i="5"/>
  <c r="J171" i="5"/>
  <c r="J170" i="5"/>
  <c r="AH176" i="5"/>
  <c r="AF176" i="5"/>
  <c r="AD176" i="5"/>
  <c r="AB176" i="5"/>
  <c r="AH175" i="5"/>
  <c r="AF175" i="5"/>
  <c r="AD175" i="5"/>
  <c r="AB175" i="5"/>
  <c r="AH174" i="5"/>
  <c r="AF174" i="5"/>
  <c r="AD174" i="5"/>
  <c r="AB174" i="5"/>
  <c r="AH88" i="5"/>
  <c r="AF88" i="5"/>
  <c r="AD88" i="5"/>
  <c r="AB88" i="5"/>
  <c r="AH87" i="5"/>
  <c r="AF87" i="5"/>
  <c r="AD87" i="5"/>
  <c r="AB87" i="5"/>
  <c r="AH100" i="5"/>
  <c r="AF100" i="5"/>
  <c r="AD100" i="5"/>
  <c r="AB100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4" i="5"/>
  <c r="AF94" i="5"/>
  <c r="AD94" i="5"/>
  <c r="AB94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B90" i="5" s="1"/>
  <c r="AH96" i="5"/>
  <c r="AF96" i="5"/>
  <c r="AD96" i="5"/>
  <c r="AB96" i="5"/>
  <c r="AH163" i="5"/>
  <c r="AF163" i="5"/>
  <c r="AD163" i="5"/>
  <c r="AB163" i="5"/>
  <c r="AH167" i="5"/>
  <c r="AF167" i="5"/>
  <c r="AD167" i="5"/>
  <c r="A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AH173" i="5"/>
  <c r="AF173" i="5"/>
  <c r="AD173" i="5"/>
  <c r="AB173" i="5"/>
  <c r="AH239" i="5"/>
  <c r="AF239" i="5"/>
  <c r="AD239" i="5"/>
  <c r="AB239" i="5"/>
  <c r="AH238" i="5"/>
  <c r="AF238" i="5"/>
  <c r="AD238" i="5"/>
  <c r="AB238" i="5"/>
  <c r="AH236" i="5"/>
  <c r="AF236" i="5"/>
  <c r="AD236" i="5"/>
  <c r="AB236" i="5"/>
  <c r="AH235" i="5"/>
  <c r="AF235" i="5"/>
  <c r="AD235" i="5"/>
  <c r="AB235" i="5"/>
  <c r="AH234" i="5"/>
  <c r="AF234" i="5"/>
  <c r="AD234" i="5"/>
  <c r="AB234" i="5"/>
  <c r="AH232" i="5"/>
  <c r="AF232" i="5"/>
  <c r="AD232" i="5"/>
  <c r="AB232" i="5"/>
  <c r="AH231" i="5"/>
  <c r="AF231" i="5"/>
  <c r="AD231" i="5"/>
  <c r="AB231" i="5"/>
  <c r="AH230" i="5"/>
  <c r="AF230" i="5"/>
  <c r="AD230" i="5"/>
  <c r="AB230" i="5"/>
  <c r="AH229" i="5"/>
  <c r="AF229" i="5"/>
  <c r="AD229" i="5"/>
  <c r="AB229" i="5"/>
  <c r="AH227" i="5"/>
  <c r="AH226" i="5"/>
  <c r="AH225" i="5"/>
  <c r="AH224" i="5"/>
  <c r="AH223" i="5"/>
  <c r="AH222" i="5"/>
  <c r="AH221" i="5"/>
  <c r="AH220" i="5"/>
  <c r="AH219" i="5"/>
  <c r="AH218" i="5"/>
  <c r="AF227" i="5"/>
  <c r="AF226" i="5"/>
  <c r="AF225" i="5"/>
  <c r="AF224" i="5"/>
  <c r="AF223" i="5"/>
  <c r="AF222" i="5"/>
  <c r="AF221" i="5"/>
  <c r="AF220" i="5"/>
  <c r="AD227" i="5"/>
  <c r="AD226" i="5"/>
  <c r="AD225" i="5"/>
  <c r="AD224" i="5"/>
  <c r="AB227" i="5"/>
  <c r="AB226" i="5"/>
  <c r="AB225" i="5"/>
  <c r="AB224" i="5"/>
  <c r="AD220" i="5"/>
  <c r="AB220" i="5"/>
  <c r="AD221" i="5"/>
  <c r="AB221" i="5"/>
  <c r="AF219" i="5"/>
  <c r="AD219" i="5"/>
  <c r="AB219" i="5"/>
  <c r="AF218" i="5"/>
  <c r="AD218" i="5"/>
  <c r="AB218" i="5"/>
  <c r="AH217" i="5"/>
  <c r="AF217" i="5"/>
  <c r="AD217" i="5"/>
  <c r="AB217" i="5"/>
  <c r="AH216" i="5"/>
  <c r="AF216" i="5"/>
  <c r="AD216" i="5"/>
  <c r="AB216" i="5"/>
  <c r="G170" i="5"/>
  <c r="G171" i="5"/>
  <c r="G209" i="5"/>
  <c r="G208" i="5"/>
  <c r="G207" i="5"/>
  <c r="G206" i="5"/>
  <c r="G215" i="5"/>
  <c r="AH125" i="5"/>
  <c r="AF125" i="5"/>
  <c r="AD125" i="5"/>
  <c r="AB125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327" i="5"/>
  <c r="AH326" i="5"/>
  <c r="AH325" i="5"/>
  <c r="AH324" i="5"/>
  <c r="AH323" i="5"/>
  <c r="AH322" i="5"/>
  <c r="AH321" i="5"/>
  <c r="AH320" i="5"/>
  <c r="AH319" i="5"/>
  <c r="AH317" i="5"/>
  <c r="AH316" i="5"/>
  <c r="AH314" i="5"/>
  <c r="AH313" i="5"/>
  <c r="AH312" i="5"/>
  <c r="AH311" i="5"/>
  <c r="AH310" i="5"/>
  <c r="AH309" i="5"/>
  <c r="AH307" i="5"/>
  <c r="AH306" i="5"/>
  <c r="AH304" i="5"/>
  <c r="AH303" i="5"/>
  <c r="AH302" i="5"/>
  <c r="AH301" i="5"/>
  <c r="AH300" i="5"/>
  <c r="AH299" i="5"/>
  <c r="AH28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AH408" i="5"/>
  <c r="AH407" i="5"/>
  <c r="AH406" i="5"/>
  <c r="AH404" i="5"/>
  <c r="AH403" i="5"/>
  <c r="AH402" i="5"/>
  <c r="AH401" i="5"/>
  <c r="AH395" i="5"/>
  <c r="AH394" i="5"/>
  <c r="AH393" i="5"/>
  <c r="AH392" i="5"/>
  <c r="AH391" i="5"/>
  <c r="AH390" i="5"/>
  <c r="AH389" i="5"/>
  <c r="AH382" i="5"/>
  <c r="AH381" i="5"/>
  <c r="AH380" i="5"/>
  <c r="AH379" i="5"/>
  <c r="AH378" i="5"/>
  <c r="AH377" i="5"/>
  <c r="AH363" i="5"/>
  <c r="AH356" i="5"/>
  <c r="AH355" i="5"/>
  <c r="AH354" i="5"/>
  <c r="AH353" i="5"/>
  <c r="AH352" i="5"/>
  <c r="AH351" i="5"/>
  <c r="AH350" i="5"/>
  <c r="AH343" i="5"/>
  <c r="AH342" i="5"/>
  <c r="AH341" i="5"/>
  <c r="AH339" i="5"/>
  <c r="AH334" i="5"/>
  <c r="AH333" i="5"/>
  <c r="AH318" i="5"/>
  <c r="AH315" i="5"/>
  <c r="AH308" i="5"/>
  <c r="AH305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75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15" i="5"/>
  <c r="AH214" i="5"/>
  <c r="AH213" i="5"/>
  <c r="AH212" i="5"/>
  <c r="AH211" i="5"/>
  <c r="AH210" i="5"/>
  <c r="AH209" i="5"/>
  <c r="AH208" i="5"/>
  <c r="AH207" i="5"/>
  <c r="AH206" i="5"/>
  <c r="AH205" i="5"/>
  <c r="AH172" i="5"/>
  <c r="AH171" i="5"/>
  <c r="AH161" i="5"/>
  <c r="AH170" i="5"/>
  <c r="AH160" i="5"/>
  <c r="AH159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7" i="5"/>
  <c r="AH66" i="5"/>
  <c r="AH65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20" i="5"/>
  <c r="AD320" i="5"/>
  <c r="AB320" i="5"/>
  <c r="J320" i="5"/>
  <c r="I320" i="5"/>
  <c r="AF310" i="5"/>
  <c r="AD310" i="5"/>
  <c r="AB310" i="5"/>
  <c r="J310" i="5"/>
  <c r="I310" i="5"/>
  <c r="AF300" i="5"/>
  <c r="AD300" i="5"/>
  <c r="AB300" i="5"/>
  <c r="J300" i="5"/>
  <c r="I300" i="5"/>
  <c r="AF289" i="5"/>
  <c r="AD289" i="5"/>
  <c r="AB289" i="5"/>
  <c r="J289" i="5"/>
  <c r="I289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5" i="5"/>
  <c r="AD85" i="5"/>
  <c r="AB85" i="5"/>
  <c r="AF81" i="5"/>
  <c r="AD81" i="5"/>
  <c r="AB81" i="5"/>
  <c r="AF77" i="5"/>
  <c r="AD77" i="5"/>
  <c r="AB77" i="5"/>
  <c r="AF73" i="5"/>
  <c r="AD73" i="5"/>
  <c r="AB73" i="5"/>
  <c r="AF84" i="5"/>
  <c r="AD84" i="5"/>
  <c r="AB84" i="5"/>
  <c r="AF83" i="5"/>
  <c r="AD83" i="5"/>
  <c r="AB83" i="5"/>
  <c r="AF82" i="5"/>
  <c r="AD82" i="5"/>
  <c r="AB82" i="5"/>
  <c r="AF80" i="5"/>
  <c r="AD80" i="5"/>
  <c r="AB80" i="5"/>
  <c r="AF79" i="5"/>
  <c r="AD79" i="5"/>
  <c r="AB79" i="5"/>
  <c r="AF78" i="5"/>
  <c r="AD78" i="5"/>
  <c r="AB78" i="5"/>
  <c r="AF76" i="5"/>
  <c r="AD76" i="5"/>
  <c r="AB76" i="5"/>
  <c r="AF75" i="5"/>
  <c r="AD75" i="5"/>
  <c r="AB75" i="5"/>
  <c r="AF74" i="5"/>
  <c r="AD74" i="5"/>
  <c r="AB74" i="5"/>
  <c r="AF72" i="5"/>
  <c r="AD72" i="5"/>
  <c r="AB72" i="5"/>
  <c r="AF71" i="5"/>
  <c r="AD71" i="5"/>
  <c r="AB71" i="5"/>
  <c r="AF70" i="5"/>
  <c r="AD70" i="5"/>
  <c r="AB70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22" i="5"/>
  <c r="AB222" i="5"/>
  <c r="AF265" i="5"/>
  <c r="AD265" i="5"/>
  <c r="AB265" i="5"/>
  <c r="G327" i="5"/>
  <c r="G326" i="5"/>
  <c r="G317" i="5"/>
  <c r="G316" i="5"/>
  <c r="G307" i="5"/>
  <c r="G306" i="5"/>
  <c r="G296" i="5"/>
  <c r="G295" i="5"/>
  <c r="D327" i="5"/>
  <c r="D326" i="5"/>
  <c r="D317" i="5"/>
  <c r="D316" i="5"/>
  <c r="D307" i="5"/>
  <c r="D306" i="5"/>
  <c r="D296" i="5"/>
  <c r="D295" i="5"/>
  <c r="AF288" i="5"/>
  <c r="AD288" i="5"/>
  <c r="AB288" i="5"/>
  <c r="J288" i="5"/>
  <c r="I288" i="5"/>
  <c r="AF161" i="5"/>
  <c r="AD161" i="5"/>
  <c r="AB161" i="5"/>
  <c r="AF160" i="5"/>
  <c r="AD160" i="5"/>
  <c r="AB160" i="5"/>
  <c r="AF267" i="5"/>
  <c r="AD267" i="5"/>
  <c r="AB267" i="5"/>
  <c r="AF214" i="5"/>
  <c r="AD214" i="5"/>
  <c r="AB214" i="5"/>
  <c r="AF213" i="5"/>
  <c r="AD213" i="5"/>
  <c r="AB213" i="5"/>
  <c r="AF212" i="5"/>
  <c r="AD212" i="5"/>
  <c r="AB212" i="5"/>
  <c r="AF211" i="5"/>
  <c r="AD211" i="5"/>
  <c r="AB211" i="5"/>
  <c r="AF210" i="5"/>
  <c r="AD210" i="5"/>
  <c r="AB210" i="5"/>
  <c r="AF266" i="5"/>
  <c r="AD266" i="5"/>
  <c r="AB266" i="5"/>
  <c r="AF264" i="5"/>
  <c r="AD264" i="5"/>
  <c r="AB264" i="5"/>
  <c r="J294" i="5"/>
  <c r="I294" i="5"/>
  <c r="J305" i="5"/>
  <c r="J315" i="5"/>
  <c r="J325" i="5"/>
  <c r="J319" i="5"/>
  <c r="J309" i="5"/>
  <c r="AF292" i="5"/>
  <c r="AD292" i="5"/>
  <c r="AB292" i="5"/>
  <c r="AF290" i="5"/>
  <c r="AD290" i="5"/>
  <c r="AB290" i="5"/>
  <c r="J299" i="5"/>
  <c r="J285" i="5"/>
  <c r="I285" i="5"/>
  <c r="I284" i="5"/>
  <c r="I283" i="5"/>
  <c r="J296" i="5"/>
  <c r="J295" i="5"/>
  <c r="J307" i="5"/>
  <c r="J306" i="5"/>
  <c r="J316" i="5"/>
  <c r="J317" i="5"/>
  <c r="J326" i="5"/>
  <c r="J327" i="5"/>
  <c r="AF356" i="5"/>
  <c r="AD356" i="5"/>
  <c r="AB356" i="5"/>
  <c r="D356" i="5"/>
  <c r="AF355" i="5"/>
  <c r="AD355" i="5"/>
  <c r="AB355" i="5"/>
  <c r="D355" i="5"/>
  <c r="AF354" i="5"/>
  <c r="AD354" i="5"/>
  <c r="AB354" i="5"/>
  <c r="J354" i="5"/>
  <c r="I354" i="5"/>
  <c r="AF353" i="5"/>
  <c r="AD353" i="5"/>
  <c r="AB353" i="5"/>
  <c r="J353" i="5"/>
  <c r="I353" i="5"/>
  <c r="AF352" i="5"/>
  <c r="AD352" i="5"/>
  <c r="AB352" i="5"/>
  <c r="J352" i="5"/>
  <c r="I352" i="5"/>
  <c r="AF351" i="5"/>
  <c r="AD351" i="5"/>
  <c r="AB351" i="5"/>
  <c r="J351" i="5"/>
  <c r="I351" i="5"/>
  <c r="AF350" i="5"/>
  <c r="AD350" i="5"/>
  <c r="AB350" i="5"/>
  <c r="AF382" i="5"/>
  <c r="AD382" i="5"/>
  <c r="AB382" i="5"/>
  <c r="J382" i="5"/>
  <c r="I382" i="5"/>
  <c r="D382" i="5"/>
  <c r="AF381" i="5"/>
  <c r="AD381" i="5"/>
  <c r="AB381" i="5"/>
  <c r="J381" i="5"/>
  <c r="I381" i="5"/>
  <c r="D381" i="5"/>
  <c r="AF380" i="5"/>
  <c r="AD380" i="5"/>
  <c r="AB380" i="5"/>
  <c r="J380" i="5"/>
  <c r="I380" i="5"/>
  <c r="AF379" i="5"/>
  <c r="AD379" i="5"/>
  <c r="AB379" i="5"/>
  <c r="J379" i="5"/>
  <c r="I379" i="5"/>
  <c r="AF378" i="5"/>
  <c r="AD378" i="5"/>
  <c r="AB378" i="5"/>
  <c r="J378" i="5"/>
  <c r="I378" i="5"/>
  <c r="AF377" i="5"/>
  <c r="AD377" i="5"/>
  <c r="AB377" i="5"/>
  <c r="J377" i="5"/>
  <c r="I377" i="5"/>
  <c r="AF363" i="5"/>
  <c r="AD363" i="5"/>
  <c r="AB363" i="5"/>
  <c r="J393" i="5"/>
  <c r="J392" i="5"/>
  <c r="I393" i="5"/>
  <c r="I392" i="5"/>
  <c r="J391" i="5"/>
  <c r="J390" i="5"/>
  <c r="I391" i="5"/>
  <c r="I390" i="5"/>
  <c r="AF392" i="5"/>
  <c r="AD392" i="5"/>
  <c r="AB392" i="5"/>
  <c r="AF390" i="5"/>
  <c r="AD390" i="5"/>
  <c r="AB390" i="5"/>
  <c r="AF393" i="5"/>
  <c r="AD393" i="5"/>
  <c r="AB393" i="5"/>
  <c r="AF391" i="5"/>
  <c r="AD391" i="5"/>
  <c r="AB391" i="5"/>
  <c r="J341" i="5"/>
  <c r="J339" i="5"/>
  <c r="I339" i="5"/>
  <c r="I341" i="5"/>
  <c r="AF341" i="5"/>
  <c r="AD341" i="5"/>
  <c r="AB341" i="5"/>
  <c r="AF339" i="5"/>
  <c r="AD339" i="5"/>
  <c r="AB339" i="5"/>
  <c r="J395" i="5"/>
  <c r="J394" i="5"/>
  <c r="J343" i="5"/>
  <c r="D395" i="5"/>
  <c r="D394" i="5"/>
  <c r="D343" i="5"/>
  <c r="J342" i="5"/>
  <c r="D342" i="5"/>
  <c r="AF305" i="5"/>
  <c r="AD305" i="5"/>
  <c r="AB305" i="5"/>
  <c r="I305" i="5"/>
  <c r="AF315" i="5"/>
  <c r="AD315" i="5"/>
  <c r="AB315" i="5"/>
  <c r="I315" i="5"/>
  <c r="I325" i="5"/>
  <c r="AF325" i="5"/>
  <c r="AD325" i="5"/>
  <c r="AB325" i="5"/>
  <c r="AF303" i="5"/>
  <c r="AD303" i="5"/>
  <c r="AB303" i="5"/>
  <c r="AF301" i="5"/>
  <c r="AD301" i="5"/>
  <c r="AB301" i="5"/>
  <c r="AF299" i="5"/>
  <c r="AD299" i="5"/>
  <c r="AB299" i="5"/>
  <c r="I299" i="5"/>
  <c r="AF317" i="5"/>
  <c r="AD317" i="5"/>
  <c r="AB317" i="5"/>
  <c r="AF316" i="5"/>
  <c r="AD316" i="5"/>
  <c r="AB316" i="5"/>
  <c r="AF314" i="5"/>
  <c r="AD314" i="5"/>
  <c r="AB314" i="5"/>
  <c r="AF313" i="5"/>
  <c r="AD313" i="5"/>
  <c r="AB313" i="5"/>
  <c r="AF312" i="5"/>
  <c r="AD312" i="5"/>
  <c r="AB312" i="5"/>
  <c r="AF311" i="5"/>
  <c r="AD311" i="5"/>
  <c r="AB311" i="5"/>
  <c r="AF309" i="5"/>
  <c r="AD309" i="5"/>
  <c r="AB309" i="5"/>
  <c r="I309" i="5"/>
  <c r="AF308" i="5"/>
  <c r="AF323" i="5"/>
  <c r="AD323" i="5"/>
  <c r="AB323" i="5"/>
  <c r="AF321" i="5"/>
  <c r="AD321" i="5"/>
  <c r="AB321" i="5"/>
  <c r="I319" i="5"/>
  <c r="AF319" i="5"/>
  <c r="AD319" i="5"/>
  <c r="AB319" i="5"/>
  <c r="AF327" i="5"/>
  <c r="AF326" i="5"/>
  <c r="AF324" i="5"/>
  <c r="AF322" i="5"/>
  <c r="AF318" i="5"/>
  <c r="AD327" i="5"/>
  <c r="AB327" i="5"/>
  <c r="AD326" i="5"/>
  <c r="AB326" i="5"/>
  <c r="AD324" i="5"/>
  <c r="AB324" i="5"/>
  <c r="AD322" i="5"/>
  <c r="AB322" i="5"/>
  <c r="AF67" i="5"/>
  <c r="AD67" i="5"/>
  <c r="AB67" i="5"/>
  <c r="AF66" i="5"/>
  <c r="AD66" i="5"/>
  <c r="AB66" i="5"/>
  <c r="AF65" i="5"/>
  <c r="AD65" i="5"/>
  <c r="AB65" i="5"/>
  <c r="AF408" i="5"/>
  <c r="AF407" i="5"/>
  <c r="AF406" i="5"/>
  <c r="AF404" i="5"/>
  <c r="AF403" i="5"/>
  <c r="AF402" i="5"/>
  <c r="AF401" i="5"/>
  <c r="AF395" i="5"/>
  <c r="AF394" i="5"/>
  <c r="AF389" i="5"/>
  <c r="AF343" i="5"/>
  <c r="AF342" i="5"/>
  <c r="AF334" i="5"/>
  <c r="AF333" i="5"/>
  <c r="AF307" i="5"/>
  <c r="AF306" i="5"/>
  <c r="AD408" i="5"/>
  <c r="AD407" i="5"/>
  <c r="AD406" i="5"/>
  <c r="AD404" i="5"/>
  <c r="AD403" i="5"/>
  <c r="AD402" i="5"/>
  <c r="AD401" i="5"/>
  <c r="AD395" i="5"/>
  <c r="AD394" i="5"/>
  <c r="AD389" i="5"/>
  <c r="AD343" i="5"/>
  <c r="AD342" i="5"/>
  <c r="AD334" i="5"/>
  <c r="AD333" i="5"/>
  <c r="AD307" i="5"/>
  <c r="AD306" i="5"/>
  <c r="AB408" i="5"/>
  <c r="AB407" i="5"/>
  <c r="AB406" i="5"/>
  <c r="AB404" i="5"/>
  <c r="AB403" i="5"/>
  <c r="AB402" i="5"/>
  <c r="AB401" i="5"/>
  <c r="AB395" i="5"/>
  <c r="AB394" i="5"/>
  <c r="AB389" i="5"/>
  <c r="AB343" i="5"/>
  <c r="AB342" i="5"/>
  <c r="AB334" i="5"/>
  <c r="AB333" i="5"/>
  <c r="AB307" i="5"/>
  <c r="I395" i="5"/>
  <c r="I394" i="5"/>
  <c r="I343" i="5"/>
  <c r="I342" i="5"/>
  <c r="AF304" i="5"/>
  <c r="AF302" i="5"/>
  <c r="AD304" i="5"/>
  <c r="AD302" i="5"/>
  <c r="AB306" i="5"/>
  <c r="AB304" i="5"/>
  <c r="AB302" i="5"/>
  <c r="AF298" i="5"/>
  <c r="AF297" i="5"/>
  <c r="AF296" i="5"/>
  <c r="AF295" i="5"/>
  <c r="AF294" i="5"/>
  <c r="AF293" i="5"/>
  <c r="AF291" i="5"/>
  <c r="AF287" i="5"/>
  <c r="AF286" i="5"/>
  <c r="AF285" i="5"/>
  <c r="AF284" i="5"/>
  <c r="AF283" i="5"/>
  <c r="AF282" i="5"/>
  <c r="AF275" i="5"/>
  <c r="AF263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44" i="5"/>
  <c r="AF243" i="5"/>
  <c r="AF242" i="5"/>
  <c r="AF215" i="5"/>
  <c r="AF209" i="5"/>
  <c r="AF208" i="5"/>
  <c r="AF207" i="5"/>
  <c r="AF206" i="5"/>
  <c r="AF205" i="5"/>
  <c r="AF172" i="5"/>
  <c r="AF171" i="5"/>
  <c r="AF170" i="5"/>
  <c r="AF159" i="5"/>
  <c r="AF63" i="5"/>
  <c r="AF61" i="5"/>
  <c r="AF60" i="5"/>
  <c r="AF59" i="5"/>
  <c r="AF58" i="5"/>
  <c r="AF57" i="5"/>
  <c r="AF56" i="5"/>
  <c r="AF55" i="5"/>
  <c r="AF54" i="5"/>
  <c r="AD298" i="5"/>
  <c r="AD297" i="5"/>
  <c r="AD296" i="5"/>
  <c r="AD295" i="5"/>
  <c r="AD294" i="5"/>
  <c r="AD293" i="5"/>
  <c r="AD291" i="5"/>
  <c r="AD287" i="5"/>
  <c r="AD286" i="5"/>
  <c r="AD285" i="5"/>
  <c r="AD284" i="5"/>
  <c r="AD283" i="5"/>
  <c r="AD282" i="5"/>
  <c r="AD275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23" i="5"/>
  <c r="AD215" i="5"/>
  <c r="AD209" i="5"/>
  <c r="AD208" i="5"/>
  <c r="AD207" i="5"/>
  <c r="AD206" i="5"/>
  <c r="AD205" i="5"/>
  <c r="AD172" i="5"/>
  <c r="AD171" i="5"/>
  <c r="AD170" i="5"/>
  <c r="AD159" i="5"/>
  <c r="AD63" i="5"/>
  <c r="AD61" i="5"/>
  <c r="AD60" i="5"/>
  <c r="AD59" i="5"/>
  <c r="AD58" i="5"/>
  <c r="AD57" i="5"/>
  <c r="AD56" i="5"/>
  <c r="AD55" i="5"/>
  <c r="AB298" i="5"/>
  <c r="AB297" i="5"/>
  <c r="AB296" i="5"/>
  <c r="AB295" i="5"/>
  <c r="AB294" i="5"/>
  <c r="AB293" i="5"/>
  <c r="AB291" i="5"/>
  <c r="AB287" i="5"/>
  <c r="AB286" i="5"/>
  <c r="AB285" i="5"/>
  <c r="AB284" i="5"/>
  <c r="AB283" i="5"/>
  <c r="AB282" i="5"/>
  <c r="AB275" i="5"/>
  <c r="AB263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44" i="5"/>
  <c r="AB243" i="5"/>
  <c r="AB242" i="5"/>
  <c r="AB223" i="5"/>
  <c r="AB215" i="5"/>
  <c r="AB209" i="5"/>
  <c r="AB208" i="5"/>
  <c r="AB207" i="5"/>
  <c r="AB206" i="5"/>
  <c r="AB205" i="5"/>
  <c r="AB172" i="5"/>
  <c r="AB171" i="5"/>
  <c r="AB170" i="5"/>
  <c r="AB159" i="5"/>
  <c r="AB63" i="5"/>
  <c r="AB61" i="5"/>
  <c r="AB60" i="5"/>
  <c r="AB59" i="5"/>
  <c r="AB58" i="5"/>
  <c r="AB57" i="5"/>
  <c r="AB56" i="5"/>
  <c r="AB55" i="5"/>
  <c r="AB54" i="5"/>
  <c r="D209" i="5"/>
  <c r="D215" i="5"/>
  <c r="D208" i="5"/>
  <c r="D207" i="5"/>
  <c r="D206" i="5"/>
  <c r="D171" i="5"/>
  <c r="D170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74" i="5" l="1"/>
  <c r="B150" i="5"/>
  <c r="B165" i="5"/>
  <c r="B140" i="5"/>
  <c r="B371" i="5"/>
  <c r="B335" i="5"/>
  <c r="B202" i="5"/>
  <c r="B200" i="5"/>
  <c r="B145" i="5"/>
  <c r="B141" i="5"/>
  <c r="B135" i="5"/>
  <c r="B329" i="5"/>
  <c r="B144" i="5"/>
  <c r="B199" i="5"/>
  <c r="B366" i="5"/>
  <c r="B409" i="5"/>
  <c r="B386" i="5"/>
  <c r="B137" i="5"/>
  <c r="B330" i="5"/>
  <c r="B142" i="5"/>
  <c r="B331" i="5"/>
  <c r="B361" i="5"/>
  <c r="B136" i="5"/>
  <c r="B399" i="5"/>
  <c r="B347" i="5"/>
  <c r="B139" i="5"/>
  <c r="B193" i="5"/>
  <c r="B134" i="5"/>
  <c r="B359" i="5"/>
  <c r="B358" i="5"/>
  <c r="B400" i="5"/>
  <c r="B398" i="5"/>
  <c r="B191" i="5"/>
  <c r="B385" i="5"/>
  <c r="B68" i="5"/>
  <c r="B336" i="5"/>
  <c r="B345" i="5"/>
  <c r="B397" i="5"/>
  <c r="B103" i="5"/>
  <c r="B384" i="5"/>
  <c r="B346" i="5"/>
  <c r="B372" i="5"/>
  <c r="B373" i="5"/>
  <c r="B360" i="5"/>
  <c r="B365" i="5"/>
  <c r="B279" i="5"/>
  <c r="B94" i="5"/>
  <c r="B93" i="5"/>
  <c r="B274" i="5"/>
  <c r="B270" i="5"/>
  <c r="B280" i="5"/>
  <c r="B340" i="5"/>
  <c r="B131" i="5"/>
  <c r="B129" i="5"/>
  <c r="B275" i="5"/>
  <c r="B413" i="5"/>
  <c r="B367" i="5"/>
  <c r="B364" i="5"/>
  <c r="B189" i="5"/>
  <c r="B181" i="5"/>
  <c r="B124" i="5"/>
  <c r="B414" i="5"/>
  <c r="B183" i="5"/>
  <c r="B411" i="5"/>
  <c r="B188" i="5"/>
  <c r="B410" i="5"/>
  <c r="B100" i="5"/>
  <c r="B130" i="5"/>
  <c r="B412" i="5"/>
  <c r="B127" i="5"/>
  <c r="B186" i="5"/>
  <c r="B338" i="5"/>
  <c r="B195" i="5"/>
  <c r="B194" i="5"/>
  <c r="B128" i="5"/>
  <c r="B190" i="5"/>
  <c r="B91" i="5"/>
  <c r="B185" i="5"/>
  <c r="B87" i="5"/>
  <c r="B176" i="5"/>
  <c r="B104" i="5"/>
  <c r="B106" i="5"/>
  <c r="B102" i="5"/>
  <c r="B227" i="5"/>
  <c r="B226" i="5"/>
  <c r="B175" i="5"/>
  <c r="B174" i="5"/>
  <c r="B97" i="5"/>
  <c r="B167" i="5"/>
  <c r="B178" i="5"/>
  <c r="B179" i="5"/>
  <c r="B96" i="5"/>
  <c r="B88" i="5"/>
  <c r="B98" i="5"/>
  <c r="B99" i="5"/>
  <c r="B163" i="5"/>
  <c r="B92" i="5"/>
  <c r="B238" i="5"/>
  <c r="B166" i="5"/>
  <c r="B164" i="5"/>
  <c r="B220" i="5"/>
  <c r="B173" i="5"/>
  <c r="B234" i="5"/>
  <c r="B306" i="5"/>
  <c r="B121" i="5"/>
  <c r="B42" i="5"/>
  <c r="B235" i="5"/>
  <c r="B219" i="5"/>
  <c r="B123" i="5"/>
  <c r="B239" i="5"/>
  <c r="B232" i="5"/>
  <c r="B230" i="5"/>
  <c r="B221" i="5"/>
  <c r="B231" i="5"/>
  <c r="B236" i="5"/>
  <c r="B217" i="5"/>
  <c r="B39" i="5"/>
  <c r="B40" i="5"/>
  <c r="B38" i="5"/>
  <c r="B14" i="5"/>
  <c r="B13" i="5"/>
  <c r="B12" i="5"/>
  <c r="B265" i="5"/>
  <c r="B216" i="5"/>
  <c r="B229" i="5"/>
  <c r="B224" i="5"/>
  <c r="B225" i="5"/>
  <c r="B21" i="5"/>
  <c r="B20" i="5"/>
  <c r="B19" i="5"/>
  <c r="B18" i="5"/>
  <c r="B17" i="5"/>
  <c r="B16" i="5"/>
  <c r="B15" i="5"/>
  <c r="B307" i="5"/>
  <c r="B222" i="5"/>
  <c r="B310" i="5"/>
  <c r="B300" i="5"/>
  <c r="B113" i="5"/>
  <c r="B111" i="5"/>
  <c r="B43" i="5"/>
  <c r="B264" i="5"/>
  <c r="B408" i="5"/>
  <c r="B407" i="5"/>
  <c r="B406" i="5"/>
  <c r="B404" i="5"/>
  <c r="B403" i="5"/>
  <c r="B394" i="5"/>
  <c r="B343" i="5"/>
  <c r="B342" i="5"/>
  <c r="B120" i="5"/>
  <c r="B46" i="5"/>
  <c r="B125" i="5"/>
  <c r="B122" i="5"/>
  <c r="B119" i="5"/>
  <c r="B114" i="5"/>
  <c r="B116" i="5"/>
  <c r="B47" i="5"/>
  <c r="B118" i="5"/>
  <c r="B115" i="5"/>
  <c r="B76" i="5"/>
  <c r="B75" i="5"/>
  <c r="B74" i="5"/>
  <c r="B218" i="5"/>
  <c r="B78" i="5"/>
  <c r="B79" i="5"/>
  <c r="B299" i="5"/>
  <c r="B317" i="5"/>
  <c r="B316" i="5"/>
  <c r="B314" i="5"/>
  <c r="B312" i="5"/>
  <c r="B311" i="5"/>
  <c r="B309" i="5"/>
  <c r="B319" i="5"/>
  <c r="B117" i="5"/>
  <c r="B11" i="5"/>
  <c r="B80" i="5"/>
  <c r="B395" i="5"/>
  <c r="B84" i="5"/>
  <c r="B83" i="5"/>
  <c r="B82" i="5"/>
  <c r="B267" i="5"/>
  <c r="B321" i="5"/>
  <c r="B380" i="5"/>
  <c r="B378" i="5"/>
  <c r="B341" i="5"/>
  <c r="B339" i="5"/>
  <c r="B112" i="5"/>
  <c r="B110" i="5"/>
  <c r="B266" i="5"/>
  <c r="B305" i="5"/>
  <c r="B315" i="5"/>
  <c r="B59" i="5"/>
  <c r="B58" i="5"/>
  <c r="B57" i="5"/>
  <c r="B56" i="5"/>
  <c r="B55" i="5"/>
  <c r="B320" i="5"/>
  <c r="B48" i="5"/>
  <c r="B382" i="5"/>
  <c r="B381" i="5"/>
  <c r="B246" i="5"/>
  <c r="B245" i="5"/>
  <c r="B244" i="5"/>
  <c r="B243" i="5"/>
  <c r="B215" i="5"/>
  <c r="B209" i="5"/>
  <c r="B208" i="5"/>
  <c r="B207" i="5"/>
  <c r="B206" i="5"/>
  <c r="B171" i="5"/>
  <c r="B170" i="5"/>
  <c r="B61" i="5"/>
  <c r="B60" i="5"/>
  <c r="B214" i="5"/>
  <c r="B85" i="5"/>
  <c r="B77" i="5"/>
  <c r="B72" i="5"/>
  <c r="B54" i="5"/>
  <c r="B37" i="5"/>
  <c r="B36" i="5"/>
  <c r="B34" i="5"/>
  <c r="B33" i="5"/>
  <c r="B32" i="5"/>
  <c r="B31" i="5"/>
  <c r="B30" i="5"/>
  <c r="B27" i="5"/>
  <c r="B26" i="5"/>
  <c r="B44" i="5"/>
  <c r="B71" i="5"/>
  <c r="B70" i="5"/>
  <c r="B51" i="5"/>
  <c r="B50" i="5"/>
  <c r="B49" i="5"/>
  <c r="B25" i="5"/>
  <c r="B24" i="5"/>
  <c r="B23" i="5"/>
  <c r="B22" i="5"/>
  <c r="B356" i="5"/>
  <c r="B355" i="5"/>
  <c r="B354" i="5"/>
  <c r="B352" i="5"/>
  <c r="B313" i="5"/>
  <c r="B67" i="5"/>
  <c r="B66" i="5"/>
  <c r="B65" i="5"/>
  <c r="B294" i="5"/>
  <c r="B285" i="5"/>
  <c r="B284" i="5"/>
  <c r="B283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12" i="5"/>
  <c r="B62" i="5"/>
  <c r="B161" i="5"/>
  <c r="B73" i="5"/>
  <c r="B213" i="5"/>
  <c r="B160" i="5"/>
  <c r="B81" i="5"/>
  <c r="B29" i="5"/>
  <c r="B288" i="5"/>
  <c r="B325" i="5"/>
  <c r="B303" i="5"/>
  <c r="B301" i="5"/>
  <c r="B323" i="5"/>
  <c r="B327" i="5"/>
  <c r="B326" i="5"/>
  <c r="B324" i="5"/>
  <c r="B322" i="5"/>
  <c r="B304" i="5"/>
  <c r="B302" i="5"/>
  <c r="B393" i="5"/>
  <c r="B392" i="5"/>
  <c r="B391" i="5"/>
  <c r="B390" i="5"/>
  <c r="B353" i="5"/>
  <c r="B351" i="5"/>
  <c r="B377" i="5"/>
  <c r="B379" i="5"/>
  <c r="B296" i="5"/>
  <c r="B295" i="5"/>
  <c r="B293" i="5"/>
  <c r="B292" i="5"/>
  <c r="B291" i="5"/>
  <c r="B290" i="5"/>
  <c r="B289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<sst xmlns="http://schemas.openxmlformats.org/spreadsheetml/2006/main" count="6009" uniqueCount="410">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</sst>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33"/>
  <sheetViews>
    <sheetView tabSelected="1" topLeftCell="A3" zoomScale="85" zoomScaleNormal="85" workbookViewId="0">
      <pane ySplit="4" topLeftCell="A33" activePane="bottomLeft" state="frozen"/>
      <selection activeCell="A3" sqref="A3"/>
      <selection pane="bottomLeft" activeCell="P105" sqref="P105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6" t="s">
        <v>302</v>
      </c>
      <c r="D26" s="136" t="s">
        <v>302</v>
      </c>
      <c r="F26" s="137" t="s">
        <v>303</v>
      </c>
      <c r="G26" s="38" t="s">
        <v>222</v>
      </c>
      <c r="I26" s="136" t="s">
        <v>302</v>
      </c>
      <c r="J26" s="136" t="s">
        <v>302</v>
      </c>
      <c r="L26" s="137" t="s">
        <v>303</v>
      </c>
      <c r="M26" s="38" t="s">
        <v>222</v>
      </c>
      <c r="U26" s="136" t="s">
        <v>302</v>
      </c>
      <c r="V26" s="136" t="s">
        <v>302</v>
      </c>
      <c r="X26" s="137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8" t="s">
        <v>304</v>
      </c>
      <c r="D28" s="138" t="s">
        <v>304</v>
      </c>
      <c r="F28" s="139" t="s">
        <v>305</v>
      </c>
      <c r="G28" s="38" t="s">
        <v>222</v>
      </c>
      <c r="I28" s="138" t="s">
        <v>304</v>
      </c>
      <c r="J28" s="138" t="s">
        <v>304</v>
      </c>
      <c r="L28" s="139" t="s">
        <v>305</v>
      </c>
      <c r="M28" s="38" t="s">
        <v>222</v>
      </c>
      <c r="U28" s="138" t="s">
        <v>304</v>
      </c>
      <c r="V28" s="138" t="s">
        <v>304</v>
      </c>
      <c r="X28" s="139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8" t="s">
        <v>304</v>
      </c>
      <c r="D30" s="138" t="s">
        <v>304</v>
      </c>
      <c r="F30" s="139" t="s">
        <v>305</v>
      </c>
      <c r="G30" s="38" t="s">
        <v>222</v>
      </c>
      <c r="I30" s="138" t="s">
        <v>304</v>
      </c>
      <c r="J30" s="138" t="s">
        <v>304</v>
      </c>
      <c r="L30" s="139" t="s">
        <v>305</v>
      </c>
      <c r="M30" s="38" t="s">
        <v>222</v>
      </c>
      <c r="U30" s="138" t="s">
        <v>304</v>
      </c>
      <c r="V30" s="138" t="s">
        <v>304</v>
      </c>
      <c r="X30" s="139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8" t="s">
        <v>304</v>
      </c>
      <c r="D32" s="138" t="s">
        <v>304</v>
      </c>
      <c r="F32" s="139" t="s">
        <v>305</v>
      </c>
      <c r="G32" s="38" t="s">
        <v>222</v>
      </c>
      <c r="I32" s="138" t="s">
        <v>304</v>
      </c>
      <c r="J32" s="138" t="s">
        <v>304</v>
      </c>
      <c r="L32" s="139" t="s">
        <v>305</v>
      </c>
      <c r="M32" s="38" t="s">
        <v>222</v>
      </c>
      <c r="U32" s="138" t="s">
        <v>304</v>
      </c>
      <c r="V32" s="138" t="s">
        <v>304</v>
      </c>
      <c r="X32" s="139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8" t="s">
        <v>304</v>
      </c>
      <c r="D34" s="138" t="s">
        <v>304</v>
      </c>
      <c r="F34" s="139" t="s">
        <v>305</v>
      </c>
      <c r="G34" s="38" t="s">
        <v>222</v>
      </c>
      <c r="I34" s="138" t="s">
        <v>304</v>
      </c>
      <c r="J34" s="138" t="s">
        <v>304</v>
      </c>
      <c r="L34" s="139" t="s">
        <v>305</v>
      </c>
      <c r="M34" s="38" t="s">
        <v>222</v>
      </c>
      <c r="U34" s="138" t="s">
        <v>304</v>
      </c>
      <c r="V34" s="138" t="s">
        <v>304</v>
      </c>
      <c r="X34" s="139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4" t="s">
        <v>299</v>
      </c>
      <c r="D36" s="134" t="s">
        <v>299</v>
      </c>
      <c r="F36" s="135" t="s">
        <v>300</v>
      </c>
      <c r="G36" s="38" t="s">
        <v>222</v>
      </c>
      <c r="I36" s="134" t="s">
        <v>299</v>
      </c>
      <c r="J36" s="134" t="s">
        <v>299</v>
      </c>
      <c r="L36" s="135" t="s">
        <v>300</v>
      </c>
      <c r="M36" s="38" t="s">
        <v>222</v>
      </c>
      <c r="U36" s="134" t="s">
        <v>299</v>
      </c>
      <c r="V36" s="134" t="s">
        <v>299</v>
      </c>
      <c r="X36" s="135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4" t="s">
        <v>299</v>
      </c>
      <c r="D38" s="134" t="s">
        <v>299</v>
      </c>
      <c r="F38" s="135" t="s">
        <v>300</v>
      </c>
      <c r="G38" s="38" t="s">
        <v>222</v>
      </c>
      <c r="I38" s="134" t="s">
        <v>299</v>
      </c>
      <c r="J38" s="134" t="s">
        <v>299</v>
      </c>
      <c r="L38" s="135" t="s">
        <v>300</v>
      </c>
      <c r="M38" s="38" t="s">
        <v>222</v>
      </c>
      <c r="U38" s="134" t="s">
        <v>299</v>
      </c>
      <c r="V38" s="134" t="s">
        <v>299</v>
      </c>
      <c r="X38" s="135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2" t="s">
        <v>170</v>
      </c>
      <c r="D54" s="153" t="s">
        <v>178</v>
      </c>
      <c r="F54" s="152" t="s">
        <v>170</v>
      </c>
      <c r="G54" s="153" t="s">
        <v>178</v>
      </c>
      <c r="I54" s="152" t="s">
        <v>170</v>
      </c>
      <c r="J54" s="153" t="s">
        <v>178</v>
      </c>
      <c r="L54" s="152" t="s">
        <v>170</v>
      </c>
      <c r="M54" s="153" t="s">
        <v>178</v>
      </c>
      <c r="U54" s="151" t="s">
        <v>297</v>
      </c>
      <c r="V54" s="151" t="s">
        <v>297</v>
      </c>
      <c r="X54" s="151" t="s">
        <v>297</v>
      </c>
      <c r="Y54" s="151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7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54" t="s">
        <v>171</v>
      </c>
      <c r="D55" s="155" t="s">
        <v>179</v>
      </c>
      <c r="F55" s="154" t="s">
        <v>171</v>
      </c>
      <c r="G55" s="155" t="s">
        <v>179</v>
      </c>
      <c r="I55" s="154" t="s">
        <v>171</v>
      </c>
      <c r="J55" s="155" t="s">
        <v>179</v>
      </c>
      <c r="L55" s="154" t="s">
        <v>171</v>
      </c>
      <c r="M55" s="155" t="s">
        <v>179</v>
      </c>
      <c r="U55" s="151" t="s">
        <v>297</v>
      </c>
      <c r="V55" s="151" t="s">
        <v>297</v>
      </c>
      <c r="X55" s="151" t="s">
        <v>297</v>
      </c>
      <c r="Y55" s="151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56" t="s">
        <v>172</v>
      </c>
      <c r="D56" s="157" t="s">
        <v>180</v>
      </c>
      <c r="F56" s="156" t="s">
        <v>172</v>
      </c>
      <c r="G56" s="157" t="s">
        <v>180</v>
      </c>
      <c r="I56" s="156" t="s">
        <v>172</v>
      </c>
      <c r="J56" s="157" t="s">
        <v>180</v>
      </c>
      <c r="L56" s="156" t="s">
        <v>172</v>
      </c>
      <c r="M56" s="157" t="s">
        <v>180</v>
      </c>
      <c r="U56" s="151" t="s">
        <v>297</v>
      </c>
      <c r="V56" s="151" t="s">
        <v>297</v>
      </c>
      <c r="X56" s="151" t="s">
        <v>297</v>
      </c>
      <c r="Y56" s="151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58" t="s">
        <v>173</v>
      </c>
      <c r="D57" s="159" t="s">
        <v>181</v>
      </c>
      <c r="F57" s="158" t="s">
        <v>173</v>
      </c>
      <c r="G57" s="159" t="s">
        <v>181</v>
      </c>
      <c r="I57" s="158" t="s">
        <v>173</v>
      </c>
      <c r="J57" s="159" t="s">
        <v>181</v>
      </c>
      <c r="L57" s="158" t="s">
        <v>173</v>
      </c>
      <c r="M57" s="159" t="s">
        <v>181</v>
      </c>
      <c r="U57" s="151" t="s">
        <v>297</v>
      </c>
      <c r="V57" s="151" t="s">
        <v>297</v>
      </c>
      <c r="X57" s="151" t="s">
        <v>297</v>
      </c>
      <c r="Y57" s="151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0" t="s">
        <v>174</v>
      </c>
      <c r="D58" s="160" t="s">
        <v>174</v>
      </c>
      <c r="F58" s="160" t="s">
        <v>174</v>
      </c>
      <c r="G58" s="160" t="s">
        <v>174</v>
      </c>
      <c r="I58" s="160" t="s">
        <v>174</v>
      </c>
      <c r="J58" s="160" t="s">
        <v>174</v>
      </c>
      <c r="L58" s="160" t="s">
        <v>174</v>
      </c>
      <c r="M58" s="160" t="s">
        <v>174</v>
      </c>
      <c r="U58" s="151" t="s">
        <v>297</v>
      </c>
      <c r="V58" s="151" t="s">
        <v>297</v>
      </c>
      <c r="X58" s="151" t="s">
        <v>297</v>
      </c>
      <c r="Y58" s="151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1" t="s">
        <v>175</v>
      </c>
      <c r="D59" s="162" t="s">
        <v>182</v>
      </c>
      <c r="F59" s="161" t="s">
        <v>175</v>
      </c>
      <c r="G59" s="162" t="s">
        <v>182</v>
      </c>
      <c r="I59" s="161" t="s">
        <v>175</v>
      </c>
      <c r="J59" s="162" t="s">
        <v>182</v>
      </c>
      <c r="L59" s="161" t="s">
        <v>175</v>
      </c>
      <c r="M59" s="162" t="s">
        <v>182</v>
      </c>
      <c r="U59" s="151" t="s">
        <v>297</v>
      </c>
      <c r="V59" s="151" t="s">
        <v>297</v>
      </c>
      <c r="X59" s="151" t="s">
        <v>297</v>
      </c>
      <c r="Y59" s="151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63" t="s">
        <v>176</v>
      </c>
      <c r="D60" s="164" t="s">
        <v>183</v>
      </c>
      <c r="F60" s="163" t="s">
        <v>176</v>
      </c>
      <c r="G60" s="164" t="s">
        <v>183</v>
      </c>
      <c r="I60" s="163" t="s">
        <v>176</v>
      </c>
      <c r="J60" s="164" t="s">
        <v>183</v>
      </c>
      <c r="L60" s="163" t="s">
        <v>176</v>
      </c>
      <c r="M60" s="164" t="s">
        <v>183</v>
      </c>
      <c r="U60" s="151" t="s">
        <v>297</v>
      </c>
      <c r="V60" s="151" t="s">
        <v>297</v>
      </c>
      <c r="X60" s="151" t="s">
        <v>297</v>
      </c>
      <c r="Y60" s="151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65" t="s">
        <v>177</v>
      </c>
      <c r="D61" s="166" t="s">
        <v>184</v>
      </c>
      <c r="F61" s="165" t="s">
        <v>177</v>
      </c>
      <c r="G61" s="166" t="s">
        <v>184</v>
      </c>
      <c r="I61" s="165" t="s">
        <v>177</v>
      </c>
      <c r="J61" s="166" t="s">
        <v>184</v>
      </c>
      <c r="L61" s="165" t="s">
        <v>177</v>
      </c>
      <c r="M61" s="166" t="s">
        <v>184</v>
      </c>
      <c r="U61" s="151" t="s">
        <v>297</v>
      </c>
      <c r="V61" s="151" t="s">
        <v>297</v>
      </c>
      <c r="X61" s="151" t="s">
        <v>297</v>
      </c>
      <c r="Y61" s="151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151" t="s">
        <v>297</v>
      </c>
      <c r="V62" s="151" t="s">
        <v>297</v>
      </c>
      <c r="X62" s="151" t="s">
        <v>297</v>
      </c>
      <c r="Y62" s="151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@color-mtb:winter_groomed</v>
      </c>
      <c r="C64" s="151" t="s">
        <v>297</v>
      </c>
      <c r="D64" s="151" t="s">
        <v>297</v>
      </c>
      <c r="F64" s="151" t="s">
        <v>297</v>
      </c>
      <c r="G64" s="151" t="s">
        <v>297</v>
      </c>
      <c r="I64" s="151" t="s">
        <v>297</v>
      </c>
      <c r="J64" s="151" t="s">
        <v>297</v>
      </c>
      <c r="L64" s="151" t="s">
        <v>297</v>
      </c>
      <c r="M64" s="151" t="s">
        <v>297</v>
      </c>
      <c r="O64" s="151" t="s">
        <v>297</v>
      </c>
      <c r="P64" s="151" t="s">
        <v>297</v>
      </c>
      <c r="R64" s="151" t="s">
        <v>297</v>
      </c>
      <c r="S64" s="151" t="s">
        <v>297</v>
      </c>
      <c r="U64" s="152" t="s">
        <v>170</v>
      </c>
      <c r="V64" s="153" t="s">
        <v>178</v>
      </c>
      <c r="X64" s="152" t="s">
        <v>170</v>
      </c>
      <c r="Y64" s="153" t="s">
        <v>178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 t="s">
        <v>409</v>
      </c>
      <c r="AF64" s="2" t="str">
        <f t="shared" ref="AF64" si="79">IF(NOT(ISBLANK(AG64)),"_","")</f>
        <v/>
      </c>
      <c r="AH64" s="2" t="str">
        <f t="shared" ref="AH64" si="80">IF(NOT(ISBLANK(AI64)),"_","")</f>
        <v/>
      </c>
    </row>
    <row r="65" spans="2:34" x14ac:dyDescent="0.25">
      <c r="B65" s="2" t="str">
        <f>_xlfn.CONCAT("@",AA65,AB65,AC65,AD65,AE65,AF65,AG65,AH65,AI65)</f>
        <v>@color-mtb:winter_1</v>
      </c>
      <c r="C65" s="151" t="s">
        <v>297</v>
      </c>
      <c r="D65" s="151" t="s">
        <v>297</v>
      </c>
      <c r="F65" s="151" t="s">
        <v>297</v>
      </c>
      <c r="G65" s="151" t="s">
        <v>297</v>
      </c>
      <c r="I65" s="151" t="s">
        <v>297</v>
      </c>
      <c r="J65" s="151" t="s">
        <v>297</v>
      </c>
      <c r="L65" s="151" t="s">
        <v>297</v>
      </c>
      <c r="M65" s="151" t="s">
        <v>297</v>
      </c>
      <c r="O65" s="151" t="s">
        <v>297</v>
      </c>
      <c r="P65" s="151" t="s">
        <v>297</v>
      </c>
      <c r="R65" s="151" t="s">
        <v>297</v>
      </c>
      <c r="S65" s="151" t="s">
        <v>297</v>
      </c>
      <c r="U65" s="40" t="s">
        <v>171</v>
      </c>
      <c r="V65" s="41" t="s">
        <v>179</v>
      </c>
      <c r="X65" s="40" t="s">
        <v>171</v>
      </c>
      <c r="Y65" s="41" t="s">
        <v>179</v>
      </c>
      <c r="AA65" s="2" t="s">
        <v>6</v>
      </c>
      <c r="AB65" s="2" t="str">
        <f t="shared" ref="AB65" si="81">IF(NOT(ISBLANK(AC65)),"-","")</f>
        <v>-</v>
      </c>
      <c r="AC65" s="2" t="s">
        <v>225</v>
      </c>
      <c r="AD65" s="2" t="str">
        <f t="shared" ref="AD65" si="82">IF(NOT(ISBLANK(AE65)),"_","")</f>
        <v>_</v>
      </c>
      <c r="AE65" s="2">
        <v>1</v>
      </c>
      <c r="AF65" s="2" t="str">
        <f t="shared" ref="AF65" si="83">IF(NOT(ISBLANK(AG65)),"_","")</f>
        <v/>
      </c>
      <c r="AH65" s="2" t="str">
        <f t="shared" si="73"/>
        <v/>
      </c>
    </row>
    <row r="66" spans="2:34" x14ac:dyDescent="0.25">
      <c r="B66" s="2" t="str">
        <f t="shared" ref="B66:B67" si="84">_xlfn.CONCAT("@",AA66,AB66,AC66,AD66,AE66,AF66,AG66,AH66,AI66)</f>
        <v>@color-mtb:winter_2</v>
      </c>
      <c r="C66" s="151" t="s">
        <v>297</v>
      </c>
      <c r="D66" s="151" t="s">
        <v>297</v>
      </c>
      <c r="F66" s="151" t="s">
        <v>297</v>
      </c>
      <c r="G66" s="151" t="s">
        <v>297</v>
      </c>
      <c r="I66" s="151" t="s">
        <v>297</v>
      </c>
      <c r="J66" s="151" t="s">
        <v>297</v>
      </c>
      <c r="L66" s="151" t="s">
        <v>297</v>
      </c>
      <c r="M66" s="151" t="s">
        <v>297</v>
      </c>
      <c r="O66" s="151" t="s">
        <v>297</v>
      </c>
      <c r="P66" s="151" t="s">
        <v>297</v>
      </c>
      <c r="R66" s="151" t="s">
        <v>297</v>
      </c>
      <c r="S66" s="151" t="s">
        <v>297</v>
      </c>
      <c r="U66" s="42" t="s">
        <v>172</v>
      </c>
      <c r="V66" s="43" t="s">
        <v>180</v>
      </c>
      <c r="X66" s="42" t="s">
        <v>172</v>
      </c>
      <c r="Y66" s="43" t="s">
        <v>180</v>
      </c>
      <c r="AA66" s="2" t="s">
        <v>6</v>
      </c>
      <c r="AB66" s="2" t="str">
        <f t="shared" ref="AB66:AB67" si="85">IF(NOT(ISBLANK(AC66)),"-","")</f>
        <v>-</v>
      </c>
      <c r="AC66" s="2" t="s">
        <v>225</v>
      </c>
      <c r="AD66" s="2" t="str">
        <f>IF(NOT(ISBLANK(AE66)),"_","")</f>
        <v>_</v>
      </c>
      <c r="AE66" s="2">
        <v>2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si="84"/>
        <v>@color-mtb:winter_3</v>
      </c>
      <c r="C67" s="151" t="s">
        <v>297</v>
      </c>
      <c r="D67" s="151" t="s">
        <v>297</v>
      </c>
      <c r="F67" s="151" t="s">
        <v>297</v>
      </c>
      <c r="G67" s="151" t="s">
        <v>297</v>
      </c>
      <c r="I67" s="151" t="s">
        <v>297</v>
      </c>
      <c r="J67" s="151" t="s">
        <v>297</v>
      </c>
      <c r="L67" s="151" t="s">
        <v>297</v>
      </c>
      <c r="M67" s="151" t="s">
        <v>297</v>
      </c>
      <c r="O67" s="151" t="s">
        <v>297</v>
      </c>
      <c r="P67" s="151" t="s">
        <v>297</v>
      </c>
      <c r="R67" s="151" t="s">
        <v>297</v>
      </c>
      <c r="S67" s="151" t="s">
        <v>297</v>
      </c>
      <c r="U67" s="44" t="s">
        <v>173</v>
      </c>
      <c r="V67" s="45" t="s">
        <v>181</v>
      </c>
      <c r="X67" s="44" t="s">
        <v>173</v>
      </c>
      <c r="Y67" s="45" t="s">
        <v>181</v>
      </c>
      <c r="AA67" s="2" t="s">
        <v>6</v>
      </c>
      <c r="AB67" s="2" t="str">
        <f t="shared" si="85"/>
        <v>-</v>
      </c>
      <c r="AC67" s="2" t="s">
        <v>225</v>
      </c>
      <c r="AD67" s="2" t="str">
        <f>IF(NOT(ISBLANK(AE67)),"_","")</f>
        <v>_</v>
      </c>
      <c r="AE67" s="2">
        <v>3</v>
      </c>
      <c r="AF67" s="2" t="str">
        <f>IF(NOT(ISBLANK(AG67)),"_","")</f>
        <v/>
      </c>
      <c r="AH67" s="2" t="str">
        <f t="shared" si="73"/>
        <v/>
      </c>
    </row>
    <row r="68" spans="2:34" x14ac:dyDescent="0.25">
      <c r="B68" s="2" t="str">
        <f t="shared" ref="B68" si="86">_xlfn.CONCAT("@",AA68,AB68,AC68,AD68,AE68,AF68,AG68,AH68,AI68)</f>
        <v>@color-mtb:winter_null</v>
      </c>
      <c r="C68" s="151" t="s">
        <v>297</v>
      </c>
      <c r="D68" s="151" t="s">
        <v>297</v>
      </c>
      <c r="F68" s="151" t="s">
        <v>297</v>
      </c>
      <c r="G68" s="151" t="s">
        <v>297</v>
      </c>
      <c r="I68" s="151" t="s">
        <v>297</v>
      </c>
      <c r="J68" s="151" t="s">
        <v>297</v>
      </c>
      <c r="L68" s="151" t="s">
        <v>297</v>
      </c>
      <c r="M68" s="151" t="s">
        <v>297</v>
      </c>
      <c r="O68" s="151" t="s">
        <v>297</v>
      </c>
      <c r="P68" s="151" t="s">
        <v>297</v>
      </c>
      <c r="R68" s="151" t="s">
        <v>297</v>
      </c>
      <c r="S68" s="151" t="s">
        <v>297</v>
      </c>
      <c r="U68" s="38" t="s">
        <v>222</v>
      </c>
      <c r="V68" s="38" t="s">
        <v>222</v>
      </c>
      <c r="X68" s="135" t="s">
        <v>300</v>
      </c>
      <c r="Y68" s="135" t="s">
        <v>300</v>
      </c>
      <c r="AA68" s="2" t="s">
        <v>6</v>
      </c>
      <c r="AB68" s="2" t="str">
        <f t="shared" ref="AB68" si="87">IF(NOT(ISBLANK(AC68)),"-","")</f>
        <v>-</v>
      </c>
      <c r="AC68" s="2" t="s">
        <v>225</v>
      </c>
      <c r="AD68" s="2" t="str">
        <f>IF(NOT(ISBLANK(AE68)),"_","")</f>
        <v>_</v>
      </c>
      <c r="AE68" s="2" t="s">
        <v>297</v>
      </c>
      <c r="AF68" s="2" t="str">
        <f>IF(NOT(ISBLANK(AG68)),"_","")</f>
        <v/>
      </c>
      <c r="AH68" s="2" t="str">
        <f t="shared" ref="AH68" si="88">IF(NOT(ISBLANK(AI68)),"_","")</f>
        <v/>
      </c>
    </row>
    <row r="69" spans="2:34" x14ac:dyDescent="0.25">
      <c r="B69" s="2"/>
      <c r="AA69" s="2"/>
      <c r="AB69" s="2"/>
      <c r="AC69" s="2"/>
      <c r="AD69" s="2"/>
      <c r="AE69" s="2"/>
    </row>
    <row r="70" spans="2:34" x14ac:dyDescent="0.25">
      <c r="B70" s="2" t="str">
        <f t="shared" ref="B70:B85" si="89">_xlfn.CONCAT("@",AA70,AB70,AC70,AD70,AE70,AF70,AG70,AH70,AI70)</f>
        <v>@case_width-path_narrow_z11</v>
      </c>
      <c r="C70" s="28" t="s">
        <v>80</v>
      </c>
      <c r="D70" s="28" t="s">
        <v>85</v>
      </c>
      <c r="F70" s="28" t="s">
        <v>80</v>
      </c>
      <c r="G70" s="28" t="s">
        <v>85</v>
      </c>
      <c r="I70" s="28" t="s">
        <v>95</v>
      </c>
      <c r="L70" s="28" t="s">
        <v>95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72</v>
      </c>
      <c r="AF70" s="2" t="str">
        <f t="shared" ref="AF70" si="92">IF(NOT(ISBLANK(AG70)),"_","")</f>
        <v>_</v>
      </c>
      <c r="AG70" s="28" t="s">
        <v>70</v>
      </c>
      <c r="AH70" s="2" t="str">
        <f t="shared" ref="AH70:AH85" si="93">IF(NOT(ISBLANK(AI70)),"_","")</f>
        <v/>
      </c>
    </row>
    <row r="71" spans="2:34" x14ac:dyDescent="0.25">
      <c r="B71" s="2" t="str">
        <f t="shared" si="89"/>
        <v>@case_width-path_medium_z11</v>
      </c>
      <c r="C71" s="28" t="s">
        <v>84</v>
      </c>
      <c r="D71" s="28" t="s">
        <v>88</v>
      </c>
      <c r="F71" s="28" t="s">
        <v>84</v>
      </c>
      <c r="G71" s="28" t="s">
        <v>88</v>
      </c>
      <c r="I71" s="28" t="s">
        <v>96</v>
      </c>
      <c r="L71" s="28" t="s">
        <v>96</v>
      </c>
      <c r="U71" s="28" t="s">
        <v>84</v>
      </c>
      <c r="V71" s="28" t="s">
        <v>88</v>
      </c>
      <c r="X71" s="28" t="s">
        <v>84</v>
      </c>
      <c r="Y71" s="28" t="s">
        <v>88</v>
      </c>
      <c r="AA71" s="2" t="s">
        <v>78</v>
      </c>
      <c r="AB71" s="2" t="str">
        <f t="shared" ref="AB71" si="94">IF(NOT(ISBLANK(AC71)),"-","")</f>
        <v>-</v>
      </c>
      <c r="AC71" s="2" t="s">
        <v>71</v>
      </c>
      <c r="AD71" s="2" t="str">
        <f t="shared" ref="AD71" si="95">IF(NOT(ISBLANK(AE71)),"_","")</f>
        <v>_</v>
      </c>
      <c r="AE71" s="2" t="s">
        <v>79</v>
      </c>
      <c r="AF71" s="2" t="str">
        <f t="shared" ref="AF71" si="96">IF(NOT(ISBLANK(AG71)),"_","")</f>
        <v>_</v>
      </c>
      <c r="AG71" s="28" t="s">
        <v>70</v>
      </c>
      <c r="AH71" s="2" t="str">
        <f t="shared" si="93"/>
        <v/>
      </c>
    </row>
    <row r="72" spans="2:34" x14ac:dyDescent="0.25">
      <c r="B72" s="2" t="str">
        <f t="shared" si="89"/>
        <v>@case_width-path_wide_z11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84</v>
      </c>
      <c r="V72" s="28" t="s">
        <v>88</v>
      </c>
      <c r="X72" s="28" t="s">
        <v>84</v>
      </c>
      <c r="Y72" s="28" t="s">
        <v>88</v>
      </c>
      <c r="AA72" s="2" t="s">
        <v>78</v>
      </c>
      <c r="AB72" s="2" t="str">
        <f t="shared" ref="AB72:AB75" si="97">IF(NOT(ISBLANK(AC72)),"-","")</f>
        <v>-</v>
      </c>
      <c r="AC72" s="2" t="s">
        <v>71</v>
      </c>
      <c r="AD72" s="2" t="str">
        <f t="shared" ref="AD72:AD75" si="98">IF(NOT(ISBLANK(AE72)),"_","")</f>
        <v>_</v>
      </c>
      <c r="AE72" s="2" t="s">
        <v>77</v>
      </c>
      <c r="AF72" s="2" t="str">
        <f t="shared" ref="AF72:AF75" si="99">IF(NOT(ISBLANK(AG72)),"_","")</f>
        <v>_</v>
      </c>
      <c r="AG72" s="28" t="s">
        <v>70</v>
      </c>
      <c r="AH72" s="2" t="str">
        <f t="shared" si="93"/>
        <v/>
      </c>
    </row>
    <row r="73" spans="2:34" x14ac:dyDescent="0.25">
      <c r="B73" s="2" t="str">
        <f t="shared" si="89"/>
        <v>@case_width-path_widest_z11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84</v>
      </c>
      <c r="L73" s="28" t="s">
        <v>84</v>
      </c>
      <c r="U73" s="28" t="s">
        <v>84</v>
      </c>
      <c r="V73" s="28" t="s">
        <v>88</v>
      </c>
      <c r="X73" s="28" t="s">
        <v>84</v>
      </c>
      <c r="Y73" s="28" t="s">
        <v>88</v>
      </c>
      <c r="AA73" s="2" t="s">
        <v>78</v>
      </c>
      <c r="AB73" s="2" t="str">
        <f t="shared" ref="AB73" si="100">IF(NOT(ISBLANK(AC73)),"-","")</f>
        <v>-</v>
      </c>
      <c r="AC73" s="2" t="s">
        <v>71</v>
      </c>
      <c r="AD73" s="2" t="str">
        <f t="shared" ref="AD73" si="101">IF(NOT(ISBLANK(AE73)),"_","")</f>
        <v>_</v>
      </c>
      <c r="AE73" s="2" t="s">
        <v>296</v>
      </c>
      <c r="AF73" s="2" t="str">
        <f t="shared" ref="AF73" si="102">IF(NOT(ISBLANK(AG73)),"_","")</f>
        <v>_</v>
      </c>
      <c r="AG73" s="28" t="s">
        <v>70</v>
      </c>
      <c r="AH73" s="2" t="str">
        <f t="shared" si="93"/>
        <v/>
      </c>
    </row>
    <row r="74" spans="2:34" x14ac:dyDescent="0.25">
      <c r="B74" s="2" t="str">
        <f t="shared" si="89"/>
        <v>@case_width-path_narrow_z14</v>
      </c>
      <c r="C74" s="28" t="s">
        <v>81</v>
      </c>
      <c r="D74" s="28" t="s">
        <v>90</v>
      </c>
      <c r="F74" s="28" t="s">
        <v>81</v>
      </c>
      <c r="G74" s="28" t="s">
        <v>90</v>
      </c>
      <c r="I74" s="28" t="s">
        <v>80</v>
      </c>
      <c r="L74" s="28" t="s">
        <v>80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7"/>
        <v>-</v>
      </c>
      <c r="AC74" s="2" t="s">
        <v>71</v>
      </c>
      <c r="AD74" s="2" t="str">
        <f t="shared" si="98"/>
        <v>_</v>
      </c>
      <c r="AE74" s="2" t="s">
        <v>72</v>
      </c>
      <c r="AF74" s="2" t="str">
        <f t="shared" si="99"/>
        <v>_</v>
      </c>
      <c r="AG74" s="28" t="s">
        <v>74</v>
      </c>
      <c r="AH74" s="2" t="str">
        <f t="shared" si="93"/>
        <v/>
      </c>
    </row>
    <row r="75" spans="2:34" x14ac:dyDescent="0.25">
      <c r="B75" s="2" t="str">
        <f t="shared" si="89"/>
        <v>@case_width-path_medium_z14</v>
      </c>
      <c r="C75" s="28" t="s">
        <v>85</v>
      </c>
      <c r="D75" s="28" t="s">
        <v>92</v>
      </c>
      <c r="F75" s="28" t="s">
        <v>85</v>
      </c>
      <c r="G75" s="28" t="s">
        <v>92</v>
      </c>
      <c r="I75" s="28" t="s">
        <v>97</v>
      </c>
      <c r="L75" s="28" t="s">
        <v>97</v>
      </c>
      <c r="U75" s="28" t="s">
        <v>85</v>
      </c>
      <c r="V75" s="28" t="s">
        <v>92</v>
      </c>
      <c r="X75" s="28" t="s">
        <v>85</v>
      </c>
      <c r="Y75" s="28" t="s">
        <v>92</v>
      </c>
      <c r="AA75" s="2" t="s">
        <v>78</v>
      </c>
      <c r="AB75" s="2" t="str">
        <f t="shared" si="97"/>
        <v>-</v>
      </c>
      <c r="AC75" s="2" t="s">
        <v>71</v>
      </c>
      <c r="AD75" s="2" t="str">
        <f t="shared" si="98"/>
        <v>_</v>
      </c>
      <c r="AE75" s="2" t="s">
        <v>79</v>
      </c>
      <c r="AF75" s="2" t="str">
        <f t="shared" si="99"/>
        <v>_</v>
      </c>
      <c r="AG75" s="28" t="s">
        <v>74</v>
      </c>
      <c r="AH75" s="2" t="str">
        <f t="shared" si="93"/>
        <v/>
      </c>
    </row>
    <row r="76" spans="2:34" x14ac:dyDescent="0.25">
      <c r="B76" s="2" t="str">
        <f t="shared" si="89"/>
        <v>@case_width-path_wide_z14</v>
      </c>
      <c r="C76" s="28" t="s">
        <v>88</v>
      </c>
      <c r="D76" s="28" t="s">
        <v>86</v>
      </c>
      <c r="F76" s="28" t="s">
        <v>88</v>
      </c>
      <c r="G76" s="28" t="s">
        <v>86</v>
      </c>
      <c r="I76" s="28" t="s">
        <v>98</v>
      </c>
      <c r="L76" s="28" t="s">
        <v>98</v>
      </c>
      <c r="U76" s="28" t="s">
        <v>85</v>
      </c>
      <c r="V76" s="28" t="s">
        <v>92</v>
      </c>
      <c r="X76" s="28" t="s">
        <v>85</v>
      </c>
      <c r="Y76" s="28" t="s">
        <v>92</v>
      </c>
      <c r="AA76" s="2" t="s">
        <v>78</v>
      </c>
      <c r="AB76" s="2" t="str">
        <f t="shared" ref="AB76:AB79" si="103">IF(NOT(ISBLANK(AC76)),"-","")</f>
        <v>-</v>
      </c>
      <c r="AC76" s="2" t="s">
        <v>71</v>
      </c>
      <c r="AD76" s="2" t="str">
        <f t="shared" ref="AD76:AD79" si="104">IF(NOT(ISBLANK(AE76)),"_","")</f>
        <v>_</v>
      </c>
      <c r="AE76" s="2" t="s">
        <v>77</v>
      </c>
      <c r="AF76" s="2" t="str">
        <f t="shared" ref="AF76:AF79" si="105">IF(NOT(ISBLANK(AG76)),"_","")</f>
        <v>_</v>
      </c>
      <c r="AG76" s="28" t="s">
        <v>74</v>
      </c>
      <c r="AH76" s="2" t="str">
        <f t="shared" si="93"/>
        <v/>
      </c>
    </row>
    <row r="77" spans="2:34" x14ac:dyDescent="0.25">
      <c r="B77" s="2" t="str">
        <f t="shared" si="89"/>
        <v>@case_width-path_widest_z14</v>
      </c>
      <c r="C77" s="28" t="s">
        <v>92</v>
      </c>
      <c r="D77" s="28" t="s">
        <v>86</v>
      </c>
      <c r="F77" s="28" t="s">
        <v>92</v>
      </c>
      <c r="G77" s="28" t="s">
        <v>86</v>
      </c>
      <c r="I77" s="28" t="s">
        <v>92</v>
      </c>
      <c r="J77" s="28" t="s">
        <v>86</v>
      </c>
      <c r="L77" s="28" t="s">
        <v>92</v>
      </c>
      <c r="M77" s="28" t="s">
        <v>86</v>
      </c>
      <c r="U77" s="28" t="s">
        <v>92</v>
      </c>
      <c r="V77" s="28" t="s">
        <v>86</v>
      </c>
      <c r="X77" s="28" t="s">
        <v>92</v>
      </c>
      <c r="Y77" s="28" t="s">
        <v>86</v>
      </c>
      <c r="AA77" s="2" t="s">
        <v>78</v>
      </c>
      <c r="AB77" s="2" t="str">
        <f t="shared" ref="AB77" si="106">IF(NOT(ISBLANK(AC77)),"-","")</f>
        <v>-</v>
      </c>
      <c r="AC77" s="2" t="s">
        <v>71</v>
      </c>
      <c r="AD77" s="2" t="str">
        <f t="shared" ref="AD77" si="107">IF(NOT(ISBLANK(AE77)),"_","")</f>
        <v>_</v>
      </c>
      <c r="AE77" s="2" t="s">
        <v>296</v>
      </c>
      <c r="AF77" s="2" t="str">
        <f t="shared" ref="AF77" si="108">IF(NOT(ISBLANK(AG77)),"_","")</f>
        <v>_</v>
      </c>
      <c r="AG77" s="28" t="s">
        <v>74</v>
      </c>
      <c r="AH77" s="2" t="str">
        <f t="shared" si="93"/>
        <v/>
      </c>
    </row>
    <row r="78" spans="2:34" x14ac:dyDescent="0.25">
      <c r="B78" s="2" t="str">
        <f t="shared" si="89"/>
        <v>@case_width-path_narrow_z16</v>
      </c>
      <c r="C78" s="28" t="s">
        <v>88</v>
      </c>
      <c r="D78" s="28" t="s">
        <v>88</v>
      </c>
      <c r="F78" s="28" t="s">
        <v>88</v>
      </c>
      <c r="G78" s="28" t="s">
        <v>88</v>
      </c>
      <c r="I78" s="28" t="s">
        <v>80</v>
      </c>
      <c r="L78" s="28" t="s">
        <v>80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103"/>
        <v>-</v>
      </c>
      <c r="AC78" s="2" t="s">
        <v>71</v>
      </c>
      <c r="AD78" s="2" t="str">
        <f t="shared" si="104"/>
        <v>_</v>
      </c>
      <c r="AE78" s="2" t="s">
        <v>72</v>
      </c>
      <c r="AF78" s="2" t="str">
        <f t="shared" si="105"/>
        <v>_</v>
      </c>
      <c r="AG78" s="28" t="s">
        <v>75</v>
      </c>
      <c r="AH78" s="2" t="str">
        <f t="shared" si="93"/>
        <v/>
      </c>
    </row>
    <row r="79" spans="2:34" x14ac:dyDescent="0.25">
      <c r="B79" s="2" t="str">
        <f t="shared" si="89"/>
        <v>@case_width-path_medium_z16</v>
      </c>
      <c r="C79" s="28" t="s">
        <v>86</v>
      </c>
      <c r="D79" s="28" t="s">
        <v>86</v>
      </c>
      <c r="F79" s="28" t="s">
        <v>86</v>
      </c>
      <c r="G79" s="28" t="s">
        <v>86</v>
      </c>
      <c r="I79" s="28" t="s">
        <v>98</v>
      </c>
      <c r="L79" s="28" t="s">
        <v>98</v>
      </c>
      <c r="U79" s="28" t="s">
        <v>86</v>
      </c>
      <c r="V79" s="28" t="s">
        <v>86</v>
      </c>
      <c r="X79" s="28" t="s">
        <v>86</v>
      </c>
      <c r="Y79" s="28" t="s">
        <v>86</v>
      </c>
      <c r="AA79" s="2" t="s">
        <v>78</v>
      </c>
      <c r="AB79" s="2" t="str">
        <f t="shared" si="103"/>
        <v>-</v>
      </c>
      <c r="AC79" s="2" t="s">
        <v>71</v>
      </c>
      <c r="AD79" s="2" t="str">
        <f t="shared" si="104"/>
        <v>_</v>
      </c>
      <c r="AE79" s="2" t="s">
        <v>79</v>
      </c>
      <c r="AF79" s="2" t="str">
        <f t="shared" si="105"/>
        <v>_</v>
      </c>
      <c r="AG79" s="28" t="s">
        <v>75</v>
      </c>
      <c r="AH79" s="2" t="str">
        <f t="shared" si="93"/>
        <v/>
      </c>
    </row>
    <row r="80" spans="2:34" x14ac:dyDescent="0.25">
      <c r="B80" s="2" t="str">
        <f t="shared" si="89"/>
        <v>@case_width-path_wide_z16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99</v>
      </c>
      <c r="L80" s="28" t="s">
        <v>99</v>
      </c>
      <c r="U80" s="28" t="s">
        <v>86</v>
      </c>
      <c r="V80" s="28" t="s">
        <v>86</v>
      </c>
      <c r="X80" s="28" t="s">
        <v>86</v>
      </c>
      <c r="Y80" s="28" t="s">
        <v>86</v>
      </c>
      <c r="AA80" s="2" t="s">
        <v>78</v>
      </c>
      <c r="AB80" s="2" t="str">
        <f t="shared" ref="AB80:AB83" si="109">IF(NOT(ISBLANK(AC80)),"-","")</f>
        <v>-</v>
      </c>
      <c r="AC80" s="2" t="s">
        <v>71</v>
      </c>
      <c r="AD80" s="2" t="str">
        <f t="shared" ref="AD80:AD83" si="110">IF(NOT(ISBLANK(AE80)),"_","")</f>
        <v>_</v>
      </c>
      <c r="AE80" s="2" t="s">
        <v>77</v>
      </c>
      <c r="AF80" s="2" t="str">
        <f t="shared" ref="AF80:AF83" si="111">IF(NOT(ISBLANK(AG80)),"_","")</f>
        <v>_</v>
      </c>
      <c r="AG80" s="28" t="s">
        <v>75</v>
      </c>
      <c r="AH80" s="2" t="str">
        <f t="shared" si="93"/>
        <v/>
      </c>
    </row>
    <row r="81" spans="2:34" x14ac:dyDescent="0.25">
      <c r="B81" s="2" t="str">
        <f t="shared" si="89"/>
        <v>@case_width-path_widest_z16</v>
      </c>
      <c r="C81" s="28" t="s">
        <v>87</v>
      </c>
      <c r="D81" s="28" t="s">
        <v>87</v>
      </c>
      <c r="F81" s="28" t="s">
        <v>87</v>
      </c>
      <c r="G81" s="28" t="s">
        <v>87</v>
      </c>
      <c r="I81" s="28" t="s">
        <v>87</v>
      </c>
      <c r="J81" s="28" t="s">
        <v>87</v>
      </c>
      <c r="L81" s="28" t="s">
        <v>87</v>
      </c>
      <c r="M81" s="28" t="s">
        <v>87</v>
      </c>
      <c r="U81" s="28" t="s">
        <v>87</v>
      </c>
      <c r="V81" s="28" t="s">
        <v>87</v>
      </c>
      <c r="X81" s="28" t="s">
        <v>87</v>
      </c>
      <c r="Y81" s="28" t="s">
        <v>87</v>
      </c>
      <c r="AA81" s="2" t="s">
        <v>78</v>
      </c>
      <c r="AB81" s="2" t="str">
        <f t="shared" ref="AB81" si="112">IF(NOT(ISBLANK(AC81)),"-","")</f>
        <v>-</v>
      </c>
      <c r="AC81" s="2" t="s">
        <v>71</v>
      </c>
      <c r="AD81" s="2" t="str">
        <f t="shared" ref="AD81" si="113">IF(NOT(ISBLANK(AE81)),"_","")</f>
        <v>_</v>
      </c>
      <c r="AE81" s="2" t="s">
        <v>296</v>
      </c>
      <c r="AF81" s="2" t="str">
        <f t="shared" ref="AF81" si="114">IF(NOT(ISBLANK(AG81)),"_","")</f>
        <v>_</v>
      </c>
      <c r="AG81" s="28" t="s">
        <v>75</v>
      </c>
      <c r="AH81" s="2" t="str">
        <f t="shared" si="93"/>
        <v/>
      </c>
    </row>
    <row r="82" spans="2:34" x14ac:dyDescent="0.25">
      <c r="B82" s="2" t="str">
        <f t="shared" si="89"/>
        <v>@case_width-path_narrow_z18</v>
      </c>
      <c r="C82" s="28" t="s">
        <v>83</v>
      </c>
      <c r="D82" s="28" t="s">
        <v>91</v>
      </c>
      <c r="F82" s="28" t="s">
        <v>83</v>
      </c>
      <c r="G82" s="28" t="s">
        <v>91</v>
      </c>
      <c r="I82" s="28" t="s">
        <v>84</v>
      </c>
      <c r="L82" s="28" t="s">
        <v>84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9"/>
        <v>-</v>
      </c>
      <c r="AC82" s="2" t="s">
        <v>71</v>
      </c>
      <c r="AD82" s="2" t="str">
        <f t="shared" si="110"/>
        <v>_</v>
      </c>
      <c r="AE82" s="2" t="s">
        <v>72</v>
      </c>
      <c r="AF82" s="2" t="str">
        <f t="shared" si="111"/>
        <v>_</v>
      </c>
      <c r="AG82" s="28" t="s">
        <v>76</v>
      </c>
      <c r="AH82" s="2" t="str">
        <f t="shared" si="93"/>
        <v/>
      </c>
    </row>
    <row r="83" spans="2:34" x14ac:dyDescent="0.25">
      <c r="B83" s="2" t="str">
        <f t="shared" si="89"/>
        <v>@case_width-path_medium_z18</v>
      </c>
      <c r="C83" s="28" t="s">
        <v>87</v>
      </c>
      <c r="D83" s="28" t="s">
        <v>93</v>
      </c>
      <c r="F83" s="28" t="s">
        <v>87</v>
      </c>
      <c r="G83" s="28" t="s">
        <v>93</v>
      </c>
      <c r="I83" s="28" t="s">
        <v>99</v>
      </c>
      <c r="L83" s="28" t="s">
        <v>99</v>
      </c>
      <c r="U83" s="28" t="s">
        <v>87</v>
      </c>
      <c r="V83" s="28" t="s">
        <v>93</v>
      </c>
      <c r="X83" s="28" t="s">
        <v>87</v>
      </c>
      <c r="Y83" s="28" t="s">
        <v>93</v>
      </c>
      <c r="AA83" s="2" t="s">
        <v>78</v>
      </c>
      <c r="AB83" s="2" t="str">
        <f t="shared" si="109"/>
        <v>-</v>
      </c>
      <c r="AC83" s="2" t="s">
        <v>71</v>
      </c>
      <c r="AD83" s="2" t="str">
        <f t="shared" si="110"/>
        <v>_</v>
      </c>
      <c r="AE83" s="2" t="s">
        <v>79</v>
      </c>
      <c r="AF83" s="2" t="str">
        <f t="shared" si="111"/>
        <v>_</v>
      </c>
      <c r="AG83" s="28" t="s">
        <v>76</v>
      </c>
      <c r="AH83" s="2" t="str">
        <f t="shared" si="93"/>
        <v/>
      </c>
    </row>
    <row r="84" spans="2:34" x14ac:dyDescent="0.25">
      <c r="B84" s="2" t="str">
        <f t="shared" si="89"/>
        <v>@case_width-path_wide_z18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100</v>
      </c>
      <c r="L84" s="28" t="s">
        <v>100</v>
      </c>
      <c r="U84" s="28" t="s">
        <v>87</v>
      </c>
      <c r="V84" s="28" t="s">
        <v>93</v>
      </c>
      <c r="X84" s="28" t="s">
        <v>87</v>
      </c>
      <c r="Y84" s="28" t="s">
        <v>93</v>
      </c>
      <c r="AA84" s="2" t="s">
        <v>78</v>
      </c>
      <c r="AB84" s="2" t="str">
        <f t="shared" ref="AB84" si="115">IF(NOT(ISBLANK(AC84)),"-","")</f>
        <v>-</v>
      </c>
      <c r="AC84" s="2" t="s">
        <v>71</v>
      </c>
      <c r="AD84" s="2" t="str">
        <f t="shared" ref="AD84" si="116">IF(NOT(ISBLANK(AE84)),"_","")</f>
        <v>_</v>
      </c>
      <c r="AE84" s="2" t="s">
        <v>77</v>
      </c>
      <c r="AF84" s="2" t="str">
        <f t="shared" ref="AF84" si="117">IF(NOT(ISBLANK(AG84)),"_","")</f>
        <v>_</v>
      </c>
      <c r="AG84" s="28" t="s">
        <v>76</v>
      </c>
      <c r="AH84" s="2" t="str">
        <f t="shared" si="93"/>
        <v/>
      </c>
    </row>
    <row r="85" spans="2:34" x14ac:dyDescent="0.25">
      <c r="B85" s="2" t="str">
        <f t="shared" si="89"/>
        <v>@case_width-path_widest_z18</v>
      </c>
      <c r="C85" s="28" t="s">
        <v>89</v>
      </c>
      <c r="D85" s="28" t="s">
        <v>94</v>
      </c>
      <c r="F85" s="28" t="s">
        <v>89</v>
      </c>
      <c r="G85" s="28" t="s">
        <v>94</v>
      </c>
      <c r="I85" s="28" t="s">
        <v>89</v>
      </c>
      <c r="J85" s="28" t="s">
        <v>94</v>
      </c>
      <c r="L85" s="28" t="s">
        <v>89</v>
      </c>
      <c r="M85" s="28" t="s">
        <v>94</v>
      </c>
      <c r="U85" s="28" t="s">
        <v>89</v>
      </c>
      <c r="V85" s="28" t="s">
        <v>94</v>
      </c>
      <c r="X85" s="28" t="s">
        <v>89</v>
      </c>
      <c r="Y85" s="28" t="s">
        <v>94</v>
      </c>
      <c r="AA85" s="2" t="s">
        <v>78</v>
      </c>
      <c r="AB85" s="2" t="str">
        <f t="shared" ref="AB85" si="118">IF(NOT(ISBLANK(AC85)),"-","")</f>
        <v>-</v>
      </c>
      <c r="AC85" s="2" t="s">
        <v>71</v>
      </c>
      <c r="AD85" s="2" t="str">
        <f t="shared" ref="AD85" si="119">IF(NOT(ISBLANK(AE85)),"_","")</f>
        <v>_</v>
      </c>
      <c r="AE85" s="2" t="s">
        <v>296</v>
      </c>
      <c r="AF85" s="2" t="str">
        <f t="shared" ref="AF85" si="120">IF(NOT(ISBLANK(AG85)),"_","")</f>
        <v>_</v>
      </c>
      <c r="AG85" s="28" t="s">
        <v>76</v>
      </c>
      <c r="AH85" s="2" t="str">
        <f t="shared" si="93"/>
        <v/>
      </c>
    </row>
    <row r="86" spans="2:34" x14ac:dyDescent="0.25">
      <c r="B86" s="2"/>
      <c r="AA86" s="2"/>
      <c r="AB86" s="2"/>
      <c r="AC86" s="2"/>
      <c r="AD86" s="2"/>
      <c r="AE86" s="2"/>
      <c r="AF86" s="2"/>
      <c r="AH86" s="2"/>
    </row>
    <row r="87" spans="2:34" x14ac:dyDescent="0.25">
      <c r="B87" s="2" t="str">
        <f t="shared" ref="B87" si="121">_xlfn.CONCAT("@",AA87,AB87,AC87,AD87,AE87,AF87,AG87,AH87,AI87)</f>
        <v>@color-path_track_footway_cycleway_railings</v>
      </c>
      <c r="C87" s="47" t="s">
        <v>214</v>
      </c>
      <c r="D87" s="47" t="s">
        <v>214</v>
      </c>
      <c r="F87" s="31" t="s">
        <v>281</v>
      </c>
      <c r="G87" s="31" t="s">
        <v>281</v>
      </c>
      <c r="I87" s="47" t="s">
        <v>214</v>
      </c>
      <c r="J87" s="47" t="s">
        <v>214</v>
      </c>
      <c r="L87" s="31" t="s">
        <v>281</v>
      </c>
      <c r="M87" s="31" t="s">
        <v>281</v>
      </c>
      <c r="U87" s="47" t="s">
        <v>214</v>
      </c>
      <c r="V87" s="47" t="s">
        <v>214</v>
      </c>
      <c r="X87" s="31" t="s">
        <v>281</v>
      </c>
      <c r="Y87" s="31" t="s">
        <v>281</v>
      </c>
      <c r="AA87" s="2" t="s">
        <v>6</v>
      </c>
      <c r="AB87" s="2" t="str">
        <f t="shared" ref="AB87" si="122">IF(NOT(ISBLANK(AC87)),"-","")</f>
        <v>-</v>
      </c>
      <c r="AC87" s="2" t="s">
        <v>349</v>
      </c>
      <c r="AD87" s="2" t="str">
        <f t="shared" ref="AD87" si="123">IF(NOT(ISBLANK(AE87)),"_","")</f>
        <v>_</v>
      </c>
      <c r="AE87" s="2" t="s">
        <v>342</v>
      </c>
      <c r="AF87" s="2" t="str">
        <f t="shared" ref="AF87" si="124">IF(NOT(ISBLANK(AG87)),"_","")</f>
        <v/>
      </c>
      <c r="AH87" s="2" t="str">
        <f t="shared" ref="AH87" si="125">IF(NOT(ISBLANK(AI87)),"_","")</f>
        <v/>
      </c>
    </row>
    <row r="88" spans="2:34" x14ac:dyDescent="0.25">
      <c r="B88" s="2" t="str">
        <f t="shared" ref="B88" si="126">_xlfn.CONCAT("@",AA88,AB88,AC88,AD88,AE88,AF88,AG88,AH88,AI88)</f>
        <v>@color-path_track_footway_cycleway_floor</v>
      </c>
      <c r="C88" s="46" t="s">
        <v>222</v>
      </c>
      <c r="D88" s="46" t="s">
        <v>222</v>
      </c>
      <c r="F88" s="47" t="s">
        <v>214</v>
      </c>
      <c r="G88" s="47" t="s">
        <v>214</v>
      </c>
      <c r="I88" s="46" t="s">
        <v>222</v>
      </c>
      <c r="J88" s="46" t="s">
        <v>222</v>
      </c>
      <c r="L88" s="47" t="s">
        <v>214</v>
      </c>
      <c r="M88" s="47" t="s">
        <v>214</v>
      </c>
      <c r="U88" s="46" t="s">
        <v>222</v>
      </c>
      <c r="V88" s="46" t="s">
        <v>222</v>
      </c>
      <c r="X88" s="47" t="s">
        <v>214</v>
      </c>
      <c r="Y88" s="47" t="s">
        <v>214</v>
      </c>
      <c r="AA88" s="2" t="s">
        <v>6</v>
      </c>
      <c r="AB88" s="2" t="str">
        <f t="shared" ref="AB88" si="127">IF(NOT(ISBLANK(AC88)),"-","")</f>
        <v>-</v>
      </c>
      <c r="AC88" s="2" t="s">
        <v>349</v>
      </c>
      <c r="AD88" s="2" t="str">
        <f t="shared" ref="AD88" si="128">IF(NOT(ISBLANK(AE88)),"_","")</f>
        <v>_</v>
      </c>
      <c r="AE88" s="2" t="s">
        <v>343</v>
      </c>
      <c r="AF88" s="2" t="str">
        <f t="shared" ref="AF88" si="129">IF(NOT(ISBLANK(AG88)),"_","")</f>
        <v/>
      </c>
      <c r="AH88" s="2" t="str">
        <f t="shared" ref="AH88" si="130">IF(NOT(ISBLANK(AI88)),"_","")</f>
        <v/>
      </c>
    </row>
    <row r="89" spans="2:34" x14ac:dyDescent="0.25">
      <c r="B89" s="2"/>
      <c r="AA89" s="2"/>
      <c r="AB89" s="2"/>
      <c r="AC89" s="2"/>
      <c r="AD89" s="2"/>
      <c r="AE89" s="2"/>
      <c r="AF89" s="2"/>
      <c r="AH89" s="2"/>
    </row>
    <row r="90" spans="2:34" x14ac:dyDescent="0.25">
      <c r="B90" s="2" t="str">
        <f t="shared" ref="B90" si="131">_xlfn.CONCAT("@",AA90,AB90,AC90,AD90,AE90,AF90,AG90,AH90,AI90)</f>
        <v>@case_width-path_track_footway_cycleway_railings_z12</v>
      </c>
      <c r="C90" s="28" t="s">
        <v>131</v>
      </c>
      <c r="D90" s="28" t="s">
        <v>131</v>
      </c>
      <c r="F90" s="28" t="s">
        <v>131</v>
      </c>
      <c r="G90" s="28" t="s">
        <v>131</v>
      </c>
      <c r="I90" s="28" t="s">
        <v>131</v>
      </c>
      <c r="J90" s="28" t="s">
        <v>82</v>
      </c>
      <c r="L90" s="28" t="s">
        <v>131</v>
      </c>
      <c r="M90" s="28" t="s">
        <v>82</v>
      </c>
      <c r="U90" s="28" t="s">
        <v>131</v>
      </c>
      <c r="V90" s="28" t="s">
        <v>131</v>
      </c>
      <c r="X90" s="28" t="s">
        <v>131</v>
      </c>
      <c r="Y90" s="28" t="s">
        <v>131</v>
      </c>
      <c r="AA90" s="2" t="s">
        <v>78</v>
      </c>
      <c r="AB90" s="2" t="str">
        <f t="shared" ref="AB90" si="132">IF(NOT(ISBLANK(AC90)),"-","")</f>
        <v>-</v>
      </c>
      <c r="AC90" s="2" t="s">
        <v>349</v>
      </c>
      <c r="AD90" s="2" t="str">
        <f t="shared" ref="AD90" si="133">IF(NOT(ISBLANK(AE90)),"_","")</f>
        <v>_</v>
      </c>
      <c r="AE90" s="2" t="s">
        <v>342</v>
      </c>
      <c r="AF90" s="2" t="str">
        <f t="shared" ref="AF90" si="134">IF(NOT(ISBLANK(AG90)),"_","")</f>
        <v>_</v>
      </c>
      <c r="AG90" s="28" t="s">
        <v>109</v>
      </c>
      <c r="AH90" s="2" t="str">
        <f t="shared" ref="AH90" si="135">IF(NOT(ISBLANK(AI90)),"_","")</f>
        <v/>
      </c>
    </row>
    <row r="91" spans="2:34" x14ac:dyDescent="0.25">
      <c r="B91" s="2" t="str">
        <f t="shared" ref="B91" si="136">_xlfn.CONCAT("@",AA91,AB91,AC91,AD91,AE91,AF91,AG91,AH91,AI91)</f>
        <v>@case_width-path_track_footway_cycleway_railings_z14</v>
      </c>
      <c r="C91" s="28" t="s">
        <v>344</v>
      </c>
      <c r="D91" s="28" t="s">
        <v>344</v>
      </c>
      <c r="F91" s="28" t="s">
        <v>344</v>
      </c>
      <c r="G91" s="28" t="s">
        <v>344</v>
      </c>
      <c r="I91" s="28" t="s">
        <v>86</v>
      </c>
      <c r="J91" s="28" t="s">
        <v>134</v>
      </c>
      <c r="L91" s="28" t="s">
        <v>86</v>
      </c>
      <c r="M91" s="28" t="s">
        <v>134</v>
      </c>
      <c r="U91" s="28" t="s">
        <v>344</v>
      </c>
      <c r="V91" s="28" t="s">
        <v>344</v>
      </c>
      <c r="X91" s="28" t="s">
        <v>344</v>
      </c>
      <c r="Y91" s="28" t="s">
        <v>344</v>
      </c>
      <c r="AA91" s="2" t="s">
        <v>78</v>
      </c>
      <c r="AB91" s="2" t="str">
        <f t="shared" ref="AB91" si="137">IF(NOT(ISBLANK(AC91)),"-","")</f>
        <v>-</v>
      </c>
      <c r="AC91" s="2" t="s">
        <v>349</v>
      </c>
      <c r="AD91" s="2" t="str">
        <f t="shared" ref="AD91" si="138">IF(NOT(ISBLANK(AE91)),"_","")</f>
        <v>_</v>
      </c>
      <c r="AE91" s="2" t="s">
        <v>342</v>
      </c>
      <c r="AF91" s="2" t="str">
        <f t="shared" ref="AF91" si="139">IF(NOT(ISBLANK(AG91)),"_","")</f>
        <v>_</v>
      </c>
      <c r="AG91" s="28" t="s">
        <v>74</v>
      </c>
      <c r="AH91" s="2" t="str">
        <f t="shared" ref="AH91" si="140">IF(NOT(ISBLANK(AI91)),"_","")</f>
        <v/>
      </c>
    </row>
    <row r="92" spans="2:34" x14ac:dyDescent="0.25">
      <c r="B92" s="2" t="str">
        <f t="shared" ref="B92" si="141">_xlfn.CONCAT("@",AA92,AB92,AC92,AD92,AE92,AF92,AG92,AH92,AI92)</f>
        <v>@case_width-path_track_footway_cycleway_railings_z15</v>
      </c>
      <c r="C92" s="28" t="s">
        <v>128</v>
      </c>
      <c r="D92" s="28" t="s">
        <v>313</v>
      </c>
      <c r="F92" s="28" t="s">
        <v>128</v>
      </c>
      <c r="G92" s="28" t="s">
        <v>86</v>
      </c>
      <c r="I92" s="28" t="s">
        <v>134</v>
      </c>
      <c r="J92" s="28" t="s">
        <v>327</v>
      </c>
      <c r="L92" s="28" t="s">
        <v>134</v>
      </c>
      <c r="M92" s="28" t="s">
        <v>327</v>
      </c>
      <c r="U92" s="28" t="s">
        <v>128</v>
      </c>
      <c r="V92" s="28" t="s">
        <v>313</v>
      </c>
      <c r="X92" s="28" t="s">
        <v>128</v>
      </c>
      <c r="Y92" s="28" t="s">
        <v>86</v>
      </c>
      <c r="AA92" s="2" t="s">
        <v>78</v>
      </c>
      <c r="AB92" s="2" t="str">
        <f t="shared" ref="AB92" si="142">IF(NOT(ISBLANK(AC92)),"-","")</f>
        <v>-</v>
      </c>
      <c r="AC92" s="2" t="s">
        <v>349</v>
      </c>
      <c r="AD92" s="2" t="str">
        <f t="shared" ref="AD92" si="143">IF(NOT(ISBLANK(AE92)),"_","")</f>
        <v>_</v>
      </c>
      <c r="AE92" s="2" t="s">
        <v>342</v>
      </c>
      <c r="AF92" s="2" t="str">
        <f t="shared" ref="AF92" si="144">IF(NOT(ISBLANK(AG92)),"_","")</f>
        <v>_</v>
      </c>
      <c r="AG92" s="28" t="s">
        <v>337</v>
      </c>
      <c r="AH92" s="2" t="str">
        <f t="shared" ref="AH92" si="145">IF(NOT(ISBLANK(AI92)),"_","")</f>
        <v/>
      </c>
    </row>
    <row r="93" spans="2:34" x14ac:dyDescent="0.25">
      <c r="B93" s="2" t="str">
        <f t="shared" ref="B93" si="146">_xlfn.CONCAT("@",AA93,AB93,AC93,AD93,AE93,AF93,AG93,AH93,AI93)</f>
        <v>@case_width-path_track_footway_cycleway_railings_z16</v>
      </c>
      <c r="C93" s="28" t="s">
        <v>340</v>
      </c>
      <c r="D93" s="28" t="s">
        <v>345</v>
      </c>
      <c r="F93" s="28" t="s">
        <v>340</v>
      </c>
      <c r="G93" s="28" t="s">
        <v>345</v>
      </c>
      <c r="I93" s="28" t="s">
        <v>135</v>
      </c>
      <c r="J93" s="28" t="s">
        <v>347</v>
      </c>
      <c r="L93" s="28" t="s">
        <v>135</v>
      </c>
      <c r="M93" s="28" t="s">
        <v>347</v>
      </c>
      <c r="U93" s="28" t="s">
        <v>340</v>
      </c>
      <c r="V93" s="28" t="s">
        <v>345</v>
      </c>
      <c r="X93" s="28" t="s">
        <v>340</v>
      </c>
      <c r="Y93" s="28" t="s">
        <v>345</v>
      </c>
      <c r="AA93" s="2" t="s">
        <v>78</v>
      </c>
      <c r="AB93" s="2" t="str">
        <f t="shared" ref="AB93" si="147">IF(NOT(ISBLANK(AC93)),"-","")</f>
        <v>-</v>
      </c>
      <c r="AC93" s="2" t="s">
        <v>349</v>
      </c>
      <c r="AD93" s="2" t="str">
        <f t="shared" ref="AD93" si="148">IF(NOT(ISBLANK(AE93)),"_","")</f>
        <v>_</v>
      </c>
      <c r="AE93" s="2" t="s">
        <v>342</v>
      </c>
      <c r="AF93" s="2" t="str">
        <f t="shared" ref="AF93" si="149">IF(NOT(ISBLANK(AG93)),"_","")</f>
        <v>_</v>
      </c>
      <c r="AG93" s="28" t="s">
        <v>75</v>
      </c>
      <c r="AH93" s="2" t="str">
        <f t="shared" ref="AH93" si="150">IF(NOT(ISBLANK(AI93)),"_","")</f>
        <v/>
      </c>
    </row>
    <row r="94" spans="2:34" x14ac:dyDescent="0.25">
      <c r="B94" s="2" t="str">
        <f t="shared" ref="B94" si="151">_xlfn.CONCAT("@",AA94,AB94,AC94,AD94,AE94,AF94,AG94,AH94,AI94)</f>
        <v>@case_width-path_track_footway_cycleway_railings_z18</v>
      </c>
      <c r="C94" s="28" t="s">
        <v>89</v>
      </c>
      <c r="D94" s="28" t="s">
        <v>339</v>
      </c>
      <c r="F94" s="28" t="s">
        <v>89</v>
      </c>
      <c r="G94" s="28" t="s">
        <v>339</v>
      </c>
      <c r="I94" s="28" t="s">
        <v>346</v>
      </c>
      <c r="J94" s="28" t="s">
        <v>348</v>
      </c>
      <c r="L94" s="28" t="s">
        <v>346</v>
      </c>
      <c r="M94" s="28" t="s">
        <v>348</v>
      </c>
      <c r="U94" s="28" t="s">
        <v>89</v>
      </c>
      <c r="V94" s="28" t="s">
        <v>339</v>
      </c>
      <c r="X94" s="28" t="s">
        <v>89</v>
      </c>
      <c r="Y94" s="28" t="s">
        <v>339</v>
      </c>
      <c r="AA94" s="2" t="s">
        <v>78</v>
      </c>
      <c r="AB94" s="2" t="str">
        <f t="shared" ref="AB94" si="152">IF(NOT(ISBLANK(AC94)),"-","")</f>
        <v>-</v>
      </c>
      <c r="AC94" s="2" t="s">
        <v>349</v>
      </c>
      <c r="AD94" s="2" t="str">
        <f t="shared" ref="AD94" si="153">IF(NOT(ISBLANK(AE94)),"_","")</f>
        <v>_</v>
      </c>
      <c r="AE94" s="2" t="s">
        <v>342</v>
      </c>
      <c r="AF94" s="2" t="str">
        <f t="shared" ref="AF94" si="154">IF(NOT(ISBLANK(AG94)),"_","")</f>
        <v>_</v>
      </c>
      <c r="AG94" s="28" t="s">
        <v>76</v>
      </c>
      <c r="AH94" s="2" t="str">
        <f t="shared" ref="AH94" si="155">IF(NOT(ISBLANK(AI94)),"_","")</f>
        <v/>
      </c>
    </row>
    <row r="95" spans="2:34" x14ac:dyDescent="0.25">
      <c r="B95" s="2"/>
      <c r="AA95" s="2"/>
      <c r="AB95" s="2"/>
      <c r="AC95" s="2"/>
      <c r="AD95" s="2"/>
      <c r="AE95" s="2"/>
      <c r="AF95" s="2"/>
      <c r="AH95" s="2"/>
    </row>
    <row r="96" spans="2:34" x14ac:dyDescent="0.25">
      <c r="B96" s="2" t="str">
        <f t="shared" ref="B96" si="156">_xlfn.CONCAT("@",AA96,AB96,AC96,AD96,AE96,AF96,AG96,AH96,AI96)</f>
        <v>@case_width-path_track_footway_cycleway_floor_z12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112</v>
      </c>
      <c r="J96" s="28" t="s">
        <v>90</v>
      </c>
      <c r="L96" s="28" t="s">
        <v>112</v>
      </c>
      <c r="M96" s="28" t="s">
        <v>90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7">IF(NOT(ISBLANK(AC96)),"-","")</f>
        <v>-</v>
      </c>
      <c r="AC96" s="2" t="s">
        <v>349</v>
      </c>
      <c r="AD96" s="2" t="str">
        <f t="shared" ref="AD96" si="158">IF(NOT(ISBLANK(AE96)),"_","")</f>
        <v>_</v>
      </c>
      <c r="AE96" s="2" t="s">
        <v>343</v>
      </c>
      <c r="AF96" s="2" t="str">
        <f t="shared" ref="AF96" si="159">IF(NOT(ISBLANK(AG96)),"_","")</f>
        <v>_</v>
      </c>
      <c r="AG96" s="28" t="s">
        <v>109</v>
      </c>
      <c r="AH96" s="2" t="str">
        <f t="shared" ref="AH96" si="160">IF(NOT(ISBLANK(AI96)),"_","")</f>
        <v/>
      </c>
    </row>
    <row r="97" spans="1:35" x14ac:dyDescent="0.25">
      <c r="B97" s="2" t="str">
        <f t="shared" ref="B97" si="161">_xlfn.CONCAT("@",AA97,AB97,AC97,AD97,AE97,AF97,AG97,AH97,AI97)</f>
        <v>@case_width-path_track_footway_cycleway_floor_z14</v>
      </c>
      <c r="C97" s="28" t="s">
        <v>112</v>
      </c>
      <c r="D97" s="28" t="s">
        <v>112</v>
      </c>
      <c r="F97" s="28" t="s">
        <v>112</v>
      </c>
      <c r="G97" s="28" t="s">
        <v>112</v>
      </c>
      <c r="I97" s="28" t="s">
        <v>128</v>
      </c>
      <c r="J97" s="28" t="s">
        <v>313</v>
      </c>
      <c r="L97" s="28" t="s">
        <v>128</v>
      </c>
      <c r="M97" s="28" t="s">
        <v>313</v>
      </c>
      <c r="U97" s="28" t="s">
        <v>112</v>
      </c>
      <c r="V97" s="28" t="s">
        <v>112</v>
      </c>
      <c r="X97" s="28" t="s">
        <v>112</v>
      </c>
      <c r="Y97" s="28" t="s">
        <v>112</v>
      </c>
      <c r="AA97" s="2" t="s">
        <v>78</v>
      </c>
      <c r="AB97" s="2" t="str">
        <f t="shared" ref="AB97" si="162">IF(NOT(ISBLANK(AC97)),"-","")</f>
        <v>-</v>
      </c>
      <c r="AC97" s="2" t="s">
        <v>349</v>
      </c>
      <c r="AD97" s="2" t="str">
        <f t="shared" ref="AD97" si="163">IF(NOT(ISBLANK(AE97)),"_","")</f>
        <v>_</v>
      </c>
      <c r="AE97" s="2" t="s">
        <v>343</v>
      </c>
      <c r="AF97" s="2" t="str">
        <f t="shared" ref="AF97" si="164">IF(NOT(ISBLANK(AG97)),"_","")</f>
        <v>_</v>
      </c>
      <c r="AG97" s="28" t="s">
        <v>74</v>
      </c>
      <c r="AH97" s="2" t="str">
        <f t="shared" ref="AH97" si="165">IF(NOT(ISBLANK(AI97)),"_","")</f>
        <v/>
      </c>
    </row>
    <row r="98" spans="1:35" x14ac:dyDescent="0.25">
      <c r="B98" s="2" t="str">
        <f t="shared" ref="B98:B99" si="166">_xlfn.CONCAT("@",AA98,AB98,AC98,AD98,AE98,AF98,AG98,AH98,AI98)</f>
        <v>@case_width-path_track_footway_cycleway_floor_z15</v>
      </c>
      <c r="C98" s="28" t="s">
        <v>88</v>
      </c>
      <c r="D98" s="28" t="s">
        <v>92</v>
      </c>
      <c r="F98" s="28" t="s">
        <v>88</v>
      </c>
      <c r="G98" s="28" t="s">
        <v>92</v>
      </c>
      <c r="I98" s="28" t="s">
        <v>83</v>
      </c>
      <c r="J98" s="28" t="s">
        <v>86</v>
      </c>
      <c r="L98" s="28" t="s">
        <v>83</v>
      </c>
      <c r="M98" s="28" t="s">
        <v>86</v>
      </c>
      <c r="U98" s="28" t="s">
        <v>88</v>
      </c>
      <c r="V98" s="28" t="s">
        <v>92</v>
      </c>
      <c r="X98" s="28" t="s">
        <v>88</v>
      </c>
      <c r="Y98" s="28" t="s">
        <v>92</v>
      </c>
      <c r="AA98" s="2" t="s">
        <v>78</v>
      </c>
      <c r="AB98" s="2" t="str">
        <f t="shared" ref="AB98:AB99" si="167">IF(NOT(ISBLANK(AC98)),"-","")</f>
        <v>-</v>
      </c>
      <c r="AC98" s="2" t="s">
        <v>349</v>
      </c>
      <c r="AD98" s="2" t="str">
        <f t="shared" ref="AD98:AD99" si="168">IF(NOT(ISBLANK(AE98)),"_","")</f>
        <v>_</v>
      </c>
      <c r="AE98" s="2" t="s">
        <v>343</v>
      </c>
      <c r="AF98" s="2" t="str">
        <f t="shared" ref="AF98:AF99" si="169">IF(NOT(ISBLANK(AG98)),"_","")</f>
        <v>_</v>
      </c>
      <c r="AG98" s="28" t="s">
        <v>337</v>
      </c>
      <c r="AH98" s="2" t="str">
        <f t="shared" ref="AH98:AH99" si="170">IF(NOT(ISBLANK(AI98)),"_","")</f>
        <v/>
      </c>
    </row>
    <row r="99" spans="1:35" x14ac:dyDescent="0.25">
      <c r="B99" s="2" t="str">
        <f t="shared" si="166"/>
        <v>@case_width-path_track_footway_cycleway_floor_z16</v>
      </c>
      <c r="C99" s="28" t="s">
        <v>86</v>
      </c>
      <c r="D99" s="28" t="s">
        <v>134</v>
      </c>
      <c r="F99" s="28" t="s">
        <v>86</v>
      </c>
      <c r="G99" s="28" t="s">
        <v>134</v>
      </c>
      <c r="I99" s="28" t="s">
        <v>327</v>
      </c>
      <c r="J99" s="28" t="s">
        <v>341</v>
      </c>
      <c r="L99" s="28" t="s">
        <v>327</v>
      </c>
      <c r="M99" s="28" t="s">
        <v>341</v>
      </c>
      <c r="U99" s="28" t="s">
        <v>86</v>
      </c>
      <c r="V99" s="28" t="s">
        <v>134</v>
      </c>
      <c r="X99" s="28" t="s">
        <v>86</v>
      </c>
      <c r="Y99" s="28" t="s">
        <v>134</v>
      </c>
      <c r="AA99" s="2" t="s">
        <v>78</v>
      </c>
      <c r="AB99" s="2" t="str">
        <f t="shared" si="167"/>
        <v>-</v>
      </c>
      <c r="AC99" s="2" t="s">
        <v>349</v>
      </c>
      <c r="AD99" s="2" t="str">
        <f t="shared" si="168"/>
        <v>_</v>
      </c>
      <c r="AE99" s="2" t="s">
        <v>343</v>
      </c>
      <c r="AF99" s="2" t="str">
        <f t="shared" si="169"/>
        <v>_</v>
      </c>
      <c r="AG99" s="28" t="s">
        <v>75</v>
      </c>
      <c r="AH99" s="2" t="str">
        <f t="shared" si="170"/>
        <v/>
      </c>
    </row>
    <row r="100" spans="1:35" x14ac:dyDescent="0.25">
      <c r="B100" s="2" t="str">
        <f t="shared" ref="B100" si="171">_xlfn.CONCAT("@",AA100,AB100,AC100,AD100,AE100,AF100,AG100,AH100,AI100)</f>
        <v>@case_width-path_track_footway_cycleway_floor_z18</v>
      </c>
      <c r="C100" s="28" t="s">
        <v>332</v>
      </c>
      <c r="D100" s="28" t="s">
        <v>338</v>
      </c>
      <c r="F100" s="28" t="s">
        <v>332</v>
      </c>
      <c r="G100" s="28" t="s">
        <v>338</v>
      </c>
      <c r="I100" s="28" t="s">
        <v>339</v>
      </c>
      <c r="J100" s="28" t="s">
        <v>145</v>
      </c>
      <c r="L100" s="28" t="s">
        <v>339</v>
      </c>
      <c r="M100" s="28" t="s">
        <v>145</v>
      </c>
      <c r="U100" s="28" t="s">
        <v>332</v>
      </c>
      <c r="V100" s="28" t="s">
        <v>338</v>
      </c>
      <c r="X100" s="28" t="s">
        <v>332</v>
      </c>
      <c r="Y100" s="28" t="s">
        <v>338</v>
      </c>
      <c r="AA100" s="2" t="s">
        <v>78</v>
      </c>
      <c r="AB100" s="2" t="str">
        <f t="shared" ref="AB100" si="172">IF(NOT(ISBLANK(AC100)),"-","")</f>
        <v>-</v>
      </c>
      <c r="AC100" s="2" t="s">
        <v>349</v>
      </c>
      <c r="AD100" s="2" t="str">
        <f t="shared" ref="AD100" si="173">IF(NOT(ISBLANK(AE100)),"_","")</f>
        <v>_</v>
      </c>
      <c r="AE100" s="2" t="s">
        <v>343</v>
      </c>
      <c r="AF100" s="2" t="str">
        <f t="shared" ref="AF100" si="174">IF(NOT(ISBLANK(AG100)),"_","")</f>
        <v>_</v>
      </c>
      <c r="AG100" s="28" t="s">
        <v>76</v>
      </c>
      <c r="AH100" s="2" t="str">
        <f t="shared" ref="AH100" si="175">IF(NOT(ISBLANK(AI100)),"_","")</f>
        <v/>
      </c>
    </row>
    <row r="101" spans="1:35" x14ac:dyDescent="0.25">
      <c r="B101" s="2"/>
      <c r="AA101" s="2"/>
      <c r="AB101" s="2"/>
      <c r="AC101" s="2"/>
      <c r="AD101" s="2"/>
      <c r="AE101" s="2"/>
    </row>
    <row r="102" spans="1:35" x14ac:dyDescent="0.25">
      <c r="B102" s="2" t="str">
        <f>_xlfn.CONCAT("@",AA102,AB102,AC102,AD102,AE102,AF102,AG102,AH102,AI102)</f>
        <v>@case_width-track_default_z10</v>
      </c>
      <c r="C102" s="28" t="s">
        <v>85</v>
      </c>
      <c r="D102" s="28" t="s">
        <v>354</v>
      </c>
      <c r="F102" s="28" t="s">
        <v>85</v>
      </c>
      <c r="G102" s="28" t="s">
        <v>354</v>
      </c>
      <c r="I102" s="28" t="s">
        <v>85</v>
      </c>
      <c r="J102" s="28" t="s">
        <v>354</v>
      </c>
      <c r="L102" s="28" t="s">
        <v>85</v>
      </c>
      <c r="M102" s="28" t="s">
        <v>354</v>
      </c>
      <c r="U102" s="28" t="s">
        <v>85</v>
      </c>
      <c r="V102" s="28" t="s">
        <v>354</v>
      </c>
      <c r="X102" s="28" t="s">
        <v>85</v>
      </c>
      <c r="Y102" s="28" t="s">
        <v>354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103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@case_width-track_default_z12</v>
      </c>
      <c r="C103" s="28" t="s">
        <v>82</v>
      </c>
      <c r="D103" s="28" t="s">
        <v>83</v>
      </c>
      <c r="F103" s="28" t="s">
        <v>82</v>
      </c>
      <c r="G103" s="28" t="s">
        <v>83</v>
      </c>
      <c r="I103" s="28" t="s">
        <v>82</v>
      </c>
      <c r="J103" s="28" t="s">
        <v>83</v>
      </c>
      <c r="L103" s="28" t="s">
        <v>82</v>
      </c>
      <c r="M103" s="28" t="s">
        <v>83</v>
      </c>
      <c r="U103" s="28" t="s">
        <v>82</v>
      </c>
      <c r="V103" s="28" t="s">
        <v>83</v>
      </c>
      <c r="X103" s="28" t="s">
        <v>82</v>
      </c>
      <c r="Y103" s="28" t="s">
        <v>83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109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@case_width-track_default_z14</v>
      </c>
      <c r="C104" s="28" t="s">
        <v>92</v>
      </c>
      <c r="D104" s="28" t="s">
        <v>86</v>
      </c>
      <c r="F104" s="28" t="s">
        <v>92</v>
      </c>
      <c r="G104" s="28" t="s">
        <v>86</v>
      </c>
      <c r="I104" s="28" t="s">
        <v>92</v>
      </c>
      <c r="J104" s="28" t="s">
        <v>86</v>
      </c>
      <c r="L104" s="28" t="s">
        <v>92</v>
      </c>
      <c r="M104" s="28" t="s">
        <v>86</v>
      </c>
      <c r="U104" s="28" t="s">
        <v>92</v>
      </c>
      <c r="V104" s="28" t="s">
        <v>86</v>
      </c>
      <c r="X104" s="28" t="s">
        <v>92</v>
      </c>
      <c r="Y104" s="28" t="s">
        <v>86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74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@case_width-track_default_z16</v>
      </c>
      <c r="C105" s="28" t="s">
        <v>87</v>
      </c>
      <c r="D105" s="28" t="s">
        <v>87</v>
      </c>
      <c r="F105" s="28" t="s">
        <v>87</v>
      </c>
      <c r="G105" s="28" t="s">
        <v>87</v>
      </c>
      <c r="I105" s="28" t="s">
        <v>87</v>
      </c>
      <c r="J105" s="28" t="s">
        <v>87</v>
      </c>
      <c r="L105" s="28" t="s">
        <v>87</v>
      </c>
      <c r="M105" s="28" t="s">
        <v>87</v>
      </c>
      <c r="U105" s="28" t="s">
        <v>87</v>
      </c>
      <c r="V105" s="28" t="s">
        <v>87</v>
      </c>
      <c r="X105" s="28" t="s">
        <v>87</v>
      </c>
      <c r="Y105" s="28" t="s">
        <v>87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75</v>
      </c>
      <c r="AH105" s="2" t="str">
        <f>IF(NOT(ISBLANK(AI105)),"_","")</f>
        <v/>
      </c>
    </row>
    <row r="106" spans="1:35" x14ac:dyDescent="0.25">
      <c r="B106" s="2" t="str">
        <f>_xlfn.CONCAT("@",AA106,AB106,AC106,AD106,AE106,AF106,AG106,AH106,AI106)</f>
        <v>@case_width-track_default_z18</v>
      </c>
      <c r="C106" s="28" t="s">
        <v>89</v>
      </c>
      <c r="D106" s="28" t="s">
        <v>94</v>
      </c>
      <c r="F106" s="28" t="s">
        <v>89</v>
      </c>
      <c r="G106" s="28" t="s">
        <v>94</v>
      </c>
      <c r="I106" s="28" t="s">
        <v>89</v>
      </c>
      <c r="J106" s="28" t="s">
        <v>94</v>
      </c>
      <c r="L106" s="28" t="s">
        <v>89</v>
      </c>
      <c r="M106" s="28" t="s">
        <v>94</v>
      </c>
      <c r="U106" s="28" t="s">
        <v>89</v>
      </c>
      <c r="V106" s="28" t="s">
        <v>94</v>
      </c>
      <c r="X106" s="28" t="s">
        <v>89</v>
      </c>
      <c r="Y106" s="28" t="s">
        <v>94</v>
      </c>
      <c r="AA106" s="2" t="s">
        <v>78</v>
      </c>
      <c r="AB106" s="2" t="str">
        <f>IF(NOT(ISBLANK(AC106)),"-","")</f>
        <v>-</v>
      </c>
      <c r="AC106" s="2" t="s">
        <v>102</v>
      </c>
      <c r="AD106" s="2" t="str">
        <f>IF(NOT(ISBLANK(AE106)),"_","")</f>
        <v>_</v>
      </c>
      <c r="AE106" s="2" t="s">
        <v>262</v>
      </c>
      <c r="AF106" s="2" t="str">
        <f>IF(NOT(ISBLANK(AG106)),"_","")</f>
        <v>_</v>
      </c>
      <c r="AG106" s="28" t="s">
        <v>76</v>
      </c>
      <c r="AH106" s="2" t="str">
        <f>IF(NOT(ISBLANK(AI106)),"_","")</f>
        <v/>
      </c>
    </row>
    <row r="107" spans="1:35" x14ac:dyDescent="0.25">
      <c r="B107" s="2"/>
      <c r="AA107" s="2"/>
      <c r="AB107" s="2"/>
      <c r="AC107" s="2"/>
      <c r="AD107" s="2"/>
      <c r="AE107" s="2"/>
    </row>
    <row r="108" spans="1:35" s="5" customFormat="1" x14ac:dyDescent="0.25">
      <c r="A108" s="27" t="s">
        <v>334</v>
      </c>
      <c r="B108" s="27"/>
      <c r="C108" s="27"/>
      <c r="D108" s="27"/>
      <c r="F108" s="27"/>
      <c r="G108" s="27"/>
      <c r="I108" s="27"/>
      <c r="J108" s="27"/>
      <c r="L108" s="27"/>
      <c r="M108" s="27"/>
      <c r="O108" s="27"/>
      <c r="P108" s="27"/>
      <c r="R108" s="27"/>
      <c r="S108" s="27"/>
      <c r="U108" s="27"/>
      <c r="V108" s="27"/>
      <c r="X108" s="27"/>
      <c r="Y108" s="27"/>
      <c r="AA108" s="27"/>
      <c r="AB108" s="27"/>
      <c r="AC108" s="27"/>
      <c r="AD108" s="27"/>
      <c r="AE108" s="27"/>
      <c r="AF108" s="27"/>
      <c r="AG108" s="27"/>
      <c r="AH108" s="27"/>
      <c r="AI108" s="27"/>
    </row>
    <row r="109" spans="1:35" x14ac:dyDescent="0.25">
      <c r="B109" s="2" t="str">
        <f t="shared" ref="B109" si="176">_xlfn.CONCAT("@",AA109,AB109,AC109,AD109,AE109,AF109,AG109,AH109,AI109)</f>
        <v>@line_width-path_default_farzoom</v>
      </c>
      <c r="C109" s="28" t="s">
        <v>122</v>
      </c>
      <c r="D109" s="28" t="s">
        <v>122</v>
      </c>
      <c r="F109" s="28" t="s">
        <v>122</v>
      </c>
      <c r="G109" s="28" t="s">
        <v>122</v>
      </c>
      <c r="I109" s="28" t="s">
        <v>122</v>
      </c>
      <c r="J109" s="28" t="s">
        <v>122</v>
      </c>
      <c r="L109" s="28" t="s">
        <v>122</v>
      </c>
      <c r="M109" s="28" t="s">
        <v>122</v>
      </c>
      <c r="U109" s="28" t="s">
        <v>122</v>
      </c>
      <c r="V109" s="28" t="s">
        <v>122</v>
      </c>
      <c r="X109" s="28" t="s">
        <v>122</v>
      </c>
      <c r="Y109" s="28" t="s">
        <v>122</v>
      </c>
      <c r="AA109" s="2" t="s">
        <v>119</v>
      </c>
      <c r="AB109" s="2" t="str">
        <f t="shared" ref="AB109" si="177">IF(NOT(ISBLANK(AC109)),"-","")</f>
        <v>-</v>
      </c>
      <c r="AC109" s="2" t="s">
        <v>71</v>
      </c>
      <c r="AD109" s="2" t="str">
        <f t="shared" ref="AD109" si="178">IF(NOT(ISBLANK(AE109)),"_","")</f>
        <v>_</v>
      </c>
      <c r="AE109" s="2" t="s">
        <v>262</v>
      </c>
      <c r="AF109" s="2" t="str">
        <f t="shared" ref="AF109" si="179">IF(NOT(ISBLANK(AG109)),"_","")</f>
        <v>_</v>
      </c>
      <c r="AG109" s="28" t="s">
        <v>20</v>
      </c>
      <c r="AH109" s="2" t="str">
        <f t="shared" ref="AH109" si="180">IF(NOT(ISBLANK(AI109)),"_","")</f>
        <v/>
      </c>
    </row>
    <row r="110" spans="1:35" x14ac:dyDescent="0.25">
      <c r="B110" s="2" t="str">
        <f t="shared" ref="B110:B125" si="181">_xlfn.CONCAT("@",AA110,AB110,AC110,AD110,AE110,AF110,AG110,AH110,AI110)</f>
        <v>@line_width-path_narrow_z12</v>
      </c>
      <c r="C110" s="28" t="s">
        <v>120</v>
      </c>
      <c r="D110" s="28" t="s">
        <v>122</v>
      </c>
      <c r="F110" s="28" t="s">
        <v>120</v>
      </c>
      <c r="G110" s="28" t="s">
        <v>122</v>
      </c>
      <c r="I110" s="28" t="s">
        <v>120</v>
      </c>
      <c r="J110" s="28" t="s">
        <v>122</v>
      </c>
      <c r="L110" s="28" t="s">
        <v>120</v>
      </c>
      <c r="M110" s="28" t="s">
        <v>122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ref="AB110:AB125" si="182">IF(NOT(ISBLANK(AC110)),"-","")</f>
        <v>-</v>
      </c>
      <c r="AC110" s="2" t="s">
        <v>71</v>
      </c>
      <c r="AD110" s="2" t="str">
        <f t="shared" ref="AD110:AD125" si="183">IF(NOT(ISBLANK(AE110)),"_","")</f>
        <v>_</v>
      </c>
      <c r="AE110" s="2" t="s">
        <v>72</v>
      </c>
      <c r="AF110" s="2" t="str">
        <f t="shared" ref="AF110:AF125" si="184">IF(NOT(ISBLANK(AG110)),"_","")</f>
        <v>_</v>
      </c>
      <c r="AG110" s="28" t="s">
        <v>109</v>
      </c>
      <c r="AH110" s="2" t="str">
        <f t="shared" ref="AH110:AH125" si="185">IF(NOT(ISBLANK(AI110)),"_","")</f>
        <v/>
      </c>
    </row>
    <row r="111" spans="1:35" x14ac:dyDescent="0.25">
      <c r="B111" s="2" t="str">
        <f t="shared" si="181"/>
        <v>@line_width-path_medium_z12</v>
      </c>
      <c r="C111" s="28" t="s">
        <v>122</v>
      </c>
      <c r="D111" s="28" t="s">
        <v>116</v>
      </c>
      <c r="F111" s="28" t="s">
        <v>122</v>
      </c>
      <c r="G111" s="28" t="s">
        <v>116</v>
      </c>
      <c r="I111" s="28" t="s">
        <v>122</v>
      </c>
      <c r="J111" s="28" t="s">
        <v>116</v>
      </c>
      <c r="L111" s="28" t="s">
        <v>122</v>
      </c>
      <c r="M111" s="28" t="s">
        <v>116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82"/>
        <v>-</v>
      </c>
      <c r="AC111" s="2" t="s">
        <v>71</v>
      </c>
      <c r="AD111" s="2" t="str">
        <f t="shared" si="183"/>
        <v>_</v>
      </c>
      <c r="AE111" s="2" t="s">
        <v>79</v>
      </c>
      <c r="AF111" s="2" t="str">
        <f t="shared" si="184"/>
        <v>_</v>
      </c>
      <c r="AG111" s="28" t="s">
        <v>109</v>
      </c>
      <c r="AH111" s="2" t="str">
        <f t="shared" si="185"/>
        <v/>
      </c>
    </row>
    <row r="112" spans="1:35" x14ac:dyDescent="0.25">
      <c r="B112" s="2" t="str">
        <f t="shared" si="181"/>
        <v>@line_width-path_wide_z12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82"/>
        <v>-</v>
      </c>
      <c r="AC112" s="2" t="s">
        <v>71</v>
      </c>
      <c r="AD112" s="2" t="str">
        <f t="shared" si="183"/>
        <v>_</v>
      </c>
      <c r="AE112" s="2" t="s">
        <v>77</v>
      </c>
      <c r="AF112" s="2" t="str">
        <f t="shared" si="184"/>
        <v>_</v>
      </c>
      <c r="AG112" s="28" t="s">
        <v>109</v>
      </c>
      <c r="AH112" s="2" t="str">
        <f t="shared" si="185"/>
        <v/>
      </c>
    </row>
    <row r="113" spans="2:34" x14ac:dyDescent="0.25">
      <c r="B113" s="2" t="str">
        <f t="shared" si="181"/>
        <v>@line_width-path_widest_z12</v>
      </c>
      <c r="C113" s="28" t="s">
        <v>97</v>
      </c>
      <c r="D113" s="28" t="s">
        <v>123</v>
      </c>
      <c r="F113" s="28" t="s">
        <v>97</v>
      </c>
      <c r="G113" s="28" t="s">
        <v>123</v>
      </c>
      <c r="I113" s="28" t="s">
        <v>97</v>
      </c>
      <c r="J113" s="28" t="s">
        <v>123</v>
      </c>
      <c r="L113" s="28" t="s">
        <v>97</v>
      </c>
      <c r="M113" s="28" t="s">
        <v>123</v>
      </c>
      <c r="U113" s="28" t="s">
        <v>122</v>
      </c>
      <c r="V113" s="28" t="s">
        <v>116</v>
      </c>
      <c r="X113" s="28" t="s">
        <v>122</v>
      </c>
      <c r="Y113" s="28" t="s">
        <v>116</v>
      </c>
      <c r="AA113" s="2" t="s">
        <v>119</v>
      </c>
      <c r="AB113" s="2" t="str">
        <f t="shared" si="182"/>
        <v>-</v>
      </c>
      <c r="AC113" s="2" t="s">
        <v>71</v>
      </c>
      <c r="AD113" s="2" t="str">
        <f t="shared" si="183"/>
        <v>_</v>
      </c>
      <c r="AE113" s="2" t="s">
        <v>296</v>
      </c>
      <c r="AF113" s="2" t="str">
        <f t="shared" si="184"/>
        <v>_</v>
      </c>
      <c r="AG113" s="28" t="s">
        <v>109</v>
      </c>
      <c r="AH113" s="2" t="str">
        <f t="shared" si="185"/>
        <v/>
      </c>
    </row>
    <row r="114" spans="2:34" x14ac:dyDescent="0.25">
      <c r="B114" s="2" t="str">
        <f t="shared" si="181"/>
        <v>@line_width-path_narrow_z14</v>
      </c>
      <c r="C114" s="28" t="s">
        <v>96</v>
      </c>
      <c r="D114" s="28" t="s">
        <v>97</v>
      </c>
      <c r="F114" s="28" t="s">
        <v>96</v>
      </c>
      <c r="G114" s="28" t="s">
        <v>97</v>
      </c>
      <c r="I114" s="28" t="s">
        <v>95</v>
      </c>
      <c r="J114" s="28" t="s">
        <v>115</v>
      </c>
      <c r="L114" s="28" t="s">
        <v>95</v>
      </c>
      <c r="M114" s="28" t="s">
        <v>115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82"/>
        <v>-</v>
      </c>
      <c r="AC114" s="2" t="s">
        <v>71</v>
      </c>
      <c r="AD114" s="2" t="str">
        <f t="shared" si="183"/>
        <v>_</v>
      </c>
      <c r="AE114" s="2" t="s">
        <v>72</v>
      </c>
      <c r="AF114" s="2" t="str">
        <f t="shared" si="184"/>
        <v>_</v>
      </c>
      <c r="AG114" s="28" t="s">
        <v>74</v>
      </c>
      <c r="AH114" s="2" t="str">
        <f t="shared" si="185"/>
        <v/>
      </c>
    </row>
    <row r="115" spans="2:34" x14ac:dyDescent="0.25">
      <c r="B115" s="2" t="str">
        <f t="shared" si="181"/>
        <v>@line_width-path_medium_z14</v>
      </c>
      <c r="C115" s="28" t="s">
        <v>80</v>
      </c>
      <c r="D115" s="28" t="s">
        <v>84</v>
      </c>
      <c r="F115" s="28" t="s">
        <v>80</v>
      </c>
      <c r="G115" s="28" t="s">
        <v>84</v>
      </c>
      <c r="I115" s="28" t="s">
        <v>96</v>
      </c>
      <c r="J115" s="28" t="s">
        <v>97</v>
      </c>
      <c r="L115" s="28" t="s">
        <v>96</v>
      </c>
      <c r="M115" s="28" t="s">
        <v>97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82"/>
        <v>-</v>
      </c>
      <c r="AC115" s="2" t="s">
        <v>71</v>
      </c>
      <c r="AD115" s="2" t="str">
        <f t="shared" si="183"/>
        <v>_</v>
      </c>
      <c r="AE115" s="2" t="s">
        <v>79</v>
      </c>
      <c r="AF115" s="2" t="str">
        <f t="shared" si="184"/>
        <v>_</v>
      </c>
      <c r="AG115" s="28" t="s">
        <v>74</v>
      </c>
      <c r="AH115" s="2" t="str">
        <f t="shared" si="185"/>
        <v/>
      </c>
    </row>
    <row r="116" spans="2:34" x14ac:dyDescent="0.25">
      <c r="B116" s="2" t="str">
        <f t="shared" si="181"/>
        <v>@line_width-path_wide_z14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82"/>
        <v>-</v>
      </c>
      <c r="AC116" s="2" t="s">
        <v>71</v>
      </c>
      <c r="AD116" s="2" t="str">
        <f t="shared" si="183"/>
        <v>_</v>
      </c>
      <c r="AE116" s="2" t="s">
        <v>77</v>
      </c>
      <c r="AF116" s="2" t="str">
        <f t="shared" si="184"/>
        <v>_</v>
      </c>
      <c r="AG116" s="28" t="s">
        <v>74</v>
      </c>
      <c r="AH116" s="2" t="str">
        <f t="shared" si="185"/>
        <v/>
      </c>
    </row>
    <row r="117" spans="2:34" x14ac:dyDescent="0.25">
      <c r="B117" s="2" t="str">
        <f t="shared" si="181"/>
        <v>@line_width-path_widest_z14</v>
      </c>
      <c r="C117" s="28" t="s">
        <v>123</v>
      </c>
      <c r="D117" s="28" t="s">
        <v>126</v>
      </c>
      <c r="F117" s="28" t="s">
        <v>123</v>
      </c>
      <c r="G117" s="28" t="s">
        <v>126</v>
      </c>
      <c r="I117" s="28" t="s">
        <v>84</v>
      </c>
      <c r="J117" s="28" t="s">
        <v>112</v>
      </c>
      <c r="L117" s="28" t="s">
        <v>84</v>
      </c>
      <c r="M117" s="28" t="s">
        <v>112</v>
      </c>
      <c r="U117" s="28" t="s">
        <v>80</v>
      </c>
      <c r="V117" s="28" t="s">
        <v>84</v>
      </c>
      <c r="X117" s="28" t="s">
        <v>80</v>
      </c>
      <c r="Y117" s="28" t="s">
        <v>84</v>
      </c>
      <c r="AA117" s="2" t="s">
        <v>119</v>
      </c>
      <c r="AB117" s="2" t="str">
        <f t="shared" si="182"/>
        <v>-</v>
      </c>
      <c r="AC117" s="2" t="s">
        <v>71</v>
      </c>
      <c r="AD117" s="2" t="str">
        <f t="shared" si="183"/>
        <v>_</v>
      </c>
      <c r="AE117" s="2" t="s">
        <v>296</v>
      </c>
      <c r="AF117" s="2" t="str">
        <f t="shared" si="184"/>
        <v>_</v>
      </c>
      <c r="AG117" s="28" t="s">
        <v>74</v>
      </c>
      <c r="AH117" s="2" t="str">
        <f t="shared" si="185"/>
        <v/>
      </c>
    </row>
    <row r="118" spans="2:34" x14ac:dyDescent="0.25">
      <c r="B118" s="2" t="str">
        <f t="shared" si="181"/>
        <v>@line_width-path_narrow_z16</v>
      </c>
      <c r="C118" s="28" t="s">
        <v>80</v>
      </c>
      <c r="D118" s="28" t="s">
        <v>85</v>
      </c>
      <c r="F118" s="28" t="s">
        <v>80</v>
      </c>
      <c r="G118" s="28" t="s">
        <v>85</v>
      </c>
      <c r="I118" s="28" t="s">
        <v>80</v>
      </c>
      <c r="J118" s="28" t="s">
        <v>84</v>
      </c>
      <c r="L118" s="28" t="s">
        <v>80</v>
      </c>
      <c r="M118" s="28" t="s">
        <v>84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82"/>
        <v>-</v>
      </c>
      <c r="AC118" s="2" t="s">
        <v>71</v>
      </c>
      <c r="AD118" s="2" t="str">
        <f t="shared" si="183"/>
        <v>_</v>
      </c>
      <c r="AE118" s="2" t="s">
        <v>72</v>
      </c>
      <c r="AF118" s="2" t="str">
        <f t="shared" si="184"/>
        <v>_</v>
      </c>
      <c r="AG118" s="28" t="s">
        <v>75</v>
      </c>
      <c r="AH118" s="2" t="str">
        <f t="shared" si="185"/>
        <v/>
      </c>
    </row>
    <row r="119" spans="2:34" x14ac:dyDescent="0.25">
      <c r="B119" s="2" t="str">
        <f t="shared" si="181"/>
        <v>@line_width-path_medium_z16</v>
      </c>
      <c r="C119" s="28" t="s">
        <v>123</v>
      </c>
      <c r="D119" s="28" t="s">
        <v>126</v>
      </c>
      <c r="F119" s="28" t="s">
        <v>123</v>
      </c>
      <c r="G119" s="28" t="s">
        <v>126</v>
      </c>
      <c r="I119" s="28" t="s">
        <v>97</v>
      </c>
      <c r="J119" s="28" t="s">
        <v>123</v>
      </c>
      <c r="L119" s="28" t="s">
        <v>97</v>
      </c>
      <c r="M119" s="28" t="s">
        <v>123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82"/>
        <v>-</v>
      </c>
      <c r="AC119" s="2" t="s">
        <v>71</v>
      </c>
      <c r="AD119" s="2" t="str">
        <f t="shared" si="183"/>
        <v>_</v>
      </c>
      <c r="AE119" s="2" t="s">
        <v>79</v>
      </c>
      <c r="AF119" s="2" t="str">
        <f t="shared" si="184"/>
        <v>_</v>
      </c>
      <c r="AG119" s="28" t="s">
        <v>75</v>
      </c>
      <c r="AH119" s="2" t="str">
        <f t="shared" si="185"/>
        <v/>
      </c>
    </row>
    <row r="120" spans="2:34" x14ac:dyDescent="0.25">
      <c r="B120" s="2" t="str">
        <f t="shared" si="181"/>
        <v>@line_width-path_wide_z16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82"/>
        <v>-</v>
      </c>
      <c r="AC120" s="2" t="s">
        <v>71</v>
      </c>
      <c r="AD120" s="2" t="str">
        <f t="shared" si="183"/>
        <v>_</v>
      </c>
      <c r="AE120" s="2" t="s">
        <v>77</v>
      </c>
      <c r="AF120" s="2" t="str">
        <f t="shared" si="184"/>
        <v>_</v>
      </c>
      <c r="AG120" s="28" t="s">
        <v>75</v>
      </c>
      <c r="AH120" s="2" t="str">
        <f t="shared" si="185"/>
        <v/>
      </c>
    </row>
    <row r="121" spans="2:34" x14ac:dyDescent="0.25">
      <c r="B121" s="2" t="str">
        <f t="shared" si="181"/>
        <v>@line_width-path_widest_z16</v>
      </c>
      <c r="C121" s="28" t="s">
        <v>88</v>
      </c>
      <c r="D121" s="28" t="s">
        <v>128</v>
      </c>
      <c r="F121" s="28" t="s">
        <v>88</v>
      </c>
      <c r="G121" s="28" t="s">
        <v>128</v>
      </c>
      <c r="I121" s="28" t="s">
        <v>98</v>
      </c>
      <c r="J121" s="28" t="s">
        <v>99</v>
      </c>
      <c r="L121" s="28" t="s">
        <v>98</v>
      </c>
      <c r="M121" s="28" t="s">
        <v>99</v>
      </c>
      <c r="U121" s="28" t="s">
        <v>123</v>
      </c>
      <c r="V121" s="28" t="s">
        <v>126</v>
      </c>
      <c r="X121" s="28" t="s">
        <v>123</v>
      </c>
      <c r="Y121" s="28" t="s">
        <v>126</v>
      </c>
      <c r="AA121" s="2" t="s">
        <v>119</v>
      </c>
      <c r="AB121" s="2" t="str">
        <f t="shared" si="182"/>
        <v>-</v>
      </c>
      <c r="AC121" s="2" t="s">
        <v>71</v>
      </c>
      <c r="AD121" s="2" t="str">
        <f t="shared" si="183"/>
        <v>_</v>
      </c>
      <c r="AE121" s="2" t="s">
        <v>296</v>
      </c>
      <c r="AF121" s="2" t="str">
        <f t="shared" si="184"/>
        <v>_</v>
      </c>
      <c r="AG121" s="28" t="s">
        <v>75</v>
      </c>
      <c r="AH121" s="2" t="str">
        <f t="shared" si="185"/>
        <v/>
      </c>
    </row>
    <row r="122" spans="2:34" x14ac:dyDescent="0.25">
      <c r="B122" s="2" t="str">
        <f t="shared" si="181"/>
        <v>@line_width-path_narrow_z18</v>
      </c>
      <c r="C122" s="28" t="s">
        <v>85</v>
      </c>
      <c r="D122" s="28" t="s">
        <v>88</v>
      </c>
      <c r="F122" s="28" t="s">
        <v>85</v>
      </c>
      <c r="G122" s="28" t="s">
        <v>88</v>
      </c>
      <c r="I122" s="28" t="s">
        <v>80</v>
      </c>
      <c r="J122" s="28" t="s">
        <v>84</v>
      </c>
      <c r="L122" s="28" t="s">
        <v>80</v>
      </c>
      <c r="M122" s="28" t="s">
        <v>84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82"/>
        <v>-</v>
      </c>
      <c r="AC122" s="2" t="s">
        <v>71</v>
      </c>
      <c r="AD122" s="2" t="str">
        <f t="shared" si="183"/>
        <v>_</v>
      </c>
      <c r="AE122" s="2" t="s">
        <v>72</v>
      </c>
      <c r="AF122" s="2" t="str">
        <f t="shared" si="184"/>
        <v>_</v>
      </c>
      <c r="AG122" s="28" t="s">
        <v>76</v>
      </c>
      <c r="AH122" s="2" t="str">
        <f t="shared" si="185"/>
        <v/>
      </c>
    </row>
    <row r="123" spans="2:34" x14ac:dyDescent="0.25">
      <c r="B123" s="2" t="str">
        <f t="shared" si="181"/>
        <v>@line_width-path_medium_z18</v>
      </c>
      <c r="C123" s="28" t="s">
        <v>82</v>
      </c>
      <c r="D123" s="28" t="s">
        <v>127</v>
      </c>
      <c r="F123" s="28" t="s">
        <v>82</v>
      </c>
      <c r="G123" s="28" t="s">
        <v>127</v>
      </c>
      <c r="I123" s="28" t="s">
        <v>98</v>
      </c>
      <c r="J123" s="28" t="s">
        <v>99</v>
      </c>
      <c r="L123" s="28" t="s">
        <v>98</v>
      </c>
      <c r="M123" s="28" t="s">
        <v>99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82"/>
        <v>-</v>
      </c>
      <c r="AC123" s="2" t="s">
        <v>71</v>
      </c>
      <c r="AD123" s="2" t="str">
        <f t="shared" si="183"/>
        <v>_</v>
      </c>
      <c r="AE123" s="2" t="s">
        <v>79</v>
      </c>
      <c r="AF123" s="2" t="str">
        <f t="shared" si="184"/>
        <v>_</v>
      </c>
      <c r="AG123" s="28" t="s">
        <v>76</v>
      </c>
      <c r="AH123" s="2" t="str">
        <f t="shared" si="185"/>
        <v/>
      </c>
    </row>
    <row r="124" spans="2:34" x14ac:dyDescent="0.25">
      <c r="B124" s="2" t="str">
        <f t="shared" si="181"/>
        <v>@line_width-path_wide_z18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82"/>
        <v>-</v>
      </c>
      <c r="AC124" s="2" t="s">
        <v>71</v>
      </c>
      <c r="AD124" s="2" t="str">
        <f t="shared" si="183"/>
        <v>_</v>
      </c>
      <c r="AE124" s="2" t="s">
        <v>77</v>
      </c>
      <c r="AF124" s="2" t="str">
        <f t="shared" si="184"/>
        <v>_</v>
      </c>
      <c r="AG124" s="28" t="s">
        <v>76</v>
      </c>
      <c r="AH124" s="2" t="str">
        <f t="shared" si="185"/>
        <v/>
      </c>
    </row>
    <row r="125" spans="2:34" x14ac:dyDescent="0.25">
      <c r="B125" s="2" t="str">
        <f t="shared" si="181"/>
        <v>@line_width-path_widest_z18</v>
      </c>
      <c r="C125" s="28" t="s">
        <v>313</v>
      </c>
      <c r="D125" s="28" t="s">
        <v>129</v>
      </c>
      <c r="F125" s="28" t="s">
        <v>313</v>
      </c>
      <c r="G125" s="28" t="s">
        <v>129</v>
      </c>
      <c r="I125" s="28" t="s">
        <v>99</v>
      </c>
      <c r="J125" s="28" t="s">
        <v>100</v>
      </c>
      <c r="L125" s="28" t="s">
        <v>99</v>
      </c>
      <c r="M125" s="28" t="s">
        <v>100</v>
      </c>
      <c r="U125" s="28" t="s">
        <v>82</v>
      </c>
      <c r="V125" s="28" t="s">
        <v>127</v>
      </c>
      <c r="X125" s="28" t="s">
        <v>82</v>
      </c>
      <c r="Y125" s="28" t="s">
        <v>127</v>
      </c>
      <c r="AA125" s="2" t="s">
        <v>119</v>
      </c>
      <c r="AB125" s="2" t="str">
        <f t="shared" si="182"/>
        <v>-</v>
      </c>
      <c r="AC125" s="2" t="s">
        <v>71</v>
      </c>
      <c r="AD125" s="2" t="str">
        <f t="shared" si="183"/>
        <v>_</v>
      </c>
      <c r="AE125" s="2" t="s">
        <v>296</v>
      </c>
      <c r="AF125" s="2" t="str">
        <f t="shared" si="184"/>
        <v>_</v>
      </c>
      <c r="AG125" s="28" t="s">
        <v>76</v>
      </c>
      <c r="AH125" s="2" t="str">
        <f t="shared" si="185"/>
        <v/>
      </c>
    </row>
    <row r="126" spans="2:34" x14ac:dyDescent="0.25">
      <c r="B126" s="2"/>
      <c r="AA126" s="2"/>
      <c r="AB126" s="2"/>
      <c r="AC126" s="2"/>
      <c r="AD126" s="2"/>
      <c r="AE126" s="2"/>
      <c r="AF126" s="2"/>
      <c r="AH126" s="2"/>
    </row>
    <row r="127" spans="2:34" x14ac:dyDescent="0.25">
      <c r="B127" s="2" t="str">
        <f>_xlfn.CONCAT("@",AA127,AB127,AC127,AD127,AE127,AF127,AG127,AH127,AI127)</f>
        <v>@line_width-track_default_z10</v>
      </c>
      <c r="C127" s="28" t="s">
        <v>120</v>
      </c>
      <c r="D127" s="28" t="s">
        <v>81</v>
      </c>
      <c r="F127" s="28" t="s">
        <v>120</v>
      </c>
      <c r="G127" s="28" t="s">
        <v>81</v>
      </c>
      <c r="I127" s="28" t="s">
        <v>96</v>
      </c>
      <c r="J127" s="28" t="s">
        <v>353</v>
      </c>
      <c r="L127" s="28" t="s">
        <v>96</v>
      </c>
      <c r="M127" s="28" t="s">
        <v>353</v>
      </c>
      <c r="U127" s="28" t="s">
        <v>120</v>
      </c>
      <c r="V127" s="28" t="s">
        <v>81</v>
      </c>
      <c r="X127" s="28" t="s">
        <v>120</v>
      </c>
      <c r="Y127" s="28" t="s">
        <v>81</v>
      </c>
      <c r="AA127" s="2" t="s">
        <v>119</v>
      </c>
      <c r="AB127" s="2" t="str">
        <f t="shared" ref="AB127:AB131" si="186">IF(NOT(ISBLANK(AC127)),"-","")</f>
        <v>-</v>
      </c>
      <c r="AC127" s="2" t="s">
        <v>102</v>
      </c>
      <c r="AD127" s="2" t="str">
        <f t="shared" ref="AD127:AD131" si="187">IF(NOT(ISBLANK(AE127)),"_","")</f>
        <v>_</v>
      </c>
      <c r="AE127" s="2" t="s">
        <v>262</v>
      </c>
      <c r="AF127" s="2" t="str">
        <f t="shared" ref="AF127:AF131" si="188">IF(NOT(ISBLANK(AG127)),"_","")</f>
        <v>_</v>
      </c>
      <c r="AG127" s="28" t="s">
        <v>103</v>
      </c>
      <c r="AH127" s="2" t="str">
        <f t="shared" ref="AH127:AH131" si="189">IF(NOT(ISBLANK(AI127)),"_","")</f>
        <v/>
      </c>
    </row>
    <row r="128" spans="2:34" x14ac:dyDescent="0.25">
      <c r="B128" s="2" t="str">
        <f>_xlfn.CONCAT("@",AA128,AB128,AC128,AD128,AE128,AF128,AG128,AH128,AI128)</f>
        <v>@line_width-track_default_z12</v>
      </c>
      <c r="C128" s="28" t="s">
        <v>96</v>
      </c>
      <c r="D128" s="28" t="s">
        <v>98</v>
      </c>
      <c r="F128" s="28" t="s">
        <v>96</v>
      </c>
      <c r="G128" s="28" t="s">
        <v>98</v>
      </c>
      <c r="I128" s="28" t="s">
        <v>97</v>
      </c>
      <c r="J128" s="28" t="s">
        <v>123</v>
      </c>
      <c r="L128" s="28" t="s">
        <v>97</v>
      </c>
      <c r="M128" s="28" t="s">
        <v>123</v>
      </c>
      <c r="U128" s="28" t="s">
        <v>96</v>
      </c>
      <c r="V128" s="28" t="s">
        <v>98</v>
      </c>
      <c r="X128" s="28" t="s">
        <v>96</v>
      </c>
      <c r="Y128" s="28" t="s">
        <v>98</v>
      </c>
      <c r="AA128" s="2" t="s">
        <v>119</v>
      </c>
      <c r="AB128" s="2" t="str">
        <f t="shared" si="186"/>
        <v>-</v>
      </c>
      <c r="AC128" s="2" t="s">
        <v>102</v>
      </c>
      <c r="AD128" s="2" t="str">
        <f t="shared" si="187"/>
        <v>_</v>
      </c>
      <c r="AE128" s="2" t="s">
        <v>262</v>
      </c>
      <c r="AF128" s="2" t="str">
        <f t="shared" si="188"/>
        <v>_</v>
      </c>
      <c r="AG128" s="28" t="s">
        <v>109</v>
      </c>
      <c r="AH128" s="2" t="str">
        <f t="shared" si="189"/>
        <v/>
      </c>
    </row>
    <row r="129" spans="2:35" x14ac:dyDescent="0.25">
      <c r="B129" s="2" t="str">
        <f>_xlfn.CONCAT("@",AA129,AB129,AC129,AD129,AE129,AF129,AG129,AH129,AI129)</f>
        <v>@line_width-track_default_z14</v>
      </c>
      <c r="C129" s="28" t="s">
        <v>81</v>
      </c>
      <c r="D129" s="28" t="s">
        <v>85</v>
      </c>
      <c r="F129" s="28" t="s">
        <v>81</v>
      </c>
      <c r="G129" s="28" t="s">
        <v>85</v>
      </c>
      <c r="I129" s="28" t="s">
        <v>98</v>
      </c>
      <c r="J129" s="28" t="s">
        <v>99</v>
      </c>
      <c r="L129" s="28" t="s">
        <v>98</v>
      </c>
      <c r="M129" s="28" t="s">
        <v>99</v>
      </c>
      <c r="U129" s="28" t="s">
        <v>81</v>
      </c>
      <c r="V129" s="28" t="s">
        <v>85</v>
      </c>
      <c r="X129" s="28" t="s">
        <v>81</v>
      </c>
      <c r="Y129" s="28" t="s">
        <v>85</v>
      </c>
      <c r="AA129" s="2" t="s">
        <v>119</v>
      </c>
      <c r="AB129" s="2" t="str">
        <f t="shared" si="186"/>
        <v>-</v>
      </c>
      <c r="AC129" s="2" t="s">
        <v>102</v>
      </c>
      <c r="AD129" s="2" t="str">
        <f t="shared" si="187"/>
        <v>_</v>
      </c>
      <c r="AE129" s="2" t="s">
        <v>262</v>
      </c>
      <c r="AF129" s="2" t="str">
        <f t="shared" si="188"/>
        <v>_</v>
      </c>
      <c r="AG129" s="28" t="s">
        <v>74</v>
      </c>
      <c r="AH129" s="2" t="str">
        <f t="shared" si="189"/>
        <v/>
      </c>
    </row>
    <row r="130" spans="2:35" x14ac:dyDescent="0.25">
      <c r="B130" s="2" t="str">
        <f>_xlfn.CONCAT("@",AA130,AB130,AC130,AD130,AE130,AF130,AG130,AH130,AI130)</f>
        <v>@line_width-track_default_z16</v>
      </c>
      <c r="C130" s="28" t="s">
        <v>82</v>
      </c>
      <c r="D130" s="28" t="s">
        <v>127</v>
      </c>
      <c r="F130" s="28" t="s">
        <v>82</v>
      </c>
      <c r="G130" s="28" t="s">
        <v>127</v>
      </c>
      <c r="I130" s="28" t="s">
        <v>92</v>
      </c>
      <c r="J130" s="28" t="s">
        <v>86</v>
      </c>
      <c r="L130" s="28" t="s">
        <v>92</v>
      </c>
      <c r="M130" s="28" t="s">
        <v>86</v>
      </c>
      <c r="U130" s="28" t="s">
        <v>82</v>
      </c>
      <c r="V130" s="28" t="s">
        <v>127</v>
      </c>
      <c r="X130" s="28" t="s">
        <v>82</v>
      </c>
      <c r="Y130" s="28" t="s">
        <v>127</v>
      </c>
      <c r="AA130" s="2" t="s">
        <v>119</v>
      </c>
      <c r="AB130" s="2" t="str">
        <f t="shared" si="186"/>
        <v>-</v>
      </c>
      <c r="AC130" s="2" t="s">
        <v>102</v>
      </c>
      <c r="AD130" s="2" t="str">
        <f t="shared" si="187"/>
        <v>_</v>
      </c>
      <c r="AE130" s="2" t="s">
        <v>262</v>
      </c>
      <c r="AF130" s="2" t="str">
        <f t="shared" si="188"/>
        <v>_</v>
      </c>
      <c r="AG130" s="28" t="s">
        <v>75</v>
      </c>
      <c r="AH130" s="2" t="str">
        <f t="shared" si="189"/>
        <v/>
      </c>
    </row>
    <row r="131" spans="2:35" x14ac:dyDescent="0.25">
      <c r="B131" s="2" t="str">
        <f>_xlfn.CONCAT("@",AA131,AB131,AC131,AD131,AE131,AF131,AG131,AH131,AI131)</f>
        <v>@line_width-track_default_z18</v>
      </c>
      <c r="C131" s="28" t="s">
        <v>134</v>
      </c>
      <c r="D131" s="28" t="s">
        <v>135</v>
      </c>
      <c r="F131" s="28" t="s">
        <v>134</v>
      </c>
      <c r="G131" s="28" t="s">
        <v>135</v>
      </c>
      <c r="I131" s="28" t="s">
        <v>327</v>
      </c>
      <c r="J131" s="28" t="s">
        <v>332</v>
      </c>
      <c r="L131" s="28" t="s">
        <v>327</v>
      </c>
      <c r="M131" s="28" t="s">
        <v>332</v>
      </c>
      <c r="U131" s="28" t="s">
        <v>134</v>
      </c>
      <c r="V131" s="28" t="s">
        <v>135</v>
      </c>
      <c r="X131" s="28" t="s">
        <v>134</v>
      </c>
      <c r="Y131" s="28" t="s">
        <v>135</v>
      </c>
      <c r="AA131" s="2" t="s">
        <v>119</v>
      </c>
      <c r="AB131" s="2" t="str">
        <f t="shared" si="186"/>
        <v>-</v>
      </c>
      <c r="AC131" s="2" t="s">
        <v>102</v>
      </c>
      <c r="AD131" s="2" t="str">
        <f t="shared" si="187"/>
        <v>_</v>
      </c>
      <c r="AE131" s="2" t="s">
        <v>262</v>
      </c>
      <c r="AF131" s="2" t="str">
        <f t="shared" si="188"/>
        <v>_</v>
      </c>
      <c r="AG131" s="28" t="s">
        <v>76</v>
      </c>
      <c r="AH131" s="2" t="str">
        <f t="shared" si="189"/>
        <v/>
      </c>
    </row>
    <row r="132" spans="2:35" x14ac:dyDescent="0.25">
      <c r="B132" s="2"/>
      <c r="AA132" s="2"/>
      <c r="AB132" s="2"/>
      <c r="AC132" s="2"/>
      <c r="AD132" s="2"/>
      <c r="AE132" s="2"/>
      <c r="AF132" s="2"/>
      <c r="AH132" s="2"/>
    </row>
    <row r="133" spans="2:35" x14ac:dyDescent="0.25">
      <c r="B133" s="2"/>
      <c r="AA133" s="2"/>
      <c r="AB133" s="2"/>
      <c r="AC133" s="2"/>
      <c r="AD133" s="2"/>
      <c r="AE133" s="2"/>
    </row>
    <row r="134" spans="2:35" x14ac:dyDescent="0.25">
      <c r="B134" s="2" t="str">
        <f>_xlfn.CONCAT("@",AA134,AB134,AC134,AD134,AE134,AF134,AG134,AH134,AI134)</f>
        <v>@dasharray-path_badvis_farzoom_dash</v>
      </c>
      <c r="C134" s="28" t="s">
        <v>96</v>
      </c>
      <c r="D134" s="28" t="s">
        <v>96</v>
      </c>
      <c r="F134" s="28" t="s">
        <v>96</v>
      </c>
      <c r="G134" s="28" t="s">
        <v>96</v>
      </c>
      <c r="I134" s="28" t="s">
        <v>96</v>
      </c>
      <c r="J134" s="28" t="s">
        <v>96</v>
      </c>
      <c r="L134" s="28" t="s">
        <v>96</v>
      </c>
      <c r="M134" s="28" t="s">
        <v>96</v>
      </c>
      <c r="U134" s="28" t="s">
        <v>90</v>
      </c>
      <c r="V134" s="28" t="s">
        <v>90</v>
      </c>
      <c r="X134" s="28" t="s">
        <v>90</v>
      </c>
      <c r="Y134" s="28" t="s">
        <v>90</v>
      </c>
      <c r="AA134" s="2" t="s">
        <v>385</v>
      </c>
      <c r="AB134" s="2" t="str">
        <f t="shared" ref="AB134" si="190">IF(NOT(ISBLANK(AC134)),"-","")</f>
        <v>-</v>
      </c>
      <c r="AC134" s="2" t="s">
        <v>71</v>
      </c>
      <c r="AD134" s="2" t="str">
        <f t="shared" ref="AD134" si="191">IF(NOT(ISBLANK(AE134)),"_","")</f>
        <v>_</v>
      </c>
      <c r="AE134" s="2" t="s">
        <v>393</v>
      </c>
      <c r="AF134" s="2" t="str">
        <f t="shared" ref="AF134" si="192">IF(NOT(ISBLANK(AG134)),"_","")</f>
        <v>_</v>
      </c>
      <c r="AG134" s="28" t="s">
        <v>20</v>
      </c>
      <c r="AH134" s="2" t="str">
        <f t="shared" ref="AH134" si="193">IF(NOT(ISBLANK(AI134)),"_","")</f>
        <v>_</v>
      </c>
      <c r="AI134" s="28" t="s">
        <v>387</v>
      </c>
    </row>
    <row r="135" spans="2:35" x14ac:dyDescent="0.25">
      <c r="B135" s="2" t="str">
        <f>_xlfn.CONCAT("@",AA135,AB135,AC135,AD135,AE135,AF135,AG135,AH135,AI135)</f>
        <v>@dasharray-path_badvis_farzoom_gap</v>
      </c>
      <c r="C135" s="28" t="s">
        <v>84</v>
      </c>
      <c r="D135" s="28" t="s">
        <v>84</v>
      </c>
      <c r="F135" s="28" t="s">
        <v>84</v>
      </c>
      <c r="G135" s="28" t="s">
        <v>84</v>
      </c>
      <c r="I135" s="28" t="s">
        <v>84</v>
      </c>
      <c r="J135" s="28" t="s">
        <v>84</v>
      </c>
      <c r="L135" s="28" t="s">
        <v>84</v>
      </c>
      <c r="M135" s="28" t="s">
        <v>84</v>
      </c>
      <c r="U135" s="28" t="s">
        <v>85</v>
      </c>
      <c r="V135" s="28" t="s">
        <v>85</v>
      </c>
      <c r="X135" s="28" t="s">
        <v>85</v>
      </c>
      <c r="Y135" s="28" t="s">
        <v>85</v>
      </c>
      <c r="AA135" s="2" t="s">
        <v>385</v>
      </c>
      <c r="AB135" s="2" t="str">
        <f t="shared" ref="AB135:AB136" si="194">IF(NOT(ISBLANK(AC135)),"-","")</f>
        <v>-</v>
      </c>
      <c r="AC135" s="2" t="s">
        <v>71</v>
      </c>
      <c r="AD135" s="2" t="str">
        <f t="shared" ref="AD135:AD136" si="195">IF(NOT(ISBLANK(AE135)),"_","")</f>
        <v>_</v>
      </c>
      <c r="AE135" s="2" t="s">
        <v>393</v>
      </c>
      <c r="AF135" s="2" t="str">
        <f t="shared" ref="AF135:AF136" si="196">IF(NOT(ISBLANK(AG135)),"_","")</f>
        <v>_</v>
      </c>
      <c r="AG135" s="28" t="s">
        <v>20</v>
      </c>
      <c r="AH135" s="2" t="str">
        <f t="shared" ref="AH135:AH136" si="197">IF(NOT(ISBLANK(AI135)),"_","")</f>
        <v>_</v>
      </c>
      <c r="AI135" s="28" t="s">
        <v>388</v>
      </c>
    </row>
    <row r="136" spans="2:35" x14ac:dyDescent="0.25">
      <c r="B136" s="2" t="str">
        <f>_xlfn.CONCAT("@",AA136,AB136,AC136,AD136,AE136,AF136,AG136,AH136,AI136)</f>
        <v>@dasharray-path_badvis_default_dash</v>
      </c>
      <c r="C136" s="28" t="s">
        <v>96</v>
      </c>
      <c r="D136" s="28" t="s">
        <v>96</v>
      </c>
      <c r="F136" s="28" t="s">
        <v>96</v>
      </c>
      <c r="G136" s="28" t="s">
        <v>96</v>
      </c>
      <c r="I136" s="28" t="s">
        <v>96</v>
      </c>
      <c r="J136" s="28" t="s">
        <v>96</v>
      </c>
      <c r="L136" s="28" t="s">
        <v>96</v>
      </c>
      <c r="M136" s="28" t="s">
        <v>96</v>
      </c>
      <c r="U136" s="28" t="s">
        <v>90</v>
      </c>
      <c r="V136" s="28" t="s">
        <v>90</v>
      </c>
      <c r="X136" s="28" t="s">
        <v>90</v>
      </c>
      <c r="Y136" s="28" t="s">
        <v>90</v>
      </c>
      <c r="AA136" s="2" t="s">
        <v>385</v>
      </c>
      <c r="AB136" s="2" t="str">
        <f t="shared" si="194"/>
        <v>-</v>
      </c>
      <c r="AC136" s="2" t="s">
        <v>71</v>
      </c>
      <c r="AD136" s="2" t="str">
        <f t="shared" si="195"/>
        <v>_</v>
      </c>
      <c r="AE136" s="2" t="s">
        <v>393</v>
      </c>
      <c r="AF136" s="2" t="str">
        <f t="shared" si="196"/>
        <v>_</v>
      </c>
      <c r="AG136" s="2" t="s">
        <v>262</v>
      </c>
      <c r="AH136" s="2" t="str">
        <f t="shared" si="197"/>
        <v>_</v>
      </c>
      <c r="AI136" s="28" t="s">
        <v>387</v>
      </c>
    </row>
    <row r="137" spans="2:35" x14ac:dyDescent="0.25">
      <c r="B137" s="2" t="str">
        <f>_xlfn.CONCAT("@",AA137,AB137,AC137,AD137,AE137,AF137,AG137,AH137,AI137)</f>
        <v>@dasharray-path_badvis_default_gap</v>
      </c>
      <c r="C137" s="28" t="s">
        <v>84</v>
      </c>
      <c r="D137" s="28" t="s">
        <v>84</v>
      </c>
      <c r="F137" s="28" t="s">
        <v>84</v>
      </c>
      <c r="G137" s="28" t="s">
        <v>84</v>
      </c>
      <c r="I137" s="28" t="s">
        <v>84</v>
      </c>
      <c r="J137" s="28" t="s">
        <v>84</v>
      </c>
      <c r="L137" s="28" t="s">
        <v>84</v>
      </c>
      <c r="M137" s="28" t="s">
        <v>84</v>
      </c>
      <c r="U137" s="28" t="s">
        <v>85</v>
      </c>
      <c r="V137" s="28" t="s">
        <v>85</v>
      </c>
      <c r="X137" s="28" t="s">
        <v>85</v>
      </c>
      <c r="Y137" s="28" t="s">
        <v>85</v>
      </c>
      <c r="AA137" s="2" t="s">
        <v>385</v>
      </c>
      <c r="AB137" s="2" t="str">
        <f t="shared" ref="AB137" si="198">IF(NOT(ISBLANK(AC137)),"-","")</f>
        <v>-</v>
      </c>
      <c r="AC137" s="2" t="s">
        <v>71</v>
      </c>
      <c r="AD137" s="2" t="str">
        <f t="shared" ref="AD137" si="199">IF(NOT(ISBLANK(AE137)),"_","")</f>
        <v>_</v>
      </c>
      <c r="AE137" s="2" t="s">
        <v>393</v>
      </c>
      <c r="AF137" s="2" t="str">
        <f t="shared" ref="AF137" si="200">IF(NOT(ISBLANK(AG137)),"_","")</f>
        <v>_</v>
      </c>
      <c r="AG137" s="2" t="s">
        <v>262</v>
      </c>
      <c r="AH137" s="2" t="str">
        <f t="shared" ref="AH137" si="201">IF(NOT(ISBLANK(AI137)),"_","")</f>
        <v>_</v>
      </c>
      <c r="AI137" s="28" t="s">
        <v>388</v>
      </c>
    </row>
    <row r="138" spans="2:35" x14ac:dyDescent="0.25">
      <c r="B138" s="2"/>
      <c r="AA138" s="2"/>
      <c r="AB138" s="2"/>
      <c r="AC138" s="2"/>
      <c r="AD138" s="2"/>
      <c r="AE138" s="2"/>
    </row>
    <row r="139" spans="2:35" x14ac:dyDescent="0.25">
      <c r="B139" s="2" t="str">
        <f t="shared" ref="B139:B146" si="202">_xlfn.CONCAT("@",AA139,AB139,AC139,AD139,AE139,AF139,AG139,AH139,AI139)</f>
        <v>@dasharray-path_goodvis_farzoom_dash</v>
      </c>
      <c r="C139" s="28" t="s">
        <v>90</v>
      </c>
      <c r="D139" s="28" t="s">
        <v>90</v>
      </c>
      <c r="F139" s="28" t="s">
        <v>90</v>
      </c>
      <c r="G139" s="28" t="s">
        <v>90</v>
      </c>
      <c r="I139" s="28" t="s">
        <v>90</v>
      </c>
      <c r="J139" s="28" t="s">
        <v>90</v>
      </c>
      <c r="L139" s="28" t="s">
        <v>90</v>
      </c>
      <c r="M139" s="28" t="s">
        <v>90</v>
      </c>
      <c r="U139" s="28" t="s">
        <v>90</v>
      </c>
      <c r="V139" s="28" t="s">
        <v>85</v>
      </c>
      <c r="X139" s="28" t="s">
        <v>90</v>
      </c>
      <c r="Y139" s="28" t="s">
        <v>90</v>
      </c>
      <c r="AA139" s="2" t="s">
        <v>385</v>
      </c>
      <c r="AB139" s="2" t="str">
        <f t="shared" ref="AB139:AB140" si="203">IF(NOT(ISBLANK(AC139)),"-","")</f>
        <v>-</v>
      </c>
      <c r="AC139" s="2" t="s">
        <v>71</v>
      </c>
      <c r="AD139" s="2" t="str">
        <f t="shared" ref="AD139:AD140" si="204">IF(NOT(ISBLANK(AE139)),"_","")</f>
        <v>_</v>
      </c>
      <c r="AE139" s="2" t="s">
        <v>394</v>
      </c>
      <c r="AF139" s="2" t="str">
        <f t="shared" ref="AF139:AF140" si="205">IF(NOT(ISBLANK(AG139)),"_","")</f>
        <v>_</v>
      </c>
      <c r="AG139" s="28" t="s">
        <v>20</v>
      </c>
      <c r="AH139" s="2" t="str">
        <f t="shared" ref="AH139:AH140" si="206">IF(NOT(ISBLANK(AI139)),"_","")</f>
        <v>_</v>
      </c>
      <c r="AI139" s="28" t="s">
        <v>387</v>
      </c>
    </row>
    <row r="140" spans="2:35" x14ac:dyDescent="0.25">
      <c r="B140" s="2" t="str">
        <f t="shared" si="202"/>
        <v>@dasharray-path_goodvis_farzoom_gap</v>
      </c>
      <c r="C140" s="28" t="s">
        <v>85</v>
      </c>
      <c r="D140" s="28" t="s">
        <v>85</v>
      </c>
      <c r="F140" s="28" t="s">
        <v>85</v>
      </c>
      <c r="G140" s="28" t="s">
        <v>85</v>
      </c>
      <c r="I140" s="28" t="s">
        <v>85</v>
      </c>
      <c r="J140" s="28" t="s">
        <v>85</v>
      </c>
      <c r="L140" s="28" t="s">
        <v>85</v>
      </c>
      <c r="M140" s="28" t="s">
        <v>85</v>
      </c>
      <c r="U140" s="28" t="s">
        <v>85</v>
      </c>
      <c r="V140" s="28" t="s">
        <v>85</v>
      </c>
      <c r="X140" s="28" t="s">
        <v>85</v>
      </c>
      <c r="Y140" s="28" t="s">
        <v>85</v>
      </c>
      <c r="AA140" s="2" t="s">
        <v>385</v>
      </c>
      <c r="AB140" s="2" t="str">
        <f t="shared" si="203"/>
        <v>-</v>
      </c>
      <c r="AC140" s="2" t="s">
        <v>71</v>
      </c>
      <c r="AD140" s="2" t="str">
        <f t="shared" si="204"/>
        <v>_</v>
      </c>
      <c r="AE140" s="2" t="s">
        <v>394</v>
      </c>
      <c r="AF140" s="2" t="str">
        <f t="shared" si="205"/>
        <v>_</v>
      </c>
      <c r="AG140" s="28" t="s">
        <v>20</v>
      </c>
      <c r="AH140" s="2" t="str">
        <f t="shared" si="206"/>
        <v>_</v>
      </c>
      <c r="AI140" s="28" t="s">
        <v>388</v>
      </c>
    </row>
    <row r="141" spans="2:35" x14ac:dyDescent="0.25">
      <c r="B141" s="2" t="str">
        <f t="shared" si="202"/>
        <v>@dasharray-path_goodvis_narrow_dash</v>
      </c>
      <c r="C141" s="28" t="s">
        <v>395</v>
      </c>
      <c r="D141" s="28" t="s">
        <v>395</v>
      </c>
      <c r="F141" s="28" t="s">
        <v>395</v>
      </c>
      <c r="G141" s="28" t="s">
        <v>395</v>
      </c>
      <c r="I141" s="28" t="s">
        <v>395</v>
      </c>
      <c r="J141" s="28" t="s">
        <v>395</v>
      </c>
      <c r="L141" s="28" t="s">
        <v>395</v>
      </c>
      <c r="M141" s="28" t="s">
        <v>395</v>
      </c>
      <c r="U141" s="28" t="s">
        <v>82</v>
      </c>
      <c r="V141" s="28" t="s">
        <v>90</v>
      </c>
      <c r="X141" s="28" t="s">
        <v>82</v>
      </c>
      <c r="Y141" s="28" t="s">
        <v>82</v>
      </c>
      <c r="AA141" s="2" t="s">
        <v>385</v>
      </c>
      <c r="AB141" s="2" t="str">
        <f t="shared" ref="AB141:AB142" si="207">IF(NOT(ISBLANK(AC141)),"-","")</f>
        <v>-</v>
      </c>
      <c r="AC141" s="2" t="s">
        <v>71</v>
      </c>
      <c r="AD141" s="2" t="str">
        <f t="shared" ref="AD141:AD142" si="208">IF(NOT(ISBLANK(AE141)),"_","")</f>
        <v>_</v>
      </c>
      <c r="AE141" s="2" t="s">
        <v>394</v>
      </c>
      <c r="AF141" s="2" t="str">
        <f t="shared" ref="AF141:AF142" si="209">IF(NOT(ISBLANK(AG141)),"_","")</f>
        <v>_</v>
      </c>
      <c r="AG141" s="28" t="s">
        <v>72</v>
      </c>
      <c r="AH141" s="2" t="str">
        <f t="shared" ref="AH141:AH142" si="210">IF(NOT(ISBLANK(AI141)),"_","")</f>
        <v>_</v>
      </c>
      <c r="AI141" s="28" t="s">
        <v>387</v>
      </c>
    </row>
    <row r="142" spans="2:35" x14ac:dyDescent="0.25">
      <c r="B142" s="2" t="str">
        <f t="shared" si="202"/>
        <v>@dasharray-path_goodvis_narrow_gap</v>
      </c>
      <c r="C142" s="28" t="s">
        <v>396</v>
      </c>
      <c r="D142" s="28" t="s">
        <v>396</v>
      </c>
      <c r="F142" s="28" t="s">
        <v>396</v>
      </c>
      <c r="G142" s="28" t="s">
        <v>396</v>
      </c>
      <c r="I142" s="28" t="s">
        <v>396</v>
      </c>
      <c r="J142" s="28" t="s">
        <v>396</v>
      </c>
      <c r="L142" s="28" t="s">
        <v>396</v>
      </c>
      <c r="M142" s="28" t="s">
        <v>396</v>
      </c>
      <c r="U142" s="28" t="s">
        <v>90</v>
      </c>
      <c r="V142" s="28" t="s">
        <v>90</v>
      </c>
      <c r="X142" s="28" t="s">
        <v>90</v>
      </c>
      <c r="Y142" s="28" t="s">
        <v>90</v>
      </c>
      <c r="AA142" s="2" t="s">
        <v>385</v>
      </c>
      <c r="AB142" s="2" t="str">
        <f t="shared" si="207"/>
        <v>-</v>
      </c>
      <c r="AC142" s="2" t="s">
        <v>71</v>
      </c>
      <c r="AD142" s="2" t="str">
        <f t="shared" si="208"/>
        <v>_</v>
      </c>
      <c r="AE142" s="2" t="s">
        <v>394</v>
      </c>
      <c r="AF142" s="2" t="str">
        <f t="shared" si="209"/>
        <v>_</v>
      </c>
      <c r="AG142" s="28" t="s">
        <v>72</v>
      </c>
      <c r="AH142" s="2" t="str">
        <f t="shared" si="210"/>
        <v>_</v>
      </c>
      <c r="AI142" s="28" t="s">
        <v>388</v>
      </c>
    </row>
    <row r="143" spans="2:35" x14ac:dyDescent="0.25">
      <c r="B143" s="2" t="str">
        <f t="shared" si="202"/>
        <v>@dasharray-path_goodvis_medium_dash</v>
      </c>
      <c r="C143" s="28" t="s">
        <v>82</v>
      </c>
      <c r="D143" s="28" t="s">
        <v>82</v>
      </c>
      <c r="F143" s="28" t="s">
        <v>82</v>
      </c>
      <c r="G143" s="28" t="s">
        <v>82</v>
      </c>
      <c r="I143" s="28" t="s">
        <v>82</v>
      </c>
      <c r="J143" s="28" t="s">
        <v>82</v>
      </c>
      <c r="L143" s="28" t="s">
        <v>82</v>
      </c>
      <c r="M143" s="28" t="s">
        <v>82</v>
      </c>
      <c r="U143" s="28" t="s">
        <v>82</v>
      </c>
      <c r="V143" s="28" t="s">
        <v>90</v>
      </c>
      <c r="X143" s="28" t="s">
        <v>82</v>
      </c>
      <c r="Y143" s="28" t="s">
        <v>82</v>
      </c>
      <c r="AA143" s="2" t="s">
        <v>385</v>
      </c>
      <c r="AB143" s="2" t="str">
        <f t="shared" ref="AB143:AB144" si="211">IF(NOT(ISBLANK(AC143)),"-","")</f>
        <v>-</v>
      </c>
      <c r="AC143" s="2" t="s">
        <v>71</v>
      </c>
      <c r="AD143" s="2" t="str">
        <f t="shared" ref="AD143:AD144" si="212">IF(NOT(ISBLANK(AE143)),"_","")</f>
        <v>_</v>
      </c>
      <c r="AE143" s="2" t="s">
        <v>394</v>
      </c>
      <c r="AF143" s="2" t="str">
        <f t="shared" ref="AF143:AF144" si="213">IF(NOT(ISBLANK(AG143)),"_","")</f>
        <v>_</v>
      </c>
      <c r="AG143" s="28" t="s">
        <v>79</v>
      </c>
      <c r="AH143" s="2" t="str">
        <f t="shared" ref="AH143:AH144" si="214">IF(NOT(ISBLANK(AI143)),"_","")</f>
        <v>_</v>
      </c>
      <c r="AI143" s="28" t="s">
        <v>387</v>
      </c>
    </row>
    <row r="144" spans="2:35" x14ac:dyDescent="0.25">
      <c r="B144" s="2" t="str">
        <f t="shared" si="202"/>
        <v>@dasharray-path_goodvis_medium_gap</v>
      </c>
      <c r="C144" s="28" t="s">
        <v>90</v>
      </c>
      <c r="D144" s="28" t="s">
        <v>90</v>
      </c>
      <c r="F144" s="28" t="s">
        <v>90</v>
      </c>
      <c r="G144" s="28" t="s">
        <v>90</v>
      </c>
      <c r="I144" s="28" t="s">
        <v>90</v>
      </c>
      <c r="J144" s="28" t="s">
        <v>90</v>
      </c>
      <c r="L144" s="28" t="s">
        <v>90</v>
      </c>
      <c r="M144" s="28" t="s">
        <v>90</v>
      </c>
      <c r="U144" s="28" t="s">
        <v>90</v>
      </c>
      <c r="V144" s="28" t="s">
        <v>90</v>
      </c>
      <c r="X144" s="28" t="s">
        <v>90</v>
      </c>
      <c r="Y144" s="28" t="s">
        <v>90</v>
      </c>
      <c r="AA144" s="2" t="s">
        <v>385</v>
      </c>
      <c r="AB144" s="2" t="str">
        <f t="shared" si="211"/>
        <v>-</v>
      </c>
      <c r="AC144" s="2" t="s">
        <v>71</v>
      </c>
      <c r="AD144" s="2" t="str">
        <f t="shared" si="212"/>
        <v>_</v>
      </c>
      <c r="AE144" s="2" t="s">
        <v>394</v>
      </c>
      <c r="AF144" s="2" t="str">
        <f t="shared" si="213"/>
        <v>_</v>
      </c>
      <c r="AG144" s="28" t="s">
        <v>79</v>
      </c>
      <c r="AH144" s="2" t="str">
        <f t="shared" si="214"/>
        <v>_</v>
      </c>
      <c r="AI144" s="28" t="s">
        <v>388</v>
      </c>
    </row>
    <row r="145" spans="1:35" x14ac:dyDescent="0.25">
      <c r="B145" s="2" t="str">
        <f t="shared" si="202"/>
        <v>@dasharray-path_goodvis_wide_dash</v>
      </c>
      <c r="C145" s="28" t="s">
        <v>397</v>
      </c>
      <c r="D145" s="28" t="s">
        <v>397</v>
      </c>
      <c r="F145" s="28" t="s">
        <v>397</v>
      </c>
      <c r="G145" s="28" t="s">
        <v>397</v>
      </c>
      <c r="I145" s="28" t="s">
        <v>397</v>
      </c>
      <c r="J145" s="28" t="s">
        <v>397</v>
      </c>
      <c r="L145" s="28" t="s">
        <v>397</v>
      </c>
      <c r="M145" s="28" t="s">
        <v>397</v>
      </c>
      <c r="U145" s="28" t="s">
        <v>82</v>
      </c>
      <c r="V145" s="28" t="s">
        <v>90</v>
      </c>
      <c r="X145" s="28" t="s">
        <v>82</v>
      </c>
      <c r="Y145" s="28" t="s">
        <v>82</v>
      </c>
      <c r="AA145" s="2" t="s">
        <v>385</v>
      </c>
      <c r="AB145" s="2" t="str">
        <f t="shared" ref="AB145:AB146" si="215">IF(NOT(ISBLANK(AC145)),"-","")</f>
        <v>-</v>
      </c>
      <c r="AC145" s="2" t="s">
        <v>71</v>
      </c>
      <c r="AD145" s="2" t="str">
        <f t="shared" ref="AD145:AD146" si="216">IF(NOT(ISBLANK(AE145)),"_","")</f>
        <v>_</v>
      </c>
      <c r="AE145" s="2" t="s">
        <v>394</v>
      </c>
      <c r="AF145" s="2" t="str">
        <f t="shared" ref="AF145:AF146" si="217">IF(NOT(ISBLANK(AG145)),"_","")</f>
        <v>_</v>
      </c>
      <c r="AG145" s="28" t="s">
        <v>77</v>
      </c>
      <c r="AH145" s="2" t="str">
        <f t="shared" ref="AH145:AH146" si="218">IF(NOT(ISBLANK(AI145)),"_","")</f>
        <v>_</v>
      </c>
      <c r="AI145" s="28" t="s">
        <v>387</v>
      </c>
    </row>
    <row r="146" spans="1:35" x14ac:dyDescent="0.25">
      <c r="B146" s="2" t="str">
        <f t="shared" si="202"/>
        <v>@dasharray-path_goodvis_wide_gap</v>
      </c>
      <c r="C146" s="28" t="s">
        <v>84</v>
      </c>
      <c r="D146" s="28" t="s">
        <v>84</v>
      </c>
      <c r="F146" s="28" t="s">
        <v>84</v>
      </c>
      <c r="G146" s="28" t="s">
        <v>84</v>
      </c>
      <c r="I146" s="28" t="s">
        <v>84</v>
      </c>
      <c r="J146" s="28" t="s">
        <v>84</v>
      </c>
      <c r="L146" s="28" t="s">
        <v>84</v>
      </c>
      <c r="M146" s="28" t="s">
        <v>84</v>
      </c>
      <c r="U146" s="28" t="s">
        <v>90</v>
      </c>
      <c r="V146" s="28" t="s">
        <v>90</v>
      </c>
      <c r="X146" s="28" t="s">
        <v>90</v>
      </c>
      <c r="Y146" s="28" t="s">
        <v>90</v>
      </c>
      <c r="AA146" s="2" t="s">
        <v>385</v>
      </c>
      <c r="AB146" s="2" t="str">
        <f t="shared" si="215"/>
        <v>-</v>
      </c>
      <c r="AC146" s="2" t="s">
        <v>71</v>
      </c>
      <c r="AD146" s="2" t="str">
        <f t="shared" si="216"/>
        <v>_</v>
      </c>
      <c r="AE146" s="2" t="s">
        <v>394</v>
      </c>
      <c r="AF146" s="2" t="str">
        <f t="shared" si="217"/>
        <v>_</v>
      </c>
      <c r="AG146" s="28" t="s">
        <v>77</v>
      </c>
      <c r="AH146" s="2" t="str">
        <f t="shared" si="218"/>
        <v>_</v>
      </c>
      <c r="AI146" s="28" t="s">
        <v>388</v>
      </c>
    </row>
    <row r="147" spans="1:35" x14ac:dyDescent="0.25">
      <c r="B147" s="2"/>
      <c r="AA147" s="2"/>
      <c r="AB147" s="2"/>
      <c r="AC147" s="2"/>
      <c r="AD147" s="2"/>
      <c r="AE147" s="2"/>
    </row>
    <row r="148" spans="1:35" s="2" customFormat="1" x14ac:dyDescent="0.25">
      <c r="A148" s="3" t="s">
        <v>401</v>
      </c>
      <c r="B148" s="27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171"/>
      <c r="AB148" s="171"/>
      <c r="AC148" s="171"/>
      <c r="AD148" s="171"/>
      <c r="AE148" s="171"/>
      <c r="AF148" s="171"/>
      <c r="AG148" s="171"/>
      <c r="AH148" s="171"/>
      <c r="AI148" s="171"/>
    </row>
    <row r="149" spans="1:35" x14ac:dyDescent="0.25">
      <c r="B149" s="2" t="str">
        <f t="shared" ref="B149" si="219">_xlfn.CONCAT("@",AA149,AB149,AC149,AD149,AE149,AF149,AG149,AH149,AI149)</f>
        <v>@color-piste_trail_ski_case</v>
      </c>
      <c r="C149" s="151" t="s">
        <v>297</v>
      </c>
      <c r="D149" s="151" t="s">
        <v>297</v>
      </c>
      <c r="F149" s="151" t="s">
        <v>297</v>
      </c>
      <c r="G149" s="151" t="s">
        <v>297</v>
      </c>
      <c r="I149" s="151" t="s">
        <v>297</v>
      </c>
      <c r="J149" s="151" t="s">
        <v>297</v>
      </c>
      <c r="L149" s="151" t="s">
        <v>297</v>
      </c>
      <c r="M149" s="151" t="s">
        <v>297</v>
      </c>
      <c r="U149" s="46" t="s">
        <v>222</v>
      </c>
      <c r="V149" s="46" t="s">
        <v>222</v>
      </c>
      <c r="X149" s="47" t="s">
        <v>214</v>
      </c>
      <c r="Y149" s="47" t="s">
        <v>214</v>
      </c>
      <c r="AA149" s="172" t="s">
        <v>6</v>
      </c>
      <c r="AB149" s="2" t="str">
        <f t="shared" ref="AB149" si="220">IF(NOT(ISBLANK(AC149)),"-","")</f>
        <v>-</v>
      </c>
      <c r="AC149" s="172" t="s">
        <v>402</v>
      </c>
      <c r="AD149" s="2" t="str">
        <f t="shared" ref="AD149" si="221">IF(NOT(ISBLANK(AE149)),"_","")</f>
        <v>_</v>
      </c>
      <c r="AE149" s="172" t="s">
        <v>403</v>
      </c>
      <c r="AF149" s="2" t="str">
        <f t="shared" ref="AF149" si="222">IF(NOT(ISBLANK(AG149)),"_","")</f>
        <v>_</v>
      </c>
      <c r="AG149" s="168" t="s">
        <v>17</v>
      </c>
      <c r="AH149" s="2" t="str">
        <f t="shared" ref="AH149" si="223">IF(NOT(ISBLANK(AI149)),"_","")</f>
        <v/>
      </c>
      <c r="AI149" s="168"/>
    </row>
    <row r="150" spans="1:35" x14ac:dyDescent="0.25">
      <c r="B150" s="2" t="str">
        <f t="shared" ref="B150" si="224">_xlfn.CONCAT("@",AA150,AB150,AC150,AD150,AE150,AF150,AG150,AH150,AI150)</f>
        <v>@color-piste_trail_ski_line_osm</v>
      </c>
      <c r="C150" s="151" t="s">
        <v>297</v>
      </c>
      <c r="D150" s="151" t="s">
        <v>297</v>
      </c>
      <c r="F150" s="151" t="s">
        <v>297</v>
      </c>
      <c r="G150" s="151" t="s">
        <v>297</v>
      </c>
      <c r="I150" s="151" t="s">
        <v>297</v>
      </c>
      <c r="J150" s="151" t="s">
        <v>297</v>
      </c>
      <c r="L150" s="151" t="s">
        <v>297</v>
      </c>
      <c r="M150" s="151" t="s">
        <v>297</v>
      </c>
      <c r="U150" s="173" t="s">
        <v>406</v>
      </c>
      <c r="V150" s="173" t="s">
        <v>406</v>
      </c>
      <c r="X150" s="173" t="s">
        <v>406</v>
      </c>
      <c r="Y150" s="173" t="s">
        <v>406</v>
      </c>
      <c r="AA150" s="172" t="s">
        <v>6</v>
      </c>
      <c r="AB150" s="2" t="str">
        <f t="shared" ref="AB150" si="225">IF(NOT(ISBLANK(AC150)),"-","")</f>
        <v>-</v>
      </c>
      <c r="AC150" s="172" t="s">
        <v>402</v>
      </c>
      <c r="AD150" s="2" t="str">
        <f t="shared" ref="AD150" si="226">IF(NOT(ISBLANK(AE150)),"_","")</f>
        <v>_</v>
      </c>
      <c r="AE150" s="172" t="s">
        <v>403</v>
      </c>
      <c r="AF150" s="2" t="str">
        <f t="shared" ref="AF150" si="227">IF(NOT(ISBLANK(AG150)),"_","")</f>
        <v>_</v>
      </c>
      <c r="AG150" s="168" t="s">
        <v>13</v>
      </c>
      <c r="AH150" s="2" t="str">
        <f t="shared" ref="AH150" si="228">IF(NOT(ISBLANK(AI150)),"_","")</f>
        <v>_</v>
      </c>
      <c r="AI150" s="168" t="s">
        <v>405</v>
      </c>
    </row>
    <row r="151" spans="1:35" x14ac:dyDescent="0.25">
      <c r="B151" s="2" t="str">
        <f t="shared" ref="B151" si="229">_xlfn.CONCAT("@",AA151,AB151,AC151,AD151,AE151,AF151,AG151,AH151,AI151)</f>
        <v>@color-piste_trail_ski_line_lipas</v>
      </c>
      <c r="C151" s="151" t="s">
        <v>297</v>
      </c>
      <c r="D151" s="151" t="s">
        <v>297</v>
      </c>
      <c r="F151" s="151" t="s">
        <v>297</v>
      </c>
      <c r="G151" s="151" t="s">
        <v>297</v>
      </c>
      <c r="I151" s="151" t="s">
        <v>297</v>
      </c>
      <c r="J151" s="151" t="s">
        <v>297</v>
      </c>
      <c r="L151" s="151" t="s">
        <v>297</v>
      </c>
      <c r="M151" s="151" t="s">
        <v>297</v>
      </c>
      <c r="U151" s="174" t="s">
        <v>408</v>
      </c>
      <c r="V151" s="174" t="s">
        <v>408</v>
      </c>
      <c r="X151" s="174" t="s">
        <v>408</v>
      </c>
      <c r="Y151" s="174" t="s">
        <v>408</v>
      </c>
      <c r="AA151" s="172" t="s">
        <v>6</v>
      </c>
      <c r="AB151" s="2" t="str">
        <f t="shared" ref="AB151" si="230">IF(NOT(ISBLANK(AC151)),"-","")</f>
        <v>-</v>
      </c>
      <c r="AC151" s="172" t="s">
        <v>402</v>
      </c>
      <c r="AD151" s="2" t="str">
        <f t="shared" ref="AD151" si="231">IF(NOT(ISBLANK(AE151)),"_","")</f>
        <v>_</v>
      </c>
      <c r="AE151" s="172" t="s">
        <v>403</v>
      </c>
      <c r="AF151" s="2" t="str">
        <f t="shared" ref="AF151" si="232">IF(NOT(ISBLANK(AG151)),"_","")</f>
        <v>_</v>
      </c>
      <c r="AG151" s="168" t="s">
        <v>13</v>
      </c>
      <c r="AH151" s="2" t="str">
        <f t="shared" ref="AH151" si="233">IF(NOT(ISBLANK(AI151)),"_","")</f>
        <v>_</v>
      </c>
      <c r="AI151" s="168" t="s">
        <v>407</v>
      </c>
    </row>
    <row r="152" spans="1:35" x14ac:dyDescent="0.25">
      <c r="B152" s="2" t="str">
        <f t="shared" ref="B152" si="234">_xlfn.CONCAT("@",AA152,AB152,AC152,AD152,AE152,AF152,AG152,AH152,AI152)</f>
        <v>@color-piste_trail_ski_center</v>
      </c>
      <c r="C152" s="151" t="s">
        <v>297</v>
      </c>
      <c r="D152" s="151" t="s">
        <v>297</v>
      </c>
      <c r="F152" s="151" t="s">
        <v>297</v>
      </c>
      <c r="G152" s="151" t="s">
        <v>297</v>
      </c>
      <c r="I152" s="151" t="s">
        <v>297</v>
      </c>
      <c r="J152" s="151" t="s">
        <v>297</v>
      </c>
      <c r="L152" s="151" t="s">
        <v>297</v>
      </c>
      <c r="M152" s="151" t="s">
        <v>297</v>
      </c>
      <c r="U152" s="46" t="s">
        <v>222</v>
      </c>
      <c r="V152" s="46" t="s">
        <v>222</v>
      </c>
      <c r="X152" s="47" t="s">
        <v>214</v>
      </c>
      <c r="Y152" s="47" t="s">
        <v>214</v>
      </c>
      <c r="AA152" s="172" t="s">
        <v>6</v>
      </c>
      <c r="AB152" s="2" t="str">
        <f t="shared" ref="AB152" si="235">IF(NOT(ISBLANK(AC152)),"-","")</f>
        <v>-</v>
      </c>
      <c r="AC152" s="172" t="s">
        <v>402</v>
      </c>
      <c r="AD152" s="2" t="str">
        <f t="shared" ref="AD152" si="236">IF(NOT(ISBLANK(AE152)),"_","")</f>
        <v>_</v>
      </c>
      <c r="AE152" s="172" t="s">
        <v>403</v>
      </c>
      <c r="AF152" s="2" t="str">
        <f t="shared" ref="AF152" si="237">IF(NOT(ISBLANK(AG152)),"_","")</f>
        <v>_</v>
      </c>
      <c r="AG152" s="168" t="s">
        <v>404</v>
      </c>
      <c r="AH152" s="2" t="str">
        <f t="shared" ref="AH152" si="238">IF(NOT(ISBLANK(AI152)),"_","")</f>
        <v/>
      </c>
      <c r="AI152" s="168"/>
    </row>
    <row r="153" spans="1:35" x14ac:dyDescent="0.25">
      <c r="B153" s="2"/>
      <c r="AA153" s="2"/>
      <c r="AB153" s="2"/>
      <c r="AC153" s="2"/>
      <c r="AD153" s="2"/>
      <c r="AE153" s="2"/>
    </row>
    <row r="154" spans="1:35" x14ac:dyDescent="0.25">
      <c r="B154" s="2"/>
      <c r="AA154" s="2"/>
      <c r="AB154" s="2"/>
      <c r="AC154" s="2"/>
      <c r="AD154" s="2"/>
      <c r="AE154" s="2"/>
    </row>
    <row r="155" spans="1:35" x14ac:dyDescent="0.25">
      <c r="B155" s="2"/>
      <c r="AA155" s="2"/>
      <c r="AB155" s="2"/>
      <c r="AC155" s="2"/>
      <c r="AD155" s="2"/>
      <c r="AE155" s="2"/>
    </row>
    <row r="156" spans="1:35" x14ac:dyDescent="0.25">
      <c r="B156" s="2"/>
      <c r="AA156" s="2"/>
      <c r="AB156" s="2"/>
      <c r="AC156" s="2"/>
      <c r="AD156" s="2"/>
      <c r="AE156" s="2"/>
    </row>
    <row r="157" spans="1:35" x14ac:dyDescent="0.25">
      <c r="B157" s="2"/>
      <c r="AA157" s="2"/>
      <c r="AB157" s="2"/>
      <c r="AC157" s="2"/>
      <c r="AD157" s="2"/>
      <c r="AE157" s="2"/>
    </row>
    <row r="158" spans="1:35" s="2" customFormat="1" x14ac:dyDescent="0.25">
      <c r="A158" s="3" t="s">
        <v>400</v>
      </c>
      <c r="B158" s="27"/>
      <c r="C158" s="27"/>
      <c r="D158" s="6"/>
      <c r="E158" s="7"/>
      <c r="F158" s="6"/>
      <c r="G158" s="6"/>
      <c r="H158" s="7"/>
      <c r="I158" s="6"/>
      <c r="J158" s="6"/>
      <c r="K158" s="7"/>
      <c r="L158" s="6"/>
      <c r="M158" s="6"/>
      <c r="N158" s="7"/>
      <c r="O158" s="6"/>
      <c r="P158" s="6"/>
      <c r="Q158" s="7"/>
      <c r="R158" s="6"/>
      <c r="S158" s="6"/>
      <c r="T158" s="7"/>
      <c r="U158" s="6"/>
      <c r="V158" s="6"/>
      <c r="W158" s="7"/>
      <c r="X158" s="6"/>
      <c r="Y158" s="6"/>
      <c r="AA158" s="171"/>
      <c r="AB158" s="171"/>
      <c r="AC158" s="171"/>
      <c r="AD158" s="171"/>
      <c r="AE158" s="171"/>
      <c r="AF158" s="171"/>
      <c r="AG158" s="171"/>
      <c r="AH158" s="171"/>
      <c r="AI158" s="171"/>
    </row>
    <row r="159" spans="1:35" s="2" customFormat="1" x14ac:dyDescent="0.25">
      <c r="A159" s="167"/>
      <c r="B159" s="169" t="s">
        <v>336</v>
      </c>
      <c r="C159" s="169"/>
      <c r="D159" s="170"/>
      <c r="E159" s="7"/>
      <c r="F159" s="170"/>
      <c r="G159" s="170"/>
      <c r="H159" s="7"/>
      <c r="I159" s="170"/>
      <c r="J159" s="170"/>
      <c r="K159" s="7"/>
      <c r="L159" s="170"/>
      <c r="M159" s="170"/>
      <c r="N159" s="7"/>
      <c r="O159" s="170"/>
      <c r="P159" s="170"/>
      <c r="Q159" s="7"/>
      <c r="R159" s="170"/>
      <c r="S159" s="170"/>
      <c r="T159" s="7"/>
      <c r="U159" s="170"/>
      <c r="V159" s="170"/>
      <c r="W159" s="7"/>
      <c r="X159" s="6"/>
      <c r="Y159" s="6"/>
      <c r="AA159" s="171"/>
      <c r="AB159" s="171" t="str">
        <f t="shared" ref="AB159:AB298" si="239">IF(NOT(ISBLANK(AC159)),"-","")</f>
        <v/>
      </c>
      <c r="AC159" s="171"/>
      <c r="AD159" s="171" t="str">
        <f t="shared" ref="AD159:AD302" si="240">IF(NOT(ISBLANK(AE159)),"_","")</f>
        <v/>
      </c>
      <c r="AE159" s="171"/>
      <c r="AF159" s="171" t="str">
        <f t="shared" ref="AF159:AF302" si="241">IF(NOT(ISBLANK(AG159)),"_","")</f>
        <v/>
      </c>
      <c r="AG159" s="171"/>
      <c r="AH159" s="171" t="str">
        <f t="shared" ref="AH159:AH214" si="242">IF(NOT(ISBLANK(AI159)),"_","")</f>
        <v/>
      </c>
      <c r="AI159" s="171"/>
    </row>
    <row r="160" spans="1:35" x14ac:dyDescent="0.25">
      <c r="B160" s="2" t="str">
        <f t="shared" ref="B160" si="243">_xlfn.CONCAT("@",AA160,AB160,AC160,AD160,AE160,AF160,AG160,AH160,AI160)</f>
        <v>@color-cycleway_case</v>
      </c>
      <c r="C160" s="46" t="s">
        <v>222</v>
      </c>
      <c r="D160" s="46" t="s">
        <v>222</v>
      </c>
      <c r="F160" s="47" t="s">
        <v>214</v>
      </c>
      <c r="G160" s="47" t="s">
        <v>214</v>
      </c>
      <c r="I160" s="46" t="s">
        <v>222</v>
      </c>
      <c r="J160" s="46" t="s">
        <v>222</v>
      </c>
      <c r="L160" s="47" t="s">
        <v>214</v>
      </c>
      <c r="M160" s="47" t="s">
        <v>214</v>
      </c>
      <c r="U160" s="46" t="s">
        <v>222</v>
      </c>
      <c r="V160" s="46" t="s">
        <v>222</v>
      </c>
      <c r="X160" s="47" t="s">
        <v>214</v>
      </c>
      <c r="Y160" s="47" t="s">
        <v>214</v>
      </c>
      <c r="AA160" s="2" t="s">
        <v>6</v>
      </c>
      <c r="AB160" s="2" t="str">
        <f t="shared" ref="AB160" si="244">IF(NOT(ISBLANK(AC160)),"-","")</f>
        <v>-</v>
      </c>
      <c r="AC160" s="2" t="s">
        <v>12</v>
      </c>
      <c r="AD160" s="2" t="str">
        <f t="shared" ref="AD160" si="245">IF(NOT(ISBLANK(AE160)),"_","")</f>
        <v>_</v>
      </c>
      <c r="AE160" s="2" t="s">
        <v>17</v>
      </c>
      <c r="AF160" s="2" t="str">
        <f t="shared" ref="AF160" si="246">IF(NOT(ISBLANK(AG160)),"_","")</f>
        <v/>
      </c>
      <c r="AH160" s="2" t="str">
        <f t="shared" si="242"/>
        <v/>
      </c>
    </row>
    <row r="161" spans="1:35" x14ac:dyDescent="0.25">
      <c r="B161" s="2" t="str">
        <f>_xlfn.CONCAT("@",AA161,AB161,AC161,AD161,AE161,AF161,AG161,AH161,AI161)</f>
        <v>@color-footway_case</v>
      </c>
      <c r="C161" s="46" t="s">
        <v>222</v>
      </c>
      <c r="D161" s="46" t="s">
        <v>222</v>
      </c>
      <c r="F161" s="47" t="s">
        <v>214</v>
      </c>
      <c r="G161" s="47" t="s">
        <v>214</v>
      </c>
      <c r="I161" s="46" t="s">
        <v>222</v>
      </c>
      <c r="J161" s="46" t="s">
        <v>222</v>
      </c>
      <c r="L161" s="47" t="s">
        <v>214</v>
      </c>
      <c r="M161" s="47" t="s">
        <v>214</v>
      </c>
      <c r="U161" s="46" t="s">
        <v>222</v>
      </c>
      <c r="V161" s="46" t="s">
        <v>222</v>
      </c>
      <c r="X161" s="47" t="s">
        <v>214</v>
      </c>
      <c r="Y161" s="47" t="s">
        <v>214</v>
      </c>
      <c r="AA161" s="2" t="s">
        <v>6</v>
      </c>
      <c r="AB161" s="2" t="str">
        <f t="shared" ref="AB161:AB164" si="247">IF(NOT(ISBLANK(AC161)),"-","")</f>
        <v>-</v>
      </c>
      <c r="AC161" s="2" t="s">
        <v>34</v>
      </c>
      <c r="AD161" s="2" t="str">
        <f t="shared" ref="AD161:AD164" si="248">IF(NOT(ISBLANK(AE161)),"_","")</f>
        <v>_</v>
      </c>
      <c r="AE161" s="2" t="s">
        <v>17</v>
      </c>
      <c r="AF161" s="2" t="str">
        <f t="shared" ref="AF161:AF164" si="249">IF(NOT(ISBLANK(AG161)),"_","")</f>
        <v/>
      </c>
      <c r="AG161" s="2"/>
      <c r="AH161" s="2" t="str">
        <f>IF(NOT(ISBLANK(AI161)),"_","")</f>
        <v/>
      </c>
      <c r="AI161" s="2"/>
    </row>
    <row r="162" spans="1:35" x14ac:dyDescent="0.25">
      <c r="B162" s="2"/>
      <c r="AA162" s="2"/>
      <c r="AB162" s="2"/>
      <c r="AC162" s="2"/>
      <c r="AD162" s="2"/>
      <c r="AE162" s="2"/>
    </row>
    <row r="163" spans="1:35" x14ac:dyDescent="0.25">
      <c r="B163" s="2" t="str">
        <f t="shared" ref="B163" si="250">_xlfn.CONCAT("@",AA163,AB163,AC163,AD163,AE163,AF163,AG163,AH163,AI163)</f>
        <v>@case_width-cycleway_default_z12</v>
      </c>
      <c r="C163" s="28" t="s">
        <v>112</v>
      </c>
      <c r="D163" s="28" t="s">
        <v>112</v>
      </c>
      <c r="F163" s="28" t="s">
        <v>112</v>
      </c>
      <c r="G163" s="28" t="s">
        <v>112</v>
      </c>
      <c r="I163" s="28" t="s">
        <v>112</v>
      </c>
      <c r="J163" s="28" t="s">
        <v>90</v>
      </c>
      <c r="L163" s="28" t="s">
        <v>112</v>
      </c>
      <c r="M163" s="28" t="s">
        <v>90</v>
      </c>
      <c r="U163" s="28" t="s">
        <v>112</v>
      </c>
      <c r="V163" s="28" t="s">
        <v>112</v>
      </c>
      <c r="X163" s="28" t="s">
        <v>112</v>
      </c>
      <c r="Y163" s="28" t="s">
        <v>112</v>
      </c>
      <c r="AA163" s="2" t="s">
        <v>78</v>
      </c>
      <c r="AB163" s="2" t="str">
        <f t="shared" ref="AB163" si="251">IF(NOT(ISBLANK(AC163)),"-","")</f>
        <v>-</v>
      </c>
      <c r="AC163" s="2" t="s">
        <v>12</v>
      </c>
      <c r="AD163" s="2" t="str">
        <f t="shared" ref="AD163" si="252">IF(NOT(ISBLANK(AE163)),"_","")</f>
        <v>_</v>
      </c>
      <c r="AE163" s="2" t="s">
        <v>262</v>
      </c>
      <c r="AF163" s="2" t="str">
        <f t="shared" ref="AF163" si="253">IF(NOT(ISBLANK(AG163)),"_","")</f>
        <v>_</v>
      </c>
      <c r="AG163" s="28" t="s">
        <v>109</v>
      </c>
      <c r="AH163" s="2" t="str">
        <f t="shared" ref="AH163" si="254">IF(NOT(ISBLANK(AI163)),"_","")</f>
        <v/>
      </c>
    </row>
    <row r="164" spans="1:35" x14ac:dyDescent="0.25">
      <c r="B164" s="2" t="str">
        <f t="shared" ref="B164" si="255">_xlfn.CONCAT("@",AA164,AB164,AC164,AD164,AE164,AF164,AG164,AH164,AI164)</f>
        <v>@case_width-cycleway_default_z14</v>
      </c>
      <c r="C164" s="28" t="s">
        <v>112</v>
      </c>
      <c r="D164" s="28" t="s">
        <v>112</v>
      </c>
      <c r="F164" s="28" t="s">
        <v>112</v>
      </c>
      <c r="G164" s="28" t="s">
        <v>112</v>
      </c>
      <c r="I164" s="28" t="s">
        <v>128</v>
      </c>
      <c r="J164" s="28" t="s">
        <v>313</v>
      </c>
      <c r="L164" s="28" t="s">
        <v>128</v>
      </c>
      <c r="M164" s="28" t="s">
        <v>313</v>
      </c>
      <c r="U164" s="28" t="s">
        <v>112</v>
      </c>
      <c r="V164" s="28" t="s">
        <v>112</v>
      </c>
      <c r="X164" s="28" t="s">
        <v>112</v>
      </c>
      <c r="Y164" s="28" t="s">
        <v>112</v>
      </c>
      <c r="AA164" s="2" t="s">
        <v>78</v>
      </c>
      <c r="AB164" s="2" t="str">
        <f t="shared" si="247"/>
        <v>-</v>
      </c>
      <c r="AC164" s="2" t="s">
        <v>12</v>
      </c>
      <c r="AD164" s="2" t="str">
        <f t="shared" si="248"/>
        <v>_</v>
      </c>
      <c r="AE164" s="2" t="s">
        <v>262</v>
      </c>
      <c r="AF164" s="2" t="str">
        <f t="shared" si="249"/>
        <v>_</v>
      </c>
      <c r="AG164" s="28" t="s">
        <v>74</v>
      </c>
      <c r="AH164" s="2" t="str">
        <f t="shared" ref="AH164" si="256">IF(NOT(ISBLANK(AI164)),"_","")</f>
        <v/>
      </c>
    </row>
    <row r="165" spans="1:35" x14ac:dyDescent="0.25">
      <c r="B165" s="2" t="str">
        <f t="shared" ref="B165" si="257">_xlfn.CONCAT("@",AA165,AB165,AC165,AD165,AE165,AF165,AG165,AH165,AI165)</f>
        <v>@case_width-cycleway_default_z15</v>
      </c>
      <c r="C165" s="28" t="s">
        <v>88</v>
      </c>
      <c r="D165" s="28" t="s">
        <v>92</v>
      </c>
      <c r="F165" s="28" t="s">
        <v>88</v>
      </c>
      <c r="G165" s="28" t="s">
        <v>92</v>
      </c>
      <c r="I165" s="28" t="s">
        <v>83</v>
      </c>
      <c r="J165" s="28" t="s">
        <v>86</v>
      </c>
      <c r="L165" s="28" t="s">
        <v>83</v>
      </c>
      <c r="M165" s="28" t="s">
        <v>86</v>
      </c>
      <c r="U165" s="28" t="s">
        <v>88</v>
      </c>
      <c r="V165" s="28" t="s">
        <v>92</v>
      </c>
      <c r="X165" s="28" t="s">
        <v>88</v>
      </c>
      <c r="Y165" s="28" t="s">
        <v>92</v>
      </c>
      <c r="AA165" s="2" t="s">
        <v>78</v>
      </c>
      <c r="AB165" s="2" t="str">
        <f t="shared" ref="AB165" si="258">IF(NOT(ISBLANK(AC165)),"-","")</f>
        <v>-</v>
      </c>
      <c r="AC165" s="2" t="s">
        <v>12</v>
      </c>
      <c r="AD165" s="2" t="str">
        <f t="shared" ref="AD165" si="259">IF(NOT(ISBLANK(AE165)),"_","")</f>
        <v>_</v>
      </c>
      <c r="AE165" s="2" t="s">
        <v>262</v>
      </c>
      <c r="AF165" s="2" t="str">
        <f t="shared" ref="AF165" si="260">IF(NOT(ISBLANK(AG165)),"_","")</f>
        <v>_</v>
      </c>
      <c r="AG165" s="28" t="s">
        <v>337</v>
      </c>
      <c r="AH165" s="2" t="str">
        <f t="shared" ref="AH165" si="261">IF(NOT(ISBLANK(AI165)),"_","")</f>
        <v/>
      </c>
    </row>
    <row r="166" spans="1:35" x14ac:dyDescent="0.25">
      <c r="B166" s="2" t="str">
        <f t="shared" ref="B166" si="262">_xlfn.CONCAT("@",AA166,AB166,AC166,AD166,AE166,AF166,AG166,AH166,AI166)</f>
        <v>@case_width-cycleway_default_z16</v>
      </c>
      <c r="C166" s="28" t="s">
        <v>86</v>
      </c>
      <c r="D166" s="28" t="s">
        <v>134</v>
      </c>
      <c r="F166" s="28" t="s">
        <v>86</v>
      </c>
      <c r="G166" s="28" t="s">
        <v>134</v>
      </c>
      <c r="I166" s="28" t="s">
        <v>327</v>
      </c>
      <c r="J166" s="28" t="s">
        <v>341</v>
      </c>
      <c r="L166" s="28" t="s">
        <v>327</v>
      </c>
      <c r="M166" s="28" t="s">
        <v>341</v>
      </c>
      <c r="U166" s="28" t="s">
        <v>86</v>
      </c>
      <c r="V166" s="28" t="s">
        <v>134</v>
      </c>
      <c r="X166" s="28" t="s">
        <v>86</v>
      </c>
      <c r="Y166" s="28" t="s">
        <v>134</v>
      </c>
      <c r="AA166" s="2" t="s">
        <v>78</v>
      </c>
      <c r="AB166" s="2" t="str">
        <f t="shared" ref="AB166" si="263">IF(NOT(ISBLANK(AC166)),"-","")</f>
        <v>-</v>
      </c>
      <c r="AC166" s="2" t="s">
        <v>12</v>
      </c>
      <c r="AD166" s="2" t="str">
        <f t="shared" ref="AD166" si="264">IF(NOT(ISBLANK(AE166)),"_","")</f>
        <v>_</v>
      </c>
      <c r="AE166" s="2" t="s">
        <v>262</v>
      </c>
      <c r="AF166" s="2" t="str">
        <f t="shared" ref="AF166" si="265">IF(NOT(ISBLANK(AG166)),"_","")</f>
        <v>_</v>
      </c>
      <c r="AG166" s="28" t="s">
        <v>75</v>
      </c>
      <c r="AH166" s="2" t="str">
        <f t="shared" ref="AH166" si="266">IF(NOT(ISBLANK(AI166)),"_","")</f>
        <v/>
      </c>
    </row>
    <row r="167" spans="1:35" x14ac:dyDescent="0.25">
      <c r="B167" s="2" t="str">
        <f t="shared" ref="B167" si="267">_xlfn.CONCAT("@",AA167,AB167,AC167,AD167,AE167,AF167,AG167,AH167,AI167)</f>
        <v>@case_width-cycleway_default_z18</v>
      </c>
      <c r="C167" s="28" t="s">
        <v>332</v>
      </c>
      <c r="D167" s="28" t="s">
        <v>338</v>
      </c>
      <c r="F167" s="28" t="s">
        <v>332</v>
      </c>
      <c r="G167" s="28" t="s">
        <v>338</v>
      </c>
      <c r="I167" s="28" t="s">
        <v>339</v>
      </c>
      <c r="J167" s="28" t="s">
        <v>145</v>
      </c>
      <c r="L167" s="28" t="s">
        <v>339</v>
      </c>
      <c r="M167" s="28" t="s">
        <v>145</v>
      </c>
      <c r="U167" s="28" t="s">
        <v>332</v>
      </c>
      <c r="V167" s="28" t="s">
        <v>338</v>
      </c>
      <c r="X167" s="28" t="s">
        <v>332</v>
      </c>
      <c r="Y167" s="28" t="s">
        <v>338</v>
      </c>
      <c r="AA167" s="2" t="s">
        <v>78</v>
      </c>
      <c r="AB167" s="2" t="str">
        <f t="shared" ref="AB167" si="268">IF(NOT(ISBLANK(AC167)),"-","")</f>
        <v>-</v>
      </c>
      <c r="AC167" s="2" t="s">
        <v>12</v>
      </c>
      <c r="AD167" s="2" t="str">
        <f t="shared" ref="AD167" si="269">IF(NOT(ISBLANK(AE167)),"_","")</f>
        <v>_</v>
      </c>
      <c r="AE167" s="2" t="s">
        <v>262</v>
      </c>
      <c r="AF167" s="2" t="str">
        <f t="shared" ref="AF167" si="270">IF(NOT(ISBLANK(AG167)),"_","")</f>
        <v>_</v>
      </c>
      <c r="AG167" s="28" t="s">
        <v>76</v>
      </c>
      <c r="AH167" s="2" t="str">
        <f t="shared" ref="AH167" si="271">IF(NOT(ISBLANK(AI167)),"_","")</f>
        <v/>
      </c>
    </row>
    <row r="168" spans="1:35" x14ac:dyDescent="0.25">
      <c r="A168" s="168"/>
      <c r="B168" s="2"/>
      <c r="AA168" s="2"/>
      <c r="AB168" s="2"/>
      <c r="AC168" s="2"/>
      <c r="AD168" s="2"/>
      <c r="AE168" s="2"/>
    </row>
    <row r="169" spans="1:35" s="2" customFormat="1" x14ac:dyDescent="0.25">
      <c r="A169" s="167"/>
      <c r="B169" s="169" t="s">
        <v>335</v>
      </c>
      <c r="C169" s="169"/>
      <c r="D169" s="170"/>
      <c r="E169" s="7"/>
      <c r="F169" s="170"/>
      <c r="G169" s="170"/>
      <c r="H169" s="7"/>
      <c r="I169" s="170"/>
      <c r="J169" s="170"/>
      <c r="K169" s="7"/>
      <c r="L169" s="170"/>
      <c r="M169" s="170"/>
      <c r="N169" s="7"/>
      <c r="O169" s="170"/>
      <c r="P169" s="170"/>
      <c r="Q169" s="7"/>
      <c r="R169" s="170"/>
      <c r="S169" s="170"/>
      <c r="T169" s="7"/>
      <c r="U169" s="170"/>
      <c r="V169" s="170"/>
      <c r="W169" s="7"/>
      <c r="X169" s="6"/>
      <c r="Y169" s="6"/>
      <c r="AA169" s="171"/>
      <c r="AB169" s="171"/>
      <c r="AC169" s="171"/>
      <c r="AD169" s="171"/>
      <c r="AE169" s="171"/>
      <c r="AF169" s="171"/>
      <c r="AG169" s="171"/>
      <c r="AH169" s="171"/>
      <c r="AI169" s="171"/>
    </row>
    <row r="170" spans="1:35" x14ac:dyDescent="0.25">
      <c r="B170" s="2" t="str">
        <f>_xlfn.CONCAT("@",AA170,AB170,AC170,AD170,AE170,AF170,AG170,AH170,AI170)</f>
        <v>@color-cycleway_line</v>
      </c>
      <c r="C170" s="48" t="s">
        <v>185</v>
      </c>
      <c r="D170" s="49" t="str">
        <f>C170</f>
        <v>"#3046d7"</v>
      </c>
      <c r="F170" s="48" t="s">
        <v>185</v>
      </c>
      <c r="G170" s="49" t="str">
        <f>F170</f>
        <v>"#3046d7"</v>
      </c>
      <c r="I170" s="48" t="s">
        <v>185</v>
      </c>
      <c r="J170" s="49" t="str">
        <f>I170</f>
        <v>"#3046d7"</v>
      </c>
      <c r="L170" s="48" t="s">
        <v>185</v>
      </c>
      <c r="M170" s="49" t="str">
        <f>L170</f>
        <v>"#3046d7"</v>
      </c>
      <c r="U170" s="48" t="s">
        <v>185</v>
      </c>
      <c r="V170" s="49" t="str">
        <f>U170</f>
        <v>"#3046d7"</v>
      </c>
      <c r="X170" s="48" t="s">
        <v>185</v>
      </c>
      <c r="Y170" s="49" t="str">
        <f>X170</f>
        <v>"#3046d7"</v>
      </c>
      <c r="AA170" s="2" t="s">
        <v>6</v>
      </c>
      <c r="AB170" s="2" t="str">
        <f>IF(NOT(ISBLANK(AC170)),"-","")</f>
        <v>-</v>
      </c>
      <c r="AC170" s="2" t="s">
        <v>12</v>
      </c>
      <c r="AD170" s="2" t="str">
        <f>IF(NOT(ISBLANK(AE170)),"_","")</f>
        <v>_</v>
      </c>
      <c r="AE170" s="2" t="s">
        <v>13</v>
      </c>
      <c r="AF170" s="2" t="str">
        <f>IF(NOT(ISBLANK(AG170)),"_","")</f>
        <v/>
      </c>
      <c r="AH170" s="2" t="str">
        <f>IF(NOT(ISBLANK(AI170)),"_","")</f>
        <v/>
      </c>
    </row>
    <row r="171" spans="1:35" x14ac:dyDescent="0.25">
      <c r="B171" s="2" t="str">
        <f>_xlfn.CONCAT("@",AA171,AB171,AC171,AD171,AE171,AF171,AG171,AH171,AI171)</f>
        <v>@color-footway_line</v>
      </c>
      <c r="C171" s="50" t="s">
        <v>186</v>
      </c>
      <c r="D171" s="51" t="str">
        <f>C171</f>
        <v>"#a43820"</v>
      </c>
      <c r="F171" s="50" t="s">
        <v>186</v>
      </c>
      <c r="G171" s="51" t="str">
        <f>F171</f>
        <v>"#a43820"</v>
      </c>
      <c r="I171" s="50" t="s">
        <v>186</v>
      </c>
      <c r="J171" s="51" t="str">
        <f>I171</f>
        <v>"#a43820"</v>
      </c>
      <c r="L171" s="50" t="s">
        <v>186</v>
      </c>
      <c r="M171" s="51" t="str">
        <f>L171</f>
        <v>"#a43820"</v>
      </c>
      <c r="U171" s="50" t="s">
        <v>186</v>
      </c>
      <c r="V171" s="51" t="str">
        <f>U171</f>
        <v>"#a43820"</v>
      </c>
      <c r="X171" s="50" t="s">
        <v>186</v>
      </c>
      <c r="Y171" s="51" t="str">
        <f>X171</f>
        <v>"#a43820"</v>
      </c>
      <c r="AA171" s="2" t="s">
        <v>6</v>
      </c>
      <c r="AB171" s="2" t="str">
        <f>IF(NOT(ISBLANK(AC171)),"-","")</f>
        <v>-</v>
      </c>
      <c r="AC171" s="2" t="s">
        <v>34</v>
      </c>
      <c r="AD171" s="2" t="str">
        <f>IF(NOT(ISBLANK(AE171)),"_","")</f>
        <v>_</v>
      </c>
      <c r="AE171" s="2" t="s">
        <v>13</v>
      </c>
      <c r="AF171" s="2" t="str">
        <f>IF(NOT(ISBLANK(AG171)),"_","")</f>
        <v/>
      </c>
      <c r="AG171" s="2"/>
      <c r="AH171" s="2" t="str">
        <f>IF(NOT(ISBLANK(AI171)),"_","")</f>
        <v/>
      </c>
      <c r="AI171" s="2"/>
    </row>
    <row r="172" spans="1:35" x14ac:dyDescent="0.25">
      <c r="AA172" s="2"/>
      <c r="AB172" s="2" t="str">
        <f t="shared" si="239"/>
        <v/>
      </c>
      <c r="AC172" s="2"/>
      <c r="AD172" s="2" t="str">
        <f t="shared" si="240"/>
        <v/>
      </c>
      <c r="AE172" s="2"/>
      <c r="AF172" s="28" t="str">
        <f t="shared" si="241"/>
        <v/>
      </c>
      <c r="AH172" s="28" t="str">
        <f t="shared" si="242"/>
        <v/>
      </c>
    </row>
    <row r="173" spans="1:35" x14ac:dyDescent="0.25">
      <c r="B173" s="2" t="str">
        <f t="shared" ref="B173" si="272">_xlfn.CONCAT("@",AA173,AB173,AC173,AD173,AE173,AF173,AG173,AH173,AI173)</f>
        <v>@line_width-cycleway_paved_or_uk_z12</v>
      </c>
      <c r="C173" s="28" t="s">
        <v>84</v>
      </c>
      <c r="D173" s="28" t="s">
        <v>84</v>
      </c>
      <c r="F173" s="28" t="s">
        <v>84</v>
      </c>
      <c r="G173" s="28" t="s">
        <v>84</v>
      </c>
      <c r="I173" s="28" t="s">
        <v>123</v>
      </c>
      <c r="J173" s="28" t="s">
        <v>123</v>
      </c>
      <c r="L173" s="28" t="s">
        <v>123</v>
      </c>
      <c r="M173" s="28" t="s">
        <v>123</v>
      </c>
      <c r="U173" s="28" t="s">
        <v>84</v>
      </c>
      <c r="V173" s="28" t="s">
        <v>84</v>
      </c>
      <c r="X173" s="28" t="s">
        <v>84</v>
      </c>
      <c r="Y173" s="28" t="s">
        <v>84</v>
      </c>
      <c r="AA173" s="2" t="s">
        <v>119</v>
      </c>
      <c r="AB173" s="2" t="str">
        <f t="shared" ref="AB173" si="273">IF(NOT(ISBLANK(AC173)),"-","")</f>
        <v>-</v>
      </c>
      <c r="AC173" s="2" t="s">
        <v>12</v>
      </c>
      <c r="AD173" s="2" t="str">
        <f t="shared" ref="AD173" si="274">IF(NOT(ISBLANK(AE173)),"_","")</f>
        <v>_</v>
      </c>
      <c r="AE173" s="2" t="s">
        <v>24</v>
      </c>
      <c r="AF173" s="2" t="str">
        <f t="shared" ref="AF173" si="275">IF(NOT(ISBLANK(AG173)),"_","")</f>
        <v>_</v>
      </c>
      <c r="AG173" s="28" t="s">
        <v>109</v>
      </c>
      <c r="AH173" s="2" t="str">
        <f t="shared" ref="AH173" si="276">IF(NOT(ISBLANK(AI173)),"_","")</f>
        <v/>
      </c>
    </row>
    <row r="174" spans="1:35" x14ac:dyDescent="0.25">
      <c r="B174" s="2" t="str">
        <f t="shared" ref="B174" si="277">_xlfn.CONCAT("@",AA174,AB174,AC174,AD174,AE174,AF174,AG174,AH174,AI174)</f>
        <v>@line_width-cycleway_paved_or_uk_z14</v>
      </c>
      <c r="C174" s="28" t="s">
        <v>123</v>
      </c>
      <c r="D174" s="28" t="s">
        <v>90</v>
      </c>
      <c r="F174" s="28" t="s">
        <v>123</v>
      </c>
      <c r="G174" s="28" t="s">
        <v>90</v>
      </c>
      <c r="I174" s="28" t="s">
        <v>112</v>
      </c>
      <c r="J174" s="28" t="s">
        <v>350</v>
      </c>
      <c r="L174" s="28" t="s">
        <v>112</v>
      </c>
      <c r="M174" s="28" t="s">
        <v>350</v>
      </c>
      <c r="U174" s="28" t="s">
        <v>123</v>
      </c>
      <c r="V174" s="28" t="s">
        <v>90</v>
      </c>
      <c r="X174" s="28" t="s">
        <v>123</v>
      </c>
      <c r="Y174" s="28" t="s">
        <v>90</v>
      </c>
      <c r="AA174" s="2" t="s">
        <v>119</v>
      </c>
      <c r="AB174" s="2" t="str">
        <f t="shared" ref="AB174" si="278">IF(NOT(ISBLANK(AC174)),"-","")</f>
        <v>-</v>
      </c>
      <c r="AC174" s="2" t="s">
        <v>12</v>
      </c>
      <c r="AD174" s="2" t="str">
        <f t="shared" ref="AD174" si="279">IF(NOT(ISBLANK(AE174)),"_","")</f>
        <v>_</v>
      </c>
      <c r="AE174" s="2" t="s">
        <v>24</v>
      </c>
      <c r="AF174" s="2" t="str">
        <f t="shared" ref="AF174" si="280">IF(NOT(ISBLANK(AG174)),"_","")</f>
        <v>_</v>
      </c>
      <c r="AG174" s="28" t="s">
        <v>74</v>
      </c>
      <c r="AH174" s="2" t="str">
        <f t="shared" ref="AH174" si="281">IF(NOT(ISBLANK(AI174)),"_","")</f>
        <v/>
      </c>
    </row>
    <row r="175" spans="1:35" x14ac:dyDescent="0.25">
      <c r="B175" s="2" t="str">
        <f t="shared" ref="B175" si="282">_xlfn.CONCAT("@",AA175,AB175,AC175,AD175,AE175,AF175,AG175,AH175,AI175)</f>
        <v>@line_width-cycleway_paved_or_uk_z16</v>
      </c>
      <c r="C175" s="28" t="s">
        <v>88</v>
      </c>
      <c r="D175" s="28" t="s">
        <v>92</v>
      </c>
      <c r="F175" s="28" t="s">
        <v>88</v>
      </c>
      <c r="G175" s="28" t="s">
        <v>92</v>
      </c>
      <c r="I175" s="28" t="s">
        <v>82</v>
      </c>
      <c r="J175" s="28" t="s">
        <v>83</v>
      </c>
      <c r="L175" s="28" t="s">
        <v>82</v>
      </c>
      <c r="M175" s="28" t="s">
        <v>83</v>
      </c>
      <c r="U175" s="28" t="s">
        <v>88</v>
      </c>
      <c r="V175" s="28" t="s">
        <v>92</v>
      </c>
      <c r="X175" s="28" t="s">
        <v>88</v>
      </c>
      <c r="Y175" s="28" t="s">
        <v>92</v>
      </c>
      <c r="AA175" s="2" t="s">
        <v>119</v>
      </c>
      <c r="AB175" s="2" t="str">
        <f t="shared" ref="AB175" si="283">IF(NOT(ISBLANK(AC175)),"-","")</f>
        <v>-</v>
      </c>
      <c r="AC175" s="2" t="s">
        <v>12</v>
      </c>
      <c r="AD175" s="2" t="str">
        <f t="shared" ref="AD175" si="284">IF(NOT(ISBLANK(AE175)),"_","")</f>
        <v>_</v>
      </c>
      <c r="AE175" s="2" t="s">
        <v>24</v>
      </c>
      <c r="AF175" s="2" t="str">
        <f t="shared" ref="AF175" si="285">IF(NOT(ISBLANK(AG175)),"_","")</f>
        <v>_</v>
      </c>
      <c r="AG175" s="28" t="s">
        <v>75</v>
      </c>
      <c r="AH175" s="2" t="str">
        <f t="shared" ref="AH175" si="286">IF(NOT(ISBLANK(AI175)),"_","")</f>
        <v/>
      </c>
    </row>
    <row r="176" spans="1:35" x14ac:dyDescent="0.25">
      <c r="B176" s="2" t="str">
        <f t="shared" ref="B176" si="287">_xlfn.CONCAT("@",AA176,AB176,AC176,AD176,AE176,AF176,AG176,AH176,AI176)</f>
        <v>@line_width-cycleway_paved_or_uk_z18</v>
      </c>
      <c r="C176" s="28" t="s">
        <v>86</v>
      </c>
      <c r="D176" s="28" t="s">
        <v>341</v>
      </c>
      <c r="F176" s="28" t="s">
        <v>86</v>
      </c>
      <c r="G176" s="28" t="s">
        <v>341</v>
      </c>
      <c r="I176" s="28" t="s">
        <v>134</v>
      </c>
      <c r="J176" s="28" t="s">
        <v>332</v>
      </c>
      <c r="L176" s="28" t="s">
        <v>134</v>
      </c>
      <c r="M176" s="28" t="s">
        <v>332</v>
      </c>
      <c r="U176" s="28" t="s">
        <v>86</v>
      </c>
      <c r="V176" s="28" t="s">
        <v>341</v>
      </c>
      <c r="X176" s="28" t="s">
        <v>86</v>
      </c>
      <c r="Y176" s="28" t="s">
        <v>341</v>
      </c>
      <c r="AA176" s="2" t="s">
        <v>119</v>
      </c>
      <c r="AB176" s="2" t="str">
        <f t="shared" ref="AB176" si="288">IF(NOT(ISBLANK(AC176)),"-","")</f>
        <v>-</v>
      </c>
      <c r="AC176" s="2" t="s">
        <v>12</v>
      </c>
      <c r="AD176" s="2" t="str">
        <f t="shared" ref="AD176" si="289">IF(NOT(ISBLANK(AE176)),"_","")</f>
        <v>_</v>
      </c>
      <c r="AE176" s="2" t="s">
        <v>24</v>
      </c>
      <c r="AF176" s="2" t="str">
        <f t="shared" ref="AF176" si="290">IF(NOT(ISBLANK(AG176)),"_","")</f>
        <v>_</v>
      </c>
      <c r="AG176" s="28" t="s">
        <v>76</v>
      </c>
      <c r="AH176" s="2" t="str">
        <f t="shared" ref="AH176" si="291">IF(NOT(ISBLANK(AI176)),"_","")</f>
        <v/>
      </c>
    </row>
    <row r="177" spans="2:34" x14ac:dyDescent="0.25">
      <c r="AA177" s="2"/>
      <c r="AB177" s="2"/>
      <c r="AC177" s="2"/>
      <c r="AD177" s="2"/>
      <c r="AE177" s="2"/>
    </row>
    <row r="178" spans="2:34" x14ac:dyDescent="0.25">
      <c r="B178" s="2" t="str">
        <f t="shared" ref="B178:B181" si="292">_xlfn.CONCAT("@",AA178,AB178,AC178,AD178,AE178,AF178,AG178,AH178,AI178)</f>
        <v>@line_width-cycleway_unpaved_z12</v>
      </c>
      <c r="C178" s="28" t="s">
        <v>112</v>
      </c>
      <c r="D178" s="28" t="s">
        <v>112</v>
      </c>
      <c r="F178" s="28" t="s">
        <v>112</v>
      </c>
      <c r="G178" s="28" t="s">
        <v>112</v>
      </c>
      <c r="I178" s="28" t="s">
        <v>126</v>
      </c>
      <c r="J178" s="28" t="s">
        <v>126</v>
      </c>
      <c r="L178" s="28" t="s">
        <v>126</v>
      </c>
      <c r="M178" s="28" t="s">
        <v>126</v>
      </c>
      <c r="U178" s="28" t="s">
        <v>84</v>
      </c>
      <c r="V178" s="28" t="s">
        <v>84</v>
      </c>
      <c r="X178" s="28" t="s">
        <v>84</v>
      </c>
      <c r="Y178" s="28" t="s">
        <v>84</v>
      </c>
      <c r="AA178" s="2" t="s">
        <v>119</v>
      </c>
      <c r="AB178" s="2" t="str">
        <f t="shared" ref="AB178:AB181" si="293">IF(NOT(ISBLANK(AC178)),"-","")</f>
        <v>-</v>
      </c>
      <c r="AC178" s="2" t="s">
        <v>12</v>
      </c>
      <c r="AD178" s="2" t="str">
        <f t="shared" ref="AD178:AD181" si="294">IF(NOT(ISBLANK(AE178)),"_","")</f>
        <v>_</v>
      </c>
      <c r="AE178" s="2" t="s">
        <v>21</v>
      </c>
      <c r="AF178" s="2" t="str">
        <f t="shared" ref="AF178:AF181" si="295">IF(NOT(ISBLANK(AG178)),"_","")</f>
        <v>_</v>
      </c>
      <c r="AG178" s="28" t="s">
        <v>109</v>
      </c>
      <c r="AH178" s="2" t="str">
        <f t="shared" ref="AH178:AH181" si="296">IF(NOT(ISBLANK(AI178)),"_","")</f>
        <v/>
      </c>
    </row>
    <row r="179" spans="2:34" x14ac:dyDescent="0.25">
      <c r="B179" s="2" t="str">
        <f t="shared" si="292"/>
        <v>@line_width-cycleway_unpaved_z14</v>
      </c>
      <c r="C179" s="28" t="s">
        <v>126</v>
      </c>
      <c r="D179" s="28" t="s">
        <v>344</v>
      </c>
      <c r="F179" s="28" t="s">
        <v>126</v>
      </c>
      <c r="G179" s="28" t="s">
        <v>344</v>
      </c>
      <c r="I179" s="28" t="s">
        <v>351</v>
      </c>
      <c r="J179" s="28" t="s">
        <v>352</v>
      </c>
      <c r="L179" s="28" t="s">
        <v>351</v>
      </c>
      <c r="M179" s="28" t="s">
        <v>352</v>
      </c>
      <c r="U179" s="28" t="s">
        <v>123</v>
      </c>
      <c r="V179" s="28" t="s">
        <v>90</v>
      </c>
      <c r="X179" s="28" t="s">
        <v>123</v>
      </c>
      <c r="Y179" s="28" t="s">
        <v>90</v>
      </c>
      <c r="AA179" s="2" t="s">
        <v>119</v>
      </c>
      <c r="AB179" s="2" t="str">
        <f t="shared" si="293"/>
        <v>-</v>
      </c>
      <c r="AC179" s="2" t="s">
        <v>12</v>
      </c>
      <c r="AD179" s="2" t="str">
        <f t="shared" si="294"/>
        <v>_</v>
      </c>
      <c r="AE179" s="2" t="s">
        <v>21</v>
      </c>
      <c r="AF179" s="2" t="str">
        <f t="shared" si="295"/>
        <v>_</v>
      </c>
      <c r="AG179" s="28" t="s">
        <v>74</v>
      </c>
      <c r="AH179" s="2" t="str">
        <f t="shared" si="296"/>
        <v/>
      </c>
    </row>
    <row r="180" spans="2:34" x14ac:dyDescent="0.25">
      <c r="B180" s="2" t="str">
        <f t="shared" si="292"/>
        <v>@line_width-cycleway_unpaved_z16</v>
      </c>
      <c r="C180" s="28" t="s">
        <v>128</v>
      </c>
      <c r="D180" s="28" t="s">
        <v>86</v>
      </c>
      <c r="F180" s="28" t="s">
        <v>128</v>
      </c>
      <c r="G180" s="28" t="s">
        <v>86</v>
      </c>
      <c r="I180" s="28" t="s">
        <v>127</v>
      </c>
      <c r="J180" s="28" t="s">
        <v>91</v>
      </c>
      <c r="L180" s="28" t="s">
        <v>127</v>
      </c>
      <c r="M180" s="28" t="s">
        <v>91</v>
      </c>
      <c r="U180" s="28" t="s">
        <v>88</v>
      </c>
      <c r="V180" s="28" t="s">
        <v>92</v>
      </c>
      <c r="X180" s="28" t="s">
        <v>88</v>
      </c>
      <c r="Y180" s="28" t="s">
        <v>92</v>
      </c>
      <c r="AA180" s="2" t="s">
        <v>119</v>
      </c>
      <c r="AB180" s="2" t="str">
        <f t="shared" si="293"/>
        <v>-</v>
      </c>
      <c r="AC180" s="2" t="s">
        <v>12</v>
      </c>
      <c r="AD180" s="2" t="str">
        <f t="shared" si="294"/>
        <v>_</v>
      </c>
      <c r="AE180" s="2" t="s">
        <v>21</v>
      </c>
      <c r="AF180" s="2" t="str">
        <f t="shared" si="295"/>
        <v>_</v>
      </c>
      <c r="AG180" s="28" t="s">
        <v>75</v>
      </c>
      <c r="AH180" s="2" t="str">
        <f t="shared" si="296"/>
        <v/>
      </c>
    </row>
    <row r="181" spans="2:34" x14ac:dyDescent="0.25">
      <c r="B181" s="2" t="str">
        <f t="shared" si="292"/>
        <v>@line_width-cycleway_unpaved_z18</v>
      </c>
      <c r="C181" s="28" t="s">
        <v>87</v>
      </c>
      <c r="D181" s="28" t="s">
        <v>89</v>
      </c>
      <c r="F181" s="28" t="s">
        <v>87</v>
      </c>
      <c r="G181" s="28" t="s">
        <v>89</v>
      </c>
      <c r="I181" s="28" t="s">
        <v>135</v>
      </c>
      <c r="J181" s="28" t="s">
        <v>145</v>
      </c>
      <c r="L181" s="28" t="s">
        <v>135</v>
      </c>
      <c r="M181" s="28" t="s">
        <v>145</v>
      </c>
      <c r="U181" s="28" t="s">
        <v>86</v>
      </c>
      <c r="V181" s="28" t="s">
        <v>341</v>
      </c>
      <c r="X181" s="28" t="s">
        <v>86</v>
      </c>
      <c r="Y181" s="28" t="s">
        <v>341</v>
      </c>
      <c r="AA181" s="2" t="s">
        <v>119</v>
      </c>
      <c r="AB181" s="2" t="str">
        <f t="shared" si="293"/>
        <v>-</v>
      </c>
      <c r="AC181" s="2" t="s">
        <v>12</v>
      </c>
      <c r="AD181" s="2" t="str">
        <f t="shared" si="294"/>
        <v>_</v>
      </c>
      <c r="AE181" s="2" t="s">
        <v>21</v>
      </c>
      <c r="AF181" s="2" t="str">
        <f t="shared" si="295"/>
        <v>_</v>
      </c>
      <c r="AG181" s="28" t="s">
        <v>76</v>
      </c>
      <c r="AH181" s="2" t="str">
        <f t="shared" si="296"/>
        <v/>
      </c>
    </row>
    <row r="182" spans="2:34" x14ac:dyDescent="0.25">
      <c r="AA182" s="2"/>
      <c r="AB182" s="2"/>
      <c r="AC182" s="2"/>
      <c r="AD182" s="2"/>
      <c r="AE182" s="2"/>
    </row>
    <row r="183" spans="2:34" x14ac:dyDescent="0.25">
      <c r="B183" s="2" t="str">
        <f t="shared" ref="B183:B186" si="297">_xlfn.CONCAT("@",AA183,AB183,AC183,AD183,AE183,AF183,AG183,AH183,AI183)</f>
        <v>@line_width-footway_default_z12</v>
      </c>
      <c r="C183" s="28" t="s">
        <v>96</v>
      </c>
      <c r="D183" s="28" t="s">
        <v>116</v>
      </c>
      <c r="F183" s="28" t="s">
        <v>96</v>
      </c>
      <c r="G183" s="28" t="s">
        <v>116</v>
      </c>
      <c r="I183" s="28" t="s">
        <v>96</v>
      </c>
      <c r="J183" s="28" t="s">
        <v>116</v>
      </c>
      <c r="L183" s="28" t="s">
        <v>96</v>
      </c>
      <c r="M183" s="28" t="s">
        <v>116</v>
      </c>
      <c r="U183" s="28" t="s">
        <v>96</v>
      </c>
      <c r="V183" s="28" t="s">
        <v>116</v>
      </c>
      <c r="X183" s="28" t="s">
        <v>96</v>
      </c>
      <c r="Y183" s="28" t="s">
        <v>116</v>
      </c>
      <c r="AA183" s="2" t="s">
        <v>119</v>
      </c>
      <c r="AB183" s="2" t="str">
        <f t="shared" ref="AB183:AB186" si="298">IF(NOT(ISBLANK(AC183)),"-","")</f>
        <v>-</v>
      </c>
      <c r="AC183" s="2" t="s">
        <v>34</v>
      </c>
      <c r="AD183" s="2" t="str">
        <f t="shared" ref="AD183:AD186" si="299">IF(NOT(ISBLANK(AE183)),"_","")</f>
        <v>_</v>
      </c>
      <c r="AE183" s="2" t="s">
        <v>262</v>
      </c>
      <c r="AF183" s="2" t="str">
        <f t="shared" ref="AF183:AF186" si="300">IF(NOT(ISBLANK(AG183)),"_","")</f>
        <v>_</v>
      </c>
      <c r="AG183" s="28" t="s">
        <v>109</v>
      </c>
      <c r="AH183" s="2" t="str">
        <f t="shared" ref="AH183:AH186" si="301">IF(NOT(ISBLANK(AI183)),"_","")</f>
        <v/>
      </c>
    </row>
    <row r="184" spans="2:34" x14ac:dyDescent="0.25">
      <c r="B184" s="2" t="str">
        <f t="shared" si="297"/>
        <v>@line_width-footway_default_z14</v>
      </c>
      <c r="C184" s="28" t="s">
        <v>84</v>
      </c>
      <c r="D184" s="28" t="s">
        <v>90</v>
      </c>
      <c r="F184" s="28" t="s">
        <v>84</v>
      </c>
      <c r="G184" s="28" t="s">
        <v>90</v>
      </c>
      <c r="I184" s="28" t="s">
        <v>84</v>
      </c>
      <c r="J184" s="28" t="s">
        <v>90</v>
      </c>
      <c r="L184" s="28" t="s">
        <v>84</v>
      </c>
      <c r="M184" s="28" t="s">
        <v>90</v>
      </c>
      <c r="U184" s="28" t="s">
        <v>84</v>
      </c>
      <c r="V184" s="28" t="s">
        <v>90</v>
      </c>
      <c r="X184" s="28" t="s">
        <v>84</v>
      </c>
      <c r="Y184" s="28" t="s">
        <v>90</v>
      </c>
      <c r="AA184" s="2" t="s">
        <v>119</v>
      </c>
      <c r="AB184" s="2" t="str">
        <f t="shared" si="298"/>
        <v>-</v>
      </c>
      <c r="AC184" s="2" t="s">
        <v>34</v>
      </c>
      <c r="AD184" s="2" t="str">
        <f t="shared" si="299"/>
        <v>_</v>
      </c>
      <c r="AE184" s="2" t="s">
        <v>262</v>
      </c>
      <c r="AF184" s="2" t="str">
        <f t="shared" si="300"/>
        <v>_</v>
      </c>
      <c r="AG184" s="28" t="s">
        <v>74</v>
      </c>
      <c r="AH184" s="2" t="str">
        <f t="shared" si="301"/>
        <v/>
      </c>
    </row>
    <row r="185" spans="2:34" x14ac:dyDescent="0.25">
      <c r="B185" s="2" t="str">
        <f t="shared" si="297"/>
        <v>@line_width-footway_default_z16</v>
      </c>
      <c r="C185" s="28" t="s">
        <v>90</v>
      </c>
      <c r="D185" s="28" t="s">
        <v>92</v>
      </c>
      <c r="F185" s="28" t="s">
        <v>90</v>
      </c>
      <c r="G185" s="28" t="s">
        <v>92</v>
      </c>
      <c r="I185" s="28" t="s">
        <v>90</v>
      </c>
      <c r="J185" s="28" t="s">
        <v>92</v>
      </c>
      <c r="L185" s="28" t="s">
        <v>90</v>
      </c>
      <c r="M185" s="28" t="s">
        <v>92</v>
      </c>
      <c r="U185" s="28" t="s">
        <v>90</v>
      </c>
      <c r="V185" s="28" t="s">
        <v>92</v>
      </c>
      <c r="X185" s="28" t="s">
        <v>90</v>
      </c>
      <c r="Y185" s="28" t="s">
        <v>92</v>
      </c>
      <c r="AA185" s="2" t="s">
        <v>119</v>
      </c>
      <c r="AB185" s="2" t="str">
        <f t="shared" si="298"/>
        <v>-</v>
      </c>
      <c r="AC185" s="2" t="s">
        <v>34</v>
      </c>
      <c r="AD185" s="2" t="str">
        <f t="shared" si="299"/>
        <v>_</v>
      </c>
      <c r="AE185" s="2" t="s">
        <v>262</v>
      </c>
      <c r="AF185" s="2" t="str">
        <f t="shared" si="300"/>
        <v>_</v>
      </c>
      <c r="AG185" s="28" t="s">
        <v>75</v>
      </c>
      <c r="AH185" s="2" t="str">
        <f t="shared" si="301"/>
        <v/>
      </c>
    </row>
    <row r="186" spans="2:34" x14ac:dyDescent="0.25">
      <c r="B186" s="2" t="str">
        <f t="shared" si="297"/>
        <v>@line_width-footway_default_z18</v>
      </c>
      <c r="C186" s="28" t="s">
        <v>92</v>
      </c>
      <c r="D186" s="28" t="s">
        <v>86</v>
      </c>
      <c r="F186" s="28" t="s">
        <v>92</v>
      </c>
      <c r="G186" s="28" t="s">
        <v>86</v>
      </c>
      <c r="I186" s="28" t="s">
        <v>92</v>
      </c>
      <c r="J186" s="28" t="s">
        <v>86</v>
      </c>
      <c r="L186" s="28" t="s">
        <v>92</v>
      </c>
      <c r="M186" s="28" t="s">
        <v>86</v>
      </c>
      <c r="U186" s="28" t="s">
        <v>92</v>
      </c>
      <c r="V186" s="28" t="s">
        <v>86</v>
      </c>
      <c r="X186" s="28" t="s">
        <v>92</v>
      </c>
      <c r="Y186" s="28" t="s">
        <v>86</v>
      </c>
      <c r="AA186" s="2" t="s">
        <v>119</v>
      </c>
      <c r="AB186" s="2" t="str">
        <f t="shared" si="298"/>
        <v>-</v>
      </c>
      <c r="AC186" s="2" t="s">
        <v>34</v>
      </c>
      <c r="AD186" s="2" t="str">
        <f t="shared" si="299"/>
        <v>_</v>
      </c>
      <c r="AE186" s="2" t="s">
        <v>262</v>
      </c>
      <c r="AF186" s="2" t="str">
        <f t="shared" si="300"/>
        <v>_</v>
      </c>
      <c r="AG186" s="28" t="s">
        <v>76</v>
      </c>
      <c r="AH186" s="2" t="str">
        <f t="shared" si="301"/>
        <v/>
      </c>
    </row>
    <row r="187" spans="2:34" x14ac:dyDescent="0.25">
      <c r="AA187" s="2"/>
      <c r="AB187" s="2"/>
      <c r="AC187" s="2"/>
      <c r="AD187" s="2"/>
      <c r="AE187" s="2"/>
    </row>
    <row r="188" spans="2:34" x14ac:dyDescent="0.25">
      <c r="B188" s="2" t="str">
        <f t="shared" ref="B188:B191" si="302">_xlfn.CONCAT("@",AA188,AB188,AC188,AD188,AE188,AF188,AG188,AH188,AI188)</f>
        <v>@line_offset-footway_left_z12</v>
      </c>
      <c r="C188" s="28" t="s">
        <v>363</v>
      </c>
      <c r="D188" s="28" t="s">
        <v>364</v>
      </c>
      <c r="F188" s="28" t="s">
        <v>363</v>
      </c>
      <c r="G188" s="28" t="s">
        <v>364</v>
      </c>
      <c r="I188" s="28" t="s">
        <v>363</v>
      </c>
      <c r="J188" s="28" t="s">
        <v>364</v>
      </c>
      <c r="L188" s="28" t="s">
        <v>363</v>
      </c>
      <c r="M188" s="28" t="s">
        <v>364</v>
      </c>
      <c r="U188" s="28" t="s">
        <v>363</v>
      </c>
      <c r="V188" s="28" t="s">
        <v>364</v>
      </c>
      <c r="X188" s="28" t="s">
        <v>363</v>
      </c>
      <c r="Y188" s="28" t="s">
        <v>364</v>
      </c>
      <c r="AA188" s="2" t="s">
        <v>355</v>
      </c>
      <c r="AB188" s="2" t="str">
        <f t="shared" ref="AB188:AB191" si="303">IF(NOT(ISBLANK(AC188)),"-","")</f>
        <v>-</v>
      </c>
      <c r="AC188" s="2" t="s">
        <v>34</v>
      </c>
      <c r="AD188" s="2" t="str">
        <f t="shared" ref="AD188:AD191" si="304">IF(NOT(ISBLANK(AE188)),"_","")</f>
        <v>_</v>
      </c>
      <c r="AE188" s="2" t="s">
        <v>356</v>
      </c>
      <c r="AF188" s="2" t="str">
        <f t="shared" ref="AF188:AF191" si="305">IF(NOT(ISBLANK(AG188)),"_","")</f>
        <v>_</v>
      </c>
      <c r="AG188" s="28" t="s">
        <v>109</v>
      </c>
      <c r="AH188" s="2" t="str">
        <f t="shared" ref="AH188:AH191" si="306">IF(NOT(ISBLANK(AI188)),"_","")</f>
        <v/>
      </c>
    </row>
    <row r="189" spans="2:34" x14ac:dyDescent="0.25">
      <c r="B189" s="2" t="str">
        <f t="shared" si="302"/>
        <v>@line_offset-footway_left_z14</v>
      </c>
      <c r="C189" s="28" t="s">
        <v>359</v>
      </c>
      <c r="D189" s="28" t="s">
        <v>360</v>
      </c>
      <c r="F189" s="28" t="s">
        <v>359</v>
      </c>
      <c r="G189" s="28" t="s">
        <v>360</v>
      </c>
      <c r="I189" s="28" t="s">
        <v>359</v>
      </c>
      <c r="J189" s="28" t="s">
        <v>360</v>
      </c>
      <c r="L189" s="28" t="s">
        <v>359</v>
      </c>
      <c r="M189" s="28" t="s">
        <v>360</v>
      </c>
      <c r="U189" s="28" t="s">
        <v>359</v>
      </c>
      <c r="V189" s="28" t="s">
        <v>360</v>
      </c>
      <c r="X189" s="28" t="s">
        <v>359</v>
      </c>
      <c r="Y189" s="28" t="s">
        <v>360</v>
      </c>
      <c r="AA189" s="2" t="s">
        <v>355</v>
      </c>
      <c r="AB189" s="2" t="str">
        <f t="shared" si="303"/>
        <v>-</v>
      </c>
      <c r="AC189" s="2" t="s">
        <v>34</v>
      </c>
      <c r="AD189" s="2" t="str">
        <f t="shared" si="304"/>
        <v>_</v>
      </c>
      <c r="AE189" s="2" t="s">
        <v>356</v>
      </c>
      <c r="AF189" s="2" t="str">
        <f t="shared" si="305"/>
        <v>_</v>
      </c>
      <c r="AG189" s="28" t="s">
        <v>74</v>
      </c>
      <c r="AH189" s="2" t="str">
        <f t="shared" si="306"/>
        <v/>
      </c>
    </row>
    <row r="190" spans="2:34" x14ac:dyDescent="0.25">
      <c r="B190" s="2" t="str">
        <f t="shared" si="302"/>
        <v>@line_offset-footway_left_z16</v>
      </c>
      <c r="C190" s="28" t="s">
        <v>358</v>
      </c>
      <c r="D190" s="28" t="s">
        <v>361</v>
      </c>
      <c r="F190" s="28" t="s">
        <v>358</v>
      </c>
      <c r="G190" s="28" t="s">
        <v>361</v>
      </c>
      <c r="I190" s="28" t="s">
        <v>358</v>
      </c>
      <c r="J190" s="28" t="s">
        <v>361</v>
      </c>
      <c r="L190" s="28" t="s">
        <v>358</v>
      </c>
      <c r="M190" s="28" t="s">
        <v>361</v>
      </c>
      <c r="U190" s="28" t="s">
        <v>358</v>
      </c>
      <c r="V190" s="28" t="s">
        <v>361</v>
      </c>
      <c r="X190" s="28" t="s">
        <v>358</v>
      </c>
      <c r="Y190" s="28" t="s">
        <v>361</v>
      </c>
      <c r="AA190" s="2" t="s">
        <v>355</v>
      </c>
      <c r="AB190" s="2" t="str">
        <f t="shared" si="303"/>
        <v>-</v>
      </c>
      <c r="AC190" s="2" t="s">
        <v>34</v>
      </c>
      <c r="AD190" s="2" t="str">
        <f t="shared" si="304"/>
        <v>_</v>
      </c>
      <c r="AE190" s="2" t="s">
        <v>356</v>
      </c>
      <c r="AF190" s="2" t="str">
        <f t="shared" si="305"/>
        <v>_</v>
      </c>
      <c r="AG190" s="28" t="s">
        <v>75</v>
      </c>
      <c r="AH190" s="2" t="str">
        <f t="shared" si="306"/>
        <v/>
      </c>
    </row>
    <row r="191" spans="2:34" x14ac:dyDescent="0.25">
      <c r="B191" s="2" t="str">
        <f t="shared" si="302"/>
        <v>@line_offset-footway_left_z18</v>
      </c>
      <c r="C191" s="28" t="s">
        <v>357</v>
      </c>
      <c r="D191" s="28" t="s">
        <v>362</v>
      </c>
      <c r="F191" s="28" t="s">
        <v>357</v>
      </c>
      <c r="G191" s="28" t="s">
        <v>362</v>
      </c>
      <c r="I191" s="28" t="s">
        <v>357</v>
      </c>
      <c r="J191" s="28" t="s">
        <v>362</v>
      </c>
      <c r="L191" s="28" t="s">
        <v>357</v>
      </c>
      <c r="M191" s="28" t="s">
        <v>362</v>
      </c>
      <c r="U191" s="28" t="s">
        <v>357</v>
      </c>
      <c r="V191" s="28" t="s">
        <v>362</v>
      </c>
      <c r="X191" s="28" t="s">
        <v>357</v>
      </c>
      <c r="Y191" s="28" t="s">
        <v>362</v>
      </c>
      <c r="AA191" s="2" t="s">
        <v>355</v>
      </c>
      <c r="AB191" s="2" t="str">
        <f t="shared" si="303"/>
        <v>-</v>
      </c>
      <c r="AC191" s="2" t="s">
        <v>34</v>
      </c>
      <c r="AD191" s="2" t="str">
        <f t="shared" si="304"/>
        <v>_</v>
      </c>
      <c r="AE191" s="2" t="s">
        <v>356</v>
      </c>
      <c r="AF191" s="2" t="str">
        <f t="shared" si="305"/>
        <v>_</v>
      </c>
      <c r="AG191" s="28" t="s">
        <v>76</v>
      </c>
      <c r="AH191" s="2" t="str">
        <f t="shared" si="306"/>
        <v/>
      </c>
    </row>
    <row r="192" spans="2:34" x14ac:dyDescent="0.25">
      <c r="AA192" s="2"/>
      <c r="AB192" s="2"/>
      <c r="AC192" s="2"/>
      <c r="AD192" s="2"/>
      <c r="AE192" s="2"/>
    </row>
    <row r="193" spans="1:39" x14ac:dyDescent="0.25">
      <c r="B193" s="2" t="str">
        <f t="shared" ref="B193:B196" si="307">_xlfn.CONCAT("@",AA193,AB193,AC193,AD193,AE193,AF193,AG193,AH193,AI193)</f>
        <v>@line_offset-footway_right_z12</v>
      </c>
      <c r="C193" s="28" t="s">
        <v>84</v>
      </c>
      <c r="D193" s="28" t="s">
        <v>85</v>
      </c>
      <c r="F193" s="28" t="s">
        <v>363</v>
      </c>
      <c r="G193" s="28" t="s">
        <v>364</v>
      </c>
      <c r="I193" s="28" t="s">
        <v>363</v>
      </c>
      <c r="J193" s="28" t="s">
        <v>364</v>
      </c>
      <c r="L193" s="28" t="s">
        <v>363</v>
      </c>
      <c r="M193" s="28" t="s">
        <v>364</v>
      </c>
      <c r="U193" s="28" t="s">
        <v>84</v>
      </c>
      <c r="V193" s="28" t="s">
        <v>85</v>
      </c>
      <c r="X193" s="28" t="s">
        <v>363</v>
      </c>
      <c r="Y193" s="28" t="s">
        <v>364</v>
      </c>
      <c r="AA193" s="2" t="s">
        <v>355</v>
      </c>
      <c r="AB193" s="2" t="str">
        <f t="shared" ref="AB193:AB196" si="308">IF(NOT(ISBLANK(AC193)),"-","")</f>
        <v>-</v>
      </c>
      <c r="AC193" s="2" t="s">
        <v>34</v>
      </c>
      <c r="AD193" s="2" t="str">
        <f t="shared" ref="AD193:AD196" si="309">IF(NOT(ISBLANK(AE193)),"_","")</f>
        <v>_</v>
      </c>
      <c r="AE193" s="2" t="s">
        <v>365</v>
      </c>
      <c r="AF193" s="2" t="str">
        <f t="shared" ref="AF193:AF196" si="310">IF(NOT(ISBLANK(AG193)),"_","")</f>
        <v>_</v>
      </c>
      <c r="AG193" s="28" t="s">
        <v>109</v>
      </c>
      <c r="AH193" s="2" t="str">
        <f t="shared" ref="AH193:AH196" si="311">IF(NOT(ISBLANK(AI193)),"_","")</f>
        <v/>
      </c>
    </row>
    <row r="194" spans="1:39" x14ac:dyDescent="0.25">
      <c r="B194" s="2" t="str">
        <f t="shared" si="307"/>
        <v>@line_offset-footway_right_z14</v>
      </c>
      <c r="C194" s="28" t="s">
        <v>88</v>
      </c>
      <c r="D194" s="28" t="s">
        <v>92</v>
      </c>
      <c r="F194" s="28" t="s">
        <v>359</v>
      </c>
      <c r="G194" s="28" t="s">
        <v>360</v>
      </c>
      <c r="I194" s="28" t="s">
        <v>359</v>
      </c>
      <c r="J194" s="28" t="s">
        <v>360</v>
      </c>
      <c r="L194" s="28" t="s">
        <v>359</v>
      </c>
      <c r="M194" s="28" t="s">
        <v>360</v>
      </c>
      <c r="U194" s="28" t="s">
        <v>88</v>
      </c>
      <c r="V194" s="28" t="s">
        <v>92</v>
      </c>
      <c r="X194" s="28" t="s">
        <v>359</v>
      </c>
      <c r="Y194" s="28" t="s">
        <v>360</v>
      </c>
      <c r="AA194" s="2" t="s">
        <v>355</v>
      </c>
      <c r="AB194" s="2" t="str">
        <f t="shared" si="308"/>
        <v>-</v>
      </c>
      <c r="AC194" s="2" t="s">
        <v>34</v>
      </c>
      <c r="AD194" s="2" t="str">
        <f t="shared" si="309"/>
        <v>_</v>
      </c>
      <c r="AE194" s="2" t="s">
        <v>365</v>
      </c>
      <c r="AF194" s="2" t="str">
        <f t="shared" si="310"/>
        <v>_</v>
      </c>
      <c r="AG194" s="28" t="s">
        <v>74</v>
      </c>
      <c r="AH194" s="2" t="str">
        <f t="shared" si="311"/>
        <v/>
      </c>
    </row>
    <row r="195" spans="1:39" x14ac:dyDescent="0.25">
      <c r="B195" s="2" t="str">
        <f t="shared" si="307"/>
        <v>@line_offset-footway_right_z16</v>
      </c>
      <c r="C195" s="28" t="s">
        <v>134</v>
      </c>
      <c r="D195" s="28" t="s">
        <v>327</v>
      </c>
      <c r="F195" s="28" t="s">
        <v>358</v>
      </c>
      <c r="G195" s="28" t="s">
        <v>361</v>
      </c>
      <c r="I195" s="28" t="s">
        <v>358</v>
      </c>
      <c r="J195" s="28" t="s">
        <v>361</v>
      </c>
      <c r="L195" s="28" t="s">
        <v>358</v>
      </c>
      <c r="M195" s="28" t="s">
        <v>361</v>
      </c>
      <c r="U195" s="28" t="s">
        <v>134</v>
      </c>
      <c r="V195" s="28" t="s">
        <v>327</v>
      </c>
      <c r="X195" s="28" t="s">
        <v>358</v>
      </c>
      <c r="Y195" s="28" t="s">
        <v>361</v>
      </c>
      <c r="AA195" s="2" t="s">
        <v>355</v>
      </c>
      <c r="AB195" s="2" t="str">
        <f t="shared" si="308"/>
        <v>-</v>
      </c>
      <c r="AC195" s="2" t="s">
        <v>34</v>
      </c>
      <c r="AD195" s="2" t="str">
        <f t="shared" si="309"/>
        <v>_</v>
      </c>
      <c r="AE195" s="2" t="s">
        <v>365</v>
      </c>
      <c r="AF195" s="2" t="str">
        <f t="shared" si="310"/>
        <v>_</v>
      </c>
      <c r="AG195" s="28" t="s">
        <v>75</v>
      </c>
      <c r="AH195" s="2" t="str">
        <f t="shared" si="311"/>
        <v/>
      </c>
    </row>
    <row r="196" spans="1:39" x14ac:dyDescent="0.25">
      <c r="B196" s="2" t="str">
        <f t="shared" si="307"/>
        <v>@line_offset-footway_right_z18</v>
      </c>
      <c r="C196" s="28" t="s">
        <v>366</v>
      </c>
      <c r="D196" s="28" t="s">
        <v>339</v>
      </c>
      <c r="F196" s="28" t="s">
        <v>357</v>
      </c>
      <c r="G196" s="28" t="s">
        <v>362</v>
      </c>
      <c r="I196" s="28" t="s">
        <v>357</v>
      </c>
      <c r="J196" s="28" t="s">
        <v>362</v>
      </c>
      <c r="L196" s="28" t="s">
        <v>357</v>
      </c>
      <c r="M196" s="28" t="s">
        <v>362</v>
      </c>
      <c r="U196" s="28" t="s">
        <v>366</v>
      </c>
      <c r="V196" s="28" t="s">
        <v>339</v>
      </c>
      <c r="X196" s="28" t="s">
        <v>357</v>
      </c>
      <c r="Y196" s="28" t="s">
        <v>362</v>
      </c>
      <c r="AA196" s="2" t="s">
        <v>355</v>
      </c>
      <c r="AB196" s="2" t="str">
        <f t="shared" si="308"/>
        <v>-</v>
      </c>
      <c r="AC196" s="2" t="s">
        <v>34</v>
      </c>
      <c r="AD196" s="2" t="str">
        <f t="shared" si="309"/>
        <v>_</v>
      </c>
      <c r="AE196" s="2" t="s">
        <v>365</v>
      </c>
      <c r="AF196" s="2" t="str">
        <f t="shared" si="310"/>
        <v>_</v>
      </c>
      <c r="AG196" s="28" t="s">
        <v>76</v>
      </c>
      <c r="AH196" s="2" t="str">
        <f t="shared" si="311"/>
        <v/>
      </c>
    </row>
    <row r="197" spans="1:39" x14ac:dyDescent="0.25">
      <c r="B197" s="2"/>
      <c r="AA197" s="2"/>
      <c r="AB197" s="2"/>
      <c r="AC197" s="2"/>
      <c r="AD197" s="2"/>
      <c r="AE197" s="2"/>
    </row>
    <row r="198" spans="1:39" x14ac:dyDescent="0.25">
      <c r="B198" s="2" t="str">
        <f t="shared" ref="B198:B199" si="312">_xlfn.CONCAT("@",AA198,AB198,AC198,AD198,AE198,AF198,AG198,AH198,AI198)</f>
        <v>@dasharray-cycleway_paved_default_dash</v>
      </c>
      <c r="C198" s="28" t="s">
        <v>86</v>
      </c>
      <c r="D198" s="28" t="s">
        <v>86</v>
      </c>
      <c r="F198" s="28" t="s">
        <v>86</v>
      </c>
      <c r="G198" s="28" t="s">
        <v>86</v>
      </c>
      <c r="I198" s="28" t="s">
        <v>86</v>
      </c>
      <c r="J198" s="28" t="s">
        <v>86</v>
      </c>
      <c r="L198" s="28" t="s">
        <v>86</v>
      </c>
      <c r="M198" s="28" t="s">
        <v>86</v>
      </c>
      <c r="U198" s="28" t="s">
        <v>86</v>
      </c>
      <c r="V198" s="28" t="s">
        <v>86</v>
      </c>
      <c r="X198" s="28" t="s">
        <v>86</v>
      </c>
      <c r="Y198" s="28" t="s">
        <v>86</v>
      </c>
      <c r="AA198" s="2" t="s">
        <v>385</v>
      </c>
      <c r="AB198" s="2" t="str">
        <f t="shared" ref="AB198" si="313">IF(NOT(ISBLANK(AC198)),"-","")</f>
        <v>-</v>
      </c>
      <c r="AC198" s="2" t="s">
        <v>12</v>
      </c>
      <c r="AD198" s="2" t="str">
        <f t="shared" ref="AD198" si="314">IF(NOT(ISBLANK(AE198)),"_","")</f>
        <v>_</v>
      </c>
      <c r="AE198" s="2" t="s">
        <v>398</v>
      </c>
      <c r="AF198" s="2" t="str">
        <f t="shared" ref="AF198" si="315">IF(NOT(ISBLANK(AG198)),"_","")</f>
        <v>_</v>
      </c>
      <c r="AG198" s="28" t="s">
        <v>262</v>
      </c>
      <c r="AH198" s="2" t="str">
        <f t="shared" ref="AH198:AH199" si="316">IF(NOT(ISBLANK(AI198)),"_","")</f>
        <v>_</v>
      </c>
      <c r="AI198" s="28" t="s">
        <v>387</v>
      </c>
    </row>
    <row r="199" spans="1:39" x14ac:dyDescent="0.25">
      <c r="B199" s="2" t="str">
        <f t="shared" si="312"/>
        <v>@dasharray-cycleway_paved_default_gap</v>
      </c>
      <c r="C199" s="28" t="s">
        <v>84</v>
      </c>
      <c r="D199" s="28" t="s">
        <v>84</v>
      </c>
      <c r="F199" s="28" t="s">
        <v>84</v>
      </c>
      <c r="G199" s="28" t="s">
        <v>84</v>
      </c>
      <c r="I199" s="28" t="s">
        <v>84</v>
      </c>
      <c r="J199" s="28" t="s">
        <v>84</v>
      </c>
      <c r="L199" s="28" t="s">
        <v>84</v>
      </c>
      <c r="M199" s="28" t="s">
        <v>84</v>
      </c>
      <c r="U199" s="28" t="s">
        <v>84</v>
      </c>
      <c r="V199" s="28" t="s">
        <v>84</v>
      </c>
      <c r="X199" s="28" t="s">
        <v>84</v>
      </c>
      <c r="Y199" s="28" t="s">
        <v>84</v>
      </c>
      <c r="AA199" s="2" t="s">
        <v>385</v>
      </c>
      <c r="AB199" s="2" t="str">
        <f t="shared" ref="AB199:AB200" si="317">IF(NOT(ISBLANK(AC199)),"-","")</f>
        <v>-</v>
      </c>
      <c r="AC199" s="2" t="s">
        <v>12</v>
      </c>
      <c r="AD199" s="2" t="str">
        <f t="shared" ref="AD199:AD200" si="318">IF(NOT(ISBLANK(AE199)),"_","")</f>
        <v>_</v>
      </c>
      <c r="AE199" s="2" t="s">
        <v>398</v>
      </c>
      <c r="AF199" s="2" t="str">
        <f t="shared" ref="AF199:AF200" si="319">IF(NOT(ISBLANK(AG199)),"_","")</f>
        <v>_</v>
      </c>
      <c r="AG199" s="28" t="s">
        <v>262</v>
      </c>
      <c r="AH199" s="2" t="str">
        <f t="shared" si="316"/>
        <v>_</v>
      </c>
      <c r="AI199" s="28" t="s">
        <v>388</v>
      </c>
    </row>
    <row r="200" spans="1:39" x14ac:dyDescent="0.25">
      <c r="B200" s="2" t="str">
        <f t="shared" ref="B200:B201" si="320">_xlfn.CONCAT("@",AA200,AB200,AC200,AD200,AE200,AF200,AG200,AH200,AI200)</f>
        <v>@dasharray-cycleway_unpaved_default_dash</v>
      </c>
      <c r="C200" s="28" t="s">
        <v>80</v>
      </c>
      <c r="D200" s="28" t="s">
        <v>80</v>
      </c>
      <c r="F200" s="28" t="s">
        <v>80</v>
      </c>
      <c r="G200" s="28" t="s">
        <v>80</v>
      </c>
      <c r="I200" s="28" t="s">
        <v>80</v>
      </c>
      <c r="J200" s="28" t="s">
        <v>80</v>
      </c>
      <c r="L200" s="28" t="s">
        <v>80</v>
      </c>
      <c r="M200" s="28" t="s">
        <v>80</v>
      </c>
      <c r="U200" s="28" t="s">
        <v>86</v>
      </c>
      <c r="V200" s="28" t="s">
        <v>86</v>
      </c>
      <c r="X200" s="28" t="s">
        <v>86</v>
      </c>
      <c r="Y200" s="28" t="s">
        <v>86</v>
      </c>
      <c r="AA200" s="2" t="s">
        <v>385</v>
      </c>
      <c r="AB200" s="2" t="str">
        <f t="shared" si="317"/>
        <v>-</v>
      </c>
      <c r="AC200" s="2" t="s">
        <v>12</v>
      </c>
      <c r="AD200" s="2" t="str">
        <f t="shared" si="318"/>
        <v>_</v>
      </c>
      <c r="AE200" s="2" t="s">
        <v>21</v>
      </c>
      <c r="AF200" s="2" t="str">
        <f t="shared" si="319"/>
        <v>_</v>
      </c>
      <c r="AG200" s="28" t="s">
        <v>262</v>
      </c>
      <c r="AH200" s="2" t="str">
        <f t="shared" ref="AH200:AH201" si="321">IF(NOT(ISBLANK(AI200)),"_","")</f>
        <v>_</v>
      </c>
      <c r="AI200" s="28" t="s">
        <v>387</v>
      </c>
    </row>
    <row r="201" spans="1:39" x14ac:dyDescent="0.25">
      <c r="B201" s="2" t="str">
        <f t="shared" si="320"/>
        <v>@dasharray-cycleway_unpaved_default_gap</v>
      </c>
      <c r="C201" s="28" t="s">
        <v>95</v>
      </c>
      <c r="D201" s="28" t="s">
        <v>95</v>
      </c>
      <c r="F201" s="28" t="s">
        <v>95</v>
      </c>
      <c r="G201" s="28" t="s">
        <v>95</v>
      </c>
      <c r="I201" s="28" t="s">
        <v>95</v>
      </c>
      <c r="J201" s="28" t="s">
        <v>95</v>
      </c>
      <c r="L201" s="28" t="s">
        <v>95</v>
      </c>
      <c r="M201" s="28" t="s">
        <v>95</v>
      </c>
      <c r="U201" s="28" t="s">
        <v>84</v>
      </c>
      <c r="V201" s="28" t="s">
        <v>84</v>
      </c>
      <c r="X201" s="28" t="s">
        <v>84</v>
      </c>
      <c r="Y201" s="28" t="s">
        <v>84</v>
      </c>
      <c r="AA201" s="2" t="s">
        <v>385</v>
      </c>
      <c r="AB201" s="2" t="str">
        <f t="shared" ref="AB201:AB202" si="322">IF(NOT(ISBLANK(AC201)),"-","")</f>
        <v>-</v>
      </c>
      <c r="AC201" s="2" t="s">
        <v>12</v>
      </c>
      <c r="AD201" s="2" t="str">
        <f t="shared" ref="AD201:AD202" si="323">IF(NOT(ISBLANK(AE201)),"_","")</f>
        <v>_</v>
      </c>
      <c r="AE201" s="2" t="s">
        <v>21</v>
      </c>
      <c r="AF201" s="2" t="str">
        <f t="shared" ref="AF201:AF202" si="324">IF(NOT(ISBLANK(AG201)),"_","")</f>
        <v>_</v>
      </c>
      <c r="AG201" s="28" t="s">
        <v>262</v>
      </c>
      <c r="AH201" s="2" t="str">
        <f t="shared" si="321"/>
        <v>_</v>
      </c>
      <c r="AI201" s="28" t="s">
        <v>388</v>
      </c>
    </row>
    <row r="202" spans="1:39" x14ac:dyDescent="0.25">
      <c r="B202" s="2" t="str">
        <f t="shared" ref="B202:B203" si="325">_xlfn.CONCAT("@",AA202,AB202,AC202,AD202,AE202,AF202,AG202,AH202,AI202)</f>
        <v>@dasharray-cycleway_unknown_default_dash</v>
      </c>
      <c r="C202" s="28" t="s">
        <v>90</v>
      </c>
      <c r="D202" s="28" t="s">
        <v>90</v>
      </c>
      <c r="F202" s="28" t="s">
        <v>90</v>
      </c>
      <c r="G202" s="28" t="s">
        <v>90</v>
      </c>
      <c r="I202" s="28" t="s">
        <v>90</v>
      </c>
      <c r="J202" s="28" t="s">
        <v>90</v>
      </c>
      <c r="L202" s="28" t="s">
        <v>90</v>
      </c>
      <c r="M202" s="28" t="s">
        <v>90</v>
      </c>
      <c r="U202" s="28" t="s">
        <v>86</v>
      </c>
      <c r="V202" s="28" t="s">
        <v>86</v>
      </c>
      <c r="X202" s="28" t="s">
        <v>86</v>
      </c>
      <c r="Y202" s="28" t="s">
        <v>86</v>
      </c>
      <c r="AA202" s="2" t="s">
        <v>385</v>
      </c>
      <c r="AB202" s="2" t="str">
        <f t="shared" si="322"/>
        <v>-</v>
      </c>
      <c r="AC202" s="2" t="s">
        <v>12</v>
      </c>
      <c r="AD202" s="2" t="str">
        <f t="shared" si="323"/>
        <v>_</v>
      </c>
      <c r="AE202" s="2" t="s">
        <v>399</v>
      </c>
      <c r="AF202" s="2" t="str">
        <f t="shared" si="324"/>
        <v>_</v>
      </c>
      <c r="AG202" s="28" t="s">
        <v>262</v>
      </c>
      <c r="AH202" s="2" t="str">
        <f t="shared" ref="AH202:AH203" si="326">IF(NOT(ISBLANK(AI202)),"_","")</f>
        <v>_</v>
      </c>
      <c r="AI202" s="28" t="s">
        <v>387</v>
      </c>
    </row>
    <row r="203" spans="1:39" x14ac:dyDescent="0.25">
      <c r="B203" s="2" t="str">
        <f t="shared" si="325"/>
        <v>@dasharray-cycleway_unknown_default_gap</v>
      </c>
      <c r="C203" s="28" t="s">
        <v>84</v>
      </c>
      <c r="D203" s="28" t="s">
        <v>84</v>
      </c>
      <c r="F203" s="28" t="s">
        <v>84</v>
      </c>
      <c r="G203" s="28" t="s">
        <v>84</v>
      </c>
      <c r="I203" s="28" t="s">
        <v>84</v>
      </c>
      <c r="J203" s="28" t="s">
        <v>84</v>
      </c>
      <c r="L203" s="28" t="s">
        <v>84</v>
      </c>
      <c r="M203" s="28" t="s">
        <v>84</v>
      </c>
      <c r="U203" s="28" t="s">
        <v>84</v>
      </c>
      <c r="V203" s="28" t="s">
        <v>84</v>
      </c>
      <c r="X203" s="28" t="s">
        <v>84</v>
      </c>
      <c r="Y203" s="28" t="s">
        <v>84</v>
      </c>
      <c r="AA203" s="2" t="s">
        <v>385</v>
      </c>
      <c r="AB203" s="2" t="str">
        <f t="shared" ref="AB203" si="327">IF(NOT(ISBLANK(AC203)),"-","")</f>
        <v>-</v>
      </c>
      <c r="AC203" s="2" t="s">
        <v>12</v>
      </c>
      <c r="AD203" s="2" t="str">
        <f t="shared" ref="AD203" si="328">IF(NOT(ISBLANK(AE203)),"_","")</f>
        <v>_</v>
      </c>
      <c r="AE203" s="2" t="s">
        <v>399</v>
      </c>
      <c r="AF203" s="2" t="str">
        <f t="shared" ref="AF203" si="329">IF(NOT(ISBLANK(AG203)),"_","")</f>
        <v>_</v>
      </c>
      <c r="AG203" s="28" t="s">
        <v>262</v>
      </c>
      <c r="AH203" s="2" t="str">
        <f t="shared" si="326"/>
        <v>_</v>
      </c>
      <c r="AI203" s="28" t="s">
        <v>388</v>
      </c>
    </row>
    <row r="204" spans="1:39" x14ac:dyDescent="0.25">
      <c r="AA204" s="2"/>
      <c r="AB204" s="2"/>
      <c r="AC204" s="2"/>
      <c r="AD204" s="2"/>
      <c r="AE204" s="2"/>
    </row>
    <row r="205" spans="1:39" s="2" customFormat="1" x14ac:dyDescent="0.25">
      <c r="A205" s="3" t="s">
        <v>39</v>
      </c>
      <c r="B205" s="3"/>
      <c r="C205" s="27"/>
      <c r="D205" s="6"/>
      <c r="E205" s="7"/>
      <c r="F205" s="6"/>
      <c r="G205" s="6"/>
      <c r="H205" s="7"/>
      <c r="I205" s="6"/>
      <c r="J205" s="6"/>
      <c r="K205" s="7"/>
      <c r="L205" s="6"/>
      <c r="M205" s="6"/>
      <c r="N205" s="7"/>
      <c r="O205" s="6"/>
      <c r="P205" s="6"/>
      <c r="Q205" s="7"/>
      <c r="R205" s="6"/>
      <c r="S205" s="6"/>
      <c r="T205" s="7"/>
      <c r="U205" s="6"/>
      <c r="V205" s="6"/>
      <c r="W205" s="7"/>
      <c r="X205" s="6"/>
      <c r="Y205" s="6"/>
      <c r="AA205" s="4"/>
      <c r="AB205" s="4" t="str">
        <f t="shared" si="239"/>
        <v/>
      </c>
      <c r="AC205" s="4"/>
      <c r="AD205" s="4" t="str">
        <f t="shared" si="240"/>
        <v/>
      </c>
      <c r="AE205" s="4"/>
      <c r="AF205" s="4" t="str">
        <f t="shared" si="241"/>
        <v/>
      </c>
      <c r="AG205" s="4"/>
      <c r="AH205" s="4" t="str">
        <f t="shared" si="242"/>
        <v/>
      </c>
      <c r="AI205" s="4"/>
    </row>
    <row r="206" spans="1:39" x14ac:dyDescent="0.25">
      <c r="B206" s="2" t="str">
        <f t="shared" ref="B206:B209" si="330">_xlfn.CONCAT("@",AA206,AB206,AC206,AD206,AE206,AF206,AG206,AH206,AI206)</f>
        <v>@color-obstacle_vegetation</v>
      </c>
      <c r="C206" s="52" t="s">
        <v>187</v>
      </c>
      <c r="D206" s="53" t="str">
        <f>C206</f>
        <v>"#4a9100"</v>
      </c>
      <c r="F206" s="52" t="s">
        <v>187</v>
      </c>
      <c r="G206" s="53" t="str">
        <f>F206</f>
        <v>"#4a9100"</v>
      </c>
      <c r="I206" s="52" t="s">
        <v>187</v>
      </c>
      <c r="J206" s="53" t="str">
        <f>I206</f>
        <v>"#4a9100"</v>
      </c>
      <c r="L206" s="52" t="s">
        <v>187</v>
      </c>
      <c r="M206" s="53" t="str">
        <f>L206</f>
        <v>"#4a9100"</v>
      </c>
      <c r="U206" s="52" t="s">
        <v>187</v>
      </c>
      <c r="V206" s="53" t="str">
        <f>U206</f>
        <v>"#4a9100"</v>
      </c>
      <c r="X206" s="52" t="s">
        <v>187</v>
      </c>
      <c r="Y206" s="53" t="str">
        <f>X206</f>
        <v>"#4a9100"</v>
      </c>
      <c r="AA206" s="2" t="s">
        <v>6</v>
      </c>
      <c r="AB206" s="2" t="str">
        <f t="shared" si="239"/>
        <v>-</v>
      </c>
      <c r="AC206" s="2" t="s">
        <v>35</v>
      </c>
      <c r="AD206" s="2" t="str">
        <f t="shared" si="240"/>
        <v>_</v>
      </c>
      <c r="AE206" s="2" t="s">
        <v>36</v>
      </c>
      <c r="AF206" s="2" t="str">
        <f t="shared" si="241"/>
        <v/>
      </c>
      <c r="AG206" s="2"/>
      <c r="AH206" s="2" t="str">
        <f t="shared" si="242"/>
        <v/>
      </c>
      <c r="AI206" s="2"/>
      <c r="AJ206" s="2"/>
      <c r="AK206" s="2"/>
      <c r="AL206" s="2"/>
      <c r="AM206" s="2"/>
    </row>
    <row r="207" spans="1:39" x14ac:dyDescent="0.25">
      <c r="B207" s="2" t="str">
        <f t="shared" si="330"/>
        <v>@color-surface_mud</v>
      </c>
      <c r="C207" s="54" t="s">
        <v>188</v>
      </c>
      <c r="D207" s="55" t="str">
        <f>C207</f>
        <v>"#0e84ed"</v>
      </c>
      <c r="F207" s="54" t="s">
        <v>188</v>
      </c>
      <c r="G207" s="55" t="str">
        <f>F207</f>
        <v>"#0e84ed"</v>
      </c>
      <c r="I207" s="54" t="s">
        <v>188</v>
      </c>
      <c r="J207" s="55" t="str">
        <f>I207</f>
        <v>"#0e84ed"</v>
      </c>
      <c r="L207" s="54" t="s">
        <v>188</v>
      </c>
      <c r="M207" s="55" t="str">
        <f>L207</f>
        <v>"#0e84ed"</v>
      </c>
      <c r="U207" s="54" t="s">
        <v>188</v>
      </c>
      <c r="V207" s="55" t="str">
        <f>U207</f>
        <v>"#0e84ed"</v>
      </c>
      <c r="X207" s="54" t="s">
        <v>188</v>
      </c>
      <c r="Y207" s="55" t="str">
        <f>X207</f>
        <v>"#0e84ed"</v>
      </c>
      <c r="AA207" s="2" t="s">
        <v>6</v>
      </c>
      <c r="AB207" s="2" t="str">
        <f t="shared" si="239"/>
        <v>-</v>
      </c>
      <c r="AC207" s="2" t="s">
        <v>37</v>
      </c>
      <c r="AD207" s="2" t="str">
        <f t="shared" si="240"/>
        <v>_</v>
      </c>
      <c r="AE207" s="2" t="s">
        <v>38</v>
      </c>
      <c r="AF207" s="2" t="str">
        <f t="shared" si="241"/>
        <v/>
      </c>
      <c r="AG207" s="2"/>
      <c r="AH207" s="2" t="str">
        <f t="shared" si="242"/>
        <v/>
      </c>
      <c r="AI207" s="2"/>
    </row>
    <row r="208" spans="1:39" x14ac:dyDescent="0.25">
      <c r="B208" s="2" t="str">
        <f t="shared" si="330"/>
        <v>@color-access_no</v>
      </c>
      <c r="C208" s="56" t="s">
        <v>189</v>
      </c>
      <c r="D208" s="57" t="str">
        <f>C208</f>
        <v>"#ff003d"</v>
      </c>
      <c r="F208" s="56" t="s">
        <v>189</v>
      </c>
      <c r="G208" s="57" t="str">
        <f>F208</f>
        <v>"#ff003d"</v>
      </c>
      <c r="I208" s="56" t="s">
        <v>189</v>
      </c>
      <c r="J208" s="57" t="str">
        <f>I208</f>
        <v>"#ff003d"</v>
      </c>
      <c r="L208" s="56" t="s">
        <v>189</v>
      </c>
      <c r="M208" s="57" t="str">
        <f>L208</f>
        <v>"#ff003d"</v>
      </c>
      <c r="U208" s="56" t="s">
        <v>189</v>
      </c>
      <c r="V208" s="57" t="str">
        <f>U208</f>
        <v>"#ff003d"</v>
      </c>
      <c r="X208" s="56" t="s">
        <v>189</v>
      </c>
      <c r="Y208" s="57" t="str">
        <f>X208</f>
        <v>"#ff003d"</v>
      </c>
      <c r="AA208" s="2" t="s">
        <v>6</v>
      </c>
      <c r="AB208" s="2" t="str">
        <f t="shared" si="239"/>
        <v>-</v>
      </c>
      <c r="AC208" s="2" t="s">
        <v>40</v>
      </c>
      <c r="AD208" s="2" t="str">
        <f t="shared" si="240"/>
        <v>_</v>
      </c>
      <c r="AE208" s="2" t="s">
        <v>41</v>
      </c>
      <c r="AF208" s="2" t="str">
        <f t="shared" si="241"/>
        <v/>
      </c>
      <c r="AG208" s="2"/>
      <c r="AH208" s="2" t="str">
        <f t="shared" si="242"/>
        <v/>
      </c>
      <c r="AI208" s="2"/>
    </row>
    <row r="209" spans="1:35" x14ac:dyDescent="0.25">
      <c r="B209" s="2" t="str">
        <f t="shared" si="330"/>
        <v>@color-access_discouraged</v>
      </c>
      <c r="C209" s="58" t="s">
        <v>190</v>
      </c>
      <c r="D209" s="59" t="str">
        <f>C209</f>
        <v>"#ff6a00"</v>
      </c>
      <c r="F209" s="58" t="s">
        <v>190</v>
      </c>
      <c r="G209" s="59" t="str">
        <f>F209</f>
        <v>"#ff6a00"</v>
      </c>
      <c r="I209" s="58" t="s">
        <v>190</v>
      </c>
      <c r="J209" s="59" t="str">
        <f>I209</f>
        <v>"#ff6a00"</v>
      </c>
      <c r="L209" s="58" t="s">
        <v>190</v>
      </c>
      <c r="M209" s="59" t="str">
        <f>L209</f>
        <v>"#ff6a00"</v>
      </c>
      <c r="U209" s="58" t="s">
        <v>190</v>
      </c>
      <c r="V209" s="59" t="str">
        <f>U209</f>
        <v>"#ff6a00"</v>
      </c>
      <c r="X209" s="58" t="s">
        <v>190</v>
      </c>
      <c r="Y209" s="59" t="str">
        <f>X209</f>
        <v>"#ff6a00"</v>
      </c>
      <c r="AA209" s="2" t="s">
        <v>6</v>
      </c>
      <c r="AB209" s="2" t="str">
        <f t="shared" si="239"/>
        <v>-</v>
      </c>
      <c r="AC209" s="2" t="s">
        <v>40</v>
      </c>
      <c r="AD209" s="2" t="str">
        <f t="shared" si="240"/>
        <v>_</v>
      </c>
      <c r="AE209" s="2" t="s">
        <v>42</v>
      </c>
      <c r="AF209" s="2" t="str">
        <f t="shared" si="241"/>
        <v/>
      </c>
      <c r="AG209" s="2"/>
      <c r="AH209" s="2" t="str">
        <f t="shared" si="242"/>
        <v/>
      </c>
      <c r="AI209" s="2"/>
    </row>
    <row r="210" spans="1:35" x14ac:dyDescent="0.25">
      <c r="AB210" s="28" t="str">
        <f t="shared" ref="AB210:AB212" si="331">IF(NOT(ISBLANK(AC210)),"-","")</f>
        <v/>
      </c>
      <c r="AD210" s="28" t="str">
        <f t="shared" ref="AD210:AD212" si="332">IF(NOT(ISBLANK(AE210)),"_","")</f>
        <v/>
      </c>
      <c r="AF210" s="28" t="str">
        <f t="shared" ref="AF210:AF212" si="333">IF(NOT(ISBLANK(AG210)),"_","")</f>
        <v/>
      </c>
      <c r="AH210" s="28" t="str">
        <f t="shared" si="242"/>
        <v/>
      </c>
    </row>
    <row r="211" spans="1:35" s="2" customFormat="1" x14ac:dyDescent="0.25">
      <c r="A211" s="3" t="s">
        <v>268</v>
      </c>
      <c r="B211" s="3"/>
      <c r="C211" s="27"/>
      <c r="D211" s="6"/>
      <c r="E211" s="7"/>
      <c r="F211" s="6"/>
      <c r="G211" s="6"/>
      <c r="H211" s="7"/>
      <c r="I211" s="27"/>
      <c r="J211" s="6"/>
      <c r="K211" s="7"/>
      <c r="L211" s="6"/>
      <c r="M211" s="6"/>
      <c r="N211" s="7"/>
      <c r="O211" s="6"/>
      <c r="P211" s="6"/>
      <c r="Q211" s="7"/>
      <c r="R211" s="6"/>
      <c r="S211" s="6"/>
      <c r="T211" s="7"/>
      <c r="U211" s="6"/>
      <c r="V211" s="6"/>
      <c r="W211" s="7"/>
      <c r="X211" s="6"/>
      <c r="Y211" s="6"/>
      <c r="AA211" s="4"/>
      <c r="AB211" s="4" t="str">
        <f t="shared" si="331"/>
        <v/>
      </c>
      <c r="AC211" s="4"/>
      <c r="AD211" s="4" t="str">
        <f t="shared" si="332"/>
        <v/>
      </c>
      <c r="AE211" s="4"/>
      <c r="AF211" s="4" t="str">
        <f t="shared" si="333"/>
        <v/>
      </c>
      <c r="AG211" s="4"/>
      <c r="AH211" s="4" t="str">
        <f t="shared" si="242"/>
        <v/>
      </c>
      <c r="AI211" s="4"/>
    </row>
    <row r="212" spans="1:35" x14ac:dyDescent="0.25">
      <c r="B212" s="2" t="str">
        <f t="shared" ref="B212:B227" si="334">_xlfn.CONCAT("@",AA212,AB212,AC212,AD212,AE212,AF212,AG212,AH212,AI212)</f>
        <v>@color-building_area_residential</v>
      </c>
      <c r="C212" s="60" t="s">
        <v>257</v>
      </c>
      <c r="D212" s="60" t="s">
        <v>257</v>
      </c>
      <c r="F212" s="61" t="s">
        <v>247</v>
      </c>
      <c r="G212" s="117" t="s">
        <v>228</v>
      </c>
      <c r="I212" s="60" t="s">
        <v>257</v>
      </c>
      <c r="J212" s="60" t="s">
        <v>257</v>
      </c>
      <c r="L212" s="61" t="s">
        <v>247</v>
      </c>
      <c r="M212" s="117" t="s">
        <v>228</v>
      </c>
      <c r="U212" s="60" t="s">
        <v>257</v>
      </c>
      <c r="V212" s="60" t="s">
        <v>257</v>
      </c>
      <c r="X212" s="61" t="s">
        <v>247</v>
      </c>
      <c r="Y212" s="117" t="s">
        <v>228</v>
      </c>
      <c r="AA212" s="2" t="s">
        <v>6</v>
      </c>
      <c r="AB212" s="2" t="str">
        <f t="shared" si="331"/>
        <v>-</v>
      </c>
      <c r="AC212" s="2" t="s">
        <v>253</v>
      </c>
      <c r="AD212" s="2" t="str">
        <f t="shared" si="332"/>
        <v>_</v>
      </c>
      <c r="AE212" s="2" t="s">
        <v>259</v>
      </c>
      <c r="AF212" s="2" t="str">
        <f t="shared" si="333"/>
        <v>_</v>
      </c>
      <c r="AG212" s="2" t="s">
        <v>64</v>
      </c>
      <c r="AH212" s="2" t="str">
        <f t="shared" si="242"/>
        <v/>
      </c>
      <c r="AI212" s="2"/>
    </row>
    <row r="213" spans="1:35" x14ac:dyDescent="0.25">
      <c r="B213" s="2" t="str">
        <f t="shared" si="334"/>
        <v>@color-building_area_generic</v>
      </c>
      <c r="C213" s="62" t="s">
        <v>256</v>
      </c>
      <c r="D213" s="62" t="s">
        <v>256</v>
      </c>
      <c r="F213" s="63" t="s">
        <v>254</v>
      </c>
      <c r="G213" s="148" t="s">
        <v>367</v>
      </c>
      <c r="I213" s="62" t="s">
        <v>256</v>
      </c>
      <c r="J213" s="62" t="s">
        <v>256</v>
      </c>
      <c r="L213" s="63" t="s">
        <v>254</v>
      </c>
      <c r="M213" s="148" t="s">
        <v>367</v>
      </c>
      <c r="U213" s="62" t="s">
        <v>256</v>
      </c>
      <c r="V213" s="62" t="s">
        <v>256</v>
      </c>
      <c r="X213" s="63" t="s">
        <v>254</v>
      </c>
      <c r="Y213" s="148" t="s">
        <v>367</v>
      </c>
      <c r="AA213" s="2" t="s">
        <v>6</v>
      </c>
      <c r="AB213" s="2" t="str">
        <f t="shared" ref="AB213" si="335">IF(NOT(ISBLANK(AC213)),"-","")</f>
        <v>-</v>
      </c>
      <c r="AC213" s="2" t="s">
        <v>253</v>
      </c>
      <c r="AD213" s="2" t="str">
        <f t="shared" ref="AD213" si="336">IF(NOT(ISBLANK(AE213)),"_","")</f>
        <v>_</v>
      </c>
      <c r="AE213" s="2" t="s">
        <v>259</v>
      </c>
      <c r="AF213" s="2" t="str">
        <f t="shared" ref="AF213" si="337">IF(NOT(ISBLANK(AG213)),"_","")</f>
        <v>_</v>
      </c>
      <c r="AG213" s="2" t="s">
        <v>255</v>
      </c>
      <c r="AH213" s="2" t="str">
        <f t="shared" si="242"/>
        <v/>
      </c>
      <c r="AI213" s="2"/>
    </row>
    <row r="214" spans="1:35" x14ac:dyDescent="0.25">
      <c r="B214" s="2" t="str">
        <f t="shared" si="334"/>
        <v>@color-building_line_top</v>
      </c>
      <c r="C214" s="62" t="s">
        <v>256</v>
      </c>
      <c r="D214" s="62" t="s">
        <v>256</v>
      </c>
      <c r="F214" s="63" t="s">
        <v>254</v>
      </c>
      <c r="G214" s="148" t="s">
        <v>367</v>
      </c>
      <c r="I214" s="62" t="s">
        <v>256</v>
      </c>
      <c r="J214" s="62" t="s">
        <v>256</v>
      </c>
      <c r="L214" s="63" t="s">
        <v>254</v>
      </c>
      <c r="M214" s="148" t="s">
        <v>367</v>
      </c>
      <c r="U214" s="62" t="s">
        <v>256</v>
      </c>
      <c r="V214" s="62" t="s">
        <v>256</v>
      </c>
      <c r="X214" s="63" t="s">
        <v>254</v>
      </c>
      <c r="Y214" s="148" t="s">
        <v>367</v>
      </c>
      <c r="AA214" s="2" t="s">
        <v>6</v>
      </c>
      <c r="AB214" s="2" t="str">
        <f t="shared" ref="AB214" si="338">IF(NOT(ISBLANK(AC214)),"-","")</f>
        <v>-</v>
      </c>
      <c r="AC214" s="2" t="s">
        <v>253</v>
      </c>
      <c r="AD214" s="2" t="str">
        <f t="shared" ref="AD214" si="339">IF(NOT(ISBLANK(AE214)),"_","")</f>
        <v>_</v>
      </c>
      <c r="AE214" s="2" t="s">
        <v>13</v>
      </c>
      <c r="AF214" s="2" t="str">
        <f t="shared" ref="AF214" si="340">IF(NOT(ISBLANK(AG214)),"_","")</f>
        <v>_</v>
      </c>
      <c r="AG214" s="2" t="s">
        <v>258</v>
      </c>
      <c r="AH214" s="2" t="str">
        <f t="shared" si="242"/>
        <v/>
      </c>
      <c r="AI214" s="2"/>
    </row>
    <row r="215" spans="1:35" x14ac:dyDescent="0.25">
      <c r="B215" s="2" t="str">
        <f t="shared" si="334"/>
        <v>@color-contours_line</v>
      </c>
      <c r="C215" s="64" t="s">
        <v>191</v>
      </c>
      <c r="D215" s="65" t="str">
        <f>C215</f>
        <v>"#916f4c"</v>
      </c>
      <c r="F215" s="66" t="s">
        <v>269</v>
      </c>
      <c r="G215" s="66" t="str">
        <f>F215</f>
        <v>"#5f472f"</v>
      </c>
      <c r="I215" s="64" t="s">
        <v>191</v>
      </c>
      <c r="J215" s="65" t="str">
        <f>I215</f>
        <v>"#916f4c"</v>
      </c>
      <c r="L215" s="66" t="s">
        <v>269</v>
      </c>
      <c r="M215" s="66" t="str">
        <f>L215</f>
        <v>"#5f472f"</v>
      </c>
      <c r="U215" s="64" t="s">
        <v>191</v>
      </c>
      <c r="V215" s="65" t="str">
        <f>U215</f>
        <v>"#916f4c"</v>
      </c>
      <c r="X215" s="66" t="s">
        <v>269</v>
      </c>
      <c r="Y215" s="66" t="str">
        <f>X215</f>
        <v>"#5f472f"</v>
      </c>
      <c r="AA215" s="2" t="s">
        <v>6</v>
      </c>
      <c r="AB215" s="2" t="str">
        <f t="shared" ref="AB215:AB222" si="341">IF(NOT(ISBLANK(AC215)),"-","")</f>
        <v>-</v>
      </c>
      <c r="AC215" s="2" t="s">
        <v>67</v>
      </c>
      <c r="AD215" s="2" t="str">
        <f t="shared" ref="AD215:AD222" si="342">IF(NOT(ISBLANK(AE215)),"_","")</f>
        <v>_</v>
      </c>
      <c r="AE215" s="2" t="s">
        <v>13</v>
      </c>
      <c r="AF215" s="2" t="str">
        <f>IF(NOT(ISBLANK(AG215)),"_","")</f>
        <v/>
      </c>
      <c r="AG215" s="2"/>
      <c r="AH215" s="2" t="str">
        <f>IF(NOT(ISBLANK(AI215)),"_","")</f>
        <v/>
      </c>
      <c r="AI215" s="2"/>
    </row>
    <row r="216" spans="1:35" x14ac:dyDescent="0.25">
      <c r="B216" s="2" t="str">
        <f t="shared" ref="B216" si="343">_xlfn.CONCAT("@",AA216,AB216,AC216,AD216,AE216,AF216,AG216,AH216,AI216)</f>
        <v>@color-water_contours_line_1500</v>
      </c>
      <c r="C216" s="140" t="s">
        <v>315</v>
      </c>
      <c r="D216" s="144" t="s">
        <v>320</v>
      </c>
      <c r="F216" s="141" t="s">
        <v>316</v>
      </c>
      <c r="G216" s="141" t="s">
        <v>316</v>
      </c>
      <c r="I216" s="140" t="s">
        <v>315</v>
      </c>
      <c r="J216" s="144" t="s">
        <v>320</v>
      </c>
      <c r="L216" s="141" t="s">
        <v>316</v>
      </c>
      <c r="M216" s="141" t="s">
        <v>316</v>
      </c>
      <c r="U216" s="140" t="s">
        <v>315</v>
      </c>
      <c r="V216" s="144" t="s">
        <v>320</v>
      </c>
      <c r="X216" s="141" t="s">
        <v>316</v>
      </c>
      <c r="Y216" s="141" t="s">
        <v>316</v>
      </c>
      <c r="AA216" s="2" t="s">
        <v>6</v>
      </c>
      <c r="AB216" s="2" t="str">
        <f t="shared" si="341"/>
        <v>-</v>
      </c>
      <c r="AC216" s="2" t="s">
        <v>314</v>
      </c>
      <c r="AD216" s="2" t="str">
        <f t="shared" si="342"/>
        <v>_</v>
      </c>
      <c r="AE216" s="2" t="s">
        <v>13</v>
      </c>
      <c r="AF216" s="2" t="str">
        <f>IF(NOT(ISBLANK(AG216)),"_","")</f>
        <v>_</v>
      </c>
      <c r="AG216" s="2">
        <v>1500</v>
      </c>
      <c r="AH216" s="2" t="str">
        <f>IF(NOT(ISBLANK(AI216)),"_","")</f>
        <v/>
      </c>
      <c r="AI216" s="2"/>
    </row>
    <row r="217" spans="1:35" x14ac:dyDescent="0.25">
      <c r="B217" s="2" t="str">
        <f t="shared" ref="B217" si="344">_xlfn.CONCAT("@",AA217,AB217,AC217,AD217,AE217,AF217,AG217,AH217,AI217)</f>
        <v>@color-water_contours_line_3000</v>
      </c>
      <c r="C217" s="142" t="s">
        <v>318</v>
      </c>
      <c r="D217" s="145" t="s">
        <v>321</v>
      </c>
      <c r="F217" s="141" t="s">
        <v>316</v>
      </c>
      <c r="G217" s="141" t="s">
        <v>316</v>
      </c>
      <c r="I217" s="142" t="s">
        <v>318</v>
      </c>
      <c r="J217" s="145" t="s">
        <v>321</v>
      </c>
      <c r="L217" s="141" t="s">
        <v>316</v>
      </c>
      <c r="M217" s="141" t="s">
        <v>316</v>
      </c>
      <c r="U217" s="142" t="s">
        <v>318</v>
      </c>
      <c r="V217" s="145" t="s">
        <v>321</v>
      </c>
      <c r="X217" s="141" t="s">
        <v>316</v>
      </c>
      <c r="Y217" s="141" t="s">
        <v>316</v>
      </c>
      <c r="AA217" s="2" t="s">
        <v>6</v>
      </c>
      <c r="AB217" s="2" t="str">
        <f t="shared" si="341"/>
        <v>-</v>
      </c>
      <c r="AC217" s="2" t="s">
        <v>314</v>
      </c>
      <c r="AD217" s="2" t="str">
        <f t="shared" si="342"/>
        <v>_</v>
      </c>
      <c r="AE217" s="2" t="s">
        <v>13</v>
      </c>
      <c r="AF217" s="2" t="str">
        <f>IF(NOT(ISBLANK(AG217)),"_","")</f>
        <v>_</v>
      </c>
      <c r="AG217" s="2">
        <v>3000</v>
      </c>
      <c r="AH217" s="2" t="str">
        <f>IF(NOT(ISBLANK(AI217)),"_","")</f>
        <v/>
      </c>
      <c r="AI217" s="2"/>
    </row>
    <row r="218" spans="1:35" x14ac:dyDescent="0.25">
      <c r="B218" s="2" t="str">
        <f t="shared" ref="B218" si="345">_xlfn.CONCAT("@",AA218,AB218,AC218,AD218,AE218,AF218,AG218,AH218,AI218)</f>
        <v>@color-water_contours_line_6000</v>
      </c>
      <c r="C218" s="143" t="s">
        <v>319</v>
      </c>
      <c r="D218" s="146" t="s">
        <v>322</v>
      </c>
      <c r="F218" s="141" t="s">
        <v>316</v>
      </c>
      <c r="G218" s="141" t="s">
        <v>316</v>
      </c>
      <c r="I218" s="143" t="s">
        <v>319</v>
      </c>
      <c r="J218" s="146" t="s">
        <v>322</v>
      </c>
      <c r="L218" s="141" t="s">
        <v>316</v>
      </c>
      <c r="M218" s="141" t="s">
        <v>316</v>
      </c>
      <c r="U218" s="143" t="s">
        <v>319</v>
      </c>
      <c r="V218" s="146" t="s">
        <v>322</v>
      </c>
      <c r="X218" s="141" t="s">
        <v>316</v>
      </c>
      <c r="Y218" s="141" t="s">
        <v>316</v>
      </c>
      <c r="AA218" s="2" t="s">
        <v>6</v>
      </c>
      <c r="AB218" s="2" t="str">
        <f t="shared" si="341"/>
        <v>-</v>
      </c>
      <c r="AC218" s="2" t="s">
        <v>314</v>
      </c>
      <c r="AD218" s="2" t="str">
        <f t="shared" si="342"/>
        <v>_</v>
      </c>
      <c r="AE218" s="2" t="s">
        <v>13</v>
      </c>
      <c r="AF218" s="2" t="str">
        <f>IF(NOT(ISBLANK(AG218)),"_","")</f>
        <v>_</v>
      </c>
      <c r="AG218" s="2">
        <v>6000</v>
      </c>
      <c r="AH218" s="2" t="str">
        <f t="shared" ref="AH218:AH239" si="346">IF(NOT(ISBLANK(AI218)),"_","")</f>
        <v/>
      </c>
      <c r="AI218" s="2"/>
    </row>
    <row r="219" spans="1:35" x14ac:dyDescent="0.25">
      <c r="B219" s="2" t="str">
        <f t="shared" ref="B219:B220" si="347">_xlfn.CONCAT("@",AA219,AB219,AC219,AD219,AE219,AF219,AG219,AH219,AI219)</f>
        <v>@color-water_contours_line_over6000</v>
      </c>
      <c r="C219" s="144" t="s">
        <v>320</v>
      </c>
      <c r="D219" s="147" t="s">
        <v>323</v>
      </c>
      <c r="F219" s="141" t="s">
        <v>316</v>
      </c>
      <c r="G219" s="141" t="s">
        <v>316</v>
      </c>
      <c r="I219" s="144" t="s">
        <v>320</v>
      </c>
      <c r="J219" s="147" t="s">
        <v>323</v>
      </c>
      <c r="L219" s="141" t="s">
        <v>316</v>
      </c>
      <c r="M219" s="141" t="s">
        <v>316</v>
      </c>
      <c r="U219" s="144" t="s">
        <v>320</v>
      </c>
      <c r="V219" s="147" t="s">
        <v>323</v>
      </c>
      <c r="X219" s="141" t="s">
        <v>316</v>
      </c>
      <c r="Y219" s="141" t="s">
        <v>316</v>
      </c>
      <c r="AA219" s="2" t="s">
        <v>6</v>
      </c>
      <c r="AB219" s="2" t="str">
        <f t="shared" si="341"/>
        <v>-</v>
      </c>
      <c r="AC219" s="2" t="s">
        <v>314</v>
      </c>
      <c r="AD219" s="2" t="str">
        <f t="shared" si="342"/>
        <v>_</v>
      </c>
      <c r="AE219" s="2" t="s">
        <v>13</v>
      </c>
      <c r="AF219" s="2" t="str">
        <f>IF(NOT(ISBLANK(AG219)),"_","")</f>
        <v>_</v>
      </c>
      <c r="AG219" s="2" t="s">
        <v>317</v>
      </c>
      <c r="AH219" s="2" t="str">
        <f t="shared" si="346"/>
        <v/>
      </c>
      <c r="AI219" s="2"/>
    </row>
    <row r="220" spans="1:35" x14ac:dyDescent="0.25">
      <c r="B220" s="2" t="str">
        <f t="shared" si="347"/>
        <v>@color-water_contours_label</v>
      </c>
      <c r="C220" s="143" t="s">
        <v>319</v>
      </c>
      <c r="D220" s="146" t="s">
        <v>322</v>
      </c>
      <c r="F220" s="141" t="s">
        <v>316</v>
      </c>
      <c r="G220" s="141" t="s">
        <v>316</v>
      </c>
      <c r="I220" s="143" t="s">
        <v>319</v>
      </c>
      <c r="J220" s="146" t="s">
        <v>322</v>
      </c>
      <c r="L220" s="141" t="s">
        <v>316</v>
      </c>
      <c r="M220" s="141" t="s">
        <v>316</v>
      </c>
      <c r="U220" s="143" t="s">
        <v>319</v>
      </c>
      <c r="V220" s="146" t="s">
        <v>322</v>
      </c>
      <c r="X220" s="141" t="s">
        <v>316</v>
      </c>
      <c r="Y220" s="141" t="s">
        <v>316</v>
      </c>
      <c r="AA220" s="2" t="s">
        <v>6</v>
      </c>
      <c r="AB220" s="2" t="str">
        <f t="shared" si="341"/>
        <v>-</v>
      </c>
      <c r="AC220" s="2" t="s">
        <v>314</v>
      </c>
      <c r="AD220" s="2" t="str">
        <f t="shared" si="342"/>
        <v>_</v>
      </c>
      <c r="AE220" s="2" t="s">
        <v>271</v>
      </c>
      <c r="AF220" s="2" t="str">
        <f t="shared" ref="AF220:AF239" si="348">IF(NOT(ISBLANK(AG220)),"_","")</f>
        <v/>
      </c>
      <c r="AG220" s="2"/>
      <c r="AH220" s="2" t="str">
        <f t="shared" si="346"/>
        <v/>
      </c>
      <c r="AI220" s="2"/>
    </row>
    <row r="221" spans="1:35" x14ac:dyDescent="0.25">
      <c r="B221" s="2" t="str">
        <f t="shared" ref="B221" si="349">_xlfn.CONCAT("@",AA221,AB221,AC221,AD221,AE221,AF221,AG221,AH221,AI221)</f>
        <v>@color-water_shipping_lane</v>
      </c>
      <c r="C221" s="47" t="s">
        <v>214</v>
      </c>
      <c r="D221" s="47" t="s">
        <v>214</v>
      </c>
      <c r="F221" s="46" t="s">
        <v>222</v>
      </c>
      <c r="G221" s="46" t="s">
        <v>222</v>
      </c>
      <c r="I221" s="47" t="s">
        <v>214</v>
      </c>
      <c r="J221" s="47" t="s">
        <v>214</v>
      </c>
      <c r="L221" s="46" t="s">
        <v>222</v>
      </c>
      <c r="M221" s="46" t="s">
        <v>222</v>
      </c>
      <c r="U221" s="47" t="s">
        <v>214</v>
      </c>
      <c r="V221" s="47" t="s">
        <v>214</v>
      </c>
      <c r="X221" s="46" t="s">
        <v>222</v>
      </c>
      <c r="Y221" s="46" t="s">
        <v>222</v>
      </c>
      <c r="AA221" s="2" t="s">
        <v>6</v>
      </c>
      <c r="AB221" s="2" t="str">
        <f t="shared" si="341"/>
        <v>-</v>
      </c>
      <c r="AC221" s="2" t="s">
        <v>324</v>
      </c>
      <c r="AD221" s="2" t="str">
        <f t="shared" si="342"/>
        <v/>
      </c>
      <c r="AE221" s="2"/>
      <c r="AF221" s="2" t="str">
        <f t="shared" si="348"/>
        <v/>
      </c>
      <c r="AG221" s="2"/>
      <c r="AH221" s="2" t="str">
        <f t="shared" si="346"/>
        <v/>
      </c>
      <c r="AI221" s="2"/>
    </row>
    <row r="222" spans="1:35" x14ac:dyDescent="0.25">
      <c r="B222" s="2" t="str">
        <f t="shared" si="334"/>
        <v>@color-cliff_line</v>
      </c>
      <c r="C222" s="47" t="s">
        <v>214</v>
      </c>
      <c r="D222" s="47" t="s">
        <v>214</v>
      </c>
      <c r="F222" s="46" t="s">
        <v>222</v>
      </c>
      <c r="G222" s="46" t="s">
        <v>222</v>
      </c>
      <c r="I222" s="47" t="s">
        <v>214</v>
      </c>
      <c r="J222" s="47" t="s">
        <v>214</v>
      </c>
      <c r="L222" s="46" t="s">
        <v>222</v>
      </c>
      <c r="M222" s="46" t="s">
        <v>222</v>
      </c>
      <c r="U222" s="47" t="s">
        <v>214</v>
      </c>
      <c r="V222" s="47" t="s">
        <v>214</v>
      </c>
      <c r="X222" s="46" t="s">
        <v>222</v>
      </c>
      <c r="Y222" s="46" t="s">
        <v>222</v>
      </c>
      <c r="AA222" s="2" t="s">
        <v>6</v>
      </c>
      <c r="AB222" s="2" t="str">
        <f t="shared" si="341"/>
        <v>-</v>
      </c>
      <c r="AC222" s="2" t="s">
        <v>270</v>
      </c>
      <c r="AD222" s="2" t="str">
        <f t="shared" si="342"/>
        <v>_</v>
      </c>
      <c r="AE222" s="2" t="s">
        <v>13</v>
      </c>
      <c r="AF222" s="2" t="str">
        <f t="shared" si="348"/>
        <v/>
      </c>
      <c r="AG222" s="2"/>
      <c r="AH222" s="2" t="str">
        <f t="shared" si="346"/>
        <v/>
      </c>
      <c r="AI222" s="2"/>
    </row>
    <row r="223" spans="1:35" x14ac:dyDescent="0.25">
      <c r="AB223" s="28" t="str">
        <f t="shared" si="239"/>
        <v/>
      </c>
      <c r="AD223" s="28" t="str">
        <f t="shared" si="240"/>
        <v/>
      </c>
      <c r="AF223" s="2" t="str">
        <f t="shared" si="348"/>
        <v/>
      </c>
      <c r="AH223" s="2" t="str">
        <f t="shared" si="346"/>
        <v/>
      </c>
    </row>
    <row r="224" spans="1:35" x14ac:dyDescent="0.25">
      <c r="B224" s="2" t="str">
        <f t="shared" si="334"/>
        <v>@line_width-ditch_z12</v>
      </c>
      <c r="C224" s="28" t="s">
        <v>95</v>
      </c>
      <c r="D224" s="28" t="s">
        <v>80</v>
      </c>
      <c r="F224" s="28" t="s">
        <v>95</v>
      </c>
      <c r="G224" s="28" t="s">
        <v>80</v>
      </c>
      <c r="I224" s="28" t="s">
        <v>95</v>
      </c>
      <c r="J224" s="28" t="s">
        <v>80</v>
      </c>
      <c r="L224" s="28" t="s">
        <v>95</v>
      </c>
      <c r="M224" s="28" t="s">
        <v>80</v>
      </c>
      <c r="O224" s="28" t="s">
        <v>95</v>
      </c>
      <c r="P224" s="28" t="s">
        <v>80</v>
      </c>
      <c r="R224" s="28" t="s">
        <v>95</v>
      </c>
      <c r="S224" s="28" t="s">
        <v>80</v>
      </c>
      <c r="U224" s="28" t="s">
        <v>95</v>
      </c>
      <c r="V224" s="28" t="s">
        <v>80</v>
      </c>
      <c r="X224" s="28" t="s">
        <v>95</v>
      </c>
      <c r="Y224" s="28" t="s">
        <v>80</v>
      </c>
      <c r="AA224" s="2" t="s">
        <v>119</v>
      </c>
      <c r="AB224" s="2" t="str">
        <f t="shared" si="239"/>
        <v>-</v>
      </c>
      <c r="AC224" s="28" t="s">
        <v>325</v>
      </c>
      <c r="AD224" s="2" t="str">
        <f t="shared" si="240"/>
        <v>_</v>
      </c>
      <c r="AE224" s="28" t="s">
        <v>109</v>
      </c>
      <c r="AF224" s="2" t="str">
        <f t="shared" si="348"/>
        <v/>
      </c>
      <c r="AH224" s="2" t="str">
        <f t="shared" si="346"/>
        <v/>
      </c>
    </row>
    <row r="225" spans="2:34" x14ac:dyDescent="0.25">
      <c r="B225" s="2" t="str">
        <f t="shared" si="334"/>
        <v>@line_width-ditch_z14</v>
      </c>
      <c r="C225" s="28" t="s">
        <v>84</v>
      </c>
      <c r="D225" s="28" t="s">
        <v>85</v>
      </c>
      <c r="F225" s="28" t="s">
        <v>84</v>
      </c>
      <c r="G225" s="28" t="s">
        <v>85</v>
      </c>
      <c r="I225" s="28" t="s">
        <v>84</v>
      </c>
      <c r="J225" s="28" t="s">
        <v>85</v>
      </c>
      <c r="L225" s="28" t="s">
        <v>84</v>
      </c>
      <c r="M225" s="28" t="s">
        <v>85</v>
      </c>
      <c r="O225" s="28" t="s">
        <v>84</v>
      </c>
      <c r="P225" s="28" t="s">
        <v>85</v>
      </c>
      <c r="R225" s="28" t="s">
        <v>84</v>
      </c>
      <c r="S225" s="28" t="s">
        <v>85</v>
      </c>
      <c r="U225" s="28" t="s">
        <v>84</v>
      </c>
      <c r="V225" s="28" t="s">
        <v>85</v>
      </c>
      <c r="X225" s="28" t="s">
        <v>84</v>
      </c>
      <c r="Y225" s="28" t="s">
        <v>85</v>
      </c>
      <c r="AA225" s="2" t="s">
        <v>119</v>
      </c>
      <c r="AB225" s="2" t="str">
        <f t="shared" si="239"/>
        <v>-</v>
      </c>
      <c r="AC225" s="28" t="s">
        <v>325</v>
      </c>
      <c r="AD225" s="2" t="str">
        <f t="shared" si="240"/>
        <v>_</v>
      </c>
      <c r="AE225" s="28" t="s">
        <v>74</v>
      </c>
      <c r="AF225" s="2" t="str">
        <f t="shared" si="348"/>
        <v/>
      </c>
      <c r="AH225" s="2" t="str">
        <f t="shared" si="346"/>
        <v/>
      </c>
    </row>
    <row r="226" spans="2:34" x14ac:dyDescent="0.25">
      <c r="B226" s="2" t="str">
        <f t="shared" si="334"/>
        <v>@line_width-ditch_z16</v>
      </c>
      <c r="C226" s="28" t="s">
        <v>92</v>
      </c>
      <c r="D226" s="28" t="s">
        <v>92</v>
      </c>
      <c r="F226" s="28" t="s">
        <v>92</v>
      </c>
      <c r="G226" s="28" t="s">
        <v>92</v>
      </c>
      <c r="I226" s="28" t="s">
        <v>92</v>
      </c>
      <c r="J226" s="28" t="s">
        <v>92</v>
      </c>
      <c r="L226" s="28" t="s">
        <v>92</v>
      </c>
      <c r="M226" s="28" t="s">
        <v>92</v>
      </c>
      <c r="O226" s="28" t="s">
        <v>92</v>
      </c>
      <c r="P226" s="28" t="s">
        <v>92</v>
      </c>
      <c r="R226" s="28" t="s">
        <v>92</v>
      </c>
      <c r="S226" s="28" t="s">
        <v>92</v>
      </c>
      <c r="U226" s="28" t="s">
        <v>92</v>
      </c>
      <c r="V226" s="28" t="s">
        <v>92</v>
      </c>
      <c r="X226" s="28" t="s">
        <v>92</v>
      </c>
      <c r="Y226" s="28" t="s">
        <v>92</v>
      </c>
      <c r="AA226" s="2" t="s">
        <v>119</v>
      </c>
      <c r="AB226" s="2" t="str">
        <f t="shared" si="239"/>
        <v>-</v>
      </c>
      <c r="AC226" s="28" t="s">
        <v>325</v>
      </c>
      <c r="AD226" s="2" t="str">
        <f t="shared" si="240"/>
        <v>_</v>
      </c>
      <c r="AE226" s="28" t="s">
        <v>75</v>
      </c>
      <c r="AF226" s="2" t="str">
        <f t="shared" si="348"/>
        <v/>
      </c>
      <c r="AH226" s="2" t="str">
        <f t="shared" si="346"/>
        <v/>
      </c>
    </row>
    <row r="227" spans="2:34" x14ac:dyDescent="0.25">
      <c r="B227" s="2" t="str">
        <f t="shared" si="334"/>
        <v>@line_width-ditch_z18</v>
      </c>
      <c r="C227" s="28" t="s">
        <v>327</v>
      </c>
      <c r="D227" s="28" t="s">
        <v>327</v>
      </c>
      <c r="F227" s="28" t="s">
        <v>327</v>
      </c>
      <c r="G227" s="28" t="s">
        <v>327</v>
      </c>
      <c r="I227" s="28" t="s">
        <v>327</v>
      </c>
      <c r="J227" s="28" t="s">
        <v>327</v>
      </c>
      <c r="L227" s="28" t="s">
        <v>327</v>
      </c>
      <c r="M227" s="28" t="s">
        <v>327</v>
      </c>
      <c r="O227" s="28" t="s">
        <v>327</v>
      </c>
      <c r="P227" s="28" t="s">
        <v>327</v>
      </c>
      <c r="R227" s="28" t="s">
        <v>327</v>
      </c>
      <c r="S227" s="28" t="s">
        <v>327</v>
      </c>
      <c r="U227" s="28" t="s">
        <v>327</v>
      </c>
      <c r="V227" s="28" t="s">
        <v>327</v>
      </c>
      <c r="X227" s="28" t="s">
        <v>327</v>
      </c>
      <c r="Y227" s="28" t="s">
        <v>327</v>
      </c>
      <c r="AA227" s="2" t="s">
        <v>119</v>
      </c>
      <c r="AB227" s="2" t="str">
        <f t="shared" si="239"/>
        <v>-</v>
      </c>
      <c r="AC227" s="28" t="s">
        <v>325</v>
      </c>
      <c r="AD227" s="2" t="str">
        <f t="shared" si="240"/>
        <v>_</v>
      </c>
      <c r="AE227" s="28" t="s">
        <v>76</v>
      </c>
      <c r="AF227" s="2" t="str">
        <f t="shared" si="348"/>
        <v/>
      </c>
      <c r="AH227" s="2" t="str">
        <f t="shared" si="346"/>
        <v/>
      </c>
    </row>
    <row r="228" spans="2:34" x14ac:dyDescent="0.25">
      <c r="B228" s="2"/>
      <c r="AA228" s="2"/>
      <c r="AB228" s="2"/>
      <c r="AD228" s="2"/>
      <c r="AF228" s="2"/>
      <c r="AH228" s="2"/>
    </row>
    <row r="229" spans="2:34" x14ac:dyDescent="0.25">
      <c r="B229" s="2" t="str">
        <f t="shared" ref="B229:B232" si="350">_xlfn.CONCAT("@",AA229,AB229,AC229,AD229,AE229,AF229,AG229,AH229,AI229)</f>
        <v>@line_width-stream_z12</v>
      </c>
      <c r="C229" s="28" t="s">
        <v>80</v>
      </c>
      <c r="D229" s="28" t="s">
        <v>85</v>
      </c>
      <c r="F229" s="28" t="s">
        <v>80</v>
      </c>
      <c r="G229" s="28" t="s">
        <v>85</v>
      </c>
      <c r="I229" s="28" t="s">
        <v>80</v>
      </c>
      <c r="J229" s="28" t="s">
        <v>85</v>
      </c>
      <c r="L229" s="28" t="s">
        <v>80</v>
      </c>
      <c r="M229" s="28" t="s">
        <v>85</v>
      </c>
      <c r="O229" s="28" t="s">
        <v>80</v>
      </c>
      <c r="P229" s="28" t="s">
        <v>85</v>
      </c>
      <c r="R229" s="28" t="s">
        <v>80</v>
      </c>
      <c r="S229" s="28" t="s">
        <v>85</v>
      </c>
      <c r="U229" s="28" t="s">
        <v>80</v>
      </c>
      <c r="V229" s="28" t="s">
        <v>85</v>
      </c>
      <c r="X229" s="28" t="s">
        <v>80</v>
      </c>
      <c r="Y229" s="28" t="s">
        <v>85</v>
      </c>
      <c r="AA229" s="2" t="s">
        <v>119</v>
      </c>
      <c r="AB229" s="2" t="str">
        <f t="shared" ref="AB229:AB232" si="351">IF(NOT(ISBLANK(AC229)),"-","")</f>
        <v>-</v>
      </c>
      <c r="AC229" s="28" t="s">
        <v>326</v>
      </c>
      <c r="AD229" s="2" t="str">
        <f t="shared" ref="AD229:AD232" si="352">IF(NOT(ISBLANK(AE229)),"_","")</f>
        <v>_</v>
      </c>
      <c r="AE229" s="28" t="s">
        <v>109</v>
      </c>
      <c r="AF229" s="2" t="str">
        <f t="shared" si="348"/>
        <v/>
      </c>
      <c r="AH229" s="2" t="str">
        <f t="shared" si="346"/>
        <v/>
      </c>
    </row>
    <row r="230" spans="2:34" x14ac:dyDescent="0.25">
      <c r="B230" s="2" t="str">
        <f t="shared" si="350"/>
        <v>@line_width-stream_z14</v>
      </c>
      <c r="C230" s="28" t="s">
        <v>90</v>
      </c>
      <c r="D230" s="28" t="s">
        <v>88</v>
      </c>
      <c r="F230" s="28" t="s">
        <v>90</v>
      </c>
      <c r="G230" s="28" t="s">
        <v>88</v>
      </c>
      <c r="I230" s="28" t="s">
        <v>90</v>
      </c>
      <c r="J230" s="28" t="s">
        <v>88</v>
      </c>
      <c r="L230" s="28" t="s">
        <v>90</v>
      </c>
      <c r="M230" s="28" t="s">
        <v>88</v>
      </c>
      <c r="O230" s="28" t="s">
        <v>90</v>
      </c>
      <c r="P230" s="28" t="s">
        <v>88</v>
      </c>
      <c r="R230" s="28" t="s">
        <v>90</v>
      </c>
      <c r="S230" s="28" t="s">
        <v>88</v>
      </c>
      <c r="U230" s="28" t="s">
        <v>90</v>
      </c>
      <c r="V230" s="28" t="s">
        <v>88</v>
      </c>
      <c r="X230" s="28" t="s">
        <v>90</v>
      </c>
      <c r="Y230" s="28" t="s">
        <v>88</v>
      </c>
      <c r="AA230" s="2" t="s">
        <v>119</v>
      </c>
      <c r="AB230" s="2" t="str">
        <f t="shared" si="351"/>
        <v>-</v>
      </c>
      <c r="AC230" s="28" t="s">
        <v>326</v>
      </c>
      <c r="AD230" s="2" t="str">
        <f t="shared" si="352"/>
        <v>_</v>
      </c>
      <c r="AE230" s="28" t="s">
        <v>74</v>
      </c>
      <c r="AF230" s="2" t="str">
        <f t="shared" si="348"/>
        <v/>
      </c>
      <c r="AH230" s="2" t="str">
        <f t="shared" si="346"/>
        <v/>
      </c>
    </row>
    <row r="231" spans="2:34" x14ac:dyDescent="0.25">
      <c r="B231" s="2" t="str">
        <f t="shared" si="350"/>
        <v>@line_width-stream_z16</v>
      </c>
      <c r="C231" s="28" t="s">
        <v>86</v>
      </c>
      <c r="D231" s="28" t="s">
        <v>86</v>
      </c>
      <c r="F231" s="28" t="s">
        <v>86</v>
      </c>
      <c r="G231" s="28" t="s">
        <v>86</v>
      </c>
      <c r="I231" s="28" t="s">
        <v>86</v>
      </c>
      <c r="J231" s="28" t="s">
        <v>86</v>
      </c>
      <c r="L231" s="28" t="s">
        <v>86</v>
      </c>
      <c r="M231" s="28" t="s">
        <v>86</v>
      </c>
      <c r="O231" s="28" t="s">
        <v>86</v>
      </c>
      <c r="P231" s="28" t="s">
        <v>86</v>
      </c>
      <c r="R231" s="28" t="s">
        <v>86</v>
      </c>
      <c r="S231" s="28" t="s">
        <v>86</v>
      </c>
      <c r="U231" s="28" t="s">
        <v>86</v>
      </c>
      <c r="V231" s="28" t="s">
        <v>86</v>
      </c>
      <c r="X231" s="28" t="s">
        <v>86</v>
      </c>
      <c r="Y231" s="28" t="s">
        <v>86</v>
      </c>
      <c r="AA231" s="2" t="s">
        <v>119</v>
      </c>
      <c r="AB231" s="2" t="str">
        <f t="shared" si="351"/>
        <v>-</v>
      </c>
      <c r="AC231" s="28" t="s">
        <v>326</v>
      </c>
      <c r="AD231" s="2" t="str">
        <f t="shared" si="352"/>
        <v>_</v>
      </c>
      <c r="AE231" s="28" t="s">
        <v>75</v>
      </c>
      <c r="AF231" s="2" t="str">
        <f t="shared" si="348"/>
        <v/>
      </c>
      <c r="AH231" s="2" t="str">
        <f t="shared" si="346"/>
        <v/>
      </c>
    </row>
    <row r="232" spans="2:34" x14ac:dyDescent="0.25">
      <c r="B232" s="2" t="str">
        <f t="shared" si="350"/>
        <v>@line_width-stream_z18</v>
      </c>
      <c r="C232" s="28" t="s">
        <v>328</v>
      </c>
      <c r="D232" s="28" t="s">
        <v>328</v>
      </c>
      <c r="F232" s="28" t="s">
        <v>328</v>
      </c>
      <c r="G232" s="28" t="s">
        <v>328</v>
      </c>
      <c r="I232" s="28" t="s">
        <v>328</v>
      </c>
      <c r="J232" s="28" t="s">
        <v>328</v>
      </c>
      <c r="L232" s="28" t="s">
        <v>328</v>
      </c>
      <c r="M232" s="28" t="s">
        <v>328</v>
      </c>
      <c r="O232" s="28" t="s">
        <v>328</v>
      </c>
      <c r="P232" s="28" t="s">
        <v>328</v>
      </c>
      <c r="R232" s="28" t="s">
        <v>328</v>
      </c>
      <c r="S232" s="28" t="s">
        <v>328</v>
      </c>
      <c r="U232" s="28" t="s">
        <v>328</v>
      </c>
      <c r="V232" s="28" t="s">
        <v>328</v>
      </c>
      <c r="X232" s="28" t="s">
        <v>328</v>
      </c>
      <c r="Y232" s="28" t="s">
        <v>328</v>
      </c>
      <c r="AA232" s="2" t="s">
        <v>119</v>
      </c>
      <c r="AB232" s="2" t="str">
        <f t="shared" si="351"/>
        <v>-</v>
      </c>
      <c r="AC232" s="28" t="s">
        <v>326</v>
      </c>
      <c r="AD232" s="2" t="str">
        <f t="shared" si="352"/>
        <v>_</v>
      </c>
      <c r="AE232" s="28" t="s">
        <v>76</v>
      </c>
      <c r="AF232" s="2" t="str">
        <f t="shared" si="348"/>
        <v/>
      </c>
      <c r="AH232" s="2" t="str">
        <f t="shared" si="346"/>
        <v/>
      </c>
    </row>
    <row r="233" spans="2:34" x14ac:dyDescent="0.25">
      <c r="B233" s="2"/>
      <c r="AA233" s="2"/>
      <c r="AB233" s="2"/>
      <c r="AD233" s="2"/>
      <c r="AF233" s="2"/>
      <c r="AH233" s="2"/>
    </row>
    <row r="234" spans="2:34" x14ac:dyDescent="0.25">
      <c r="B234" s="2" t="str">
        <f t="shared" ref="B234:B236" si="353">_xlfn.CONCAT("@",AA234,AB234,AC234,AD234,AE234,AF234,AG234,AH234,AI234)</f>
        <v>@line_width-canal_z13</v>
      </c>
      <c r="C234" s="28" t="s">
        <v>95</v>
      </c>
      <c r="D234" s="28" t="s">
        <v>80</v>
      </c>
      <c r="F234" s="28" t="s">
        <v>95</v>
      </c>
      <c r="G234" s="28" t="s">
        <v>80</v>
      </c>
      <c r="I234" s="28" t="s">
        <v>95</v>
      </c>
      <c r="J234" s="28" t="s">
        <v>80</v>
      </c>
      <c r="L234" s="28" t="s">
        <v>95</v>
      </c>
      <c r="M234" s="28" t="s">
        <v>80</v>
      </c>
      <c r="O234" s="28" t="s">
        <v>95</v>
      </c>
      <c r="P234" s="28" t="s">
        <v>80</v>
      </c>
      <c r="R234" s="28" t="s">
        <v>95</v>
      </c>
      <c r="S234" s="28" t="s">
        <v>80</v>
      </c>
      <c r="U234" s="28" t="s">
        <v>95</v>
      </c>
      <c r="V234" s="28" t="s">
        <v>80</v>
      </c>
      <c r="X234" s="28" t="s">
        <v>95</v>
      </c>
      <c r="Y234" s="28" t="s">
        <v>80</v>
      </c>
      <c r="AA234" s="2" t="s">
        <v>119</v>
      </c>
      <c r="AB234" s="2" t="str">
        <f t="shared" ref="AB234:AB236" si="354">IF(NOT(ISBLANK(AC234)),"-","")</f>
        <v>-</v>
      </c>
      <c r="AC234" s="28" t="s">
        <v>329</v>
      </c>
      <c r="AD234" s="2" t="str">
        <f t="shared" ref="AD234:AD236" si="355">IF(NOT(ISBLANK(AE234)),"_","")</f>
        <v>_</v>
      </c>
      <c r="AE234" s="28" t="s">
        <v>330</v>
      </c>
      <c r="AF234" s="2" t="str">
        <f t="shared" si="348"/>
        <v/>
      </c>
      <c r="AH234" s="2" t="str">
        <f t="shared" si="346"/>
        <v/>
      </c>
    </row>
    <row r="235" spans="2:34" x14ac:dyDescent="0.25">
      <c r="B235" s="2" t="str">
        <f t="shared" si="353"/>
        <v>@line_width-canal_z16</v>
      </c>
      <c r="C235" s="28" t="s">
        <v>128</v>
      </c>
      <c r="D235" s="28" t="s">
        <v>86</v>
      </c>
      <c r="F235" s="28" t="s">
        <v>128</v>
      </c>
      <c r="G235" s="28" t="s">
        <v>86</v>
      </c>
      <c r="I235" s="28" t="s">
        <v>128</v>
      </c>
      <c r="J235" s="28" t="s">
        <v>86</v>
      </c>
      <c r="L235" s="28" t="s">
        <v>128</v>
      </c>
      <c r="M235" s="28" t="s">
        <v>86</v>
      </c>
      <c r="O235" s="28" t="s">
        <v>128</v>
      </c>
      <c r="P235" s="28" t="s">
        <v>86</v>
      </c>
      <c r="R235" s="28" t="s">
        <v>128</v>
      </c>
      <c r="S235" s="28" t="s">
        <v>86</v>
      </c>
      <c r="U235" s="28" t="s">
        <v>128</v>
      </c>
      <c r="V235" s="28" t="s">
        <v>86</v>
      </c>
      <c r="X235" s="28" t="s">
        <v>128</v>
      </c>
      <c r="Y235" s="28" t="s">
        <v>86</v>
      </c>
      <c r="AA235" s="2" t="s">
        <v>119</v>
      </c>
      <c r="AB235" s="2" t="str">
        <f t="shared" si="354"/>
        <v>-</v>
      </c>
      <c r="AC235" s="28" t="s">
        <v>329</v>
      </c>
      <c r="AD235" s="2" t="str">
        <f t="shared" si="355"/>
        <v>_</v>
      </c>
      <c r="AE235" s="28" t="s">
        <v>75</v>
      </c>
      <c r="AF235" s="2" t="str">
        <f t="shared" si="348"/>
        <v/>
      </c>
      <c r="AH235" s="2" t="str">
        <f t="shared" si="346"/>
        <v/>
      </c>
    </row>
    <row r="236" spans="2:34" x14ac:dyDescent="0.25">
      <c r="B236" s="2" t="str">
        <f t="shared" si="353"/>
        <v>@line_width-canal_z20</v>
      </c>
      <c r="C236" s="28" t="s">
        <v>86</v>
      </c>
      <c r="D236" s="28" t="s">
        <v>87</v>
      </c>
      <c r="F236" s="28" t="s">
        <v>86</v>
      </c>
      <c r="G236" s="28" t="s">
        <v>87</v>
      </c>
      <c r="I236" s="28" t="s">
        <v>86</v>
      </c>
      <c r="J236" s="28" t="s">
        <v>87</v>
      </c>
      <c r="L236" s="28" t="s">
        <v>86</v>
      </c>
      <c r="M236" s="28" t="s">
        <v>87</v>
      </c>
      <c r="O236" s="28" t="s">
        <v>86</v>
      </c>
      <c r="P236" s="28" t="s">
        <v>87</v>
      </c>
      <c r="R236" s="28" t="s">
        <v>86</v>
      </c>
      <c r="S236" s="28" t="s">
        <v>87</v>
      </c>
      <c r="U236" s="28" t="s">
        <v>86</v>
      </c>
      <c r="V236" s="28" t="s">
        <v>87</v>
      </c>
      <c r="X236" s="28" t="s">
        <v>86</v>
      </c>
      <c r="Y236" s="28" t="s">
        <v>87</v>
      </c>
      <c r="AA236" s="2" t="s">
        <v>119</v>
      </c>
      <c r="AB236" s="2" t="str">
        <f t="shared" si="354"/>
        <v>-</v>
      </c>
      <c r="AC236" s="28" t="s">
        <v>329</v>
      </c>
      <c r="AD236" s="2" t="str">
        <f t="shared" si="355"/>
        <v>_</v>
      </c>
      <c r="AE236" s="28" t="s">
        <v>139</v>
      </c>
      <c r="AF236" s="2" t="str">
        <f t="shared" si="348"/>
        <v/>
      </c>
      <c r="AH236" s="2" t="str">
        <f t="shared" si="346"/>
        <v/>
      </c>
    </row>
    <row r="237" spans="2:34" x14ac:dyDescent="0.25">
      <c r="B237" s="2"/>
      <c r="AA237" s="2"/>
      <c r="AB237" s="2"/>
      <c r="AD237" s="2"/>
      <c r="AF237" s="2"/>
      <c r="AH237" s="2"/>
    </row>
    <row r="238" spans="2:34" x14ac:dyDescent="0.25">
      <c r="B238" s="2" t="str">
        <f t="shared" ref="B238:B239" si="356">_xlfn.CONCAT("@",AA238,AB238,AC238,AD238,AE238,AF238,AG238,AH238,AI238)</f>
        <v>@line_width-river_z10</v>
      </c>
      <c r="C238" s="28" t="s">
        <v>96</v>
      </c>
      <c r="D238" s="28" t="s">
        <v>97</v>
      </c>
      <c r="F238" s="28" t="s">
        <v>96</v>
      </c>
      <c r="G238" s="28" t="s">
        <v>97</v>
      </c>
      <c r="I238" s="28" t="s">
        <v>96</v>
      </c>
      <c r="J238" s="28" t="s">
        <v>97</v>
      </c>
      <c r="L238" s="28" t="s">
        <v>96</v>
      </c>
      <c r="M238" s="28" t="s">
        <v>97</v>
      </c>
      <c r="O238" s="28" t="s">
        <v>96</v>
      </c>
      <c r="P238" s="28" t="s">
        <v>97</v>
      </c>
      <c r="R238" s="28" t="s">
        <v>96</v>
      </c>
      <c r="S238" s="28" t="s">
        <v>97</v>
      </c>
      <c r="U238" s="28" t="s">
        <v>96</v>
      </c>
      <c r="V238" s="28" t="s">
        <v>97</v>
      </c>
      <c r="X238" s="28" t="s">
        <v>96</v>
      </c>
      <c r="Y238" s="28" t="s">
        <v>97</v>
      </c>
      <c r="AA238" s="2" t="s">
        <v>119</v>
      </c>
      <c r="AB238" s="2" t="str">
        <f t="shared" ref="AB238:AB239" si="357">IF(NOT(ISBLANK(AC238)),"-","")</f>
        <v>-</v>
      </c>
      <c r="AC238" s="28" t="s">
        <v>331</v>
      </c>
      <c r="AD238" s="2" t="str">
        <f t="shared" ref="AD238:AD239" si="358">IF(NOT(ISBLANK(AE238)),"_","")</f>
        <v>_</v>
      </c>
      <c r="AE238" s="28" t="s">
        <v>103</v>
      </c>
      <c r="AF238" s="2" t="str">
        <f t="shared" si="348"/>
        <v/>
      </c>
      <c r="AH238" s="2" t="str">
        <f t="shared" si="346"/>
        <v/>
      </c>
    </row>
    <row r="239" spans="2:34" x14ac:dyDescent="0.25">
      <c r="B239" s="2" t="str">
        <f t="shared" si="356"/>
        <v>@line_width-river_z20</v>
      </c>
      <c r="C239" s="28" t="s">
        <v>86</v>
      </c>
      <c r="D239" s="28" t="s">
        <v>332</v>
      </c>
      <c r="F239" s="28" t="s">
        <v>86</v>
      </c>
      <c r="G239" s="28" t="s">
        <v>332</v>
      </c>
      <c r="I239" s="28" t="s">
        <v>86</v>
      </c>
      <c r="J239" s="28" t="s">
        <v>332</v>
      </c>
      <c r="L239" s="28" t="s">
        <v>86</v>
      </c>
      <c r="M239" s="28" t="s">
        <v>332</v>
      </c>
      <c r="O239" s="28" t="s">
        <v>86</v>
      </c>
      <c r="P239" s="28" t="s">
        <v>332</v>
      </c>
      <c r="R239" s="28" t="s">
        <v>86</v>
      </c>
      <c r="S239" s="28" t="s">
        <v>332</v>
      </c>
      <c r="U239" s="28" t="s">
        <v>86</v>
      </c>
      <c r="V239" s="28" t="s">
        <v>332</v>
      </c>
      <c r="X239" s="28" t="s">
        <v>86</v>
      </c>
      <c r="Y239" s="28" t="s">
        <v>332</v>
      </c>
      <c r="AA239" s="2" t="s">
        <v>119</v>
      </c>
      <c r="AB239" s="2" t="str">
        <f t="shared" si="357"/>
        <v>-</v>
      </c>
      <c r="AC239" s="28" t="s">
        <v>331</v>
      </c>
      <c r="AD239" s="2" t="str">
        <f t="shared" si="358"/>
        <v>_</v>
      </c>
      <c r="AE239" s="28" t="s">
        <v>139</v>
      </c>
      <c r="AF239" s="2" t="str">
        <f t="shared" si="348"/>
        <v/>
      </c>
      <c r="AH239" s="2" t="str">
        <f t="shared" si="346"/>
        <v/>
      </c>
    </row>
    <row r="240" spans="2:34" x14ac:dyDescent="0.25">
      <c r="B240" s="2"/>
      <c r="AA240" s="2"/>
      <c r="AB240" s="2"/>
      <c r="AD240" s="2"/>
      <c r="AF240" s="2"/>
      <c r="AH240" s="2"/>
    </row>
    <row r="241" spans="1:35" x14ac:dyDescent="0.25">
      <c r="AA241" s="2"/>
    </row>
    <row r="242" spans="1:35" s="2" customFormat="1" x14ac:dyDescent="0.25">
      <c r="A242" s="3" t="s">
        <v>252</v>
      </c>
      <c r="B242" s="3"/>
      <c r="C242" s="27"/>
      <c r="D242" s="6"/>
      <c r="E242" s="7"/>
      <c r="F242" s="6"/>
      <c r="G242" s="6"/>
      <c r="H242" s="7"/>
      <c r="I242" s="6"/>
      <c r="J242" s="6"/>
      <c r="K242" s="7"/>
      <c r="L242" s="6"/>
      <c r="M242" s="6"/>
      <c r="N242" s="7"/>
      <c r="O242" s="6"/>
      <c r="P242" s="6"/>
      <c r="Q242" s="7"/>
      <c r="R242" s="6"/>
      <c r="S242" s="6"/>
      <c r="T242" s="7"/>
      <c r="U242" s="6"/>
      <c r="V242" s="6"/>
      <c r="W242" s="7"/>
      <c r="X242" s="6"/>
      <c r="Y242" s="6"/>
      <c r="AA242" s="4"/>
      <c r="AB242" s="4" t="str">
        <f t="shared" si="239"/>
        <v/>
      </c>
      <c r="AC242" s="4"/>
      <c r="AD242" s="4" t="str">
        <f t="shared" si="240"/>
        <v/>
      </c>
      <c r="AE242" s="4"/>
      <c r="AF242" s="4" t="str">
        <f t="shared" si="241"/>
        <v/>
      </c>
      <c r="AG242" s="4"/>
      <c r="AH242" s="4" t="str">
        <f t="shared" ref="AH242:AH289" si="359">IF(NOT(ISBLANK(AI242)),"_","")</f>
        <v/>
      </c>
      <c r="AI242" s="4"/>
    </row>
    <row r="243" spans="1:35" x14ac:dyDescent="0.25">
      <c r="B243" s="2" t="str">
        <f t="shared" ref="B243:B267" si="360">_xlfn.CONCAT("@",AA243,AB243,AC243,AD243,AE243,AF243,AG243,AH243,AI243)</f>
        <v>@color-background</v>
      </c>
      <c r="C243" s="67" t="s">
        <v>192</v>
      </c>
      <c r="D243" s="38" t="s">
        <v>222</v>
      </c>
      <c r="F243" s="47" t="s">
        <v>214</v>
      </c>
      <c r="G243" s="47" t="s">
        <v>214</v>
      </c>
      <c r="I243" s="67" t="s">
        <v>192</v>
      </c>
      <c r="J243" s="38" t="s">
        <v>222</v>
      </c>
      <c r="L243" s="47" t="s">
        <v>214</v>
      </c>
      <c r="M243" s="47" t="s">
        <v>214</v>
      </c>
      <c r="U243" s="67" t="s">
        <v>192</v>
      </c>
      <c r="V243" s="38" t="s">
        <v>222</v>
      </c>
      <c r="X243" s="47" t="s">
        <v>214</v>
      </c>
      <c r="Y243" s="47" t="s">
        <v>214</v>
      </c>
      <c r="AA243" s="2" t="s">
        <v>6</v>
      </c>
      <c r="AB243" s="2" t="str">
        <f t="shared" si="239"/>
        <v>-</v>
      </c>
      <c r="AC243" s="2" t="s">
        <v>66</v>
      </c>
      <c r="AD243" s="2" t="str">
        <f t="shared" si="240"/>
        <v/>
      </c>
      <c r="AE243" s="2"/>
      <c r="AF243" s="2" t="str">
        <f t="shared" si="241"/>
        <v/>
      </c>
      <c r="AG243" s="2"/>
      <c r="AH243" s="2" t="str">
        <f t="shared" si="359"/>
        <v/>
      </c>
      <c r="AI243" s="2"/>
    </row>
    <row r="244" spans="1:35" x14ac:dyDescent="0.25">
      <c r="B244" s="2" t="str">
        <f t="shared" si="360"/>
        <v>@color-water</v>
      </c>
      <c r="C244" s="68" t="s">
        <v>193</v>
      </c>
      <c r="D244" s="69" t="s">
        <v>194</v>
      </c>
      <c r="F244" s="70" t="s">
        <v>235</v>
      </c>
      <c r="G244" s="70" t="s">
        <v>235</v>
      </c>
      <c r="I244" s="68" t="s">
        <v>193</v>
      </c>
      <c r="J244" s="69" t="s">
        <v>194</v>
      </c>
      <c r="L244" s="70" t="s">
        <v>235</v>
      </c>
      <c r="M244" s="70" t="s">
        <v>235</v>
      </c>
      <c r="U244" s="68" t="s">
        <v>193</v>
      </c>
      <c r="V244" s="69" t="s">
        <v>194</v>
      </c>
      <c r="X244" s="70" t="s">
        <v>235</v>
      </c>
      <c r="Y244" s="70" t="s">
        <v>235</v>
      </c>
      <c r="AA244" s="2" t="s">
        <v>6</v>
      </c>
      <c r="AB244" s="2" t="str">
        <f t="shared" si="239"/>
        <v>-</v>
      </c>
      <c r="AC244" s="2" t="s">
        <v>14</v>
      </c>
      <c r="AD244" s="2" t="str">
        <f t="shared" si="240"/>
        <v/>
      </c>
      <c r="AE244" s="2"/>
      <c r="AF244" s="2" t="str">
        <f t="shared" si="241"/>
        <v/>
      </c>
      <c r="AG244" s="2"/>
      <c r="AH244" s="2" t="str">
        <f t="shared" si="359"/>
        <v/>
      </c>
      <c r="AI244" s="2"/>
    </row>
    <row r="245" spans="1:35" x14ac:dyDescent="0.25">
      <c r="B245" s="2" t="str">
        <f t="shared" si="360"/>
        <v>@color-landcover_field</v>
      </c>
      <c r="C245" s="71" t="s">
        <v>195</v>
      </c>
      <c r="D245" s="72" t="s">
        <v>196</v>
      </c>
      <c r="F245" s="73" t="s">
        <v>238</v>
      </c>
      <c r="G245" s="73" t="s">
        <v>238</v>
      </c>
      <c r="I245" s="149" t="s">
        <v>368</v>
      </c>
      <c r="J245" s="72" t="s">
        <v>196</v>
      </c>
      <c r="L245" s="73" t="s">
        <v>238</v>
      </c>
      <c r="M245" s="73" t="s">
        <v>238</v>
      </c>
      <c r="U245" s="71" t="s">
        <v>195</v>
      </c>
      <c r="V245" s="72" t="s">
        <v>196</v>
      </c>
      <c r="X245" s="73" t="s">
        <v>238</v>
      </c>
      <c r="Y245" s="73" t="s">
        <v>238</v>
      </c>
      <c r="AA245" s="2" t="s">
        <v>6</v>
      </c>
      <c r="AB245" s="2" t="str">
        <f t="shared" si="239"/>
        <v>-</v>
      </c>
      <c r="AC245" s="2" t="s">
        <v>51</v>
      </c>
      <c r="AD245" s="2" t="str">
        <f t="shared" si="240"/>
        <v>_</v>
      </c>
      <c r="AE245" s="2" t="s">
        <v>46</v>
      </c>
      <c r="AF245" s="2" t="str">
        <f t="shared" si="241"/>
        <v/>
      </c>
      <c r="AG245" s="2"/>
      <c r="AH245" s="2" t="str">
        <f t="shared" si="359"/>
        <v/>
      </c>
      <c r="AI245" s="2"/>
    </row>
    <row r="246" spans="1:35" x14ac:dyDescent="0.25">
      <c r="B246" s="2" t="str">
        <f t="shared" si="360"/>
        <v>@color-landcover_meadow</v>
      </c>
      <c r="C246" s="74" t="s">
        <v>197</v>
      </c>
      <c r="D246" s="75" t="s">
        <v>198</v>
      </c>
      <c r="F246" s="76" t="s">
        <v>237</v>
      </c>
      <c r="G246" s="76" t="s">
        <v>237</v>
      </c>
      <c r="I246" s="150" t="s">
        <v>369</v>
      </c>
      <c r="J246" s="75" t="s">
        <v>198</v>
      </c>
      <c r="L246" s="76" t="s">
        <v>237</v>
      </c>
      <c r="M246" s="76" t="s">
        <v>237</v>
      </c>
      <c r="U246" s="74" t="s">
        <v>197</v>
      </c>
      <c r="V246" s="75" t="s">
        <v>198</v>
      </c>
      <c r="X246" s="76" t="s">
        <v>237</v>
      </c>
      <c r="Y246" s="76" t="s">
        <v>237</v>
      </c>
      <c r="AA246" s="2" t="s">
        <v>6</v>
      </c>
      <c r="AB246" s="2" t="str">
        <f t="shared" si="239"/>
        <v>-</v>
      </c>
      <c r="AC246" s="2" t="s">
        <v>51</v>
      </c>
      <c r="AD246" s="2" t="str">
        <f t="shared" si="240"/>
        <v>_</v>
      </c>
      <c r="AE246" s="2" t="s">
        <v>47</v>
      </c>
      <c r="AF246" s="2" t="str">
        <f t="shared" si="241"/>
        <v/>
      </c>
      <c r="AG246" s="2"/>
      <c r="AH246" s="2" t="str">
        <f t="shared" si="359"/>
        <v/>
      </c>
      <c r="AI246" s="2"/>
    </row>
    <row r="247" spans="1:35" x14ac:dyDescent="0.25">
      <c r="B247" s="2" t="str">
        <f t="shared" si="360"/>
        <v>@color-landcover_bare_rock</v>
      </c>
      <c r="C247" s="77" t="s">
        <v>199</v>
      </c>
      <c r="D247" s="77" t="s">
        <v>199</v>
      </c>
      <c r="F247" s="78" t="s">
        <v>242</v>
      </c>
      <c r="G247" s="78" t="s">
        <v>242</v>
      </c>
      <c r="I247" s="77" t="s">
        <v>199</v>
      </c>
      <c r="J247" s="77" t="s">
        <v>199</v>
      </c>
      <c r="L247" s="78" t="s">
        <v>242</v>
      </c>
      <c r="M247" s="78" t="s">
        <v>242</v>
      </c>
      <c r="U247" s="77" t="s">
        <v>199</v>
      </c>
      <c r="V247" s="77" t="s">
        <v>199</v>
      </c>
      <c r="X247" s="78" t="s">
        <v>242</v>
      </c>
      <c r="Y247" s="78" t="s">
        <v>242</v>
      </c>
      <c r="AA247" s="2" t="s">
        <v>6</v>
      </c>
      <c r="AB247" s="2" t="str">
        <f t="shared" si="239"/>
        <v>-</v>
      </c>
      <c r="AC247" s="2" t="s">
        <v>51</v>
      </c>
      <c r="AD247" s="2" t="str">
        <f t="shared" si="240"/>
        <v>_</v>
      </c>
      <c r="AE247" s="2" t="s">
        <v>48</v>
      </c>
      <c r="AF247" s="2" t="str">
        <f t="shared" si="241"/>
        <v/>
      </c>
      <c r="AG247" s="2"/>
      <c r="AH247" s="2" t="str">
        <f t="shared" si="359"/>
        <v/>
      </c>
      <c r="AI247" s="2"/>
    </row>
    <row r="248" spans="1:35" x14ac:dyDescent="0.25">
      <c r="B248" s="2" t="str">
        <f t="shared" si="360"/>
        <v>@color-landcover_sand</v>
      </c>
      <c r="C248" s="79" t="s">
        <v>200</v>
      </c>
      <c r="D248" s="38" t="s">
        <v>222</v>
      </c>
      <c r="F248" s="80" t="s">
        <v>243</v>
      </c>
      <c r="G248" s="47" t="s">
        <v>214</v>
      </c>
      <c r="I248" s="79" t="s">
        <v>200</v>
      </c>
      <c r="J248" s="38" t="s">
        <v>222</v>
      </c>
      <c r="L248" s="80" t="s">
        <v>243</v>
      </c>
      <c r="M248" s="47" t="s">
        <v>214</v>
      </c>
      <c r="U248" s="79" t="s">
        <v>200</v>
      </c>
      <c r="V248" s="38" t="s">
        <v>222</v>
      </c>
      <c r="X248" s="80" t="s">
        <v>243</v>
      </c>
      <c r="Y248" s="47" t="s">
        <v>214</v>
      </c>
      <c r="AA248" s="2" t="s">
        <v>6</v>
      </c>
      <c r="AB248" s="2" t="str">
        <f t="shared" si="239"/>
        <v>-</v>
      </c>
      <c r="AC248" s="2" t="s">
        <v>51</v>
      </c>
      <c r="AD248" s="2" t="str">
        <f t="shared" si="240"/>
        <v>_</v>
      </c>
      <c r="AE248" s="2" t="s">
        <v>49</v>
      </c>
      <c r="AF248" s="2" t="str">
        <f t="shared" si="241"/>
        <v/>
      </c>
      <c r="AG248" s="2"/>
      <c r="AH248" s="2" t="str">
        <f t="shared" si="359"/>
        <v/>
      </c>
      <c r="AI248" s="2"/>
    </row>
    <row r="249" spans="1:35" x14ac:dyDescent="0.25">
      <c r="B249" s="2" t="str">
        <f t="shared" si="360"/>
        <v>@color-landcover_allotments</v>
      </c>
      <c r="C249" s="81" t="s">
        <v>201</v>
      </c>
      <c r="D249" s="81" t="s">
        <v>201</v>
      </c>
      <c r="F249" s="82" t="s">
        <v>244</v>
      </c>
      <c r="G249" s="82" t="s">
        <v>244</v>
      </c>
      <c r="I249" s="81" t="s">
        <v>201</v>
      </c>
      <c r="J249" s="81" t="s">
        <v>201</v>
      </c>
      <c r="L249" s="82" t="s">
        <v>244</v>
      </c>
      <c r="M249" s="82" t="s">
        <v>244</v>
      </c>
      <c r="U249" s="81" t="s">
        <v>201</v>
      </c>
      <c r="V249" s="81" t="s">
        <v>201</v>
      </c>
      <c r="X249" s="82" t="s">
        <v>244</v>
      </c>
      <c r="Y249" s="82" t="s">
        <v>244</v>
      </c>
      <c r="AA249" s="2" t="s">
        <v>6</v>
      </c>
      <c r="AB249" s="2" t="str">
        <f t="shared" si="239"/>
        <v>-</v>
      </c>
      <c r="AC249" s="2" t="s">
        <v>51</v>
      </c>
      <c r="AD249" s="2" t="str">
        <f t="shared" si="240"/>
        <v>_</v>
      </c>
      <c r="AE249" s="2" t="s">
        <v>50</v>
      </c>
      <c r="AF249" s="2" t="str">
        <f t="shared" si="241"/>
        <v/>
      </c>
      <c r="AG249" s="2"/>
      <c r="AH249" s="2" t="str">
        <f t="shared" si="359"/>
        <v/>
      </c>
      <c r="AI249" s="2"/>
    </row>
    <row r="250" spans="1:35" x14ac:dyDescent="0.25">
      <c r="B250" s="2" t="str">
        <f t="shared" si="360"/>
        <v>@color-landcover_heath_fell</v>
      </c>
      <c r="C250" s="83" t="s">
        <v>202</v>
      </c>
      <c r="D250" s="38" t="s">
        <v>222</v>
      </c>
      <c r="F250" s="84" t="s">
        <v>245</v>
      </c>
      <c r="G250" s="47" t="s">
        <v>214</v>
      </c>
      <c r="I250" s="83" t="s">
        <v>202</v>
      </c>
      <c r="J250" s="38" t="s">
        <v>222</v>
      </c>
      <c r="L250" s="84" t="s">
        <v>245</v>
      </c>
      <c r="M250" s="47" t="s">
        <v>214</v>
      </c>
      <c r="U250" s="83" t="s">
        <v>202</v>
      </c>
      <c r="V250" s="38" t="s">
        <v>222</v>
      </c>
      <c r="X250" s="84" t="s">
        <v>245</v>
      </c>
      <c r="Y250" s="47" t="s">
        <v>214</v>
      </c>
      <c r="AA250" s="2" t="s">
        <v>6</v>
      </c>
      <c r="AB250" s="2" t="str">
        <f t="shared" si="239"/>
        <v>-</v>
      </c>
      <c r="AC250" s="2" t="s">
        <v>51</v>
      </c>
      <c r="AD250" s="2" t="str">
        <f t="shared" si="240"/>
        <v>_</v>
      </c>
      <c r="AE250" s="2" t="s">
        <v>52</v>
      </c>
      <c r="AF250" s="2" t="str">
        <f t="shared" si="241"/>
        <v/>
      </c>
      <c r="AG250" s="2"/>
      <c r="AH250" s="2" t="str">
        <f t="shared" si="359"/>
        <v/>
      </c>
      <c r="AI250" s="2"/>
    </row>
    <row r="251" spans="1:35" x14ac:dyDescent="0.25">
      <c r="B251" s="2" t="str">
        <f t="shared" si="360"/>
        <v>@color-landcover_grass</v>
      </c>
      <c r="C251" s="85" t="s">
        <v>203</v>
      </c>
      <c r="D251" s="38" t="s">
        <v>222</v>
      </c>
      <c r="F251" s="86" t="s">
        <v>275</v>
      </c>
      <c r="G251" s="47" t="s">
        <v>214</v>
      </c>
      <c r="I251" s="85" t="s">
        <v>203</v>
      </c>
      <c r="J251" s="38" t="s">
        <v>222</v>
      </c>
      <c r="L251" s="86" t="s">
        <v>275</v>
      </c>
      <c r="M251" s="47" t="s">
        <v>214</v>
      </c>
      <c r="U251" s="85" t="s">
        <v>203</v>
      </c>
      <c r="V251" s="38" t="s">
        <v>222</v>
      </c>
      <c r="X251" s="86" t="s">
        <v>275</v>
      </c>
      <c r="Y251" s="47" t="s">
        <v>214</v>
      </c>
      <c r="AA251" s="2" t="s">
        <v>6</v>
      </c>
      <c r="AB251" s="2" t="str">
        <f t="shared" si="239"/>
        <v>-</v>
      </c>
      <c r="AC251" s="2" t="s">
        <v>51</v>
      </c>
      <c r="AD251" s="2" t="str">
        <f t="shared" si="240"/>
        <v>_</v>
      </c>
      <c r="AE251" s="2" t="s">
        <v>53</v>
      </c>
      <c r="AF251" s="2" t="str">
        <f t="shared" si="241"/>
        <v/>
      </c>
      <c r="AG251" s="2"/>
      <c r="AH251" s="2" t="str">
        <f t="shared" si="359"/>
        <v/>
      </c>
      <c r="AI251" s="2"/>
    </row>
    <row r="252" spans="1:35" x14ac:dyDescent="0.25">
      <c r="B252" s="2" t="str">
        <f t="shared" si="360"/>
        <v>@color-landcover_quarry</v>
      </c>
      <c r="C252" s="87" t="s">
        <v>204</v>
      </c>
      <c r="D252" s="87" t="s">
        <v>204</v>
      </c>
      <c r="F252" s="88" t="s">
        <v>246</v>
      </c>
      <c r="G252" s="88" t="s">
        <v>246</v>
      </c>
      <c r="I252" s="87" t="s">
        <v>204</v>
      </c>
      <c r="J252" s="87" t="s">
        <v>204</v>
      </c>
      <c r="L252" s="88" t="s">
        <v>246</v>
      </c>
      <c r="M252" s="88" t="s">
        <v>246</v>
      </c>
      <c r="U252" s="87" t="s">
        <v>204</v>
      </c>
      <c r="V252" s="87" t="s">
        <v>204</v>
      </c>
      <c r="X252" s="88" t="s">
        <v>246</v>
      </c>
      <c r="Y252" s="88" t="s">
        <v>246</v>
      </c>
      <c r="AA252" s="2" t="s">
        <v>6</v>
      </c>
      <c r="AB252" s="2" t="str">
        <f t="shared" si="239"/>
        <v>-</v>
      </c>
      <c r="AC252" s="2" t="s">
        <v>51</v>
      </c>
      <c r="AD252" s="2" t="str">
        <f t="shared" si="240"/>
        <v>_</v>
      </c>
      <c r="AE252" s="2" t="s">
        <v>54</v>
      </c>
      <c r="AF252" s="2" t="str">
        <f t="shared" si="241"/>
        <v/>
      </c>
      <c r="AG252" s="2"/>
      <c r="AH252" s="2" t="str">
        <f t="shared" si="359"/>
        <v/>
      </c>
      <c r="AI252" s="2"/>
    </row>
    <row r="253" spans="1:35" x14ac:dyDescent="0.25">
      <c r="B253" s="2" t="str">
        <f t="shared" si="360"/>
        <v>@color-landcover_storage</v>
      </c>
      <c r="C253" s="89" t="s">
        <v>205</v>
      </c>
      <c r="D253" s="89" t="s">
        <v>205</v>
      </c>
      <c r="F253" s="90" t="s">
        <v>260</v>
      </c>
      <c r="G253" s="90" t="s">
        <v>260</v>
      </c>
      <c r="I253" s="89" t="s">
        <v>205</v>
      </c>
      <c r="J253" s="89" t="s">
        <v>205</v>
      </c>
      <c r="L253" s="90" t="s">
        <v>260</v>
      </c>
      <c r="M253" s="90" t="s">
        <v>260</v>
      </c>
      <c r="U253" s="89" t="s">
        <v>205</v>
      </c>
      <c r="V253" s="89" t="s">
        <v>205</v>
      </c>
      <c r="X253" s="90" t="s">
        <v>260</v>
      </c>
      <c r="Y253" s="90" t="s">
        <v>260</v>
      </c>
      <c r="AA253" s="2" t="s">
        <v>6</v>
      </c>
      <c r="AB253" s="2" t="str">
        <f t="shared" si="239"/>
        <v>-</v>
      </c>
      <c r="AC253" s="2" t="s">
        <v>51</v>
      </c>
      <c r="AD253" s="2" t="str">
        <f t="shared" si="240"/>
        <v>_</v>
      </c>
      <c r="AE253" s="2" t="s">
        <v>55</v>
      </c>
      <c r="AF253" s="2" t="str">
        <f t="shared" si="241"/>
        <v/>
      </c>
      <c r="AG253" s="2"/>
      <c r="AH253" s="2" t="str">
        <f t="shared" si="359"/>
        <v/>
      </c>
      <c r="AI253" s="2"/>
    </row>
    <row r="254" spans="1:35" x14ac:dyDescent="0.25">
      <c r="B254" s="2" t="str">
        <f t="shared" si="360"/>
        <v>@color-landcover_wood</v>
      </c>
      <c r="C254" s="91" t="s">
        <v>206</v>
      </c>
      <c r="D254" s="91" t="s">
        <v>206</v>
      </c>
      <c r="F254" s="92" t="s">
        <v>236</v>
      </c>
      <c r="G254" s="92" t="s">
        <v>236</v>
      </c>
      <c r="I254" s="91" t="s">
        <v>206</v>
      </c>
      <c r="J254" s="91" t="s">
        <v>206</v>
      </c>
      <c r="L254" s="92" t="s">
        <v>236</v>
      </c>
      <c r="M254" s="92" t="s">
        <v>236</v>
      </c>
      <c r="U254" s="91" t="s">
        <v>206</v>
      </c>
      <c r="V254" s="91" t="s">
        <v>206</v>
      </c>
      <c r="X254" s="92" t="s">
        <v>236</v>
      </c>
      <c r="Y254" s="92" t="s">
        <v>236</v>
      </c>
      <c r="AA254" s="2" t="s">
        <v>6</v>
      </c>
      <c r="AB254" s="2" t="str">
        <f t="shared" si="239"/>
        <v>-</v>
      </c>
      <c r="AC254" s="2" t="s">
        <v>51</v>
      </c>
      <c r="AD254" s="2" t="str">
        <f t="shared" si="240"/>
        <v>_</v>
      </c>
      <c r="AE254" s="2" t="s">
        <v>56</v>
      </c>
      <c r="AF254" s="2" t="str">
        <f t="shared" si="241"/>
        <v/>
      </c>
      <c r="AG254" s="2"/>
      <c r="AH254" s="2" t="str">
        <f t="shared" si="359"/>
        <v/>
      </c>
      <c r="AI254" s="2"/>
    </row>
    <row r="255" spans="1:35" x14ac:dyDescent="0.25">
      <c r="B255" s="2" t="str">
        <f t="shared" si="360"/>
        <v>@color-landcover_parking_area</v>
      </c>
      <c r="C255" s="93" t="s">
        <v>207</v>
      </c>
      <c r="D255" s="93" t="s">
        <v>207</v>
      </c>
      <c r="F255" s="94" t="s">
        <v>247</v>
      </c>
      <c r="G255" s="94" t="s">
        <v>247</v>
      </c>
      <c r="I255" s="93" t="s">
        <v>207</v>
      </c>
      <c r="J255" s="93" t="s">
        <v>207</v>
      </c>
      <c r="L255" s="94" t="s">
        <v>247</v>
      </c>
      <c r="M255" s="94" t="s">
        <v>247</v>
      </c>
      <c r="U255" s="93" t="s">
        <v>207</v>
      </c>
      <c r="V255" s="93" t="s">
        <v>207</v>
      </c>
      <c r="X255" s="94" t="s">
        <v>247</v>
      </c>
      <c r="Y255" s="94" t="s">
        <v>247</v>
      </c>
      <c r="AA255" s="2" t="s">
        <v>6</v>
      </c>
      <c r="AB255" s="2" t="str">
        <f t="shared" si="239"/>
        <v>-</v>
      </c>
      <c r="AC255" s="2" t="s">
        <v>51</v>
      </c>
      <c r="AD255" s="2" t="str">
        <f t="shared" si="240"/>
        <v>_</v>
      </c>
      <c r="AE255" s="2" t="s">
        <v>57</v>
      </c>
      <c r="AF255" s="2" t="str">
        <f t="shared" si="241"/>
        <v/>
      </c>
      <c r="AG255" s="2"/>
      <c r="AH255" s="2" t="str">
        <f t="shared" si="359"/>
        <v/>
      </c>
      <c r="AI255" s="2"/>
    </row>
    <row r="256" spans="1:35" x14ac:dyDescent="0.25">
      <c r="B256" s="2" t="str">
        <f t="shared" si="360"/>
        <v>@color-landcover_railway</v>
      </c>
      <c r="C256" s="95" t="s">
        <v>208</v>
      </c>
      <c r="D256" s="95" t="s">
        <v>208</v>
      </c>
      <c r="F256" s="96" t="s">
        <v>248</v>
      </c>
      <c r="G256" s="96" t="s">
        <v>248</v>
      </c>
      <c r="I256" s="95" t="s">
        <v>208</v>
      </c>
      <c r="J256" s="95" t="s">
        <v>208</v>
      </c>
      <c r="L256" s="96" t="s">
        <v>248</v>
      </c>
      <c r="M256" s="96" t="s">
        <v>248</v>
      </c>
      <c r="U256" s="95" t="s">
        <v>208</v>
      </c>
      <c r="V256" s="95" t="s">
        <v>208</v>
      </c>
      <c r="X256" s="96" t="s">
        <v>248</v>
      </c>
      <c r="Y256" s="96" t="s">
        <v>248</v>
      </c>
      <c r="AA256" s="2" t="s">
        <v>6</v>
      </c>
      <c r="AB256" s="2" t="str">
        <f t="shared" si="239"/>
        <v>-</v>
      </c>
      <c r="AC256" s="2" t="s">
        <v>51</v>
      </c>
      <c r="AD256" s="2" t="str">
        <f t="shared" si="240"/>
        <v>_</v>
      </c>
      <c r="AE256" s="2" t="s">
        <v>58</v>
      </c>
      <c r="AF256" s="2" t="str">
        <f t="shared" si="241"/>
        <v/>
      </c>
      <c r="AG256" s="2"/>
      <c r="AH256" s="2" t="str">
        <f t="shared" si="359"/>
        <v/>
      </c>
      <c r="AI256" s="2"/>
    </row>
    <row r="257" spans="1:35" x14ac:dyDescent="0.25">
      <c r="B257" s="2" t="str">
        <f t="shared" si="360"/>
        <v>@color-landcover_school</v>
      </c>
      <c r="C257" s="97" t="s">
        <v>210</v>
      </c>
      <c r="D257" s="97" t="s">
        <v>210</v>
      </c>
      <c r="F257" s="90" t="s">
        <v>260</v>
      </c>
      <c r="G257" s="90" t="s">
        <v>260</v>
      </c>
      <c r="I257" s="97" t="s">
        <v>210</v>
      </c>
      <c r="J257" s="97" t="s">
        <v>210</v>
      </c>
      <c r="L257" s="90" t="s">
        <v>260</v>
      </c>
      <c r="M257" s="90" t="s">
        <v>260</v>
      </c>
      <c r="U257" s="97" t="s">
        <v>210</v>
      </c>
      <c r="V257" s="97" t="s">
        <v>210</v>
      </c>
      <c r="X257" s="90" t="s">
        <v>260</v>
      </c>
      <c r="Y257" s="90" t="s">
        <v>260</v>
      </c>
      <c r="AA257" s="2" t="s">
        <v>6</v>
      </c>
      <c r="AB257" s="2" t="str">
        <f t="shared" si="239"/>
        <v>-</v>
      </c>
      <c r="AC257" s="2" t="s">
        <v>51</v>
      </c>
      <c r="AD257" s="2" t="str">
        <f t="shared" si="240"/>
        <v>_</v>
      </c>
      <c r="AE257" s="2" t="s">
        <v>59</v>
      </c>
      <c r="AF257" s="2" t="str">
        <f t="shared" si="241"/>
        <v/>
      </c>
      <c r="AG257" s="2"/>
      <c r="AH257" s="2" t="str">
        <f t="shared" si="359"/>
        <v/>
      </c>
      <c r="AI257" s="2"/>
    </row>
    <row r="258" spans="1:35" x14ac:dyDescent="0.25">
      <c r="B258" s="2" t="str">
        <f t="shared" si="360"/>
        <v>@color-landcover_cemetery</v>
      </c>
      <c r="C258" s="98" t="s">
        <v>209</v>
      </c>
      <c r="D258" s="98" t="s">
        <v>209</v>
      </c>
      <c r="F258" s="99" t="s">
        <v>249</v>
      </c>
      <c r="G258" s="99" t="s">
        <v>249</v>
      </c>
      <c r="I258" s="98" t="s">
        <v>209</v>
      </c>
      <c r="J258" s="98" t="s">
        <v>209</v>
      </c>
      <c r="L258" s="99" t="s">
        <v>249</v>
      </c>
      <c r="M258" s="99" t="s">
        <v>249</v>
      </c>
      <c r="U258" s="98" t="s">
        <v>209</v>
      </c>
      <c r="V258" s="98" t="s">
        <v>209</v>
      </c>
      <c r="X258" s="99" t="s">
        <v>249</v>
      </c>
      <c r="Y258" s="99" t="s">
        <v>249</v>
      </c>
      <c r="AA258" s="2" t="s">
        <v>6</v>
      </c>
      <c r="AB258" s="2" t="str">
        <f t="shared" si="239"/>
        <v>-</v>
      </c>
      <c r="AC258" s="2" t="s">
        <v>51</v>
      </c>
      <c r="AD258" s="2" t="str">
        <f t="shared" si="240"/>
        <v>_</v>
      </c>
      <c r="AE258" s="2" t="s">
        <v>61</v>
      </c>
      <c r="AF258" s="2" t="str">
        <f t="shared" si="241"/>
        <v/>
      </c>
      <c r="AG258" s="2"/>
      <c r="AH258" s="2" t="str">
        <f t="shared" si="359"/>
        <v/>
      </c>
      <c r="AI258" s="2"/>
    </row>
    <row r="259" spans="1:35" x14ac:dyDescent="0.25">
      <c r="B259" s="2" t="str">
        <f t="shared" si="360"/>
        <v>@color-landcover_hospital</v>
      </c>
      <c r="C259" s="97" t="s">
        <v>210</v>
      </c>
      <c r="D259" s="97" t="s">
        <v>210</v>
      </c>
      <c r="F259" s="90" t="s">
        <v>260</v>
      </c>
      <c r="G259" s="90" t="s">
        <v>260</v>
      </c>
      <c r="I259" s="97" t="s">
        <v>210</v>
      </c>
      <c r="J259" s="97" t="s">
        <v>210</v>
      </c>
      <c r="L259" s="90" t="s">
        <v>260</v>
      </c>
      <c r="M259" s="90" t="s">
        <v>260</v>
      </c>
      <c r="U259" s="97" t="s">
        <v>210</v>
      </c>
      <c r="V259" s="97" t="s">
        <v>210</v>
      </c>
      <c r="X259" s="90" t="s">
        <v>260</v>
      </c>
      <c r="Y259" s="90" t="s">
        <v>260</v>
      </c>
      <c r="AA259" s="2" t="s">
        <v>6</v>
      </c>
      <c r="AB259" s="2" t="str">
        <f t="shared" si="239"/>
        <v>-</v>
      </c>
      <c r="AC259" s="2" t="s">
        <v>51</v>
      </c>
      <c r="AD259" s="2" t="str">
        <f t="shared" si="240"/>
        <v>_</v>
      </c>
      <c r="AE259" s="2" t="s">
        <v>60</v>
      </c>
      <c r="AF259" s="2" t="str">
        <f t="shared" si="241"/>
        <v/>
      </c>
      <c r="AG259" s="2"/>
      <c r="AH259" s="2" t="str">
        <f t="shared" si="359"/>
        <v/>
      </c>
      <c r="AI259" s="2"/>
    </row>
    <row r="260" spans="1:35" x14ac:dyDescent="0.25">
      <c r="B260" s="2" t="str">
        <f t="shared" si="360"/>
        <v>@color-landcover_industrial</v>
      </c>
      <c r="C260" s="97" t="s">
        <v>210</v>
      </c>
      <c r="D260" s="97" t="s">
        <v>210</v>
      </c>
      <c r="F260" s="90" t="s">
        <v>260</v>
      </c>
      <c r="G260" s="90" t="s">
        <v>260</v>
      </c>
      <c r="I260" s="97" t="s">
        <v>210</v>
      </c>
      <c r="J260" s="97" t="s">
        <v>210</v>
      </c>
      <c r="L260" s="90" t="s">
        <v>260</v>
      </c>
      <c r="M260" s="90" t="s">
        <v>260</v>
      </c>
      <c r="U260" s="97" t="s">
        <v>210</v>
      </c>
      <c r="V260" s="97" t="s">
        <v>210</v>
      </c>
      <c r="X260" s="90" t="s">
        <v>260</v>
      </c>
      <c r="Y260" s="90" t="s">
        <v>260</v>
      </c>
      <c r="AA260" s="2" t="s">
        <v>6</v>
      </c>
      <c r="AB260" s="2" t="str">
        <f t="shared" si="239"/>
        <v>-</v>
      </c>
      <c r="AC260" s="2" t="s">
        <v>51</v>
      </c>
      <c r="AD260" s="2" t="str">
        <f t="shared" si="240"/>
        <v>_</v>
      </c>
      <c r="AE260" s="2" t="s">
        <v>62</v>
      </c>
      <c r="AF260" s="2" t="str">
        <f t="shared" si="241"/>
        <v/>
      </c>
      <c r="AG260" s="2"/>
      <c r="AH260" s="2" t="str">
        <f t="shared" si="359"/>
        <v/>
      </c>
      <c r="AI260" s="2"/>
    </row>
    <row r="261" spans="1:35" x14ac:dyDescent="0.25">
      <c r="B261" s="2" t="str">
        <f t="shared" si="360"/>
        <v>@color-landcover_commercial</v>
      </c>
      <c r="C261" s="97" t="s">
        <v>210</v>
      </c>
      <c r="D261" s="97" t="s">
        <v>210</v>
      </c>
      <c r="F261" s="90" t="s">
        <v>260</v>
      </c>
      <c r="G261" s="90" t="s">
        <v>260</v>
      </c>
      <c r="I261" s="97" t="s">
        <v>210</v>
      </c>
      <c r="J261" s="97" t="s">
        <v>210</v>
      </c>
      <c r="L261" s="90" t="s">
        <v>260</v>
      </c>
      <c r="M261" s="90" t="s">
        <v>260</v>
      </c>
      <c r="U261" s="97" t="s">
        <v>210</v>
      </c>
      <c r="V261" s="97" t="s">
        <v>210</v>
      </c>
      <c r="X261" s="90" t="s">
        <v>260</v>
      </c>
      <c r="Y261" s="90" t="s">
        <v>260</v>
      </c>
      <c r="AA261" s="2" t="s">
        <v>6</v>
      </c>
      <c r="AB261" s="2" t="str">
        <f t="shared" si="239"/>
        <v>-</v>
      </c>
      <c r="AC261" s="2" t="s">
        <v>51</v>
      </c>
      <c r="AD261" s="2" t="str">
        <f t="shared" si="240"/>
        <v>_</v>
      </c>
      <c r="AE261" s="2" t="s">
        <v>63</v>
      </c>
      <c r="AF261" s="2" t="str">
        <f t="shared" si="241"/>
        <v/>
      </c>
      <c r="AG261" s="2"/>
      <c r="AH261" s="2" t="str">
        <f t="shared" si="359"/>
        <v/>
      </c>
      <c r="AI261" s="2"/>
    </row>
    <row r="262" spans="1:35" x14ac:dyDescent="0.25">
      <c r="B262" s="2" t="str">
        <f t="shared" si="360"/>
        <v>@color-landcover_residential</v>
      </c>
      <c r="C262" s="97" t="s">
        <v>210</v>
      </c>
      <c r="D262" s="97" t="s">
        <v>210</v>
      </c>
      <c r="F262" s="90" t="s">
        <v>260</v>
      </c>
      <c r="G262" s="90" t="s">
        <v>260</v>
      </c>
      <c r="I262" s="97" t="s">
        <v>210</v>
      </c>
      <c r="J262" s="97" t="s">
        <v>210</v>
      </c>
      <c r="L262" s="90" t="s">
        <v>260</v>
      </c>
      <c r="M262" s="90" t="s">
        <v>260</v>
      </c>
      <c r="U262" s="97" t="s">
        <v>210</v>
      </c>
      <c r="V262" s="97" t="s">
        <v>210</v>
      </c>
      <c r="X262" s="90" t="s">
        <v>260</v>
      </c>
      <c r="Y262" s="90" t="s">
        <v>260</v>
      </c>
      <c r="AA262" s="2" t="s">
        <v>6</v>
      </c>
      <c r="AB262" s="2" t="str">
        <f t="shared" si="239"/>
        <v>-</v>
      </c>
      <c r="AC262" s="2" t="s">
        <v>51</v>
      </c>
      <c r="AD262" s="2" t="str">
        <f t="shared" si="240"/>
        <v>_</v>
      </c>
      <c r="AE262" s="2" t="s">
        <v>64</v>
      </c>
      <c r="AF262" s="2" t="str">
        <f t="shared" si="241"/>
        <v/>
      </c>
      <c r="AG262" s="2"/>
      <c r="AH262" s="2" t="str">
        <f t="shared" si="359"/>
        <v/>
      </c>
      <c r="AI262" s="2"/>
    </row>
    <row r="263" spans="1:35" x14ac:dyDescent="0.25">
      <c r="B263" s="2" t="str">
        <f t="shared" si="360"/>
        <v>@color-landcover_built-up</v>
      </c>
      <c r="C263" s="97" t="s">
        <v>210</v>
      </c>
      <c r="D263" s="97" t="s">
        <v>210</v>
      </c>
      <c r="F263" s="90" t="s">
        <v>260</v>
      </c>
      <c r="G263" s="90" t="s">
        <v>260</v>
      </c>
      <c r="I263" s="97" t="s">
        <v>210</v>
      </c>
      <c r="J263" s="97" t="s">
        <v>210</v>
      </c>
      <c r="L263" s="90" t="s">
        <v>260</v>
      </c>
      <c r="M263" s="90" t="s">
        <v>260</v>
      </c>
      <c r="U263" s="97" t="s">
        <v>210</v>
      </c>
      <c r="V263" s="97" t="s">
        <v>210</v>
      </c>
      <c r="X263" s="90" t="s">
        <v>260</v>
      </c>
      <c r="Y263" s="90" t="s">
        <v>260</v>
      </c>
      <c r="AA263" s="2" t="s">
        <v>6</v>
      </c>
      <c r="AB263" s="2" t="str">
        <f t="shared" si="239"/>
        <v>-</v>
      </c>
      <c r="AC263" s="2" t="s">
        <v>51</v>
      </c>
      <c r="AD263" s="2" t="str">
        <f t="shared" si="240"/>
        <v>_</v>
      </c>
      <c r="AE263" s="2" t="s">
        <v>65</v>
      </c>
      <c r="AF263" s="2" t="str">
        <f t="shared" si="241"/>
        <v/>
      </c>
      <c r="AG263" s="2"/>
      <c r="AH263" s="2" t="str">
        <f t="shared" si="359"/>
        <v/>
      </c>
      <c r="AI263" s="2"/>
    </row>
    <row r="264" spans="1:35" x14ac:dyDescent="0.25">
      <c r="B264" s="2" t="str">
        <f t="shared" si="360"/>
        <v>@color-landcover_ice_shelf</v>
      </c>
      <c r="C264" s="67" t="s">
        <v>192</v>
      </c>
      <c r="D264" s="67" t="s">
        <v>192</v>
      </c>
      <c r="F264" s="100" t="s">
        <v>250</v>
      </c>
      <c r="G264" s="100" t="s">
        <v>250</v>
      </c>
      <c r="I264" s="67" t="s">
        <v>192</v>
      </c>
      <c r="J264" s="67" t="s">
        <v>192</v>
      </c>
      <c r="L264" s="100" t="s">
        <v>250</v>
      </c>
      <c r="M264" s="100" t="s">
        <v>250</v>
      </c>
      <c r="U264" s="67" t="s">
        <v>192</v>
      </c>
      <c r="V264" s="67" t="s">
        <v>192</v>
      </c>
      <c r="X264" s="100" t="s">
        <v>250</v>
      </c>
      <c r="Y264" s="100" t="s">
        <v>250</v>
      </c>
      <c r="AA264" s="2" t="s">
        <v>6</v>
      </c>
      <c r="AB264" s="2" t="str">
        <f t="shared" ref="AB264:AB274" si="361">IF(NOT(ISBLANK(AC264)),"-","")</f>
        <v>-</v>
      </c>
      <c r="AC264" s="2" t="s">
        <v>51</v>
      </c>
      <c r="AD264" s="2" t="str">
        <f t="shared" ref="AD264:AD274" si="362">IF(NOT(ISBLANK(AE264)),"_","")</f>
        <v>_</v>
      </c>
      <c r="AE264" s="2" t="s">
        <v>239</v>
      </c>
      <c r="AF264" s="2" t="str">
        <f t="shared" ref="AF264:AF274" si="363">IF(NOT(ISBLANK(AG264)),"_","")</f>
        <v/>
      </c>
      <c r="AG264" s="2"/>
      <c r="AH264" s="2" t="str">
        <f t="shared" si="359"/>
        <v/>
      </c>
      <c r="AI264" s="2"/>
    </row>
    <row r="265" spans="1:35" x14ac:dyDescent="0.25">
      <c r="B265" s="2" t="str">
        <f t="shared" si="360"/>
        <v>@color-landcover_glacier</v>
      </c>
      <c r="C265" s="67" t="s">
        <v>192</v>
      </c>
      <c r="D265" s="67" t="s">
        <v>192</v>
      </c>
      <c r="F265" s="100" t="s">
        <v>250</v>
      </c>
      <c r="G265" s="100" t="s">
        <v>250</v>
      </c>
      <c r="I265" s="67" t="s">
        <v>192</v>
      </c>
      <c r="J265" s="67" t="s">
        <v>192</v>
      </c>
      <c r="L265" s="100" t="s">
        <v>250</v>
      </c>
      <c r="M265" s="100" t="s">
        <v>250</v>
      </c>
      <c r="U265" s="67" t="s">
        <v>192</v>
      </c>
      <c r="V265" s="67" t="s">
        <v>192</v>
      </c>
      <c r="X265" s="100" t="s">
        <v>250</v>
      </c>
      <c r="Y265" s="100" t="s">
        <v>250</v>
      </c>
      <c r="AA265" s="2" t="s">
        <v>6</v>
      </c>
      <c r="AB265" s="2" t="str">
        <f t="shared" ref="AB265" si="364">IF(NOT(ISBLANK(AC265)),"-","")</f>
        <v>-</v>
      </c>
      <c r="AC265" s="2" t="s">
        <v>51</v>
      </c>
      <c r="AD265" s="2" t="str">
        <f t="shared" ref="AD265" si="365">IF(NOT(ISBLANK(AE265)),"_","")</f>
        <v>_</v>
      </c>
      <c r="AE265" s="2" t="s">
        <v>263</v>
      </c>
      <c r="AF265" s="2" t="str">
        <f t="shared" ref="AF265" si="366">IF(NOT(ISBLANK(AG265)),"_","")</f>
        <v/>
      </c>
      <c r="AG265" s="2"/>
      <c r="AH265" s="2" t="str">
        <f t="shared" si="359"/>
        <v/>
      </c>
      <c r="AI265" s="2"/>
    </row>
    <row r="266" spans="1:35" x14ac:dyDescent="0.25">
      <c r="B266" s="2" t="str">
        <f t="shared" si="360"/>
        <v>@color-landcover_sport_play</v>
      </c>
      <c r="C266" s="101" t="s">
        <v>241</v>
      </c>
      <c r="D266" s="101" t="s">
        <v>241</v>
      </c>
      <c r="F266" s="102" t="s">
        <v>251</v>
      </c>
      <c r="G266" s="102" t="s">
        <v>251</v>
      </c>
      <c r="I266" s="101" t="s">
        <v>241</v>
      </c>
      <c r="J266" s="101" t="s">
        <v>241</v>
      </c>
      <c r="L266" s="102" t="s">
        <v>251</v>
      </c>
      <c r="M266" s="102" t="s">
        <v>251</v>
      </c>
      <c r="U266" s="101" t="s">
        <v>241</v>
      </c>
      <c r="V266" s="101" t="s">
        <v>241</v>
      </c>
      <c r="X266" s="102" t="s">
        <v>251</v>
      </c>
      <c r="Y266" s="102" t="s">
        <v>251</v>
      </c>
      <c r="AA266" s="2" t="s">
        <v>6</v>
      </c>
      <c r="AB266" s="2" t="str">
        <f t="shared" si="361"/>
        <v>-</v>
      </c>
      <c r="AC266" s="2" t="s">
        <v>51</v>
      </c>
      <c r="AD266" s="2" t="str">
        <f t="shared" si="362"/>
        <v>_</v>
      </c>
      <c r="AE266" s="2" t="s">
        <v>240</v>
      </c>
      <c r="AF266" s="2" t="str">
        <f t="shared" si="363"/>
        <v/>
      </c>
      <c r="AG266" s="2"/>
      <c r="AH266" s="2" t="str">
        <f t="shared" si="359"/>
        <v/>
      </c>
      <c r="AI266" s="2"/>
    </row>
    <row r="267" spans="1:35" x14ac:dyDescent="0.25">
      <c r="B267" s="2" t="str">
        <f t="shared" si="360"/>
        <v>@color-landcover_line_generic</v>
      </c>
      <c r="C267" s="103" t="s">
        <v>261</v>
      </c>
      <c r="D267" s="103" t="s">
        <v>261</v>
      </c>
      <c r="F267" s="90" t="s">
        <v>260</v>
      </c>
      <c r="G267" s="90" t="s">
        <v>260</v>
      </c>
      <c r="I267" s="103" t="s">
        <v>261</v>
      </c>
      <c r="J267" s="103" t="s">
        <v>261</v>
      </c>
      <c r="L267" s="90" t="s">
        <v>260</v>
      </c>
      <c r="M267" s="90" t="s">
        <v>260</v>
      </c>
      <c r="U267" s="103" t="s">
        <v>261</v>
      </c>
      <c r="V267" s="103" t="s">
        <v>261</v>
      </c>
      <c r="X267" s="90" t="s">
        <v>260</v>
      </c>
      <c r="Y267" s="90" t="s">
        <v>260</v>
      </c>
      <c r="AA267" s="2" t="s">
        <v>6</v>
      </c>
      <c r="AB267" s="2" t="str">
        <f t="shared" si="361"/>
        <v>-</v>
      </c>
      <c r="AC267" s="2" t="s">
        <v>51</v>
      </c>
      <c r="AD267" s="2" t="str">
        <f t="shared" si="362"/>
        <v>_</v>
      </c>
      <c r="AE267" s="2" t="s">
        <v>13</v>
      </c>
      <c r="AF267" s="2" t="str">
        <f t="shared" si="363"/>
        <v>_</v>
      </c>
      <c r="AG267" s="2" t="s">
        <v>255</v>
      </c>
      <c r="AH267" s="2" t="str">
        <f t="shared" si="359"/>
        <v/>
      </c>
      <c r="AI267" s="2"/>
    </row>
    <row r="268" spans="1:35" x14ac:dyDescent="0.25">
      <c r="AB268" s="28" t="str">
        <f t="shared" si="361"/>
        <v/>
      </c>
      <c r="AD268" s="28" t="str">
        <f t="shared" si="362"/>
        <v/>
      </c>
      <c r="AF268" s="28" t="str">
        <f t="shared" si="363"/>
        <v/>
      </c>
      <c r="AH268" s="28" t="str">
        <f t="shared" ref="AH268:AH274" si="367">IF(NOT(ISBLANK(AI268)),"_","")</f>
        <v/>
      </c>
    </row>
    <row r="269" spans="1:35" s="2" customFormat="1" x14ac:dyDescent="0.25">
      <c r="A269" s="3" t="s">
        <v>371</v>
      </c>
      <c r="B269" s="3"/>
      <c r="C269" s="27"/>
      <c r="D269" s="6"/>
      <c r="E269" s="7"/>
      <c r="F269" s="6"/>
      <c r="G269" s="6"/>
      <c r="H269" s="7"/>
      <c r="I269" s="6"/>
      <c r="J269" s="6"/>
      <c r="K269" s="7"/>
      <c r="L269" s="6"/>
      <c r="M269" s="6"/>
      <c r="N269" s="7"/>
      <c r="O269" s="6"/>
      <c r="P269" s="6"/>
      <c r="Q269" s="7"/>
      <c r="R269" s="6"/>
      <c r="S269" s="6"/>
      <c r="T269" s="7"/>
      <c r="U269" s="6"/>
      <c r="V269" s="6"/>
      <c r="W269" s="7"/>
      <c r="X269" s="6"/>
      <c r="Y269" s="6"/>
      <c r="AA269" s="4"/>
      <c r="AB269" s="4" t="str">
        <f t="shared" si="361"/>
        <v/>
      </c>
      <c r="AC269" s="4"/>
      <c r="AD269" s="4" t="str">
        <f t="shared" si="362"/>
        <v/>
      </c>
      <c r="AE269" s="4"/>
      <c r="AF269" s="4" t="str">
        <f t="shared" si="363"/>
        <v/>
      </c>
      <c r="AG269" s="4"/>
      <c r="AH269" s="4" t="str">
        <f t="shared" si="367"/>
        <v/>
      </c>
      <c r="AI269" s="4"/>
    </row>
    <row r="270" spans="1:35" x14ac:dyDescent="0.25">
      <c r="B270" s="2" t="str">
        <f t="shared" ref="B270:B273" si="368">_xlfn.CONCAT("@",AA270,AB270,AC270,AD270,AE270,AF270,AG270,AH270,AI270)</f>
        <v>@opacity-landcover_clearcut_mid</v>
      </c>
      <c r="C270" s="28" t="s">
        <v>95</v>
      </c>
      <c r="D270" s="28" t="s">
        <v>95</v>
      </c>
      <c r="F270" s="28" t="s">
        <v>95</v>
      </c>
      <c r="G270" s="28" t="s">
        <v>95</v>
      </c>
      <c r="I270" s="28" t="s">
        <v>375</v>
      </c>
      <c r="J270" s="28" t="s">
        <v>375</v>
      </c>
      <c r="L270" s="28" t="s">
        <v>375</v>
      </c>
      <c r="M270" s="28" t="s">
        <v>375</v>
      </c>
      <c r="O270" s="28" t="s">
        <v>376</v>
      </c>
      <c r="P270" s="28" t="s">
        <v>376</v>
      </c>
      <c r="R270" s="28" t="s">
        <v>376</v>
      </c>
      <c r="S270" s="28" t="s">
        <v>376</v>
      </c>
      <c r="U270" s="28" t="s">
        <v>376</v>
      </c>
      <c r="V270" s="28" t="s">
        <v>376</v>
      </c>
      <c r="X270" s="28" t="s">
        <v>376</v>
      </c>
      <c r="Y270" s="28" t="s">
        <v>376</v>
      </c>
      <c r="AA270" s="28" t="s">
        <v>392</v>
      </c>
      <c r="AB270" s="28" t="str">
        <f t="shared" ref="AB270:AB273" si="369">IF(NOT(ISBLANK(AC270)),"-","")</f>
        <v>-</v>
      </c>
      <c r="AC270" s="28" t="s">
        <v>51</v>
      </c>
      <c r="AD270" s="28" t="str">
        <f t="shared" ref="AD270:AD273" si="370">IF(NOT(ISBLANK(AE270)),"_","")</f>
        <v>_</v>
      </c>
      <c r="AE270" s="28" t="s">
        <v>383</v>
      </c>
      <c r="AF270" s="28" t="str">
        <f t="shared" ref="AF270:AF273" si="371">IF(NOT(ISBLANK(AG270)),"_","")</f>
        <v>_</v>
      </c>
      <c r="AG270" s="28" t="s">
        <v>374</v>
      </c>
      <c r="AH270" s="28" t="str">
        <f t="shared" ref="AH270:AH273" si="372">IF(NOT(ISBLANK(AI270)),"_","")</f>
        <v/>
      </c>
    </row>
    <row r="271" spans="1:35" x14ac:dyDescent="0.25">
      <c r="B271" s="2" t="str">
        <f t="shared" si="368"/>
        <v>@opacity-landcover_clearcut_full</v>
      </c>
      <c r="C271" s="28" t="s">
        <v>80</v>
      </c>
      <c r="D271" s="28" t="s">
        <v>80</v>
      </c>
      <c r="F271" s="28" t="s">
        <v>80</v>
      </c>
      <c r="G271" s="28" t="s">
        <v>80</v>
      </c>
      <c r="I271" s="28" t="s">
        <v>95</v>
      </c>
      <c r="J271" s="28" t="s">
        <v>95</v>
      </c>
      <c r="L271" s="28" t="s">
        <v>95</v>
      </c>
      <c r="M271" s="28" t="s">
        <v>95</v>
      </c>
      <c r="O271" s="28" t="s">
        <v>124</v>
      </c>
      <c r="P271" s="28" t="s">
        <v>124</v>
      </c>
      <c r="R271" s="28" t="s">
        <v>124</v>
      </c>
      <c r="S271" s="28" t="s">
        <v>124</v>
      </c>
      <c r="U271" s="28" t="s">
        <v>124</v>
      </c>
      <c r="V271" s="28" t="s">
        <v>124</v>
      </c>
      <c r="X271" s="28" t="s">
        <v>124</v>
      </c>
      <c r="Y271" s="28" t="s">
        <v>124</v>
      </c>
      <c r="AA271" s="28" t="s">
        <v>392</v>
      </c>
      <c r="AB271" s="28" t="str">
        <f t="shared" si="369"/>
        <v>-</v>
      </c>
      <c r="AC271" s="28" t="s">
        <v>51</v>
      </c>
      <c r="AD271" s="28" t="str">
        <f t="shared" si="370"/>
        <v>_</v>
      </c>
      <c r="AE271" s="28" t="s">
        <v>383</v>
      </c>
      <c r="AF271" s="28" t="str">
        <f t="shared" si="371"/>
        <v>_</v>
      </c>
      <c r="AG271" s="28" t="s">
        <v>373</v>
      </c>
      <c r="AH271" s="28" t="str">
        <f t="shared" si="372"/>
        <v/>
      </c>
    </row>
    <row r="272" spans="1:35" x14ac:dyDescent="0.25">
      <c r="B272" s="2" t="str">
        <f t="shared" si="368"/>
        <v>@opacity-landcover_field_mid</v>
      </c>
      <c r="C272" s="28" t="s">
        <v>95</v>
      </c>
      <c r="D272" s="28" t="s">
        <v>95</v>
      </c>
      <c r="F272" s="28" t="s">
        <v>95</v>
      </c>
      <c r="G272" s="28" t="s">
        <v>95</v>
      </c>
      <c r="I272" s="28" t="s">
        <v>95</v>
      </c>
      <c r="J272" s="28" t="s">
        <v>95</v>
      </c>
      <c r="L272" s="28" t="s">
        <v>95</v>
      </c>
      <c r="M272" s="28" t="s">
        <v>95</v>
      </c>
      <c r="O272" s="28" t="s">
        <v>95</v>
      </c>
      <c r="P272" s="28" t="s">
        <v>95</v>
      </c>
      <c r="R272" s="28" t="s">
        <v>95</v>
      </c>
      <c r="S272" s="28" t="s">
        <v>95</v>
      </c>
      <c r="U272" s="28" t="s">
        <v>95</v>
      </c>
      <c r="V272" s="28" t="s">
        <v>95</v>
      </c>
      <c r="X272" s="28" t="s">
        <v>95</v>
      </c>
      <c r="Y272" s="28" t="s">
        <v>95</v>
      </c>
      <c r="AA272" s="28" t="s">
        <v>392</v>
      </c>
      <c r="AB272" s="28" t="str">
        <f t="shared" si="369"/>
        <v>-</v>
      </c>
      <c r="AC272" s="28" t="s">
        <v>51</v>
      </c>
      <c r="AD272" s="28" t="str">
        <f t="shared" si="370"/>
        <v>_</v>
      </c>
      <c r="AE272" s="28" t="s">
        <v>46</v>
      </c>
      <c r="AF272" s="28" t="str">
        <f t="shared" si="371"/>
        <v>_</v>
      </c>
      <c r="AG272" s="28" t="s">
        <v>374</v>
      </c>
      <c r="AH272" s="28" t="str">
        <f t="shared" si="372"/>
        <v/>
      </c>
    </row>
    <row r="273" spans="1:35" x14ac:dyDescent="0.25">
      <c r="B273" s="2" t="str">
        <f t="shared" si="368"/>
        <v>@opacity-landcover_field_full</v>
      </c>
      <c r="C273" s="28" t="s">
        <v>80</v>
      </c>
      <c r="D273" s="28" t="s">
        <v>80</v>
      </c>
      <c r="F273" s="28" t="s">
        <v>80</v>
      </c>
      <c r="G273" s="28" t="s">
        <v>80</v>
      </c>
      <c r="I273" s="28" t="s">
        <v>80</v>
      </c>
      <c r="J273" s="28" t="s">
        <v>80</v>
      </c>
      <c r="L273" s="28" t="s">
        <v>80</v>
      </c>
      <c r="M273" s="28" t="s">
        <v>80</v>
      </c>
      <c r="O273" s="28" t="s">
        <v>80</v>
      </c>
      <c r="P273" s="28" t="s">
        <v>80</v>
      </c>
      <c r="R273" s="28" t="s">
        <v>80</v>
      </c>
      <c r="S273" s="28" t="s">
        <v>80</v>
      </c>
      <c r="U273" s="28" t="s">
        <v>80</v>
      </c>
      <c r="V273" s="28" t="s">
        <v>80</v>
      </c>
      <c r="X273" s="28" t="s">
        <v>80</v>
      </c>
      <c r="Y273" s="28" t="s">
        <v>80</v>
      </c>
      <c r="AA273" s="28" t="s">
        <v>392</v>
      </c>
      <c r="AB273" s="28" t="str">
        <f t="shared" si="369"/>
        <v>-</v>
      </c>
      <c r="AC273" s="28" t="s">
        <v>51</v>
      </c>
      <c r="AD273" s="28" t="str">
        <f t="shared" si="370"/>
        <v>_</v>
      </c>
      <c r="AE273" s="28" t="s">
        <v>46</v>
      </c>
      <c r="AF273" s="28" t="str">
        <f t="shared" si="371"/>
        <v>_</v>
      </c>
      <c r="AG273" s="28" t="s">
        <v>373</v>
      </c>
      <c r="AH273" s="28" t="str">
        <f t="shared" si="372"/>
        <v/>
      </c>
    </row>
    <row r="274" spans="1:35" x14ac:dyDescent="0.25">
      <c r="B274" s="2" t="str">
        <f t="shared" ref="B274" si="373">_xlfn.CONCAT("@",AA274,AB274,AC274,AD274,AE274,AF274,AG274,AH274,AI274)</f>
        <v>@opacity-landcover_scrub_mid</v>
      </c>
      <c r="C274" s="28" t="s">
        <v>95</v>
      </c>
      <c r="D274" s="28" t="s">
        <v>95</v>
      </c>
      <c r="F274" s="28" t="s">
        <v>95</v>
      </c>
      <c r="G274" s="28" t="s">
        <v>95</v>
      </c>
      <c r="I274" s="28" t="s">
        <v>375</v>
      </c>
      <c r="J274" s="28" t="s">
        <v>375</v>
      </c>
      <c r="L274" s="28" t="s">
        <v>375</v>
      </c>
      <c r="M274" s="28" t="s">
        <v>375</v>
      </c>
      <c r="O274" s="28" t="s">
        <v>376</v>
      </c>
      <c r="P274" s="28" t="s">
        <v>376</v>
      </c>
      <c r="R274" s="28" t="s">
        <v>376</v>
      </c>
      <c r="S274" s="28" t="s">
        <v>376</v>
      </c>
      <c r="U274" s="28" t="s">
        <v>376</v>
      </c>
      <c r="V274" s="28" t="s">
        <v>376</v>
      </c>
      <c r="X274" s="28" t="s">
        <v>376</v>
      </c>
      <c r="Y274" s="28" t="s">
        <v>376</v>
      </c>
      <c r="AA274" s="28" t="s">
        <v>392</v>
      </c>
      <c r="AB274" s="28" t="str">
        <f t="shared" si="361"/>
        <v>-</v>
      </c>
      <c r="AC274" s="28" t="s">
        <v>51</v>
      </c>
      <c r="AD274" s="28" t="str">
        <f t="shared" si="362"/>
        <v>_</v>
      </c>
      <c r="AE274" s="28" t="s">
        <v>372</v>
      </c>
      <c r="AF274" s="28" t="str">
        <f t="shared" si="363"/>
        <v>_</v>
      </c>
      <c r="AG274" s="28" t="s">
        <v>374</v>
      </c>
      <c r="AH274" s="28" t="str">
        <f t="shared" si="367"/>
        <v/>
      </c>
    </row>
    <row r="275" spans="1:35" x14ac:dyDescent="0.25">
      <c r="B275" s="2" t="str">
        <f t="shared" ref="B275" si="374">_xlfn.CONCAT("@",AA275,AB275,AC275,AD275,AE275,AF275,AG275,AH275,AI275)</f>
        <v>@opacity-landcover_scrub_full</v>
      </c>
      <c r="C275" s="28" t="s">
        <v>80</v>
      </c>
      <c r="D275" s="28" t="s">
        <v>80</v>
      </c>
      <c r="F275" s="28" t="s">
        <v>80</v>
      </c>
      <c r="G275" s="28" t="s">
        <v>80</v>
      </c>
      <c r="I275" s="28" t="s">
        <v>95</v>
      </c>
      <c r="J275" s="28" t="s">
        <v>95</v>
      </c>
      <c r="L275" s="28" t="s">
        <v>95</v>
      </c>
      <c r="M275" s="28" t="s">
        <v>95</v>
      </c>
      <c r="O275" s="28" t="s">
        <v>124</v>
      </c>
      <c r="P275" s="28" t="s">
        <v>124</v>
      </c>
      <c r="R275" s="28" t="s">
        <v>124</v>
      </c>
      <c r="S275" s="28" t="s">
        <v>124</v>
      </c>
      <c r="U275" s="28" t="s">
        <v>124</v>
      </c>
      <c r="V275" s="28" t="s">
        <v>124</v>
      </c>
      <c r="X275" s="28" t="s">
        <v>124</v>
      </c>
      <c r="Y275" s="28" t="s">
        <v>124</v>
      </c>
      <c r="AA275" s="28" t="s">
        <v>392</v>
      </c>
      <c r="AB275" s="28" t="str">
        <f t="shared" si="239"/>
        <v>-</v>
      </c>
      <c r="AC275" s="28" t="s">
        <v>51</v>
      </c>
      <c r="AD275" s="28" t="str">
        <f t="shared" si="240"/>
        <v>_</v>
      </c>
      <c r="AE275" s="28" t="s">
        <v>372</v>
      </c>
      <c r="AF275" s="28" t="str">
        <f t="shared" si="241"/>
        <v>_</v>
      </c>
      <c r="AG275" s="28" t="s">
        <v>373</v>
      </c>
      <c r="AH275" s="28" t="str">
        <f t="shared" si="359"/>
        <v/>
      </c>
    </row>
    <row r="276" spans="1:35" x14ac:dyDescent="0.25">
      <c r="B276" s="2" t="str">
        <f t="shared" ref="B276:B278" si="375">_xlfn.CONCAT("@",AA276,AB276,AC276,AD276,AE276,AF276,AG276,AH276,AI276)</f>
        <v>@opacity-landcover_wetland_full</v>
      </c>
      <c r="C276" s="28" t="s">
        <v>80</v>
      </c>
      <c r="D276" s="28" t="s">
        <v>80</v>
      </c>
      <c r="F276" s="28" t="s">
        <v>80</v>
      </c>
      <c r="G276" s="28" t="s">
        <v>80</v>
      </c>
      <c r="I276" s="28" t="s">
        <v>95</v>
      </c>
      <c r="J276" s="28" t="s">
        <v>95</v>
      </c>
      <c r="L276" s="28" t="s">
        <v>95</v>
      </c>
      <c r="M276" s="28" t="s">
        <v>95</v>
      </c>
      <c r="O276" s="28" t="s">
        <v>124</v>
      </c>
      <c r="P276" s="28" t="s">
        <v>124</v>
      </c>
      <c r="R276" s="28" t="s">
        <v>124</v>
      </c>
      <c r="S276" s="28" t="s">
        <v>124</v>
      </c>
      <c r="U276" s="28" t="s">
        <v>124</v>
      </c>
      <c r="V276" s="28" t="s">
        <v>124</v>
      </c>
      <c r="X276" s="28" t="s">
        <v>124</v>
      </c>
      <c r="Y276" s="28" t="s">
        <v>124</v>
      </c>
      <c r="AA276" s="28" t="s">
        <v>392</v>
      </c>
      <c r="AB276" s="28" t="str">
        <f t="shared" ref="AB276:AB278" si="376">IF(NOT(ISBLANK(AC276)),"-","")</f>
        <v>-</v>
      </c>
      <c r="AC276" s="28" t="s">
        <v>51</v>
      </c>
      <c r="AD276" s="28" t="str">
        <f t="shared" ref="AD276:AD278" si="377">IF(NOT(ISBLANK(AE276)),"_","")</f>
        <v>_</v>
      </c>
      <c r="AE276" s="28" t="s">
        <v>377</v>
      </c>
      <c r="AF276" s="28" t="str">
        <f t="shared" ref="AF276:AF278" si="378">IF(NOT(ISBLANK(AG276)),"_","")</f>
        <v>_</v>
      </c>
      <c r="AG276" s="28" t="s">
        <v>373</v>
      </c>
      <c r="AH276" s="28" t="str">
        <f t="shared" ref="AH276:AH278" si="379">IF(NOT(ISBLANK(AI276)),"_","")</f>
        <v/>
      </c>
    </row>
    <row r="277" spans="1:35" x14ac:dyDescent="0.25">
      <c r="B277" s="2" t="str">
        <f t="shared" si="375"/>
        <v>@opacity-landuse_sport_play_mid</v>
      </c>
      <c r="C277" s="28" t="s">
        <v>95</v>
      </c>
      <c r="D277" s="28" t="s">
        <v>95</v>
      </c>
      <c r="F277" s="28" t="s">
        <v>95</v>
      </c>
      <c r="G277" s="28" t="s">
        <v>95</v>
      </c>
      <c r="I277" s="28" t="s">
        <v>95</v>
      </c>
      <c r="J277" s="28" t="s">
        <v>95</v>
      </c>
      <c r="L277" s="28" t="s">
        <v>95</v>
      </c>
      <c r="M277" s="28" t="s">
        <v>95</v>
      </c>
      <c r="O277" s="28" t="s">
        <v>95</v>
      </c>
      <c r="P277" s="28" t="s">
        <v>95</v>
      </c>
      <c r="R277" s="28" t="s">
        <v>95</v>
      </c>
      <c r="S277" s="28" t="s">
        <v>95</v>
      </c>
      <c r="U277" s="28" t="s">
        <v>95</v>
      </c>
      <c r="V277" s="28" t="s">
        <v>95</v>
      </c>
      <c r="X277" s="28" t="s">
        <v>95</v>
      </c>
      <c r="Y277" s="28" t="s">
        <v>95</v>
      </c>
      <c r="AA277" s="28" t="s">
        <v>392</v>
      </c>
      <c r="AB277" s="28" t="str">
        <f t="shared" si="376"/>
        <v>-</v>
      </c>
      <c r="AC277" s="28" t="s">
        <v>384</v>
      </c>
      <c r="AD277" s="28" t="str">
        <f t="shared" si="377"/>
        <v>_</v>
      </c>
      <c r="AE277" s="28" t="s">
        <v>240</v>
      </c>
      <c r="AF277" s="28" t="str">
        <f t="shared" si="378"/>
        <v>_</v>
      </c>
      <c r="AG277" s="28" t="s">
        <v>374</v>
      </c>
      <c r="AH277" s="28" t="str">
        <f t="shared" si="379"/>
        <v/>
      </c>
    </row>
    <row r="278" spans="1:35" x14ac:dyDescent="0.25">
      <c r="B278" s="2" t="str">
        <f t="shared" si="375"/>
        <v>@opacity-landuse_sport_play_full</v>
      </c>
      <c r="C278" s="28" t="s">
        <v>80</v>
      </c>
      <c r="D278" s="28" t="s">
        <v>80</v>
      </c>
      <c r="F278" s="28" t="s">
        <v>80</v>
      </c>
      <c r="G278" s="28" t="s">
        <v>80</v>
      </c>
      <c r="I278" s="28" t="s">
        <v>80</v>
      </c>
      <c r="J278" s="28" t="s">
        <v>80</v>
      </c>
      <c r="L278" s="28" t="s">
        <v>80</v>
      </c>
      <c r="M278" s="28" t="s">
        <v>80</v>
      </c>
      <c r="O278" s="28" t="s">
        <v>80</v>
      </c>
      <c r="P278" s="28" t="s">
        <v>80</v>
      </c>
      <c r="R278" s="28" t="s">
        <v>80</v>
      </c>
      <c r="S278" s="28" t="s">
        <v>80</v>
      </c>
      <c r="U278" s="28" t="s">
        <v>80</v>
      </c>
      <c r="V278" s="28" t="s">
        <v>80</v>
      </c>
      <c r="X278" s="28" t="s">
        <v>80</v>
      </c>
      <c r="Y278" s="28" t="s">
        <v>80</v>
      </c>
      <c r="AA278" s="28" t="s">
        <v>392</v>
      </c>
      <c r="AB278" s="28" t="str">
        <f t="shared" si="376"/>
        <v>-</v>
      </c>
      <c r="AC278" s="28" t="s">
        <v>384</v>
      </c>
      <c r="AD278" s="28" t="str">
        <f t="shared" si="377"/>
        <v>_</v>
      </c>
      <c r="AE278" s="28" t="s">
        <v>240</v>
      </c>
      <c r="AF278" s="28" t="str">
        <f t="shared" si="378"/>
        <v>_</v>
      </c>
      <c r="AG278" s="28" t="s">
        <v>373</v>
      </c>
      <c r="AH278" s="28" t="str">
        <f t="shared" si="379"/>
        <v/>
      </c>
    </row>
    <row r="279" spans="1:35" x14ac:dyDescent="0.25">
      <c r="B279" s="2" t="str">
        <f t="shared" ref="B279" si="380">_xlfn.CONCAT("@",AA279,AB279,AC279,AD279,AE279,AF279,AG279,AH279,AI279)</f>
        <v>@opacity-portected_area_outline-inner_full</v>
      </c>
      <c r="C279" s="28" t="s">
        <v>120</v>
      </c>
      <c r="D279" s="28" t="s">
        <v>120</v>
      </c>
      <c r="F279" s="28" t="s">
        <v>380</v>
      </c>
      <c r="G279" s="28" t="s">
        <v>380</v>
      </c>
      <c r="I279" s="28" t="s">
        <v>380</v>
      </c>
      <c r="J279" s="28" t="s">
        <v>380</v>
      </c>
      <c r="L279" s="28" t="s">
        <v>381</v>
      </c>
      <c r="M279" s="28" t="s">
        <v>381</v>
      </c>
      <c r="O279" s="28" t="s">
        <v>380</v>
      </c>
      <c r="P279" s="28" t="s">
        <v>380</v>
      </c>
      <c r="R279" s="28" t="s">
        <v>381</v>
      </c>
      <c r="S279" s="28" t="s">
        <v>381</v>
      </c>
      <c r="U279" s="28" t="s">
        <v>120</v>
      </c>
      <c r="V279" s="28" t="s">
        <v>120</v>
      </c>
      <c r="X279" s="28" t="s">
        <v>120</v>
      </c>
      <c r="Y279" s="28" t="s">
        <v>120</v>
      </c>
      <c r="AA279" s="28" t="s">
        <v>392</v>
      </c>
      <c r="AB279" s="28" t="str">
        <f t="shared" ref="AB279" si="381">IF(NOT(ISBLANK(AC279)),"-","")</f>
        <v>-</v>
      </c>
      <c r="AC279" s="28" t="s">
        <v>378</v>
      </c>
      <c r="AD279" s="28" t="str">
        <f t="shared" ref="AD279" si="382">IF(NOT(ISBLANK(AE279)),"_","")</f>
        <v>_</v>
      </c>
      <c r="AE279" s="28" t="s">
        <v>379</v>
      </c>
      <c r="AF279" s="28" t="str">
        <f t="shared" ref="AF279" si="383">IF(NOT(ISBLANK(AG279)),"_","")</f>
        <v>_</v>
      </c>
      <c r="AG279" s="28" t="s">
        <v>373</v>
      </c>
      <c r="AH279" s="28" t="str">
        <f t="shared" ref="AH279" si="384">IF(NOT(ISBLANK(AI279)),"_","")</f>
        <v/>
      </c>
    </row>
    <row r="280" spans="1:35" x14ac:dyDescent="0.25">
      <c r="B280" s="2" t="str">
        <f t="shared" ref="B280" si="385">_xlfn.CONCAT("@",AA280,AB280,AC280,AD280,AE280,AF280,AG280,AH280,AI280)</f>
        <v>@opacity-portected_area_outline-outer_full</v>
      </c>
      <c r="C280" s="28" t="s">
        <v>80</v>
      </c>
      <c r="D280" s="28" t="s">
        <v>80</v>
      </c>
      <c r="F280" s="28" t="s">
        <v>122</v>
      </c>
      <c r="G280" s="28" t="s">
        <v>122</v>
      </c>
      <c r="I280" s="28" t="s">
        <v>95</v>
      </c>
      <c r="J280" s="28" t="s">
        <v>95</v>
      </c>
      <c r="L280" s="28" t="s">
        <v>375</v>
      </c>
      <c r="M280" s="28" t="s">
        <v>375</v>
      </c>
      <c r="O280" s="28" t="s">
        <v>124</v>
      </c>
      <c r="P280" s="28" t="s">
        <v>124</v>
      </c>
      <c r="R280" s="28" t="s">
        <v>376</v>
      </c>
      <c r="S280" s="28" t="s">
        <v>376</v>
      </c>
      <c r="U280" s="28" t="s">
        <v>80</v>
      </c>
      <c r="V280" s="28" t="s">
        <v>80</v>
      </c>
      <c r="X280" s="28" t="s">
        <v>122</v>
      </c>
      <c r="Y280" s="28" t="s">
        <v>122</v>
      </c>
      <c r="AA280" s="28" t="s">
        <v>392</v>
      </c>
      <c r="AB280" s="28" t="str">
        <f t="shared" ref="AB280" si="386">IF(NOT(ISBLANK(AC280)),"-","")</f>
        <v>-</v>
      </c>
      <c r="AC280" s="28" t="s">
        <v>378</v>
      </c>
      <c r="AD280" s="28" t="str">
        <f t="shared" ref="AD280" si="387">IF(NOT(ISBLANK(AE280)),"_","")</f>
        <v>_</v>
      </c>
      <c r="AE280" s="28" t="s">
        <v>382</v>
      </c>
      <c r="AF280" s="28" t="str">
        <f t="shared" ref="AF280" si="388">IF(NOT(ISBLANK(AG280)),"_","")</f>
        <v>_</v>
      </c>
      <c r="AG280" s="28" t="s">
        <v>373</v>
      </c>
      <c r="AH280" s="28" t="str">
        <f t="shared" ref="AH280" si="389">IF(NOT(ISBLANK(AI280)),"_","")</f>
        <v/>
      </c>
    </row>
    <row r="282" spans="1:35" s="2" customFormat="1" x14ac:dyDescent="0.25">
      <c r="A282" s="3" t="s">
        <v>43</v>
      </c>
      <c r="B282" s="3"/>
      <c r="C282" s="27"/>
      <c r="D282" s="6"/>
      <c r="E282" s="7"/>
      <c r="F282" s="6"/>
      <c r="G282" s="6"/>
      <c r="H282" s="7"/>
      <c r="I282" s="6"/>
      <c r="J282" s="6"/>
      <c r="K282" s="7"/>
      <c r="L282" s="6"/>
      <c r="M282" s="6"/>
      <c r="N282" s="7"/>
      <c r="O282" s="6"/>
      <c r="P282" s="6"/>
      <c r="Q282" s="7"/>
      <c r="R282" s="6"/>
      <c r="S282" s="6"/>
      <c r="T282" s="7"/>
      <c r="U282" s="6"/>
      <c r="V282" s="6"/>
      <c r="W282" s="7"/>
      <c r="X282" s="6"/>
      <c r="Y282" s="6"/>
      <c r="AA282" s="4"/>
      <c r="AB282" s="4" t="str">
        <f t="shared" si="239"/>
        <v/>
      </c>
      <c r="AC282" s="4"/>
      <c r="AD282" s="4" t="str">
        <f t="shared" si="240"/>
        <v/>
      </c>
      <c r="AE282" s="4"/>
      <c r="AF282" s="4" t="str">
        <f t="shared" si="241"/>
        <v/>
      </c>
      <c r="AG282" s="4"/>
      <c r="AH282" s="4" t="str">
        <f t="shared" si="359"/>
        <v/>
      </c>
      <c r="AI282" s="4"/>
    </row>
    <row r="283" spans="1:35" x14ac:dyDescent="0.25">
      <c r="B283" s="2" t="str">
        <f t="shared" ref="B283:B285" si="390">_xlfn.CONCAT("@",AA283,AB283,AC283,AD283,AE283,AF283,AG283,AH283,AI283)</f>
        <v>@color-motorway_case_farzoom</v>
      </c>
      <c r="C283" s="104" t="s">
        <v>211</v>
      </c>
      <c r="D283" s="47" t="s">
        <v>214</v>
      </c>
      <c r="F283" s="104" t="s">
        <v>211</v>
      </c>
      <c r="G283" s="104" t="s">
        <v>211</v>
      </c>
      <c r="I283" s="105" t="str">
        <f>C283</f>
        <v>"#bf440f"</v>
      </c>
      <c r="J283" s="47" t="s">
        <v>214</v>
      </c>
      <c r="L283" s="104" t="s">
        <v>211</v>
      </c>
      <c r="M283" s="104" t="s">
        <v>211</v>
      </c>
      <c r="U283" s="104" t="s">
        <v>211</v>
      </c>
      <c r="V283" s="47" t="s">
        <v>214</v>
      </c>
      <c r="X283" s="104" t="s">
        <v>211</v>
      </c>
      <c r="Y283" s="104" t="s">
        <v>211</v>
      </c>
      <c r="AA283" s="2" t="s">
        <v>6</v>
      </c>
      <c r="AB283" s="2" t="str">
        <f t="shared" si="239"/>
        <v>-</v>
      </c>
      <c r="AC283" s="2" t="s">
        <v>16</v>
      </c>
      <c r="AD283" s="2" t="str">
        <f t="shared" si="240"/>
        <v>_</v>
      </c>
      <c r="AE283" s="2" t="s">
        <v>17</v>
      </c>
      <c r="AF283" s="2" t="str">
        <f t="shared" si="241"/>
        <v>_</v>
      </c>
      <c r="AG283" s="2" t="s">
        <v>20</v>
      </c>
      <c r="AH283" s="2" t="str">
        <f t="shared" si="359"/>
        <v/>
      </c>
      <c r="AI283" s="2"/>
    </row>
    <row r="284" spans="1:35" x14ac:dyDescent="0.25">
      <c r="B284" s="2" t="str">
        <f t="shared" si="390"/>
        <v>@color-motorway_case_default</v>
      </c>
      <c r="C284" s="106" t="s">
        <v>212</v>
      </c>
      <c r="D284" s="47" t="s">
        <v>214</v>
      </c>
      <c r="F284" s="47" t="s">
        <v>214</v>
      </c>
      <c r="G284" s="47" t="s">
        <v>214</v>
      </c>
      <c r="I284" s="107" t="str">
        <f>C284</f>
        <v>"#a15412"</v>
      </c>
      <c r="J284" s="47" t="s">
        <v>214</v>
      </c>
      <c r="L284" s="47" t="s">
        <v>214</v>
      </c>
      <c r="M284" s="47" t="s">
        <v>214</v>
      </c>
      <c r="U284" s="106" t="s">
        <v>212</v>
      </c>
      <c r="V284" s="47" t="s">
        <v>214</v>
      </c>
      <c r="X284" s="47" t="s">
        <v>214</v>
      </c>
      <c r="Y284" s="47" t="s">
        <v>214</v>
      </c>
      <c r="AA284" s="2" t="s">
        <v>6</v>
      </c>
      <c r="AB284" s="2" t="str">
        <f t="shared" si="239"/>
        <v>-</v>
      </c>
      <c r="AC284" s="2" t="s">
        <v>16</v>
      </c>
      <c r="AD284" s="2" t="str">
        <f t="shared" si="240"/>
        <v>_</v>
      </c>
      <c r="AE284" s="2" t="s">
        <v>17</v>
      </c>
      <c r="AF284" s="2" t="str">
        <f t="shared" si="241"/>
        <v>_</v>
      </c>
      <c r="AG284" s="2" t="s">
        <v>262</v>
      </c>
      <c r="AH284" s="2" t="str">
        <f t="shared" si="359"/>
        <v/>
      </c>
      <c r="AI284" s="2"/>
    </row>
    <row r="285" spans="1:35" x14ac:dyDescent="0.25">
      <c r="B285" s="2" t="str">
        <f t="shared" si="390"/>
        <v>@color-motorway_line_default</v>
      </c>
      <c r="C285" s="108" t="s">
        <v>213</v>
      </c>
      <c r="D285" s="109" t="s">
        <v>215</v>
      </c>
      <c r="F285" s="109" t="s">
        <v>215</v>
      </c>
      <c r="G285" s="109" t="s">
        <v>215</v>
      </c>
      <c r="I285" s="110" t="str">
        <f>C285</f>
        <v>"#ffcc88"</v>
      </c>
      <c r="J285" s="111" t="str">
        <f>D285</f>
        <v>"#d6771e"</v>
      </c>
      <c r="L285" s="109" t="s">
        <v>215</v>
      </c>
      <c r="M285" s="109" t="s">
        <v>215</v>
      </c>
      <c r="U285" s="108" t="s">
        <v>213</v>
      </c>
      <c r="V285" s="109" t="s">
        <v>215</v>
      </c>
      <c r="X285" s="109" t="s">
        <v>215</v>
      </c>
      <c r="Y285" s="109" t="s">
        <v>215</v>
      </c>
      <c r="AA285" s="2" t="s">
        <v>6</v>
      </c>
      <c r="AB285" s="2" t="str">
        <f t="shared" si="239"/>
        <v>-</v>
      </c>
      <c r="AC285" s="2" t="s">
        <v>16</v>
      </c>
      <c r="AD285" s="2" t="str">
        <f t="shared" si="240"/>
        <v>_</v>
      </c>
      <c r="AE285" s="2" t="s">
        <v>13</v>
      </c>
      <c r="AF285" s="2" t="str">
        <f t="shared" si="241"/>
        <v>_</v>
      </c>
      <c r="AG285" s="2" t="s">
        <v>262</v>
      </c>
      <c r="AH285" s="2" t="str">
        <f t="shared" si="359"/>
        <v/>
      </c>
      <c r="AI285" s="2"/>
    </row>
    <row r="286" spans="1:35" x14ac:dyDescent="0.25">
      <c r="AB286" s="28" t="str">
        <f t="shared" si="239"/>
        <v/>
      </c>
      <c r="AD286" s="28" t="str">
        <f t="shared" si="240"/>
        <v/>
      </c>
      <c r="AF286" s="28" t="str">
        <f t="shared" si="241"/>
        <v/>
      </c>
      <c r="AH286" s="28" t="str">
        <f t="shared" si="359"/>
        <v/>
      </c>
    </row>
    <row r="287" spans="1:35" s="2" customFormat="1" x14ac:dyDescent="0.25">
      <c r="A287" s="3" t="s">
        <v>45</v>
      </c>
      <c r="B287" s="3"/>
      <c r="C287" s="27"/>
      <c r="D287" s="6"/>
      <c r="E287" s="7"/>
      <c r="F287" s="6"/>
      <c r="G287" s="6"/>
      <c r="H287" s="7"/>
      <c r="I287" s="6"/>
      <c r="J287" s="6"/>
      <c r="K287" s="7"/>
      <c r="L287" s="6"/>
      <c r="M287" s="6"/>
      <c r="N287" s="7"/>
      <c r="O287" s="6"/>
      <c r="P287" s="6"/>
      <c r="Q287" s="7"/>
      <c r="R287" s="6"/>
      <c r="S287" s="6"/>
      <c r="T287" s="7"/>
      <c r="U287" s="27"/>
      <c r="V287" s="6"/>
      <c r="W287" s="7"/>
      <c r="X287" s="6"/>
      <c r="Y287" s="6"/>
      <c r="AA287" s="4"/>
      <c r="AB287" s="4" t="str">
        <f t="shared" si="239"/>
        <v/>
      </c>
      <c r="AC287" s="4"/>
      <c r="AD287" s="4" t="str">
        <f t="shared" si="240"/>
        <v/>
      </c>
      <c r="AE287" s="4"/>
      <c r="AF287" s="4" t="str">
        <f t="shared" si="241"/>
        <v/>
      </c>
      <c r="AG287" s="4"/>
      <c r="AH287" s="4" t="str">
        <f t="shared" si="359"/>
        <v/>
      </c>
      <c r="AI287" s="4"/>
    </row>
    <row r="288" spans="1:35" x14ac:dyDescent="0.25">
      <c r="B288" s="2" t="str">
        <f t="shared" ref="B288:B296" si="391">_xlfn.CONCAT("@",AA288,AB288,AC288,AD288,AE288,AF288,AG288,AH288,AI288)</f>
        <v>@color-trunk_case_bicycle_no_default</v>
      </c>
      <c r="C288" s="112" t="s">
        <v>226</v>
      </c>
      <c r="D288" s="47" t="s">
        <v>214</v>
      </c>
      <c r="F288" s="47" t="s">
        <v>214</v>
      </c>
      <c r="G288" s="47" t="s">
        <v>214</v>
      </c>
      <c r="I288" s="113" t="str">
        <f>C288</f>
        <v>"#bd430f"</v>
      </c>
      <c r="J288" s="37" t="str">
        <f>D288</f>
        <v>"#000000"</v>
      </c>
      <c r="L288" s="47" t="s">
        <v>214</v>
      </c>
      <c r="M288" s="47" t="s">
        <v>214</v>
      </c>
      <c r="U288" s="112" t="s">
        <v>226</v>
      </c>
      <c r="V288" s="47" t="s">
        <v>214</v>
      </c>
      <c r="X288" s="47" t="s">
        <v>214</v>
      </c>
      <c r="Y288" s="47" t="s">
        <v>214</v>
      </c>
      <c r="AA288" s="28" t="s">
        <v>6</v>
      </c>
      <c r="AB288" s="2" t="str">
        <f t="shared" si="239"/>
        <v>-</v>
      </c>
      <c r="AC288" s="2" t="s">
        <v>18</v>
      </c>
      <c r="AD288" s="2" t="str">
        <f t="shared" ref="AD288" si="392">IF(NOT(ISBLANK(AE288)),"_","")</f>
        <v>_</v>
      </c>
      <c r="AE288" s="28" t="s">
        <v>17</v>
      </c>
      <c r="AF288" s="2" t="str">
        <f t="shared" ref="AF288" si="393">IF(NOT(ISBLANK(AG288)),"_","")</f>
        <v>_</v>
      </c>
      <c r="AG288" s="28" t="s">
        <v>23</v>
      </c>
      <c r="AH288" s="2" t="str">
        <f t="shared" si="359"/>
        <v>_</v>
      </c>
      <c r="AI288" s="28" t="s">
        <v>262</v>
      </c>
    </row>
    <row r="289" spans="1:35" x14ac:dyDescent="0.25">
      <c r="B289" s="2" t="str">
        <f t="shared" si="391"/>
        <v>@color-trunk_case_bicycle_no_farzoom</v>
      </c>
      <c r="C289" s="112" t="s">
        <v>226</v>
      </c>
      <c r="D289" s="47" t="s">
        <v>214</v>
      </c>
      <c r="F289" s="112" t="s">
        <v>226</v>
      </c>
      <c r="G289" s="112" t="s">
        <v>226</v>
      </c>
      <c r="I289" s="113" t="str">
        <f>C289</f>
        <v>"#bd430f"</v>
      </c>
      <c r="J289" s="37" t="str">
        <f>D289</f>
        <v>"#000000"</v>
      </c>
      <c r="L289" s="112" t="s">
        <v>226</v>
      </c>
      <c r="M289" s="112" t="s">
        <v>226</v>
      </c>
      <c r="U289" s="112" t="s">
        <v>226</v>
      </c>
      <c r="V289" s="47" t="s">
        <v>214</v>
      </c>
      <c r="X289" s="112" t="s">
        <v>226</v>
      </c>
      <c r="Y289" s="112" t="s">
        <v>226</v>
      </c>
      <c r="AA289" s="28" t="s">
        <v>6</v>
      </c>
      <c r="AB289" s="2" t="str">
        <f t="shared" ref="AB289" si="394">IF(NOT(ISBLANK(AC289)),"-","")</f>
        <v>-</v>
      </c>
      <c r="AC289" s="2" t="s">
        <v>18</v>
      </c>
      <c r="AD289" s="2" t="str">
        <f t="shared" ref="AD289" si="395">IF(NOT(ISBLANK(AE289)),"_","")</f>
        <v>_</v>
      </c>
      <c r="AE289" s="28" t="s">
        <v>17</v>
      </c>
      <c r="AF289" s="2" t="str">
        <f t="shared" ref="AF289" si="396">IF(NOT(ISBLANK(AG289)),"_","")</f>
        <v>_</v>
      </c>
      <c r="AG289" s="28" t="s">
        <v>23</v>
      </c>
      <c r="AH289" s="2" t="str">
        <f t="shared" si="359"/>
        <v>_</v>
      </c>
      <c r="AI289" s="28" t="s">
        <v>20</v>
      </c>
    </row>
    <row r="290" spans="1:35" x14ac:dyDescent="0.25">
      <c r="B290" s="2" t="str">
        <f t="shared" si="391"/>
        <v>@color-trunk_case_unpaved_farzoom</v>
      </c>
      <c r="C290" s="114" t="s">
        <v>227</v>
      </c>
      <c r="D290" s="115" t="s">
        <v>229</v>
      </c>
      <c r="F290" s="115" t="s">
        <v>229</v>
      </c>
      <c r="G290" s="114" t="s">
        <v>227</v>
      </c>
      <c r="I290" s="114" t="s">
        <v>227</v>
      </c>
      <c r="J290" s="115" t="s">
        <v>229</v>
      </c>
      <c r="L290" s="115" t="s">
        <v>229</v>
      </c>
      <c r="M290" s="114" t="s">
        <v>227</v>
      </c>
      <c r="U290" s="117" t="s">
        <v>228</v>
      </c>
      <c r="V290" s="47" t="s">
        <v>214</v>
      </c>
      <c r="X290" s="117" t="s">
        <v>228</v>
      </c>
      <c r="Y290" s="117" t="s">
        <v>228</v>
      </c>
      <c r="AA290" s="28" t="s">
        <v>6</v>
      </c>
      <c r="AB290" s="2" t="str">
        <f>IF(NOT(ISBLANK(AC290)),"-","")</f>
        <v>-</v>
      </c>
      <c r="AC290" s="2" t="s">
        <v>18</v>
      </c>
      <c r="AD290" s="2" t="str">
        <f>IF(NOT(ISBLANK(AE290)),"_","")</f>
        <v>_</v>
      </c>
      <c r="AE290" s="28" t="s">
        <v>17</v>
      </c>
      <c r="AF290" s="2" t="str">
        <f>IF(NOT(ISBLANK(AG290)),"_","")</f>
        <v>_</v>
      </c>
      <c r="AG290" s="28" t="s">
        <v>21</v>
      </c>
      <c r="AH290" s="2" t="str">
        <f>IF(NOT(ISBLANK(AI290)),"_","")</f>
        <v>_</v>
      </c>
      <c r="AI290" s="28" t="s">
        <v>20</v>
      </c>
    </row>
    <row r="291" spans="1:35" x14ac:dyDescent="0.25">
      <c r="B291" s="2" t="str">
        <f t="shared" si="391"/>
        <v>@color-trunk_case_unpaved_default</v>
      </c>
      <c r="C291" s="116" t="s">
        <v>217</v>
      </c>
      <c r="D291" s="47" t="s">
        <v>214</v>
      </c>
      <c r="F291" s="47" t="s">
        <v>214</v>
      </c>
      <c r="G291" s="47" t="s">
        <v>214</v>
      </c>
      <c r="I291" s="116" t="s">
        <v>217</v>
      </c>
      <c r="J291" s="47" t="s">
        <v>214</v>
      </c>
      <c r="L291" s="47" t="s">
        <v>214</v>
      </c>
      <c r="M291" s="47" t="s">
        <v>214</v>
      </c>
      <c r="U291" s="118" t="s">
        <v>218</v>
      </c>
      <c r="V291" s="47" t="s">
        <v>214</v>
      </c>
      <c r="X291" s="47" t="s">
        <v>214</v>
      </c>
      <c r="Y291" s="47" t="s">
        <v>214</v>
      </c>
      <c r="AA291" s="28" t="s">
        <v>6</v>
      </c>
      <c r="AB291" s="28" t="str">
        <f t="shared" si="239"/>
        <v>-</v>
      </c>
      <c r="AC291" s="2" t="s">
        <v>18</v>
      </c>
      <c r="AD291" s="28" t="str">
        <f t="shared" si="240"/>
        <v>_</v>
      </c>
      <c r="AE291" s="28" t="s">
        <v>17</v>
      </c>
      <c r="AF291" s="28" t="str">
        <f t="shared" si="241"/>
        <v>_</v>
      </c>
      <c r="AG291" s="28" t="s">
        <v>21</v>
      </c>
      <c r="AH291" s="28" t="str">
        <f t="shared" ref="AH291:AH300" si="397">IF(NOT(ISBLANK(AI291)),"_","")</f>
        <v>_</v>
      </c>
      <c r="AI291" s="28" t="s">
        <v>262</v>
      </c>
    </row>
    <row r="292" spans="1:35" x14ac:dyDescent="0.25">
      <c r="B292" s="2" t="str">
        <f t="shared" si="391"/>
        <v>@color-trunk_case_paved_or_uk_farzoom</v>
      </c>
      <c r="C292" s="117" t="s">
        <v>228</v>
      </c>
      <c r="D292" s="47" t="s">
        <v>214</v>
      </c>
      <c r="F292" s="117" t="s">
        <v>228</v>
      </c>
      <c r="G292" s="117" t="s">
        <v>228</v>
      </c>
      <c r="I292" s="117" t="s">
        <v>228</v>
      </c>
      <c r="J292" s="47" t="s">
        <v>214</v>
      </c>
      <c r="L292" s="117" t="s">
        <v>228</v>
      </c>
      <c r="M292" s="117" t="s">
        <v>228</v>
      </c>
      <c r="U292" s="117" t="s">
        <v>228</v>
      </c>
      <c r="V292" s="47" t="s">
        <v>214</v>
      </c>
      <c r="X292" s="117" t="s">
        <v>228</v>
      </c>
      <c r="Y292" s="117" t="s">
        <v>228</v>
      </c>
      <c r="AA292" s="2" t="s">
        <v>6</v>
      </c>
      <c r="AB292" s="2" t="str">
        <f t="shared" si="239"/>
        <v>-</v>
      </c>
      <c r="AC292" s="2" t="s">
        <v>18</v>
      </c>
      <c r="AD292" s="2" t="str">
        <f t="shared" si="240"/>
        <v>_</v>
      </c>
      <c r="AE292" s="2" t="s">
        <v>17</v>
      </c>
      <c r="AF292" s="2" t="str">
        <f t="shared" si="241"/>
        <v>_</v>
      </c>
      <c r="AG292" s="2" t="s">
        <v>24</v>
      </c>
      <c r="AH292" s="2" t="str">
        <f t="shared" si="397"/>
        <v>_</v>
      </c>
      <c r="AI292" s="28" t="s">
        <v>20</v>
      </c>
    </row>
    <row r="293" spans="1:35" x14ac:dyDescent="0.25">
      <c r="B293" s="2" t="str">
        <f t="shared" si="391"/>
        <v>@color-trunk_case_paved_or_uk_default</v>
      </c>
      <c r="C293" s="118" t="s">
        <v>218</v>
      </c>
      <c r="D293" s="47" t="s">
        <v>214</v>
      </c>
      <c r="F293" s="47" t="s">
        <v>214</v>
      </c>
      <c r="G293" s="47" t="s">
        <v>214</v>
      </c>
      <c r="I293" s="118" t="s">
        <v>218</v>
      </c>
      <c r="J293" s="47" t="s">
        <v>214</v>
      </c>
      <c r="L293" s="47" t="s">
        <v>214</v>
      </c>
      <c r="M293" s="47" t="s">
        <v>214</v>
      </c>
      <c r="U293" s="118" t="s">
        <v>218</v>
      </c>
      <c r="V293" s="47" t="s">
        <v>214</v>
      </c>
      <c r="X293" s="47" t="s">
        <v>214</v>
      </c>
      <c r="Y293" s="47" t="s">
        <v>214</v>
      </c>
      <c r="AA293" s="2" t="s">
        <v>6</v>
      </c>
      <c r="AB293" s="2" t="str">
        <f t="shared" si="239"/>
        <v>-</v>
      </c>
      <c r="AC293" s="2" t="s">
        <v>18</v>
      </c>
      <c r="AD293" s="2" t="str">
        <f t="shared" si="240"/>
        <v>_</v>
      </c>
      <c r="AE293" s="2" t="s">
        <v>17</v>
      </c>
      <c r="AF293" s="2" t="str">
        <f t="shared" si="241"/>
        <v>_</v>
      </c>
      <c r="AG293" s="2" t="s">
        <v>24</v>
      </c>
      <c r="AH293" s="2" t="str">
        <f t="shared" si="397"/>
        <v>_</v>
      </c>
      <c r="AI293" s="28" t="s">
        <v>262</v>
      </c>
    </row>
    <row r="294" spans="1:35" x14ac:dyDescent="0.25">
      <c r="B294" s="2" t="str">
        <f t="shared" si="391"/>
        <v>@color-trunk_line_bicycle_no</v>
      </c>
      <c r="C294" s="108" t="s">
        <v>213</v>
      </c>
      <c r="D294" s="109" t="s">
        <v>215</v>
      </c>
      <c r="F294" s="108" t="s">
        <v>213</v>
      </c>
      <c r="G294" s="109" t="s">
        <v>215</v>
      </c>
      <c r="I294" s="110" t="str">
        <f>C294</f>
        <v>"#ffcc88"</v>
      </c>
      <c r="J294" s="111" t="str">
        <f>D294</f>
        <v>"#d6771e"</v>
      </c>
      <c r="L294" s="108" t="s">
        <v>213</v>
      </c>
      <c r="M294" s="109" t="s">
        <v>215</v>
      </c>
      <c r="U294" s="108" t="s">
        <v>213</v>
      </c>
      <c r="V294" s="109" t="s">
        <v>215</v>
      </c>
      <c r="X294" s="108" t="s">
        <v>213</v>
      </c>
      <c r="Y294" s="109" t="s">
        <v>215</v>
      </c>
      <c r="AA294" s="2" t="s">
        <v>6</v>
      </c>
      <c r="AB294" s="2" t="str">
        <f t="shared" si="239"/>
        <v>-</v>
      </c>
      <c r="AC294" s="2" t="s">
        <v>18</v>
      </c>
      <c r="AD294" s="2" t="str">
        <f t="shared" si="240"/>
        <v>_</v>
      </c>
      <c r="AE294" s="2" t="s">
        <v>13</v>
      </c>
      <c r="AF294" s="2" t="str">
        <f t="shared" si="241"/>
        <v>_</v>
      </c>
      <c r="AG294" s="2" t="s">
        <v>23</v>
      </c>
      <c r="AH294" s="2" t="str">
        <f t="shared" si="397"/>
        <v/>
      </c>
      <c r="AI294" s="2"/>
    </row>
    <row r="295" spans="1:35" x14ac:dyDescent="0.25">
      <c r="B295" s="2" t="str">
        <f t="shared" si="391"/>
        <v>@color-trunk_line_unpaved_default</v>
      </c>
      <c r="C295" s="119" t="s">
        <v>221</v>
      </c>
      <c r="D295" s="120" t="str">
        <f>C295</f>
        <v>"#eddfca"</v>
      </c>
      <c r="F295" s="119" t="s">
        <v>221</v>
      </c>
      <c r="G295" s="120" t="str">
        <f>F295</f>
        <v>"#eddfca"</v>
      </c>
      <c r="I295" s="119" t="s">
        <v>221</v>
      </c>
      <c r="J295" s="120" t="str">
        <f>I295</f>
        <v>"#eddfca"</v>
      </c>
      <c r="L295" s="119" t="s">
        <v>221</v>
      </c>
      <c r="M295" s="120" t="str">
        <f>L295</f>
        <v>"#eddfca"</v>
      </c>
      <c r="U295" s="46" t="s">
        <v>222</v>
      </c>
      <c r="V295" s="38" t="str">
        <f>U295</f>
        <v>"#ffffff"</v>
      </c>
      <c r="X295" s="46" t="s">
        <v>222</v>
      </c>
      <c r="Y295" s="38" t="str">
        <f>X295</f>
        <v>"#ffffff"</v>
      </c>
      <c r="AA295" s="2" t="s">
        <v>6</v>
      </c>
      <c r="AB295" s="2" t="str">
        <f t="shared" si="239"/>
        <v>-</v>
      </c>
      <c r="AC295" s="2" t="s">
        <v>18</v>
      </c>
      <c r="AD295" s="2" t="str">
        <f t="shared" si="240"/>
        <v>_</v>
      </c>
      <c r="AE295" s="2" t="s">
        <v>13</v>
      </c>
      <c r="AF295" s="2" t="str">
        <f t="shared" si="241"/>
        <v>_</v>
      </c>
      <c r="AG295" s="2" t="s">
        <v>21</v>
      </c>
      <c r="AH295" s="2" t="str">
        <f t="shared" si="397"/>
        <v>_</v>
      </c>
      <c r="AI295" s="28" t="s">
        <v>262</v>
      </c>
    </row>
    <row r="296" spans="1:35" x14ac:dyDescent="0.25">
      <c r="B296" s="2" t="str">
        <f t="shared" si="391"/>
        <v>@color-trunk_line_paved_or_uk_default</v>
      </c>
      <c r="C296" s="46" t="s">
        <v>222</v>
      </c>
      <c r="D296" s="38" t="str">
        <f>C296</f>
        <v>"#ffffff"</v>
      </c>
      <c r="F296" s="46" t="s">
        <v>222</v>
      </c>
      <c r="G296" s="38" t="str">
        <f>F296</f>
        <v>"#ffffff"</v>
      </c>
      <c r="I296" s="46" t="s">
        <v>222</v>
      </c>
      <c r="J296" s="38" t="str">
        <f>I296</f>
        <v>"#ffffff"</v>
      </c>
      <c r="L296" s="46" t="s">
        <v>222</v>
      </c>
      <c r="M296" s="38" t="str">
        <f>L296</f>
        <v>"#ffffff"</v>
      </c>
      <c r="U296" s="46" t="s">
        <v>222</v>
      </c>
      <c r="V296" s="38" t="str">
        <f>U296</f>
        <v>"#ffffff"</v>
      </c>
      <c r="X296" s="46" t="s">
        <v>222</v>
      </c>
      <c r="Y296" s="38" t="str">
        <f>X296</f>
        <v>"#ffffff"</v>
      </c>
      <c r="AA296" s="28" t="s">
        <v>6</v>
      </c>
      <c r="AB296" s="28" t="str">
        <f t="shared" si="239"/>
        <v>-</v>
      </c>
      <c r="AC296" s="28" t="s">
        <v>18</v>
      </c>
      <c r="AD296" s="28" t="str">
        <f t="shared" si="240"/>
        <v>_</v>
      </c>
      <c r="AE296" s="28" t="s">
        <v>13</v>
      </c>
      <c r="AF296" s="28" t="str">
        <f t="shared" si="241"/>
        <v>_</v>
      </c>
      <c r="AG296" s="28" t="s">
        <v>24</v>
      </c>
      <c r="AH296" s="28" t="str">
        <f t="shared" si="397"/>
        <v>_</v>
      </c>
      <c r="AI296" s="28" t="s">
        <v>262</v>
      </c>
    </row>
    <row r="297" spans="1:35" x14ac:dyDescent="0.25">
      <c r="B297" s="2"/>
      <c r="AB297" s="28" t="str">
        <f t="shared" si="239"/>
        <v/>
      </c>
      <c r="AD297" s="28" t="str">
        <f t="shared" si="240"/>
        <v/>
      </c>
      <c r="AF297" s="28" t="str">
        <f t="shared" si="241"/>
        <v/>
      </c>
      <c r="AH297" s="28" t="str">
        <f t="shared" si="397"/>
        <v/>
      </c>
    </row>
    <row r="298" spans="1:35" s="2" customFormat="1" x14ac:dyDescent="0.25">
      <c r="A298" s="3" t="s">
        <v>44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27"/>
      <c r="V298" s="6"/>
      <c r="W298" s="7"/>
      <c r="X298" s="6"/>
      <c r="Y298" s="6"/>
      <c r="AA298" s="4"/>
      <c r="AB298" s="4" t="str">
        <f t="shared" si="239"/>
        <v/>
      </c>
      <c r="AC298" s="4"/>
      <c r="AD298" s="4" t="str">
        <f t="shared" si="240"/>
        <v/>
      </c>
      <c r="AE298" s="4"/>
      <c r="AF298" s="4" t="str">
        <f t="shared" si="241"/>
        <v/>
      </c>
      <c r="AG298" s="4"/>
      <c r="AH298" s="4" t="str">
        <f t="shared" si="397"/>
        <v/>
      </c>
      <c r="AI298" s="4"/>
    </row>
    <row r="299" spans="1:35" x14ac:dyDescent="0.25">
      <c r="B299" s="2" t="str">
        <f t="shared" ref="B299:B307" si="398">_xlfn.CONCAT("@",AA299,AB299,AC299,AD299,AE299,AF299,AG299,AH299,AI299)</f>
        <v>@color-primary_case_bicycle_no_default</v>
      </c>
      <c r="C299" s="112" t="s">
        <v>226</v>
      </c>
      <c r="D299" s="47" t="s">
        <v>214</v>
      </c>
      <c r="F299" s="47" t="s">
        <v>214</v>
      </c>
      <c r="G299" s="47" t="s">
        <v>214</v>
      </c>
      <c r="I299" s="113" t="str">
        <f>C299</f>
        <v>"#bd430f"</v>
      </c>
      <c r="J299" s="37" t="str">
        <f>D299</f>
        <v>"#000000"</v>
      </c>
      <c r="L299" s="47" t="s">
        <v>214</v>
      </c>
      <c r="M299" s="47" t="s">
        <v>214</v>
      </c>
      <c r="U299" s="112" t="s">
        <v>226</v>
      </c>
      <c r="V299" s="47" t="s">
        <v>214</v>
      </c>
      <c r="X299" s="47" t="s">
        <v>214</v>
      </c>
      <c r="Y299" s="47" t="s">
        <v>214</v>
      </c>
      <c r="AA299" s="28" t="s">
        <v>6</v>
      </c>
      <c r="AB299" s="2" t="str">
        <f t="shared" ref="AB299:AB408" si="399">IF(NOT(ISBLANK(AC299)),"-","")</f>
        <v>-</v>
      </c>
      <c r="AC299" s="2" t="s">
        <v>25</v>
      </c>
      <c r="AD299" s="2" t="str">
        <f t="shared" si="240"/>
        <v>_</v>
      </c>
      <c r="AE299" s="28" t="s">
        <v>17</v>
      </c>
      <c r="AF299" s="2" t="str">
        <f t="shared" si="241"/>
        <v>_</v>
      </c>
      <c r="AG299" s="28" t="s">
        <v>23</v>
      </c>
      <c r="AH299" s="2" t="str">
        <f t="shared" si="397"/>
        <v>_</v>
      </c>
      <c r="AI299" s="28" t="s">
        <v>262</v>
      </c>
    </row>
    <row r="300" spans="1:35" x14ac:dyDescent="0.25">
      <c r="B300" s="2" t="str">
        <f t="shared" si="398"/>
        <v>@color-primary_case_bicycle_no_farzoom</v>
      </c>
      <c r="C300" s="112" t="s">
        <v>226</v>
      </c>
      <c r="D300" s="47" t="s">
        <v>214</v>
      </c>
      <c r="F300" s="112" t="s">
        <v>226</v>
      </c>
      <c r="G300" s="112" t="s">
        <v>226</v>
      </c>
      <c r="I300" s="113" t="str">
        <f>C300</f>
        <v>"#bd430f"</v>
      </c>
      <c r="J300" s="37" t="str">
        <f>D300</f>
        <v>"#000000"</v>
      </c>
      <c r="L300" s="112" t="s">
        <v>226</v>
      </c>
      <c r="M300" s="112" t="s">
        <v>226</v>
      </c>
      <c r="U300" s="112" t="s">
        <v>226</v>
      </c>
      <c r="V300" s="47" t="s">
        <v>214</v>
      </c>
      <c r="X300" s="112" t="s">
        <v>226</v>
      </c>
      <c r="Y300" s="112" t="s">
        <v>226</v>
      </c>
      <c r="AA300" s="28" t="s">
        <v>6</v>
      </c>
      <c r="AB300" s="2" t="str">
        <f t="shared" ref="AB300" si="400">IF(NOT(ISBLANK(AC300)),"-","")</f>
        <v>-</v>
      </c>
      <c r="AC300" s="2" t="s">
        <v>25</v>
      </c>
      <c r="AD300" s="2" t="str">
        <f t="shared" ref="AD300" si="401">IF(NOT(ISBLANK(AE300)),"_","")</f>
        <v>_</v>
      </c>
      <c r="AE300" s="28" t="s">
        <v>17</v>
      </c>
      <c r="AF300" s="2" t="str">
        <f t="shared" ref="AF300" si="402">IF(NOT(ISBLANK(AG300)),"_","")</f>
        <v>_</v>
      </c>
      <c r="AG300" s="28" t="s">
        <v>23</v>
      </c>
      <c r="AH300" s="2" t="str">
        <f t="shared" si="397"/>
        <v>_</v>
      </c>
      <c r="AI300" s="28" t="s">
        <v>20</v>
      </c>
    </row>
    <row r="301" spans="1:35" x14ac:dyDescent="0.25">
      <c r="B301" s="2" t="str">
        <f t="shared" si="398"/>
        <v>@color-primary_case_unpaved_farzoom</v>
      </c>
      <c r="C301" s="114" t="s">
        <v>227</v>
      </c>
      <c r="D301" s="115" t="s">
        <v>229</v>
      </c>
      <c r="F301" s="115" t="s">
        <v>229</v>
      </c>
      <c r="G301" s="114" t="s">
        <v>227</v>
      </c>
      <c r="I301" s="114" t="s">
        <v>227</v>
      </c>
      <c r="J301" s="115" t="s">
        <v>229</v>
      </c>
      <c r="L301" s="115" t="s">
        <v>229</v>
      </c>
      <c r="M301" s="114" t="s">
        <v>227</v>
      </c>
      <c r="U301" s="117" t="s">
        <v>228</v>
      </c>
      <c r="V301" s="47" t="s">
        <v>214</v>
      </c>
      <c r="X301" s="117" t="s">
        <v>228</v>
      </c>
      <c r="Y301" s="117" t="s">
        <v>228</v>
      </c>
      <c r="AA301" s="28" t="s">
        <v>6</v>
      </c>
      <c r="AB301" s="2" t="str">
        <f>IF(NOT(ISBLANK(AC301)),"-","")</f>
        <v>-</v>
      </c>
      <c r="AC301" s="2" t="s">
        <v>25</v>
      </c>
      <c r="AD301" s="2" t="str">
        <f>IF(NOT(ISBLANK(AE301)),"_","")</f>
        <v>_</v>
      </c>
      <c r="AE301" s="28" t="s">
        <v>17</v>
      </c>
      <c r="AF301" s="2" t="str">
        <f>IF(NOT(ISBLANK(AG301)),"_","")</f>
        <v>_</v>
      </c>
      <c r="AG301" s="28" t="s">
        <v>21</v>
      </c>
      <c r="AH301" s="2" t="str">
        <f>IF(NOT(ISBLANK(AI301)),"_","")</f>
        <v>_</v>
      </c>
      <c r="AI301" s="28" t="s">
        <v>20</v>
      </c>
    </row>
    <row r="302" spans="1:35" x14ac:dyDescent="0.25">
      <c r="B302" s="2" t="str">
        <f t="shared" si="398"/>
        <v>@color-primary_case_unpaved_default</v>
      </c>
      <c r="C302" s="116" t="s">
        <v>217</v>
      </c>
      <c r="D302" s="115" t="s">
        <v>229</v>
      </c>
      <c r="F302" s="47" t="s">
        <v>214</v>
      </c>
      <c r="G302" s="47" t="s">
        <v>214</v>
      </c>
      <c r="I302" s="116" t="s">
        <v>217</v>
      </c>
      <c r="J302" s="115" t="s">
        <v>229</v>
      </c>
      <c r="L302" s="47" t="s">
        <v>214</v>
      </c>
      <c r="M302" s="47" t="s">
        <v>214</v>
      </c>
      <c r="U302" s="118" t="s">
        <v>218</v>
      </c>
      <c r="V302" s="47" t="s">
        <v>214</v>
      </c>
      <c r="X302" s="47" t="s">
        <v>214</v>
      </c>
      <c r="Y302" s="47" t="s">
        <v>214</v>
      </c>
      <c r="AA302" s="28" t="s">
        <v>6</v>
      </c>
      <c r="AB302" s="2" t="str">
        <f t="shared" si="399"/>
        <v>-</v>
      </c>
      <c r="AC302" s="2" t="s">
        <v>25</v>
      </c>
      <c r="AD302" s="2" t="str">
        <f t="shared" si="240"/>
        <v>_</v>
      </c>
      <c r="AE302" s="28" t="s">
        <v>17</v>
      </c>
      <c r="AF302" s="2" t="str">
        <f t="shared" si="241"/>
        <v>_</v>
      </c>
      <c r="AG302" s="28" t="s">
        <v>21</v>
      </c>
      <c r="AH302" s="28" t="str">
        <f t="shared" ref="AH302:AH304" si="403">IF(NOT(ISBLANK(AI302)),"_","")</f>
        <v>_</v>
      </c>
      <c r="AI302" s="28" t="s">
        <v>262</v>
      </c>
    </row>
    <row r="303" spans="1:35" x14ac:dyDescent="0.25">
      <c r="B303" s="2" t="str">
        <f t="shared" si="398"/>
        <v>@color-primary_case_paved_or_uk_farzoom</v>
      </c>
      <c r="C303" s="117" t="s">
        <v>228</v>
      </c>
      <c r="D303" s="47" t="s">
        <v>214</v>
      </c>
      <c r="F303" s="117" t="s">
        <v>228</v>
      </c>
      <c r="G303" s="117" t="s">
        <v>228</v>
      </c>
      <c r="I303" s="117" t="s">
        <v>228</v>
      </c>
      <c r="J303" s="47" t="s">
        <v>214</v>
      </c>
      <c r="L303" s="117" t="s">
        <v>228</v>
      </c>
      <c r="M303" s="117" t="s">
        <v>228</v>
      </c>
      <c r="U303" s="117" t="s">
        <v>228</v>
      </c>
      <c r="V303" s="47" t="s">
        <v>214</v>
      </c>
      <c r="X303" s="117" t="s">
        <v>228</v>
      </c>
      <c r="Y303" s="117" t="s">
        <v>228</v>
      </c>
      <c r="AA303" s="2" t="s">
        <v>6</v>
      </c>
      <c r="AB303" s="2" t="str">
        <f t="shared" si="399"/>
        <v>-</v>
      </c>
      <c r="AC303" s="2" t="s">
        <v>25</v>
      </c>
      <c r="AD303" s="2" t="str">
        <f t="shared" ref="AD303" si="404">IF(NOT(ISBLANK(AE303)),"_","")</f>
        <v>_</v>
      </c>
      <c r="AE303" s="2" t="s">
        <v>17</v>
      </c>
      <c r="AF303" s="2" t="str">
        <f t="shared" ref="AF303" si="405">IF(NOT(ISBLANK(AG303)),"_","")</f>
        <v>_</v>
      </c>
      <c r="AG303" s="2" t="s">
        <v>24</v>
      </c>
      <c r="AH303" s="2" t="str">
        <f t="shared" si="403"/>
        <v>_</v>
      </c>
      <c r="AI303" s="28" t="s">
        <v>20</v>
      </c>
    </row>
    <row r="304" spans="1:35" x14ac:dyDescent="0.25">
      <c r="B304" s="2" t="str">
        <f t="shared" si="398"/>
        <v>@color-primary_case_paved_or_uk_default</v>
      </c>
      <c r="C304" s="118" t="s">
        <v>218</v>
      </c>
      <c r="D304" s="47" t="s">
        <v>214</v>
      </c>
      <c r="F304" s="47" t="s">
        <v>214</v>
      </c>
      <c r="G304" s="47" t="s">
        <v>214</v>
      </c>
      <c r="I304" s="118" t="s">
        <v>218</v>
      </c>
      <c r="J304" s="47" t="s">
        <v>214</v>
      </c>
      <c r="L304" s="47" t="s">
        <v>214</v>
      </c>
      <c r="M304" s="47" t="s">
        <v>214</v>
      </c>
      <c r="U304" s="118" t="s">
        <v>218</v>
      </c>
      <c r="V304" s="47" t="s">
        <v>214</v>
      </c>
      <c r="X304" s="47" t="s">
        <v>214</v>
      </c>
      <c r="Y304" s="47" t="s">
        <v>214</v>
      </c>
      <c r="AA304" s="2" t="s">
        <v>6</v>
      </c>
      <c r="AB304" s="2" t="str">
        <f t="shared" si="399"/>
        <v>-</v>
      </c>
      <c r="AC304" s="28" t="s">
        <v>25</v>
      </c>
      <c r="AD304" s="2" t="str">
        <f t="shared" ref="AD304:AD408" si="406">IF(NOT(ISBLANK(AE304)),"_","")</f>
        <v>_</v>
      </c>
      <c r="AE304" s="2" t="s">
        <v>17</v>
      </c>
      <c r="AF304" s="2" t="str">
        <f t="shared" ref="AF304:AF408" si="407">IF(NOT(ISBLANK(AG304)),"_","")</f>
        <v>_</v>
      </c>
      <c r="AG304" s="2" t="s">
        <v>24</v>
      </c>
      <c r="AH304" s="2" t="str">
        <f t="shared" si="403"/>
        <v>_</v>
      </c>
      <c r="AI304" s="28" t="s">
        <v>262</v>
      </c>
    </row>
    <row r="305" spans="2:35" x14ac:dyDescent="0.25">
      <c r="B305" s="2" t="str">
        <f t="shared" si="398"/>
        <v>@color-primary_line_bicycle_no</v>
      </c>
      <c r="C305" s="121" t="s">
        <v>231</v>
      </c>
      <c r="D305" s="109" t="s">
        <v>215</v>
      </c>
      <c r="F305" s="121" t="s">
        <v>231</v>
      </c>
      <c r="G305" s="109" t="s">
        <v>215</v>
      </c>
      <c r="I305" s="122" t="str">
        <f>C305</f>
        <v>"#ffcc8a"</v>
      </c>
      <c r="J305" s="111" t="str">
        <f>D305</f>
        <v>"#d6771e"</v>
      </c>
      <c r="L305" s="121" t="s">
        <v>231</v>
      </c>
      <c r="M305" s="109" t="s">
        <v>215</v>
      </c>
      <c r="U305" s="121" t="s">
        <v>231</v>
      </c>
      <c r="V305" s="109" t="s">
        <v>215</v>
      </c>
      <c r="X305" s="121" t="s">
        <v>231</v>
      </c>
      <c r="Y305" s="109" t="s">
        <v>215</v>
      </c>
      <c r="AA305" s="28" t="s">
        <v>6</v>
      </c>
      <c r="AB305" s="2" t="str">
        <f t="shared" si="399"/>
        <v>-</v>
      </c>
      <c r="AC305" s="28" t="s">
        <v>25</v>
      </c>
      <c r="AD305" s="2" t="str">
        <f t="shared" si="406"/>
        <v>_</v>
      </c>
      <c r="AE305" s="28" t="s">
        <v>13</v>
      </c>
      <c r="AF305" s="2" t="str">
        <f t="shared" si="407"/>
        <v>_</v>
      </c>
      <c r="AG305" s="28" t="s">
        <v>23</v>
      </c>
      <c r="AH305" s="2" t="str">
        <f t="shared" ref="AH305:AH310" si="408">IF(NOT(ISBLANK(AI305)),"_","")</f>
        <v/>
      </c>
    </row>
    <row r="306" spans="2:35" x14ac:dyDescent="0.25">
      <c r="B306" s="2" t="str">
        <f t="shared" si="398"/>
        <v>@color-primary_line_unpaved_default</v>
      </c>
      <c r="C306" s="119" t="s">
        <v>221</v>
      </c>
      <c r="D306" s="120" t="str">
        <f>C306</f>
        <v>"#eddfca"</v>
      </c>
      <c r="F306" s="119" t="s">
        <v>221</v>
      </c>
      <c r="G306" s="120" t="str">
        <f>F306</f>
        <v>"#eddfca"</v>
      </c>
      <c r="I306" s="119" t="s">
        <v>221</v>
      </c>
      <c r="J306" s="120" t="str">
        <f>I306</f>
        <v>"#eddfca"</v>
      </c>
      <c r="L306" s="119" t="s">
        <v>221</v>
      </c>
      <c r="M306" s="120" t="str">
        <f>L306</f>
        <v>"#eddfca"</v>
      </c>
      <c r="U306" s="46" t="s">
        <v>222</v>
      </c>
      <c r="V306" s="38" t="str">
        <f>U306</f>
        <v>"#ffffff"</v>
      </c>
      <c r="X306" s="46" t="s">
        <v>222</v>
      </c>
      <c r="Y306" s="38" t="str">
        <f>X306</f>
        <v>"#ffffff"</v>
      </c>
      <c r="AA306" s="2" t="s">
        <v>6</v>
      </c>
      <c r="AB306" s="2" t="str">
        <f t="shared" si="399"/>
        <v>-</v>
      </c>
      <c r="AC306" s="2" t="s">
        <v>25</v>
      </c>
      <c r="AD306" s="2" t="str">
        <f t="shared" si="406"/>
        <v>_</v>
      </c>
      <c r="AE306" s="2" t="s">
        <v>13</v>
      </c>
      <c r="AF306" s="2" t="str">
        <f t="shared" si="407"/>
        <v>_</v>
      </c>
      <c r="AG306" s="2" t="s">
        <v>21</v>
      </c>
      <c r="AH306" s="2" t="str">
        <f t="shared" si="408"/>
        <v>_</v>
      </c>
      <c r="AI306" s="28" t="s">
        <v>262</v>
      </c>
    </row>
    <row r="307" spans="2:35" x14ac:dyDescent="0.25">
      <c r="B307" s="2" t="str">
        <f t="shared" si="398"/>
        <v>@color-primary_line_paved_or_uk_default</v>
      </c>
      <c r="C307" s="46" t="s">
        <v>222</v>
      </c>
      <c r="D307" s="38" t="str">
        <f>C307</f>
        <v>"#ffffff"</v>
      </c>
      <c r="F307" s="46" t="s">
        <v>222</v>
      </c>
      <c r="G307" s="38" t="str">
        <f>F307</f>
        <v>"#ffffff"</v>
      </c>
      <c r="I307" s="46" t="s">
        <v>222</v>
      </c>
      <c r="J307" s="38" t="str">
        <f>I307</f>
        <v>"#ffffff"</v>
      </c>
      <c r="L307" s="46" t="s">
        <v>222</v>
      </c>
      <c r="M307" s="38" t="str">
        <f>L307</f>
        <v>"#ffffff"</v>
      </c>
      <c r="U307" s="46" t="s">
        <v>222</v>
      </c>
      <c r="V307" s="38" t="str">
        <f>U307</f>
        <v>"#ffffff"</v>
      </c>
      <c r="X307" s="46" t="s">
        <v>222</v>
      </c>
      <c r="Y307" s="38" t="str">
        <f>X307</f>
        <v>"#ffffff"</v>
      </c>
      <c r="AA307" s="2" t="s">
        <v>6</v>
      </c>
      <c r="AB307" s="2" t="str">
        <f t="shared" si="399"/>
        <v>-</v>
      </c>
      <c r="AC307" s="2" t="s">
        <v>25</v>
      </c>
      <c r="AD307" s="2" t="str">
        <f t="shared" si="406"/>
        <v>_</v>
      </c>
      <c r="AE307" s="2" t="s">
        <v>13</v>
      </c>
      <c r="AF307" s="2" t="str">
        <f t="shared" si="407"/>
        <v>_</v>
      </c>
      <c r="AG307" s="28" t="s">
        <v>24</v>
      </c>
      <c r="AH307" s="28" t="str">
        <f t="shared" si="408"/>
        <v>_</v>
      </c>
      <c r="AI307" s="28" t="s">
        <v>262</v>
      </c>
    </row>
    <row r="308" spans="2:35" x14ac:dyDescent="0.25">
      <c r="B308" s="2"/>
      <c r="C308" s="26"/>
      <c r="D308" s="26"/>
      <c r="I308" s="26"/>
      <c r="U308" s="26"/>
      <c r="V308" s="26"/>
      <c r="AB308" s="2"/>
      <c r="AD308" s="2"/>
      <c r="AF308" s="2" t="str">
        <f t="shared" ref="AF308:AF317" si="409">IF(NOT(ISBLANK(AG308)),"_","")</f>
        <v/>
      </c>
      <c r="AH308" s="2" t="str">
        <f t="shared" si="408"/>
        <v/>
      </c>
    </row>
    <row r="309" spans="2:35" x14ac:dyDescent="0.25">
      <c r="B309" s="2" t="str">
        <f t="shared" ref="B309:B317" si="410">_xlfn.CONCAT("@",AA309,AB309,AC309,AD309,AE309,AF309,AG309,AH309,AI309)</f>
        <v>@color-secondary_case_bicycle_no_default</v>
      </c>
      <c r="C309" s="112" t="s">
        <v>226</v>
      </c>
      <c r="D309" s="47" t="s">
        <v>214</v>
      </c>
      <c r="F309" s="47" t="s">
        <v>214</v>
      </c>
      <c r="G309" s="47" t="s">
        <v>214</v>
      </c>
      <c r="I309" s="113" t="str">
        <f>C309</f>
        <v>"#bd430f"</v>
      </c>
      <c r="J309" s="37" t="str">
        <f>D309</f>
        <v>"#000000"</v>
      </c>
      <c r="L309" s="47" t="s">
        <v>214</v>
      </c>
      <c r="M309" s="47" t="s">
        <v>214</v>
      </c>
      <c r="U309" s="112" t="s">
        <v>226</v>
      </c>
      <c r="V309" s="47" t="s">
        <v>214</v>
      </c>
      <c r="X309" s="47" t="s">
        <v>214</v>
      </c>
      <c r="Y309" s="47" t="s">
        <v>214</v>
      </c>
      <c r="AA309" s="28" t="s">
        <v>6</v>
      </c>
      <c r="AB309" s="2" t="str">
        <f t="shared" ref="AB309:AB317" si="411">IF(NOT(ISBLANK(AC309)),"-","")</f>
        <v>-</v>
      </c>
      <c r="AC309" s="2" t="s">
        <v>27</v>
      </c>
      <c r="AD309" s="2" t="str">
        <f t="shared" ref="AD309:AD317" si="412">IF(NOT(ISBLANK(AE309)),"_","")</f>
        <v>_</v>
      </c>
      <c r="AE309" s="28" t="s">
        <v>17</v>
      </c>
      <c r="AF309" s="2" t="str">
        <f t="shared" si="409"/>
        <v>_</v>
      </c>
      <c r="AG309" s="28" t="s">
        <v>23</v>
      </c>
      <c r="AH309" s="2" t="str">
        <f t="shared" si="408"/>
        <v>_</v>
      </c>
      <c r="AI309" s="28" t="s">
        <v>262</v>
      </c>
    </row>
    <row r="310" spans="2:35" x14ac:dyDescent="0.25">
      <c r="B310" s="2" t="str">
        <f t="shared" si="410"/>
        <v>@color-secondary_case_bicycle_no_farzoom</v>
      </c>
      <c r="C310" s="112" t="s">
        <v>226</v>
      </c>
      <c r="D310" s="47" t="s">
        <v>214</v>
      </c>
      <c r="F310" s="112" t="s">
        <v>226</v>
      </c>
      <c r="G310" s="112" t="s">
        <v>226</v>
      </c>
      <c r="I310" s="113" t="str">
        <f>C310</f>
        <v>"#bd430f"</v>
      </c>
      <c r="J310" s="37" t="str">
        <f>D310</f>
        <v>"#000000"</v>
      </c>
      <c r="L310" s="112" t="s">
        <v>226</v>
      </c>
      <c r="M310" s="112" t="s">
        <v>226</v>
      </c>
      <c r="U310" s="112" t="s">
        <v>226</v>
      </c>
      <c r="V310" s="47" t="s">
        <v>214</v>
      </c>
      <c r="X310" s="112" t="s">
        <v>226</v>
      </c>
      <c r="Y310" s="112" t="s">
        <v>226</v>
      </c>
      <c r="AA310" s="28" t="s">
        <v>6</v>
      </c>
      <c r="AB310" s="2" t="str">
        <f t="shared" ref="AB310" si="413">IF(NOT(ISBLANK(AC310)),"-","")</f>
        <v>-</v>
      </c>
      <c r="AC310" s="2" t="s">
        <v>27</v>
      </c>
      <c r="AD310" s="2" t="str">
        <f t="shared" ref="AD310" si="414">IF(NOT(ISBLANK(AE310)),"_","")</f>
        <v>_</v>
      </c>
      <c r="AE310" s="28" t="s">
        <v>17</v>
      </c>
      <c r="AF310" s="2" t="str">
        <f t="shared" ref="AF310" si="415">IF(NOT(ISBLANK(AG310)),"_","")</f>
        <v>_</v>
      </c>
      <c r="AG310" s="28" t="s">
        <v>23</v>
      </c>
      <c r="AH310" s="2" t="str">
        <f t="shared" si="408"/>
        <v>_</v>
      </c>
      <c r="AI310" s="28" t="s">
        <v>20</v>
      </c>
    </row>
    <row r="311" spans="2:35" x14ac:dyDescent="0.25">
      <c r="B311" s="2" t="str">
        <f t="shared" si="410"/>
        <v>@color-secondary_case_unpaved_farzoom</v>
      </c>
      <c r="C311" s="114" t="s">
        <v>227</v>
      </c>
      <c r="D311" s="115" t="s">
        <v>229</v>
      </c>
      <c r="F311" s="115" t="s">
        <v>229</v>
      </c>
      <c r="G311" s="114" t="s">
        <v>227</v>
      </c>
      <c r="I311" s="114" t="s">
        <v>227</v>
      </c>
      <c r="J311" s="115" t="s">
        <v>229</v>
      </c>
      <c r="L311" s="115" t="s">
        <v>229</v>
      </c>
      <c r="M311" s="114" t="s">
        <v>227</v>
      </c>
      <c r="U311" s="117" t="s">
        <v>228</v>
      </c>
      <c r="V311" s="47" t="s">
        <v>214</v>
      </c>
      <c r="X311" s="117" t="s">
        <v>228</v>
      </c>
      <c r="Y311" s="117" t="s">
        <v>228</v>
      </c>
      <c r="AA311" s="28" t="s">
        <v>6</v>
      </c>
      <c r="AB311" s="2" t="str">
        <f>IF(NOT(ISBLANK(AC311)),"-","")</f>
        <v>-</v>
      </c>
      <c r="AC311" s="2" t="s">
        <v>27</v>
      </c>
      <c r="AD311" s="2" t="str">
        <f>IF(NOT(ISBLANK(AE311)),"_","")</f>
        <v>_</v>
      </c>
      <c r="AE311" s="28" t="s">
        <v>17</v>
      </c>
      <c r="AF311" s="2" t="str">
        <f>IF(NOT(ISBLANK(AG311)),"_","")</f>
        <v>_</v>
      </c>
      <c r="AG311" s="28" t="s">
        <v>21</v>
      </c>
      <c r="AH311" s="2" t="str">
        <f>IF(NOT(ISBLANK(AI311)),"_","")</f>
        <v>_</v>
      </c>
      <c r="AI311" s="28" t="s">
        <v>20</v>
      </c>
    </row>
    <row r="312" spans="2:35" x14ac:dyDescent="0.25">
      <c r="B312" s="2" t="str">
        <f t="shared" si="410"/>
        <v>@color-secondary_case_unpaved_default</v>
      </c>
      <c r="C312" s="115" t="s">
        <v>229</v>
      </c>
      <c r="D312" s="115" t="s">
        <v>229</v>
      </c>
      <c r="F312" s="47" t="s">
        <v>214</v>
      </c>
      <c r="G312" s="47" t="s">
        <v>214</v>
      </c>
      <c r="I312" s="115" t="s">
        <v>229</v>
      </c>
      <c r="J312" s="115" t="s">
        <v>229</v>
      </c>
      <c r="L312" s="47" t="s">
        <v>214</v>
      </c>
      <c r="M312" s="47" t="s">
        <v>214</v>
      </c>
      <c r="U312" s="123" t="s">
        <v>230</v>
      </c>
      <c r="V312" s="47" t="s">
        <v>214</v>
      </c>
      <c r="X312" s="47" t="s">
        <v>214</v>
      </c>
      <c r="Y312" s="47" t="s">
        <v>214</v>
      </c>
      <c r="AA312" s="28" t="s">
        <v>6</v>
      </c>
      <c r="AB312" s="2" t="str">
        <f t="shared" si="411"/>
        <v>-</v>
      </c>
      <c r="AC312" s="2" t="s">
        <v>27</v>
      </c>
      <c r="AD312" s="2" t="str">
        <f t="shared" si="412"/>
        <v>_</v>
      </c>
      <c r="AE312" s="28" t="s">
        <v>17</v>
      </c>
      <c r="AF312" s="2" t="str">
        <f t="shared" si="409"/>
        <v>_</v>
      </c>
      <c r="AG312" s="28" t="s">
        <v>21</v>
      </c>
      <c r="AH312" s="28" t="str">
        <f t="shared" ref="AH312:AH314" si="416">IF(NOT(ISBLANK(AI312)),"_","")</f>
        <v>_</v>
      </c>
      <c r="AI312" s="28" t="s">
        <v>262</v>
      </c>
    </row>
    <row r="313" spans="2:35" x14ac:dyDescent="0.25">
      <c r="B313" s="2" t="str">
        <f t="shared" si="410"/>
        <v>@color-secondary_case_paved_or_uk_farzoom</v>
      </c>
      <c r="C313" s="117" t="s">
        <v>228</v>
      </c>
      <c r="D313" s="47" t="s">
        <v>214</v>
      </c>
      <c r="F313" s="117" t="s">
        <v>228</v>
      </c>
      <c r="G313" s="117" t="s">
        <v>228</v>
      </c>
      <c r="I313" s="117" t="s">
        <v>228</v>
      </c>
      <c r="J313" s="47" t="s">
        <v>214</v>
      </c>
      <c r="L313" s="117" t="s">
        <v>228</v>
      </c>
      <c r="M313" s="117" t="s">
        <v>228</v>
      </c>
      <c r="U313" s="117" t="s">
        <v>228</v>
      </c>
      <c r="V313" s="47" t="s">
        <v>214</v>
      </c>
      <c r="X313" s="117" t="s">
        <v>228</v>
      </c>
      <c r="Y313" s="117" t="s">
        <v>228</v>
      </c>
      <c r="AA313" s="2" t="s">
        <v>6</v>
      </c>
      <c r="AB313" s="2" t="str">
        <f t="shared" si="411"/>
        <v>-</v>
      </c>
      <c r="AC313" s="2" t="s">
        <v>27</v>
      </c>
      <c r="AD313" s="2" t="str">
        <f t="shared" si="412"/>
        <v>_</v>
      </c>
      <c r="AE313" s="2" t="s">
        <v>17</v>
      </c>
      <c r="AF313" s="2" t="str">
        <f t="shared" si="409"/>
        <v>_</v>
      </c>
      <c r="AG313" s="2" t="s">
        <v>24</v>
      </c>
      <c r="AH313" s="2" t="str">
        <f t="shared" si="416"/>
        <v>_</v>
      </c>
      <c r="AI313" s="28" t="s">
        <v>20</v>
      </c>
    </row>
    <row r="314" spans="2:35" x14ac:dyDescent="0.25">
      <c r="B314" s="2" t="str">
        <f t="shared" si="410"/>
        <v>@color-secondary_case_paved_or_uk_default</v>
      </c>
      <c r="C314" s="123" t="s">
        <v>230</v>
      </c>
      <c r="D314" s="47" t="s">
        <v>214</v>
      </c>
      <c r="F314" s="47" t="s">
        <v>214</v>
      </c>
      <c r="G314" s="47" t="s">
        <v>214</v>
      </c>
      <c r="I314" s="123" t="s">
        <v>230</v>
      </c>
      <c r="J314" s="47" t="s">
        <v>214</v>
      </c>
      <c r="L314" s="47" t="s">
        <v>214</v>
      </c>
      <c r="M314" s="47" t="s">
        <v>214</v>
      </c>
      <c r="U314" s="123" t="s">
        <v>230</v>
      </c>
      <c r="V314" s="47" t="s">
        <v>214</v>
      </c>
      <c r="X314" s="47" t="s">
        <v>214</v>
      </c>
      <c r="Y314" s="47" t="s">
        <v>214</v>
      </c>
      <c r="AA314" s="2" t="s">
        <v>6</v>
      </c>
      <c r="AB314" s="2" t="str">
        <f t="shared" si="411"/>
        <v>-</v>
      </c>
      <c r="AC314" s="2" t="s">
        <v>27</v>
      </c>
      <c r="AD314" s="2" t="str">
        <f t="shared" si="412"/>
        <v>_</v>
      </c>
      <c r="AE314" s="2" t="s">
        <v>17</v>
      </c>
      <c r="AF314" s="2" t="str">
        <f t="shared" si="409"/>
        <v>_</v>
      </c>
      <c r="AG314" s="2" t="s">
        <v>24</v>
      </c>
      <c r="AH314" s="2" t="str">
        <f t="shared" si="416"/>
        <v>_</v>
      </c>
      <c r="AI314" s="28" t="s">
        <v>262</v>
      </c>
    </row>
    <row r="315" spans="2:35" x14ac:dyDescent="0.25">
      <c r="B315" s="2" t="str">
        <f t="shared" si="410"/>
        <v>@color-secondary_line_bicycle_no</v>
      </c>
      <c r="C315" s="121" t="s">
        <v>231</v>
      </c>
      <c r="D315" s="109" t="s">
        <v>215</v>
      </c>
      <c r="F315" s="121" t="s">
        <v>231</v>
      </c>
      <c r="G315" s="109" t="s">
        <v>215</v>
      </c>
      <c r="I315" s="122" t="str">
        <f>C315</f>
        <v>"#ffcc8a"</v>
      </c>
      <c r="J315" s="111" t="str">
        <f>D315</f>
        <v>"#d6771e"</v>
      </c>
      <c r="L315" s="121" t="s">
        <v>231</v>
      </c>
      <c r="M315" s="109" t="s">
        <v>215</v>
      </c>
      <c r="U315" s="121" t="s">
        <v>231</v>
      </c>
      <c r="V315" s="109" t="s">
        <v>215</v>
      </c>
      <c r="X315" s="121" t="s">
        <v>231</v>
      </c>
      <c r="Y315" s="109" t="s">
        <v>215</v>
      </c>
      <c r="AA315" s="28" t="s">
        <v>6</v>
      </c>
      <c r="AB315" s="2" t="str">
        <f t="shared" si="411"/>
        <v>-</v>
      </c>
      <c r="AC315" s="2" t="s">
        <v>27</v>
      </c>
      <c r="AD315" s="2" t="str">
        <f t="shared" si="412"/>
        <v>_</v>
      </c>
      <c r="AE315" s="28" t="s">
        <v>13</v>
      </c>
      <c r="AF315" s="2" t="str">
        <f t="shared" si="409"/>
        <v>_</v>
      </c>
      <c r="AG315" s="28" t="s">
        <v>23</v>
      </c>
      <c r="AH315" s="2" t="str">
        <f t="shared" ref="AH315:AH409" si="417">IF(NOT(ISBLANK(AI315)),"_","")</f>
        <v/>
      </c>
    </row>
    <row r="316" spans="2:35" x14ac:dyDescent="0.25">
      <c r="B316" s="2" t="str">
        <f t="shared" si="410"/>
        <v>@color-secondary_line_unpaved_default</v>
      </c>
      <c r="C316" s="119" t="s">
        <v>221</v>
      </c>
      <c r="D316" s="120" t="str">
        <f>C316</f>
        <v>"#eddfca"</v>
      </c>
      <c r="F316" s="119" t="s">
        <v>221</v>
      </c>
      <c r="G316" s="120" t="str">
        <f>F316</f>
        <v>"#eddfca"</v>
      </c>
      <c r="I316" s="119" t="s">
        <v>221</v>
      </c>
      <c r="J316" s="120" t="str">
        <f>I316</f>
        <v>"#eddfca"</v>
      </c>
      <c r="L316" s="119" t="s">
        <v>221</v>
      </c>
      <c r="M316" s="120" t="str">
        <f>L316</f>
        <v>"#eddfca"</v>
      </c>
      <c r="U316" s="46" t="s">
        <v>222</v>
      </c>
      <c r="V316" s="38" t="str">
        <f>U316</f>
        <v>"#ffffff"</v>
      </c>
      <c r="X316" s="46" t="s">
        <v>222</v>
      </c>
      <c r="Y316" s="38" t="str">
        <f>X316</f>
        <v>"#ffffff"</v>
      </c>
      <c r="AA316" s="2" t="s">
        <v>6</v>
      </c>
      <c r="AB316" s="2" t="str">
        <f t="shared" si="411"/>
        <v>-</v>
      </c>
      <c r="AC316" s="2" t="s">
        <v>27</v>
      </c>
      <c r="AD316" s="2" t="str">
        <f t="shared" si="412"/>
        <v>_</v>
      </c>
      <c r="AE316" s="2" t="s">
        <v>13</v>
      </c>
      <c r="AF316" s="2" t="str">
        <f t="shared" si="409"/>
        <v>_</v>
      </c>
      <c r="AG316" s="2" t="s">
        <v>21</v>
      </c>
      <c r="AH316" s="2" t="str">
        <f t="shared" si="417"/>
        <v>_</v>
      </c>
      <c r="AI316" s="28" t="s">
        <v>262</v>
      </c>
    </row>
    <row r="317" spans="2:35" x14ac:dyDescent="0.25">
      <c r="B317" s="2" t="str">
        <f t="shared" si="410"/>
        <v>@color-secondary_line_paved_or_uk_default</v>
      </c>
      <c r="C317" s="46" t="s">
        <v>222</v>
      </c>
      <c r="D317" s="38" t="str">
        <f>C317</f>
        <v>"#ffffff"</v>
      </c>
      <c r="F317" s="46" t="s">
        <v>222</v>
      </c>
      <c r="G317" s="38" t="str">
        <f>F317</f>
        <v>"#ffffff"</v>
      </c>
      <c r="I317" s="46" t="s">
        <v>222</v>
      </c>
      <c r="J317" s="38" t="str">
        <f>I317</f>
        <v>"#ffffff"</v>
      </c>
      <c r="L317" s="46" t="s">
        <v>222</v>
      </c>
      <c r="M317" s="38" t="str">
        <f>L317</f>
        <v>"#ffffff"</v>
      </c>
      <c r="U317" s="46" t="s">
        <v>222</v>
      </c>
      <c r="V317" s="38" t="str">
        <f>U317</f>
        <v>"#ffffff"</v>
      </c>
      <c r="X317" s="46" t="s">
        <v>222</v>
      </c>
      <c r="Y317" s="38" t="str">
        <f>X317</f>
        <v>"#ffffff"</v>
      </c>
      <c r="AA317" s="2" t="s">
        <v>6</v>
      </c>
      <c r="AB317" s="2" t="str">
        <f t="shared" si="411"/>
        <v>-</v>
      </c>
      <c r="AC317" s="2" t="s">
        <v>27</v>
      </c>
      <c r="AD317" s="2" t="str">
        <f t="shared" si="412"/>
        <v>_</v>
      </c>
      <c r="AE317" s="2" t="s">
        <v>13</v>
      </c>
      <c r="AF317" s="2" t="str">
        <f t="shared" si="409"/>
        <v>_</v>
      </c>
      <c r="AG317" s="28" t="s">
        <v>24</v>
      </c>
      <c r="AH317" s="28" t="str">
        <f t="shared" si="417"/>
        <v>_</v>
      </c>
      <c r="AI317" s="28" t="s">
        <v>262</v>
      </c>
    </row>
    <row r="318" spans="2:35" x14ac:dyDescent="0.25">
      <c r="B318" s="2"/>
      <c r="C318" s="26"/>
      <c r="D318" s="26"/>
      <c r="I318" s="26"/>
      <c r="U318" s="26"/>
      <c r="V318" s="26"/>
      <c r="AB318" s="2"/>
      <c r="AD318" s="2"/>
      <c r="AF318" s="2" t="str">
        <f t="shared" si="407"/>
        <v/>
      </c>
      <c r="AH318" s="2" t="str">
        <f t="shared" si="417"/>
        <v/>
      </c>
    </row>
    <row r="319" spans="2:35" x14ac:dyDescent="0.25">
      <c r="B319" s="2" t="str">
        <f t="shared" ref="B319:B327" si="418">_xlfn.CONCAT("@",AA319,AB319,AC319,AD319,AE319,AF319,AG319,AH319,AI319)</f>
        <v>@color-tertiary_case_bicycle_no_default</v>
      </c>
      <c r="C319" s="112" t="s">
        <v>226</v>
      </c>
      <c r="D319" s="47" t="s">
        <v>214</v>
      </c>
      <c r="F319" s="47" t="s">
        <v>214</v>
      </c>
      <c r="G319" s="47" t="s">
        <v>214</v>
      </c>
      <c r="I319" s="113" t="str">
        <f>C319</f>
        <v>"#bd430f"</v>
      </c>
      <c r="J319" s="37" t="str">
        <f>D319</f>
        <v>"#000000"</v>
      </c>
      <c r="L319" s="47" t="s">
        <v>214</v>
      </c>
      <c r="M319" s="47" t="s">
        <v>214</v>
      </c>
      <c r="U319" s="112" t="s">
        <v>226</v>
      </c>
      <c r="V319" s="47" t="s">
        <v>214</v>
      </c>
      <c r="X319" s="47" t="s">
        <v>214</v>
      </c>
      <c r="Y319" s="47" t="s">
        <v>214</v>
      </c>
      <c r="AA319" s="28" t="s">
        <v>6</v>
      </c>
      <c r="AB319" s="2" t="str">
        <f t="shared" ref="AB319:AB321" si="419">IF(NOT(ISBLANK(AC319)),"-","")</f>
        <v>-</v>
      </c>
      <c r="AC319" s="2" t="s">
        <v>26</v>
      </c>
      <c r="AD319" s="2" t="str">
        <f t="shared" ref="AD319:AD321" si="420">IF(NOT(ISBLANK(AE319)),"_","")</f>
        <v>_</v>
      </c>
      <c r="AE319" s="28" t="s">
        <v>17</v>
      </c>
      <c r="AF319" s="2" t="str">
        <f t="shared" ref="AF319:AF321" si="421">IF(NOT(ISBLANK(AG319)),"_","")</f>
        <v>_</v>
      </c>
      <c r="AG319" s="28" t="s">
        <v>23</v>
      </c>
      <c r="AH319" s="2" t="str">
        <f t="shared" si="417"/>
        <v>_</v>
      </c>
      <c r="AI319" s="28" t="s">
        <v>262</v>
      </c>
    </row>
    <row r="320" spans="2:35" x14ac:dyDescent="0.25">
      <c r="B320" s="2" t="str">
        <f t="shared" si="418"/>
        <v>@color-tertiary_case_bicycle_no_farzoom</v>
      </c>
      <c r="C320" s="112" t="s">
        <v>226</v>
      </c>
      <c r="D320" s="47" t="s">
        <v>214</v>
      </c>
      <c r="F320" s="112" t="s">
        <v>226</v>
      </c>
      <c r="G320" s="112" t="s">
        <v>226</v>
      </c>
      <c r="I320" s="113" t="str">
        <f>C320</f>
        <v>"#bd430f"</v>
      </c>
      <c r="J320" s="37" t="str">
        <f>D320</f>
        <v>"#000000"</v>
      </c>
      <c r="L320" s="112" t="s">
        <v>226</v>
      </c>
      <c r="M320" s="112" t="s">
        <v>226</v>
      </c>
      <c r="U320" s="112" t="s">
        <v>226</v>
      </c>
      <c r="V320" s="47" t="s">
        <v>214</v>
      </c>
      <c r="X320" s="112" t="s">
        <v>226</v>
      </c>
      <c r="Y320" s="112" t="s">
        <v>226</v>
      </c>
      <c r="AA320" s="28" t="s">
        <v>6</v>
      </c>
      <c r="AB320" s="2" t="str">
        <f t="shared" ref="AB320" si="422">IF(NOT(ISBLANK(AC320)),"-","")</f>
        <v>-</v>
      </c>
      <c r="AC320" s="2" t="s">
        <v>26</v>
      </c>
      <c r="AD320" s="2" t="str">
        <f t="shared" ref="AD320" si="423">IF(NOT(ISBLANK(AE320)),"_","")</f>
        <v>_</v>
      </c>
      <c r="AE320" s="28" t="s">
        <v>17</v>
      </c>
      <c r="AF320" s="2" t="str">
        <f t="shared" ref="AF320" si="424">IF(NOT(ISBLANK(AG320)),"_","")</f>
        <v>_</v>
      </c>
      <c r="AG320" s="28" t="s">
        <v>23</v>
      </c>
      <c r="AH320" s="2" t="str">
        <f t="shared" si="417"/>
        <v>_</v>
      </c>
      <c r="AI320" s="28" t="s">
        <v>20</v>
      </c>
    </row>
    <row r="321" spans="1:35" x14ac:dyDescent="0.25">
      <c r="B321" s="2" t="str">
        <f t="shared" si="418"/>
        <v>@color-tertiary_case_unpaved_farzoom</v>
      </c>
      <c r="C321" s="114" t="s">
        <v>227</v>
      </c>
      <c r="D321" s="115" t="s">
        <v>229</v>
      </c>
      <c r="F321" s="115" t="s">
        <v>229</v>
      </c>
      <c r="G321" s="114" t="s">
        <v>227</v>
      </c>
      <c r="I321" s="114" t="s">
        <v>227</v>
      </c>
      <c r="J321" s="115" t="s">
        <v>229</v>
      </c>
      <c r="L321" s="115" t="s">
        <v>229</v>
      </c>
      <c r="M321" s="114" t="s">
        <v>227</v>
      </c>
      <c r="U321" s="117" t="s">
        <v>228</v>
      </c>
      <c r="V321" s="47" t="s">
        <v>214</v>
      </c>
      <c r="X321" s="117" t="s">
        <v>228</v>
      </c>
      <c r="Y321" s="117" t="s">
        <v>228</v>
      </c>
      <c r="AA321" s="28" t="s">
        <v>6</v>
      </c>
      <c r="AB321" s="2" t="str">
        <f t="shared" si="419"/>
        <v>-</v>
      </c>
      <c r="AC321" s="2" t="s">
        <v>26</v>
      </c>
      <c r="AD321" s="2" t="str">
        <f t="shared" si="420"/>
        <v>_</v>
      </c>
      <c r="AE321" s="28" t="s">
        <v>17</v>
      </c>
      <c r="AF321" s="2" t="str">
        <f t="shared" si="421"/>
        <v>_</v>
      </c>
      <c r="AG321" s="28" t="s">
        <v>21</v>
      </c>
      <c r="AH321" s="2" t="str">
        <f>IF(NOT(ISBLANK(AI321)),"_","")</f>
        <v>_</v>
      </c>
      <c r="AI321" s="28" t="s">
        <v>20</v>
      </c>
    </row>
    <row r="322" spans="1:35" x14ac:dyDescent="0.25">
      <c r="B322" s="2" t="str">
        <f t="shared" si="418"/>
        <v>@color-tertiary_case_unpaved_default</v>
      </c>
      <c r="C322" s="115" t="s">
        <v>229</v>
      </c>
      <c r="D322" s="115" t="s">
        <v>229</v>
      </c>
      <c r="F322" s="47" t="s">
        <v>214</v>
      </c>
      <c r="G322" s="47" t="s">
        <v>214</v>
      </c>
      <c r="I322" s="115" t="s">
        <v>229</v>
      </c>
      <c r="J322" s="115" t="s">
        <v>229</v>
      </c>
      <c r="L322" s="47" t="s">
        <v>214</v>
      </c>
      <c r="M322" s="47" t="s">
        <v>214</v>
      </c>
      <c r="U322" s="123" t="s">
        <v>230</v>
      </c>
      <c r="V322" s="47" t="s">
        <v>214</v>
      </c>
      <c r="X322" s="47" t="s">
        <v>214</v>
      </c>
      <c r="Y322" s="47" t="s">
        <v>214</v>
      </c>
      <c r="AA322" s="28" t="s">
        <v>6</v>
      </c>
      <c r="AB322" s="2" t="str">
        <f t="shared" ref="AB322:AB327" si="425">IF(NOT(ISBLANK(AC322)),"-","")</f>
        <v>-</v>
      </c>
      <c r="AC322" s="2" t="s">
        <v>26</v>
      </c>
      <c r="AD322" s="2" t="str">
        <f t="shared" ref="AD322:AD327" si="426">IF(NOT(ISBLANK(AE322)),"_","")</f>
        <v>_</v>
      </c>
      <c r="AE322" s="28" t="s">
        <v>17</v>
      </c>
      <c r="AF322" s="2" t="str">
        <f t="shared" si="407"/>
        <v>_</v>
      </c>
      <c r="AG322" s="28" t="s">
        <v>21</v>
      </c>
      <c r="AH322" s="28" t="str">
        <f t="shared" ref="AH322:AH327" si="427">IF(NOT(ISBLANK(AI322)),"_","")</f>
        <v>_</v>
      </c>
      <c r="AI322" s="28" t="s">
        <v>262</v>
      </c>
    </row>
    <row r="323" spans="1:35" x14ac:dyDescent="0.25">
      <c r="B323" s="2" t="str">
        <f t="shared" si="418"/>
        <v>@color-tertiary_case_paved_or_uk_farzoom</v>
      </c>
      <c r="C323" s="117" t="s">
        <v>228</v>
      </c>
      <c r="D323" s="47" t="s">
        <v>214</v>
      </c>
      <c r="F323" s="117" t="s">
        <v>228</v>
      </c>
      <c r="G323" s="117" t="s">
        <v>228</v>
      </c>
      <c r="I323" s="117" t="s">
        <v>228</v>
      </c>
      <c r="J323" s="47" t="s">
        <v>214</v>
      </c>
      <c r="L323" s="117" t="s">
        <v>228</v>
      </c>
      <c r="M323" s="117" t="s">
        <v>228</v>
      </c>
      <c r="U323" s="117" t="s">
        <v>228</v>
      </c>
      <c r="V323" s="47" t="s">
        <v>214</v>
      </c>
      <c r="X323" s="117" t="s">
        <v>228</v>
      </c>
      <c r="Y323" s="117" t="s">
        <v>228</v>
      </c>
      <c r="AA323" s="2" t="s">
        <v>6</v>
      </c>
      <c r="AB323" s="2" t="str">
        <f t="shared" ref="AB323" si="428">IF(NOT(ISBLANK(AC323)),"-","")</f>
        <v>-</v>
      </c>
      <c r="AC323" s="2" t="s">
        <v>26</v>
      </c>
      <c r="AD323" s="2" t="str">
        <f t="shared" ref="AD323" si="429">IF(NOT(ISBLANK(AE323)),"_","")</f>
        <v>_</v>
      </c>
      <c r="AE323" s="2" t="s">
        <v>17</v>
      </c>
      <c r="AF323" s="2" t="str">
        <f t="shared" ref="AF323" si="430">IF(NOT(ISBLANK(AG323)),"_","")</f>
        <v>_</v>
      </c>
      <c r="AG323" s="2" t="s">
        <v>24</v>
      </c>
      <c r="AH323" s="2" t="str">
        <f t="shared" si="427"/>
        <v>_</v>
      </c>
      <c r="AI323" s="28" t="s">
        <v>20</v>
      </c>
    </row>
    <row r="324" spans="1:35" x14ac:dyDescent="0.25">
      <c r="B324" s="2" t="str">
        <f t="shared" si="418"/>
        <v>@color-tertiary_case_paved_or_uk_default</v>
      </c>
      <c r="C324" s="123" t="s">
        <v>230</v>
      </c>
      <c r="D324" s="47" t="s">
        <v>214</v>
      </c>
      <c r="F324" s="47" t="s">
        <v>214</v>
      </c>
      <c r="G324" s="47" t="s">
        <v>214</v>
      </c>
      <c r="I324" s="123" t="s">
        <v>230</v>
      </c>
      <c r="J324" s="47" t="s">
        <v>214</v>
      </c>
      <c r="L324" s="47" t="s">
        <v>214</v>
      </c>
      <c r="M324" s="47" t="s">
        <v>214</v>
      </c>
      <c r="U324" s="123" t="s">
        <v>230</v>
      </c>
      <c r="V324" s="47" t="s">
        <v>214</v>
      </c>
      <c r="X324" s="47" t="s">
        <v>214</v>
      </c>
      <c r="Y324" s="47" t="s">
        <v>214</v>
      </c>
      <c r="AA324" s="2" t="s">
        <v>6</v>
      </c>
      <c r="AB324" s="2" t="str">
        <f t="shared" si="425"/>
        <v>-</v>
      </c>
      <c r="AC324" s="2" t="s">
        <v>26</v>
      </c>
      <c r="AD324" s="2" t="str">
        <f t="shared" si="426"/>
        <v>_</v>
      </c>
      <c r="AE324" s="2" t="s">
        <v>17</v>
      </c>
      <c r="AF324" s="2" t="str">
        <f t="shared" si="407"/>
        <v>_</v>
      </c>
      <c r="AG324" s="2" t="s">
        <v>24</v>
      </c>
      <c r="AH324" s="2" t="str">
        <f t="shared" si="427"/>
        <v>_</v>
      </c>
      <c r="AI324" s="28" t="s">
        <v>262</v>
      </c>
    </row>
    <row r="325" spans="1:35" x14ac:dyDescent="0.25">
      <c r="B325" s="2" t="str">
        <f t="shared" si="418"/>
        <v>@color-tertiary_line_bicycle_no</v>
      </c>
      <c r="C325" s="121" t="s">
        <v>231</v>
      </c>
      <c r="D325" s="109" t="s">
        <v>215</v>
      </c>
      <c r="F325" s="121" t="s">
        <v>231</v>
      </c>
      <c r="G325" s="109" t="s">
        <v>215</v>
      </c>
      <c r="I325" s="122" t="str">
        <f>C325</f>
        <v>"#ffcc8a"</v>
      </c>
      <c r="J325" s="111" t="str">
        <f>D325</f>
        <v>"#d6771e"</v>
      </c>
      <c r="L325" s="121" t="s">
        <v>231</v>
      </c>
      <c r="M325" s="109" t="s">
        <v>215</v>
      </c>
      <c r="U325" s="121" t="s">
        <v>231</v>
      </c>
      <c r="V325" s="109" t="s">
        <v>215</v>
      </c>
      <c r="X325" s="121" t="s">
        <v>231</v>
      </c>
      <c r="Y325" s="109" t="s">
        <v>215</v>
      </c>
      <c r="AA325" s="28" t="s">
        <v>6</v>
      </c>
      <c r="AB325" s="2" t="str">
        <f t="shared" si="425"/>
        <v>-</v>
      </c>
      <c r="AC325" s="2" t="s">
        <v>26</v>
      </c>
      <c r="AD325" s="2" t="str">
        <f t="shared" si="426"/>
        <v>_</v>
      </c>
      <c r="AE325" s="28" t="s">
        <v>13</v>
      </c>
      <c r="AF325" s="2" t="str">
        <f t="shared" si="407"/>
        <v>_</v>
      </c>
      <c r="AG325" s="28" t="s">
        <v>23</v>
      </c>
      <c r="AH325" s="2" t="str">
        <f t="shared" si="427"/>
        <v/>
      </c>
    </row>
    <row r="326" spans="1:35" x14ac:dyDescent="0.25">
      <c r="B326" s="2" t="str">
        <f t="shared" si="418"/>
        <v>@color-tertiary_line_unpaved_default</v>
      </c>
      <c r="C326" s="119" t="s">
        <v>221</v>
      </c>
      <c r="D326" s="120" t="str">
        <f>C326</f>
        <v>"#eddfca"</v>
      </c>
      <c r="F326" s="119" t="s">
        <v>221</v>
      </c>
      <c r="G326" s="120" t="str">
        <f>F326</f>
        <v>"#eddfca"</v>
      </c>
      <c r="I326" s="119" t="s">
        <v>221</v>
      </c>
      <c r="J326" s="120" t="str">
        <f>I326</f>
        <v>"#eddfca"</v>
      </c>
      <c r="L326" s="119" t="s">
        <v>221</v>
      </c>
      <c r="M326" s="120" t="str">
        <f>L326</f>
        <v>"#eddfca"</v>
      </c>
      <c r="U326" s="46" t="s">
        <v>222</v>
      </c>
      <c r="V326" s="38" t="str">
        <f>U326</f>
        <v>"#ffffff"</v>
      </c>
      <c r="X326" s="46" t="s">
        <v>222</v>
      </c>
      <c r="Y326" s="38" t="str">
        <f>X326</f>
        <v>"#ffffff"</v>
      </c>
      <c r="AA326" s="2" t="s">
        <v>6</v>
      </c>
      <c r="AB326" s="2" t="str">
        <f t="shared" si="425"/>
        <v>-</v>
      </c>
      <c r="AC326" s="2" t="s">
        <v>26</v>
      </c>
      <c r="AD326" s="2" t="str">
        <f t="shared" si="426"/>
        <v>_</v>
      </c>
      <c r="AE326" s="2" t="s">
        <v>13</v>
      </c>
      <c r="AF326" s="2" t="str">
        <f t="shared" si="407"/>
        <v>_</v>
      </c>
      <c r="AG326" s="2" t="s">
        <v>21</v>
      </c>
      <c r="AH326" s="2" t="str">
        <f t="shared" si="427"/>
        <v>_</v>
      </c>
      <c r="AI326" s="28" t="s">
        <v>262</v>
      </c>
    </row>
    <row r="327" spans="1:35" x14ac:dyDescent="0.25">
      <c r="B327" s="2" t="str">
        <f t="shared" si="418"/>
        <v>@color-tertiary_line_paved_or_uk_default</v>
      </c>
      <c r="C327" s="46" t="s">
        <v>222</v>
      </c>
      <c r="D327" s="38" t="str">
        <f>C327</f>
        <v>"#ffffff"</v>
      </c>
      <c r="F327" s="46" t="s">
        <v>222</v>
      </c>
      <c r="G327" s="38" t="str">
        <f>F327</f>
        <v>"#ffffff"</v>
      </c>
      <c r="I327" s="46" t="s">
        <v>222</v>
      </c>
      <c r="J327" s="38" t="str">
        <f>I327</f>
        <v>"#ffffff"</v>
      </c>
      <c r="L327" s="46" t="s">
        <v>222</v>
      </c>
      <c r="M327" s="38" t="str">
        <f>L327</f>
        <v>"#ffffff"</v>
      </c>
      <c r="U327" s="46" t="s">
        <v>222</v>
      </c>
      <c r="V327" s="38" t="str">
        <f>U327</f>
        <v>"#ffffff"</v>
      </c>
      <c r="X327" s="46" t="s">
        <v>222</v>
      </c>
      <c r="Y327" s="38" t="str">
        <f>X327</f>
        <v>"#ffffff"</v>
      </c>
      <c r="AA327" s="2" t="s">
        <v>6</v>
      </c>
      <c r="AB327" s="2" t="str">
        <f t="shared" si="425"/>
        <v>-</v>
      </c>
      <c r="AC327" s="2" t="s">
        <v>26</v>
      </c>
      <c r="AD327" s="2" t="str">
        <f t="shared" si="426"/>
        <v>_</v>
      </c>
      <c r="AE327" s="2" t="s">
        <v>13</v>
      </c>
      <c r="AF327" s="2" t="str">
        <f t="shared" si="407"/>
        <v>_</v>
      </c>
      <c r="AG327" s="28" t="s">
        <v>24</v>
      </c>
      <c r="AH327" s="28" t="str">
        <f t="shared" si="427"/>
        <v>_</v>
      </c>
      <c r="AI327" s="28" t="s">
        <v>262</v>
      </c>
    </row>
    <row r="328" spans="1:35" x14ac:dyDescent="0.25">
      <c r="B328" s="2"/>
      <c r="C328" s="26"/>
      <c r="F328" s="26"/>
      <c r="L328" s="26"/>
      <c r="AA328" s="2"/>
      <c r="AB328" s="2"/>
      <c r="AC328" s="2"/>
      <c r="AD328" s="2"/>
      <c r="AE328" s="2"/>
      <c r="AF328" s="2"/>
      <c r="AG328" s="2"/>
      <c r="AH328" s="2"/>
      <c r="AI328" s="2"/>
    </row>
    <row r="329" spans="1:35" x14ac:dyDescent="0.25">
      <c r="B329" s="2" t="str">
        <f t="shared" ref="B329:B332" si="431">_xlfn.CONCAT("@",AA329,AB329,AC329,AD329,AE329,AF329,AG329,AH329,AI329)</f>
        <v>@dasharray-tertiary_case_medium_dash</v>
      </c>
      <c r="C329" s="28" t="s">
        <v>341</v>
      </c>
      <c r="D329" s="28" t="s">
        <v>341</v>
      </c>
      <c r="F329" s="28" t="s">
        <v>341</v>
      </c>
      <c r="G329" s="28" t="s">
        <v>341</v>
      </c>
      <c r="I329" s="28" t="s">
        <v>92</v>
      </c>
      <c r="J329" s="28" t="s">
        <v>92</v>
      </c>
      <c r="L329" s="28" t="s">
        <v>92</v>
      </c>
      <c r="M329" s="28" t="s">
        <v>92</v>
      </c>
      <c r="U329" s="28" t="s">
        <v>341</v>
      </c>
      <c r="V329" s="28" t="s">
        <v>341</v>
      </c>
      <c r="X329" s="28" t="s">
        <v>341</v>
      </c>
      <c r="Y329" s="28" t="s">
        <v>341</v>
      </c>
      <c r="AA329" s="2" t="s">
        <v>385</v>
      </c>
      <c r="AB329" s="2" t="str">
        <f t="shared" ref="AB329:AB332" si="432">IF(NOT(ISBLANK(AC329)),"-","")</f>
        <v>-</v>
      </c>
      <c r="AC329" s="2" t="s">
        <v>26</v>
      </c>
      <c r="AD329" s="2" t="str">
        <f t="shared" ref="AD329:AD332" si="433">IF(NOT(ISBLANK(AE329)),"_","")</f>
        <v>_</v>
      </c>
      <c r="AE329" s="2" t="s">
        <v>17</v>
      </c>
      <c r="AF329" s="2" t="str">
        <f t="shared" ref="AF329:AF332" si="434">IF(NOT(ISBLANK(AG329)),"_","")</f>
        <v>_</v>
      </c>
      <c r="AG329" s="2" t="s">
        <v>79</v>
      </c>
      <c r="AH329" s="2" t="str">
        <f t="shared" ref="AH329:AH332" si="435">IF(NOT(ISBLANK(AI329)),"_","")</f>
        <v>_</v>
      </c>
      <c r="AI329" s="2" t="s">
        <v>387</v>
      </c>
    </row>
    <row r="330" spans="1:35" x14ac:dyDescent="0.25">
      <c r="B330" s="2" t="str">
        <f t="shared" si="431"/>
        <v>@dasharray-tertiary_case_medium_gap</v>
      </c>
      <c r="C330" s="28" t="s">
        <v>389</v>
      </c>
      <c r="D330" s="28" t="s">
        <v>389</v>
      </c>
      <c r="F330" s="28" t="s">
        <v>389</v>
      </c>
      <c r="G330" s="28" t="s">
        <v>389</v>
      </c>
      <c r="I330" s="28" t="s">
        <v>96</v>
      </c>
      <c r="J330" s="28" t="s">
        <v>96</v>
      </c>
      <c r="L330" s="28" t="s">
        <v>96</v>
      </c>
      <c r="M330" s="28" t="s">
        <v>96</v>
      </c>
      <c r="U330" s="28" t="s">
        <v>389</v>
      </c>
      <c r="V330" s="28" t="s">
        <v>389</v>
      </c>
      <c r="X330" s="28" t="s">
        <v>389</v>
      </c>
      <c r="Y330" s="28" t="s">
        <v>389</v>
      </c>
      <c r="AA330" s="2" t="s">
        <v>385</v>
      </c>
      <c r="AB330" s="2" t="str">
        <f t="shared" si="432"/>
        <v>-</v>
      </c>
      <c r="AC330" s="2" t="s">
        <v>26</v>
      </c>
      <c r="AD330" s="2" t="str">
        <f t="shared" si="433"/>
        <v>_</v>
      </c>
      <c r="AE330" s="2" t="s">
        <v>17</v>
      </c>
      <c r="AF330" s="2" t="str">
        <f t="shared" si="434"/>
        <v>_</v>
      </c>
      <c r="AG330" s="2" t="s">
        <v>79</v>
      </c>
      <c r="AH330" s="2" t="str">
        <f t="shared" si="435"/>
        <v>_</v>
      </c>
      <c r="AI330" s="2" t="s">
        <v>388</v>
      </c>
    </row>
    <row r="331" spans="1:35" x14ac:dyDescent="0.25">
      <c r="B331" s="2" t="str">
        <f t="shared" si="431"/>
        <v>@dasharray-tertiary_case_rough_dash</v>
      </c>
      <c r="C331" s="28" t="s">
        <v>341</v>
      </c>
      <c r="D331" s="28" t="s">
        <v>341</v>
      </c>
      <c r="F331" s="28" t="s">
        <v>341</v>
      </c>
      <c r="G331" s="28" t="s">
        <v>341</v>
      </c>
      <c r="I331" s="28" t="s">
        <v>97</v>
      </c>
      <c r="J331" s="28" t="s">
        <v>97</v>
      </c>
      <c r="L331" s="28" t="s">
        <v>97</v>
      </c>
      <c r="M331" s="28" t="s">
        <v>97</v>
      </c>
      <c r="U331" s="28" t="s">
        <v>341</v>
      </c>
      <c r="V331" s="28" t="s">
        <v>341</v>
      </c>
      <c r="X331" s="28" t="s">
        <v>341</v>
      </c>
      <c r="Y331" s="28" t="s">
        <v>341</v>
      </c>
      <c r="AA331" s="2" t="s">
        <v>385</v>
      </c>
      <c r="AB331" s="2" t="str">
        <f t="shared" si="432"/>
        <v>-</v>
      </c>
      <c r="AC331" s="2" t="s">
        <v>26</v>
      </c>
      <c r="AD331" s="2" t="str">
        <f t="shared" si="433"/>
        <v>_</v>
      </c>
      <c r="AE331" s="2" t="s">
        <v>17</v>
      </c>
      <c r="AF331" s="2" t="str">
        <f t="shared" si="434"/>
        <v>_</v>
      </c>
      <c r="AG331" s="2" t="s">
        <v>386</v>
      </c>
      <c r="AH331" s="2" t="str">
        <f t="shared" si="435"/>
        <v>_</v>
      </c>
      <c r="AI331" s="2" t="s">
        <v>387</v>
      </c>
    </row>
    <row r="332" spans="1:35" x14ac:dyDescent="0.25">
      <c r="B332" s="2" t="str">
        <f t="shared" si="431"/>
        <v>@dasharray-tertiary_case_rough_gap</v>
      </c>
      <c r="C332" s="28" t="s">
        <v>389</v>
      </c>
      <c r="D332" s="28" t="s">
        <v>389</v>
      </c>
      <c r="F332" s="28" t="s">
        <v>389</v>
      </c>
      <c r="G332" s="28" t="s">
        <v>389</v>
      </c>
      <c r="I332" s="28" t="s">
        <v>96</v>
      </c>
      <c r="J332" s="28" t="s">
        <v>96</v>
      </c>
      <c r="L332" s="28" t="s">
        <v>96</v>
      </c>
      <c r="M332" s="28" t="s">
        <v>96</v>
      </c>
      <c r="U332" s="28" t="s">
        <v>389</v>
      </c>
      <c r="V332" s="28" t="s">
        <v>389</v>
      </c>
      <c r="X332" s="28" t="s">
        <v>389</v>
      </c>
      <c r="Y332" s="28" t="s">
        <v>389</v>
      </c>
      <c r="AA332" s="2" t="s">
        <v>385</v>
      </c>
      <c r="AB332" s="2" t="str">
        <f t="shared" si="432"/>
        <v>-</v>
      </c>
      <c r="AC332" s="2" t="s">
        <v>26</v>
      </c>
      <c r="AD332" s="2" t="str">
        <f t="shared" si="433"/>
        <v>_</v>
      </c>
      <c r="AE332" s="2" t="s">
        <v>17</v>
      </c>
      <c r="AF332" s="2" t="str">
        <f t="shared" si="434"/>
        <v>_</v>
      </c>
      <c r="AG332" s="2" t="s">
        <v>386</v>
      </c>
      <c r="AH332" s="2" t="str">
        <f t="shared" si="435"/>
        <v>_</v>
      </c>
      <c r="AI332" s="2" t="s">
        <v>388</v>
      </c>
    </row>
    <row r="333" spans="1:35" x14ac:dyDescent="0.25">
      <c r="B333" s="2"/>
      <c r="AB333" s="28" t="str">
        <f t="shared" si="399"/>
        <v/>
      </c>
      <c r="AD333" s="28" t="str">
        <f t="shared" si="406"/>
        <v/>
      </c>
      <c r="AF333" s="28" t="str">
        <f t="shared" si="407"/>
        <v/>
      </c>
      <c r="AH333" s="28" t="str">
        <f t="shared" si="417"/>
        <v/>
      </c>
    </row>
    <row r="334" spans="1:35" s="2" customFormat="1" x14ac:dyDescent="0.25">
      <c r="A334" s="3" t="s">
        <v>223</v>
      </c>
      <c r="B334" s="3"/>
      <c r="C334" s="27"/>
      <c r="D334" s="6"/>
      <c r="E334" s="7"/>
      <c r="F334" s="6"/>
      <c r="G334" s="6"/>
      <c r="H334" s="7"/>
      <c r="I334" s="6"/>
      <c r="J334" s="6"/>
      <c r="K334" s="7"/>
      <c r="L334" s="6"/>
      <c r="M334" s="6"/>
      <c r="N334" s="7"/>
      <c r="O334" s="6"/>
      <c r="P334" s="6"/>
      <c r="Q334" s="7"/>
      <c r="R334" s="6"/>
      <c r="S334" s="6"/>
      <c r="T334" s="7"/>
      <c r="U334" s="6"/>
      <c r="V334" s="6"/>
      <c r="W334" s="7"/>
      <c r="X334" s="6"/>
      <c r="Y334" s="6"/>
      <c r="AA334" s="4"/>
      <c r="AB334" s="4" t="str">
        <f t="shared" si="399"/>
        <v/>
      </c>
      <c r="AC334" s="4"/>
      <c r="AD334" s="4" t="str">
        <f t="shared" si="406"/>
        <v/>
      </c>
      <c r="AE334" s="4"/>
      <c r="AF334" s="4" t="str">
        <f t="shared" si="407"/>
        <v/>
      </c>
      <c r="AG334" s="4"/>
      <c r="AH334" s="4" t="str">
        <f t="shared" si="417"/>
        <v/>
      </c>
      <c r="AI334" s="4"/>
    </row>
    <row r="335" spans="1:35" x14ac:dyDescent="0.25">
      <c r="B335" s="2" t="str">
        <f t="shared" ref="B335:B336" si="436">_xlfn.CONCAT("@",AA335,AB335,AC335,AD335,AE335,AF335,AG335,AH335,AI335)</f>
        <v>@color-parking_aisle_line_unpaved</v>
      </c>
      <c r="C335" s="124" t="s">
        <v>232</v>
      </c>
      <c r="D335" s="115" t="s">
        <v>229</v>
      </c>
      <c r="F335" s="124" t="s">
        <v>232</v>
      </c>
      <c r="G335" s="114" t="s">
        <v>227</v>
      </c>
      <c r="I335" s="124" t="s">
        <v>232</v>
      </c>
      <c r="J335" s="115" t="s">
        <v>229</v>
      </c>
      <c r="L335" s="124" t="s">
        <v>232</v>
      </c>
      <c r="M335" s="114" t="s">
        <v>227</v>
      </c>
      <c r="U335" s="127" t="s">
        <v>233</v>
      </c>
      <c r="V335" s="128" t="s">
        <v>234</v>
      </c>
      <c r="X335" s="127" t="s">
        <v>233</v>
      </c>
      <c r="Y335" s="127" t="s">
        <v>233</v>
      </c>
      <c r="AA335" s="2" t="s">
        <v>6</v>
      </c>
      <c r="AB335" s="2" t="str">
        <f t="shared" ref="AB335:AB336" si="437">IF(NOT(ISBLANK(AC335)),"-","")</f>
        <v>-</v>
      </c>
      <c r="AC335" s="2" t="s">
        <v>391</v>
      </c>
      <c r="AD335" s="2" t="str">
        <f t="shared" ref="AD335:AD336" si="438">IF(NOT(ISBLANK(AE335)),"_","")</f>
        <v>_</v>
      </c>
      <c r="AE335" s="2" t="s">
        <v>13</v>
      </c>
      <c r="AF335" s="2" t="str">
        <f t="shared" ref="AF335:AF336" si="439">IF(NOT(ISBLANK(AG335)),"_","")</f>
        <v>_</v>
      </c>
      <c r="AG335" s="2" t="s">
        <v>21</v>
      </c>
      <c r="AH335" s="2" t="str">
        <f t="shared" ref="AH335:AH336" si="440">IF(NOT(ISBLANK(AI335)),"_","")</f>
        <v/>
      </c>
      <c r="AI335" s="2"/>
    </row>
    <row r="336" spans="1:35" x14ac:dyDescent="0.25">
      <c r="B336" s="2" t="str">
        <f t="shared" si="436"/>
        <v>@color-parking_aisle_line_paved_or_uk</v>
      </c>
      <c r="C336" s="127" t="s">
        <v>233</v>
      </c>
      <c r="D336" s="128" t="s">
        <v>234</v>
      </c>
      <c r="F336" s="127" t="s">
        <v>233</v>
      </c>
      <c r="G336" s="127" t="s">
        <v>233</v>
      </c>
      <c r="I336" s="127" t="s">
        <v>233</v>
      </c>
      <c r="J336" s="128" t="s">
        <v>234</v>
      </c>
      <c r="L336" s="127" t="s">
        <v>233</v>
      </c>
      <c r="M336" s="127" t="s">
        <v>233</v>
      </c>
      <c r="U336" s="127" t="s">
        <v>233</v>
      </c>
      <c r="V336" s="128" t="s">
        <v>234</v>
      </c>
      <c r="X336" s="127" t="s">
        <v>233</v>
      </c>
      <c r="Y336" s="127" t="s">
        <v>233</v>
      </c>
      <c r="AA336" s="2" t="s">
        <v>6</v>
      </c>
      <c r="AB336" s="2" t="str">
        <f t="shared" si="437"/>
        <v>-</v>
      </c>
      <c r="AC336" s="2" t="s">
        <v>391</v>
      </c>
      <c r="AD336" s="2" t="str">
        <f t="shared" si="438"/>
        <v>_</v>
      </c>
      <c r="AE336" s="2" t="s">
        <v>13</v>
      </c>
      <c r="AF336" s="2" t="str">
        <f t="shared" si="439"/>
        <v>_</v>
      </c>
      <c r="AG336" s="2" t="s">
        <v>24</v>
      </c>
      <c r="AH336" s="2" t="str">
        <f t="shared" si="440"/>
        <v/>
      </c>
      <c r="AI336" s="2"/>
    </row>
    <row r="337" spans="2:35" x14ac:dyDescent="0.25">
      <c r="B337" s="2"/>
      <c r="C337" s="26"/>
      <c r="D337" s="38"/>
      <c r="F337" s="46"/>
      <c r="G337" s="38"/>
      <c r="I337" s="38"/>
      <c r="J337" s="38"/>
      <c r="L337" s="46"/>
      <c r="M337" s="38"/>
      <c r="U337" s="26"/>
      <c r="V337" s="38"/>
      <c r="X337" s="46"/>
      <c r="Y337" s="38"/>
      <c r="AA337" s="2"/>
      <c r="AB337" s="2"/>
      <c r="AC337" s="2"/>
      <c r="AD337" s="2"/>
      <c r="AE337" s="2"/>
      <c r="AF337" s="2"/>
      <c r="AG337" s="2"/>
      <c r="AH337" s="2"/>
      <c r="AI337" s="2"/>
    </row>
    <row r="338" spans="2:35" x14ac:dyDescent="0.25">
      <c r="B338" s="2" t="str">
        <f t="shared" ref="B338:B343" si="441">_xlfn.CONCAT("@",AA338,AB338,AC338,AD338,AE338,AF338,AG338,AH338,AI338)</f>
        <v>@color-raceway_case_unpaved_farzoom</v>
      </c>
      <c r="C338" s="114" t="s">
        <v>227</v>
      </c>
      <c r="D338" s="115" t="s">
        <v>229</v>
      </c>
      <c r="F338" s="115" t="s">
        <v>229</v>
      </c>
      <c r="G338" s="114" t="s">
        <v>227</v>
      </c>
      <c r="I338" s="131" t="str">
        <f t="shared" ref="I338" si="442">C338</f>
        <v>"#b99346"</v>
      </c>
      <c r="J338" s="126" t="str">
        <f t="shared" ref="J338" si="443">D338</f>
        <v>"#644507"</v>
      </c>
      <c r="L338" s="115" t="s">
        <v>229</v>
      </c>
      <c r="M338" s="114" t="s">
        <v>227</v>
      </c>
      <c r="U338" s="117" t="s">
        <v>228</v>
      </c>
      <c r="V338" s="47" t="s">
        <v>214</v>
      </c>
      <c r="X338" s="117" t="s">
        <v>228</v>
      </c>
      <c r="Y338" s="117" t="s">
        <v>228</v>
      </c>
      <c r="AA338" s="2" t="s">
        <v>6</v>
      </c>
      <c r="AB338" s="2" t="str">
        <f t="shared" ref="AB338" si="444">IF(NOT(ISBLANK(AC338)),"-","")</f>
        <v>-</v>
      </c>
      <c r="AC338" s="2" t="s">
        <v>28</v>
      </c>
      <c r="AD338" s="2" t="str">
        <f t="shared" ref="AD338" si="445">IF(NOT(ISBLANK(AE338)),"_","")</f>
        <v>_</v>
      </c>
      <c r="AE338" s="2" t="s">
        <v>17</v>
      </c>
      <c r="AF338" s="2" t="str">
        <f t="shared" ref="AF338" si="446">IF(NOT(ISBLANK(AG338)),"_","")</f>
        <v>_</v>
      </c>
      <c r="AG338" s="2" t="s">
        <v>21</v>
      </c>
      <c r="AH338" s="2" t="str">
        <f t="shared" ref="AH338" si="447">IF(NOT(ISBLANK(AI338)),"_","")</f>
        <v>_</v>
      </c>
      <c r="AI338" s="28" t="s">
        <v>20</v>
      </c>
    </row>
    <row r="339" spans="2:35" x14ac:dyDescent="0.25">
      <c r="B339" s="2" t="str">
        <f t="shared" si="441"/>
        <v>@color-raceway_case_unpaved_default</v>
      </c>
      <c r="C339" s="124" t="s">
        <v>232</v>
      </c>
      <c r="D339" s="115" t="s">
        <v>229</v>
      </c>
      <c r="F339" s="47" t="s">
        <v>214</v>
      </c>
      <c r="G339" s="47" t="s">
        <v>214</v>
      </c>
      <c r="I339" s="125" t="str">
        <f>C339</f>
        <v>"#af9564"</v>
      </c>
      <c r="J339" s="126" t="str">
        <f>D339</f>
        <v>"#644507"</v>
      </c>
      <c r="L339" s="47" t="s">
        <v>214</v>
      </c>
      <c r="M339" s="47" t="s">
        <v>214</v>
      </c>
      <c r="U339" s="127" t="s">
        <v>233</v>
      </c>
      <c r="V339" s="128" t="s">
        <v>234</v>
      </c>
      <c r="X339" s="47" t="s">
        <v>214</v>
      </c>
      <c r="Y339" s="47" t="s">
        <v>214</v>
      </c>
      <c r="AA339" s="2" t="s">
        <v>6</v>
      </c>
      <c r="AB339" s="2" t="str">
        <f t="shared" ref="AB339:AB341" si="448">IF(NOT(ISBLANK(AC339)),"-","")</f>
        <v>-</v>
      </c>
      <c r="AC339" s="2" t="s">
        <v>28</v>
      </c>
      <c r="AD339" s="2" t="str">
        <f t="shared" ref="AD339:AD341" si="449">IF(NOT(ISBLANK(AE339)),"_","")</f>
        <v>_</v>
      </c>
      <c r="AE339" s="2" t="s">
        <v>17</v>
      </c>
      <c r="AF339" s="2" t="str">
        <f t="shared" ref="AF339:AF341" si="450">IF(NOT(ISBLANK(AG339)),"_","")</f>
        <v>_</v>
      </c>
      <c r="AG339" s="2" t="s">
        <v>21</v>
      </c>
      <c r="AH339" s="2" t="str">
        <f t="shared" si="417"/>
        <v>_</v>
      </c>
      <c r="AI339" s="2" t="s">
        <v>262</v>
      </c>
    </row>
    <row r="340" spans="2:35" x14ac:dyDescent="0.25">
      <c r="B340" s="2" t="str">
        <f t="shared" si="441"/>
        <v>@color-raceway_case_paved_or_uk_farzoom</v>
      </c>
      <c r="C340" s="117" t="s">
        <v>228</v>
      </c>
      <c r="D340" s="47" t="s">
        <v>214</v>
      </c>
      <c r="F340" s="117" t="s">
        <v>228</v>
      </c>
      <c r="G340" s="117" t="s">
        <v>228</v>
      </c>
      <c r="I340" s="132" t="str">
        <f t="shared" ref="I340" si="451">C340</f>
        <v>"#808080"</v>
      </c>
      <c r="J340" s="37" t="str">
        <f t="shared" ref="J340" si="452">D340</f>
        <v>"#000000"</v>
      </c>
      <c r="L340" s="117" t="s">
        <v>228</v>
      </c>
      <c r="M340" s="117" t="s">
        <v>228</v>
      </c>
      <c r="U340" s="117" t="s">
        <v>228</v>
      </c>
      <c r="V340" s="47" t="s">
        <v>214</v>
      </c>
      <c r="X340" s="117" t="s">
        <v>228</v>
      </c>
      <c r="Y340" s="117" t="s">
        <v>228</v>
      </c>
      <c r="AA340" s="2" t="s">
        <v>6</v>
      </c>
      <c r="AB340" s="2" t="str">
        <f t="shared" si="448"/>
        <v>-</v>
      </c>
      <c r="AC340" s="2" t="s">
        <v>28</v>
      </c>
      <c r="AD340" s="2" t="str">
        <f t="shared" si="449"/>
        <v>_</v>
      </c>
      <c r="AE340" s="2" t="s">
        <v>17</v>
      </c>
      <c r="AF340" s="2" t="str">
        <f t="shared" si="450"/>
        <v>_</v>
      </c>
      <c r="AG340" s="2" t="s">
        <v>24</v>
      </c>
      <c r="AH340" s="2" t="str">
        <f t="shared" ref="AH340" si="453">IF(NOT(ISBLANK(AI340)),"_","")</f>
        <v>_</v>
      </c>
      <c r="AI340" s="28" t="s">
        <v>20</v>
      </c>
    </row>
    <row r="341" spans="2:35" x14ac:dyDescent="0.25">
      <c r="B341" s="2" t="str">
        <f t="shared" si="441"/>
        <v>@color-raceway_case_paved_or_uk_default</v>
      </c>
      <c r="C341" s="127" t="s">
        <v>233</v>
      </c>
      <c r="D341" s="128" t="s">
        <v>234</v>
      </c>
      <c r="F341" s="47" t="s">
        <v>214</v>
      </c>
      <c r="G341" s="47" t="s">
        <v>214</v>
      </c>
      <c r="I341" s="129" t="str">
        <f>C341</f>
        <v>"#a8a6a4"</v>
      </c>
      <c r="J341" s="130" t="str">
        <f>D341</f>
        <v>"#4a4a4a"</v>
      </c>
      <c r="L341" s="47" t="s">
        <v>214</v>
      </c>
      <c r="M341" s="47" t="s">
        <v>214</v>
      </c>
      <c r="U341" s="127" t="s">
        <v>233</v>
      </c>
      <c r="V341" s="128" t="s">
        <v>234</v>
      </c>
      <c r="X341" s="47" t="s">
        <v>214</v>
      </c>
      <c r="Y341" s="47" t="s">
        <v>214</v>
      </c>
      <c r="AA341" s="2" t="s">
        <v>6</v>
      </c>
      <c r="AB341" s="2" t="str">
        <f t="shared" si="448"/>
        <v>-</v>
      </c>
      <c r="AC341" s="2" t="s">
        <v>28</v>
      </c>
      <c r="AD341" s="2" t="str">
        <f t="shared" si="449"/>
        <v>_</v>
      </c>
      <c r="AE341" s="2" t="s">
        <v>17</v>
      </c>
      <c r="AF341" s="2" t="str">
        <f t="shared" si="450"/>
        <v>_</v>
      </c>
      <c r="AG341" s="2" t="s">
        <v>24</v>
      </c>
      <c r="AH341" s="2" t="str">
        <f t="shared" si="417"/>
        <v>_</v>
      </c>
      <c r="AI341" s="2" t="s">
        <v>262</v>
      </c>
    </row>
    <row r="342" spans="2:35" x14ac:dyDescent="0.25">
      <c r="B342" s="2" t="str">
        <f t="shared" si="441"/>
        <v>@color-raceway_line_unpaved</v>
      </c>
      <c r="C342" s="119" t="s">
        <v>221</v>
      </c>
      <c r="D342" s="120" t="str">
        <f>C342</f>
        <v>"#eddfca"</v>
      </c>
      <c r="F342" s="119" t="s">
        <v>221</v>
      </c>
      <c r="G342" s="38" t="str">
        <f t="shared" ref="G342:G343" si="454">F342</f>
        <v>"#eddfca"</v>
      </c>
      <c r="I342" s="120" t="str">
        <f>C342</f>
        <v>"#eddfca"</v>
      </c>
      <c r="J342" s="120" t="str">
        <f>C342</f>
        <v>"#eddfca"</v>
      </c>
      <c r="L342" s="119" t="s">
        <v>221</v>
      </c>
      <c r="M342" s="38" t="str">
        <f t="shared" ref="M342:M343" si="455">L342</f>
        <v>"#eddfca"</v>
      </c>
      <c r="U342" s="26" t="s">
        <v>222</v>
      </c>
      <c r="V342" s="38" t="str">
        <f>U342</f>
        <v>"#ffffff"</v>
      </c>
      <c r="X342" s="46" t="s">
        <v>222</v>
      </c>
      <c r="Y342" s="38" t="str">
        <f t="shared" ref="Y342" si="456">X342</f>
        <v>"#ffffff"</v>
      </c>
      <c r="AA342" s="2" t="s">
        <v>6</v>
      </c>
      <c r="AB342" s="2" t="str">
        <f t="shared" si="399"/>
        <v>-</v>
      </c>
      <c r="AC342" s="2" t="s">
        <v>28</v>
      </c>
      <c r="AD342" s="2" t="str">
        <f t="shared" si="406"/>
        <v>_</v>
      </c>
      <c r="AE342" s="2" t="s">
        <v>13</v>
      </c>
      <c r="AF342" s="2" t="str">
        <f t="shared" si="407"/>
        <v>_</v>
      </c>
      <c r="AG342" s="2" t="s">
        <v>21</v>
      </c>
      <c r="AH342" s="2" t="str">
        <f t="shared" si="417"/>
        <v/>
      </c>
      <c r="AI342" s="2"/>
    </row>
    <row r="343" spans="2:35" x14ac:dyDescent="0.25">
      <c r="B343" s="2" t="str">
        <f t="shared" si="441"/>
        <v>@color-raceway_line_paved_or_uk</v>
      </c>
      <c r="C343" s="26" t="s">
        <v>222</v>
      </c>
      <c r="D343" s="38" t="str">
        <f>C343</f>
        <v>"#ffffff"</v>
      </c>
      <c r="F343" s="46" t="s">
        <v>222</v>
      </c>
      <c r="G343" s="38" t="str">
        <f t="shared" si="454"/>
        <v>"#ffffff"</v>
      </c>
      <c r="I343" s="38" t="str">
        <f>C343</f>
        <v>"#ffffff"</v>
      </c>
      <c r="J343" s="38" t="str">
        <f>C343</f>
        <v>"#ffffff"</v>
      </c>
      <c r="L343" s="46" t="s">
        <v>222</v>
      </c>
      <c r="M343" s="38" t="str">
        <f t="shared" si="455"/>
        <v>"#ffffff"</v>
      </c>
      <c r="U343" s="26" t="s">
        <v>222</v>
      </c>
      <c r="V343" s="38" t="str">
        <f>U343</f>
        <v>"#ffffff"</v>
      </c>
      <c r="X343" s="46" t="s">
        <v>222</v>
      </c>
      <c r="Y343" s="38" t="str">
        <f t="shared" ref="Y343" si="457">X343</f>
        <v>"#ffffff"</v>
      </c>
      <c r="AA343" s="2" t="s">
        <v>6</v>
      </c>
      <c r="AB343" s="2" t="str">
        <f t="shared" si="399"/>
        <v>-</v>
      </c>
      <c r="AC343" s="2" t="s">
        <v>28</v>
      </c>
      <c r="AD343" s="2" t="str">
        <f t="shared" si="406"/>
        <v>_</v>
      </c>
      <c r="AE343" s="2" t="s">
        <v>13</v>
      </c>
      <c r="AF343" s="2" t="str">
        <f t="shared" si="407"/>
        <v>_</v>
      </c>
      <c r="AG343" s="2" t="s">
        <v>24</v>
      </c>
      <c r="AH343" s="2" t="str">
        <f t="shared" si="417"/>
        <v/>
      </c>
      <c r="AI343" s="2"/>
    </row>
    <row r="344" spans="2:35" x14ac:dyDescent="0.25">
      <c r="B344" s="2"/>
      <c r="C344" s="26"/>
      <c r="F344" s="26"/>
      <c r="L344" s="26"/>
      <c r="U344" s="26"/>
      <c r="X344" s="26"/>
      <c r="AA344" s="2"/>
      <c r="AB344" s="2"/>
      <c r="AC344" s="2"/>
      <c r="AD344" s="2"/>
      <c r="AE344" s="2"/>
      <c r="AF344" s="2"/>
      <c r="AG344" s="2"/>
      <c r="AH344" s="2"/>
      <c r="AI344" s="2"/>
    </row>
    <row r="345" spans="2:35" x14ac:dyDescent="0.25">
      <c r="B345" s="2" t="str">
        <f t="shared" ref="B345:B348" si="458">_xlfn.CONCAT("@",AA345,AB345,AC345,AD345,AE345,AF345,AG345,AH345,AI345)</f>
        <v>@dasharray-raceway_case_medium_dash</v>
      </c>
      <c r="C345" s="28" t="s">
        <v>341</v>
      </c>
      <c r="D345" s="28" t="s">
        <v>341</v>
      </c>
      <c r="F345" s="28" t="s">
        <v>341</v>
      </c>
      <c r="G345" s="28" t="s">
        <v>341</v>
      </c>
      <c r="I345" s="28" t="s">
        <v>92</v>
      </c>
      <c r="J345" s="28" t="s">
        <v>92</v>
      </c>
      <c r="L345" s="28" t="s">
        <v>92</v>
      </c>
      <c r="M345" s="28" t="s">
        <v>92</v>
      </c>
      <c r="U345" s="28" t="s">
        <v>341</v>
      </c>
      <c r="V345" s="28" t="s">
        <v>341</v>
      </c>
      <c r="X345" s="28" t="s">
        <v>341</v>
      </c>
      <c r="Y345" s="28" t="s">
        <v>341</v>
      </c>
      <c r="AA345" s="2" t="s">
        <v>385</v>
      </c>
      <c r="AB345" s="2" t="str">
        <f t="shared" ref="AB345:AB348" si="459">IF(NOT(ISBLANK(AC345)),"-","")</f>
        <v>-</v>
      </c>
      <c r="AC345" s="2" t="s">
        <v>28</v>
      </c>
      <c r="AD345" s="2" t="str">
        <f t="shared" ref="AD345:AD348" si="460">IF(NOT(ISBLANK(AE345)),"_","")</f>
        <v>_</v>
      </c>
      <c r="AE345" s="2" t="s">
        <v>17</v>
      </c>
      <c r="AF345" s="2" t="str">
        <f t="shared" ref="AF345:AF348" si="461">IF(NOT(ISBLANK(AG345)),"_","")</f>
        <v>_</v>
      </c>
      <c r="AG345" s="2" t="s">
        <v>79</v>
      </c>
      <c r="AH345" s="2" t="str">
        <f t="shared" ref="AH345:AH348" si="462">IF(NOT(ISBLANK(AI345)),"_","")</f>
        <v>_</v>
      </c>
      <c r="AI345" s="2" t="s">
        <v>387</v>
      </c>
    </row>
    <row r="346" spans="2:35" x14ac:dyDescent="0.25">
      <c r="B346" s="2" t="str">
        <f t="shared" si="458"/>
        <v>@dasharray-raceway_case_medium_gap</v>
      </c>
      <c r="C346" s="28" t="s">
        <v>389</v>
      </c>
      <c r="D346" s="28" t="s">
        <v>389</v>
      </c>
      <c r="F346" s="28" t="s">
        <v>389</v>
      </c>
      <c r="G346" s="28" t="s">
        <v>389</v>
      </c>
      <c r="I346" s="28" t="s">
        <v>96</v>
      </c>
      <c r="J346" s="28" t="s">
        <v>96</v>
      </c>
      <c r="L346" s="28" t="s">
        <v>96</v>
      </c>
      <c r="M346" s="28" t="s">
        <v>96</v>
      </c>
      <c r="U346" s="28" t="s">
        <v>389</v>
      </c>
      <c r="V346" s="28" t="s">
        <v>389</v>
      </c>
      <c r="X346" s="28" t="s">
        <v>389</v>
      </c>
      <c r="Y346" s="28" t="s">
        <v>389</v>
      </c>
      <c r="AA346" s="2" t="s">
        <v>385</v>
      </c>
      <c r="AB346" s="2" t="str">
        <f t="shared" si="459"/>
        <v>-</v>
      </c>
      <c r="AC346" s="2" t="s">
        <v>28</v>
      </c>
      <c r="AD346" s="2" t="str">
        <f t="shared" si="460"/>
        <v>_</v>
      </c>
      <c r="AE346" s="2" t="s">
        <v>17</v>
      </c>
      <c r="AF346" s="2" t="str">
        <f t="shared" si="461"/>
        <v>_</v>
      </c>
      <c r="AG346" s="2" t="s">
        <v>79</v>
      </c>
      <c r="AH346" s="2" t="str">
        <f t="shared" si="462"/>
        <v>_</v>
      </c>
      <c r="AI346" s="2" t="s">
        <v>388</v>
      </c>
    </row>
    <row r="347" spans="2:35" x14ac:dyDescent="0.25">
      <c r="B347" s="2" t="str">
        <f t="shared" si="458"/>
        <v>@dasharray-raceway_case_rough_dash</v>
      </c>
      <c r="C347" s="28" t="s">
        <v>341</v>
      </c>
      <c r="D347" s="28" t="s">
        <v>341</v>
      </c>
      <c r="F347" s="28" t="s">
        <v>341</v>
      </c>
      <c r="G347" s="28" t="s">
        <v>341</v>
      </c>
      <c r="I347" s="28" t="s">
        <v>97</v>
      </c>
      <c r="J347" s="28" t="s">
        <v>97</v>
      </c>
      <c r="L347" s="28" t="s">
        <v>97</v>
      </c>
      <c r="M347" s="28" t="s">
        <v>97</v>
      </c>
      <c r="U347" s="28" t="s">
        <v>341</v>
      </c>
      <c r="V347" s="28" t="s">
        <v>341</v>
      </c>
      <c r="X347" s="28" t="s">
        <v>341</v>
      </c>
      <c r="Y347" s="28" t="s">
        <v>341</v>
      </c>
      <c r="AA347" s="2" t="s">
        <v>385</v>
      </c>
      <c r="AB347" s="2" t="str">
        <f t="shared" si="459"/>
        <v>-</v>
      </c>
      <c r="AC347" s="2" t="s">
        <v>28</v>
      </c>
      <c r="AD347" s="2" t="str">
        <f t="shared" si="460"/>
        <v>_</v>
      </c>
      <c r="AE347" s="2" t="s">
        <v>17</v>
      </c>
      <c r="AF347" s="2" t="str">
        <f t="shared" si="461"/>
        <v>_</v>
      </c>
      <c r="AG347" s="2" t="s">
        <v>386</v>
      </c>
      <c r="AH347" s="2" t="str">
        <f t="shared" si="462"/>
        <v>_</v>
      </c>
      <c r="AI347" s="2" t="s">
        <v>387</v>
      </c>
    </row>
    <row r="348" spans="2:35" x14ac:dyDescent="0.25">
      <c r="B348" s="2" t="str">
        <f t="shared" si="458"/>
        <v>@dasharray-raceway_case_rough_gap</v>
      </c>
      <c r="C348" s="28" t="s">
        <v>389</v>
      </c>
      <c r="D348" s="28" t="s">
        <v>389</v>
      </c>
      <c r="F348" s="28" t="s">
        <v>389</v>
      </c>
      <c r="G348" s="28" t="s">
        <v>389</v>
      </c>
      <c r="I348" s="28" t="s">
        <v>96</v>
      </c>
      <c r="J348" s="28" t="s">
        <v>96</v>
      </c>
      <c r="L348" s="28" t="s">
        <v>96</v>
      </c>
      <c r="M348" s="28" t="s">
        <v>96</v>
      </c>
      <c r="U348" s="28" t="s">
        <v>389</v>
      </c>
      <c r="V348" s="28" t="s">
        <v>389</v>
      </c>
      <c r="X348" s="28" t="s">
        <v>389</v>
      </c>
      <c r="Y348" s="28" t="s">
        <v>389</v>
      </c>
      <c r="AA348" s="2" t="s">
        <v>385</v>
      </c>
      <c r="AB348" s="2" t="str">
        <f t="shared" si="459"/>
        <v>-</v>
      </c>
      <c r="AC348" s="2" t="s">
        <v>28</v>
      </c>
      <c r="AD348" s="2" t="str">
        <f t="shared" si="460"/>
        <v>_</v>
      </c>
      <c r="AE348" s="2" t="s">
        <v>17</v>
      </c>
      <c r="AF348" s="2" t="str">
        <f t="shared" si="461"/>
        <v>_</v>
      </c>
      <c r="AG348" s="2" t="s">
        <v>386</v>
      </c>
      <c r="AH348" s="2" t="str">
        <f t="shared" si="462"/>
        <v>_</v>
      </c>
      <c r="AI348" s="2" t="s">
        <v>388</v>
      </c>
    </row>
    <row r="349" spans="2:35" x14ac:dyDescent="0.25">
      <c r="B349" s="2"/>
      <c r="C349" s="26"/>
      <c r="F349" s="26"/>
      <c r="L349" s="26"/>
      <c r="U349" s="26"/>
      <c r="X349" s="26"/>
      <c r="AA349" s="2"/>
      <c r="AB349" s="2"/>
      <c r="AC349" s="2"/>
      <c r="AD349" s="2"/>
      <c r="AE349" s="2"/>
      <c r="AF349" s="2"/>
      <c r="AG349" s="2"/>
      <c r="AH349" s="2"/>
      <c r="AI349" s="2"/>
    </row>
    <row r="350" spans="2:35" x14ac:dyDescent="0.25">
      <c r="B350" s="2"/>
      <c r="AB350" s="28" t="str">
        <f t="shared" si="399"/>
        <v/>
      </c>
      <c r="AD350" s="28" t="str">
        <f t="shared" si="406"/>
        <v/>
      </c>
      <c r="AF350" s="28" t="str">
        <f t="shared" si="407"/>
        <v/>
      </c>
      <c r="AH350" s="28" t="str">
        <f t="shared" si="417"/>
        <v/>
      </c>
    </row>
    <row r="351" spans="2:35" x14ac:dyDescent="0.25">
      <c r="B351" s="2" t="str">
        <f t="shared" ref="B351:B356" si="463">_xlfn.CONCAT("@",AA351,AB351,AC351,AD351,AE351,AF351,AG351,AH351,AI351)</f>
        <v>@color-driveway_case_unpaved_farzoom</v>
      </c>
      <c r="C351" s="114" t="s">
        <v>227</v>
      </c>
      <c r="D351" s="115" t="s">
        <v>229</v>
      </c>
      <c r="F351" s="115" t="s">
        <v>229</v>
      </c>
      <c r="G351" s="114" t="s">
        <v>227</v>
      </c>
      <c r="I351" s="131" t="str">
        <f t="shared" ref="I351:J354" si="464">C351</f>
        <v>"#b99346"</v>
      </c>
      <c r="J351" s="126" t="str">
        <f t="shared" si="464"/>
        <v>"#644507"</v>
      </c>
      <c r="L351" s="115" t="s">
        <v>229</v>
      </c>
      <c r="M351" s="114" t="s">
        <v>227</v>
      </c>
      <c r="U351" s="117" t="s">
        <v>228</v>
      </c>
      <c r="V351" s="47" t="s">
        <v>214</v>
      </c>
      <c r="X351" s="117" t="s">
        <v>228</v>
      </c>
      <c r="Y351" s="117" t="s">
        <v>228</v>
      </c>
      <c r="AA351" s="2" t="s">
        <v>6</v>
      </c>
      <c r="AB351" s="2" t="str">
        <f t="shared" si="399"/>
        <v>-</v>
      </c>
      <c r="AC351" s="2" t="s">
        <v>29</v>
      </c>
      <c r="AD351" s="2" t="str">
        <f t="shared" si="406"/>
        <v>_</v>
      </c>
      <c r="AE351" s="2" t="s">
        <v>17</v>
      </c>
      <c r="AF351" s="2" t="str">
        <f t="shared" si="407"/>
        <v>_</v>
      </c>
      <c r="AG351" s="2" t="s">
        <v>21</v>
      </c>
      <c r="AH351" s="2" t="str">
        <f t="shared" si="417"/>
        <v>_</v>
      </c>
      <c r="AI351" s="28" t="s">
        <v>20</v>
      </c>
    </row>
    <row r="352" spans="2:35" x14ac:dyDescent="0.25">
      <c r="B352" s="2" t="str">
        <f t="shared" si="463"/>
        <v>@color-driveway_case_unpaved_default</v>
      </c>
      <c r="C352" s="115" t="s">
        <v>229</v>
      </c>
      <c r="D352" s="115" t="s">
        <v>229</v>
      </c>
      <c r="F352" s="47" t="s">
        <v>214</v>
      </c>
      <c r="G352" s="47" t="s">
        <v>214</v>
      </c>
      <c r="I352" s="126" t="str">
        <f t="shared" si="464"/>
        <v>"#644507"</v>
      </c>
      <c r="J352" s="126" t="str">
        <f t="shared" si="464"/>
        <v>"#644507"</v>
      </c>
      <c r="L352" s="47" t="s">
        <v>214</v>
      </c>
      <c r="M352" s="47" t="s">
        <v>214</v>
      </c>
      <c r="U352" s="118" t="s">
        <v>218</v>
      </c>
      <c r="V352" s="47" t="s">
        <v>214</v>
      </c>
      <c r="X352" s="47" t="s">
        <v>214</v>
      </c>
      <c r="Y352" s="47" t="s">
        <v>214</v>
      </c>
      <c r="AA352" s="2" t="s">
        <v>6</v>
      </c>
      <c r="AB352" s="2" t="str">
        <f t="shared" si="399"/>
        <v>-</v>
      </c>
      <c r="AC352" s="2" t="s">
        <v>29</v>
      </c>
      <c r="AD352" s="2" t="str">
        <f t="shared" si="406"/>
        <v>_</v>
      </c>
      <c r="AE352" s="2" t="s">
        <v>17</v>
      </c>
      <c r="AF352" s="2" t="str">
        <f t="shared" si="407"/>
        <v>_</v>
      </c>
      <c r="AG352" s="2" t="s">
        <v>21</v>
      </c>
      <c r="AH352" s="2" t="str">
        <f t="shared" si="417"/>
        <v>_</v>
      </c>
      <c r="AI352" s="2" t="s">
        <v>262</v>
      </c>
    </row>
    <row r="353" spans="2:35" x14ac:dyDescent="0.25">
      <c r="B353" s="2" t="str">
        <f t="shared" si="463"/>
        <v>@color-driveway_case_paved_or_uk_farzoom</v>
      </c>
      <c r="C353" s="117" t="s">
        <v>228</v>
      </c>
      <c r="D353" s="47" t="s">
        <v>214</v>
      </c>
      <c r="F353" s="117" t="s">
        <v>228</v>
      </c>
      <c r="G353" s="117" t="s">
        <v>228</v>
      </c>
      <c r="I353" s="132" t="str">
        <f t="shared" si="464"/>
        <v>"#808080"</v>
      </c>
      <c r="J353" s="37" t="str">
        <f t="shared" si="464"/>
        <v>"#000000"</v>
      </c>
      <c r="L353" s="117" t="s">
        <v>228</v>
      </c>
      <c r="M353" s="117" t="s">
        <v>228</v>
      </c>
      <c r="U353" s="117" t="s">
        <v>228</v>
      </c>
      <c r="V353" s="47" t="s">
        <v>214</v>
      </c>
      <c r="X353" s="117" t="s">
        <v>228</v>
      </c>
      <c r="Y353" s="117" t="s">
        <v>228</v>
      </c>
      <c r="AA353" s="2" t="s">
        <v>6</v>
      </c>
      <c r="AB353" s="2" t="str">
        <f t="shared" si="399"/>
        <v>-</v>
      </c>
      <c r="AC353" s="2" t="s">
        <v>29</v>
      </c>
      <c r="AD353" s="2" t="str">
        <f t="shared" si="406"/>
        <v>_</v>
      </c>
      <c r="AE353" s="2" t="s">
        <v>17</v>
      </c>
      <c r="AF353" s="2" t="str">
        <f t="shared" si="407"/>
        <v>_</v>
      </c>
      <c r="AG353" s="2" t="s">
        <v>24</v>
      </c>
      <c r="AH353" s="2" t="str">
        <f t="shared" si="417"/>
        <v>_</v>
      </c>
      <c r="AI353" s="28" t="s">
        <v>20</v>
      </c>
    </row>
    <row r="354" spans="2:35" x14ac:dyDescent="0.25">
      <c r="B354" s="2" t="str">
        <f t="shared" si="463"/>
        <v>@color-driveway_case_paved_or_uk_default</v>
      </c>
      <c r="C354" s="118" t="s">
        <v>218</v>
      </c>
      <c r="D354" s="47" t="s">
        <v>214</v>
      </c>
      <c r="F354" s="47" t="s">
        <v>214</v>
      </c>
      <c r="G354" s="47" t="s">
        <v>214</v>
      </c>
      <c r="I354" s="133" t="str">
        <f t="shared" si="464"/>
        <v>"#404040"</v>
      </c>
      <c r="J354" s="37" t="str">
        <f t="shared" si="464"/>
        <v>"#000000"</v>
      </c>
      <c r="L354" s="47" t="s">
        <v>214</v>
      </c>
      <c r="M354" s="47" t="s">
        <v>214</v>
      </c>
      <c r="Q354" s="7"/>
      <c r="U354" s="118" t="s">
        <v>218</v>
      </c>
      <c r="V354" s="47" t="s">
        <v>214</v>
      </c>
      <c r="X354" s="47" t="s">
        <v>214</v>
      </c>
      <c r="Y354" s="47" t="s">
        <v>214</v>
      </c>
      <c r="AA354" s="2" t="s">
        <v>6</v>
      </c>
      <c r="AB354" s="2" t="str">
        <f t="shared" si="399"/>
        <v>-</v>
      </c>
      <c r="AC354" s="2" t="s">
        <v>29</v>
      </c>
      <c r="AD354" s="2" t="str">
        <f t="shared" si="406"/>
        <v>_</v>
      </c>
      <c r="AE354" s="2" t="s">
        <v>17</v>
      </c>
      <c r="AF354" s="2" t="str">
        <f t="shared" si="407"/>
        <v>_</v>
      </c>
      <c r="AG354" s="2" t="s">
        <v>24</v>
      </c>
      <c r="AH354" s="2" t="str">
        <f t="shared" si="417"/>
        <v>_</v>
      </c>
      <c r="AI354" s="2" t="s">
        <v>262</v>
      </c>
    </row>
    <row r="355" spans="2:35" x14ac:dyDescent="0.25">
      <c r="B355" s="2" t="str">
        <f t="shared" si="463"/>
        <v>@color-driveway_line_unpaved</v>
      </c>
      <c r="C355" s="119" t="s">
        <v>221</v>
      </c>
      <c r="D355" s="38" t="str">
        <f t="shared" ref="D355:D356" si="465">C355</f>
        <v>"#eddfca"</v>
      </c>
      <c r="F355" s="119" t="s">
        <v>221</v>
      </c>
      <c r="G355" s="38" t="str">
        <f t="shared" ref="G355:G356" si="466">F355</f>
        <v>"#eddfca"</v>
      </c>
      <c r="I355" s="119" t="s">
        <v>221</v>
      </c>
      <c r="J355" s="38" t="str">
        <f t="shared" ref="J355:J356" si="467">I355</f>
        <v>"#eddfca"</v>
      </c>
      <c r="L355" s="119" t="s">
        <v>221</v>
      </c>
      <c r="M355" s="38" t="str">
        <f t="shared" ref="M355:M356" si="468">L355</f>
        <v>"#eddfca"</v>
      </c>
      <c r="U355" s="46" t="s">
        <v>222</v>
      </c>
      <c r="V355" s="38" t="str">
        <f t="shared" ref="V355" si="469">U355</f>
        <v>"#ffffff"</v>
      </c>
      <c r="X355" s="46" t="s">
        <v>222</v>
      </c>
      <c r="Y355" s="38" t="str">
        <f t="shared" ref="Y355" si="470">X355</f>
        <v>"#ffffff"</v>
      </c>
      <c r="AA355" s="2" t="s">
        <v>6</v>
      </c>
      <c r="AB355" s="2" t="str">
        <f t="shared" si="399"/>
        <v>-</v>
      </c>
      <c r="AC355" s="2" t="s">
        <v>29</v>
      </c>
      <c r="AD355" s="2" t="str">
        <f t="shared" si="406"/>
        <v>_</v>
      </c>
      <c r="AE355" s="2" t="s">
        <v>13</v>
      </c>
      <c r="AF355" s="2" t="str">
        <f t="shared" si="407"/>
        <v>_</v>
      </c>
      <c r="AG355" s="2" t="s">
        <v>21</v>
      </c>
      <c r="AH355" s="2" t="str">
        <f t="shared" si="417"/>
        <v/>
      </c>
      <c r="AI355" s="2"/>
    </row>
    <row r="356" spans="2:35" x14ac:dyDescent="0.25">
      <c r="B356" s="2" t="str">
        <f t="shared" si="463"/>
        <v>@color-driveway_line_paved_or_uk</v>
      </c>
      <c r="C356" s="46" t="s">
        <v>222</v>
      </c>
      <c r="D356" s="38" t="str">
        <f t="shared" si="465"/>
        <v>"#ffffff"</v>
      </c>
      <c r="F356" s="46" t="s">
        <v>222</v>
      </c>
      <c r="G356" s="38" t="str">
        <f t="shared" si="466"/>
        <v>"#ffffff"</v>
      </c>
      <c r="I356" s="46" t="s">
        <v>222</v>
      </c>
      <c r="J356" s="38" t="str">
        <f t="shared" si="467"/>
        <v>"#ffffff"</v>
      </c>
      <c r="L356" s="46" t="s">
        <v>222</v>
      </c>
      <c r="M356" s="38" t="str">
        <f t="shared" si="468"/>
        <v>"#ffffff"</v>
      </c>
      <c r="U356" s="46" t="s">
        <v>222</v>
      </c>
      <c r="V356" s="38" t="str">
        <f t="shared" ref="V356" si="471">U356</f>
        <v>"#ffffff"</v>
      </c>
      <c r="X356" s="46" t="s">
        <v>222</v>
      </c>
      <c r="Y356" s="38" t="str">
        <f t="shared" ref="Y356" si="472">X356</f>
        <v>"#ffffff"</v>
      </c>
      <c r="AA356" s="2" t="s">
        <v>6</v>
      </c>
      <c r="AB356" s="2" t="str">
        <f t="shared" si="399"/>
        <v>-</v>
      </c>
      <c r="AC356" s="2" t="s">
        <v>29</v>
      </c>
      <c r="AD356" s="2" t="str">
        <f t="shared" si="406"/>
        <v>_</v>
      </c>
      <c r="AE356" s="2" t="s">
        <v>13</v>
      </c>
      <c r="AF356" s="2" t="str">
        <f t="shared" si="407"/>
        <v>_</v>
      </c>
      <c r="AG356" s="2" t="s">
        <v>24</v>
      </c>
      <c r="AH356" s="2" t="str">
        <f t="shared" si="417"/>
        <v/>
      </c>
      <c r="AI356" s="2"/>
    </row>
    <row r="357" spans="2:35" x14ac:dyDescent="0.25">
      <c r="B357" s="2"/>
      <c r="C357" s="26"/>
      <c r="F357" s="26"/>
      <c r="L357" s="26"/>
      <c r="U357" s="26"/>
      <c r="X357" s="26"/>
      <c r="AA357" s="2"/>
      <c r="AB357" s="2"/>
      <c r="AC357" s="2"/>
      <c r="AD357" s="2"/>
      <c r="AE357" s="2"/>
      <c r="AF357" s="2"/>
      <c r="AG357" s="2"/>
      <c r="AH357" s="2"/>
      <c r="AI357" s="2"/>
    </row>
    <row r="358" spans="2:35" x14ac:dyDescent="0.25">
      <c r="B358" s="2" t="str">
        <f t="shared" ref="B358:B361" si="473">_xlfn.CONCAT("@",AA358,AB358,AC358,AD358,AE358,AF358,AG358,AH358,AI358)</f>
        <v>@dasharray-driveway_case_medium_dash</v>
      </c>
      <c r="C358" s="28" t="s">
        <v>341</v>
      </c>
      <c r="D358" s="28" t="s">
        <v>341</v>
      </c>
      <c r="F358" s="28" t="s">
        <v>341</v>
      </c>
      <c r="G358" s="28" t="s">
        <v>341</v>
      </c>
      <c r="I358" s="28" t="s">
        <v>92</v>
      </c>
      <c r="J358" s="28" t="s">
        <v>92</v>
      </c>
      <c r="L358" s="28" t="s">
        <v>92</v>
      </c>
      <c r="M358" s="28" t="s">
        <v>92</v>
      </c>
      <c r="U358" s="28" t="s">
        <v>341</v>
      </c>
      <c r="V358" s="28" t="s">
        <v>341</v>
      </c>
      <c r="X358" s="28" t="s">
        <v>341</v>
      </c>
      <c r="Y358" s="28" t="s">
        <v>341</v>
      </c>
      <c r="AA358" s="2" t="s">
        <v>385</v>
      </c>
      <c r="AB358" s="2" t="str">
        <f t="shared" ref="AB358:AB361" si="474">IF(NOT(ISBLANK(AC358)),"-","")</f>
        <v>-</v>
      </c>
      <c r="AC358" s="2" t="s">
        <v>29</v>
      </c>
      <c r="AD358" s="2" t="str">
        <f t="shared" ref="AD358:AD361" si="475">IF(NOT(ISBLANK(AE358)),"_","")</f>
        <v>_</v>
      </c>
      <c r="AE358" s="2" t="s">
        <v>17</v>
      </c>
      <c r="AF358" s="2" t="str">
        <f t="shared" ref="AF358:AF361" si="476">IF(NOT(ISBLANK(AG358)),"_","")</f>
        <v>_</v>
      </c>
      <c r="AG358" s="2" t="s">
        <v>79</v>
      </c>
      <c r="AH358" s="2" t="str">
        <f t="shared" ref="AH358:AH361" si="477">IF(NOT(ISBLANK(AI358)),"_","")</f>
        <v>_</v>
      </c>
      <c r="AI358" s="2" t="s">
        <v>387</v>
      </c>
    </row>
    <row r="359" spans="2:35" x14ac:dyDescent="0.25">
      <c r="B359" s="2" t="str">
        <f t="shared" si="473"/>
        <v>@dasharray-driveway_case_medium_gap</v>
      </c>
      <c r="C359" s="28" t="s">
        <v>389</v>
      </c>
      <c r="D359" s="28" t="s">
        <v>389</v>
      </c>
      <c r="F359" s="28" t="s">
        <v>389</v>
      </c>
      <c r="G359" s="28" t="s">
        <v>389</v>
      </c>
      <c r="I359" s="28" t="s">
        <v>96</v>
      </c>
      <c r="J359" s="28" t="s">
        <v>96</v>
      </c>
      <c r="L359" s="28" t="s">
        <v>96</v>
      </c>
      <c r="M359" s="28" t="s">
        <v>96</v>
      </c>
      <c r="U359" s="28" t="s">
        <v>389</v>
      </c>
      <c r="V359" s="28" t="s">
        <v>389</v>
      </c>
      <c r="X359" s="28" t="s">
        <v>389</v>
      </c>
      <c r="Y359" s="28" t="s">
        <v>389</v>
      </c>
      <c r="AA359" s="2" t="s">
        <v>385</v>
      </c>
      <c r="AB359" s="2" t="str">
        <f t="shared" si="474"/>
        <v>-</v>
      </c>
      <c r="AC359" s="2" t="s">
        <v>29</v>
      </c>
      <c r="AD359" s="2" t="str">
        <f t="shared" si="475"/>
        <v>_</v>
      </c>
      <c r="AE359" s="2" t="s">
        <v>17</v>
      </c>
      <c r="AF359" s="2" t="str">
        <f t="shared" si="476"/>
        <v>_</v>
      </c>
      <c r="AG359" s="2" t="s">
        <v>79</v>
      </c>
      <c r="AH359" s="2" t="str">
        <f t="shared" si="477"/>
        <v>_</v>
      </c>
      <c r="AI359" s="2" t="s">
        <v>388</v>
      </c>
    </row>
    <row r="360" spans="2:35" x14ac:dyDescent="0.25">
      <c r="B360" s="2" t="str">
        <f t="shared" si="473"/>
        <v>@dasharray-driveway_case_rough_dash</v>
      </c>
      <c r="C360" s="28" t="s">
        <v>341</v>
      </c>
      <c r="D360" s="28" t="s">
        <v>341</v>
      </c>
      <c r="F360" s="28" t="s">
        <v>341</v>
      </c>
      <c r="G360" s="28" t="s">
        <v>341</v>
      </c>
      <c r="I360" s="28" t="s">
        <v>97</v>
      </c>
      <c r="J360" s="28" t="s">
        <v>97</v>
      </c>
      <c r="L360" s="28" t="s">
        <v>97</v>
      </c>
      <c r="M360" s="28" t="s">
        <v>97</v>
      </c>
      <c r="U360" s="28" t="s">
        <v>341</v>
      </c>
      <c r="V360" s="28" t="s">
        <v>341</v>
      </c>
      <c r="X360" s="28" t="s">
        <v>341</v>
      </c>
      <c r="Y360" s="28" t="s">
        <v>341</v>
      </c>
      <c r="AA360" s="2" t="s">
        <v>385</v>
      </c>
      <c r="AB360" s="2" t="str">
        <f t="shared" si="474"/>
        <v>-</v>
      </c>
      <c r="AC360" s="2" t="s">
        <v>29</v>
      </c>
      <c r="AD360" s="2" t="str">
        <f t="shared" si="475"/>
        <v>_</v>
      </c>
      <c r="AE360" s="2" t="s">
        <v>17</v>
      </c>
      <c r="AF360" s="2" t="str">
        <f t="shared" si="476"/>
        <v>_</v>
      </c>
      <c r="AG360" s="2" t="s">
        <v>386</v>
      </c>
      <c r="AH360" s="2" t="str">
        <f t="shared" si="477"/>
        <v>_</v>
      </c>
      <c r="AI360" s="2" t="s">
        <v>387</v>
      </c>
    </row>
    <row r="361" spans="2:35" x14ac:dyDescent="0.25">
      <c r="B361" s="2" t="str">
        <f t="shared" si="473"/>
        <v>@dasharray-driveway_case_rough_gap</v>
      </c>
      <c r="C361" s="28" t="s">
        <v>389</v>
      </c>
      <c r="D361" s="28" t="s">
        <v>389</v>
      </c>
      <c r="F361" s="28" t="s">
        <v>389</v>
      </c>
      <c r="G361" s="28" t="s">
        <v>389</v>
      </c>
      <c r="I361" s="28" t="s">
        <v>96</v>
      </c>
      <c r="J361" s="28" t="s">
        <v>96</v>
      </c>
      <c r="L361" s="28" t="s">
        <v>96</v>
      </c>
      <c r="M361" s="28" t="s">
        <v>96</v>
      </c>
      <c r="U361" s="28" t="s">
        <v>389</v>
      </c>
      <c r="V361" s="28" t="s">
        <v>389</v>
      </c>
      <c r="X361" s="28" t="s">
        <v>389</v>
      </c>
      <c r="Y361" s="28" t="s">
        <v>389</v>
      </c>
      <c r="AA361" s="2" t="s">
        <v>385</v>
      </c>
      <c r="AB361" s="2" t="str">
        <f t="shared" si="474"/>
        <v>-</v>
      </c>
      <c r="AC361" s="2" t="s">
        <v>29</v>
      </c>
      <c r="AD361" s="2" t="str">
        <f t="shared" si="475"/>
        <v>_</v>
      </c>
      <c r="AE361" s="2" t="s">
        <v>17</v>
      </c>
      <c r="AF361" s="2" t="str">
        <f t="shared" si="476"/>
        <v>_</v>
      </c>
      <c r="AG361" s="2" t="s">
        <v>386</v>
      </c>
      <c r="AH361" s="2" t="str">
        <f t="shared" si="477"/>
        <v>_</v>
      </c>
      <c r="AI361" s="2" t="s">
        <v>388</v>
      </c>
    </row>
    <row r="362" spans="2:35" x14ac:dyDescent="0.25">
      <c r="B362" s="2"/>
      <c r="C362" s="26"/>
      <c r="F362" s="26"/>
      <c r="I362" s="26"/>
      <c r="L362" s="26"/>
      <c r="U362" s="26"/>
      <c r="X362" s="26"/>
      <c r="AA362" s="2"/>
      <c r="AB362" s="2"/>
      <c r="AC362" s="2"/>
      <c r="AD362" s="2"/>
      <c r="AE362" s="2"/>
      <c r="AF362" s="2"/>
      <c r="AG362" s="2"/>
      <c r="AH362" s="2"/>
      <c r="AI362" s="2"/>
    </row>
    <row r="363" spans="2:35" x14ac:dyDescent="0.25">
      <c r="B363" s="2"/>
      <c r="AB363" s="28" t="str">
        <f t="shared" ref="AB363:AB382" si="478">IF(NOT(ISBLANK(AC363)),"-","")</f>
        <v/>
      </c>
      <c r="AD363" s="28" t="str">
        <f t="shared" ref="AD363:AD382" si="479">IF(NOT(ISBLANK(AE363)),"_","")</f>
        <v/>
      </c>
      <c r="AF363" s="28" t="str">
        <f t="shared" ref="AF363:AF382" si="480">IF(NOT(ISBLANK(AG363)),"_","")</f>
        <v/>
      </c>
      <c r="AH363" s="28" t="str">
        <f t="shared" si="417"/>
        <v/>
      </c>
    </row>
    <row r="364" spans="2:35" x14ac:dyDescent="0.25">
      <c r="B364" s="2" t="str">
        <f t="shared" ref="B364:B369" si="481">_xlfn.CONCAT("@",AA364,AB364,AC364,AD364,AE364,AF364,AG364,AH364,AI364)</f>
        <v>@color-busway_case_unpaved_farzoom</v>
      </c>
      <c r="C364" s="114" t="s">
        <v>227</v>
      </c>
      <c r="D364" s="115" t="s">
        <v>229</v>
      </c>
      <c r="F364" s="115" t="s">
        <v>229</v>
      </c>
      <c r="G364" s="114" t="s">
        <v>227</v>
      </c>
      <c r="I364" s="131" t="str">
        <f t="shared" ref="I364:I367" si="482">C364</f>
        <v>"#b99346"</v>
      </c>
      <c r="J364" s="126" t="str">
        <f t="shared" ref="J364:J367" si="483">D364</f>
        <v>"#644507"</v>
      </c>
      <c r="L364" s="115" t="s">
        <v>229</v>
      </c>
      <c r="M364" s="114" t="s">
        <v>227</v>
      </c>
      <c r="U364" s="117" t="s">
        <v>228</v>
      </c>
      <c r="V364" s="47" t="s">
        <v>214</v>
      </c>
      <c r="X364" s="117" t="s">
        <v>228</v>
      </c>
      <c r="Y364" s="117" t="s">
        <v>228</v>
      </c>
      <c r="AA364" s="2" t="s">
        <v>6</v>
      </c>
      <c r="AB364" s="2" t="str">
        <f t="shared" si="478"/>
        <v>-</v>
      </c>
      <c r="AC364" s="2" t="s">
        <v>370</v>
      </c>
      <c r="AD364" s="2" t="str">
        <f t="shared" si="479"/>
        <v>_</v>
      </c>
      <c r="AE364" s="2" t="s">
        <v>17</v>
      </c>
      <c r="AF364" s="2" t="str">
        <f t="shared" si="480"/>
        <v>_</v>
      </c>
      <c r="AG364" s="2" t="s">
        <v>21</v>
      </c>
      <c r="AH364" s="2" t="str">
        <f t="shared" ref="AH364:AH376" si="484">IF(NOT(ISBLANK(AI364)),"_","")</f>
        <v>_</v>
      </c>
      <c r="AI364" s="28" t="s">
        <v>20</v>
      </c>
    </row>
    <row r="365" spans="2:35" x14ac:dyDescent="0.25">
      <c r="B365" s="2" t="str">
        <f t="shared" si="481"/>
        <v>@color-busway_case_unpaved_default</v>
      </c>
      <c r="C365" s="115" t="s">
        <v>229</v>
      </c>
      <c r="D365" s="115" t="s">
        <v>229</v>
      </c>
      <c r="F365" s="47" t="s">
        <v>214</v>
      </c>
      <c r="G365" s="47" t="s">
        <v>214</v>
      </c>
      <c r="I365" s="126" t="str">
        <f t="shared" si="482"/>
        <v>"#644507"</v>
      </c>
      <c r="J365" s="126" t="str">
        <f t="shared" si="483"/>
        <v>"#644507"</v>
      </c>
      <c r="L365" s="47" t="s">
        <v>214</v>
      </c>
      <c r="M365" s="47" t="s">
        <v>214</v>
      </c>
      <c r="U365" s="118" t="s">
        <v>218</v>
      </c>
      <c r="V365" s="47" t="s">
        <v>214</v>
      </c>
      <c r="X365" s="47" t="s">
        <v>214</v>
      </c>
      <c r="Y365" s="47" t="s">
        <v>214</v>
      </c>
      <c r="AA365" s="2" t="s">
        <v>6</v>
      </c>
      <c r="AB365" s="2" t="str">
        <f t="shared" si="478"/>
        <v>-</v>
      </c>
      <c r="AC365" s="2" t="s">
        <v>370</v>
      </c>
      <c r="AD365" s="2" t="str">
        <f t="shared" si="479"/>
        <v>_</v>
      </c>
      <c r="AE365" s="2" t="s">
        <v>17</v>
      </c>
      <c r="AF365" s="2" t="str">
        <f t="shared" si="480"/>
        <v>_</v>
      </c>
      <c r="AG365" s="2" t="s">
        <v>21</v>
      </c>
      <c r="AH365" s="2" t="str">
        <f t="shared" si="484"/>
        <v>_</v>
      </c>
      <c r="AI365" s="2" t="s">
        <v>262</v>
      </c>
    </row>
    <row r="366" spans="2:35" x14ac:dyDescent="0.25">
      <c r="B366" s="2" t="str">
        <f t="shared" si="481"/>
        <v>@color-busway_case_paved_or_uk_farzoom</v>
      </c>
      <c r="C366" s="117" t="s">
        <v>228</v>
      </c>
      <c r="D366" s="47" t="s">
        <v>214</v>
      </c>
      <c r="F366" s="117" t="s">
        <v>228</v>
      </c>
      <c r="G366" s="117" t="s">
        <v>228</v>
      </c>
      <c r="I366" s="132" t="str">
        <f t="shared" si="482"/>
        <v>"#808080"</v>
      </c>
      <c r="J366" s="37" t="str">
        <f t="shared" si="483"/>
        <v>"#000000"</v>
      </c>
      <c r="L366" s="117" t="s">
        <v>228</v>
      </c>
      <c r="M366" s="117" t="s">
        <v>228</v>
      </c>
      <c r="U366" s="117" t="s">
        <v>228</v>
      </c>
      <c r="V366" s="47" t="s">
        <v>214</v>
      </c>
      <c r="X366" s="117" t="s">
        <v>228</v>
      </c>
      <c r="Y366" s="117" t="s">
        <v>228</v>
      </c>
      <c r="AA366" s="2" t="s">
        <v>6</v>
      </c>
      <c r="AB366" s="2" t="str">
        <f t="shared" si="478"/>
        <v>-</v>
      </c>
      <c r="AC366" s="2" t="s">
        <v>370</v>
      </c>
      <c r="AD366" s="2" t="str">
        <f t="shared" si="479"/>
        <v>_</v>
      </c>
      <c r="AE366" s="2" t="s">
        <v>17</v>
      </c>
      <c r="AF366" s="2" t="str">
        <f t="shared" si="480"/>
        <v>_</v>
      </c>
      <c r="AG366" s="2" t="s">
        <v>24</v>
      </c>
      <c r="AH366" s="2" t="str">
        <f t="shared" si="484"/>
        <v>_</v>
      </c>
      <c r="AI366" s="28" t="s">
        <v>20</v>
      </c>
    </row>
    <row r="367" spans="2:35" x14ac:dyDescent="0.25">
      <c r="B367" s="2" t="str">
        <f t="shared" si="481"/>
        <v>@color-busway_case_paved_or_uk_default</v>
      </c>
      <c r="C367" s="118" t="s">
        <v>218</v>
      </c>
      <c r="D367" s="47" t="s">
        <v>214</v>
      </c>
      <c r="F367" s="47" t="s">
        <v>214</v>
      </c>
      <c r="G367" s="47" t="s">
        <v>214</v>
      </c>
      <c r="I367" s="133" t="str">
        <f t="shared" si="482"/>
        <v>"#404040"</v>
      </c>
      <c r="J367" s="37" t="str">
        <f t="shared" si="483"/>
        <v>"#000000"</v>
      </c>
      <c r="L367" s="47" t="s">
        <v>214</v>
      </c>
      <c r="M367" s="47" t="s">
        <v>214</v>
      </c>
      <c r="Q367" s="7"/>
      <c r="U367" s="118" t="s">
        <v>218</v>
      </c>
      <c r="V367" s="47" t="s">
        <v>214</v>
      </c>
      <c r="X367" s="47" t="s">
        <v>214</v>
      </c>
      <c r="Y367" s="47" t="s">
        <v>214</v>
      </c>
      <c r="AA367" s="2" t="s">
        <v>6</v>
      </c>
      <c r="AB367" s="2" t="str">
        <f t="shared" si="478"/>
        <v>-</v>
      </c>
      <c r="AC367" s="2" t="s">
        <v>370</v>
      </c>
      <c r="AD367" s="2" t="str">
        <f t="shared" si="479"/>
        <v>_</v>
      </c>
      <c r="AE367" s="2" t="s">
        <v>17</v>
      </c>
      <c r="AF367" s="2" t="str">
        <f t="shared" si="480"/>
        <v>_</v>
      </c>
      <c r="AG367" s="2" t="s">
        <v>24</v>
      </c>
      <c r="AH367" s="2" t="str">
        <f t="shared" si="484"/>
        <v>_</v>
      </c>
      <c r="AI367" s="2" t="s">
        <v>262</v>
      </c>
    </row>
    <row r="368" spans="2:35" x14ac:dyDescent="0.25">
      <c r="B368" s="2" t="str">
        <f t="shared" si="481"/>
        <v>@color-busway_line_unpaved</v>
      </c>
      <c r="C368" s="119" t="s">
        <v>221</v>
      </c>
      <c r="D368" s="38" t="str">
        <f t="shared" ref="D368:D369" si="485">C368</f>
        <v>"#eddfca"</v>
      </c>
      <c r="F368" s="119" t="s">
        <v>221</v>
      </c>
      <c r="G368" s="38" t="str">
        <f t="shared" ref="G368:G369" si="486">F368</f>
        <v>"#eddfca"</v>
      </c>
      <c r="I368" s="119" t="s">
        <v>221</v>
      </c>
      <c r="J368" s="38" t="str">
        <f t="shared" ref="J368:J369" si="487">I368</f>
        <v>"#eddfca"</v>
      </c>
      <c r="L368" s="119" t="s">
        <v>221</v>
      </c>
      <c r="M368" s="38" t="str">
        <f t="shared" ref="M368:M369" si="488">L368</f>
        <v>"#eddfca"</v>
      </c>
      <c r="U368" s="46" t="s">
        <v>222</v>
      </c>
      <c r="V368" s="38" t="str">
        <f t="shared" ref="V368" si="489">U368</f>
        <v>"#ffffff"</v>
      </c>
      <c r="X368" s="46" t="s">
        <v>222</v>
      </c>
      <c r="Y368" s="38" t="str">
        <f t="shared" ref="Y368" si="490">X368</f>
        <v>"#ffffff"</v>
      </c>
      <c r="AA368" s="2" t="s">
        <v>6</v>
      </c>
      <c r="AB368" s="2" t="str">
        <f t="shared" si="478"/>
        <v>-</v>
      </c>
      <c r="AC368" s="2" t="s">
        <v>370</v>
      </c>
      <c r="AD368" s="2" t="str">
        <f t="shared" si="479"/>
        <v>_</v>
      </c>
      <c r="AE368" s="2" t="s">
        <v>13</v>
      </c>
      <c r="AF368" s="2" t="str">
        <f t="shared" si="480"/>
        <v>_</v>
      </c>
      <c r="AG368" s="2" t="s">
        <v>21</v>
      </c>
      <c r="AH368" s="2" t="str">
        <f t="shared" si="484"/>
        <v/>
      </c>
      <c r="AI368" s="2"/>
    </row>
    <row r="369" spans="2:35" x14ac:dyDescent="0.25">
      <c r="B369" s="2" t="str">
        <f t="shared" si="481"/>
        <v>@color-busway_line_paved_or_uk</v>
      </c>
      <c r="C369" s="46" t="s">
        <v>222</v>
      </c>
      <c r="D369" s="38" t="str">
        <f t="shared" si="485"/>
        <v>"#ffffff"</v>
      </c>
      <c r="F369" s="46" t="s">
        <v>222</v>
      </c>
      <c r="G369" s="38" t="str">
        <f t="shared" si="486"/>
        <v>"#ffffff"</v>
      </c>
      <c r="I369" s="46" t="s">
        <v>222</v>
      </c>
      <c r="J369" s="38" t="str">
        <f t="shared" si="487"/>
        <v>"#ffffff"</v>
      </c>
      <c r="L369" s="46" t="s">
        <v>222</v>
      </c>
      <c r="M369" s="38" t="str">
        <f t="shared" si="488"/>
        <v>"#ffffff"</v>
      </c>
      <c r="U369" s="46" t="s">
        <v>222</v>
      </c>
      <c r="V369" s="38" t="str">
        <f t="shared" ref="V369" si="491">U369</f>
        <v>"#ffffff"</v>
      </c>
      <c r="X369" s="46" t="s">
        <v>222</v>
      </c>
      <c r="Y369" s="38" t="str">
        <f t="shared" ref="Y369" si="492">X369</f>
        <v>"#ffffff"</v>
      </c>
      <c r="AA369" s="2" t="s">
        <v>6</v>
      </c>
      <c r="AB369" s="2" t="str">
        <f t="shared" si="478"/>
        <v>-</v>
      </c>
      <c r="AC369" s="2" t="s">
        <v>370</v>
      </c>
      <c r="AD369" s="2" t="str">
        <f t="shared" si="479"/>
        <v>_</v>
      </c>
      <c r="AE369" s="2" t="s">
        <v>13</v>
      </c>
      <c r="AF369" s="2" t="str">
        <f t="shared" si="480"/>
        <v>_</v>
      </c>
      <c r="AG369" s="2" t="s">
        <v>24</v>
      </c>
      <c r="AH369" s="2" t="str">
        <f t="shared" si="484"/>
        <v/>
      </c>
      <c r="AI369" s="2"/>
    </row>
    <row r="370" spans="2:35" x14ac:dyDescent="0.25">
      <c r="B370" s="2"/>
      <c r="C370" s="26"/>
      <c r="F370" s="26"/>
      <c r="L370" s="26"/>
      <c r="U370" s="26"/>
      <c r="X370" s="26"/>
      <c r="AA370" s="2"/>
      <c r="AB370" s="2"/>
      <c r="AC370" s="2"/>
      <c r="AD370" s="2"/>
      <c r="AE370" s="2"/>
      <c r="AF370" s="2"/>
      <c r="AG370" s="2"/>
      <c r="AH370" s="2"/>
      <c r="AI370" s="2"/>
    </row>
    <row r="371" spans="2:35" x14ac:dyDescent="0.25">
      <c r="B371" s="2" t="str">
        <f t="shared" ref="B371:B374" si="493">_xlfn.CONCAT("@",AA371,AB371,AC371,AD371,AE371,AF371,AG371,AH371,AI371)</f>
        <v>@dasharray-busway_case_medium_dash</v>
      </c>
      <c r="C371" s="28" t="s">
        <v>341</v>
      </c>
      <c r="D371" s="28" t="s">
        <v>341</v>
      </c>
      <c r="F371" s="28" t="s">
        <v>341</v>
      </c>
      <c r="G371" s="28" t="s">
        <v>341</v>
      </c>
      <c r="I371" s="28" t="s">
        <v>92</v>
      </c>
      <c r="J371" s="28" t="s">
        <v>92</v>
      </c>
      <c r="L371" s="28" t="s">
        <v>92</v>
      </c>
      <c r="M371" s="28" t="s">
        <v>92</v>
      </c>
      <c r="U371" s="28" t="s">
        <v>341</v>
      </c>
      <c r="V371" s="28" t="s">
        <v>341</v>
      </c>
      <c r="X371" s="28" t="s">
        <v>341</v>
      </c>
      <c r="Y371" s="28" t="s">
        <v>341</v>
      </c>
      <c r="AA371" s="2" t="s">
        <v>385</v>
      </c>
      <c r="AB371" s="2" t="str">
        <f t="shared" ref="AB371:AB374" si="494">IF(NOT(ISBLANK(AC371)),"-","")</f>
        <v>-</v>
      </c>
      <c r="AC371" s="2" t="s">
        <v>370</v>
      </c>
      <c r="AD371" s="2" t="str">
        <f t="shared" ref="AD371:AD374" si="495">IF(NOT(ISBLANK(AE371)),"_","")</f>
        <v>_</v>
      </c>
      <c r="AE371" s="2" t="s">
        <v>17</v>
      </c>
      <c r="AF371" s="2" t="str">
        <f t="shared" ref="AF371:AF374" si="496">IF(NOT(ISBLANK(AG371)),"_","")</f>
        <v>_</v>
      </c>
      <c r="AG371" s="2" t="s">
        <v>79</v>
      </c>
      <c r="AH371" s="2" t="str">
        <f t="shared" ref="AH371:AH374" si="497">IF(NOT(ISBLANK(AI371)),"_","")</f>
        <v>_</v>
      </c>
      <c r="AI371" s="2" t="s">
        <v>387</v>
      </c>
    </row>
    <row r="372" spans="2:35" x14ac:dyDescent="0.25">
      <c r="B372" s="2" t="str">
        <f t="shared" si="493"/>
        <v>@dasharray-busway_case_medium_gap</v>
      </c>
      <c r="C372" s="28" t="s">
        <v>389</v>
      </c>
      <c r="D372" s="28" t="s">
        <v>389</v>
      </c>
      <c r="F372" s="28" t="s">
        <v>389</v>
      </c>
      <c r="G372" s="28" t="s">
        <v>389</v>
      </c>
      <c r="I372" s="28" t="s">
        <v>96</v>
      </c>
      <c r="J372" s="28" t="s">
        <v>96</v>
      </c>
      <c r="L372" s="28" t="s">
        <v>96</v>
      </c>
      <c r="M372" s="28" t="s">
        <v>96</v>
      </c>
      <c r="U372" s="28" t="s">
        <v>389</v>
      </c>
      <c r="V372" s="28" t="s">
        <v>389</v>
      </c>
      <c r="X372" s="28" t="s">
        <v>389</v>
      </c>
      <c r="Y372" s="28" t="s">
        <v>389</v>
      </c>
      <c r="AA372" s="2" t="s">
        <v>385</v>
      </c>
      <c r="AB372" s="2" t="str">
        <f t="shared" si="494"/>
        <v>-</v>
      </c>
      <c r="AC372" s="2" t="s">
        <v>370</v>
      </c>
      <c r="AD372" s="2" t="str">
        <f t="shared" si="495"/>
        <v>_</v>
      </c>
      <c r="AE372" s="2" t="s">
        <v>17</v>
      </c>
      <c r="AF372" s="2" t="str">
        <f t="shared" si="496"/>
        <v>_</v>
      </c>
      <c r="AG372" s="2" t="s">
        <v>79</v>
      </c>
      <c r="AH372" s="2" t="str">
        <f t="shared" si="497"/>
        <v>_</v>
      </c>
      <c r="AI372" s="2" t="s">
        <v>388</v>
      </c>
    </row>
    <row r="373" spans="2:35" x14ac:dyDescent="0.25">
      <c r="B373" s="2" t="str">
        <f t="shared" si="493"/>
        <v>@dasharray-busway_case_rough_dash</v>
      </c>
      <c r="C373" s="28" t="s">
        <v>341</v>
      </c>
      <c r="D373" s="28" t="s">
        <v>341</v>
      </c>
      <c r="F373" s="28" t="s">
        <v>341</v>
      </c>
      <c r="G373" s="28" t="s">
        <v>341</v>
      </c>
      <c r="I373" s="28" t="s">
        <v>97</v>
      </c>
      <c r="J373" s="28" t="s">
        <v>97</v>
      </c>
      <c r="L373" s="28" t="s">
        <v>97</v>
      </c>
      <c r="M373" s="28" t="s">
        <v>97</v>
      </c>
      <c r="U373" s="28" t="s">
        <v>341</v>
      </c>
      <c r="V373" s="28" t="s">
        <v>341</v>
      </c>
      <c r="X373" s="28" t="s">
        <v>341</v>
      </c>
      <c r="Y373" s="28" t="s">
        <v>341</v>
      </c>
      <c r="AA373" s="2" t="s">
        <v>385</v>
      </c>
      <c r="AB373" s="2" t="str">
        <f t="shared" si="494"/>
        <v>-</v>
      </c>
      <c r="AC373" s="2" t="s">
        <v>370</v>
      </c>
      <c r="AD373" s="2" t="str">
        <f t="shared" si="495"/>
        <v>_</v>
      </c>
      <c r="AE373" s="2" t="s">
        <v>17</v>
      </c>
      <c r="AF373" s="2" t="str">
        <f t="shared" si="496"/>
        <v>_</v>
      </c>
      <c r="AG373" s="2" t="s">
        <v>386</v>
      </c>
      <c r="AH373" s="2" t="str">
        <f t="shared" si="497"/>
        <v>_</v>
      </c>
      <c r="AI373" s="2" t="s">
        <v>387</v>
      </c>
    </row>
    <row r="374" spans="2:35" x14ac:dyDescent="0.25">
      <c r="B374" s="2" t="str">
        <f t="shared" si="493"/>
        <v>@dasharray-busway_case_rough_gap</v>
      </c>
      <c r="C374" s="28" t="s">
        <v>389</v>
      </c>
      <c r="D374" s="28" t="s">
        <v>389</v>
      </c>
      <c r="F374" s="28" t="s">
        <v>389</v>
      </c>
      <c r="G374" s="28" t="s">
        <v>389</v>
      </c>
      <c r="I374" s="28" t="s">
        <v>96</v>
      </c>
      <c r="J374" s="28" t="s">
        <v>96</v>
      </c>
      <c r="L374" s="28" t="s">
        <v>96</v>
      </c>
      <c r="M374" s="28" t="s">
        <v>96</v>
      </c>
      <c r="U374" s="28" t="s">
        <v>389</v>
      </c>
      <c r="V374" s="28" t="s">
        <v>389</v>
      </c>
      <c r="X374" s="28" t="s">
        <v>389</v>
      </c>
      <c r="Y374" s="28" t="s">
        <v>389</v>
      </c>
      <c r="AA374" s="2" t="s">
        <v>385</v>
      </c>
      <c r="AB374" s="2" t="str">
        <f t="shared" si="494"/>
        <v>-</v>
      </c>
      <c r="AC374" s="2" t="s">
        <v>370</v>
      </c>
      <c r="AD374" s="2" t="str">
        <f t="shared" si="495"/>
        <v>_</v>
      </c>
      <c r="AE374" s="2" t="s">
        <v>17</v>
      </c>
      <c r="AF374" s="2" t="str">
        <f t="shared" si="496"/>
        <v>_</v>
      </c>
      <c r="AG374" s="2" t="s">
        <v>386</v>
      </c>
      <c r="AH374" s="2" t="str">
        <f t="shared" si="497"/>
        <v>_</v>
      </c>
      <c r="AI374" s="2" t="s">
        <v>388</v>
      </c>
    </row>
    <row r="375" spans="2:35" x14ac:dyDescent="0.25">
      <c r="B375" s="2"/>
      <c r="C375" s="26"/>
      <c r="F375" s="26"/>
      <c r="I375" s="26"/>
      <c r="L375" s="26"/>
      <c r="U375" s="26"/>
      <c r="X375" s="26"/>
      <c r="AA375" s="2"/>
      <c r="AB375" s="2"/>
      <c r="AC375" s="2"/>
      <c r="AD375" s="2"/>
      <c r="AE375" s="2"/>
      <c r="AF375" s="2"/>
      <c r="AG375" s="2"/>
      <c r="AH375" s="2"/>
      <c r="AI375" s="2"/>
    </row>
    <row r="376" spans="2:35" x14ac:dyDescent="0.25">
      <c r="B376" s="2"/>
      <c r="AB376" s="28" t="str">
        <f t="shared" ref="AB376" si="498">IF(NOT(ISBLANK(AC376)),"-","")</f>
        <v/>
      </c>
      <c r="AD376" s="28" t="str">
        <f t="shared" ref="AD376" si="499">IF(NOT(ISBLANK(AE376)),"_","")</f>
        <v/>
      </c>
      <c r="AF376" s="28" t="str">
        <f t="shared" ref="AF376" si="500">IF(NOT(ISBLANK(AG376)),"_","")</f>
        <v/>
      </c>
      <c r="AH376" s="28" t="str">
        <f t="shared" si="484"/>
        <v/>
      </c>
    </row>
    <row r="377" spans="2:35" x14ac:dyDescent="0.25">
      <c r="B377" s="2" t="str">
        <f t="shared" ref="B377:B382" si="501">_xlfn.CONCAT("@",AA377,AB377,AC377,AD377,AE377,AF377,AG377,AH377,AI377)</f>
        <v>@color-service_case_unpaved_farzoom</v>
      </c>
      <c r="C377" s="114" t="s">
        <v>227</v>
      </c>
      <c r="D377" s="115" t="s">
        <v>229</v>
      </c>
      <c r="F377" s="115" t="s">
        <v>229</v>
      </c>
      <c r="G377" s="114" t="s">
        <v>227</v>
      </c>
      <c r="I377" s="131" t="str">
        <f t="shared" ref="I377:J380" si="502">C377</f>
        <v>"#b99346"</v>
      </c>
      <c r="J377" s="126" t="str">
        <f t="shared" si="502"/>
        <v>"#644507"</v>
      </c>
      <c r="L377" s="115" t="s">
        <v>229</v>
      </c>
      <c r="M377" s="114" t="s">
        <v>227</v>
      </c>
      <c r="U377" s="117" t="s">
        <v>228</v>
      </c>
      <c r="V377" s="47" t="s">
        <v>214</v>
      </c>
      <c r="X377" s="47" t="s">
        <v>214</v>
      </c>
      <c r="Y377" s="47" t="s">
        <v>214</v>
      </c>
      <c r="AA377" s="2" t="s">
        <v>6</v>
      </c>
      <c r="AB377" s="2" t="str">
        <f t="shared" si="478"/>
        <v>-</v>
      </c>
      <c r="AC377" s="2" t="s">
        <v>30</v>
      </c>
      <c r="AD377" s="2" t="str">
        <f t="shared" si="479"/>
        <v>_</v>
      </c>
      <c r="AE377" s="2" t="s">
        <v>17</v>
      </c>
      <c r="AF377" s="2" t="str">
        <f t="shared" si="480"/>
        <v>_</v>
      </c>
      <c r="AG377" s="2" t="s">
        <v>21</v>
      </c>
      <c r="AH377" s="2" t="str">
        <f t="shared" si="417"/>
        <v>_</v>
      </c>
      <c r="AI377" s="28" t="s">
        <v>20</v>
      </c>
    </row>
    <row r="378" spans="2:35" x14ac:dyDescent="0.25">
      <c r="B378" s="2" t="str">
        <f t="shared" si="501"/>
        <v>@color-service_case_unpaved_default</v>
      </c>
      <c r="C378" s="115" t="s">
        <v>229</v>
      </c>
      <c r="D378" s="115" t="s">
        <v>229</v>
      </c>
      <c r="F378" s="47" t="s">
        <v>214</v>
      </c>
      <c r="G378" s="47" t="s">
        <v>214</v>
      </c>
      <c r="I378" s="126" t="str">
        <f t="shared" si="502"/>
        <v>"#644507"</v>
      </c>
      <c r="J378" s="126" t="str">
        <f t="shared" si="502"/>
        <v>"#644507"</v>
      </c>
      <c r="L378" s="47" t="s">
        <v>214</v>
      </c>
      <c r="M378" s="47" t="s">
        <v>214</v>
      </c>
      <c r="U378" s="118" t="s">
        <v>218</v>
      </c>
      <c r="V378" s="47" t="s">
        <v>214</v>
      </c>
      <c r="X378" s="47" t="s">
        <v>214</v>
      </c>
      <c r="Y378" s="47" t="s">
        <v>214</v>
      </c>
      <c r="AA378" s="2" t="s">
        <v>6</v>
      </c>
      <c r="AB378" s="2" t="str">
        <f t="shared" si="478"/>
        <v>-</v>
      </c>
      <c r="AC378" s="2" t="s">
        <v>30</v>
      </c>
      <c r="AD378" s="2" t="str">
        <f t="shared" si="479"/>
        <v>_</v>
      </c>
      <c r="AE378" s="2" t="s">
        <v>17</v>
      </c>
      <c r="AF378" s="2" t="str">
        <f t="shared" si="480"/>
        <v>_</v>
      </c>
      <c r="AG378" s="2" t="s">
        <v>21</v>
      </c>
      <c r="AH378" s="2" t="str">
        <f t="shared" si="417"/>
        <v>_</v>
      </c>
      <c r="AI378" s="2" t="s">
        <v>262</v>
      </c>
    </row>
    <row r="379" spans="2:35" x14ac:dyDescent="0.25">
      <c r="B379" s="2" t="str">
        <f t="shared" si="501"/>
        <v>@color-service_case_paved_or_uk_farzoom</v>
      </c>
      <c r="C379" s="117" t="s">
        <v>228</v>
      </c>
      <c r="D379" s="47" t="s">
        <v>214</v>
      </c>
      <c r="F379" s="47" t="s">
        <v>214</v>
      </c>
      <c r="G379" s="47" t="s">
        <v>214</v>
      </c>
      <c r="I379" s="132" t="str">
        <f t="shared" si="502"/>
        <v>"#808080"</v>
      </c>
      <c r="J379" s="37" t="str">
        <f t="shared" si="502"/>
        <v>"#000000"</v>
      </c>
      <c r="L379" s="47" t="s">
        <v>214</v>
      </c>
      <c r="M379" s="47" t="s">
        <v>214</v>
      </c>
      <c r="U379" s="117" t="s">
        <v>228</v>
      </c>
      <c r="V379" s="47" t="s">
        <v>214</v>
      </c>
      <c r="X379" s="47" t="s">
        <v>214</v>
      </c>
      <c r="Y379" s="47" t="s">
        <v>214</v>
      </c>
      <c r="AA379" s="2" t="s">
        <v>6</v>
      </c>
      <c r="AB379" s="2" t="str">
        <f t="shared" si="478"/>
        <v>-</v>
      </c>
      <c r="AC379" s="2" t="s">
        <v>30</v>
      </c>
      <c r="AD379" s="2" t="str">
        <f t="shared" si="479"/>
        <v>_</v>
      </c>
      <c r="AE379" s="2" t="s">
        <v>17</v>
      </c>
      <c r="AF379" s="2" t="str">
        <f t="shared" si="480"/>
        <v>_</v>
      </c>
      <c r="AG379" s="2" t="s">
        <v>24</v>
      </c>
      <c r="AH379" s="2" t="str">
        <f t="shared" si="417"/>
        <v>_</v>
      </c>
      <c r="AI379" s="28" t="s">
        <v>20</v>
      </c>
    </row>
    <row r="380" spans="2:35" x14ac:dyDescent="0.25">
      <c r="B380" s="2" t="str">
        <f t="shared" si="501"/>
        <v>@color-service_case_paved_or_uk_default</v>
      </c>
      <c r="C380" s="118" t="s">
        <v>218</v>
      </c>
      <c r="D380" s="47" t="s">
        <v>214</v>
      </c>
      <c r="F380" s="47" t="s">
        <v>214</v>
      </c>
      <c r="G380" s="47" t="s">
        <v>214</v>
      </c>
      <c r="I380" s="133" t="str">
        <f t="shared" si="502"/>
        <v>"#404040"</v>
      </c>
      <c r="J380" s="37" t="str">
        <f t="shared" si="502"/>
        <v>"#000000"</v>
      </c>
      <c r="L380" s="47" t="s">
        <v>214</v>
      </c>
      <c r="M380" s="47" t="s">
        <v>214</v>
      </c>
      <c r="Q380" s="7"/>
      <c r="U380" s="118" t="s">
        <v>218</v>
      </c>
      <c r="V380" s="47" t="s">
        <v>214</v>
      </c>
      <c r="X380" s="47" t="s">
        <v>214</v>
      </c>
      <c r="Y380" s="47" t="s">
        <v>214</v>
      </c>
      <c r="AA380" s="2" t="s">
        <v>6</v>
      </c>
      <c r="AB380" s="2" t="str">
        <f t="shared" si="478"/>
        <v>-</v>
      </c>
      <c r="AC380" s="2" t="s">
        <v>30</v>
      </c>
      <c r="AD380" s="2" t="str">
        <f t="shared" si="479"/>
        <v>_</v>
      </c>
      <c r="AE380" s="2" t="s">
        <v>17</v>
      </c>
      <c r="AF380" s="2" t="str">
        <f t="shared" si="480"/>
        <v>_</v>
      </c>
      <c r="AG380" s="2" t="s">
        <v>24</v>
      </c>
      <c r="AH380" s="2" t="str">
        <f t="shared" si="417"/>
        <v>_</v>
      </c>
      <c r="AI380" s="2" t="s">
        <v>262</v>
      </c>
    </row>
    <row r="381" spans="2:35" x14ac:dyDescent="0.25">
      <c r="B381" s="2" t="str">
        <f t="shared" si="501"/>
        <v>@color-service_line_unpaved</v>
      </c>
      <c r="C381" s="119" t="s">
        <v>221</v>
      </c>
      <c r="D381" s="38" t="str">
        <f t="shared" ref="D381:D382" si="503">C381</f>
        <v>"#eddfca"</v>
      </c>
      <c r="F381" s="119" t="s">
        <v>221</v>
      </c>
      <c r="G381" s="38" t="str">
        <f t="shared" ref="G381:G382" si="504">F381</f>
        <v>"#eddfca"</v>
      </c>
      <c r="I381" s="120" t="str">
        <f>C381</f>
        <v>"#eddfca"</v>
      </c>
      <c r="J381" s="38" t="str">
        <f t="shared" ref="J381:J382" si="505">C381</f>
        <v>"#eddfca"</v>
      </c>
      <c r="L381" s="119" t="s">
        <v>221</v>
      </c>
      <c r="M381" s="38" t="str">
        <f t="shared" ref="M381:M382" si="506">L381</f>
        <v>"#eddfca"</v>
      </c>
      <c r="U381" s="46" t="s">
        <v>222</v>
      </c>
      <c r="V381" s="38" t="str">
        <f t="shared" ref="V381" si="507">U381</f>
        <v>"#ffffff"</v>
      </c>
      <c r="X381" s="46" t="s">
        <v>222</v>
      </c>
      <c r="Y381" s="38" t="str">
        <f t="shared" ref="Y381" si="508">X381</f>
        <v>"#ffffff"</v>
      </c>
      <c r="AA381" s="2" t="s">
        <v>6</v>
      </c>
      <c r="AB381" s="2" t="str">
        <f t="shared" si="478"/>
        <v>-</v>
      </c>
      <c r="AC381" s="2" t="s">
        <v>30</v>
      </c>
      <c r="AD381" s="2" t="str">
        <f t="shared" si="479"/>
        <v>_</v>
      </c>
      <c r="AE381" s="2" t="s">
        <v>13</v>
      </c>
      <c r="AF381" s="2" t="str">
        <f t="shared" si="480"/>
        <v>_</v>
      </c>
      <c r="AG381" s="2" t="s">
        <v>21</v>
      </c>
      <c r="AH381" s="2" t="str">
        <f t="shared" si="417"/>
        <v/>
      </c>
      <c r="AI381" s="2"/>
    </row>
    <row r="382" spans="2:35" x14ac:dyDescent="0.25">
      <c r="B382" s="2" t="str">
        <f t="shared" si="501"/>
        <v>@color-service_line_paved_or_uk</v>
      </c>
      <c r="C382" s="46" t="s">
        <v>222</v>
      </c>
      <c r="D382" s="38" t="str">
        <f t="shared" si="503"/>
        <v>"#ffffff"</v>
      </c>
      <c r="F382" s="46" t="s">
        <v>222</v>
      </c>
      <c r="G382" s="38" t="str">
        <f t="shared" si="504"/>
        <v>"#ffffff"</v>
      </c>
      <c r="I382" s="38" t="str">
        <f>C382</f>
        <v>"#ffffff"</v>
      </c>
      <c r="J382" s="38" t="str">
        <f t="shared" si="505"/>
        <v>"#ffffff"</v>
      </c>
      <c r="L382" s="46" t="s">
        <v>222</v>
      </c>
      <c r="M382" s="38" t="str">
        <f t="shared" si="506"/>
        <v>"#ffffff"</v>
      </c>
      <c r="U382" s="46" t="s">
        <v>222</v>
      </c>
      <c r="V382" s="38" t="str">
        <f t="shared" ref="V382" si="509">U382</f>
        <v>"#ffffff"</v>
      </c>
      <c r="X382" s="46" t="s">
        <v>222</v>
      </c>
      <c r="Y382" s="38" t="str">
        <f t="shared" ref="Y382" si="510">X382</f>
        <v>"#ffffff"</v>
      </c>
      <c r="AA382" s="2" t="s">
        <v>6</v>
      </c>
      <c r="AB382" s="2" t="str">
        <f t="shared" si="478"/>
        <v>-</v>
      </c>
      <c r="AC382" s="2" t="s">
        <v>30</v>
      </c>
      <c r="AD382" s="2" t="str">
        <f t="shared" si="479"/>
        <v>_</v>
      </c>
      <c r="AE382" s="2" t="s">
        <v>13</v>
      </c>
      <c r="AF382" s="2" t="str">
        <f t="shared" si="480"/>
        <v>_</v>
      </c>
      <c r="AG382" s="2" t="s">
        <v>24</v>
      </c>
      <c r="AH382" s="2" t="str">
        <f t="shared" si="417"/>
        <v/>
      </c>
      <c r="AI382" s="2"/>
    </row>
    <row r="383" spans="2:35" x14ac:dyDescent="0.25">
      <c r="B383" s="2"/>
      <c r="C383" s="26"/>
      <c r="F383" s="26"/>
      <c r="L383" s="26"/>
      <c r="U383" s="26"/>
      <c r="X383" s="26"/>
      <c r="AA383" s="2"/>
      <c r="AB383" s="2"/>
      <c r="AC383" s="2"/>
      <c r="AD383" s="2"/>
      <c r="AE383" s="2"/>
      <c r="AF383" s="2"/>
      <c r="AG383" s="2"/>
      <c r="AH383" s="2"/>
      <c r="AI383" s="2"/>
    </row>
    <row r="384" spans="2:35" x14ac:dyDescent="0.25">
      <c r="B384" s="2" t="str">
        <f t="shared" ref="B384:B385" si="511">_xlfn.CONCAT("@",AA384,AB384,AC384,AD384,AE384,AF384,AG384,AH384,AI384)</f>
        <v>@dasharray-service_case_medium_dash</v>
      </c>
      <c r="C384" s="28" t="s">
        <v>341</v>
      </c>
      <c r="D384" s="28" t="s">
        <v>341</v>
      </c>
      <c r="F384" s="28" t="s">
        <v>341</v>
      </c>
      <c r="G384" s="28" t="s">
        <v>341</v>
      </c>
      <c r="I384" s="28" t="s">
        <v>92</v>
      </c>
      <c r="J384" s="28" t="s">
        <v>92</v>
      </c>
      <c r="L384" s="28" t="s">
        <v>92</v>
      </c>
      <c r="M384" s="28" t="s">
        <v>92</v>
      </c>
      <c r="U384" s="28" t="s">
        <v>341</v>
      </c>
      <c r="V384" s="28" t="s">
        <v>341</v>
      </c>
      <c r="X384" s="28" t="s">
        <v>341</v>
      </c>
      <c r="Y384" s="28" t="s">
        <v>341</v>
      </c>
      <c r="AA384" s="2" t="s">
        <v>385</v>
      </c>
      <c r="AB384" s="2" t="str">
        <f t="shared" ref="AB384:AB385" si="512">IF(NOT(ISBLANK(AC384)),"-","")</f>
        <v>-</v>
      </c>
      <c r="AC384" s="2" t="s">
        <v>30</v>
      </c>
      <c r="AD384" s="2" t="str">
        <f t="shared" ref="AD384:AD385" si="513">IF(NOT(ISBLANK(AE384)),"_","")</f>
        <v>_</v>
      </c>
      <c r="AE384" s="2" t="s">
        <v>17</v>
      </c>
      <c r="AF384" s="2" t="str">
        <f t="shared" ref="AF384:AF385" si="514">IF(NOT(ISBLANK(AG384)),"_","")</f>
        <v>_</v>
      </c>
      <c r="AG384" s="2" t="s">
        <v>79</v>
      </c>
      <c r="AH384" s="2" t="str">
        <f t="shared" ref="AH384:AH385" si="515">IF(NOT(ISBLANK(AI384)),"_","")</f>
        <v>_</v>
      </c>
      <c r="AI384" s="2" t="s">
        <v>387</v>
      </c>
    </row>
    <row r="385" spans="2:35" x14ac:dyDescent="0.25">
      <c r="B385" s="2" t="str">
        <f t="shared" si="511"/>
        <v>@dasharray-service_case_medium_gap</v>
      </c>
      <c r="C385" s="28" t="s">
        <v>389</v>
      </c>
      <c r="D385" s="28" t="s">
        <v>389</v>
      </c>
      <c r="F385" s="28" t="s">
        <v>389</v>
      </c>
      <c r="G385" s="28" t="s">
        <v>389</v>
      </c>
      <c r="I385" s="28" t="s">
        <v>96</v>
      </c>
      <c r="J385" s="28" t="s">
        <v>96</v>
      </c>
      <c r="L385" s="28" t="s">
        <v>96</v>
      </c>
      <c r="M385" s="28" t="s">
        <v>96</v>
      </c>
      <c r="U385" s="28" t="s">
        <v>389</v>
      </c>
      <c r="V385" s="28" t="s">
        <v>389</v>
      </c>
      <c r="X385" s="28" t="s">
        <v>389</v>
      </c>
      <c r="Y385" s="28" t="s">
        <v>389</v>
      </c>
      <c r="AA385" s="2" t="s">
        <v>385</v>
      </c>
      <c r="AB385" s="2" t="str">
        <f t="shared" si="512"/>
        <v>-</v>
      </c>
      <c r="AC385" s="2" t="s">
        <v>30</v>
      </c>
      <c r="AD385" s="2" t="str">
        <f t="shared" si="513"/>
        <v>_</v>
      </c>
      <c r="AE385" s="2" t="s">
        <v>17</v>
      </c>
      <c r="AF385" s="2" t="str">
        <f t="shared" si="514"/>
        <v>_</v>
      </c>
      <c r="AG385" s="2" t="s">
        <v>79</v>
      </c>
      <c r="AH385" s="2" t="str">
        <f t="shared" si="515"/>
        <v>_</v>
      </c>
      <c r="AI385" s="2" t="s">
        <v>388</v>
      </c>
    </row>
    <row r="386" spans="2:35" x14ac:dyDescent="0.25">
      <c r="B386" s="2" t="str">
        <f t="shared" ref="B386" si="516">_xlfn.CONCAT("@",AA386,AB386,AC386,AD386,AE386,AF386,AG386,AH386,AI386)</f>
        <v>@dasharray-service_case_rough_dash</v>
      </c>
      <c r="C386" s="28" t="s">
        <v>341</v>
      </c>
      <c r="D386" s="28" t="s">
        <v>341</v>
      </c>
      <c r="F386" s="28" t="s">
        <v>341</v>
      </c>
      <c r="G386" s="28" t="s">
        <v>341</v>
      </c>
      <c r="I386" s="28" t="s">
        <v>97</v>
      </c>
      <c r="J386" s="28" t="s">
        <v>97</v>
      </c>
      <c r="L386" s="28" t="s">
        <v>97</v>
      </c>
      <c r="M386" s="28" t="s">
        <v>97</v>
      </c>
      <c r="U386" s="28" t="s">
        <v>341</v>
      </c>
      <c r="V386" s="28" t="s">
        <v>341</v>
      </c>
      <c r="X386" s="28" t="s">
        <v>341</v>
      </c>
      <c r="Y386" s="28" t="s">
        <v>341</v>
      </c>
      <c r="AA386" s="2" t="s">
        <v>385</v>
      </c>
      <c r="AB386" s="2" t="str">
        <f t="shared" ref="AB386" si="517">IF(NOT(ISBLANK(AC386)),"-","")</f>
        <v>-</v>
      </c>
      <c r="AC386" s="2" t="s">
        <v>30</v>
      </c>
      <c r="AD386" s="2" t="str">
        <f t="shared" ref="AD386" si="518">IF(NOT(ISBLANK(AE386)),"_","")</f>
        <v>_</v>
      </c>
      <c r="AE386" s="2" t="s">
        <v>17</v>
      </c>
      <c r="AF386" s="2" t="str">
        <f t="shared" ref="AF386" si="519">IF(NOT(ISBLANK(AG386)),"_","")</f>
        <v>_</v>
      </c>
      <c r="AG386" s="2" t="s">
        <v>386</v>
      </c>
      <c r="AH386" s="2" t="str">
        <f t="shared" ref="AH386" si="520">IF(NOT(ISBLANK(AI386)),"_","")</f>
        <v>_</v>
      </c>
      <c r="AI386" s="2" t="s">
        <v>387</v>
      </c>
    </row>
    <row r="387" spans="2:35" x14ac:dyDescent="0.25">
      <c r="B387" s="2" t="str">
        <f t="shared" ref="B387" si="521">_xlfn.CONCAT("@",AA387,AB387,AC387,AD387,AE387,AF387,AG387,AH387,AI387)</f>
        <v>@dasharray-service_case_rough_gap</v>
      </c>
      <c r="C387" s="28" t="s">
        <v>389</v>
      </c>
      <c r="D387" s="28" t="s">
        <v>389</v>
      </c>
      <c r="F387" s="28" t="s">
        <v>389</v>
      </c>
      <c r="G387" s="28" t="s">
        <v>389</v>
      </c>
      <c r="I387" s="28" t="s">
        <v>96</v>
      </c>
      <c r="J387" s="28" t="s">
        <v>96</v>
      </c>
      <c r="L387" s="28" t="s">
        <v>96</v>
      </c>
      <c r="M387" s="28" t="s">
        <v>96</v>
      </c>
      <c r="U387" s="28" t="s">
        <v>389</v>
      </c>
      <c r="V387" s="28" t="s">
        <v>389</v>
      </c>
      <c r="X387" s="28" t="s">
        <v>389</v>
      </c>
      <c r="Y387" s="28" t="s">
        <v>389</v>
      </c>
      <c r="AA387" s="2" t="s">
        <v>385</v>
      </c>
      <c r="AB387" s="2" t="str">
        <f t="shared" ref="AB387" si="522">IF(NOT(ISBLANK(AC387)),"-","")</f>
        <v>-</v>
      </c>
      <c r="AC387" s="2" t="s">
        <v>30</v>
      </c>
      <c r="AD387" s="2" t="str">
        <f t="shared" ref="AD387" si="523">IF(NOT(ISBLANK(AE387)),"_","")</f>
        <v>_</v>
      </c>
      <c r="AE387" s="2" t="s">
        <v>17</v>
      </c>
      <c r="AF387" s="2" t="str">
        <f t="shared" ref="AF387" si="524">IF(NOT(ISBLANK(AG387)),"_","")</f>
        <v>_</v>
      </c>
      <c r="AG387" s="2" t="s">
        <v>386</v>
      </c>
      <c r="AH387" s="2" t="str">
        <f t="shared" ref="AH387" si="525">IF(NOT(ISBLANK(AI387)),"_","")</f>
        <v>_</v>
      </c>
      <c r="AI387" s="2" t="s">
        <v>388</v>
      </c>
    </row>
    <row r="388" spans="2:35" x14ac:dyDescent="0.25">
      <c r="B388" s="2"/>
      <c r="C388" s="151" t="s">
        <v>390</v>
      </c>
      <c r="U388" s="151" t="s">
        <v>390</v>
      </c>
      <c r="AA388" s="2"/>
      <c r="AB388" s="2"/>
      <c r="AC388" s="2"/>
      <c r="AD388" s="2"/>
      <c r="AE388" s="2"/>
      <c r="AF388" s="2"/>
      <c r="AG388" s="2"/>
      <c r="AH388" s="2"/>
      <c r="AI388" s="2"/>
    </row>
    <row r="389" spans="2:35" x14ac:dyDescent="0.25">
      <c r="B389" s="2"/>
      <c r="AB389" s="28" t="str">
        <f t="shared" si="399"/>
        <v/>
      </c>
      <c r="AD389" s="28" t="str">
        <f t="shared" si="406"/>
        <v/>
      </c>
      <c r="AF389" s="28" t="str">
        <f t="shared" si="407"/>
        <v/>
      </c>
      <c r="AH389" s="28" t="str">
        <f t="shared" si="417"/>
        <v/>
      </c>
    </row>
    <row r="390" spans="2:35" x14ac:dyDescent="0.25">
      <c r="B390" s="2" t="str">
        <f t="shared" ref="B390:B395" si="526">_xlfn.CONCAT("@",AA390,AB390,AC390,AD390,AE390,AF390,AG390,AH390,AI390)</f>
        <v>@color-minor_case_unpaved_farzoom</v>
      </c>
      <c r="C390" s="114" t="s">
        <v>227</v>
      </c>
      <c r="D390" s="115" t="s">
        <v>229</v>
      </c>
      <c r="F390" s="115" t="s">
        <v>229</v>
      </c>
      <c r="G390" s="114" t="s">
        <v>227</v>
      </c>
      <c r="I390" s="131" t="str">
        <f t="shared" ref="I390:J393" si="527">C390</f>
        <v>"#b99346"</v>
      </c>
      <c r="J390" s="126" t="str">
        <f t="shared" si="527"/>
        <v>"#644507"</v>
      </c>
      <c r="L390" s="115" t="s">
        <v>229</v>
      </c>
      <c r="M390" s="114" t="s">
        <v>227</v>
      </c>
      <c r="U390" s="117" t="s">
        <v>228</v>
      </c>
      <c r="V390" s="47" t="s">
        <v>214</v>
      </c>
      <c r="X390" s="117" t="s">
        <v>228</v>
      </c>
      <c r="Y390" s="117" t="s">
        <v>228</v>
      </c>
      <c r="AA390" s="2" t="s">
        <v>6</v>
      </c>
      <c r="AB390" s="2" t="str">
        <f t="shared" ref="AB390" si="528">IF(NOT(ISBLANK(AC390)),"-","")</f>
        <v>-</v>
      </c>
      <c r="AC390" s="2" t="s">
        <v>31</v>
      </c>
      <c r="AD390" s="2" t="str">
        <f t="shared" ref="AD390" si="529">IF(NOT(ISBLANK(AE390)),"_","")</f>
        <v>_</v>
      </c>
      <c r="AE390" s="2" t="s">
        <v>17</v>
      </c>
      <c r="AF390" s="2" t="str">
        <f t="shared" ref="AF390" si="530">IF(NOT(ISBLANK(AG390)),"_","")</f>
        <v>_</v>
      </c>
      <c r="AG390" s="2" t="s">
        <v>21</v>
      </c>
      <c r="AH390" s="2" t="str">
        <f t="shared" si="417"/>
        <v>_</v>
      </c>
      <c r="AI390" s="28" t="s">
        <v>20</v>
      </c>
    </row>
    <row r="391" spans="2:35" x14ac:dyDescent="0.25">
      <c r="B391" s="2" t="str">
        <f t="shared" si="526"/>
        <v>@color-minor_case_unpaved_default</v>
      </c>
      <c r="C391" s="115" t="s">
        <v>229</v>
      </c>
      <c r="D391" s="115" t="s">
        <v>229</v>
      </c>
      <c r="F391" s="47" t="s">
        <v>214</v>
      </c>
      <c r="G391" s="47" t="s">
        <v>214</v>
      </c>
      <c r="I391" s="126" t="str">
        <f t="shared" si="527"/>
        <v>"#644507"</v>
      </c>
      <c r="J391" s="126" t="str">
        <f t="shared" si="527"/>
        <v>"#644507"</v>
      </c>
      <c r="L391" s="47" t="s">
        <v>214</v>
      </c>
      <c r="M391" s="47" t="s">
        <v>214</v>
      </c>
      <c r="U391" s="118" t="s">
        <v>218</v>
      </c>
      <c r="V391" s="47" t="s">
        <v>214</v>
      </c>
      <c r="X391" s="47" t="s">
        <v>214</v>
      </c>
      <c r="Y391" s="47" t="s">
        <v>214</v>
      </c>
      <c r="AA391" s="2" t="s">
        <v>6</v>
      </c>
      <c r="AB391" s="2" t="str">
        <f t="shared" si="399"/>
        <v>-</v>
      </c>
      <c r="AC391" s="2" t="s">
        <v>31</v>
      </c>
      <c r="AD391" s="2" t="str">
        <f t="shared" si="406"/>
        <v>_</v>
      </c>
      <c r="AE391" s="2" t="s">
        <v>17</v>
      </c>
      <c r="AF391" s="2" t="str">
        <f t="shared" si="407"/>
        <v>_</v>
      </c>
      <c r="AG391" s="2" t="s">
        <v>21</v>
      </c>
      <c r="AH391" s="2" t="str">
        <f t="shared" si="417"/>
        <v>_</v>
      </c>
      <c r="AI391" s="28" t="s">
        <v>262</v>
      </c>
    </row>
    <row r="392" spans="2:35" x14ac:dyDescent="0.25">
      <c r="B392" s="2" t="str">
        <f t="shared" si="526"/>
        <v>@color-minor_case_paved_or_uk_farzoom</v>
      </c>
      <c r="C392" s="117" t="s">
        <v>228</v>
      </c>
      <c r="D392" s="47" t="s">
        <v>214</v>
      </c>
      <c r="F392" s="117" t="s">
        <v>228</v>
      </c>
      <c r="G392" s="117" t="s">
        <v>228</v>
      </c>
      <c r="I392" s="132" t="str">
        <f t="shared" si="527"/>
        <v>"#808080"</v>
      </c>
      <c r="J392" s="37" t="str">
        <f t="shared" si="527"/>
        <v>"#000000"</v>
      </c>
      <c r="L392" s="117" t="s">
        <v>228</v>
      </c>
      <c r="M392" s="117" t="s">
        <v>228</v>
      </c>
      <c r="U392" s="117" t="s">
        <v>228</v>
      </c>
      <c r="V392" s="47" t="s">
        <v>214</v>
      </c>
      <c r="X392" s="117" t="s">
        <v>228</v>
      </c>
      <c r="Y392" s="117" t="s">
        <v>228</v>
      </c>
      <c r="AA392" s="2" t="s">
        <v>6</v>
      </c>
      <c r="AB392" s="2" t="str">
        <f t="shared" ref="AB392" si="531">IF(NOT(ISBLANK(AC392)),"-","")</f>
        <v>-</v>
      </c>
      <c r="AC392" s="2" t="s">
        <v>31</v>
      </c>
      <c r="AD392" s="2" t="str">
        <f t="shared" ref="AD392" si="532">IF(NOT(ISBLANK(AE392)),"_","")</f>
        <v>_</v>
      </c>
      <c r="AE392" s="2" t="s">
        <v>17</v>
      </c>
      <c r="AF392" s="2" t="str">
        <f t="shared" ref="AF392" si="533">IF(NOT(ISBLANK(AG392)),"_","")</f>
        <v>_</v>
      </c>
      <c r="AG392" s="2" t="s">
        <v>24</v>
      </c>
      <c r="AH392" s="2" t="str">
        <f t="shared" si="417"/>
        <v>_</v>
      </c>
      <c r="AI392" s="28" t="s">
        <v>20</v>
      </c>
    </row>
    <row r="393" spans="2:35" x14ac:dyDescent="0.25">
      <c r="B393" s="2" t="str">
        <f t="shared" si="526"/>
        <v>@color-minor_case_paved_or_uk_default</v>
      </c>
      <c r="C393" s="118" t="s">
        <v>218</v>
      </c>
      <c r="D393" s="47" t="s">
        <v>214</v>
      </c>
      <c r="F393" s="47" t="s">
        <v>214</v>
      </c>
      <c r="G393" s="47" t="s">
        <v>214</v>
      </c>
      <c r="I393" s="133" t="str">
        <f t="shared" si="527"/>
        <v>"#404040"</v>
      </c>
      <c r="J393" s="37" t="str">
        <f t="shared" si="527"/>
        <v>"#000000"</v>
      </c>
      <c r="L393" s="47" t="s">
        <v>214</v>
      </c>
      <c r="M393" s="47" t="s">
        <v>214</v>
      </c>
      <c r="U393" s="118" t="s">
        <v>218</v>
      </c>
      <c r="V393" s="47" t="s">
        <v>214</v>
      </c>
      <c r="X393" s="47" t="s">
        <v>214</v>
      </c>
      <c r="Y393" s="47" t="s">
        <v>214</v>
      </c>
      <c r="AA393" s="2" t="s">
        <v>6</v>
      </c>
      <c r="AB393" s="2" t="str">
        <f t="shared" si="399"/>
        <v>-</v>
      </c>
      <c r="AC393" s="2" t="s">
        <v>31</v>
      </c>
      <c r="AD393" s="2" t="str">
        <f t="shared" si="406"/>
        <v>_</v>
      </c>
      <c r="AE393" s="2" t="s">
        <v>17</v>
      </c>
      <c r="AF393" s="2" t="str">
        <f t="shared" si="407"/>
        <v>_</v>
      </c>
      <c r="AG393" s="2" t="s">
        <v>24</v>
      </c>
      <c r="AH393" s="2" t="str">
        <f t="shared" si="417"/>
        <v>_</v>
      </c>
      <c r="AI393" s="28" t="s">
        <v>262</v>
      </c>
    </row>
    <row r="394" spans="2:35" x14ac:dyDescent="0.25">
      <c r="B394" s="2" t="str">
        <f t="shared" si="526"/>
        <v>@color-minor_line_unpaved</v>
      </c>
      <c r="C394" s="119" t="s">
        <v>221</v>
      </c>
      <c r="D394" s="38" t="str">
        <f t="shared" ref="D394:D395" si="534">C394</f>
        <v>"#eddfca"</v>
      </c>
      <c r="F394" s="119" t="s">
        <v>221</v>
      </c>
      <c r="G394" s="38" t="str">
        <f t="shared" ref="G394:G395" si="535">F394</f>
        <v>"#eddfca"</v>
      </c>
      <c r="I394" s="120" t="str">
        <f>C394</f>
        <v>"#eddfca"</v>
      </c>
      <c r="J394" s="38" t="str">
        <f t="shared" ref="J394:J395" si="536">C394</f>
        <v>"#eddfca"</v>
      </c>
      <c r="L394" s="119" t="s">
        <v>221</v>
      </c>
      <c r="M394" s="38" t="str">
        <f t="shared" ref="M394:M395" si="537">L394</f>
        <v>"#eddfca"</v>
      </c>
      <c r="U394" s="46" t="s">
        <v>222</v>
      </c>
      <c r="V394" s="38" t="str">
        <f t="shared" ref="V394" si="538">U394</f>
        <v>"#ffffff"</v>
      </c>
      <c r="X394" s="46" t="s">
        <v>222</v>
      </c>
      <c r="Y394" s="38" t="str">
        <f t="shared" ref="Y394" si="539">X394</f>
        <v>"#ffffff"</v>
      </c>
      <c r="AA394" s="2" t="s">
        <v>6</v>
      </c>
      <c r="AB394" s="2" t="str">
        <f t="shared" si="399"/>
        <v>-</v>
      </c>
      <c r="AC394" s="2" t="s">
        <v>31</v>
      </c>
      <c r="AD394" s="2" t="str">
        <f t="shared" si="406"/>
        <v>_</v>
      </c>
      <c r="AE394" s="2" t="s">
        <v>13</v>
      </c>
      <c r="AF394" s="2" t="str">
        <f t="shared" si="407"/>
        <v>_</v>
      </c>
      <c r="AG394" s="2" t="s">
        <v>21</v>
      </c>
      <c r="AH394" s="2" t="str">
        <f t="shared" si="417"/>
        <v/>
      </c>
      <c r="AI394" s="2"/>
    </row>
    <row r="395" spans="2:35" x14ac:dyDescent="0.25">
      <c r="B395" s="2" t="str">
        <f t="shared" si="526"/>
        <v>@color-minor_line_paved_or_uk</v>
      </c>
      <c r="C395" s="46" t="s">
        <v>222</v>
      </c>
      <c r="D395" s="38" t="str">
        <f t="shared" si="534"/>
        <v>"#ffffff"</v>
      </c>
      <c r="F395" s="46" t="s">
        <v>222</v>
      </c>
      <c r="G395" s="38" t="str">
        <f t="shared" si="535"/>
        <v>"#ffffff"</v>
      </c>
      <c r="I395" s="38" t="str">
        <f>C395</f>
        <v>"#ffffff"</v>
      </c>
      <c r="J395" s="38" t="str">
        <f t="shared" si="536"/>
        <v>"#ffffff"</v>
      </c>
      <c r="L395" s="46" t="s">
        <v>222</v>
      </c>
      <c r="M395" s="38" t="str">
        <f t="shared" si="537"/>
        <v>"#ffffff"</v>
      </c>
      <c r="U395" s="46" t="s">
        <v>222</v>
      </c>
      <c r="V395" s="38" t="str">
        <f t="shared" ref="V395" si="540">U395</f>
        <v>"#ffffff"</v>
      </c>
      <c r="X395" s="46" t="s">
        <v>222</v>
      </c>
      <c r="Y395" s="38" t="str">
        <f t="shared" ref="Y395" si="541">X395</f>
        <v>"#ffffff"</v>
      </c>
      <c r="AA395" s="2" t="s">
        <v>6</v>
      </c>
      <c r="AB395" s="2" t="str">
        <f t="shared" si="399"/>
        <v>-</v>
      </c>
      <c r="AC395" s="2" t="s">
        <v>31</v>
      </c>
      <c r="AD395" s="2" t="str">
        <f t="shared" si="406"/>
        <v>_</v>
      </c>
      <c r="AE395" s="2" t="s">
        <v>13</v>
      </c>
      <c r="AF395" s="2" t="str">
        <f t="shared" si="407"/>
        <v>_</v>
      </c>
      <c r="AG395" s="2" t="s">
        <v>24</v>
      </c>
      <c r="AH395" s="2" t="str">
        <f t="shared" si="417"/>
        <v/>
      </c>
      <c r="AI395" s="2"/>
    </row>
    <row r="396" spans="2:35" x14ac:dyDescent="0.25">
      <c r="B396" s="2"/>
      <c r="C396" s="26"/>
      <c r="F396" s="26"/>
      <c r="L396" s="26"/>
      <c r="U396" s="26"/>
      <c r="X396" s="26"/>
      <c r="AA396" s="2"/>
      <c r="AB396" s="2"/>
      <c r="AC396" s="2"/>
      <c r="AD396" s="2"/>
      <c r="AE396" s="2"/>
      <c r="AF396" s="2"/>
      <c r="AG396" s="2"/>
      <c r="AH396" s="2"/>
      <c r="AI396" s="2"/>
    </row>
    <row r="397" spans="2:35" x14ac:dyDescent="0.25">
      <c r="B397" s="2" t="str">
        <f t="shared" ref="B397:B400" si="542">_xlfn.CONCAT("@",AA397,AB397,AC397,AD397,AE397,AF397,AG397,AH397,AI397)</f>
        <v>@dasharray-minor_case_medium_dash</v>
      </c>
      <c r="C397" s="28" t="s">
        <v>341</v>
      </c>
      <c r="D397" s="28" t="s">
        <v>341</v>
      </c>
      <c r="F397" s="28" t="s">
        <v>341</v>
      </c>
      <c r="G397" s="28" t="s">
        <v>341</v>
      </c>
      <c r="I397" s="28" t="s">
        <v>92</v>
      </c>
      <c r="J397" s="28" t="s">
        <v>92</v>
      </c>
      <c r="L397" s="28" t="s">
        <v>92</v>
      </c>
      <c r="M397" s="28" t="s">
        <v>92</v>
      </c>
      <c r="U397" s="28" t="s">
        <v>341</v>
      </c>
      <c r="V397" s="28" t="s">
        <v>341</v>
      </c>
      <c r="X397" s="28" t="s">
        <v>341</v>
      </c>
      <c r="Y397" s="28" t="s">
        <v>341</v>
      </c>
      <c r="AA397" s="2" t="s">
        <v>385</v>
      </c>
      <c r="AB397" s="2" t="str">
        <f t="shared" ref="AB397:AB400" si="543">IF(NOT(ISBLANK(AC397)),"-","")</f>
        <v>-</v>
      </c>
      <c r="AC397" s="2" t="s">
        <v>31</v>
      </c>
      <c r="AD397" s="2" t="str">
        <f t="shared" ref="AD397:AD400" si="544">IF(NOT(ISBLANK(AE397)),"_","")</f>
        <v>_</v>
      </c>
      <c r="AE397" s="2" t="s">
        <v>17</v>
      </c>
      <c r="AF397" s="2" t="str">
        <f t="shared" ref="AF397:AF400" si="545">IF(NOT(ISBLANK(AG397)),"_","")</f>
        <v>_</v>
      </c>
      <c r="AG397" s="2" t="s">
        <v>79</v>
      </c>
      <c r="AH397" s="2" t="str">
        <f t="shared" ref="AH397:AH400" si="546">IF(NOT(ISBLANK(AI397)),"_","")</f>
        <v>_</v>
      </c>
      <c r="AI397" s="2" t="s">
        <v>387</v>
      </c>
    </row>
    <row r="398" spans="2:35" x14ac:dyDescent="0.25">
      <c r="B398" s="2" t="str">
        <f t="shared" si="542"/>
        <v>@dasharray-minor_case_medium_gap</v>
      </c>
      <c r="C398" s="28" t="s">
        <v>389</v>
      </c>
      <c r="D398" s="28" t="s">
        <v>389</v>
      </c>
      <c r="F398" s="28" t="s">
        <v>389</v>
      </c>
      <c r="G398" s="28" t="s">
        <v>389</v>
      </c>
      <c r="I398" s="28" t="s">
        <v>96</v>
      </c>
      <c r="J398" s="28" t="s">
        <v>96</v>
      </c>
      <c r="L398" s="28" t="s">
        <v>96</v>
      </c>
      <c r="M398" s="28" t="s">
        <v>96</v>
      </c>
      <c r="U398" s="28" t="s">
        <v>389</v>
      </c>
      <c r="V398" s="28" t="s">
        <v>389</v>
      </c>
      <c r="X398" s="28" t="s">
        <v>389</v>
      </c>
      <c r="Y398" s="28" t="s">
        <v>389</v>
      </c>
      <c r="AA398" s="2" t="s">
        <v>385</v>
      </c>
      <c r="AB398" s="2" t="str">
        <f t="shared" si="543"/>
        <v>-</v>
      </c>
      <c r="AC398" s="2" t="s">
        <v>31</v>
      </c>
      <c r="AD398" s="2" t="str">
        <f t="shared" si="544"/>
        <v>_</v>
      </c>
      <c r="AE398" s="2" t="s">
        <v>17</v>
      </c>
      <c r="AF398" s="2" t="str">
        <f t="shared" si="545"/>
        <v>_</v>
      </c>
      <c r="AG398" s="2" t="s">
        <v>79</v>
      </c>
      <c r="AH398" s="2" t="str">
        <f t="shared" si="546"/>
        <v>_</v>
      </c>
      <c r="AI398" s="2" t="s">
        <v>388</v>
      </c>
    </row>
    <row r="399" spans="2:35" x14ac:dyDescent="0.25">
      <c r="B399" s="2" t="str">
        <f t="shared" si="542"/>
        <v>@dasharray-minor_case_rough_dash</v>
      </c>
      <c r="C399" s="28" t="s">
        <v>341</v>
      </c>
      <c r="D399" s="28" t="s">
        <v>341</v>
      </c>
      <c r="F399" s="28" t="s">
        <v>341</v>
      </c>
      <c r="G399" s="28" t="s">
        <v>341</v>
      </c>
      <c r="I399" s="28" t="s">
        <v>97</v>
      </c>
      <c r="J399" s="28" t="s">
        <v>97</v>
      </c>
      <c r="L399" s="28" t="s">
        <v>97</v>
      </c>
      <c r="M399" s="28" t="s">
        <v>97</v>
      </c>
      <c r="U399" s="28" t="s">
        <v>341</v>
      </c>
      <c r="V399" s="28" t="s">
        <v>341</v>
      </c>
      <c r="X399" s="28" t="s">
        <v>341</v>
      </c>
      <c r="Y399" s="28" t="s">
        <v>341</v>
      </c>
      <c r="AA399" s="2" t="s">
        <v>385</v>
      </c>
      <c r="AB399" s="2" t="str">
        <f t="shared" si="543"/>
        <v>-</v>
      </c>
      <c r="AC399" s="2" t="s">
        <v>31</v>
      </c>
      <c r="AD399" s="2" t="str">
        <f t="shared" si="544"/>
        <v>_</v>
      </c>
      <c r="AE399" s="2" t="s">
        <v>17</v>
      </c>
      <c r="AF399" s="2" t="str">
        <f t="shared" si="545"/>
        <v>_</v>
      </c>
      <c r="AG399" s="2" t="s">
        <v>386</v>
      </c>
      <c r="AH399" s="2" t="str">
        <f t="shared" si="546"/>
        <v>_</v>
      </c>
      <c r="AI399" s="2" t="s">
        <v>387</v>
      </c>
    </row>
    <row r="400" spans="2:35" x14ac:dyDescent="0.25">
      <c r="B400" s="2" t="str">
        <f t="shared" si="542"/>
        <v>@dasharray-minor_case_rough_gap</v>
      </c>
      <c r="C400" s="28" t="s">
        <v>389</v>
      </c>
      <c r="D400" s="28" t="s">
        <v>389</v>
      </c>
      <c r="F400" s="28" t="s">
        <v>389</v>
      </c>
      <c r="G400" s="28" t="s">
        <v>389</v>
      </c>
      <c r="I400" s="28" t="s">
        <v>96</v>
      </c>
      <c r="J400" s="28" t="s">
        <v>96</v>
      </c>
      <c r="L400" s="28" t="s">
        <v>96</v>
      </c>
      <c r="M400" s="28" t="s">
        <v>96</v>
      </c>
      <c r="U400" s="28" t="s">
        <v>389</v>
      </c>
      <c r="V400" s="28" t="s">
        <v>389</v>
      </c>
      <c r="X400" s="28" t="s">
        <v>389</v>
      </c>
      <c r="Y400" s="28" t="s">
        <v>389</v>
      </c>
      <c r="AA400" s="2" t="s">
        <v>385</v>
      </c>
      <c r="AB400" s="2" t="str">
        <f t="shared" si="543"/>
        <v>-</v>
      </c>
      <c r="AC400" s="2" t="s">
        <v>31</v>
      </c>
      <c r="AD400" s="2" t="str">
        <f t="shared" si="544"/>
        <v>_</v>
      </c>
      <c r="AE400" s="2" t="s">
        <v>17</v>
      </c>
      <c r="AF400" s="2" t="str">
        <f t="shared" si="545"/>
        <v>_</v>
      </c>
      <c r="AG400" s="2" t="s">
        <v>386</v>
      </c>
      <c r="AH400" s="2" t="str">
        <f t="shared" si="546"/>
        <v>_</v>
      </c>
      <c r="AI400" s="2" t="s">
        <v>388</v>
      </c>
    </row>
    <row r="401" spans="1:35" x14ac:dyDescent="0.25">
      <c r="B401" s="2"/>
      <c r="AB401" s="28" t="str">
        <f t="shared" si="399"/>
        <v/>
      </c>
      <c r="AD401" s="28" t="str">
        <f t="shared" si="406"/>
        <v/>
      </c>
      <c r="AF401" s="28" t="str">
        <f t="shared" si="407"/>
        <v/>
      </c>
      <c r="AH401" s="28" t="str">
        <f t="shared" si="417"/>
        <v/>
      </c>
    </row>
    <row r="402" spans="1:35" s="2" customFormat="1" x14ac:dyDescent="0.25">
      <c r="A402" s="3" t="s">
        <v>224</v>
      </c>
      <c r="B402" s="3"/>
      <c r="C402" s="27"/>
      <c r="D402" s="6"/>
      <c r="E402" s="7"/>
      <c r="F402" s="6"/>
      <c r="G402" s="6"/>
      <c r="H402" s="7"/>
      <c r="I402" s="6"/>
      <c r="J402" s="6"/>
      <c r="K402" s="7"/>
      <c r="L402" s="6"/>
      <c r="M402" s="6"/>
      <c r="N402" s="7"/>
      <c r="O402" s="6"/>
      <c r="P402" s="6"/>
      <c r="Q402" s="7"/>
      <c r="R402" s="6"/>
      <c r="S402" s="6"/>
      <c r="T402" s="7"/>
      <c r="U402" s="6"/>
      <c r="V402" s="6"/>
      <c r="W402" s="7"/>
      <c r="X402" s="6"/>
      <c r="Y402" s="6"/>
      <c r="AA402" s="4"/>
      <c r="AB402" s="4" t="str">
        <f t="shared" si="399"/>
        <v/>
      </c>
      <c r="AC402" s="4"/>
      <c r="AD402" s="4" t="str">
        <f t="shared" si="406"/>
        <v/>
      </c>
      <c r="AE402" s="4"/>
      <c r="AF402" s="4" t="str">
        <f t="shared" si="407"/>
        <v/>
      </c>
      <c r="AG402" s="4"/>
      <c r="AH402" s="4" t="str">
        <f t="shared" si="417"/>
        <v/>
      </c>
      <c r="AI402" s="4"/>
    </row>
    <row r="403" spans="1:35" x14ac:dyDescent="0.25">
      <c r="B403" s="2" t="str">
        <f t="shared" ref="B403:B433" si="547">_xlfn.CONCAT("@",AA403,AB403,AC403,AD403,AE403,AF403,AG403,AH403,AI403)</f>
        <v>@color-motorway_link_line</v>
      </c>
      <c r="C403" s="110" t="s">
        <v>213</v>
      </c>
      <c r="D403" s="111" t="s">
        <v>215</v>
      </c>
      <c r="F403" s="109" t="s">
        <v>215</v>
      </c>
      <c r="G403" s="109" t="s">
        <v>215</v>
      </c>
      <c r="I403" s="110" t="s">
        <v>213</v>
      </c>
      <c r="J403" s="111" t="s">
        <v>215</v>
      </c>
      <c r="L403" s="109" t="s">
        <v>215</v>
      </c>
      <c r="M403" s="109" t="s">
        <v>215</v>
      </c>
      <c r="O403" s="110" t="s">
        <v>213</v>
      </c>
      <c r="P403" s="111" t="s">
        <v>215</v>
      </c>
      <c r="R403" s="109" t="s">
        <v>215</v>
      </c>
      <c r="S403" s="109" t="s">
        <v>215</v>
      </c>
      <c r="U403" s="110" t="s">
        <v>213</v>
      </c>
      <c r="V403" s="111" t="s">
        <v>215</v>
      </c>
      <c r="X403" s="109" t="s">
        <v>215</v>
      </c>
      <c r="Y403" s="109" t="s">
        <v>215</v>
      </c>
      <c r="AA403" s="2" t="s">
        <v>6</v>
      </c>
      <c r="AB403" s="2" t="str">
        <f t="shared" si="399"/>
        <v>-</v>
      </c>
      <c r="AC403" s="2" t="s">
        <v>33</v>
      </c>
      <c r="AD403" s="2" t="str">
        <f t="shared" si="406"/>
        <v>_</v>
      </c>
      <c r="AE403" s="2" t="s">
        <v>13</v>
      </c>
      <c r="AF403" s="2" t="str">
        <f t="shared" si="407"/>
        <v/>
      </c>
      <c r="AG403" s="2"/>
      <c r="AH403" s="2" t="str">
        <f t="shared" si="417"/>
        <v/>
      </c>
      <c r="AI403" s="2"/>
    </row>
    <row r="404" spans="1:35" x14ac:dyDescent="0.25">
      <c r="B404" s="2" t="str">
        <f t="shared" si="547"/>
        <v>@color-motorway_link_case</v>
      </c>
      <c r="C404" s="107" t="s">
        <v>212</v>
      </c>
      <c r="D404" s="37" t="s">
        <v>214</v>
      </c>
      <c r="F404" s="47" t="s">
        <v>214</v>
      </c>
      <c r="G404" s="47" t="s">
        <v>214</v>
      </c>
      <c r="I404" s="107" t="s">
        <v>212</v>
      </c>
      <c r="J404" s="37" t="s">
        <v>214</v>
      </c>
      <c r="L404" s="47" t="s">
        <v>214</v>
      </c>
      <c r="M404" s="47" t="s">
        <v>214</v>
      </c>
      <c r="O404" s="107" t="s">
        <v>212</v>
      </c>
      <c r="P404" s="37" t="s">
        <v>214</v>
      </c>
      <c r="R404" s="47" t="s">
        <v>214</v>
      </c>
      <c r="S404" s="47" t="s">
        <v>214</v>
      </c>
      <c r="U404" s="107" t="s">
        <v>212</v>
      </c>
      <c r="V404" s="37" t="s">
        <v>214</v>
      </c>
      <c r="X404" s="47" t="s">
        <v>214</v>
      </c>
      <c r="Y404" s="47" t="s">
        <v>214</v>
      </c>
      <c r="AA404" s="2" t="s">
        <v>6</v>
      </c>
      <c r="AB404" s="2" t="str">
        <f t="shared" si="399"/>
        <v>-</v>
      </c>
      <c r="AC404" s="2" t="s">
        <v>33</v>
      </c>
      <c r="AD404" s="2" t="str">
        <f t="shared" si="406"/>
        <v>_</v>
      </c>
      <c r="AE404" s="2" t="s">
        <v>17</v>
      </c>
      <c r="AF404" s="2" t="str">
        <f t="shared" si="407"/>
        <v/>
      </c>
      <c r="AG404" s="2"/>
      <c r="AH404" s="2" t="str">
        <f t="shared" si="417"/>
        <v/>
      </c>
      <c r="AI404" s="2"/>
    </row>
    <row r="405" spans="1:35" x14ac:dyDescent="0.25">
      <c r="B405" s="2"/>
      <c r="AB405" s="28" t="str">
        <f t="shared" ref="AB405" si="548">IF(NOT(ISBLANK(AC405)),"-","")</f>
        <v/>
      </c>
      <c r="AD405" s="28" t="str">
        <f t="shared" ref="AD405" si="549">IF(NOT(ISBLANK(AE405)),"_","")</f>
        <v/>
      </c>
      <c r="AF405" s="28" t="str">
        <f t="shared" ref="AF405" si="550">IF(NOT(ISBLANK(AG405)),"_","")</f>
        <v/>
      </c>
      <c r="AH405" s="28" t="str">
        <f t="shared" ref="AH405" si="551">IF(NOT(ISBLANK(AI405)),"_","")</f>
        <v/>
      </c>
    </row>
    <row r="406" spans="1:35" x14ac:dyDescent="0.25">
      <c r="B406" s="2" t="str">
        <f t="shared" si="547"/>
        <v>@color-trunk_primary_secondary_tertiary_link_line_bicycle_no</v>
      </c>
      <c r="C406" s="121" t="s">
        <v>231</v>
      </c>
      <c r="D406" s="109" t="s">
        <v>215</v>
      </c>
      <c r="F406" s="121" t="s">
        <v>231</v>
      </c>
      <c r="G406" s="109" t="s">
        <v>215</v>
      </c>
      <c r="I406" s="122" t="str">
        <f>C406</f>
        <v>"#ffcc8a"</v>
      </c>
      <c r="J406" s="111" t="str">
        <f>D406</f>
        <v>"#d6771e"</v>
      </c>
      <c r="L406" s="121" t="s">
        <v>231</v>
      </c>
      <c r="M406" s="109" t="s">
        <v>215</v>
      </c>
      <c r="U406" s="121" t="s">
        <v>231</v>
      </c>
      <c r="V406" s="109" t="s">
        <v>215</v>
      </c>
      <c r="X406" s="121" t="s">
        <v>231</v>
      </c>
      <c r="Y406" s="109" t="s">
        <v>215</v>
      </c>
      <c r="AA406" s="2" t="s">
        <v>6</v>
      </c>
      <c r="AB406" s="2" t="str">
        <f t="shared" si="399"/>
        <v>-</v>
      </c>
      <c r="AC406" s="2" t="s">
        <v>32</v>
      </c>
      <c r="AD406" s="2" t="str">
        <f t="shared" si="406"/>
        <v>_</v>
      </c>
      <c r="AE406" s="2" t="s">
        <v>13</v>
      </c>
      <c r="AF406" s="2" t="str">
        <f t="shared" si="407"/>
        <v>_</v>
      </c>
      <c r="AG406" s="2" t="s">
        <v>23</v>
      </c>
      <c r="AH406" s="2" t="str">
        <f t="shared" si="417"/>
        <v/>
      </c>
      <c r="AI406" s="2"/>
    </row>
    <row r="407" spans="1:35" x14ac:dyDescent="0.25">
      <c r="B407" s="2" t="str">
        <f t="shared" si="547"/>
        <v>@color-trunk_primary_secondary_tertiary_link_line_unpaved</v>
      </c>
      <c r="C407" s="120" t="s">
        <v>221</v>
      </c>
      <c r="D407" s="120" t="str">
        <f>C407</f>
        <v>"#eddfca"</v>
      </c>
      <c r="F407" s="120" t="s">
        <v>221</v>
      </c>
      <c r="G407" s="120" t="str">
        <f>F407</f>
        <v>"#eddfca"</v>
      </c>
      <c r="I407" s="120" t="s">
        <v>221</v>
      </c>
      <c r="J407" s="120" t="str">
        <f>I407</f>
        <v>"#eddfca"</v>
      </c>
      <c r="L407" s="120" t="s">
        <v>221</v>
      </c>
      <c r="M407" s="120" t="str">
        <f>L407</f>
        <v>"#eddfca"</v>
      </c>
      <c r="U407" s="46" t="s">
        <v>222</v>
      </c>
      <c r="V407" s="38" t="str">
        <f>U407</f>
        <v>"#ffffff"</v>
      </c>
      <c r="X407" s="46" t="s">
        <v>222</v>
      </c>
      <c r="Y407" s="38" t="str">
        <f>X407</f>
        <v>"#ffffff"</v>
      </c>
      <c r="AA407" s="2" t="s">
        <v>6</v>
      </c>
      <c r="AB407" s="2" t="str">
        <f t="shared" si="399"/>
        <v>-</v>
      </c>
      <c r="AC407" s="2" t="s">
        <v>32</v>
      </c>
      <c r="AD407" s="2" t="str">
        <f t="shared" si="406"/>
        <v>_</v>
      </c>
      <c r="AE407" s="2" t="s">
        <v>13</v>
      </c>
      <c r="AF407" s="2" t="str">
        <f t="shared" si="407"/>
        <v>_</v>
      </c>
      <c r="AG407" s="2" t="s">
        <v>21</v>
      </c>
      <c r="AH407" s="2" t="str">
        <f t="shared" si="417"/>
        <v/>
      </c>
      <c r="AI407" s="2"/>
    </row>
    <row r="408" spans="1:35" x14ac:dyDescent="0.25">
      <c r="B408" s="2" t="str">
        <f t="shared" si="547"/>
        <v>@color-trunk_primary_secondary_tertiary_link_line_paved_or_uk</v>
      </c>
      <c r="C408" s="46" t="s">
        <v>222</v>
      </c>
      <c r="D408" s="38" t="str">
        <f>C408</f>
        <v>"#ffffff"</v>
      </c>
      <c r="F408" s="46" t="s">
        <v>222</v>
      </c>
      <c r="G408" s="38" t="str">
        <f>F408</f>
        <v>"#ffffff"</v>
      </c>
      <c r="I408" s="46" t="s">
        <v>222</v>
      </c>
      <c r="J408" s="38" t="str">
        <f>I408</f>
        <v>"#ffffff"</v>
      </c>
      <c r="L408" s="46" t="s">
        <v>222</v>
      </c>
      <c r="M408" s="38" t="str">
        <f>L408</f>
        <v>"#ffffff"</v>
      </c>
      <c r="U408" s="46" t="s">
        <v>222</v>
      </c>
      <c r="V408" s="38" t="str">
        <f>U408</f>
        <v>"#ffffff"</v>
      </c>
      <c r="X408" s="46" t="s">
        <v>222</v>
      </c>
      <c r="Y408" s="38" t="str">
        <f>X408</f>
        <v>"#ffffff"</v>
      </c>
      <c r="AA408" s="2" t="s">
        <v>6</v>
      </c>
      <c r="AB408" s="2" t="str">
        <f t="shared" si="399"/>
        <v>-</v>
      </c>
      <c r="AC408" s="2" t="s">
        <v>32</v>
      </c>
      <c r="AD408" s="2" t="str">
        <f t="shared" si="406"/>
        <v>_</v>
      </c>
      <c r="AE408" s="2" t="s">
        <v>13</v>
      </c>
      <c r="AF408" s="2" t="str">
        <f t="shared" si="407"/>
        <v>_</v>
      </c>
      <c r="AG408" s="2" t="s">
        <v>24</v>
      </c>
      <c r="AH408" s="2" t="str">
        <f t="shared" si="417"/>
        <v/>
      </c>
      <c r="AI408" s="2"/>
    </row>
    <row r="409" spans="1:35" x14ac:dyDescent="0.25">
      <c r="B409" s="2" t="str">
        <f t="shared" si="547"/>
        <v>@color-trunk_primary_secondary_tertiary_link_case_bicycle_no_farzoom</v>
      </c>
      <c r="C409" s="112" t="s">
        <v>226</v>
      </c>
      <c r="D409" s="47" t="s">
        <v>214</v>
      </c>
      <c r="F409" s="112" t="s">
        <v>226</v>
      </c>
      <c r="G409" s="112" t="s">
        <v>226</v>
      </c>
      <c r="I409" s="113" t="str">
        <f>C409</f>
        <v>"#bd430f"</v>
      </c>
      <c r="J409" s="37" t="str">
        <f>D409</f>
        <v>"#000000"</v>
      </c>
      <c r="L409" s="112" t="s">
        <v>226</v>
      </c>
      <c r="M409" s="112" t="s">
        <v>226</v>
      </c>
      <c r="U409" s="112" t="s">
        <v>226</v>
      </c>
      <c r="V409" s="47" t="s">
        <v>214</v>
      </c>
      <c r="X409" s="112" t="s">
        <v>226</v>
      </c>
      <c r="Y409" s="112" t="s">
        <v>226</v>
      </c>
      <c r="AA409" s="2" t="s">
        <v>6</v>
      </c>
      <c r="AB409" s="2" t="str">
        <f t="shared" ref="AB409" si="552">IF(NOT(ISBLANK(AC409)),"-","")</f>
        <v>-</v>
      </c>
      <c r="AC409" s="2" t="s">
        <v>32</v>
      </c>
      <c r="AD409" s="2" t="str">
        <f t="shared" ref="AD409" si="553">IF(NOT(ISBLANK(AE409)),"_","")</f>
        <v>_</v>
      </c>
      <c r="AE409" s="2" t="s">
        <v>17</v>
      </c>
      <c r="AF409" s="2" t="str">
        <f t="shared" ref="AF409" si="554">IF(NOT(ISBLANK(AG409)),"_","")</f>
        <v>_</v>
      </c>
      <c r="AG409" s="2" t="s">
        <v>23</v>
      </c>
      <c r="AH409" s="2" t="str">
        <f t="shared" si="417"/>
        <v>_</v>
      </c>
      <c r="AI409" s="2" t="s">
        <v>20</v>
      </c>
    </row>
    <row r="410" spans="1:35" x14ac:dyDescent="0.25">
      <c r="B410" s="2" t="str">
        <f t="shared" ref="B410:B414" si="555">_xlfn.CONCAT("@",AA410,AB410,AC410,AD410,AE410,AF410,AG410,AH410,AI410)</f>
        <v>@color-trunk_primary_secondary_tertiary_link_case_bicycle_no_default</v>
      </c>
      <c r="C410" s="112" t="s">
        <v>226</v>
      </c>
      <c r="D410" s="47" t="s">
        <v>214</v>
      </c>
      <c r="F410" s="47" t="s">
        <v>214</v>
      </c>
      <c r="G410" s="47" t="s">
        <v>214</v>
      </c>
      <c r="I410" s="113" t="str">
        <f>C410</f>
        <v>"#bd430f"</v>
      </c>
      <c r="J410" s="37" t="str">
        <f>D410</f>
        <v>"#000000"</v>
      </c>
      <c r="L410" s="47" t="s">
        <v>214</v>
      </c>
      <c r="M410" s="47" t="s">
        <v>214</v>
      </c>
      <c r="U410" s="112" t="s">
        <v>226</v>
      </c>
      <c r="V410" s="47" t="s">
        <v>214</v>
      </c>
      <c r="X410" s="47" t="s">
        <v>214</v>
      </c>
      <c r="Y410" s="47" t="s">
        <v>214</v>
      </c>
      <c r="AA410" s="2" t="s">
        <v>6</v>
      </c>
      <c r="AB410" s="2" t="str">
        <f t="shared" ref="AB410:AB414" si="556">IF(NOT(ISBLANK(AC410)),"-","")</f>
        <v>-</v>
      </c>
      <c r="AC410" s="2" t="s">
        <v>32</v>
      </c>
      <c r="AD410" s="2" t="str">
        <f t="shared" ref="AD410:AD414" si="557">IF(NOT(ISBLANK(AE410)),"_","")</f>
        <v>_</v>
      </c>
      <c r="AE410" s="2" t="s">
        <v>17</v>
      </c>
      <c r="AF410" s="2" t="str">
        <f t="shared" ref="AF410:AF414" si="558">IF(NOT(ISBLANK(AG410)),"_","")</f>
        <v>_</v>
      </c>
      <c r="AG410" s="2" t="s">
        <v>23</v>
      </c>
      <c r="AH410" s="2" t="str">
        <f t="shared" ref="AH410:AH414" si="559">IF(NOT(ISBLANK(AI410)),"_","")</f>
        <v>_</v>
      </c>
      <c r="AI410" s="2" t="s">
        <v>262</v>
      </c>
    </row>
    <row r="411" spans="1:35" x14ac:dyDescent="0.25">
      <c r="B411" s="2" t="str">
        <f t="shared" ref="B411" si="560">_xlfn.CONCAT("@",AA411,AB411,AC411,AD411,AE411,AF411,AG411,AH411,AI411)</f>
        <v>@color-trunk_primary_secondary_tertiary_link_case_unpaved_farzoom</v>
      </c>
      <c r="C411" s="114" t="s">
        <v>227</v>
      </c>
      <c r="D411" s="115" t="s">
        <v>229</v>
      </c>
      <c r="F411" s="115" t="s">
        <v>229</v>
      </c>
      <c r="G411" s="114" t="s">
        <v>227</v>
      </c>
      <c r="I411" s="114" t="s">
        <v>227</v>
      </c>
      <c r="J411" s="115" t="s">
        <v>229</v>
      </c>
      <c r="L411" s="115" t="s">
        <v>229</v>
      </c>
      <c r="M411" s="114" t="s">
        <v>227</v>
      </c>
      <c r="U411" s="117" t="s">
        <v>228</v>
      </c>
      <c r="V411" s="47" t="s">
        <v>214</v>
      </c>
      <c r="X411" s="117" t="s">
        <v>228</v>
      </c>
      <c r="Y411" s="117" t="s">
        <v>228</v>
      </c>
      <c r="AA411" s="2" t="s">
        <v>6</v>
      </c>
      <c r="AB411" s="2" t="str">
        <f t="shared" ref="AB411" si="561">IF(NOT(ISBLANK(AC411)),"-","")</f>
        <v>-</v>
      </c>
      <c r="AC411" s="2" t="s">
        <v>32</v>
      </c>
      <c r="AD411" s="2" t="str">
        <f t="shared" ref="AD411" si="562">IF(NOT(ISBLANK(AE411)),"_","")</f>
        <v>_</v>
      </c>
      <c r="AE411" s="2" t="s">
        <v>17</v>
      </c>
      <c r="AF411" s="2" t="str">
        <f t="shared" ref="AF411" si="563">IF(NOT(ISBLANK(AG411)),"_","")</f>
        <v>_</v>
      </c>
      <c r="AG411" s="2" t="s">
        <v>21</v>
      </c>
      <c r="AH411" s="2" t="str">
        <f t="shared" ref="AH411" si="564">IF(NOT(ISBLANK(AI411)),"_","")</f>
        <v>_</v>
      </c>
      <c r="AI411" s="2" t="s">
        <v>20</v>
      </c>
    </row>
    <row r="412" spans="1:35" x14ac:dyDescent="0.25">
      <c r="B412" s="2" t="str">
        <f t="shared" si="555"/>
        <v>@color-trunk_primary_secondary_tertiary_link_case_unpaved_default</v>
      </c>
      <c r="C412" s="115" t="s">
        <v>229</v>
      </c>
      <c r="D412" s="115" t="s">
        <v>229</v>
      </c>
      <c r="F412" s="47" t="s">
        <v>214</v>
      </c>
      <c r="G412" s="47" t="s">
        <v>214</v>
      </c>
      <c r="I412" s="115" t="s">
        <v>229</v>
      </c>
      <c r="J412" s="115" t="s">
        <v>229</v>
      </c>
      <c r="L412" s="47" t="s">
        <v>214</v>
      </c>
      <c r="M412" s="47" t="s">
        <v>214</v>
      </c>
      <c r="U412" s="123" t="s">
        <v>230</v>
      </c>
      <c r="V412" s="47" t="s">
        <v>214</v>
      </c>
      <c r="X412" s="47" t="s">
        <v>214</v>
      </c>
      <c r="Y412" s="47" t="s">
        <v>214</v>
      </c>
      <c r="AA412" s="2" t="s">
        <v>6</v>
      </c>
      <c r="AB412" s="2" t="str">
        <f t="shared" si="556"/>
        <v>-</v>
      </c>
      <c r="AC412" s="2" t="s">
        <v>32</v>
      </c>
      <c r="AD412" s="2" t="str">
        <f t="shared" si="557"/>
        <v>_</v>
      </c>
      <c r="AE412" s="2" t="s">
        <v>17</v>
      </c>
      <c r="AF412" s="2" t="str">
        <f t="shared" si="558"/>
        <v>_</v>
      </c>
      <c r="AG412" s="2" t="s">
        <v>21</v>
      </c>
      <c r="AH412" s="2" t="str">
        <f t="shared" si="559"/>
        <v>_</v>
      </c>
      <c r="AI412" s="2" t="s">
        <v>262</v>
      </c>
    </row>
    <row r="413" spans="1:35" x14ac:dyDescent="0.25">
      <c r="B413" s="2" t="str">
        <f t="shared" ref="B413" si="565">_xlfn.CONCAT("@",AA413,AB413,AC413,AD413,AE413,AF413,AG413,AH413,AI413)</f>
        <v>@color-trunk_primary_secondary_tertiary_link_case_paved_or_uk_farzoom</v>
      </c>
      <c r="C413" s="117" t="s">
        <v>228</v>
      </c>
      <c r="D413" s="47" t="s">
        <v>214</v>
      </c>
      <c r="F413" s="117" t="s">
        <v>228</v>
      </c>
      <c r="G413" s="117" t="s">
        <v>228</v>
      </c>
      <c r="I413" s="117" t="s">
        <v>228</v>
      </c>
      <c r="J413" s="47" t="s">
        <v>214</v>
      </c>
      <c r="L413" s="117" t="s">
        <v>228</v>
      </c>
      <c r="M413" s="117" t="s">
        <v>228</v>
      </c>
      <c r="U413" s="117" t="s">
        <v>228</v>
      </c>
      <c r="V413" s="47" t="s">
        <v>214</v>
      </c>
      <c r="X413" s="117" t="s">
        <v>228</v>
      </c>
      <c r="Y413" s="117" t="s">
        <v>228</v>
      </c>
      <c r="AA413" s="2" t="s">
        <v>6</v>
      </c>
      <c r="AB413" s="2" t="str">
        <f t="shared" ref="AB413" si="566">IF(NOT(ISBLANK(AC413)),"-","")</f>
        <v>-</v>
      </c>
      <c r="AC413" s="2" t="s">
        <v>32</v>
      </c>
      <c r="AD413" s="2" t="str">
        <f t="shared" ref="AD413" si="567">IF(NOT(ISBLANK(AE413)),"_","")</f>
        <v>_</v>
      </c>
      <c r="AE413" s="2" t="s">
        <v>17</v>
      </c>
      <c r="AF413" s="2" t="str">
        <f t="shared" ref="AF413" si="568">IF(NOT(ISBLANK(AG413)),"_","")</f>
        <v>_</v>
      </c>
      <c r="AG413" s="2" t="s">
        <v>24</v>
      </c>
      <c r="AH413" s="2" t="str">
        <f t="shared" ref="AH413" si="569">IF(NOT(ISBLANK(AI413)),"_","")</f>
        <v>_</v>
      </c>
      <c r="AI413" s="2" t="s">
        <v>20</v>
      </c>
    </row>
    <row r="414" spans="1:35" x14ac:dyDescent="0.25">
      <c r="B414" s="2" t="str">
        <f t="shared" si="555"/>
        <v>@color-trunk_primary_secondary_tertiary_link_case_paved_or_uk_default</v>
      </c>
      <c r="C414" s="123" t="s">
        <v>230</v>
      </c>
      <c r="D414" s="47" t="s">
        <v>214</v>
      </c>
      <c r="F414" s="47" t="s">
        <v>214</v>
      </c>
      <c r="G414" s="47" t="s">
        <v>214</v>
      </c>
      <c r="I414" s="123" t="s">
        <v>230</v>
      </c>
      <c r="J414" s="47" t="s">
        <v>214</v>
      </c>
      <c r="L414" s="47" t="s">
        <v>214</v>
      </c>
      <c r="M414" s="47" t="s">
        <v>214</v>
      </c>
      <c r="U414" s="123" t="s">
        <v>230</v>
      </c>
      <c r="V414" s="47" t="s">
        <v>214</v>
      </c>
      <c r="X414" s="47" t="s">
        <v>214</v>
      </c>
      <c r="Y414" s="47" t="s">
        <v>214</v>
      </c>
      <c r="AA414" s="2" t="s">
        <v>6</v>
      </c>
      <c r="AB414" s="2" t="str">
        <f t="shared" si="556"/>
        <v>-</v>
      </c>
      <c r="AC414" s="2" t="s">
        <v>32</v>
      </c>
      <c r="AD414" s="2" t="str">
        <f t="shared" si="557"/>
        <v>_</v>
      </c>
      <c r="AE414" s="2" t="s">
        <v>17</v>
      </c>
      <c r="AF414" s="2" t="str">
        <f t="shared" si="558"/>
        <v>_</v>
      </c>
      <c r="AG414" s="2" t="s">
        <v>24</v>
      </c>
      <c r="AH414" s="2" t="str">
        <f t="shared" si="559"/>
        <v>_</v>
      </c>
      <c r="AI414" s="2" t="s">
        <v>262</v>
      </c>
    </row>
    <row r="415" spans="1:35" x14ac:dyDescent="0.25">
      <c r="B415" s="2" t="str">
        <f t="shared" si="547"/>
        <v>@</v>
      </c>
    </row>
    <row r="416" spans="1:35" x14ac:dyDescent="0.25">
      <c r="B416" s="2" t="str">
        <f t="shared" si="547"/>
        <v>@</v>
      </c>
    </row>
    <row r="417" spans="2:2" x14ac:dyDescent="0.25">
      <c r="B417" s="2" t="str">
        <f t="shared" si="547"/>
        <v>@</v>
      </c>
    </row>
    <row r="418" spans="2:2" x14ac:dyDescent="0.25">
      <c r="B418" s="2" t="str">
        <f t="shared" si="547"/>
        <v>@</v>
      </c>
    </row>
    <row r="419" spans="2:2" x14ac:dyDescent="0.25">
      <c r="B419" s="2" t="str">
        <f t="shared" si="547"/>
        <v>@</v>
      </c>
    </row>
    <row r="420" spans="2:2" x14ac:dyDescent="0.25">
      <c r="B420" s="2" t="str">
        <f t="shared" si="547"/>
        <v>@</v>
      </c>
    </row>
    <row r="421" spans="2:2" x14ac:dyDescent="0.25">
      <c r="B421" s="2" t="str">
        <f t="shared" si="547"/>
        <v>@</v>
      </c>
    </row>
    <row r="422" spans="2:2" x14ac:dyDescent="0.25">
      <c r="B422" s="2" t="str">
        <f t="shared" si="547"/>
        <v>@</v>
      </c>
    </row>
    <row r="423" spans="2:2" x14ac:dyDescent="0.25">
      <c r="B423" s="2" t="str">
        <f t="shared" si="547"/>
        <v>@</v>
      </c>
    </row>
    <row r="424" spans="2:2" x14ac:dyDescent="0.25">
      <c r="B424" s="2" t="str">
        <f t="shared" si="547"/>
        <v>@</v>
      </c>
    </row>
    <row r="425" spans="2:2" x14ac:dyDescent="0.25">
      <c r="B425" s="2" t="str">
        <f t="shared" si="547"/>
        <v>@</v>
      </c>
    </row>
    <row r="426" spans="2:2" x14ac:dyDescent="0.25">
      <c r="B426" s="2" t="str">
        <f t="shared" si="547"/>
        <v>@</v>
      </c>
    </row>
    <row r="427" spans="2:2" x14ac:dyDescent="0.25">
      <c r="B427" s="2" t="str">
        <f t="shared" si="547"/>
        <v>@</v>
      </c>
    </row>
    <row r="428" spans="2:2" x14ac:dyDescent="0.25">
      <c r="B428" s="2" t="str">
        <f t="shared" si="547"/>
        <v>@</v>
      </c>
    </row>
    <row r="429" spans="2:2" x14ac:dyDescent="0.25">
      <c r="B429" s="2" t="str">
        <f t="shared" si="547"/>
        <v>@</v>
      </c>
    </row>
    <row r="430" spans="2:2" x14ac:dyDescent="0.25">
      <c r="B430" s="2" t="str">
        <f t="shared" si="547"/>
        <v>@</v>
      </c>
    </row>
    <row r="431" spans="2:2" x14ac:dyDescent="0.25">
      <c r="B431" s="2" t="str">
        <f t="shared" si="547"/>
        <v>@</v>
      </c>
    </row>
    <row r="432" spans="2:2" x14ac:dyDescent="0.25">
      <c r="B432" s="2" t="str">
        <f t="shared" si="547"/>
        <v>@</v>
      </c>
    </row>
    <row r="433" spans="2:2" x14ac:dyDescent="0.25">
      <c r="B433" s="2" t="str">
        <f t="shared" si="547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1 C74 M70:T70 M71:T71 M72:T72 M74:T74 M75:T75 M76:T76 M78:T78 M79:T79 M80:T80 M82:T82 M83:T83 M84:T84 D74:E74 E70 E71 E72 E73 D82:E84 E75 E76 E78 E79 E80 H74 H70:L70 H71:L71 H72:L72 H73:L73 H82:L84 H75:L75 H76:L76 H78 H79:L79 H80:L80 J74:K74 J78:K7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2025-12-29T07:54:16Z</dcterms:modified>
</cp:coreProperties>
</file>