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1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E:\GitHub\mtb-trailmap\"/>
    </mc:Choice>
  </mc:AlternateContent>
  <xr:revisionPtr revIDLastSave="0" documentId="13_ncr:1_{82BA16E0-EEEB-4AB6-B39C-E44800C046EF}" xr6:coauthVersionLast="47" xr6:coauthVersionMax="47" xr10:uidLastSave="{00000000-0000-0000-0000-000000000000}"/>
  <bookViews>
    <workbookView xWindow="19080" yWindow="-15" windowWidth="38640" windowHeight="31815" xr2:uid="{874F13CA-3A0E-4951-A5BA-F0D36D053368}"/>
  </bookViews>
  <sheets>
    <sheet name="style_variables" sheetId="5" r:id="rId1"/>
    <sheet name="style_variables_linetypes" sheetId="3" r:id="rId2"/>
    <sheet name="#OLD style_variables_linetypes" sheetId="2" r:id="rId3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F44" i="5" l="1"/>
  <c r="AD44" i="5"/>
  <c r="B44" i="5" s="1"/>
  <c r="AB44" i="5"/>
  <c r="AF65" i="5"/>
  <c r="AD65" i="5"/>
  <c r="AB65" i="5"/>
  <c r="B65" i="5"/>
  <c r="AF61" i="5"/>
  <c r="B61" i="5" s="1"/>
  <c r="AD61" i="5"/>
  <c r="AB61" i="5"/>
  <c r="AF57" i="5"/>
  <c r="AD57" i="5"/>
  <c r="AB57" i="5"/>
  <c r="AF53" i="5"/>
  <c r="AD53" i="5"/>
  <c r="AB53" i="5"/>
  <c r="AF64" i="5"/>
  <c r="AD64" i="5"/>
  <c r="AB64" i="5"/>
  <c r="B64" i="5"/>
  <c r="AF63" i="5"/>
  <c r="AD63" i="5"/>
  <c r="AB63" i="5"/>
  <c r="AF62" i="5"/>
  <c r="AD62" i="5"/>
  <c r="AB62" i="5"/>
  <c r="B62" i="5"/>
  <c r="AF60" i="5"/>
  <c r="AD60" i="5"/>
  <c r="AB60" i="5"/>
  <c r="AF59" i="5"/>
  <c r="AD59" i="5"/>
  <c r="AB59" i="5"/>
  <c r="B59" i="5"/>
  <c r="AF58" i="5"/>
  <c r="AD58" i="5"/>
  <c r="AB58" i="5"/>
  <c r="AF56" i="5"/>
  <c r="AD56" i="5"/>
  <c r="AB56" i="5"/>
  <c r="AF55" i="5"/>
  <c r="AD55" i="5"/>
  <c r="AB55" i="5"/>
  <c r="B55" i="5"/>
  <c r="AF54" i="5"/>
  <c r="AD54" i="5"/>
  <c r="AB54" i="5"/>
  <c r="AF52" i="5"/>
  <c r="AD52" i="5"/>
  <c r="AB52" i="5"/>
  <c r="B52" i="5"/>
  <c r="AF51" i="5"/>
  <c r="AD51" i="5"/>
  <c r="AB51" i="5"/>
  <c r="AF50" i="5"/>
  <c r="AD50" i="5"/>
  <c r="AB50" i="5"/>
  <c r="AF33" i="5"/>
  <c r="AD33" i="5"/>
  <c r="AB33" i="5"/>
  <c r="B33" i="5" s="1"/>
  <c r="AF32" i="5"/>
  <c r="AD32" i="5"/>
  <c r="AB32" i="5"/>
  <c r="AF31" i="5"/>
  <c r="AD31" i="5"/>
  <c r="AB31" i="5"/>
  <c r="AF30" i="5"/>
  <c r="AD30" i="5"/>
  <c r="AB30" i="5"/>
  <c r="AF29" i="5"/>
  <c r="AD29" i="5"/>
  <c r="AB29" i="5"/>
  <c r="B29" i="5" s="1"/>
  <c r="AF28" i="5"/>
  <c r="AD28" i="5"/>
  <c r="AB28" i="5"/>
  <c r="AF27" i="5"/>
  <c r="AD27" i="5"/>
  <c r="AB27" i="5"/>
  <c r="AF26" i="5"/>
  <c r="AD26" i="5"/>
  <c r="AB26" i="5"/>
  <c r="AF25" i="5"/>
  <c r="AD25" i="5"/>
  <c r="AB25" i="5"/>
  <c r="AF24" i="5"/>
  <c r="AD24" i="5"/>
  <c r="AB24" i="5"/>
  <c r="AF23" i="5"/>
  <c r="AD23" i="5"/>
  <c r="AB23" i="5"/>
  <c r="AF22" i="5"/>
  <c r="AD22" i="5"/>
  <c r="AB22" i="5"/>
  <c r="AF21" i="5"/>
  <c r="AD21" i="5"/>
  <c r="AB21" i="5"/>
  <c r="AF20" i="5"/>
  <c r="AD20" i="5"/>
  <c r="AB20" i="5"/>
  <c r="AF19" i="5"/>
  <c r="AD19" i="5"/>
  <c r="AB19" i="5"/>
  <c r="B19" i="5" s="1"/>
  <c r="AF18" i="5"/>
  <c r="AD18" i="5"/>
  <c r="AB18" i="5"/>
  <c r="AF17" i="5"/>
  <c r="AD17" i="5"/>
  <c r="AB17" i="5"/>
  <c r="AF16" i="5"/>
  <c r="AD16" i="5"/>
  <c r="AB16" i="5"/>
  <c r="AF15" i="5"/>
  <c r="AD15" i="5"/>
  <c r="B15" i="5" s="1"/>
  <c r="AB15" i="5"/>
  <c r="AF14" i="5"/>
  <c r="AD14" i="5"/>
  <c r="AB14" i="5"/>
  <c r="AF13" i="5"/>
  <c r="AD13" i="5"/>
  <c r="AB13" i="5"/>
  <c r="AF12" i="5"/>
  <c r="AD12" i="5"/>
  <c r="AB12" i="5"/>
  <c r="AF11" i="5"/>
  <c r="AD11" i="5"/>
  <c r="AB11" i="5"/>
  <c r="AF86" i="5"/>
  <c r="AD86" i="5"/>
  <c r="AB86" i="5"/>
  <c r="AF111" i="5"/>
  <c r="AD111" i="5"/>
  <c r="AB111" i="5"/>
  <c r="G157" i="5"/>
  <c r="G156" i="5"/>
  <c r="G148" i="5"/>
  <c r="G147" i="5"/>
  <c r="G139" i="5"/>
  <c r="G138" i="5"/>
  <c r="G129" i="5"/>
  <c r="G128" i="5"/>
  <c r="D157" i="5"/>
  <c r="D156" i="5"/>
  <c r="D148" i="5"/>
  <c r="D147" i="5"/>
  <c r="D139" i="5"/>
  <c r="D138" i="5"/>
  <c r="D129" i="5"/>
  <c r="D128" i="5"/>
  <c r="AF121" i="5"/>
  <c r="AD121" i="5"/>
  <c r="AB121" i="5"/>
  <c r="V121" i="5"/>
  <c r="U121" i="5"/>
  <c r="J121" i="5"/>
  <c r="I121" i="5"/>
  <c r="AF72" i="5"/>
  <c r="AD72" i="5"/>
  <c r="AB72" i="5"/>
  <c r="AF70" i="5"/>
  <c r="AD70" i="5"/>
  <c r="AB70" i="5"/>
  <c r="AF113" i="5"/>
  <c r="AD113" i="5"/>
  <c r="AB113" i="5"/>
  <c r="AF84" i="5"/>
  <c r="AD84" i="5"/>
  <c r="AB84" i="5"/>
  <c r="AF83" i="5"/>
  <c r="AD83" i="5"/>
  <c r="AB83" i="5"/>
  <c r="AF82" i="5"/>
  <c r="AD82" i="5"/>
  <c r="AB82" i="5"/>
  <c r="AF81" i="5"/>
  <c r="AD81" i="5"/>
  <c r="AB81" i="5"/>
  <c r="AF80" i="5"/>
  <c r="AD80" i="5"/>
  <c r="AB80" i="5"/>
  <c r="AF112" i="5"/>
  <c r="AD112" i="5"/>
  <c r="AB112" i="5"/>
  <c r="AF110" i="5"/>
  <c r="AD110" i="5"/>
  <c r="AB110" i="5"/>
  <c r="V150" i="5"/>
  <c r="V141" i="5"/>
  <c r="V127" i="5"/>
  <c r="V126" i="5"/>
  <c r="V132" i="5"/>
  <c r="V137" i="5"/>
  <c r="J127" i="5"/>
  <c r="I127" i="5"/>
  <c r="J137" i="5"/>
  <c r="J146" i="5"/>
  <c r="V146" i="5" s="1"/>
  <c r="J155" i="5"/>
  <c r="V155" i="5" s="1"/>
  <c r="J150" i="5"/>
  <c r="J141" i="5"/>
  <c r="U118" i="5"/>
  <c r="U117" i="5"/>
  <c r="U116" i="5"/>
  <c r="U126" i="5"/>
  <c r="U127" i="5"/>
  <c r="AF124" i="5"/>
  <c r="AD124" i="5"/>
  <c r="AB124" i="5"/>
  <c r="AF122" i="5"/>
  <c r="AD122" i="5"/>
  <c r="AB122" i="5"/>
  <c r="J132" i="5"/>
  <c r="J118" i="5"/>
  <c r="I118" i="5"/>
  <c r="I117" i="5"/>
  <c r="I116" i="5"/>
  <c r="J129" i="5"/>
  <c r="J128" i="5"/>
  <c r="J139" i="5"/>
  <c r="J138" i="5"/>
  <c r="J147" i="5"/>
  <c r="J148" i="5"/>
  <c r="J156" i="5"/>
  <c r="J157" i="5"/>
  <c r="AF163" i="5"/>
  <c r="AD163" i="5"/>
  <c r="AB163" i="5"/>
  <c r="V163" i="5"/>
  <c r="AF160" i="5"/>
  <c r="AD160" i="5"/>
  <c r="AB160" i="5"/>
  <c r="AF174" i="5"/>
  <c r="AD174" i="5"/>
  <c r="AB174" i="5"/>
  <c r="J174" i="5"/>
  <c r="I174" i="5"/>
  <c r="D174" i="5"/>
  <c r="AF173" i="5"/>
  <c r="AD173" i="5"/>
  <c r="AB173" i="5"/>
  <c r="J173" i="5"/>
  <c r="I173" i="5"/>
  <c r="D173" i="5"/>
  <c r="AF172" i="5"/>
  <c r="AD172" i="5"/>
  <c r="AB172" i="5"/>
  <c r="V172" i="5"/>
  <c r="AF171" i="5"/>
  <c r="AD171" i="5"/>
  <c r="AB171" i="5"/>
  <c r="B171" i="5" s="1"/>
  <c r="J171" i="5"/>
  <c r="I171" i="5"/>
  <c r="AF170" i="5"/>
  <c r="AD170" i="5"/>
  <c r="AB170" i="5"/>
  <c r="J170" i="5"/>
  <c r="I170" i="5"/>
  <c r="AF169" i="5"/>
  <c r="AD169" i="5"/>
  <c r="AB169" i="5"/>
  <c r="B169" i="5" s="1"/>
  <c r="J169" i="5"/>
  <c r="I169" i="5"/>
  <c r="AF168" i="5"/>
  <c r="AD168" i="5"/>
  <c r="AB168" i="5"/>
  <c r="J168" i="5"/>
  <c r="I168" i="5"/>
  <c r="AF167" i="5"/>
  <c r="AD167" i="5"/>
  <c r="AB167" i="5"/>
  <c r="AF166" i="5"/>
  <c r="AD166" i="5"/>
  <c r="AB166" i="5"/>
  <c r="V181" i="5"/>
  <c r="V189" i="5"/>
  <c r="AF189" i="5"/>
  <c r="AD189" i="5"/>
  <c r="AB189" i="5"/>
  <c r="AF181" i="5"/>
  <c r="AD181" i="5"/>
  <c r="AB181" i="5"/>
  <c r="AF183" i="5"/>
  <c r="AD183" i="5"/>
  <c r="AB183" i="5"/>
  <c r="J183" i="5"/>
  <c r="I183" i="5"/>
  <c r="D183" i="5"/>
  <c r="AF182" i="5"/>
  <c r="AD182" i="5"/>
  <c r="AB182" i="5"/>
  <c r="J182" i="5"/>
  <c r="I182" i="5"/>
  <c r="D182" i="5"/>
  <c r="AF180" i="5"/>
  <c r="AD180" i="5"/>
  <c r="AB180" i="5"/>
  <c r="J180" i="5"/>
  <c r="I180" i="5"/>
  <c r="B180" i="5"/>
  <c r="AF179" i="5"/>
  <c r="AD179" i="5"/>
  <c r="AB179" i="5"/>
  <c r="J179" i="5"/>
  <c r="I179" i="5"/>
  <c r="AF178" i="5"/>
  <c r="AD178" i="5"/>
  <c r="AB178" i="5"/>
  <c r="J178" i="5"/>
  <c r="I178" i="5"/>
  <c r="AF177" i="5"/>
  <c r="AD177" i="5"/>
  <c r="AB177" i="5"/>
  <c r="J177" i="5"/>
  <c r="I177" i="5"/>
  <c r="AF176" i="5"/>
  <c r="AD176" i="5"/>
  <c r="AB176" i="5"/>
  <c r="AF175" i="5"/>
  <c r="AD175" i="5"/>
  <c r="AB175" i="5"/>
  <c r="J188" i="5"/>
  <c r="J187" i="5"/>
  <c r="I188" i="5"/>
  <c r="I187" i="5"/>
  <c r="J186" i="5"/>
  <c r="J185" i="5"/>
  <c r="I186" i="5"/>
  <c r="I185" i="5"/>
  <c r="AF187" i="5"/>
  <c r="AD187" i="5"/>
  <c r="AB187" i="5"/>
  <c r="AF185" i="5"/>
  <c r="AD185" i="5"/>
  <c r="AB185" i="5"/>
  <c r="AF188" i="5"/>
  <c r="AD188" i="5"/>
  <c r="AB188" i="5"/>
  <c r="AF186" i="5"/>
  <c r="AD186" i="5"/>
  <c r="AB186" i="5"/>
  <c r="J162" i="5"/>
  <c r="J161" i="5"/>
  <c r="I161" i="5"/>
  <c r="I162" i="5"/>
  <c r="AF162" i="5"/>
  <c r="AD162" i="5"/>
  <c r="AB162" i="5"/>
  <c r="AF161" i="5"/>
  <c r="AD161" i="5"/>
  <c r="AB161" i="5"/>
  <c r="J191" i="5"/>
  <c r="J190" i="5"/>
  <c r="J165" i="5"/>
  <c r="D191" i="5"/>
  <c r="D190" i="5"/>
  <c r="D165" i="5"/>
  <c r="J164" i="5"/>
  <c r="D164" i="5"/>
  <c r="U150" i="5"/>
  <c r="U141" i="5"/>
  <c r="U132" i="5"/>
  <c r="U155" i="5"/>
  <c r="U146" i="5"/>
  <c r="U137" i="5"/>
  <c r="AF137" i="5"/>
  <c r="AD137" i="5"/>
  <c r="AB137" i="5"/>
  <c r="I137" i="5"/>
  <c r="AF146" i="5"/>
  <c r="AD146" i="5"/>
  <c r="AB146" i="5"/>
  <c r="I146" i="5"/>
  <c r="I155" i="5"/>
  <c r="AF155" i="5"/>
  <c r="AD155" i="5"/>
  <c r="AB155" i="5"/>
  <c r="AF135" i="5"/>
  <c r="AD135" i="5"/>
  <c r="AB135" i="5"/>
  <c r="AF133" i="5"/>
  <c r="AD133" i="5"/>
  <c r="AB133" i="5"/>
  <c r="B133" i="5" s="1"/>
  <c r="AF132" i="5"/>
  <c r="AD132" i="5"/>
  <c r="AB132" i="5"/>
  <c r="I132" i="5"/>
  <c r="AF148" i="5"/>
  <c r="AD148" i="5"/>
  <c r="AB148" i="5"/>
  <c r="AF147" i="5"/>
  <c r="AD147" i="5"/>
  <c r="AB147" i="5"/>
  <c r="AF145" i="5"/>
  <c r="AD145" i="5"/>
  <c r="AB145" i="5"/>
  <c r="AF144" i="5"/>
  <c r="AD144" i="5"/>
  <c r="AB144" i="5"/>
  <c r="AF143" i="5"/>
  <c r="AD143" i="5"/>
  <c r="AB143" i="5"/>
  <c r="AF142" i="5"/>
  <c r="AD142" i="5"/>
  <c r="AB142" i="5"/>
  <c r="AF141" i="5"/>
  <c r="AD141" i="5"/>
  <c r="AB141" i="5"/>
  <c r="I141" i="5"/>
  <c r="AF140" i="5"/>
  <c r="AF153" i="5"/>
  <c r="AD153" i="5"/>
  <c r="AB153" i="5"/>
  <c r="AF151" i="5"/>
  <c r="AD151" i="5"/>
  <c r="AB151" i="5"/>
  <c r="I150" i="5"/>
  <c r="AF150" i="5"/>
  <c r="AD150" i="5"/>
  <c r="AB150" i="5"/>
  <c r="AF157" i="5"/>
  <c r="AF156" i="5"/>
  <c r="AF154" i="5"/>
  <c r="AF152" i="5"/>
  <c r="AF149" i="5"/>
  <c r="AD157" i="5"/>
  <c r="AB157" i="5"/>
  <c r="AD156" i="5"/>
  <c r="AB156" i="5"/>
  <c r="AD154" i="5"/>
  <c r="AB154" i="5"/>
  <c r="AD152" i="5"/>
  <c r="AB152" i="5"/>
  <c r="I39" i="5"/>
  <c r="AF48" i="5"/>
  <c r="AD48" i="5"/>
  <c r="AB48" i="5"/>
  <c r="AF47" i="5"/>
  <c r="AD47" i="5"/>
  <c r="AB47" i="5"/>
  <c r="AF46" i="5"/>
  <c r="AD46" i="5"/>
  <c r="AB46" i="5"/>
  <c r="J43" i="5"/>
  <c r="J42" i="5"/>
  <c r="J41" i="5"/>
  <c r="J40" i="5"/>
  <c r="J39" i="5"/>
  <c r="J38" i="5"/>
  <c r="J37" i="5"/>
  <c r="J36" i="5"/>
  <c r="I41" i="5"/>
  <c r="I43" i="5"/>
  <c r="I42" i="5"/>
  <c r="I40" i="5"/>
  <c r="I38" i="5"/>
  <c r="I37" i="5"/>
  <c r="I36" i="5"/>
  <c r="AF199" i="5"/>
  <c r="AF198" i="5"/>
  <c r="AF197" i="5"/>
  <c r="AF196" i="5"/>
  <c r="AF195" i="5"/>
  <c r="AF194" i="5"/>
  <c r="AF193" i="5"/>
  <c r="AF192" i="5"/>
  <c r="AF191" i="5"/>
  <c r="AF190" i="5"/>
  <c r="AF184" i="5"/>
  <c r="AF165" i="5"/>
  <c r="AF164" i="5"/>
  <c r="AF159" i="5"/>
  <c r="AF158" i="5"/>
  <c r="AF139" i="5"/>
  <c r="AF138" i="5"/>
  <c r="AD199" i="5"/>
  <c r="AD198" i="5"/>
  <c r="AD197" i="5"/>
  <c r="AD196" i="5"/>
  <c r="AD195" i="5"/>
  <c r="AD194" i="5"/>
  <c r="AD193" i="5"/>
  <c r="AD192" i="5"/>
  <c r="AD191" i="5"/>
  <c r="AD190" i="5"/>
  <c r="AD184" i="5"/>
  <c r="AD165" i="5"/>
  <c r="AD164" i="5"/>
  <c r="AD159" i="5"/>
  <c r="AD158" i="5"/>
  <c r="AD139" i="5"/>
  <c r="AD138" i="5"/>
  <c r="AB199" i="5"/>
  <c r="AB198" i="5"/>
  <c r="AB197" i="5"/>
  <c r="AB196" i="5"/>
  <c r="AB195" i="5"/>
  <c r="AB194" i="5"/>
  <c r="AB193" i="5"/>
  <c r="AB192" i="5"/>
  <c r="AB191" i="5"/>
  <c r="AB190" i="5"/>
  <c r="AB184" i="5"/>
  <c r="AB165" i="5"/>
  <c r="AB164" i="5"/>
  <c r="AB159" i="5"/>
  <c r="AB158" i="5"/>
  <c r="AB139" i="5"/>
  <c r="I191" i="5"/>
  <c r="I190" i="5"/>
  <c r="B218" i="5"/>
  <c r="B217" i="5"/>
  <c r="B216" i="5"/>
  <c r="B215" i="5"/>
  <c r="B214" i="5"/>
  <c r="B213" i="5"/>
  <c r="B212" i="5"/>
  <c r="B211" i="5"/>
  <c r="B210" i="5"/>
  <c r="B209" i="5"/>
  <c r="B208" i="5"/>
  <c r="B207" i="5"/>
  <c r="B206" i="5"/>
  <c r="B205" i="5"/>
  <c r="B204" i="5"/>
  <c r="B203" i="5"/>
  <c r="B202" i="5"/>
  <c r="B201" i="5"/>
  <c r="B200" i="5"/>
  <c r="I165" i="5"/>
  <c r="I164" i="5"/>
  <c r="AF136" i="5"/>
  <c r="AF134" i="5"/>
  <c r="AD136" i="5"/>
  <c r="AD134" i="5"/>
  <c r="AB138" i="5"/>
  <c r="AB136" i="5"/>
  <c r="AB134" i="5"/>
  <c r="AF131" i="5"/>
  <c r="AF130" i="5"/>
  <c r="AF129" i="5"/>
  <c r="AF128" i="5"/>
  <c r="AF127" i="5"/>
  <c r="AF126" i="5"/>
  <c r="AF125" i="5"/>
  <c r="AF123" i="5"/>
  <c r="AF120" i="5"/>
  <c r="AF119" i="5"/>
  <c r="AF118" i="5"/>
  <c r="AF117" i="5"/>
  <c r="AF116" i="5"/>
  <c r="AF115" i="5"/>
  <c r="AF114" i="5"/>
  <c r="AF109" i="5"/>
  <c r="AF108" i="5"/>
  <c r="AF107" i="5"/>
  <c r="AF106" i="5"/>
  <c r="AF105" i="5"/>
  <c r="AF104" i="5"/>
  <c r="AF103" i="5"/>
  <c r="AF102" i="5"/>
  <c r="AF101" i="5"/>
  <c r="AF100" i="5"/>
  <c r="AF99" i="5"/>
  <c r="AF98" i="5"/>
  <c r="AF97" i="5"/>
  <c r="AF96" i="5"/>
  <c r="AF95" i="5"/>
  <c r="AF94" i="5"/>
  <c r="AF93" i="5"/>
  <c r="AF92" i="5"/>
  <c r="AF91" i="5"/>
  <c r="AF90" i="5"/>
  <c r="AF89" i="5"/>
  <c r="AF88" i="5"/>
  <c r="AF87" i="5"/>
  <c r="AF85" i="5"/>
  <c r="AF79" i="5"/>
  <c r="AF78" i="5"/>
  <c r="AF77" i="5"/>
  <c r="AF76" i="5"/>
  <c r="AF75" i="5"/>
  <c r="AF74" i="5"/>
  <c r="AF73" i="5"/>
  <c r="AF71" i="5"/>
  <c r="AF69" i="5"/>
  <c r="AF45" i="5"/>
  <c r="AF43" i="5"/>
  <c r="AF42" i="5"/>
  <c r="AF41" i="5"/>
  <c r="AF40" i="5"/>
  <c r="AF39" i="5"/>
  <c r="AF38" i="5"/>
  <c r="AF37" i="5"/>
  <c r="AF36" i="5"/>
  <c r="AD131" i="5"/>
  <c r="AD130" i="5"/>
  <c r="AD129" i="5"/>
  <c r="AD128" i="5"/>
  <c r="AD127" i="5"/>
  <c r="AD126" i="5"/>
  <c r="AD125" i="5"/>
  <c r="AD123" i="5"/>
  <c r="AD120" i="5"/>
  <c r="AD119" i="5"/>
  <c r="AD118" i="5"/>
  <c r="AD117" i="5"/>
  <c r="AD116" i="5"/>
  <c r="AD115" i="5"/>
  <c r="AD114" i="5"/>
  <c r="AD109" i="5"/>
  <c r="AD108" i="5"/>
  <c r="AD107" i="5"/>
  <c r="AD106" i="5"/>
  <c r="AD105" i="5"/>
  <c r="AD104" i="5"/>
  <c r="AD103" i="5"/>
  <c r="AD102" i="5"/>
  <c r="AD101" i="5"/>
  <c r="AD100" i="5"/>
  <c r="AD99" i="5"/>
  <c r="AD98" i="5"/>
  <c r="AD97" i="5"/>
  <c r="AD96" i="5"/>
  <c r="AD95" i="5"/>
  <c r="AD94" i="5"/>
  <c r="AD93" i="5"/>
  <c r="AD92" i="5"/>
  <c r="AD91" i="5"/>
  <c r="AD90" i="5"/>
  <c r="AD89" i="5"/>
  <c r="AD88" i="5"/>
  <c r="AD87" i="5"/>
  <c r="AD85" i="5"/>
  <c r="AD79" i="5"/>
  <c r="AD78" i="5"/>
  <c r="AD77" i="5"/>
  <c r="AD76" i="5"/>
  <c r="AD75" i="5"/>
  <c r="AD74" i="5"/>
  <c r="AD73" i="5"/>
  <c r="AD71" i="5"/>
  <c r="AD69" i="5"/>
  <c r="AD45" i="5"/>
  <c r="AD43" i="5"/>
  <c r="AD42" i="5"/>
  <c r="AD41" i="5"/>
  <c r="AD40" i="5"/>
  <c r="AD39" i="5"/>
  <c r="AD38" i="5"/>
  <c r="AD37" i="5"/>
  <c r="AB131" i="5"/>
  <c r="AB130" i="5"/>
  <c r="AB129" i="5"/>
  <c r="AB128" i="5"/>
  <c r="AB127" i="5"/>
  <c r="AB126" i="5"/>
  <c r="AB125" i="5"/>
  <c r="AB123" i="5"/>
  <c r="AB120" i="5"/>
  <c r="AB119" i="5"/>
  <c r="AB118" i="5"/>
  <c r="AB117" i="5"/>
  <c r="AB116" i="5"/>
  <c r="AB115" i="5"/>
  <c r="AB114" i="5"/>
  <c r="AB109" i="5"/>
  <c r="AB108" i="5"/>
  <c r="AB107" i="5"/>
  <c r="AB106" i="5"/>
  <c r="AB105" i="5"/>
  <c r="AB104" i="5"/>
  <c r="AB103" i="5"/>
  <c r="AB102" i="5"/>
  <c r="AB101" i="5"/>
  <c r="AB100" i="5"/>
  <c r="AB99" i="5"/>
  <c r="AB98" i="5"/>
  <c r="AB97" i="5"/>
  <c r="AB96" i="5"/>
  <c r="AB95" i="5"/>
  <c r="AB94" i="5"/>
  <c r="AB93" i="5"/>
  <c r="AB92" i="5"/>
  <c r="AB91" i="5"/>
  <c r="AB90" i="5"/>
  <c r="AB89" i="5"/>
  <c r="AB88" i="5"/>
  <c r="AB87" i="5"/>
  <c r="AB85" i="5"/>
  <c r="AB79" i="5"/>
  <c r="AB78" i="5"/>
  <c r="AB77" i="5"/>
  <c r="AB76" i="5"/>
  <c r="AB75" i="5"/>
  <c r="AB74" i="5"/>
  <c r="AB73" i="5"/>
  <c r="AB71" i="5"/>
  <c r="AB69" i="5"/>
  <c r="AB45" i="5"/>
  <c r="AB43" i="5"/>
  <c r="AB42" i="5"/>
  <c r="AB41" i="5"/>
  <c r="AB40" i="5"/>
  <c r="AB39" i="5"/>
  <c r="AB38" i="5"/>
  <c r="AB37" i="5"/>
  <c r="AB36" i="5"/>
  <c r="D79" i="5"/>
  <c r="D85" i="5"/>
  <c r="D78" i="5"/>
  <c r="D77" i="5"/>
  <c r="D76" i="5"/>
  <c r="D73" i="5"/>
  <c r="D71" i="5"/>
  <c r="AD36" i="5"/>
  <c r="G71" i="3"/>
  <c r="G70" i="3"/>
  <c r="G69" i="3"/>
  <c r="S69" i="3" s="1"/>
  <c r="R69" i="3" s="1"/>
  <c r="G68" i="3"/>
  <c r="G67" i="3"/>
  <c r="AB71" i="3"/>
  <c r="Z71" i="3"/>
  <c r="V71" i="3"/>
  <c r="S71" i="3"/>
  <c r="R71" i="3" s="1"/>
  <c r="P71" i="3"/>
  <c r="O71" i="3" s="1"/>
  <c r="M71" i="3"/>
  <c r="L71" i="3" s="1"/>
  <c r="J71" i="3"/>
  <c r="I71" i="3" s="1"/>
  <c r="F71" i="3"/>
  <c r="C71" i="3"/>
  <c r="AB70" i="3"/>
  <c r="Z70" i="3"/>
  <c r="V70" i="3"/>
  <c r="S70" i="3"/>
  <c r="R70" i="3" s="1"/>
  <c r="P70" i="3"/>
  <c r="O70" i="3" s="1"/>
  <c r="M70" i="3"/>
  <c r="L70" i="3" s="1"/>
  <c r="K70" i="3"/>
  <c r="J70" i="3"/>
  <c r="I70" i="3" s="1"/>
  <c r="H70" i="3"/>
  <c r="F70" i="3"/>
  <c r="E70" i="3"/>
  <c r="C70" i="3"/>
  <c r="B70" i="3"/>
  <c r="AB69" i="3"/>
  <c r="Z69" i="3"/>
  <c r="V69" i="3"/>
  <c r="P69" i="3"/>
  <c r="O69" i="3" s="1"/>
  <c r="M69" i="3"/>
  <c r="L69" i="3" s="1"/>
  <c r="J69" i="3"/>
  <c r="I69" i="3" s="1"/>
  <c r="F69" i="3"/>
  <c r="C69" i="3"/>
  <c r="AB68" i="3"/>
  <c r="Z68" i="3"/>
  <c r="V68" i="3"/>
  <c r="S68" i="3"/>
  <c r="R68" i="3" s="1"/>
  <c r="P68" i="3"/>
  <c r="O68" i="3" s="1"/>
  <c r="M68" i="3"/>
  <c r="L68" i="3" s="1"/>
  <c r="J68" i="3"/>
  <c r="I68" i="3"/>
  <c r="F68" i="3"/>
  <c r="C68" i="3"/>
  <c r="B68" i="3"/>
  <c r="AB67" i="3"/>
  <c r="Z67" i="3"/>
  <c r="V67" i="3"/>
  <c r="S67" i="3"/>
  <c r="R67" i="3" s="1"/>
  <c r="Q67" i="3"/>
  <c r="P67" i="3"/>
  <c r="O67" i="3"/>
  <c r="N67" i="3"/>
  <c r="M67" i="3"/>
  <c r="L67" i="3" s="1"/>
  <c r="K67" i="3"/>
  <c r="J67" i="3"/>
  <c r="I67" i="3"/>
  <c r="H67" i="3"/>
  <c r="F67" i="3"/>
  <c r="E67" i="3"/>
  <c r="C67" i="3"/>
  <c r="B67" i="3"/>
  <c r="J65" i="3"/>
  <c r="I65" i="3" s="1"/>
  <c r="J64" i="3"/>
  <c r="I64" i="3" s="1"/>
  <c r="J63" i="3"/>
  <c r="G65" i="3"/>
  <c r="M65" i="3" s="1"/>
  <c r="L65" i="3" s="1"/>
  <c r="G64" i="3"/>
  <c r="M64" i="3" s="1"/>
  <c r="L64" i="3" s="1"/>
  <c r="G63" i="3"/>
  <c r="M63" i="3" s="1"/>
  <c r="L63" i="3" s="1"/>
  <c r="AB65" i="3"/>
  <c r="Z65" i="3"/>
  <c r="V65" i="3"/>
  <c r="Q65" i="3"/>
  <c r="P65" i="3"/>
  <c r="O65" i="3" s="1"/>
  <c r="N65" i="3"/>
  <c r="K65" i="3"/>
  <c r="H65" i="3"/>
  <c r="E65" i="3"/>
  <c r="C65" i="3"/>
  <c r="B65" i="3"/>
  <c r="AB64" i="3"/>
  <c r="B64" i="3" s="1"/>
  <c r="Z64" i="3"/>
  <c r="V64" i="3"/>
  <c r="P64" i="3"/>
  <c r="O64" i="3" s="1"/>
  <c r="C64" i="3"/>
  <c r="AB63" i="3"/>
  <c r="Z63" i="3"/>
  <c r="V63" i="3"/>
  <c r="Q63" i="3" s="1"/>
  <c r="P63" i="3"/>
  <c r="O63" i="3"/>
  <c r="N63" i="3"/>
  <c r="K63" i="3"/>
  <c r="I63" i="3"/>
  <c r="H63" i="3"/>
  <c r="E63" i="3"/>
  <c r="C63" i="3"/>
  <c r="B63" i="3"/>
  <c r="S61" i="3"/>
  <c r="R61" i="3" s="1"/>
  <c r="S60" i="3"/>
  <c r="R60" i="3" s="1"/>
  <c r="S59" i="3"/>
  <c r="R59" i="3" s="1"/>
  <c r="S58" i="3"/>
  <c r="R58" i="3" s="1"/>
  <c r="S57" i="3"/>
  <c r="R57" i="3" s="1"/>
  <c r="P61" i="3"/>
  <c r="O61" i="3" s="1"/>
  <c r="P60" i="3"/>
  <c r="O60" i="3" s="1"/>
  <c r="P59" i="3"/>
  <c r="O59" i="3" s="1"/>
  <c r="P58" i="3"/>
  <c r="O58" i="3" s="1"/>
  <c r="P57" i="3"/>
  <c r="M61" i="3"/>
  <c r="L61" i="3" s="1"/>
  <c r="M60" i="3"/>
  <c r="L60" i="3" s="1"/>
  <c r="M59" i="3"/>
  <c r="L59" i="3" s="1"/>
  <c r="M58" i="3"/>
  <c r="L58" i="3" s="1"/>
  <c r="M57" i="3"/>
  <c r="J61" i="3"/>
  <c r="I61" i="3" s="1"/>
  <c r="J60" i="3"/>
  <c r="I60" i="3" s="1"/>
  <c r="J59" i="3"/>
  <c r="I59" i="3" s="1"/>
  <c r="J58" i="3"/>
  <c r="I58" i="3" s="1"/>
  <c r="J57" i="3"/>
  <c r="AB61" i="3"/>
  <c r="Z61" i="3"/>
  <c r="V61" i="3"/>
  <c r="F61" i="3"/>
  <c r="C61" i="3"/>
  <c r="S55" i="3"/>
  <c r="R55" i="3" s="1"/>
  <c r="S54" i="3"/>
  <c r="R54" i="3" s="1"/>
  <c r="S53" i="3"/>
  <c r="R53" i="3" s="1"/>
  <c r="S52" i="3"/>
  <c r="R52" i="3" s="1"/>
  <c r="P55" i="3"/>
  <c r="O55" i="3" s="1"/>
  <c r="P54" i="3"/>
  <c r="O54" i="3" s="1"/>
  <c r="P53" i="3"/>
  <c r="O53" i="3" s="1"/>
  <c r="P52" i="3"/>
  <c r="O52" i="3" s="1"/>
  <c r="AB60" i="3"/>
  <c r="Z60" i="3"/>
  <c r="V60" i="3"/>
  <c r="H60" i="3"/>
  <c r="F60" i="3"/>
  <c r="E60" i="3"/>
  <c r="C60" i="3"/>
  <c r="B60" i="3"/>
  <c r="AB59" i="3"/>
  <c r="Z59" i="3"/>
  <c r="V59" i="3"/>
  <c r="Q59" i="3"/>
  <c r="N59" i="3"/>
  <c r="K59" i="3"/>
  <c r="H59" i="3"/>
  <c r="F59" i="3"/>
  <c r="E59" i="3"/>
  <c r="C59" i="3"/>
  <c r="B59" i="3"/>
  <c r="AB58" i="3"/>
  <c r="Z58" i="3"/>
  <c r="V58" i="3"/>
  <c r="Q58" i="3"/>
  <c r="N58" i="3"/>
  <c r="K58" i="3"/>
  <c r="H58" i="3"/>
  <c r="F58" i="3"/>
  <c r="E58" i="3"/>
  <c r="C58" i="3"/>
  <c r="B58" i="3"/>
  <c r="AB57" i="3"/>
  <c r="Z57" i="3"/>
  <c r="V57" i="3"/>
  <c r="Q57" i="3"/>
  <c r="O57" i="3"/>
  <c r="N57" i="3"/>
  <c r="L57" i="3"/>
  <c r="K57" i="3"/>
  <c r="I57" i="3"/>
  <c r="H57" i="3"/>
  <c r="F57" i="3"/>
  <c r="E57" i="3"/>
  <c r="C57" i="3"/>
  <c r="B57" i="3"/>
  <c r="M55" i="3"/>
  <c r="L55" i="3" s="1"/>
  <c r="M54" i="3"/>
  <c r="L54" i="3" s="1"/>
  <c r="M53" i="3"/>
  <c r="L53" i="3" s="1"/>
  <c r="M52" i="3"/>
  <c r="L52" i="3" s="1"/>
  <c r="J55" i="3"/>
  <c r="I55" i="3" s="1"/>
  <c r="J54" i="3"/>
  <c r="I54" i="3" s="1"/>
  <c r="J53" i="3"/>
  <c r="I53" i="3" s="1"/>
  <c r="J52" i="3"/>
  <c r="I52" i="3" s="1"/>
  <c r="S26" i="3"/>
  <c r="R26" i="3" s="1"/>
  <c r="S25" i="3"/>
  <c r="R25" i="3" s="1"/>
  <c r="S24" i="3"/>
  <c r="R24" i="3" s="1"/>
  <c r="S23" i="3"/>
  <c r="R23" i="3" s="1"/>
  <c r="S22" i="3"/>
  <c r="S36" i="3"/>
  <c r="R36" i="3" s="1"/>
  <c r="S35" i="3"/>
  <c r="R35" i="3" s="1"/>
  <c r="S34" i="3"/>
  <c r="R34" i="3" s="1"/>
  <c r="S33" i="3"/>
  <c r="R33" i="3" s="1"/>
  <c r="S32" i="3"/>
  <c r="R32" i="3" s="1"/>
  <c r="S31" i="3"/>
  <c r="R31" i="3" s="1"/>
  <c r="S30" i="3"/>
  <c r="R30" i="3" s="1"/>
  <c r="S29" i="3"/>
  <c r="R29" i="3" s="1"/>
  <c r="S28" i="3"/>
  <c r="R28" i="3" s="1"/>
  <c r="S27" i="3"/>
  <c r="R27" i="3" s="1"/>
  <c r="P31" i="3"/>
  <c r="O31" i="3" s="1"/>
  <c r="P30" i="3"/>
  <c r="O30" i="3" s="1"/>
  <c r="P29" i="3"/>
  <c r="O29" i="3" s="1"/>
  <c r="P28" i="3"/>
  <c r="O28" i="3" s="1"/>
  <c r="P27" i="3"/>
  <c r="O27" i="3" s="1"/>
  <c r="S50" i="3"/>
  <c r="R50" i="3" s="1"/>
  <c r="S49" i="3"/>
  <c r="R49" i="3" s="1"/>
  <c r="S48" i="3"/>
  <c r="R48" i="3" s="1"/>
  <c r="S47" i="3"/>
  <c r="R47" i="3" s="1"/>
  <c r="S46" i="3"/>
  <c r="R46" i="3" s="1"/>
  <c r="S45" i="3"/>
  <c r="P50" i="3"/>
  <c r="O50" i="3" s="1"/>
  <c r="P49" i="3"/>
  <c r="O49" i="3" s="1"/>
  <c r="P48" i="3"/>
  <c r="O48" i="3" s="1"/>
  <c r="P47" i="3"/>
  <c r="O47" i="3" s="1"/>
  <c r="P46" i="3"/>
  <c r="O46" i="3" s="1"/>
  <c r="P45" i="3"/>
  <c r="O45" i="3" s="1"/>
  <c r="S43" i="3"/>
  <c r="R43" i="3" s="1"/>
  <c r="S42" i="3"/>
  <c r="R42" i="3" s="1"/>
  <c r="S41" i="3"/>
  <c r="R41" i="3" s="1"/>
  <c r="S40" i="3"/>
  <c r="R40" i="3" s="1"/>
  <c r="S39" i="3"/>
  <c r="R39" i="3" s="1"/>
  <c r="S38" i="3"/>
  <c r="R38" i="3" s="1"/>
  <c r="P43" i="3"/>
  <c r="O43" i="3" s="1"/>
  <c r="P42" i="3"/>
  <c r="O42" i="3" s="1"/>
  <c r="P41" i="3"/>
  <c r="O41" i="3" s="1"/>
  <c r="P40" i="3"/>
  <c r="O40" i="3" s="1"/>
  <c r="P39" i="3"/>
  <c r="O39" i="3" s="1"/>
  <c r="P38" i="3"/>
  <c r="O38" i="3" s="1"/>
  <c r="AB55" i="3"/>
  <c r="Z55" i="3"/>
  <c r="V55" i="3"/>
  <c r="F55" i="3"/>
  <c r="C55" i="3"/>
  <c r="AB54" i="3"/>
  <c r="Z54" i="3"/>
  <c r="V54" i="3"/>
  <c r="N54" i="3"/>
  <c r="K54" i="3"/>
  <c r="H54" i="3"/>
  <c r="F54" i="3"/>
  <c r="E54" i="3"/>
  <c r="C54" i="3"/>
  <c r="B54" i="3"/>
  <c r="AB53" i="3"/>
  <c r="Z53" i="3"/>
  <c r="V53" i="3"/>
  <c r="H53" i="3"/>
  <c r="F53" i="3"/>
  <c r="E53" i="3"/>
  <c r="C53" i="3"/>
  <c r="B53" i="3"/>
  <c r="F52" i="3"/>
  <c r="C52" i="3"/>
  <c r="AB52" i="3"/>
  <c r="Z52" i="3"/>
  <c r="V52" i="3"/>
  <c r="AB50" i="3"/>
  <c r="Z50" i="3"/>
  <c r="V50" i="3"/>
  <c r="Q50" i="3"/>
  <c r="N50" i="3"/>
  <c r="L50" i="3"/>
  <c r="K50" i="3"/>
  <c r="I50" i="3"/>
  <c r="H50" i="3"/>
  <c r="F50" i="3"/>
  <c r="E50" i="3"/>
  <c r="C50" i="3"/>
  <c r="B50" i="3"/>
  <c r="AB49" i="3"/>
  <c r="Z49" i="3"/>
  <c r="V49" i="3"/>
  <c r="L49" i="3"/>
  <c r="I49" i="3"/>
  <c r="F49" i="3"/>
  <c r="C49" i="3"/>
  <c r="AB48" i="3"/>
  <c r="Z48" i="3"/>
  <c r="V48" i="3"/>
  <c r="Q48" i="3" s="1"/>
  <c r="N48" i="3"/>
  <c r="L48" i="3"/>
  <c r="K48" i="3"/>
  <c r="I48" i="3"/>
  <c r="H48" i="3"/>
  <c r="F48" i="3"/>
  <c r="E48" i="3"/>
  <c r="C48" i="3"/>
  <c r="B48" i="3"/>
  <c r="AB47" i="3"/>
  <c r="Z47" i="3"/>
  <c r="V47" i="3"/>
  <c r="N47" i="3"/>
  <c r="L47" i="3"/>
  <c r="K47" i="3"/>
  <c r="I47" i="3"/>
  <c r="H47" i="3"/>
  <c r="F47" i="3"/>
  <c r="C47" i="3"/>
  <c r="AB46" i="3"/>
  <c r="Z46" i="3"/>
  <c r="V46" i="3"/>
  <c r="Q46" i="3"/>
  <c r="N46" i="3"/>
  <c r="L46" i="3"/>
  <c r="K46" i="3"/>
  <c r="I46" i="3"/>
  <c r="H46" i="3"/>
  <c r="F46" i="3"/>
  <c r="E46" i="3"/>
  <c r="C46" i="3"/>
  <c r="B46" i="3"/>
  <c r="AB45" i="3"/>
  <c r="Z45" i="3"/>
  <c r="V45" i="3"/>
  <c r="R45" i="3"/>
  <c r="L45" i="3"/>
  <c r="I45" i="3"/>
  <c r="F45" i="3"/>
  <c r="E45" i="3"/>
  <c r="C45" i="3"/>
  <c r="B45" i="3"/>
  <c r="AB38" i="3"/>
  <c r="Z38" i="3"/>
  <c r="X38" i="3"/>
  <c r="V38" i="3"/>
  <c r="L38" i="3"/>
  <c r="I38" i="3"/>
  <c r="F38" i="3"/>
  <c r="C38" i="3"/>
  <c r="AB43" i="3"/>
  <c r="Z43" i="3"/>
  <c r="X43" i="3"/>
  <c r="V43" i="3"/>
  <c r="L43" i="3"/>
  <c r="I43" i="3"/>
  <c r="H43" i="3"/>
  <c r="F43" i="3"/>
  <c r="C43" i="3"/>
  <c r="B43" i="3"/>
  <c r="AB42" i="3"/>
  <c r="Z42" i="3"/>
  <c r="X42" i="3"/>
  <c r="V42" i="3"/>
  <c r="L42" i="3"/>
  <c r="I42" i="3"/>
  <c r="F42" i="3"/>
  <c r="E42" i="3"/>
  <c r="C42" i="3"/>
  <c r="AB41" i="3"/>
  <c r="Z41" i="3"/>
  <c r="X41" i="3"/>
  <c r="E41" i="3" s="1"/>
  <c r="V41" i="3"/>
  <c r="L41" i="3"/>
  <c r="I41" i="3"/>
  <c r="F41" i="3"/>
  <c r="C41" i="3"/>
  <c r="AB40" i="3"/>
  <c r="Z40" i="3"/>
  <c r="X40" i="3"/>
  <c r="V40" i="3"/>
  <c r="L40" i="3"/>
  <c r="I40" i="3"/>
  <c r="F40" i="3"/>
  <c r="C40" i="3"/>
  <c r="AB39" i="3"/>
  <c r="Z39" i="3"/>
  <c r="X39" i="3"/>
  <c r="V39" i="3"/>
  <c r="L39" i="3"/>
  <c r="I39" i="3"/>
  <c r="H39" i="3"/>
  <c r="F39" i="3"/>
  <c r="E39" i="3"/>
  <c r="C39" i="3"/>
  <c r="B39" i="3"/>
  <c r="O20" i="3"/>
  <c r="O19" i="3"/>
  <c r="O18" i="3"/>
  <c r="O17" i="3"/>
  <c r="O16" i="3"/>
  <c r="O15" i="3"/>
  <c r="O14" i="3"/>
  <c r="O13" i="3"/>
  <c r="O12" i="3"/>
  <c r="O11" i="3"/>
  <c r="O10" i="3"/>
  <c r="O9" i="3"/>
  <c r="O8" i="3"/>
  <c r="O7" i="3"/>
  <c r="O6" i="3"/>
  <c r="O36" i="3"/>
  <c r="O35" i="3"/>
  <c r="O34" i="3"/>
  <c r="O33" i="3"/>
  <c r="O32" i="3"/>
  <c r="O26" i="3"/>
  <c r="O25" i="3"/>
  <c r="O24" i="3"/>
  <c r="O23" i="3"/>
  <c r="O22" i="3"/>
  <c r="AB36" i="3"/>
  <c r="Z36" i="3"/>
  <c r="X36" i="3"/>
  <c r="V36" i="3"/>
  <c r="L36" i="3"/>
  <c r="I36" i="3"/>
  <c r="F36" i="3"/>
  <c r="C36" i="3"/>
  <c r="AB35" i="3"/>
  <c r="Z35" i="3"/>
  <c r="X35" i="3"/>
  <c r="V35" i="3"/>
  <c r="L35" i="3"/>
  <c r="I35" i="3"/>
  <c r="F35" i="3"/>
  <c r="C35" i="3"/>
  <c r="AB34" i="3"/>
  <c r="Z34" i="3"/>
  <c r="X34" i="3"/>
  <c r="V34" i="3"/>
  <c r="L34" i="3"/>
  <c r="I34" i="3"/>
  <c r="F34" i="3"/>
  <c r="C34" i="3"/>
  <c r="AB33" i="3"/>
  <c r="Z33" i="3"/>
  <c r="X33" i="3"/>
  <c r="V33" i="3"/>
  <c r="L33" i="3"/>
  <c r="I33" i="3"/>
  <c r="F33" i="3"/>
  <c r="C33" i="3"/>
  <c r="AB32" i="3"/>
  <c r="Z32" i="3"/>
  <c r="X32" i="3"/>
  <c r="V32" i="3"/>
  <c r="N32" i="3"/>
  <c r="L32" i="3"/>
  <c r="I32" i="3"/>
  <c r="H32" i="3"/>
  <c r="F32" i="3"/>
  <c r="E32" i="3"/>
  <c r="C32" i="3"/>
  <c r="B32" i="3"/>
  <c r="AB31" i="3"/>
  <c r="Z31" i="3"/>
  <c r="X31" i="3"/>
  <c r="V31" i="3"/>
  <c r="Q31" i="3"/>
  <c r="N31" i="3"/>
  <c r="L31" i="3"/>
  <c r="K31" i="3"/>
  <c r="I31" i="3"/>
  <c r="H31" i="3"/>
  <c r="F31" i="3"/>
  <c r="E31" i="3"/>
  <c r="C31" i="3"/>
  <c r="B31" i="3"/>
  <c r="AB30" i="3"/>
  <c r="Z30" i="3"/>
  <c r="X30" i="3"/>
  <c r="V30" i="3"/>
  <c r="L30" i="3"/>
  <c r="I30" i="3"/>
  <c r="F30" i="3"/>
  <c r="C30" i="3"/>
  <c r="AB29" i="3"/>
  <c r="Z29" i="3"/>
  <c r="X29" i="3"/>
  <c r="V29" i="3"/>
  <c r="Q29" i="3" s="1"/>
  <c r="N29" i="3"/>
  <c r="L29" i="3"/>
  <c r="K29" i="3"/>
  <c r="I29" i="3"/>
  <c r="H29" i="3"/>
  <c r="F29" i="3"/>
  <c r="E29" i="3"/>
  <c r="C29" i="3"/>
  <c r="B29" i="3"/>
  <c r="AB28" i="3"/>
  <c r="Z28" i="3"/>
  <c r="X28" i="3"/>
  <c r="V28" i="3"/>
  <c r="L28" i="3"/>
  <c r="I28" i="3"/>
  <c r="F28" i="3"/>
  <c r="C28" i="3"/>
  <c r="AB27" i="3"/>
  <c r="Z27" i="3"/>
  <c r="X27" i="3"/>
  <c r="V27" i="3"/>
  <c r="L27" i="3"/>
  <c r="I27" i="3"/>
  <c r="F27" i="3"/>
  <c r="C27" i="3"/>
  <c r="AB26" i="3"/>
  <c r="Z26" i="3"/>
  <c r="X26" i="3"/>
  <c r="V26" i="3"/>
  <c r="L26" i="3"/>
  <c r="K26" i="3"/>
  <c r="I26" i="3"/>
  <c r="H26" i="3"/>
  <c r="F26" i="3"/>
  <c r="E26" i="3"/>
  <c r="C26" i="3"/>
  <c r="B26" i="3"/>
  <c r="AB25" i="3"/>
  <c r="Z25" i="3"/>
  <c r="X25" i="3"/>
  <c r="V25" i="3"/>
  <c r="L25" i="3"/>
  <c r="K25" i="3"/>
  <c r="I25" i="3"/>
  <c r="H25" i="3"/>
  <c r="F25" i="3"/>
  <c r="E25" i="3"/>
  <c r="C25" i="3"/>
  <c r="B25" i="3"/>
  <c r="AB24" i="3"/>
  <c r="Z24" i="3"/>
  <c r="X24" i="3"/>
  <c r="V24" i="3"/>
  <c r="L24" i="3"/>
  <c r="K24" i="3"/>
  <c r="I24" i="3"/>
  <c r="H24" i="3"/>
  <c r="F24" i="3"/>
  <c r="E24" i="3"/>
  <c r="C24" i="3"/>
  <c r="AB23" i="3"/>
  <c r="Z23" i="3"/>
  <c r="X23" i="3"/>
  <c r="V23" i="3"/>
  <c r="Q23" i="3" s="1"/>
  <c r="N23" i="3"/>
  <c r="L23" i="3"/>
  <c r="K23" i="3"/>
  <c r="I23" i="3"/>
  <c r="H23" i="3"/>
  <c r="F23" i="3"/>
  <c r="E23" i="3"/>
  <c r="C23" i="3"/>
  <c r="B23" i="3"/>
  <c r="AB22" i="3"/>
  <c r="Z22" i="3"/>
  <c r="X22" i="3"/>
  <c r="V22" i="3"/>
  <c r="R22" i="3"/>
  <c r="L22" i="3"/>
  <c r="I22" i="3"/>
  <c r="F22" i="3"/>
  <c r="C22" i="3"/>
  <c r="AB20" i="3"/>
  <c r="AB19" i="3"/>
  <c r="AB18" i="3"/>
  <c r="AB17" i="3"/>
  <c r="AB16" i="3"/>
  <c r="AB15" i="3"/>
  <c r="AB14" i="3"/>
  <c r="AB13" i="3"/>
  <c r="AB12" i="3"/>
  <c r="AB11" i="3"/>
  <c r="AB10" i="3"/>
  <c r="AB9" i="3"/>
  <c r="AB8" i="3"/>
  <c r="AB7" i="3"/>
  <c r="Z20" i="3"/>
  <c r="Z19" i="3"/>
  <c r="Z18" i="3"/>
  <c r="Z17" i="3"/>
  <c r="Z16" i="3"/>
  <c r="Z15" i="3"/>
  <c r="Z14" i="3"/>
  <c r="Z13" i="3"/>
  <c r="Z12" i="3"/>
  <c r="Z11" i="3"/>
  <c r="Z10" i="3"/>
  <c r="Z9" i="3"/>
  <c r="Z8" i="3"/>
  <c r="Z7" i="3"/>
  <c r="V17" i="3"/>
  <c r="V16" i="3"/>
  <c r="V15" i="3"/>
  <c r="V14" i="3"/>
  <c r="V13" i="3"/>
  <c r="V12" i="3"/>
  <c r="V11" i="3"/>
  <c r="V10" i="3"/>
  <c r="V9" i="3"/>
  <c r="V8" i="3"/>
  <c r="V7" i="3"/>
  <c r="V6" i="3"/>
  <c r="X19" i="3"/>
  <c r="X18" i="3"/>
  <c r="X17" i="3"/>
  <c r="X16" i="3"/>
  <c r="X15" i="3"/>
  <c r="X14" i="3"/>
  <c r="X13" i="3"/>
  <c r="X12" i="3"/>
  <c r="X11" i="3"/>
  <c r="X10" i="3"/>
  <c r="X9" i="3"/>
  <c r="X8" i="3"/>
  <c r="X7" i="3"/>
  <c r="C18" i="3"/>
  <c r="C17" i="3"/>
  <c r="C16" i="3"/>
  <c r="C15" i="3"/>
  <c r="C14" i="3"/>
  <c r="C13" i="3"/>
  <c r="C12" i="3"/>
  <c r="C11" i="3"/>
  <c r="C10" i="3"/>
  <c r="C9" i="3"/>
  <c r="C8" i="3"/>
  <c r="C7" i="3"/>
  <c r="F18" i="3"/>
  <c r="F17" i="3"/>
  <c r="F16" i="3"/>
  <c r="F15" i="3"/>
  <c r="F14" i="3"/>
  <c r="F13" i="3"/>
  <c r="F12" i="3"/>
  <c r="F11" i="3"/>
  <c r="F10" i="3"/>
  <c r="F9" i="3"/>
  <c r="F8" i="3"/>
  <c r="F7" i="3"/>
  <c r="F6" i="3"/>
  <c r="I18" i="3"/>
  <c r="I17" i="3"/>
  <c r="I16" i="3"/>
  <c r="I15" i="3"/>
  <c r="I14" i="3"/>
  <c r="I13" i="3"/>
  <c r="I12" i="3"/>
  <c r="I11" i="3"/>
  <c r="I10" i="3"/>
  <c r="I9" i="3"/>
  <c r="I8" i="3"/>
  <c r="I7" i="3"/>
  <c r="L18" i="3"/>
  <c r="L17" i="3"/>
  <c r="L16" i="3"/>
  <c r="L15" i="3"/>
  <c r="L14" i="3"/>
  <c r="L13" i="3"/>
  <c r="L12" i="3"/>
  <c r="L11" i="3"/>
  <c r="L10" i="3"/>
  <c r="L9" i="3"/>
  <c r="L8" i="3"/>
  <c r="L7" i="3"/>
  <c r="R19" i="3"/>
  <c r="R18" i="3"/>
  <c r="R17" i="3"/>
  <c r="R16" i="3"/>
  <c r="R15" i="3"/>
  <c r="R14" i="3"/>
  <c r="R13" i="3"/>
  <c r="R12" i="3"/>
  <c r="R11" i="3"/>
  <c r="R10" i="3"/>
  <c r="R9" i="3"/>
  <c r="R8" i="3"/>
  <c r="R7" i="3"/>
  <c r="R20" i="3"/>
  <c r="R6" i="3"/>
  <c r="L20" i="3"/>
  <c r="L19" i="3"/>
  <c r="L6" i="3"/>
  <c r="I20" i="3"/>
  <c r="I19" i="3"/>
  <c r="I6" i="3"/>
  <c r="F20" i="3"/>
  <c r="F19" i="3"/>
  <c r="X20" i="3"/>
  <c r="V20" i="3"/>
  <c r="C20" i="3"/>
  <c r="V19" i="3"/>
  <c r="C19" i="3"/>
  <c r="V18" i="3"/>
  <c r="AB6" i="3"/>
  <c r="Z6" i="3"/>
  <c r="X6" i="3"/>
  <c r="C6" i="3"/>
  <c r="Q66" i="2"/>
  <c r="O66" i="2"/>
  <c r="M66" i="2"/>
  <c r="K66" i="2"/>
  <c r="I66" i="2"/>
  <c r="G66" i="2"/>
  <c r="C66" i="2"/>
  <c r="B66" i="2"/>
  <c r="Q65" i="2"/>
  <c r="O65" i="2"/>
  <c r="M65" i="2"/>
  <c r="K65" i="2"/>
  <c r="I65" i="2"/>
  <c r="G65" i="2"/>
  <c r="C65" i="2"/>
  <c r="B65" i="2"/>
  <c r="Q64" i="2"/>
  <c r="O64" i="2"/>
  <c r="M64" i="2"/>
  <c r="K64" i="2"/>
  <c r="I64" i="2"/>
  <c r="G64" i="2"/>
  <c r="C64" i="2"/>
  <c r="B64" i="2"/>
  <c r="Q63" i="2"/>
  <c r="B63" i="2" s="1"/>
  <c r="O63" i="2"/>
  <c r="M63" i="2"/>
  <c r="K63" i="2"/>
  <c r="I63" i="2"/>
  <c r="G63" i="2"/>
  <c r="C63" i="2"/>
  <c r="Q62" i="2"/>
  <c r="O62" i="2"/>
  <c r="M62" i="2"/>
  <c r="K62" i="2"/>
  <c r="I62" i="2"/>
  <c r="G62" i="2"/>
  <c r="C62" i="2"/>
  <c r="B62" i="2"/>
  <c r="Q60" i="2"/>
  <c r="O60" i="2"/>
  <c r="M60" i="2"/>
  <c r="K60" i="2"/>
  <c r="I60" i="2"/>
  <c r="G60" i="2"/>
  <c r="B60" i="2" s="1"/>
  <c r="C60" i="2"/>
  <c r="Q59" i="2"/>
  <c r="O59" i="2"/>
  <c r="M59" i="2"/>
  <c r="K59" i="2"/>
  <c r="I59" i="2"/>
  <c r="G59" i="2"/>
  <c r="B59" i="2" s="1"/>
  <c r="C59" i="2"/>
  <c r="Q58" i="2"/>
  <c r="O58" i="2"/>
  <c r="M58" i="2"/>
  <c r="K58" i="2"/>
  <c r="I58" i="2"/>
  <c r="G58" i="2"/>
  <c r="C58" i="2"/>
  <c r="B58" i="2"/>
  <c r="Q57" i="2"/>
  <c r="O57" i="2"/>
  <c r="M57" i="2"/>
  <c r="K57" i="2"/>
  <c r="I57" i="2"/>
  <c r="G57" i="2"/>
  <c r="C57" i="2"/>
  <c r="Q56" i="2"/>
  <c r="O56" i="2"/>
  <c r="B56" i="2" s="1"/>
  <c r="M56" i="2"/>
  <c r="K56" i="2"/>
  <c r="I56" i="2"/>
  <c r="G56" i="2"/>
  <c r="C56" i="2"/>
  <c r="Q54" i="2"/>
  <c r="O54" i="2"/>
  <c r="M54" i="2"/>
  <c r="K54" i="2"/>
  <c r="I54" i="2"/>
  <c r="G54" i="2"/>
  <c r="C54" i="2"/>
  <c r="B54" i="2"/>
  <c r="Q53" i="2"/>
  <c r="O53" i="2"/>
  <c r="M53" i="2"/>
  <c r="K53" i="2"/>
  <c r="I53" i="2"/>
  <c r="G53" i="2"/>
  <c r="C53" i="2"/>
  <c r="B53" i="2"/>
  <c r="Q52" i="2"/>
  <c r="O52" i="2"/>
  <c r="M52" i="2"/>
  <c r="K52" i="2"/>
  <c r="I52" i="2"/>
  <c r="B52" i="2" s="1"/>
  <c r="G52" i="2"/>
  <c r="C52" i="2"/>
  <c r="Q51" i="2"/>
  <c r="O51" i="2"/>
  <c r="B51" i="2" s="1"/>
  <c r="M51" i="2"/>
  <c r="K51" i="2"/>
  <c r="I51" i="2"/>
  <c r="G51" i="2"/>
  <c r="C51" i="2"/>
  <c r="Q50" i="2"/>
  <c r="O50" i="2"/>
  <c r="M50" i="2"/>
  <c r="K50" i="2"/>
  <c r="I50" i="2"/>
  <c r="G50" i="2"/>
  <c r="C50" i="2"/>
  <c r="B50" i="2"/>
  <c r="Q44" i="2"/>
  <c r="O44" i="2"/>
  <c r="M44" i="2"/>
  <c r="K44" i="2"/>
  <c r="I44" i="2"/>
  <c r="G44" i="2"/>
  <c r="C44" i="2"/>
  <c r="Q48" i="2"/>
  <c r="O48" i="2"/>
  <c r="M48" i="2"/>
  <c r="K48" i="2"/>
  <c r="I48" i="2"/>
  <c r="G48" i="2"/>
  <c r="C48" i="2"/>
  <c r="Q47" i="2"/>
  <c r="O47" i="2"/>
  <c r="M47" i="2"/>
  <c r="K47" i="2"/>
  <c r="I47" i="2"/>
  <c r="G47" i="2"/>
  <c r="C47" i="2"/>
  <c r="Q46" i="2"/>
  <c r="O46" i="2"/>
  <c r="M46" i="2"/>
  <c r="K46" i="2"/>
  <c r="I46" i="2"/>
  <c r="G46" i="2"/>
  <c r="C46" i="2"/>
  <c r="Q45" i="2"/>
  <c r="O45" i="2"/>
  <c r="M45" i="2"/>
  <c r="K45" i="2"/>
  <c r="I45" i="2"/>
  <c r="G45" i="2"/>
  <c r="C45" i="2"/>
  <c r="O41" i="2"/>
  <c r="O40" i="2"/>
  <c r="O39" i="2"/>
  <c r="O38" i="2"/>
  <c r="O37" i="2"/>
  <c r="O36" i="2"/>
  <c r="O35" i="2"/>
  <c r="O34" i="2"/>
  <c r="O33" i="2"/>
  <c r="O15" i="2"/>
  <c r="O14" i="2"/>
  <c r="O13" i="2"/>
  <c r="O12" i="2"/>
  <c r="O11" i="2"/>
  <c r="O10" i="2"/>
  <c r="O9" i="2"/>
  <c r="O8" i="2"/>
  <c r="M41" i="2"/>
  <c r="K41" i="2"/>
  <c r="I41" i="2"/>
  <c r="G41" i="2"/>
  <c r="C41" i="2"/>
  <c r="M40" i="2"/>
  <c r="K40" i="2"/>
  <c r="I40" i="2"/>
  <c r="G40" i="2"/>
  <c r="C40" i="2"/>
  <c r="M39" i="2"/>
  <c r="K39" i="2"/>
  <c r="I39" i="2"/>
  <c r="G39" i="2"/>
  <c r="C39" i="2"/>
  <c r="M38" i="2"/>
  <c r="K38" i="2"/>
  <c r="I38" i="2"/>
  <c r="G38" i="2"/>
  <c r="C38" i="2"/>
  <c r="M37" i="2"/>
  <c r="K37" i="2"/>
  <c r="I37" i="2"/>
  <c r="G37" i="2"/>
  <c r="C37" i="2"/>
  <c r="B37" i="2"/>
  <c r="M36" i="2"/>
  <c r="K36" i="2"/>
  <c r="I36" i="2"/>
  <c r="G36" i="2"/>
  <c r="C36" i="2"/>
  <c r="B36" i="2"/>
  <c r="M35" i="2"/>
  <c r="K35" i="2"/>
  <c r="I35" i="2"/>
  <c r="G35" i="2"/>
  <c r="C35" i="2"/>
  <c r="B35" i="2"/>
  <c r="M34" i="2"/>
  <c r="K34" i="2"/>
  <c r="I34" i="2"/>
  <c r="B34" i="2" s="1"/>
  <c r="G34" i="2"/>
  <c r="C34" i="2"/>
  <c r="Q33" i="2"/>
  <c r="M33" i="2"/>
  <c r="K33" i="2"/>
  <c r="I33" i="2"/>
  <c r="G33" i="2"/>
  <c r="C33" i="2"/>
  <c r="Q32" i="2"/>
  <c r="O32" i="2"/>
  <c r="M32" i="2"/>
  <c r="K32" i="2"/>
  <c r="I32" i="2"/>
  <c r="G32" i="2"/>
  <c r="B32" i="2" s="1"/>
  <c r="C32" i="2"/>
  <c r="Q31" i="2"/>
  <c r="O31" i="2"/>
  <c r="M31" i="2"/>
  <c r="K31" i="2"/>
  <c r="I31" i="2"/>
  <c r="G31" i="2"/>
  <c r="C31" i="2"/>
  <c r="B31" i="2"/>
  <c r="Q30" i="2"/>
  <c r="O30" i="2"/>
  <c r="M30" i="2"/>
  <c r="K30" i="2"/>
  <c r="I30" i="2"/>
  <c r="G30" i="2"/>
  <c r="B30" i="2" s="1"/>
  <c r="C30" i="2"/>
  <c r="K28" i="2"/>
  <c r="K27" i="2"/>
  <c r="K26" i="2"/>
  <c r="K25" i="2"/>
  <c r="K24" i="2"/>
  <c r="K23" i="2"/>
  <c r="K22" i="2"/>
  <c r="K21" i="2"/>
  <c r="K20" i="2"/>
  <c r="K19" i="2"/>
  <c r="K18" i="2"/>
  <c r="K17" i="2"/>
  <c r="K15" i="2"/>
  <c r="K14" i="2"/>
  <c r="K13" i="2"/>
  <c r="K12" i="2"/>
  <c r="K11" i="2"/>
  <c r="K10" i="2"/>
  <c r="K9" i="2"/>
  <c r="K8" i="2"/>
  <c r="K7" i="2"/>
  <c r="K6" i="2"/>
  <c r="K5" i="2"/>
  <c r="K4" i="2"/>
  <c r="I28" i="2"/>
  <c r="I27" i="2"/>
  <c r="I26" i="2"/>
  <c r="I25" i="2"/>
  <c r="I24" i="2"/>
  <c r="I23" i="2"/>
  <c r="I22" i="2"/>
  <c r="I21" i="2"/>
  <c r="I20" i="2"/>
  <c r="I19" i="2"/>
  <c r="I18" i="2"/>
  <c r="I17" i="2"/>
  <c r="I15" i="2"/>
  <c r="I14" i="2"/>
  <c r="I13" i="2"/>
  <c r="I12" i="2"/>
  <c r="I11" i="2"/>
  <c r="I10" i="2"/>
  <c r="I9" i="2"/>
  <c r="I8" i="2"/>
  <c r="I7" i="2"/>
  <c r="I6" i="2"/>
  <c r="I5" i="2"/>
  <c r="I4" i="2"/>
  <c r="O28" i="2"/>
  <c r="O27" i="2"/>
  <c r="O26" i="2"/>
  <c r="O25" i="2"/>
  <c r="O24" i="2"/>
  <c r="O23" i="2"/>
  <c r="O22" i="2"/>
  <c r="O21" i="2"/>
  <c r="Q28" i="2"/>
  <c r="Q27" i="2"/>
  <c r="Q26" i="2"/>
  <c r="Q25" i="2"/>
  <c r="Q24" i="2"/>
  <c r="Q23" i="2"/>
  <c r="Q22" i="2"/>
  <c r="Q21" i="2"/>
  <c r="M28" i="2"/>
  <c r="G28" i="2"/>
  <c r="C28" i="2"/>
  <c r="M27" i="2"/>
  <c r="G27" i="2"/>
  <c r="C27" i="2"/>
  <c r="M26" i="2"/>
  <c r="G26" i="2"/>
  <c r="C26" i="2"/>
  <c r="M25" i="2"/>
  <c r="G25" i="2"/>
  <c r="C25" i="2"/>
  <c r="M24" i="2"/>
  <c r="G24" i="2"/>
  <c r="C24" i="2"/>
  <c r="M23" i="2"/>
  <c r="G23" i="2"/>
  <c r="C23" i="2"/>
  <c r="M22" i="2"/>
  <c r="G22" i="2"/>
  <c r="C22" i="2"/>
  <c r="M21" i="2"/>
  <c r="G21" i="2"/>
  <c r="C21" i="2"/>
  <c r="Q20" i="2"/>
  <c r="O20" i="2"/>
  <c r="M20" i="2"/>
  <c r="G20" i="2"/>
  <c r="C20" i="2"/>
  <c r="Q19" i="2"/>
  <c r="O19" i="2"/>
  <c r="M19" i="2"/>
  <c r="G19" i="2"/>
  <c r="C19" i="2"/>
  <c r="Q18" i="2"/>
  <c r="O18" i="2"/>
  <c r="M18" i="2"/>
  <c r="G18" i="2"/>
  <c r="C18" i="2"/>
  <c r="Q17" i="2"/>
  <c r="O17" i="2"/>
  <c r="M17" i="2"/>
  <c r="G17" i="2"/>
  <c r="C17" i="2"/>
  <c r="C15" i="2"/>
  <c r="C14" i="2"/>
  <c r="C13" i="2"/>
  <c r="C12" i="2"/>
  <c r="C11" i="2"/>
  <c r="C10" i="2"/>
  <c r="C9" i="2"/>
  <c r="C8" i="2"/>
  <c r="C7" i="2"/>
  <c r="C6" i="2"/>
  <c r="C5" i="2"/>
  <c r="C4" i="2"/>
  <c r="M15" i="2"/>
  <c r="M14" i="2"/>
  <c r="M13" i="2"/>
  <c r="M12" i="2"/>
  <c r="M11" i="2"/>
  <c r="M10" i="2"/>
  <c r="M9" i="2"/>
  <c r="M8" i="2"/>
  <c r="G15" i="2"/>
  <c r="G14" i="2"/>
  <c r="G13" i="2"/>
  <c r="G12" i="2"/>
  <c r="G11" i="2"/>
  <c r="G10" i="2"/>
  <c r="G9" i="2"/>
  <c r="G8" i="2"/>
  <c r="G7" i="2"/>
  <c r="G6" i="2"/>
  <c r="G5" i="2"/>
  <c r="Q7" i="2"/>
  <c r="Q6" i="2"/>
  <c r="Q5" i="2"/>
  <c r="Q4" i="2"/>
  <c r="O7" i="2"/>
  <c r="O6" i="2"/>
  <c r="O5" i="2"/>
  <c r="O4" i="2"/>
  <c r="M7" i="2"/>
  <c r="M6" i="2"/>
  <c r="M5" i="2"/>
  <c r="M4" i="2"/>
  <c r="G4" i="2"/>
  <c r="B57" i="5" l="1"/>
  <c r="B63" i="5"/>
  <c r="B56" i="5"/>
  <c r="B27" i="5"/>
  <c r="B60" i="5"/>
  <c r="B26" i="5"/>
  <c r="B53" i="5"/>
  <c r="B51" i="5"/>
  <c r="B54" i="5"/>
  <c r="B58" i="5"/>
  <c r="B14" i="5"/>
  <c r="B86" i="5"/>
  <c r="B25" i="5"/>
  <c r="B50" i="5"/>
  <c r="B31" i="5"/>
  <c r="B161" i="5"/>
  <c r="B23" i="5"/>
  <c r="B22" i="5"/>
  <c r="B32" i="5"/>
  <c r="B17" i="5"/>
  <c r="B30" i="5"/>
  <c r="B28" i="5"/>
  <c r="B137" i="5"/>
  <c r="B13" i="5"/>
  <c r="B24" i="5"/>
  <c r="B21" i="5"/>
  <c r="B124" i="5"/>
  <c r="B12" i="5"/>
  <c r="B20" i="5"/>
  <c r="B18" i="5"/>
  <c r="B16" i="5"/>
  <c r="B135" i="5"/>
  <c r="B11" i="5"/>
  <c r="B141" i="5"/>
  <c r="B121" i="5"/>
  <c r="B82" i="5"/>
  <c r="B167" i="5"/>
  <c r="B111" i="5"/>
  <c r="B84" i="5"/>
  <c r="B163" i="5"/>
  <c r="B70" i="5"/>
  <c r="B144" i="5"/>
  <c r="B72" i="5"/>
  <c r="B145" i="5"/>
  <c r="B181" i="5"/>
  <c r="B174" i="5"/>
  <c r="B189" i="5"/>
  <c r="B113" i="5"/>
  <c r="B83" i="5"/>
  <c r="B183" i="5"/>
  <c r="B112" i="5"/>
  <c r="B110" i="5"/>
  <c r="B178" i="5"/>
  <c r="B122" i="5"/>
  <c r="B172" i="5"/>
  <c r="B187" i="5"/>
  <c r="B160" i="5"/>
  <c r="B186" i="5"/>
  <c r="B177" i="5"/>
  <c r="B162" i="5"/>
  <c r="B168" i="5"/>
  <c r="B48" i="5"/>
  <c r="B176" i="5"/>
  <c r="B173" i="5"/>
  <c r="B170" i="5"/>
  <c r="B182" i="5"/>
  <c r="B147" i="5"/>
  <c r="B179" i="5"/>
  <c r="B155" i="5"/>
  <c r="B188" i="5"/>
  <c r="B185" i="5"/>
  <c r="B157" i="5"/>
  <c r="B156" i="5"/>
  <c r="B154" i="5"/>
  <c r="B152" i="5"/>
  <c r="B136" i="5"/>
  <c r="B148" i="5"/>
  <c r="B146" i="5"/>
  <c r="B132" i="5"/>
  <c r="B143" i="5"/>
  <c r="B134" i="5"/>
  <c r="B142" i="5"/>
  <c r="B153" i="5"/>
  <c r="B150" i="5"/>
  <c r="B151" i="5"/>
  <c r="B46" i="5"/>
  <c r="B199" i="5"/>
  <c r="B198" i="5"/>
  <c r="B197" i="5"/>
  <c r="B196" i="5"/>
  <c r="B195" i="5"/>
  <c r="B194" i="5"/>
  <c r="B191" i="5"/>
  <c r="B190" i="5"/>
  <c r="B165" i="5"/>
  <c r="B164" i="5"/>
  <c r="B43" i="5"/>
  <c r="B138" i="5"/>
  <c r="B91" i="5"/>
  <c r="B127" i="5"/>
  <c r="B106" i="5"/>
  <c r="B99" i="5"/>
  <c r="B79" i="5"/>
  <c r="B128" i="5"/>
  <c r="B101" i="5"/>
  <c r="B77" i="5"/>
  <c r="B125" i="5"/>
  <c r="B93" i="5"/>
  <c r="B71" i="5"/>
  <c r="B123" i="5"/>
  <c r="B129" i="5"/>
  <c r="B76" i="5"/>
  <c r="B126" i="5"/>
  <c r="B139" i="5"/>
  <c r="B47" i="5"/>
  <c r="B108" i="5"/>
  <c r="B89" i="5"/>
  <c r="B107" i="5"/>
  <c r="B97" i="5"/>
  <c r="B92" i="5"/>
  <c r="B40" i="5"/>
  <c r="B78" i="5"/>
  <c r="B94" i="5"/>
  <c r="B118" i="5"/>
  <c r="B98" i="5"/>
  <c r="B96" i="5"/>
  <c r="B95" i="5"/>
  <c r="B117" i="5"/>
  <c r="B90" i="5"/>
  <c r="B104" i="5"/>
  <c r="B103" i="5"/>
  <c r="B102" i="5"/>
  <c r="B100" i="5"/>
  <c r="B73" i="5"/>
  <c r="B116" i="5"/>
  <c r="B109" i="5"/>
  <c r="B105" i="5"/>
  <c r="B85" i="5"/>
  <c r="B37" i="5"/>
  <c r="B39" i="5"/>
  <c r="B36" i="5"/>
  <c r="B42" i="5"/>
  <c r="B38" i="5"/>
  <c r="B41" i="5"/>
  <c r="K71" i="3"/>
  <c r="E71" i="3"/>
  <c r="Q71" i="3"/>
  <c r="H71" i="3"/>
  <c r="N71" i="3"/>
  <c r="B71" i="3"/>
  <c r="N70" i="3"/>
  <c r="Q70" i="3"/>
  <c r="B69" i="3"/>
  <c r="N69" i="3"/>
  <c r="K69" i="3"/>
  <c r="E69" i="3"/>
  <c r="Q69" i="3"/>
  <c r="H69" i="3"/>
  <c r="N68" i="3"/>
  <c r="H68" i="3"/>
  <c r="K68" i="3"/>
  <c r="E68" i="3"/>
  <c r="Q68" i="3"/>
  <c r="K60" i="3"/>
  <c r="H55" i="3"/>
  <c r="E55" i="3"/>
  <c r="B55" i="3"/>
  <c r="K55" i="3"/>
  <c r="F65" i="3"/>
  <c r="S65" i="3"/>
  <c r="R65" i="3" s="1"/>
  <c r="S64" i="3"/>
  <c r="R64" i="3" s="1"/>
  <c r="F64" i="3"/>
  <c r="S63" i="3"/>
  <c r="R63" i="3" s="1"/>
  <c r="F63" i="3"/>
  <c r="Q64" i="3"/>
  <c r="E64" i="3"/>
  <c r="N64" i="3"/>
  <c r="H64" i="3"/>
  <c r="K64" i="3"/>
  <c r="H45" i="3"/>
  <c r="E47" i="3"/>
  <c r="B47" i="3"/>
  <c r="H61" i="3"/>
  <c r="B61" i="3"/>
  <c r="K61" i="3"/>
  <c r="E61" i="3"/>
  <c r="N61" i="3"/>
  <c r="Q61" i="3"/>
  <c r="Q54" i="3"/>
  <c r="Q60" i="3"/>
  <c r="N60" i="3"/>
  <c r="E40" i="3"/>
  <c r="B40" i="3"/>
  <c r="Q47" i="3"/>
  <c r="K52" i="3"/>
  <c r="N52" i="3"/>
  <c r="E52" i="3"/>
  <c r="Q52" i="3"/>
  <c r="H52" i="3"/>
  <c r="B52" i="3"/>
  <c r="Q49" i="3"/>
  <c r="N49" i="3"/>
  <c r="K49" i="3"/>
  <c r="H49" i="3"/>
  <c r="E49" i="3"/>
  <c r="B49" i="3"/>
  <c r="Q39" i="3"/>
  <c r="K39" i="3"/>
  <c r="N39" i="3"/>
  <c r="Q55" i="3"/>
  <c r="N55" i="3"/>
  <c r="Q53" i="3"/>
  <c r="K53" i="3"/>
  <c r="N53" i="3"/>
  <c r="N45" i="3"/>
  <c r="Q45" i="3"/>
  <c r="K45" i="3"/>
  <c r="K38" i="3"/>
  <c r="N38" i="3"/>
  <c r="E38" i="3"/>
  <c r="Q38" i="3"/>
  <c r="H38" i="3"/>
  <c r="B38" i="3"/>
  <c r="Q40" i="3"/>
  <c r="K40" i="3"/>
  <c r="H40" i="3"/>
  <c r="N40" i="3"/>
  <c r="K36" i="3"/>
  <c r="H36" i="3"/>
  <c r="B36" i="3"/>
  <c r="E36" i="3"/>
  <c r="Q43" i="3"/>
  <c r="E43" i="3"/>
  <c r="K43" i="3"/>
  <c r="N43" i="3"/>
  <c r="B42" i="3"/>
  <c r="K42" i="3"/>
  <c r="Q41" i="3"/>
  <c r="Q42" i="3"/>
  <c r="H42" i="3"/>
  <c r="N42" i="3"/>
  <c r="H41" i="3"/>
  <c r="K41" i="3"/>
  <c r="N41" i="3"/>
  <c r="B41" i="3"/>
  <c r="Q33" i="3"/>
  <c r="N33" i="3"/>
  <c r="K33" i="3"/>
  <c r="H33" i="3"/>
  <c r="E33" i="3"/>
  <c r="B33" i="3"/>
  <c r="Q26" i="3"/>
  <c r="N26" i="3"/>
  <c r="Q22" i="3"/>
  <c r="N22" i="3"/>
  <c r="K22" i="3"/>
  <c r="H22" i="3"/>
  <c r="E22" i="3"/>
  <c r="B22" i="3"/>
  <c r="K32" i="3"/>
  <c r="Q32" i="3"/>
  <c r="H28" i="3"/>
  <c r="E28" i="3"/>
  <c r="B28" i="3"/>
  <c r="Q36" i="3"/>
  <c r="N36" i="3"/>
  <c r="N35" i="3"/>
  <c r="B35" i="3"/>
  <c r="Q35" i="3"/>
  <c r="E35" i="3"/>
  <c r="K35" i="3"/>
  <c r="H35" i="3"/>
  <c r="Q34" i="3"/>
  <c r="N34" i="3"/>
  <c r="K34" i="3"/>
  <c r="H34" i="3"/>
  <c r="E34" i="3"/>
  <c r="B34" i="3"/>
  <c r="Q25" i="3"/>
  <c r="N25" i="3"/>
  <c r="B24" i="3"/>
  <c r="N24" i="3"/>
  <c r="Q24" i="3"/>
  <c r="N6" i="3"/>
  <c r="N30" i="3"/>
  <c r="B30" i="3"/>
  <c r="K30" i="3"/>
  <c r="Q30" i="3"/>
  <c r="H30" i="3"/>
  <c r="E30" i="3"/>
  <c r="K13" i="3"/>
  <c r="Q13" i="3"/>
  <c r="Q12" i="3"/>
  <c r="N12" i="3"/>
  <c r="H12" i="3"/>
  <c r="E12" i="3"/>
  <c r="K12" i="3"/>
  <c r="B12" i="3"/>
  <c r="Q11" i="3"/>
  <c r="K11" i="3"/>
  <c r="K10" i="3"/>
  <c r="Q10" i="3"/>
  <c r="Q9" i="3"/>
  <c r="K9" i="3"/>
  <c r="K8" i="3"/>
  <c r="Q8" i="3"/>
  <c r="N7" i="3"/>
  <c r="H7" i="3"/>
  <c r="K7" i="3"/>
  <c r="Q7" i="3"/>
  <c r="B7" i="3"/>
  <c r="E7" i="3"/>
  <c r="N17" i="3"/>
  <c r="H17" i="3"/>
  <c r="Q17" i="3"/>
  <c r="B17" i="3"/>
  <c r="K17" i="3"/>
  <c r="E17" i="3"/>
  <c r="Q16" i="3"/>
  <c r="K16" i="3"/>
  <c r="Q15" i="3"/>
  <c r="K15" i="3"/>
  <c r="Q14" i="3"/>
  <c r="K14" i="3"/>
  <c r="Q20" i="3"/>
  <c r="K20" i="3"/>
  <c r="K19" i="3"/>
  <c r="Q19" i="3"/>
  <c r="K18" i="3"/>
  <c r="Q18" i="3"/>
  <c r="Q6" i="3"/>
  <c r="K6" i="3"/>
  <c r="N28" i="3"/>
  <c r="Q28" i="3"/>
  <c r="K28" i="3"/>
  <c r="Q27" i="3"/>
  <c r="N27" i="3"/>
  <c r="K27" i="3"/>
  <c r="H27" i="3"/>
  <c r="E27" i="3"/>
  <c r="B27" i="3"/>
  <c r="H20" i="3"/>
  <c r="N20" i="3"/>
  <c r="H19" i="3"/>
  <c r="N19" i="3"/>
  <c r="H18" i="3"/>
  <c r="N18" i="3"/>
  <c r="N16" i="3"/>
  <c r="B16" i="3"/>
  <c r="H16" i="3"/>
  <c r="E16" i="3"/>
  <c r="B15" i="3"/>
  <c r="H15" i="3"/>
  <c r="N15" i="3"/>
  <c r="E15" i="3"/>
  <c r="H14" i="3"/>
  <c r="B14" i="3"/>
  <c r="N14" i="3"/>
  <c r="E14" i="3"/>
  <c r="N13" i="3"/>
  <c r="E13" i="3"/>
  <c r="H13" i="3"/>
  <c r="B13" i="3"/>
  <c r="H11" i="3"/>
  <c r="B11" i="3"/>
  <c r="E11" i="3"/>
  <c r="N11" i="3"/>
  <c r="H10" i="3"/>
  <c r="B10" i="3"/>
  <c r="N10" i="3"/>
  <c r="E10" i="3"/>
  <c r="N9" i="3"/>
  <c r="H9" i="3"/>
  <c r="B9" i="3"/>
  <c r="E9" i="3"/>
  <c r="N8" i="3"/>
  <c r="H8" i="3"/>
  <c r="E8" i="3"/>
  <c r="B8" i="3"/>
  <c r="H6" i="3"/>
  <c r="B20" i="3"/>
  <c r="E20" i="3"/>
  <c r="B19" i="3"/>
  <c r="E19" i="3"/>
  <c r="B18" i="3"/>
  <c r="E18" i="3"/>
  <c r="B6" i="3"/>
  <c r="E6" i="3"/>
  <c r="B57" i="2"/>
  <c r="B44" i="2"/>
  <c r="B46" i="2"/>
  <c r="B45" i="2"/>
  <c r="B7" i="2"/>
  <c r="B38" i="2"/>
  <c r="B24" i="2"/>
  <c r="B48" i="2"/>
  <c r="B47" i="2"/>
  <c r="B39" i="2"/>
  <c r="B33" i="2"/>
  <c r="B26" i="2"/>
  <c r="B25" i="2"/>
  <c r="B21" i="2"/>
  <c r="B41" i="2"/>
  <c r="B40" i="2"/>
  <c r="B28" i="2"/>
  <c r="B27" i="2"/>
  <c r="B12" i="2"/>
  <c r="B18" i="2"/>
  <c r="B14" i="2"/>
  <c r="B13" i="2"/>
  <c r="B15" i="2"/>
  <c r="B22" i="2"/>
  <c r="B20" i="2"/>
  <c r="B23" i="2"/>
  <c r="B19" i="2"/>
  <c r="B8" i="2"/>
  <c r="B17" i="2"/>
  <c r="B11" i="2"/>
  <c r="B9" i="2"/>
  <c r="B10" i="2"/>
  <c r="B6" i="2"/>
  <c r="B5" i="2"/>
  <c r="B4" i="2"/>
</calcChain>
</file>

<file path=xl/sharedStrings.xml><?xml version="1.0" encoding="utf-8"?>
<sst xmlns="http://schemas.openxmlformats.org/spreadsheetml/2006/main" count="1943" uniqueCount="315">
  <si>
    <t>name</t>
  </si>
  <si>
    <t>value</t>
  </si>
  <si>
    <t>property</t>
  </si>
  <si>
    <t>category</t>
  </si>
  <si>
    <t>maptype</t>
  </si>
  <si>
    <t>high contrast</t>
  </si>
  <si>
    <t>color</t>
  </si>
  <si>
    <t>mtb:scale</t>
  </si>
  <si>
    <t>prop. detail</t>
  </si>
  <si>
    <t>0-</t>
  </si>
  <si>
    <t>def</t>
  </si>
  <si>
    <t>hc</t>
  </si>
  <si>
    <t>cycleway</t>
  </si>
  <si>
    <t>line</t>
  </si>
  <si>
    <t>water</t>
  </si>
  <si>
    <t>input</t>
  </si>
  <si>
    <t>motorway</t>
  </si>
  <si>
    <t>case</t>
  </si>
  <si>
    <t>#a15412</t>
  </si>
  <si>
    <t>trunk</t>
  </si>
  <si>
    <t>prop.detail2</t>
  </si>
  <si>
    <t>farzoom</t>
  </si>
  <si>
    <t>unpaved</t>
  </si>
  <si>
    <t>gr</t>
  </si>
  <si>
    <t>bicycle_no</t>
  </si>
  <si>
    <t>paved_or_uk</t>
  </si>
  <si>
    <t>primary</t>
  </si>
  <si>
    <t>tertiary</t>
  </si>
  <si>
    <t>secondary</t>
  </si>
  <si>
    <t>raceway</t>
  </si>
  <si>
    <t>driveway</t>
  </si>
  <si>
    <t>service</t>
  </si>
  <si>
    <t>minor</t>
  </si>
  <si>
    <t>trunk_primary_secondary_tertiary_link</t>
  </si>
  <si>
    <t>motorway_link</t>
  </si>
  <si>
    <t>footway</t>
  </si>
  <si>
    <t>obstacle</t>
  </si>
  <si>
    <t>vegetation</t>
  </si>
  <si>
    <t>surface</t>
  </si>
  <si>
    <t>mud</t>
  </si>
  <si>
    <t>mtb:scales</t>
  </si>
  <si>
    <t>cycleways and footways</t>
  </si>
  <si>
    <t>marker lines</t>
  </si>
  <si>
    <t>access</t>
  </si>
  <si>
    <t>no</t>
  </si>
  <si>
    <t>discouraged</t>
  </si>
  <si>
    <t>roads: motorway</t>
  </si>
  <si>
    <t>roads: major</t>
  </si>
  <si>
    <t>roads: trunk</t>
  </si>
  <si>
    <t>field</t>
  </si>
  <si>
    <t>meadow</t>
  </si>
  <si>
    <t>bare_rock</t>
  </si>
  <si>
    <t>sand</t>
  </si>
  <si>
    <t>allotments</t>
  </si>
  <si>
    <t>landcover</t>
  </si>
  <si>
    <t>heath_fell</t>
  </si>
  <si>
    <t>grass</t>
  </si>
  <si>
    <t>quarry</t>
  </si>
  <si>
    <t>storage</t>
  </si>
  <si>
    <t>wood</t>
  </si>
  <si>
    <t>parking_area</t>
  </si>
  <si>
    <t>railway</t>
  </si>
  <si>
    <t>school</t>
  </si>
  <si>
    <t>hospital</t>
  </si>
  <si>
    <t>cemetery</t>
  </si>
  <si>
    <t>industrial</t>
  </si>
  <si>
    <t>commercial</t>
  </si>
  <si>
    <t>residential</t>
  </si>
  <si>
    <t>built-up</t>
  </si>
  <si>
    <t>background</t>
  </si>
  <si>
    <t>contours</t>
  </si>
  <si>
    <t>paths</t>
  </si>
  <si>
    <t>zoom</t>
  </si>
  <si>
    <t>z11</t>
  </si>
  <si>
    <t>path</t>
  </si>
  <si>
    <t>narrow</t>
  </si>
  <si>
    <t>prop. detail2</t>
  </si>
  <si>
    <t>z14</t>
  </si>
  <si>
    <t>z16</t>
  </si>
  <si>
    <t>z18</t>
  </si>
  <si>
    <t>wide</t>
  </si>
  <si>
    <t>case_width</t>
  </si>
  <si>
    <t>medium</t>
  </si>
  <si>
    <t>1.0</t>
  </si>
  <si>
    <t>1.3</t>
  </si>
  <si>
    <t>3.5</t>
  </si>
  <si>
    <t>5.0</t>
  </si>
  <si>
    <t>1.5</t>
  </si>
  <si>
    <t>2.0</t>
  </si>
  <si>
    <t>6.0</t>
  </si>
  <si>
    <t>9.0</t>
  </si>
  <si>
    <t>3.0</t>
  </si>
  <si>
    <t>15.0</t>
  </si>
  <si>
    <t>2.5</t>
  </si>
  <si>
    <t>7.5</t>
  </si>
  <si>
    <t>4.0</t>
  </si>
  <si>
    <t>13.5</t>
  </si>
  <si>
    <t>22.5</t>
  </si>
  <si>
    <t>0.5</t>
  </si>
  <si>
    <t>0.8</t>
  </si>
  <si>
    <t>1.2</t>
  </si>
  <si>
    <t>1.6</t>
  </si>
  <si>
    <t>2.4</t>
  </si>
  <si>
    <t>3.6</t>
  </si>
  <si>
    <t>tracks</t>
  </si>
  <si>
    <t>track</t>
  </si>
  <si>
    <t>z10</t>
  </si>
  <si>
    <t>mtb</t>
  </si>
  <si>
    <t>mtb-hc</t>
  </si>
  <si>
    <t>gr-hc</t>
  </si>
  <si>
    <t>wnt</t>
  </si>
  <si>
    <t>wnt-hc</t>
  </si>
  <si>
    <t>z12</t>
  </si>
  <si>
    <t>1.1</t>
  </si>
  <si>
    <t>1.7</t>
  </si>
  <si>
    <t>2.2</t>
  </si>
  <si>
    <t>4.8</t>
  </si>
  <si>
    <t>3.4</t>
  </si>
  <si>
    <t>0.7</t>
  </si>
  <si>
    <t>0.9</t>
  </si>
  <si>
    <t>path cases</t>
  </si>
  <si>
    <t>path lines</t>
  </si>
  <si>
    <t>line_width</t>
  </si>
  <si>
    <t>0.4</t>
  </si>
  <si>
    <t>2.3</t>
  </si>
  <si>
    <t>0.6</t>
  </si>
  <si>
    <t>1.8</t>
  </si>
  <si>
    <t>0.3</t>
  </si>
  <si>
    <t>3.1</t>
  </si>
  <si>
    <t>2.7</t>
  </si>
  <si>
    <t>5.2</t>
  </si>
  <si>
    <t>4.5</t>
  </si>
  <si>
    <t>8.2</t>
  </si>
  <si>
    <t>track cases</t>
  </si>
  <si>
    <t>3.2</t>
  </si>
  <si>
    <t>4.4</t>
  </si>
  <si>
    <t>track lines</t>
  </si>
  <si>
    <t>7.0</t>
  </si>
  <si>
    <t>10.5</t>
  </si>
  <si>
    <t>motorway cases</t>
  </si>
  <si>
    <t>z5</t>
  </si>
  <si>
    <t>z6</t>
  </si>
  <si>
    <t>z20</t>
  </si>
  <si>
    <t>CELLS WITH MANUAL INPUT BOLDED, ALL ELSE USE FORMULAS</t>
  </si>
  <si>
    <t>22.0</t>
  </si>
  <si>
    <t>36.0</t>
  </si>
  <si>
    <t>motorway lines</t>
  </si>
  <si>
    <t>z7</t>
  </si>
  <si>
    <t>18.0</t>
  </si>
  <si>
    <t>24.0</t>
  </si>
  <si>
    <t>trunk cases</t>
  </si>
  <si>
    <t>trunk lines</t>
  </si>
  <si>
    <t>4.6</t>
  </si>
  <si>
    <t>regular</t>
  </si>
  <si>
    <t>mtb_light</t>
  </si>
  <si>
    <t>mtb_dark</t>
  </si>
  <si>
    <t>mtb_hc_light</t>
  </si>
  <si>
    <t>mtb_hc_dark</t>
  </si>
  <si>
    <t>gravel</t>
  </si>
  <si>
    <t>gravel_light</t>
  </si>
  <si>
    <t>gravel_dark</t>
  </si>
  <si>
    <t>gravel_hc_light</t>
  </si>
  <si>
    <t>gravel_hc_dark</t>
  </si>
  <si>
    <t>road</t>
  </si>
  <si>
    <t>road_light</t>
  </si>
  <si>
    <t>road_dark</t>
  </si>
  <si>
    <t>road_hc_light</t>
  </si>
  <si>
    <t>road_hc_dark</t>
  </si>
  <si>
    <t>winter</t>
  </si>
  <si>
    <t>winter_light</t>
  </si>
  <si>
    <t>winter_dark</t>
  </si>
  <si>
    <t>winter_hc_light</t>
  </si>
  <si>
    <t>winter_hc_dark</t>
  </si>
  <si>
    <t>"#0ac5a0"</t>
  </si>
  <si>
    <t>"#75e009"</t>
  </si>
  <si>
    <t>"#d7dc00"</t>
  </si>
  <si>
    <t>"#feb13e"</t>
  </si>
  <si>
    <t>"#ff4f5e"</t>
  </si>
  <si>
    <t>"#e50bdd"</t>
  </si>
  <si>
    <t>"#9600c8"</t>
  </si>
  <si>
    <t>"#8100ac"</t>
  </si>
  <si>
    <t>"#00c7b0"</t>
  </si>
  <si>
    <t>"#66cc00"</t>
  </si>
  <si>
    <t>"#c5c900"</t>
  </si>
  <si>
    <t>"#f09000"</t>
  </si>
  <si>
    <t>"#d600ce"</t>
  </si>
  <si>
    <t>"#7a3391"</t>
  </si>
  <si>
    <t>"#593266"</t>
  </si>
  <si>
    <t>"#3046d7"</t>
  </si>
  <si>
    <t>"#a43820"</t>
  </si>
  <si>
    <t>"#4a9100"</t>
  </si>
  <si>
    <t>"#0e84ed"</t>
  </si>
  <si>
    <t>"#ff003d"</t>
  </si>
  <si>
    <t>"#ff6a00"</t>
  </si>
  <si>
    <t>"#916f4c"</t>
  </si>
  <si>
    <t>"#f7f4f0"</t>
  </si>
  <si>
    <t>"#bfd9f2"</t>
  </si>
  <si>
    <t>"#8aa0b5"</t>
  </si>
  <si>
    <t>"#f7eeb7"</t>
  </si>
  <si>
    <t>"#f5e9a4"</t>
  </si>
  <si>
    <t>"#edf2bb"</t>
  </si>
  <si>
    <t>"#e6eda1"</t>
  </si>
  <si>
    <t>"#d6d6d6"</t>
  </si>
  <si>
    <t>"#f5eebc"</t>
  </si>
  <si>
    <t>"#dee7c5"</t>
  </si>
  <si>
    <t>"#f2f5e9"</t>
  </si>
  <si>
    <t>"#e5f4d5"</t>
  </si>
  <si>
    <t>"#d7d3ce"</t>
  </si>
  <si>
    <t>"#ebe2dd"</t>
  </si>
  <si>
    <t>"#e9eddf"</t>
  </si>
  <si>
    <t>"#e6e6e6"</t>
  </si>
  <si>
    <t>"#eae6e1"</t>
  </si>
  <si>
    <t>"#e0e4dd"</t>
  </si>
  <si>
    <t>"#ebe0d6"</t>
  </si>
  <si>
    <t>"#bf440f"</t>
  </si>
  <si>
    <t>"#a15412"</t>
  </si>
  <si>
    <t>"#ffcc88"</t>
  </si>
  <si>
    <t>"#000000"</t>
  </si>
  <si>
    <t>"#d6771e"</t>
  </si>
  <si>
    <r>
      <t xml:space="preserve">Direct input values </t>
    </r>
    <r>
      <rPr>
        <b/>
        <sz val="10"/>
        <color theme="1"/>
        <rFont val="Aptos"/>
        <family val="2"/>
      </rPr>
      <t>bolded</t>
    </r>
    <r>
      <rPr>
        <sz val="10"/>
        <color theme="1"/>
        <rFont val="Aptos"/>
        <family val="2"/>
      </rPr>
      <t>. Non-bolded values obtained via formula from another cell.</t>
    </r>
  </si>
  <si>
    <t>"#634507"</t>
  </si>
  <si>
    <t>"#404040"</t>
  </si>
  <si>
    <t>"#ffeeaa"</t>
  </si>
  <si>
    <t>"#ffc72e"</t>
  </si>
  <si>
    <t>light</t>
  </si>
  <si>
    <t>dark</t>
  </si>
  <si>
    <t>"#eddfca"</t>
  </si>
  <si>
    <t>"#ffffff"</t>
  </si>
  <si>
    <t>roads: minor</t>
  </si>
  <si>
    <t>roads: link</t>
  </si>
  <si>
    <t>mtb:winter</t>
  </si>
  <si>
    <t>"#bd430f"</t>
  </si>
  <si>
    <t>"#b99346"</t>
  </si>
  <si>
    <t>"#808080"</t>
  </si>
  <si>
    <t>paved_or_uk_farzoom</t>
  </si>
  <si>
    <t>unpaved_farzoom</t>
  </si>
  <si>
    <t>"#644507"</t>
  </si>
  <si>
    <t>"#595959"</t>
  </si>
  <si>
    <t>"#ffcc8a"</t>
  </si>
  <si>
    <t>"#af9564"</t>
  </si>
  <si>
    <t>"#a8a6a4"</t>
  </si>
  <si>
    <t>"#4a4a4a"</t>
  </si>
  <si>
    <t>"#4f5c68"</t>
  </si>
  <si>
    <t>"#0E1009"</t>
  </si>
  <si>
    <t>"#373B13"</t>
  </si>
  <si>
    <t>"#1F1C08"</t>
  </si>
  <si>
    <t>ice_shelf</t>
  </si>
  <si>
    <t>sport_play</t>
  </si>
  <si>
    <t>"#cadfb3"</t>
  </si>
  <si>
    <t>"#181818"</t>
  </si>
  <si>
    <t>"#242217"</t>
  </si>
  <si>
    <t>"#2B3215"</t>
  </si>
  <si>
    <t>"#33332E"</t>
  </si>
  <si>
    <t>"#383633"</t>
  </si>
  <si>
    <t>"#474747"</t>
  </si>
  <si>
    <t>"#3B3936"</t>
  </si>
  <si>
    <t>"#3D403B"</t>
  </si>
  <si>
    <t>"#171717"</t>
  </si>
  <si>
    <t>"#363D2E"</t>
  </si>
  <si>
    <t>landcovers</t>
  </si>
  <si>
    <t>building</t>
  </si>
  <si>
    <t>"#303030"</t>
  </si>
  <si>
    <t>generic</t>
  </si>
  <si>
    <t>"#bcbab8"</t>
  </si>
  <si>
    <t>"#a8a6a3"</t>
  </si>
  <si>
    <t>top</t>
  </si>
  <si>
    <t>area</t>
  </si>
  <si>
    <t>"#24211f"</t>
  </si>
  <si>
    <t>"#e0d0c2"</t>
  </si>
  <si>
    <t>default</t>
  </si>
  <si>
    <t>unpaved_default</t>
  </si>
  <si>
    <t>paved_or_uk_default</t>
  </si>
  <si>
    <t>glacier</t>
  </si>
  <si>
    <t>sprite</t>
  </si>
  <si>
    <t>@sprite</t>
  </si>
  <si>
    <t>linked elements</t>
  </si>
  <si>
    <t>sprite_dark</t>
  </si>
  <si>
    <t>constructs and natural features</t>
  </si>
  <si>
    <t>"#5f472f"</t>
  </si>
  <si>
    <t>cliff</t>
  </si>
  <si>
    <t>label</t>
  </si>
  <si>
    <t>parking</t>
  </si>
  <si>
    <t>yes</t>
  </si>
  <si>
    <t>"#ff003c"</t>
  </si>
  <si>
    <t>"#1d201b"</t>
  </si>
  <si>
    <t>place</t>
  </si>
  <si>
    <t>other</t>
  </si>
  <si>
    <t>"#262626"</t>
  </si>
  <si>
    <t>"#d9d9d9"</t>
  </si>
  <si>
    <t>label_halo</t>
  </si>
  <si>
    <t>"#cccccc"</t>
  </si>
  <si>
    <t>"#333333"</t>
  </si>
  <si>
    <t>suburb_hamlet</t>
  </si>
  <si>
    <t>village</t>
  </si>
  <si>
    <t>town</t>
  </si>
  <si>
    <t>city</t>
  </si>
  <si>
    <t>capital</t>
  </si>
  <si>
    <t>text</t>
  </si>
  <si>
    <t>highway</t>
  </si>
  <si>
    <t>"#3c322a"</t>
  </si>
  <si>
    <t>"#d5cbc3"</t>
  </si>
  <si>
    <t>trunk_primary_secondary_tertiary</t>
  </si>
  <si>
    <t>peak</t>
  </si>
  <si>
    <t>"#212121"</t>
  </si>
  <si>
    <t>"#dedede"</t>
  </si>
  <si>
    <t>1</t>
  </si>
  <si>
    <t>2</t>
  </si>
  <si>
    <t>widest</t>
  </si>
  <si>
    <t>4</t>
  </si>
  <si>
    <t>6</t>
  </si>
  <si>
    <t>3</t>
  </si>
  <si>
    <t>9</t>
  </si>
  <si>
    <t>5</t>
  </si>
  <si>
    <t>15</t>
  </si>
  <si>
    <t>null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</si>
</sst>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0"/>
      <color theme="1"/>
      <name val="Aptos"/>
      <family val="2"/>
    </font>
    <font>
      <b/>
      <sz val="10"/>
      <color theme="1"/>
      <name val="Aptos"/>
      <family val="2"/>
    </font>
    <font>
      <b/>
      <sz val="10"/>
      <color theme="0" tint="-0.249977111117893"/>
      <name val="Aptos"/>
      <family val="2"/>
    </font>
    <font>
      <sz val="10"/>
      <color theme="0" tint="-0.249977111117893"/>
      <name val="Aptos"/>
      <family val="2"/>
    </font>
    <font>
      <sz val="10"/>
      <name val="Aptos"/>
      <family val="2"/>
    </font>
  </fonts>
  <fills count="95">
    <fill>
      <patternFill patternType="none"/>
    </fill>
    <fill>
      <patternFill patternType="gray125"/>
    </fill>
    <fill>
      <patternFill patternType="solid">
        <fgColor rgb="FF0AC5A0"/>
        <bgColor indexed="64"/>
      </patternFill>
    </fill>
    <fill>
      <patternFill patternType="solid">
        <fgColor rgb="FF75E009"/>
        <bgColor indexed="64"/>
      </patternFill>
    </fill>
    <fill>
      <patternFill patternType="solid">
        <fgColor rgb="FFD7DC00"/>
        <bgColor indexed="64"/>
      </patternFill>
    </fill>
    <fill>
      <patternFill patternType="solid">
        <fgColor rgb="FFFEB13E"/>
        <bgColor indexed="64"/>
      </patternFill>
    </fill>
    <fill>
      <patternFill patternType="solid">
        <fgColor rgb="FFFF4F5E"/>
        <bgColor indexed="64"/>
      </patternFill>
    </fill>
    <fill>
      <patternFill patternType="solid">
        <fgColor rgb="FFE50BDD"/>
        <bgColor indexed="64"/>
      </patternFill>
    </fill>
    <fill>
      <patternFill patternType="solid">
        <fgColor rgb="FF9600C8"/>
        <bgColor indexed="64"/>
      </patternFill>
    </fill>
    <fill>
      <patternFill patternType="solid">
        <fgColor rgb="FF8100AC"/>
        <bgColor indexed="64"/>
      </patternFill>
    </fill>
    <fill>
      <patternFill patternType="solid">
        <fgColor rgb="FF00C7B0"/>
        <bgColor indexed="64"/>
      </patternFill>
    </fill>
    <fill>
      <patternFill patternType="solid">
        <fgColor rgb="FF66CC00"/>
        <bgColor indexed="64"/>
      </patternFill>
    </fill>
    <fill>
      <patternFill patternType="solid">
        <fgColor rgb="FFC5C900"/>
        <bgColor indexed="64"/>
      </patternFill>
    </fill>
    <fill>
      <patternFill patternType="solid">
        <fgColor rgb="FFF09000"/>
        <bgColor indexed="64"/>
      </patternFill>
    </fill>
    <fill>
      <patternFill patternType="solid">
        <fgColor rgb="FFD600CE"/>
        <bgColor indexed="64"/>
      </patternFill>
    </fill>
    <fill>
      <patternFill patternType="solid">
        <fgColor rgb="FF7A3391"/>
        <bgColor indexed="64"/>
      </patternFill>
    </fill>
    <fill>
      <patternFill patternType="solid">
        <fgColor rgb="FF593266"/>
        <bgColor indexed="64"/>
      </patternFill>
    </fill>
    <fill>
      <patternFill patternType="solid">
        <fgColor rgb="FF3046D7"/>
        <bgColor indexed="64"/>
      </patternFill>
    </fill>
    <fill>
      <patternFill patternType="solid">
        <fgColor rgb="FFBFD9F2"/>
        <bgColor indexed="64"/>
      </patternFill>
    </fill>
    <fill>
      <patternFill patternType="solid">
        <fgColor rgb="FF8AA0B5"/>
        <bgColor indexed="64"/>
      </patternFill>
    </fill>
    <fill>
      <patternFill patternType="solid">
        <fgColor rgb="FFFFCC88"/>
        <bgColor indexed="64"/>
      </patternFill>
    </fill>
    <fill>
      <patternFill patternType="solid">
        <fgColor rgb="FFD6771E"/>
        <bgColor indexed="64"/>
      </patternFill>
    </fill>
    <fill>
      <patternFill patternType="solid">
        <fgColor rgb="FFBF440F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A15412"/>
        <bgColor indexed="64"/>
      </patternFill>
    </fill>
    <fill>
      <patternFill patternType="solid">
        <fgColor rgb="FF634507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FFEEAA"/>
        <bgColor indexed="64"/>
      </patternFill>
    </fill>
    <fill>
      <patternFill patternType="solid">
        <fgColor rgb="FFFFC72E"/>
        <bgColor indexed="64"/>
      </patternFill>
    </fill>
    <fill>
      <patternFill patternType="solid">
        <fgColor rgb="FFEDDFCA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A43820"/>
        <bgColor indexed="64"/>
      </patternFill>
    </fill>
    <fill>
      <patternFill patternType="solid">
        <fgColor rgb="FF4A9100"/>
        <bgColor indexed="64"/>
      </patternFill>
    </fill>
    <fill>
      <patternFill patternType="solid">
        <fgColor rgb="FF0E84ED"/>
        <bgColor indexed="64"/>
      </patternFill>
    </fill>
    <fill>
      <patternFill patternType="solid">
        <fgColor rgb="FFFF003D"/>
        <bgColor indexed="64"/>
      </patternFill>
    </fill>
    <fill>
      <patternFill patternType="solid">
        <fgColor rgb="FFFF6A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7EEB7"/>
        <bgColor indexed="64"/>
      </patternFill>
    </fill>
    <fill>
      <patternFill patternType="solid">
        <fgColor rgb="FFEDF2BB"/>
        <bgColor indexed="64"/>
      </patternFill>
    </fill>
    <fill>
      <patternFill patternType="solid">
        <fgColor rgb="FFF5E9A4"/>
        <bgColor indexed="64"/>
      </patternFill>
    </fill>
    <fill>
      <patternFill patternType="solid">
        <fgColor rgb="FFE6EDA1"/>
        <bgColor indexed="64"/>
      </patternFill>
    </fill>
    <fill>
      <patternFill patternType="solid">
        <fgColor rgb="FFD6D6D6"/>
        <bgColor indexed="64"/>
      </patternFill>
    </fill>
    <fill>
      <patternFill patternType="solid">
        <fgColor rgb="FFF5EEBC"/>
        <bgColor indexed="64"/>
      </patternFill>
    </fill>
    <fill>
      <patternFill patternType="solid">
        <fgColor rgb="FFDEE7C5"/>
        <bgColor indexed="64"/>
      </patternFill>
    </fill>
    <fill>
      <patternFill patternType="solid">
        <fgColor rgb="FFF2F5E9"/>
        <bgColor indexed="64"/>
      </patternFill>
    </fill>
    <fill>
      <patternFill patternType="solid">
        <fgColor rgb="FFE5F4D5"/>
        <bgColor indexed="64"/>
      </patternFill>
    </fill>
    <fill>
      <patternFill patternType="solid">
        <fgColor rgb="FFEBE2DD"/>
        <bgColor indexed="64"/>
      </patternFill>
    </fill>
    <fill>
      <patternFill patternType="solid">
        <fgColor rgb="FFD7D3CE"/>
        <bgColor indexed="64"/>
      </patternFill>
    </fill>
    <fill>
      <patternFill patternType="solid">
        <fgColor rgb="FFE9EDDF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EAE6E1"/>
        <bgColor indexed="64"/>
      </patternFill>
    </fill>
    <fill>
      <patternFill patternType="solid">
        <fgColor rgb="FFEBE0D6"/>
        <bgColor indexed="64"/>
      </patternFill>
    </fill>
    <fill>
      <patternFill patternType="solid">
        <fgColor rgb="FFE0E4DD"/>
        <bgColor indexed="64"/>
      </patternFill>
    </fill>
    <fill>
      <patternFill patternType="solid">
        <fgColor rgb="FFF7F4F0"/>
        <bgColor indexed="64"/>
      </patternFill>
    </fill>
    <fill>
      <patternFill patternType="solid">
        <fgColor rgb="FF916F4C"/>
        <bgColor indexed="64"/>
      </patternFill>
    </fill>
    <fill>
      <patternFill patternType="solid">
        <fgColor rgb="FFBD430F"/>
        <bgColor indexed="64"/>
      </patternFill>
    </fill>
    <fill>
      <patternFill patternType="solid">
        <fgColor rgb="FFB99346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644507"/>
        <bgColor indexed="64"/>
      </patternFill>
    </fill>
    <fill>
      <patternFill patternType="solid">
        <fgColor rgb="FF595959"/>
        <bgColor indexed="64"/>
      </patternFill>
    </fill>
    <fill>
      <patternFill patternType="solid">
        <fgColor rgb="FFFFCC8A"/>
        <bgColor indexed="64"/>
      </patternFill>
    </fill>
    <fill>
      <patternFill patternType="solid">
        <fgColor rgb="FFAF9564"/>
        <bgColor indexed="64"/>
      </patternFill>
    </fill>
    <fill>
      <patternFill patternType="solid">
        <fgColor rgb="FFA8A6A4"/>
        <bgColor indexed="64"/>
      </patternFill>
    </fill>
    <fill>
      <patternFill patternType="solid">
        <fgColor rgb="FF4A4A4A"/>
        <bgColor indexed="64"/>
      </patternFill>
    </fill>
    <fill>
      <patternFill patternType="solid">
        <fgColor rgb="FF4F5C68"/>
        <bgColor indexed="64"/>
      </patternFill>
    </fill>
    <fill>
      <patternFill patternType="solid">
        <fgColor rgb="FF0E1009"/>
        <bgColor indexed="64"/>
      </patternFill>
    </fill>
    <fill>
      <patternFill patternType="solid">
        <fgColor rgb="FF373B13"/>
        <bgColor indexed="64"/>
      </patternFill>
    </fill>
    <fill>
      <patternFill patternType="solid">
        <fgColor rgb="FF1F1C08"/>
        <bgColor indexed="64"/>
      </patternFill>
    </fill>
    <fill>
      <patternFill patternType="solid">
        <fgColor rgb="FFCADFB3"/>
        <bgColor indexed="64"/>
      </patternFill>
    </fill>
    <fill>
      <patternFill patternType="solid">
        <fgColor rgb="FF181818"/>
        <bgColor indexed="64"/>
      </patternFill>
    </fill>
    <fill>
      <patternFill patternType="solid">
        <fgColor rgb="FF242217"/>
        <bgColor indexed="64"/>
      </patternFill>
    </fill>
    <fill>
      <patternFill patternType="solid">
        <fgColor rgb="FF2B3215"/>
        <bgColor indexed="64"/>
      </patternFill>
    </fill>
    <fill>
      <patternFill patternType="solid">
        <fgColor rgb="FF33332E"/>
        <bgColor indexed="64"/>
      </patternFill>
    </fill>
    <fill>
      <patternFill patternType="solid">
        <fgColor rgb="FF383633"/>
        <bgColor indexed="64"/>
      </patternFill>
    </fill>
    <fill>
      <patternFill patternType="solid">
        <fgColor rgb="FF474747"/>
        <bgColor indexed="64"/>
      </patternFill>
    </fill>
    <fill>
      <patternFill patternType="solid">
        <fgColor rgb="FF3B3936"/>
        <bgColor indexed="64"/>
      </patternFill>
    </fill>
    <fill>
      <patternFill patternType="solid">
        <fgColor rgb="FF3D403B"/>
        <bgColor indexed="64"/>
      </patternFill>
    </fill>
    <fill>
      <patternFill patternType="solid">
        <fgColor rgb="FF171717"/>
        <bgColor indexed="64"/>
      </patternFill>
    </fill>
    <fill>
      <patternFill patternType="solid">
        <fgColor rgb="FF363D2E"/>
        <bgColor indexed="64"/>
      </patternFill>
    </fill>
    <fill>
      <patternFill patternType="solid">
        <fgColor rgb="FF303030"/>
        <bgColor indexed="64"/>
      </patternFill>
    </fill>
    <fill>
      <patternFill patternType="solid">
        <fgColor rgb="FFBCBAB8"/>
        <bgColor indexed="64"/>
      </patternFill>
    </fill>
    <fill>
      <patternFill patternType="solid">
        <fgColor rgb="FFA8A6A3"/>
        <bgColor indexed="64"/>
      </patternFill>
    </fill>
    <fill>
      <patternFill patternType="solid">
        <fgColor rgb="FF24211F"/>
        <bgColor indexed="64"/>
      </patternFill>
    </fill>
    <fill>
      <patternFill patternType="solid">
        <fgColor rgb="FFE0D0C2"/>
        <bgColor indexed="64"/>
      </patternFill>
    </fill>
    <fill>
      <patternFill patternType="solid">
        <fgColor rgb="FF5F472F"/>
        <bgColor indexed="64"/>
      </patternFill>
    </fill>
    <fill>
      <patternFill patternType="solid">
        <fgColor rgb="FFFF003C"/>
        <bgColor indexed="64"/>
      </patternFill>
    </fill>
    <fill>
      <patternFill patternType="solid">
        <fgColor rgb="FF1D201B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CCC"/>
        <bgColor indexed="64"/>
      </patternFill>
    </fill>
    <fill>
      <patternFill patternType="solid">
        <fgColor rgb="FF333333"/>
        <bgColor indexed="64"/>
      </patternFill>
    </fill>
    <fill>
      <patternFill patternType="solid">
        <fgColor rgb="FF3C322A"/>
        <bgColor indexed="64"/>
      </patternFill>
    </fill>
    <fill>
      <patternFill patternType="solid">
        <fgColor rgb="FFD5CBC3"/>
        <bgColor indexed="64"/>
      </patternFill>
    </fill>
    <fill>
      <patternFill patternType="solid">
        <fgColor rgb="FF212121"/>
        <bgColor indexed="64"/>
      </patternFill>
    </fill>
    <fill>
      <patternFill patternType="solid">
        <fgColor rgb="FFDEDEDE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 diagonalUp="1" diagonalDown="1">
      <left/>
      <right/>
      <top/>
      <bottom/>
      <diagonal style="thin">
        <color theme="0" tint="-0.24994659260841701"/>
      </diagonal>
    </border>
  </borders>
  <cellStyleXfs count="1">
    <xf numFmtId="0" fontId="0" fillId="0" borderId="0"/>
  </cellStyleXfs>
  <cellXfs count="164">
    <xf numFmtId="0" fontId="0" fillId="0" borderId="0" xfId="0"/>
    <xf numFmtId="0" fontId="1" fillId="0" borderId="0" xfId="0" applyFont="1" applyAlignment="1">
      <alignment horizontal="left"/>
    </xf>
    <xf numFmtId="0" fontId="0" fillId="0" borderId="0" xfId="0" applyAlignment="1">
      <alignment horizontal="left"/>
    </xf>
    <xf numFmtId="0" fontId="1" fillId="36" borderId="0" xfId="0" applyFont="1" applyFill="1" applyAlignment="1">
      <alignment horizontal="left"/>
    </xf>
    <xf numFmtId="0" fontId="0" fillId="36" borderId="0" xfId="0" applyFill="1" applyAlignment="1">
      <alignment horizontal="left"/>
    </xf>
    <xf numFmtId="49" fontId="1" fillId="0" borderId="0" xfId="0" applyNumberFormat="1" applyFont="1" applyAlignment="1">
      <alignment horizontal="left"/>
    </xf>
    <xf numFmtId="49" fontId="0" fillId="36" borderId="0" xfId="0" applyNumberFormat="1" applyFill="1" applyAlignment="1">
      <alignment horizontal="left"/>
    </xf>
    <xf numFmtId="49" fontId="0" fillId="0" borderId="0" xfId="0" applyNumberFormat="1" applyAlignment="1">
      <alignment horizontal="left"/>
    </xf>
    <xf numFmtId="49" fontId="1" fillId="0" borderId="1" xfId="0" applyNumberFormat="1" applyFont="1" applyBorder="1" applyAlignment="1">
      <alignment horizontal="left"/>
    </xf>
    <xf numFmtId="0" fontId="1" fillId="0" borderId="2" xfId="0" applyFont="1" applyBorder="1" applyAlignment="1">
      <alignment horizontal="left"/>
    </xf>
    <xf numFmtId="49" fontId="1" fillId="0" borderId="3" xfId="0" applyNumberFormat="1" applyFont="1" applyBorder="1" applyAlignment="1">
      <alignment horizontal="left"/>
    </xf>
    <xf numFmtId="0" fontId="1" fillId="36" borderId="2" xfId="0" applyFont="1" applyFill="1" applyBorder="1" applyAlignment="1">
      <alignment horizontal="left"/>
    </xf>
    <xf numFmtId="49" fontId="0" fillId="36" borderId="3" xfId="0" applyNumberFormat="1" applyFill="1" applyBorder="1" applyAlignment="1">
      <alignment horizontal="left"/>
    </xf>
    <xf numFmtId="49" fontId="0" fillId="36" borderId="1" xfId="0" applyNumberFormat="1" applyFill="1" applyBorder="1" applyAlignment="1">
      <alignment horizontal="left"/>
    </xf>
    <xf numFmtId="0" fontId="0" fillId="0" borderId="2" xfId="0" applyBorder="1" applyAlignment="1">
      <alignment horizontal="left"/>
    </xf>
    <xf numFmtId="0" fontId="0" fillId="0" borderId="1" xfId="0" applyBorder="1" applyAlignment="1">
      <alignment horizontal="left"/>
    </xf>
    <xf numFmtId="49" fontId="0" fillId="0" borderId="3" xfId="0" applyNumberFormat="1" applyBorder="1" applyAlignment="1">
      <alignment horizontal="left"/>
    </xf>
    <xf numFmtId="49" fontId="2" fillId="0" borderId="0" xfId="0" applyNumberFormat="1" applyFont="1" applyAlignment="1">
      <alignment horizontal="left"/>
    </xf>
    <xf numFmtId="0" fontId="3" fillId="0" borderId="2" xfId="0" applyFont="1" applyBorder="1" applyAlignment="1">
      <alignment horizontal="left"/>
    </xf>
    <xf numFmtId="49" fontId="3" fillId="0" borderId="0" xfId="0" applyNumberFormat="1" applyFont="1" applyAlignment="1">
      <alignment horizontal="left"/>
    </xf>
    <xf numFmtId="0" fontId="3" fillId="0" borderId="1" xfId="0" applyFont="1" applyBorder="1" applyAlignment="1">
      <alignment horizontal="left"/>
    </xf>
    <xf numFmtId="49" fontId="2" fillId="0" borderId="3" xfId="0" applyNumberFormat="1" applyFont="1" applyBorder="1" applyAlignment="1">
      <alignment horizontal="left"/>
    </xf>
    <xf numFmtId="0" fontId="4" fillId="0" borderId="2" xfId="0" applyFont="1" applyBorder="1" applyAlignment="1">
      <alignment horizontal="left"/>
    </xf>
    <xf numFmtId="49" fontId="4" fillId="0" borderId="0" xfId="0" applyNumberFormat="1" applyFont="1" applyAlignment="1">
      <alignment horizontal="left"/>
    </xf>
    <xf numFmtId="0" fontId="4" fillId="0" borderId="1" xfId="0" applyFont="1" applyBorder="1" applyAlignment="1">
      <alignment horizontal="left"/>
    </xf>
    <xf numFmtId="49" fontId="3" fillId="0" borderId="3" xfId="0" applyNumberFormat="1" applyFont="1" applyBorder="1" applyAlignment="1">
      <alignment horizontal="left"/>
    </xf>
    <xf numFmtId="49" fontId="1" fillId="0" borderId="0" xfId="0" applyNumberFormat="1" applyFont="1"/>
    <xf numFmtId="49" fontId="1" fillId="36" borderId="0" xfId="0" applyNumberFormat="1" applyFont="1" applyFill="1" applyAlignment="1">
      <alignment horizontal="left"/>
    </xf>
    <xf numFmtId="49" fontId="0" fillId="0" borderId="0" xfId="0" applyNumberFormat="1"/>
    <xf numFmtId="49" fontId="0" fillId="87" borderId="0" xfId="0" applyNumberFormat="1" applyFill="1"/>
    <xf numFmtId="49" fontId="0" fillId="88" borderId="0" xfId="0" applyNumberFormat="1" applyFill="1"/>
    <xf numFmtId="49" fontId="0" fillId="89" borderId="0" xfId="0" applyNumberFormat="1" applyFill="1"/>
    <xf numFmtId="49" fontId="0" fillId="90" borderId="0" xfId="0" applyNumberFormat="1" applyFill="1"/>
    <xf numFmtId="49" fontId="0" fillId="91" borderId="0" xfId="0" applyNumberFormat="1" applyFill="1"/>
    <xf numFmtId="49" fontId="0" fillId="92" borderId="0" xfId="0" applyNumberFormat="1" applyFill="1"/>
    <xf numFmtId="49" fontId="0" fillId="93" borderId="0" xfId="0" applyNumberFormat="1" applyFill="1"/>
    <xf numFmtId="49" fontId="0" fillId="94" borderId="0" xfId="0" applyNumberFormat="1" applyFill="1"/>
    <xf numFmtId="49" fontId="0" fillId="23" borderId="0" xfId="0" applyNumberFormat="1" applyFill="1"/>
    <xf numFmtId="49" fontId="0" fillId="30" borderId="0" xfId="0" applyNumberFormat="1" applyFill="1"/>
    <xf numFmtId="49" fontId="0" fillId="85" borderId="0" xfId="0" applyNumberFormat="1" applyFill="1"/>
    <xf numFmtId="49" fontId="1" fillId="2" borderId="0" xfId="0" applyNumberFormat="1" applyFont="1" applyFill="1"/>
    <xf numFmtId="49" fontId="1" fillId="10" borderId="0" xfId="0" applyNumberFormat="1" applyFont="1" applyFill="1"/>
    <xf numFmtId="49" fontId="0" fillId="2" borderId="0" xfId="0" applyNumberFormat="1" applyFill="1"/>
    <xf numFmtId="49" fontId="0" fillId="10" borderId="0" xfId="0" applyNumberFormat="1" applyFill="1"/>
    <xf numFmtId="49" fontId="0" fillId="0" borderId="4" xfId="0" applyNumberFormat="1" applyBorder="1"/>
    <xf numFmtId="49" fontId="1" fillId="3" borderId="0" xfId="0" applyNumberFormat="1" applyFont="1" applyFill="1"/>
    <xf numFmtId="49" fontId="1" fillId="11" borderId="0" xfId="0" applyNumberFormat="1" applyFont="1" applyFill="1"/>
    <xf numFmtId="49" fontId="0" fillId="3" borderId="0" xfId="0" applyNumberFormat="1" applyFill="1"/>
    <xf numFmtId="49" fontId="0" fillId="11" borderId="0" xfId="0" applyNumberFormat="1" applyFill="1"/>
    <xf numFmtId="49" fontId="1" fillId="4" borderId="0" xfId="0" applyNumberFormat="1" applyFont="1" applyFill="1"/>
    <xf numFmtId="49" fontId="1" fillId="12" borderId="0" xfId="0" applyNumberFormat="1" applyFont="1" applyFill="1"/>
    <xf numFmtId="49" fontId="0" fillId="4" borderId="0" xfId="0" applyNumberFormat="1" applyFill="1"/>
    <xf numFmtId="49" fontId="0" fillId="12" borderId="0" xfId="0" applyNumberFormat="1" applyFill="1"/>
    <xf numFmtId="49" fontId="1" fillId="5" borderId="0" xfId="0" applyNumberFormat="1" applyFont="1" applyFill="1"/>
    <xf numFmtId="49" fontId="1" fillId="13" borderId="0" xfId="0" applyNumberFormat="1" applyFont="1" applyFill="1"/>
    <xf numFmtId="49" fontId="0" fillId="5" borderId="0" xfId="0" applyNumberFormat="1" applyFill="1"/>
    <xf numFmtId="49" fontId="0" fillId="13" borderId="0" xfId="0" applyNumberFormat="1" applyFill="1"/>
    <xf numFmtId="49" fontId="1" fillId="6" borderId="0" xfId="0" applyNumberFormat="1" applyFont="1" applyFill="1"/>
    <xf numFmtId="49" fontId="0" fillId="6" borderId="0" xfId="0" applyNumberFormat="1" applyFill="1"/>
    <xf numFmtId="49" fontId="1" fillId="7" borderId="0" xfId="0" applyNumberFormat="1" applyFont="1" applyFill="1"/>
    <xf numFmtId="49" fontId="1" fillId="14" borderId="0" xfId="0" applyNumberFormat="1" applyFont="1" applyFill="1"/>
    <xf numFmtId="49" fontId="0" fillId="7" borderId="0" xfId="0" applyNumberFormat="1" applyFill="1"/>
    <xf numFmtId="49" fontId="0" fillId="14" borderId="0" xfId="0" applyNumberFormat="1" applyFill="1"/>
    <xf numFmtId="49" fontId="1" fillId="8" borderId="0" xfId="0" applyNumberFormat="1" applyFont="1" applyFill="1"/>
    <xf numFmtId="49" fontId="1" fillId="15" borderId="0" xfId="0" applyNumberFormat="1" applyFont="1" applyFill="1"/>
    <xf numFmtId="49" fontId="0" fillId="8" borderId="0" xfId="0" applyNumberFormat="1" applyFill="1"/>
    <xf numFmtId="49" fontId="0" fillId="15" borderId="0" xfId="0" applyNumberFormat="1" applyFill="1"/>
    <xf numFmtId="49" fontId="1" fillId="9" borderId="0" xfId="0" applyNumberFormat="1" applyFont="1" applyFill="1"/>
    <xf numFmtId="49" fontId="1" fillId="16" borderId="0" xfId="0" applyNumberFormat="1" applyFont="1" applyFill="1"/>
    <xf numFmtId="49" fontId="0" fillId="9" borderId="0" xfId="0" applyNumberFormat="1" applyFill="1"/>
    <xf numFmtId="49" fontId="0" fillId="16" borderId="0" xfId="0" applyNumberFormat="1" applyFill="1"/>
    <xf numFmtId="49" fontId="1" fillId="30" borderId="0" xfId="0" applyNumberFormat="1" applyFont="1" applyFill="1"/>
    <xf numFmtId="49" fontId="1" fillId="23" borderId="0" xfId="0" applyNumberFormat="1" applyFont="1" applyFill="1"/>
    <xf numFmtId="49" fontId="1" fillId="17" borderId="0" xfId="0" applyNumberFormat="1" applyFont="1" applyFill="1"/>
    <xf numFmtId="49" fontId="0" fillId="17" borderId="0" xfId="0" applyNumberFormat="1" applyFill="1"/>
    <xf numFmtId="49" fontId="1" fillId="31" borderId="0" xfId="0" applyNumberFormat="1" applyFont="1" applyFill="1"/>
    <xf numFmtId="49" fontId="0" fillId="31" borderId="0" xfId="0" applyNumberFormat="1" applyFill="1"/>
    <xf numFmtId="49" fontId="1" fillId="32" borderId="0" xfId="0" applyNumberFormat="1" applyFont="1" applyFill="1"/>
    <xf numFmtId="49" fontId="0" fillId="32" borderId="0" xfId="0" applyNumberFormat="1" applyFill="1"/>
    <xf numFmtId="49" fontId="1" fillId="33" borderId="0" xfId="0" applyNumberFormat="1" applyFont="1" applyFill="1"/>
    <xf numFmtId="49" fontId="0" fillId="33" borderId="0" xfId="0" applyNumberFormat="1" applyFill="1"/>
    <xf numFmtId="49" fontId="1" fillId="34" borderId="0" xfId="0" applyNumberFormat="1" applyFont="1" applyFill="1"/>
    <xf numFmtId="49" fontId="0" fillId="34" borderId="0" xfId="0" applyNumberFormat="1" applyFill="1"/>
    <xf numFmtId="49" fontId="1" fillId="35" borderId="0" xfId="0" applyNumberFormat="1" applyFont="1" applyFill="1"/>
    <xf numFmtId="49" fontId="0" fillId="35" borderId="0" xfId="0" applyNumberFormat="1" applyFill="1"/>
    <xf numFmtId="49" fontId="1" fillId="81" borderId="0" xfId="0" applyNumberFormat="1" applyFont="1" applyFill="1"/>
    <xf numFmtId="49" fontId="1" fillId="74" borderId="0" xfId="0" applyNumberFormat="1" applyFont="1" applyFill="1"/>
    <xf numFmtId="49" fontId="1" fillId="80" borderId="0" xfId="0" applyNumberFormat="1" applyFont="1" applyFill="1"/>
    <xf numFmtId="49" fontId="1" fillId="79" borderId="0" xfId="0" applyNumberFormat="1" applyFont="1" applyFill="1"/>
    <xf numFmtId="49" fontId="1" fillId="54" borderId="0" xfId="0" applyNumberFormat="1" applyFont="1" applyFill="1"/>
    <xf numFmtId="49" fontId="0" fillId="54" borderId="0" xfId="0" applyNumberFormat="1" applyFill="1"/>
    <xf numFmtId="49" fontId="0" fillId="84" borderId="0" xfId="0" applyNumberFormat="1" applyFill="1"/>
    <xf numFmtId="49" fontId="1" fillId="53" borderId="0" xfId="0" applyNumberFormat="1" applyFont="1" applyFill="1"/>
    <xf numFmtId="49" fontId="1" fillId="18" borderId="0" xfId="0" applyNumberFormat="1" applyFont="1" applyFill="1"/>
    <xf numFmtId="49" fontId="1" fillId="19" borderId="0" xfId="0" applyNumberFormat="1" applyFont="1" applyFill="1"/>
    <xf numFmtId="49" fontId="0" fillId="64" borderId="0" xfId="0" applyNumberFormat="1" applyFill="1"/>
    <xf numFmtId="49" fontId="1" fillId="37" borderId="0" xfId="0" applyNumberFormat="1" applyFont="1" applyFill="1"/>
    <xf numFmtId="49" fontId="1" fillId="39" borderId="0" xfId="0" applyNumberFormat="1" applyFont="1" applyFill="1"/>
    <xf numFmtId="49" fontId="0" fillId="67" borderId="0" xfId="0" applyNumberFormat="1" applyFill="1"/>
    <xf numFmtId="49" fontId="1" fillId="38" borderId="0" xfId="0" applyNumberFormat="1" applyFont="1" applyFill="1"/>
    <xf numFmtId="49" fontId="1" fillId="40" borderId="0" xfId="0" applyNumberFormat="1" applyFont="1" applyFill="1"/>
    <xf numFmtId="49" fontId="0" fillId="66" borderId="0" xfId="0" applyNumberFormat="1" applyFill="1"/>
    <xf numFmtId="49" fontId="1" fillId="41" borderId="0" xfId="0" applyNumberFormat="1" applyFont="1" applyFill="1"/>
    <xf numFmtId="49" fontId="0" fillId="69" borderId="0" xfId="0" applyNumberFormat="1" applyFill="1"/>
    <xf numFmtId="49" fontId="1" fillId="42" borderId="0" xfId="0" applyNumberFormat="1" applyFont="1" applyFill="1"/>
    <xf numFmtId="49" fontId="0" fillId="70" borderId="0" xfId="0" applyNumberFormat="1" applyFill="1"/>
    <xf numFmtId="49" fontId="1" fillId="43" borderId="0" xfId="0" applyNumberFormat="1" applyFont="1" applyFill="1"/>
    <xf numFmtId="49" fontId="0" fillId="71" borderId="0" xfId="0" applyNumberFormat="1" applyFill="1"/>
    <xf numFmtId="49" fontId="1" fillId="44" borderId="0" xfId="0" applyNumberFormat="1" applyFont="1" applyFill="1"/>
    <xf numFmtId="49" fontId="0" fillId="72" borderId="0" xfId="0" applyNumberFormat="1" applyFill="1"/>
    <xf numFmtId="49" fontId="1" fillId="45" borderId="0" xfId="0" applyNumberFormat="1" applyFont="1" applyFill="1"/>
    <xf numFmtId="49" fontId="0" fillId="86" borderId="0" xfId="0" applyNumberFormat="1" applyFill="1"/>
    <xf numFmtId="49" fontId="1" fillId="47" borderId="0" xfId="0" applyNumberFormat="1" applyFont="1" applyFill="1"/>
    <xf numFmtId="49" fontId="0" fillId="73" borderId="0" xfId="0" applyNumberFormat="1" applyFill="1"/>
    <xf numFmtId="49" fontId="1" fillId="46" borderId="0" xfId="0" applyNumberFormat="1" applyFont="1" applyFill="1"/>
    <xf numFmtId="49" fontId="0" fillId="82" borderId="0" xfId="0" applyNumberFormat="1" applyFill="1"/>
    <xf numFmtId="49" fontId="1" fillId="48" borderId="0" xfId="0" applyNumberFormat="1" applyFont="1" applyFill="1"/>
    <xf numFmtId="49" fontId="0" fillId="65" borderId="0" xfId="0" applyNumberFormat="1" applyFill="1"/>
    <xf numFmtId="49" fontId="1" fillId="49" borderId="0" xfId="0" applyNumberFormat="1" applyFont="1" applyFill="1"/>
    <xf numFmtId="49" fontId="0" fillId="74" borderId="0" xfId="0" applyNumberFormat="1" applyFill="1"/>
    <xf numFmtId="49" fontId="1" fillId="50" borderId="0" xfId="0" applyNumberFormat="1" applyFont="1" applyFill="1"/>
    <xf numFmtId="49" fontId="0" fillId="75" borderId="0" xfId="0" applyNumberFormat="1" applyFill="1"/>
    <xf numFmtId="49" fontId="1" fillId="51" borderId="0" xfId="0" applyNumberFormat="1" applyFont="1" applyFill="1"/>
    <xf numFmtId="49" fontId="1" fillId="52" borderId="0" xfId="0" applyNumberFormat="1" applyFont="1" applyFill="1"/>
    <xf numFmtId="49" fontId="0" fillId="76" borderId="0" xfId="0" applyNumberFormat="1" applyFill="1"/>
    <xf numFmtId="49" fontId="1" fillId="77" borderId="0" xfId="0" applyNumberFormat="1" applyFont="1" applyFill="1"/>
    <xf numFmtId="49" fontId="1" fillId="68" borderId="0" xfId="0" applyNumberFormat="1" applyFont="1" applyFill="1"/>
    <xf numFmtId="49" fontId="0" fillId="78" borderId="0" xfId="0" applyNumberFormat="1" applyFill="1"/>
    <xf numFmtId="49" fontId="1" fillId="83" borderId="0" xfId="0" applyNumberFormat="1" applyFont="1" applyFill="1"/>
    <xf numFmtId="49" fontId="1" fillId="22" borderId="0" xfId="0" applyNumberFormat="1" applyFont="1" applyFill="1"/>
    <xf numFmtId="49" fontId="0" fillId="22" borderId="0" xfId="0" applyNumberFormat="1" applyFill="1"/>
    <xf numFmtId="49" fontId="1" fillId="24" borderId="0" xfId="0" applyNumberFormat="1" applyFont="1" applyFill="1"/>
    <xf numFmtId="49" fontId="0" fillId="24" borderId="0" xfId="0" applyNumberFormat="1" applyFill="1"/>
    <xf numFmtId="49" fontId="1" fillId="20" borderId="0" xfId="0" applyNumberFormat="1" applyFont="1" applyFill="1"/>
    <xf numFmtId="49" fontId="1" fillId="21" borderId="0" xfId="0" applyNumberFormat="1" applyFont="1" applyFill="1"/>
    <xf numFmtId="49" fontId="0" fillId="20" borderId="0" xfId="0" applyNumberFormat="1" applyFill="1"/>
    <xf numFmtId="49" fontId="0" fillId="21" borderId="0" xfId="0" applyNumberFormat="1" applyFill="1"/>
    <xf numFmtId="49" fontId="1" fillId="55" borderId="0" xfId="0" applyNumberFormat="1" applyFont="1" applyFill="1"/>
    <xf numFmtId="49" fontId="0" fillId="55" borderId="0" xfId="0" applyNumberFormat="1" applyFill="1"/>
    <xf numFmtId="49" fontId="1" fillId="56" borderId="0" xfId="0" applyNumberFormat="1" applyFont="1" applyFill="1"/>
    <xf numFmtId="49" fontId="1" fillId="58" borderId="0" xfId="0" applyNumberFormat="1" applyFont="1" applyFill="1"/>
    <xf numFmtId="49" fontId="1" fillId="25" borderId="0" xfId="0" applyNumberFormat="1" applyFont="1" applyFill="1"/>
    <xf numFmtId="49" fontId="1" fillId="57" borderId="0" xfId="0" applyNumberFormat="1" applyFont="1" applyFill="1"/>
    <xf numFmtId="49" fontId="1" fillId="26" borderId="0" xfId="0" applyNumberFormat="1" applyFont="1" applyFill="1"/>
    <xf numFmtId="49" fontId="1" fillId="27" borderId="0" xfId="0" applyNumberFormat="1" applyFont="1" applyFill="1"/>
    <xf numFmtId="49" fontId="1" fillId="28" borderId="0" xfId="0" applyNumberFormat="1" applyFont="1" applyFill="1"/>
    <xf numFmtId="49" fontId="0" fillId="27" borderId="0" xfId="0" applyNumberFormat="1" applyFill="1"/>
    <xf numFmtId="49" fontId="0" fillId="28" borderId="0" xfId="0" applyNumberFormat="1" applyFill="1"/>
    <xf numFmtId="49" fontId="1" fillId="29" borderId="0" xfId="0" applyNumberFormat="1" applyFont="1" applyFill="1"/>
    <xf numFmtId="49" fontId="0" fillId="29" borderId="0" xfId="0" applyNumberFormat="1" applyFill="1"/>
    <xf numFmtId="49" fontId="1" fillId="60" borderId="0" xfId="0" applyNumberFormat="1" applyFont="1" applyFill="1"/>
    <xf numFmtId="49" fontId="0" fillId="60" borderId="0" xfId="0" applyNumberFormat="1" applyFill="1"/>
    <xf numFmtId="49" fontId="1" fillId="59" borderId="0" xfId="0" applyNumberFormat="1" applyFont="1" applyFill="1"/>
    <xf numFmtId="49" fontId="1" fillId="61" borderId="0" xfId="0" applyNumberFormat="1" applyFont="1" applyFill="1"/>
    <xf numFmtId="49" fontId="0" fillId="61" borderId="0" xfId="0" applyNumberFormat="1" applyFill="1"/>
    <xf numFmtId="49" fontId="0" fillId="58" borderId="0" xfId="0" applyNumberFormat="1" applyFill="1"/>
    <xf numFmtId="49" fontId="1" fillId="62" borderId="0" xfId="0" applyNumberFormat="1" applyFont="1" applyFill="1"/>
    <xf numFmtId="49" fontId="1" fillId="63" borderId="0" xfId="0" applyNumberFormat="1" applyFont="1" applyFill="1"/>
    <xf numFmtId="49" fontId="0" fillId="62" borderId="0" xfId="0" applyNumberFormat="1" applyFill="1"/>
    <xf numFmtId="49" fontId="0" fillId="63" borderId="0" xfId="0" applyNumberFormat="1" applyFill="1"/>
    <xf numFmtId="49" fontId="0" fillId="56" borderId="0" xfId="0" applyNumberFormat="1" applyFill="1"/>
    <xf numFmtId="49" fontId="0" fillId="57" borderId="0" xfId="0" applyNumberFormat="1" applyFill="1"/>
    <xf numFmtId="49" fontId="0" fillId="26" borderId="0" xfId="0" applyNumberFormat="1" applyFill="1"/>
    <xf numFmtId="49" fontId="0" fillId="24" borderId="0" xfId="0" applyNumberFormat="1" applyFill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5B0738-BA18-4040-8922-F26CA2042CBF}">
  <sheetPr codeName="Sheet5"/>
  <dimension ref="A1:AK218"/>
  <sheetViews>
    <sheetView tabSelected="1" topLeftCell="A3" zoomScale="85" zoomScaleNormal="85" workbookViewId="0">
      <pane ySplit="4" topLeftCell="A7" activePane="bottomLeft" state="frozen"/>
      <selection activeCell="A3" sqref="A3"/>
      <selection pane="bottomLeft" activeCell="U18" sqref="U18"/>
    </sheetView>
  </sheetViews>
  <sheetFormatPr defaultRowHeight="13.5" x14ac:dyDescent="0.25"/>
  <cols>
    <col min="1" max="1" width="2.7109375" style="28" customWidth="1"/>
    <col min="2" max="2" width="40.7109375" style="28" customWidth="1"/>
    <col min="3" max="4" width="15.7109375" style="28" customWidth="1"/>
    <col min="5" max="5" width="1.7109375" style="28" customWidth="1"/>
    <col min="6" max="7" width="15.7109375" style="28" customWidth="1"/>
    <col min="8" max="8" width="3.7109375" style="28" customWidth="1"/>
    <col min="9" max="10" width="15.7109375" style="28" customWidth="1"/>
    <col min="11" max="11" width="1.7109375" style="28" customWidth="1"/>
    <col min="12" max="13" width="15.7109375" style="28" customWidth="1"/>
    <col min="14" max="14" width="3.7109375" style="28" customWidth="1"/>
    <col min="15" max="16" width="15.7109375" style="28" customWidth="1"/>
    <col min="17" max="17" width="1.7109375" style="28" customWidth="1"/>
    <col min="18" max="19" width="15.7109375" style="28" customWidth="1"/>
    <col min="20" max="20" width="3.7109375" style="28" customWidth="1"/>
    <col min="21" max="22" width="15.7109375" style="28" customWidth="1"/>
    <col min="23" max="23" width="1.7109375" style="28" customWidth="1"/>
    <col min="24" max="25" width="15.7109375" style="28" customWidth="1"/>
    <col min="26" max="26" width="3.7109375" style="28" customWidth="1"/>
    <col min="27" max="27" width="12.7109375" style="28" customWidth="1"/>
    <col min="28" max="28" width="2.7109375" style="28" customWidth="1"/>
    <col min="29" max="29" width="12.7109375" style="28" customWidth="1"/>
    <col min="30" max="30" width="2.7109375" style="28" customWidth="1"/>
    <col min="31" max="31" width="12.7109375" style="28" customWidth="1"/>
    <col min="32" max="32" width="2.7109375" style="28" customWidth="1"/>
    <col min="33" max="33" width="12.7109375" style="28" customWidth="1"/>
    <col min="34" max="16384" width="9.140625" style="28"/>
  </cols>
  <sheetData>
    <row r="1" spans="1:33" x14ac:dyDescent="0.25">
      <c r="A1" s="28" t="s">
        <v>219</v>
      </c>
    </row>
    <row r="3" spans="1:33" s="26" customFormat="1" x14ac:dyDescent="0.25">
      <c r="B3" s="26" t="s">
        <v>0</v>
      </c>
      <c r="C3" s="26" t="s">
        <v>107</v>
      </c>
      <c r="I3" s="26" t="s">
        <v>158</v>
      </c>
      <c r="O3" s="26" t="s">
        <v>163</v>
      </c>
      <c r="U3" s="26" t="s">
        <v>168</v>
      </c>
    </row>
    <row r="4" spans="1:33" s="26" customFormat="1" x14ac:dyDescent="0.25">
      <c r="C4" s="26" t="s">
        <v>224</v>
      </c>
      <c r="F4" s="26" t="s">
        <v>225</v>
      </c>
    </row>
    <row r="5" spans="1:33" s="26" customFormat="1" x14ac:dyDescent="0.25">
      <c r="C5" s="26" t="s">
        <v>153</v>
      </c>
      <c r="D5" s="26" t="s">
        <v>11</v>
      </c>
      <c r="F5" s="26" t="s">
        <v>153</v>
      </c>
      <c r="G5" s="26" t="s">
        <v>11</v>
      </c>
      <c r="I5" s="26" t="s">
        <v>153</v>
      </c>
      <c r="J5" s="26" t="s">
        <v>11</v>
      </c>
      <c r="L5" s="26" t="s">
        <v>153</v>
      </c>
      <c r="M5" s="26" t="s">
        <v>11</v>
      </c>
      <c r="O5" s="26" t="s">
        <v>153</v>
      </c>
      <c r="P5" s="26" t="s">
        <v>11</v>
      </c>
      <c r="R5" s="26" t="s">
        <v>153</v>
      </c>
      <c r="S5" s="26" t="s">
        <v>11</v>
      </c>
      <c r="U5" s="26" t="s">
        <v>153</v>
      </c>
      <c r="V5" s="26" t="s">
        <v>11</v>
      </c>
      <c r="X5" s="26" t="s">
        <v>153</v>
      </c>
      <c r="Y5" s="26" t="s">
        <v>11</v>
      </c>
    </row>
    <row r="6" spans="1:33" s="26" customFormat="1" x14ac:dyDescent="0.25">
      <c r="C6" s="26" t="s">
        <v>154</v>
      </c>
      <c r="D6" s="26" t="s">
        <v>156</v>
      </c>
      <c r="F6" s="26" t="s">
        <v>155</v>
      </c>
      <c r="G6" s="26" t="s">
        <v>157</v>
      </c>
      <c r="I6" s="26" t="s">
        <v>159</v>
      </c>
      <c r="J6" s="26" t="s">
        <v>161</v>
      </c>
      <c r="L6" s="26" t="s">
        <v>160</v>
      </c>
      <c r="M6" s="26" t="s">
        <v>162</v>
      </c>
      <c r="O6" s="26" t="s">
        <v>164</v>
      </c>
      <c r="P6" s="26" t="s">
        <v>166</v>
      </c>
      <c r="R6" s="26" t="s">
        <v>165</v>
      </c>
      <c r="S6" s="26" t="s">
        <v>167</v>
      </c>
      <c r="U6" s="26" t="s">
        <v>169</v>
      </c>
      <c r="V6" s="26" t="s">
        <v>171</v>
      </c>
      <c r="X6" s="26" t="s">
        <v>170</v>
      </c>
      <c r="Y6" s="26" t="s">
        <v>172</v>
      </c>
      <c r="AA6" s="1" t="s">
        <v>3</v>
      </c>
      <c r="AB6" s="1"/>
      <c r="AC6" s="1" t="s">
        <v>2</v>
      </c>
      <c r="AD6" s="1"/>
      <c r="AE6" s="1" t="s">
        <v>8</v>
      </c>
      <c r="AF6" s="1"/>
      <c r="AG6" s="1" t="s">
        <v>20</v>
      </c>
    </row>
    <row r="7" spans="1:33" s="5" customFormat="1" x14ac:dyDescent="0.25">
      <c r="A7" s="27" t="s">
        <v>275</v>
      </c>
      <c r="B7" s="27"/>
      <c r="C7" s="27"/>
      <c r="D7" s="27"/>
      <c r="F7" s="27"/>
      <c r="G7" s="27"/>
      <c r="I7" s="27"/>
      <c r="J7" s="27"/>
      <c r="L7" s="27"/>
      <c r="M7" s="27"/>
      <c r="O7" s="27"/>
      <c r="P7" s="27"/>
      <c r="R7" s="27"/>
      <c r="S7" s="27"/>
      <c r="U7" s="27"/>
      <c r="V7" s="27"/>
      <c r="X7" s="27"/>
      <c r="Y7" s="27"/>
      <c r="AA7" s="27"/>
      <c r="AB7" s="27"/>
      <c r="AC7" s="27"/>
      <c r="AD7" s="27"/>
      <c r="AE7" s="27"/>
      <c r="AF7" s="27"/>
      <c r="AG7" s="27"/>
    </row>
    <row r="8" spans="1:33" x14ac:dyDescent="0.25">
      <c r="B8" s="7" t="s">
        <v>274</v>
      </c>
      <c r="C8" s="28" t="s">
        <v>273</v>
      </c>
      <c r="D8" s="28" t="s">
        <v>273</v>
      </c>
      <c r="F8" s="28" t="s">
        <v>276</v>
      </c>
      <c r="G8" s="28" t="s">
        <v>276</v>
      </c>
      <c r="I8" s="28" t="s">
        <v>273</v>
      </c>
      <c r="J8" s="28" t="s">
        <v>273</v>
      </c>
      <c r="L8" s="28" t="s">
        <v>276</v>
      </c>
      <c r="M8" s="28" t="s">
        <v>276</v>
      </c>
      <c r="O8" s="28" t="s">
        <v>273</v>
      </c>
      <c r="P8" s="28" t="s">
        <v>273</v>
      </c>
      <c r="R8" s="28" t="s">
        <v>276</v>
      </c>
      <c r="S8" s="28" t="s">
        <v>276</v>
      </c>
      <c r="U8" s="28" t="s">
        <v>273</v>
      </c>
      <c r="V8" s="28" t="s">
        <v>273</v>
      </c>
      <c r="X8" s="28" t="s">
        <v>276</v>
      </c>
      <c r="Y8" s="28" t="s">
        <v>276</v>
      </c>
      <c r="AA8" s="2"/>
      <c r="AB8" s="2"/>
      <c r="AC8" s="2"/>
      <c r="AD8" s="2"/>
      <c r="AE8" s="2"/>
      <c r="AF8" s="2"/>
      <c r="AG8" s="2"/>
    </row>
    <row r="9" spans="1:33" s="26" customFormat="1" x14ac:dyDescent="0.25">
      <c r="AA9" s="1"/>
      <c r="AB9" s="1"/>
      <c r="AC9" s="1"/>
      <c r="AD9" s="1"/>
      <c r="AE9" s="1"/>
      <c r="AF9" s="1"/>
      <c r="AG9" s="1"/>
    </row>
    <row r="10" spans="1:33" s="5" customFormat="1" x14ac:dyDescent="0.25">
      <c r="A10" s="27" t="s">
        <v>297</v>
      </c>
      <c r="B10" s="27"/>
      <c r="C10" s="27"/>
      <c r="D10" s="27"/>
      <c r="F10" s="27"/>
      <c r="G10" s="27"/>
      <c r="I10" s="27"/>
      <c r="J10" s="27"/>
      <c r="L10" s="27"/>
      <c r="M10" s="27"/>
      <c r="O10" s="27"/>
      <c r="P10" s="27"/>
      <c r="R10" s="27"/>
      <c r="S10" s="27"/>
      <c r="U10" s="27"/>
      <c r="V10" s="27"/>
      <c r="X10" s="27"/>
      <c r="Y10" s="27"/>
      <c r="AA10" s="27"/>
      <c r="AB10" s="27"/>
      <c r="AC10" s="27"/>
      <c r="AD10" s="27"/>
      <c r="AE10" s="27"/>
      <c r="AF10" s="27"/>
      <c r="AG10" s="27"/>
    </row>
    <row r="11" spans="1:33" x14ac:dyDescent="0.25">
      <c r="B11" s="2" t="str">
        <f>_xlfn.CONCAT("@",AA11,AB11,AC11,AD11,AE11,AF11,AG11)</f>
        <v>@color-label_parking_default</v>
      </c>
      <c r="C11" s="37" t="s">
        <v>217</v>
      </c>
      <c r="F11" s="38" t="s">
        <v>227</v>
      </c>
      <c r="I11" s="37" t="s">
        <v>217</v>
      </c>
      <c r="L11" s="38" t="s">
        <v>227</v>
      </c>
      <c r="O11" s="37" t="s">
        <v>217</v>
      </c>
      <c r="R11" s="38" t="s">
        <v>227</v>
      </c>
      <c r="U11" s="37" t="s">
        <v>217</v>
      </c>
      <c r="X11" s="38" t="s">
        <v>227</v>
      </c>
      <c r="AA11" s="2" t="s">
        <v>6</v>
      </c>
      <c r="AB11" s="2" t="str">
        <f t="shared" ref="AB11" si="0">IF(NOT(ISBLANK(AC11)),"-","")</f>
        <v>-</v>
      </c>
      <c r="AC11" s="2" t="s">
        <v>280</v>
      </c>
      <c r="AD11" s="2" t="str">
        <f t="shared" ref="AD11" si="1">IF(NOT(ISBLANK(AE11)),"_","")</f>
        <v>_</v>
      </c>
      <c r="AE11" s="2" t="s">
        <v>281</v>
      </c>
      <c r="AF11" s="2" t="str">
        <f t="shared" ref="AF11" si="2">IF(NOT(ISBLANK(AG11)),"_","")</f>
        <v>_</v>
      </c>
      <c r="AG11" s="2" t="s">
        <v>269</v>
      </c>
    </row>
    <row r="12" spans="1:33" x14ac:dyDescent="0.25">
      <c r="B12" s="2" t="str">
        <f>_xlfn.CONCAT("@",AA12,AB12,AC12,AD12,AE12,AF12,AG12)</f>
        <v>@color-label_parking_yes</v>
      </c>
      <c r="C12" s="38" t="s">
        <v>227</v>
      </c>
      <c r="F12" s="37" t="s">
        <v>217</v>
      </c>
      <c r="I12" s="38" t="s">
        <v>227</v>
      </c>
      <c r="L12" s="37" t="s">
        <v>217</v>
      </c>
      <c r="O12" s="38" t="s">
        <v>227</v>
      </c>
      <c r="R12" s="37" t="s">
        <v>217</v>
      </c>
      <c r="U12" s="38" t="s">
        <v>227</v>
      </c>
      <c r="X12" s="37" t="s">
        <v>217</v>
      </c>
      <c r="AA12" s="2" t="s">
        <v>6</v>
      </c>
      <c r="AB12" s="2" t="str">
        <f t="shared" ref="AB12" si="3">IF(NOT(ISBLANK(AC12)),"-","")</f>
        <v>-</v>
      </c>
      <c r="AC12" s="2" t="s">
        <v>280</v>
      </c>
      <c r="AD12" s="2" t="str">
        <f t="shared" ref="AD12" si="4">IF(NOT(ISBLANK(AE12)),"_","")</f>
        <v>_</v>
      </c>
      <c r="AE12" s="2" t="s">
        <v>281</v>
      </c>
      <c r="AF12" s="2" t="str">
        <f t="shared" ref="AF12" si="5">IF(NOT(ISBLANK(AG12)),"_","")</f>
        <v>_</v>
      </c>
      <c r="AG12" s="2" t="s">
        <v>282</v>
      </c>
    </row>
    <row r="13" spans="1:33" x14ac:dyDescent="0.25">
      <c r="B13" s="2" t="str">
        <f>_xlfn.CONCAT("@",AA13,AB13,AC13,AD13,AE13,AF13,AG13)</f>
        <v>@color-label_parking_no</v>
      </c>
      <c r="C13" s="39" t="s">
        <v>283</v>
      </c>
      <c r="F13" s="39" t="s">
        <v>283</v>
      </c>
      <c r="I13" s="39" t="s">
        <v>283</v>
      </c>
      <c r="L13" s="39" t="s">
        <v>283</v>
      </c>
      <c r="O13" s="39" t="s">
        <v>283</v>
      </c>
      <c r="R13" s="39" t="s">
        <v>283</v>
      </c>
      <c r="U13" s="39" t="s">
        <v>283</v>
      </c>
      <c r="X13" s="39" t="s">
        <v>283</v>
      </c>
      <c r="AA13" s="2" t="s">
        <v>6</v>
      </c>
      <c r="AB13" s="2" t="str">
        <f t="shared" ref="AB13:AB14" si="6">IF(NOT(ISBLANK(AC13)),"-","")</f>
        <v>-</v>
      </c>
      <c r="AC13" s="2" t="s">
        <v>280</v>
      </c>
      <c r="AD13" s="2" t="str">
        <f t="shared" ref="AD13:AD14" si="7">IF(NOT(ISBLANK(AE13)),"_","")</f>
        <v>_</v>
      </c>
      <c r="AE13" s="2" t="s">
        <v>281</v>
      </c>
      <c r="AF13" s="2" t="str">
        <f t="shared" ref="AF13:AF14" si="8">IF(NOT(ISBLANK(AG13)),"_","")</f>
        <v>_</v>
      </c>
      <c r="AG13" s="2" t="s">
        <v>44</v>
      </c>
    </row>
    <row r="14" spans="1:33" x14ac:dyDescent="0.25">
      <c r="B14" s="2" t="str">
        <f t="shared" ref="B14" si="9">_xlfn.CONCAT("@",AA14,AB14,AC14,AD14,AE14,AF14,AG14)</f>
        <v>@color-label_place_other</v>
      </c>
      <c r="C14" s="29" t="s">
        <v>287</v>
      </c>
      <c r="F14" s="30" t="s">
        <v>288</v>
      </c>
      <c r="AA14" s="2" t="s">
        <v>6</v>
      </c>
      <c r="AB14" s="2" t="str">
        <f t="shared" si="6"/>
        <v>-</v>
      </c>
      <c r="AC14" s="2" t="s">
        <v>280</v>
      </c>
      <c r="AD14" s="2" t="str">
        <f t="shared" si="7"/>
        <v>_</v>
      </c>
      <c r="AE14" s="2" t="s">
        <v>285</v>
      </c>
      <c r="AF14" s="2" t="str">
        <f t="shared" si="8"/>
        <v>_</v>
      </c>
      <c r="AG14" s="2" t="s">
        <v>286</v>
      </c>
    </row>
    <row r="15" spans="1:33" x14ac:dyDescent="0.25">
      <c r="B15" s="2" t="str">
        <f t="shared" ref="B15:B16" si="10">_xlfn.CONCAT("@",AA15,AB15,AC15,AD15,AE15,AF15,AG15)</f>
        <v>@color-label_halo_place_other</v>
      </c>
      <c r="C15" s="31" t="s">
        <v>290</v>
      </c>
      <c r="F15" s="32" t="s">
        <v>291</v>
      </c>
      <c r="AA15" s="2" t="s">
        <v>6</v>
      </c>
      <c r="AB15" s="2" t="str">
        <f t="shared" ref="AB15:AB16" si="11">IF(NOT(ISBLANK(AC15)),"-","")</f>
        <v>-</v>
      </c>
      <c r="AC15" s="2" t="s">
        <v>289</v>
      </c>
      <c r="AD15" s="2" t="str">
        <f t="shared" ref="AD15:AD16" si="12">IF(NOT(ISBLANK(AE15)),"_","")</f>
        <v>_</v>
      </c>
      <c r="AE15" s="2" t="s">
        <v>285</v>
      </c>
      <c r="AF15" s="2" t="str">
        <f t="shared" ref="AF15:AF16" si="13">IF(NOT(ISBLANK(AG15)),"_","")</f>
        <v>_</v>
      </c>
      <c r="AG15" s="2" t="s">
        <v>286</v>
      </c>
    </row>
    <row r="16" spans="1:33" x14ac:dyDescent="0.25">
      <c r="B16" s="2" t="str">
        <f t="shared" si="10"/>
        <v>@color-label_place_suburb_hamlet</v>
      </c>
      <c r="C16" s="29" t="s">
        <v>287</v>
      </c>
      <c r="F16" s="30" t="s">
        <v>288</v>
      </c>
      <c r="AA16" s="2" t="s">
        <v>6</v>
      </c>
      <c r="AB16" s="2" t="str">
        <f t="shared" si="11"/>
        <v>-</v>
      </c>
      <c r="AC16" s="2" t="s">
        <v>280</v>
      </c>
      <c r="AD16" s="2" t="str">
        <f t="shared" si="12"/>
        <v>_</v>
      </c>
      <c r="AE16" s="2" t="s">
        <v>285</v>
      </c>
      <c r="AF16" s="2" t="str">
        <f t="shared" si="13"/>
        <v>_</v>
      </c>
      <c r="AG16" s="2" t="s">
        <v>292</v>
      </c>
    </row>
    <row r="17" spans="2:33" x14ac:dyDescent="0.25">
      <c r="B17" s="2" t="str">
        <f t="shared" ref="B17:B18" si="14">_xlfn.CONCAT("@",AA17,AB17,AC17,AD17,AE17,AF17,AG17)</f>
        <v>@color-label_halo_place_suburb_hamlet</v>
      </c>
      <c r="C17" s="31" t="s">
        <v>290</v>
      </c>
      <c r="F17" s="32" t="s">
        <v>291</v>
      </c>
      <c r="AA17" s="2" t="s">
        <v>6</v>
      </c>
      <c r="AB17" s="2" t="str">
        <f t="shared" ref="AB17:AB18" si="15">IF(NOT(ISBLANK(AC17)),"-","")</f>
        <v>-</v>
      </c>
      <c r="AC17" s="2" t="s">
        <v>289</v>
      </c>
      <c r="AD17" s="2" t="str">
        <f t="shared" ref="AD17:AD18" si="16">IF(NOT(ISBLANK(AE17)),"_","")</f>
        <v>_</v>
      </c>
      <c r="AE17" s="2" t="s">
        <v>285</v>
      </c>
      <c r="AF17" s="2" t="str">
        <f t="shared" ref="AF17:AF18" si="17">IF(NOT(ISBLANK(AG17)),"_","")</f>
        <v>_</v>
      </c>
      <c r="AG17" s="2" t="s">
        <v>292</v>
      </c>
    </row>
    <row r="18" spans="2:33" x14ac:dyDescent="0.25">
      <c r="B18" s="2" t="str">
        <f t="shared" si="14"/>
        <v>@color-label_place_village</v>
      </c>
      <c r="C18" s="29" t="s">
        <v>287</v>
      </c>
      <c r="F18" s="30" t="s">
        <v>288</v>
      </c>
      <c r="AA18" s="2" t="s">
        <v>6</v>
      </c>
      <c r="AB18" s="2" t="str">
        <f t="shared" si="15"/>
        <v>-</v>
      </c>
      <c r="AC18" s="2" t="s">
        <v>280</v>
      </c>
      <c r="AD18" s="2" t="str">
        <f t="shared" si="16"/>
        <v>_</v>
      </c>
      <c r="AE18" s="2" t="s">
        <v>285</v>
      </c>
      <c r="AF18" s="2" t="str">
        <f t="shared" si="17"/>
        <v>_</v>
      </c>
      <c r="AG18" s="2" t="s">
        <v>293</v>
      </c>
    </row>
    <row r="19" spans="2:33" x14ac:dyDescent="0.25">
      <c r="B19" s="2" t="str">
        <f t="shared" ref="B19:B20" si="18">_xlfn.CONCAT("@",AA19,AB19,AC19,AD19,AE19,AF19,AG19)</f>
        <v>@color-label_halo_place_village</v>
      </c>
      <c r="C19" s="31" t="s">
        <v>290</v>
      </c>
      <c r="F19" s="32" t="s">
        <v>291</v>
      </c>
      <c r="AA19" s="2" t="s">
        <v>6</v>
      </c>
      <c r="AB19" s="2" t="str">
        <f t="shared" ref="AB19:AB20" si="19">IF(NOT(ISBLANK(AC19)),"-","")</f>
        <v>-</v>
      </c>
      <c r="AC19" s="2" t="s">
        <v>289</v>
      </c>
      <c r="AD19" s="2" t="str">
        <f t="shared" ref="AD19:AD20" si="20">IF(NOT(ISBLANK(AE19)),"_","")</f>
        <v>_</v>
      </c>
      <c r="AE19" s="2" t="s">
        <v>285</v>
      </c>
      <c r="AF19" s="2" t="str">
        <f t="shared" ref="AF19:AF20" si="21">IF(NOT(ISBLANK(AG19)),"_","")</f>
        <v>_</v>
      </c>
      <c r="AG19" s="2" t="s">
        <v>293</v>
      </c>
    </row>
    <row r="20" spans="2:33" x14ac:dyDescent="0.25">
      <c r="B20" s="2" t="str">
        <f t="shared" si="18"/>
        <v>@color-label_place_town</v>
      </c>
      <c r="C20" s="29" t="s">
        <v>287</v>
      </c>
      <c r="F20" s="30" t="s">
        <v>288</v>
      </c>
      <c r="AA20" s="2" t="s">
        <v>6</v>
      </c>
      <c r="AB20" s="2" t="str">
        <f t="shared" si="19"/>
        <v>-</v>
      </c>
      <c r="AC20" s="2" t="s">
        <v>280</v>
      </c>
      <c r="AD20" s="2" t="str">
        <f t="shared" si="20"/>
        <v>_</v>
      </c>
      <c r="AE20" s="2" t="s">
        <v>285</v>
      </c>
      <c r="AF20" s="2" t="str">
        <f t="shared" si="21"/>
        <v>_</v>
      </c>
      <c r="AG20" s="2" t="s">
        <v>294</v>
      </c>
    </row>
    <row r="21" spans="2:33" x14ac:dyDescent="0.25">
      <c r="B21" s="2" t="str">
        <f t="shared" ref="B21:B22" si="22">_xlfn.CONCAT("@",AA21,AB21,AC21,AD21,AE21,AF21,AG21)</f>
        <v>@color-label_halo_place_town</v>
      </c>
      <c r="C21" s="31" t="s">
        <v>290</v>
      </c>
      <c r="F21" s="32" t="s">
        <v>291</v>
      </c>
      <c r="AA21" s="2" t="s">
        <v>6</v>
      </c>
      <c r="AB21" s="2" t="str">
        <f t="shared" ref="AB21:AB22" si="23">IF(NOT(ISBLANK(AC21)),"-","")</f>
        <v>-</v>
      </c>
      <c r="AC21" s="2" t="s">
        <v>289</v>
      </c>
      <c r="AD21" s="2" t="str">
        <f t="shared" ref="AD21:AD22" si="24">IF(NOT(ISBLANK(AE21)),"_","")</f>
        <v>_</v>
      </c>
      <c r="AE21" s="2" t="s">
        <v>285</v>
      </c>
      <c r="AF21" s="2" t="str">
        <f t="shared" ref="AF21:AF22" si="25">IF(NOT(ISBLANK(AG21)),"_","")</f>
        <v>_</v>
      </c>
      <c r="AG21" s="2" t="s">
        <v>294</v>
      </c>
    </row>
    <row r="22" spans="2:33" x14ac:dyDescent="0.25">
      <c r="B22" s="2" t="str">
        <f t="shared" si="22"/>
        <v>@color-label_place_city</v>
      </c>
      <c r="C22" s="29" t="s">
        <v>287</v>
      </c>
      <c r="F22" s="30" t="s">
        <v>288</v>
      </c>
      <c r="AA22" s="2" t="s">
        <v>6</v>
      </c>
      <c r="AB22" s="2" t="str">
        <f t="shared" si="23"/>
        <v>-</v>
      </c>
      <c r="AC22" s="2" t="s">
        <v>280</v>
      </c>
      <c r="AD22" s="2" t="str">
        <f t="shared" si="24"/>
        <v>_</v>
      </c>
      <c r="AE22" s="2" t="s">
        <v>285</v>
      </c>
      <c r="AF22" s="2" t="str">
        <f t="shared" si="25"/>
        <v>_</v>
      </c>
      <c r="AG22" s="2" t="s">
        <v>295</v>
      </c>
    </row>
    <row r="23" spans="2:33" x14ac:dyDescent="0.25">
      <c r="B23" s="2" t="str">
        <f t="shared" ref="B23:B24" si="26">_xlfn.CONCAT("@",AA23,AB23,AC23,AD23,AE23,AF23,AG23)</f>
        <v>@color-label_halo_place_city</v>
      </c>
      <c r="C23" s="31" t="s">
        <v>290</v>
      </c>
      <c r="F23" s="32" t="s">
        <v>291</v>
      </c>
      <c r="AA23" s="2" t="s">
        <v>6</v>
      </c>
      <c r="AB23" s="2" t="str">
        <f t="shared" ref="AB23:AB24" si="27">IF(NOT(ISBLANK(AC23)),"-","")</f>
        <v>-</v>
      </c>
      <c r="AC23" s="2" t="s">
        <v>289</v>
      </c>
      <c r="AD23" s="2" t="str">
        <f t="shared" ref="AD23:AD24" si="28">IF(NOT(ISBLANK(AE23)),"_","")</f>
        <v>_</v>
      </c>
      <c r="AE23" s="2" t="s">
        <v>285</v>
      </c>
      <c r="AF23" s="2" t="str">
        <f t="shared" ref="AF23:AF24" si="29">IF(NOT(ISBLANK(AG23)),"_","")</f>
        <v>_</v>
      </c>
      <c r="AG23" s="2" t="s">
        <v>295</v>
      </c>
    </row>
    <row r="24" spans="2:33" x14ac:dyDescent="0.25">
      <c r="B24" s="2" t="str">
        <f t="shared" si="26"/>
        <v>@color-label_place_capital</v>
      </c>
      <c r="C24" s="29" t="s">
        <v>287</v>
      </c>
      <c r="F24" s="30" t="s">
        <v>288</v>
      </c>
      <c r="AA24" s="2" t="s">
        <v>6</v>
      </c>
      <c r="AB24" s="2" t="str">
        <f t="shared" si="27"/>
        <v>-</v>
      </c>
      <c r="AC24" s="2" t="s">
        <v>280</v>
      </c>
      <c r="AD24" s="2" t="str">
        <f t="shared" si="28"/>
        <v>_</v>
      </c>
      <c r="AE24" s="2" t="s">
        <v>285</v>
      </c>
      <c r="AF24" s="2" t="str">
        <f t="shared" si="29"/>
        <v>_</v>
      </c>
      <c r="AG24" s="2" t="s">
        <v>296</v>
      </c>
    </row>
    <row r="25" spans="2:33" x14ac:dyDescent="0.25">
      <c r="B25" s="2" t="str">
        <f t="shared" ref="B25:B26" si="30">_xlfn.CONCAT("@",AA25,AB25,AC25,AD25,AE25,AF25,AG25)</f>
        <v>@color-label_halo_place_capital</v>
      </c>
      <c r="C25" s="31" t="s">
        <v>290</v>
      </c>
      <c r="F25" s="32" t="s">
        <v>291</v>
      </c>
      <c r="AA25" s="2" t="s">
        <v>6</v>
      </c>
      <c r="AB25" s="2" t="str">
        <f t="shared" ref="AB25:AB26" si="31">IF(NOT(ISBLANK(AC25)),"-","")</f>
        <v>-</v>
      </c>
      <c r="AC25" s="2" t="s">
        <v>289</v>
      </c>
      <c r="AD25" s="2" t="str">
        <f t="shared" ref="AD25:AD26" si="32">IF(NOT(ISBLANK(AE25)),"_","")</f>
        <v>_</v>
      </c>
      <c r="AE25" s="2" t="s">
        <v>285</v>
      </c>
      <c r="AF25" s="2" t="str">
        <f t="shared" ref="AF25:AF26" si="33">IF(NOT(ISBLANK(AG25)),"_","")</f>
        <v>_</v>
      </c>
      <c r="AG25" s="2" t="s">
        <v>296</v>
      </c>
    </row>
    <row r="26" spans="2:33" x14ac:dyDescent="0.25">
      <c r="B26" s="2" t="str">
        <f t="shared" si="30"/>
        <v>@color-label_highway_path</v>
      </c>
      <c r="C26" s="33" t="s">
        <v>299</v>
      </c>
      <c r="F26" s="34" t="s">
        <v>300</v>
      </c>
      <c r="AA26" s="2" t="s">
        <v>6</v>
      </c>
      <c r="AB26" s="2" t="str">
        <f t="shared" si="31"/>
        <v>-</v>
      </c>
      <c r="AC26" s="2" t="s">
        <v>280</v>
      </c>
      <c r="AD26" s="2" t="str">
        <f t="shared" si="32"/>
        <v>_</v>
      </c>
      <c r="AE26" s="2" t="s">
        <v>298</v>
      </c>
      <c r="AF26" s="2" t="str">
        <f t="shared" si="33"/>
        <v>_</v>
      </c>
      <c r="AG26" s="2" t="s">
        <v>74</v>
      </c>
    </row>
    <row r="27" spans="2:33" x14ac:dyDescent="0.25">
      <c r="B27" s="2" t="str">
        <f t="shared" ref="B27:B28" si="34">_xlfn.CONCAT("@",AA27,AB27,AC27,AD27,AE27,AF27,AG27)</f>
        <v>@color-label_halo_highway_path</v>
      </c>
      <c r="C27" s="38" t="s">
        <v>227</v>
      </c>
      <c r="F27" s="37" t="s">
        <v>217</v>
      </c>
      <c r="AA27" s="2" t="s">
        <v>6</v>
      </c>
      <c r="AB27" s="2" t="str">
        <f t="shared" ref="AB27:AB28" si="35">IF(NOT(ISBLANK(AC27)),"-","")</f>
        <v>-</v>
      </c>
      <c r="AC27" s="2" t="s">
        <v>289</v>
      </c>
      <c r="AD27" s="2" t="str">
        <f t="shared" ref="AD27:AD28" si="36">IF(NOT(ISBLANK(AE27)),"_","")</f>
        <v>_</v>
      </c>
      <c r="AE27" s="2" t="s">
        <v>298</v>
      </c>
      <c r="AF27" s="2" t="str">
        <f t="shared" ref="AF27:AF28" si="37">IF(NOT(ISBLANK(AG27)),"_","")</f>
        <v>_</v>
      </c>
      <c r="AG27" s="2" t="s">
        <v>74</v>
      </c>
    </row>
    <row r="28" spans="2:33" x14ac:dyDescent="0.25">
      <c r="B28" s="2" t="str">
        <f t="shared" si="34"/>
        <v>@color-label_highway_minor</v>
      </c>
      <c r="C28" s="33" t="s">
        <v>299</v>
      </c>
      <c r="F28" s="34" t="s">
        <v>300</v>
      </c>
      <c r="AA28" s="2" t="s">
        <v>6</v>
      </c>
      <c r="AB28" s="2" t="str">
        <f t="shared" si="35"/>
        <v>-</v>
      </c>
      <c r="AC28" s="2" t="s">
        <v>280</v>
      </c>
      <c r="AD28" s="2" t="str">
        <f t="shared" si="36"/>
        <v>_</v>
      </c>
      <c r="AE28" s="2" t="s">
        <v>298</v>
      </c>
      <c r="AF28" s="2" t="str">
        <f t="shared" si="37"/>
        <v>_</v>
      </c>
      <c r="AG28" s="2" t="s">
        <v>32</v>
      </c>
    </row>
    <row r="29" spans="2:33" x14ac:dyDescent="0.25">
      <c r="B29" s="2" t="str">
        <f t="shared" ref="B29:B30" si="38">_xlfn.CONCAT("@",AA29,AB29,AC29,AD29,AE29,AF29,AG29)</f>
        <v>@color-label_halo_highway_minor</v>
      </c>
      <c r="C29" s="38" t="s">
        <v>227</v>
      </c>
      <c r="F29" s="37" t="s">
        <v>217</v>
      </c>
      <c r="AA29" s="2" t="s">
        <v>6</v>
      </c>
      <c r="AB29" s="2" t="str">
        <f t="shared" ref="AB29:AB30" si="39">IF(NOT(ISBLANK(AC29)),"-","")</f>
        <v>-</v>
      </c>
      <c r="AC29" s="2" t="s">
        <v>289</v>
      </c>
      <c r="AD29" s="2" t="str">
        <f t="shared" ref="AD29:AD30" si="40">IF(NOT(ISBLANK(AE29)),"_","")</f>
        <v>_</v>
      </c>
      <c r="AE29" s="2" t="s">
        <v>298</v>
      </c>
      <c r="AF29" s="2" t="str">
        <f t="shared" ref="AF29:AF30" si="41">IF(NOT(ISBLANK(AG29)),"_","")</f>
        <v>_</v>
      </c>
      <c r="AG29" s="2" t="s">
        <v>32</v>
      </c>
    </row>
    <row r="30" spans="2:33" x14ac:dyDescent="0.25">
      <c r="B30" s="2" t="str">
        <f t="shared" si="38"/>
        <v>@color-label_highway_trunk_primary_secondary_tertiary</v>
      </c>
      <c r="C30" s="33" t="s">
        <v>299</v>
      </c>
      <c r="F30" s="34" t="s">
        <v>300</v>
      </c>
      <c r="AA30" s="2" t="s">
        <v>6</v>
      </c>
      <c r="AB30" s="2" t="str">
        <f t="shared" si="39"/>
        <v>-</v>
      </c>
      <c r="AC30" s="2" t="s">
        <v>280</v>
      </c>
      <c r="AD30" s="2" t="str">
        <f t="shared" si="40"/>
        <v>_</v>
      </c>
      <c r="AE30" s="2" t="s">
        <v>298</v>
      </c>
      <c r="AF30" s="2" t="str">
        <f t="shared" si="41"/>
        <v>_</v>
      </c>
      <c r="AG30" s="2" t="s">
        <v>301</v>
      </c>
    </row>
    <row r="31" spans="2:33" x14ac:dyDescent="0.25">
      <c r="B31" s="2" t="str">
        <f t="shared" ref="B31:B33" si="42">_xlfn.CONCAT("@",AA31,AB31,AC31,AD31,AE31,AF31,AG31)</f>
        <v>@color-label_halo_highway_trunk_primary_secondary_tertiary</v>
      </c>
      <c r="C31" s="38" t="s">
        <v>227</v>
      </c>
      <c r="F31" s="37" t="s">
        <v>217</v>
      </c>
      <c r="AA31" s="2" t="s">
        <v>6</v>
      </c>
      <c r="AB31" s="2" t="str">
        <f t="shared" ref="AB31:AB33" si="43">IF(NOT(ISBLANK(AC31)),"-","")</f>
        <v>-</v>
      </c>
      <c r="AC31" s="2" t="s">
        <v>289</v>
      </c>
      <c r="AD31" s="2" t="str">
        <f t="shared" ref="AD31:AD33" si="44">IF(NOT(ISBLANK(AE31)),"_","")</f>
        <v>_</v>
      </c>
      <c r="AE31" s="2" t="s">
        <v>298</v>
      </c>
      <c r="AF31" s="2" t="str">
        <f t="shared" ref="AF31:AF33" si="45">IF(NOT(ISBLANK(AG31)),"_","")</f>
        <v>_</v>
      </c>
      <c r="AG31" s="2" t="s">
        <v>301</v>
      </c>
    </row>
    <row r="32" spans="2:33" x14ac:dyDescent="0.25">
      <c r="B32" s="2" t="str">
        <f t="shared" si="42"/>
        <v>@color-label_peak</v>
      </c>
      <c r="C32" s="35" t="s">
        <v>303</v>
      </c>
      <c r="F32" s="36" t="s">
        <v>304</v>
      </c>
      <c r="AA32" s="2" t="s">
        <v>6</v>
      </c>
      <c r="AB32" s="2" t="str">
        <f t="shared" si="43"/>
        <v>-</v>
      </c>
      <c r="AC32" s="2" t="s">
        <v>280</v>
      </c>
      <c r="AD32" s="2" t="str">
        <f t="shared" si="44"/>
        <v>_</v>
      </c>
      <c r="AE32" s="2" t="s">
        <v>302</v>
      </c>
      <c r="AF32" s="2" t="str">
        <f t="shared" si="45"/>
        <v/>
      </c>
      <c r="AG32" s="2"/>
    </row>
    <row r="33" spans="1:33" x14ac:dyDescent="0.25">
      <c r="B33" s="2" t="str">
        <f t="shared" si="42"/>
        <v>@color-label_halo_peak</v>
      </c>
      <c r="C33" s="38" t="s">
        <v>227</v>
      </c>
      <c r="F33" s="37" t="s">
        <v>217</v>
      </c>
      <c r="AA33" s="2" t="s">
        <v>6</v>
      </c>
      <c r="AB33" s="2" t="str">
        <f t="shared" si="43"/>
        <v>-</v>
      </c>
      <c r="AC33" s="2" t="s">
        <v>289</v>
      </c>
      <c r="AD33" s="2" t="str">
        <f t="shared" si="44"/>
        <v>_</v>
      </c>
      <c r="AE33" s="2" t="s">
        <v>302</v>
      </c>
      <c r="AF33" s="2" t="str">
        <f t="shared" si="45"/>
        <v/>
      </c>
      <c r="AG33" s="2"/>
    </row>
    <row r="34" spans="1:33" x14ac:dyDescent="0.25">
      <c r="AA34" s="2"/>
      <c r="AB34" s="2"/>
      <c r="AC34" s="2"/>
      <c r="AD34" s="2"/>
      <c r="AE34" s="2"/>
      <c r="AF34" s="2"/>
      <c r="AG34" s="2"/>
    </row>
    <row r="35" spans="1:33" s="5" customFormat="1" x14ac:dyDescent="0.25">
      <c r="A35" s="27" t="s">
        <v>40</v>
      </c>
      <c r="B35" s="27"/>
      <c r="C35" s="27"/>
      <c r="D35" s="27"/>
      <c r="F35" s="27"/>
      <c r="G35" s="27"/>
      <c r="I35" s="27"/>
      <c r="J35" s="27"/>
      <c r="L35" s="27"/>
      <c r="M35" s="27"/>
      <c r="O35" s="27"/>
      <c r="P35" s="27"/>
      <c r="R35" s="27"/>
      <c r="S35" s="27"/>
      <c r="U35" s="27"/>
      <c r="V35" s="27"/>
      <c r="X35" s="27"/>
      <c r="Y35" s="27"/>
      <c r="AA35" s="27"/>
      <c r="AB35" s="27"/>
      <c r="AC35" s="27"/>
      <c r="AD35" s="27"/>
      <c r="AE35" s="27"/>
      <c r="AF35" s="27"/>
      <c r="AG35" s="27"/>
    </row>
    <row r="36" spans="1:33" x14ac:dyDescent="0.25">
      <c r="B36" s="2" t="str">
        <f>_xlfn.CONCAT("@",AA36,AB36,AC36,AD36,AE36,AF36,AG36)</f>
        <v>@color-mtb:scale_0-</v>
      </c>
      <c r="C36" s="40" t="s">
        <v>173</v>
      </c>
      <c r="D36" s="41" t="s">
        <v>181</v>
      </c>
      <c r="F36" s="40" t="s">
        <v>173</v>
      </c>
      <c r="G36" s="41" t="s">
        <v>181</v>
      </c>
      <c r="I36" s="42" t="str">
        <f t="shared" ref="I36:J43" si="46">C36</f>
        <v>"#0ac5a0"</v>
      </c>
      <c r="J36" s="43" t="str">
        <f t="shared" si="46"/>
        <v>"#00c7b0"</v>
      </c>
      <c r="U36" s="44"/>
      <c r="V36" s="44"/>
      <c r="X36" s="44"/>
      <c r="Y36" s="44"/>
      <c r="AA36" s="2" t="s">
        <v>6</v>
      </c>
      <c r="AB36" s="2" t="str">
        <f t="shared" ref="AB36:AB131" si="47">IF(NOT(ISBLANK(AC36)),"-","")</f>
        <v>-</v>
      </c>
      <c r="AC36" s="2" t="s">
        <v>7</v>
      </c>
      <c r="AD36" s="2" t="str">
        <f t="shared" ref="AD36:AD134" si="48">IF(NOT(ISBLANK(AE36)),"_","")</f>
        <v>_</v>
      </c>
      <c r="AE36" s="2" t="s">
        <v>9</v>
      </c>
      <c r="AF36" s="2" t="str">
        <f t="shared" ref="AF36:AF134" si="49">IF(NOT(ISBLANK(AG36)),"_","")</f>
        <v/>
      </c>
      <c r="AG36" s="2"/>
    </row>
    <row r="37" spans="1:33" x14ac:dyDescent="0.25">
      <c r="B37" s="2" t="str">
        <f t="shared" ref="B37:B50" si="50">_xlfn.CONCAT("@",AA37,AB37,AC37,AD37,AE37,AF37,AG37)</f>
        <v>@color-mtb:scale_0</v>
      </c>
      <c r="C37" s="45" t="s">
        <v>174</v>
      </c>
      <c r="D37" s="46" t="s">
        <v>182</v>
      </c>
      <c r="F37" s="45" t="s">
        <v>174</v>
      </c>
      <c r="G37" s="46" t="s">
        <v>182</v>
      </c>
      <c r="I37" s="47" t="str">
        <f t="shared" si="46"/>
        <v>"#75e009"</v>
      </c>
      <c r="J37" s="48" t="str">
        <f t="shared" si="46"/>
        <v>"#66cc00"</v>
      </c>
      <c r="U37" s="44"/>
      <c r="V37" s="44"/>
      <c r="X37" s="44"/>
      <c r="Y37" s="44"/>
      <c r="AA37" s="2" t="s">
        <v>6</v>
      </c>
      <c r="AB37" s="2" t="str">
        <f t="shared" si="47"/>
        <v>-</v>
      </c>
      <c r="AC37" s="2" t="s">
        <v>7</v>
      </c>
      <c r="AD37" s="2" t="str">
        <f t="shared" si="48"/>
        <v>_</v>
      </c>
      <c r="AE37" s="2">
        <v>0</v>
      </c>
      <c r="AF37" s="2" t="str">
        <f t="shared" si="49"/>
        <v/>
      </c>
    </row>
    <row r="38" spans="1:33" x14ac:dyDescent="0.25">
      <c r="B38" s="2" t="str">
        <f t="shared" si="50"/>
        <v>@color-mtb:scale_1</v>
      </c>
      <c r="C38" s="49" t="s">
        <v>175</v>
      </c>
      <c r="D38" s="50" t="s">
        <v>183</v>
      </c>
      <c r="F38" s="49" t="s">
        <v>175</v>
      </c>
      <c r="G38" s="50" t="s">
        <v>183</v>
      </c>
      <c r="I38" s="51" t="str">
        <f t="shared" si="46"/>
        <v>"#d7dc00"</v>
      </c>
      <c r="J38" s="52" t="str">
        <f t="shared" si="46"/>
        <v>"#c5c900"</v>
      </c>
      <c r="U38" s="44"/>
      <c r="V38" s="44"/>
      <c r="X38" s="44"/>
      <c r="Y38" s="44"/>
      <c r="AA38" s="2" t="s">
        <v>6</v>
      </c>
      <c r="AB38" s="2" t="str">
        <f t="shared" si="47"/>
        <v>-</v>
      </c>
      <c r="AC38" s="2" t="s">
        <v>7</v>
      </c>
      <c r="AD38" s="2" t="str">
        <f t="shared" si="48"/>
        <v>_</v>
      </c>
      <c r="AE38" s="2">
        <v>1</v>
      </c>
      <c r="AF38" s="2" t="str">
        <f t="shared" si="49"/>
        <v/>
      </c>
    </row>
    <row r="39" spans="1:33" x14ac:dyDescent="0.25">
      <c r="B39" s="2" t="str">
        <f t="shared" si="50"/>
        <v>@color-mtb:scale_2</v>
      </c>
      <c r="C39" s="53" t="s">
        <v>176</v>
      </c>
      <c r="D39" s="54" t="s">
        <v>184</v>
      </c>
      <c r="F39" s="53" t="s">
        <v>176</v>
      </c>
      <c r="G39" s="54" t="s">
        <v>184</v>
      </c>
      <c r="I39" s="55" t="str">
        <f t="shared" si="46"/>
        <v>"#feb13e"</v>
      </c>
      <c r="J39" s="56" t="str">
        <f t="shared" si="46"/>
        <v>"#f09000"</v>
      </c>
      <c r="U39" s="44"/>
      <c r="V39" s="44"/>
      <c r="X39" s="44"/>
      <c r="Y39" s="44"/>
      <c r="AA39" s="2" t="s">
        <v>6</v>
      </c>
      <c r="AB39" s="2" t="str">
        <f t="shared" si="47"/>
        <v>-</v>
      </c>
      <c r="AC39" s="2" t="s">
        <v>7</v>
      </c>
      <c r="AD39" s="2" t="str">
        <f t="shared" si="48"/>
        <v>_</v>
      </c>
      <c r="AE39" s="2">
        <v>2</v>
      </c>
      <c r="AF39" s="2" t="str">
        <f t="shared" si="49"/>
        <v/>
      </c>
    </row>
    <row r="40" spans="1:33" x14ac:dyDescent="0.25">
      <c r="B40" s="2" t="str">
        <f t="shared" si="50"/>
        <v>@color-mtb:scale_3</v>
      </c>
      <c r="C40" s="57" t="s">
        <v>177</v>
      </c>
      <c r="D40" s="57" t="s">
        <v>177</v>
      </c>
      <c r="F40" s="57" t="s">
        <v>177</v>
      </c>
      <c r="G40" s="57" t="s">
        <v>177</v>
      </c>
      <c r="I40" s="58" t="str">
        <f t="shared" si="46"/>
        <v>"#ff4f5e"</v>
      </c>
      <c r="J40" s="58" t="str">
        <f t="shared" si="46"/>
        <v>"#ff4f5e"</v>
      </c>
      <c r="U40" s="44"/>
      <c r="V40" s="44"/>
      <c r="X40" s="44"/>
      <c r="Y40" s="44"/>
      <c r="AA40" s="2" t="s">
        <v>6</v>
      </c>
      <c r="AB40" s="2" t="str">
        <f t="shared" si="47"/>
        <v>-</v>
      </c>
      <c r="AC40" s="2" t="s">
        <v>7</v>
      </c>
      <c r="AD40" s="2" t="str">
        <f t="shared" si="48"/>
        <v>_</v>
      </c>
      <c r="AE40" s="2">
        <v>3</v>
      </c>
      <c r="AF40" s="2" t="str">
        <f t="shared" si="49"/>
        <v/>
      </c>
    </row>
    <row r="41" spans="1:33" x14ac:dyDescent="0.25">
      <c r="B41" s="2" t="str">
        <f t="shared" si="50"/>
        <v>@color-mtb:scale_4</v>
      </c>
      <c r="C41" s="59" t="s">
        <v>178</v>
      </c>
      <c r="D41" s="60" t="s">
        <v>185</v>
      </c>
      <c r="F41" s="59" t="s">
        <v>178</v>
      </c>
      <c r="G41" s="60" t="s">
        <v>185</v>
      </c>
      <c r="I41" s="61" t="str">
        <f t="shared" si="46"/>
        <v>"#e50bdd"</v>
      </c>
      <c r="J41" s="62" t="str">
        <f t="shared" si="46"/>
        <v>"#d600ce"</v>
      </c>
      <c r="U41" s="44"/>
      <c r="V41" s="44"/>
      <c r="X41" s="44"/>
      <c r="Y41" s="44"/>
      <c r="AA41" s="2" t="s">
        <v>6</v>
      </c>
      <c r="AB41" s="2" t="str">
        <f t="shared" si="47"/>
        <v>-</v>
      </c>
      <c r="AC41" s="2" t="s">
        <v>7</v>
      </c>
      <c r="AD41" s="2" t="str">
        <f t="shared" si="48"/>
        <v>_</v>
      </c>
      <c r="AE41" s="2">
        <v>4</v>
      </c>
      <c r="AF41" s="2" t="str">
        <f t="shared" si="49"/>
        <v/>
      </c>
    </row>
    <row r="42" spans="1:33" x14ac:dyDescent="0.25">
      <c r="B42" s="2" t="str">
        <f t="shared" si="50"/>
        <v>@color-mtb:scale_5</v>
      </c>
      <c r="C42" s="63" t="s">
        <v>179</v>
      </c>
      <c r="D42" s="64" t="s">
        <v>186</v>
      </c>
      <c r="F42" s="63" t="s">
        <v>179</v>
      </c>
      <c r="G42" s="64" t="s">
        <v>186</v>
      </c>
      <c r="I42" s="65" t="str">
        <f t="shared" si="46"/>
        <v>"#9600c8"</v>
      </c>
      <c r="J42" s="66" t="str">
        <f t="shared" si="46"/>
        <v>"#7a3391"</v>
      </c>
      <c r="U42" s="44"/>
      <c r="V42" s="44"/>
      <c r="X42" s="44"/>
      <c r="Y42" s="44"/>
      <c r="AA42" s="2" t="s">
        <v>6</v>
      </c>
      <c r="AB42" s="2" t="str">
        <f t="shared" si="47"/>
        <v>-</v>
      </c>
      <c r="AC42" s="2" t="s">
        <v>7</v>
      </c>
      <c r="AD42" s="2" t="str">
        <f t="shared" si="48"/>
        <v>_</v>
      </c>
      <c r="AE42" s="2">
        <v>5</v>
      </c>
      <c r="AF42" s="2" t="str">
        <f t="shared" si="49"/>
        <v/>
      </c>
    </row>
    <row r="43" spans="1:33" x14ac:dyDescent="0.25">
      <c r="B43" s="2" t="str">
        <f t="shared" si="50"/>
        <v>@color-mtb:scale_6</v>
      </c>
      <c r="C43" s="67" t="s">
        <v>180</v>
      </c>
      <c r="D43" s="68" t="s">
        <v>187</v>
      </c>
      <c r="F43" s="67" t="s">
        <v>180</v>
      </c>
      <c r="G43" s="68" t="s">
        <v>187</v>
      </c>
      <c r="I43" s="69" t="str">
        <f t="shared" si="46"/>
        <v>"#8100ac"</v>
      </c>
      <c r="J43" s="70" t="str">
        <f t="shared" si="46"/>
        <v>"#593266"</v>
      </c>
      <c r="U43" s="44"/>
      <c r="V43" s="44"/>
      <c r="X43" s="44"/>
      <c r="Y43" s="44"/>
      <c r="AA43" s="2" t="s">
        <v>6</v>
      </c>
      <c r="AB43" s="2" t="str">
        <f t="shared" si="47"/>
        <v>-</v>
      </c>
      <c r="AC43" s="2" t="s">
        <v>7</v>
      </c>
      <c r="AD43" s="2" t="str">
        <f t="shared" si="48"/>
        <v>_</v>
      </c>
      <c r="AE43" s="2">
        <v>6</v>
      </c>
      <c r="AF43" s="2" t="str">
        <f t="shared" si="49"/>
        <v/>
      </c>
    </row>
    <row r="44" spans="1:33" x14ac:dyDescent="0.25">
      <c r="B44" s="2" t="str">
        <f t="shared" ref="B44" si="51">_xlfn.CONCAT("@",AA44,AB44,AC44,AD44,AE44,AF44,AG44)</f>
        <v>@color-mtb:scale_null</v>
      </c>
      <c r="C44" s="38" t="s">
        <v>227</v>
      </c>
      <c r="D44" s="38" t="s">
        <v>227</v>
      </c>
      <c r="F44" s="31" t="s">
        <v>290</v>
      </c>
      <c r="G44" s="31" t="s">
        <v>290</v>
      </c>
      <c r="I44" s="38" t="s">
        <v>227</v>
      </c>
      <c r="J44" s="38" t="s">
        <v>227</v>
      </c>
      <c r="L44" s="31" t="s">
        <v>290</v>
      </c>
      <c r="M44" s="31" t="s">
        <v>290</v>
      </c>
      <c r="U44" s="44"/>
      <c r="V44" s="44"/>
      <c r="X44" s="44"/>
      <c r="Y44" s="44"/>
      <c r="AA44" s="2" t="s">
        <v>6</v>
      </c>
      <c r="AB44" s="2" t="str">
        <f t="shared" ref="AB44" si="52">IF(NOT(ISBLANK(AC44)),"-","")</f>
        <v>-</v>
      </c>
      <c r="AC44" s="2" t="s">
        <v>7</v>
      </c>
      <c r="AD44" s="2" t="str">
        <f t="shared" ref="AD44" si="53">IF(NOT(ISBLANK(AE44)),"_","")</f>
        <v>_</v>
      </c>
      <c r="AE44" s="2" t="s">
        <v>314</v>
      </c>
      <c r="AF44" s="2" t="str">
        <f t="shared" ref="AF44" si="54">IF(NOT(ISBLANK(AG44)),"_","")</f>
        <v/>
      </c>
    </row>
    <row r="45" spans="1:33" x14ac:dyDescent="0.25">
      <c r="B45" s="2"/>
      <c r="AA45" s="2"/>
      <c r="AB45" s="2" t="str">
        <f t="shared" si="47"/>
        <v/>
      </c>
      <c r="AC45" s="2"/>
      <c r="AD45" s="2" t="str">
        <f t="shared" si="48"/>
        <v/>
      </c>
      <c r="AE45" s="2"/>
      <c r="AF45" s="28" t="str">
        <f t="shared" si="49"/>
        <v/>
      </c>
    </row>
    <row r="46" spans="1:33" x14ac:dyDescent="0.25">
      <c r="B46" s="2" t="str">
        <f t="shared" si="50"/>
        <v>@color-mtb:winter_1</v>
      </c>
      <c r="C46" s="44"/>
      <c r="D46" s="44"/>
      <c r="F46" s="44"/>
      <c r="G46" s="44"/>
      <c r="I46" s="44"/>
      <c r="J46" s="44"/>
      <c r="L46" s="44"/>
      <c r="M46" s="44"/>
      <c r="O46" s="44"/>
      <c r="P46" s="44"/>
      <c r="R46" s="44"/>
      <c r="S46" s="44"/>
      <c r="U46" s="45" t="s">
        <v>174</v>
      </c>
      <c r="V46" s="46" t="s">
        <v>182</v>
      </c>
      <c r="AA46" s="2" t="s">
        <v>6</v>
      </c>
      <c r="AB46" s="2" t="str">
        <f t="shared" ref="AB46" si="55">IF(NOT(ISBLANK(AC46)),"-","")</f>
        <v>-</v>
      </c>
      <c r="AC46" s="2" t="s">
        <v>230</v>
      </c>
      <c r="AD46" s="2" t="str">
        <f t="shared" ref="AD46" si="56">IF(NOT(ISBLANK(AE46)),"_","")</f>
        <v>_</v>
      </c>
      <c r="AE46" s="2">
        <v>1</v>
      </c>
      <c r="AF46" s="2" t="str">
        <f t="shared" ref="AF46" si="57">IF(NOT(ISBLANK(AG46)),"_","")</f>
        <v/>
      </c>
    </row>
    <row r="47" spans="1:33" x14ac:dyDescent="0.25">
      <c r="B47" s="2" t="str">
        <f t="shared" si="50"/>
        <v>@color-mtb:winter_2</v>
      </c>
      <c r="C47" s="44"/>
      <c r="D47" s="44"/>
      <c r="F47" s="44"/>
      <c r="G47" s="44"/>
      <c r="I47" s="44"/>
      <c r="J47" s="44"/>
      <c r="L47" s="44"/>
      <c r="M47" s="44"/>
      <c r="O47" s="44"/>
      <c r="P47" s="44"/>
      <c r="R47" s="44"/>
      <c r="S47" s="44"/>
      <c r="U47" s="49" t="s">
        <v>175</v>
      </c>
      <c r="V47" s="50" t="s">
        <v>183</v>
      </c>
      <c r="AA47" s="2" t="s">
        <v>6</v>
      </c>
      <c r="AB47" s="2" t="str">
        <f t="shared" ref="AB47:AB48" si="58">IF(NOT(ISBLANK(AC47)),"-","")</f>
        <v>-</v>
      </c>
      <c r="AC47" s="2" t="s">
        <v>230</v>
      </c>
      <c r="AD47" s="2" t="str">
        <f t="shared" ref="AD47:AD50" si="59">IF(NOT(ISBLANK(AE47)),"_","")</f>
        <v>_</v>
      </c>
      <c r="AE47" s="2">
        <v>2</v>
      </c>
      <c r="AF47" s="2" t="str">
        <f t="shared" ref="AF47:AF50" si="60">IF(NOT(ISBLANK(AG47)),"_","")</f>
        <v/>
      </c>
    </row>
    <row r="48" spans="1:33" x14ac:dyDescent="0.25">
      <c r="B48" s="2" t="str">
        <f t="shared" si="50"/>
        <v>@color-mtb:winter_3</v>
      </c>
      <c r="C48" s="44"/>
      <c r="D48" s="44"/>
      <c r="F48" s="44"/>
      <c r="G48" s="44"/>
      <c r="I48" s="44"/>
      <c r="J48" s="44"/>
      <c r="L48" s="44"/>
      <c r="M48" s="44"/>
      <c r="O48" s="44"/>
      <c r="P48" s="44"/>
      <c r="R48" s="44"/>
      <c r="S48" s="44"/>
      <c r="U48" s="53" t="s">
        <v>176</v>
      </c>
      <c r="V48" s="54" t="s">
        <v>184</v>
      </c>
      <c r="AA48" s="2" t="s">
        <v>6</v>
      </c>
      <c r="AB48" s="2" t="str">
        <f t="shared" si="58"/>
        <v>-</v>
      </c>
      <c r="AC48" s="2" t="s">
        <v>230</v>
      </c>
      <c r="AD48" s="2" t="str">
        <f t="shared" si="59"/>
        <v>_</v>
      </c>
      <c r="AE48" s="2">
        <v>3</v>
      </c>
      <c r="AF48" s="2" t="str">
        <f t="shared" si="60"/>
        <v/>
      </c>
    </row>
    <row r="49" spans="2:33" x14ac:dyDescent="0.25">
      <c r="B49" s="2"/>
      <c r="AA49" s="2"/>
      <c r="AB49" s="2"/>
      <c r="AC49" s="2"/>
      <c r="AD49" s="2"/>
      <c r="AE49" s="2"/>
    </row>
    <row r="50" spans="2:33" x14ac:dyDescent="0.25">
      <c r="B50" s="2" t="str">
        <f t="shared" si="50"/>
        <v>@case_width-path_narrow_z11</v>
      </c>
      <c r="C50" s="28" t="s">
        <v>305</v>
      </c>
      <c r="D50" s="28" t="s">
        <v>306</v>
      </c>
      <c r="F50" s="28" t="s">
        <v>305</v>
      </c>
      <c r="G50" s="28" t="s">
        <v>306</v>
      </c>
      <c r="I50" s="28" t="s">
        <v>98</v>
      </c>
      <c r="L50" s="28" t="s">
        <v>98</v>
      </c>
      <c r="AA50" s="2" t="s">
        <v>81</v>
      </c>
      <c r="AB50" s="2" t="str">
        <f t="shared" ref="AB50" si="61">IF(NOT(ISBLANK(AC50)),"-","")</f>
        <v>-</v>
      </c>
      <c r="AC50" s="2" t="s">
        <v>74</v>
      </c>
      <c r="AD50" s="2" t="str">
        <f t="shared" si="59"/>
        <v>_</v>
      </c>
      <c r="AE50" s="2" t="s">
        <v>75</v>
      </c>
      <c r="AF50" s="2" t="str">
        <f t="shared" si="60"/>
        <v>_</v>
      </c>
      <c r="AG50" s="28" t="s">
        <v>73</v>
      </c>
    </row>
    <row r="51" spans="2:33" x14ac:dyDescent="0.25">
      <c r="B51" s="2" t="str">
        <f t="shared" ref="B51" si="62">_xlfn.CONCAT("@",AA51,AB51,AC51,AD51,AE51,AF51,AG51)</f>
        <v>@case_width-path_medium_z11</v>
      </c>
      <c r="C51" s="28" t="s">
        <v>87</v>
      </c>
      <c r="D51" s="28" t="s">
        <v>310</v>
      </c>
      <c r="F51" s="28" t="s">
        <v>87</v>
      </c>
      <c r="G51" s="28" t="s">
        <v>310</v>
      </c>
      <c r="I51" s="28" t="s">
        <v>99</v>
      </c>
      <c r="L51" s="28" t="s">
        <v>99</v>
      </c>
      <c r="AA51" s="2" t="s">
        <v>81</v>
      </c>
      <c r="AB51" s="2" t="str">
        <f t="shared" ref="AB51" si="63">IF(NOT(ISBLANK(AC51)),"-","")</f>
        <v>-</v>
      </c>
      <c r="AC51" s="2" t="s">
        <v>74</v>
      </c>
      <c r="AD51" s="2" t="str">
        <f t="shared" ref="AD51" si="64">IF(NOT(ISBLANK(AE51)),"_","")</f>
        <v>_</v>
      </c>
      <c r="AE51" s="2" t="s">
        <v>82</v>
      </c>
      <c r="AF51" s="2" t="str">
        <f t="shared" ref="AF51" si="65">IF(NOT(ISBLANK(AG51)),"_","")</f>
        <v>_</v>
      </c>
      <c r="AG51" s="28" t="s">
        <v>73</v>
      </c>
    </row>
    <row r="52" spans="2:33" x14ac:dyDescent="0.25">
      <c r="B52" s="2" t="str">
        <f t="shared" ref="B52:B55" si="66">_xlfn.CONCAT("@",AA52,AB52,AC52,AD52,AE52,AF52,AG52)</f>
        <v>@case_width-path_wide_z11</v>
      </c>
      <c r="C52" s="28" t="s">
        <v>306</v>
      </c>
      <c r="D52" s="28" t="s">
        <v>308</v>
      </c>
      <c r="F52" s="28" t="s">
        <v>306</v>
      </c>
      <c r="G52" s="28" t="s">
        <v>308</v>
      </c>
      <c r="I52" s="28" t="s">
        <v>87</v>
      </c>
      <c r="L52" s="28" t="s">
        <v>87</v>
      </c>
      <c r="AA52" s="2" t="s">
        <v>81</v>
      </c>
      <c r="AB52" s="2" t="str">
        <f t="shared" ref="AB52:AB55" si="67">IF(NOT(ISBLANK(AC52)),"-","")</f>
        <v>-</v>
      </c>
      <c r="AC52" s="2" t="s">
        <v>74</v>
      </c>
      <c r="AD52" s="2" t="str">
        <f t="shared" ref="AD52:AD55" si="68">IF(NOT(ISBLANK(AE52)),"_","")</f>
        <v>_</v>
      </c>
      <c r="AE52" s="2" t="s">
        <v>80</v>
      </c>
      <c r="AF52" s="2" t="str">
        <f t="shared" ref="AF52:AF55" si="69">IF(NOT(ISBLANK(AG52)),"_","")</f>
        <v>_</v>
      </c>
      <c r="AG52" s="28" t="s">
        <v>73</v>
      </c>
    </row>
    <row r="53" spans="2:33" x14ac:dyDescent="0.25">
      <c r="B53" s="2" t="str">
        <f t="shared" ref="B53" si="70">_xlfn.CONCAT("@",AA53,AB53,AC53,AD53,AE53,AF53,AG53)</f>
        <v>@case_width-path_widest_z11</v>
      </c>
      <c r="C53" s="28" t="s">
        <v>306</v>
      </c>
      <c r="D53" s="28" t="s">
        <v>308</v>
      </c>
      <c r="F53" s="28" t="s">
        <v>306</v>
      </c>
      <c r="G53" s="28" t="s">
        <v>308</v>
      </c>
      <c r="I53" s="28" t="s">
        <v>87</v>
      </c>
      <c r="L53" s="28" t="s">
        <v>87</v>
      </c>
      <c r="AA53" s="2" t="s">
        <v>81</v>
      </c>
      <c r="AB53" s="2" t="str">
        <f t="shared" ref="AB53" si="71">IF(NOT(ISBLANK(AC53)),"-","")</f>
        <v>-</v>
      </c>
      <c r="AC53" s="2" t="s">
        <v>74</v>
      </c>
      <c r="AD53" s="2" t="str">
        <f t="shared" ref="AD53" si="72">IF(NOT(ISBLANK(AE53)),"_","")</f>
        <v>_</v>
      </c>
      <c r="AE53" s="2" t="s">
        <v>307</v>
      </c>
      <c r="AF53" s="2" t="str">
        <f t="shared" ref="AF53" si="73">IF(NOT(ISBLANK(AG53)),"_","")</f>
        <v>_</v>
      </c>
      <c r="AG53" s="28" t="s">
        <v>73</v>
      </c>
    </row>
    <row r="54" spans="2:33" x14ac:dyDescent="0.25">
      <c r="B54" s="2" t="str">
        <f t="shared" si="66"/>
        <v>@case_width-path_narrow_z14</v>
      </c>
      <c r="C54" s="28" t="s">
        <v>84</v>
      </c>
      <c r="D54" s="28" t="s">
        <v>93</v>
      </c>
      <c r="F54" s="28" t="s">
        <v>84</v>
      </c>
      <c r="G54" s="28" t="s">
        <v>93</v>
      </c>
      <c r="I54" s="28" t="s">
        <v>305</v>
      </c>
      <c r="L54" s="28" t="s">
        <v>305</v>
      </c>
      <c r="AA54" s="2" t="s">
        <v>81</v>
      </c>
      <c r="AB54" s="2" t="str">
        <f t="shared" si="67"/>
        <v>-</v>
      </c>
      <c r="AC54" s="2" t="s">
        <v>74</v>
      </c>
      <c r="AD54" s="2" t="str">
        <f t="shared" si="68"/>
        <v>_</v>
      </c>
      <c r="AE54" s="2" t="s">
        <v>75</v>
      </c>
      <c r="AF54" s="2" t="str">
        <f t="shared" si="69"/>
        <v>_</v>
      </c>
      <c r="AG54" s="28" t="s">
        <v>77</v>
      </c>
    </row>
    <row r="55" spans="2:33" x14ac:dyDescent="0.25">
      <c r="B55" s="2" t="str">
        <f t="shared" si="66"/>
        <v>@case_width-path_medium_z14</v>
      </c>
      <c r="C55" s="28" t="s">
        <v>306</v>
      </c>
      <c r="D55" s="28" t="s">
        <v>308</v>
      </c>
      <c r="F55" s="28" t="s">
        <v>306</v>
      </c>
      <c r="G55" s="28" t="s">
        <v>308</v>
      </c>
      <c r="I55" s="28" t="s">
        <v>100</v>
      </c>
      <c r="L55" s="28" t="s">
        <v>100</v>
      </c>
      <c r="AA55" s="2" t="s">
        <v>81</v>
      </c>
      <c r="AB55" s="2" t="str">
        <f t="shared" si="67"/>
        <v>-</v>
      </c>
      <c r="AC55" s="2" t="s">
        <v>74</v>
      </c>
      <c r="AD55" s="2" t="str">
        <f t="shared" si="68"/>
        <v>_</v>
      </c>
      <c r="AE55" s="2" t="s">
        <v>82</v>
      </c>
      <c r="AF55" s="2" t="str">
        <f t="shared" si="69"/>
        <v>_</v>
      </c>
      <c r="AG55" s="28" t="s">
        <v>77</v>
      </c>
    </row>
    <row r="56" spans="2:33" x14ac:dyDescent="0.25">
      <c r="B56" s="2" t="str">
        <f t="shared" ref="B56:B59" si="74">_xlfn.CONCAT("@",AA56,AB56,AC56,AD56,AE56,AF56,AG56)</f>
        <v>@case_width-path_wide_z14</v>
      </c>
      <c r="C56" s="28" t="s">
        <v>310</v>
      </c>
      <c r="D56" s="28" t="s">
        <v>309</v>
      </c>
      <c r="F56" s="28" t="s">
        <v>310</v>
      </c>
      <c r="G56" s="28" t="s">
        <v>309</v>
      </c>
      <c r="I56" s="28" t="s">
        <v>101</v>
      </c>
      <c r="L56" s="28" t="s">
        <v>101</v>
      </c>
      <c r="AA56" s="2" t="s">
        <v>81</v>
      </c>
      <c r="AB56" s="2" t="str">
        <f t="shared" ref="AB56:AB59" si="75">IF(NOT(ISBLANK(AC56)),"-","")</f>
        <v>-</v>
      </c>
      <c r="AC56" s="2" t="s">
        <v>74</v>
      </c>
      <c r="AD56" s="2" t="str">
        <f t="shared" ref="AD56:AD59" si="76">IF(NOT(ISBLANK(AE56)),"_","")</f>
        <v>_</v>
      </c>
      <c r="AE56" s="2" t="s">
        <v>80</v>
      </c>
      <c r="AF56" s="2" t="str">
        <f t="shared" ref="AF56:AF59" si="77">IF(NOT(ISBLANK(AG56)),"_","")</f>
        <v>_</v>
      </c>
      <c r="AG56" s="28" t="s">
        <v>77</v>
      </c>
    </row>
    <row r="57" spans="2:33" x14ac:dyDescent="0.25">
      <c r="B57" s="2" t="str">
        <f t="shared" ref="B57" si="78">_xlfn.CONCAT("@",AA57,AB57,AC57,AD57,AE57,AF57,AG57)</f>
        <v>@case_width-path_widest_z14</v>
      </c>
      <c r="C57" s="28" t="s">
        <v>310</v>
      </c>
      <c r="D57" s="28" t="s">
        <v>309</v>
      </c>
      <c r="F57" s="28" t="s">
        <v>310</v>
      </c>
      <c r="G57" s="28" t="s">
        <v>309</v>
      </c>
      <c r="I57" s="28" t="s">
        <v>101</v>
      </c>
      <c r="L57" s="28" t="s">
        <v>101</v>
      </c>
      <c r="AA57" s="2" t="s">
        <v>81</v>
      </c>
      <c r="AB57" s="2" t="str">
        <f t="shared" ref="AB57" si="79">IF(NOT(ISBLANK(AC57)),"-","")</f>
        <v>-</v>
      </c>
      <c r="AC57" s="2" t="s">
        <v>74</v>
      </c>
      <c r="AD57" s="2" t="str">
        <f t="shared" ref="AD57" si="80">IF(NOT(ISBLANK(AE57)),"_","")</f>
        <v>_</v>
      </c>
      <c r="AE57" s="2" t="s">
        <v>307</v>
      </c>
      <c r="AF57" s="2" t="str">
        <f t="shared" ref="AF57" si="81">IF(NOT(ISBLANK(AG57)),"_","")</f>
        <v>_</v>
      </c>
      <c r="AG57" s="28" t="s">
        <v>77</v>
      </c>
    </row>
    <row r="58" spans="2:33" x14ac:dyDescent="0.25">
      <c r="B58" s="2" t="str">
        <f t="shared" si="74"/>
        <v>@case_width-path_narrow_z16</v>
      </c>
      <c r="C58" s="28" t="s">
        <v>310</v>
      </c>
      <c r="D58" s="28" t="s">
        <v>310</v>
      </c>
      <c r="F58" s="28" t="s">
        <v>310</v>
      </c>
      <c r="G58" s="28" t="s">
        <v>310</v>
      </c>
      <c r="I58" s="28" t="s">
        <v>305</v>
      </c>
      <c r="L58" s="28" t="s">
        <v>305</v>
      </c>
      <c r="AA58" s="2" t="s">
        <v>81</v>
      </c>
      <c r="AB58" s="2" t="str">
        <f t="shared" si="75"/>
        <v>-</v>
      </c>
      <c r="AC58" s="2" t="s">
        <v>74</v>
      </c>
      <c r="AD58" s="2" t="str">
        <f t="shared" si="76"/>
        <v>_</v>
      </c>
      <c r="AE58" s="2" t="s">
        <v>75</v>
      </c>
      <c r="AF58" s="2" t="str">
        <f t="shared" si="77"/>
        <v>_</v>
      </c>
      <c r="AG58" s="28" t="s">
        <v>78</v>
      </c>
    </row>
    <row r="59" spans="2:33" x14ac:dyDescent="0.25">
      <c r="B59" s="2" t="str">
        <f t="shared" si="74"/>
        <v>@case_width-path_medium_z16</v>
      </c>
      <c r="C59" s="28" t="s">
        <v>309</v>
      </c>
      <c r="D59" s="28" t="s">
        <v>309</v>
      </c>
      <c r="F59" s="28" t="s">
        <v>309</v>
      </c>
      <c r="G59" s="28" t="s">
        <v>309</v>
      </c>
      <c r="I59" s="28" t="s">
        <v>101</v>
      </c>
      <c r="L59" s="28" t="s">
        <v>101</v>
      </c>
      <c r="AA59" s="2" t="s">
        <v>81</v>
      </c>
      <c r="AB59" s="2" t="str">
        <f t="shared" si="75"/>
        <v>-</v>
      </c>
      <c r="AC59" s="2" t="s">
        <v>74</v>
      </c>
      <c r="AD59" s="2" t="str">
        <f t="shared" si="76"/>
        <v>_</v>
      </c>
      <c r="AE59" s="2" t="s">
        <v>82</v>
      </c>
      <c r="AF59" s="2" t="str">
        <f t="shared" si="77"/>
        <v>_</v>
      </c>
      <c r="AG59" s="28" t="s">
        <v>78</v>
      </c>
    </row>
    <row r="60" spans="2:33" x14ac:dyDescent="0.25">
      <c r="B60" s="2" t="str">
        <f t="shared" ref="B60:B63" si="82">_xlfn.CONCAT("@",AA60,AB60,AC60,AD60,AE60,AF60,AG60)</f>
        <v>@case_width-path_wide_z16</v>
      </c>
      <c r="C60" s="28" t="s">
        <v>311</v>
      </c>
      <c r="D60" s="28" t="s">
        <v>311</v>
      </c>
      <c r="F60" s="28" t="s">
        <v>311</v>
      </c>
      <c r="G60" s="28" t="s">
        <v>311</v>
      </c>
      <c r="I60" s="28" t="s">
        <v>102</v>
      </c>
      <c r="L60" s="28" t="s">
        <v>102</v>
      </c>
      <c r="AA60" s="2" t="s">
        <v>81</v>
      </c>
      <c r="AB60" s="2" t="str">
        <f t="shared" ref="AB60:AB63" si="83">IF(NOT(ISBLANK(AC60)),"-","")</f>
        <v>-</v>
      </c>
      <c r="AC60" s="2" t="s">
        <v>74</v>
      </c>
      <c r="AD60" s="2" t="str">
        <f t="shared" ref="AD60:AD63" si="84">IF(NOT(ISBLANK(AE60)),"_","")</f>
        <v>_</v>
      </c>
      <c r="AE60" s="2" t="s">
        <v>80</v>
      </c>
      <c r="AF60" s="2" t="str">
        <f t="shared" ref="AF60:AF63" si="85">IF(NOT(ISBLANK(AG60)),"_","")</f>
        <v>_</v>
      </c>
      <c r="AG60" s="28" t="s">
        <v>78</v>
      </c>
    </row>
    <row r="61" spans="2:33" x14ac:dyDescent="0.25">
      <c r="B61" s="2" t="str">
        <f t="shared" ref="B61" si="86">_xlfn.CONCAT("@",AA61,AB61,AC61,AD61,AE61,AF61,AG61)</f>
        <v>@case_width-path_widest_z16</v>
      </c>
      <c r="C61" s="28" t="s">
        <v>311</v>
      </c>
      <c r="D61" s="28" t="s">
        <v>311</v>
      </c>
      <c r="F61" s="28" t="s">
        <v>311</v>
      </c>
      <c r="G61" s="28" t="s">
        <v>311</v>
      </c>
      <c r="I61" s="28" t="s">
        <v>102</v>
      </c>
      <c r="L61" s="28" t="s">
        <v>102</v>
      </c>
      <c r="AA61" s="2" t="s">
        <v>81</v>
      </c>
      <c r="AB61" s="2" t="str">
        <f t="shared" ref="AB61" si="87">IF(NOT(ISBLANK(AC61)),"-","")</f>
        <v>-</v>
      </c>
      <c r="AC61" s="2" t="s">
        <v>74</v>
      </c>
      <c r="AD61" s="2" t="str">
        <f t="shared" ref="AD61" si="88">IF(NOT(ISBLANK(AE61)),"_","")</f>
        <v>_</v>
      </c>
      <c r="AE61" s="2" t="s">
        <v>307</v>
      </c>
      <c r="AF61" s="2" t="str">
        <f t="shared" ref="AF61" si="89">IF(NOT(ISBLANK(AG61)),"_","")</f>
        <v>_</v>
      </c>
      <c r="AG61" s="28" t="s">
        <v>78</v>
      </c>
    </row>
    <row r="62" spans="2:33" x14ac:dyDescent="0.25">
      <c r="B62" s="2" t="str">
        <f t="shared" si="82"/>
        <v>@case_width-path_narrow_z18</v>
      </c>
      <c r="C62" s="28" t="s">
        <v>312</v>
      </c>
      <c r="D62" s="28" t="s">
        <v>94</v>
      </c>
      <c r="F62" s="28" t="s">
        <v>312</v>
      </c>
      <c r="G62" s="28" t="s">
        <v>94</v>
      </c>
      <c r="I62" s="28" t="s">
        <v>87</v>
      </c>
      <c r="L62" s="28" t="s">
        <v>87</v>
      </c>
      <c r="AA62" s="2" t="s">
        <v>81</v>
      </c>
      <c r="AB62" s="2" t="str">
        <f t="shared" si="83"/>
        <v>-</v>
      </c>
      <c r="AC62" s="2" t="s">
        <v>74</v>
      </c>
      <c r="AD62" s="2" t="str">
        <f t="shared" si="84"/>
        <v>_</v>
      </c>
      <c r="AE62" s="2" t="s">
        <v>75</v>
      </c>
      <c r="AF62" s="2" t="str">
        <f t="shared" si="85"/>
        <v>_</v>
      </c>
      <c r="AG62" s="28" t="s">
        <v>79</v>
      </c>
    </row>
    <row r="63" spans="2:33" x14ac:dyDescent="0.25">
      <c r="B63" s="2" t="str">
        <f t="shared" si="82"/>
        <v>@case_width-path_medium_z18</v>
      </c>
      <c r="C63" s="28" t="s">
        <v>311</v>
      </c>
      <c r="D63" s="28" t="s">
        <v>96</v>
      </c>
      <c r="F63" s="28" t="s">
        <v>311</v>
      </c>
      <c r="G63" s="28" t="s">
        <v>96</v>
      </c>
      <c r="I63" s="28" t="s">
        <v>102</v>
      </c>
      <c r="L63" s="28" t="s">
        <v>102</v>
      </c>
      <c r="AA63" s="2" t="s">
        <v>81</v>
      </c>
      <c r="AB63" s="2" t="str">
        <f t="shared" si="83"/>
        <v>-</v>
      </c>
      <c r="AC63" s="2" t="s">
        <v>74</v>
      </c>
      <c r="AD63" s="2" t="str">
        <f t="shared" si="84"/>
        <v>_</v>
      </c>
      <c r="AE63" s="2" t="s">
        <v>82</v>
      </c>
      <c r="AF63" s="2" t="str">
        <f t="shared" si="85"/>
        <v>_</v>
      </c>
      <c r="AG63" s="28" t="s">
        <v>79</v>
      </c>
    </row>
    <row r="64" spans="2:33" x14ac:dyDescent="0.25">
      <c r="B64" s="2" t="str">
        <f t="shared" ref="B64" si="90">_xlfn.CONCAT("@",AA64,AB64,AC64,AD64,AE64,AF64,AG64)</f>
        <v>@case_width-path_wide_z18</v>
      </c>
      <c r="C64" s="28" t="s">
        <v>313</v>
      </c>
      <c r="D64" s="28" t="s">
        <v>97</v>
      </c>
      <c r="F64" s="28" t="s">
        <v>313</v>
      </c>
      <c r="G64" s="28" t="s">
        <v>97</v>
      </c>
      <c r="I64" s="28" t="s">
        <v>103</v>
      </c>
      <c r="L64" s="28" t="s">
        <v>103</v>
      </c>
      <c r="AA64" s="2" t="s">
        <v>81</v>
      </c>
      <c r="AB64" s="2" t="str">
        <f t="shared" ref="AB64" si="91">IF(NOT(ISBLANK(AC64)),"-","")</f>
        <v>-</v>
      </c>
      <c r="AC64" s="2" t="s">
        <v>74</v>
      </c>
      <c r="AD64" s="2" t="str">
        <f t="shared" ref="AD64" si="92">IF(NOT(ISBLANK(AE64)),"_","")</f>
        <v>_</v>
      </c>
      <c r="AE64" s="2" t="s">
        <v>80</v>
      </c>
      <c r="AF64" s="2" t="str">
        <f t="shared" ref="AF64" si="93">IF(NOT(ISBLANK(AG64)),"_","")</f>
        <v>_</v>
      </c>
      <c r="AG64" s="28" t="s">
        <v>79</v>
      </c>
    </row>
    <row r="65" spans="1:37" x14ac:dyDescent="0.25">
      <c r="B65" s="2" t="str">
        <f t="shared" ref="B65" si="94">_xlfn.CONCAT("@",AA65,AB65,AC65,AD65,AE65,AF65,AG65)</f>
        <v>@case_width-path_widest_z18</v>
      </c>
      <c r="C65" s="28" t="s">
        <v>313</v>
      </c>
      <c r="D65" s="28" t="s">
        <v>97</v>
      </c>
      <c r="F65" s="28" t="s">
        <v>313</v>
      </c>
      <c r="G65" s="28" t="s">
        <v>97</v>
      </c>
      <c r="I65" s="28" t="s">
        <v>103</v>
      </c>
      <c r="L65" s="28" t="s">
        <v>103</v>
      </c>
      <c r="AA65" s="2" t="s">
        <v>81</v>
      </c>
      <c r="AB65" s="2" t="str">
        <f t="shared" ref="AB65" si="95">IF(NOT(ISBLANK(AC65)),"-","")</f>
        <v>-</v>
      </c>
      <c r="AC65" s="2" t="s">
        <v>74</v>
      </c>
      <c r="AD65" s="2" t="str">
        <f t="shared" ref="AD65" si="96">IF(NOT(ISBLANK(AE65)),"_","")</f>
        <v>_</v>
      </c>
      <c r="AE65" s="2" t="s">
        <v>307</v>
      </c>
      <c r="AF65" s="2" t="str">
        <f t="shared" ref="AF65" si="97">IF(NOT(ISBLANK(AG65)),"_","")</f>
        <v>_</v>
      </c>
      <c r="AG65" s="28" t="s">
        <v>79</v>
      </c>
    </row>
    <row r="66" spans="1:37" x14ac:dyDescent="0.25">
      <c r="B66" s="2"/>
      <c r="AA66" s="2"/>
      <c r="AB66" s="2"/>
      <c r="AC66" s="2"/>
      <c r="AD66" s="2"/>
      <c r="AE66" s="2"/>
    </row>
    <row r="67" spans="1:37" x14ac:dyDescent="0.25">
      <c r="B67" s="2"/>
      <c r="AA67" s="2"/>
      <c r="AB67" s="2"/>
      <c r="AC67" s="2"/>
      <c r="AD67" s="2"/>
      <c r="AE67" s="2"/>
    </row>
    <row r="68" spans="1:37" x14ac:dyDescent="0.25">
      <c r="B68" s="2"/>
      <c r="AA68" s="2"/>
      <c r="AB68" s="2"/>
      <c r="AC68" s="2"/>
      <c r="AD68" s="2"/>
      <c r="AE68" s="2"/>
    </row>
    <row r="69" spans="1:37" s="2" customFormat="1" x14ac:dyDescent="0.25">
      <c r="A69" s="3" t="s">
        <v>41</v>
      </c>
      <c r="B69" s="3"/>
      <c r="C69" s="27"/>
      <c r="D69" s="6"/>
      <c r="E69" s="7"/>
      <c r="F69" s="6"/>
      <c r="G69" s="6"/>
      <c r="H69" s="7"/>
      <c r="I69" s="6"/>
      <c r="J69" s="6"/>
      <c r="K69" s="7"/>
      <c r="L69" s="6"/>
      <c r="M69" s="6"/>
      <c r="N69" s="7"/>
      <c r="O69" s="6"/>
      <c r="P69" s="6"/>
      <c r="Q69" s="7"/>
      <c r="R69" s="6"/>
      <c r="S69" s="6"/>
      <c r="T69" s="7"/>
      <c r="U69" s="6"/>
      <c r="V69" s="6"/>
      <c r="W69" s="7"/>
      <c r="X69" s="6"/>
      <c r="Y69" s="6"/>
      <c r="AA69" s="4"/>
      <c r="AB69" s="4" t="str">
        <f t="shared" si="47"/>
        <v/>
      </c>
      <c r="AC69" s="4"/>
      <c r="AD69" s="4" t="str">
        <f t="shared" si="48"/>
        <v/>
      </c>
      <c r="AE69" s="4"/>
      <c r="AF69" s="4" t="str">
        <f t="shared" si="49"/>
        <v/>
      </c>
      <c r="AG69" s="4"/>
    </row>
    <row r="70" spans="1:37" x14ac:dyDescent="0.25">
      <c r="B70" s="2" t="str">
        <f t="shared" ref="B70" si="98">_xlfn.CONCAT("@",AA70,AB70,AC70,AD70,AE70,AF70,AG70)</f>
        <v>@color-cycleway_case</v>
      </c>
      <c r="C70" s="71" t="s">
        <v>227</v>
      </c>
      <c r="D70" s="71" t="s">
        <v>227</v>
      </c>
      <c r="F70" s="72" t="s">
        <v>217</v>
      </c>
      <c r="AA70" s="2" t="s">
        <v>6</v>
      </c>
      <c r="AB70" s="2" t="str">
        <f t="shared" ref="AB70" si="99">IF(NOT(ISBLANK(AC70)),"-","")</f>
        <v>-</v>
      </c>
      <c r="AC70" s="2" t="s">
        <v>12</v>
      </c>
      <c r="AD70" s="2" t="str">
        <f t="shared" ref="AD70" si="100">IF(NOT(ISBLANK(AE70)),"_","")</f>
        <v>_</v>
      </c>
      <c r="AE70" s="2" t="s">
        <v>17</v>
      </c>
      <c r="AF70" s="2" t="str">
        <f t="shared" ref="AF70" si="101">IF(NOT(ISBLANK(AG70)),"_","")</f>
        <v/>
      </c>
    </row>
    <row r="71" spans="1:37" x14ac:dyDescent="0.25">
      <c r="B71" s="2" t="str">
        <f t="shared" ref="B71:B73" si="102">_xlfn.CONCAT("@",AA71,AB71,AC71,AD71,AE71,AF71,AG71)</f>
        <v>@color-cycleway_line</v>
      </c>
      <c r="C71" s="73" t="s">
        <v>188</v>
      </c>
      <c r="D71" s="74" t="str">
        <f>C71</f>
        <v>"#3046d7"</v>
      </c>
      <c r="AA71" s="2" t="s">
        <v>6</v>
      </c>
      <c r="AB71" s="2" t="str">
        <f t="shared" si="47"/>
        <v>-</v>
      </c>
      <c r="AC71" s="2" t="s">
        <v>12</v>
      </c>
      <c r="AD71" s="2" t="str">
        <f t="shared" si="48"/>
        <v>_</v>
      </c>
      <c r="AE71" s="2" t="s">
        <v>13</v>
      </c>
      <c r="AF71" s="2" t="str">
        <f t="shared" si="49"/>
        <v/>
      </c>
    </row>
    <row r="72" spans="1:37" x14ac:dyDescent="0.25">
      <c r="B72" s="2" t="str">
        <f t="shared" ref="B72" si="103">_xlfn.CONCAT("@",AA72,AB72,AC72,AD72,AE72,AF72,AG72)</f>
        <v>@color-footway_case</v>
      </c>
      <c r="C72" s="71" t="s">
        <v>227</v>
      </c>
      <c r="D72" s="71" t="s">
        <v>227</v>
      </c>
      <c r="F72" s="72" t="s">
        <v>217</v>
      </c>
      <c r="AA72" s="2" t="s">
        <v>6</v>
      </c>
      <c r="AB72" s="2" t="str">
        <f t="shared" ref="AB72" si="104">IF(NOT(ISBLANK(AC72)),"-","")</f>
        <v>-</v>
      </c>
      <c r="AC72" s="2" t="s">
        <v>35</v>
      </c>
      <c r="AD72" s="2" t="str">
        <f t="shared" ref="AD72" si="105">IF(NOT(ISBLANK(AE72)),"_","")</f>
        <v>_</v>
      </c>
      <c r="AE72" s="2" t="s">
        <v>17</v>
      </c>
      <c r="AF72" s="2" t="str">
        <f t="shared" ref="AF72" si="106">IF(NOT(ISBLANK(AG72)),"_","")</f>
        <v/>
      </c>
      <c r="AG72" s="2"/>
    </row>
    <row r="73" spans="1:37" x14ac:dyDescent="0.25">
      <c r="B73" s="2" t="str">
        <f t="shared" si="102"/>
        <v>@color-footway_line</v>
      </c>
      <c r="C73" s="75" t="s">
        <v>189</v>
      </c>
      <c r="D73" s="76" t="str">
        <f>C73</f>
        <v>"#a43820"</v>
      </c>
      <c r="AA73" s="2" t="s">
        <v>6</v>
      </c>
      <c r="AB73" s="2" t="str">
        <f t="shared" si="47"/>
        <v>-</v>
      </c>
      <c r="AC73" s="2" t="s">
        <v>35</v>
      </c>
      <c r="AD73" s="2" t="str">
        <f t="shared" si="48"/>
        <v>_</v>
      </c>
      <c r="AE73" s="2" t="s">
        <v>13</v>
      </c>
      <c r="AF73" s="2" t="str">
        <f t="shared" si="49"/>
        <v/>
      </c>
      <c r="AG73" s="2"/>
    </row>
    <row r="74" spans="1:37" x14ac:dyDescent="0.25">
      <c r="AA74" s="2"/>
      <c r="AB74" s="2" t="str">
        <f t="shared" si="47"/>
        <v/>
      </c>
      <c r="AC74" s="2"/>
      <c r="AD74" s="2" t="str">
        <f t="shared" si="48"/>
        <v/>
      </c>
      <c r="AE74" s="2"/>
      <c r="AF74" s="28" t="str">
        <f t="shared" si="49"/>
        <v/>
      </c>
    </row>
    <row r="75" spans="1:37" s="2" customFormat="1" x14ac:dyDescent="0.25">
      <c r="A75" s="3" t="s">
        <v>42</v>
      </c>
      <c r="B75" s="3"/>
      <c r="C75" s="27"/>
      <c r="D75" s="6"/>
      <c r="E75" s="7"/>
      <c r="F75" s="6"/>
      <c r="G75" s="6"/>
      <c r="H75" s="7"/>
      <c r="I75" s="6"/>
      <c r="J75" s="6"/>
      <c r="K75" s="7"/>
      <c r="L75" s="6"/>
      <c r="M75" s="6"/>
      <c r="N75" s="7"/>
      <c r="O75" s="6"/>
      <c r="P75" s="6"/>
      <c r="Q75" s="7"/>
      <c r="R75" s="6"/>
      <c r="S75" s="6"/>
      <c r="T75" s="7"/>
      <c r="U75" s="6"/>
      <c r="V75" s="6"/>
      <c r="W75" s="7"/>
      <c r="X75" s="6"/>
      <c r="Y75" s="6"/>
      <c r="AA75" s="4"/>
      <c r="AB75" s="4" t="str">
        <f t="shared" si="47"/>
        <v/>
      </c>
      <c r="AC75" s="4"/>
      <c r="AD75" s="4" t="str">
        <f t="shared" si="48"/>
        <v/>
      </c>
      <c r="AE75" s="4"/>
      <c r="AF75" s="4" t="str">
        <f t="shared" si="49"/>
        <v/>
      </c>
      <c r="AG75" s="4"/>
    </row>
    <row r="76" spans="1:37" x14ac:dyDescent="0.25">
      <c r="B76" s="2" t="str">
        <f t="shared" ref="B76:B79" si="107">_xlfn.CONCAT("@",AA76,AB76,AC76,AD76,AE76,AF76,AG76)</f>
        <v>@color-obstacle_vegetation</v>
      </c>
      <c r="C76" s="77" t="s">
        <v>190</v>
      </c>
      <c r="D76" s="78" t="str">
        <f>C76</f>
        <v>"#4a9100"</v>
      </c>
      <c r="AA76" s="2" t="s">
        <v>6</v>
      </c>
      <c r="AB76" s="2" t="str">
        <f t="shared" si="47"/>
        <v>-</v>
      </c>
      <c r="AC76" s="2" t="s">
        <v>36</v>
      </c>
      <c r="AD76" s="2" t="str">
        <f t="shared" si="48"/>
        <v>_</v>
      </c>
      <c r="AE76" s="2" t="s">
        <v>37</v>
      </c>
      <c r="AF76" s="2" t="str">
        <f t="shared" si="49"/>
        <v/>
      </c>
      <c r="AG76" s="2"/>
      <c r="AH76" s="2"/>
      <c r="AI76" s="2"/>
      <c r="AJ76" s="2"/>
      <c r="AK76" s="2"/>
    </row>
    <row r="77" spans="1:37" x14ac:dyDescent="0.25">
      <c r="B77" s="2" t="str">
        <f t="shared" si="107"/>
        <v>@color-surface_mud</v>
      </c>
      <c r="C77" s="79" t="s">
        <v>191</v>
      </c>
      <c r="D77" s="80" t="str">
        <f>C77</f>
        <v>"#0e84ed"</v>
      </c>
      <c r="AA77" s="2" t="s">
        <v>6</v>
      </c>
      <c r="AB77" s="2" t="str">
        <f t="shared" si="47"/>
        <v>-</v>
      </c>
      <c r="AC77" s="2" t="s">
        <v>38</v>
      </c>
      <c r="AD77" s="2" t="str">
        <f t="shared" si="48"/>
        <v>_</v>
      </c>
      <c r="AE77" s="2" t="s">
        <v>39</v>
      </c>
      <c r="AF77" s="2" t="str">
        <f t="shared" si="49"/>
        <v/>
      </c>
      <c r="AG77" s="2"/>
    </row>
    <row r="78" spans="1:37" x14ac:dyDescent="0.25">
      <c r="B78" s="2" t="str">
        <f t="shared" si="107"/>
        <v>@color-access_no</v>
      </c>
      <c r="C78" s="81" t="s">
        <v>192</v>
      </c>
      <c r="D78" s="82" t="str">
        <f>C78</f>
        <v>"#ff003d"</v>
      </c>
      <c r="AA78" s="2" t="s">
        <v>6</v>
      </c>
      <c r="AB78" s="2" t="str">
        <f t="shared" si="47"/>
        <v>-</v>
      </c>
      <c r="AC78" s="2" t="s">
        <v>43</v>
      </c>
      <c r="AD78" s="2" t="str">
        <f t="shared" si="48"/>
        <v>_</v>
      </c>
      <c r="AE78" s="2" t="s">
        <v>44</v>
      </c>
      <c r="AF78" s="2" t="str">
        <f t="shared" si="49"/>
        <v/>
      </c>
      <c r="AG78" s="2"/>
    </row>
    <row r="79" spans="1:37" x14ac:dyDescent="0.25">
      <c r="B79" s="2" t="str">
        <f t="shared" si="107"/>
        <v>@color-access_discouraged</v>
      </c>
      <c r="C79" s="83" t="s">
        <v>193</v>
      </c>
      <c r="D79" s="84" t="str">
        <f>C79</f>
        <v>"#ff6a00"</v>
      </c>
      <c r="AA79" s="2" t="s">
        <v>6</v>
      </c>
      <c r="AB79" s="2" t="str">
        <f t="shared" si="47"/>
        <v>-</v>
      </c>
      <c r="AC79" s="2" t="s">
        <v>43</v>
      </c>
      <c r="AD79" s="2" t="str">
        <f t="shared" si="48"/>
        <v>_</v>
      </c>
      <c r="AE79" s="2" t="s">
        <v>45</v>
      </c>
      <c r="AF79" s="2" t="str">
        <f t="shared" si="49"/>
        <v/>
      </c>
      <c r="AG79" s="2"/>
    </row>
    <row r="80" spans="1:37" x14ac:dyDescent="0.25">
      <c r="AB80" s="28" t="str">
        <f t="shared" ref="AB80:AB82" si="108">IF(NOT(ISBLANK(AC80)),"-","")</f>
        <v/>
      </c>
      <c r="AD80" s="28" t="str">
        <f t="shared" ref="AD80:AD82" si="109">IF(NOT(ISBLANK(AE80)),"_","")</f>
        <v/>
      </c>
      <c r="AF80" s="28" t="str">
        <f t="shared" ref="AF80:AF82" si="110">IF(NOT(ISBLANK(AG80)),"_","")</f>
        <v/>
      </c>
    </row>
    <row r="81" spans="1:33" s="2" customFormat="1" x14ac:dyDescent="0.25">
      <c r="A81" s="3" t="s">
        <v>277</v>
      </c>
      <c r="B81" s="3"/>
      <c r="C81" s="27"/>
      <c r="D81" s="6"/>
      <c r="E81" s="7"/>
      <c r="F81" s="6"/>
      <c r="G81" s="6"/>
      <c r="H81" s="7"/>
      <c r="I81" s="6"/>
      <c r="J81" s="6"/>
      <c r="K81" s="7"/>
      <c r="L81" s="6"/>
      <c r="M81" s="6"/>
      <c r="N81" s="7"/>
      <c r="O81" s="6"/>
      <c r="P81" s="6"/>
      <c r="Q81" s="7"/>
      <c r="R81" s="6"/>
      <c r="S81" s="6"/>
      <c r="T81" s="7"/>
      <c r="U81" s="6"/>
      <c r="V81" s="6"/>
      <c r="W81" s="7"/>
      <c r="X81" s="6"/>
      <c r="Y81" s="6"/>
      <c r="AA81" s="4"/>
      <c r="AB81" s="4" t="str">
        <f t="shared" si="108"/>
        <v/>
      </c>
      <c r="AC81" s="4"/>
      <c r="AD81" s="4" t="str">
        <f t="shared" si="109"/>
        <v/>
      </c>
      <c r="AE81" s="4"/>
      <c r="AF81" s="4" t="str">
        <f t="shared" si="110"/>
        <v/>
      </c>
      <c r="AG81" s="4"/>
    </row>
    <row r="82" spans="1:33" x14ac:dyDescent="0.25">
      <c r="B82" s="2" t="str">
        <f t="shared" ref="B82" si="111">_xlfn.CONCAT("@",AA82,AB82,AC82,AD82,AE82,AF82,AG82)</f>
        <v>@color-building_area_residential</v>
      </c>
      <c r="C82" s="85" t="s">
        <v>264</v>
      </c>
      <c r="F82" s="86" t="s">
        <v>254</v>
      </c>
      <c r="AA82" s="2" t="s">
        <v>6</v>
      </c>
      <c r="AB82" s="2" t="str">
        <f t="shared" si="108"/>
        <v>-</v>
      </c>
      <c r="AC82" s="2" t="s">
        <v>260</v>
      </c>
      <c r="AD82" s="2" t="str">
        <f t="shared" si="109"/>
        <v>_</v>
      </c>
      <c r="AE82" s="2" t="s">
        <v>266</v>
      </c>
      <c r="AF82" s="2" t="str">
        <f t="shared" si="110"/>
        <v>_</v>
      </c>
      <c r="AG82" s="2" t="s">
        <v>67</v>
      </c>
    </row>
    <row r="83" spans="1:33" x14ac:dyDescent="0.25">
      <c r="B83" s="2" t="str">
        <f t="shared" ref="B83" si="112">_xlfn.CONCAT("@",AA83,AB83,AC83,AD83,AE83,AF83,AG83)</f>
        <v>@color-building_area_generic</v>
      </c>
      <c r="C83" s="87" t="s">
        <v>263</v>
      </c>
      <c r="F83" s="88" t="s">
        <v>261</v>
      </c>
      <c r="AA83" s="2" t="s">
        <v>6</v>
      </c>
      <c r="AB83" s="2" t="str">
        <f t="shared" ref="AB83" si="113">IF(NOT(ISBLANK(AC83)),"-","")</f>
        <v>-</v>
      </c>
      <c r="AC83" s="2" t="s">
        <v>260</v>
      </c>
      <c r="AD83" s="2" t="str">
        <f t="shared" ref="AD83" si="114">IF(NOT(ISBLANK(AE83)),"_","")</f>
        <v>_</v>
      </c>
      <c r="AE83" s="2" t="s">
        <v>266</v>
      </c>
      <c r="AF83" s="2" t="str">
        <f t="shared" ref="AF83" si="115">IF(NOT(ISBLANK(AG83)),"_","")</f>
        <v>_</v>
      </c>
      <c r="AG83" s="2" t="s">
        <v>262</v>
      </c>
    </row>
    <row r="84" spans="1:33" x14ac:dyDescent="0.25">
      <c r="B84" s="2" t="str">
        <f t="shared" ref="B84" si="116">_xlfn.CONCAT("@",AA84,AB84,AC84,AD84,AE84,AF84,AG84)</f>
        <v>@color-building_line_top</v>
      </c>
      <c r="C84" s="87" t="s">
        <v>263</v>
      </c>
      <c r="F84" s="88" t="s">
        <v>261</v>
      </c>
      <c r="AA84" s="2" t="s">
        <v>6</v>
      </c>
      <c r="AB84" s="2" t="str">
        <f t="shared" ref="AB84" si="117">IF(NOT(ISBLANK(AC84)),"-","")</f>
        <v>-</v>
      </c>
      <c r="AC84" s="2" t="s">
        <v>260</v>
      </c>
      <c r="AD84" s="2" t="str">
        <f t="shared" ref="AD84" si="118">IF(NOT(ISBLANK(AE84)),"_","")</f>
        <v>_</v>
      </c>
      <c r="AE84" s="2" t="s">
        <v>13</v>
      </c>
      <c r="AF84" s="2" t="str">
        <f t="shared" ref="AF84" si="119">IF(NOT(ISBLANK(AG84)),"_","")</f>
        <v>_</v>
      </c>
      <c r="AG84" s="2" t="s">
        <v>265</v>
      </c>
    </row>
    <row r="85" spans="1:33" x14ac:dyDescent="0.25">
      <c r="B85" s="2" t="str">
        <f>_xlfn.CONCAT("@",AA85,AB85,AC85,AD85,AE85,AF85,AG85)</f>
        <v>@color-contours_line</v>
      </c>
      <c r="C85" s="89" t="s">
        <v>194</v>
      </c>
      <c r="D85" s="90" t="str">
        <f>C85</f>
        <v>"#916f4c"</v>
      </c>
      <c r="F85" s="91" t="s">
        <v>278</v>
      </c>
      <c r="G85" s="91" t="s">
        <v>278</v>
      </c>
      <c r="AA85" s="2" t="s">
        <v>6</v>
      </c>
      <c r="AB85" s="2" t="str">
        <f>IF(NOT(ISBLANK(AC85)),"-","")</f>
        <v>-</v>
      </c>
      <c r="AC85" s="2" t="s">
        <v>70</v>
      </c>
      <c r="AD85" s="2" t="str">
        <f>IF(NOT(ISBLANK(AE85)),"_","")</f>
        <v>_</v>
      </c>
      <c r="AE85" s="2" t="s">
        <v>13</v>
      </c>
      <c r="AF85" s="2" t="str">
        <f>IF(NOT(ISBLANK(AG85)),"_","")</f>
        <v/>
      </c>
      <c r="AG85" s="2"/>
    </row>
    <row r="86" spans="1:33" x14ac:dyDescent="0.25">
      <c r="B86" s="2" t="str">
        <f>_xlfn.CONCAT("@",AA86,AB86,AC86,AD86,AE86,AF86,AG86)</f>
        <v>@color-cliff_line</v>
      </c>
      <c r="C86" s="72" t="s">
        <v>217</v>
      </c>
      <c r="D86" s="72" t="s">
        <v>217</v>
      </c>
      <c r="F86" s="71" t="s">
        <v>227</v>
      </c>
      <c r="G86" s="71" t="s">
        <v>227</v>
      </c>
      <c r="AA86" s="2" t="s">
        <v>6</v>
      </c>
      <c r="AB86" s="2" t="str">
        <f>IF(NOT(ISBLANK(AC86)),"-","")</f>
        <v>-</v>
      </c>
      <c r="AC86" s="2" t="s">
        <v>279</v>
      </c>
      <c r="AD86" s="2" t="str">
        <f>IF(NOT(ISBLANK(AE86)),"_","")</f>
        <v>_</v>
      </c>
      <c r="AE86" s="2" t="s">
        <v>13</v>
      </c>
      <c r="AF86" s="2" t="str">
        <f>IF(NOT(ISBLANK(AG86)),"_","")</f>
        <v/>
      </c>
      <c r="AG86" s="2"/>
    </row>
    <row r="87" spans="1:33" x14ac:dyDescent="0.25">
      <c r="AB87" s="28" t="str">
        <f t="shared" si="47"/>
        <v/>
      </c>
      <c r="AD87" s="28" t="str">
        <f t="shared" si="48"/>
        <v/>
      </c>
      <c r="AF87" s="28" t="str">
        <f t="shared" si="49"/>
        <v/>
      </c>
    </row>
    <row r="88" spans="1:33" s="2" customFormat="1" x14ac:dyDescent="0.25">
      <c r="A88" s="3" t="s">
        <v>259</v>
      </c>
      <c r="B88" s="3"/>
      <c r="C88" s="27"/>
      <c r="D88" s="6"/>
      <c r="E88" s="7"/>
      <c r="F88" s="6"/>
      <c r="G88" s="6"/>
      <c r="H88" s="7"/>
      <c r="I88" s="6"/>
      <c r="J88" s="6"/>
      <c r="K88" s="7"/>
      <c r="L88" s="6"/>
      <c r="M88" s="6"/>
      <c r="N88" s="7"/>
      <c r="O88" s="6"/>
      <c r="P88" s="6"/>
      <c r="Q88" s="7"/>
      <c r="R88" s="6"/>
      <c r="S88" s="6"/>
      <c r="T88" s="7"/>
      <c r="U88" s="6"/>
      <c r="V88" s="6"/>
      <c r="W88" s="7"/>
      <c r="X88" s="6"/>
      <c r="Y88" s="6"/>
      <c r="AA88" s="4"/>
      <c r="AB88" s="4" t="str">
        <f t="shared" si="47"/>
        <v/>
      </c>
      <c r="AC88" s="4"/>
      <c r="AD88" s="4" t="str">
        <f t="shared" si="48"/>
        <v/>
      </c>
      <c r="AE88" s="4"/>
      <c r="AF88" s="4" t="str">
        <f t="shared" si="49"/>
        <v/>
      </c>
      <c r="AG88" s="4"/>
    </row>
    <row r="89" spans="1:33" x14ac:dyDescent="0.25">
      <c r="B89" s="2" t="str">
        <f t="shared" ref="B89:B109" si="120">_xlfn.CONCAT("@",AA89,AB89,AC89,AD89,AE89,AF89,AG89)</f>
        <v>@color-background</v>
      </c>
      <c r="C89" s="92" t="s">
        <v>195</v>
      </c>
      <c r="F89" s="72" t="s">
        <v>217</v>
      </c>
      <c r="AA89" s="2" t="s">
        <v>6</v>
      </c>
      <c r="AB89" s="2" t="str">
        <f t="shared" si="47"/>
        <v>-</v>
      </c>
      <c r="AC89" s="2" t="s">
        <v>69</v>
      </c>
      <c r="AD89" s="2" t="str">
        <f t="shared" si="48"/>
        <v/>
      </c>
      <c r="AE89" s="2"/>
      <c r="AF89" s="2" t="str">
        <f t="shared" si="49"/>
        <v/>
      </c>
      <c r="AG89" s="2"/>
    </row>
    <row r="90" spans="1:33" x14ac:dyDescent="0.25">
      <c r="B90" s="2" t="str">
        <f t="shared" si="120"/>
        <v>@color-water</v>
      </c>
      <c r="C90" s="93" t="s">
        <v>196</v>
      </c>
      <c r="D90" s="94" t="s">
        <v>197</v>
      </c>
      <c r="F90" s="95" t="s">
        <v>242</v>
      </c>
      <c r="AA90" s="2" t="s">
        <v>6</v>
      </c>
      <c r="AB90" s="2" t="str">
        <f t="shared" si="47"/>
        <v>-</v>
      </c>
      <c r="AC90" s="2" t="s">
        <v>14</v>
      </c>
      <c r="AD90" s="2" t="str">
        <f t="shared" si="48"/>
        <v/>
      </c>
      <c r="AE90" s="2"/>
      <c r="AF90" s="2" t="str">
        <f t="shared" si="49"/>
        <v/>
      </c>
      <c r="AG90" s="2"/>
    </row>
    <row r="91" spans="1:33" x14ac:dyDescent="0.25">
      <c r="B91" s="2" t="str">
        <f t="shared" si="120"/>
        <v>@color-landcover_field</v>
      </c>
      <c r="C91" s="96" t="s">
        <v>198</v>
      </c>
      <c r="D91" s="97" t="s">
        <v>199</v>
      </c>
      <c r="F91" s="98" t="s">
        <v>245</v>
      </c>
      <c r="AA91" s="2" t="s">
        <v>6</v>
      </c>
      <c r="AB91" s="2" t="str">
        <f t="shared" si="47"/>
        <v>-</v>
      </c>
      <c r="AC91" s="2" t="s">
        <v>54</v>
      </c>
      <c r="AD91" s="2" t="str">
        <f t="shared" si="48"/>
        <v>_</v>
      </c>
      <c r="AE91" s="2" t="s">
        <v>49</v>
      </c>
      <c r="AF91" s="2" t="str">
        <f t="shared" si="49"/>
        <v/>
      </c>
      <c r="AG91" s="2"/>
    </row>
    <row r="92" spans="1:33" x14ac:dyDescent="0.25">
      <c r="B92" s="2" t="str">
        <f t="shared" si="120"/>
        <v>@color-landcover_meadow</v>
      </c>
      <c r="C92" s="99" t="s">
        <v>200</v>
      </c>
      <c r="D92" s="100" t="s">
        <v>201</v>
      </c>
      <c r="F92" s="101" t="s">
        <v>244</v>
      </c>
      <c r="AA92" s="2" t="s">
        <v>6</v>
      </c>
      <c r="AB92" s="2" t="str">
        <f t="shared" si="47"/>
        <v>-</v>
      </c>
      <c r="AC92" s="2" t="s">
        <v>54</v>
      </c>
      <c r="AD92" s="2" t="str">
        <f t="shared" si="48"/>
        <v>_</v>
      </c>
      <c r="AE92" s="2" t="s">
        <v>50</v>
      </c>
      <c r="AF92" s="2" t="str">
        <f t="shared" si="49"/>
        <v/>
      </c>
      <c r="AG92" s="2"/>
    </row>
    <row r="93" spans="1:33" x14ac:dyDescent="0.25">
      <c r="B93" s="2" t="str">
        <f t="shared" si="120"/>
        <v>@color-landcover_bare_rock</v>
      </c>
      <c r="C93" s="102" t="s">
        <v>202</v>
      </c>
      <c r="F93" s="103" t="s">
        <v>249</v>
      </c>
      <c r="AA93" s="2" t="s">
        <v>6</v>
      </c>
      <c r="AB93" s="2" t="str">
        <f t="shared" si="47"/>
        <v>-</v>
      </c>
      <c r="AC93" s="2" t="s">
        <v>54</v>
      </c>
      <c r="AD93" s="2" t="str">
        <f t="shared" si="48"/>
        <v>_</v>
      </c>
      <c r="AE93" s="2" t="s">
        <v>51</v>
      </c>
      <c r="AF93" s="2" t="str">
        <f t="shared" si="49"/>
        <v/>
      </c>
      <c r="AG93" s="2"/>
    </row>
    <row r="94" spans="1:33" x14ac:dyDescent="0.25">
      <c r="B94" s="2" t="str">
        <f t="shared" si="120"/>
        <v>@color-landcover_sand</v>
      </c>
      <c r="C94" s="104" t="s">
        <v>203</v>
      </c>
      <c r="F94" s="105" t="s">
        <v>250</v>
      </c>
      <c r="AA94" s="2" t="s">
        <v>6</v>
      </c>
      <c r="AB94" s="2" t="str">
        <f t="shared" si="47"/>
        <v>-</v>
      </c>
      <c r="AC94" s="2" t="s">
        <v>54</v>
      </c>
      <c r="AD94" s="2" t="str">
        <f t="shared" si="48"/>
        <v>_</v>
      </c>
      <c r="AE94" s="2" t="s">
        <v>52</v>
      </c>
      <c r="AF94" s="2" t="str">
        <f t="shared" si="49"/>
        <v/>
      </c>
      <c r="AG94" s="2"/>
    </row>
    <row r="95" spans="1:33" x14ac:dyDescent="0.25">
      <c r="B95" s="2" t="str">
        <f t="shared" si="120"/>
        <v>@color-landcover_allotments</v>
      </c>
      <c r="C95" s="106" t="s">
        <v>204</v>
      </c>
      <c r="F95" s="107" t="s">
        <v>251</v>
      </c>
      <c r="AA95" s="2" t="s">
        <v>6</v>
      </c>
      <c r="AB95" s="2" t="str">
        <f t="shared" si="47"/>
        <v>-</v>
      </c>
      <c r="AC95" s="2" t="s">
        <v>54</v>
      </c>
      <c r="AD95" s="2" t="str">
        <f t="shared" si="48"/>
        <v>_</v>
      </c>
      <c r="AE95" s="2" t="s">
        <v>53</v>
      </c>
      <c r="AF95" s="2" t="str">
        <f t="shared" si="49"/>
        <v/>
      </c>
      <c r="AG95" s="2"/>
    </row>
    <row r="96" spans="1:33" x14ac:dyDescent="0.25">
      <c r="B96" s="2" t="str">
        <f t="shared" si="120"/>
        <v>@color-landcover_heath_fell</v>
      </c>
      <c r="C96" s="108" t="s">
        <v>205</v>
      </c>
      <c r="F96" s="109" t="s">
        <v>252</v>
      </c>
      <c r="AA96" s="2" t="s">
        <v>6</v>
      </c>
      <c r="AB96" s="2" t="str">
        <f t="shared" si="47"/>
        <v>-</v>
      </c>
      <c r="AC96" s="2" t="s">
        <v>54</v>
      </c>
      <c r="AD96" s="2" t="str">
        <f t="shared" si="48"/>
        <v>_</v>
      </c>
      <c r="AE96" s="2" t="s">
        <v>55</v>
      </c>
      <c r="AF96" s="2" t="str">
        <f t="shared" si="49"/>
        <v/>
      </c>
      <c r="AG96" s="2"/>
    </row>
    <row r="97" spans="2:33" x14ac:dyDescent="0.25">
      <c r="B97" s="2" t="str">
        <f t="shared" si="120"/>
        <v>@color-landcover_grass</v>
      </c>
      <c r="C97" s="110" t="s">
        <v>206</v>
      </c>
      <c r="F97" s="111" t="s">
        <v>284</v>
      </c>
      <c r="AA97" s="2" t="s">
        <v>6</v>
      </c>
      <c r="AB97" s="2" t="str">
        <f t="shared" si="47"/>
        <v>-</v>
      </c>
      <c r="AC97" s="2" t="s">
        <v>54</v>
      </c>
      <c r="AD97" s="2" t="str">
        <f t="shared" si="48"/>
        <v>_</v>
      </c>
      <c r="AE97" s="2" t="s">
        <v>56</v>
      </c>
      <c r="AF97" s="2" t="str">
        <f t="shared" si="49"/>
        <v/>
      </c>
      <c r="AG97" s="2"/>
    </row>
    <row r="98" spans="2:33" x14ac:dyDescent="0.25">
      <c r="B98" s="2" t="str">
        <f t="shared" si="120"/>
        <v>@color-landcover_quarry</v>
      </c>
      <c r="C98" s="112" t="s">
        <v>207</v>
      </c>
      <c r="F98" s="113" t="s">
        <v>253</v>
      </c>
      <c r="AA98" s="2" t="s">
        <v>6</v>
      </c>
      <c r="AB98" s="2" t="str">
        <f t="shared" si="47"/>
        <v>-</v>
      </c>
      <c r="AC98" s="2" t="s">
        <v>54</v>
      </c>
      <c r="AD98" s="2" t="str">
        <f t="shared" si="48"/>
        <v>_</v>
      </c>
      <c r="AE98" s="2" t="s">
        <v>57</v>
      </c>
      <c r="AF98" s="2" t="str">
        <f t="shared" si="49"/>
        <v/>
      </c>
      <c r="AG98" s="2"/>
    </row>
    <row r="99" spans="2:33" x14ac:dyDescent="0.25">
      <c r="B99" s="2" t="str">
        <f t="shared" si="120"/>
        <v>@color-landcover_storage</v>
      </c>
      <c r="C99" s="114" t="s">
        <v>208</v>
      </c>
      <c r="F99" s="115" t="s">
        <v>267</v>
      </c>
      <c r="AA99" s="2" t="s">
        <v>6</v>
      </c>
      <c r="AB99" s="2" t="str">
        <f t="shared" si="47"/>
        <v>-</v>
      </c>
      <c r="AC99" s="2" t="s">
        <v>54</v>
      </c>
      <c r="AD99" s="2" t="str">
        <f t="shared" si="48"/>
        <v>_</v>
      </c>
      <c r="AE99" s="2" t="s">
        <v>58</v>
      </c>
      <c r="AF99" s="2" t="str">
        <f t="shared" si="49"/>
        <v/>
      </c>
      <c r="AG99" s="2"/>
    </row>
    <row r="100" spans="2:33" x14ac:dyDescent="0.25">
      <c r="B100" s="2" t="str">
        <f t="shared" si="120"/>
        <v>@color-landcover_wood</v>
      </c>
      <c r="C100" s="116" t="s">
        <v>209</v>
      </c>
      <c r="F100" s="117" t="s">
        <v>243</v>
      </c>
      <c r="AA100" s="2" t="s">
        <v>6</v>
      </c>
      <c r="AB100" s="2" t="str">
        <f t="shared" si="47"/>
        <v>-</v>
      </c>
      <c r="AC100" s="2" t="s">
        <v>54</v>
      </c>
      <c r="AD100" s="2" t="str">
        <f t="shared" si="48"/>
        <v>_</v>
      </c>
      <c r="AE100" s="2" t="s">
        <v>59</v>
      </c>
      <c r="AF100" s="2" t="str">
        <f t="shared" si="49"/>
        <v/>
      </c>
      <c r="AG100" s="2"/>
    </row>
    <row r="101" spans="2:33" x14ac:dyDescent="0.25">
      <c r="B101" s="2" t="str">
        <f t="shared" si="120"/>
        <v>@color-landcover_parking_area</v>
      </c>
      <c r="C101" s="118" t="s">
        <v>210</v>
      </c>
      <c r="F101" s="119" t="s">
        <v>254</v>
      </c>
      <c r="AA101" s="2" t="s">
        <v>6</v>
      </c>
      <c r="AB101" s="2" t="str">
        <f t="shared" si="47"/>
        <v>-</v>
      </c>
      <c r="AC101" s="2" t="s">
        <v>54</v>
      </c>
      <c r="AD101" s="2" t="str">
        <f t="shared" si="48"/>
        <v>_</v>
      </c>
      <c r="AE101" s="2" t="s">
        <v>60</v>
      </c>
      <c r="AF101" s="2" t="str">
        <f t="shared" si="49"/>
        <v/>
      </c>
      <c r="AG101" s="2"/>
    </row>
    <row r="102" spans="2:33" x14ac:dyDescent="0.25">
      <c r="B102" s="2" t="str">
        <f t="shared" si="120"/>
        <v>@color-landcover_railway</v>
      </c>
      <c r="C102" s="120" t="s">
        <v>211</v>
      </c>
      <c r="F102" s="121" t="s">
        <v>255</v>
      </c>
      <c r="AA102" s="2" t="s">
        <v>6</v>
      </c>
      <c r="AB102" s="2" t="str">
        <f t="shared" si="47"/>
        <v>-</v>
      </c>
      <c r="AC102" s="2" t="s">
        <v>54</v>
      </c>
      <c r="AD102" s="2" t="str">
        <f t="shared" si="48"/>
        <v>_</v>
      </c>
      <c r="AE102" s="2" t="s">
        <v>61</v>
      </c>
      <c r="AF102" s="2" t="str">
        <f t="shared" si="49"/>
        <v/>
      </c>
      <c r="AG102" s="2"/>
    </row>
    <row r="103" spans="2:33" x14ac:dyDescent="0.25">
      <c r="B103" s="2" t="str">
        <f t="shared" si="120"/>
        <v>@color-landcover_school</v>
      </c>
      <c r="C103" s="122" t="s">
        <v>213</v>
      </c>
      <c r="F103" s="115" t="s">
        <v>267</v>
      </c>
      <c r="AA103" s="2" t="s">
        <v>6</v>
      </c>
      <c r="AB103" s="2" t="str">
        <f t="shared" si="47"/>
        <v>-</v>
      </c>
      <c r="AC103" s="2" t="s">
        <v>54</v>
      </c>
      <c r="AD103" s="2" t="str">
        <f t="shared" si="48"/>
        <v>_</v>
      </c>
      <c r="AE103" s="2" t="s">
        <v>62</v>
      </c>
      <c r="AF103" s="2" t="str">
        <f t="shared" si="49"/>
        <v/>
      </c>
      <c r="AG103" s="2"/>
    </row>
    <row r="104" spans="2:33" x14ac:dyDescent="0.25">
      <c r="B104" s="2" t="str">
        <f t="shared" si="120"/>
        <v>@color-landcover_cemetery</v>
      </c>
      <c r="C104" s="123" t="s">
        <v>212</v>
      </c>
      <c r="F104" s="124" t="s">
        <v>256</v>
      </c>
      <c r="AA104" s="2" t="s">
        <v>6</v>
      </c>
      <c r="AB104" s="2" t="str">
        <f t="shared" si="47"/>
        <v>-</v>
      </c>
      <c r="AC104" s="2" t="s">
        <v>54</v>
      </c>
      <c r="AD104" s="2" t="str">
        <f t="shared" si="48"/>
        <v>_</v>
      </c>
      <c r="AE104" s="2" t="s">
        <v>64</v>
      </c>
      <c r="AF104" s="2" t="str">
        <f t="shared" si="49"/>
        <v/>
      </c>
      <c r="AG104" s="2"/>
    </row>
    <row r="105" spans="2:33" x14ac:dyDescent="0.25">
      <c r="B105" s="2" t="str">
        <f t="shared" si="120"/>
        <v>@color-landcover_hospital</v>
      </c>
      <c r="C105" s="122" t="s">
        <v>213</v>
      </c>
      <c r="F105" s="115" t="s">
        <v>267</v>
      </c>
      <c r="AA105" s="2" t="s">
        <v>6</v>
      </c>
      <c r="AB105" s="2" t="str">
        <f t="shared" si="47"/>
        <v>-</v>
      </c>
      <c r="AC105" s="2" t="s">
        <v>54</v>
      </c>
      <c r="AD105" s="2" t="str">
        <f t="shared" si="48"/>
        <v>_</v>
      </c>
      <c r="AE105" s="2" t="s">
        <v>63</v>
      </c>
      <c r="AF105" s="2" t="str">
        <f t="shared" si="49"/>
        <v/>
      </c>
      <c r="AG105" s="2"/>
    </row>
    <row r="106" spans="2:33" x14ac:dyDescent="0.25">
      <c r="B106" s="2" t="str">
        <f t="shared" si="120"/>
        <v>@color-landcover_industrial</v>
      </c>
      <c r="C106" s="122" t="s">
        <v>213</v>
      </c>
      <c r="F106" s="115" t="s">
        <v>267</v>
      </c>
      <c r="AA106" s="2" t="s">
        <v>6</v>
      </c>
      <c r="AB106" s="2" t="str">
        <f t="shared" si="47"/>
        <v>-</v>
      </c>
      <c r="AC106" s="2" t="s">
        <v>54</v>
      </c>
      <c r="AD106" s="2" t="str">
        <f t="shared" si="48"/>
        <v>_</v>
      </c>
      <c r="AE106" s="2" t="s">
        <v>65</v>
      </c>
      <c r="AF106" s="2" t="str">
        <f t="shared" si="49"/>
        <v/>
      </c>
      <c r="AG106" s="2"/>
    </row>
    <row r="107" spans="2:33" x14ac:dyDescent="0.25">
      <c r="B107" s="2" t="str">
        <f t="shared" si="120"/>
        <v>@color-landcover_commercial</v>
      </c>
      <c r="C107" s="122" t="s">
        <v>213</v>
      </c>
      <c r="F107" s="115" t="s">
        <v>267</v>
      </c>
      <c r="AA107" s="2" t="s">
        <v>6</v>
      </c>
      <c r="AB107" s="2" t="str">
        <f t="shared" si="47"/>
        <v>-</v>
      </c>
      <c r="AC107" s="2" t="s">
        <v>54</v>
      </c>
      <c r="AD107" s="2" t="str">
        <f t="shared" si="48"/>
        <v>_</v>
      </c>
      <c r="AE107" s="2" t="s">
        <v>66</v>
      </c>
      <c r="AF107" s="2" t="str">
        <f t="shared" si="49"/>
        <v/>
      </c>
      <c r="AG107" s="2"/>
    </row>
    <row r="108" spans="2:33" x14ac:dyDescent="0.25">
      <c r="B108" s="2" t="str">
        <f t="shared" si="120"/>
        <v>@color-landcover_residential</v>
      </c>
      <c r="C108" s="122" t="s">
        <v>213</v>
      </c>
      <c r="F108" s="115" t="s">
        <v>267</v>
      </c>
      <c r="AA108" s="2" t="s">
        <v>6</v>
      </c>
      <c r="AB108" s="2" t="str">
        <f t="shared" si="47"/>
        <v>-</v>
      </c>
      <c r="AC108" s="2" t="s">
        <v>54</v>
      </c>
      <c r="AD108" s="2" t="str">
        <f t="shared" si="48"/>
        <v>_</v>
      </c>
      <c r="AE108" s="2" t="s">
        <v>67</v>
      </c>
      <c r="AF108" s="2" t="str">
        <f t="shared" si="49"/>
        <v/>
      </c>
      <c r="AG108" s="2"/>
    </row>
    <row r="109" spans="2:33" x14ac:dyDescent="0.25">
      <c r="B109" s="2" t="str">
        <f t="shared" si="120"/>
        <v>@color-landcover_built-up</v>
      </c>
      <c r="C109" s="122" t="s">
        <v>213</v>
      </c>
      <c r="F109" s="115" t="s">
        <v>267</v>
      </c>
      <c r="AA109" s="2" t="s">
        <v>6</v>
      </c>
      <c r="AB109" s="2" t="str">
        <f t="shared" si="47"/>
        <v>-</v>
      </c>
      <c r="AC109" s="2" t="s">
        <v>54</v>
      </c>
      <c r="AD109" s="2" t="str">
        <f t="shared" si="48"/>
        <v>_</v>
      </c>
      <c r="AE109" s="2" t="s">
        <v>68</v>
      </c>
      <c r="AF109" s="2" t="str">
        <f t="shared" si="49"/>
        <v/>
      </c>
      <c r="AG109" s="2"/>
    </row>
    <row r="110" spans="2:33" x14ac:dyDescent="0.25">
      <c r="B110" s="2" t="str">
        <f t="shared" ref="B110:B113" si="121">_xlfn.CONCAT("@",AA110,AB110,AC110,AD110,AE110,AF110,AG110)</f>
        <v>@color-landcover_ice_shelf</v>
      </c>
      <c r="C110" s="92" t="s">
        <v>195</v>
      </c>
      <c r="F110" s="125" t="s">
        <v>257</v>
      </c>
      <c r="AA110" s="2" t="s">
        <v>6</v>
      </c>
      <c r="AB110" s="2" t="str">
        <f t="shared" ref="AB110:AB113" si="122">IF(NOT(ISBLANK(AC110)),"-","")</f>
        <v>-</v>
      </c>
      <c r="AC110" s="2" t="s">
        <v>54</v>
      </c>
      <c r="AD110" s="2" t="str">
        <f t="shared" ref="AD110:AD113" si="123">IF(NOT(ISBLANK(AE110)),"_","")</f>
        <v>_</v>
      </c>
      <c r="AE110" s="2" t="s">
        <v>246</v>
      </c>
      <c r="AF110" s="2" t="str">
        <f t="shared" ref="AF110:AF113" si="124">IF(NOT(ISBLANK(AG110)),"_","")</f>
        <v/>
      </c>
      <c r="AG110" s="2"/>
    </row>
    <row r="111" spans="2:33" x14ac:dyDescent="0.25">
      <c r="B111" s="2" t="str">
        <f t="shared" ref="B111" si="125">_xlfn.CONCAT("@",AA111,AB111,AC111,AD111,AE111,AF111,AG111)</f>
        <v>@color-landcover_glacier</v>
      </c>
      <c r="C111" s="92" t="s">
        <v>195</v>
      </c>
      <c r="F111" s="125" t="s">
        <v>257</v>
      </c>
      <c r="AA111" s="2" t="s">
        <v>6</v>
      </c>
      <c r="AB111" s="2" t="str">
        <f t="shared" ref="AB111" si="126">IF(NOT(ISBLANK(AC111)),"-","")</f>
        <v>-</v>
      </c>
      <c r="AC111" s="2" t="s">
        <v>54</v>
      </c>
      <c r="AD111" s="2" t="str">
        <f t="shared" ref="AD111" si="127">IF(NOT(ISBLANK(AE111)),"_","")</f>
        <v>_</v>
      </c>
      <c r="AE111" s="2" t="s">
        <v>272</v>
      </c>
      <c r="AF111" s="2" t="str">
        <f t="shared" ref="AF111" si="128">IF(NOT(ISBLANK(AG111)),"_","")</f>
        <v/>
      </c>
      <c r="AG111" s="2"/>
    </row>
    <row r="112" spans="2:33" x14ac:dyDescent="0.25">
      <c r="B112" s="2" t="str">
        <f t="shared" si="121"/>
        <v>@color-landcover_sport_play</v>
      </c>
      <c r="C112" s="126" t="s">
        <v>248</v>
      </c>
      <c r="F112" s="127" t="s">
        <v>258</v>
      </c>
      <c r="AA112" s="2" t="s">
        <v>6</v>
      </c>
      <c r="AB112" s="2" t="str">
        <f t="shared" si="122"/>
        <v>-</v>
      </c>
      <c r="AC112" s="2" t="s">
        <v>54</v>
      </c>
      <c r="AD112" s="2" t="str">
        <f t="shared" si="123"/>
        <v>_</v>
      </c>
      <c r="AE112" s="2" t="s">
        <v>247</v>
      </c>
      <c r="AF112" s="2" t="str">
        <f t="shared" si="124"/>
        <v/>
      </c>
      <c r="AG112" s="2"/>
    </row>
    <row r="113" spans="1:33" x14ac:dyDescent="0.25">
      <c r="B113" s="2" t="str">
        <f t="shared" si="121"/>
        <v>@color-landcover_line_generic</v>
      </c>
      <c r="C113" s="128" t="s">
        <v>268</v>
      </c>
      <c r="F113" s="115" t="s">
        <v>267</v>
      </c>
      <c r="AA113" s="2" t="s">
        <v>6</v>
      </c>
      <c r="AB113" s="2" t="str">
        <f t="shared" si="122"/>
        <v>-</v>
      </c>
      <c r="AC113" s="2" t="s">
        <v>54</v>
      </c>
      <c r="AD113" s="2" t="str">
        <f t="shared" si="123"/>
        <v>_</v>
      </c>
      <c r="AE113" s="2" t="s">
        <v>13</v>
      </c>
      <c r="AF113" s="2" t="str">
        <f t="shared" si="124"/>
        <v>_</v>
      </c>
      <c r="AG113" s="2" t="s">
        <v>262</v>
      </c>
    </row>
    <row r="114" spans="1:33" x14ac:dyDescent="0.25">
      <c r="AB114" s="28" t="str">
        <f t="shared" si="47"/>
        <v/>
      </c>
      <c r="AD114" s="28" t="str">
        <f t="shared" si="48"/>
        <v/>
      </c>
      <c r="AF114" s="28" t="str">
        <f t="shared" si="49"/>
        <v/>
      </c>
    </row>
    <row r="115" spans="1:33" s="2" customFormat="1" x14ac:dyDescent="0.25">
      <c r="A115" s="3" t="s">
        <v>46</v>
      </c>
      <c r="B115" s="3"/>
      <c r="C115" s="27"/>
      <c r="D115" s="6"/>
      <c r="E115" s="7"/>
      <c r="F115" s="6"/>
      <c r="G115" s="6"/>
      <c r="H115" s="7"/>
      <c r="I115" s="6"/>
      <c r="J115" s="6"/>
      <c r="K115" s="7"/>
      <c r="L115" s="6"/>
      <c r="M115" s="6"/>
      <c r="N115" s="7"/>
      <c r="O115" s="6"/>
      <c r="P115" s="6"/>
      <c r="Q115" s="7"/>
      <c r="R115" s="6"/>
      <c r="S115" s="6"/>
      <c r="T115" s="7"/>
      <c r="U115" s="6"/>
      <c r="V115" s="6"/>
      <c r="W115" s="7"/>
      <c r="X115" s="6"/>
      <c r="Y115" s="6"/>
      <c r="AA115" s="4"/>
      <c r="AB115" s="4" t="str">
        <f t="shared" si="47"/>
        <v/>
      </c>
      <c r="AC115" s="4"/>
      <c r="AD115" s="4" t="str">
        <f t="shared" si="48"/>
        <v/>
      </c>
      <c r="AE115" s="4"/>
      <c r="AF115" s="4" t="str">
        <f t="shared" si="49"/>
        <v/>
      </c>
      <c r="AG115" s="4"/>
    </row>
    <row r="116" spans="1:33" x14ac:dyDescent="0.25">
      <c r="B116" s="2" t="str">
        <f t="shared" ref="B116:B118" si="129">_xlfn.CONCAT("@",AA116,AB116,AC116,AD116,AE116,AF116,AG116)</f>
        <v>@color-motorway_case_farzoom</v>
      </c>
      <c r="C116" s="129" t="s">
        <v>214</v>
      </c>
      <c r="D116" s="72" t="s">
        <v>217</v>
      </c>
      <c r="F116" s="72" t="s">
        <v>217</v>
      </c>
      <c r="G116" s="72" t="s">
        <v>217</v>
      </c>
      <c r="I116" s="130" t="str">
        <f>C116</f>
        <v>"#bf440f"</v>
      </c>
      <c r="J116" s="72" t="s">
        <v>217</v>
      </c>
      <c r="U116" s="130" t="str">
        <f>C116</f>
        <v>"#bf440f"</v>
      </c>
      <c r="AA116" s="2" t="s">
        <v>6</v>
      </c>
      <c r="AB116" s="2" t="str">
        <f t="shared" si="47"/>
        <v>-</v>
      </c>
      <c r="AC116" s="2" t="s">
        <v>16</v>
      </c>
      <c r="AD116" s="2" t="str">
        <f t="shared" si="48"/>
        <v>_</v>
      </c>
      <c r="AE116" s="2" t="s">
        <v>17</v>
      </c>
      <c r="AF116" s="2" t="str">
        <f t="shared" si="49"/>
        <v>_</v>
      </c>
      <c r="AG116" s="2" t="s">
        <v>21</v>
      </c>
    </row>
    <row r="117" spans="1:33" x14ac:dyDescent="0.25">
      <c r="B117" s="2" t="str">
        <f t="shared" si="129"/>
        <v>@color-motorway_case_default</v>
      </c>
      <c r="C117" s="131" t="s">
        <v>215</v>
      </c>
      <c r="D117" s="72" t="s">
        <v>217</v>
      </c>
      <c r="F117" s="72" t="s">
        <v>217</v>
      </c>
      <c r="G117" s="72" t="s">
        <v>217</v>
      </c>
      <c r="I117" s="132" t="str">
        <f>C117</f>
        <v>"#a15412"</v>
      </c>
      <c r="J117" s="72" t="s">
        <v>217</v>
      </c>
      <c r="U117" s="132" t="str">
        <f>C117</f>
        <v>"#a15412"</v>
      </c>
      <c r="AA117" s="2" t="s">
        <v>6</v>
      </c>
      <c r="AB117" s="2" t="str">
        <f t="shared" si="47"/>
        <v>-</v>
      </c>
      <c r="AC117" s="2" t="s">
        <v>16</v>
      </c>
      <c r="AD117" s="2" t="str">
        <f t="shared" si="48"/>
        <v>_</v>
      </c>
      <c r="AE117" s="2" t="s">
        <v>17</v>
      </c>
      <c r="AF117" s="2" t="str">
        <f t="shared" si="49"/>
        <v>_</v>
      </c>
      <c r="AG117" s="2" t="s">
        <v>269</v>
      </c>
    </row>
    <row r="118" spans="1:33" x14ac:dyDescent="0.25">
      <c r="B118" s="2" t="str">
        <f t="shared" si="129"/>
        <v>@color-motorway_line_default</v>
      </c>
      <c r="C118" s="133" t="s">
        <v>216</v>
      </c>
      <c r="D118" s="134" t="s">
        <v>218</v>
      </c>
      <c r="F118" s="134" t="s">
        <v>218</v>
      </c>
      <c r="G118" s="134" t="s">
        <v>218</v>
      </c>
      <c r="I118" s="135" t="str">
        <f>C118</f>
        <v>"#ffcc88"</v>
      </c>
      <c r="J118" s="136" t="str">
        <f>D118</f>
        <v>"#d6771e"</v>
      </c>
      <c r="U118" s="135" t="str">
        <f>C118</f>
        <v>"#ffcc88"</v>
      </c>
      <c r="AA118" s="2" t="s">
        <v>6</v>
      </c>
      <c r="AB118" s="2" t="str">
        <f t="shared" si="47"/>
        <v>-</v>
      </c>
      <c r="AC118" s="2" t="s">
        <v>16</v>
      </c>
      <c r="AD118" s="2" t="str">
        <f t="shared" si="48"/>
        <v>_</v>
      </c>
      <c r="AE118" s="2" t="s">
        <v>13</v>
      </c>
      <c r="AF118" s="2" t="str">
        <f t="shared" si="49"/>
        <v>_</v>
      </c>
      <c r="AG118" s="2" t="s">
        <v>269</v>
      </c>
    </row>
    <row r="119" spans="1:33" x14ac:dyDescent="0.25">
      <c r="AB119" s="28" t="str">
        <f t="shared" si="47"/>
        <v/>
      </c>
      <c r="AD119" s="28" t="str">
        <f t="shared" si="48"/>
        <v/>
      </c>
      <c r="AF119" s="28" t="str">
        <f t="shared" si="49"/>
        <v/>
      </c>
    </row>
    <row r="120" spans="1:33" s="2" customFormat="1" x14ac:dyDescent="0.25">
      <c r="A120" s="3" t="s">
        <v>48</v>
      </c>
      <c r="B120" s="3"/>
      <c r="C120" s="27"/>
      <c r="D120" s="6"/>
      <c r="E120" s="7"/>
      <c r="F120" s="6"/>
      <c r="G120" s="6"/>
      <c r="H120" s="7"/>
      <c r="I120" s="6"/>
      <c r="J120" s="6"/>
      <c r="K120" s="7"/>
      <c r="L120" s="6"/>
      <c r="M120" s="6"/>
      <c r="N120" s="7"/>
      <c r="O120" s="6"/>
      <c r="P120" s="6"/>
      <c r="Q120" s="7"/>
      <c r="R120" s="6"/>
      <c r="S120" s="6"/>
      <c r="T120" s="7"/>
      <c r="U120" s="6"/>
      <c r="V120" s="6"/>
      <c r="W120" s="7"/>
      <c r="X120" s="6"/>
      <c r="Y120" s="6"/>
      <c r="AA120" s="4"/>
      <c r="AB120" s="4" t="str">
        <f t="shared" si="47"/>
        <v/>
      </c>
      <c r="AC120" s="4"/>
      <c r="AD120" s="4" t="str">
        <f t="shared" si="48"/>
        <v/>
      </c>
      <c r="AE120" s="4"/>
      <c r="AF120" s="4" t="str">
        <f t="shared" si="49"/>
        <v/>
      </c>
      <c r="AG120" s="4"/>
    </row>
    <row r="121" spans="1:33" x14ac:dyDescent="0.25">
      <c r="B121" s="2" t="str">
        <f t="shared" ref="B121" si="130">_xlfn.CONCAT("@",AA121,AB121,AC121,AD121,AE121,AF121,AG121)</f>
        <v>@color-trunk_case_bicycle_no</v>
      </c>
      <c r="C121" s="137" t="s">
        <v>231</v>
      </c>
      <c r="D121" s="72" t="s">
        <v>217</v>
      </c>
      <c r="F121" s="72" t="s">
        <v>217</v>
      </c>
      <c r="G121" s="72" t="s">
        <v>217</v>
      </c>
      <c r="I121" s="138" t="str">
        <f>C121</f>
        <v>"#bd430f"</v>
      </c>
      <c r="J121" s="37" t="str">
        <f>D121</f>
        <v>"#000000"</v>
      </c>
      <c r="U121" s="138" t="str">
        <f>C121</f>
        <v>"#bd430f"</v>
      </c>
      <c r="V121" s="37" t="str">
        <f>D121</f>
        <v>"#000000"</v>
      </c>
      <c r="AA121" s="28" t="s">
        <v>6</v>
      </c>
      <c r="AB121" s="2" t="str">
        <f t="shared" si="47"/>
        <v>-</v>
      </c>
      <c r="AC121" s="2" t="s">
        <v>19</v>
      </c>
      <c r="AD121" s="2" t="str">
        <f t="shared" ref="AD121" si="131">IF(NOT(ISBLANK(AE121)),"_","")</f>
        <v>_</v>
      </c>
      <c r="AE121" s="28" t="s">
        <v>17</v>
      </c>
      <c r="AF121" s="2" t="str">
        <f t="shared" ref="AF121" si="132">IF(NOT(ISBLANK(AG121)),"_","")</f>
        <v>_</v>
      </c>
      <c r="AG121" s="28" t="s">
        <v>24</v>
      </c>
    </row>
    <row r="122" spans="1:33" x14ac:dyDescent="0.25">
      <c r="B122" s="2" t="str">
        <f>_xlfn.CONCAT("@",AA122,AB122,AC122,AD122,AE122,AF122,AG122)</f>
        <v>@color-trunk_case_unpaved_farzoom</v>
      </c>
      <c r="C122" s="139" t="s">
        <v>232</v>
      </c>
      <c r="D122" s="140" t="s">
        <v>236</v>
      </c>
      <c r="F122" s="72" t="s">
        <v>217</v>
      </c>
      <c r="G122" s="72" t="s">
        <v>217</v>
      </c>
      <c r="I122" s="139" t="s">
        <v>232</v>
      </c>
      <c r="J122" s="140" t="s">
        <v>236</v>
      </c>
      <c r="U122" s="44"/>
      <c r="V122" s="44"/>
      <c r="X122" s="44"/>
      <c r="Y122" s="44"/>
      <c r="AA122" s="28" t="s">
        <v>6</v>
      </c>
      <c r="AB122" s="2" t="str">
        <f>IF(NOT(ISBLANK(AC122)),"-","")</f>
        <v>-</v>
      </c>
      <c r="AC122" s="2" t="s">
        <v>19</v>
      </c>
      <c r="AD122" s="2" t="str">
        <f>IF(NOT(ISBLANK(AE122)),"_","")</f>
        <v>_</v>
      </c>
      <c r="AE122" s="28" t="s">
        <v>17</v>
      </c>
      <c r="AF122" s="2" t="str">
        <f>IF(NOT(ISBLANK(AG122)),"_","")</f>
        <v>_</v>
      </c>
      <c r="AG122" s="28" t="s">
        <v>235</v>
      </c>
    </row>
    <row r="123" spans="1:33" x14ac:dyDescent="0.25">
      <c r="B123" s="2" t="str">
        <f t="shared" ref="B123:B218" si="133">_xlfn.CONCAT("@",AA123,AB123,AC123,AD123,AE123,AF123,AG123)</f>
        <v>@color-trunk_case_unpaved_default</v>
      </c>
      <c r="C123" s="141" t="s">
        <v>220</v>
      </c>
      <c r="D123" s="72" t="s">
        <v>217</v>
      </c>
      <c r="F123" s="72" t="s">
        <v>217</v>
      </c>
      <c r="G123" s="72" t="s">
        <v>217</v>
      </c>
      <c r="I123" s="141" t="s">
        <v>220</v>
      </c>
      <c r="J123" s="72" t="s">
        <v>217</v>
      </c>
      <c r="U123" s="44"/>
      <c r="V123" s="44"/>
      <c r="X123" s="44"/>
      <c r="Y123" s="44"/>
      <c r="AA123" s="28" t="s">
        <v>6</v>
      </c>
      <c r="AB123" s="28" t="str">
        <f t="shared" si="47"/>
        <v>-</v>
      </c>
      <c r="AC123" s="2" t="s">
        <v>19</v>
      </c>
      <c r="AD123" s="28" t="str">
        <f t="shared" si="48"/>
        <v>_</v>
      </c>
      <c r="AE123" s="28" t="s">
        <v>17</v>
      </c>
      <c r="AF123" s="28" t="str">
        <f t="shared" si="49"/>
        <v>_</v>
      </c>
      <c r="AG123" s="28" t="s">
        <v>270</v>
      </c>
    </row>
    <row r="124" spans="1:33" x14ac:dyDescent="0.25">
      <c r="B124" s="2" t="str">
        <f t="shared" ref="B124" si="134">_xlfn.CONCAT("@",AA124,AB124,AC124,AD124,AE124,AF124,AG124)</f>
        <v>@color-trunk_case_paved_or_uk_farzoom</v>
      </c>
      <c r="C124" s="142" t="s">
        <v>233</v>
      </c>
      <c r="D124" s="72" t="s">
        <v>217</v>
      </c>
      <c r="F124" s="72" t="s">
        <v>217</v>
      </c>
      <c r="G124" s="72" t="s">
        <v>217</v>
      </c>
      <c r="I124" s="142" t="s">
        <v>233</v>
      </c>
      <c r="J124" s="72" t="s">
        <v>217</v>
      </c>
      <c r="U124" s="44"/>
      <c r="V124" s="44"/>
      <c r="X124" s="44"/>
      <c r="Y124" s="44"/>
      <c r="AA124" s="2" t="s">
        <v>6</v>
      </c>
      <c r="AB124" s="2" t="str">
        <f t="shared" si="47"/>
        <v>-</v>
      </c>
      <c r="AC124" s="2" t="s">
        <v>19</v>
      </c>
      <c r="AD124" s="2" t="str">
        <f t="shared" si="48"/>
        <v>_</v>
      </c>
      <c r="AE124" s="2" t="s">
        <v>17</v>
      </c>
      <c r="AF124" s="2" t="str">
        <f t="shared" si="49"/>
        <v>_</v>
      </c>
      <c r="AG124" s="2" t="s">
        <v>234</v>
      </c>
    </row>
    <row r="125" spans="1:33" x14ac:dyDescent="0.25">
      <c r="B125" s="2" t="str">
        <f t="shared" si="133"/>
        <v>@color-trunk_case_paved_or_uk_default</v>
      </c>
      <c r="C125" s="143" t="s">
        <v>221</v>
      </c>
      <c r="D125" s="72" t="s">
        <v>217</v>
      </c>
      <c r="F125" s="72" t="s">
        <v>217</v>
      </c>
      <c r="G125" s="72" t="s">
        <v>217</v>
      </c>
      <c r="I125" s="143" t="s">
        <v>221</v>
      </c>
      <c r="J125" s="72" t="s">
        <v>217</v>
      </c>
      <c r="U125" s="44"/>
      <c r="V125" s="44"/>
      <c r="X125" s="44"/>
      <c r="Y125" s="44"/>
      <c r="AA125" s="2" t="s">
        <v>6</v>
      </c>
      <c r="AB125" s="2" t="str">
        <f t="shared" si="47"/>
        <v>-</v>
      </c>
      <c r="AC125" s="2" t="s">
        <v>19</v>
      </c>
      <c r="AD125" s="2" t="str">
        <f t="shared" si="48"/>
        <v>_</v>
      </c>
      <c r="AE125" s="2" t="s">
        <v>17</v>
      </c>
      <c r="AF125" s="2" t="str">
        <f t="shared" si="49"/>
        <v>_</v>
      </c>
      <c r="AG125" s="2" t="s">
        <v>271</v>
      </c>
    </row>
    <row r="126" spans="1:33" x14ac:dyDescent="0.25">
      <c r="B126" s="2" t="str">
        <f t="shared" si="133"/>
        <v>@color-trunk_line_default</v>
      </c>
      <c r="C126" s="144" t="s">
        <v>222</v>
      </c>
      <c r="D126" s="145" t="s">
        <v>223</v>
      </c>
      <c r="F126" s="144" t="s">
        <v>222</v>
      </c>
      <c r="G126" s="145" t="s">
        <v>223</v>
      </c>
      <c r="I126" s="44"/>
      <c r="J126" s="44"/>
      <c r="L126" s="44"/>
      <c r="M126" s="44"/>
      <c r="U126" s="146" t="str">
        <f>C126</f>
        <v>"#ffeeaa"</v>
      </c>
      <c r="V126" s="147" t="str">
        <f>D126</f>
        <v>"#ffc72e"</v>
      </c>
      <c r="AA126" s="2" t="s">
        <v>6</v>
      </c>
      <c r="AB126" s="2" t="str">
        <f t="shared" si="47"/>
        <v>-</v>
      </c>
      <c r="AC126" s="2" t="s">
        <v>19</v>
      </c>
      <c r="AD126" s="2" t="str">
        <f t="shared" si="48"/>
        <v>_</v>
      </c>
      <c r="AE126" s="2" t="s">
        <v>13</v>
      </c>
      <c r="AF126" s="2" t="str">
        <f t="shared" si="49"/>
        <v>_</v>
      </c>
      <c r="AG126" s="2" t="s">
        <v>269</v>
      </c>
    </row>
    <row r="127" spans="1:33" x14ac:dyDescent="0.25">
      <c r="B127" s="2" t="str">
        <f t="shared" si="133"/>
        <v>@color-trunk_line_bicycle_no</v>
      </c>
      <c r="C127" s="133" t="s">
        <v>216</v>
      </c>
      <c r="D127" s="134" t="s">
        <v>218</v>
      </c>
      <c r="F127" s="133" t="s">
        <v>216</v>
      </c>
      <c r="G127" s="134" t="s">
        <v>218</v>
      </c>
      <c r="I127" s="135" t="str">
        <f>C127</f>
        <v>"#ffcc88"</v>
      </c>
      <c r="J127" s="136" t="str">
        <f>D127</f>
        <v>"#d6771e"</v>
      </c>
      <c r="U127" s="135" t="str">
        <f>C127</f>
        <v>"#ffcc88"</v>
      </c>
      <c r="V127" s="136" t="str">
        <f>D127</f>
        <v>"#d6771e"</v>
      </c>
      <c r="AA127" s="2" t="s">
        <v>6</v>
      </c>
      <c r="AB127" s="2" t="str">
        <f t="shared" si="47"/>
        <v>-</v>
      </c>
      <c r="AC127" s="2" t="s">
        <v>19</v>
      </c>
      <c r="AD127" s="2" t="str">
        <f t="shared" si="48"/>
        <v>_</v>
      </c>
      <c r="AE127" s="2" t="s">
        <v>13</v>
      </c>
      <c r="AF127" s="2" t="str">
        <f t="shared" si="49"/>
        <v>_</v>
      </c>
      <c r="AG127" s="2" t="s">
        <v>24</v>
      </c>
    </row>
    <row r="128" spans="1:33" x14ac:dyDescent="0.25">
      <c r="B128" s="2" t="str">
        <f t="shared" si="133"/>
        <v>@color-trunk_line_unpaved_default</v>
      </c>
      <c r="C128" s="148" t="s">
        <v>226</v>
      </c>
      <c r="D128" s="149" t="str">
        <f>C128</f>
        <v>"#eddfca"</v>
      </c>
      <c r="F128" s="148" t="s">
        <v>226</v>
      </c>
      <c r="G128" s="149" t="str">
        <f>F128</f>
        <v>"#eddfca"</v>
      </c>
      <c r="I128" s="148" t="s">
        <v>226</v>
      </c>
      <c r="J128" s="149" t="str">
        <f>I128</f>
        <v>"#eddfca"</v>
      </c>
      <c r="U128" s="44"/>
      <c r="V128" s="44"/>
      <c r="X128" s="44"/>
      <c r="Y128" s="44"/>
      <c r="AA128" s="2" t="s">
        <v>6</v>
      </c>
      <c r="AB128" s="2" t="str">
        <f t="shared" si="47"/>
        <v>-</v>
      </c>
      <c r="AC128" s="2" t="s">
        <v>19</v>
      </c>
      <c r="AD128" s="2" t="str">
        <f t="shared" si="48"/>
        <v>_</v>
      </c>
      <c r="AE128" s="2" t="s">
        <v>13</v>
      </c>
      <c r="AF128" s="2" t="str">
        <f t="shared" si="49"/>
        <v>_</v>
      </c>
      <c r="AG128" s="2" t="s">
        <v>270</v>
      </c>
    </row>
    <row r="129" spans="1:33" x14ac:dyDescent="0.25">
      <c r="B129" s="2" t="str">
        <f t="shared" si="133"/>
        <v>@color-trunk_line_paved_or_uk_default</v>
      </c>
      <c r="C129" s="71" t="s">
        <v>227</v>
      </c>
      <c r="D129" s="38" t="str">
        <f>C129</f>
        <v>"#ffffff"</v>
      </c>
      <c r="F129" s="71" t="s">
        <v>227</v>
      </c>
      <c r="G129" s="38" t="str">
        <f>F129</f>
        <v>"#ffffff"</v>
      </c>
      <c r="I129" s="71" t="s">
        <v>227</v>
      </c>
      <c r="J129" s="38" t="str">
        <f>I129</f>
        <v>"#ffffff"</v>
      </c>
      <c r="U129" s="44"/>
      <c r="V129" s="44"/>
      <c r="X129" s="44"/>
      <c r="Y129" s="44"/>
      <c r="AA129" s="28" t="s">
        <v>6</v>
      </c>
      <c r="AB129" s="28" t="str">
        <f t="shared" si="47"/>
        <v>-</v>
      </c>
      <c r="AC129" s="28" t="s">
        <v>19</v>
      </c>
      <c r="AD129" s="28" t="str">
        <f t="shared" si="48"/>
        <v>_</v>
      </c>
      <c r="AE129" s="28" t="s">
        <v>13</v>
      </c>
      <c r="AF129" s="28" t="str">
        <f t="shared" si="49"/>
        <v>_</v>
      </c>
      <c r="AG129" s="28" t="s">
        <v>271</v>
      </c>
    </row>
    <row r="130" spans="1:33" x14ac:dyDescent="0.25">
      <c r="B130" s="2"/>
      <c r="AB130" s="28" t="str">
        <f t="shared" si="47"/>
        <v/>
      </c>
      <c r="AD130" s="28" t="str">
        <f t="shared" si="48"/>
        <v/>
      </c>
      <c r="AF130" s="28" t="str">
        <f t="shared" si="49"/>
        <v/>
      </c>
    </row>
    <row r="131" spans="1:33" s="2" customFormat="1" x14ac:dyDescent="0.25">
      <c r="A131" s="3" t="s">
        <v>47</v>
      </c>
      <c r="B131" s="3"/>
      <c r="C131" s="27"/>
      <c r="D131" s="6"/>
      <c r="E131" s="7"/>
      <c r="F131" s="6"/>
      <c r="G131" s="6"/>
      <c r="H131" s="7"/>
      <c r="I131" s="6"/>
      <c r="J131" s="6"/>
      <c r="K131" s="7"/>
      <c r="L131" s="6"/>
      <c r="M131" s="6"/>
      <c r="N131" s="7"/>
      <c r="O131" s="6"/>
      <c r="P131" s="6"/>
      <c r="Q131" s="7"/>
      <c r="R131" s="6"/>
      <c r="S131" s="6"/>
      <c r="T131" s="7"/>
      <c r="U131" s="6"/>
      <c r="V131" s="6"/>
      <c r="W131" s="7"/>
      <c r="X131" s="6"/>
      <c r="Y131" s="6"/>
      <c r="AA131" s="4"/>
      <c r="AB131" s="4" t="str">
        <f t="shared" si="47"/>
        <v/>
      </c>
      <c r="AC131" s="4"/>
      <c r="AD131" s="4" t="str">
        <f t="shared" si="48"/>
        <v/>
      </c>
      <c r="AE131" s="4"/>
      <c r="AF131" s="4" t="str">
        <f t="shared" si="49"/>
        <v/>
      </c>
      <c r="AG131" s="4"/>
    </row>
    <row r="132" spans="1:33" x14ac:dyDescent="0.25">
      <c r="B132" s="2" t="str">
        <f t="shared" si="133"/>
        <v>@color-primary_case_bicycle_no</v>
      </c>
      <c r="C132" s="137" t="s">
        <v>231</v>
      </c>
      <c r="D132" s="72" t="s">
        <v>217</v>
      </c>
      <c r="F132" s="72" t="s">
        <v>217</v>
      </c>
      <c r="G132" s="72" t="s">
        <v>217</v>
      </c>
      <c r="I132" s="138" t="str">
        <f>C132</f>
        <v>"#bd430f"</v>
      </c>
      <c r="J132" s="37" t="str">
        <f>D132</f>
        <v>"#000000"</v>
      </c>
      <c r="U132" s="138" t="str">
        <f>C132</f>
        <v>"#bd430f"</v>
      </c>
      <c r="V132" s="37" t="str">
        <f>D132</f>
        <v>"#000000"</v>
      </c>
      <c r="AA132" s="28" t="s">
        <v>6</v>
      </c>
      <c r="AB132" s="2" t="str">
        <f t="shared" ref="AB132:AB199" si="135">IF(NOT(ISBLANK(AC132)),"-","")</f>
        <v>-</v>
      </c>
      <c r="AC132" s="2" t="s">
        <v>26</v>
      </c>
      <c r="AD132" s="2" t="str">
        <f t="shared" si="48"/>
        <v>_</v>
      </c>
      <c r="AE132" s="28" t="s">
        <v>17</v>
      </c>
      <c r="AF132" s="2" t="str">
        <f t="shared" si="49"/>
        <v>_</v>
      </c>
      <c r="AG132" s="28" t="s">
        <v>24</v>
      </c>
    </row>
    <row r="133" spans="1:33" x14ac:dyDescent="0.25">
      <c r="B133" s="2" t="str">
        <f>_xlfn.CONCAT("@",AA133,AB133,AC133,AD133,AE133,AF133,AG133)</f>
        <v>@color-primary_case_unpaved_farzoom</v>
      </c>
      <c r="C133" s="139" t="s">
        <v>232</v>
      </c>
      <c r="D133" s="140" t="s">
        <v>236</v>
      </c>
      <c r="F133" s="72" t="s">
        <v>217</v>
      </c>
      <c r="G133" s="72" t="s">
        <v>217</v>
      </c>
      <c r="I133" s="139" t="s">
        <v>232</v>
      </c>
      <c r="J133" s="140" t="s">
        <v>236</v>
      </c>
      <c r="U133" s="44"/>
      <c r="V133" s="44"/>
      <c r="X133" s="44"/>
      <c r="Y133" s="44"/>
      <c r="AA133" s="28" t="s">
        <v>6</v>
      </c>
      <c r="AB133" s="2" t="str">
        <f>IF(NOT(ISBLANK(AC133)),"-","")</f>
        <v>-</v>
      </c>
      <c r="AC133" s="2" t="s">
        <v>26</v>
      </c>
      <c r="AD133" s="2" t="str">
        <f>IF(NOT(ISBLANK(AE133)),"_","")</f>
        <v>_</v>
      </c>
      <c r="AE133" s="28" t="s">
        <v>17</v>
      </c>
      <c r="AF133" s="2" t="str">
        <f>IF(NOT(ISBLANK(AG133)),"_","")</f>
        <v>_</v>
      </c>
      <c r="AG133" s="28" t="s">
        <v>235</v>
      </c>
    </row>
    <row r="134" spans="1:33" x14ac:dyDescent="0.25">
      <c r="B134" s="2" t="str">
        <f t="shared" si="133"/>
        <v>@color-primary_case_unpaved_default</v>
      </c>
      <c r="C134" s="141" t="s">
        <v>220</v>
      </c>
      <c r="D134" s="140" t="s">
        <v>236</v>
      </c>
      <c r="F134" s="72" t="s">
        <v>217</v>
      </c>
      <c r="G134" s="72" t="s">
        <v>217</v>
      </c>
      <c r="I134" s="141" t="s">
        <v>220</v>
      </c>
      <c r="J134" s="140" t="s">
        <v>236</v>
      </c>
      <c r="U134" s="44"/>
      <c r="V134" s="44"/>
      <c r="X134" s="44"/>
      <c r="Y134" s="44"/>
      <c r="AA134" s="28" t="s">
        <v>6</v>
      </c>
      <c r="AB134" s="2" t="str">
        <f t="shared" si="135"/>
        <v>-</v>
      </c>
      <c r="AC134" s="2" t="s">
        <v>26</v>
      </c>
      <c r="AD134" s="2" t="str">
        <f t="shared" si="48"/>
        <v>_</v>
      </c>
      <c r="AE134" s="28" t="s">
        <v>17</v>
      </c>
      <c r="AF134" s="2" t="str">
        <f t="shared" si="49"/>
        <v>_</v>
      </c>
      <c r="AG134" s="28" t="s">
        <v>270</v>
      </c>
    </row>
    <row r="135" spans="1:33" x14ac:dyDescent="0.25">
      <c r="B135" s="2" t="str">
        <f t="shared" si="133"/>
        <v>@color-primary_case_paved_or_uk_farzoom</v>
      </c>
      <c r="C135" s="142" t="s">
        <v>233</v>
      </c>
      <c r="D135" s="72" t="s">
        <v>217</v>
      </c>
      <c r="F135" s="72" t="s">
        <v>217</v>
      </c>
      <c r="G135" s="72" t="s">
        <v>217</v>
      </c>
      <c r="I135" s="142" t="s">
        <v>233</v>
      </c>
      <c r="J135" s="72" t="s">
        <v>217</v>
      </c>
      <c r="U135" s="44"/>
      <c r="V135" s="44"/>
      <c r="X135" s="44"/>
      <c r="Y135" s="44"/>
      <c r="AA135" s="2" t="s">
        <v>6</v>
      </c>
      <c r="AB135" s="2" t="str">
        <f t="shared" si="135"/>
        <v>-</v>
      </c>
      <c r="AC135" s="2" t="s">
        <v>26</v>
      </c>
      <c r="AD135" s="2" t="str">
        <f t="shared" ref="AD135" si="136">IF(NOT(ISBLANK(AE135)),"_","")</f>
        <v>_</v>
      </c>
      <c r="AE135" s="2" t="s">
        <v>17</v>
      </c>
      <c r="AF135" s="2" t="str">
        <f t="shared" ref="AF135" si="137">IF(NOT(ISBLANK(AG135)),"_","")</f>
        <v>_</v>
      </c>
      <c r="AG135" s="2" t="s">
        <v>234</v>
      </c>
    </row>
    <row r="136" spans="1:33" x14ac:dyDescent="0.25">
      <c r="B136" s="2" t="str">
        <f t="shared" si="133"/>
        <v>@color-primary_case_paved_or_uk_default</v>
      </c>
      <c r="C136" s="143" t="s">
        <v>221</v>
      </c>
      <c r="D136" s="72" t="s">
        <v>217</v>
      </c>
      <c r="F136" s="72" t="s">
        <v>217</v>
      </c>
      <c r="G136" s="72" t="s">
        <v>217</v>
      </c>
      <c r="I136" s="143" t="s">
        <v>221</v>
      </c>
      <c r="J136" s="72" t="s">
        <v>217</v>
      </c>
      <c r="U136" s="44"/>
      <c r="V136" s="44"/>
      <c r="X136" s="44"/>
      <c r="Y136" s="44"/>
      <c r="AA136" s="2" t="s">
        <v>6</v>
      </c>
      <c r="AB136" s="2" t="str">
        <f t="shared" si="135"/>
        <v>-</v>
      </c>
      <c r="AC136" s="28" t="s">
        <v>26</v>
      </c>
      <c r="AD136" s="2" t="str">
        <f t="shared" ref="AD136:AD199" si="138">IF(NOT(ISBLANK(AE136)),"_","")</f>
        <v>_</v>
      </c>
      <c r="AE136" s="2" t="s">
        <v>17</v>
      </c>
      <c r="AF136" s="2" t="str">
        <f t="shared" ref="AF136:AF199" si="139">IF(NOT(ISBLANK(AG136)),"_","")</f>
        <v>_</v>
      </c>
      <c r="AG136" s="2" t="s">
        <v>271</v>
      </c>
    </row>
    <row r="137" spans="1:33" x14ac:dyDescent="0.25">
      <c r="B137" s="2" t="str">
        <f t="shared" si="133"/>
        <v>@color-primary_line_bicycle_no</v>
      </c>
      <c r="C137" s="150" t="s">
        <v>238</v>
      </c>
      <c r="D137" s="134" t="s">
        <v>218</v>
      </c>
      <c r="F137" s="150" t="s">
        <v>238</v>
      </c>
      <c r="G137" s="134" t="s">
        <v>218</v>
      </c>
      <c r="I137" s="151" t="str">
        <f>C137</f>
        <v>"#ffcc8a"</v>
      </c>
      <c r="J137" s="136" t="str">
        <f>D137</f>
        <v>"#d6771e"</v>
      </c>
      <c r="U137" s="151" t="str">
        <f>C137</f>
        <v>"#ffcc8a"</v>
      </c>
      <c r="V137" s="136" t="str">
        <f>D137</f>
        <v>"#d6771e"</v>
      </c>
      <c r="AA137" s="28" t="s">
        <v>6</v>
      </c>
      <c r="AB137" s="2" t="str">
        <f t="shared" si="135"/>
        <v>-</v>
      </c>
      <c r="AC137" s="28" t="s">
        <v>26</v>
      </c>
      <c r="AD137" s="2" t="str">
        <f t="shared" si="138"/>
        <v>_</v>
      </c>
      <c r="AE137" s="28" t="s">
        <v>13</v>
      </c>
      <c r="AF137" s="2" t="str">
        <f t="shared" si="139"/>
        <v>_</v>
      </c>
      <c r="AG137" s="28" t="s">
        <v>24</v>
      </c>
    </row>
    <row r="138" spans="1:33" x14ac:dyDescent="0.25">
      <c r="B138" s="2" t="str">
        <f t="shared" si="133"/>
        <v>@color-primary_line_unpaved_default</v>
      </c>
      <c r="C138" s="148" t="s">
        <v>226</v>
      </c>
      <c r="D138" s="149" t="str">
        <f>C138</f>
        <v>"#eddfca"</v>
      </c>
      <c r="F138" s="148" t="s">
        <v>226</v>
      </c>
      <c r="G138" s="149" t="str">
        <f>F138</f>
        <v>"#eddfca"</v>
      </c>
      <c r="I138" s="148" t="s">
        <v>226</v>
      </c>
      <c r="J138" s="149" t="str">
        <f>I138</f>
        <v>"#eddfca"</v>
      </c>
      <c r="U138" s="44"/>
      <c r="V138" s="44"/>
      <c r="X138" s="44"/>
      <c r="Y138" s="44"/>
      <c r="AA138" s="2" t="s">
        <v>6</v>
      </c>
      <c r="AB138" s="2" t="str">
        <f t="shared" si="135"/>
        <v>-</v>
      </c>
      <c r="AC138" s="2" t="s">
        <v>26</v>
      </c>
      <c r="AD138" s="2" t="str">
        <f t="shared" si="138"/>
        <v>_</v>
      </c>
      <c r="AE138" s="2" t="s">
        <v>13</v>
      </c>
      <c r="AF138" s="2" t="str">
        <f t="shared" si="139"/>
        <v>_</v>
      </c>
      <c r="AG138" s="2" t="s">
        <v>270</v>
      </c>
    </row>
    <row r="139" spans="1:33" x14ac:dyDescent="0.25">
      <c r="B139" s="2" t="str">
        <f t="shared" si="133"/>
        <v>@color-primary_line_paved_or_uk_default</v>
      </c>
      <c r="C139" s="71" t="s">
        <v>227</v>
      </c>
      <c r="D139" s="38" t="str">
        <f>C139</f>
        <v>"#ffffff"</v>
      </c>
      <c r="F139" s="71" t="s">
        <v>227</v>
      </c>
      <c r="G139" s="38" t="str">
        <f>F139</f>
        <v>"#ffffff"</v>
      </c>
      <c r="I139" s="71" t="s">
        <v>227</v>
      </c>
      <c r="J139" s="38" t="str">
        <f>I139</f>
        <v>"#ffffff"</v>
      </c>
      <c r="U139" s="44"/>
      <c r="V139" s="44"/>
      <c r="X139" s="44"/>
      <c r="Y139" s="44"/>
      <c r="AA139" s="2" t="s">
        <v>6</v>
      </c>
      <c r="AB139" s="2" t="str">
        <f t="shared" si="135"/>
        <v>-</v>
      </c>
      <c r="AC139" s="2" t="s">
        <v>26</v>
      </c>
      <c r="AD139" s="2" t="str">
        <f t="shared" si="138"/>
        <v>_</v>
      </c>
      <c r="AE139" s="2" t="s">
        <v>13</v>
      </c>
      <c r="AF139" s="2" t="str">
        <f t="shared" si="139"/>
        <v>_</v>
      </c>
      <c r="AG139" s="2" t="s">
        <v>271</v>
      </c>
    </row>
    <row r="140" spans="1:33" x14ac:dyDescent="0.25">
      <c r="B140" s="2"/>
      <c r="C140" s="26"/>
      <c r="D140" s="26"/>
      <c r="I140" s="26"/>
      <c r="AB140" s="2"/>
      <c r="AD140" s="2"/>
      <c r="AF140" s="2" t="str">
        <f t="shared" ref="AF140:AF148" si="140">IF(NOT(ISBLANK(AG140)),"_","")</f>
        <v/>
      </c>
    </row>
    <row r="141" spans="1:33" x14ac:dyDescent="0.25">
      <c r="B141" s="2" t="str">
        <f t="shared" ref="B141:B148" si="141">_xlfn.CONCAT("@",AA141,AB141,AC141,AD141,AE141,AF141,AG141)</f>
        <v>@color-secondary_case_bicycle_no</v>
      </c>
      <c r="C141" s="137" t="s">
        <v>231</v>
      </c>
      <c r="D141" s="72" t="s">
        <v>217</v>
      </c>
      <c r="F141" s="72" t="s">
        <v>217</v>
      </c>
      <c r="G141" s="72" t="s">
        <v>217</v>
      </c>
      <c r="I141" s="138" t="str">
        <f>C141</f>
        <v>"#bd430f"</v>
      </c>
      <c r="J141" s="37" t="str">
        <f>D141</f>
        <v>"#000000"</v>
      </c>
      <c r="U141" s="138" t="str">
        <f>C141</f>
        <v>"#bd430f"</v>
      </c>
      <c r="V141" s="37" t="str">
        <f>D141</f>
        <v>"#000000"</v>
      </c>
      <c r="AA141" s="28" t="s">
        <v>6</v>
      </c>
      <c r="AB141" s="2" t="str">
        <f t="shared" ref="AB141:AB148" si="142">IF(NOT(ISBLANK(AC141)),"-","")</f>
        <v>-</v>
      </c>
      <c r="AC141" s="2" t="s">
        <v>28</v>
      </c>
      <c r="AD141" s="2" t="str">
        <f t="shared" ref="AD141:AD148" si="143">IF(NOT(ISBLANK(AE141)),"_","")</f>
        <v>_</v>
      </c>
      <c r="AE141" s="28" t="s">
        <v>17</v>
      </c>
      <c r="AF141" s="2" t="str">
        <f t="shared" si="140"/>
        <v>_</v>
      </c>
      <c r="AG141" s="28" t="s">
        <v>24</v>
      </c>
    </row>
    <row r="142" spans="1:33" x14ac:dyDescent="0.25">
      <c r="B142" s="2" t="str">
        <f>_xlfn.CONCAT("@",AA142,AB142,AC142,AD142,AE142,AF142,AG142)</f>
        <v>@color-secondary_case_unpaved_farzoom</v>
      </c>
      <c r="C142" s="139" t="s">
        <v>232</v>
      </c>
      <c r="D142" s="140" t="s">
        <v>236</v>
      </c>
      <c r="F142" s="72" t="s">
        <v>217</v>
      </c>
      <c r="G142" s="72" t="s">
        <v>217</v>
      </c>
      <c r="I142" s="139" t="s">
        <v>232</v>
      </c>
      <c r="J142" s="140" t="s">
        <v>236</v>
      </c>
      <c r="U142" s="44"/>
      <c r="V142" s="44"/>
      <c r="X142" s="44"/>
      <c r="Y142" s="44"/>
      <c r="AA142" s="28" t="s">
        <v>6</v>
      </c>
      <c r="AB142" s="2" t="str">
        <f>IF(NOT(ISBLANK(AC142)),"-","")</f>
        <v>-</v>
      </c>
      <c r="AC142" s="2" t="s">
        <v>28</v>
      </c>
      <c r="AD142" s="2" t="str">
        <f>IF(NOT(ISBLANK(AE142)),"_","")</f>
        <v>_</v>
      </c>
      <c r="AE142" s="28" t="s">
        <v>17</v>
      </c>
      <c r="AF142" s="2" t="str">
        <f>IF(NOT(ISBLANK(AG142)),"_","")</f>
        <v>_</v>
      </c>
      <c r="AG142" s="28" t="s">
        <v>235</v>
      </c>
    </row>
    <row r="143" spans="1:33" x14ac:dyDescent="0.25">
      <c r="B143" s="2" t="str">
        <f t="shared" si="141"/>
        <v>@color-secondary_case_unpaved_default</v>
      </c>
      <c r="C143" s="140" t="s">
        <v>236</v>
      </c>
      <c r="D143" s="140" t="s">
        <v>236</v>
      </c>
      <c r="F143" s="72" t="s">
        <v>217</v>
      </c>
      <c r="G143" s="72" t="s">
        <v>217</v>
      </c>
      <c r="I143" s="140" t="s">
        <v>236</v>
      </c>
      <c r="J143" s="140" t="s">
        <v>236</v>
      </c>
      <c r="U143" s="44"/>
      <c r="V143" s="44"/>
      <c r="X143" s="44"/>
      <c r="Y143" s="44"/>
      <c r="AA143" s="28" t="s">
        <v>6</v>
      </c>
      <c r="AB143" s="2" t="str">
        <f t="shared" si="142"/>
        <v>-</v>
      </c>
      <c r="AC143" s="2" t="s">
        <v>28</v>
      </c>
      <c r="AD143" s="2" t="str">
        <f t="shared" si="143"/>
        <v>_</v>
      </c>
      <c r="AE143" s="28" t="s">
        <v>17</v>
      </c>
      <c r="AF143" s="2" t="str">
        <f t="shared" si="140"/>
        <v>_</v>
      </c>
      <c r="AG143" s="28" t="s">
        <v>270</v>
      </c>
    </row>
    <row r="144" spans="1:33" x14ac:dyDescent="0.25">
      <c r="B144" s="2" t="str">
        <f t="shared" si="141"/>
        <v>@color-secondary_case_paved_or_uk_farzoom</v>
      </c>
      <c r="C144" s="142" t="s">
        <v>233</v>
      </c>
      <c r="D144" s="72" t="s">
        <v>217</v>
      </c>
      <c r="F144" s="72" t="s">
        <v>217</v>
      </c>
      <c r="G144" s="72" t="s">
        <v>217</v>
      </c>
      <c r="I144" s="142" t="s">
        <v>233</v>
      </c>
      <c r="J144" s="72" t="s">
        <v>217</v>
      </c>
      <c r="U144" s="44"/>
      <c r="V144" s="44"/>
      <c r="X144" s="44"/>
      <c r="Y144" s="44"/>
      <c r="AA144" s="2" t="s">
        <v>6</v>
      </c>
      <c r="AB144" s="2" t="str">
        <f t="shared" si="142"/>
        <v>-</v>
      </c>
      <c r="AC144" s="2" t="s">
        <v>28</v>
      </c>
      <c r="AD144" s="2" t="str">
        <f t="shared" si="143"/>
        <v>_</v>
      </c>
      <c r="AE144" s="2" t="s">
        <v>17</v>
      </c>
      <c r="AF144" s="2" t="str">
        <f t="shared" si="140"/>
        <v>_</v>
      </c>
      <c r="AG144" s="2" t="s">
        <v>234</v>
      </c>
    </row>
    <row r="145" spans="1:33" x14ac:dyDescent="0.25">
      <c r="B145" s="2" t="str">
        <f t="shared" si="141"/>
        <v>@color-secondary_case_paved_or_uk_default</v>
      </c>
      <c r="C145" s="152" t="s">
        <v>237</v>
      </c>
      <c r="D145" s="72" t="s">
        <v>217</v>
      </c>
      <c r="F145" s="72" t="s">
        <v>217</v>
      </c>
      <c r="G145" s="72" t="s">
        <v>217</v>
      </c>
      <c r="I145" s="152" t="s">
        <v>237</v>
      </c>
      <c r="J145" s="72" t="s">
        <v>217</v>
      </c>
      <c r="U145" s="44"/>
      <c r="V145" s="44"/>
      <c r="X145" s="44"/>
      <c r="Y145" s="44"/>
      <c r="AA145" s="2" t="s">
        <v>6</v>
      </c>
      <c r="AB145" s="2" t="str">
        <f t="shared" si="142"/>
        <v>-</v>
      </c>
      <c r="AC145" s="2" t="s">
        <v>28</v>
      </c>
      <c r="AD145" s="2" t="str">
        <f t="shared" si="143"/>
        <v>_</v>
      </c>
      <c r="AE145" s="2" t="s">
        <v>17</v>
      </c>
      <c r="AF145" s="2" t="str">
        <f t="shared" si="140"/>
        <v>_</v>
      </c>
      <c r="AG145" s="2" t="s">
        <v>271</v>
      </c>
    </row>
    <row r="146" spans="1:33" x14ac:dyDescent="0.25">
      <c r="B146" s="2" t="str">
        <f t="shared" si="141"/>
        <v>@color-secondary_line_bicycle_no</v>
      </c>
      <c r="C146" s="150" t="s">
        <v>238</v>
      </c>
      <c r="D146" s="134" t="s">
        <v>218</v>
      </c>
      <c r="F146" s="150" t="s">
        <v>238</v>
      </c>
      <c r="G146" s="134" t="s">
        <v>218</v>
      </c>
      <c r="I146" s="151" t="str">
        <f>C146</f>
        <v>"#ffcc8a"</v>
      </c>
      <c r="J146" s="136" t="str">
        <f>D146</f>
        <v>"#d6771e"</v>
      </c>
      <c r="U146" s="151" t="str">
        <f>C146</f>
        <v>"#ffcc8a"</v>
      </c>
      <c r="V146" s="136" t="str">
        <f>J146</f>
        <v>"#d6771e"</v>
      </c>
      <c r="AA146" s="28" t="s">
        <v>6</v>
      </c>
      <c r="AB146" s="2" t="str">
        <f t="shared" si="142"/>
        <v>-</v>
      </c>
      <c r="AC146" s="2" t="s">
        <v>28</v>
      </c>
      <c r="AD146" s="2" t="str">
        <f t="shared" si="143"/>
        <v>_</v>
      </c>
      <c r="AE146" s="28" t="s">
        <v>13</v>
      </c>
      <c r="AF146" s="2" t="str">
        <f t="shared" si="140"/>
        <v>_</v>
      </c>
      <c r="AG146" s="28" t="s">
        <v>24</v>
      </c>
    </row>
    <row r="147" spans="1:33" x14ac:dyDescent="0.25">
      <c r="B147" s="2" t="str">
        <f t="shared" si="141"/>
        <v>@color-secondary_line_unpaved_default</v>
      </c>
      <c r="C147" s="148" t="s">
        <v>226</v>
      </c>
      <c r="D147" s="149" t="str">
        <f>C147</f>
        <v>"#eddfca"</v>
      </c>
      <c r="F147" s="148" t="s">
        <v>226</v>
      </c>
      <c r="G147" s="149" t="str">
        <f>F147</f>
        <v>"#eddfca"</v>
      </c>
      <c r="I147" s="148" t="s">
        <v>226</v>
      </c>
      <c r="J147" s="149" t="str">
        <f>I147</f>
        <v>"#eddfca"</v>
      </c>
      <c r="U147" s="44"/>
      <c r="V147" s="44"/>
      <c r="X147" s="44"/>
      <c r="Y147" s="44"/>
      <c r="AA147" s="2" t="s">
        <v>6</v>
      </c>
      <c r="AB147" s="2" t="str">
        <f t="shared" si="142"/>
        <v>-</v>
      </c>
      <c r="AC147" s="2" t="s">
        <v>28</v>
      </c>
      <c r="AD147" s="2" t="str">
        <f t="shared" si="143"/>
        <v>_</v>
      </c>
      <c r="AE147" s="2" t="s">
        <v>13</v>
      </c>
      <c r="AF147" s="2" t="str">
        <f t="shared" si="140"/>
        <v>_</v>
      </c>
      <c r="AG147" s="2" t="s">
        <v>270</v>
      </c>
    </row>
    <row r="148" spans="1:33" x14ac:dyDescent="0.25">
      <c r="B148" s="2" t="str">
        <f t="shared" si="141"/>
        <v>@color-secondary_line_paved_or_uk_default</v>
      </c>
      <c r="C148" s="71" t="s">
        <v>227</v>
      </c>
      <c r="D148" s="38" t="str">
        <f>C148</f>
        <v>"#ffffff"</v>
      </c>
      <c r="F148" s="71" t="s">
        <v>227</v>
      </c>
      <c r="G148" s="38" t="str">
        <f>F148</f>
        <v>"#ffffff"</v>
      </c>
      <c r="I148" s="71" t="s">
        <v>227</v>
      </c>
      <c r="J148" s="38" t="str">
        <f>I148</f>
        <v>"#ffffff"</v>
      </c>
      <c r="U148" s="44"/>
      <c r="V148" s="44"/>
      <c r="X148" s="44"/>
      <c r="Y148" s="44"/>
      <c r="AA148" s="2" t="s">
        <v>6</v>
      </c>
      <c r="AB148" s="2" t="str">
        <f t="shared" si="142"/>
        <v>-</v>
      </c>
      <c r="AC148" s="2" t="s">
        <v>28</v>
      </c>
      <c r="AD148" s="2" t="str">
        <f t="shared" si="143"/>
        <v>_</v>
      </c>
      <c r="AE148" s="2" t="s">
        <v>13</v>
      </c>
      <c r="AF148" s="2" t="str">
        <f t="shared" si="140"/>
        <v>_</v>
      </c>
      <c r="AG148" s="2" t="s">
        <v>271</v>
      </c>
    </row>
    <row r="149" spans="1:33" x14ac:dyDescent="0.25">
      <c r="B149" s="2"/>
      <c r="C149" s="26"/>
      <c r="D149" s="26"/>
      <c r="I149" s="26"/>
      <c r="AB149" s="2"/>
      <c r="AD149" s="2"/>
      <c r="AF149" s="2" t="str">
        <f t="shared" si="139"/>
        <v/>
      </c>
    </row>
    <row r="150" spans="1:33" x14ac:dyDescent="0.25">
      <c r="B150" s="2" t="str">
        <f t="shared" si="133"/>
        <v>@color-tertiary_case_bicycle_no</v>
      </c>
      <c r="C150" s="137" t="s">
        <v>231</v>
      </c>
      <c r="D150" s="72" t="s">
        <v>217</v>
      </c>
      <c r="F150" s="72" t="s">
        <v>217</v>
      </c>
      <c r="G150" s="72" t="s">
        <v>217</v>
      </c>
      <c r="I150" s="138" t="str">
        <f>C150</f>
        <v>"#bd430f"</v>
      </c>
      <c r="J150" s="37" t="str">
        <f>D150</f>
        <v>"#000000"</v>
      </c>
      <c r="U150" s="138" t="str">
        <f>C150</f>
        <v>"#bd430f"</v>
      </c>
      <c r="V150" s="37" t="str">
        <f>D150</f>
        <v>"#000000"</v>
      </c>
      <c r="AA150" s="28" t="s">
        <v>6</v>
      </c>
      <c r="AB150" s="2" t="str">
        <f t="shared" ref="AB150:AB151" si="144">IF(NOT(ISBLANK(AC150)),"-","")</f>
        <v>-</v>
      </c>
      <c r="AC150" s="2" t="s">
        <v>27</v>
      </c>
      <c r="AD150" s="2" t="str">
        <f t="shared" ref="AD150:AD151" si="145">IF(NOT(ISBLANK(AE150)),"_","")</f>
        <v>_</v>
      </c>
      <c r="AE150" s="28" t="s">
        <v>17</v>
      </c>
      <c r="AF150" s="2" t="str">
        <f t="shared" ref="AF150:AF151" si="146">IF(NOT(ISBLANK(AG150)),"_","")</f>
        <v>_</v>
      </c>
      <c r="AG150" s="28" t="s">
        <v>24</v>
      </c>
    </row>
    <row r="151" spans="1:33" x14ac:dyDescent="0.25">
      <c r="B151" s="2" t="str">
        <f t="shared" ref="B151" si="147">_xlfn.CONCAT("@",AA151,AB151,AC151,AD151,AE151,AF151,AG151)</f>
        <v>@color-tertiary_case_unpaved_farzoom</v>
      </c>
      <c r="C151" s="139" t="s">
        <v>232</v>
      </c>
      <c r="D151" s="140" t="s">
        <v>236</v>
      </c>
      <c r="F151" s="72" t="s">
        <v>217</v>
      </c>
      <c r="G151" s="72" t="s">
        <v>217</v>
      </c>
      <c r="I151" s="139" t="s">
        <v>232</v>
      </c>
      <c r="J151" s="140" t="s">
        <v>236</v>
      </c>
      <c r="U151" s="44"/>
      <c r="V151" s="44"/>
      <c r="X151" s="44"/>
      <c r="Y151" s="44"/>
      <c r="AA151" s="28" t="s">
        <v>6</v>
      </c>
      <c r="AB151" s="2" t="str">
        <f t="shared" si="144"/>
        <v>-</v>
      </c>
      <c r="AC151" s="2" t="s">
        <v>27</v>
      </c>
      <c r="AD151" s="2" t="str">
        <f t="shared" si="145"/>
        <v>_</v>
      </c>
      <c r="AE151" s="28" t="s">
        <v>17</v>
      </c>
      <c r="AF151" s="2" t="str">
        <f t="shared" si="146"/>
        <v>_</v>
      </c>
      <c r="AG151" s="28" t="s">
        <v>235</v>
      </c>
    </row>
    <row r="152" spans="1:33" x14ac:dyDescent="0.25">
      <c r="B152" s="2" t="str">
        <f t="shared" si="133"/>
        <v>@color-tertiary_case_unpaved_default</v>
      </c>
      <c r="C152" s="140" t="s">
        <v>236</v>
      </c>
      <c r="D152" s="140" t="s">
        <v>236</v>
      </c>
      <c r="F152" s="72" t="s">
        <v>217</v>
      </c>
      <c r="G152" s="72" t="s">
        <v>217</v>
      </c>
      <c r="I152" s="140" t="s">
        <v>236</v>
      </c>
      <c r="J152" s="140" t="s">
        <v>236</v>
      </c>
      <c r="U152" s="44"/>
      <c r="V152" s="44"/>
      <c r="X152" s="44"/>
      <c r="Y152" s="44"/>
      <c r="AA152" s="28" t="s">
        <v>6</v>
      </c>
      <c r="AB152" s="2" t="str">
        <f t="shared" ref="AB152:AB157" si="148">IF(NOT(ISBLANK(AC152)),"-","")</f>
        <v>-</v>
      </c>
      <c r="AC152" s="2" t="s">
        <v>27</v>
      </c>
      <c r="AD152" s="2" t="str">
        <f t="shared" ref="AD152:AD157" si="149">IF(NOT(ISBLANK(AE152)),"_","")</f>
        <v>_</v>
      </c>
      <c r="AE152" s="28" t="s">
        <v>17</v>
      </c>
      <c r="AF152" s="2" t="str">
        <f t="shared" si="139"/>
        <v>_</v>
      </c>
      <c r="AG152" s="28" t="s">
        <v>270</v>
      </c>
    </row>
    <row r="153" spans="1:33" x14ac:dyDescent="0.25">
      <c r="B153" s="2" t="str">
        <f t="shared" ref="B153" si="150">_xlfn.CONCAT("@",AA153,AB153,AC153,AD153,AE153,AF153,AG153)</f>
        <v>@color-tertiary_case_paved_or_uk_farzoom</v>
      </c>
      <c r="C153" s="142" t="s">
        <v>233</v>
      </c>
      <c r="D153" s="72" t="s">
        <v>217</v>
      </c>
      <c r="F153" s="72" t="s">
        <v>217</v>
      </c>
      <c r="G153" s="72" t="s">
        <v>217</v>
      </c>
      <c r="I153" s="142" t="s">
        <v>233</v>
      </c>
      <c r="J153" s="72" t="s">
        <v>217</v>
      </c>
      <c r="U153" s="44"/>
      <c r="V153" s="44"/>
      <c r="X153" s="44"/>
      <c r="Y153" s="44"/>
      <c r="AA153" s="2" t="s">
        <v>6</v>
      </c>
      <c r="AB153" s="2" t="str">
        <f t="shared" ref="AB153" si="151">IF(NOT(ISBLANK(AC153)),"-","")</f>
        <v>-</v>
      </c>
      <c r="AC153" s="2" t="s">
        <v>27</v>
      </c>
      <c r="AD153" s="2" t="str">
        <f t="shared" ref="AD153" si="152">IF(NOT(ISBLANK(AE153)),"_","")</f>
        <v>_</v>
      </c>
      <c r="AE153" s="2" t="s">
        <v>17</v>
      </c>
      <c r="AF153" s="2" t="str">
        <f t="shared" ref="AF153" si="153">IF(NOT(ISBLANK(AG153)),"_","")</f>
        <v>_</v>
      </c>
      <c r="AG153" s="2" t="s">
        <v>234</v>
      </c>
    </row>
    <row r="154" spans="1:33" x14ac:dyDescent="0.25">
      <c r="B154" s="2" t="str">
        <f t="shared" si="133"/>
        <v>@color-tertiary_case_paved_or_uk_default</v>
      </c>
      <c r="C154" s="152" t="s">
        <v>237</v>
      </c>
      <c r="D154" s="72" t="s">
        <v>217</v>
      </c>
      <c r="F154" s="72" t="s">
        <v>217</v>
      </c>
      <c r="G154" s="72" t="s">
        <v>217</v>
      </c>
      <c r="I154" s="152" t="s">
        <v>237</v>
      </c>
      <c r="J154" s="72" t="s">
        <v>217</v>
      </c>
      <c r="U154" s="44"/>
      <c r="V154" s="44"/>
      <c r="X154" s="44"/>
      <c r="Y154" s="44"/>
      <c r="AA154" s="2" t="s">
        <v>6</v>
      </c>
      <c r="AB154" s="2" t="str">
        <f t="shared" si="148"/>
        <v>-</v>
      </c>
      <c r="AC154" s="2" t="s">
        <v>27</v>
      </c>
      <c r="AD154" s="2" t="str">
        <f t="shared" si="149"/>
        <v>_</v>
      </c>
      <c r="AE154" s="2" t="s">
        <v>17</v>
      </c>
      <c r="AF154" s="2" t="str">
        <f t="shared" si="139"/>
        <v>_</v>
      </c>
      <c r="AG154" s="2" t="s">
        <v>271</v>
      </c>
    </row>
    <row r="155" spans="1:33" x14ac:dyDescent="0.25">
      <c r="B155" s="2" t="str">
        <f t="shared" ref="B155" si="154">_xlfn.CONCAT("@",AA155,AB155,AC155,AD155,AE155,AF155,AG155)</f>
        <v>@color-tertiary_line_bicycle_no</v>
      </c>
      <c r="C155" s="150" t="s">
        <v>238</v>
      </c>
      <c r="D155" s="134" t="s">
        <v>218</v>
      </c>
      <c r="F155" s="150" t="s">
        <v>238</v>
      </c>
      <c r="G155" s="134" t="s">
        <v>218</v>
      </c>
      <c r="I155" s="151" t="str">
        <f>C155</f>
        <v>"#ffcc8a"</v>
      </c>
      <c r="J155" s="136" t="str">
        <f>D155</f>
        <v>"#d6771e"</v>
      </c>
      <c r="U155" s="151" t="str">
        <f>C155</f>
        <v>"#ffcc8a"</v>
      </c>
      <c r="V155" s="136" t="str">
        <f>J155</f>
        <v>"#d6771e"</v>
      </c>
      <c r="AA155" s="28" t="s">
        <v>6</v>
      </c>
      <c r="AB155" s="2" t="str">
        <f t="shared" si="148"/>
        <v>-</v>
      </c>
      <c r="AC155" s="2" t="s">
        <v>27</v>
      </c>
      <c r="AD155" s="2" t="str">
        <f t="shared" si="149"/>
        <v>_</v>
      </c>
      <c r="AE155" s="28" t="s">
        <v>13</v>
      </c>
      <c r="AF155" s="2" t="str">
        <f t="shared" si="139"/>
        <v>_</v>
      </c>
      <c r="AG155" s="28" t="s">
        <v>24</v>
      </c>
    </row>
    <row r="156" spans="1:33" x14ac:dyDescent="0.25">
      <c r="B156" s="2" t="str">
        <f t="shared" si="133"/>
        <v>@color-tertiary_line_unpaved_default</v>
      </c>
      <c r="C156" s="148" t="s">
        <v>226</v>
      </c>
      <c r="D156" s="149" t="str">
        <f>C156</f>
        <v>"#eddfca"</v>
      </c>
      <c r="F156" s="148" t="s">
        <v>226</v>
      </c>
      <c r="G156" s="149" t="str">
        <f>F156</f>
        <v>"#eddfca"</v>
      </c>
      <c r="I156" s="148" t="s">
        <v>226</v>
      </c>
      <c r="J156" s="149" t="str">
        <f>I156</f>
        <v>"#eddfca"</v>
      </c>
      <c r="U156" s="44"/>
      <c r="V156" s="44"/>
      <c r="X156" s="44"/>
      <c r="Y156" s="44"/>
      <c r="AA156" s="2" t="s">
        <v>6</v>
      </c>
      <c r="AB156" s="2" t="str">
        <f t="shared" si="148"/>
        <v>-</v>
      </c>
      <c r="AC156" s="2" t="s">
        <v>27</v>
      </c>
      <c r="AD156" s="2" t="str">
        <f t="shared" si="149"/>
        <v>_</v>
      </c>
      <c r="AE156" s="2" t="s">
        <v>13</v>
      </c>
      <c r="AF156" s="2" t="str">
        <f t="shared" si="139"/>
        <v>_</v>
      </c>
      <c r="AG156" s="2" t="s">
        <v>270</v>
      </c>
    </row>
    <row r="157" spans="1:33" x14ac:dyDescent="0.25">
      <c r="B157" s="2" t="str">
        <f t="shared" si="133"/>
        <v>@color-tertiary_line_paved_or_uk_default</v>
      </c>
      <c r="C157" s="71" t="s">
        <v>227</v>
      </c>
      <c r="D157" s="38" t="str">
        <f>C157</f>
        <v>"#ffffff"</v>
      </c>
      <c r="F157" s="71" t="s">
        <v>227</v>
      </c>
      <c r="G157" s="38" t="str">
        <f>F157</f>
        <v>"#ffffff"</v>
      </c>
      <c r="I157" s="71" t="s">
        <v>227</v>
      </c>
      <c r="J157" s="38" t="str">
        <f>I157</f>
        <v>"#ffffff"</v>
      </c>
      <c r="U157" s="44"/>
      <c r="V157" s="44"/>
      <c r="X157" s="44"/>
      <c r="Y157" s="44"/>
      <c r="AA157" s="2" t="s">
        <v>6</v>
      </c>
      <c r="AB157" s="2" t="str">
        <f t="shared" si="148"/>
        <v>-</v>
      </c>
      <c r="AC157" s="2" t="s">
        <v>27</v>
      </c>
      <c r="AD157" s="2" t="str">
        <f t="shared" si="149"/>
        <v>_</v>
      </c>
      <c r="AE157" s="2" t="s">
        <v>13</v>
      </c>
      <c r="AF157" s="2" t="str">
        <f t="shared" si="139"/>
        <v>_</v>
      </c>
      <c r="AG157" s="2" t="s">
        <v>271</v>
      </c>
    </row>
    <row r="158" spans="1:33" x14ac:dyDescent="0.25">
      <c r="B158" s="2"/>
      <c r="AB158" s="28" t="str">
        <f t="shared" si="135"/>
        <v/>
      </c>
      <c r="AD158" s="28" t="str">
        <f t="shared" si="138"/>
        <v/>
      </c>
      <c r="AF158" s="28" t="str">
        <f t="shared" si="139"/>
        <v/>
      </c>
    </row>
    <row r="159" spans="1:33" s="2" customFormat="1" x14ac:dyDescent="0.25">
      <c r="A159" s="3" t="s">
        <v>228</v>
      </c>
      <c r="B159" s="3"/>
      <c r="C159" s="27"/>
      <c r="D159" s="6"/>
      <c r="E159" s="7"/>
      <c r="F159" s="6"/>
      <c r="G159" s="6"/>
      <c r="H159" s="7"/>
      <c r="I159" s="6"/>
      <c r="J159" s="6"/>
      <c r="K159" s="7"/>
      <c r="L159" s="6"/>
      <c r="M159" s="6"/>
      <c r="N159" s="7"/>
      <c r="O159" s="6"/>
      <c r="P159" s="6"/>
      <c r="Q159" s="7"/>
      <c r="R159" s="6"/>
      <c r="S159" s="6"/>
      <c r="T159" s="7"/>
      <c r="U159" s="6"/>
      <c r="V159" s="6"/>
      <c r="W159" s="7"/>
      <c r="X159" s="6"/>
      <c r="Y159" s="6"/>
      <c r="AA159" s="4"/>
      <c r="AB159" s="4" t="str">
        <f t="shared" si="135"/>
        <v/>
      </c>
      <c r="AC159" s="4"/>
      <c r="AD159" s="4" t="str">
        <f t="shared" si="138"/>
        <v/>
      </c>
      <c r="AE159" s="4"/>
      <c r="AF159" s="4" t="str">
        <f t="shared" si="139"/>
        <v/>
      </c>
      <c r="AG159" s="4"/>
    </row>
    <row r="160" spans="1:33" x14ac:dyDescent="0.25">
      <c r="B160" s="2" t="str">
        <f t="shared" ref="B160" si="155">_xlfn.CONCAT("@",AA160,AB160,AC160,AD160,AE160,AF160,AG160)</f>
        <v>@color-raceway_case</v>
      </c>
      <c r="C160" s="44"/>
      <c r="D160" s="44"/>
      <c r="F160" s="44"/>
      <c r="G160" s="44"/>
      <c r="I160" s="44"/>
      <c r="J160" s="44"/>
      <c r="L160" s="44"/>
      <c r="M160" s="44"/>
      <c r="U160" s="72" t="s">
        <v>217</v>
      </c>
      <c r="V160" s="72" t="s">
        <v>217</v>
      </c>
      <c r="AA160" s="2" t="s">
        <v>6</v>
      </c>
      <c r="AB160" s="2" t="str">
        <f t="shared" ref="AB160" si="156">IF(NOT(ISBLANK(AC160)),"-","")</f>
        <v>-</v>
      </c>
      <c r="AC160" s="2" t="s">
        <v>29</v>
      </c>
      <c r="AD160" s="2" t="str">
        <f t="shared" ref="AD160" si="157">IF(NOT(ISBLANK(AE160)),"_","")</f>
        <v>_</v>
      </c>
      <c r="AE160" s="2" t="s">
        <v>17</v>
      </c>
      <c r="AF160" s="2" t="str">
        <f t="shared" ref="AF160" si="158">IF(NOT(ISBLANK(AG160)),"_","")</f>
        <v/>
      </c>
      <c r="AG160" s="2"/>
    </row>
    <row r="161" spans="2:33" x14ac:dyDescent="0.25">
      <c r="B161" s="2" t="str">
        <f t="shared" ref="B161:B163" si="159">_xlfn.CONCAT("@",AA161,AB161,AC161,AD161,AE161,AF161,AG161)</f>
        <v>@color-raceway_case_unpaved</v>
      </c>
      <c r="C161" s="153" t="s">
        <v>239</v>
      </c>
      <c r="D161" s="140" t="s">
        <v>236</v>
      </c>
      <c r="F161" s="72" t="s">
        <v>217</v>
      </c>
      <c r="I161" s="154" t="str">
        <f>C161</f>
        <v>"#af9564"</v>
      </c>
      <c r="J161" s="155" t="str">
        <f>D161</f>
        <v>"#644507"</v>
      </c>
      <c r="U161" s="44"/>
      <c r="V161" s="44"/>
      <c r="X161" s="44"/>
      <c r="Y161" s="44"/>
      <c r="AA161" s="2" t="s">
        <v>6</v>
      </c>
      <c r="AB161" s="2" t="str">
        <f t="shared" ref="AB161:AB163" si="160">IF(NOT(ISBLANK(AC161)),"-","")</f>
        <v>-</v>
      </c>
      <c r="AC161" s="2" t="s">
        <v>29</v>
      </c>
      <c r="AD161" s="2" t="str">
        <f t="shared" ref="AD161:AD163" si="161">IF(NOT(ISBLANK(AE161)),"_","")</f>
        <v>_</v>
      </c>
      <c r="AE161" s="2" t="s">
        <v>17</v>
      </c>
      <c r="AF161" s="2" t="str">
        <f t="shared" ref="AF161:AF163" si="162">IF(NOT(ISBLANK(AG161)),"_","")</f>
        <v>_</v>
      </c>
      <c r="AG161" s="2" t="s">
        <v>22</v>
      </c>
    </row>
    <row r="162" spans="2:33" x14ac:dyDescent="0.25">
      <c r="B162" s="2" t="str">
        <f t="shared" si="159"/>
        <v>@color-raceway_case_paved_or_uk</v>
      </c>
      <c r="C162" s="156" t="s">
        <v>240</v>
      </c>
      <c r="D162" s="157" t="s">
        <v>241</v>
      </c>
      <c r="F162" s="72" t="s">
        <v>217</v>
      </c>
      <c r="I162" s="158" t="str">
        <f>C162</f>
        <v>"#a8a6a4"</v>
      </c>
      <c r="J162" s="159" t="str">
        <f>D162</f>
        <v>"#4a4a4a"</v>
      </c>
      <c r="U162" s="44"/>
      <c r="V162" s="44"/>
      <c r="X162" s="44"/>
      <c r="Y162" s="44"/>
      <c r="AA162" s="2" t="s">
        <v>6</v>
      </c>
      <c r="AB162" s="2" t="str">
        <f t="shared" si="160"/>
        <v>-</v>
      </c>
      <c r="AC162" s="2" t="s">
        <v>29</v>
      </c>
      <c r="AD162" s="2" t="str">
        <f t="shared" si="161"/>
        <v>_</v>
      </c>
      <c r="AE162" s="2" t="s">
        <v>17</v>
      </c>
      <c r="AF162" s="2" t="str">
        <f t="shared" si="162"/>
        <v>_</v>
      </c>
      <c r="AG162" s="2" t="s">
        <v>25</v>
      </c>
    </row>
    <row r="163" spans="2:33" x14ac:dyDescent="0.25">
      <c r="B163" s="2" t="str">
        <f t="shared" si="159"/>
        <v>@color-raceway_line_default</v>
      </c>
      <c r="C163" s="44"/>
      <c r="D163" s="44"/>
      <c r="F163" s="44"/>
      <c r="G163" s="44"/>
      <c r="I163" s="44"/>
      <c r="J163" s="44"/>
      <c r="L163" s="44"/>
      <c r="M163" s="44"/>
      <c r="U163" s="71" t="s">
        <v>227</v>
      </c>
      <c r="V163" s="38" t="str">
        <f>U163</f>
        <v>"#ffffff"</v>
      </c>
      <c r="AA163" s="2" t="s">
        <v>6</v>
      </c>
      <c r="AB163" s="2" t="str">
        <f t="shared" si="160"/>
        <v>-</v>
      </c>
      <c r="AC163" s="2" t="s">
        <v>29</v>
      </c>
      <c r="AD163" s="2" t="str">
        <f t="shared" si="161"/>
        <v>_</v>
      </c>
      <c r="AE163" s="2" t="s">
        <v>13</v>
      </c>
      <c r="AF163" s="2" t="str">
        <f t="shared" si="162"/>
        <v>_</v>
      </c>
      <c r="AG163" s="2" t="s">
        <v>269</v>
      </c>
    </row>
    <row r="164" spans="2:33" x14ac:dyDescent="0.25">
      <c r="B164" s="2" t="str">
        <f t="shared" si="133"/>
        <v>@color-raceway_line_unpaved</v>
      </c>
      <c r="C164" s="148" t="s">
        <v>226</v>
      </c>
      <c r="D164" s="149" t="str">
        <f>C164</f>
        <v>"#eddfca"</v>
      </c>
      <c r="I164" s="149" t="str">
        <f>C164</f>
        <v>"#eddfca"</v>
      </c>
      <c r="J164" s="149" t="str">
        <f>C164</f>
        <v>"#eddfca"</v>
      </c>
      <c r="U164" s="44"/>
      <c r="V164" s="44"/>
      <c r="X164" s="44"/>
      <c r="Y164" s="44"/>
      <c r="AA164" s="2" t="s">
        <v>6</v>
      </c>
      <c r="AB164" s="2" t="str">
        <f t="shared" si="135"/>
        <v>-</v>
      </c>
      <c r="AC164" s="2" t="s">
        <v>29</v>
      </c>
      <c r="AD164" s="2" t="str">
        <f t="shared" si="138"/>
        <v>_</v>
      </c>
      <c r="AE164" s="2" t="s">
        <v>13</v>
      </c>
      <c r="AF164" s="2" t="str">
        <f t="shared" si="139"/>
        <v>_</v>
      </c>
      <c r="AG164" s="2" t="s">
        <v>22</v>
      </c>
    </row>
    <row r="165" spans="2:33" x14ac:dyDescent="0.25">
      <c r="B165" s="2" t="str">
        <f t="shared" si="133"/>
        <v>@color-raceway_line_paved_or_uk</v>
      </c>
      <c r="C165" s="26" t="s">
        <v>227</v>
      </c>
      <c r="D165" s="38" t="str">
        <f>C165</f>
        <v>"#ffffff"</v>
      </c>
      <c r="I165" s="38" t="str">
        <f>C165</f>
        <v>"#ffffff"</v>
      </c>
      <c r="J165" s="38" t="str">
        <f>C165</f>
        <v>"#ffffff"</v>
      </c>
      <c r="U165" s="44"/>
      <c r="V165" s="44"/>
      <c r="X165" s="44"/>
      <c r="Y165" s="44"/>
      <c r="AA165" s="2" t="s">
        <v>6</v>
      </c>
      <c r="AB165" s="2" t="str">
        <f t="shared" si="135"/>
        <v>-</v>
      </c>
      <c r="AC165" s="2" t="s">
        <v>29</v>
      </c>
      <c r="AD165" s="2" t="str">
        <f t="shared" si="138"/>
        <v>_</v>
      </c>
      <c r="AE165" s="2" t="s">
        <v>13</v>
      </c>
      <c r="AF165" s="2" t="str">
        <f t="shared" si="139"/>
        <v>_</v>
      </c>
      <c r="AG165" s="2" t="s">
        <v>25</v>
      </c>
    </row>
    <row r="166" spans="2:33" x14ac:dyDescent="0.25">
      <c r="B166" s="2"/>
      <c r="AB166" s="28" t="str">
        <f t="shared" si="135"/>
        <v/>
      </c>
      <c r="AD166" s="28" t="str">
        <f t="shared" si="138"/>
        <v/>
      </c>
      <c r="AF166" s="28" t="str">
        <f t="shared" si="139"/>
        <v/>
      </c>
    </row>
    <row r="167" spans="2:33" x14ac:dyDescent="0.25">
      <c r="B167" s="2" t="str">
        <f t="shared" ref="B167:B174" si="163">_xlfn.CONCAT("@",AA167,AB167,AC167,AD167,AE167,AF167,AG167)</f>
        <v>@color-driveway_case</v>
      </c>
      <c r="C167" s="44"/>
      <c r="D167" s="44"/>
      <c r="F167" s="44"/>
      <c r="G167" s="44"/>
      <c r="I167" s="44"/>
      <c r="J167" s="44"/>
      <c r="L167" s="44"/>
      <c r="M167" s="44"/>
      <c r="U167" s="72" t="s">
        <v>217</v>
      </c>
      <c r="V167" s="72" t="s">
        <v>217</v>
      </c>
      <c r="AA167" s="2" t="s">
        <v>6</v>
      </c>
      <c r="AB167" s="2" t="str">
        <f t="shared" si="135"/>
        <v>-</v>
      </c>
      <c r="AC167" s="2" t="s">
        <v>30</v>
      </c>
      <c r="AD167" s="2" t="str">
        <f t="shared" si="138"/>
        <v>_</v>
      </c>
      <c r="AE167" s="2" t="s">
        <v>17</v>
      </c>
      <c r="AF167" s="2" t="str">
        <f t="shared" si="139"/>
        <v/>
      </c>
      <c r="AG167" s="2"/>
    </row>
    <row r="168" spans="2:33" x14ac:dyDescent="0.25">
      <c r="B168" s="2" t="str">
        <f t="shared" si="163"/>
        <v>@color-driveway_case_unpaved_farzoom</v>
      </c>
      <c r="C168" s="139" t="s">
        <v>232</v>
      </c>
      <c r="D168" s="140" t="s">
        <v>236</v>
      </c>
      <c r="F168" s="72" t="s">
        <v>217</v>
      </c>
      <c r="I168" s="160" t="str">
        <f t="shared" ref="I168:J171" si="164">C168</f>
        <v>"#b99346"</v>
      </c>
      <c r="J168" s="155" t="str">
        <f t="shared" si="164"/>
        <v>"#644507"</v>
      </c>
      <c r="U168" s="44"/>
      <c r="V168" s="44"/>
      <c r="X168" s="44"/>
      <c r="Y168" s="44"/>
      <c r="AA168" s="2" t="s">
        <v>6</v>
      </c>
      <c r="AB168" s="2" t="str">
        <f t="shared" si="135"/>
        <v>-</v>
      </c>
      <c r="AC168" s="2" t="s">
        <v>30</v>
      </c>
      <c r="AD168" s="2" t="str">
        <f t="shared" si="138"/>
        <v>_</v>
      </c>
      <c r="AE168" s="2" t="s">
        <v>17</v>
      </c>
      <c r="AF168" s="2" t="str">
        <f t="shared" si="139"/>
        <v>_</v>
      </c>
      <c r="AG168" s="2" t="s">
        <v>235</v>
      </c>
    </row>
    <row r="169" spans="2:33" x14ac:dyDescent="0.25">
      <c r="B169" s="2" t="str">
        <f t="shared" si="163"/>
        <v>@color-driveway_case_unpaved</v>
      </c>
      <c r="C169" s="140" t="s">
        <v>236</v>
      </c>
      <c r="D169" s="140" t="s">
        <v>236</v>
      </c>
      <c r="F169" s="72" t="s">
        <v>217</v>
      </c>
      <c r="I169" s="155" t="str">
        <f t="shared" si="164"/>
        <v>"#644507"</v>
      </c>
      <c r="J169" s="155" t="str">
        <f t="shared" si="164"/>
        <v>"#644507"</v>
      </c>
      <c r="U169" s="44"/>
      <c r="V169" s="44"/>
      <c r="X169" s="44"/>
      <c r="Y169" s="44"/>
      <c r="AA169" s="2" t="s">
        <v>6</v>
      </c>
      <c r="AB169" s="2" t="str">
        <f t="shared" si="135"/>
        <v>-</v>
      </c>
      <c r="AC169" s="2" t="s">
        <v>30</v>
      </c>
      <c r="AD169" s="2" t="str">
        <f t="shared" si="138"/>
        <v>_</v>
      </c>
      <c r="AE169" s="2" t="s">
        <v>17</v>
      </c>
      <c r="AF169" s="2" t="str">
        <f t="shared" si="139"/>
        <v>_</v>
      </c>
      <c r="AG169" s="2" t="s">
        <v>22</v>
      </c>
    </row>
    <row r="170" spans="2:33" x14ac:dyDescent="0.25">
      <c r="B170" s="2" t="str">
        <f t="shared" si="163"/>
        <v>@color-driveway_case_paved_or_uk_farzoom</v>
      </c>
      <c r="C170" s="142" t="s">
        <v>233</v>
      </c>
      <c r="D170" s="72" t="s">
        <v>217</v>
      </c>
      <c r="F170" s="72" t="s">
        <v>217</v>
      </c>
      <c r="I170" s="161" t="str">
        <f t="shared" si="164"/>
        <v>"#808080"</v>
      </c>
      <c r="J170" s="37" t="str">
        <f t="shared" si="164"/>
        <v>"#000000"</v>
      </c>
      <c r="U170" s="44"/>
      <c r="V170" s="44"/>
      <c r="X170" s="44"/>
      <c r="Y170" s="44"/>
      <c r="AA170" s="2" t="s">
        <v>6</v>
      </c>
      <c r="AB170" s="2" t="str">
        <f t="shared" si="135"/>
        <v>-</v>
      </c>
      <c r="AC170" s="2" t="s">
        <v>30</v>
      </c>
      <c r="AD170" s="2" t="str">
        <f t="shared" si="138"/>
        <v>_</v>
      </c>
      <c r="AE170" s="2" t="s">
        <v>17</v>
      </c>
      <c r="AF170" s="2" t="str">
        <f t="shared" si="139"/>
        <v>_</v>
      </c>
      <c r="AG170" s="2" t="s">
        <v>234</v>
      </c>
    </row>
    <row r="171" spans="2:33" x14ac:dyDescent="0.25">
      <c r="B171" s="2" t="str">
        <f t="shared" si="163"/>
        <v>@color-driveway_case_paved_or_uk</v>
      </c>
      <c r="C171" s="143" t="s">
        <v>221</v>
      </c>
      <c r="D171" s="72" t="s">
        <v>217</v>
      </c>
      <c r="F171" s="72" t="s">
        <v>217</v>
      </c>
      <c r="I171" s="162" t="str">
        <f t="shared" si="164"/>
        <v>"#404040"</v>
      </c>
      <c r="J171" s="37" t="str">
        <f t="shared" si="164"/>
        <v>"#000000"</v>
      </c>
      <c r="Q171" s="7"/>
      <c r="U171" s="44"/>
      <c r="V171" s="44"/>
      <c r="X171" s="44"/>
      <c r="Y171" s="44"/>
      <c r="AA171" s="2" t="s">
        <v>6</v>
      </c>
      <c r="AB171" s="2" t="str">
        <f t="shared" si="135"/>
        <v>-</v>
      </c>
      <c r="AC171" s="2" t="s">
        <v>30</v>
      </c>
      <c r="AD171" s="2" t="str">
        <f t="shared" si="138"/>
        <v>_</v>
      </c>
      <c r="AE171" s="2" t="s">
        <v>17</v>
      </c>
      <c r="AF171" s="2" t="str">
        <f t="shared" si="139"/>
        <v>_</v>
      </c>
      <c r="AG171" s="2" t="s">
        <v>25</v>
      </c>
    </row>
    <row r="172" spans="2:33" x14ac:dyDescent="0.25">
      <c r="B172" s="2" t="str">
        <f t="shared" si="163"/>
        <v>@color-driveway_line_default</v>
      </c>
      <c r="C172" s="44"/>
      <c r="D172" s="44"/>
      <c r="F172" s="44"/>
      <c r="G172" s="44"/>
      <c r="I172" s="44"/>
      <c r="J172" s="44"/>
      <c r="L172" s="44"/>
      <c r="M172" s="44"/>
      <c r="U172" s="71" t="s">
        <v>227</v>
      </c>
      <c r="V172" s="38" t="str">
        <f>U172</f>
        <v>"#ffffff"</v>
      </c>
      <c r="AA172" s="2" t="s">
        <v>6</v>
      </c>
      <c r="AB172" s="2" t="str">
        <f t="shared" si="135"/>
        <v>-</v>
      </c>
      <c r="AC172" s="2" t="s">
        <v>30</v>
      </c>
      <c r="AD172" s="2" t="str">
        <f t="shared" si="138"/>
        <v>_</v>
      </c>
      <c r="AE172" s="2" t="s">
        <v>13</v>
      </c>
      <c r="AF172" s="2" t="str">
        <f t="shared" si="139"/>
        <v>_</v>
      </c>
      <c r="AG172" s="2" t="s">
        <v>269</v>
      </c>
    </row>
    <row r="173" spans="2:33" x14ac:dyDescent="0.25">
      <c r="B173" s="2" t="str">
        <f t="shared" si="163"/>
        <v>@color-driveway_line_unpaved</v>
      </c>
      <c r="C173" s="148" t="s">
        <v>226</v>
      </c>
      <c r="D173" s="38" t="str">
        <f t="shared" ref="D173:D174" si="165">C173</f>
        <v>"#eddfca"</v>
      </c>
      <c r="I173" s="149" t="str">
        <f>C173</f>
        <v>"#eddfca"</v>
      </c>
      <c r="J173" s="38" t="str">
        <f t="shared" ref="J173:J174" si="166">C173</f>
        <v>"#eddfca"</v>
      </c>
      <c r="U173" s="44"/>
      <c r="V173" s="44"/>
      <c r="X173" s="44"/>
      <c r="Y173" s="44"/>
      <c r="AA173" s="2" t="s">
        <v>6</v>
      </c>
      <c r="AB173" s="2" t="str">
        <f t="shared" si="135"/>
        <v>-</v>
      </c>
      <c r="AC173" s="2" t="s">
        <v>30</v>
      </c>
      <c r="AD173" s="2" t="str">
        <f t="shared" si="138"/>
        <v>_</v>
      </c>
      <c r="AE173" s="2" t="s">
        <v>13</v>
      </c>
      <c r="AF173" s="2" t="str">
        <f t="shared" si="139"/>
        <v>_</v>
      </c>
      <c r="AG173" s="2" t="s">
        <v>22</v>
      </c>
    </row>
    <row r="174" spans="2:33" x14ac:dyDescent="0.25">
      <c r="B174" s="2" t="str">
        <f t="shared" si="163"/>
        <v>@color-driveway_line_paved_or_uk</v>
      </c>
      <c r="C174" s="71" t="s">
        <v>227</v>
      </c>
      <c r="D174" s="38" t="str">
        <f t="shared" si="165"/>
        <v>"#ffffff"</v>
      </c>
      <c r="I174" s="38" t="str">
        <f>C174</f>
        <v>"#ffffff"</v>
      </c>
      <c r="J174" s="38" t="str">
        <f t="shared" si="166"/>
        <v>"#ffffff"</v>
      </c>
      <c r="U174" s="44"/>
      <c r="V174" s="44"/>
      <c r="X174" s="44"/>
      <c r="Y174" s="44"/>
      <c r="AA174" s="2" t="s">
        <v>6</v>
      </c>
      <c r="AB174" s="2" t="str">
        <f t="shared" si="135"/>
        <v>-</v>
      </c>
      <c r="AC174" s="2" t="s">
        <v>30</v>
      </c>
      <c r="AD174" s="2" t="str">
        <f t="shared" si="138"/>
        <v>_</v>
      </c>
      <c r="AE174" s="2" t="s">
        <v>13</v>
      </c>
      <c r="AF174" s="2" t="str">
        <f t="shared" si="139"/>
        <v>_</v>
      </c>
      <c r="AG174" s="2" t="s">
        <v>25</v>
      </c>
    </row>
    <row r="175" spans="2:33" x14ac:dyDescent="0.25">
      <c r="B175" s="2"/>
      <c r="AB175" s="28" t="str">
        <f t="shared" ref="AB175:AB183" si="167">IF(NOT(ISBLANK(AC175)),"-","")</f>
        <v/>
      </c>
      <c r="AD175" s="28" t="str">
        <f t="shared" ref="AD175:AD183" si="168">IF(NOT(ISBLANK(AE175)),"_","")</f>
        <v/>
      </c>
      <c r="AF175" s="28" t="str">
        <f t="shared" ref="AF175:AF183" si="169">IF(NOT(ISBLANK(AG175)),"_","")</f>
        <v/>
      </c>
    </row>
    <row r="176" spans="2:33" x14ac:dyDescent="0.25">
      <c r="B176" s="2" t="str">
        <f t="shared" ref="B176:B183" si="170">_xlfn.CONCAT("@",AA176,AB176,AC176,AD176,AE176,AF176,AG176)</f>
        <v>@color-service_case</v>
      </c>
      <c r="C176" s="44"/>
      <c r="D176" s="44"/>
      <c r="F176" s="44"/>
      <c r="G176" s="44"/>
      <c r="I176" s="44"/>
      <c r="J176" s="44"/>
      <c r="L176" s="44"/>
      <c r="M176" s="44"/>
      <c r="U176" s="72" t="s">
        <v>217</v>
      </c>
      <c r="V176" s="72" t="s">
        <v>217</v>
      </c>
      <c r="AA176" s="2" t="s">
        <v>6</v>
      </c>
      <c r="AB176" s="2" t="str">
        <f t="shared" si="167"/>
        <v>-</v>
      </c>
      <c r="AC176" s="2" t="s">
        <v>31</v>
      </c>
      <c r="AD176" s="2" t="str">
        <f t="shared" si="168"/>
        <v>_</v>
      </c>
      <c r="AE176" s="2" t="s">
        <v>17</v>
      </c>
      <c r="AF176" s="2" t="str">
        <f t="shared" si="169"/>
        <v/>
      </c>
      <c r="AG176" s="2"/>
    </row>
    <row r="177" spans="2:33" x14ac:dyDescent="0.25">
      <c r="B177" s="2" t="str">
        <f t="shared" si="170"/>
        <v>@color-service_case_unpaved_farzoom</v>
      </c>
      <c r="C177" s="139" t="s">
        <v>232</v>
      </c>
      <c r="D177" s="140" t="s">
        <v>236</v>
      </c>
      <c r="F177" s="72" t="s">
        <v>217</v>
      </c>
      <c r="I177" s="160" t="str">
        <f t="shared" ref="I177:J180" si="171">C177</f>
        <v>"#b99346"</v>
      </c>
      <c r="J177" s="155" t="str">
        <f t="shared" si="171"/>
        <v>"#644507"</v>
      </c>
      <c r="U177" s="44"/>
      <c r="V177" s="44"/>
      <c r="X177" s="44"/>
      <c r="Y177" s="44"/>
      <c r="AA177" s="2" t="s">
        <v>6</v>
      </c>
      <c r="AB177" s="2" t="str">
        <f t="shared" si="167"/>
        <v>-</v>
      </c>
      <c r="AC177" s="2" t="s">
        <v>31</v>
      </c>
      <c r="AD177" s="2" t="str">
        <f t="shared" si="168"/>
        <v>_</v>
      </c>
      <c r="AE177" s="2" t="s">
        <v>17</v>
      </c>
      <c r="AF177" s="2" t="str">
        <f t="shared" si="169"/>
        <v>_</v>
      </c>
      <c r="AG177" s="2" t="s">
        <v>235</v>
      </c>
    </row>
    <row r="178" spans="2:33" x14ac:dyDescent="0.25">
      <c r="B178" s="2" t="str">
        <f t="shared" si="170"/>
        <v>@color-service_case_unpaved</v>
      </c>
      <c r="C178" s="140" t="s">
        <v>236</v>
      </c>
      <c r="D178" s="140" t="s">
        <v>236</v>
      </c>
      <c r="F178" s="72" t="s">
        <v>217</v>
      </c>
      <c r="I178" s="155" t="str">
        <f t="shared" si="171"/>
        <v>"#644507"</v>
      </c>
      <c r="J178" s="155" t="str">
        <f t="shared" si="171"/>
        <v>"#644507"</v>
      </c>
      <c r="U178" s="44"/>
      <c r="V178" s="44"/>
      <c r="X178" s="44"/>
      <c r="Y178" s="44"/>
      <c r="AA178" s="2" t="s">
        <v>6</v>
      </c>
      <c r="AB178" s="2" t="str">
        <f t="shared" si="167"/>
        <v>-</v>
      </c>
      <c r="AC178" s="2" t="s">
        <v>31</v>
      </c>
      <c r="AD178" s="2" t="str">
        <f t="shared" si="168"/>
        <v>_</v>
      </c>
      <c r="AE178" s="2" t="s">
        <v>17</v>
      </c>
      <c r="AF178" s="2" t="str">
        <f t="shared" si="169"/>
        <v>_</v>
      </c>
      <c r="AG178" s="2" t="s">
        <v>22</v>
      </c>
    </row>
    <row r="179" spans="2:33" x14ac:dyDescent="0.25">
      <c r="B179" s="2" t="str">
        <f t="shared" si="170"/>
        <v>@color-service_case_paved_or_uk_farzoom</v>
      </c>
      <c r="C179" s="142" t="s">
        <v>233</v>
      </c>
      <c r="D179" s="72" t="s">
        <v>217</v>
      </c>
      <c r="F179" s="72" t="s">
        <v>217</v>
      </c>
      <c r="I179" s="161" t="str">
        <f t="shared" si="171"/>
        <v>"#808080"</v>
      </c>
      <c r="J179" s="37" t="str">
        <f t="shared" si="171"/>
        <v>"#000000"</v>
      </c>
      <c r="U179" s="44"/>
      <c r="V179" s="44"/>
      <c r="X179" s="44"/>
      <c r="Y179" s="44"/>
      <c r="AA179" s="2" t="s">
        <v>6</v>
      </c>
      <c r="AB179" s="2" t="str">
        <f t="shared" si="167"/>
        <v>-</v>
      </c>
      <c r="AC179" s="2" t="s">
        <v>31</v>
      </c>
      <c r="AD179" s="2" t="str">
        <f t="shared" si="168"/>
        <v>_</v>
      </c>
      <c r="AE179" s="2" t="s">
        <v>17</v>
      </c>
      <c r="AF179" s="2" t="str">
        <f t="shared" si="169"/>
        <v>_</v>
      </c>
      <c r="AG179" s="2" t="s">
        <v>234</v>
      </c>
    </row>
    <row r="180" spans="2:33" x14ac:dyDescent="0.25">
      <c r="B180" s="2" t="str">
        <f t="shared" si="170"/>
        <v>@color-service_case_paved_or_uk</v>
      </c>
      <c r="C180" s="143" t="s">
        <v>221</v>
      </c>
      <c r="D180" s="72" t="s">
        <v>217</v>
      </c>
      <c r="F180" s="72" t="s">
        <v>217</v>
      </c>
      <c r="I180" s="162" t="str">
        <f t="shared" si="171"/>
        <v>"#404040"</v>
      </c>
      <c r="J180" s="37" t="str">
        <f t="shared" si="171"/>
        <v>"#000000"</v>
      </c>
      <c r="Q180" s="7"/>
      <c r="U180" s="44"/>
      <c r="V180" s="44"/>
      <c r="X180" s="44"/>
      <c r="Y180" s="44"/>
      <c r="AA180" s="2" t="s">
        <v>6</v>
      </c>
      <c r="AB180" s="2" t="str">
        <f t="shared" si="167"/>
        <v>-</v>
      </c>
      <c r="AC180" s="2" t="s">
        <v>31</v>
      </c>
      <c r="AD180" s="2" t="str">
        <f t="shared" si="168"/>
        <v>_</v>
      </c>
      <c r="AE180" s="2" t="s">
        <v>17</v>
      </c>
      <c r="AF180" s="2" t="str">
        <f t="shared" si="169"/>
        <v>_</v>
      </c>
      <c r="AG180" s="2" t="s">
        <v>25</v>
      </c>
    </row>
    <row r="181" spans="2:33" x14ac:dyDescent="0.25">
      <c r="B181" s="2" t="str">
        <f t="shared" ref="B181" si="172">_xlfn.CONCAT("@",AA181,AB181,AC181,AD181,AE181,AF181,AG181)</f>
        <v>@color-service_line_default</v>
      </c>
      <c r="C181" s="44"/>
      <c r="D181" s="44"/>
      <c r="F181" s="44"/>
      <c r="G181" s="44"/>
      <c r="I181" s="44"/>
      <c r="J181" s="44"/>
      <c r="L181" s="44"/>
      <c r="M181" s="44"/>
      <c r="U181" s="71" t="s">
        <v>227</v>
      </c>
      <c r="V181" s="38" t="str">
        <f>U181</f>
        <v>"#ffffff"</v>
      </c>
      <c r="AA181" s="2" t="s">
        <v>6</v>
      </c>
      <c r="AB181" s="2" t="str">
        <f t="shared" ref="AB181" si="173">IF(NOT(ISBLANK(AC181)),"-","")</f>
        <v>-</v>
      </c>
      <c r="AC181" s="2" t="s">
        <v>31</v>
      </c>
      <c r="AD181" s="2" t="str">
        <f t="shared" ref="AD181" si="174">IF(NOT(ISBLANK(AE181)),"_","")</f>
        <v>_</v>
      </c>
      <c r="AE181" s="2" t="s">
        <v>13</v>
      </c>
      <c r="AF181" s="2" t="str">
        <f t="shared" ref="AF181" si="175">IF(NOT(ISBLANK(AG181)),"_","")</f>
        <v>_</v>
      </c>
      <c r="AG181" s="2" t="s">
        <v>269</v>
      </c>
    </row>
    <row r="182" spans="2:33" x14ac:dyDescent="0.25">
      <c r="B182" s="2" t="str">
        <f t="shared" si="170"/>
        <v>@color-service_line_unpaved</v>
      </c>
      <c r="C182" s="148" t="s">
        <v>226</v>
      </c>
      <c r="D182" s="38" t="str">
        <f t="shared" ref="D182:D183" si="176">C182</f>
        <v>"#eddfca"</v>
      </c>
      <c r="I182" s="149" t="str">
        <f>C182</f>
        <v>"#eddfca"</v>
      </c>
      <c r="J182" s="38" t="str">
        <f t="shared" ref="J182:J183" si="177">C182</f>
        <v>"#eddfca"</v>
      </c>
      <c r="U182" s="44"/>
      <c r="V182" s="44"/>
      <c r="X182" s="44"/>
      <c r="Y182" s="44"/>
      <c r="AA182" s="2" t="s">
        <v>6</v>
      </c>
      <c r="AB182" s="2" t="str">
        <f t="shared" si="167"/>
        <v>-</v>
      </c>
      <c r="AC182" s="2" t="s">
        <v>31</v>
      </c>
      <c r="AD182" s="2" t="str">
        <f t="shared" si="168"/>
        <v>_</v>
      </c>
      <c r="AE182" s="2" t="s">
        <v>13</v>
      </c>
      <c r="AF182" s="2" t="str">
        <f t="shared" si="169"/>
        <v>_</v>
      </c>
      <c r="AG182" s="2" t="s">
        <v>22</v>
      </c>
    </row>
    <row r="183" spans="2:33" x14ac:dyDescent="0.25">
      <c r="B183" s="2" t="str">
        <f t="shared" si="170"/>
        <v>@color-service_line_paved_or_uk</v>
      </c>
      <c r="C183" s="71" t="s">
        <v>227</v>
      </c>
      <c r="D183" s="38" t="str">
        <f t="shared" si="176"/>
        <v>"#ffffff"</v>
      </c>
      <c r="I183" s="38" t="str">
        <f>C183</f>
        <v>"#ffffff"</v>
      </c>
      <c r="J183" s="38" t="str">
        <f t="shared" si="177"/>
        <v>"#ffffff"</v>
      </c>
      <c r="U183" s="44"/>
      <c r="V183" s="44"/>
      <c r="X183" s="44"/>
      <c r="Y183" s="44"/>
      <c r="AA183" s="2" t="s">
        <v>6</v>
      </c>
      <c r="AB183" s="2" t="str">
        <f t="shared" si="167"/>
        <v>-</v>
      </c>
      <c r="AC183" s="2" t="s">
        <v>31</v>
      </c>
      <c r="AD183" s="2" t="str">
        <f t="shared" si="168"/>
        <v>_</v>
      </c>
      <c r="AE183" s="2" t="s">
        <v>13</v>
      </c>
      <c r="AF183" s="2" t="str">
        <f t="shared" si="169"/>
        <v>_</v>
      </c>
      <c r="AG183" s="2" t="s">
        <v>25</v>
      </c>
    </row>
    <row r="184" spans="2:33" x14ac:dyDescent="0.25">
      <c r="B184" s="2"/>
      <c r="AB184" s="28" t="str">
        <f t="shared" si="135"/>
        <v/>
      </c>
      <c r="AD184" s="28" t="str">
        <f t="shared" si="138"/>
        <v/>
      </c>
      <c r="AF184" s="28" t="str">
        <f t="shared" si="139"/>
        <v/>
      </c>
    </row>
    <row r="185" spans="2:33" x14ac:dyDescent="0.25">
      <c r="B185" s="2" t="str">
        <f t="shared" ref="B185" si="178">_xlfn.CONCAT("@",AA185,AB185,AC185,AD185,AE185,AF185,AG185)</f>
        <v>@color-minor_case_unpaved_farzoom</v>
      </c>
      <c r="C185" s="139" t="s">
        <v>232</v>
      </c>
      <c r="D185" s="140" t="s">
        <v>236</v>
      </c>
      <c r="F185" s="72" t="s">
        <v>217</v>
      </c>
      <c r="I185" s="160" t="str">
        <f t="shared" ref="I185:J188" si="179">C185</f>
        <v>"#b99346"</v>
      </c>
      <c r="J185" s="155" t="str">
        <f t="shared" si="179"/>
        <v>"#644507"</v>
      </c>
      <c r="U185" s="44"/>
      <c r="V185" s="44"/>
      <c r="X185" s="44"/>
      <c r="Y185" s="44"/>
      <c r="AA185" s="2" t="s">
        <v>6</v>
      </c>
      <c r="AB185" s="2" t="str">
        <f t="shared" ref="AB185" si="180">IF(NOT(ISBLANK(AC185)),"-","")</f>
        <v>-</v>
      </c>
      <c r="AC185" s="2" t="s">
        <v>32</v>
      </c>
      <c r="AD185" s="2" t="str">
        <f t="shared" ref="AD185" si="181">IF(NOT(ISBLANK(AE185)),"_","")</f>
        <v>_</v>
      </c>
      <c r="AE185" s="2" t="s">
        <v>17</v>
      </c>
      <c r="AF185" s="2" t="str">
        <f t="shared" ref="AF185" si="182">IF(NOT(ISBLANK(AG185)),"_","")</f>
        <v>_</v>
      </c>
      <c r="AG185" s="2" t="s">
        <v>235</v>
      </c>
    </row>
    <row r="186" spans="2:33" x14ac:dyDescent="0.25">
      <c r="B186" s="2" t="str">
        <f t="shared" ref="B186:B189" si="183">_xlfn.CONCAT("@",AA186,AB186,AC186,AD186,AE186,AF186,AG186)</f>
        <v>@color-minor_case_unpaved_default</v>
      </c>
      <c r="C186" s="140" t="s">
        <v>236</v>
      </c>
      <c r="D186" s="140" t="s">
        <v>236</v>
      </c>
      <c r="F186" s="72" t="s">
        <v>217</v>
      </c>
      <c r="I186" s="155" t="str">
        <f t="shared" si="179"/>
        <v>"#644507"</v>
      </c>
      <c r="J186" s="155" t="str">
        <f t="shared" si="179"/>
        <v>"#644507"</v>
      </c>
      <c r="U186" s="44"/>
      <c r="V186" s="44"/>
      <c r="X186" s="44"/>
      <c r="Y186" s="44"/>
      <c r="AA186" s="2" t="s">
        <v>6</v>
      </c>
      <c r="AB186" s="2" t="str">
        <f t="shared" si="135"/>
        <v>-</v>
      </c>
      <c r="AC186" s="2" t="s">
        <v>32</v>
      </c>
      <c r="AD186" s="2" t="str">
        <f t="shared" si="138"/>
        <v>_</v>
      </c>
      <c r="AE186" s="2" t="s">
        <v>17</v>
      </c>
      <c r="AF186" s="2" t="str">
        <f t="shared" si="139"/>
        <v>_</v>
      </c>
      <c r="AG186" s="2" t="s">
        <v>270</v>
      </c>
    </row>
    <row r="187" spans="2:33" x14ac:dyDescent="0.25">
      <c r="B187" s="2" t="str">
        <f t="shared" ref="B187" si="184">_xlfn.CONCAT("@",AA187,AB187,AC187,AD187,AE187,AF187,AG187)</f>
        <v>@color-minor_case_paved_or_uk_farzoom</v>
      </c>
      <c r="C187" s="142" t="s">
        <v>233</v>
      </c>
      <c r="D187" s="72" t="s">
        <v>217</v>
      </c>
      <c r="F187" s="72" t="s">
        <v>217</v>
      </c>
      <c r="I187" s="161" t="str">
        <f t="shared" si="179"/>
        <v>"#808080"</v>
      </c>
      <c r="J187" s="37" t="str">
        <f t="shared" si="179"/>
        <v>"#000000"</v>
      </c>
      <c r="U187" s="44"/>
      <c r="V187" s="44"/>
      <c r="X187" s="44"/>
      <c r="Y187" s="44"/>
      <c r="AA187" s="2" t="s">
        <v>6</v>
      </c>
      <c r="AB187" s="2" t="str">
        <f t="shared" ref="AB187" si="185">IF(NOT(ISBLANK(AC187)),"-","")</f>
        <v>-</v>
      </c>
      <c r="AC187" s="2" t="s">
        <v>32</v>
      </c>
      <c r="AD187" s="2" t="str">
        <f t="shared" ref="AD187" si="186">IF(NOT(ISBLANK(AE187)),"_","")</f>
        <v>_</v>
      </c>
      <c r="AE187" s="2" t="s">
        <v>17</v>
      </c>
      <c r="AF187" s="2" t="str">
        <f t="shared" ref="AF187" si="187">IF(NOT(ISBLANK(AG187)),"_","")</f>
        <v>_</v>
      </c>
      <c r="AG187" s="2" t="s">
        <v>234</v>
      </c>
    </row>
    <row r="188" spans="2:33" x14ac:dyDescent="0.25">
      <c r="B188" s="2" t="str">
        <f t="shared" si="183"/>
        <v>@color-minor_case_paved_or_uk_default</v>
      </c>
      <c r="C188" s="143" t="s">
        <v>221</v>
      </c>
      <c r="D188" s="72" t="s">
        <v>217</v>
      </c>
      <c r="F188" s="72" t="s">
        <v>217</v>
      </c>
      <c r="I188" s="162" t="str">
        <f t="shared" si="179"/>
        <v>"#404040"</v>
      </c>
      <c r="J188" s="37" t="str">
        <f t="shared" si="179"/>
        <v>"#000000"</v>
      </c>
      <c r="U188" s="44"/>
      <c r="V188" s="44"/>
      <c r="X188" s="44"/>
      <c r="Y188" s="44"/>
      <c r="AA188" s="2" t="s">
        <v>6</v>
      </c>
      <c r="AB188" s="2" t="str">
        <f t="shared" si="135"/>
        <v>-</v>
      </c>
      <c r="AC188" s="2" t="s">
        <v>32</v>
      </c>
      <c r="AD188" s="2" t="str">
        <f t="shared" si="138"/>
        <v>_</v>
      </c>
      <c r="AE188" s="2" t="s">
        <v>17</v>
      </c>
      <c r="AF188" s="2" t="str">
        <f t="shared" si="139"/>
        <v>_</v>
      </c>
      <c r="AG188" s="2" t="s">
        <v>271</v>
      </c>
    </row>
    <row r="189" spans="2:33" x14ac:dyDescent="0.25">
      <c r="B189" s="2" t="str">
        <f t="shared" si="183"/>
        <v>@color-minor_line_default</v>
      </c>
      <c r="C189" s="44"/>
      <c r="D189" s="44"/>
      <c r="F189" s="44"/>
      <c r="G189" s="44"/>
      <c r="I189" s="44"/>
      <c r="J189" s="44"/>
      <c r="L189" s="44"/>
      <c r="M189" s="44"/>
      <c r="U189" s="71" t="s">
        <v>227</v>
      </c>
      <c r="V189" s="38" t="str">
        <f>U189</f>
        <v>"#ffffff"</v>
      </c>
      <c r="AA189" s="2" t="s">
        <v>6</v>
      </c>
      <c r="AB189" s="2" t="str">
        <f t="shared" ref="AB189" si="188">IF(NOT(ISBLANK(AC189)),"-","")</f>
        <v>-</v>
      </c>
      <c r="AC189" s="2" t="s">
        <v>32</v>
      </c>
      <c r="AD189" s="2" t="str">
        <f t="shared" ref="AD189" si="189">IF(NOT(ISBLANK(AE189)),"_","")</f>
        <v>_</v>
      </c>
      <c r="AE189" s="2" t="s">
        <v>13</v>
      </c>
      <c r="AF189" s="2" t="str">
        <f t="shared" ref="AF189" si="190">IF(NOT(ISBLANK(AG189)),"_","")</f>
        <v>_</v>
      </c>
      <c r="AG189" s="2" t="s">
        <v>269</v>
      </c>
    </row>
    <row r="190" spans="2:33" x14ac:dyDescent="0.25">
      <c r="B190" s="2" t="str">
        <f t="shared" si="133"/>
        <v>@color-minor_line_unpaved</v>
      </c>
      <c r="C190" s="148" t="s">
        <v>226</v>
      </c>
      <c r="D190" s="38" t="str">
        <f t="shared" ref="D190:D191" si="191">C190</f>
        <v>"#eddfca"</v>
      </c>
      <c r="I190" s="149" t="str">
        <f>C190</f>
        <v>"#eddfca"</v>
      </c>
      <c r="J190" s="38" t="str">
        <f t="shared" ref="J190:J191" si="192">C190</f>
        <v>"#eddfca"</v>
      </c>
      <c r="U190" s="44"/>
      <c r="V190" s="44"/>
      <c r="X190" s="44"/>
      <c r="Y190" s="44"/>
      <c r="AA190" s="2" t="s">
        <v>6</v>
      </c>
      <c r="AB190" s="2" t="str">
        <f t="shared" si="135"/>
        <v>-</v>
      </c>
      <c r="AC190" s="2" t="s">
        <v>32</v>
      </c>
      <c r="AD190" s="2" t="str">
        <f t="shared" si="138"/>
        <v>_</v>
      </c>
      <c r="AE190" s="2" t="s">
        <v>13</v>
      </c>
      <c r="AF190" s="2" t="str">
        <f t="shared" si="139"/>
        <v>_</v>
      </c>
      <c r="AG190" s="2" t="s">
        <v>22</v>
      </c>
    </row>
    <row r="191" spans="2:33" x14ac:dyDescent="0.25">
      <c r="B191" s="2" t="str">
        <f t="shared" si="133"/>
        <v>@color-minor_line_paved_or_uk</v>
      </c>
      <c r="C191" s="71" t="s">
        <v>227</v>
      </c>
      <c r="D191" s="38" t="str">
        <f t="shared" si="191"/>
        <v>"#ffffff"</v>
      </c>
      <c r="I191" s="38" t="str">
        <f>C191</f>
        <v>"#ffffff"</v>
      </c>
      <c r="J191" s="38" t="str">
        <f t="shared" si="192"/>
        <v>"#ffffff"</v>
      </c>
      <c r="U191" s="44"/>
      <c r="V191" s="44"/>
      <c r="X191" s="44"/>
      <c r="Y191" s="44"/>
      <c r="AA191" s="2" t="s">
        <v>6</v>
      </c>
      <c r="AB191" s="2" t="str">
        <f t="shared" si="135"/>
        <v>-</v>
      </c>
      <c r="AC191" s="2" t="s">
        <v>32</v>
      </c>
      <c r="AD191" s="2" t="str">
        <f t="shared" si="138"/>
        <v>_</v>
      </c>
      <c r="AE191" s="2" t="s">
        <v>13</v>
      </c>
      <c r="AF191" s="2" t="str">
        <f t="shared" si="139"/>
        <v>_</v>
      </c>
      <c r="AG191" s="2" t="s">
        <v>25</v>
      </c>
    </row>
    <row r="192" spans="2:33" x14ac:dyDescent="0.25">
      <c r="B192" s="2"/>
      <c r="AB192" s="28" t="str">
        <f t="shared" si="135"/>
        <v/>
      </c>
      <c r="AD192" s="28" t="str">
        <f t="shared" si="138"/>
        <v/>
      </c>
      <c r="AF192" s="28" t="str">
        <f t="shared" si="139"/>
        <v/>
      </c>
    </row>
    <row r="193" spans="1:33" s="2" customFormat="1" x14ac:dyDescent="0.25">
      <c r="A193" s="3" t="s">
        <v>229</v>
      </c>
      <c r="B193" s="3"/>
      <c r="C193" s="27"/>
      <c r="D193" s="6"/>
      <c r="E193" s="7"/>
      <c r="F193" s="6"/>
      <c r="G193" s="6"/>
      <c r="H193" s="7"/>
      <c r="I193" s="6"/>
      <c r="J193" s="6"/>
      <c r="K193" s="7"/>
      <c r="L193" s="6"/>
      <c r="M193" s="6"/>
      <c r="N193" s="7"/>
      <c r="O193" s="6"/>
      <c r="P193" s="6"/>
      <c r="Q193" s="7"/>
      <c r="R193" s="6"/>
      <c r="S193" s="6"/>
      <c r="T193" s="7"/>
      <c r="U193" s="6"/>
      <c r="V193" s="6"/>
      <c r="W193" s="7"/>
      <c r="X193" s="6"/>
      <c r="Y193" s="6"/>
      <c r="AA193" s="4"/>
      <c r="AB193" s="4" t="str">
        <f t="shared" si="135"/>
        <v/>
      </c>
      <c r="AC193" s="4"/>
      <c r="AD193" s="4" t="str">
        <f t="shared" si="138"/>
        <v/>
      </c>
      <c r="AE193" s="4"/>
      <c r="AF193" s="4" t="str">
        <f t="shared" si="139"/>
        <v/>
      </c>
      <c r="AG193" s="4"/>
    </row>
    <row r="194" spans="1:33" x14ac:dyDescent="0.25">
      <c r="B194" s="2" t="str">
        <f t="shared" si="133"/>
        <v>@color-motorway_link_line</v>
      </c>
      <c r="C194" s="135" t="s">
        <v>216</v>
      </c>
      <c r="D194" s="136" t="s">
        <v>218</v>
      </c>
      <c r="AA194" s="2" t="s">
        <v>6</v>
      </c>
      <c r="AB194" s="2" t="str">
        <f t="shared" si="135"/>
        <v>-</v>
      </c>
      <c r="AC194" s="2" t="s">
        <v>34</v>
      </c>
      <c r="AD194" s="2" t="str">
        <f t="shared" si="138"/>
        <v>_</v>
      </c>
      <c r="AE194" s="2" t="s">
        <v>13</v>
      </c>
      <c r="AF194" s="2" t="str">
        <f t="shared" si="139"/>
        <v/>
      </c>
      <c r="AG194" s="2"/>
    </row>
    <row r="195" spans="1:33" x14ac:dyDescent="0.25">
      <c r="B195" s="2" t="str">
        <f t="shared" si="133"/>
        <v>@color-motorway_link_case</v>
      </c>
      <c r="C195" s="132" t="s">
        <v>215</v>
      </c>
      <c r="D195" s="163" t="s">
        <v>18</v>
      </c>
      <c r="F195" s="72" t="s">
        <v>217</v>
      </c>
      <c r="AA195" s="2" t="s">
        <v>6</v>
      </c>
      <c r="AB195" s="2" t="str">
        <f t="shared" si="135"/>
        <v>-</v>
      </c>
      <c r="AC195" s="2" t="s">
        <v>34</v>
      </c>
      <c r="AD195" s="2" t="str">
        <f t="shared" si="138"/>
        <v>_</v>
      </c>
      <c r="AE195" s="2" t="s">
        <v>17</v>
      </c>
      <c r="AF195" s="2" t="str">
        <f t="shared" si="139"/>
        <v/>
      </c>
      <c r="AG195" s="2"/>
    </row>
    <row r="196" spans="1:33" x14ac:dyDescent="0.25">
      <c r="B196" s="2" t="str">
        <f t="shared" si="133"/>
        <v>@color-trunk_primary_secondary_tertiary_link_line</v>
      </c>
      <c r="C196" s="146" t="s">
        <v>222</v>
      </c>
      <c r="D196" s="136" t="s">
        <v>218</v>
      </c>
      <c r="AA196" s="2" t="s">
        <v>6</v>
      </c>
      <c r="AB196" s="2" t="str">
        <f t="shared" si="135"/>
        <v>-</v>
      </c>
      <c r="AC196" s="2" t="s">
        <v>33</v>
      </c>
      <c r="AD196" s="2" t="str">
        <f t="shared" si="138"/>
        <v>_</v>
      </c>
      <c r="AE196" s="2" t="s">
        <v>13</v>
      </c>
      <c r="AF196" s="2" t="str">
        <f t="shared" si="139"/>
        <v/>
      </c>
      <c r="AG196" s="2"/>
    </row>
    <row r="197" spans="1:33" x14ac:dyDescent="0.25">
      <c r="B197" s="2" t="str">
        <f t="shared" si="133"/>
        <v>@color-trunk_primary_secondary_tertiary_link_line_bicycle_no</v>
      </c>
      <c r="C197" s="135" t="s">
        <v>216</v>
      </c>
      <c r="D197" s="147" t="s">
        <v>223</v>
      </c>
      <c r="AA197" s="2" t="s">
        <v>6</v>
      </c>
      <c r="AB197" s="2" t="str">
        <f t="shared" si="135"/>
        <v>-</v>
      </c>
      <c r="AC197" s="2" t="s">
        <v>33</v>
      </c>
      <c r="AD197" s="2" t="str">
        <f t="shared" si="138"/>
        <v>_</v>
      </c>
      <c r="AE197" s="2" t="s">
        <v>13</v>
      </c>
      <c r="AF197" s="2" t="str">
        <f t="shared" si="139"/>
        <v>_</v>
      </c>
      <c r="AG197" s="2" t="s">
        <v>24</v>
      </c>
    </row>
    <row r="198" spans="1:33" x14ac:dyDescent="0.25">
      <c r="B198" s="2" t="str">
        <f t="shared" si="133"/>
        <v>@color-trunk_primary_secondary_tertiary_link_line_unpaved</v>
      </c>
      <c r="I198" s="149" t="s">
        <v>226</v>
      </c>
      <c r="AA198" s="2" t="s">
        <v>6</v>
      </c>
      <c r="AB198" s="2" t="str">
        <f t="shared" si="135"/>
        <v>-</v>
      </c>
      <c r="AC198" s="2" t="s">
        <v>33</v>
      </c>
      <c r="AD198" s="2" t="str">
        <f t="shared" si="138"/>
        <v>_</v>
      </c>
      <c r="AE198" s="2" t="s">
        <v>13</v>
      </c>
      <c r="AF198" s="2" t="str">
        <f t="shared" si="139"/>
        <v>_</v>
      </c>
      <c r="AG198" s="2" t="s">
        <v>22</v>
      </c>
    </row>
    <row r="199" spans="1:33" x14ac:dyDescent="0.25">
      <c r="B199" s="2" t="str">
        <f t="shared" si="133"/>
        <v>@color-trunk_primary_secondary_tertiary_link_line_paved_or_uk</v>
      </c>
      <c r="I199" s="38" t="s">
        <v>227</v>
      </c>
      <c r="AA199" s="2" t="s">
        <v>6</v>
      </c>
      <c r="AB199" s="2" t="str">
        <f t="shared" si="135"/>
        <v>-</v>
      </c>
      <c r="AC199" s="2" t="s">
        <v>33</v>
      </c>
      <c r="AD199" s="2" t="str">
        <f t="shared" si="138"/>
        <v>_</v>
      </c>
      <c r="AE199" s="2" t="s">
        <v>13</v>
      </c>
      <c r="AF199" s="2" t="str">
        <f t="shared" si="139"/>
        <v>_</v>
      </c>
      <c r="AG199" s="2" t="s">
        <v>25</v>
      </c>
    </row>
    <row r="200" spans="1:33" x14ac:dyDescent="0.25">
      <c r="B200" s="2" t="str">
        <f t="shared" si="133"/>
        <v>@</v>
      </c>
    </row>
    <row r="201" spans="1:33" x14ac:dyDescent="0.25">
      <c r="B201" s="2" t="str">
        <f t="shared" si="133"/>
        <v>@</v>
      </c>
    </row>
    <row r="202" spans="1:33" x14ac:dyDescent="0.25">
      <c r="B202" s="2" t="str">
        <f t="shared" si="133"/>
        <v>@</v>
      </c>
    </row>
    <row r="203" spans="1:33" x14ac:dyDescent="0.25">
      <c r="B203" s="2" t="str">
        <f t="shared" si="133"/>
        <v>@</v>
      </c>
    </row>
    <row r="204" spans="1:33" x14ac:dyDescent="0.25">
      <c r="B204" s="2" t="str">
        <f t="shared" si="133"/>
        <v>@</v>
      </c>
    </row>
    <row r="205" spans="1:33" x14ac:dyDescent="0.25">
      <c r="B205" s="2" t="str">
        <f t="shared" si="133"/>
        <v>@</v>
      </c>
    </row>
    <row r="206" spans="1:33" x14ac:dyDescent="0.25">
      <c r="B206" s="2" t="str">
        <f t="shared" si="133"/>
        <v>@</v>
      </c>
    </row>
    <row r="207" spans="1:33" x14ac:dyDescent="0.25">
      <c r="B207" s="2" t="str">
        <f t="shared" si="133"/>
        <v>@</v>
      </c>
    </row>
    <row r="208" spans="1:33" x14ac:dyDescent="0.25">
      <c r="B208" s="2" t="str">
        <f t="shared" si="133"/>
        <v>@</v>
      </c>
    </row>
    <row r="209" spans="2:2" x14ac:dyDescent="0.25">
      <c r="B209" s="2" t="str">
        <f t="shared" si="133"/>
        <v>@</v>
      </c>
    </row>
    <row r="210" spans="2:2" x14ac:dyDescent="0.25">
      <c r="B210" s="2" t="str">
        <f t="shared" si="133"/>
        <v>@</v>
      </c>
    </row>
    <row r="211" spans="2:2" x14ac:dyDescent="0.25">
      <c r="B211" s="2" t="str">
        <f t="shared" si="133"/>
        <v>@</v>
      </c>
    </row>
    <row r="212" spans="2:2" x14ac:dyDescent="0.25">
      <c r="B212" s="2" t="str">
        <f t="shared" si="133"/>
        <v>@</v>
      </c>
    </row>
    <row r="213" spans="2:2" x14ac:dyDescent="0.25">
      <c r="B213" s="2" t="str">
        <f t="shared" si="133"/>
        <v>@</v>
      </c>
    </row>
    <row r="214" spans="2:2" x14ac:dyDescent="0.25">
      <c r="B214" s="2" t="str">
        <f t="shared" si="133"/>
        <v>@</v>
      </c>
    </row>
    <row r="215" spans="2:2" x14ac:dyDescent="0.25">
      <c r="B215" s="2" t="str">
        <f t="shared" si="133"/>
        <v>@</v>
      </c>
    </row>
    <row r="216" spans="2:2" x14ac:dyDescent="0.25">
      <c r="B216" s="2" t="str">
        <f t="shared" si="133"/>
        <v>@</v>
      </c>
    </row>
    <row r="217" spans="2:2" x14ac:dyDescent="0.25">
      <c r="B217" s="2" t="str">
        <f t="shared" si="133"/>
        <v>@</v>
      </c>
    </row>
    <row r="218" spans="2:2" x14ac:dyDescent="0.25">
      <c r="B218" s="2" t="str">
        <f t="shared" si="133"/>
        <v>@</v>
      </c>
    </row>
  </sheetData>
  <pageMargins left="0.7" right="0.7" top="0.75" bottom="0.75" header="0.3" footer="0.3"/>
  <pageSetup paperSize="9" orientation="portrait" r:id="rId1"/>
  <headerFooter>
    <oddHeader>&amp;R&amp;"Aptos"&amp;11&amp;K000000 TUNI Luottamuksellinen - Confidential (3Y)&amp;1#_x000D_</oddHeader>
  </headerFooter>
  <ignoredErrors>
    <ignoredError sqref="C50:C51 C52:C65 M50:Y50 M51:Y51 M52:Y52 M54:Y54 M55:Y55 M56:Y56 M58:Y58 M59:Y59 M60:Y60 M62:Y62 M63:Y63 M64:Y64 D50:L65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6C7575-2DFB-4488-B949-F4B967A0C1C1}">
  <sheetPr codeName="Sheet3"/>
  <dimension ref="A1:AC71"/>
  <sheetViews>
    <sheetView topLeftCell="C1" workbookViewId="0">
      <selection activeCell="B6" sqref="B6"/>
    </sheetView>
  </sheetViews>
  <sheetFormatPr defaultRowHeight="13.5" x14ac:dyDescent="0.25"/>
  <cols>
    <col min="1" max="1" width="2.7109375" style="2" customWidth="1"/>
    <col min="2" max="2" width="35.7109375" style="2" customWidth="1"/>
    <col min="3" max="3" width="8.7109375" style="2" customWidth="1"/>
    <col min="4" max="4" width="8.7109375" style="7" customWidth="1"/>
    <col min="5" max="5" width="35.7109375" style="7" customWidth="1"/>
    <col min="6" max="6" width="8.7109375" style="2" customWidth="1"/>
    <col min="7" max="7" width="8.7109375" style="7" customWidth="1"/>
    <col min="8" max="8" width="35.7109375" style="2" customWidth="1"/>
    <col min="9" max="9" width="8.7109375" style="2" customWidth="1"/>
    <col min="10" max="10" width="8.7109375" style="7" customWidth="1"/>
    <col min="11" max="11" width="35.7109375" style="2" customWidth="1"/>
    <col min="12" max="12" width="8.7109375" style="2" customWidth="1"/>
    <col min="13" max="13" width="8.7109375" style="7" customWidth="1"/>
    <col min="14" max="14" width="35.7109375" style="2" customWidth="1"/>
    <col min="15" max="15" width="8.7109375" style="2" customWidth="1"/>
    <col min="16" max="16" width="8.7109375" style="7" customWidth="1"/>
    <col min="17" max="17" width="35.7109375" style="2" customWidth="1"/>
    <col min="18" max="18" width="8.7109375" style="2" customWidth="1"/>
    <col min="19" max="19" width="8.7109375" style="7" customWidth="1"/>
    <col min="20" max="20" width="2.7109375" style="2" customWidth="1"/>
    <col min="21" max="21" width="12.7109375" style="2" customWidth="1"/>
    <col min="22" max="22" width="2.7109375" style="2" customWidth="1"/>
    <col min="23" max="23" width="12.7109375" style="2" customWidth="1"/>
    <col min="24" max="24" width="2.7109375" style="2" customWidth="1"/>
    <col min="25" max="25" width="12.7109375" style="2" customWidth="1"/>
    <col min="26" max="26" width="2.7109375" style="2" customWidth="1"/>
    <col min="27" max="27" width="12.7109375" style="2" customWidth="1"/>
    <col min="28" max="28" width="2.7109375" style="2" customWidth="1"/>
    <col min="29" max="29" width="12.7109375" style="2" customWidth="1"/>
  </cols>
  <sheetData>
    <row r="1" spans="1:29" x14ac:dyDescent="0.25">
      <c r="B1" s="1" t="s">
        <v>143</v>
      </c>
    </row>
    <row r="3" spans="1:29" x14ac:dyDescent="0.25">
      <c r="B3" s="9" t="s">
        <v>107</v>
      </c>
      <c r="C3" s="1"/>
      <c r="D3" s="5"/>
      <c r="E3" s="8" t="s">
        <v>108</v>
      </c>
      <c r="F3" s="1"/>
      <c r="G3" s="10"/>
      <c r="H3" s="9" t="s">
        <v>23</v>
      </c>
      <c r="I3" s="1"/>
      <c r="J3" s="5"/>
      <c r="K3" s="8" t="s">
        <v>109</v>
      </c>
      <c r="L3" s="1"/>
      <c r="M3" s="10"/>
      <c r="N3" s="9" t="s">
        <v>110</v>
      </c>
      <c r="O3" s="1"/>
      <c r="P3" s="5"/>
      <c r="Q3" s="8" t="s">
        <v>111</v>
      </c>
      <c r="R3" s="1"/>
      <c r="S3" s="10"/>
      <c r="T3" s="1"/>
      <c r="U3" s="1"/>
      <c r="V3" s="1"/>
      <c r="W3" s="1"/>
      <c r="X3" s="1"/>
      <c r="Y3" s="1"/>
      <c r="Z3" s="1"/>
      <c r="AA3" s="1"/>
      <c r="AB3" s="1"/>
      <c r="AC3" s="1"/>
    </row>
    <row r="4" spans="1:29" x14ac:dyDescent="0.25">
      <c r="A4" s="1"/>
      <c r="B4" s="9" t="s">
        <v>0</v>
      </c>
      <c r="C4" s="1" t="s">
        <v>1</v>
      </c>
      <c r="D4" s="5" t="s">
        <v>15</v>
      </c>
      <c r="E4" s="8"/>
      <c r="F4" s="1" t="s">
        <v>1</v>
      </c>
      <c r="G4" s="10" t="s">
        <v>15</v>
      </c>
      <c r="H4" s="9" t="s">
        <v>0</v>
      </c>
      <c r="I4" s="1" t="s">
        <v>1</v>
      </c>
      <c r="J4" s="5" t="s">
        <v>15</v>
      </c>
      <c r="K4" s="8" t="s">
        <v>0</v>
      </c>
      <c r="L4" s="1" t="s">
        <v>1</v>
      </c>
      <c r="M4" s="10" t="s">
        <v>15</v>
      </c>
      <c r="N4" s="9" t="s">
        <v>0</v>
      </c>
      <c r="O4" s="1" t="s">
        <v>1</v>
      </c>
      <c r="P4" s="5" t="s">
        <v>15</v>
      </c>
      <c r="Q4" s="8" t="s">
        <v>0</v>
      </c>
      <c r="R4" s="1" t="s">
        <v>1</v>
      </c>
      <c r="S4" s="10" t="s">
        <v>15</v>
      </c>
      <c r="T4" s="1"/>
      <c r="U4" s="1" t="s">
        <v>3</v>
      </c>
      <c r="V4" s="1"/>
      <c r="W4" s="1" t="s">
        <v>2</v>
      </c>
      <c r="X4" s="1"/>
      <c r="Y4" s="1" t="s">
        <v>8</v>
      </c>
      <c r="Z4" s="1"/>
      <c r="AA4" s="1" t="s">
        <v>76</v>
      </c>
      <c r="AB4" s="1"/>
      <c r="AC4" s="1" t="s">
        <v>72</v>
      </c>
    </row>
    <row r="5" spans="1:29" x14ac:dyDescent="0.25">
      <c r="A5" s="3" t="s">
        <v>120</v>
      </c>
      <c r="B5" s="11"/>
      <c r="C5" s="3"/>
      <c r="D5" s="6"/>
      <c r="E5" s="13"/>
      <c r="F5" s="3"/>
      <c r="G5" s="12"/>
      <c r="H5" s="11"/>
      <c r="I5" s="3"/>
      <c r="J5" s="6"/>
      <c r="K5" s="13"/>
      <c r="L5" s="3"/>
      <c r="M5" s="12"/>
      <c r="N5" s="11"/>
      <c r="O5" s="3"/>
      <c r="P5" s="6"/>
      <c r="Q5" s="13"/>
      <c r="R5" s="3"/>
      <c r="S5" s="12"/>
      <c r="T5" s="4"/>
      <c r="U5" s="4"/>
      <c r="V5" s="4"/>
      <c r="W5" s="4"/>
      <c r="X5" s="4"/>
      <c r="Y5" s="4"/>
      <c r="Z5" s="4"/>
      <c r="AA5" s="4"/>
      <c r="AB5" s="4"/>
      <c r="AC5" s="4"/>
    </row>
    <row r="6" spans="1:29" x14ac:dyDescent="0.25">
      <c r="B6" s="14" t="str">
        <f>_xlfn.CONCAT("@",U6,V6,W6,X6,Y6,Z6,AA6,AB6,AC6,"-(",B$3,")")</f>
        <v>@case_width-path_narrow-z11-(mtb)</v>
      </c>
      <c r="C6" s="7" t="str">
        <f>D6</f>
        <v>1.0</v>
      </c>
      <c r="D6" s="5" t="s">
        <v>83</v>
      </c>
      <c r="E6" s="15" t="str">
        <f>_xlfn.CONCAT("@",U6,V6,W6,X6,Y6,Z6,AA6,AB6,AC6,"-(",E$3,")")</f>
        <v>@case_width-path_narrow-z11-(mtb-hc)</v>
      </c>
      <c r="F6" s="7" t="str">
        <f t="shared" ref="F6:F18" si="0">G6</f>
        <v>2.0</v>
      </c>
      <c r="G6" s="10" t="s">
        <v>88</v>
      </c>
      <c r="H6" s="14" t="str">
        <f>_xlfn.CONCAT("@",U6,V6,W6,X6,Y6,Z6,AA6,AB6,AC6,"-(",H$3,")")</f>
        <v>@case_width-path_narrow-z11-(gr)</v>
      </c>
      <c r="I6" s="7" t="str">
        <f>J6</f>
        <v>0.5</v>
      </c>
      <c r="J6" s="5" t="s">
        <v>98</v>
      </c>
      <c r="K6" s="15" t="str">
        <f>_xlfn.CONCAT("@",U6,V6,W6,X6,Y6,Z6,AA6,AB6,AC6,"-(",K$3,")")</f>
        <v>@case_width-path_narrow-z11-(gr-hc)</v>
      </c>
      <c r="L6" s="7">
        <f>M6</f>
        <v>0</v>
      </c>
      <c r="M6" s="10"/>
      <c r="N6" s="18" t="str">
        <f>_xlfn.CONCAT("@",U6,V6,W6,X6,Y6,Z6,AA6,AB6,AC6,"-(",N$3,")")</f>
        <v>@case_width-path_narrow-z11-(wnt)</v>
      </c>
      <c r="O6" s="19" t="str">
        <f t="shared" ref="O6:O20" si="1">P6</f>
        <v>0.5</v>
      </c>
      <c r="P6" s="17" t="s">
        <v>98</v>
      </c>
      <c r="Q6" s="20" t="str">
        <f>_xlfn.CONCAT("@",U6,V6,W6,X6,Y6,Z6,AA6,AB6,AC6,"-(",Q$3,")")</f>
        <v>@case_width-path_narrow-z11-(wnt-hc)</v>
      </c>
      <c r="R6" s="19">
        <f>S6</f>
        <v>0</v>
      </c>
      <c r="S6" s="21"/>
      <c r="U6" s="1" t="s">
        <v>81</v>
      </c>
      <c r="V6" s="2" t="str">
        <f t="shared" ref="V6:V20" si="2">IF(NOT(ISBLANK(W6)),"-","")</f>
        <v>-</v>
      </c>
      <c r="W6" s="1" t="s">
        <v>74</v>
      </c>
      <c r="X6" s="2" t="str">
        <f>IF(NOT(ISBLANK(Y6)),"_","")</f>
        <v>_</v>
      </c>
      <c r="Y6" s="1" t="s">
        <v>75</v>
      </c>
      <c r="Z6" s="2" t="str">
        <f t="shared" ref="Z6:Z20" si="3">IF(NOT(ISBLANK(AA6)),"_","")</f>
        <v/>
      </c>
      <c r="AB6" s="2" t="str">
        <f t="shared" ref="AB6:AB20" si="4">IF(NOT(ISBLANK(AC6)),"-","")</f>
        <v>-</v>
      </c>
      <c r="AC6" s="1" t="s">
        <v>73</v>
      </c>
    </row>
    <row r="7" spans="1:29" x14ac:dyDescent="0.25">
      <c r="B7" s="14" t="str">
        <f t="shared" ref="B7:B17" si="5">_xlfn.CONCAT("@",U7,V7,W7,X7,Y7,Z7,AA7,AB7,AC7,"-(",B$3,")")</f>
        <v>@case_width-path_narrow-z12-(mtb)</v>
      </c>
      <c r="C7" s="7" t="str">
        <f t="shared" ref="C7:C17" si="6">D7</f>
        <v>1.1</v>
      </c>
      <c r="D7" s="5" t="s">
        <v>113</v>
      </c>
      <c r="E7" s="15" t="str">
        <f t="shared" ref="E7:E17" si="7">_xlfn.CONCAT("@",U7,V7,W7,X7,Y7,Z7,AA7,AB7,AC7,"-(",E$3,")")</f>
        <v>@case_width-path_narrow-z12-(mtb-hc)</v>
      </c>
      <c r="F7" s="7" t="str">
        <f t="shared" si="0"/>
        <v>2.2</v>
      </c>
      <c r="G7" s="10" t="s">
        <v>115</v>
      </c>
      <c r="H7" s="14" t="str">
        <f t="shared" ref="H7:H17" si="8">_xlfn.CONCAT("@",U7,V7,W7,X7,Y7,Z7,AA7,AB7,AC7,"-(",H$3,")")</f>
        <v>@case_width-path_narrow-z12-(gr)</v>
      </c>
      <c r="I7" s="7" t="str">
        <f t="shared" ref="I7:I18" si="9">J7</f>
        <v>0.7</v>
      </c>
      <c r="J7" s="5" t="s">
        <v>118</v>
      </c>
      <c r="K7" s="15" t="str">
        <f t="shared" ref="K7:K20" si="10">_xlfn.CONCAT("@",U7,V7,W7,X7,Y7,Z7,AA7,AB7,AC7,"-(",K$3,")")</f>
        <v>@case_width-path_narrow-z12-(gr-hc)</v>
      </c>
      <c r="L7" s="7">
        <f t="shared" ref="L7:L18" si="11">M7</f>
        <v>0</v>
      </c>
      <c r="M7" s="10"/>
      <c r="N7" s="18" t="str">
        <f t="shared" ref="N7:N20" si="12">_xlfn.CONCAT("@",U7,V7,W7,X7,Y7,Z7,AA7,AB7,AC7,"-(",N$3,")")</f>
        <v>@case_width-path_narrow-z12-(wnt)</v>
      </c>
      <c r="O7" s="19" t="str">
        <f t="shared" si="1"/>
        <v>0.6</v>
      </c>
      <c r="P7" s="17" t="s">
        <v>125</v>
      </c>
      <c r="Q7" s="20" t="str">
        <f t="shared" ref="Q7:Q20" si="13">_xlfn.CONCAT("@",U7,V7,W7,X7,Y7,Z7,AA7,AB7,AC7,"-(",Q$3,")")</f>
        <v>@case_width-path_narrow-z12-(wnt-hc)</v>
      </c>
      <c r="R7" s="19">
        <f t="shared" ref="R7:R19" si="14">S7</f>
        <v>0</v>
      </c>
      <c r="S7" s="21"/>
      <c r="U7" s="1" t="s">
        <v>81</v>
      </c>
      <c r="V7" s="2" t="str">
        <f t="shared" si="2"/>
        <v>-</v>
      </c>
      <c r="W7" s="1" t="s">
        <v>74</v>
      </c>
      <c r="X7" s="2" t="str">
        <f t="shared" ref="X7:X19" si="15">IF(NOT(ISBLANK(Y7)),"_","")</f>
        <v>_</v>
      </c>
      <c r="Y7" s="1" t="s">
        <v>75</v>
      </c>
      <c r="Z7" s="2" t="str">
        <f t="shared" si="3"/>
        <v/>
      </c>
      <c r="AB7" s="2" t="str">
        <f t="shared" si="4"/>
        <v>-</v>
      </c>
      <c r="AC7" s="1" t="s">
        <v>112</v>
      </c>
    </row>
    <row r="8" spans="1:29" x14ac:dyDescent="0.25">
      <c r="B8" s="14" t="str">
        <f t="shared" si="5"/>
        <v>@case_width-path_narrow-z14-(mtb)</v>
      </c>
      <c r="C8" s="7" t="str">
        <f t="shared" si="6"/>
        <v>1.3</v>
      </c>
      <c r="D8" s="5" t="s">
        <v>84</v>
      </c>
      <c r="E8" s="15" t="str">
        <f t="shared" si="7"/>
        <v>@case_width-path_narrow-z14-(mtb-hc)</v>
      </c>
      <c r="F8" s="7" t="str">
        <f t="shared" si="0"/>
        <v>2.5</v>
      </c>
      <c r="G8" s="10" t="s">
        <v>93</v>
      </c>
      <c r="H8" s="14" t="str">
        <f t="shared" si="8"/>
        <v>@case_width-path_narrow-z14-(gr)</v>
      </c>
      <c r="I8" s="7" t="str">
        <f t="shared" si="9"/>
        <v>1.0</v>
      </c>
      <c r="J8" s="5" t="s">
        <v>83</v>
      </c>
      <c r="K8" s="15" t="str">
        <f t="shared" si="10"/>
        <v>@case_width-path_narrow-z14-(gr-hc)</v>
      </c>
      <c r="L8" s="7">
        <f t="shared" si="11"/>
        <v>0</v>
      </c>
      <c r="M8" s="10"/>
      <c r="N8" s="18" t="str">
        <f t="shared" si="12"/>
        <v>@case_width-path_narrow-z14-(wnt)</v>
      </c>
      <c r="O8" s="19" t="str">
        <f t="shared" si="1"/>
        <v>1.0</v>
      </c>
      <c r="P8" s="17" t="s">
        <v>83</v>
      </c>
      <c r="Q8" s="20" t="str">
        <f t="shared" si="13"/>
        <v>@case_width-path_narrow-z14-(wnt-hc)</v>
      </c>
      <c r="R8" s="19">
        <f t="shared" si="14"/>
        <v>0</v>
      </c>
      <c r="S8" s="21"/>
      <c r="U8" s="1" t="s">
        <v>81</v>
      </c>
      <c r="V8" s="2" t="str">
        <f t="shared" si="2"/>
        <v>-</v>
      </c>
      <c r="W8" s="1" t="s">
        <v>74</v>
      </c>
      <c r="X8" s="2" t="str">
        <f t="shared" si="15"/>
        <v>_</v>
      </c>
      <c r="Y8" s="1" t="s">
        <v>75</v>
      </c>
      <c r="Z8" s="2" t="str">
        <f t="shared" si="3"/>
        <v/>
      </c>
      <c r="AB8" s="2" t="str">
        <f t="shared" si="4"/>
        <v>-</v>
      </c>
      <c r="AC8" s="1" t="s">
        <v>77</v>
      </c>
    </row>
    <row r="9" spans="1:29" x14ac:dyDescent="0.25">
      <c r="B9" s="14" t="str">
        <f t="shared" si="5"/>
        <v>@case_width-path_narrow-z16-(mtb)</v>
      </c>
      <c r="C9" s="7" t="str">
        <f t="shared" si="6"/>
        <v>3.5</v>
      </c>
      <c r="D9" s="5" t="s">
        <v>85</v>
      </c>
      <c r="E9" s="15" t="str">
        <f t="shared" si="7"/>
        <v>@case_width-path_narrow-z16-(mtb-hc)</v>
      </c>
      <c r="F9" s="7" t="str">
        <f t="shared" si="0"/>
        <v>3.0</v>
      </c>
      <c r="G9" s="10" t="s">
        <v>91</v>
      </c>
      <c r="H9" s="14" t="str">
        <f t="shared" si="8"/>
        <v>@case_width-path_narrow-z16-(gr)</v>
      </c>
      <c r="I9" s="7" t="str">
        <f t="shared" si="9"/>
        <v>1.0</v>
      </c>
      <c r="J9" s="5" t="s">
        <v>83</v>
      </c>
      <c r="K9" s="15" t="str">
        <f t="shared" si="10"/>
        <v>@case_width-path_narrow-z16-(gr-hc)</v>
      </c>
      <c r="L9" s="7">
        <f t="shared" si="11"/>
        <v>0</v>
      </c>
      <c r="M9" s="10"/>
      <c r="N9" s="18" t="str">
        <f t="shared" si="12"/>
        <v>@case_width-path_narrow-z16-(wnt)</v>
      </c>
      <c r="O9" s="19" t="str">
        <f t="shared" si="1"/>
        <v>1.8</v>
      </c>
      <c r="P9" s="17" t="s">
        <v>126</v>
      </c>
      <c r="Q9" s="20" t="str">
        <f t="shared" si="13"/>
        <v>@case_width-path_narrow-z16-(wnt-hc)</v>
      </c>
      <c r="R9" s="19">
        <f t="shared" si="14"/>
        <v>0</v>
      </c>
      <c r="S9" s="21"/>
      <c r="U9" s="1" t="s">
        <v>81</v>
      </c>
      <c r="V9" s="2" t="str">
        <f t="shared" si="2"/>
        <v>-</v>
      </c>
      <c r="W9" s="1" t="s">
        <v>74</v>
      </c>
      <c r="X9" s="2" t="str">
        <f t="shared" si="15"/>
        <v>_</v>
      </c>
      <c r="Y9" s="1" t="s">
        <v>75</v>
      </c>
      <c r="Z9" s="2" t="str">
        <f t="shared" si="3"/>
        <v/>
      </c>
      <c r="AB9" s="2" t="str">
        <f t="shared" si="4"/>
        <v>-</v>
      </c>
      <c r="AC9" s="1" t="s">
        <v>78</v>
      </c>
    </row>
    <row r="10" spans="1:29" x14ac:dyDescent="0.25">
      <c r="B10" s="14" t="str">
        <f t="shared" si="5"/>
        <v>@case_width-path_narrow-z18-(mtb)</v>
      </c>
      <c r="C10" s="7" t="str">
        <f t="shared" si="6"/>
        <v>5.0</v>
      </c>
      <c r="D10" s="5" t="s">
        <v>86</v>
      </c>
      <c r="E10" s="15" t="str">
        <f t="shared" si="7"/>
        <v>@case_width-path_narrow-z18-(mtb-hc)</v>
      </c>
      <c r="F10" s="7" t="str">
        <f t="shared" si="0"/>
        <v>7.5</v>
      </c>
      <c r="G10" s="10" t="s">
        <v>94</v>
      </c>
      <c r="H10" s="14" t="str">
        <f t="shared" si="8"/>
        <v>@case_width-path_narrow-z18-(gr)</v>
      </c>
      <c r="I10" s="7" t="str">
        <f t="shared" si="9"/>
        <v>1.5</v>
      </c>
      <c r="J10" s="5" t="s">
        <v>87</v>
      </c>
      <c r="K10" s="15" t="str">
        <f t="shared" si="10"/>
        <v>@case_width-path_narrow-z18-(gr-hc)</v>
      </c>
      <c r="L10" s="7">
        <f t="shared" si="11"/>
        <v>0</v>
      </c>
      <c r="M10" s="10"/>
      <c r="N10" s="18" t="str">
        <f t="shared" si="12"/>
        <v>@case_width-path_narrow-z18-(wnt)</v>
      </c>
      <c r="O10" s="19" t="str">
        <f t="shared" si="1"/>
        <v>2.4</v>
      </c>
      <c r="P10" s="17" t="s">
        <v>102</v>
      </c>
      <c r="Q10" s="20" t="str">
        <f t="shared" si="13"/>
        <v>@case_width-path_narrow-z18-(wnt-hc)</v>
      </c>
      <c r="R10" s="19">
        <f t="shared" si="14"/>
        <v>0</v>
      </c>
      <c r="S10" s="21"/>
      <c r="U10" s="1" t="s">
        <v>81</v>
      </c>
      <c r="V10" s="2" t="str">
        <f t="shared" si="2"/>
        <v>-</v>
      </c>
      <c r="W10" s="1" t="s">
        <v>74</v>
      </c>
      <c r="X10" s="2" t="str">
        <f t="shared" si="15"/>
        <v>_</v>
      </c>
      <c r="Y10" s="1" t="s">
        <v>75</v>
      </c>
      <c r="Z10" s="2" t="str">
        <f t="shared" si="3"/>
        <v/>
      </c>
      <c r="AB10" s="2" t="str">
        <f t="shared" si="4"/>
        <v>-</v>
      </c>
      <c r="AC10" s="1" t="s">
        <v>79</v>
      </c>
    </row>
    <row r="11" spans="1:29" x14ac:dyDescent="0.25">
      <c r="B11" s="14" t="str">
        <f t="shared" si="5"/>
        <v>@case_width-path_medium-z11-(mtb)</v>
      </c>
      <c r="C11" s="7" t="str">
        <f t="shared" si="6"/>
        <v>1.5</v>
      </c>
      <c r="D11" s="5" t="s">
        <v>87</v>
      </c>
      <c r="E11" s="15" t="str">
        <f t="shared" si="7"/>
        <v>@case_width-path_medium-z11-(mtb-hc)</v>
      </c>
      <c r="F11" s="7" t="str">
        <f t="shared" si="0"/>
        <v>3.0</v>
      </c>
      <c r="G11" s="10" t="s">
        <v>91</v>
      </c>
      <c r="H11" s="14" t="str">
        <f t="shared" si="8"/>
        <v>@case_width-path_medium-z11-(gr)</v>
      </c>
      <c r="I11" s="7" t="str">
        <f t="shared" si="9"/>
        <v>0.8</v>
      </c>
      <c r="J11" s="5" t="s">
        <v>99</v>
      </c>
      <c r="K11" s="15" t="str">
        <f t="shared" si="10"/>
        <v>@case_width-path_medium-z11-(gr-hc)</v>
      </c>
      <c r="L11" s="7">
        <f t="shared" si="11"/>
        <v>0</v>
      </c>
      <c r="M11" s="10"/>
      <c r="N11" s="14" t="str">
        <f t="shared" si="12"/>
        <v>@case_width-path_medium-z11-(wnt)</v>
      </c>
      <c r="O11" s="7" t="str">
        <f t="shared" si="1"/>
        <v>0.5</v>
      </c>
      <c r="P11" s="5" t="s">
        <v>98</v>
      </c>
      <c r="Q11" s="15" t="str">
        <f t="shared" si="13"/>
        <v>@case_width-path_medium-z11-(wnt-hc)</v>
      </c>
      <c r="R11" s="7">
        <f t="shared" si="14"/>
        <v>0</v>
      </c>
      <c r="S11" s="10"/>
      <c r="U11" s="1" t="s">
        <v>81</v>
      </c>
      <c r="V11" s="2" t="str">
        <f t="shared" si="2"/>
        <v>-</v>
      </c>
      <c r="W11" s="1" t="s">
        <v>74</v>
      </c>
      <c r="X11" s="2" t="str">
        <f t="shared" si="15"/>
        <v>_</v>
      </c>
      <c r="Y11" s="1" t="s">
        <v>82</v>
      </c>
      <c r="Z11" s="2" t="str">
        <f t="shared" si="3"/>
        <v/>
      </c>
      <c r="AB11" s="2" t="str">
        <f t="shared" si="4"/>
        <v>-</v>
      </c>
      <c r="AC11" s="1" t="s">
        <v>73</v>
      </c>
    </row>
    <row r="12" spans="1:29" x14ac:dyDescent="0.25">
      <c r="B12" s="14" t="str">
        <f t="shared" si="5"/>
        <v>@case_width-path_medium-z12-(mtb)</v>
      </c>
      <c r="C12" s="7" t="str">
        <f t="shared" si="6"/>
        <v>1.7</v>
      </c>
      <c r="D12" s="5" t="s">
        <v>114</v>
      </c>
      <c r="E12" s="15" t="str">
        <f t="shared" si="7"/>
        <v>@case_width-path_medium-z12-(mtb-hc)</v>
      </c>
      <c r="F12" s="7" t="str">
        <f t="shared" si="0"/>
        <v>3.4</v>
      </c>
      <c r="G12" s="10" t="s">
        <v>117</v>
      </c>
      <c r="H12" s="14" t="str">
        <f t="shared" si="8"/>
        <v>@case_width-path_medium-z12-(gr)</v>
      </c>
      <c r="I12" s="7" t="str">
        <f t="shared" si="9"/>
        <v>0.9</v>
      </c>
      <c r="J12" s="5" t="s">
        <v>119</v>
      </c>
      <c r="K12" s="15" t="str">
        <f t="shared" si="10"/>
        <v>@case_width-path_medium-z12-(gr-hc)</v>
      </c>
      <c r="L12" s="7">
        <f t="shared" si="11"/>
        <v>0</v>
      </c>
      <c r="M12" s="10"/>
      <c r="N12" s="14" t="str">
        <f t="shared" si="12"/>
        <v>@case_width-path_medium-z12-(wnt)</v>
      </c>
      <c r="O12" s="7" t="str">
        <f t="shared" si="1"/>
        <v>0.6</v>
      </c>
      <c r="P12" s="5" t="s">
        <v>125</v>
      </c>
      <c r="Q12" s="15" t="str">
        <f t="shared" si="13"/>
        <v>@case_width-path_medium-z12-(wnt-hc)</v>
      </c>
      <c r="R12" s="7">
        <f t="shared" si="14"/>
        <v>0</v>
      </c>
      <c r="S12" s="10"/>
      <c r="U12" s="1" t="s">
        <v>81</v>
      </c>
      <c r="V12" s="2" t="str">
        <f t="shared" si="2"/>
        <v>-</v>
      </c>
      <c r="W12" s="1" t="s">
        <v>74</v>
      </c>
      <c r="X12" s="2" t="str">
        <f t="shared" si="15"/>
        <v>_</v>
      </c>
      <c r="Y12" s="1" t="s">
        <v>82</v>
      </c>
      <c r="Z12" s="2" t="str">
        <f t="shared" si="3"/>
        <v/>
      </c>
      <c r="AB12" s="2" t="str">
        <f t="shared" si="4"/>
        <v>-</v>
      </c>
      <c r="AC12" s="1" t="s">
        <v>112</v>
      </c>
    </row>
    <row r="13" spans="1:29" x14ac:dyDescent="0.25">
      <c r="B13" s="14" t="str">
        <f t="shared" si="5"/>
        <v>@case_width-path_medium-z14-(mtb)</v>
      </c>
      <c r="C13" s="7" t="str">
        <f t="shared" si="6"/>
        <v>2.0</v>
      </c>
      <c r="D13" s="5" t="s">
        <v>88</v>
      </c>
      <c r="E13" s="15" t="str">
        <f t="shared" si="7"/>
        <v>@case_width-path_medium-z14-(mtb-hc)</v>
      </c>
      <c r="F13" s="7" t="str">
        <f t="shared" si="0"/>
        <v>4.0</v>
      </c>
      <c r="G13" s="10" t="s">
        <v>95</v>
      </c>
      <c r="H13" s="14" t="str">
        <f t="shared" si="8"/>
        <v>@case_width-path_medium-z14-(gr)</v>
      </c>
      <c r="I13" s="7" t="str">
        <f t="shared" si="9"/>
        <v>1.2</v>
      </c>
      <c r="J13" s="5" t="s">
        <v>100</v>
      </c>
      <c r="K13" s="15" t="str">
        <f t="shared" si="10"/>
        <v>@case_width-path_medium-z14-(gr-hc)</v>
      </c>
      <c r="L13" s="7">
        <f t="shared" si="11"/>
        <v>0</v>
      </c>
      <c r="M13" s="10"/>
      <c r="N13" s="14" t="str">
        <f t="shared" si="12"/>
        <v>@case_width-path_medium-z14-(wnt)</v>
      </c>
      <c r="O13" s="7" t="str">
        <f t="shared" si="1"/>
        <v>1.0</v>
      </c>
      <c r="P13" s="5" t="s">
        <v>83</v>
      </c>
      <c r="Q13" s="15" t="str">
        <f t="shared" si="13"/>
        <v>@case_width-path_medium-z14-(wnt-hc)</v>
      </c>
      <c r="R13" s="7">
        <f t="shared" si="14"/>
        <v>0</v>
      </c>
      <c r="S13" s="10"/>
      <c r="U13" s="1" t="s">
        <v>81</v>
      </c>
      <c r="V13" s="2" t="str">
        <f t="shared" si="2"/>
        <v>-</v>
      </c>
      <c r="W13" s="1" t="s">
        <v>74</v>
      </c>
      <c r="X13" s="2" t="str">
        <f t="shared" si="15"/>
        <v>_</v>
      </c>
      <c r="Y13" s="1" t="s">
        <v>82</v>
      </c>
      <c r="Z13" s="2" t="str">
        <f t="shared" si="3"/>
        <v/>
      </c>
      <c r="AB13" s="2" t="str">
        <f t="shared" si="4"/>
        <v>-</v>
      </c>
      <c r="AC13" s="1" t="s">
        <v>77</v>
      </c>
    </row>
    <row r="14" spans="1:29" x14ac:dyDescent="0.25">
      <c r="B14" s="14" t="str">
        <f t="shared" si="5"/>
        <v>@case_width-path_medium-z16-(mtb)</v>
      </c>
      <c r="C14" s="7" t="str">
        <f t="shared" si="6"/>
        <v>6.0</v>
      </c>
      <c r="D14" s="5" t="s">
        <v>89</v>
      </c>
      <c r="E14" s="15" t="str">
        <f t="shared" si="7"/>
        <v>@case_width-path_medium-z16-(mtb-hc)</v>
      </c>
      <c r="F14" s="7" t="str">
        <f t="shared" si="0"/>
        <v>6.0</v>
      </c>
      <c r="G14" s="10" t="s">
        <v>89</v>
      </c>
      <c r="H14" s="14" t="str">
        <f t="shared" si="8"/>
        <v>@case_width-path_medium-z16-(gr)</v>
      </c>
      <c r="I14" s="7" t="str">
        <f t="shared" si="9"/>
        <v>1.6</v>
      </c>
      <c r="J14" s="5" t="s">
        <v>101</v>
      </c>
      <c r="K14" s="15" t="str">
        <f t="shared" si="10"/>
        <v>@case_width-path_medium-z16-(gr-hc)</v>
      </c>
      <c r="L14" s="7">
        <f t="shared" si="11"/>
        <v>0</v>
      </c>
      <c r="M14" s="10"/>
      <c r="N14" s="14" t="str">
        <f t="shared" si="12"/>
        <v>@case_width-path_medium-z16-(wnt)</v>
      </c>
      <c r="O14" s="7" t="str">
        <f t="shared" si="1"/>
        <v>1.8</v>
      </c>
      <c r="P14" s="5" t="s">
        <v>126</v>
      </c>
      <c r="Q14" s="15" t="str">
        <f t="shared" si="13"/>
        <v>@case_width-path_medium-z16-(wnt-hc)</v>
      </c>
      <c r="R14" s="7">
        <f t="shared" si="14"/>
        <v>0</v>
      </c>
      <c r="S14" s="10"/>
      <c r="U14" s="1" t="s">
        <v>81</v>
      </c>
      <c r="V14" s="2" t="str">
        <f t="shared" si="2"/>
        <v>-</v>
      </c>
      <c r="W14" s="1" t="s">
        <v>74</v>
      </c>
      <c r="X14" s="2" t="str">
        <f t="shared" si="15"/>
        <v>_</v>
      </c>
      <c r="Y14" s="1" t="s">
        <v>82</v>
      </c>
      <c r="Z14" s="2" t="str">
        <f t="shared" si="3"/>
        <v/>
      </c>
      <c r="AB14" s="2" t="str">
        <f t="shared" si="4"/>
        <v>-</v>
      </c>
      <c r="AC14" s="1" t="s">
        <v>78</v>
      </c>
    </row>
    <row r="15" spans="1:29" x14ac:dyDescent="0.25">
      <c r="B15" s="14" t="str">
        <f t="shared" si="5"/>
        <v>@case_width-path_medium-z18-(mtb)</v>
      </c>
      <c r="C15" s="7" t="str">
        <f t="shared" si="6"/>
        <v>9.0</v>
      </c>
      <c r="D15" s="5" t="s">
        <v>90</v>
      </c>
      <c r="E15" s="15" t="str">
        <f t="shared" si="7"/>
        <v>@case_width-path_medium-z18-(mtb-hc)</v>
      </c>
      <c r="F15" s="7" t="str">
        <f t="shared" si="0"/>
        <v>13.5</v>
      </c>
      <c r="G15" s="10" t="s">
        <v>96</v>
      </c>
      <c r="H15" s="14" t="str">
        <f t="shared" si="8"/>
        <v>@case_width-path_medium-z18-(gr)</v>
      </c>
      <c r="I15" s="7" t="str">
        <f t="shared" si="9"/>
        <v>2.4</v>
      </c>
      <c r="J15" s="5" t="s">
        <v>102</v>
      </c>
      <c r="K15" s="15" t="str">
        <f t="shared" si="10"/>
        <v>@case_width-path_medium-z18-(gr-hc)</v>
      </c>
      <c r="L15" s="7">
        <f t="shared" si="11"/>
        <v>0</v>
      </c>
      <c r="M15" s="10"/>
      <c r="N15" s="14" t="str">
        <f t="shared" si="12"/>
        <v>@case_width-path_medium-z18-(wnt)</v>
      </c>
      <c r="O15" s="7" t="str">
        <f t="shared" si="1"/>
        <v>2.4</v>
      </c>
      <c r="P15" s="5" t="s">
        <v>102</v>
      </c>
      <c r="Q15" s="15" t="str">
        <f t="shared" si="13"/>
        <v>@case_width-path_medium-z18-(wnt-hc)</v>
      </c>
      <c r="R15" s="7">
        <f t="shared" si="14"/>
        <v>0</v>
      </c>
      <c r="S15" s="10"/>
      <c r="U15" s="1" t="s">
        <v>81</v>
      </c>
      <c r="V15" s="2" t="str">
        <f t="shared" si="2"/>
        <v>-</v>
      </c>
      <c r="W15" s="1" t="s">
        <v>74</v>
      </c>
      <c r="X15" s="2" t="str">
        <f t="shared" si="15"/>
        <v>_</v>
      </c>
      <c r="Y15" s="1" t="s">
        <v>82</v>
      </c>
      <c r="Z15" s="2" t="str">
        <f t="shared" si="3"/>
        <v/>
      </c>
      <c r="AB15" s="2" t="str">
        <f t="shared" si="4"/>
        <v>-</v>
      </c>
      <c r="AC15" s="1" t="s">
        <v>79</v>
      </c>
    </row>
    <row r="16" spans="1:29" x14ac:dyDescent="0.25">
      <c r="B16" s="14" t="str">
        <f t="shared" si="5"/>
        <v>@case_width-path_wide-z11-(mtb)</v>
      </c>
      <c r="C16" s="7" t="str">
        <f t="shared" si="6"/>
        <v>2.0</v>
      </c>
      <c r="D16" s="5" t="s">
        <v>88</v>
      </c>
      <c r="E16" s="15" t="str">
        <f t="shared" si="7"/>
        <v>@case_width-path_wide-z11-(mtb-hc)</v>
      </c>
      <c r="F16" s="7" t="str">
        <f t="shared" si="0"/>
        <v>4.0</v>
      </c>
      <c r="G16" s="10" t="s">
        <v>95</v>
      </c>
      <c r="H16" s="14" t="str">
        <f t="shared" si="8"/>
        <v>@case_width-path_wide-z11-(gr)</v>
      </c>
      <c r="I16" s="7" t="str">
        <f t="shared" si="9"/>
        <v>1.5</v>
      </c>
      <c r="J16" s="5" t="s">
        <v>87</v>
      </c>
      <c r="K16" s="15" t="str">
        <f t="shared" si="10"/>
        <v>@case_width-path_wide-z11-(gr-hc)</v>
      </c>
      <c r="L16" s="7">
        <f t="shared" si="11"/>
        <v>0</v>
      </c>
      <c r="M16" s="10"/>
      <c r="N16" s="18" t="str">
        <f t="shared" si="12"/>
        <v>@case_width-path_wide-z11-(wnt)</v>
      </c>
      <c r="O16" s="19" t="str">
        <f t="shared" si="1"/>
        <v>0.5</v>
      </c>
      <c r="P16" s="17" t="s">
        <v>98</v>
      </c>
      <c r="Q16" s="20" t="str">
        <f t="shared" si="13"/>
        <v>@case_width-path_wide-z11-(wnt-hc)</v>
      </c>
      <c r="R16" s="19">
        <f t="shared" si="14"/>
        <v>0</v>
      </c>
      <c r="S16" s="21"/>
      <c r="U16" s="1" t="s">
        <v>81</v>
      </c>
      <c r="V16" s="2" t="str">
        <f t="shared" si="2"/>
        <v>-</v>
      </c>
      <c r="W16" s="1" t="s">
        <v>74</v>
      </c>
      <c r="X16" s="2" t="str">
        <f t="shared" si="15"/>
        <v>_</v>
      </c>
      <c r="Y16" s="1" t="s">
        <v>80</v>
      </c>
      <c r="Z16" s="2" t="str">
        <f t="shared" si="3"/>
        <v/>
      </c>
      <c r="AB16" s="2" t="str">
        <f t="shared" si="4"/>
        <v>-</v>
      </c>
      <c r="AC16" s="1" t="s">
        <v>73</v>
      </c>
    </row>
    <row r="17" spans="1:29" x14ac:dyDescent="0.25">
      <c r="B17" s="14" t="str">
        <f t="shared" si="5"/>
        <v>@case_width-path_wide-z12-(mtb)</v>
      </c>
      <c r="C17" s="7" t="str">
        <f t="shared" si="6"/>
        <v>2.4</v>
      </c>
      <c r="D17" s="5" t="s">
        <v>102</v>
      </c>
      <c r="E17" s="15" t="str">
        <f t="shared" si="7"/>
        <v>@case_width-path_wide-z12-(mtb-hc)</v>
      </c>
      <c r="F17" s="7" t="str">
        <f t="shared" si="0"/>
        <v>4.8</v>
      </c>
      <c r="G17" s="10" t="s">
        <v>116</v>
      </c>
      <c r="H17" s="14" t="str">
        <f t="shared" si="8"/>
        <v>@case_width-path_wide-z12-(gr)</v>
      </c>
      <c r="I17" s="7" t="str">
        <f t="shared" si="9"/>
        <v>1.5</v>
      </c>
      <c r="J17" s="5" t="s">
        <v>87</v>
      </c>
      <c r="K17" s="15" t="str">
        <f t="shared" si="10"/>
        <v>@case_width-path_wide-z12-(gr-hc)</v>
      </c>
      <c r="L17" s="7">
        <f t="shared" si="11"/>
        <v>0</v>
      </c>
      <c r="M17" s="10"/>
      <c r="N17" s="18" t="str">
        <f t="shared" si="12"/>
        <v>@case_width-path_wide-z12-(wnt)</v>
      </c>
      <c r="O17" s="19" t="str">
        <f t="shared" si="1"/>
        <v>0.6</v>
      </c>
      <c r="P17" s="17" t="s">
        <v>125</v>
      </c>
      <c r="Q17" s="20" t="str">
        <f t="shared" si="13"/>
        <v>@case_width-path_wide-z12-(wnt-hc)</v>
      </c>
      <c r="R17" s="19">
        <f t="shared" si="14"/>
        <v>0</v>
      </c>
      <c r="S17" s="21"/>
      <c r="U17" s="1" t="s">
        <v>81</v>
      </c>
      <c r="V17" s="2" t="str">
        <f t="shared" si="2"/>
        <v>-</v>
      </c>
      <c r="W17" s="1" t="s">
        <v>74</v>
      </c>
      <c r="X17" s="2" t="str">
        <f t="shared" si="15"/>
        <v>_</v>
      </c>
      <c r="Y17" s="1" t="s">
        <v>80</v>
      </c>
      <c r="Z17" s="2" t="str">
        <f t="shared" si="3"/>
        <v/>
      </c>
      <c r="AB17" s="2" t="str">
        <f t="shared" si="4"/>
        <v>-</v>
      </c>
      <c r="AC17" s="1" t="s">
        <v>112</v>
      </c>
    </row>
    <row r="18" spans="1:29" x14ac:dyDescent="0.25">
      <c r="B18" s="14" t="str">
        <f>_xlfn.CONCAT("@",U18,V18,W18,X18,Y18,Z18,AA18,AB18,AC18,"-(",B$3,")")</f>
        <v>@case_width-path_wide-z14-(mtb)</v>
      </c>
      <c r="C18" s="7" t="str">
        <f>D18</f>
        <v>3.0</v>
      </c>
      <c r="D18" s="5" t="s">
        <v>91</v>
      </c>
      <c r="E18" s="15" t="str">
        <f>_xlfn.CONCAT("@",U18,V18,W18,X18,Y18,Z18,AA18,AB18,AC18,"-(",E$3,")")</f>
        <v>@case_width-path_wide-z14-(mtb-hc)</v>
      </c>
      <c r="F18" s="7" t="str">
        <f t="shared" si="0"/>
        <v>6.0</v>
      </c>
      <c r="G18" s="10" t="s">
        <v>89</v>
      </c>
      <c r="H18" s="14" t="str">
        <f>_xlfn.CONCAT("@",U18,V18,W18,X18,Y18,Z18,AA18,AB18,AC18,"-(",H$3,")")</f>
        <v>@case_width-path_wide-z14-(gr)</v>
      </c>
      <c r="I18" s="7" t="str">
        <f t="shared" si="9"/>
        <v>1.6</v>
      </c>
      <c r="J18" s="5" t="s">
        <v>101</v>
      </c>
      <c r="K18" s="15" t="str">
        <f t="shared" si="10"/>
        <v>@case_width-path_wide-z14-(gr-hc)</v>
      </c>
      <c r="L18" s="7">
        <f t="shared" si="11"/>
        <v>0</v>
      </c>
      <c r="M18" s="10"/>
      <c r="N18" s="18" t="str">
        <f t="shared" si="12"/>
        <v>@case_width-path_wide-z14-(wnt)</v>
      </c>
      <c r="O18" s="19" t="str">
        <f t="shared" si="1"/>
        <v>1.0</v>
      </c>
      <c r="P18" s="17" t="s">
        <v>83</v>
      </c>
      <c r="Q18" s="20" t="str">
        <f t="shared" si="13"/>
        <v>@case_width-path_wide-z14-(wnt-hc)</v>
      </c>
      <c r="R18" s="19">
        <f t="shared" si="14"/>
        <v>0</v>
      </c>
      <c r="S18" s="21"/>
      <c r="U18" s="1" t="s">
        <v>81</v>
      </c>
      <c r="V18" s="2" t="str">
        <f t="shared" si="2"/>
        <v>-</v>
      </c>
      <c r="W18" s="1" t="s">
        <v>74</v>
      </c>
      <c r="X18" s="2" t="str">
        <f t="shared" si="15"/>
        <v>_</v>
      </c>
      <c r="Y18" s="1" t="s">
        <v>80</v>
      </c>
      <c r="Z18" s="2" t="str">
        <f t="shared" si="3"/>
        <v/>
      </c>
      <c r="AB18" s="2" t="str">
        <f t="shared" si="4"/>
        <v>-</v>
      </c>
      <c r="AC18" s="1" t="s">
        <v>77</v>
      </c>
    </row>
    <row r="19" spans="1:29" x14ac:dyDescent="0.25">
      <c r="B19" s="14" t="str">
        <f>_xlfn.CONCAT("@",U19,V19,W19,X19,Y19,Z19,AA19,AB19,AC19,"-(",B$3,")")</f>
        <v>@case_width-path_wide-z16-(mtb)</v>
      </c>
      <c r="C19" s="7" t="str">
        <f t="shared" ref="C19:C20" si="16">D19</f>
        <v>9.0</v>
      </c>
      <c r="D19" s="5" t="s">
        <v>90</v>
      </c>
      <c r="E19" s="15" t="str">
        <f>_xlfn.CONCAT("@",U19,V19,W19,X19,Y19,Z19,AA19,AB19,AC19,"-(",E$3,")")</f>
        <v>@case_width-path_wide-z16-(mtb-hc)</v>
      </c>
      <c r="F19" s="7" t="str">
        <f>G19</f>
        <v>9.0</v>
      </c>
      <c r="G19" s="10" t="s">
        <v>90</v>
      </c>
      <c r="H19" s="14" t="str">
        <f>_xlfn.CONCAT("@",U19,V19,W19,X19,Y19,Z19,AA19,AB19,AC19,"-(",H$3,")")</f>
        <v>@case_width-path_wide-z16-(gr)</v>
      </c>
      <c r="I19" s="7" t="str">
        <f t="shared" ref="I19:I20" si="17">J19</f>
        <v>2.4</v>
      </c>
      <c r="J19" s="5" t="s">
        <v>102</v>
      </c>
      <c r="K19" s="15" t="str">
        <f t="shared" si="10"/>
        <v>@case_width-path_wide-z16-(gr-hc)</v>
      </c>
      <c r="L19" s="7">
        <f t="shared" ref="L19:L20" si="18">M19</f>
        <v>0</v>
      </c>
      <c r="M19" s="10"/>
      <c r="N19" s="18" t="str">
        <f t="shared" si="12"/>
        <v>@case_width-path_wide-z16-(wnt)</v>
      </c>
      <c r="O19" s="19" t="str">
        <f t="shared" si="1"/>
        <v>1.8</v>
      </c>
      <c r="P19" s="17" t="s">
        <v>126</v>
      </c>
      <c r="Q19" s="20" t="str">
        <f t="shared" si="13"/>
        <v>@case_width-path_wide-z16-(wnt-hc)</v>
      </c>
      <c r="R19" s="19">
        <f t="shared" si="14"/>
        <v>0</v>
      </c>
      <c r="S19" s="21"/>
      <c r="U19" s="1" t="s">
        <v>81</v>
      </c>
      <c r="V19" s="2" t="str">
        <f t="shared" si="2"/>
        <v>-</v>
      </c>
      <c r="W19" s="1" t="s">
        <v>74</v>
      </c>
      <c r="X19" s="2" t="str">
        <f t="shared" si="15"/>
        <v>_</v>
      </c>
      <c r="Y19" s="1" t="s">
        <v>80</v>
      </c>
      <c r="Z19" s="2" t="str">
        <f t="shared" si="3"/>
        <v/>
      </c>
      <c r="AB19" s="2" t="str">
        <f t="shared" si="4"/>
        <v>-</v>
      </c>
      <c r="AC19" s="1" t="s">
        <v>78</v>
      </c>
    </row>
    <row r="20" spans="1:29" x14ac:dyDescent="0.25">
      <c r="B20" s="14" t="str">
        <f>_xlfn.CONCAT("@",U20,V20,W20,X20,Y20,Z20,AA20,AB20,AC20,"-(",B$3,")")</f>
        <v>@case_width-path_wide-z18-(mtb)</v>
      </c>
      <c r="C20" s="7" t="str">
        <f t="shared" si="16"/>
        <v>15.0</v>
      </c>
      <c r="D20" s="5" t="s">
        <v>92</v>
      </c>
      <c r="E20" s="15" t="str">
        <f>_xlfn.CONCAT("@",U20,V20,W20,X20,Y20,Z20,AA20,AB20,AC20,"-(",E$3,")")</f>
        <v>@case_width-path_wide-z18-(mtb-hc)</v>
      </c>
      <c r="F20" s="7" t="str">
        <f>G20</f>
        <v>22.5</v>
      </c>
      <c r="G20" s="10" t="s">
        <v>97</v>
      </c>
      <c r="H20" s="14" t="str">
        <f>_xlfn.CONCAT("@",U20,V20,W20,X20,Y20,Z20,AA20,AB20,AC20,"-(",H$3,")")</f>
        <v>@case_width-path_wide-z18-(gr)</v>
      </c>
      <c r="I20" s="7" t="str">
        <f t="shared" si="17"/>
        <v>3.6</v>
      </c>
      <c r="J20" s="5" t="s">
        <v>103</v>
      </c>
      <c r="K20" s="15" t="str">
        <f t="shared" si="10"/>
        <v>@case_width-path_wide-z18-(gr-hc)</v>
      </c>
      <c r="L20" s="7">
        <f t="shared" si="18"/>
        <v>0</v>
      </c>
      <c r="M20" s="10"/>
      <c r="N20" s="18" t="str">
        <f t="shared" si="12"/>
        <v>@case_width-path_wide-z18-(wnt)</v>
      </c>
      <c r="O20" s="19" t="str">
        <f t="shared" si="1"/>
        <v>2.4</v>
      </c>
      <c r="P20" s="17" t="s">
        <v>102</v>
      </c>
      <c r="Q20" s="20" t="str">
        <f t="shared" si="13"/>
        <v>@case_width-path_wide-z18-(wnt-hc)</v>
      </c>
      <c r="R20" s="19">
        <f t="shared" ref="R20" si="19">S20</f>
        <v>0</v>
      </c>
      <c r="S20" s="21"/>
      <c r="U20" s="1" t="s">
        <v>81</v>
      </c>
      <c r="V20" s="2" t="str">
        <f t="shared" si="2"/>
        <v>-</v>
      </c>
      <c r="W20" s="1" t="s">
        <v>74</v>
      </c>
      <c r="X20" s="2" t="str">
        <f t="shared" ref="X20" si="20">IF(NOT(ISBLANK(Y20)),"_","")</f>
        <v>_</v>
      </c>
      <c r="Y20" s="1" t="s">
        <v>80</v>
      </c>
      <c r="Z20" s="2" t="str">
        <f t="shared" si="3"/>
        <v/>
      </c>
      <c r="AB20" s="2" t="str">
        <f t="shared" si="4"/>
        <v>-</v>
      </c>
      <c r="AC20" s="1" t="s">
        <v>79</v>
      </c>
    </row>
    <row r="21" spans="1:29" x14ac:dyDescent="0.25">
      <c r="A21" s="3" t="s">
        <v>121</v>
      </c>
      <c r="B21" s="11"/>
      <c r="C21" s="3"/>
      <c r="D21" s="6"/>
      <c r="E21" s="13"/>
      <c r="F21" s="3"/>
      <c r="G21" s="12"/>
      <c r="H21" s="11"/>
      <c r="I21" s="3"/>
      <c r="J21" s="6"/>
      <c r="K21" s="13"/>
      <c r="L21" s="3"/>
      <c r="M21" s="12"/>
      <c r="N21" s="11"/>
      <c r="O21" s="3"/>
      <c r="P21" s="6"/>
      <c r="Q21" s="13"/>
      <c r="R21" s="3"/>
      <c r="S21" s="12"/>
      <c r="T21" s="4"/>
      <c r="U21" s="3"/>
      <c r="V21" s="4"/>
      <c r="W21" s="3"/>
      <c r="X21" s="4"/>
      <c r="Y21" s="3"/>
      <c r="Z21" s="4"/>
      <c r="AA21" s="4"/>
      <c r="AB21" s="4"/>
      <c r="AC21" s="3"/>
    </row>
    <row r="22" spans="1:29" x14ac:dyDescent="0.25">
      <c r="B22" s="14" t="str">
        <f>_xlfn.CONCAT("@",U22,V22,W22,X22,Y22,Z22,AA22,AB22,AC22,"-(",B$3,")")</f>
        <v>@line_width-path_narrow-z11-(mtb)</v>
      </c>
      <c r="C22" s="7" t="str">
        <f>D22</f>
        <v>0.3</v>
      </c>
      <c r="D22" s="5" t="s">
        <v>127</v>
      </c>
      <c r="E22" s="15" t="str">
        <f>_xlfn.CONCAT("@",U22,V22,W22,X22,Y22,Z22,AA22,AB22,AC22,"-(",E$3,")")</f>
        <v>@line_width-path_narrow-z11-(mtb-hc)</v>
      </c>
      <c r="F22" s="7" t="str">
        <f t="shared" ref="F22:F34" si="21">G22</f>
        <v>0.5</v>
      </c>
      <c r="G22" s="10" t="s">
        <v>98</v>
      </c>
      <c r="H22" s="14" t="str">
        <f>_xlfn.CONCAT("@",U22,V22,W22,X22,Y22,Z22,AA22,AB22,AC22,"-(",H$3,")")</f>
        <v>@line_width-path_narrow-z11-(gr)</v>
      </c>
      <c r="I22" s="7" t="str">
        <f>J22</f>
        <v>0.3</v>
      </c>
      <c r="J22" s="5" t="s">
        <v>127</v>
      </c>
      <c r="K22" s="15" t="str">
        <f>_xlfn.CONCAT("@",U22,V22,W22,X22,Y22,Z22,AA22,AB22,AC22,"-(",K$3,")")</f>
        <v>@line_width-path_narrow-z11-(gr-hc)</v>
      </c>
      <c r="L22" s="7">
        <f>M22</f>
        <v>0</v>
      </c>
      <c r="M22" s="10"/>
      <c r="N22" s="18" t="str">
        <f>_xlfn.CONCAT("@",U22,V22,W22,X22,Y22,Z22,AA22,AB22,AC22,"-(",N$3,")")</f>
        <v>@line_width-path_narrow-z11-(wnt)</v>
      </c>
      <c r="O22" s="19" t="str">
        <f t="shared" ref="O22:O36" si="22">P22</f>
        <v>0.5</v>
      </c>
      <c r="P22" s="17" t="s">
        <v>98</v>
      </c>
      <c r="Q22" s="20" t="str">
        <f>_xlfn.CONCAT("@",U22,V22,W22,X22,Y22,Z22,AA22,AB22,AC22,"-(",Q$3,")")</f>
        <v>@line_width-path_narrow-z11-(wnt-hc)</v>
      </c>
      <c r="R22" s="19" t="str">
        <f>S22</f>
        <v>0.5</v>
      </c>
      <c r="S22" s="25" t="str">
        <f t="shared" ref="S22:S26" si="23">G22</f>
        <v>0.5</v>
      </c>
      <c r="U22" s="1" t="s">
        <v>122</v>
      </c>
      <c r="V22" s="2" t="str">
        <f t="shared" ref="V22:V36" si="24">IF(NOT(ISBLANK(W22)),"-","")</f>
        <v>-</v>
      </c>
      <c r="W22" s="1" t="s">
        <v>74</v>
      </c>
      <c r="X22" s="2" t="str">
        <f>IF(NOT(ISBLANK(Y22)),"_","")</f>
        <v>_</v>
      </c>
      <c r="Y22" s="1" t="s">
        <v>75</v>
      </c>
      <c r="Z22" s="2" t="str">
        <f t="shared" ref="Z22:Z36" si="25">IF(NOT(ISBLANK(AA22)),"_","")</f>
        <v/>
      </c>
      <c r="AB22" s="2" t="str">
        <f t="shared" ref="AB22:AB36" si="26">IF(NOT(ISBLANK(AC22)),"-","")</f>
        <v>-</v>
      </c>
      <c r="AC22" s="1" t="s">
        <v>73</v>
      </c>
    </row>
    <row r="23" spans="1:29" x14ac:dyDescent="0.25">
      <c r="B23" s="14" t="str">
        <f t="shared" ref="B23:B33" si="27">_xlfn.CONCAT("@",U23,V23,W23,X23,Y23,Z23,AA23,AB23,AC23,"-(",B$3,")")</f>
        <v>@line_width-path_narrow-z12-(mtb)</v>
      </c>
      <c r="C23" s="7" t="str">
        <f t="shared" ref="C23:C33" si="28">D23</f>
        <v>0.4</v>
      </c>
      <c r="D23" s="5" t="s">
        <v>123</v>
      </c>
      <c r="E23" s="15" t="str">
        <f t="shared" ref="E23:E33" si="29">_xlfn.CONCAT("@",U23,V23,W23,X23,Y23,Z23,AA23,AB23,AC23,"-(",E$3,")")</f>
        <v>@line_width-path_narrow-z12-(mtb-hc)</v>
      </c>
      <c r="F23" s="7" t="str">
        <f t="shared" si="21"/>
        <v>0.6</v>
      </c>
      <c r="G23" s="10" t="s">
        <v>125</v>
      </c>
      <c r="H23" s="14" t="str">
        <f t="shared" ref="H23:H33" si="30">_xlfn.CONCAT("@",U23,V23,W23,X23,Y23,Z23,AA23,AB23,AC23,"-(",H$3,")")</f>
        <v>@line_width-path_narrow-z12-(gr)</v>
      </c>
      <c r="I23" s="7" t="str">
        <f t="shared" ref="I23:I36" si="31">J23</f>
        <v>0.4</v>
      </c>
      <c r="J23" s="5" t="s">
        <v>123</v>
      </c>
      <c r="K23" s="15" t="str">
        <f t="shared" ref="K23:K36" si="32">_xlfn.CONCAT("@",U23,V23,W23,X23,Y23,Z23,AA23,AB23,AC23,"-(",K$3,")")</f>
        <v>@line_width-path_narrow-z12-(gr-hc)</v>
      </c>
      <c r="L23" s="7">
        <f t="shared" ref="L23:L36" si="33">M23</f>
        <v>0</v>
      </c>
      <c r="M23" s="10"/>
      <c r="N23" s="18" t="str">
        <f t="shared" ref="N23:N36" si="34">_xlfn.CONCAT("@",U23,V23,W23,X23,Y23,Z23,AA23,AB23,AC23,"-(",N$3,")")</f>
        <v>@line_width-path_narrow-z12-(wnt)</v>
      </c>
      <c r="O23" s="19" t="str">
        <f t="shared" si="22"/>
        <v>0.6</v>
      </c>
      <c r="P23" s="17" t="s">
        <v>125</v>
      </c>
      <c r="Q23" s="20" t="str">
        <f t="shared" ref="Q23:Q36" si="35">_xlfn.CONCAT("@",U23,V23,W23,X23,Y23,Z23,AA23,AB23,AC23,"-(",Q$3,")")</f>
        <v>@line_width-path_narrow-z12-(wnt-hc)</v>
      </c>
      <c r="R23" s="19" t="str">
        <f t="shared" ref="R23:R36" si="36">S23</f>
        <v>0.6</v>
      </c>
      <c r="S23" s="25" t="str">
        <f t="shared" si="23"/>
        <v>0.6</v>
      </c>
      <c r="U23" s="1" t="s">
        <v>122</v>
      </c>
      <c r="V23" s="2" t="str">
        <f t="shared" si="24"/>
        <v>-</v>
      </c>
      <c r="W23" s="1" t="s">
        <v>74</v>
      </c>
      <c r="X23" s="2" t="str">
        <f t="shared" ref="X23:X36" si="37">IF(NOT(ISBLANK(Y23)),"_","")</f>
        <v>_</v>
      </c>
      <c r="Y23" s="1" t="s">
        <v>75</v>
      </c>
      <c r="Z23" s="2" t="str">
        <f t="shared" si="25"/>
        <v/>
      </c>
      <c r="AB23" s="2" t="str">
        <f t="shared" si="26"/>
        <v>-</v>
      </c>
      <c r="AC23" s="1" t="s">
        <v>112</v>
      </c>
    </row>
    <row r="24" spans="1:29" x14ac:dyDescent="0.25">
      <c r="B24" s="14" t="str">
        <f t="shared" si="27"/>
        <v>@line_width-path_narrow-z14-(mtb)</v>
      </c>
      <c r="C24" s="7" t="str">
        <f t="shared" si="28"/>
        <v>0.7</v>
      </c>
      <c r="D24" s="5" t="s">
        <v>118</v>
      </c>
      <c r="E24" s="15" t="str">
        <f t="shared" si="29"/>
        <v>@line_width-path_narrow-z14-(mtb-hc)</v>
      </c>
      <c r="F24" s="7" t="str">
        <f t="shared" si="21"/>
        <v>1.2</v>
      </c>
      <c r="G24" s="10" t="s">
        <v>100</v>
      </c>
      <c r="H24" s="14" t="str">
        <f t="shared" si="30"/>
        <v>@line_width-path_narrow-z14-(gr)</v>
      </c>
      <c r="I24" s="7" t="str">
        <f t="shared" si="31"/>
        <v>0.5</v>
      </c>
      <c r="J24" s="5" t="s">
        <v>98</v>
      </c>
      <c r="K24" s="15" t="str">
        <f t="shared" si="32"/>
        <v>@line_width-path_narrow-z14-(gr-hc)</v>
      </c>
      <c r="L24" s="7">
        <f t="shared" si="33"/>
        <v>0</v>
      </c>
      <c r="M24" s="10"/>
      <c r="N24" s="18" t="str">
        <f t="shared" si="34"/>
        <v>@line_width-path_narrow-z14-(wnt)</v>
      </c>
      <c r="O24" s="19" t="str">
        <f t="shared" si="22"/>
        <v>1.0</v>
      </c>
      <c r="P24" s="17" t="s">
        <v>83</v>
      </c>
      <c r="Q24" s="20" t="str">
        <f t="shared" si="35"/>
        <v>@line_width-path_narrow-z14-(wnt-hc)</v>
      </c>
      <c r="R24" s="19" t="str">
        <f t="shared" si="36"/>
        <v>1.2</v>
      </c>
      <c r="S24" s="25" t="str">
        <f t="shared" si="23"/>
        <v>1.2</v>
      </c>
      <c r="U24" s="1" t="s">
        <v>122</v>
      </c>
      <c r="V24" s="2" t="str">
        <f t="shared" si="24"/>
        <v>-</v>
      </c>
      <c r="W24" s="1" t="s">
        <v>74</v>
      </c>
      <c r="X24" s="2" t="str">
        <f t="shared" si="37"/>
        <v>_</v>
      </c>
      <c r="Y24" s="1" t="s">
        <v>75</v>
      </c>
      <c r="Z24" s="2" t="str">
        <f t="shared" si="25"/>
        <v/>
      </c>
      <c r="AB24" s="2" t="str">
        <f t="shared" si="26"/>
        <v>-</v>
      </c>
      <c r="AC24" s="1" t="s">
        <v>77</v>
      </c>
    </row>
    <row r="25" spans="1:29" x14ac:dyDescent="0.25">
      <c r="B25" s="14" t="str">
        <f t="shared" si="27"/>
        <v>@line_width-path_narrow-z16-(mtb)</v>
      </c>
      <c r="C25" s="7" t="str">
        <f t="shared" si="28"/>
        <v>1.2</v>
      </c>
      <c r="D25" s="5" t="s">
        <v>100</v>
      </c>
      <c r="E25" s="15" t="str">
        <f t="shared" si="29"/>
        <v>@line_width-path_narrow-z16-(mtb-hc)</v>
      </c>
      <c r="F25" s="7" t="str">
        <f t="shared" si="21"/>
        <v>1.5</v>
      </c>
      <c r="G25" s="10" t="s">
        <v>87</v>
      </c>
      <c r="H25" s="14" t="str">
        <f t="shared" si="30"/>
        <v>@line_width-path_narrow-z16-(gr)</v>
      </c>
      <c r="I25" s="7" t="str">
        <f t="shared" si="31"/>
        <v>1.0</v>
      </c>
      <c r="J25" s="5" t="s">
        <v>83</v>
      </c>
      <c r="K25" s="15" t="str">
        <f t="shared" si="32"/>
        <v>@line_width-path_narrow-z16-(gr-hc)</v>
      </c>
      <c r="L25" s="7">
        <f t="shared" si="33"/>
        <v>0</v>
      </c>
      <c r="M25" s="10"/>
      <c r="N25" s="18" t="str">
        <f t="shared" si="34"/>
        <v>@line_width-path_narrow-z16-(wnt)</v>
      </c>
      <c r="O25" s="19" t="str">
        <f t="shared" si="22"/>
        <v>1.8</v>
      </c>
      <c r="P25" s="17" t="s">
        <v>126</v>
      </c>
      <c r="Q25" s="20" t="str">
        <f t="shared" si="35"/>
        <v>@line_width-path_narrow-z16-(wnt-hc)</v>
      </c>
      <c r="R25" s="19" t="str">
        <f t="shared" si="36"/>
        <v>1.5</v>
      </c>
      <c r="S25" s="25" t="str">
        <f t="shared" si="23"/>
        <v>1.5</v>
      </c>
      <c r="U25" s="1" t="s">
        <v>122</v>
      </c>
      <c r="V25" s="2" t="str">
        <f t="shared" si="24"/>
        <v>-</v>
      </c>
      <c r="W25" s="1" t="s">
        <v>74</v>
      </c>
      <c r="X25" s="2" t="str">
        <f t="shared" si="37"/>
        <v>_</v>
      </c>
      <c r="Y25" s="1" t="s">
        <v>75</v>
      </c>
      <c r="Z25" s="2" t="str">
        <f t="shared" si="25"/>
        <v/>
      </c>
      <c r="AB25" s="2" t="str">
        <f t="shared" si="26"/>
        <v>-</v>
      </c>
      <c r="AC25" s="1" t="s">
        <v>78</v>
      </c>
    </row>
    <row r="26" spans="1:29" x14ac:dyDescent="0.25">
      <c r="B26" s="14" t="str">
        <f t="shared" si="27"/>
        <v>@line_width-path_narrow-z18-(mtb)</v>
      </c>
      <c r="C26" s="7" t="str">
        <f t="shared" si="28"/>
        <v>2.3</v>
      </c>
      <c r="D26" s="5" t="s">
        <v>124</v>
      </c>
      <c r="E26" s="15" t="str">
        <f t="shared" si="29"/>
        <v>@line_width-path_narrow-z18-(mtb-hc)</v>
      </c>
      <c r="F26" s="7" t="str">
        <f t="shared" si="21"/>
        <v>3.0</v>
      </c>
      <c r="G26" s="10" t="s">
        <v>91</v>
      </c>
      <c r="H26" s="14" t="str">
        <f t="shared" si="30"/>
        <v>@line_width-path_narrow-z18-(gr)</v>
      </c>
      <c r="I26" s="7" t="str">
        <f t="shared" si="31"/>
        <v>1.0</v>
      </c>
      <c r="J26" s="5" t="s">
        <v>83</v>
      </c>
      <c r="K26" s="15" t="str">
        <f t="shared" si="32"/>
        <v>@line_width-path_narrow-z18-(gr-hc)</v>
      </c>
      <c r="L26" s="7">
        <f t="shared" si="33"/>
        <v>0</v>
      </c>
      <c r="M26" s="10"/>
      <c r="N26" s="18" t="str">
        <f t="shared" si="34"/>
        <v>@line_width-path_narrow-z18-(wnt)</v>
      </c>
      <c r="O26" s="19" t="str">
        <f t="shared" si="22"/>
        <v>2.4</v>
      </c>
      <c r="P26" s="17" t="s">
        <v>102</v>
      </c>
      <c r="Q26" s="20" t="str">
        <f t="shared" si="35"/>
        <v>@line_width-path_narrow-z18-(wnt-hc)</v>
      </c>
      <c r="R26" s="19" t="str">
        <f t="shared" si="36"/>
        <v>3.0</v>
      </c>
      <c r="S26" s="25" t="str">
        <f t="shared" si="23"/>
        <v>3.0</v>
      </c>
      <c r="U26" s="1" t="s">
        <v>122</v>
      </c>
      <c r="V26" s="2" t="str">
        <f t="shared" si="24"/>
        <v>-</v>
      </c>
      <c r="W26" s="1" t="s">
        <v>74</v>
      </c>
      <c r="X26" s="2" t="str">
        <f t="shared" si="37"/>
        <v>_</v>
      </c>
      <c r="Y26" s="1" t="s">
        <v>75</v>
      </c>
      <c r="Z26" s="2" t="str">
        <f t="shared" si="25"/>
        <v/>
      </c>
      <c r="AB26" s="2" t="str">
        <f t="shared" si="26"/>
        <v>-</v>
      </c>
      <c r="AC26" s="1" t="s">
        <v>79</v>
      </c>
    </row>
    <row r="27" spans="1:29" x14ac:dyDescent="0.25">
      <c r="B27" s="14" t="str">
        <f t="shared" si="27"/>
        <v>@line_width-path_medium-z11-(mtb)</v>
      </c>
      <c r="C27" s="7" t="str">
        <f t="shared" si="28"/>
        <v>0.5</v>
      </c>
      <c r="D27" s="5" t="s">
        <v>98</v>
      </c>
      <c r="E27" s="15" t="str">
        <f t="shared" si="29"/>
        <v>@line_width-path_medium-z11-(mtb-hc)</v>
      </c>
      <c r="F27" s="7" t="str">
        <f t="shared" si="21"/>
        <v>0.7</v>
      </c>
      <c r="G27" s="10" t="s">
        <v>118</v>
      </c>
      <c r="H27" s="14" t="str">
        <f t="shared" si="30"/>
        <v>@line_width-path_medium-z11-(gr)</v>
      </c>
      <c r="I27" s="7" t="str">
        <f t="shared" si="31"/>
        <v>0.5</v>
      </c>
      <c r="J27" s="5" t="s">
        <v>98</v>
      </c>
      <c r="K27" s="15" t="str">
        <f t="shared" si="32"/>
        <v>@line_width-path_medium-z11-(gr-hc)</v>
      </c>
      <c r="L27" s="7">
        <f t="shared" si="33"/>
        <v>0</v>
      </c>
      <c r="M27" s="10"/>
      <c r="N27" s="14" t="str">
        <f t="shared" si="34"/>
        <v>@line_width-path_medium-z11-(wnt)</v>
      </c>
      <c r="O27" s="7" t="str">
        <f t="shared" si="22"/>
        <v>0.5</v>
      </c>
      <c r="P27" s="7" t="str">
        <f t="shared" ref="P27:P31" si="38">D27</f>
        <v>0.5</v>
      </c>
      <c r="Q27" s="15" t="str">
        <f t="shared" si="35"/>
        <v>@line_width-path_medium-z11-(wnt-hc)</v>
      </c>
      <c r="R27" s="7" t="str">
        <f t="shared" si="36"/>
        <v>0.7</v>
      </c>
      <c r="S27" s="16" t="str">
        <f t="shared" ref="S27:S36" si="39">G27</f>
        <v>0.7</v>
      </c>
      <c r="U27" s="1" t="s">
        <v>122</v>
      </c>
      <c r="V27" s="2" t="str">
        <f t="shared" si="24"/>
        <v>-</v>
      </c>
      <c r="W27" s="1" t="s">
        <v>74</v>
      </c>
      <c r="X27" s="2" t="str">
        <f t="shared" si="37"/>
        <v>_</v>
      </c>
      <c r="Y27" s="1" t="s">
        <v>82</v>
      </c>
      <c r="Z27" s="2" t="str">
        <f t="shared" si="25"/>
        <v/>
      </c>
      <c r="AB27" s="2" t="str">
        <f t="shared" si="26"/>
        <v>-</v>
      </c>
      <c r="AC27" s="1" t="s">
        <v>73</v>
      </c>
    </row>
    <row r="28" spans="1:29" x14ac:dyDescent="0.25">
      <c r="B28" s="14" t="str">
        <f t="shared" si="27"/>
        <v>@line_width-path_medium-z12-(mtb)</v>
      </c>
      <c r="C28" s="7" t="str">
        <f t="shared" si="28"/>
        <v>0.6</v>
      </c>
      <c r="D28" s="5" t="s">
        <v>125</v>
      </c>
      <c r="E28" s="15" t="str">
        <f t="shared" si="29"/>
        <v>@line_width-path_medium-z12-(mtb-hc)</v>
      </c>
      <c r="F28" s="7" t="str">
        <f t="shared" si="21"/>
        <v>0.9</v>
      </c>
      <c r="G28" s="10" t="s">
        <v>119</v>
      </c>
      <c r="H28" s="14" t="str">
        <f t="shared" si="30"/>
        <v>@line_width-path_medium-z12-(gr)</v>
      </c>
      <c r="I28" s="7" t="str">
        <f t="shared" si="31"/>
        <v>0.6</v>
      </c>
      <c r="J28" s="5" t="s">
        <v>125</v>
      </c>
      <c r="K28" s="15" t="str">
        <f t="shared" si="32"/>
        <v>@line_width-path_medium-z12-(gr-hc)</v>
      </c>
      <c r="L28" s="7">
        <f t="shared" si="33"/>
        <v>0</v>
      </c>
      <c r="M28" s="10"/>
      <c r="N28" s="14" t="str">
        <f t="shared" si="34"/>
        <v>@line_width-path_medium-z12-(wnt)</v>
      </c>
      <c r="O28" s="7" t="str">
        <f t="shared" si="22"/>
        <v>0.6</v>
      </c>
      <c r="P28" s="7" t="str">
        <f t="shared" si="38"/>
        <v>0.6</v>
      </c>
      <c r="Q28" s="15" t="str">
        <f t="shared" si="35"/>
        <v>@line_width-path_medium-z12-(wnt-hc)</v>
      </c>
      <c r="R28" s="7" t="str">
        <f t="shared" si="36"/>
        <v>0.9</v>
      </c>
      <c r="S28" s="16" t="str">
        <f t="shared" si="39"/>
        <v>0.9</v>
      </c>
      <c r="U28" s="1" t="s">
        <v>122</v>
      </c>
      <c r="V28" s="2" t="str">
        <f t="shared" si="24"/>
        <v>-</v>
      </c>
      <c r="W28" s="1" t="s">
        <v>74</v>
      </c>
      <c r="X28" s="2" t="str">
        <f t="shared" si="37"/>
        <v>_</v>
      </c>
      <c r="Y28" s="1" t="s">
        <v>82</v>
      </c>
      <c r="Z28" s="2" t="str">
        <f t="shared" si="25"/>
        <v/>
      </c>
      <c r="AB28" s="2" t="str">
        <f t="shared" si="26"/>
        <v>-</v>
      </c>
      <c r="AC28" s="1" t="s">
        <v>112</v>
      </c>
    </row>
    <row r="29" spans="1:29" x14ac:dyDescent="0.25">
      <c r="B29" s="14" t="str">
        <f t="shared" si="27"/>
        <v>@line_width-path_medium-z14-(mtb)</v>
      </c>
      <c r="C29" s="7" t="str">
        <f t="shared" si="28"/>
        <v>1.0</v>
      </c>
      <c r="D29" s="5" t="s">
        <v>83</v>
      </c>
      <c r="E29" s="15" t="str">
        <f t="shared" si="29"/>
        <v>@line_width-path_medium-z14-(mtb-hc)</v>
      </c>
      <c r="F29" s="7" t="str">
        <f t="shared" si="21"/>
        <v>1.5</v>
      </c>
      <c r="G29" s="10" t="s">
        <v>87</v>
      </c>
      <c r="H29" s="14" t="str">
        <f t="shared" si="30"/>
        <v>@line_width-path_medium-z14-(gr)</v>
      </c>
      <c r="I29" s="7" t="str">
        <f t="shared" si="31"/>
        <v>0.8</v>
      </c>
      <c r="J29" s="5" t="s">
        <v>99</v>
      </c>
      <c r="K29" s="15" t="str">
        <f t="shared" si="32"/>
        <v>@line_width-path_medium-z14-(gr-hc)</v>
      </c>
      <c r="L29" s="7">
        <f t="shared" si="33"/>
        <v>0</v>
      </c>
      <c r="M29" s="10"/>
      <c r="N29" s="14" t="str">
        <f t="shared" si="34"/>
        <v>@line_width-path_medium-z14-(wnt)</v>
      </c>
      <c r="O29" s="7" t="str">
        <f t="shared" si="22"/>
        <v>1.0</v>
      </c>
      <c r="P29" s="7" t="str">
        <f t="shared" si="38"/>
        <v>1.0</v>
      </c>
      <c r="Q29" s="15" t="str">
        <f t="shared" si="35"/>
        <v>@line_width-path_medium-z14-(wnt-hc)</v>
      </c>
      <c r="R29" s="7" t="str">
        <f t="shared" si="36"/>
        <v>1.5</v>
      </c>
      <c r="S29" s="16" t="str">
        <f t="shared" si="39"/>
        <v>1.5</v>
      </c>
      <c r="U29" s="1" t="s">
        <v>122</v>
      </c>
      <c r="V29" s="2" t="str">
        <f t="shared" si="24"/>
        <v>-</v>
      </c>
      <c r="W29" s="1" t="s">
        <v>74</v>
      </c>
      <c r="X29" s="2" t="str">
        <f t="shared" si="37"/>
        <v>_</v>
      </c>
      <c r="Y29" s="1" t="s">
        <v>82</v>
      </c>
      <c r="Z29" s="2" t="str">
        <f t="shared" si="25"/>
        <v/>
      </c>
      <c r="AB29" s="2" t="str">
        <f t="shared" si="26"/>
        <v>-</v>
      </c>
      <c r="AC29" s="1" t="s">
        <v>77</v>
      </c>
    </row>
    <row r="30" spans="1:29" x14ac:dyDescent="0.25">
      <c r="B30" s="14" t="str">
        <f t="shared" si="27"/>
        <v>@line_width-path_medium-z16-(mtb)</v>
      </c>
      <c r="C30" s="7" t="str">
        <f t="shared" si="28"/>
        <v>1.8</v>
      </c>
      <c r="D30" s="5" t="s">
        <v>126</v>
      </c>
      <c r="E30" s="15" t="str">
        <f t="shared" si="29"/>
        <v>@line_width-path_medium-z16-(mtb-hc)</v>
      </c>
      <c r="F30" s="7" t="str">
        <f t="shared" si="21"/>
        <v>2.7</v>
      </c>
      <c r="G30" s="10" t="s">
        <v>129</v>
      </c>
      <c r="H30" s="14" t="str">
        <f t="shared" si="30"/>
        <v>@line_width-path_medium-z16-(gr)</v>
      </c>
      <c r="I30" s="7" t="str">
        <f t="shared" si="31"/>
        <v>1.2</v>
      </c>
      <c r="J30" s="5" t="s">
        <v>100</v>
      </c>
      <c r="K30" s="15" t="str">
        <f t="shared" si="32"/>
        <v>@line_width-path_medium-z16-(gr-hc)</v>
      </c>
      <c r="L30" s="7">
        <f t="shared" si="33"/>
        <v>0</v>
      </c>
      <c r="M30" s="10"/>
      <c r="N30" s="14" t="str">
        <f t="shared" si="34"/>
        <v>@line_width-path_medium-z16-(wnt)</v>
      </c>
      <c r="O30" s="7" t="str">
        <f t="shared" si="22"/>
        <v>1.8</v>
      </c>
      <c r="P30" s="7" t="str">
        <f t="shared" si="38"/>
        <v>1.8</v>
      </c>
      <c r="Q30" s="15" t="str">
        <f t="shared" si="35"/>
        <v>@line_width-path_medium-z16-(wnt-hc)</v>
      </c>
      <c r="R30" s="7" t="str">
        <f t="shared" si="36"/>
        <v>2.7</v>
      </c>
      <c r="S30" s="16" t="str">
        <f t="shared" si="39"/>
        <v>2.7</v>
      </c>
      <c r="U30" s="1" t="s">
        <v>122</v>
      </c>
      <c r="V30" s="2" t="str">
        <f t="shared" si="24"/>
        <v>-</v>
      </c>
      <c r="W30" s="1" t="s">
        <v>74</v>
      </c>
      <c r="X30" s="2" t="str">
        <f t="shared" si="37"/>
        <v>_</v>
      </c>
      <c r="Y30" s="1" t="s">
        <v>82</v>
      </c>
      <c r="Z30" s="2" t="str">
        <f t="shared" si="25"/>
        <v/>
      </c>
      <c r="AB30" s="2" t="str">
        <f t="shared" si="26"/>
        <v>-</v>
      </c>
      <c r="AC30" s="1" t="s">
        <v>78</v>
      </c>
    </row>
    <row r="31" spans="1:29" x14ac:dyDescent="0.25">
      <c r="B31" s="14" t="str">
        <f t="shared" si="27"/>
        <v>@line_width-path_medium-z18-(mtb)</v>
      </c>
      <c r="C31" s="7" t="str">
        <f t="shared" si="28"/>
        <v>3.5</v>
      </c>
      <c r="D31" s="5" t="s">
        <v>85</v>
      </c>
      <c r="E31" s="15" t="str">
        <f t="shared" si="29"/>
        <v>@line_width-path_medium-z18-(mtb-hc)</v>
      </c>
      <c r="F31" s="7" t="str">
        <f t="shared" si="21"/>
        <v>5.2</v>
      </c>
      <c r="G31" s="10" t="s">
        <v>130</v>
      </c>
      <c r="H31" s="14" t="str">
        <f t="shared" si="30"/>
        <v>@line_width-path_medium-z18-(gr)</v>
      </c>
      <c r="I31" s="7" t="str">
        <f t="shared" si="31"/>
        <v>1.6</v>
      </c>
      <c r="J31" s="5" t="s">
        <v>101</v>
      </c>
      <c r="K31" s="15" t="str">
        <f t="shared" si="32"/>
        <v>@line_width-path_medium-z18-(gr-hc)</v>
      </c>
      <c r="L31" s="7">
        <f t="shared" si="33"/>
        <v>0</v>
      </c>
      <c r="M31" s="10"/>
      <c r="N31" s="14" t="str">
        <f t="shared" si="34"/>
        <v>@line_width-path_medium-z18-(wnt)</v>
      </c>
      <c r="O31" s="7" t="str">
        <f t="shared" si="22"/>
        <v>3.5</v>
      </c>
      <c r="P31" s="7" t="str">
        <f t="shared" si="38"/>
        <v>3.5</v>
      </c>
      <c r="Q31" s="15" t="str">
        <f t="shared" si="35"/>
        <v>@line_width-path_medium-z18-(wnt-hc)</v>
      </c>
      <c r="R31" s="7" t="str">
        <f t="shared" si="36"/>
        <v>5.2</v>
      </c>
      <c r="S31" s="16" t="str">
        <f t="shared" si="39"/>
        <v>5.2</v>
      </c>
      <c r="U31" s="1" t="s">
        <v>122</v>
      </c>
      <c r="V31" s="2" t="str">
        <f t="shared" si="24"/>
        <v>-</v>
      </c>
      <c r="W31" s="1" t="s">
        <v>74</v>
      </c>
      <c r="X31" s="2" t="str">
        <f t="shared" si="37"/>
        <v>_</v>
      </c>
      <c r="Y31" s="1" t="s">
        <v>82</v>
      </c>
      <c r="Z31" s="2" t="str">
        <f t="shared" si="25"/>
        <v/>
      </c>
      <c r="AB31" s="2" t="str">
        <f t="shared" si="26"/>
        <v>-</v>
      </c>
      <c r="AC31" s="1" t="s">
        <v>79</v>
      </c>
    </row>
    <row r="32" spans="1:29" x14ac:dyDescent="0.25">
      <c r="B32" s="14" t="str">
        <f t="shared" si="27"/>
        <v>@line_width-path_wide-z11-(mtb)</v>
      </c>
      <c r="C32" s="7" t="str">
        <f t="shared" si="28"/>
        <v>0.7</v>
      </c>
      <c r="D32" s="5" t="s">
        <v>118</v>
      </c>
      <c r="E32" s="15" t="str">
        <f t="shared" si="29"/>
        <v>@line_width-path_wide-z11-(mtb-hc)</v>
      </c>
      <c r="F32" s="7" t="str">
        <f t="shared" si="21"/>
        <v>1.5</v>
      </c>
      <c r="G32" s="10" t="s">
        <v>87</v>
      </c>
      <c r="H32" s="14" t="str">
        <f t="shared" si="30"/>
        <v>@line_width-path_wide-z11-(gr)</v>
      </c>
      <c r="I32" s="7" t="str">
        <f t="shared" si="31"/>
        <v>1.0</v>
      </c>
      <c r="J32" s="5" t="s">
        <v>83</v>
      </c>
      <c r="K32" s="15" t="str">
        <f t="shared" si="32"/>
        <v>@line_width-path_wide-z11-(gr-hc)</v>
      </c>
      <c r="L32" s="7">
        <f t="shared" si="33"/>
        <v>0</v>
      </c>
      <c r="M32" s="10"/>
      <c r="N32" s="18" t="str">
        <f t="shared" si="34"/>
        <v>@line_width-path_wide-z11-(wnt)</v>
      </c>
      <c r="O32" s="19" t="str">
        <f t="shared" si="22"/>
        <v>0.5</v>
      </c>
      <c r="P32" s="17" t="s">
        <v>98</v>
      </c>
      <c r="Q32" s="20" t="str">
        <f t="shared" si="35"/>
        <v>@line_width-path_wide-z11-(wnt-hc)</v>
      </c>
      <c r="R32" s="19" t="str">
        <f t="shared" si="36"/>
        <v>1.5</v>
      </c>
      <c r="S32" s="25" t="str">
        <f t="shared" si="39"/>
        <v>1.5</v>
      </c>
      <c r="U32" s="1" t="s">
        <v>122</v>
      </c>
      <c r="V32" s="2" t="str">
        <f t="shared" si="24"/>
        <v>-</v>
      </c>
      <c r="W32" s="1" t="s">
        <v>74</v>
      </c>
      <c r="X32" s="2" t="str">
        <f t="shared" si="37"/>
        <v>_</v>
      </c>
      <c r="Y32" s="1" t="s">
        <v>80</v>
      </c>
      <c r="Z32" s="2" t="str">
        <f t="shared" si="25"/>
        <v/>
      </c>
      <c r="AB32" s="2" t="str">
        <f t="shared" si="26"/>
        <v>-</v>
      </c>
      <c r="AC32" s="1" t="s">
        <v>73</v>
      </c>
    </row>
    <row r="33" spans="1:29" x14ac:dyDescent="0.25">
      <c r="B33" s="14" t="str">
        <f t="shared" si="27"/>
        <v>@line_width-path_wide-z12-(mtb)</v>
      </c>
      <c r="C33" s="7" t="str">
        <f t="shared" si="28"/>
        <v>1.0</v>
      </c>
      <c r="D33" s="5" t="s">
        <v>83</v>
      </c>
      <c r="E33" s="15" t="str">
        <f t="shared" si="29"/>
        <v>@line_width-path_wide-z12-(mtb-hc)</v>
      </c>
      <c r="F33" s="7" t="str">
        <f t="shared" si="21"/>
        <v>1.8</v>
      </c>
      <c r="G33" s="10" t="s">
        <v>126</v>
      </c>
      <c r="H33" s="14" t="str">
        <f t="shared" si="30"/>
        <v>@line_width-path_wide-z12-(gr)</v>
      </c>
      <c r="I33" s="7" t="str">
        <f t="shared" si="31"/>
        <v>1.2</v>
      </c>
      <c r="J33" s="5" t="s">
        <v>100</v>
      </c>
      <c r="K33" s="15" t="str">
        <f t="shared" si="32"/>
        <v>@line_width-path_wide-z12-(gr-hc)</v>
      </c>
      <c r="L33" s="7">
        <f t="shared" si="33"/>
        <v>0</v>
      </c>
      <c r="M33" s="10"/>
      <c r="N33" s="18" t="str">
        <f t="shared" si="34"/>
        <v>@line_width-path_wide-z12-(wnt)</v>
      </c>
      <c r="O33" s="19" t="str">
        <f t="shared" si="22"/>
        <v>0.6</v>
      </c>
      <c r="P33" s="17" t="s">
        <v>125</v>
      </c>
      <c r="Q33" s="20" t="str">
        <f t="shared" si="35"/>
        <v>@line_width-path_wide-z12-(wnt-hc)</v>
      </c>
      <c r="R33" s="19" t="str">
        <f t="shared" si="36"/>
        <v>1.8</v>
      </c>
      <c r="S33" s="25" t="str">
        <f t="shared" si="39"/>
        <v>1.8</v>
      </c>
      <c r="U33" s="1" t="s">
        <v>122</v>
      </c>
      <c r="V33" s="2" t="str">
        <f t="shared" si="24"/>
        <v>-</v>
      </c>
      <c r="W33" s="1" t="s">
        <v>74</v>
      </c>
      <c r="X33" s="2" t="str">
        <f t="shared" si="37"/>
        <v>_</v>
      </c>
      <c r="Y33" s="1" t="s">
        <v>80</v>
      </c>
      <c r="Z33" s="2" t="str">
        <f t="shared" si="25"/>
        <v/>
      </c>
      <c r="AB33" s="2" t="str">
        <f t="shared" si="26"/>
        <v>-</v>
      </c>
      <c r="AC33" s="1" t="s">
        <v>112</v>
      </c>
    </row>
    <row r="34" spans="1:29" x14ac:dyDescent="0.25">
      <c r="B34" s="14" t="str">
        <f>_xlfn.CONCAT("@",U34,V34,W34,X34,Y34,Z34,AA34,AB34,AC34,"-(",B$3,")")</f>
        <v>@line_width-path_wide-z14-(mtb)</v>
      </c>
      <c r="C34" s="7" t="str">
        <f>D34</f>
        <v>1.7</v>
      </c>
      <c r="D34" s="5" t="s">
        <v>114</v>
      </c>
      <c r="E34" s="15" t="str">
        <f>_xlfn.CONCAT("@",U34,V34,W34,X34,Y34,Z34,AA34,AB34,AC34,"-(",E$3,")")</f>
        <v>@line_width-path_wide-z14-(mtb-hc)</v>
      </c>
      <c r="F34" s="7" t="str">
        <f t="shared" si="21"/>
        <v>2.7</v>
      </c>
      <c r="G34" s="10" t="s">
        <v>129</v>
      </c>
      <c r="H34" s="14" t="str">
        <f>_xlfn.CONCAT("@",U34,V34,W34,X34,Y34,Z34,AA34,AB34,AC34,"-(",H$3,")")</f>
        <v>@line_width-path_wide-z14-(gr)</v>
      </c>
      <c r="I34" s="7" t="str">
        <f t="shared" si="31"/>
        <v>1.5</v>
      </c>
      <c r="J34" s="5" t="s">
        <v>87</v>
      </c>
      <c r="K34" s="15" t="str">
        <f t="shared" si="32"/>
        <v>@line_width-path_wide-z14-(gr-hc)</v>
      </c>
      <c r="L34" s="7">
        <f t="shared" si="33"/>
        <v>0</v>
      </c>
      <c r="M34" s="10"/>
      <c r="N34" s="18" t="str">
        <f t="shared" si="34"/>
        <v>@line_width-path_wide-z14-(wnt)</v>
      </c>
      <c r="O34" s="19" t="str">
        <f t="shared" si="22"/>
        <v>1.0</v>
      </c>
      <c r="P34" s="17" t="s">
        <v>83</v>
      </c>
      <c r="Q34" s="20" t="str">
        <f t="shared" si="35"/>
        <v>@line_width-path_wide-z14-(wnt-hc)</v>
      </c>
      <c r="R34" s="19" t="str">
        <f t="shared" si="36"/>
        <v>2.7</v>
      </c>
      <c r="S34" s="25" t="str">
        <f t="shared" si="39"/>
        <v>2.7</v>
      </c>
      <c r="U34" s="1" t="s">
        <v>122</v>
      </c>
      <c r="V34" s="2" t="str">
        <f t="shared" si="24"/>
        <v>-</v>
      </c>
      <c r="W34" s="1" t="s">
        <v>74</v>
      </c>
      <c r="X34" s="2" t="str">
        <f t="shared" si="37"/>
        <v>_</v>
      </c>
      <c r="Y34" s="1" t="s">
        <v>80</v>
      </c>
      <c r="Z34" s="2" t="str">
        <f t="shared" si="25"/>
        <v/>
      </c>
      <c r="AB34" s="2" t="str">
        <f t="shared" si="26"/>
        <v>-</v>
      </c>
      <c r="AC34" s="1" t="s">
        <v>77</v>
      </c>
    </row>
    <row r="35" spans="1:29" x14ac:dyDescent="0.25">
      <c r="B35" s="14" t="str">
        <f>_xlfn.CONCAT("@",U35,V35,W35,X35,Y35,Z35,AA35,AB35,AC35,"-(",B$3,")")</f>
        <v>@line_width-path_wide-z16-(mtb)</v>
      </c>
      <c r="C35" s="7" t="str">
        <f t="shared" ref="C35:C36" si="40">D35</f>
        <v>3.1</v>
      </c>
      <c r="D35" s="5" t="s">
        <v>128</v>
      </c>
      <c r="E35" s="15" t="str">
        <f>_xlfn.CONCAT("@",U35,V35,W35,X35,Y35,Z35,AA35,AB35,AC35,"-(",E$3,")")</f>
        <v>@line_width-path_wide-z16-(mtb-hc)</v>
      </c>
      <c r="F35" s="7" t="str">
        <f>G35</f>
        <v>4.5</v>
      </c>
      <c r="G35" s="10" t="s">
        <v>131</v>
      </c>
      <c r="H35" s="14" t="str">
        <f>_xlfn.CONCAT("@",U35,V35,W35,X35,Y35,Z35,AA35,AB35,AC35,"-(",H$3,")")</f>
        <v>@line_width-path_wide-z16-(gr)</v>
      </c>
      <c r="I35" s="7" t="str">
        <f t="shared" si="31"/>
        <v>1.6</v>
      </c>
      <c r="J35" s="5" t="s">
        <v>101</v>
      </c>
      <c r="K35" s="15" t="str">
        <f t="shared" si="32"/>
        <v>@line_width-path_wide-z16-(gr-hc)</v>
      </c>
      <c r="L35" s="7">
        <f t="shared" si="33"/>
        <v>0</v>
      </c>
      <c r="M35" s="10"/>
      <c r="N35" s="18" t="str">
        <f t="shared" si="34"/>
        <v>@line_width-path_wide-z16-(wnt)</v>
      </c>
      <c r="O35" s="19" t="str">
        <f t="shared" si="22"/>
        <v>1.8</v>
      </c>
      <c r="P35" s="17" t="s">
        <v>126</v>
      </c>
      <c r="Q35" s="20" t="str">
        <f t="shared" si="35"/>
        <v>@line_width-path_wide-z16-(wnt-hc)</v>
      </c>
      <c r="R35" s="19" t="str">
        <f t="shared" si="36"/>
        <v>4.5</v>
      </c>
      <c r="S35" s="25" t="str">
        <f t="shared" si="39"/>
        <v>4.5</v>
      </c>
      <c r="U35" s="1" t="s">
        <v>122</v>
      </c>
      <c r="V35" s="2" t="str">
        <f t="shared" si="24"/>
        <v>-</v>
      </c>
      <c r="W35" s="1" t="s">
        <v>74</v>
      </c>
      <c r="X35" s="2" t="str">
        <f t="shared" si="37"/>
        <v>_</v>
      </c>
      <c r="Y35" s="1" t="s">
        <v>80</v>
      </c>
      <c r="Z35" s="2" t="str">
        <f t="shared" si="25"/>
        <v/>
      </c>
      <c r="AB35" s="2" t="str">
        <f t="shared" si="26"/>
        <v>-</v>
      </c>
      <c r="AC35" s="1" t="s">
        <v>78</v>
      </c>
    </row>
    <row r="36" spans="1:29" x14ac:dyDescent="0.25">
      <c r="B36" s="14" t="str">
        <f>_xlfn.CONCAT("@",U36,V36,W36,X36,Y36,Z36,AA36,AB36,AC36,"-(",B$3,")")</f>
        <v>@line_width-path_wide-z18-(mtb)</v>
      </c>
      <c r="C36" s="7" t="str">
        <f t="shared" si="40"/>
        <v>6.0</v>
      </c>
      <c r="D36" s="5" t="s">
        <v>89</v>
      </c>
      <c r="E36" s="15" t="str">
        <f>_xlfn.CONCAT("@",U36,V36,W36,X36,Y36,Z36,AA36,AB36,AC36,"-(",E$3,")")</f>
        <v>@line_width-path_wide-z18-(mtb-hc)</v>
      </c>
      <c r="F36" s="7" t="str">
        <f>G36</f>
        <v>8.2</v>
      </c>
      <c r="G36" s="10" t="s">
        <v>132</v>
      </c>
      <c r="H36" s="14" t="str">
        <f>_xlfn.CONCAT("@",U36,V36,W36,X36,Y36,Z36,AA36,AB36,AC36,"-(",H$3,")")</f>
        <v>@line_width-path_wide-z18-(gr)</v>
      </c>
      <c r="I36" s="7" t="str">
        <f t="shared" si="31"/>
        <v>2.4</v>
      </c>
      <c r="J36" s="5" t="s">
        <v>102</v>
      </c>
      <c r="K36" s="15" t="str">
        <f t="shared" si="32"/>
        <v>@line_width-path_wide-z18-(gr-hc)</v>
      </c>
      <c r="L36" s="7">
        <f t="shared" si="33"/>
        <v>0</v>
      </c>
      <c r="M36" s="10"/>
      <c r="N36" s="18" t="str">
        <f t="shared" si="34"/>
        <v>@line_width-path_wide-z18-(wnt)</v>
      </c>
      <c r="O36" s="19" t="str">
        <f t="shared" si="22"/>
        <v>2.4</v>
      </c>
      <c r="P36" s="17" t="s">
        <v>102</v>
      </c>
      <c r="Q36" s="20" t="str">
        <f t="shared" si="35"/>
        <v>@line_width-path_wide-z18-(wnt-hc)</v>
      </c>
      <c r="R36" s="19" t="str">
        <f t="shared" si="36"/>
        <v>8.2</v>
      </c>
      <c r="S36" s="25" t="str">
        <f t="shared" si="39"/>
        <v>8.2</v>
      </c>
      <c r="U36" s="1" t="s">
        <v>122</v>
      </c>
      <c r="V36" s="2" t="str">
        <f t="shared" si="24"/>
        <v>-</v>
      </c>
      <c r="W36" s="1" t="s">
        <v>74</v>
      </c>
      <c r="X36" s="2" t="str">
        <f t="shared" si="37"/>
        <v>_</v>
      </c>
      <c r="Y36" s="1" t="s">
        <v>80</v>
      </c>
      <c r="Z36" s="2" t="str">
        <f t="shared" si="25"/>
        <v/>
      </c>
      <c r="AB36" s="2" t="str">
        <f t="shared" si="26"/>
        <v>-</v>
      </c>
      <c r="AC36" s="1" t="s">
        <v>79</v>
      </c>
    </row>
    <row r="37" spans="1:29" x14ac:dyDescent="0.25">
      <c r="A37" s="3" t="s">
        <v>133</v>
      </c>
      <c r="B37" s="11"/>
      <c r="C37" s="3"/>
      <c r="D37" s="6"/>
      <c r="E37" s="13"/>
      <c r="F37" s="3"/>
      <c r="G37" s="12"/>
      <c r="H37" s="11"/>
      <c r="I37" s="3"/>
      <c r="J37" s="6"/>
      <c r="K37" s="13"/>
      <c r="L37" s="3"/>
      <c r="M37" s="12"/>
      <c r="N37" s="11"/>
      <c r="O37" s="3"/>
      <c r="P37" s="6"/>
      <c r="Q37" s="13"/>
      <c r="R37" s="3"/>
      <c r="S37" s="12"/>
      <c r="T37" s="4"/>
      <c r="U37" s="3"/>
      <c r="V37" s="4"/>
      <c r="W37" s="3"/>
      <c r="X37" s="4"/>
      <c r="Y37" s="3"/>
      <c r="Z37" s="4"/>
      <c r="AA37" s="4"/>
      <c r="AB37" s="4"/>
      <c r="AC37" s="3"/>
    </row>
    <row r="38" spans="1:29" x14ac:dyDescent="0.25">
      <c r="B38" s="14" t="str">
        <f>_xlfn.CONCAT("@",U38,V38,W38,X38,Y38,Z38,AA38,AB38,AC38,"-(",B$3,")")</f>
        <v>@case_width-track-z10-(mtb)</v>
      </c>
      <c r="C38" s="7" t="str">
        <f>D38</f>
        <v>2.0</v>
      </c>
      <c r="D38" s="5" t="s">
        <v>88</v>
      </c>
      <c r="E38" s="15" t="str">
        <f>_xlfn.CONCAT("@",U38,V38,W38,X38,Y38,Z38,AA38,AB38,AC38,"-(",E$3,")")</f>
        <v>@case_width-track-z10-(mtb-hc)</v>
      </c>
      <c r="F38" s="7" t="str">
        <f t="shared" ref="F38:F43" si="41">G38</f>
        <v>4.0</v>
      </c>
      <c r="G38" s="10" t="s">
        <v>95</v>
      </c>
      <c r="H38" s="14" t="str">
        <f>_xlfn.CONCAT("@",U38,V38,W38,X38,Y38,Z38,AA38,AB38,AC38,"-(",H$3,")")</f>
        <v>@case_width-track-z10-(gr)</v>
      </c>
      <c r="I38" s="7" t="str">
        <f>J38</f>
        <v>2.0</v>
      </c>
      <c r="J38" s="5" t="s">
        <v>88</v>
      </c>
      <c r="K38" s="15" t="str">
        <f>_xlfn.CONCAT("@",U38,V38,W38,X38,Y38,Z38,AA38,AB38,AC38,"-(",K$3,")")</f>
        <v>@case_width-track-z10-(gr-hc)</v>
      </c>
      <c r="L38" s="7">
        <f>M38</f>
        <v>0</v>
      </c>
      <c r="M38" s="10"/>
      <c r="N38" s="14" t="str">
        <f>_xlfn.CONCAT("@",U38,V38,W38,X38,Y38,Z38,AA38,AB38,AC38,"-(",N$3,")")</f>
        <v>@case_width-track-z10-(wnt)</v>
      </c>
      <c r="O38" s="7" t="str">
        <f t="shared" ref="O38:O43" si="42">P38</f>
        <v>2.0</v>
      </c>
      <c r="P38" s="7" t="str">
        <f>D38</f>
        <v>2.0</v>
      </c>
      <c r="Q38" s="15" t="str">
        <f>_xlfn.CONCAT("@",U38,V38,W38,X38,Y38,Z38,AA38,AB38,AC38,"-(",Q$3,")")</f>
        <v>@case_width-track-z10-(wnt-hc)</v>
      </c>
      <c r="R38" s="7" t="str">
        <f>S38</f>
        <v>4.0</v>
      </c>
      <c r="S38" s="16" t="str">
        <f>G38</f>
        <v>4.0</v>
      </c>
      <c r="U38" s="1" t="s">
        <v>81</v>
      </c>
      <c r="V38" s="2" t="str">
        <f t="shared" ref="V38" si="43">IF(NOT(ISBLANK(W38)),"-","")</f>
        <v>-</v>
      </c>
      <c r="W38" s="1" t="s">
        <v>105</v>
      </c>
      <c r="X38" s="2" t="str">
        <f>IF(NOT(ISBLANK(Y38)),"_","")</f>
        <v/>
      </c>
      <c r="Y38" s="1"/>
      <c r="Z38" s="2" t="str">
        <f t="shared" ref="Z38" si="44">IF(NOT(ISBLANK(AA38)),"_","")</f>
        <v/>
      </c>
      <c r="AB38" s="2" t="str">
        <f t="shared" ref="AB38" si="45">IF(NOT(ISBLANK(AC38)),"-","")</f>
        <v>-</v>
      </c>
      <c r="AC38" s="1" t="s">
        <v>106</v>
      </c>
    </row>
    <row r="39" spans="1:29" x14ac:dyDescent="0.25">
      <c r="B39" s="14" t="str">
        <f>_xlfn.CONCAT("@",U39,V39,W39,X39,Y39,Z39,AA39,AB39,AC39,"-(",B$3,")")</f>
        <v>@case_width-track-z11-(mtb)</v>
      </c>
      <c r="C39" s="7" t="str">
        <f>D39</f>
        <v>3.0</v>
      </c>
      <c r="D39" s="5" t="s">
        <v>91</v>
      </c>
      <c r="E39" s="15" t="str">
        <f>_xlfn.CONCAT("@",U39,V39,W39,X39,Y39,Z39,AA39,AB39,AC39,"-(",E$3,")")</f>
        <v>@case_width-track-z11-(mtb-hc)</v>
      </c>
      <c r="F39" s="7" t="str">
        <f t="shared" si="41"/>
        <v>4.0</v>
      </c>
      <c r="G39" s="10" t="s">
        <v>95</v>
      </c>
      <c r="H39" s="14" t="str">
        <f>_xlfn.CONCAT("@",U39,V39,W39,X39,Y39,Z39,AA39,AB39,AC39,"-(",H$3,")")</f>
        <v>@case_width-track-z11-(gr)</v>
      </c>
      <c r="I39" s="7" t="str">
        <f>J39</f>
        <v>3.0</v>
      </c>
      <c r="J39" s="5" t="s">
        <v>91</v>
      </c>
      <c r="K39" s="15" t="str">
        <f>_xlfn.CONCAT("@",U39,V39,W39,X39,Y39,Z39,AA39,AB39,AC39,"-(",K$3,")")</f>
        <v>@case_width-track-z11-(gr-hc)</v>
      </c>
      <c r="L39" s="7">
        <f>M39</f>
        <v>0</v>
      </c>
      <c r="M39" s="10"/>
      <c r="N39" s="14" t="str">
        <f>_xlfn.CONCAT("@",U39,V39,W39,X39,Y39,Z39,AA39,AB39,AC39,"-(",N$3,")")</f>
        <v>@case_width-track-z11-(wnt)</v>
      </c>
      <c r="O39" s="7" t="str">
        <f t="shared" si="42"/>
        <v>3.0</v>
      </c>
      <c r="P39" s="7" t="str">
        <f t="shared" ref="P39:P43" si="46">D39</f>
        <v>3.0</v>
      </c>
      <c r="Q39" s="15" t="str">
        <f>_xlfn.CONCAT("@",U39,V39,W39,X39,Y39,Z39,AA39,AB39,AC39,"-(",Q$3,")")</f>
        <v>@case_width-track-z11-(wnt-hc)</v>
      </c>
      <c r="R39" s="7" t="str">
        <f>S39</f>
        <v>4.0</v>
      </c>
      <c r="S39" s="16" t="str">
        <f t="shared" ref="S39:S43" si="47">G39</f>
        <v>4.0</v>
      </c>
      <c r="U39" s="1" t="s">
        <v>81</v>
      </c>
      <c r="V39" s="2" t="str">
        <f t="shared" ref="V39:V43" si="48">IF(NOT(ISBLANK(W39)),"-","")</f>
        <v>-</v>
      </c>
      <c r="W39" s="1" t="s">
        <v>105</v>
      </c>
      <c r="X39" s="2" t="str">
        <f>IF(NOT(ISBLANK(Y39)),"_","")</f>
        <v/>
      </c>
      <c r="Y39" s="1"/>
      <c r="Z39" s="2" t="str">
        <f t="shared" ref="Z39:Z43" si="49">IF(NOT(ISBLANK(AA39)),"_","")</f>
        <v/>
      </c>
      <c r="AB39" s="2" t="str">
        <f t="shared" ref="AB39:AB43" si="50">IF(NOT(ISBLANK(AC39)),"-","")</f>
        <v>-</v>
      </c>
      <c r="AC39" s="1" t="s">
        <v>73</v>
      </c>
    </row>
    <row r="40" spans="1:29" x14ac:dyDescent="0.25">
      <c r="B40" s="14" t="str">
        <f t="shared" ref="B40:B43" si="51">_xlfn.CONCAT("@",U40,V40,W40,X40,Y40,Z40,AA40,AB40,AC40,"-(",B$3,")")</f>
        <v>@case_width-track-z12-(mtb)</v>
      </c>
      <c r="C40" s="7" t="str">
        <f t="shared" ref="C40:C43" si="52">D40</f>
        <v>3.2</v>
      </c>
      <c r="D40" s="5" t="s">
        <v>134</v>
      </c>
      <c r="E40" s="15" t="str">
        <f t="shared" ref="E40:E43" si="53">_xlfn.CONCAT("@",U40,V40,W40,X40,Y40,Z40,AA40,AB40,AC40,"-(",E$3,")")</f>
        <v>@case_width-track-z12-(mtb-hc)</v>
      </c>
      <c r="F40" s="7" t="str">
        <f t="shared" si="41"/>
        <v>4.4</v>
      </c>
      <c r="G40" s="10" t="s">
        <v>135</v>
      </c>
      <c r="H40" s="14" t="str">
        <f t="shared" ref="H40:H43" si="54">_xlfn.CONCAT("@",U40,V40,W40,X40,Y40,Z40,AA40,AB40,AC40,"-(",H$3,")")</f>
        <v>@case_width-track-z12-(gr)</v>
      </c>
      <c r="I40" s="7" t="str">
        <f t="shared" ref="I40:I43" si="55">J40</f>
        <v>3.2</v>
      </c>
      <c r="J40" s="5" t="s">
        <v>134</v>
      </c>
      <c r="K40" s="15" t="str">
        <f t="shared" ref="K40:K43" si="56">_xlfn.CONCAT("@",U40,V40,W40,X40,Y40,Z40,AA40,AB40,AC40,"-(",K$3,")")</f>
        <v>@case_width-track-z12-(gr-hc)</v>
      </c>
      <c r="L40" s="7">
        <f t="shared" ref="L40:L43" si="57">M40</f>
        <v>0</v>
      </c>
      <c r="M40" s="10"/>
      <c r="N40" s="14" t="str">
        <f t="shared" ref="N40:N43" si="58">_xlfn.CONCAT("@",U40,V40,W40,X40,Y40,Z40,AA40,AB40,AC40,"-(",N$3,")")</f>
        <v>@case_width-track-z12-(wnt)</v>
      </c>
      <c r="O40" s="7" t="str">
        <f t="shared" si="42"/>
        <v>3.2</v>
      </c>
      <c r="P40" s="7" t="str">
        <f t="shared" si="46"/>
        <v>3.2</v>
      </c>
      <c r="Q40" s="15" t="str">
        <f t="shared" ref="Q40:Q43" si="59">_xlfn.CONCAT("@",U40,V40,W40,X40,Y40,Z40,AA40,AB40,AC40,"-(",Q$3,")")</f>
        <v>@case_width-track-z12-(wnt-hc)</v>
      </c>
      <c r="R40" s="7" t="str">
        <f t="shared" ref="R40:R43" si="60">S40</f>
        <v>4.4</v>
      </c>
      <c r="S40" s="16" t="str">
        <f t="shared" si="47"/>
        <v>4.4</v>
      </c>
      <c r="U40" s="1" t="s">
        <v>81</v>
      </c>
      <c r="V40" s="2" t="str">
        <f t="shared" si="48"/>
        <v>-</v>
      </c>
      <c r="W40" s="1" t="s">
        <v>105</v>
      </c>
      <c r="X40" s="2" t="str">
        <f t="shared" ref="X40:X43" si="61">IF(NOT(ISBLANK(Y40)),"_","")</f>
        <v/>
      </c>
      <c r="Y40" s="1"/>
      <c r="Z40" s="2" t="str">
        <f t="shared" si="49"/>
        <v/>
      </c>
      <c r="AB40" s="2" t="str">
        <f t="shared" si="50"/>
        <v>-</v>
      </c>
      <c r="AC40" s="1" t="s">
        <v>112</v>
      </c>
    </row>
    <row r="41" spans="1:29" x14ac:dyDescent="0.25">
      <c r="B41" s="14" t="str">
        <f t="shared" si="51"/>
        <v>@case_width-track-z14-(mtb)</v>
      </c>
      <c r="C41" s="7" t="str">
        <f t="shared" si="52"/>
        <v>4.0</v>
      </c>
      <c r="D41" s="5" t="s">
        <v>95</v>
      </c>
      <c r="E41" s="15" t="str">
        <f t="shared" si="53"/>
        <v>@case_width-track-z14-(mtb-hc)</v>
      </c>
      <c r="F41" s="7" t="str">
        <f t="shared" si="41"/>
        <v>6.0</v>
      </c>
      <c r="G41" s="10" t="s">
        <v>89</v>
      </c>
      <c r="H41" s="14" t="str">
        <f t="shared" si="54"/>
        <v>@case_width-track-z14-(gr)</v>
      </c>
      <c r="I41" s="7" t="str">
        <f t="shared" si="55"/>
        <v>4.0</v>
      </c>
      <c r="J41" s="5" t="s">
        <v>95</v>
      </c>
      <c r="K41" s="15" t="str">
        <f t="shared" si="56"/>
        <v>@case_width-track-z14-(gr-hc)</v>
      </c>
      <c r="L41" s="7">
        <f t="shared" si="57"/>
        <v>0</v>
      </c>
      <c r="M41" s="10"/>
      <c r="N41" s="14" t="str">
        <f t="shared" si="58"/>
        <v>@case_width-track-z14-(wnt)</v>
      </c>
      <c r="O41" s="7" t="str">
        <f t="shared" si="42"/>
        <v>4.0</v>
      </c>
      <c r="P41" s="7" t="str">
        <f t="shared" si="46"/>
        <v>4.0</v>
      </c>
      <c r="Q41" s="15" t="str">
        <f t="shared" si="59"/>
        <v>@case_width-track-z14-(wnt-hc)</v>
      </c>
      <c r="R41" s="7" t="str">
        <f t="shared" si="60"/>
        <v>6.0</v>
      </c>
      <c r="S41" s="16" t="str">
        <f t="shared" si="47"/>
        <v>6.0</v>
      </c>
      <c r="U41" s="1" t="s">
        <v>81</v>
      </c>
      <c r="V41" s="2" t="str">
        <f t="shared" si="48"/>
        <v>-</v>
      </c>
      <c r="W41" s="1" t="s">
        <v>105</v>
      </c>
      <c r="X41" s="2" t="str">
        <f t="shared" si="61"/>
        <v/>
      </c>
      <c r="Y41" s="1"/>
      <c r="Z41" s="2" t="str">
        <f t="shared" si="49"/>
        <v/>
      </c>
      <c r="AB41" s="2" t="str">
        <f t="shared" si="50"/>
        <v>-</v>
      </c>
      <c r="AC41" s="1" t="s">
        <v>77</v>
      </c>
    </row>
    <row r="42" spans="1:29" x14ac:dyDescent="0.25">
      <c r="B42" s="14" t="str">
        <f t="shared" si="51"/>
        <v>@case_width-track-z16-(mtb)</v>
      </c>
      <c r="C42" s="7" t="str">
        <f t="shared" si="52"/>
        <v>9.0</v>
      </c>
      <c r="D42" s="5" t="s">
        <v>90</v>
      </c>
      <c r="E42" s="15" t="str">
        <f t="shared" si="53"/>
        <v>@case_width-track-z16-(mtb-hc)</v>
      </c>
      <c r="F42" s="7" t="str">
        <f t="shared" si="41"/>
        <v>13.5</v>
      </c>
      <c r="G42" s="10" t="s">
        <v>96</v>
      </c>
      <c r="H42" s="14" t="str">
        <f t="shared" si="54"/>
        <v>@case_width-track-z16-(gr)</v>
      </c>
      <c r="I42" s="7" t="str">
        <f t="shared" si="55"/>
        <v>9.0</v>
      </c>
      <c r="J42" s="5" t="s">
        <v>90</v>
      </c>
      <c r="K42" s="15" t="str">
        <f t="shared" si="56"/>
        <v>@case_width-track-z16-(gr-hc)</v>
      </c>
      <c r="L42" s="7">
        <f t="shared" si="57"/>
        <v>0</v>
      </c>
      <c r="M42" s="10"/>
      <c r="N42" s="14" t="str">
        <f t="shared" si="58"/>
        <v>@case_width-track-z16-(wnt)</v>
      </c>
      <c r="O42" s="7" t="str">
        <f t="shared" si="42"/>
        <v>9.0</v>
      </c>
      <c r="P42" s="7" t="str">
        <f t="shared" si="46"/>
        <v>9.0</v>
      </c>
      <c r="Q42" s="15" t="str">
        <f t="shared" si="59"/>
        <v>@case_width-track-z16-(wnt-hc)</v>
      </c>
      <c r="R42" s="7" t="str">
        <f t="shared" si="60"/>
        <v>13.5</v>
      </c>
      <c r="S42" s="16" t="str">
        <f t="shared" si="47"/>
        <v>13.5</v>
      </c>
      <c r="U42" s="1" t="s">
        <v>81</v>
      </c>
      <c r="V42" s="2" t="str">
        <f t="shared" si="48"/>
        <v>-</v>
      </c>
      <c r="W42" s="1" t="s">
        <v>105</v>
      </c>
      <c r="X42" s="2" t="str">
        <f t="shared" si="61"/>
        <v/>
      </c>
      <c r="Y42" s="1"/>
      <c r="Z42" s="2" t="str">
        <f t="shared" si="49"/>
        <v/>
      </c>
      <c r="AB42" s="2" t="str">
        <f t="shared" si="50"/>
        <v>-</v>
      </c>
      <c r="AC42" s="1" t="s">
        <v>78</v>
      </c>
    </row>
    <row r="43" spans="1:29" x14ac:dyDescent="0.25">
      <c r="B43" s="14" t="str">
        <f t="shared" si="51"/>
        <v>@case_width-track-z18-(mtb)</v>
      </c>
      <c r="C43" s="7" t="str">
        <f t="shared" si="52"/>
        <v>15.0</v>
      </c>
      <c r="D43" s="5" t="s">
        <v>92</v>
      </c>
      <c r="E43" s="15" t="str">
        <f t="shared" si="53"/>
        <v>@case_width-track-z18-(mtb-hc)</v>
      </c>
      <c r="F43" s="7" t="str">
        <f t="shared" si="41"/>
        <v>22.5</v>
      </c>
      <c r="G43" s="10" t="s">
        <v>97</v>
      </c>
      <c r="H43" s="14" t="str">
        <f t="shared" si="54"/>
        <v>@case_width-track-z18-(gr)</v>
      </c>
      <c r="I43" s="7" t="str">
        <f t="shared" si="55"/>
        <v>15.0</v>
      </c>
      <c r="J43" s="5" t="s">
        <v>92</v>
      </c>
      <c r="K43" s="15" t="str">
        <f t="shared" si="56"/>
        <v>@case_width-track-z18-(gr-hc)</v>
      </c>
      <c r="L43" s="7">
        <f t="shared" si="57"/>
        <v>0</v>
      </c>
      <c r="M43" s="10"/>
      <c r="N43" s="14" t="str">
        <f t="shared" si="58"/>
        <v>@case_width-track-z18-(wnt)</v>
      </c>
      <c r="O43" s="7" t="str">
        <f t="shared" si="42"/>
        <v>15.0</v>
      </c>
      <c r="P43" s="7" t="str">
        <f t="shared" si="46"/>
        <v>15.0</v>
      </c>
      <c r="Q43" s="15" t="str">
        <f t="shared" si="59"/>
        <v>@case_width-track-z18-(wnt-hc)</v>
      </c>
      <c r="R43" s="7" t="str">
        <f t="shared" si="60"/>
        <v>22.5</v>
      </c>
      <c r="S43" s="16" t="str">
        <f t="shared" si="47"/>
        <v>22.5</v>
      </c>
      <c r="U43" s="1" t="s">
        <v>81</v>
      </c>
      <c r="V43" s="2" t="str">
        <f t="shared" si="48"/>
        <v>-</v>
      </c>
      <c r="W43" s="1" t="s">
        <v>105</v>
      </c>
      <c r="X43" s="2" t="str">
        <f t="shared" si="61"/>
        <v/>
      </c>
      <c r="Y43" s="1"/>
      <c r="Z43" s="2" t="str">
        <f t="shared" si="49"/>
        <v/>
      </c>
      <c r="AB43" s="2" t="str">
        <f t="shared" si="50"/>
        <v>-</v>
      </c>
      <c r="AC43" s="1" t="s">
        <v>79</v>
      </c>
    </row>
    <row r="44" spans="1:29" x14ac:dyDescent="0.25">
      <c r="A44" s="3" t="s">
        <v>136</v>
      </c>
      <c r="B44" s="11"/>
      <c r="C44" s="3"/>
      <c r="D44" s="6"/>
      <c r="E44" s="13"/>
      <c r="F44" s="3"/>
      <c r="G44" s="12"/>
      <c r="H44" s="11"/>
      <c r="I44" s="3"/>
      <c r="J44" s="6"/>
      <c r="K44" s="13"/>
      <c r="L44" s="3"/>
      <c r="M44" s="12"/>
      <c r="N44" s="11"/>
      <c r="O44" s="3"/>
      <c r="P44" s="6"/>
      <c r="Q44" s="13"/>
      <c r="R44" s="3"/>
      <c r="S44" s="12"/>
      <c r="T44" s="4"/>
      <c r="U44" s="3"/>
      <c r="V44" s="4"/>
      <c r="W44" s="3"/>
      <c r="X44" s="4"/>
      <c r="Y44" s="3"/>
      <c r="Z44" s="4"/>
      <c r="AA44" s="4"/>
      <c r="AB44" s="4"/>
      <c r="AC44" s="3"/>
    </row>
    <row r="45" spans="1:29" x14ac:dyDescent="0.25">
      <c r="B45" s="14" t="str">
        <f>_xlfn.CONCAT("@",U45,V45,W45,X45,Y45,Z45,AA45,AB45,AC45,"-(",B$3,")")</f>
        <v>@line_width-track-z10-(mtb)</v>
      </c>
      <c r="C45" s="7" t="str">
        <f>D45</f>
        <v>0.5</v>
      </c>
      <c r="D45" s="5" t="s">
        <v>98</v>
      </c>
      <c r="E45" s="15" t="str">
        <f>_xlfn.CONCAT("@",U45,V45,W45,X45,Y45,Z45,AA45,AB45,AC45,"-(",E$3,")")</f>
        <v>@line_width-track-z10-(mtb-hc)</v>
      </c>
      <c r="F45" s="7" t="str">
        <f t="shared" ref="F45:F71" si="62">G45</f>
        <v>1.3</v>
      </c>
      <c r="G45" s="10" t="s">
        <v>84</v>
      </c>
      <c r="H45" s="14" t="str">
        <f>_xlfn.CONCAT("@",U45,V45,W45,X45,Y45,Z45,AA45,AB45,AC45,"-(",H$3,")")</f>
        <v>@line_width-track-z10-(gr)</v>
      </c>
      <c r="I45" s="7" t="str">
        <f>J45</f>
        <v>0.8</v>
      </c>
      <c r="J45" s="5" t="s">
        <v>99</v>
      </c>
      <c r="K45" s="15" t="str">
        <f>_xlfn.CONCAT("@",U45,V45,W45,X45,Y45,Z45,AA45,AB45,AC45,"-(",K$3,")")</f>
        <v>@line_width-track-z10-(gr-hc)</v>
      </c>
      <c r="L45" s="7">
        <f>M45</f>
        <v>0</v>
      </c>
      <c r="M45" s="10"/>
      <c r="N45" s="22" t="str">
        <f>_xlfn.CONCAT("@",U45,V45,W45,X45,Y45,Z45,AA45,AB45,AC45,"-(",N$3,")")</f>
        <v>@line_width-track-z10-(wnt)</v>
      </c>
      <c r="O45" s="23" t="str">
        <f t="shared" ref="O45:O71" si="63">P45</f>
        <v>0.5</v>
      </c>
      <c r="P45" s="7" t="str">
        <f t="shared" ref="P45:P50" si="64">D45</f>
        <v>0.5</v>
      </c>
      <c r="Q45" s="24" t="str">
        <f>_xlfn.CONCAT("@",U45,V45,W45,X45,Y45,Z45,AA45,AB45,AC45,"-(",Q$3,")")</f>
        <v>@line_width-track-z10-(wnt-hc)</v>
      </c>
      <c r="R45" s="23" t="str">
        <f>S45</f>
        <v>1.3</v>
      </c>
      <c r="S45" s="16" t="str">
        <f t="shared" ref="S45:S50" si="65">G45</f>
        <v>1.3</v>
      </c>
      <c r="U45" s="1" t="s">
        <v>122</v>
      </c>
      <c r="V45" s="2" t="str">
        <f t="shared" ref="V45" si="66">IF(NOT(ISBLANK(W45)),"-","")</f>
        <v>-</v>
      </c>
      <c r="W45" s="1" t="s">
        <v>105</v>
      </c>
      <c r="Y45" s="1"/>
      <c r="Z45" s="2" t="str">
        <f t="shared" ref="Z45" si="67">IF(NOT(ISBLANK(AA45)),"_","")</f>
        <v/>
      </c>
      <c r="AB45" s="2" t="str">
        <f t="shared" ref="AB45" si="68">IF(NOT(ISBLANK(AC45)),"-","")</f>
        <v>-</v>
      </c>
      <c r="AC45" s="1" t="s">
        <v>106</v>
      </c>
    </row>
    <row r="46" spans="1:29" x14ac:dyDescent="0.25">
      <c r="B46" s="14" t="str">
        <f t="shared" ref="B46:B50" si="69">_xlfn.CONCAT("@",U46,V46,W46,X46,Y46,Z46,AA46,AB46,AC46,"-(",B$3,")")</f>
        <v>@line_width-track-z11-(mtb)</v>
      </c>
      <c r="C46" s="7" t="str">
        <f t="shared" ref="C46:C50" si="70">D46</f>
        <v>0.6</v>
      </c>
      <c r="D46" s="5" t="s">
        <v>125</v>
      </c>
      <c r="E46" s="15" t="str">
        <f t="shared" ref="E46:E50" si="71">_xlfn.CONCAT("@",U46,V46,W46,X46,Y46,Z46,AA46,AB46,AC46,"-(",E$3,")")</f>
        <v>@line_width-track-z11-(mtb-hc)</v>
      </c>
      <c r="F46" s="7" t="str">
        <f t="shared" si="62"/>
        <v>1.5</v>
      </c>
      <c r="G46" s="10" t="s">
        <v>87</v>
      </c>
      <c r="H46" s="14" t="str">
        <f t="shared" ref="H46:H50" si="72">_xlfn.CONCAT("@",U46,V46,W46,X46,Y46,Z46,AA46,AB46,AC46,"-(",H$3,")")</f>
        <v>@line_width-track-z11-(gr)</v>
      </c>
      <c r="I46" s="7" t="str">
        <f t="shared" ref="I46:I50" si="73">J46</f>
        <v>0.9</v>
      </c>
      <c r="J46" s="5" t="s">
        <v>119</v>
      </c>
      <c r="K46" s="15" t="str">
        <f t="shared" ref="K46:K50" si="74">_xlfn.CONCAT("@",U46,V46,W46,X46,Y46,Z46,AA46,AB46,AC46,"-(",K$3,")")</f>
        <v>@line_width-track-z11-(gr-hc)</v>
      </c>
      <c r="L46" s="7">
        <f t="shared" ref="L46:L50" si="75">M46</f>
        <v>0</v>
      </c>
      <c r="M46" s="10"/>
      <c r="N46" s="22" t="str">
        <f t="shared" ref="N46:N50" si="76">_xlfn.CONCAT("@",U46,V46,W46,X46,Y46,Z46,AA46,AB46,AC46,"-(",N$3,")")</f>
        <v>@line_width-track-z11-(wnt)</v>
      </c>
      <c r="O46" s="23" t="str">
        <f t="shared" si="63"/>
        <v>0.6</v>
      </c>
      <c r="P46" s="7" t="str">
        <f t="shared" si="64"/>
        <v>0.6</v>
      </c>
      <c r="Q46" s="24" t="str">
        <f t="shared" ref="Q46:Q50" si="77">_xlfn.CONCAT("@",U46,V46,W46,X46,Y46,Z46,AA46,AB46,AC46,"-(",Q$3,")")</f>
        <v>@line_width-track-z11-(wnt-hc)</v>
      </c>
      <c r="R46" s="23" t="str">
        <f t="shared" ref="R46:R50" si="78">S46</f>
        <v>1.5</v>
      </c>
      <c r="S46" s="16" t="str">
        <f t="shared" si="65"/>
        <v>1.5</v>
      </c>
      <c r="U46" s="1" t="s">
        <v>122</v>
      </c>
      <c r="V46" s="2" t="str">
        <f t="shared" ref="V46:V50" si="79">IF(NOT(ISBLANK(W46)),"-","")</f>
        <v>-</v>
      </c>
      <c r="W46" s="1" t="s">
        <v>105</v>
      </c>
      <c r="Y46" s="1"/>
      <c r="Z46" s="2" t="str">
        <f t="shared" ref="Z46:Z50" si="80">IF(NOT(ISBLANK(AA46)),"_","")</f>
        <v/>
      </c>
      <c r="AB46" s="2" t="str">
        <f t="shared" ref="AB46:AB50" si="81">IF(NOT(ISBLANK(AC46)),"-","")</f>
        <v>-</v>
      </c>
      <c r="AC46" s="1" t="s">
        <v>73</v>
      </c>
    </row>
    <row r="47" spans="1:29" x14ac:dyDescent="0.25">
      <c r="B47" s="14" t="str">
        <f t="shared" si="69"/>
        <v>@line_width-track-z12-(mtb)</v>
      </c>
      <c r="C47" s="7" t="str">
        <f t="shared" si="70"/>
        <v>0.9</v>
      </c>
      <c r="D47" s="5" t="s">
        <v>119</v>
      </c>
      <c r="E47" s="15" t="str">
        <f t="shared" si="71"/>
        <v>@line_width-track-z12-(mtb-hc)</v>
      </c>
      <c r="F47" s="7" t="str">
        <f t="shared" si="62"/>
        <v>1.7</v>
      </c>
      <c r="G47" s="10" t="s">
        <v>114</v>
      </c>
      <c r="H47" s="14" t="str">
        <f t="shared" si="72"/>
        <v>@line_width-track-z12-(gr)</v>
      </c>
      <c r="I47" s="7" t="str">
        <f t="shared" si="73"/>
        <v>1.2</v>
      </c>
      <c r="J47" s="5" t="s">
        <v>100</v>
      </c>
      <c r="K47" s="15" t="str">
        <f t="shared" si="74"/>
        <v>@line_width-track-z12-(gr-hc)</v>
      </c>
      <c r="L47" s="7">
        <f t="shared" si="75"/>
        <v>0</v>
      </c>
      <c r="M47" s="10"/>
      <c r="N47" s="22" t="str">
        <f t="shared" si="76"/>
        <v>@line_width-track-z12-(wnt)</v>
      </c>
      <c r="O47" s="23" t="str">
        <f t="shared" si="63"/>
        <v>0.9</v>
      </c>
      <c r="P47" s="7" t="str">
        <f t="shared" si="64"/>
        <v>0.9</v>
      </c>
      <c r="Q47" s="24" t="str">
        <f t="shared" si="77"/>
        <v>@line_width-track-z12-(wnt-hc)</v>
      </c>
      <c r="R47" s="23" t="str">
        <f t="shared" si="78"/>
        <v>1.7</v>
      </c>
      <c r="S47" s="16" t="str">
        <f t="shared" si="65"/>
        <v>1.7</v>
      </c>
      <c r="U47" s="1" t="s">
        <v>122</v>
      </c>
      <c r="V47" s="2" t="str">
        <f t="shared" si="79"/>
        <v>-</v>
      </c>
      <c r="W47" s="1" t="s">
        <v>105</v>
      </c>
      <c r="Y47" s="1"/>
      <c r="Z47" s="2" t="str">
        <f t="shared" si="80"/>
        <v/>
      </c>
      <c r="AB47" s="2" t="str">
        <f t="shared" si="81"/>
        <v>-</v>
      </c>
      <c r="AC47" s="1" t="s">
        <v>112</v>
      </c>
    </row>
    <row r="48" spans="1:29" x14ac:dyDescent="0.25">
      <c r="B48" s="14" t="str">
        <f t="shared" si="69"/>
        <v>@line_width-track-z14-(mtb)</v>
      </c>
      <c r="C48" s="7" t="str">
        <f t="shared" si="70"/>
        <v>1.3</v>
      </c>
      <c r="D48" s="5" t="s">
        <v>84</v>
      </c>
      <c r="E48" s="15" t="str">
        <f t="shared" si="71"/>
        <v>@line_width-track-z14-(mtb-hc)</v>
      </c>
      <c r="F48" s="7" t="str">
        <f t="shared" si="62"/>
        <v>2.0</v>
      </c>
      <c r="G48" s="10" t="s">
        <v>88</v>
      </c>
      <c r="H48" s="14" t="str">
        <f t="shared" si="72"/>
        <v>@line_width-track-z14-(gr)</v>
      </c>
      <c r="I48" s="7" t="str">
        <f t="shared" si="73"/>
        <v>1.6</v>
      </c>
      <c r="J48" s="5" t="s">
        <v>101</v>
      </c>
      <c r="K48" s="15" t="str">
        <f t="shared" si="74"/>
        <v>@line_width-track-z14-(gr-hc)</v>
      </c>
      <c r="L48" s="7">
        <f t="shared" si="75"/>
        <v>0</v>
      </c>
      <c r="M48" s="10"/>
      <c r="N48" s="22" t="str">
        <f t="shared" si="76"/>
        <v>@line_width-track-z14-(wnt)</v>
      </c>
      <c r="O48" s="23" t="str">
        <f t="shared" si="63"/>
        <v>1.3</v>
      </c>
      <c r="P48" s="7" t="str">
        <f t="shared" si="64"/>
        <v>1.3</v>
      </c>
      <c r="Q48" s="24" t="str">
        <f t="shared" si="77"/>
        <v>@line_width-track-z14-(wnt-hc)</v>
      </c>
      <c r="R48" s="23" t="str">
        <f t="shared" si="78"/>
        <v>2.0</v>
      </c>
      <c r="S48" s="16" t="str">
        <f t="shared" si="65"/>
        <v>2.0</v>
      </c>
      <c r="U48" s="1" t="s">
        <v>122</v>
      </c>
      <c r="V48" s="2" t="str">
        <f t="shared" si="79"/>
        <v>-</v>
      </c>
      <c r="W48" s="1" t="s">
        <v>105</v>
      </c>
      <c r="Y48" s="1"/>
      <c r="Z48" s="2" t="str">
        <f t="shared" si="80"/>
        <v/>
      </c>
      <c r="AB48" s="2" t="str">
        <f t="shared" si="81"/>
        <v>-</v>
      </c>
      <c r="AC48" s="1" t="s">
        <v>77</v>
      </c>
    </row>
    <row r="49" spans="1:29" x14ac:dyDescent="0.25">
      <c r="B49" s="14" t="str">
        <f t="shared" si="69"/>
        <v>@line_width-track-z16-(mtb)</v>
      </c>
      <c r="C49" s="7" t="str">
        <f t="shared" si="70"/>
        <v>3.5</v>
      </c>
      <c r="D49" s="5" t="s">
        <v>85</v>
      </c>
      <c r="E49" s="15" t="str">
        <f t="shared" si="71"/>
        <v>@line_width-track-z16-(mtb-hc)</v>
      </c>
      <c r="F49" s="7" t="str">
        <f t="shared" si="62"/>
        <v>5.2</v>
      </c>
      <c r="G49" s="10" t="s">
        <v>130</v>
      </c>
      <c r="H49" s="14" t="str">
        <f t="shared" si="72"/>
        <v>@line_width-track-z16-(gr)</v>
      </c>
      <c r="I49" s="7" t="str">
        <f t="shared" si="73"/>
        <v>4.0</v>
      </c>
      <c r="J49" s="5" t="s">
        <v>95</v>
      </c>
      <c r="K49" s="15" t="str">
        <f t="shared" si="74"/>
        <v>@line_width-track-z16-(gr-hc)</v>
      </c>
      <c r="L49" s="7">
        <f t="shared" si="75"/>
        <v>0</v>
      </c>
      <c r="M49" s="10"/>
      <c r="N49" s="22" t="str">
        <f t="shared" si="76"/>
        <v>@line_width-track-z16-(wnt)</v>
      </c>
      <c r="O49" s="23" t="str">
        <f t="shared" si="63"/>
        <v>3.5</v>
      </c>
      <c r="P49" s="7" t="str">
        <f t="shared" si="64"/>
        <v>3.5</v>
      </c>
      <c r="Q49" s="24" t="str">
        <f t="shared" si="77"/>
        <v>@line_width-track-z16-(wnt-hc)</v>
      </c>
      <c r="R49" s="23" t="str">
        <f t="shared" si="78"/>
        <v>5.2</v>
      </c>
      <c r="S49" s="16" t="str">
        <f t="shared" si="65"/>
        <v>5.2</v>
      </c>
      <c r="U49" s="1" t="s">
        <v>122</v>
      </c>
      <c r="V49" s="2" t="str">
        <f t="shared" si="79"/>
        <v>-</v>
      </c>
      <c r="W49" s="1" t="s">
        <v>105</v>
      </c>
      <c r="Y49" s="1"/>
      <c r="Z49" s="2" t="str">
        <f t="shared" si="80"/>
        <v/>
      </c>
      <c r="AB49" s="2" t="str">
        <f t="shared" si="81"/>
        <v>-</v>
      </c>
      <c r="AC49" s="1" t="s">
        <v>78</v>
      </c>
    </row>
    <row r="50" spans="1:29" x14ac:dyDescent="0.25">
      <c r="B50" s="14" t="str">
        <f t="shared" si="69"/>
        <v>@line_width-track-z18-(mtb)</v>
      </c>
      <c r="C50" s="7" t="str">
        <f t="shared" si="70"/>
        <v>7.0</v>
      </c>
      <c r="D50" s="5" t="s">
        <v>137</v>
      </c>
      <c r="E50" s="15" t="str">
        <f t="shared" si="71"/>
        <v>@line_width-track-z18-(mtb-hc)</v>
      </c>
      <c r="F50" s="7" t="str">
        <f t="shared" si="62"/>
        <v>10.5</v>
      </c>
      <c r="G50" s="10" t="s">
        <v>138</v>
      </c>
      <c r="H50" s="14" t="str">
        <f t="shared" si="72"/>
        <v>@line_width-track-z18-(gr)</v>
      </c>
      <c r="I50" s="7" t="str">
        <f t="shared" si="73"/>
        <v>5.0</v>
      </c>
      <c r="J50" s="5" t="s">
        <v>86</v>
      </c>
      <c r="K50" s="15" t="str">
        <f t="shared" si="74"/>
        <v>@line_width-track-z18-(gr-hc)</v>
      </c>
      <c r="L50" s="7">
        <f t="shared" si="75"/>
        <v>0</v>
      </c>
      <c r="M50" s="10"/>
      <c r="N50" s="22" t="str">
        <f t="shared" si="76"/>
        <v>@line_width-track-z18-(wnt)</v>
      </c>
      <c r="O50" s="23" t="str">
        <f t="shared" si="63"/>
        <v>7.0</v>
      </c>
      <c r="P50" s="7" t="str">
        <f t="shared" si="64"/>
        <v>7.0</v>
      </c>
      <c r="Q50" s="24" t="str">
        <f t="shared" si="77"/>
        <v>@line_width-track-z18-(wnt-hc)</v>
      </c>
      <c r="R50" s="23" t="str">
        <f t="shared" si="78"/>
        <v>10.5</v>
      </c>
      <c r="S50" s="16" t="str">
        <f t="shared" si="65"/>
        <v>10.5</v>
      </c>
      <c r="U50" s="1" t="s">
        <v>122</v>
      </c>
      <c r="V50" s="2" t="str">
        <f t="shared" si="79"/>
        <v>-</v>
      </c>
      <c r="W50" s="1" t="s">
        <v>105</v>
      </c>
      <c r="Y50" s="1"/>
      <c r="Z50" s="2" t="str">
        <f t="shared" si="80"/>
        <v/>
      </c>
      <c r="AB50" s="2" t="str">
        <f t="shared" si="81"/>
        <v>-</v>
      </c>
      <c r="AC50" s="1" t="s">
        <v>79</v>
      </c>
    </row>
    <row r="51" spans="1:29" x14ac:dyDescent="0.25">
      <c r="A51" s="3" t="s">
        <v>139</v>
      </c>
      <c r="B51" s="11"/>
      <c r="C51" s="3"/>
      <c r="D51" s="6"/>
      <c r="E51" s="13"/>
      <c r="F51" s="3"/>
      <c r="G51" s="12"/>
      <c r="H51" s="11"/>
      <c r="I51" s="3"/>
      <c r="J51" s="6"/>
      <c r="K51" s="13"/>
      <c r="L51" s="3"/>
      <c r="M51" s="12"/>
      <c r="N51" s="11"/>
      <c r="O51" s="3"/>
      <c r="P51" s="6"/>
      <c r="Q51" s="13"/>
      <c r="R51" s="3"/>
      <c r="S51" s="12"/>
      <c r="T51" s="4"/>
      <c r="U51" s="3"/>
      <c r="V51" s="4"/>
      <c r="W51" s="3"/>
      <c r="X51" s="4"/>
      <c r="Y51" s="3"/>
      <c r="Z51" s="4"/>
      <c r="AA51" s="4"/>
      <c r="AB51" s="4"/>
      <c r="AC51" s="3"/>
    </row>
    <row r="52" spans="1:29" x14ac:dyDescent="0.25">
      <c r="B52" s="14" t="str">
        <f>_xlfn.CONCAT("@",U52,V52,W52,X52,Y52,Z52,AA52,AB52,AC52,"-(",B$3,")")</f>
        <v>@case_width-motorway-z5-(mtb)</v>
      </c>
      <c r="C52" s="7" t="str">
        <f>D52</f>
        <v>1.0</v>
      </c>
      <c r="D52" s="5" t="s">
        <v>83</v>
      </c>
      <c r="E52" s="15" t="str">
        <f>_xlfn.CONCAT("@",U52,V52,W52,X52,Y52,Z52,AA52,AB52,AC52,"-(",E$3,")")</f>
        <v>@case_width-motorway-z5-(mtb-hc)</v>
      </c>
      <c r="F52" s="7" t="str">
        <f t="shared" si="62"/>
        <v>1.0</v>
      </c>
      <c r="G52" s="10" t="s">
        <v>83</v>
      </c>
      <c r="H52" s="14" t="str">
        <f>_xlfn.CONCAT("@",U52,V52,W52,X52,Y52,Z52,AA52,AB52,AC52,"-(",H$3,")")</f>
        <v>@case_width-motorway-z5-(gr)</v>
      </c>
      <c r="I52" s="7" t="str">
        <f>J52</f>
        <v>1.0</v>
      </c>
      <c r="J52" s="7" t="str">
        <f>D52</f>
        <v>1.0</v>
      </c>
      <c r="K52" s="15" t="str">
        <f>_xlfn.CONCAT("@",U52,V52,W52,X52,Y52,Z52,AA52,AB52,AC52,"-(",K$3,")")</f>
        <v>@case_width-motorway-z5-(gr-hc)</v>
      </c>
      <c r="L52" s="7" t="str">
        <f>M52</f>
        <v>1.0</v>
      </c>
      <c r="M52" s="16" t="str">
        <f>G52</f>
        <v>1.0</v>
      </c>
      <c r="N52" s="22" t="str">
        <f>_xlfn.CONCAT("@",U52,V52,W52,X52,Y52,Z52,AA52,AB52,AC52,"-(",N$3,")")</f>
        <v>@case_width-motorway-z5-(wnt)</v>
      </c>
      <c r="O52" s="23" t="str">
        <f t="shared" si="63"/>
        <v>1.0</v>
      </c>
      <c r="P52" s="7" t="str">
        <f t="shared" ref="P52:P61" si="82">D52</f>
        <v>1.0</v>
      </c>
      <c r="Q52" s="24" t="str">
        <f>_xlfn.CONCAT("@",U52,V52,W52,X52,Y52,Z52,AA52,AB52,AC52,"-(",Q$3,")")</f>
        <v>@case_width-motorway-z5-(wnt-hc)</v>
      </c>
      <c r="R52" s="23" t="str">
        <f>S52</f>
        <v>1.0</v>
      </c>
      <c r="S52" s="16" t="str">
        <f t="shared" ref="S52:S61" si="83">G52</f>
        <v>1.0</v>
      </c>
      <c r="U52" s="1" t="s">
        <v>81</v>
      </c>
      <c r="V52" s="2" t="str">
        <f t="shared" ref="V52" si="84">IF(NOT(ISBLANK(W52)),"-","")</f>
        <v>-</v>
      </c>
      <c r="W52" s="1" t="s">
        <v>16</v>
      </c>
      <c r="Y52" s="1"/>
      <c r="Z52" s="2" t="str">
        <f t="shared" ref="Z52" si="85">IF(NOT(ISBLANK(AA52)),"_","")</f>
        <v/>
      </c>
      <c r="AB52" s="2" t="str">
        <f t="shared" ref="AB52" si="86">IF(NOT(ISBLANK(AC52)),"-","")</f>
        <v>-</v>
      </c>
      <c r="AC52" s="1" t="s">
        <v>140</v>
      </c>
    </row>
    <row r="53" spans="1:29" x14ac:dyDescent="0.25">
      <c r="B53" s="14" t="str">
        <f t="shared" ref="B53:B55" si="87">_xlfn.CONCAT("@",U53,V53,W53,X53,Y53,Z53,AA53,AB53,AC53,"-(",B$3,")")</f>
        <v>@case_width-motorway-z6-(mtb)</v>
      </c>
      <c r="C53" s="7" t="str">
        <f t="shared" ref="C53:C55" si="88">D53</f>
        <v>2.4</v>
      </c>
      <c r="D53" s="5" t="s">
        <v>102</v>
      </c>
      <c r="E53" s="15" t="str">
        <f t="shared" ref="E53:E55" si="89">_xlfn.CONCAT("@",U53,V53,W53,X53,Y53,Z53,AA53,AB53,AC53,"-(",E$3,")")</f>
        <v>@case_width-motorway-z6-(mtb-hc)</v>
      </c>
      <c r="F53" s="7" t="str">
        <f t="shared" si="62"/>
        <v>2.4</v>
      </c>
      <c r="G53" s="10" t="s">
        <v>102</v>
      </c>
      <c r="H53" s="14" t="str">
        <f t="shared" ref="H53:H55" si="90">_xlfn.CONCAT("@",U53,V53,W53,X53,Y53,Z53,AA53,AB53,AC53,"-(",H$3,")")</f>
        <v>@case_width-motorway-z6-(gr)</v>
      </c>
      <c r="I53" s="7" t="str">
        <f t="shared" ref="I53:I55" si="91">J53</f>
        <v>2.4</v>
      </c>
      <c r="J53" s="7" t="str">
        <f t="shared" ref="J53:J55" si="92">D53</f>
        <v>2.4</v>
      </c>
      <c r="K53" s="15" t="str">
        <f t="shared" ref="K53:K55" si="93">_xlfn.CONCAT("@",U53,V53,W53,X53,Y53,Z53,AA53,AB53,AC53,"-(",K$3,")")</f>
        <v>@case_width-motorway-z6-(gr-hc)</v>
      </c>
      <c r="L53" s="7" t="str">
        <f t="shared" ref="L53:L55" si="94">M53</f>
        <v>2.4</v>
      </c>
      <c r="M53" s="16" t="str">
        <f t="shared" ref="M53:M55" si="95">G53</f>
        <v>2.4</v>
      </c>
      <c r="N53" s="22" t="str">
        <f t="shared" ref="N53:N55" si="96">_xlfn.CONCAT("@",U53,V53,W53,X53,Y53,Z53,AA53,AB53,AC53,"-(",N$3,")")</f>
        <v>@case_width-motorway-z6-(wnt)</v>
      </c>
      <c r="O53" s="23" t="str">
        <f t="shared" si="63"/>
        <v>2.4</v>
      </c>
      <c r="P53" s="7" t="str">
        <f t="shared" si="82"/>
        <v>2.4</v>
      </c>
      <c r="Q53" s="24" t="str">
        <f t="shared" ref="Q53:Q55" si="97">_xlfn.CONCAT("@",U53,V53,W53,X53,Y53,Z53,AA53,AB53,AC53,"-(",Q$3,")")</f>
        <v>@case_width-motorway-z6-(wnt-hc)</v>
      </c>
      <c r="R53" s="23" t="str">
        <f t="shared" ref="R53:R55" si="98">S53</f>
        <v>2.4</v>
      </c>
      <c r="S53" s="16" t="str">
        <f t="shared" si="83"/>
        <v>2.4</v>
      </c>
      <c r="U53" s="1" t="s">
        <v>81</v>
      </c>
      <c r="V53" s="2" t="str">
        <f t="shared" ref="V53:V55" si="99">IF(NOT(ISBLANK(W53)),"-","")</f>
        <v>-</v>
      </c>
      <c r="W53" s="1" t="s">
        <v>16</v>
      </c>
      <c r="Y53" s="1"/>
      <c r="Z53" s="2" t="str">
        <f t="shared" ref="Z53:Z55" si="100">IF(NOT(ISBLANK(AA53)),"_","")</f>
        <v/>
      </c>
      <c r="AB53" s="2" t="str">
        <f t="shared" ref="AB53:AB55" si="101">IF(NOT(ISBLANK(AC53)),"-","")</f>
        <v>-</v>
      </c>
      <c r="AC53" s="1" t="s">
        <v>141</v>
      </c>
    </row>
    <row r="54" spans="1:29" x14ac:dyDescent="0.25">
      <c r="B54" s="14" t="str">
        <f t="shared" si="87"/>
        <v>@case_width-motorway-z10-(mtb)</v>
      </c>
      <c r="C54" s="7" t="str">
        <f t="shared" si="88"/>
        <v>4.5</v>
      </c>
      <c r="D54" s="5" t="s">
        <v>131</v>
      </c>
      <c r="E54" s="15" t="str">
        <f t="shared" si="89"/>
        <v>@case_width-motorway-z10-(mtb-hc)</v>
      </c>
      <c r="F54" s="7" t="str">
        <f t="shared" si="62"/>
        <v>4.5</v>
      </c>
      <c r="G54" s="10" t="s">
        <v>131</v>
      </c>
      <c r="H54" s="14" t="str">
        <f t="shared" si="90"/>
        <v>@case_width-motorway-z10-(gr)</v>
      </c>
      <c r="I54" s="7" t="str">
        <f t="shared" si="91"/>
        <v>4.5</v>
      </c>
      <c r="J54" s="7" t="str">
        <f t="shared" si="92"/>
        <v>4.5</v>
      </c>
      <c r="K54" s="15" t="str">
        <f t="shared" si="93"/>
        <v>@case_width-motorway-z10-(gr-hc)</v>
      </c>
      <c r="L54" s="7" t="str">
        <f t="shared" si="94"/>
        <v>4.5</v>
      </c>
      <c r="M54" s="16" t="str">
        <f t="shared" si="95"/>
        <v>4.5</v>
      </c>
      <c r="N54" s="22" t="str">
        <f t="shared" si="96"/>
        <v>@case_width-motorway-z10-(wnt)</v>
      </c>
      <c r="O54" s="23" t="str">
        <f t="shared" si="63"/>
        <v>4.5</v>
      </c>
      <c r="P54" s="7" t="str">
        <f t="shared" si="82"/>
        <v>4.5</v>
      </c>
      <c r="Q54" s="24" t="str">
        <f t="shared" si="97"/>
        <v>@case_width-motorway-z10-(wnt-hc)</v>
      </c>
      <c r="R54" s="23" t="str">
        <f t="shared" si="98"/>
        <v>4.5</v>
      </c>
      <c r="S54" s="16" t="str">
        <f t="shared" si="83"/>
        <v>4.5</v>
      </c>
      <c r="U54" s="1" t="s">
        <v>81</v>
      </c>
      <c r="V54" s="2" t="str">
        <f t="shared" si="99"/>
        <v>-</v>
      </c>
      <c r="W54" s="1" t="s">
        <v>16</v>
      </c>
      <c r="Y54" s="1"/>
      <c r="Z54" s="2" t="str">
        <f t="shared" si="100"/>
        <v/>
      </c>
      <c r="AB54" s="2" t="str">
        <f t="shared" si="101"/>
        <v>-</v>
      </c>
      <c r="AC54" s="1" t="s">
        <v>106</v>
      </c>
    </row>
    <row r="55" spans="1:29" x14ac:dyDescent="0.25">
      <c r="B55" s="14" t="str">
        <f t="shared" si="87"/>
        <v>@case_width-motorway-z20-(mtb)</v>
      </c>
      <c r="C55" s="7" t="str">
        <f t="shared" si="88"/>
        <v>22.0</v>
      </c>
      <c r="D55" s="5" t="s">
        <v>144</v>
      </c>
      <c r="E55" s="15" t="str">
        <f t="shared" si="89"/>
        <v>@case_width-motorway-z20-(mtb-hc)</v>
      </c>
      <c r="F55" s="7" t="str">
        <f t="shared" si="62"/>
        <v>36.0</v>
      </c>
      <c r="G55" s="10" t="s">
        <v>145</v>
      </c>
      <c r="H55" s="14" t="str">
        <f t="shared" si="90"/>
        <v>@case_width-motorway-z20-(gr)</v>
      </c>
      <c r="I55" s="7" t="str">
        <f t="shared" si="91"/>
        <v>22.0</v>
      </c>
      <c r="J55" s="7" t="str">
        <f t="shared" si="92"/>
        <v>22.0</v>
      </c>
      <c r="K55" s="15" t="str">
        <f t="shared" si="93"/>
        <v>@case_width-motorway-z20-(gr-hc)</v>
      </c>
      <c r="L55" s="7" t="str">
        <f t="shared" si="94"/>
        <v>36.0</v>
      </c>
      <c r="M55" s="16" t="str">
        <f t="shared" si="95"/>
        <v>36.0</v>
      </c>
      <c r="N55" s="22" t="str">
        <f t="shared" si="96"/>
        <v>@case_width-motorway-z20-(wnt)</v>
      </c>
      <c r="O55" s="23" t="str">
        <f t="shared" si="63"/>
        <v>22.0</v>
      </c>
      <c r="P55" s="7" t="str">
        <f t="shared" si="82"/>
        <v>22.0</v>
      </c>
      <c r="Q55" s="24" t="str">
        <f t="shared" si="97"/>
        <v>@case_width-motorway-z20-(wnt-hc)</v>
      </c>
      <c r="R55" s="23" t="str">
        <f t="shared" si="98"/>
        <v>36.0</v>
      </c>
      <c r="S55" s="16" t="str">
        <f t="shared" si="83"/>
        <v>36.0</v>
      </c>
      <c r="U55" s="1" t="s">
        <v>81</v>
      </c>
      <c r="V55" s="2" t="str">
        <f t="shared" si="99"/>
        <v>-</v>
      </c>
      <c r="W55" s="1" t="s">
        <v>16</v>
      </c>
      <c r="Y55" s="1"/>
      <c r="Z55" s="2" t="str">
        <f t="shared" si="100"/>
        <v/>
      </c>
      <c r="AB55" s="2" t="str">
        <f t="shared" si="101"/>
        <v>-</v>
      </c>
      <c r="AC55" s="1" t="s">
        <v>142</v>
      </c>
    </row>
    <row r="56" spans="1:29" x14ac:dyDescent="0.25">
      <c r="A56" s="3" t="s">
        <v>146</v>
      </c>
      <c r="B56" s="11"/>
      <c r="C56" s="3"/>
      <c r="D56" s="6"/>
      <c r="E56" s="13"/>
      <c r="F56" s="3"/>
      <c r="G56" s="12"/>
      <c r="H56" s="11"/>
      <c r="I56" s="3"/>
      <c r="J56" s="6"/>
      <c r="K56" s="13"/>
      <c r="L56" s="3"/>
      <c r="M56" s="12"/>
      <c r="N56" s="11"/>
      <c r="O56" s="3"/>
      <c r="P56" s="6"/>
      <c r="Q56" s="13"/>
      <c r="R56" s="3"/>
      <c r="S56" s="12"/>
      <c r="T56" s="4"/>
      <c r="U56" s="3"/>
      <c r="V56" s="4"/>
      <c r="W56" s="3"/>
      <c r="X56" s="4"/>
      <c r="Y56" s="3"/>
      <c r="Z56" s="4"/>
      <c r="AA56" s="4"/>
      <c r="AB56" s="4"/>
      <c r="AC56" s="3"/>
    </row>
    <row r="57" spans="1:29" x14ac:dyDescent="0.25">
      <c r="B57" s="14" t="str">
        <f>_xlfn.CONCAT("@",U57,V57,W57,X57,Y57,Z57,AA57,AB57,AC57,"-(",B$3,")")</f>
        <v>@line_width-motorway-z7-(mtb)</v>
      </c>
      <c r="C57" s="7" t="str">
        <f>D57</f>
        <v>0.5</v>
      </c>
      <c r="D57" s="5" t="s">
        <v>98</v>
      </c>
      <c r="E57" s="15" t="str">
        <f>_xlfn.CONCAT("@",U57,V57,W57,X57,Y57,Z57,AA57,AB57,AC57,"-(",E$3,")")</f>
        <v>@line_width-motorway-z7-(mtb-hc)</v>
      </c>
      <c r="F57" s="7" t="str">
        <f t="shared" si="62"/>
        <v>0.5</v>
      </c>
      <c r="G57" s="10" t="s">
        <v>98</v>
      </c>
      <c r="H57" s="14" t="str">
        <f>_xlfn.CONCAT("@",U57,V57,W57,X57,Y57,Z57,AA57,AB57,AC57,"-(",H$3,")")</f>
        <v>@line_width-motorway-z7-(gr)</v>
      </c>
      <c r="I57" s="7" t="str">
        <f>J57</f>
        <v>0.5</v>
      </c>
      <c r="J57" s="7" t="str">
        <f t="shared" ref="J57:J61" si="102">D57</f>
        <v>0.5</v>
      </c>
      <c r="K57" s="15" t="str">
        <f>_xlfn.CONCAT("@",U57,V57,W57,X57,Y57,Z57,AA57,AB57,AC57,"-(",K$3,")")</f>
        <v>@line_width-motorway-z7-(gr-hc)</v>
      </c>
      <c r="L57" s="7" t="str">
        <f>M57</f>
        <v>0.5</v>
      </c>
      <c r="M57" s="16" t="str">
        <f t="shared" ref="M57:M61" si="103">G57</f>
        <v>0.5</v>
      </c>
      <c r="N57" s="22" t="str">
        <f>_xlfn.CONCAT("@",U57,V57,W57,X57,Y57,Z57,AA57,AB57,AC57,"-(",N$3,")")</f>
        <v>@line_width-motorway-z7-(wnt)</v>
      </c>
      <c r="O57" s="23" t="str">
        <f t="shared" si="63"/>
        <v>0.5</v>
      </c>
      <c r="P57" s="7" t="str">
        <f t="shared" si="82"/>
        <v>0.5</v>
      </c>
      <c r="Q57" s="24" t="str">
        <f>_xlfn.CONCAT("@",U57,V57,W57,X57,Y57,Z57,AA57,AB57,AC57,"-(",Q$3,")")</f>
        <v>@line_width-motorway-z7-(wnt-hc)</v>
      </c>
      <c r="R57" s="23" t="str">
        <f>S57</f>
        <v>0.5</v>
      </c>
      <c r="S57" s="16" t="str">
        <f t="shared" si="83"/>
        <v>0.5</v>
      </c>
      <c r="U57" s="1" t="s">
        <v>122</v>
      </c>
      <c r="V57" s="2" t="str">
        <f t="shared" ref="V57:V60" si="104">IF(NOT(ISBLANK(W57)),"-","")</f>
        <v>-</v>
      </c>
      <c r="W57" s="1" t="s">
        <v>16</v>
      </c>
      <c r="Y57" s="1"/>
      <c r="Z57" s="2" t="str">
        <f t="shared" ref="Z57:Z60" si="105">IF(NOT(ISBLANK(AA57)),"_","")</f>
        <v/>
      </c>
      <c r="AB57" s="2" t="str">
        <f t="shared" ref="AB57:AB60" si="106">IF(NOT(ISBLANK(AC57)),"-","")</f>
        <v>-</v>
      </c>
      <c r="AC57" s="1" t="s">
        <v>147</v>
      </c>
    </row>
    <row r="58" spans="1:29" x14ac:dyDescent="0.25">
      <c r="B58" s="14" t="str">
        <f t="shared" ref="B58:B60" si="107">_xlfn.CONCAT("@",U58,V58,W58,X58,Y58,Z58,AA58,AB58,AC58,"-(",B$3,")")</f>
        <v>@line_width-motorway-z10-(mtb)</v>
      </c>
      <c r="C58" s="7" t="str">
        <f t="shared" ref="C58:C61" si="108">D58</f>
        <v>1.5</v>
      </c>
      <c r="D58" s="5" t="s">
        <v>87</v>
      </c>
      <c r="E58" s="15" t="str">
        <f t="shared" ref="E58:E60" si="109">_xlfn.CONCAT("@",U58,V58,W58,X58,Y58,Z58,AA58,AB58,AC58,"-(",E$3,")")</f>
        <v>@line_width-motorway-z10-(mtb-hc)</v>
      </c>
      <c r="F58" s="7" t="str">
        <f t="shared" si="62"/>
        <v>2.5</v>
      </c>
      <c r="G58" s="10" t="s">
        <v>93</v>
      </c>
      <c r="H58" s="14" t="str">
        <f t="shared" ref="H58:H60" si="110">_xlfn.CONCAT("@",U58,V58,W58,X58,Y58,Z58,AA58,AB58,AC58,"-(",H$3,")")</f>
        <v>@line_width-motorway-z10-(gr)</v>
      </c>
      <c r="I58" s="7" t="str">
        <f t="shared" ref="I58:I61" si="111">J58</f>
        <v>1.5</v>
      </c>
      <c r="J58" s="7" t="str">
        <f t="shared" si="102"/>
        <v>1.5</v>
      </c>
      <c r="K58" s="15" t="str">
        <f t="shared" ref="K58:K60" si="112">_xlfn.CONCAT("@",U58,V58,W58,X58,Y58,Z58,AA58,AB58,AC58,"-(",K$3,")")</f>
        <v>@line_width-motorway-z10-(gr-hc)</v>
      </c>
      <c r="L58" s="7" t="str">
        <f t="shared" ref="L58:L61" si="113">M58</f>
        <v>2.5</v>
      </c>
      <c r="M58" s="16" t="str">
        <f t="shared" si="103"/>
        <v>2.5</v>
      </c>
      <c r="N58" s="22" t="str">
        <f t="shared" ref="N58:N60" si="114">_xlfn.CONCAT("@",U58,V58,W58,X58,Y58,Z58,AA58,AB58,AC58,"-(",N$3,")")</f>
        <v>@line_width-motorway-z10-(wnt)</v>
      </c>
      <c r="O58" s="23" t="str">
        <f t="shared" si="63"/>
        <v>1.5</v>
      </c>
      <c r="P58" s="7" t="str">
        <f t="shared" si="82"/>
        <v>1.5</v>
      </c>
      <c r="Q58" s="24" t="str">
        <f t="shared" ref="Q58:Q60" si="115">_xlfn.CONCAT("@",U58,V58,W58,X58,Y58,Z58,AA58,AB58,AC58,"-(",Q$3,")")</f>
        <v>@line_width-motorway-z10-(wnt-hc)</v>
      </c>
      <c r="R58" s="23" t="str">
        <f t="shared" ref="R58:R61" si="116">S58</f>
        <v>2.5</v>
      </c>
      <c r="S58" s="16" t="str">
        <f t="shared" si="83"/>
        <v>2.5</v>
      </c>
      <c r="U58" s="1" t="s">
        <v>122</v>
      </c>
      <c r="V58" s="2" t="str">
        <f t="shared" si="104"/>
        <v>-</v>
      </c>
      <c r="W58" s="1" t="s">
        <v>16</v>
      </c>
      <c r="Y58" s="1"/>
      <c r="Z58" s="2" t="str">
        <f t="shared" si="105"/>
        <v/>
      </c>
      <c r="AB58" s="2" t="str">
        <f t="shared" si="106"/>
        <v>-</v>
      </c>
      <c r="AC58" s="1" t="s">
        <v>106</v>
      </c>
    </row>
    <row r="59" spans="1:29" x14ac:dyDescent="0.25">
      <c r="B59" s="14" t="str">
        <f t="shared" si="107"/>
        <v>@line_width-motorway-z12-(mtb)</v>
      </c>
      <c r="C59" s="7" t="str">
        <f t="shared" si="108"/>
        <v>3.0</v>
      </c>
      <c r="D59" s="5" t="s">
        <v>91</v>
      </c>
      <c r="E59" s="15" t="str">
        <f t="shared" si="109"/>
        <v>@line_width-motorway-z12-(mtb-hc)</v>
      </c>
      <c r="F59" s="7" t="str">
        <f t="shared" si="62"/>
        <v>4.5</v>
      </c>
      <c r="G59" s="10" t="s">
        <v>131</v>
      </c>
      <c r="H59" s="14" t="str">
        <f t="shared" si="110"/>
        <v>@line_width-motorway-z12-(gr)</v>
      </c>
      <c r="I59" s="7" t="str">
        <f t="shared" si="111"/>
        <v>3.0</v>
      </c>
      <c r="J59" s="7" t="str">
        <f t="shared" si="102"/>
        <v>3.0</v>
      </c>
      <c r="K59" s="15" t="str">
        <f t="shared" si="112"/>
        <v>@line_width-motorway-z12-(gr-hc)</v>
      </c>
      <c r="L59" s="7" t="str">
        <f t="shared" si="113"/>
        <v>4.5</v>
      </c>
      <c r="M59" s="16" t="str">
        <f t="shared" si="103"/>
        <v>4.5</v>
      </c>
      <c r="N59" s="22" t="str">
        <f t="shared" si="114"/>
        <v>@line_width-motorway-z12-(wnt)</v>
      </c>
      <c r="O59" s="23" t="str">
        <f t="shared" si="63"/>
        <v>3.0</v>
      </c>
      <c r="P59" s="7" t="str">
        <f t="shared" si="82"/>
        <v>3.0</v>
      </c>
      <c r="Q59" s="24" t="str">
        <f t="shared" si="115"/>
        <v>@line_width-motorway-z12-(wnt-hc)</v>
      </c>
      <c r="R59" s="23" t="str">
        <f t="shared" si="116"/>
        <v>4.5</v>
      </c>
      <c r="S59" s="16" t="str">
        <f t="shared" si="83"/>
        <v>4.5</v>
      </c>
      <c r="U59" s="1" t="s">
        <v>122</v>
      </c>
      <c r="V59" s="2" t="str">
        <f t="shared" si="104"/>
        <v>-</v>
      </c>
      <c r="W59" s="1" t="s">
        <v>16</v>
      </c>
      <c r="Y59" s="1"/>
      <c r="Z59" s="2" t="str">
        <f t="shared" si="105"/>
        <v/>
      </c>
      <c r="AB59" s="2" t="str">
        <f t="shared" si="106"/>
        <v>-</v>
      </c>
      <c r="AC59" s="1" t="s">
        <v>112</v>
      </c>
    </row>
    <row r="60" spans="1:29" x14ac:dyDescent="0.25">
      <c r="B60" s="14" t="str">
        <f t="shared" si="107"/>
        <v>@line_width-motorway-z14-(mtb)</v>
      </c>
      <c r="C60" s="7" t="str">
        <f t="shared" si="108"/>
        <v>4.0</v>
      </c>
      <c r="D60" s="5" t="s">
        <v>95</v>
      </c>
      <c r="E60" s="15" t="str">
        <f t="shared" si="109"/>
        <v>@line_width-motorway-z14-(mtb-hc)</v>
      </c>
      <c r="F60" s="7" t="str">
        <f t="shared" si="62"/>
        <v>7.0</v>
      </c>
      <c r="G60" s="10" t="s">
        <v>137</v>
      </c>
      <c r="H60" s="14" t="str">
        <f t="shared" si="110"/>
        <v>@line_width-motorway-z14-(gr)</v>
      </c>
      <c r="I60" s="7" t="str">
        <f t="shared" si="111"/>
        <v>4.0</v>
      </c>
      <c r="J60" s="7" t="str">
        <f t="shared" si="102"/>
        <v>4.0</v>
      </c>
      <c r="K60" s="15" t="str">
        <f t="shared" si="112"/>
        <v>@line_width-motorway-z14-(gr-hc)</v>
      </c>
      <c r="L60" s="7" t="str">
        <f t="shared" si="113"/>
        <v>7.0</v>
      </c>
      <c r="M60" s="16" t="str">
        <f t="shared" si="103"/>
        <v>7.0</v>
      </c>
      <c r="N60" s="22" t="str">
        <f t="shared" si="114"/>
        <v>@line_width-motorway-z14-(wnt)</v>
      </c>
      <c r="O60" s="23" t="str">
        <f t="shared" si="63"/>
        <v>4.0</v>
      </c>
      <c r="P60" s="7" t="str">
        <f t="shared" si="82"/>
        <v>4.0</v>
      </c>
      <c r="Q60" s="24" t="str">
        <f t="shared" si="115"/>
        <v>@line_width-motorway-z14-(wnt-hc)</v>
      </c>
      <c r="R60" s="23" t="str">
        <f t="shared" si="116"/>
        <v>7.0</v>
      </c>
      <c r="S60" s="16" t="str">
        <f t="shared" si="83"/>
        <v>7.0</v>
      </c>
      <c r="U60" s="1" t="s">
        <v>122</v>
      </c>
      <c r="V60" s="2" t="str">
        <f t="shared" si="104"/>
        <v>-</v>
      </c>
      <c r="W60" s="1" t="s">
        <v>16</v>
      </c>
      <c r="Y60" s="1"/>
      <c r="Z60" s="2" t="str">
        <f t="shared" si="105"/>
        <v/>
      </c>
      <c r="AB60" s="2" t="str">
        <f t="shared" si="106"/>
        <v>-</v>
      </c>
      <c r="AC60" s="1" t="s">
        <v>77</v>
      </c>
    </row>
    <row r="61" spans="1:29" x14ac:dyDescent="0.25">
      <c r="B61" s="14" t="str">
        <f t="shared" ref="B61" si="117">_xlfn.CONCAT("@",U61,V61,W61,X61,Y61,Z61,AA61,AB61,AC61,"-(",B$3,")")</f>
        <v>@line_width-motorway-z20-(mtb)</v>
      </c>
      <c r="C61" s="7" t="str">
        <f t="shared" si="108"/>
        <v>18.0</v>
      </c>
      <c r="D61" s="5" t="s">
        <v>148</v>
      </c>
      <c r="E61" s="15" t="str">
        <f t="shared" ref="E61" si="118">_xlfn.CONCAT("@",U61,V61,W61,X61,Y61,Z61,AA61,AB61,AC61,"-(",E$3,")")</f>
        <v>@line_width-motorway-z20-(mtb-hc)</v>
      </c>
      <c r="F61" s="7" t="str">
        <f t="shared" si="62"/>
        <v>24.0</v>
      </c>
      <c r="G61" s="10" t="s">
        <v>149</v>
      </c>
      <c r="H61" s="14" t="str">
        <f t="shared" ref="H61" si="119">_xlfn.CONCAT("@",U61,V61,W61,X61,Y61,Z61,AA61,AB61,AC61,"-(",H$3,")")</f>
        <v>@line_width-motorway-z20-(gr)</v>
      </c>
      <c r="I61" s="7" t="str">
        <f t="shared" si="111"/>
        <v>18.0</v>
      </c>
      <c r="J61" s="7" t="str">
        <f t="shared" si="102"/>
        <v>18.0</v>
      </c>
      <c r="K61" s="15" t="str">
        <f t="shared" ref="K61" si="120">_xlfn.CONCAT("@",U61,V61,W61,X61,Y61,Z61,AA61,AB61,AC61,"-(",K$3,")")</f>
        <v>@line_width-motorway-z20-(gr-hc)</v>
      </c>
      <c r="L61" s="7" t="str">
        <f t="shared" si="113"/>
        <v>24.0</v>
      </c>
      <c r="M61" s="16" t="str">
        <f t="shared" si="103"/>
        <v>24.0</v>
      </c>
      <c r="N61" s="22" t="str">
        <f t="shared" ref="N61" si="121">_xlfn.CONCAT("@",U61,V61,W61,X61,Y61,Z61,AA61,AB61,AC61,"-(",N$3,")")</f>
        <v>@line_width-motorway-z20-(wnt)</v>
      </c>
      <c r="O61" s="23" t="str">
        <f t="shared" si="63"/>
        <v>18.0</v>
      </c>
      <c r="P61" s="7" t="str">
        <f t="shared" si="82"/>
        <v>18.0</v>
      </c>
      <c r="Q61" s="24" t="str">
        <f t="shared" ref="Q61" si="122">_xlfn.CONCAT("@",U61,V61,W61,X61,Y61,Z61,AA61,AB61,AC61,"-(",Q$3,")")</f>
        <v>@line_width-motorway-z20-(wnt-hc)</v>
      </c>
      <c r="R61" s="23" t="str">
        <f t="shared" si="116"/>
        <v>24.0</v>
      </c>
      <c r="S61" s="16" t="str">
        <f t="shared" si="83"/>
        <v>24.0</v>
      </c>
      <c r="U61" s="1" t="s">
        <v>122</v>
      </c>
      <c r="V61" s="2" t="str">
        <f t="shared" ref="V61" si="123">IF(NOT(ISBLANK(W61)),"-","")</f>
        <v>-</v>
      </c>
      <c r="W61" s="1" t="s">
        <v>16</v>
      </c>
      <c r="Y61" s="1"/>
      <c r="Z61" s="2" t="str">
        <f t="shared" ref="Z61" si="124">IF(NOT(ISBLANK(AA61)),"_","")</f>
        <v/>
      </c>
      <c r="AB61" s="2" t="str">
        <f t="shared" ref="AB61" si="125">IF(NOT(ISBLANK(AC61)),"-","")</f>
        <v>-</v>
      </c>
      <c r="AC61" s="1" t="s">
        <v>142</v>
      </c>
    </row>
    <row r="62" spans="1:29" x14ac:dyDescent="0.25">
      <c r="A62" s="3" t="s">
        <v>150</v>
      </c>
      <c r="B62" s="11"/>
      <c r="C62" s="3"/>
      <c r="D62" s="6"/>
      <c r="E62" s="13"/>
      <c r="F62" s="3"/>
      <c r="G62" s="12"/>
      <c r="H62" s="11"/>
      <c r="I62" s="3"/>
      <c r="J62" s="6"/>
      <c r="K62" s="13"/>
      <c r="L62" s="3"/>
      <c r="M62" s="12"/>
      <c r="N62" s="11"/>
      <c r="O62" s="3"/>
      <c r="P62" s="6"/>
      <c r="Q62" s="13"/>
      <c r="R62" s="3"/>
      <c r="S62" s="12"/>
      <c r="T62" s="4"/>
      <c r="U62" s="3"/>
      <c r="V62" s="4"/>
      <c r="W62" s="3"/>
      <c r="X62" s="4"/>
      <c r="Y62" s="3"/>
      <c r="Z62" s="4"/>
      <c r="AA62" s="4"/>
      <c r="AB62" s="4"/>
      <c r="AC62" s="3"/>
    </row>
    <row r="63" spans="1:29" x14ac:dyDescent="0.25">
      <c r="B63" s="14" t="str">
        <f>_xlfn.CONCAT("@",U63,V63,W63,X63,Y63,Z63,AA63,AB63,AC63,"-(",B$3,")")</f>
        <v>@case_width-trunk-z6-(mtb)</v>
      </c>
      <c r="C63" s="7" t="str">
        <f>D63</f>
        <v>2.5</v>
      </c>
      <c r="D63" s="5" t="s">
        <v>93</v>
      </c>
      <c r="E63" s="15" t="str">
        <f>_xlfn.CONCAT("@",U63,V63,W63,X63,Y63,Z63,AA63,AB63,AC63,"-(",E$3,")")</f>
        <v>@case_width-trunk-z6-(mtb-hc)</v>
      </c>
      <c r="F63" s="7" t="str">
        <f t="shared" si="62"/>
        <v>2.5</v>
      </c>
      <c r="G63" s="16" t="str">
        <f>D63</f>
        <v>2.5</v>
      </c>
      <c r="H63" s="14" t="str">
        <f>_xlfn.CONCAT("@",U63,V63,W63,X63,Y63,Z63,AA63,AB63,AC63,"-(",H$3,")")</f>
        <v>@case_width-trunk-z6-(gr)</v>
      </c>
      <c r="I63" s="7" t="str">
        <f>J63</f>
        <v>2.5</v>
      </c>
      <c r="J63" s="7" t="str">
        <f>D63</f>
        <v>2.5</v>
      </c>
      <c r="K63" s="15" t="str">
        <f>_xlfn.CONCAT("@",U63,V63,W63,X63,Y63,Z63,AA63,AB63,AC63,"-(",K$3,")")</f>
        <v>@case_width-trunk-z6-(gr-hc)</v>
      </c>
      <c r="L63" s="7" t="str">
        <f>M63</f>
        <v>2.5</v>
      </c>
      <c r="M63" s="16" t="str">
        <f>G63</f>
        <v>2.5</v>
      </c>
      <c r="N63" s="22" t="str">
        <f>_xlfn.CONCAT("@",U63,V63,W63,X63,Y63,Z63,AA63,AB63,AC63,"-(",N$3,")")</f>
        <v>@case_width-trunk-z6-(wnt)</v>
      </c>
      <c r="O63" s="23" t="str">
        <f t="shared" si="63"/>
        <v>2.5</v>
      </c>
      <c r="P63" s="7" t="str">
        <f t="shared" ref="P63:P65" si="126">D63</f>
        <v>2.5</v>
      </c>
      <c r="Q63" s="24" t="str">
        <f>_xlfn.CONCAT("@",U63,V63,W63,X63,Y63,Z63,AA63,AB63,AC63,"-(",Q$3,")")</f>
        <v>@case_width-trunk-z6-(wnt-hc)</v>
      </c>
      <c r="R63" s="23" t="str">
        <f>S63</f>
        <v>2.5</v>
      </c>
      <c r="S63" s="16" t="str">
        <f t="shared" ref="S63:S65" si="127">G63</f>
        <v>2.5</v>
      </c>
      <c r="U63" s="1" t="s">
        <v>81</v>
      </c>
      <c r="V63" s="2" t="str">
        <f t="shared" ref="V63:V65" si="128">IF(NOT(ISBLANK(W63)),"-","")</f>
        <v>-</v>
      </c>
      <c r="W63" s="1" t="s">
        <v>19</v>
      </c>
      <c r="Y63" s="1"/>
      <c r="Z63" s="2" t="str">
        <f t="shared" ref="Z63:Z65" si="129">IF(NOT(ISBLANK(AA63)),"_","")</f>
        <v/>
      </c>
      <c r="AB63" s="2" t="str">
        <f t="shared" ref="AB63:AB65" si="130">IF(NOT(ISBLANK(AC63)),"-","")</f>
        <v>-</v>
      </c>
      <c r="AC63" s="1" t="s">
        <v>141</v>
      </c>
    </row>
    <row r="64" spans="1:29" x14ac:dyDescent="0.25">
      <c r="B64" s="14" t="str">
        <f t="shared" ref="B64:B65" si="131">_xlfn.CONCAT("@",U64,V64,W64,X64,Y64,Z64,AA64,AB64,AC64,"-(",B$3,")")</f>
        <v>@case_width-trunk-z10-(mtb)</v>
      </c>
      <c r="C64" s="7" t="str">
        <f t="shared" ref="C64:C65" si="132">D64</f>
        <v>4.0</v>
      </c>
      <c r="D64" s="5" t="s">
        <v>95</v>
      </c>
      <c r="E64" s="15" t="str">
        <f t="shared" ref="E64:E65" si="133">_xlfn.CONCAT("@",U64,V64,W64,X64,Y64,Z64,AA64,AB64,AC64,"-(",E$3,")")</f>
        <v>@case_width-trunk-z10-(mtb-hc)</v>
      </c>
      <c r="F64" s="7" t="str">
        <f t="shared" si="62"/>
        <v>4.0</v>
      </c>
      <c r="G64" s="16" t="str">
        <f t="shared" ref="G64:G65" si="134">D64</f>
        <v>4.0</v>
      </c>
      <c r="H64" s="14" t="str">
        <f t="shared" ref="H64:H65" si="135">_xlfn.CONCAT("@",U64,V64,W64,X64,Y64,Z64,AA64,AB64,AC64,"-(",H$3,")")</f>
        <v>@case_width-trunk-z10-(gr)</v>
      </c>
      <c r="I64" s="7" t="str">
        <f t="shared" ref="I64:I65" si="136">J64</f>
        <v>4.0</v>
      </c>
      <c r="J64" s="7" t="str">
        <f t="shared" ref="J64:J65" si="137">D64</f>
        <v>4.0</v>
      </c>
      <c r="K64" s="15" t="str">
        <f t="shared" ref="K64:K65" si="138">_xlfn.CONCAT("@",U64,V64,W64,X64,Y64,Z64,AA64,AB64,AC64,"-(",K$3,")")</f>
        <v>@case_width-trunk-z10-(gr-hc)</v>
      </c>
      <c r="L64" s="7" t="str">
        <f t="shared" ref="L64:L65" si="139">M64</f>
        <v>4.0</v>
      </c>
      <c r="M64" s="16" t="str">
        <f t="shared" ref="M64:M65" si="140">G64</f>
        <v>4.0</v>
      </c>
      <c r="N64" s="22" t="str">
        <f t="shared" ref="N64:N65" si="141">_xlfn.CONCAT("@",U64,V64,W64,X64,Y64,Z64,AA64,AB64,AC64,"-(",N$3,")")</f>
        <v>@case_width-trunk-z10-(wnt)</v>
      </c>
      <c r="O64" s="23" t="str">
        <f t="shared" si="63"/>
        <v>4.0</v>
      </c>
      <c r="P64" s="7" t="str">
        <f t="shared" si="126"/>
        <v>4.0</v>
      </c>
      <c r="Q64" s="24" t="str">
        <f t="shared" ref="Q64:Q65" si="142">_xlfn.CONCAT("@",U64,V64,W64,X64,Y64,Z64,AA64,AB64,AC64,"-(",Q$3,")")</f>
        <v>@case_width-trunk-z10-(wnt-hc)</v>
      </c>
      <c r="R64" s="23" t="str">
        <f t="shared" ref="R64:R65" si="143">S64</f>
        <v>4.0</v>
      </c>
      <c r="S64" s="16" t="str">
        <f t="shared" si="127"/>
        <v>4.0</v>
      </c>
      <c r="U64" s="1" t="s">
        <v>81</v>
      </c>
      <c r="V64" s="2" t="str">
        <f t="shared" si="128"/>
        <v>-</v>
      </c>
      <c r="W64" s="1" t="s">
        <v>19</v>
      </c>
      <c r="Y64" s="1"/>
      <c r="Z64" s="2" t="str">
        <f t="shared" si="129"/>
        <v/>
      </c>
      <c r="AB64" s="2" t="str">
        <f t="shared" si="130"/>
        <v>-</v>
      </c>
      <c r="AC64" s="1" t="s">
        <v>106</v>
      </c>
    </row>
    <row r="65" spans="1:29" x14ac:dyDescent="0.25">
      <c r="B65" s="14" t="str">
        <f t="shared" si="131"/>
        <v>@case_width-trunk-z20-(mtb)</v>
      </c>
      <c r="C65" s="7" t="str">
        <f t="shared" si="132"/>
        <v>22.0</v>
      </c>
      <c r="D65" s="5" t="s">
        <v>144</v>
      </c>
      <c r="E65" s="15" t="str">
        <f t="shared" si="133"/>
        <v>@case_width-trunk-z20-(mtb-hc)</v>
      </c>
      <c r="F65" s="7" t="str">
        <f t="shared" si="62"/>
        <v>22.0</v>
      </c>
      <c r="G65" s="16" t="str">
        <f t="shared" si="134"/>
        <v>22.0</v>
      </c>
      <c r="H65" s="14" t="str">
        <f t="shared" si="135"/>
        <v>@case_width-trunk-z20-(gr)</v>
      </c>
      <c r="I65" s="7" t="str">
        <f t="shared" si="136"/>
        <v>22.0</v>
      </c>
      <c r="J65" s="7" t="str">
        <f t="shared" si="137"/>
        <v>22.0</v>
      </c>
      <c r="K65" s="15" t="str">
        <f t="shared" si="138"/>
        <v>@case_width-trunk-z20-(gr-hc)</v>
      </c>
      <c r="L65" s="7" t="str">
        <f t="shared" si="139"/>
        <v>22.0</v>
      </c>
      <c r="M65" s="16" t="str">
        <f t="shared" si="140"/>
        <v>22.0</v>
      </c>
      <c r="N65" s="22" t="str">
        <f t="shared" si="141"/>
        <v>@case_width-trunk-z20-(wnt)</v>
      </c>
      <c r="O65" s="23" t="str">
        <f t="shared" si="63"/>
        <v>22.0</v>
      </c>
      <c r="P65" s="7" t="str">
        <f t="shared" si="126"/>
        <v>22.0</v>
      </c>
      <c r="Q65" s="24" t="str">
        <f t="shared" si="142"/>
        <v>@case_width-trunk-z20-(wnt-hc)</v>
      </c>
      <c r="R65" s="23" t="str">
        <f t="shared" si="143"/>
        <v>22.0</v>
      </c>
      <c r="S65" s="16" t="str">
        <f t="shared" si="127"/>
        <v>22.0</v>
      </c>
      <c r="U65" s="1" t="s">
        <v>81</v>
      </c>
      <c r="V65" s="2" t="str">
        <f t="shared" si="128"/>
        <v>-</v>
      </c>
      <c r="W65" s="1" t="s">
        <v>19</v>
      </c>
      <c r="Y65" s="1"/>
      <c r="Z65" s="2" t="str">
        <f t="shared" si="129"/>
        <v/>
      </c>
      <c r="AB65" s="2" t="str">
        <f t="shared" si="130"/>
        <v>-</v>
      </c>
      <c r="AC65" s="1" t="s">
        <v>142</v>
      </c>
    </row>
    <row r="66" spans="1:29" x14ac:dyDescent="0.25">
      <c r="A66" s="3" t="s">
        <v>151</v>
      </c>
      <c r="B66" s="11"/>
      <c r="C66" s="3"/>
      <c r="D66" s="6"/>
      <c r="E66" s="13"/>
      <c r="F66" s="3"/>
      <c r="G66" s="12"/>
      <c r="H66" s="11"/>
      <c r="I66" s="3"/>
      <c r="J66" s="6"/>
      <c r="K66" s="13"/>
      <c r="L66" s="3"/>
      <c r="M66" s="12"/>
      <c r="N66" s="11"/>
      <c r="O66" s="3"/>
      <c r="P66" s="6"/>
      <c r="Q66" s="13"/>
      <c r="R66" s="3"/>
      <c r="S66" s="12"/>
      <c r="T66" s="4"/>
      <c r="U66" s="3"/>
      <c r="V66" s="4"/>
      <c r="W66" s="3"/>
      <c r="X66" s="4"/>
      <c r="Y66" s="3"/>
      <c r="Z66" s="4"/>
      <c r="AA66" s="4"/>
      <c r="AB66" s="4"/>
      <c r="AC66" s="3"/>
    </row>
    <row r="67" spans="1:29" x14ac:dyDescent="0.25">
      <c r="B67" s="14" t="str">
        <f>_xlfn.CONCAT("@",U67,V67,W67,X67,Y67,Z67,AA67,AB67,AC67,"-(",B$3,")")</f>
        <v>@line_width-trunk-z7-(mtb)</v>
      </c>
      <c r="C67" s="7" t="str">
        <f>D67</f>
        <v>0.5</v>
      </c>
      <c r="D67" s="5" t="s">
        <v>98</v>
      </c>
      <c r="E67" s="15" t="str">
        <f>_xlfn.CONCAT("@",U67,V67,W67,X67,Y67,Z67,AA67,AB67,AC67,"-(",E$3,")")</f>
        <v>@line_width-trunk-z7-(mtb-hc)</v>
      </c>
      <c r="F67" s="7" t="str">
        <f t="shared" si="62"/>
        <v>0.5</v>
      </c>
      <c r="G67" s="16" t="str">
        <f t="shared" ref="G67:G71" si="144">D67</f>
        <v>0.5</v>
      </c>
      <c r="H67" s="14" t="str">
        <f>_xlfn.CONCAT("@",U67,V67,W67,X67,Y67,Z67,AA67,AB67,AC67,"-(",H$3,")")</f>
        <v>@line_width-trunk-z7-(gr)</v>
      </c>
      <c r="I67" s="7" t="str">
        <f>J67</f>
        <v>0.5</v>
      </c>
      <c r="J67" s="7" t="str">
        <f t="shared" ref="J67:J71" si="145">D67</f>
        <v>0.5</v>
      </c>
      <c r="K67" s="15" t="str">
        <f>_xlfn.CONCAT("@",U67,V67,W67,X67,Y67,Z67,AA67,AB67,AC67,"-(",K$3,")")</f>
        <v>@line_width-trunk-z7-(gr-hc)</v>
      </c>
      <c r="L67" s="7" t="str">
        <f>M67</f>
        <v>0.5</v>
      </c>
      <c r="M67" s="16" t="str">
        <f t="shared" ref="M67:M71" si="146">G67</f>
        <v>0.5</v>
      </c>
      <c r="N67" s="22" t="str">
        <f>_xlfn.CONCAT("@",U67,V67,W67,X67,Y67,Z67,AA67,AB67,AC67,"-(",N$3,")")</f>
        <v>@line_width-trunk-z7-(wnt)</v>
      </c>
      <c r="O67" s="23" t="str">
        <f t="shared" si="63"/>
        <v>0.5</v>
      </c>
      <c r="P67" s="7" t="str">
        <f t="shared" ref="P67:P71" si="147">D67</f>
        <v>0.5</v>
      </c>
      <c r="Q67" s="24" t="str">
        <f>_xlfn.CONCAT("@",U67,V67,W67,X67,Y67,Z67,AA67,AB67,AC67,"-(",Q$3,")")</f>
        <v>@line_width-trunk-z7-(wnt-hc)</v>
      </c>
      <c r="R67" s="23" t="str">
        <f>S67</f>
        <v>0.5</v>
      </c>
      <c r="S67" s="16" t="str">
        <f t="shared" ref="S67:S71" si="148">G67</f>
        <v>0.5</v>
      </c>
      <c r="U67" s="1" t="s">
        <v>122</v>
      </c>
      <c r="V67" s="2" t="str">
        <f t="shared" ref="V67:V71" si="149">IF(NOT(ISBLANK(W67)),"-","")</f>
        <v>-</v>
      </c>
      <c r="W67" s="1" t="s">
        <v>19</v>
      </c>
      <c r="Y67" s="1"/>
      <c r="Z67" s="2" t="str">
        <f t="shared" ref="Z67:Z71" si="150">IF(NOT(ISBLANK(AA67)),"_","")</f>
        <v/>
      </c>
      <c r="AB67" s="2" t="str">
        <f t="shared" ref="AB67:AB71" si="151">IF(NOT(ISBLANK(AC67)),"-","")</f>
        <v>-</v>
      </c>
      <c r="AC67" s="1" t="s">
        <v>147</v>
      </c>
    </row>
    <row r="68" spans="1:29" x14ac:dyDescent="0.25">
      <c r="B68" s="14" t="str">
        <f t="shared" ref="B68:B71" si="152">_xlfn.CONCAT("@",U68,V68,W68,X68,Y68,Z68,AA68,AB68,AC68,"-(",B$3,")")</f>
        <v>@line_width-trunk-z10-(mtb)</v>
      </c>
      <c r="C68" s="7" t="str">
        <f t="shared" ref="C68:C71" si="153">D68</f>
        <v>2.0</v>
      </c>
      <c r="D68" s="5" t="s">
        <v>88</v>
      </c>
      <c r="E68" s="15" t="str">
        <f t="shared" ref="E68:E71" si="154">_xlfn.CONCAT("@",U68,V68,W68,X68,Y68,Z68,AA68,AB68,AC68,"-(",E$3,")")</f>
        <v>@line_width-trunk-z10-(mtb-hc)</v>
      </c>
      <c r="F68" s="7" t="str">
        <f t="shared" si="62"/>
        <v>2.0</v>
      </c>
      <c r="G68" s="16" t="str">
        <f t="shared" si="144"/>
        <v>2.0</v>
      </c>
      <c r="H68" s="14" t="str">
        <f t="shared" ref="H68:H71" si="155">_xlfn.CONCAT("@",U68,V68,W68,X68,Y68,Z68,AA68,AB68,AC68,"-(",H$3,")")</f>
        <v>@line_width-trunk-z10-(gr)</v>
      </c>
      <c r="I68" s="7" t="str">
        <f t="shared" ref="I68:I71" si="156">J68</f>
        <v>2.0</v>
      </c>
      <c r="J68" s="7" t="str">
        <f t="shared" si="145"/>
        <v>2.0</v>
      </c>
      <c r="K68" s="15" t="str">
        <f t="shared" ref="K68:K71" si="157">_xlfn.CONCAT("@",U68,V68,W68,X68,Y68,Z68,AA68,AB68,AC68,"-(",K$3,")")</f>
        <v>@line_width-trunk-z10-(gr-hc)</v>
      </c>
      <c r="L68" s="7" t="str">
        <f t="shared" ref="L68:L71" si="158">M68</f>
        <v>2.0</v>
      </c>
      <c r="M68" s="16" t="str">
        <f t="shared" si="146"/>
        <v>2.0</v>
      </c>
      <c r="N68" s="22" t="str">
        <f t="shared" ref="N68:N71" si="159">_xlfn.CONCAT("@",U68,V68,W68,X68,Y68,Z68,AA68,AB68,AC68,"-(",N$3,")")</f>
        <v>@line_width-trunk-z10-(wnt)</v>
      </c>
      <c r="O68" s="23" t="str">
        <f t="shared" si="63"/>
        <v>2.0</v>
      </c>
      <c r="P68" s="7" t="str">
        <f t="shared" si="147"/>
        <v>2.0</v>
      </c>
      <c r="Q68" s="24" t="str">
        <f t="shared" ref="Q68:Q71" si="160">_xlfn.CONCAT("@",U68,V68,W68,X68,Y68,Z68,AA68,AB68,AC68,"-(",Q$3,")")</f>
        <v>@line_width-trunk-z10-(wnt-hc)</v>
      </c>
      <c r="R68" s="23" t="str">
        <f t="shared" ref="R68:R71" si="161">S68</f>
        <v>2.0</v>
      </c>
      <c r="S68" s="16" t="str">
        <f t="shared" si="148"/>
        <v>2.0</v>
      </c>
      <c r="U68" s="1" t="s">
        <v>122</v>
      </c>
      <c r="V68" s="2" t="str">
        <f t="shared" si="149"/>
        <v>-</v>
      </c>
      <c r="W68" s="1" t="s">
        <v>19</v>
      </c>
      <c r="Y68" s="1"/>
      <c r="Z68" s="2" t="str">
        <f t="shared" si="150"/>
        <v/>
      </c>
      <c r="AB68" s="2" t="str">
        <f t="shared" si="151"/>
        <v>-</v>
      </c>
      <c r="AC68" s="1" t="s">
        <v>106</v>
      </c>
    </row>
    <row r="69" spans="1:29" x14ac:dyDescent="0.25">
      <c r="B69" s="14" t="str">
        <f t="shared" si="152"/>
        <v>@line_width-trunk-z12-(mtb)</v>
      </c>
      <c r="C69" s="7" t="str">
        <f t="shared" si="153"/>
        <v>3.4</v>
      </c>
      <c r="D69" s="5" t="s">
        <v>117</v>
      </c>
      <c r="E69" s="15" t="str">
        <f t="shared" si="154"/>
        <v>@line_width-trunk-z12-(mtb-hc)</v>
      </c>
      <c r="F69" s="7" t="str">
        <f t="shared" si="62"/>
        <v>3.4</v>
      </c>
      <c r="G69" s="16" t="str">
        <f t="shared" si="144"/>
        <v>3.4</v>
      </c>
      <c r="H69" s="14" t="str">
        <f t="shared" si="155"/>
        <v>@line_width-trunk-z12-(gr)</v>
      </c>
      <c r="I69" s="7" t="str">
        <f t="shared" si="156"/>
        <v>3.4</v>
      </c>
      <c r="J69" s="7" t="str">
        <f t="shared" si="145"/>
        <v>3.4</v>
      </c>
      <c r="K69" s="15" t="str">
        <f t="shared" si="157"/>
        <v>@line_width-trunk-z12-(gr-hc)</v>
      </c>
      <c r="L69" s="7" t="str">
        <f t="shared" si="158"/>
        <v>3.4</v>
      </c>
      <c r="M69" s="16" t="str">
        <f t="shared" si="146"/>
        <v>3.4</v>
      </c>
      <c r="N69" s="22" t="str">
        <f t="shared" si="159"/>
        <v>@line_width-trunk-z12-(wnt)</v>
      </c>
      <c r="O69" s="23" t="str">
        <f t="shared" si="63"/>
        <v>3.4</v>
      </c>
      <c r="P69" s="7" t="str">
        <f t="shared" si="147"/>
        <v>3.4</v>
      </c>
      <c r="Q69" s="24" t="str">
        <f t="shared" si="160"/>
        <v>@line_width-trunk-z12-(wnt-hc)</v>
      </c>
      <c r="R69" s="23" t="str">
        <f t="shared" si="161"/>
        <v>3.4</v>
      </c>
      <c r="S69" s="16" t="str">
        <f t="shared" si="148"/>
        <v>3.4</v>
      </c>
      <c r="U69" s="1" t="s">
        <v>122</v>
      </c>
      <c r="V69" s="2" t="str">
        <f t="shared" si="149"/>
        <v>-</v>
      </c>
      <c r="W69" s="1" t="s">
        <v>19</v>
      </c>
      <c r="Y69" s="1"/>
      <c r="Z69" s="2" t="str">
        <f t="shared" si="150"/>
        <v/>
      </c>
      <c r="AB69" s="2" t="str">
        <f t="shared" si="151"/>
        <v>-</v>
      </c>
      <c r="AC69" s="1" t="s">
        <v>112</v>
      </c>
    </row>
    <row r="70" spans="1:29" x14ac:dyDescent="0.25">
      <c r="B70" s="14" t="str">
        <f t="shared" si="152"/>
        <v>@line_width-trunk-z14-(mtb)</v>
      </c>
      <c r="C70" s="7" t="str">
        <f t="shared" si="153"/>
        <v>4.6</v>
      </c>
      <c r="D70" s="5" t="s">
        <v>152</v>
      </c>
      <c r="E70" s="15" t="str">
        <f t="shared" si="154"/>
        <v>@line_width-trunk-z14-(mtb-hc)</v>
      </c>
      <c r="F70" s="7" t="str">
        <f t="shared" si="62"/>
        <v>4.6</v>
      </c>
      <c r="G70" s="16" t="str">
        <f t="shared" si="144"/>
        <v>4.6</v>
      </c>
      <c r="H70" s="14" t="str">
        <f t="shared" si="155"/>
        <v>@line_width-trunk-z14-(gr)</v>
      </c>
      <c r="I70" s="7" t="str">
        <f t="shared" si="156"/>
        <v>4.6</v>
      </c>
      <c r="J70" s="7" t="str">
        <f t="shared" si="145"/>
        <v>4.6</v>
      </c>
      <c r="K70" s="15" t="str">
        <f t="shared" si="157"/>
        <v>@line_width-trunk-z14-(gr-hc)</v>
      </c>
      <c r="L70" s="7" t="str">
        <f t="shared" si="158"/>
        <v>4.6</v>
      </c>
      <c r="M70" s="16" t="str">
        <f t="shared" si="146"/>
        <v>4.6</v>
      </c>
      <c r="N70" s="22" t="str">
        <f t="shared" si="159"/>
        <v>@line_width-trunk-z14-(wnt)</v>
      </c>
      <c r="O70" s="23" t="str">
        <f t="shared" si="63"/>
        <v>4.6</v>
      </c>
      <c r="P70" s="7" t="str">
        <f t="shared" si="147"/>
        <v>4.6</v>
      </c>
      <c r="Q70" s="24" t="str">
        <f t="shared" si="160"/>
        <v>@line_width-trunk-z14-(wnt-hc)</v>
      </c>
      <c r="R70" s="23" t="str">
        <f t="shared" si="161"/>
        <v>4.6</v>
      </c>
      <c r="S70" s="16" t="str">
        <f t="shared" si="148"/>
        <v>4.6</v>
      </c>
      <c r="U70" s="1" t="s">
        <v>122</v>
      </c>
      <c r="V70" s="2" t="str">
        <f t="shared" si="149"/>
        <v>-</v>
      </c>
      <c r="W70" s="1" t="s">
        <v>19</v>
      </c>
      <c r="Y70" s="1"/>
      <c r="Z70" s="2" t="str">
        <f t="shared" si="150"/>
        <v/>
      </c>
      <c r="AB70" s="2" t="str">
        <f t="shared" si="151"/>
        <v>-</v>
      </c>
      <c r="AC70" s="1" t="s">
        <v>77</v>
      </c>
    </row>
    <row r="71" spans="1:29" x14ac:dyDescent="0.25">
      <c r="B71" s="14" t="str">
        <f t="shared" si="152"/>
        <v>@line_width-trunk-z20-(mtb)</v>
      </c>
      <c r="C71" s="7" t="str">
        <f t="shared" si="153"/>
        <v>18.0</v>
      </c>
      <c r="D71" s="5" t="s">
        <v>148</v>
      </c>
      <c r="E71" s="15" t="str">
        <f t="shared" si="154"/>
        <v>@line_width-trunk-z20-(mtb-hc)</v>
      </c>
      <c r="F71" s="7" t="str">
        <f t="shared" si="62"/>
        <v>18.0</v>
      </c>
      <c r="G71" s="16" t="str">
        <f t="shared" si="144"/>
        <v>18.0</v>
      </c>
      <c r="H71" s="14" t="str">
        <f t="shared" si="155"/>
        <v>@line_width-trunk-z20-(gr)</v>
      </c>
      <c r="I71" s="7" t="str">
        <f t="shared" si="156"/>
        <v>18.0</v>
      </c>
      <c r="J71" s="7" t="str">
        <f t="shared" si="145"/>
        <v>18.0</v>
      </c>
      <c r="K71" s="15" t="str">
        <f t="shared" si="157"/>
        <v>@line_width-trunk-z20-(gr-hc)</v>
      </c>
      <c r="L71" s="7" t="str">
        <f t="shared" si="158"/>
        <v>18.0</v>
      </c>
      <c r="M71" s="16" t="str">
        <f t="shared" si="146"/>
        <v>18.0</v>
      </c>
      <c r="N71" s="22" t="str">
        <f t="shared" si="159"/>
        <v>@line_width-trunk-z20-(wnt)</v>
      </c>
      <c r="O71" s="23" t="str">
        <f t="shared" si="63"/>
        <v>18.0</v>
      </c>
      <c r="P71" s="7" t="str">
        <f t="shared" si="147"/>
        <v>18.0</v>
      </c>
      <c r="Q71" s="24" t="str">
        <f t="shared" si="160"/>
        <v>@line_width-trunk-z20-(wnt-hc)</v>
      </c>
      <c r="R71" s="23" t="str">
        <f t="shared" si="161"/>
        <v>18.0</v>
      </c>
      <c r="S71" s="16" t="str">
        <f t="shared" si="148"/>
        <v>18.0</v>
      </c>
      <c r="U71" s="1" t="s">
        <v>122</v>
      </c>
      <c r="V71" s="2" t="str">
        <f t="shared" si="149"/>
        <v>-</v>
      </c>
      <c r="W71" s="1" t="s">
        <v>19</v>
      </c>
      <c r="Y71" s="1"/>
      <c r="Z71" s="2" t="str">
        <f t="shared" si="150"/>
        <v/>
      </c>
      <c r="AB71" s="2" t="str">
        <f t="shared" si="151"/>
        <v>-</v>
      </c>
      <c r="AC71" s="1" t="s">
        <v>142</v>
      </c>
    </row>
  </sheetData>
  <pageMargins left="0.7" right="0.7" top="0.75" bottom="0.75" header="0.3" footer="0.3"/>
  <headerFooter>
    <oddHeader>&amp;R&amp;"Aptos"&amp;11&amp;K000000 TUNI Luottamuksellinen - Confidential (3Y)&amp;1#_x000D_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60977F-E3B1-4573-8250-3C6795A76A7E}">
  <sheetPr codeName="Sheet2"/>
  <dimension ref="A2:R66"/>
  <sheetViews>
    <sheetView workbookViewId="0"/>
  </sheetViews>
  <sheetFormatPr defaultRowHeight="13.5" x14ac:dyDescent="0.25"/>
  <cols>
    <col min="1" max="1" width="2.7109375" style="2" customWidth="1"/>
    <col min="2" max="2" width="62.28515625" style="2" customWidth="1"/>
    <col min="3" max="3" width="12.7109375" style="2" customWidth="1"/>
    <col min="4" max="4" width="12.7109375" style="7" customWidth="1"/>
    <col min="5" max="5" width="2.7109375" style="2" customWidth="1"/>
    <col min="6" max="6" width="12.7109375" style="2" customWidth="1"/>
    <col min="7" max="7" width="2.7109375" style="2" customWidth="1"/>
    <col min="8" max="8" width="12.7109375" style="2" customWidth="1"/>
    <col min="9" max="9" width="2.7109375" style="2" customWidth="1"/>
    <col min="10" max="10" width="12.7109375" style="2" customWidth="1"/>
    <col min="11" max="11" width="2.7109375" style="2" customWidth="1"/>
    <col min="12" max="12" width="12.7109375" style="2" customWidth="1"/>
    <col min="13" max="13" width="2.7109375" style="2" customWidth="1"/>
    <col min="14" max="14" width="12.7109375" style="2" customWidth="1"/>
    <col min="15" max="15" width="2.7109375" style="2" customWidth="1"/>
    <col min="16" max="16" width="12.7109375" style="2" customWidth="1"/>
    <col min="17" max="17" width="2.7109375" style="2" customWidth="1"/>
    <col min="18" max="18" width="12.7109375" style="2" customWidth="1"/>
  </cols>
  <sheetData>
    <row r="2" spans="1:18" x14ac:dyDescent="0.25">
      <c r="A2" s="1"/>
      <c r="B2" s="1" t="s">
        <v>0</v>
      </c>
      <c r="C2" s="1" t="s">
        <v>1</v>
      </c>
      <c r="D2" s="5" t="s">
        <v>15</v>
      </c>
      <c r="E2" s="1"/>
      <c r="F2" s="1" t="s">
        <v>3</v>
      </c>
      <c r="G2" s="1"/>
      <c r="H2" s="1" t="s">
        <v>2</v>
      </c>
      <c r="I2" s="1"/>
      <c r="J2" s="1" t="s">
        <v>8</v>
      </c>
      <c r="K2" s="1"/>
      <c r="L2" s="1" t="s">
        <v>76</v>
      </c>
      <c r="M2" s="1"/>
      <c r="N2" s="1" t="s">
        <v>72</v>
      </c>
      <c r="O2" s="1"/>
      <c r="P2" s="1" t="s">
        <v>4</v>
      </c>
      <c r="Q2" s="1"/>
      <c r="R2" s="1" t="s">
        <v>5</v>
      </c>
    </row>
    <row r="3" spans="1:18" x14ac:dyDescent="0.25">
      <c r="A3" s="3" t="s">
        <v>71</v>
      </c>
      <c r="B3" s="3"/>
      <c r="C3" s="3"/>
      <c r="D3" s="6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</row>
    <row r="4" spans="1:18" x14ac:dyDescent="0.25">
      <c r="B4" s="1" t="str">
        <f>_xlfn.CONCAT("@",F4,G4,H4,I4,J4,K4,L4,M4,N4,O4,"(",P4,Q4,R4,")")</f>
        <v>@case_width-path_narrow-z11-(def)</v>
      </c>
      <c r="C4" s="5" t="str">
        <f>D4</f>
        <v>1.0</v>
      </c>
      <c r="D4" s="7" t="s">
        <v>83</v>
      </c>
      <c r="F4" s="2" t="s">
        <v>81</v>
      </c>
      <c r="G4" s="2" t="str">
        <f t="shared" ref="G4" si="0">IF(NOT(ISBLANK(H4)),"-","")</f>
        <v>-</v>
      </c>
      <c r="H4" s="2" t="s">
        <v>74</v>
      </c>
      <c r="I4" s="2" t="str">
        <f>IF(NOT(ISBLANK(J4)),"_","")</f>
        <v>_</v>
      </c>
      <c r="J4" s="2" t="s">
        <v>75</v>
      </c>
      <c r="K4" s="2" t="str">
        <f t="shared" ref="K4:K41" si="1">IF(NOT(ISBLANK(L4)),"_","")</f>
        <v/>
      </c>
      <c r="M4" s="2" t="str">
        <f t="shared" ref="M4:Q15" si="2">IF(NOT(ISBLANK(N4)),"-","")</f>
        <v>-</v>
      </c>
      <c r="N4" s="2" t="s">
        <v>73</v>
      </c>
      <c r="O4" s="2" t="str">
        <f t="shared" si="2"/>
        <v>-</v>
      </c>
      <c r="P4" s="2" t="s">
        <v>10</v>
      </c>
      <c r="Q4" s="2" t="str">
        <f t="shared" si="2"/>
        <v/>
      </c>
    </row>
    <row r="5" spans="1:18" x14ac:dyDescent="0.25">
      <c r="B5" s="1" t="str">
        <f t="shared" ref="B5:B7" si="3">_xlfn.CONCAT("@",F5,G5,H5,I5,J5,K5,L5,M5,N5,O5,"(",P5,Q5,R5,")")</f>
        <v>@case_width-path_narrow-z14-(def)</v>
      </c>
      <c r="C5" s="5" t="str">
        <f t="shared" ref="C5:C28" si="4">D5</f>
        <v>1.3</v>
      </c>
      <c r="D5" s="7" t="s">
        <v>84</v>
      </c>
      <c r="F5" s="2" t="s">
        <v>81</v>
      </c>
      <c r="G5" s="2" t="str">
        <f t="shared" ref="G5:G6" si="5">IF(NOT(ISBLANK(H5)),"-","")</f>
        <v>-</v>
      </c>
      <c r="H5" s="2" t="s">
        <v>74</v>
      </c>
      <c r="I5" s="2" t="str">
        <f t="shared" ref="I5:I28" si="6">IF(NOT(ISBLANK(J5)),"_","")</f>
        <v>_</v>
      </c>
      <c r="J5" s="2" t="s">
        <v>75</v>
      </c>
      <c r="K5" s="2" t="str">
        <f t="shared" si="1"/>
        <v/>
      </c>
      <c r="M5" s="2" t="str">
        <f t="shared" si="2"/>
        <v>-</v>
      </c>
      <c r="N5" s="2" t="s">
        <v>77</v>
      </c>
      <c r="O5" s="2" t="str">
        <f t="shared" si="2"/>
        <v>-</v>
      </c>
      <c r="P5" s="2" t="s">
        <v>10</v>
      </c>
      <c r="Q5" s="2" t="str">
        <f t="shared" si="2"/>
        <v/>
      </c>
    </row>
    <row r="6" spans="1:18" x14ac:dyDescent="0.25">
      <c r="B6" s="1" t="str">
        <f t="shared" si="3"/>
        <v>@case_width-path_narrow-z16-(def)</v>
      </c>
      <c r="C6" s="5" t="str">
        <f t="shared" si="4"/>
        <v>3.5</v>
      </c>
      <c r="D6" s="7" t="s">
        <v>85</v>
      </c>
      <c r="F6" s="2" t="s">
        <v>81</v>
      </c>
      <c r="G6" s="2" t="str">
        <f t="shared" si="5"/>
        <v>-</v>
      </c>
      <c r="H6" s="2" t="s">
        <v>74</v>
      </c>
      <c r="I6" s="2" t="str">
        <f t="shared" si="6"/>
        <v>_</v>
      </c>
      <c r="J6" s="2" t="s">
        <v>75</v>
      </c>
      <c r="K6" s="2" t="str">
        <f t="shared" si="1"/>
        <v/>
      </c>
      <c r="M6" s="2" t="str">
        <f t="shared" si="2"/>
        <v>-</v>
      </c>
      <c r="N6" s="2" t="s">
        <v>78</v>
      </c>
      <c r="O6" s="2" t="str">
        <f t="shared" si="2"/>
        <v>-</v>
      </c>
      <c r="P6" s="2" t="s">
        <v>10</v>
      </c>
      <c r="Q6" s="2" t="str">
        <f t="shared" si="2"/>
        <v/>
      </c>
    </row>
    <row r="7" spans="1:18" x14ac:dyDescent="0.25">
      <c r="B7" s="1" t="str">
        <f t="shared" si="3"/>
        <v>@case_width-path_narrow-z18-(def)</v>
      </c>
      <c r="C7" s="5" t="str">
        <f t="shared" si="4"/>
        <v>5.0</v>
      </c>
      <c r="D7" s="7" t="s">
        <v>86</v>
      </c>
      <c r="F7" s="2" t="s">
        <v>81</v>
      </c>
      <c r="G7" s="2" t="str">
        <f t="shared" ref="G7:G19" si="7">IF(NOT(ISBLANK(H7)),"-","")</f>
        <v>-</v>
      </c>
      <c r="H7" s="2" t="s">
        <v>74</v>
      </c>
      <c r="I7" s="2" t="str">
        <f t="shared" si="6"/>
        <v>_</v>
      </c>
      <c r="J7" s="2" t="s">
        <v>75</v>
      </c>
      <c r="K7" s="2" t="str">
        <f t="shared" si="1"/>
        <v/>
      </c>
      <c r="M7" s="2" t="str">
        <f t="shared" si="2"/>
        <v>-</v>
      </c>
      <c r="N7" s="2" t="s">
        <v>79</v>
      </c>
      <c r="O7" s="2" t="str">
        <f t="shared" si="2"/>
        <v>-</v>
      </c>
      <c r="P7" s="2" t="s">
        <v>10</v>
      </c>
      <c r="Q7" s="2" t="str">
        <f t="shared" si="2"/>
        <v/>
      </c>
    </row>
    <row r="8" spans="1:18" x14ac:dyDescent="0.25">
      <c r="B8" s="1" t="str">
        <f t="shared" ref="B8:B15" si="8">_xlfn.CONCAT("@",F8,G8,H8,I8,J8,K8,L8,M8,N8,O8,"(",P8,Q8,R8,")")</f>
        <v>@case_width-path_medium-z11-(def)</v>
      </c>
      <c r="C8" s="5" t="str">
        <f t="shared" si="4"/>
        <v>1.5</v>
      </c>
      <c r="D8" s="7" t="s">
        <v>87</v>
      </c>
      <c r="F8" s="2" t="s">
        <v>81</v>
      </c>
      <c r="G8" s="2" t="str">
        <f t="shared" si="7"/>
        <v>-</v>
      </c>
      <c r="H8" s="2" t="s">
        <v>74</v>
      </c>
      <c r="I8" s="2" t="str">
        <f t="shared" si="6"/>
        <v>_</v>
      </c>
      <c r="J8" s="2" t="s">
        <v>82</v>
      </c>
      <c r="K8" s="2" t="str">
        <f t="shared" si="1"/>
        <v/>
      </c>
      <c r="M8" s="2" t="str">
        <f t="shared" si="2"/>
        <v>-</v>
      </c>
      <c r="N8" s="2" t="s">
        <v>73</v>
      </c>
      <c r="O8" s="2" t="str">
        <f t="shared" si="2"/>
        <v>-</v>
      </c>
      <c r="P8" s="2" t="s">
        <v>10</v>
      </c>
    </row>
    <row r="9" spans="1:18" x14ac:dyDescent="0.25">
      <c r="B9" s="1" t="str">
        <f t="shared" si="8"/>
        <v>@case_width-path_medium-z14-(def)</v>
      </c>
      <c r="C9" s="5" t="str">
        <f t="shared" si="4"/>
        <v>2.0</v>
      </c>
      <c r="D9" s="7" t="s">
        <v>88</v>
      </c>
      <c r="F9" s="2" t="s">
        <v>81</v>
      </c>
      <c r="G9" s="2" t="str">
        <f t="shared" si="7"/>
        <v>-</v>
      </c>
      <c r="H9" s="2" t="s">
        <v>74</v>
      </c>
      <c r="I9" s="2" t="str">
        <f t="shared" si="6"/>
        <v>_</v>
      </c>
      <c r="J9" s="2" t="s">
        <v>82</v>
      </c>
      <c r="K9" s="2" t="str">
        <f t="shared" si="1"/>
        <v/>
      </c>
      <c r="M9" s="2" t="str">
        <f t="shared" si="2"/>
        <v>-</v>
      </c>
      <c r="N9" s="2" t="s">
        <v>77</v>
      </c>
      <c r="O9" s="2" t="str">
        <f t="shared" si="2"/>
        <v>-</v>
      </c>
      <c r="P9" s="2" t="s">
        <v>10</v>
      </c>
    </row>
    <row r="10" spans="1:18" x14ac:dyDescent="0.25">
      <c r="B10" s="1" t="str">
        <f t="shared" si="8"/>
        <v>@case_width-path_medium-z16-(def)</v>
      </c>
      <c r="C10" s="5" t="str">
        <f t="shared" si="4"/>
        <v>6.0</v>
      </c>
      <c r="D10" s="7" t="s">
        <v>89</v>
      </c>
      <c r="F10" s="2" t="s">
        <v>81</v>
      </c>
      <c r="G10" s="2" t="str">
        <f t="shared" si="7"/>
        <v>-</v>
      </c>
      <c r="H10" s="2" t="s">
        <v>74</v>
      </c>
      <c r="I10" s="2" t="str">
        <f t="shared" si="6"/>
        <v>_</v>
      </c>
      <c r="J10" s="2" t="s">
        <v>82</v>
      </c>
      <c r="K10" s="2" t="str">
        <f t="shared" si="1"/>
        <v/>
      </c>
      <c r="M10" s="2" t="str">
        <f t="shared" si="2"/>
        <v>-</v>
      </c>
      <c r="N10" s="2" t="s">
        <v>78</v>
      </c>
      <c r="O10" s="2" t="str">
        <f t="shared" si="2"/>
        <v>-</v>
      </c>
      <c r="P10" s="2" t="s">
        <v>10</v>
      </c>
    </row>
    <row r="11" spans="1:18" x14ac:dyDescent="0.25">
      <c r="B11" s="1" t="str">
        <f t="shared" si="8"/>
        <v>@case_width-path_medium-z18-(def)</v>
      </c>
      <c r="C11" s="5" t="str">
        <f t="shared" si="4"/>
        <v>9.0</v>
      </c>
      <c r="D11" s="7" t="s">
        <v>90</v>
      </c>
      <c r="F11" s="2" t="s">
        <v>81</v>
      </c>
      <c r="G11" s="2" t="str">
        <f t="shared" si="7"/>
        <v>-</v>
      </c>
      <c r="H11" s="2" t="s">
        <v>74</v>
      </c>
      <c r="I11" s="2" t="str">
        <f t="shared" si="6"/>
        <v>_</v>
      </c>
      <c r="J11" s="2" t="s">
        <v>82</v>
      </c>
      <c r="K11" s="2" t="str">
        <f t="shared" si="1"/>
        <v/>
      </c>
      <c r="M11" s="2" t="str">
        <f t="shared" si="2"/>
        <v>-</v>
      </c>
      <c r="N11" s="2" t="s">
        <v>79</v>
      </c>
      <c r="O11" s="2" t="str">
        <f t="shared" si="2"/>
        <v>-</v>
      </c>
      <c r="P11" s="2" t="s">
        <v>10</v>
      </c>
    </row>
    <row r="12" spans="1:18" x14ac:dyDescent="0.25">
      <c r="B12" s="1" t="str">
        <f t="shared" si="8"/>
        <v>@case_width-path_wide-z11-(def)</v>
      </c>
      <c r="C12" s="5" t="str">
        <f t="shared" si="4"/>
        <v>2.0</v>
      </c>
      <c r="D12" s="7" t="s">
        <v>88</v>
      </c>
      <c r="F12" s="2" t="s">
        <v>81</v>
      </c>
      <c r="G12" s="2" t="str">
        <f t="shared" si="7"/>
        <v>-</v>
      </c>
      <c r="H12" s="2" t="s">
        <v>74</v>
      </c>
      <c r="I12" s="2" t="str">
        <f t="shared" si="6"/>
        <v>_</v>
      </c>
      <c r="J12" s="2" t="s">
        <v>80</v>
      </c>
      <c r="K12" s="2" t="str">
        <f t="shared" si="1"/>
        <v/>
      </c>
      <c r="M12" s="2" t="str">
        <f t="shared" si="2"/>
        <v>-</v>
      </c>
      <c r="N12" s="2" t="s">
        <v>73</v>
      </c>
      <c r="O12" s="2" t="str">
        <f t="shared" si="2"/>
        <v>-</v>
      </c>
      <c r="P12" s="2" t="s">
        <v>10</v>
      </c>
    </row>
    <row r="13" spans="1:18" x14ac:dyDescent="0.25">
      <c r="B13" s="1" t="str">
        <f t="shared" si="8"/>
        <v>@case_width-path_wide-z14-(def)</v>
      </c>
      <c r="C13" s="5" t="str">
        <f t="shared" si="4"/>
        <v>3.0</v>
      </c>
      <c r="D13" s="7" t="s">
        <v>91</v>
      </c>
      <c r="F13" s="2" t="s">
        <v>81</v>
      </c>
      <c r="G13" s="2" t="str">
        <f t="shared" si="7"/>
        <v>-</v>
      </c>
      <c r="H13" s="2" t="s">
        <v>74</v>
      </c>
      <c r="I13" s="2" t="str">
        <f t="shared" si="6"/>
        <v>_</v>
      </c>
      <c r="J13" s="2" t="s">
        <v>80</v>
      </c>
      <c r="K13" s="2" t="str">
        <f t="shared" si="1"/>
        <v/>
      </c>
      <c r="M13" s="2" t="str">
        <f t="shared" si="2"/>
        <v>-</v>
      </c>
      <c r="N13" s="2" t="s">
        <v>77</v>
      </c>
      <c r="O13" s="2" t="str">
        <f t="shared" si="2"/>
        <v>-</v>
      </c>
      <c r="P13" s="2" t="s">
        <v>10</v>
      </c>
    </row>
    <row r="14" spans="1:18" x14ac:dyDescent="0.25">
      <c r="B14" s="1" t="str">
        <f t="shared" si="8"/>
        <v>@case_width-path_wide-z16-(def)</v>
      </c>
      <c r="C14" s="5" t="str">
        <f t="shared" si="4"/>
        <v>9.0</v>
      </c>
      <c r="D14" s="7" t="s">
        <v>90</v>
      </c>
      <c r="F14" s="2" t="s">
        <v>81</v>
      </c>
      <c r="G14" s="2" t="str">
        <f t="shared" si="7"/>
        <v>-</v>
      </c>
      <c r="H14" s="2" t="s">
        <v>74</v>
      </c>
      <c r="I14" s="2" t="str">
        <f t="shared" si="6"/>
        <v>_</v>
      </c>
      <c r="J14" s="2" t="s">
        <v>80</v>
      </c>
      <c r="K14" s="2" t="str">
        <f t="shared" si="1"/>
        <v/>
      </c>
      <c r="M14" s="2" t="str">
        <f t="shared" si="2"/>
        <v>-</v>
      </c>
      <c r="N14" s="2" t="s">
        <v>78</v>
      </c>
      <c r="O14" s="2" t="str">
        <f t="shared" si="2"/>
        <v>-</v>
      </c>
      <c r="P14" s="2" t="s">
        <v>10</v>
      </c>
    </row>
    <row r="15" spans="1:18" x14ac:dyDescent="0.25">
      <c r="B15" s="1" t="str">
        <f t="shared" si="8"/>
        <v>@case_width-path_wide-z18-(def)</v>
      </c>
      <c r="C15" s="5" t="str">
        <f t="shared" si="4"/>
        <v>15.0</v>
      </c>
      <c r="D15" s="7" t="s">
        <v>92</v>
      </c>
      <c r="F15" s="2" t="s">
        <v>81</v>
      </c>
      <c r="G15" s="2" t="str">
        <f t="shared" si="7"/>
        <v>-</v>
      </c>
      <c r="H15" s="2" t="s">
        <v>74</v>
      </c>
      <c r="I15" s="2" t="str">
        <f t="shared" si="6"/>
        <v>_</v>
      </c>
      <c r="J15" s="2" t="s">
        <v>80</v>
      </c>
      <c r="K15" s="2" t="str">
        <f t="shared" si="1"/>
        <v/>
      </c>
      <c r="M15" s="2" t="str">
        <f t="shared" si="2"/>
        <v>-</v>
      </c>
      <c r="N15" s="2" t="s">
        <v>79</v>
      </c>
      <c r="O15" s="2" t="str">
        <f t="shared" si="2"/>
        <v>-</v>
      </c>
      <c r="P15" s="2" t="s">
        <v>10</v>
      </c>
    </row>
    <row r="16" spans="1:18" x14ac:dyDescent="0.25">
      <c r="B16" s="1"/>
      <c r="C16" s="5"/>
    </row>
    <row r="17" spans="2:18" x14ac:dyDescent="0.25">
      <c r="B17" s="1" t="str">
        <f>_xlfn.CONCAT("@",F17,G17,H17,I17,J17,K17,L17,M17,N17,O17,"(",P17,Q17,R17,")")</f>
        <v>@case_width-path_narrow-z11-(def-hc)</v>
      </c>
      <c r="C17" s="5" t="str">
        <f>D17</f>
        <v>2.0</v>
      </c>
      <c r="D17" s="7" t="s">
        <v>88</v>
      </c>
      <c r="F17" s="2" t="s">
        <v>81</v>
      </c>
      <c r="G17" s="2" t="str">
        <f t="shared" si="7"/>
        <v>-</v>
      </c>
      <c r="H17" s="2" t="s">
        <v>74</v>
      </c>
      <c r="I17" s="2" t="str">
        <f t="shared" si="6"/>
        <v>_</v>
      </c>
      <c r="J17" s="2" t="s">
        <v>75</v>
      </c>
      <c r="K17" s="2" t="str">
        <f t="shared" si="1"/>
        <v/>
      </c>
      <c r="M17" s="2" t="str">
        <f t="shared" ref="M17:M28" si="9">IF(NOT(ISBLANK(N17)),"-","")</f>
        <v>-</v>
      </c>
      <c r="N17" s="2" t="s">
        <v>73</v>
      </c>
      <c r="O17" s="2" t="str">
        <f t="shared" ref="O17:O28" si="10">IF(NOT(ISBLANK(P17)),"-","")</f>
        <v>-</v>
      </c>
      <c r="P17" s="2" t="s">
        <v>10</v>
      </c>
      <c r="Q17" s="2" t="str">
        <f t="shared" ref="Q17:Q28" si="11">IF(NOT(ISBLANK(R17)),"-","")</f>
        <v>-</v>
      </c>
      <c r="R17" s="2" t="s">
        <v>11</v>
      </c>
    </row>
    <row r="18" spans="2:18" x14ac:dyDescent="0.25">
      <c r="B18" s="1" t="str">
        <f t="shared" ref="B18:B28" si="12">_xlfn.CONCAT("@",F18,G18,H18,I18,J18,K18,L18,M18,N18,O18,"(",P18,Q18,R18,")")</f>
        <v>@case_width-path_narrow-z14-(def-hc)</v>
      </c>
      <c r="C18" s="5" t="str">
        <f t="shared" si="4"/>
        <v>2.5</v>
      </c>
      <c r="D18" s="7" t="s">
        <v>93</v>
      </c>
      <c r="F18" s="2" t="s">
        <v>81</v>
      </c>
      <c r="G18" s="2" t="str">
        <f t="shared" si="7"/>
        <v>-</v>
      </c>
      <c r="H18" s="2" t="s">
        <v>74</v>
      </c>
      <c r="I18" s="2" t="str">
        <f t="shared" si="6"/>
        <v>_</v>
      </c>
      <c r="J18" s="2" t="s">
        <v>75</v>
      </c>
      <c r="K18" s="2" t="str">
        <f t="shared" si="1"/>
        <v/>
      </c>
      <c r="M18" s="2" t="str">
        <f t="shared" si="9"/>
        <v>-</v>
      </c>
      <c r="N18" s="2" t="s">
        <v>77</v>
      </c>
      <c r="O18" s="2" t="str">
        <f t="shared" si="10"/>
        <v>-</v>
      </c>
      <c r="P18" s="2" t="s">
        <v>10</v>
      </c>
      <c r="Q18" s="2" t="str">
        <f t="shared" si="11"/>
        <v>-</v>
      </c>
      <c r="R18" s="2" t="s">
        <v>11</v>
      </c>
    </row>
    <row r="19" spans="2:18" x14ac:dyDescent="0.25">
      <c r="B19" s="1" t="str">
        <f t="shared" si="12"/>
        <v>@case_width-path_narrow-z16-(def-hc)</v>
      </c>
      <c r="C19" s="5" t="str">
        <f t="shared" si="4"/>
        <v>3.0</v>
      </c>
      <c r="D19" s="7" t="s">
        <v>91</v>
      </c>
      <c r="F19" s="2" t="s">
        <v>81</v>
      </c>
      <c r="G19" s="2" t="str">
        <f t="shared" si="7"/>
        <v>-</v>
      </c>
      <c r="H19" s="2" t="s">
        <v>74</v>
      </c>
      <c r="I19" s="2" t="str">
        <f t="shared" si="6"/>
        <v>_</v>
      </c>
      <c r="J19" s="2" t="s">
        <v>75</v>
      </c>
      <c r="K19" s="2" t="str">
        <f t="shared" si="1"/>
        <v/>
      </c>
      <c r="M19" s="2" t="str">
        <f t="shared" si="9"/>
        <v>-</v>
      </c>
      <c r="N19" s="2" t="s">
        <v>78</v>
      </c>
      <c r="O19" s="2" t="str">
        <f t="shared" si="10"/>
        <v>-</v>
      </c>
      <c r="P19" s="2" t="s">
        <v>10</v>
      </c>
      <c r="Q19" s="2" t="str">
        <f t="shared" si="11"/>
        <v>-</v>
      </c>
      <c r="R19" s="2" t="s">
        <v>11</v>
      </c>
    </row>
    <row r="20" spans="2:18" x14ac:dyDescent="0.25">
      <c r="B20" s="1" t="str">
        <f t="shared" si="12"/>
        <v>@case_width-path_narrow-z18-(def-hc)</v>
      </c>
      <c r="C20" s="5" t="str">
        <f t="shared" si="4"/>
        <v>7.5</v>
      </c>
      <c r="D20" s="7" t="s">
        <v>94</v>
      </c>
      <c r="F20" s="2" t="s">
        <v>81</v>
      </c>
      <c r="G20" s="2" t="str">
        <f t="shared" ref="G20:G28" si="13">IF(NOT(ISBLANK(H20)),"-","")</f>
        <v>-</v>
      </c>
      <c r="H20" s="2" t="s">
        <v>74</v>
      </c>
      <c r="I20" s="2" t="str">
        <f t="shared" si="6"/>
        <v>_</v>
      </c>
      <c r="J20" s="2" t="s">
        <v>75</v>
      </c>
      <c r="K20" s="2" t="str">
        <f t="shared" si="1"/>
        <v/>
      </c>
      <c r="M20" s="2" t="str">
        <f t="shared" si="9"/>
        <v>-</v>
      </c>
      <c r="N20" s="2" t="s">
        <v>79</v>
      </c>
      <c r="O20" s="2" t="str">
        <f t="shared" si="10"/>
        <v>-</v>
      </c>
      <c r="P20" s="2" t="s">
        <v>10</v>
      </c>
      <c r="Q20" s="2" t="str">
        <f t="shared" si="11"/>
        <v>-</v>
      </c>
      <c r="R20" s="2" t="s">
        <v>11</v>
      </c>
    </row>
    <row r="21" spans="2:18" x14ac:dyDescent="0.25">
      <c r="B21" s="1" t="str">
        <f t="shared" si="12"/>
        <v>@case_width-path_medium-z11-(def-hc)</v>
      </c>
      <c r="C21" s="5" t="str">
        <f t="shared" si="4"/>
        <v>3.0</v>
      </c>
      <c r="D21" s="7" t="s">
        <v>91</v>
      </c>
      <c r="F21" s="2" t="s">
        <v>81</v>
      </c>
      <c r="G21" s="2" t="str">
        <f t="shared" si="13"/>
        <v>-</v>
      </c>
      <c r="H21" s="2" t="s">
        <v>74</v>
      </c>
      <c r="I21" s="2" t="str">
        <f t="shared" si="6"/>
        <v>_</v>
      </c>
      <c r="J21" s="2" t="s">
        <v>82</v>
      </c>
      <c r="K21" s="2" t="str">
        <f t="shared" si="1"/>
        <v/>
      </c>
      <c r="M21" s="2" t="str">
        <f t="shared" si="9"/>
        <v>-</v>
      </c>
      <c r="N21" s="2" t="s">
        <v>73</v>
      </c>
      <c r="O21" s="2" t="str">
        <f t="shared" si="10"/>
        <v>-</v>
      </c>
      <c r="P21" s="2" t="s">
        <v>10</v>
      </c>
      <c r="Q21" s="2" t="str">
        <f t="shared" si="11"/>
        <v>-</v>
      </c>
      <c r="R21" s="2" t="s">
        <v>11</v>
      </c>
    </row>
    <row r="22" spans="2:18" x14ac:dyDescent="0.25">
      <c r="B22" s="1" t="str">
        <f t="shared" si="12"/>
        <v>@case_width-path_medium-z14-(def-hc)</v>
      </c>
      <c r="C22" s="5" t="str">
        <f t="shared" si="4"/>
        <v>4.0</v>
      </c>
      <c r="D22" s="7" t="s">
        <v>95</v>
      </c>
      <c r="F22" s="2" t="s">
        <v>81</v>
      </c>
      <c r="G22" s="2" t="str">
        <f t="shared" si="13"/>
        <v>-</v>
      </c>
      <c r="H22" s="2" t="s">
        <v>74</v>
      </c>
      <c r="I22" s="2" t="str">
        <f t="shared" si="6"/>
        <v>_</v>
      </c>
      <c r="J22" s="2" t="s">
        <v>82</v>
      </c>
      <c r="K22" s="2" t="str">
        <f t="shared" si="1"/>
        <v/>
      </c>
      <c r="M22" s="2" t="str">
        <f t="shared" si="9"/>
        <v>-</v>
      </c>
      <c r="N22" s="2" t="s">
        <v>77</v>
      </c>
      <c r="O22" s="2" t="str">
        <f t="shared" si="10"/>
        <v>-</v>
      </c>
      <c r="P22" s="2" t="s">
        <v>10</v>
      </c>
      <c r="Q22" s="2" t="str">
        <f t="shared" si="11"/>
        <v>-</v>
      </c>
      <c r="R22" s="2" t="s">
        <v>11</v>
      </c>
    </row>
    <row r="23" spans="2:18" x14ac:dyDescent="0.25">
      <c r="B23" s="1" t="str">
        <f t="shared" si="12"/>
        <v>@case_width-path_medium-z16-(def-hc)</v>
      </c>
      <c r="C23" s="5" t="str">
        <f t="shared" si="4"/>
        <v>6.0</v>
      </c>
      <c r="D23" s="7" t="s">
        <v>89</v>
      </c>
      <c r="F23" s="2" t="s">
        <v>81</v>
      </c>
      <c r="G23" s="2" t="str">
        <f t="shared" si="13"/>
        <v>-</v>
      </c>
      <c r="H23" s="2" t="s">
        <v>74</v>
      </c>
      <c r="I23" s="2" t="str">
        <f t="shared" si="6"/>
        <v>_</v>
      </c>
      <c r="J23" s="2" t="s">
        <v>82</v>
      </c>
      <c r="K23" s="2" t="str">
        <f t="shared" si="1"/>
        <v/>
      </c>
      <c r="M23" s="2" t="str">
        <f t="shared" si="9"/>
        <v>-</v>
      </c>
      <c r="N23" s="2" t="s">
        <v>78</v>
      </c>
      <c r="O23" s="2" t="str">
        <f t="shared" si="10"/>
        <v>-</v>
      </c>
      <c r="P23" s="2" t="s">
        <v>10</v>
      </c>
      <c r="Q23" s="2" t="str">
        <f t="shared" si="11"/>
        <v>-</v>
      </c>
      <c r="R23" s="2" t="s">
        <v>11</v>
      </c>
    </row>
    <row r="24" spans="2:18" x14ac:dyDescent="0.25">
      <c r="B24" s="1" t="str">
        <f t="shared" si="12"/>
        <v>@case_width-path_medium-z18-(def-hc)</v>
      </c>
      <c r="C24" s="5" t="str">
        <f t="shared" si="4"/>
        <v>13.5</v>
      </c>
      <c r="D24" s="7" t="s">
        <v>96</v>
      </c>
      <c r="F24" s="2" t="s">
        <v>81</v>
      </c>
      <c r="G24" s="2" t="str">
        <f t="shared" si="13"/>
        <v>-</v>
      </c>
      <c r="H24" s="2" t="s">
        <v>74</v>
      </c>
      <c r="I24" s="2" t="str">
        <f t="shared" si="6"/>
        <v>_</v>
      </c>
      <c r="J24" s="2" t="s">
        <v>82</v>
      </c>
      <c r="K24" s="2" t="str">
        <f t="shared" si="1"/>
        <v/>
      </c>
      <c r="M24" s="2" t="str">
        <f t="shared" si="9"/>
        <v>-</v>
      </c>
      <c r="N24" s="2" t="s">
        <v>79</v>
      </c>
      <c r="O24" s="2" t="str">
        <f t="shared" si="10"/>
        <v>-</v>
      </c>
      <c r="P24" s="2" t="s">
        <v>10</v>
      </c>
      <c r="Q24" s="2" t="str">
        <f t="shared" si="11"/>
        <v>-</v>
      </c>
      <c r="R24" s="2" t="s">
        <v>11</v>
      </c>
    </row>
    <row r="25" spans="2:18" x14ac:dyDescent="0.25">
      <c r="B25" s="1" t="str">
        <f t="shared" si="12"/>
        <v>@case_width-path_wide-z11-(def-hc)</v>
      </c>
      <c r="C25" s="5" t="str">
        <f t="shared" si="4"/>
        <v>4.0</v>
      </c>
      <c r="D25" s="7" t="s">
        <v>95</v>
      </c>
      <c r="F25" s="2" t="s">
        <v>81</v>
      </c>
      <c r="G25" s="2" t="str">
        <f t="shared" si="13"/>
        <v>-</v>
      </c>
      <c r="H25" s="2" t="s">
        <v>74</v>
      </c>
      <c r="I25" s="2" t="str">
        <f t="shared" si="6"/>
        <v>_</v>
      </c>
      <c r="J25" s="2" t="s">
        <v>80</v>
      </c>
      <c r="K25" s="2" t="str">
        <f t="shared" si="1"/>
        <v/>
      </c>
      <c r="M25" s="2" t="str">
        <f t="shared" si="9"/>
        <v>-</v>
      </c>
      <c r="N25" s="2" t="s">
        <v>73</v>
      </c>
      <c r="O25" s="2" t="str">
        <f t="shared" si="10"/>
        <v>-</v>
      </c>
      <c r="P25" s="2" t="s">
        <v>10</v>
      </c>
      <c r="Q25" s="2" t="str">
        <f t="shared" si="11"/>
        <v>-</v>
      </c>
      <c r="R25" s="2" t="s">
        <v>11</v>
      </c>
    </row>
    <row r="26" spans="2:18" x14ac:dyDescent="0.25">
      <c r="B26" s="1" t="str">
        <f t="shared" si="12"/>
        <v>@case_width-path_wide-z14-(def-hc)</v>
      </c>
      <c r="C26" s="5" t="str">
        <f t="shared" si="4"/>
        <v>6.0</v>
      </c>
      <c r="D26" s="7" t="s">
        <v>89</v>
      </c>
      <c r="F26" s="2" t="s">
        <v>81</v>
      </c>
      <c r="G26" s="2" t="str">
        <f t="shared" si="13"/>
        <v>-</v>
      </c>
      <c r="H26" s="2" t="s">
        <v>74</v>
      </c>
      <c r="I26" s="2" t="str">
        <f t="shared" si="6"/>
        <v>_</v>
      </c>
      <c r="J26" s="2" t="s">
        <v>80</v>
      </c>
      <c r="K26" s="2" t="str">
        <f t="shared" si="1"/>
        <v/>
      </c>
      <c r="M26" s="2" t="str">
        <f t="shared" si="9"/>
        <v>-</v>
      </c>
      <c r="N26" s="2" t="s">
        <v>77</v>
      </c>
      <c r="O26" s="2" t="str">
        <f t="shared" si="10"/>
        <v>-</v>
      </c>
      <c r="P26" s="2" t="s">
        <v>10</v>
      </c>
      <c r="Q26" s="2" t="str">
        <f t="shared" si="11"/>
        <v>-</v>
      </c>
      <c r="R26" s="2" t="s">
        <v>11</v>
      </c>
    </row>
    <row r="27" spans="2:18" x14ac:dyDescent="0.25">
      <c r="B27" s="1" t="str">
        <f t="shared" si="12"/>
        <v>@case_width-path_wide-z16-(def-hc)</v>
      </c>
      <c r="C27" s="5" t="str">
        <f t="shared" si="4"/>
        <v>9.0</v>
      </c>
      <c r="D27" s="7" t="s">
        <v>90</v>
      </c>
      <c r="F27" s="2" t="s">
        <v>81</v>
      </c>
      <c r="G27" s="2" t="str">
        <f t="shared" si="13"/>
        <v>-</v>
      </c>
      <c r="H27" s="2" t="s">
        <v>74</v>
      </c>
      <c r="I27" s="2" t="str">
        <f t="shared" si="6"/>
        <v>_</v>
      </c>
      <c r="J27" s="2" t="s">
        <v>80</v>
      </c>
      <c r="K27" s="2" t="str">
        <f t="shared" si="1"/>
        <v/>
      </c>
      <c r="M27" s="2" t="str">
        <f t="shared" si="9"/>
        <v>-</v>
      </c>
      <c r="N27" s="2" t="s">
        <v>78</v>
      </c>
      <c r="O27" s="2" t="str">
        <f t="shared" si="10"/>
        <v>-</v>
      </c>
      <c r="P27" s="2" t="s">
        <v>10</v>
      </c>
      <c r="Q27" s="2" t="str">
        <f t="shared" si="11"/>
        <v>-</v>
      </c>
      <c r="R27" s="2" t="s">
        <v>11</v>
      </c>
    </row>
    <row r="28" spans="2:18" x14ac:dyDescent="0.25">
      <c r="B28" s="1" t="str">
        <f t="shared" si="12"/>
        <v>@case_width-path_wide-z18-(def-hc)</v>
      </c>
      <c r="C28" s="5" t="str">
        <f t="shared" si="4"/>
        <v>22.5</v>
      </c>
      <c r="D28" s="7" t="s">
        <v>97</v>
      </c>
      <c r="F28" s="2" t="s">
        <v>81</v>
      </c>
      <c r="G28" s="2" t="str">
        <f t="shared" si="13"/>
        <v>-</v>
      </c>
      <c r="H28" s="2" t="s">
        <v>74</v>
      </c>
      <c r="I28" s="2" t="str">
        <f t="shared" si="6"/>
        <v>_</v>
      </c>
      <c r="J28" s="2" t="s">
        <v>80</v>
      </c>
      <c r="K28" s="2" t="str">
        <f t="shared" si="1"/>
        <v/>
      </c>
      <c r="M28" s="2" t="str">
        <f t="shared" si="9"/>
        <v>-</v>
      </c>
      <c r="N28" s="2" t="s">
        <v>79</v>
      </c>
      <c r="O28" s="2" t="str">
        <f t="shared" si="10"/>
        <v>-</v>
      </c>
      <c r="P28" s="2" t="s">
        <v>10</v>
      </c>
      <c r="Q28" s="2" t="str">
        <f t="shared" si="11"/>
        <v>-</v>
      </c>
      <c r="R28" s="2" t="s">
        <v>11</v>
      </c>
    </row>
    <row r="30" spans="2:18" x14ac:dyDescent="0.25">
      <c r="B30" s="1" t="str">
        <f>_xlfn.CONCAT("@",F30,G30,H30,I30,J30,K30,L30,M30,N30,O30,"(",P30,Q30,R30,")")</f>
        <v>@case_width-path_narrow-z11-(gr)</v>
      </c>
      <c r="C30" s="5" t="str">
        <f>D30</f>
        <v>0.5</v>
      </c>
      <c r="D30" s="7" t="s">
        <v>98</v>
      </c>
      <c r="F30" s="2" t="s">
        <v>81</v>
      </c>
      <c r="G30" s="2" t="str">
        <f t="shared" ref="G30:G41" si="14">IF(NOT(ISBLANK(H30)),"-","")</f>
        <v>-</v>
      </c>
      <c r="H30" s="2" t="s">
        <v>74</v>
      </c>
      <c r="I30" s="2" t="str">
        <f>IF(NOT(ISBLANK(J30)),"_","")</f>
        <v>_</v>
      </c>
      <c r="J30" s="2" t="s">
        <v>75</v>
      </c>
      <c r="K30" s="2" t="str">
        <f t="shared" si="1"/>
        <v/>
      </c>
      <c r="M30" s="2" t="str">
        <f t="shared" ref="M30:M41" si="15">IF(NOT(ISBLANK(N30)),"-","")</f>
        <v>-</v>
      </c>
      <c r="N30" s="2" t="s">
        <v>73</v>
      </c>
      <c r="O30" s="2" t="str">
        <f t="shared" ref="O30:O41" si="16">IF(NOT(ISBLANK(P30)),"-","")</f>
        <v>-</v>
      </c>
      <c r="P30" s="2" t="s">
        <v>23</v>
      </c>
      <c r="Q30" s="2" t="str">
        <f t="shared" ref="Q30:Q33" si="17">IF(NOT(ISBLANK(R30)),"-","")</f>
        <v/>
      </c>
    </row>
    <row r="31" spans="2:18" x14ac:dyDescent="0.25">
      <c r="B31" s="1" t="str">
        <f t="shared" ref="B31:B41" si="18">_xlfn.CONCAT("@",F31,G31,H31,I31,J31,K31,L31,M31,N31,O31,"(",P31,Q31,R31,")")</f>
        <v>@case_width-path_narrow-z14-(gr)</v>
      </c>
      <c r="C31" s="5" t="str">
        <f t="shared" ref="C31:C41" si="19">D31</f>
        <v>1.0</v>
      </c>
      <c r="D31" s="7" t="s">
        <v>83</v>
      </c>
      <c r="F31" s="2" t="s">
        <v>81</v>
      </c>
      <c r="G31" s="2" t="str">
        <f t="shared" si="14"/>
        <v>-</v>
      </c>
      <c r="H31" s="2" t="s">
        <v>74</v>
      </c>
      <c r="I31" s="2" t="str">
        <f t="shared" ref="I31:I41" si="20">IF(NOT(ISBLANK(J31)),"_","")</f>
        <v>_</v>
      </c>
      <c r="J31" s="2" t="s">
        <v>75</v>
      </c>
      <c r="K31" s="2" t="str">
        <f t="shared" si="1"/>
        <v/>
      </c>
      <c r="M31" s="2" t="str">
        <f t="shared" si="15"/>
        <v>-</v>
      </c>
      <c r="N31" s="2" t="s">
        <v>77</v>
      </c>
      <c r="O31" s="2" t="str">
        <f t="shared" si="16"/>
        <v>-</v>
      </c>
      <c r="P31" s="2" t="s">
        <v>23</v>
      </c>
      <c r="Q31" s="2" t="str">
        <f t="shared" si="17"/>
        <v/>
      </c>
    </row>
    <row r="32" spans="2:18" x14ac:dyDescent="0.25">
      <c r="B32" s="1" t="str">
        <f t="shared" si="18"/>
        <v>@case_width-path_narrow-z16-(gr)</v>
      </c>
      <c r="C32" s="5" t="str">
        <f t="shared" si="19"/>
        <v>1.0</v>
      </c>
      <c r="D32" s="7" t="s">
        <v>83</v>
      </c>
      <c r="F32" s="2" t="s">
        <v>81</v>
      </c>
      <c r="G32" s="2" t="str">
        <f t="shared" si="14"/>
        <v>-</v>
      </c>
      <c r="H32" s="2" t="s">
        <v>74</v>
      </c>
      <c r="I32" s="2" t="str">
        <f t="shared" si="20"/>
        <v>_</v>
      </c>
      <c r="J32" s="2" t="s">
        <v>75</v>
      </c>
      <c r="K32" s="2" t="str">
        <f t="shared" si="1"/>
        <v/>
      </c>
      <c r="M32" s="2" t="str">
        <f t="shared" si="15"/>
        <v>-</v>
      </c>
      <c r="N32" s="2" t="s">
        <v>78</v>
      </c>
      <c r="O32" s="2" t="str">
        <f t="shared" si="16"/>
        <v>-</v>
      </c>
      <c r="P32" s="2" t="s">
        <v>23</v>
      </c>
      <c r="Q32" s="2" t="str">
        <f t="shared" si="17"/>
        <v/>
      </c>
    </row>
    <row r="33" spans="1:18" x14ac:dyDescent="0.25">
      <c r="B33" s="1" t="str">
        <f t="shared" si="18"/>
        <v>@case_width-path_narrow-z18-(gr)</v>
      </c>
      <c r="C33" s="5" t="str">
        <f t="shared" si="19"/>
        <v>1.5</v>
      </c>
      <c r="D33" s="7" t="s">
        <v>87</v>
      </c>
      <c r="F33" s="2" t="s">
        <v>81</v>
      </c>
      <c r="G33" s="2" t="str">
        <f t="shared" si="14"/>
        <v>-</v>
      </c>
      <c r="H33" s="2" t="s">
        <v>74</v>
      </c>
      <c r="I33" s="2" t="str">
        <f t="shared" si="20"/>
        <v>_</v>
      </c>
      <c r="J33" s="2" t="s">
        <v>75</v>
      </c>
      <c r="K33" s="2" t="str">
        <f t="shared" si="1"/>
        <v/>
      </c>
      <c r="M33" s="2" t="str">
        <f t="shared" si="15"/>
        <v>-</v>
      </c>
      <c r="N33" s="2" t="s">
        <v>79</v>
      </c>
      <c r="O33" s="2" t="str">
        <f t="shared" si="16"/>
        <v>-</v>
      </c>
      <c r="P33" s="2" t="s">
        <v>23</v>
      </c>
      <c r="Q33" s="2" t="str">
        <f t="shared" si="17"/>
        <v/>
      </c>
    </row>
    <row r="34" spans="1:18" x14ac:dyDescent="0.25">
      <c r="B34" s="1" t="str">
        <f t="shared" si="18"/>
        <v>@case_width-path_medium-z11-(gr)</v>
      </c>
      <c r="C34" s="5" t="str">
        <f t="shared" si="19"/>
        <v>0.8</v>
      </c>
      <c r="D34" s="7" t="s">
        <v>99</v>
      </c>
      <c r="F34" s="2" t="s">
        <v>81</v>
      </c>
      <c r="G34" s="2" t="str">
        <f t="shared" si="14"/>
        <v>-</v>
      </c>
      <c r="H34" s="2" t="s">
        <v>74</v>
      </c>
      <c r="I34" s="2" t="str">
        <f t="shared" si="20"/>
        <v>_</v>
      </c>
      <c r="J34" s="2" t="s">
        <v>82</v>
      </c>
      <c r="K34" s="2" t="str">
        <f t="shared" si="1"/>
        <v/>
      </c>
      <c r="M34" s="2" t="str">
        <f t="shared" si="15"/>
        <v>-</v>
      </c>
      <c r="N34" s="2" t="s">
        <v>73</v>
      </c>
      <c r="O34" s="2" t="str">
        <f t="shared" si="16"/>
        <v>-</v>
      </c>
      <c r="P34" s="2" t="s">
        <v>23</v>
      </c>
    </row>
    <row r="35" spans="1:18" x14ac:dyDescent="0.25">
      <c r="B35" s="1" t="str">
        <f t="shared" si="18"/>
        <v>@case_width-path_medium-z14-(gr)</v>
      </c>
      <c r="C35" s="5" t="str">
        <f t="shared" si="19"/>
        <v>1.2</v>
      </c>
      <c r="D35" s="7" t="s">
        <v>100</v>
      </c>
      <c r="F35" s="2" t="s">
        <v>81</v>
      </c>
      <c r="G35" s="2" t="str">
        <f t="shared" si="14"/>
        <v>-</v>
      </c>
      <c r="H35" s="2" t="s">
        <v>74</v>
      </c>
      <c r="I35" s="2" t="str">
        <f t="shared" si="20"/>
        <v>_</v>
      </c>
      <c r="J35" s="2" t="s">
        <v>82</v>
      </c>
      <c r="K35" s="2" t="str">
        <f t="shared" si="1"/>
        <v/>
      </c>
      <c r="M35" s="2" t="str">
        <f t="shared" si="15"/>
        <v>-</v>
      </c>
      <c r="N35" s="2" t="s">
        <v>77</v>
      </c>
      <c r="O35" s="2" t="str">
        <f t="shared" si="16"/>
        <v>-</v>
      </c>
      <c r="P35" s="2" t="s">
        <v>23</v>
      </c>
    </row>
    <row r="36" spans="1:18" x14ac:dyDescent="0.25">
      <c r="B36" s="1" t="str">
        <f t="shared" si="18"/>
        <v>@case_width-path_medium-z16-(gr)</v>
      </c>
      <c r="C36" s="5" t="str">
        <f t="shared" si="19"/>
        <v>1.6</v>
      </c>
      <c r="D36" s="7" t="s">
        <v>101</v>
      </c>
      <c r="F36" s="2" t="s">
        <v>81</v>
      </c>
      <c r="G36" s="2" t="str">
        <f t="shared" si="14"/>
        <v>-</v>
      </c>
      <c r="H36" s="2" t="s">
        <v>74</v>
      </c>
      <c r="I36" s="2" t="str">
        <f t="shared" si="20"/>
        <v>_</v>
      </c>
      <c r="J36" s="2" t="s">
        <v>82</v>
      </c>
      <c r="K36" s="2" t="str">
        <f t="shared" si="1"/>
        <v/>
      </c>
      <c r="M36" s="2" t="str">
        <f t="shared" si="15"/>
        <v>-</v>
      </c>
      <c r="N36" s="2" t="s">
        <v>78</v>
      </c>
      <c r="O36" s="2" t="str">
        <f t="shared" si="16"/>
        <v>-</v>
      </c>
      <c r="P36" s="2" t="s">
        <v>23</v>
      </c>
    </row>
    <row r="37" spans="1:18" x14ac:dyDescent="0.25">
      <c r="B37" s="1" t="str">
        <f t="shared" si="18"/>
        <v>@case_width-path_medium-z18-(gr)</v>
      </c>
      <c r="C37" s="5" t="str">
        <f t="shared" si="19"/>
        <v>2.4</v>
      </c>
      <c r="D37" s="7" t="s">
        <v>102</v>
      </c>
      <c r="F37" s="2" t="s">
        <v>81</v>
      </c>
      <c r="G37" s="2" t="str">
        <f t="shared" si="14"/>
        <v>-</v>
      </c>
      <c r="H37" s="2" t="s">
        <v>74</v>
      </c>
      <c r="I37" s="2" t="str">
        <f t="shared" si="20"/>
        <v>_</v>
      </c>
      <c r="J37" s="2" t="s">
        <v>82</v>
      </c>
      <c r="K37" s="2" t="str">
        <f t="shared" si="1"/>
        <v/>
      </c>
      <c r="M37" s="2" t="str">
        <f t="shared" si="15"/>
        <v>-</v>
      </c>
      <c r="N37" s="2" t="s">
        <v>79</v>
      </c>
      <c r="O37" s="2" t="str">
        <f t="shared" si="16"/>
        <v>-</v>
      </c>
      <c r="P37" s="2" t="s">
        <v>23</v>
      </c>
    </row>
    <row r="38" spans="1:18" x14ac:dyDescent="0.25">
      <c r="B38" s="1" t="str">
        <f t="shared" si="18"/>
        <v>@case_width-path_wide-z11-(gr)</v>
      </c>
      <c r="C38" s="5" t="str">
        <f t="shared" si="19"/>
        <v>1.5</v>
      </c>
      <c r="D38" s="7" t="s">
        <v>87</v>
      </c>
      <c r="F38" s="2" t="s">
        <v>81</v>
      </c>
      <c r="G38" s="2" t="str">
        <f t="shared" si="14"/>
        <v>-</v>
      </c>
      <c r="H38" s="2" t="s">
        <v>74</v>
      </c>
      <c r="I38" s="2" t="str">
        <f t="shared" si="20"/>
        <v>_</v>
      </c>
      <c r="J38" s="2" t="s">
        <v>80</v>
      </c>
      <c r="K38" s="2" t="str">
        <f t="shared" si="1"/>
        <v/>
      </c>
      <c r="M38" s="2" t="str">
        <f t="shared" si="15"/>
        <v>-</v>
      </c>
      <c r="N38" s="2" t="s">
        <v>73</v>
      </c>
      <c r="O38" s="2" t="str">
        <f t="shared" si="16"/>
        <v>-</v>
      </c>
      <c r="P38" s="2" t="s">
        <v>23</v>
      </c>
    </row>
    <row r="39" spans="1:18" x14ac:dyDescent="0.25">
      <c r="B39" s="1" t="str">
        <f t="shared" si="18"/>
        <v>@case_width-path_wide-z14-(gr)</v>
      </c>
      <c r="C39" s="5" t="str">
        <f t="shared" si="19"/>
        <v>1.6</v>
      </c>
      <c r="D39" s="7" t="s">
        <v>101</v>
      </c>
      <c r="F39" s="2" t="s">
        <v>81</v>
      </c>
      <c r="G39" s="2" t="str">
        <f t="shared" si="14"/>
        <v>-</v>
      </c>
      <c r="H39" s="2" t="s">
        <v>74</v>
      </c>
      <c r="I39" s="2" t="str">
        <f t="shared" si="20"/>
        <v>_</v>
      </c>
      <c r="J39" s="2" t="s">
        <v>80</v>
      </c>
      <c r="K39" s="2" t="str">
        <f t="shared" si="1"/>
        <v/>
      </c>
      <c r="M39" s="2" t="str">
        <f t="shared" si="15"/>
        <v>-</v>
      </c>
      <c r="N39" s="2" t="s">
        <v>77</v>
      </c>
      <c r="O39" s="2" t="str">
        <f t="shared" si="16"/>
        <v>-</v>
      </c>
      <c r="P39" s="2" t="s">
        <v>23</v>
      </c>
    </row>
    <row r="40" spans="1:18" x14ac:dyDescent="0.25">
      <c r="B40" s="1" t="str">
        <f t="shared" si="18"/>
        <v>@case_width-path_wide-z16-(gr)</v>
      </c>
      <c r="C40" s="5" t="str">
        <f t="shared" si="19"/>
        <v>2.4</v>
      </c>
      <c r="D40" s="7" t="s">
        <v>102</v>
      </c>
      <c r="F40" s="2" t="s">
        <v>81</v>
      </c>
      <c r="G40" s="2" t="str">
        <f t="shared" si="14"/>
        <v>-</v>
      </c>
      <c r="H40" s="2" t="s">
        <v>74</v>
      </c>
      <c r="I40" s="2" t="str">
        <f t="shared" si="20"/>
        <v>_</v>
      </c>
      <c r="J40" s="2" t="s">
        <v>80</v>
      </c>
      <c r="K40" s="2" t="str">
        <f t="shared" si="1"/>
        <v/>
      </c>
      <c r="M40" s="2" t="str">
        <f t="shared" si="15"/>
        <v>-</v>
      </c>
      <c r="N40" s="2" t="s">
        <v>78</v>
      </c>
      <c r="O40" s="2" t="str">
        <f t="shared" si="16"/>
        <v>-</v>
      </c>
      <c r="P40" s="2" t="s">
        <v>23</v>
      </c>
    </row>
    <row r="41" spans="1:18" x14ac:dyDescent="0.25">
      <c r="B41" s="1" t="str">
        <f t="shared" si="18"/>
        <v>@case_width-path_wide-z18-(gr)</v>
      </c>
      <c r="C41" s="5" t="str">
        <f t="shared" si="19"/>
        <v>3.6</v>
      </c>
      <c r="D41" s="7" t="s">
        <v>103</v>
      </c>
      <c r="F41" s="2" t="s">
        <v>81</v>
      </c>
      <c r="G41" s="2" t="str">
        <f t="shared" si="14"/>
        <v>-</v>
      </c>
      <c r="H41" s="2" t="s">
        <v>74</v>
      </c>
      <c r="I41" s="2" t="str">
        <f t="shared" si="20"/>
        <v>_</v>
      </c>
      <c r="J41" s="2" t="s">
        <v>80</v>
      </c>
      <c r="K41" s="2" t="str">
        <f t="shared" si="1"/>
        <v/>
      </c>
      <c r="M41" s="2" t="str">
        <f t="shared" si="15"/>
        <v>-</v>
      </c>
      <c r="N41" s="2" t="s">
        <v>79</v>
      </c>
      <c r="O41" s="2" t="str">
        <f t="shared" si="16"/>
        <v>-</v>
      </c>
      <c r="P41" s="2" t="s">
        <v>23</v>
      </c>
    </row>
    <row r="43" spans="1:18" x14ac:dyDescent="0.25">
      <c r="A43" s="3" t="s">
        <v>104</v>
      </c>
      <c r="B43" s="3"/>
      <c r="C43" s="3"/>
      <c r="D43" s="6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</row>
    <row r="44" spans="1:18" x14ac:dyDescent="0.25">
      <c r="B44" s="1" t="str">
        <f>_xlfn.CONCAT("@",F44,G44,H44,I44,J44,K44,L44,M44,N44,O44,"(",P44,Q44,R44,")")</f>
        <v>@case_width-track-z10-(def)</v>
      </c>
      <c r="C44" s="5" t="str">
        <f>D44</f>
        <v>2.0</v>
      </c>
      <c r="D44" s="7" t="s">
        <v>88</v>
      </c>
      <c r="F44" s="2" t="s">
        <v>81</v>
      </c>
      <c r="G44" s="2" t="str">
        <f t="shared" ref="G44" si="21">IF(NOT(ISBLANK(H44)),"-","")</f>
        <v>-</v>
      </c>
      <c r="H44" s="2" t="s">
        <v>105</v>
      </c>
      <c r="I44" s="2" t="str">
        <f>IF(NOT(ISBLANK(J44)),"_","")</f>
        <v/>
      </c>
      <c r="K44" s="2" t="str">
        <f t="shared" ref="K44:K60" si="22">IF(NOT(ISBLANK(L44)),"_","")</f>
        <v/>
      </c>
      <c r="M44" s="2" t="str">
        <f t="shared" ref="M44" si="23">IF(NOT(ISBLANK(N44)),"-","")</f>
        <v>-</v>
      </c>
      <c r="N44" s="2" t="s">
        <v>106</v>
      </c>
      <c r="O44" s="2" t="str">
        <f t="shared" ref="O44" si="24">IF(NOT(ISBLANK(P44)),"-","")</f>
        <v>-</v>
      </c>
      <c r="P44" s="2" t="s">
        <v>10</v>
      </c>
      <c r="Q44" s="2" t="str">
        <f t="shared" ref="Q44" si="25">IF(NOT(ISBLANK(R44)),"-","")</f>
        <v/>
      </c>
    </row>
    <row r="45" spans="1:18" x14ac:dyDescent="0.25">
      <c r="B45" s="1" t="str">
        <f>_xlfn.CONCAT("@",F45,G45,H45,I45,J45,K45,L45,M45,N45,O45,"(",P45,Q45,R45,")")</f>
        <v>@case_width-track-z11-(def)</v>
      </c>
      <c r="C45" s="5" t="str">
        <f>D45</f>
        <v>3.0</v>
      </c>
      <c r="D45" s="7" t="s">
        <v>91</v>
      </c>
      <c r="F45" s="2" t="s">
        <v>81</v>
      </c>
      <c r="G45" s="2" t="str">
        <f t="shared" ref="G45:G50" si="26">IF(NOT(ISBLANK(H45)),"-","")</f>
        <v>-</v>
      </c>
      <c r="H45" s="2" t="s">
        <v>105</v>
      </c>
      <c r="I45" s="2" t="str">
        <f>IF(NOT(ISBLANK(J45)),"_","")</f>
        <v/>
      </c>
      <c r="K45" s="2" t="str">
        <f t="shared" si="22"/>
        <v/>
      </c>
      <c r="M45" s="2" t="str">
        <f t="shared" ref="M45:M50" si="27">IF(NOT(ISBLANK(N45)),"-","")</f>
        <v>-</v>
      </c>
      <c r="N45" s="2" t="s">
        <v>73</v>
      </c>
      <c r="O45" s="2" t="str">
        <f t="shared" ref="O45:O50" si="28">IF(NOT(ISBLANK(P45)),"-","")</f>
        <v>-</v>
      </c>
      <c r="P45" s="2" t="s">
        <v>10</v>
      </c>
      <c r="Q45" s="2" t="str">
        <f t="shared" ref="Q45:Q50" si="29">IF(NOT(ISBLANK(R45)),"-","")</f>
        <v/>
      </c>
    </row>
    <row r="46" spans="1:18" x14ac:dyDescent="0.25">
      <c r="B46" s="1" t="str">
        <f t="shared" ref="B46:B48" si="30">_xlfn.CONCAT("@",F46,G46,H46,I46,J46,K46,L46,M46,N46,O46,"(",P46,Q46,R46,")")</f>
        <v>@case_width-track-z14-(def)</v>
      </c>
      <c r="C46" s="5" t="str">
        <f t="shared" ref="C46:C48" si="31">D46</f>
        <v>4.0</v>
      </c>
      <c r="D46" s="7" t="s">
        <v>95</v>
      </c>
      <c r="F46" s="2" t="s">
        <v>81</v>
      </c>
      <c r="G46" s="2" t="str">
        <f t="shared" si="26"/>
        <v>-</v>
      </c>
      <c r="H46" s="2" t="s">
        <v>105</v>
      </c>
      <c r="I46" s="2" t="str">
        <f t="shared" ref="I46:I48" si="32">IF(NOT(ISBLANK(J46)),"_","")</f>
        <v/>
      </c>
      <c r="K46" s="2" t="str">
        <f t="shared" si="22"/>
        <v/>
      </c>
      <c r="M46" s="2" t="str">
        <f t="shared" si="27"/>
        <v>-</v>
      </c>
      <c r="N46" s="2" t="s">
        <v>77</v>
      </c>
      <c r="O46" s="2" t="str">
        <f t="shared" si="28"/>
        <v>-</v>
      </c>
      <c r="P46" s="2" t="s">
        <v>10</v>
      </c>
      <c r="Q46" s="2" t="str">
        <f t="shared" si="29"/>
        <v/>
      </c>
    </row>
    <row r="47" spans="1:18" x14ac:dyDescent="0.25">
      <c r="B47" s="1" t="str">
        <f t="shared" si="30"/>
        <v>@case_width-track-z16-(def)</v>
      </c>
      <c r="C47" s="5" t="str">
        <f t="shared" si="31"/>
        <v>9.0</v>
      </c>
      <c r="D47" s="7" t="s">
        <v>90</v>
      </c>
      <c r="F47" s="2" t="s">
        <v>81</v>
      </c>
      <c r="G47" s="2" t="str">
        <f t="shared" si="26"/>
        <v>-</v>
      </c>
      <c r="H47" s="2" t="s">
        <v>105</v>
      </c>
      <c r="I47" s="2" t="str">
        <f t="shared" si="32"/>
        <v/>
      </c>
      <c r="K47" s="2" t="str">
        <f t="shared" si="22"/>
        <v/>
      </c>
      <c r="M47" s="2" t="str">
        <f t="shared" si="27"/>
        <v>-</v>
      </c>
      <c r="N47" s="2" t="s">
        <v>78</v>
      </c>
      <c r="O47" s="2" t="str">
        <f t="shared" si="28"/>
        <v>-</v>
      </c>
      <c r="P47" s="2" t="s">
        <v>10</v>
      </c>
      <c r="Q47" s="2" t="str">
        <f t="shared" si="29"/>
        <v/>
      </c>
    </row>
    <row r="48" spans="1:18" x14ac:dyDescent="0.25">
      <c r="B48" s="1" t="str">
        <f t="shared" si="30"/>
        <v>@case_width-track-z18-(def)</v>
      </c>
      <c r="C48" s="5" t="str">
        <f t="shared" si="31"/>
        <v>15.0</v>
      </c>
      <c r="D48" s="7" t="s">
        <v>92</v>
      </c>
      <c r="F48" s="2" t="s">
        <v>81</v>
      </c>
      <c r="G48" s="2" t="str">
        <f t="shared" si="26"/>
        <v>-</v>
      </c>
      <c r="H48" s="2" t="s">
        <v>105</v>
      </c>
      <c r="I48" s="2" t="str">
        <f t="shared" si="32"/>
        <v/>
      </c>
      <c r="K48" s="2" t="str">
        <f t="shared" si="22"/>
        <v/>
      </c>
      <c r="M48" s="2" t="str">
        <f t="shared" si="27"/>
        <v>-</v>
      </c>
      <c r="N48" s="2" t="s">
        <v>79</v>
      </c>
      <c r="O48" s="2" t="str">
        <f t="shared" si="28"/>
        <v>-</v>
      </c>
      <c r="P48" s="2" t="s">
        <v>10</v>
      </c>
      <c r="Q48" s="2" t="str">
        <f t="shared" si="29"/>
        <v/>
      </c>
    </row>
    <row r="49" spans="2:18" x14ac:dyDescent="0.25">
      <c r="B49" s="1"/>
      <c r="C49" s="5"/>
    </row>
    <row r="50" spans="2:18" x14ac:dyDescent="0.25">
      <c r="B50" s="1" t="str">
        <f>_xlfn.CONCAT("@",F50,G50,H50,I50,J50,K50,L50,M50,N50,O50,"(",P50,Q50,R50,")")</f>
        <v>@case_width-track-z10-(def-hc)</v>
      </c>
      <c r="C50" s="5" t="str">
        <f>D50</f>
        <v>4.0</v>
      </c>
      <c r="D50" s="7" t="s">
        <v>95</v>
      </c>
      <c r="F50" s="2" t="s">
        <v>81</v>
      </c>
      <c r="G50" s="2" t="str">
        <f t="shared" si="26"/>
        <v>-</v>
      </c>
      <c r="H50" s="2" t="s">
        <v>105</v>
      </c>
      <c r="I50" s="2" t="str">
        <f>IF(NOT(ISBLANK(J50)),"_","")</f>
        <v/>
      </c>
      <c r="K50" s="2" t="str">
        <f t="shared" si="22"/>
        <v/>
      </c>
      <c r="M50" s="2" t="str">
        <f t="shared" si="27"/>
        <v>-</v>
      </c>
      <c r="N50" s="2" t="s">
        <v>106</v>
      </c>
      <c r="O50" s="2" t="str">
        <f t="shared" si="28"/>
        <v>-</v>
      </c>
      <c r="P50" s="2" t="s">
        <v>10</v>
      </c>
      <c r="Q50" s="2" t="str">
        <f t="shared" si="29"/>
        <v>-</v>
      </c>
      <c r="R50" s="2" t="s">
        <v>11</v>
      </c>
    </row>
    <row r="51" spans="2:18" x14ac:dyDescent="0.25">
      <c r="B51" s="1" t="str">
        <f>_xlfn.CONCAT("@",F51,G51,H51,I51,J51,K51,L51,M51,N51,O51,"(",P51,Q51,R51,")")</f>
        <v>@case_width-track-z11-(def-hc)</v>
      </c>
      <c r="C51" s="5" t="str">
        <f>D51</f>
        <v>4.0</v>
      </c>
      <c r="D51" s="7" t="s">
        <v>95</v>
      </c>
      <c r="F51" s="2" t="s">
        <v>81</v>
      </c>
      <c r="G51" s="2" t="str">
        <f t="shared" ref="G51:G54" si="33">IF(NOT(ISBLANK(H51)),"-","")</f>
        <v>-</v>
      </c>
      <c r="H51" s="2" t="s">
        <v>105</v>
      </c>
      <c r="I51" s="2" t="str">
        <f>IF(NOT(ISBLANK(J51)),"_","")</f>
        <v/>
      </c>
      <c r="K51" s="2" t="str">
        <f t="shared" si="22"/>
        <v/>
      </c>
      <c r="M51" s="2" t="str">
        <f t="shared" ref="M51:M54" si="34">IF(NOT(ISBLANK(N51)),"-","")</f>
        <v>-</v>
      </c>
      <c r="N51" s="2" t="s">
        <v>73</v>
      </c>
      <c r="O51" s="2" t="str">
        <f t="shared" ref="O51:O54" si="35">IF(NOT(ISBLANK(P51)),"-","")</f>
        <v>-</v>
      </c>
      <c r="P51" s="2" t="s">
        <v>10</v>
      </c>
      <c r="Q51" s="2" t="str">
        <f t="shared" ref="Q51:Q54" si="36">IF(NOT(ISBLANK(R51)),"-","")</f>
        <v>-</v>
      </c>
      <c r="R51" s="2" t="s">
        <v>11</v>
      </c>
    </row>
    <row r="52" spans="2:18" x14ac:dyDescent="0.25">
      <c r="B52" s="1" t="str">
        <f t="shared" ref="B52:B54" si="37">_xlfn.CONCAT("@",F52,G52,H52,I52,J52,K52,L52,M52,N52,O52,"(",P52,Q52,R52,")")</f>
        <v>@case_width-track-z14-(def-hc)</v>
      </c>
      <c r="C52" s="5" t="str">
        <f t="shared" ref="C52:C54" si="38">D52</f>
        <v>6.0</v>
      </c>
      <c r="D52" s="7" t="s">
        <v>89</v>
      </c>
      <c r="F52" s="2" t="s">
        <v>81</v>
      </c>
      <c r="G52" s="2" t="str">
        <f t="shared" si="33"/>
        <v>-</v>
      </c>
      <c r="H52" s="2" t="s">
        <v>105</v>
      </c>
      <c r="I52" s="2" t="str">
        <f t="shared" ref="I52:I54" si="39">IF(NOT(ISBLANK(J52)),"_","")</f>
        <v/>
      </c>
      <c r="K52" s="2" t="str">
        <f t="shared" si="22"/>
        <v/>
      </c>
      <c r="M52" s="2" t="str">
        <f t="shared" si="34"/>
        <v>-</v>
      </c>
      <c r="N52" s="2" t="s">
        <v>77</v>
      </c>
      <c r="O52" s="2" t="str">
        <f t="shared" si="35"/>
        <v>-</v>
      </c>
      <c r="P52" s="2" t="s">
        <v>10</v>
      </c>
      <c r="Q52" s="2" t="str">
        <f t="shared" si="36"/>
        <v>-</v>
      </c>
      <c r="R52" s="2" t="s">
        <v>11</v>
      </c>
    </row>
    <row r="53" spans="2:18" x14ac:dyDescent="0.25">
      <c r="B53" s="1" t="str">
        <f t="shared" si="37"/>
        <v>@case_width-track-z16-(def-hc)</v>
      </c>
      <c r="C53" s="5" t="str">
        <f t="shared" si="38"/>
        <v>13.5</v>
      </c>
      <c r="D53" s="7" t="s">
        <v>96</v>
      </c>
      <c r="F53" s="2" t="s">
        <v>81</v>
      </c>
      <c r="G53" s="2" t="str">
        <f t="shared" si="33"/>
        <v>-</v>
      </c>
      <c r="H53" s="2" t="s">
        <v>105</v>
      </c>
      <c r="I53" s="2" t="str">
        <f t="shared" si="39"/>
        <v/>
      </c>
      <c r="K53" s="2" t="str">
        <f t="shared" si="22"/>
        <v/>
      </c>
      <c r="M53" s="2" t="str">
        <f t="shared" si="34"/>
        <v>-</v>
      </c>
      <c r="N53" s="2" t="s">
        <v>78</v>
      </c>
      <c r="O53" s="2" t="str">
        <f t="shared" si="35"/>
        <v>-</v>
      </c>
      <c r="P53" s="2" t="s">
        <v>10</v>
      </c>
      <c r="Q53" s="2" t="str">
        <f t="shared" si="36"/>
        <v>-</v>
      </c>
      <c r="R53" s="2" t="s">
        <v>11</v>
      </c>
    </row>
    <row r="54" spans="2:18" x14ac:dyDescent="0.25">
      <c r="B54" s="1" t="str">
        <f t="shared" si="37"/>
        <v>@case_width-track-z18-(def-hc)</v>
      </c>
      <c r="C54" s="5" t="str">
        <f t="shared" si="38"/>
        <v>22.5</v>
      </c>
      <c r="D54" s="7" t="s">
        <v>97</v>
      </c>
      <c r="F54" s="2" t="s">
        <v>81</v>
      </c>
      <c r="G54" s="2" t="str">
        <f t="shared" si="33"/>
        <v>-</v>
      </c>
      <c r="H54" s="2" t="s">
        <v>105</v>
      </c>
      <c r="I54" s="2" t="str">
        <f t="shared" si="39"/>
        <v/>
      </c>
      <c r="K54" s="2" t="str">
        <f t="shared" si="22"/>
        <v/>
      </c>
      <c r="M54" s="2" t="str">
        <f t="shared" si="34"/>
        <v>-</v>
      </c>
      <c r="N54" s="2" t="s">
        <v>79</v>
      </c>
      <c r="O54" s="2" t="str">
        <f t="shared" si="35"/>
        <v>-</v>
      </c>
      <c r="P54" s="2" t="s">
        <v>10</v>
      </c>
      <c r="Q54" s="2" t="str">
        <f t="shared" si="36"/>
        <v>-</v>
      </c>
      <c r="R54" s="2" t="s">
        <v>11</v>
      </c>
    </row>
    <row r="56" spans="2:18" x14ac:dyDescent="0.25">
      <c r="B56" s="1" t="str">
        <f>_xlfn.CONCAT("@",F56,G56,H56,I56,J56,K56,L56,M56,N56,O56,"(",P56,Q56,R56,")")</f>
        <v>@case_width-track-z10-(gr)</v>
      </c>
      <c r="C56" s="5" t="str">
        <f>D56</f>
        <v>2.0</v>
      </c>
      <c r="D56" s="7" t="s">
        <v>88</v>
      </c>
      <c r="F56" s="2" t="s">
        <v>81</v>
      </c>
      <c r="G56" s="2" t="str">
        <f t="shared" ref="G56:G60" si="40">IF(NOT(ISBLANK(H56)),"-","")</f>
        <v>-</v>
      </c>
      <c r="H56" s="2" t="s">
        <v>105</v>
      </c>
      <c r="I56" s="2" t="str">
        <f>IF(NOT(ISBLANK(J56)),"_","")</f>
        <v/>
      </c>
      <c r="K56" s="2" t="str">
        <f t="shared" si="22"/>
        <v/>
      </c>
      <c r="M56" s="2" t="str">
        <f t="shared" ref="M56:M60" si="41">IF(NOT(ISBLANK(N56)),"-","")</f>
        <v>-</v>
      </c>
      <c r="N56" s="2" t="s">
        <v>106</v>
      </c>
      <c r="O56" s="2" t="str">
        <f t="shared" ref="O56:O60" si="42">IF(NOT(ISBLANK(P56)),"-","")</f>
        <v>-</v>
      </c>
      <c r="P56" s="2" t="s">
        <v>23</v>
      </c>
      <c r="Q56" s="2" t="str">
        <f t="shared" ref="Q56:Q60" si="43">IF(NOT(ISBLANK(R56)),"-","")</f>
        <v/>
      </c>
    </row>
    <row r="57" spans="2:18" x14ac:dyDescent="0.25">
      <c r="B57" s="1" t="str">
        <f>_xlfn.CONCAT("@",F57,G57,H57,I57,J57,K57,L57,M57,N57,O57,"(",P57,Q57,R57,")")</f>
        <v>@case_width-track-z11-(gr)</v>
      </c>
      <c r="C57" s="5" t="str">
        <f>D57</f>
        <v>3.0</v>
      </c>
      <c r="D57" s="7" t="s">
        <v>91</v>
      </c>
      <c r="F57" s="2" t="s">
        <v>81</v>
      </c>
      <c r="G57" s="2" t="str">
        <f t="shared" si="40"/>
        <v>-</v>
      </c>
      <c r="H57" s="2" t="s">
        <v>105</v>
      </c>
      <c r="I57" s="2" t="str">
        <f>IF(NOT(ISBLANK(J57)),"_","")</f>
        <v/>
      </c>
      <c r="K57" s="2" t="str">
        <f t="shared" si="22"/>
        <v/>
      </c>
      <c r="M57" s="2" t="str">
        <f t="shared" si="41"/>
        <v>-</v>
      </c>
      <c r="N57" s="2" t="s">
        <v>73</v>
      </c>
      <c r="O57" s="2" t="str">
        <f t="shared" si="42"/>
        <v>-</v>
      </c>
      <c r="P57" s="2" t="s">
        <v>23</v>
      </c>
      <c r="Q57" s="2" t="str">
        <f t="shared" si="43"/>
        <v/>
      </c>
    </row>
    <row r="58" spans="2:18" x14ac:dyDescent="0.25">
      <c r="B58" s="1" t="str">
        <f t="shared" ref="B58:B60" si="44">_xlfn.CONCAT("@",F58,G58,H58,I58,J58,K58,L58,M58,N58,O58,"(",P58,Q58,R58,")")</f>
        <v>@case_width-track-z14-(gr)</v>
      </c>
      <c r="C58" s="5" t="str">
        <f t="shared" ref="C58:C60" si="45">D58</f>
        <v>4.0</v>
      </c>
      <c r="D58" s="7" t="s">
        <v>95</v>
      </c>
      <c r="F58" s="2" t="s">
        <v>81</v>
      </c>
      <c r="G58" s="2" t="str">
        <f t="shared" si="40"/>
        <v>-</v>
      </c>
      <c r="H58" s="2" t="s">
        <v>105</v>
      </c>
      <c r="I58" s="2" t="str">
        <f t="shared" ref="I58:I60" si="46">IF(NOT(ISBLANK(J58)),"_","")</f>
        <v/>
      </c>
      <c r="K58" s="2" t="str">
        <f t="shared" si="22"/>
        <v/>
      </c>
      <c r="M58" s="2" t="str">
        <f t="shared" si="41"/>
        <v>-</v>
      </c>
      <c r="N58" s="2" t="s">
        <v>77</v>
      </c>
      <c r="O58" s="2" t="str">
        <f t="shared" si="42"/>
        <v>-</v>
      </c>
      <c r="P58" s="2" t="s">
        <v>23</v>
      </c>
      <c r="Q58" s="2" t="str">
        <f t="shared" si="43"/>
        <v/>
      </c>
    </row>
    <row r="59" spans="2:18" x14ac:dyDescent="0.25">
      <c r="B59" s="1" t="str">
        <f t="shared" si="44"/>
        <v>@case_width-track-z16-(gr)</v>
      </c>
      <c r="C59" s="5" t="str">
        <f t="shared" si="45"/>
        <v>9.0</v>
      </c>
      <c r="D59" s="7" t="s">
        <v>90</v>
      </c>
      <c r="F59" s="2" t="s">
        <v>81</v>
      </c>
      <c r="G59" s="2" t="str">
        <f t="shared" si="40"/>
        <v>-</v>
      </c>
      <c r="H59" s="2" t="s">
        <v>105</v>
      </c>
      <c r="I59" s="2" t="str">
        <f t="shared" si="46"/>
        <v/>
      </c>
      <c r="K59" s="2" t="str">
        <f t="shared" si="22"/>
        <v/>
      </c>
      <c r="M59" s="2" t="str">
        <f t="shared" si="41"/>
        <v>-</v>
      </c>
      <c r="N59" s="2" t="s">
        <v>78</v>
      </c>
      <c r="O59" s="2" t="str">
        <f t="shared" si="42"/>
        <v>-</v>
      </c>
      <c r="P59" s="2" t="s">
        <v>23</v>
      </c>
      <c r="Q59" s="2" t="str">
        <f t="shared" si="43"/>
        <v/>
      </c>
    </row>
    <row r="60" spans="2:18" x14ac:dyDescent="0.25">
      <c r="B60" s="1" t="str">
        <f t="shared" si="44"/>
        <v>@case_width-track-z18-(gr)</v>
      </c>
      <c r="C60" s="5" t="str">
        <f t="shared" si="45"/>
        <v>15.0</v>
      </c>
      <c r="D60" s="7" t="s">
        <v>92</v>
      </c>
      <c r="F60" s="2" t="s">
        <v>81</v>
      </c>
      <c r="G60" s="2" t="str">
        <f t="shared" si="40"/>
        <v>-</v>
      </c>
      <c r="H60" s="2" t="s">
        <v>105</v>
      </c>
      <c r="I60" s="2" t="str">
        <f t="shared" si="46"/>
        <v/>
      </c>
      <c r="K60" s="2" t="str">
        <f t="shared" si="22"/>
        <v/>
      </c>
      <c r="M60" s="2" t="str">
        <f t="shared" si="41"/>
        <v>-</v>
      </c>
      <c r="N60" s="2" t="s">
        <v>79</v>
      </c>
      <c r="O60" s="2" t="str">
        <f t="shared" si="42"/>
        <v>-</v>
      </c>
      <c r="P60" s="2" t="s">
        <v>23</v>
      </c>
      <c r="Q60" s="2" t="str">
        <f t="shared" si="43"/>
        <v/>
      </c>
    </row>
    <row r="62" spans="2:18" x14ac:dyDescent="0.25">
      <c r="B62" s="1" t="str">
        <f>_xlfn.CONCAT("@",F62,G62,H62,I62,J62,K62,L62,M62,N62,O62,"(",P62,Q62,R62,")")</f>
        <v>@case_width-track-z10-(gr-hc)</v>
      </c>
      <c r="C62" s="5" t="str">
        <f>D62</f>
        <v>2.0</v>
      </c>
      <c r="D62" s="7" t="s">
        <v>88</v>
      </c>
      <c r="F62" s="2" t="s">
        <v>81</v>
      </c>
      <c r="G62" s="2" t="str">
        <f t="shared" ref="G62:G66" si="47">IF(NOT(ISBLANK(H62)),"-","")</f>
        <v>-</v>
      </c>
      <c r="H62" s="2" t="s">
        <v>105</v>
      </c>
      <c r="I62" s="2" t="str">
        <f>IF(NOT(ISBLANK(J62)),"_","")</f>
        <v/>
      </c>
      <c r="K62" s="2" t="str">
        <f t="shared" ref="K62:K66" si="48">IF(NOT(ISBLANK(L62)),"_","")</f>
        <v/>
      </c>
      <c r="M62" s="2" t="str">
        <f t="shared" ref="M62:M66" si="49">IF(NOT(ISBLANK(N62)),"-","")</f>
        <v>-</v>
      </c>
      <c r="N62" s="2" t="s">
        <v>106</v>
      </c>
      <c r="O62" s="2" t="str">
        <f t="shared" ref="O62:O66" si="50">IF(NOT(ISBLANK(P62)),"-","")</f>
        <v>-</v>
      </c>
      <c r="P62" s="2" t="s">
        <v>23</v>
      </c>
      <c r="Q62" s="2" t="str">
        <f t="shared" ref="Q62:Q66" si="51">IF(NOT(ISBLANK(R62)),"-","")</f>
        <v>-</v>
      </c>
      <c r="R62" s="2" t="s">
        <v>11</v>
      </c>
    </row>
    <row r="63" spans="2:18" x14ac:dyDescent="0.25">
      <c r="B63" s="1" t="str">
        <f>_xlfn.CONCAT("@",F63,G63,H63,I63,J63,K63,L63,M63,N63,O63,"(",P63,Q63,R63,")")</f>
        <v>@case_width-track-z11-(gr-hc)</v>
      </c>
      <c r="C63" s="5" t="str">
        <f>D63</f>
        <v>3.0</v>
      </c>
      <c r="D63" s="7" t="s">
        <v>91</v>
      </c>
      <c r="F63" s="2" t="s">
        <v>81</v>
      </c>
      <c r="G63" s="2" t="str">
        <f t="shared" si="47"/>
        <v>-</v>
      </c>
      <c r="H63" s="2" t="s">
        <v>105</v>
      </c>
      <c r="I63" s="2" t="str">
        <f>IF(NOT(ISBLANK(J63)),"_","")</f>
        <v/>
      </c>
      <c r="K63" s="2" t="str">
        <f t="shared" si="48"/>
        <v/>
      </c>
      <c r="M63" s="2" t="str">
        <f t="shared" si="49"/>
        <v>-</v>
      </c>
      <c r="N63" s="2" t="s">
        <v>73</v>
      </c>
      <c r="O63" s="2" t="str">
        <f t="shared" si="50"/>
        <v>-</v>
      </c>
      <c r="P63" s="2" t="s">
        <v>23</v>
      </c>
      <c r="Q63" s="2" t="str">
        <f t="shared" si="51"/>
        <v>-</v>
      </c>
      <c r="R63" s="2" t="s">
        <v>11</v>
      </c>
    </row>
    <row r="64" spans="2:18" x14ac:dyDescent="0.25">
      <c r="B64" s="1" t="str">
        <f t="shared" ref="B64:B66" si="52">_xlfn.CONCAT("@",F64,G64,H64,I64,J64,K64,L64,M64,N64,O64,"(",P64,Q64,R64,")")</f>
        <v>@case_width-track-z14-(gr-hc)</v>
      </c>
      <c r="C64" s="5" t="str">
        <f t="shared" ref="C64:C66" si="53">D64</f>
        <v>4.0</v>
      </c>
      <c r="D64" s="7" t="s">
        <v>95</v>
      </c>
      <c r="F64" s="2" t="s">
        <v>81</v>
      </c>
      <c r="G64" s="2" t="str">
        <f t="shared" si="47"/>
        <v>-</v>
      </c>
      <c r="H64" s="2" t="s">
        <v>105</v>
      </c>
      <c r="I64" s="2" t="str">
        <f t="shared" ref="I64:I66" si="54">IF(NOT(ISBLANK(J64)),"_","")</f>
        <v/>
      </c>
      <c r="K64" s="2" t="str">
        <f t="shared" si="48"/>
        <v/>
      </c>
      <c r="M64" s="2" t="str">
        <f t="shared" si="49"/>
        <v>-</v>
      </c>
      <c r="N64" s="2" t="s">
        <v>77</v>
      </c>
      <c r="O64" s="2" t="str">
        <f t="shared" si="50"/>
        <v>-</v>
      </c>
      <c r="P64" s="2" t="s">
        <v>23</v>
      </c>
      <c r="Q64" s="2" t="str">
        <f t="shared" si="51"/>
        <v>-</v>
      </c>
      <c r="R64" s="2" t="s">
        <v>11</v>
      </c>
    </row>
    <row r="65" spans="2:18" x14ac:dyDescent="0.25">
      <c r="B65" s="1" t="str">
        <f t="shared" si="52"/>
        <v>@case_width-track-z16-(gr-hc)</v>
      </c>
      <c r="C65" s="5" t="str">
        <f t="shared" si="53"/>
        <v>9.0</v>
      </c>
      <c r="D65" s="7" t="s">
        <v>90</v>
      </c>
      <c r="F65" s="2" t="s">
        <v>81</v>
      </c>
      <c r="G65" s="2" t="str">
        <f t="shared" si="47"/>
        <v>-</v>
      </c>
      <c r="H65" s="2" t="s">
        <v>105</v>
      </c>
      <c r="I65" s="2" t="str">
        <f t="shared" si="54"/>
        <v/>
      </c>
      <c r="K65" s="2" t="str">
        <f t="shared" si="48"/>
        <v/>
      </c>
      <c r="M65" s="2" t="str">
        <f t="shared" si="49"/>
        <v>-</v>
      </c>
      <c r="N65" s="2" t="s">
        <v>78</v>
      </c>
      <c r="O65" s="2" t="str">
        <f t="shared" si="50"/>
        <v>-</v>
      </c>
      <c r="P65" s="2" t="s">
        <v>23</v>
      </c>
      <c r="Q65" s="2" t="str">
        <f t="shared" si="51"/>
        <v>-</v>
      </c>
      <c r="R65" s="2" t="s">
        <v>11</v>
      </c>
    </row>
    <row r="66" spans="2:18" x14ac:dyDescent="0.25">
      <c r="B66" s="1" t="str">
        <f t="shared" si="52"/>
        <v>@case_width-track-z18-(gr-hc)</v>
      </c>
      <c r="C66" s="5" t="str">
        <f t="shared" si="53"/>
        <v>15.0</v>
      </c>
      <c r="D66" s="7" t="s">
        <v>92</v>
      </c>
      <c r="F66" s="2" t="s">
        <v>81</v>
      </c>
      <c r="G66" s="2" t="str">
        <f t="shared" si="47"/>
        <v>-</v>
      </c>
      <c r="H66" s="2" t="s">
        <v>105</v>
      </c>
      <c r="I66" s="2" t="str">
        <f t="shared" si="54"/>
        <v/>
      </c>
      <c r="K66" s="2" t="str">
        <f t="shared" si="48"/>
        <v/>
      </c>
      <c r="M66" s="2" t="str">
        <f t="shared" si="49"/>
        <v>-</v>
      </c>
      <c r="N66" s="2" t="s">
        <v>79</v>
      </c>
      <c r="O66" s="2" t="str">
        <f t="shared" si="50"/>
        <v>-</v>
      </c>
      <c r="P66" s="2" t="s">
        <v>23</v>
      </c>
      <c r="Q66" s="2" t="str">
        <f t="shared" si="51"/>
        <v>-</v>
      </c>
      <c r="R66" s="2" t="s">
        <v>11</v>
      </c>
    </row>
  </sheetData>
  <pageMargins left="0.7" right="0.7" top="0.75" bottom="0.75" header="0.3" footer="0.3"/>
  <headerFooter>
    <oddHeader>&amp;R&amp;"Aptos"&amp;11&amp;K000000 TUNI Luottamuksellinen - Confidential (3Y)&amp;1#_x000D_</oddHeader>
  </headerFooter>
</worksheet>
</file>

<file path=docMetadata/LabelInfo.xml><?xml version="1.0" encoding="utf-8"?>
<clbl:labelList xmlns:clbl="http://schemas.microsoft.com/office/2020/mipLabelMetadata">
  <clbl:label id="{74814fa1-1a0b-42d1-967a-caddbf829325}" enabled="1" method="Standard" siteId="{fa6944af-cc7c-4cd8-9154-c01132798910}" contentBits="1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style_variables</vt:lpstr>
      <vt:lpstr>style_variables_linetypes</vt:lpstr>
      <vt:lpstr>#OLD style_variables_linetypes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Tapio Kaasalainen (TAU)</dc:creator>
  <cp:lastModifiedBy>Tapio Kaasalainen (TAU)</cp:lastModifiedBy>
  <dcterms:created xsi:type="dcterms:W3CDTF">2024-10-27T05:30:53Z</dcterms:created>
  <dcterms:modified xsi:type="dcterms:W3CDTF">2025-12-21T13:16:31Z</dcterms:modified>
</cp:coreProperties>
</file>