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718C88C1-B281-4E5A-9C50-AF3794ACEC3F}" xr6:coauthVersionLast="47" xr6:coauthVersionMax="47" xr10:uidLastSave="{00000000-0000-0000-0000-000000000000}"/>
  <bookViews>
    <workbookView xWindow="19200" yWindow="0" windowWidth="19200" windowHeight="21150" xr2:uid="{F88141D2-AFE8-4827-86DB-93E9A93B7471}"/>
  </bookViews>
  <sheets>
    <sheet name="style_variabl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4" i="1" l="1"/>
  <c r="L54" i="1"/>
  <c r="J54" i="1"/>
  <c r="H54" i="1"/>
  <c r="F54" i="1"/>
  <c r="B54" i="1"/>
  <c r="A54" i="1"/>
  <c r="N53" i="1"/>
  <c r="L53" i="1"/>
  <c r="J53" i="1"/>
  <c r="A53" i="1" s="1"/>
  <c r="H53" i="1"/>
  <c r="F53" i="1"/>
  <c r="B53" i="1"/>
  <c r="N52" i="1"/>
  <c r="L52" i="1"/>
  <c r="J52" i="1"/>
  <c r="A52" i="1" s="1"/>
  <c r="H52" i="1"/>
  <c r="F52" i="1"/>
  <c r="B52" i="1"/>
  <c r="N51" i="1"/>
  <c r="L51" i="1"/>
  <c r="J51" i="1"/>
  <c r="H51" i="1"/>
  <c r="F51" i="1"/>
  <c r="B51" i="1"/>
  <c r="N50" i="1"/>
  <c r="L50" i="1"/>
  <c r="J50" i="1"/>
  <c r="H50" i="1"/>
  <c r="F50" i="1"/>
  <c r="B50" i="1"/>
  <c r="N49" i="1"/>
  <c r="L49" i="1"/>
  <c r="J49" i="1"/>
  <c r="H49" i="1"/>
  <c r="A49" i="1" s="1"/>
  <c r="F49" i="1"/>
  <c r="B49" i="1"/>
  <c r="H113" i="1"/>
  <c r="N141" i="1"/>
  <c r="L141" i="1"/>
  <c r="J141" i="1"/>
  <c r="H141" i="1"/>
  <c r="F141" i="1"/>
  <c r="B141" i="1"/>
  <c r="A141" i="1"/>
  <c r="N140" i="1"/>
  <c r="L140" i="1"/>
  <c r="J140" i="1"/>
  <c r="H140" i="1"/>
  <c r="F140" i="1"/>
  <c r="B140" i="1"/>
  <c r="A140" i="1"/>
  <c r="N139" i="1"/>
  <c r="L139" i="1"/>
  <c r="J139" i="1"/>
  <c r="H139" i="1"/>
  <c r="F139" i="1"/>
  <c r="B139" i="1"/>
  <c r="A139" i="1"/>
  <c r="N138" i="1"/>
  <c r="L138" i="1"/>
  <c r="J138" i="1"/>
  <c r="H138" i="1"/>
  <c r="A138" i="1" s="1"/>
  <c r="F138" i="1"/>
  <c r="B138" i="1"/>
  <c r="N137" i="1"/>
  <c r="L137" i="1"/>
  <c r="J137" i="1"/>
  <c r="H137" i="1"/>
  <c r="A137" i="1" s="1"/>
  <c r="F137" i="1"/>
  <c r="B137" i="1"/>
  <c r="N136" i="1"/>
  <c r="L136" i="1"/>
  <c r="J136" i="1"/>
  <c r="H136" i="1"/>
  <c r="F136" i="1"/>
  <c r="A136" i="1" s="1"/>
  <c r="B136" i="1"/>
  <c r="N135" i="1"/>
  <c r="L135" i="1"/>
  <c r="J135" i="1"/>
  <c r="H135" i="1"/>
  <c r="F135" i="1"/>
  <c r="B135" i="1"/>
  <c r="A135" i="1"/>
  <c r="N134" i="1"/>
  <c r="A134" i="1" s="1"/>
  <c r="L134" i="1"/>
  <c r="J134" i="1"/>
  <c r="H134" i="1"/>
  <c r="F134" i="1"/>
  <c r="B134" i="1"/>
  <c r="N133" i="1"/>
  <c r="L133" i="1"/>
  <c r="J133" i="1"/>
  <c r="H133" i="1"/>
  <c r="F133" i="1"/>
  <c r="B133" i="1"/>
  <c r="A133" i="1"/>
  <c r="N132" i="1"/>
  <c r="L132" i="1"/>
  <c r="J132" i="1"/>
  <c r="H132" i="1"/>
  <c r="F132" i="1"/>
  <c r="B132" i="1"/>
  <c r="A132" i="1"/>
  <c r="N131" i="1"/>
  <c r="L131" i="1"/>
  <c r="J131" i="1"/>
  <c r="H131" i="1"/>
  <c r="F131" i="1"/>
  <c r="B131" i="1"/>
  <c r="A131" i="1"/>
  <c r="N130" i="1"/>
  <c r="L130" i="1"/>
  <c r="J130" i="1"/>
  <c r="H130" i="1"/>
  <c r="F130" i="1"/>
  <c r="B130" i="1"/>
  <c r="A130" i="1"/>
  <c r="N129" i="1"/>
  <c r="L129" i="1"/>
  <c r="J129" i="1"/>
  <c r="H129" i="1"/>
  <c r="F129" i="1"/>
  <c r="B129" i="1"/>
  <c r="A129" i="1"/>
  <c r="N128" i="1"/>
  <c r="L128" i="1"/>
  <c r="J128" i="1"/>
  <c r="H128" i="1"/>
  <c r="F128" i="1"/>
  <c r="A128" i="1" s="1"/>
  <c r="B128" i="1"/>
  <c r="N127" i="1"/>
  <c r="L127" i="1"/>
  <c r="J127" i="1"/>
  <c r="H127" i="1"/>
  <c r="F127" i="1"/>
  <c r="A127" i="1" s="1"/>
  <c r="B127" i="1"/>
  <c r="N126" i="1"/>
  <c r="L126" i="1"/>
  <c r="J126" i="1"/>
  <c r="H126" i="1"/>
  <c r="F126" i="1"/>
  <c r="B126" i="1"/>
  <c r="A126" i="1"/>
  <c r="N125" i="1"/>
  <c r="L125" i="1"/>
  <c r="J125" i="1"/>
  <c r="H125" i="1"/>
  <c r="F125" i="1"/>
  <c r="B125" i="1"/>
  <c r="A125" i="1"/>
  <c r="N124" i="1"/>
  <c r="L124" i="1"/>
  <c r="J124" i="1"/>
  <c r="H124" i="1"/>
  <c r="F124" i="1"/>
  <c r="A124" i="1" s="1"/>
  <c r="B124" i="1"/>
  <c r="N123" i="1"/>
  <c r="L123" i="1"/>
  <c r="J123" i="1"/>
  <c r="H123" i="1"/>
  <c r="F123" i="1"/>
  <c r="B123" i="1"/>
  <c r="A123" i="1"/>
  <c r="N122" i="1"/>
  <c r="L122" i="1"/>
  <c r="J122" i="1"/>
  <c r="H122" i="1"/>
  <c r="F122" i="1"/>
  <c r="A122" i="1" s="1"/>
  <c r="B122" i="1"/>
  <c r="N121" i="1"/>
  <c r="L121" i="1"/>
  <c r="J121" i="1"/>
  <c r="H121" i="1"/>
  <c r="F121" i="1"/>
  <c r="B121" i="1"/>
  <c r="A121" i="1"/>
  <c r="N120" i="1"/>
  <c r="L120" i="1"/>
  <c r="J120" i="1"/>
  <c r="H120" i="1"/>
  <c r="F120" i="1"/>
  <c r="B120" i="1"/>
  <c r="A120" i="1"/>
  <c r="N119" i="1"/>
  <c r="L119" i="1"/>
  <c r="J119" i="1"/>
  <c r="H119" i="1"/>
  <c r="F119" i="1"/>
  <c r="B119" i="1"/>
  <c r="A119" i="1"/>
  <c r="N118" i="1"/>
  <c r="L118" i="1"/>
  <c r="J118" i="1"/>
  <c r="H118" i="1"/>
  <c r="F118" i="1"/>
  <c r="A118" i="1" s="1"/>
  <c r="B118" i="1"/>
  <c r="N117" i="1"/>
  <c r="L117" i="1"/>
  <c r="J117" i="1"/>
  <c r="H117" i="1"/>
  <c r="F117" i="1"/>
  <c r="B117" i="1"/>
  <c r="A117" i="1"/>
  <c r="N110" i="1"/>
  <c r="L110" i="1"/>
  <c r="N109" i="1"/>
  <c r="L109" i="1"/>
  <c r="N108" i="1"/>
  <c r="L108" i="1"/>
  <c r="N107" i="1"/>
  <c r="L107" i="1"/>
  <c r="N106" i="1"/>
  <c r="L106" i="1"/>
  <c r="N105" i="1"/>
  <c r="L105" i="1"/>
  <c r="N104" i="1"/>
  <c r="L104" i="1"/>
  <c r="N103" i="1"/>
  <c r="L103" i="1"/>
  <c r="N101" i="1"/>
  <c r="L101" i="1"/>
  <c r="J101" i="1"/>
  <c r="H101" i="1"/>
  <c r="F101" i="1"/>
  <c r="N100" i="1"/>
  <c r="L100" i="1"/>
  <c r="J100" i="1"/>
  <c r="H100" i="1"/>
  <c r="F100" i="1"/>
  <c r="L99" i="1"/>
  <c r="J99" i="1"/>
  <c r="H99" i="1"/>
  <c r="F99" i="1"/>
  <c r="A99" i="1" s="1"/>
  <c r="N98" i="1"/>
  <c r="L98" i="1"/>
  <c r="J98" i="1"/>
  <c r="H98" i="1"/>
  <c r="F98" i="1"/>
  <c r="A98" i="1" s="1"/>
  <c r="N97" i="1"/>
  <c r="L97" i="1"/>
  <c r="J97" i="1"/>
  <c r="H97" i="1"/>
  <c r="F97" i="1"/>
  <c r="A97" i="1" s="1"/>
  <c r="N96" i="1"/>
  <c r="L96" i="1"/>
  <c r="J96" i="1"/>
  <c r="H96" i="1"/>
  <c r="F96" i="1"/>
  <c r="A96" i="1" s="1"/>
  <c r="L95" i="1"/>
  <c r="J95" i="1"/>
  <c r="H95" i="1"/>
  <c r="F95" i="1"/>
  <c r="A95" i="1" s="1"/>
  <c r="N94" i="1"/>
  <c r="L94" i="1"/>
  <c r="J94" i="1"/>
  <c r="H94" i="1"/>
  <c r="F94" i="1"/>
  <c r="A94" i="1" s="1"/>
  <c r="N116" i="1"/>
  <c r="L116" i="1"/>
  <c r="J116" i="1"/>
  <c r="H116" i="1"/>
  <c r="F116" i="1"/>
  <c r="A116" i="1" s="1"/>
  <c r="B116" i="1"/>
  <c r="N115" i="1"/>
  <c r="L115" i="1"/>
  <c r="J115" i="1"/>
  <c r="H115" i="1"/>
  <c r="F115" i="1"/>
  <c r="B115" i="1"/>
  <c r="A115" i="1"/>
  <c r="N114" i="1"/>
  <c r="L114" i="1"/>
  <c r="J114" i="1"/>
  <c r="H114" i="1"/>
  <c r="F114" i="1"/>
  <c r="B114" i="1"/>
  <c r="A114" i="1"/>
  <c r="N113" i="1"/>
  <c r="L113" i="1"/>
  <c r="J113" i="1"/>
  <c r="F113" i="1"/>
  <c r="A113" i="1" s="1"/>
  <c r="B113" i="1"/>
  <c r="N112" i="1"/>
  <c r="L112" i="1"/>
  <c r="J112" i="1"/>
  <c r="H112" i="1"/>
  <c r="F112" i="1"/>
  <c r="A112" i="1" s="1"/>
  <c r="B112" i="1"/>
  <c r="J110" i="1"/>
  <c r="H110" i="1"/>
  <c r="A110" i="1" s="1"/>
  <c r="F110" i="1"/>
  <c r="B110" i="1"/>
  <c r="J109" i="1"/>
  <c r="H109" i="1"/>
  <c r="F109" i="1"/>
  <c r="B109" i="1"/>
  <c r="J108" i="1"/>
  <c r="H108" i="1"/>
  <c r="F108" i="1"/>
  <c r="B108" i="1"/>
  <c r="J107" i="1"/>
  <c r="H107" i="1"/>
  <c r="F107" i="1"/>
  <c r="B107" i="1"/>
  <c r="J106" i="1"/>
  <c r="H106" i="1"/>
  <c r="F106" i="1"/>
  <c r="B106" i="1"/>
  <c r="J105" i="1"/>
  <c r="H105" i="1"/>
  <c r="F105" i="1"/>
  <c r="B105" i="1"/>
  <c r="J104" i="1"/>
  <c r="H104" i="1"/>
  <c r="F104" i="1"/>
  <c r="B104" i="1"/>
  <c r="J103" i="1"/>
  <c r="H103" i="1"/>
  <c r="F103" i="1"/>
  <c r="B103" i="1"/>
  <c r="B101" i="1"/>
  <c r="A101" i="1"/>
  <c r="B100" i="1"/>
  <c r="A100" i="1"/>
  <c r="B99" i="1"/>
  <c r="B98" i="1"/>
  <c r="B97" i="1"/>
  <c r="B96" i="1"/>
  <c r="B95" i="1"/>
  <c r="B94" i="1"/>
  <c r="N92" i="1"/>
  <c r="L92" i="1"/>
  <c r="J92" i="1"/>
  <c r="H92" i="1"/>
  <c r="F92" i="1"/>
  <c r="A92" i="1" s="1"/>
  <c r="N91" i="1"/>
  <c r="L91" i="1"/>
  <c r="J91" i="1"/>
  <c r="H91" i="1"/>
  <c r="F91" i="1"/>
  <c r="L90" i="1"/>
  <c r="J90" i="1"/>
  <c r="H90" i="1"/>
  <c r="F90" i="1"/>
  <c r="N89" i="1"/>
  <c r="L89" i="1"/>
  <c r="J89" i="1"/>
  <c r="H89" i="1"/>
  <c r="F89" i="1"/>
  <c r="A89" i="1" s="1"/>
  <c r="N88" i="1"/>
  <c r="L88" i="1"/>
  <c r="J88" i="1"/>
  <c r="H88" i="1"/>
  <c r="F88" i="1"/>
  <c r="N87" i="1"/>
  <c r="L87" i="1"/>
  <c r="J87" i="1"/>
  <c r="H87" i="1"/>
  <c r="F87" i="1"/>
  <c r="L86" i="1"/>
  <c r="J86" i="1"/>
  <c r="H86" i="1"/>
  <c r="F86" i="1"/>
  <c r="A86" i="1" s="1"/>
  <c r="N85" i="1"/>
  <c r="L85" i="1"/>
  <c r="J85" i="1"/>
  <c r="H85" i="1"/>
  <c r="F85" i="1"/>
  <c r="N83" i="1"/>
  <c r="L83" i="1"/>
  <c r="J83" i="1"/>
  <c r="H83" i="1"/>
  <c r="F83" i="1"/>
  <c r="N82" i="1"/>
  <c r="L82" i="1"/>
  <c r="J82" i="1"/>
  <c r="H82" i="1"/>
  <c r="F82" i="1"/>
  <c r="L81" i="1"/>
  <c r="J81" i="1"/>
  <c r="H81" i="1"/>
  <c r="F81" i="1"/>
  <c r="N80" i="1"/>
  <c r="L80" i="1"/>
  <c r="J80" i="1"/>
  <c r="H80" i="1"/>
  <c r="F80" i="1"/>
  <c r="B77" i="1"/>
  <c r="L79" i="1"/>
  <c r="J79" i="1"/>
  <c r="H79" i="1"/>
  <c r="F79" i="1"/>
  <c r="L77" i="1"/>
  <c r="J77" i="1"/>
  <c r="H77" i="1"/>
  <c r="F77" i="1"/>
  <c r="A77" i="1" s="1"/>
  <c r="H78" i="1"/>
  <c r="N79" i="1"/>
  <c r="N78" i="1"/>
  <c r="N76" i="1"/>
  <c r="L78" i="1"/>
  <c r="L76" i="1"/>
  <c r="J78" i="1"/>
  <c r="J76" i="1"/>
  <c r="H76" i="1"/>
  <c r="F78" i="1"/>
  <c r="F76" i="1"/>
  <c r="B92" i="1"/>
  <c r="B91" i="1"/>
  <c r="B90" i="1"/>
  <c r="B89" i="1"/>
  <c r="B88" i="1"/>
  <c r="B87" i="1"/>
  <c r="B86" i="1"/>
  <c r="B85" i="1"/>
  <c r="B83" i="1"/>
  <c r="B82" i="1"/>
  <c r="B81" i="1"/>
  <c r="B80" i="1"/>
  <c r="A87" i="1"/>
  <c r="A85" i="1"/>
  <c r="A83" i="1"/>
  <c r="H74" i="1"/>
  <c r="F74" i="1"/>
  <c r="N67" i="1"/>
  <c r="L67" i="1"/>
  <c r="J67" i="1"/>
  <c r="H67" i="1"/>
  <c r="N66" i="1"/>
  <c r="L66" i="1"/>
  <c r="J66" i="1"/>
  <c r="H66" i="1"/>
  <c r="N65" i="1"/>
  <c r="L65" i="1"/>
  <c r="J65" i="1"/>
  <c r="H65" i="1"/>
  <c r="N64" i="1"/>
  <c r="L64" i="1"/>
  <c r="J64" i="1"/>
  <c r="H64" i="1"/>
  <c r="N71" i="1"/>
  <c r="L71" i="1"/>
  <c r="J71" i="1"/>
  <c r="N70" i="1"/>
  <c r="L70" i="1"/>
  <c r="J70" i="1"/>
  <c r="N69" i="1"/>
  <c r="L69" i="1"/>
  <c r="J69" i="1"/>
  <c r="N68" i="1"/>
  <c r="L68" i="1"/>
  <c r="J68" i="1"/>
  <c r="N63" i="1"/>
  <c r="L63" i="1"/>
  <c r="J63" i="1"/>
  <c r="H63" i="1"/>
  <c r="F63" i="1"/>
  <c r="J74" i="1"/>
  <c r="J73" i="1"/>
  <c r="J62" i="1"/>
  <c r="J60" i="1"/>
  <c r="J59" i="1"/>
  <c r="J58" i="1"/>
  <c r="J57" i="1"/>
  <c r="J56" i="1"/>
  <c r="J55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0" i="1"/>
  <c r="J29" i="1"/>
  <c r="J28" i="1"/>
  <c r="J27" i="1"/>
  <c r="J26" i="1"/>
  <c r="J25" i="1"/>
  <c r="J23" i="1"/>
  <c r="J22" i="1"/>
  <c r="J20" i="1"/>
  <c r="J19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H73" i="1"/>
  <c r="H71" i="1"/>
  <c r="H70" i="1"/>
  <c r="H69" i="1"/>
  <c r="H68" i="1"/>
  <c r="H62" i="1"/>
  <c r="H60" i="1"/>
  <c r="H59" i="1"/>
  <c r="H58" i="1"/>
  <c r="H57" i="1"/>
  <c r="H56" i="1"/>
  <c r="H55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3" i="1"/>
  <c r="H22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L60" i="1"/>
  <c r="L59" i="1"/>
  <c r="L58" i="1"/>
  <c r="L57" i="1"/>
  <c r="F56" i="1"/>
  <c r="F47" i="1"/>
  <c r="F46" i="1"/>
  <c r="F45" i="1"/>
  <c r="F44" i="1"/>
  <c r="N37" i="1"/>
  <c r="L37" i="1"/>
  <c r="F37" i="1"/>
  <c r="A37" i="1" s="1"/>
  <c r="B37" i="1"/>
  <c r="N38" i="1"/>
  <c r="L38" i="1"/>
  <c r="F38" i="1"/>
  <c r="B38" i="1"/>
  <c r="L43" i="1"/>
  <c r="F43" i="1"/>
  <c r="L41" i="1"/>
  <c r="F41" i="1"/>
  <c r="F42" i="1"/>
  <c r="N35" i="1"/>
  <c r="N34" i="1"/>
  <c r="N33" i="1"/>
  <c r="N32" i="1"/>
  <c r="L35" i="1"/>
  <c r="L34" i="1"/>
  <c r="L33" i="1"/>
  <c r="L32" i="1"/>
  <c r="B35" i="1"/>
  <c r="B34" i="1"/>
  <c r="B33" i="1"/>
  <c r="B32" i="1"/>
  <c r="F35" i="1"/>
  <c r="F34" i="1"/>
  <c r="F33" i="1"/>
  <c r="F32" i="1"/>
  <c r="N30" i="1"/>
  <c r="L30" i="1"/>
  <c r="F30" i="1"/>
  <c r="A30" i="1" s="1"/>
  <c r="N29" i="1"/>
  <c r="L29" i="1"/>
  <c r="F29" i="1"/>
  <c r="A29" i="1" s="1"/>
  <c r="N28" i="1"/>
  <c r="L28" i="1"/>
  <c r="F28" i="1"/>
  <c r="A28" i="1" s="1"/>
  <c r="N27" i="1"/>
  <c r="L27" i="1"/>
  <c r="F27" i="1"/>
  <c r="A27" i="1" s="1"/>
  <c r="N26" i="1"/>
  <c r="L26" i="1"/>
  <c r="F26" i="1"/>
  <c r="A26" i="1" s="1"/>
  <c r="N23" i="1"/>
  <c r="L23" i="1"/>
  <c r="F23" i="1"/>
  <c r="N74" i="1"/>
  <c r="N73" i="1"/>
  <c r="N62" i="1"/>
  <c r="N60" i="1"/>
  <c r="N59" i="1"/>
  <c r="N58" i="1"/>
  <c r="N57" i="1"/>
  <c r="N56" i="1"/>
  <c r="N55" i="1"/>
  <c r="N47" i="1"/>
  <c r="N46" i="1"/>
  <c r="N45" i="1"/>
  <c r="N44" i="1"/>
  <c r="N43" i="1"/>
  <c r="N41" i="1"/>
  <c r="N42" i="1"/>
  <c r="N40" i="1"/>
  <c r="N39" i="1"/>
  <c r="N36" i="1"/>
  <c r="N25" i="1"/>
  <c r="N22" i="1"/>
  <c r="N20" i="1"/>
  <c r="N19" i="1"/>
  <c r="L74" i="1"/>
  <c r="L73" i="1"/>
  <c r="L62" i="1"/>
  <c r="L56" i="1"/>
  <c r="L55" i="1"/>
  <c r="L47" i="1"/>
  <c r="L46" i="1"/>
  <c r="L45" i="1"/>
  <c r="L44" i="1"/>
  <c r="L42" i="1"/>
  <c r="L40" i="1"/>
  <c r="L39" i="1"/>
  <c r="L36" i="1"/>
  <c r="L25" i="1"/>
  <c r="L22" i="1"/>
  <c r="L20" i="1"/>
  <c r="F73" i="1"/>
  <c r="F67" i="1"/>
  <c r="F66" i="1"/>
  <c r="F65" i="1"/>
  <c r="F64" i="1"/>
  <c r="F71" i="1"/>
  <c r="F70" i="1"/>
  <c r="F69" i="1"/>
  <c r="F68" i="1"/>
  <c r="F62" i="1"/>
  <c r="F60" i="1"/>
  <c r="F59" i="1"/>
  <c r="F58" i="1"/>
  <c r="F57" i="1"/>
  <c r="F55" i="1"/>
  <c r="F40" i="1"/>
  <c r="F39" i="1"/>
  <c r="F36" i="1"/>
  <c r="F25" i="1"/>
  <c r="F22" i="1"/>
  <c r="F20" i="1"/>
  <c r="B79" i="1"/>
  <c r="B78" i="1"/>
  <c r="B76" i="1"/>
  <c r="B74" i="1"/>
  <c r="B73" i="1"/>
  <c r="B67" i="1"/>
  <c r="B66" i="1"/>
  <c r="B65" i="1"/>
  <c r="B64" i="1"/>
  <c r="B71" i="1"/>
  <c r="B70" i="1"/>
  <c r="B69" i="1"/>
  <c r="B68" i="1"/>
  <c r="B63" i="1"/>
  <c r="B62" i="1"/>
  <c r="B60" i="1"/>
  <c r="B59" i="1"/>
  <c r="B58" i="1"/>
  <c r="B57" i="1"/>
  <c r="B56" i="1"/>
  <c r="B55" i="1"/>
  <c r="B47" i="1"/>
  <c r="B46" i="1"/>
  <c r="B45" i="1"/>
  <c r="B44" i="1"/>
  <c r="B43" i="1"/>
  <c r="B41" i="1"/>
  <c r="B42" i="1"/>
  <c r="B40" i="1"/>
  <c r="B39" i="1"/>
  <c r="B36" i="1"/>
  <c r="B30" i="1"/>
  <c r="B29" i="1"/>
  <c r="B28" i="1"/>
  <c r="B27" i="1"/>
  <c r="B26" i="1"/>
  <c r="B25" i="1"/>
  <c r="B23" i="1"/>
  <c r="B22" i="1"/>
  <c r="B20" i="1"/>
  <c r="B19" i="1"/>
  <c r="L19" i="1"/>
  <c r="F19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A51" i="1" l="1"/>
  <c r="A50" i="1"/>
  <c r="A91" i="1"/>
  <c r="A90" i="1"/>
  <c r="A88" i="1"/>
  <c r="A82" i="1"/>
  <c r="A81" i="1"/>
  <c r="A80" i="1"/>
  <c r="A104" i="1"/>
  <c r="A107" i="1"/>
  <c r="A105" i="1"/>
  <c r="A108" i="1"/>
  <c r="A106" i="1"/>
  <c r="A109" i="1"/>
  <c r="A103" i="1"/>
  <c r="A23" i="1"/>
  <c r="A19" i="1"/>
  <c r="A38" i="1"/>
  <c r="A35" i="1"/>
  <c r="A34" i="1"/>
  <c r="A33" i="1"/>
  <c r="A32" i="1"/>
  <c r="A11" i="1"/>
  <c r="A10" i="1"/>
  <c r="A9" i="1"/>
  <c r="A8" i="1"/>
  <c r="A7" i="1"/>
  <c r="A6" i="1"/>
  <c r="A5" i="1"/>
  <c r="A4" i="1"/>
  <c r="A3" i="1"/>
  <c r="A2" i="1"/>
  <c r="A74" i="1"/>
  <c r="A62" i="1"/>
  <c r="A45" i="1"/>
  <c r="A22" i="1"/>
  <c r="A17" i="1"/>
  <c r="A16" i="1"/>
  <c r="A15" i="1"/>
  <c r="A14" i="1"/>
  <c r="A13" i="1"/>
  <c r="A12" i="1"/>
  <c r="A79" i="1"/>
  <c r="A69" i="1"/>
  <c r="A55" i="1"/>
  <c r="A71" i="1"/>
  <c r="A58" i="1"/>
  <c r="A43" i="1"/>
  <c r="A73" i="1"/>
  <c r="A63" i="1"/>
  <c r="A46" i="1"/>
  <c r="A20" i="1"/>
  <c r="A66" i="1"/>
  <c r="A68" i="1"/>
  <c r="A47" i="1"/>
  <c r="A25" i="1"/>
  <c r="A78" i="1"/>
  <c r="A70" i="1"/>
  <c r="A57" i="1"/>
  <c r="A41" i="1"/>
  <c r="A64" i="1"/>
  <c r="A56" i="1"/>
  <c r="A40" i="1"/>
  <c r="A76" i="1"/>
  <c r="A59" i="1"/>
  <c r="A42" i="1"/>
  <c r="A65" i="1"/>
  <c r="A67" i="1"/>
  <c r="A60" i="1"/>
  <c r="A44" i="1"/>
  <c r="A36" i="1"/>
  <c r="A39" i="1"/>
</calcChain>
</file>

<file path=xl/sharedStrings.xml><?xml version="1.0" encoding="utf-8"?>
<sst xmlns="http://schemas.openxmlformats.org/spreadsheetml/2006/main" count="585" uniqueCount="69">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</sst>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</fonts>
  <fills count="36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41"/>
  <sheetViews>
    <sheetView tabSelected="1" topLeftCell="A37" workbookViewId="0">
      <selection activeCell="C47" sqref="C47"/>
    </sheetView>
  </sheetViews>
  <sheetFormatPr defaultRowHeight="13.5" x14ac:dyDescent="0.25"/>
  <cols>
    <col min="1" max="1" width="37.28515625" style="2" customWidth="1"/>
    <col min="2" max="3" width="12.7109375" style="2" customWidth="1"/>
    <col min="4" max="4" width="2.7109375" style="20" customWidth="1"/>
    <col min="5" max="5" width="12.7109375" style="2" customWidth="1"/>
    <col min="6" max="6" width="2.7109375" style="2" customWidth="1"/>
    <col min="7" max="7" width="12.7109375" style="2" customWidth="1"/>
    <col min="8" max="8" width="2.7109375" style="2" customWidth="1"/>
    <col min="9" max="9" width="12.7109375" style="2" customWidth="1"/>
    <col min="10" max="10" width="2.7109375" style="2" customWidth="1"/>
    <col min="11" max="11" width="12.7109375" style="2" customWidth="1"/>
    <col min="12" max="12" width="2.7109375" style="2" customWidth="1"/>
    <col min="13" max="13" width="12.7109375" style="2" customWidth="1"/>
    <col min="14" max="14" width="2.7109375" style="2" customWidth="1"/>
    <col min="15" max="15" width="12.7109375" style="2" customWidth="1"/>
    <col min="16" max="16384" width="9.140625" style="2"/>
  </cols>
  <sheetData>
    <row r="1" spans="1:15" s="1" customFormat="1" x14ac:dyDescent="0.25">
      <c r="A1" s="1" t="s">
        <v>0</v>
      </c>
      <c r="B1" s="1" t="s">
        <v>1</v>
      </c>
      <c r="C1" s="1" t="s">
        <v>34</v>
      </c>
      <c r="D1" s="21"/>
      <c r="E1" s="1" t="s">
        <v>18</v>
      </c>
      <c r="G1" s="1" t="s">
        <v>17</v>
      </c>
      <c r="I1" s="1" t="s">
        <v>23</v>
      </c>
      <c r="K1" s="1" t="s">
        <v>43</v>
      </c>
      <c r="M1" s="1" t="s">
        <v>19</v>
      </c>
      <c r="O1" s="1" t="s">
        <v>20</v>
      </c>
    </row>
    <row r="2" spans="1:15" x14ac:dyDescent="0.25">
      <c r="A2" s="1" t="str">
        <f>_xlfn.CONCAT("@",E2,F2,G2,H2,I2,J2,K2,L2,"(",M2,N2,O2,")")</f>
        <v>@color-mtb:scale_0--(def)</v>
      </c>
      <c r="B2" s="1" t="str">
        <f>_xlfn.CONCAT("""",C2,"""")</f>
        <v>"#0ac5a0"</v>
      </c>
      <c r="C2" s="3" t="s">
        <v>2</v>
      </c>
      <c r="E2" s="2" t="s">
        <v>21</v>
      </c>
      <c r="F2" s="2" t="str">
        <f>IF(NOT(ISBLANK(G2)),"-","")</f>
        <v>-</v>
      </c>
      <c r="G2" s="2" t="s">
        <v>22</v>
      </c>
      <c r="H2" s="2" t="str">
        <f>IF(NOT(ISBLANK(I2)),"_","")</f>
        <v>_</v>
      </c>
      <c r="I2" s="2" t="s">
        <v>24</v>
      </c>
      <c r="J2" s="20" t="str">
        <f>IF(NOT(ISBLANK(K2)),"_","")</f>
        <v/>
      </c>
      <c r="L2" s="2" t="str">
        <f t="shared" ref="L2:L19" si="0">IF(NOT(ISBLANK(M2)),"-","")</f>
        <v>-</v>
      </c>
      <c r="M2" s="2" t="s">
        <v>25</v>
      </c>
      <c r="N2" s="2" t="str">
        <f t="shared" ref="N2:N17" si="1">IF(NOT(ISBLANK(O2)),"-","")</f>
        <v/>
      </c>
    </row>
    <row r="3" spans="1:15" x14ac:dyDescent="0.25">
      <c r="A3" s="1" t="str">
        <f t="shared" ref="A3:A80" si="2">_xlfn.CONCAT("@",E3,F3,G3,H3,I3,J3,K3,L3,"(",M3,N3,O3,")")</f>
        <v>@color-mtb:scale_0-(def)</v>
      </c>
      <c r="B3" s="1" t="str">
        <f t="shared" ref="B3:B80" si="3">_xlfn.CONCAT("""",C3,"""")</f>
        <v>"#75e009"</v>
      </c>
      <c r="C3" s="4" t="s">
        <v>3</v>
      </c>
      <c r="E3" s="2" t="s">
        <v>21</v>
      </c>
      <c r="F3" s="2" t="str">
        <f t="shared" ref="F3:F19" si="4">IF(NOT(ISBLANK(G3)),"-","")</f>
        <v>-</v>
      </c>
      <c r="G3" s="2" t="s">
        <v>22</v>
      </c>
      <c r="H3" s="2" t="str">
        <f>IF(NOT(ISBLANK(I3)),"_","")</f>
        <v>_</v>
      </c>
      <c r="I3" s="2">
        <v>0</v>
      </c>
      <c r="J3" s="20" t="str">
        <f>IF(NOT(ISBLANK(K3)),"_","")</f>
        <v/>
      </c>
      <c r="L3" s="2" t="str">
        <f t="shared" si="0"/>
        <v>-</v>
      </c>
      <c r="M3" s="2" t="s">
        <v>25</v>
      </c>
      <c r="N3" s="2" t="str">
        <f t="shared" si="1"/>
        <v/>
      </c>
    </row>
    <row r="4" spans="1:15" x14ac:dyDescent="0.25">
      <c r="A4" s="1" t="str">
        <f t="shared" si="2"/>
        <v>@color-mtb:scale_1-(def)</v>
      </c>
      <c r="B4" s="1" t="str">
        <f t="shared" si="3"/>
        <v>"#d7dc00"</v>
      </c>
      <c r="C4" s="5" t="s">
        <v>4</v>
      </c>
      <c r="E4" s="2" t="s">
        <v>21</v>
      </c>
      <c r="F4" s="2" t="str">
        <f t="shared" si="4"/>
        <v>-</v>
      </c>
      <c r="G4" s="2" t="s">
        <v>22</v>
      </c>
      <c r="H4" s="2" t="str">
        <f>IF(NOT(ISBLANK(I4)),"_","")</f>
        <v>_</v>
      </c>
      <c r="I4" s="2">
        <v>1</v>
      </c>
      <c r="J4" s="20" t="str">
        <f>IF(NOT(ISBLANK(K4)),"_","")</f>
        <v/>
      </c>
      <c r="L4" s="2" t="str">
        <f t="shared" si="0"/>
        <v>-</v>
      </c>
      <c r="M4" s="2" t="s">
        <v>25</v>
      </c>
      <c r="N4" s="2" t="str">
        <f t="shared" si="1"/>
        <v/>
      </c>
    </row>
    <row r="5" spans="1:15" x14ac:dyDescent="0.25">
      <c r="A5" s="1" t="str">
        <f t="shared" si="2"/>
        <v>@color-mtb:scale_2-(def)</v>
      </c>
      <c r="B5" s="1" t="str">
        <f t="shared" si="3"/>
        <v>"#feb13e"</v>
      </c>
      <c r="C5" s="6" t="s">
        <v>5</v>
      </c>
      <c r="E5" s="2" t="s">
        <v>21</v>
      </c>
      <c r="F5" s="2" t="str">
        <f t="shared" si="4"/>
        <v>-</v>
      </c>
      <c r="G5" s="2" t="s">
        <v>22</v>
      </c>
      <c r="H5" s="2" t="str">
        <f>IF(NOT(ISBLANK(I5)),"_","")</f>
        <v>_</v>
      </c>
      <c r="I5" s="2">
        <v>2</v>
      </c>
      <c r="J5" s="20" t="str">
        <f>IF(NOT(ISBLANK(K5)),"_","")</f>
        <v/>
      </c>
      <c r="L5" s="2" t="str">
        <f t="shared" si="0"/>
        <v>-</v>
      </c>
      <c r="M5" s="2" t="s">
        <v>25</v>
      </c>
      <c r="N5" s="2" t="str">
        <f t="shared" si="1"/>
        <v/>
      </c>
    </row>
    <row r="6" spans="1:15" x14ac:dyDescent="0.25">
      <c r="A6" s="1" t="str">
        <f t="shared" si="2"/>
        <v>@color-mtb:scale_3-(def)</v>
      </c>
      <c r="B6" s="1" t="str">
        <f t="shared" si="3"/>
        <v>"#ff4f5e"</v>
      </c>
      <c r="C6" s="7" t="s">
        <v>6</v>
      </c>
      <c r="E6" s="2" t="s">
        <v>21</v>
      </c>
      <c r="F6" s="2" t="str">
        <f t="shared" si="4"/>
        <v>-</v>
      </c>
      <c r="G6" s="2" t="s">
        <v>22</v>
      </c>
      <c r="H6" s="2" t="str">
        <f>IF(NOT(ISBLANK(I6)),"_","")</f>
        <v>_</v>
      </c>
      <c r="I6" s="2">
        <v>3</v>
      </c>
      <c r="J6" s="20" t="str">
        <f>IF(NOT(ISBLANK(K6)),"_","")</f>
        <v/>
      </c>
      <c r="L6" s="2" t="str">
        <f t="shared" si="0"/>
        <v>-</v>
      </c>
      <c r="M6" s="2" t="s">
        <v>25</v>
      </c>
      <c r="N6" s="2" t="str">
        <f t="shared" si="1"/>
        <v/>
      </c>
    </row>
    <row r="7" spans="1:15" x14ac:dyDescent="0.25">
      <c r="A7" s="1" t="str">
        <f t="shared" si="2"/>
        <v>@color-mtb:scale_4-(def)</v>
      </c>
      <c r="B7" s="1" t="str">
        <f t="shared" si="3"/>
        <v>"#e50bdd"</v>
      </c>
      <c r="C7" s="8" t="s">
        <v>7</v>
      </c>
      <c r="E7" s="2" t="s">
        <v>21</v>
      </c>
      <c r="F7" s="2" t="str">
        <f t="shared" si="4"/>
        <v>-</v>
      </c>
      <c r="G7" s="2" t="s">
        <v>22</v>
      </c>
      <c r="H7" s="2" t="str">
        <f>IF(NOT(ISBLANK(I7)),"_","")</f>
        <v>_</v>
      </c>
      <c r="I7" s="2">
        <v>4</v>
      </c>
      <c r="J7" s="20" t="str">
        <f>IF(NOT(ISBLANK(K7)),"_","")</f>
        <v/>
      </c>
      <c r="L7" s="2" t="str">
        <f t="shared" si="0"/>
        <v>-</v>
      </c>
      <c r="M7" s="2" t="s">
        <v>25</v>
      </c>
      <c r="N7" s="2" t="str">
        <f t="shared" si="1"/>
        <v/>
      </c>
    </row>
    <row r="8" spans="1:15" x14ac:dyDescent="0.25">
      <c r="A8" s="1" t="str">
        <f t="shared" si="2"/>
        <v>@color-mtb:scale_5-(def)</v>
      </c>
      <c r="B8" s="1" t="str">
        <f t="shared" si="3"/>
        <v>"#9600c8"</v>
      </c>
      <c r="C8" s="9" t="s">
        <v>8</v>
      </c>
      <c r="E8" s="2" t="s">
        <v>21</v>
      </c>
      <c r="F8" s="2" t="str">
        <f t="shared" si="4"/>
        <v>-</v>
      </c>
      <c r="G8" s="2" t="s">
        <v>22</v>
      </c>
      <c r="H8" s="2" t="str">
        <f>IF(NOT(ISBLANK(I8)),"_","")</f>
        <v>_</v>
      </c>
      <c r="I8" s="2">
        <v>5</v>
      </c>
      <c r="J8" s="20" t="str">
        <f>IF(NOT(ISBLANK(K8)),"_","")</f>
        <v/>
      </c>
      <c r="L8" s="2" t="str">
        <f t="shared" si="0"/>
        <v>-</v>
      </c>
      <c r="M8" s="2" t="s">
        <v>25</v>
      </c>
      <c r="N8" s="2" t="str">
        <f t="shared" si="1"/>
        <v/>
      </c>
    </row>
    <row r="9" spans="1:15" x14ac:dyDescent="0.25">
      <c r="A9" s="1" t="str">
        <f t="shared" si="2"/>
        <v>@color-mtb:scale_6-(def)</v>
      </c>
      <c r="B9" s="1" t="str">
        <f t="shared" si="3"/>
        <v>"#8100ac"</v>
      </c>
      <c r="C9" s="10" t="s">
        <v>9</v>
      </c>
      <c r="E9" s="2" t="s">
        <v>21</v>
      </c>
      <c r="F9" s="2" t="str">
        <f t="shared" si="4"/>
        <v>-</v>
      </c>
      <c r="G9" s="2" t="s">
        <v>22</v>
      </c>
      <c r="H9" s="2" t="str">
        <f>IF(NOT(ISBLANK(I9)),"_","")</f>
        <v>_</v>
      </c>
      <c r="I9" s="2">
        <v>6</v>
      </c>
      <c r="J9" s="20" t="str">
        <f>IF(NOT(ISBLANK(K9)),"_","")</f>
        <v/>
      </c>
      <c r="L9" s="2" t="str">
        <f t="shared" si="0"/>
        <v>-</v>
      </c>
      <c r="M9" s="2" t="s">
        <v>25</v>
      </c>
      <c r="N9" s="2" t="str">
        <f t="shared" si="1"/>
        <v/>
      </c>
    </row>
    <row r="10" spans="1:15" x14ac:dyDescent="0.25">
      <c r="A10" s="1" t="str">
        <f t="shared" si="2"/>
        <v>@color-mtb:scale_0--(def-hc)</v>
      </c>
      <c r="B10" s="1" t="str">
        <f t="shared" si="3"/>
        <v>"#00c7b0"</v>
      </c>
      <c r="C10" s="11" t="s">
        <v>10</v>
      </c>
      <c r="E10" s="2" t="s">
        <v>21</v>
      </c>
      <c r="F10" s="2" t="str">
        <f t="shared" si="4"/>
        <v>-</v>
      </c>
      <c r="G10" s="2" t="s">
        <v>22</v>
      </c>
      <c r="H10" s="2" t="str">
        <f>IF(NOT(ISBLANK(I10)),"_","")</f>
        <v>_</v>
      </c>
      <c r="I10" s="2" t="s">
        <v>24</v>
      </c>
      <c r="J10" s="20" t="str">
        <f>IF(NOT(ISBLANK(K10)),"_","")</f>
        <v/>
      </c>
      <c r="L10" s="2" t="str">
        <f t="shared" si="0"/>
        <v>-</v>
      </c>
      <c r="M10" s="2" t="s">
        <v>25</v>
      </c>
      <c r="N10" s="2" t="str">
        <f t="shared" si="1"/>
        <v>-</v>
      </c>
      <c r="O10" s="2" t="s">
        <v>26</v>
      </c>
    </row>
    <row r="11" spans="1:15" x14ac:dyDescent="0.25">
      <c r="A11" s="1" t="str">
        <f t="shared" si="2"/>
        <v>@color-mtb:scale_0-(def-hc)</v>
      </c>
      <c r="B11" s="1" t="str">
        <f t="shared" si="3"/>
        <v>"#66cc00"</v>
      </c>
      <c r="C11" s="12" t="s">
        <v>11</v>
      </c>
      <c r="E11" s="2" t="s">
        <v>21</v>
      </c>
      <c r="F11" s="2" t="str">
        <f t="shared" si="4"/>
        <v>-</v>
      </c>
      <c r="G11" s="2" t="s">
        <v>22</v>
      </c>
      <c r="H11" s="2" t="str">
        <f>IF(NOT(ISBLANK(I11)),"_","")</f>
        <v>_</v>
      </c>
      <c r="I11" s="2">
        <v>0</v>
      </c>
      <c r="J11" s="20" t="str">
        <f>IF(NOT(ISBLANK(K11)),"_","")</f>
        <v/>
      </c>
      <c r="L11" s="2" t="str">
        <f t="shared" si="0"/>
        <v>-</v>
      </c>
      <c r="M11" s="2" t="s">
        <v>25</v>
      </c>
      <c r="N11" s="2" t="str">
        <f t="shared" si="1"/>
        <v>-</v>
      </c>
      <c r="O11" s="2" t="s">
        <v>26</v>
      </c>
    </row>
    <row r="12" spans="1:15" x14ac:dyDescent="0.25">
      <c r="A12" s="1" t="str">
        <f t="shared" si="2"/>
        <v>@color-mtb:scale_1-(def-hc)</v>
      </c>
      <c r="B12" s="1" t="str">
        <f t="shared" si="3"/>
        <v>"#c5c900"</v>
      </c>
      <c r="C12" s="13" t="s">
        <v>12</v>
      </c>
      <c r="E12" s="2" t="s">
        <v>21</v>
      </c>
      <c r="F12" s="2" t="str">
        <f t="shared" si="4"/>
        <v>-</v>
      </c>
      <c r="G12" s="2" t="s">
        <v>22</v>
      </c>
      <c r="H12" s="2" t="str">
        <f>IF(NOT(ISBLANK(I12)),"_","")</f>
        <v>_</v>
      </c>
      <c r="I12" s="2">
        <v>1</v>
      </c>
      <c r="J12" s="20" t="str">
        <f>IF(NOT(ISBLANK(K12)),"_","")</f>
        <v/>
      </c>
      <c r="L12" s="2" t="str">
        <f t="shared" si="0"/>
        <v>-</v>
      </c>
      <c r="M12" s="2" t="s">
        <v>25</v>
      </c>
      <c r="N12" s="2" t="str">
        <f t="shared" si="1"/>
        <v>-</v>
      </c>
      <c r="O12" s="2" t="s">
        <v>26</v>
      </c>
    </row>
    <row r="13" spans="1:15" x14ac:dyDescent="0.25">
      <c r="A13" s="1" t="str">
        <f t="shared" si="2"/>
        <v>@color-mtb:scale_2-(def-hc)</v>
      </c>
      <c r="B13" s="1" t="str">
        <f t="shared" si="3"/>
        <v>"#f09000"</v>
      </c>
      <c r="C13" s="14" t="s">
        <v>13</v>
      </c>
      <c r="E13" s="2" t="s">
        <v>21</v>
      </c>
      <c r="F13" s="2" t="str">
        <f t="shared" si="4"/>
        <v>-</v>
      </c>
      <c r="G13" s="2" t="s">
        <v>22</v>
      </c>
      <c r="H13" s="2" t="str">
        <f>IF(NOT(ISBLANK(I13)),"_","")</f>
        <v>_</v>
      </c>
      <c r="I13" s="2">
        <v>2</v>
      </c>
      <c r="J13" s="20" t="str">
        <f>IF(NOT(ISBLANK(K13)),"_","")</f>
        <v/>
      </c>
      <c r="L13" s="2" t="str">
        <f t="shared" si="0"/>
        <v>-</v>
      </c>
      <c r="M13" s="2" t="s">
        <v>25</v>
      </c>
      <c r="N13" s="2" t="str">
        <f t="shared" si="1"/>
        <v>-</v>
      </c>
      <c r="O13" s="2" t="s">
        <v>26</v>
      </c>
    </row>
    <row r="14" spans="1:15" x14ac:dyDescent="0.25">
      <c r="A14" s="1" t="str">
        <f t="shared" si="2"/>
        <v>@color-mtb:scale_3-(def-hc)</v>
      </c>
      <c r="B14" s="1" t="str">
        <f t="shared" si="3"/>
        <v>"#ff4f5e"</v>
      </c>
      <c r="C14" s="7" t="s">
        <v>6</v>
      </c>
      <c r="E14" s="2" t="s">
        <v>21</v>
      </c>
      <c r="F14" s="2" t="str">
        <f t="shared" si="4"/>
        <v>-</v>
      </c>
      <c r="G14" s="2" t="s">
        <v>22</v>
      </c>
      <c r="H14" s="2" t="str">
        <f>IF(NOT(ISBLANK(I14)),"_","")</f>
        <v>_</v>
      </c>
      <c r="I14" s="2">
        <v>3</v>
      </c>
      <c r="J14" s="20" t="str">
        <f>IF(NOT(ISBLANK(K14)),"_","")</f>
        <v/>
      </c>
      <c r="L14" s="2" t="str">
        <f t="shared" si="0"/>
        <v>-</v>
      </c>
      <c r="M14" s="2" t="s">
        <v>25</v>
      </c>
      <c r="N14" s="2" t="str">
        <f t="shared" si="1"/>
        <v>-</v>
      </c>
      <c r="O14" s="2" t="s">
        <v>26</v>
      </c>
    </row>
    <row r="15" spans="1:15" x14ac:dyDescent="0.25">
      <c r="A15" s="1" t="str">
        <f t="shared" si="2"/>
        <v>@color-mtb:scale_4-(def-hc)</v>
      </c>
      <c r="B15" s="1" t="str">
        <f t="shared" si="3"/>
        <v>"#d600ce"</v>
      </c>
      <c r="C15" s="15" t="s">
        <v>14</v>
      </c>
      <c r="E15" s="2" t="s">
        <v>21</v>
      </c>
      <c r="F15" s="2" t="str">
        <f t="shared" si="4"/>
        <v>-</v>
      </c>
      <c r="G15" s="2" t="s">
        <v>22</v>
      </c>
      <c r="H15" s="2" t="str">
        <f>IF(NOT(ISBLANK(I15)),"_","")</f>
        <v>_</v>
      </c>
      <c r="I15" s="2">
        <v>4</v>
      </c>
      <c r="J15" s="20" t="str">
        <f>IF(NOT(ISBLANK(K15)),"_","")</f>
        <v/>
      </c>
      <c r="L15" s="2" t="str">
        <f t="shared" si="0"/>
        <v>-</v>
      </c>
      <c r="M15" s="2" t="s">
        <v>25</v>
      </c>
      <c r="N15" s="2" t="str">
        <f t="shared" si="1"/>
        <v>-</v>
      </c>
      <c r="O15" s="2" t="s">
        <v>26</v>
      </c>
    </row>
    <row r="16" spans="1:15" x14ac:dyDescent="0.25">
      <c r="A16" s="1" t="str">
        <f t="shared" si="2"/>
        <v>@color-mtb:scale_5-(def-hc)</v>
      </c>
      <c r="B16" s="1" t="str">
        <f t="shared" si="3"/>
        <v>"#7a3391"</v>
      </c>
      <c r="C16" s="16" t="s">
        <v>15</v>
      </c>
      <c r="E16" s="2" t="s">
        <v>21</v>
      </c>
      <c r="F16" s="2" t="str">
        <f t="shared" si="4"/>
        <v>-</v>
      </c>
      <c r="G16" s="2" t="s">
        <v>22</v>
      </c>
      <c r="H16" s="2" t="str">
        <f>IF(NOT(ISBLANK(I16)),"_","")</f>
        <v>_</v>
      </c>
      <c r="I16" s="2">
        <v>5</v>
      </c>
      <c r="J16" s="20" t="str">
        <f>IF(NOT(ISBLANK(K16)),"_","")</f>
        <v/>
      </c>
      <c r="L16" s="2" t="str">
        <f t="shared" si="0"/>
        <v>-</v>
      </c>
      <c r="M16" s="2" t="s">
        <v>25</v>
      </c>
      <c r="N16" s="2" t="str">
        <f t="shared" si="1"/>
        <v>-</v>
      </c>
      <c r="O16" s="2" t="s">
        <v>26</v>
      </c>
    </row>
    <row r="17" spans="1:15" x14ac:dyDescent="0.25">
      <c r="A17" s="1" t="str">
        <f t="shared" si="2"/>
        <v>@color-mtb:scale_6-(def-hc)</v>
      </c>
      <c r="B17" s="1" t="str">
        <f t="shared" si="3"/>
        <v>"#593266"</v>
      </c>
      <c r="C17" s="17" t="s">
        <v>16</v>
      </c>
      <c r="E17" s="2" t="s">
        <v>21</v>
      </c>
      <c r="F17" s="2" t="str">
        <f t="shared" si="4"/>
        <v>-</v>
      </c>
      <c r="G17" s="2" t="s">
        <v>22</v>
      </c>
      <c r="H17" s="2" t="str">
        <f>IF(NOT(ISBLANK(I17)),"_","")</f>
        <v>_</v>
      </c>
      <c r="I17" s="2">
        <v>6</v>
      </c>
      <c r="J17" s="20" t="str">
        <f>IF(NOT(ISBLANK(K17)),"_","")</f>
        <v/>
      </c>
      <c r="L17" s="2" t="str">
        <f t="shared" si="0"/>
        <v>-</v>
      </c>
      <c r="M17" s="2" t="s">
        <v>25</v>
      </c>
      <c r="N17" s="2" t="str">
        <f t="shared" si="1"/>
        <v>-</v>
      </c>
      <c r="O17" s="2" t="s">
        <v>26</v>
      </c>
    </row>
    <row r="18" spans="1:15" x14ac:dyDescent="0.25">
      <c r="A18" s="1"/>
      <c r="B18" s="1"/>
      <c r="C18" s="17"/>
      <c r="J18" s="20"/>
    </row>
    <row r="19" spans="1:15" x14ac:dyDescent="0.25">
      <c r="A19" s="1" t="str">
        <f t="shared" si="2"/>
        <v>@color-cycleway_line-(def-hc)</v>
      </c>
      <c r="B19" s="1" t="str">
        <f t="shared" si="3"/>
        <v>"#3046d7"</v>
      </c>
      <c r="C19" s="18" t="s">
        <v>29</v>
      </c>
      <c r="E19" s="2" t="s">
        <v>21</v>
      </c>
      <c r="F19" s="2" t="str">
        <f t="shared" si="4"/>
        <v>-</v>
      </c>
      <c r="G19" s="2" t="s">
        <v>27</v>
      </c>
      <c r="H19" s="2" t="str">
        <f>IF(NOT(ISBLANK(I19)),"_","")</f>
        <v>_</v>
      </c>
      <c r="I19" s="2" t="s">
        <v>28</v>
      </c>
      <c r="J19" s="20" t="str">
        <f>IF(NOT(ISBLANK(K19)),"_","")</f>
        <v/>
      </c>
      <c r="L19" s="2" t="str">
        <f t="shared" si="0"/>
        <v>-</v>
      </c>
      <c r="M19" s="2" t="s">
        <v>25</v>
      </c>
      <c r="N19" s="20" t="str">
        <f t="shared" ref="F19:N79" si="5">IF(NOT(ISBLANK(O19)),"-","")</f>
        <v>-</v>
      </c>
      <c r="O19" s="2" t="s">
        <v>26</v>
      </c>
    </row>
    <row r="20" spans="1:15" x14ac:dyDescent="0.25">
      <c r="A20" s="1" t="str">
        <f t="shared" si="2"/>
        <v>@color-cycleway_line-(def-hc)</v>
      </c>
      <c r="B20" s="1" t="str">
        <f t="shared" si="3"/>
        <v>"#001ac7"</v>
      </c>
      <c r="C20" s="19" t="s">
        <v>30</v>
      </c>
      <c r="E20" s="2" t="s">
        <v>21</v>
      </c>
      <c r="F20" s="20" t="str">
        <f t="shared" si="5"/>
        <v>-</v>
      </c>
      <c r="G20" s="2" t="s">
        <v>27</v>
      </c>
      <c r="H20" s="20" t="str">
        <f>IF(NOT(ISBLANK(I20)),"_","")</f>
        <v>_</v>
      </c>
      <c r="I20" s="2" t="s">
        <v>28</v>
      </c>
      <c r="J20" s="20" t="str">
        <f>IF(NOT(ISBLANK(K20)),"_","")</f>
        <v/>
      </c>
      <c r="L20" s="20" t="str">
        <f t="shared" si="5"/>
        <v>-</v>
      </c>
      <c r="M20" s="2" t="s">
        <v>25</v>
      </c>
      <c r="N20" s="20" t="str">
        <f t="shared" si="5"/>
        <v>-</v>
      </c>
      <c r="O20" s="2" t="s">
        <v>26</v>
      </c>
    </row>
    <row r="21" spans="1:15" x14ac:dyDescent="0.25">
      <c r="A21" s="1"/>
      <c r="B21" s="1"/>
      <c r="C21" s="20"/>
      <c r="F21" s="20"/>
      <c r="H21" s="20"/>
      <c r="J21" s="20"/>
      <c r="L21" s="20"/>
      <c r="N21" s="20"/>
    </row>
    <row r="22" spans="1:15" x14ac:dyDescent="0.25">
      <c r="A22" s="1" t="str">
        <f t="shared" si="2"/>
        <v>@color-water-(def)</v>
      </c>
      <c r="B22" s="1" t="str">
        <f t="shared" si="3"/>
        <v>"#bfd9f2"</v>
      </c>
      <c r="C22" s="22" t="s">
        <v>32</v>
      </c>
      <c r="E22" s="2" t="s">
        <v>21</v>
      </c>
      <c r="F22" s="20" t="str">
        <f t="shared" si="5"/>
        <v>-</v>
      </c>
      <c r="G22" s="2" t="s">
        <v>31</v>
      </c>
      <c r="H22" s="20" t="str">
        <f>IF(NOT(ISBLANK(I22)),"_","")</f>
        <v/>
      </c>
      <c r="J22" s="20" t="str">
        <f>IF(NOT(ISBLANK(K22)),"_","")</f>
        <v/>
      </c>
      <c r="L22" s="20" t="str">
        <f t="shared" si="5"/>
        <v>-</v>
      </c>
      <c r="M22" s="2" t="s">
        <v>25</v>
      </c>
      <c r="N22" s="20" t="str">
        <f t="shared" si="5"/>
        <v/>
      </c>
    </row>
    <row r="23" spans="1:15" x14ac:dyDescent="0.25">
      <c r="A23" s="1" t="str">
        <f t="shared" si="2"/>
        <v>@color-water-(def-hc)</v>
      </c>
      <c r="B23" s="1" t="str">
        <f t="shared" si="3"/>
        <v>"#8aa0b5"</v>
      </c>
      <c r="C23" s="23" t="s">
        <v>33</v>
      </c>
      <c r="E23" s="2" t="s">
        <v>21</v>
      </c>
      <c r="F23" s="20" t="str">
        <f t="shared" ref="F23" si="6">IF(NOT(ISBLANK(G23)),"-","")</f>
        <v>-</v>
      </c>
      <c r="G23" s="2" t="s">
        <v>31</v>
      </c>
      <c r="H23" s="20" t="str">
        <f>IF(NOT(ISBLANK(I23)),"_","")</f>
        <v/>
      </c>
      <c r="I23" s="20"/>
      <c r="J23" s="20" t="str">
        <f>IF(NOT(ISBLANK(K23)),"_","")</f>
        <v/>
      </c>
      <c r="K23" s="20"/>
      <c r="L23" s="20" t="str">
        <f t="shared" ref="L23" si="7">IF(NOT(ISBLANK(M23)),"-","")</f>
        <v>-</v>
      </c>
      <c r="M23" s="2" t="s">
        <v>25</v>
      </c>
      <c r="N23" s="20" t="str">
        <f t="shared" ref="N23" si="8">IF(NOT(ISBLANK(O23)),"-","")</f>
        <v>-</v>
      </c>
      <c r="O23" s="20" t="s">
        <v>26</v>
      </c>
    </row>
    <row r="24" spans="1:15" x14ac:dyDescent="0.25">
      <c r="A24" s="1"/>
      <c r="B24" s="1"/>
      <c r="C24" s="20"/>
      <c r="F24" s="20"/>
      <c r="H24" s="20"/>
      <c r="I24" s="20"/>
      <c r="J24" s="20"/>
      <c r="K24" s="20"/>
      <c r="L24" s="20"/>
      <c r="N24" s="20"/>
      <c r="O24" s="20"/>
    </row>
    <row r="25" spans="1:15" x14ac:dyDescent="0.25">
      <c r="A25" s="1" t="str">
        <f t="shared" si="2"/>
        <v>@color-motorway_case_farzoom-(def)</v>
      </c>
      <c r="B25" s="1" t="str">
        <f t="shared" si="3"/>
        <v>"#bf440f"</v>
      </c>
      <c r="C25" s="26" t="s">
        <v>39</v>
      </c>
      <c r="E25" s="2" t="s">
        <v>21</v>
      </c>
      <c r="F25" s="20" t="str">
        <f t="shared" si="5"/>
        <v>-</v>
      </c>
      <c r="G25" s="2" t="s">
        <v>35</v>
      </c>
      <c r="H25" s="20" t="str">
        <f>IF(NOT(ISBLANK(I25)),"_","")</f>
        <v>_</v>
      </c>
      <c r="I25" s="2" t="s">
        <v>38</v>
      </c>
      <c r="J25" s="20" t="str">
        <f>IF(NOT(ISBLANK(K25)),"_","")</f>
        <v>_</v>
      </c>
      <c r="K25" s="2" t="s">
        <v>44</v>
      </c>
      <c r="L25" s="20" t="str">
        <f t="shared" si="5"/>
        <v>-</v>
      </c>
      <c r="M25" s="2" t="s">
        <v>25</v>
      </c>
      <c r="N25" s="20" t="str">
        <f t="shared" si="5"/>
        <v/>
      </c>
    </row>
    <row r="26" spans="1:15" x14ac:dyDescent="0.25">
      <c r="A26" s="1" t="str">
        <f>_xlfn.CONCAT("@",E26,F26,G26,H26,I26,J26,K26,L26,"(",M26,N26,O26,")")</f>
        <v>@color-motorway_case_farzoom-(def-hc)</v>
      </c>
      <c r="B26" s="1" t="str">
        <f>_xlfn.CONCAT("""",C26,"""")</f>
        <v>"#000000"</v>
      </c>
      <c r="C26" s="27" t="s">
        <v>40</v>
      </c>
      <c r="E26" s="2" t="s">
        <v>21</v>
      </c>
      <c r="F26" s="20" t="str">
        <f>IF(NOT(ISBLANK(G26)),"-","")</f>
        <v>-</v>
      </c>
      <c r="G26" s="2" t="s">
        <v>35</v>
      </c>
      <c r="H26" s="20" t="str">
        <f>IF(NOT(ISBLANK(I26)),"_","")</f>
        <v>_</v>
      </c>
      <c r="I26" s="2" t="s">
        <v>38</v>
      </c>
      <c r="J26" s="20" t="str">
        <f>IF(NOT(ISBLANK(K26)),"_","")</f>
        <v>_</v>
      </c>
      <c r="K26" s="2" t="s">
        <v>44</v>
      </c>
      <c r="L26" s="20" t="str">
        <f>IF(NOT(ISBLANK(M26)),"-","")</f>
        <v>-</v>
      </c>
      <c r="M26" s="2" t="s">
        <v>25</v>
      </c>
      <c r="N26" s="20" t="str">
        <f>IF(NOT(ISBLANK(O26)),"-","")</f>
        <v>-</v>
      </c>
      <c r="O26" s="20" t="s">
        <v>26</v>
      </c>
    </row>
    <row r="27" spans="1:15" x14ac:dyDescent="0.25">
      <c r="A27" s="1" t="str">
        <f t="shared" si="2"/>
        <v>@color-motorway_case-(def)</v>
      </c>
      <c r="B27" s="1" t="str">
        <f t="shared" si="3"/>
        <v>"#a15412"</v>
      </c>
      <c r="C27" s="28" t="s">
        <v>41</v>
      </c>
      <c r="E27" s="2" t="s">
        <v>21</v>
      </c>
      <c r="F27" s="20" t="str">
        <f t="shared" ref="F27" si="9">IF(NOT(ISBLANK(G27)),"-","")</f>
        <v>-</v>
      </c>
      <c r="G27" s="2" t="s">
        <v>35</v>
      </c>
      <c r="H27" s="20" t="str">
        <f>IF(NOT(ISBLANK(I27)),"_","")</f>
        <v>_</v>
      </c>
      <c r="I27" s="2" t="s">
        <v>38</v>
      </c>
      <c r="J27" s="20" t="str">
        <f>IF(NOT(ISBLANK(K27)),"_","")</f>
        <v/>
      </c>
      <c r="L27" s="20" t="str">
        <f t="shared" ref="L27" si="10">IF(NOT(ISBLANK(M27)),"-","")</f>
        <v>-</v>
      </c>
      <c r="M27" s="2" t="s">
        <v>25</v>
      </c>
      <c r="N27" s="20" t="str">
        <f t="shared" ref="N27" si="11">IF(NOT(ISBLANK(O27)),"-","")</f>
        <v/>
      </c>
      <c r="O27" s="20"/>
    </row>
    <row r="28" spans="1:15" x14ac:dyDescent="0.25">
      <c r="A28" s="1" t="str">
        <f>_xlfn.CONCAT("@",E28,F28,G28,H28,I28,J28,K28,L28,"(",M28,N28,O28,")")</f>
        <v>@color-motorway_case-(def-hc)</v>
      </c>
      <c r="B28" s="1" t="str">
        <f>_xlfn.CONCAT("""",C28,"""")</f>
        <v>"#000000"</v>
      </c>
      <c r="C28" s="27" t="s">
        <v>40</v>
      </c>
      <c r="E28" s="2" t="s">
        <v>21</v>
      </c>
      <c r="F28" s="20" t="str">
        <f>IF(NOT(ISBLANK(G28)),"-","")</f>
        <v>-</v>
      </c>
      <c r="G28" s="2" t="s">
        <v>35</v>
      </c>
      <c r="H28" s="20" t="str">
        <f>IF(NOT(ISBLANK(I28)),"_","")</f>
        <v>_</v>
      </c>
      <c r="I28" s="2" t="s">
        <v>38</v>
      </c>
      <c r="J28" s="20" t="str">
        <f>IF(NOT(ISBLANK(K28)),"_","")</f>
        <v/>
      </c>
      <c r="L28" s="20" t="str">
        <f>IF(NOT(ISBLANK(M28)),"-","")</f>
        <v>-</v>
      </c>
      <c r="M28" s="2" t="s">
        <v>25</v>
      </c>
      <c r="N28" s="20" t="str">
        <f>IF(NOT(ISBLANK(O28)),"-","")</f>
        <v>-</v>
      </c>
      <c r="O28" s="20" t="s">
        <v>26</v>
      </c>
    </row>
    <row r="29" spans="1:15" x14ac:dyDescent="0.25">
      <c r="A29" s="1" t="str">
        <f t="shared" si="2"/>
        <v>@color-motorway_line-(def)</v>
      </c>
      <c r="B29" s="1" t="str">
        <f t="shared" si="3"/>
        <v>"#ffcc88"</v>
      </c>
      <c r="C29" s="24" t="s">
        <v>36</v>
      </c>
      <c r="E29" s="2" t="s">
        <v>21</v>
      </c>
      <c r="F29" s="20" t="str">
        <f t="shared" ref="F29" si="12">IF(NOT(ISBLANK(G29)),"-","")</f>
        <v>-</v>
      </c>
      <c r="G29" s="2" t="s">
        <v>35</v>
      </c>
      <c r="H29" s="20" t="str">
        <f>IF(NOT(ISBLANK(I29)),"_","")</f>
        <v>_</v>
      </c>
      <c r="I29" s="2" t="s">
        <v>28</v>
      </c>
      <c r="J29" s="20" t="str">
        <f>IF(NOT(ISBLANK(K29)),"_","")</f>
        <v/>
      </c>
      <c r="L29" s="20" t="str">
        <f t="shared" ref="L29:N34" si="13">IF(NOT(ISBLANK(M29)),"-","")</f>
        <v>-</v>
      </c>
      <c r="M29" s="2" t="s">
        <v>25</v>
      </c>
      <c r="N29" s="20" t="str">
        <f t="shared" ref="N29" si="14">IF(NOT(ISBLANK(O29)),"-","")</f>
        <v/>
      </c>
      <c r="O29" s="20"/>
    </row>
    <row r="30" spans="1:15" x14ac:dyDescent="0.25">
      <c r="A30" s="1" t="str">
        <f t="shared" si="2"/>
        <v>@color-motorway_line-(def-hc)</v>
      </c>
      <c r="B30" s="1" t="str">
        <f t="shared" si="3"/>
        <v>"#d6771e"</v>
      </c>
      <c r="C30" s="25" t="s">
        <v>37</v>
      </c>
      <c r="E30" s="2" t="s">
        <v>21</v>
      </c>
      <c r="F30" s="20" t="str">
        <f t="shared" ref="F30:F34" si="15">IF(NOT(ISBLANK(G30)),"-","")</f>
        <v>-</v>
      </c>
      <c r="G30" s="2" t="s">
        <v>35</v>
      </c>
      <c r="H30" s="20" t="str">
        <f>IF(NOT(ISBLANK(I30)),"_","")</f>
        <v>_</v>
      </c>
      <c r="I30" s="2" t="s">
        <v>28</v>
      </c>
      <c r="J30" s="20" t="str">
        <f>IF(NOT(ISBLANK(K30)),"_","")</f>
        <v/>
      </c>
      <c r="L30" s="20" t="str">
        <f t="shared" ref="L30" si="16">IF(NOT(ISBLANK(M30)),"-","")</f>
        <v>-</v>
      </c>
      <c r="M30" s="2" t="s">
        <v>25</v>
      </c>
      <c r="N30" s="20" t="str">
        <f t="shared" ref="N30" si="17">IF(NOT(ISBLANK(O30)),"-","")</f>
        <v>-</v>
      </c>
      <c r="O30" s="20" t="s">
        <v>26</v>
      </c>
    </row>
    <row r="31" spans="1:15" x14ac:dyDescent="0.25">
      <c r="A31" s="1"/>
      <c r="B31" s="1"/>
      <c r="C31" s="20"/>
      <c r="F31" s="20"/>
      <c r="H31" s="20"/>
      <c r="J31" s="20"/>
      <c r="L31" s="20"/>
      <c r="N31" s="20"/>
      <c r="O31" s="20"/>
    </row>
    <row r="32" spans="1:15" x14ac:dyDescent="0.25">
      <c r="A32" s="1" t="str">
        <f t="shared" si="2"/>
        <v>@color-trunk_case_farzoom-(def)</v>
      </c>
      <c r="B32" s="1" t="str">
        <f t="shared" si="3"/>
        <v>"#df9a5e"</v>
      </c>
      <c r="C32" s="31" t="s">
        <v>49</v>
      </c>
      <c r="E32" s="2" t="s">
        <v>21</v>
      </c>
      <c r="F32" s="20" t="str">
        <f t="shared" si="15"/>
        <v>-</v>
      </c>
      <c r="G32" s="2" t="s">
        <v>42</v>
      </c>
      <c r="H32" s="20" t="str">
        <f>IF(NOT(ISBLANK(I32)),"_","")</f>
        <v>_</v>
      </c>
      <c r="I32" s="2" t="s">
        <v>38</v>
      </c>
      <c r="J32" s="20" t="str">
        <f>IF(NOT(ISBLANK(K32)),"_","")</f>
        <v>_</v>
      </c>
      <c r="K32" s="2" t="s">
        <v>44</v>
      </c>
      <c r="L32" s="20" t="str">
        <f t="shared" si="13"/>
        <v>-</v>
      </c>
      <c r="M32" s="2" t="s">
        <v>25</v>
      </c>
      <c r="N32" s="20" t="str">
        <f t="shared" si="13"/>
        <v/>
      </c>
      <c r="O32" s="20"/>
    </row>
    <row r="33" spans="1:15" x14ac:dyDescent="0.25">
      <c r="A33" s="1" t="str">
        <f>_xlfn.CONCAT("@",E33,F33,G33,H33,I33,J33,K33,L33,"(",M33,N33,O33,")")</f>
        <v>@color-trunk_case_farzoom-(def-hc)</v>
      </c>
      <c r="B33" s="1" t="str">
        <f>_xlfn.CONCAT("""",C33,"""")</f>
        <v>"#000000"</v>
      </c>
      <c r="C33" s="27" t="s">
        <v>40</v>
      </c>
      <c r="E33" s="2" t="s">
        <v>21</v>
      </c>
      <c r="F33" s="20" t="str">
        <f>IF(NOT(ISBLANK(G33)),"-","")</f>
        <v>-</v>
      </c>
      <c r="G33" s="2" t="s">
        <v>42</v>
      </c>
      <c r="H33" s="20" t="str">
        <f>IF(NOT(ISBLANK(I33)),"_","")</f>
        <v>_</v>
      </c>
      <c r="I33" s="2" t="s">
        <v>38</v>
      </c>
      <c r="J33" s="20" t="str">
        <f>IF(NOT(ISBLANK(K33)),"_","")</f>
        <v>_</v>
      </c>
      <c r="K33" s="2" t="s">
        <v>44</v>
      </c>
      <c r="L33" s="20" t="str">
        <f>IF(NOT(ISBLANK(M33)),"-","")</f>
        <v>-</v>
      </c>
      <c r="M33" s="2" t="s">
        <v>25</v>
      </c>
      <c r="N33" s="20" t="str">
        <f>IF(NOT(ISBLANK(O33)),"-","")</f>
        <v>-</v>
      </c>
      <c r="O33" s="20" t="s">
        <v>26</v>
      </c>
    </row>
    <row r="34" spans="1:15" x14ac:dyDescent="0.25">
      <c r="A34" s="1" t="str">
        <f t="shared" si="2"/>
        <v>@color-trunk_case-(def)</v>
      </c>
      <c r="B34" s="1" t="str">
        <f t="shared" si="3"/>
        <v>"#c26d21"</v>
      </c>
      <c r="C34" s="32" t="s">
        <v>50</v>
      </c>
      <c r="E34" s="2" t="s">
        <v>21</v>
      </c>
      <c r="F34" s="20" t="str">
        <f t="shared" si="15"/>
        <v>-</v>
      </c>
      <c r="G34" s="2" t="s">
        <v>42</v>
      </c>
      <c r="H34" s="20" t="str">
        <f>IF(NOT(ISBLANK(I34)),"_","")</f>
        <v>_</v>
      </c>
      <c r="I34" s="2" t="s">
        <v>38</v>
      </c>
      <c r="J34" s="20" t="str">
        <f>IF(NOT(ISBLANK(K34)),"_","")</f>
        <v/>
      </c>
      <c r="L34" s="20" t="str">
        <f t="shared" si="13"/>
        <v>-</v>
      </c>
      <c r="M34" s="2" t="s">
        <v>25</v>
      </c>
      <c r="N34" s="20" t="str">
        <f t="shared" si="13"/>
        <v/>
      </c>
      <c r="O34" s="20"/>
    </row>
    <row r="35" spans="1:15" x14ac:dyDescent="0.25">
      <c r="A35" s="1" t="str">
        <f>_xlfn.CONCAT("@",E35,F35,G35,H35,I35,J35,K35,L35,"(",M35,N35,O35,")")</f>
        <v>@color-trunk_case-(def-hc)</v>
      </c>
      <c r="B35" s="1" t="str">
        <f>_xlfn.CONCAT("""",C35,"""")</f>
        <v>"#000000"</v>
      </c>
      <c r="C35" s="27" t="s">
        <v>40</v>
      </c>
      <c r="E35" s="2" t="s">
        <v>21</v>
      </c>
      <c r="F35" s="20" t="str">
        <f>IF(NOT(ISBLANK(G35)),"-","")</f>
        <v>-</v>
      </c>
      <c r="G35" s="2" t="s">
        <v>42</v>
      </c>
      <c r="H35" s="20" t="str">
        <f>IF(NOT(ISBLANK(I35)),"_","")</f>
        <v>_</v>
      </c>
      <c r="I35" s="2" t="s">
        <v>38</v>
      </c>
      <c r="J35" s="20" t="str">
        <f>IF(NOT(ISBLANK(K35)),"_","")</f>
        <v/>
      </c>
      <c r="L35" s="20" t="str">
        <f>IF(NOT(ISBLANK(M35)),"-","")</f>
        <v>-</v>
      </c>
      <c r="M35" s="2" t="s">
        <v>25</v>
      </c>
      <c r="N35" s="20" t="str">
        <f>IF(NOT(ISBLANK(O35)),"-","")</f>
        <v>-</v>
      </c>
      <c r="O35" s="20" t="s">
        <v>26</v>
      </c>
    </row>
    <row r="36" spans="1:15" x14ac:dyDescent="0.25">
      <c r="A36" s="1" t="str">
        <f t="shared" si="2"/>
        <v>@color-trunk_case_unpaved-(gr)</v>
      </c>
      <c r="B36" s="1" t="str">
        <f t="shared" si="3"/>
        <v>"#634507"</v>
      </c>
      <c r="C36" s="29" t="s">
        <v>46</v>
      </c>
      <c r="E36" s="2" t="s">
        <v>21</v>
      </c>
      <c r="F36" s="20" t="str">
        <f t="shared" si="5"/>
        <v>-</v>
      </c>
      <c r="G36" s="2" t="s">
        <v>42</v>
      </c>
      <c r="H36" s="20" t="str">
        <f>IF(NOT(ISBLANK(I36)),"_","")</f>
        <v>_</v>
      </c>
      <c r="I36" s="2" t="s">
        <v>38</v>
      </c>
      <c r="J36" s="20" t="str">
        <f>IF(NOT(ISBLANK(K36)),"_","")</f>
        <v>_</v>
      </c>
      <c r="K36" s="2" t="s">
        <v>45</v>
      </c>
      <c r="L36" s="20" t="str">
        <f t="shared" si="5"/>
        <v>-</v>
      </c>
      <c r="M36" s="2" t="s">
        <v>48</v>
      </c>
      <c r="N36" s="20" t="str">
        <f t="shared" si="5"/>
        <v/>
      </c>
    </row>
    <row r="37" spans="1:15" x14ac:dyDescent="0.25">
      <c r="A37" s="1" t="str">
        <f t="shared" ref="A37" si="18">_xlfn.CONCAT("@",E37,F37,G37,H37,I37,J37,K37,L37,"(",M37,N37,O37,")")</f>
        <v>@color-trunk_case_unpaved-(gr-hc)</v>
      </c>
      <c r="B37" s="1" t="str">
        <f t="shared" ref="B37" si="19">_xlfn.CONCAT("""",C37,"""")</f>
        <v>""</v>
      </c>
      <c r="C37" s="20"/>
      <c r="E37" s="2" t="s">
        <v>21</v>
      </c>
      <c r="F37" s="20" t="str">
        <f t="shared" ref="F37" si="20">IF(NOT(ISBLANK(G37)),"-","")</f>
        <v>-</v>
      </c>
      <c r="G37" s="2" t="s">
        <v>42</v>
      </c>
      <c r="H37" s="20" t="str">
        <f>IF(NOT(ISBLANK(I37)),"_","")</f>
        <v>_</v>
      </c>
      <c r="I37" s="2" t="s">
        <v>38</v>
      </c>
      <c r="J37" s="20" t="str">
        <f>IF(NOT(ISBLANK(K37)),"_","")</f>
        <v>_</v>
      </c>
      <c r="K37" s="2" t="s">
        <v>45</v>
      </c>
      <c r="L37" s="20" t="str">
        <f t="shared" ref="L37" si="21">IF(NOT(ISBLANK(M37)),"-","")</f>
        <v>-</v>
      </c>
      <c r="M37" s="2" t="s">
        <v>48</v>
      </c>
      <c r="N37" s="20" t="str">
        <f t="shared" ref="N37" si="22">IF(NOT(ISBLANK(O37)),"-","")</f>
        <v>-</v>
      </c>
      <c r="O37" s="2" t="s">
        <v>26</v>
      </c>
    </row>
    <row r="38" spans="1:15" x14ac:dyDescent="0.25">
      <c r="A38" s="1" t="str">
        <f t="shared" ref="A38" si="23">_xlfn.CONCAT("@",E38,F38,G38,H38,I38,J38,K38,L38,"(",M38,N38,O38,")")</f>
        <v>@color-trunk_case_paved_or_uk-(gr)</v>
      </c>
      <c r="B38" s="1" t="str">
        <f t="shared" ref="B38" si="24">_xlfn.CONCAT("""",C38,"""")</f>
        <v>"#404040"</v>
      </c>
      <c r="C38" s="30" t="s">
        <v>47</v>
      </c>
      <c r="E38" s="2" t="s">
        <v>21</v>
      </c>
      <c r="F38" s="20" t="str">
        <f t="shared" ref="F38" si="25">IF(NOT(ISBLANK(G38)),"-","")</f>
        <v>-</v>
      </c>
      <c r="G38" s="2" t="s">
        <v>42</v>
      </c>
      <c r="H38" s="20" t="str">
        <f>IF(NOT(ISBLANK(I38)),"_","")</f>
        <v>_</v>
      </c>
      <c r="I38" s="2" t="s">
        <v>38</v>
      </c>
      <c r="J38" s="20" t="str">
        <f>IF(NOT(ISBLANK(K38)),"_","")</f>
        <v>_</v>
      </c>
      <c r="K38" s="2" t="s">
        <v>52</v>
      </c>
      <c r="L38" s="20" t="str">
        <f t="shared" ref="L38" si="26">IF(NOT(ISBLANK(M38)),"-","")</f>
        <v>-</v>
      </c>
      <c r="M38" s="2" t="s">
        <v>48</v>
      </c>
      <c r="N38" s="20" t="str">
        <f t="shared" ref="N38" si="27">IF(NOT(ISBLANK(O38)),"-","")</f>
        <v/>
      </c>
      <c r="O38" s="20"/>
    </row>
    <row r="39" spans="1:15" x14ac:dyDescent="0.25">
      <c r="A39" s="1" t="str">
        <f t="shared" si="2"/>
        <v>@color-trunk_case_paved_or_uk-(gr-hc)</v>
      </c>
      <c r="B39" s="1" t="str">
        <f t="shared" si="3"/>
        <v>""</v>
      </c>
      <c r="C39" s="20"/>
      <c r="E39" s="2" t="s">
        <v>21</v>
      </c>
      <c r="F39" s="20" t="str">
        <f t="shared" si="5"/>
        <v>-</v>
      </c>
      <c r="G39" s="2" t="s">
        <v>42</v>
      </c>
      <c r="H39" s="20" t="str">
        <f>IF(NOT(ISBLANK(I39)),"_","")</f>
        <v>_</v>
      </c>
      <c r="I39" s="2" t="s">
        <v>38</v>
      </c>
      <c r="J39" s="20" t="str">
        <f>IF(NOT(ISBLANK(K39)),"_","")</f>
        <v>_</v>
      </c>
      <c r="K39" s="2" t="s">
        <v>52</v>
      </c>
      <c r="L39" s="20" t="str">
        <f t="shared" si="5"/>
        <v>-</v>
      </c>
      <c r="M39" s="2" t="s">
        <v>48</v>
      </c>
      <c r="N39" s="20" t="str">
        <f t="shared" si="5"/>
        <v>-</v>
      </c>
      <c r="O39" s="20" t="s">
        <v>26</v>
      </c>
    </row>
    <row r="40" spans="1:15" x14ac:dyDescent="0.25">
      <c r="A40" s="1" t="str">
        <f t="shared" si="2"/>
        <v>@color-trunk_line-(def)</v>
      </c>
      <c r="B40" s="1" t="str">
        <f t="shared" si="3"/>
        <v>"#ffeeaa"</v>
      </c>
      <c r="C40" s="33" t="s">
        <v>53</v>
      </c>
      <c r="E40" s="2" t="s">
        <v>21</v>
      </c>
      <c r="F40" s="20" t="str">
        <f t="shared" si="5"/>
        <v>-</v>
      </c>
      <c r="G40" s="2" t="s">
        <v>42</v>
      </c>
      <c r="H40" s="20" t="str">
        <f>IF(NOT(ISBLANK(I40)),"_","")</f>
        <v>_</v>
      </c>
      <c r="I40" s="2" t="s">
        <v>28</v>
      </c>
      <c r="J40" s="20" t="str">
        <f>IF(NOT(ISBLANK(K40)),"_","")</f>
        <v/>
      </c>
      <c r="L40" s="20" t="str">
        <f t="shared" si="5"/>
        <v>-</v>
      </c>
      <c r="M40" s="2" t="s">
        <v>25</v>
      </c>
      <c r="N40" s="20" t="str">
        <f t="shared" si="5"/>
        <v/>
      </c>
    </row>
    <row r="41" spans="1:15" x14ac:dyDescent="0.25">
      <c r="A41" s="1" t="str">
        <f>_xlfn.CONCAT("@",E41,F41,G41,H41,I41,J41,K41,L41,"(",M41,N41,O41,")")</f>
        <v>@color-trunk_line-(def-hc)</v>
      </c>
      <c r="B41" s="1" t="str">
        <f>_xlfn.CONCAT("""",C41,"""")</f>
        <v>"#ffc72e"</v>
      </c>
      <c r="C41" s="34" t="s">
        <v>54</v>
      </c>
      <c r="E41" s="2" t="s">
        <v>21</v>
      </c>
      <c r="F41" s="20" t="str">
        <f>IF(NOT(ISBLANK(G41)),"-","")</f>
        <v>-</v>
      </c>
      <c r="G41" s="2" t="s">
        <v>42</v>
      </c>
      <c r="H41" s="20" t="str">
        <f>IF(NOT(ISBLANK(I41)),"_","")</f>
        <v>_</v>
      </c>
      <c r="I41" s="2" t="s">
        <v>28</v>
      </c>
      <c r="J41" s="20" t="str">
        <f>IF(NOT(ISBLANK(K41)),"_","")</f>
        <v/>
      </c>
      <c r="L41" s="20" t="str">
        <f>IF(NOT(ISBLANK(M41)),"-","")</f>
        <v>-</v>
      </c>
      <c r="M41" s="2" t="s">
        <v>25</v>
      </c>
      <c r="N41" s="20" t="str">
        <f>IF(NOT(ISBLANK(O41)),"-","")</f>
        <v>-</v>
      </c>
      <c r="O41" s="20" t="s">
        <v>26</v>
      </c>
    </row>
    <row r="42" spans="1:15" x14ac:dyDescent="0.25">
      <c r="A42" s="1" t="str">
        <f t="shared" si="2"/>
        <v>@color-trunk_line_bicycle_no-(def)</v>
      </c>
      <c r="B42" s="1" t="str">
        <f t="shared" si="3"/>
        <v>"#ffcc88"</v>
      </c>
      <c r="C42" s="24" t="s">
        <v>36</v>
      </c>
      <c r="E42" s="2" t="s">
        <v>21</v>
      </c>
      <c r="F42" s="20" t="str">
        <f t="shared" ref="F42" si="28">IF(NOT(ISBLANK(G42)),"-","")</f>
        <v>-</v>
      </c>
      <c r="G42" s="2" t="s">
        <v>42</v>
      </c>
      <c r="H42" s="20" t="str">
        <f>IF(NOT(ISBLANK(I42)),"_","")</f>
        <v>_</v>
      </c>
      <c r="I42" s="2" t="s">
        <v>28</v>
      </c>
      <c r="J42" s="20" t="str">
        <f>IF(NOT(ISBLANK(K42)),"_","")</f>
        <v>_</v>
      </c>
      <c r="K42" s="2" t="s">
        <v>51</v>
      </c>
      <c r="L42" s="20" t="str">
        <f t="shared" si="5"/>
        <v>-</v>
      </c>
      <c r="M42" s="2" t="s">
        <v>25</v>
      </c>
      <c r="N42" s="20" t="str">
        <f t="shared" si="5"/>
        <v/>
      </c>
    </row>
    <row r="43" spans="1:15" x14ac:dyDescent="0.25">
      <c r="A43" s="1" t="str">
        <f t="shared" si="2"/>
        <v>@color-trunk_line_bicycle_no-(def-hc)</v>
      </c>
      <c r="B43" s="1" t="str">
        <f t="shared" si="3"/>
        <v>"#d6771e"</v>
      </c>
      <c r="C43" s="25" t="s">
        <v>37</v>
      </c>
      <c r="E43" s="2" t="s">
        <v>21</v>
      </c>
      <c r="F43" s="20" t="str">
        <f t="shared" ref="F43" si="29">IF(NOT(ISBLANK(G43)),"-","")</f>
        <v>-</v>
      </c>
      <c r="G43" s="2" t="s">
        <v>42</v>
      </c>
      <c r="H43" s="20" t="str">
        <f>IF(NOT(ISBLANK(I43)),"_","")</f>
        <v>_</v>
      </c>
      <c r="I43" s="2" t="s">
        <v>28</v>
      </c>
      <c r="J43" s="20" t="str">
        <f>IF(NOT(ISBLANK(K43)),"_","")</f>
        <v>_</v>
      </c>
      <c r="K43" s="2" t="s">
        <v>51</v>
      </c>
      <c r="L43" s="20" t="str">
        <f t="shared" ref="L43" si="30">IF(NOT(ISBLANK(M43)),"-","")</f>
        <v>-</v>
      </c>
      <c r="M43" s="2" t="s">
        <v>25</v>
      </c>
      <c r="N43" s="20" t="str">
        <f t="shared" si="5"/>
        <v>-</v>
      </c>
      <c r="O43" s="20" t="s">
        <v>26</v>
      </c>
    </row>
    <row r="44" spans="1:15" x14ac:dyDescent="0.25">
      <c r="A44" s="1" t="str">
        <f t="shared" si="2"/>
        <v>@color-trunk_line_unpaved-(gr)</v>
      </c>
      <c r="B44" s="1" t="str">
        <f t="shared" si="3"/>
        <v>"#eddfca"</v>
      </c>
      <c r="C44" s="35" t="s">
        <v>55</v>
      </c>
      <c r="E44" s="2" t="s">
        <v>21</v>
      </c>
      <c r="F44" s="20" t="str">
        <f t="shared" ref="F44:F47" si="31">IF(NOT(ISBLANK(G44)),"-","")</f>
        <v>-</v>
      </c>
      <c r="G44" s="2" t="s">
        <v>42</v>
      </c>
      <c r="H44" s="20" t="str">
        <f>IF(NOT(ISBLANK(I44)),"_","")</f>
        <v>_</v>
      </c>
      <c r="I44" s="2" t="s">
        <v>28</v>
      </c>
      <c r="J44" s="20" t="str">
        <f>IF(NOT(ISBLANK(K44)),"_","")</f>
        <v>_</v>
      </c>
      <c r="K44" s="2" t="s">
        <v>45</v>
      </c>
      <c r="L44" s="20" t="str">
        <f t="shared" si="5"/>
        <v>-</v>
      </c>
      <c r="M44" s="2" t="s">
        <v>48</v>
      </c>
      <c r="N44" s="20" t="str">
        <f t="shared" si="5"/>
        <v/>
      </c>
    </row>
    <row r="45" spans="1:15" x14ac:dyDescent="0.25">
      <c r="A45" s="1" t="str">
        <f t="shared" si="2"/>
        <v>@color-trunk_line_unpaved-(gr-hc)</v>
      </c>
      <c r="B45" s="1" t="str">
        <f t="shared" si="3"/>
        <v>""</v>
      </c>
      <c r="E45" s="2" t="s">
        <v>21</v>
      </c>
      <c r="F45" s="20" t="str">
        <f t="shared" si="31"/>
        <v>-</v>
      </c>
      <c r="G45" s="2" t="s">
        <v>42</v>
      </c>
      <c r="H45" s="20" t="str">
        <f>IF(NOT(ISBLANK(I45)),"_","")</f>
        <v>_</v>
      </c>
      <c r="I45" s="2" t="s">
        <v>28</v>
      </c>
      <c r="J45" s="20" t="str">
        <f>IF(NOT(ISBLANK(K45)),"_","")</f>
        <v>_</v>
      </c>
      <c r="K45" s="2" t="s">
        <v>45</v>
      </c>
      <c r="L45" s="20" t="str">
        <f t="shared" si="5"/>
        <v>-</v>
      </c>
      <c r="M45" s="2" t="s">
        <v>48</v>
      </c>
      <c r="N45" s="20" t="str">
        <f t="shared" si="5"/>
        <v>-</v>
      </c>
      <c r="O45" s="2" t="s">
        <v>26</v>
      </c>
    </row>
    <row r="46" spans="1:15" x14ac:dyDescent="0.25">
      <c r="A46" s="1" t="str">
        <f t="shared" si="2"/>
        <v>@color-trunk_line_paved_or_uk-(gr)</v>
      </c>
      <c r="B46" s="1" t="str">
        <f t="shared" si="3"/>
        <v>"#ffffff"</v>
      </c>
      <c r="C46" s="36" t="s">
        <v>56</v>
      </c>
      <c r="E46" s="2" t="s">
        <v>21</v>
      </c>
      <c r="F46" s="20" t="str">
        <f t="shared" si="31"/>
        <v>-</v>
      </c>
      <c r="G46" s="2" t="s">
        <v>42</v>
      </c>
      <c r="H46" s="20" t="str">
        <f>IF(NOT(ISBLANK(I46)),"_","")</f>
        <v>_</v>
      </c>
      <c r="I46" s="2" t="s">
        <v>28</v>
      </c>
      <c r="J46" s="20" t="str">
        <f>IF(NOT(ISBLANK(K46)),"_","")</f>
        <v>_</v>
      </c>
      <c r="K46" s="2" t="s">
        <v>52</v>
      </c>
      <c r="L46" s="20" t="str">
        <f t="shared" si="5"/>
        <v>-</v>
      </c>
      <c r="M46" s="2" t="s">
        <v>48</v>
      </c>
      <c r="N46" s="20" t="str">
        <f t="shared" si="5"/>
        <v/>
      </c>
    </row>
    <row r="47" spans="1:15" x14ac:dyDescent="0.25">
      <c r="A47" s="1" t="str">
        <f t="shared" si="2"/>
        <v>@color-trunk_line_paved_or_uk-(gr-hc)</v>
      </c>
      <c r="B47" s="1" t="str">
        <f t="shared" si="3"/>
        <v>""</v>
      </c>
      <c r="E47" s="2" t="s">
        <v>21</v>
      </c>
      <c r="F47" s="20" t="str">
        <f t="shared" si="31"/>
        <v>-</v>
      </c>
      <c r="G47" s="2" t="s">
        <v>42</v>
      </c>
      <c r="H47" s="20" t="str">
        <f>IF(NOT(ISBLANK(I47)),"_","")</f>
        <v>_</v>
      </c>
      <c r="I47" s="2" t="s">
        <v>28</v>
      </c>
      <c r="J47" s="20" t="str">
        <f>IF(NOT(ISBLANK(K47)),"_","")</f>
        <v>_</v>
      </c>
      <c r="K47" s="2" t="s">
        <v>52</v>
      </c>
      <c r="L47" s="20" t="str">
        <f t="shared" si="5"/>
        <v>-</v>
      </c>
      <c r="M47" s="2" t="s">
        <v>48</v>
      </c>
      <c r="N47" s="20" t="str">
        <f t="shared" si="5"/>
        <v>-</v>
      </c>
      <c r="O47" s="2" t="s">
        <v>26</v>
      </c>
    </row>
    <row r="48" spans="1:15" x14ac:dyDescent="0.25">
      <c r="A48" s="1"/>
      <c r="B48" s="1"/>
      <c r="F48" s="20"/>
      <c r="H48" s="20"/>
      <c r="J48" s="20"/>
      <c r="L48" s="20"/>
      <c r="N48" s="20"/>
    </row>
    <row r="49" spans="1:15" x14ac:dyDescent="0.25">
      <c r="A49" s="1" t="str">
        <f t="shared" ref="A49" si="32">_xlfn.CONCAT("@",E49,F49,G49,H49,I49,J49,K49,L49,"(",M49,N49,O49,")")</f>
        <v>@color-primary_case-(def)</v>
      </c>
      <c r="B49" s="1" t="str">
        <f t="shared" ref="B49" si="33">_xlfn.CONCAT("""",C49,"""")</f>
        <v>"#d28644"</v>
      </c>
      <c r="C49" s="38" t="s">
        <v>68</v>
      </c>
      <c r="E49" s="2" t="s">
        <v>21</v>
      </c>
      <c r="F49" s="20" t="str">
        <f t="shared" ref="F49" si="34">IF(NOT(ISBLANK(G49)),"-","")</f>
        <v>-</v>
      </c>
      <c r="G49" s="2" t="s">
        <v>57</v>
      </c>
      <c r="H49" s="20" t="str">
        <f>IF(NOT(ISBLANK(I49)),"_","")</f>
        <v>_</v>
      </c>
      <c r="I49" s="2" t="s">
        <v>38</v>
      </c>
      <c r="J49" s="20" t="str">
        <f>IF(NOT(ISBLANK(K49)),"_","")</f>
        <v/>
      </c>
      <c r="K49" s="20"/>
      <c r="L49" s="20" t="str">
        <f t="shared" ref="L49" si="35">IF(NOT(ISBLANK(M49)),"-","")</f>
        <v>-</v>
      </c>
      <c r="M49" s="2" t="s">
        <v>25</v>
      </c>
      <c r="N49" s="20" t="str">
        <f t="shared" ref="N49" si="36">IF(NOT(ISBLANK(O49)),"-","")</f>
        <v/>
      </c>
    </row>
    <row r="50" spans="1:15" x14ac:dyDescent="0.25">
      <c r="A50" s="1" t="str">
        <f t="shared" ref="A50" si="37">_xlfn.CONCAT("@",E50,F50,G50,H50,I50,J50,K50,L50,"(",M50,N50,O50,")")</f>
        <v>@color-primary_case-(def-hc)</v>
      </c>
      <c r="B50" s="1" t="str">
        <f t="shared" ref="B50" si="38">_xlfn.CONCAT("""",C50,"""")</f>
        <v>"#000000"</v>
      </c>
      <c r="C50" s="27" t="s">
        <v>40</v>
      </c>
      <c r="E50" s="2" t="s">
        <v>21</v>
      </c>
      <c r="F50" s="20" t="str">
        <f t="shared" ref="F50" si="39">IF(NOT(ISBLANK(G50)),"-","")</f>
        <v>-</v>
      </c>
      <c r="G50" s="2" t="s">
        <v>57</v>
      </c>
      <c r="H50" s="20" t="str">
        <f>IF(NOT(ISBLANK(I50)),"_","")</f>
        <v>_</v>
      </c>
      <c r="I50" s="2" t="s">
        <v>38</v>
      </c>
      <c r="J50" s="20" t="str">
        <f>IF(NOT(ISBLANK(K50)),"_","")</f>
        <v/>
      </c>
      <c r="K50" s="20"/>
      <c r="L50" s="20" t="str">
        <f t="shared" ref="L50" si="40">IF(NOT(ISBLANK(M50)),"-","")</f>
        <v>-</v>
      </c>
      <c r="M50" s="2" t="s">
        <v>25</v>
      </c>
      <c r="N50" s="20" t="str">
        <f t="shared" ref="N50" si="41">IF(NOT(ISBLANK(O50)),"-","")</f>
        <v>-</v>
      </c>
      <c r="O50" s="2" t="s">
        <v>26</v>
      </c>
    </row>
    <row r="51" spans="1:15" x14ac:dyDescent="0.25">
      <c r="A51" s="1" t="str">
        <f t="shared" ref="A51" si="42">_xlfn.CONCAT("@",E51,F51,G51,H51,I51,J51,K51,L51,"(",M51,N51,O51,")")</f>
        <v>@color-primary_case_unpaved-(gr)</v>
      </c>
      <c r="B51" s="1" t="str">
        <f t="shared" ref="B51" si="43">_xlfn.CONCAT("""",C51,"""")</f>
        <v>"#634507"</v>
      </c>
      <c r="C51" s="29" t="s">
        <v>46</v>
      </c>
      <c r="E51" s="2" t="s">
        <v>21</v>
      </c>
      <c r="F51" s="20" t="str">
        <f t="shared" ref="F51" si="44">IF(NOT(ISBLANK(G51)),"-","")</f>
        <v>-</v>
      </c>
      <c r="G51" s="2" t="s">
        <v>57</v>
      </c>
      <c r="H51" s="20" t="str">
        <f>IF(NOT(ISBLANK(I51)),"_","")</f>
        <v>_</v>
      </c>
      <c r="I51" s="2" t="s">
        <v>38</v>
      </c>
      <c r="J51" s="20" t="str">
        <f>IF(NOT(ISBLANK(K51)),"_","")</f>
        <v>_</v>
      </c>
      <c r="K51" s="2" t="s">
        <v>45</v>
      </c>
      <c r="L51" s="20" t="str">
        <f t="shared" ref="L51" si="45">IF(NOT(ISBLANK(M51)),"-","")</f>
        <v>-</v>
      </c>
      <c r="M51" s="2" t="s">
        <v>48</v>
      </c>
      <c r="N51" s="20" t="str">
        <f t="shared" ref="N51" si="46">IF(NOT(ISBLANK(O51)),"-","")</f>
        <v/>
      </c>
    </row>
    <row r="52" spans="1:15" x14ac:dyDescent="0.25">
      <c r="A52" s="1" t="str">
        <f t="shared" ref="A52:A53" si="47">_xlfn.CONCAT("@",E52,F52,G52,H52,I52,J52,K52,L52,"(",M52,N52,O52,")")</f>
        <v>@color-primary_case_unpaved-(gr-hc)</v>
      </c>
      <c r="B52" s="1" t="str">
        <f t="shared" ref="B52:B53" si="48">_xlfn.CONCAT("""",C52,"""")</f>
        <v>""</v>
      </c>
      <c r="C52" s="20"/>
      <c r="E52" s="2" t="s">
        <v>21</v>
      </c>
      <c r="F52" s="20" t="str">
        <f t="shared" ref="F52:F53" si="49">IF(NOT(ISBLANK(G52)),"-","")</f>
        <v>-</v>
      </c>
      <c r="G52" s="2" t="s">
        <v>57</v>
      </c>
      <c r="H52" s="20" t="str">
        <f>IF(NOT(ISBLANK(I52)),"_","")</f>
        <v>_</v>
      </c>
      <c r="I52" s="2" t="s">
        <v>38</v>
      </c>
      <c r="J52" s="20" t="str">
        <f>IF(NOT(ISBLANK(K52)),"_","")</f>
        <v>_</v>
      </c>
      <c r="K52" s="2" t="s">
        <v>45</v>
      </c>
      <c r="L52" s="20" t="str">
        <f t="shared" ref="L52:L53" si="50">IF(NOT(ISBLANK(M52)),"-","")</f>
        <v>-</v>
      </c>
      <c r="M52" s="2" t="s">
        <v>48</v>
      </c>
      <c r="N52" s="20" t="str">
        <f t="shared" ref="N52:N53" si="51">IF(NOT(ISBLANK(O52)),"-","")</f>
        <v>-</v>
      </c>
      <c r="O52" s="2" t="s">
        <v>26</v>
      </c>
    </row>
    <row r="53" spans="1:15" x14ac:dyDescent="0.25">
      <c r="A53" s="1" t="str">
        <f t="shared" si="47"/>
        <v>@color-primary_case_paved_or_uk-(gr)</v>
      </c>
      <c r="B53" s="1" t="str">
        <f t="shared" si="48"/>
        <v>"#404040"</v>
      </c>
      <c r="C53" s="30" t="s">
        <v>47</v>
      </c>
      <c r="E53" s="2" t="s">
        <v>21</v>
      </c>
      <c r="F53" s="20" t="str">
        <f t="shared" si="49"/>
        <v>-</v>
      </c>
      <c r="G53" s="2" t="s">
        <v>57</v>
      </c>
      <c r="H53" s="20" t="str">
        <f>IF(NOT(ISBLANK(I53)),"_","")</f>
        <v>_</v>
      </c>
      <c r="I53" s="2" t="s">
        <v>38</v>
      </c>
      <c r="J53" s="20" t="str">
        <f>IF(NOT(ISBLANK(K53)),"_","")</f>
        <v>_</v>
      </c>
      <c r="K53" s="2" t="s">
        <v>52</v>
      </c>
      <c r="L53" s="20" t="str">
        <f t="shared" si="50"/>
        <v>-</v>
      </c>
      <c r="M53" s="2" t="s">
        <v>48</v>
      </c>
      <c r="N53" s="20" t="str">
        <f t="shared" si="51"/>
        <v/>
      </c>
    </row>
    <row r="54" spans="1:15" x14ac:dyDescent="0.25">
      <c r="A54" s="1" t="str">
        <f t="shared" ref="A54" si="52">_xlfn.CONCAT("@",E54,F54,G54,H54,I54,J54,K54,L54,"(",M54,N54,O54,")")</f>
        <v>@color-primary_case_paved_or_uk-(gr-hc)</v>
      </c>
      <c r="B54" s="1" t="str">
        <f t="shared" ref="B54" si="53">_xlfn.CONCAT("""",C54,"""")</f>
        <v>""</v>
      </c>
      <c r="C54" s="20"/>
      <c r="E54" s="2" t="s">
        <v>21</v>
      </c>
      <c r="F54" s="20" t="str">
        <f t="shared" ref="F54" si="54">IF(NOT(ISBLANK(G54)),"-","")</f>
        <v>-</v>
      </c>
      <c r="G54" s="2" t="s">
        <v>57</v>
      </c>
      <c r="H54" s="20" t="str">
        <f>IF(NOT(ISBLANK(I54)),"_","")</f>
        <v>_</v>
      </c>
      <c r="I54" s="2" t="s">
        <v>38</v>
      </c>
      <c r="J54" s="20" t="str">
        <f>IF(NOT(ISBLANK(K54)),"_","")</f>
        <v>_</v>
      </c>
      <c r="K54" s="2" t="s">
        <v>52</v>
      </c>
      <c r="L54" s="20" t="str">
        <f t="shared" ref="L54" si="55">IF(NOT(ISBLANK(M54)),"-","")</f>
        <v>-</v>
      </c>
      <c r="M54" s="2" t="s">
        <v>48</v>
      </c>
      <c r="N54" s="20" t="str">
        <f t="shared" ref="N54" si="56">IF(NOT(ISBLANK(O54)),"-","")</f>
        <v>-</v>
      </c>
      <c r="O54" s="2" t="s">
        <v>26</v>
      </c>
    </row>
    <row r="55" spans="1:15" x14ac:dyDescent="0.25">
      <c r="A55" s="1" t="str">
        <f t="shared" si="2"/>
        <v>@color-primary_line-(def)</v>
      </c>
      <c r="B55" s="1" t="str">
        <f t="shared" si="3"/>
        <v>"#ffeeaa"</v>
      </c>
      <c r="C55" s="33" t="s">
        <v>53</v>
      </c>
      <c r="E55" s="2" t="s">
        <v>21</v>
      </c>
      <c r="F55" s="20" t="str">
        <f t="shared" si="5"/>
        <v>-</v>
      </c>
      <c r="G55" s="2" t="s">
        <v>57</v>
      </c>
      <c r="H55" s="20" t="str">
        <f>IF(NOT(ISBLANK(I55)),"_","")</f>
        <v>_</v>
      </c>
      <c r="I55" s="2" t="s">
        <v>28</v>
      </c>
      <c r="J55" s="20" t="str">
        <f>IF(NOT(ISBLANK(K55)),"_","")</f>
        <v/>
      </c>
      <c r="K55" s="20"/>
      <c r="L55" s="20" t="str">
        <f t="shared" si="5"/>
        <v>-</v>
      </c>
      <c r="M55" s="2" t="s">
        <v>25</v>
      </c>
      <c r="N55" s="20" t="str">
        <f t="shared" si="5"/>
        <v/>
      </c>
    </row>
    <row r="56" spans="1:15" x14ac:dyDescent="0.25">
      <c r="A56" s="1" t="str">
        <f t="shared" si="2"/>
        <v>@color-primary_line-(def-hc)</v>
      </c>
      <c r="B56" s="1" t="str">
        <f t="shared" si="3"/>
        <v>"#ffe16b"</v>
      </c>
      <c r="C56" s="37" t="s">
        <v>58</v>
      </c>
      <c r="E56" s="2" t="s">
        <v>21</v>
      </c>
      <c r="F56" s="20" t="str">
        <f t="shared" ref="F56" si="57">IF(NOT(ISBLANK(G56)),"-","")</f>
        <v>-</v>
      </c>
      <c r="G56" s="2" t="s">
        <v>57</v>
      </c>
      <c r="H56" s="20" t="str">
        <f>IF(NOT(ISBLANK(I56)),"_","")</f>
        <v>_</v>
      </c>
      <c r="I56" s="2" t="s">
        <v>28</v>
      </c>
      <c r="J56" s="20" t="str">
        <f>IF(NOT(ISBLANK(K56)),"_","")</f>
        <v/>
      </c>
      <c r="K56" s="20"/>
      <c r="L56" s="20" t="str">
        <f t="shared" si="5"/>
        <v>-</v>
      </c>
      <c r="M56" s="2" t="s">
        <v>25</v>
      </c>
      <c r="N56" s="20" t="str">
        <f t="shared" si="5"/>
        <v>-</v>
      </c>
      <c r="O56" s="2" t="s">
        <v>26</v>
      </c>
    </row>
    <row r="57" spans="1:15" x14ac:dyDescent="0.25">
      <c r="A57" s="1" t="str">
        <f t="shared" si="2"/>
        <v>@color-primary_line_unpaved-(gr)</v>
      </c>
      <c r="B57" s="1" t="str">
        <f t="shared" si="3"/>
        <v>"#eddfca"</v>
      </c>
      <c r="C57" s="35" t="s">
        <v>55</v>
      </c>
      <c r="E57" s="2" t="s">
        <v>21</v>
      </c>
      <c r="F57" s="20" t="str">
        <f t="shared" si="5"/>
        <v>-</v>
      </c>
      <c r="G57" s="2" t="s">
        <v>57</v>
      </c>
      <c r="H57" s="20" t="str">
        <f>IF(NOT(ISBLANK(I57)),"_","")</f>
        <v>_</v>
      </c>
      <c r="I57" s="2" t="s">
        <v>28</v>
      </c>
      <c r="J57" s="20" t="str">
        <f>IF(NOT(ISBLANK(K57)),"_","")</f>
        <v>_</v>
      </c>
      <c r="K57" s="2" t="s">
        <v>45</v>
      </c>
      <c r="L57" s="20" t="str">
        <f t="shared" ref="L57:L60" si="58">IF(NOT(ISBLANK(M57)),"-","")</f>
        <v>-</v>
      </c>
      <c r="M57" s="2" t="s">
        <v>48</v>
      </c>
      <c r="N57" s="20" t="str">
        <f t="shared" si="5"/>
        <v/>
      </c>
    </row>
    <row r="58" spans="1:15" x14ac:dyDescent="0.25">
      <c r="A58" s="1" t="str">
        <f t="shared" si="2"/>
        <v>@color-primary_line_unpaved-(gr-hc)</v>
      </c>
      <c r="B58" s="1" t="str">
        <f t="shared" si="3"/>
        <v>""</v>
      </c>
      <c r="E58" s="2" t="s">
        <v>21</v>
      </c>
      <c r="F58" s="20" t="str">
        <f t="shared" si="5"/>
        <v>-</v>
      </c>
      <c r="G58" s="2" t="s">
        <v>57</v>
      </c>
      <c r="H58" s="20" t="str">
        <f>IF(NOT(ISBLANK(I58)),"_","")</f>
        <v>_</v>
      </c>
      <c r="I58" s="2" t="s">
        <v>28</v>
      </c>
      <c r="J58" s="20" t="str">
        <f>IF(NOT(ISBLANK(K58)),"_","")</f>
        <v>_</v>
      </c>
      <c r="K58" s="2" t="s">
        <v>45</v>
      </c>
      <c r="L58" s="20" t="str">
        <f t="shared" si="58"/>
        <v>-</v>
      </c>
      <c r="M58" s="2" t="s">
        <v>48</v>
      </c>
      <c r="N58" s="20" t="str">
        <f t="shared" si="5"/>
        <v>-</v>
      </c>
      <c r="O58" s="2" t="s">
        <v>26</v>
      </c>
    </row>
    <row r="59" spans="1:15" x14ac:dyDescent="0.25">
      <c r="A59" s="1" t="str">
        <f t="shared" si="2"/>
        <v>@color-primary_line_paved_or_uk-(gr)</v>
      </c>
      <c r="B59" s="1" t="str">
        <f t="shared" si="3"/>
        <v>"#ffffff"</v>
      </c>
      <c r="C59" s="36" t="s">
        <v>56</v>
      </c>
      <c r="E59" s="2" t="s">
        <v>21</v>
      </c>
      <c r="F59" s="20" t="str">
        <f t="shared" si="5"/>
        <v>-</v>
      </c>
      <c r="G59" s="2" t="s">
        <v>57</v>
      </c>
      <c r="H59" s="20" t="str">
        <f>IF(NOT(ISBLANK(I59)),"_","")</f>
        <v>_</v>
      </c>
      <c r="I59" s="2" t="s">
        <v>28</v>
      </c>
      <c r="J59" s="20" t="str">
        <f>IF(NOT(ISBLANK(K59)),"_","")</f>
        <v>_</v>
      </c>
      <c r="K59" s="2" t="s">
        <v>52</v>
      </c>
      <c r="L59" s="20" t="str">
        <f t="shared" si="58"/>
        <v>-</v>
      </c>
      <c r="M59" s="2" t="s">
        <v>48</v>
      </c>
      <c r="N59" s="20" t="str">
        <f t="shared" si="5"/>
        <v/>
      </c>
    </row>
    <row r="60" spans="1:15" x14ac:dyDescent="0.25">
      <c r="A60" s="1" t="str">
        <f t="shared" si="2"/>
        <v>@color-primary_line_paved_or_uk-(gr-hc)</v>
      </c>
      <c r="B60" s="1" t="str">
        <f t="shared" si="3"/>
        <v>""</v>
      </c>
      <c r="E60" s="2" t="s">
        <v>21</v>
      </c>
      <c r="F60" s="20" t="str">
        <f t="shared" si="5"/>
        <v>-</v>
      </c>
      <c r="G60" s="2" t="s">
        <v>57</v>
      </c>
      <c r="H60" s="20" t="str">
        <f>IF(NOT(ISBLANK(I60)),"_","")</f>
        <v>_</v>
      </c>
      <c r="I60" s="2" t="s">
        <v>28</v>
      </c>
      <c r="J60" s="20" t="str">
        <f>IF(NOT(ISBLANK(K60)),"_","")</f>
        <v>_</v>
      </c>
      <c r="K60" s="2" t="s">
        <v>52</v>
      </c>
      <c r="L60" s="20" t="str">
        <f t="shared" si="58"/>
        <v>-</v>
      </c>
      <c r="M60" s="2" t="s">
        <v>48</v>
      </c>
      <c r="N60" s="20" t="str">
        <f t="shared" si="5"/>
        <v>-</v>
      </c>
      <c r="O60" s="2" t="s">
        <v>26</v>
      </c>
    </row>
    <row r="61" spans="1:15" x14ac:dyDescent="0.25">
      <c r="A61" s="1"/>
      <c r="B61" s="1"/>
      <c r="F61" s="20"/>
      <c r="H61" s="20"/>
      <c r="J61" s="20"/>
      <c r="L61" s="20"/>
      <c r="N61" s="20"/>
    </row>
    <row r="62" spans="1:15" x14ac:dyDescent="0.25">
      <c r="A62" s="1" t="str">
        <f t="shared" si="2"/>
        <v>@color-secondary_tertiary_line-(def)</v>
      </c>
      <c r="B62" s="1" t="str">
        <f t="shared" si="3"/>
        <v>"#ffeeaa"</v>
      </c>
      <c r="C62" s="33" t="s">
        <v>53</v>
      </c>
      <c r="E62" s="2" t="s">
        <v>21</v>
      </c>
      <c r="F62" s="20" t="str">
        <f t="shared" si="5"/>
        <v>-</v>
      </c>
      <c r="G62" s="2" t="s">
        <v>59</v>
      </c>
      <c r="H62" s="20" t="str">
        <f>IF(NOT(ISBLANK(I62)),"_","")</f>
        <v>_</v>
      </c>
      <c r="I62" s="2" t="s">
        <v>28</v>
      </c>
      <c r="J62" s="20" t="str">
        <f>IF(NOT(ISBLANK(K62)),"_","")</f>
        <v/>
      </c>
      <c r="L62" s="20" t="str">
        <f t="shared" si="5"/>
        <v>-</v>
      </c>
      <c r="M62" s="2" t="s">
        <v>25</v>
      </c>
      <c r="N62" s="20" t="str">
        <f t="shared" si="5"/>
        <v/>
      </c>
      <c r="O62" s="20"/>
    </row>
    <row r="63" spans="1:15" x14ac:dyDescent="0.25">
      <c r="A63" s="1" t="str">
        <f t="shared" si="2"/>
        <v>@color-secondary_tertiary_line-(def-hc)</v>
      </c>
      <c r="B63" s="1" t="str">
        <f t="shared" si="3"/>
        <v>"#ffe16b"</v>
      </c>
      <c r="C63" s="37" t="s">
        <v>58</v>
      </c>
      <c r="E63" s="2" t="s">
        <v>21</v>
      </c>
      <c r="F63" s="20" t="str">
        <f t="shared" ref="F63" si="59">IF(NOT(ISBLANK(G63)),"-","")</f>
        <v>-</v>
      </c>
      <c r="G63" s="2" t="s">
        <v>59</v>
      </c>
      <c r="H63" s="20" t="str">
        <f>IF(NOT(ISBLANK(I63)),"_","")</f>
        <v>_</v>
      </c>
      <c r="I63" s="2" t="s">
        <v>28</v>
      </c>
      <c r="J63" s="20" t="str">
        <f>IF(NOT(ISBLANK(K63)),"_","")</f>
        <v/>
      </c>
      <c r="K63" s="20"/>
      <c r="L63" s="20" t="str">
        <f t="shared" ref="L63:L71" si="60">IF(NOT(ISBLANK(M63)),"-","")</f>
        <v>-</v>
      </c>
      <c r="M63" s="2" t="s">
        <v>25</v>
      </c>
      <c r="N63" s="20" t="str">
        <f t="shared" ref="N63:N71" si="61">IF(NOT(ISBLANK(O63)),"-","")</f>
        <v>-</v>
      </c>
      <c r="O63" s="20" t="s">
        <v>26</v>
      </c>
    </row>
    <row r="64" spans="1:15" x14ac:dyDescent="0.25">
      <c r="A64" s="1" t="str">
        <f>_xlfn.CONCAT("@",E64,F64,G64,H64,I64,J64,K64,L64,"(",M64,N64,O64,")")</f>
        <v>@color-secondary_line_unpaved-(gr)</v>
      </c>
      <c r="B64" s="1" t="str">
        <f>_xlfn.CONCAT("""",C64,"""")</f>
        <v>"#eddfca"</v>
      </c>
      <c r="C64" s="35" t="s">
        <v>55</v>
      </c>
      <c r="E64" s="2" t="s">
        <v>21</v>
      </c>
      <c r="F64" s="20" t="str">
        <f>IF(NOT(ISBLANK(G64)),"-","")</f>
        <v>-</v>
      </c>
      <c r="G64" s="2" t="s">
        <v>61</v>
      </c>
      <c r="H64" s="20" t="str">
        <f>IF(NOT(ISBLANK(I64)),"_","")</f>
        <v>_</v>
      </c>
      <c r="I64" s="2" t="s">
        <v>28</v>
      </c>
      <c r="J64" s="20" t="str">
        <f>IF(NOT(ISBLANK(K64)),"_","")</f>
        <v>_</v>
      </c>
      <c r="K64" s="2" t="s">
        <v>45</v>
      </c>
      <c r="L64" s="20" t="str">
        <f t="shared" ref="L64:L67" si="62">IF(NOT(ISBLANK(M64)),"-","")</f>
        <v>-</v>
      </c>
      <c r="M64" s="2" t="s">
        <v>48</v>
      </c>
      <c r="N64" s="20" t="str">
        <f t="shared" ref="N64:N67" si="63">IF(NOT(ISBLANK(O64)),"-","")</f>
        <v/>
      </c>
      <c r="O64" s="20"/>
    </row>
    <row r="65" spans="1:15" x14ac:dyDescent="0.25">
      <c r="A65" s="1" t="str">
        <f>_xlfn.CONCAT("@",E65,F65,G65,H65,I65,J65,K65,L65,"(",M65,N65,O65,")")</f>
        <v>@color-secondary_line_unpaved-(gr-hc)</v>
      </c>
      <c r="B65" s="1" t="str">
        <f>_xlfn.CONCAT("""",C65,"""")</f>
        <v>""</v>
      </c>
      <c r="E65" s="2" t="s">
        <v>21</v>
      </c>
      <c r="F65" s="20" t="str">
        <f>IF(NOT(ISBLANK(G65)),"-","")</f>
        <v>-</v>
      </c>
      <c r="G65" s="2" t="s">
        <v>61</v>
      </c>
      <c r="H65" s="20" t="str">
        <f>IF(NOT(ISBLANK(I65)),"_","")</f>
        <v>_</v>
      </c>
      <c r="I65" s="2" t="s">
        <v>28</v>
      </c>
      <c r="J65" s="20" t="str">
        <f>IF(NOT(ISBLANK(K65)),"_","")</f>
        <v>_</v>
      </c>
      <c r="K65" s="2" t="s">
        <v>45</v>
      </c>
      <c r="L65" s="20" t="str">
        <f t="shared" si="62"/>
        <v>-</v>
      </c>
      <c r="M65" s="2" t="s">
        <v>48</v>
      </c>
      <c r="N65" s="20" t="str">
        <f t="shared" si="63"/>
        <v>-</v>
      </c>
      <c r="O65" s="2" t="s">
        <v>26</v>
      </c>
    </row>
    <row r="66" spans="1:15" x14ac:dyDescent="0.25">
      <c r="A66" s="1" t="str">
        <f>_xlfn.CONCAT("@",E66,F66,G66,H66,I66,J66,K66,L66,"(",M66,N66,O66,")")</f>
        <v>@color-secondary_line_paved_or_uk-(gr)</v>
      </c>
      <c r="B66" s="1" t="str">
        <f>_xlfn.CONCAT("""",C66,"""")</f>
        <v>"#ffffff"</v>
      </c>
      <c r="C66" s="36" t="s">
        <v>56</v>
      </c>
      <c r="E66" s="2" t="s">
        <v>21</v>
      </c>
      <c r="F66" s="20" t="str">
        <f>IF(NOT(ISBLANK(G66)),"-","")</f>
        <v>-</v>
      </c>
      <c r="G66" s="2" t="s">
        <v>61</v>
      </c>
      <c r="H66" s="20" t="str">
        <f>IF(NOT(ISBLANK(I66)),"_","")</f>
        <v>_</v>
      </c>
      <c r="I66" s="2" t="s">
        <v>28</v>
      </c>
      <c r="J66" s="20" t="str">
        <f>IF(NOT(ISBLANK(K66)),"_","")</f>
        <v>_</v>
      </c>
      <c r="K66" s="2" t="s">
        <v>52</v>
      </c>
      <c r="L66" s="20" t="str">
        <f t="shared" si="62"/>
        <v>-</v>
      </c>
      <c r="M66" s="2" t="s">
        <v>48</v>
      </c>
      <c r="N66" s="20" t="str">
        <f t="shared" si="63"/>
        <v/>
      </c>
      <c r="O66" s="20"/>
    </row>
    <row r="67" spans="1:15" x14ac:dyDescent="0.25">
      <c r="A67" s="1" t="str">
        <f>_xlfn.CONCAT("@",E67,F67,G67,H67,I67,J67,K67,L67,"(",M67,N67,O67,")")</f>
        <v>@color-secondary_line_paved_or_uk-(gr-hc)</v>
      </c>
      <c r="B67" s="1" t="str">
        <f>_xlfn.CONCAT("""",C67,"""")</f>
        <v>""</v>
      </c>
      <c r="E67" s="2" t="s">
        <v>21</v>
      </c>
      <c r="F67" s="20" t="str">
        <f>IF(NOT(ISBLANK(G67)),"-","")</f>
        <v>-</v>
      </c>
      <c r="G67" s="2" t="s">
        <v>61</v>
      </c>
      <c r="H67" s="20" t="str">
        <f>IF(NOT(ISBLANK(I67)),"_","")</f>
        <v>_</v>
      </c>
      <c r="I67" s="2" t="s">
        <v>28</v>
      </c>
      <c r="J67" s="20" t="str">
        <f>IF(NOT(ISBLANK(K67)),"_","")</f>
        <v>_</v>
      </c>
      <c r="K67" s="2" t="s">
        <v>52</v>
      </c>
      <c r="L67" s="20" t="str">
        <f t="shared" si="62"/>
        <v>-</v>
      </c>
      <c r="M67" s="2" t="s">
        <v>48</v>
      </c>
      <c r="N67" s="20" t="str">
        <f t="shared" si="63"/>
        <v>-</v>
      </c>
      <c r="O67" s="2" t="s">
        <v>26</v>
      </c>
    </row>
    <row r="68" spans="1:15" x14ac:dyDescent="0.25">
      <c r="A68" s="1" t="str">
        <f t="shared" si="2"/>
        <v>@color-tertiary_line_unpaved-(gr)</v>
      </c>
      <c r="B68" s="1" t="str">
        <f t="shared" si="3"/>
        <v>"#eddfca"</v>
      </c>
      <c r="C68" s="35" t="s">
        <v>55</v>
      </c>
      <c r="E68" s="2" t="s">
        <v>21</v>
      </c>
      <c r="F68" s="20" t="str">
        <f t="shared" si="5"/>
        <v>-</v>
      </c>
      <c r="G68" s="2" t="s">
        <v>60</v>
      </c>
      <c r="H68" s="20" t="str">
        <f>IF(NOT(ISBLANK(I68)),"_","")</f>
        <v>_</v>
      </c>
      <c r="I68" s="2" t="s">
        <v>28</v>
      </c>
      <c r="J68" s="20" t="str">
        <f>IF(NOT(ISBLANK(K68)),"_","")</f>
        <v>_</v>
      </c>
      <c r="K68" s="2" t="s">
        <v>45</v>
      </c>
      <c r="L68" s="20" t="str">
        <f t="shared" si="60"/>
        <v>-</v>
      </c>
      <c r="M68" s="2" t="s">
        <v>48</v>
      </c>
      <c r="N68" s="20" t="str">
        <f t="shared" si="61"/>
        <v/>
      </c>
      <c r="O68" s="20"/>
    </row>
    <row r="69" spans="1:15" x14ac:dyDescent="0.25">
      <c r="A69" s="1" t="str">
        <f t="shared" si="2"/>
        <v>@color-tertiary_line_unpaved-(gr-hc)</v>
      </c>
      <c r="B69" s="1" t="str">
        <f t="shared" si="3"/>
        <v>""</v>
      </c>
      <c r="E69" s="2" t="s">
        <v>21</v>
      </c>
      <c r="F69" s="20" t="str">
        <f t="shared" si="5"/>
        <v>-</v>
      </c>
      <c r="G69" s="2" t="s">
        <v>60</v>
      </c>
      <c r="H69" s="20" t="str">
        <f>IF(NOT(ISBLANK(I69)),"_","")</f>
        <v>_</v>
      </c>
      <c r="I69" s="2" t="s">
        <v>28</v>
      </c>
      <c r="J69" s="20" t="str">
        <f>IF(NOT(ISBLANK(K69)),"_","")</f>
        <v>_</v>
      </c>
      <c r="K69" s="2" t="s">
        <v>45</v>
      </c>
      <c r="L69" s="20" t="str">
        <f t="shared" si="60"/>
        <v>-</v>
      </c>
      <c r="M69" s="2" t="s">
        <v>48</v>
      </c>
      <c r="N69" s="20" t="str">
        <f t="shared" si="61"/>
        <v>-</v>
      </c>
      <c r="O69" s="2" t="s">
        <v>26</v>
      </c>
    </row>
    <row r="70" spans="1:15" x14ac:dyDescent="0.25">
      <c r="A70" s="1" t="str">
        <f t="shared" si="2"/>
        <v>@color-tertiary_line_paved_or_uk-(gr)</v>
      </c>
      <c r="B70" s="1" t="str">
        <f t="shared" si="3"/>
        <v>"#ffffff"</v>
      </c>
      <c r="C70" s="36" t="s">
        <v>56</v>
      </c>
      <c r="E70" s="2" t="s">
        <v>21</v>
      </c>
      <c r="F70" s="20" t="str">
        <f t="shared" si="5"/>
        <v>-</v>
      </c>
      <c r="G70" s="2" t="s">
        <v>60</v>
      </c>
      <c r="H70" s="20" t="str">
        <f>IF(NOT(ISBLANK(I70)),"_","")</f>
        <v>_</v>
      </c>
      <c r="I70" s="2" t="s">
        <v>28</v>
      </c>
      <c r="J70" s="20" t="str">
        <f>IF(NOT(ISBLANK(K70)),"_","")</f>
        <v>_</v>
      </c>
      <c r="K70" s="2" t="s">
        <v>52</v>
      </c>
      <c r="L70" s="20" t="str">
        <f t="shared" si="60"/>
        <v>-</v>
      </c>
      <c r="M70" s="2" t="s">
        <v>48</v>
      </c>
      <c r="N70" s="20" t="str">
        <f t="shared" si="61"/>
        <v/>
      </c>
      <c r="O70" s="20"/>
    </row>
    <row r="71" spans="1:15" x14ac:dyDescent="0.25">
      <c r="A71" s="1" t="str">
        <f t="shared" si="2"/>
        <v>@color-tertiary_line_paved_or_uk-(gr-hc)</v>
      </c>
      <c r="B71" s="1" t="str">
        <f t="shared" si="3"/>
        <v>""</v>
      </c>
      <c r="E71" s="2" t="s">
        <v>21</v>
      </c>
      <c r="F71" s="20" t="str">
        <f t="shared" si="5"/>
        <v>-</v>
      </c>
      <c r="G71" s="2" t="s">
        <v>60</v>
      </c>
      <c r="H71" s="20" t="str">
        <f>IF(NOT(ISBLANK(I71)),"_","")</f>
        <v>_</v>
      </c>
      <c r="I71" s="2" t="s">
        <v>28</v>
      </c>
      <c r="J71" s="20" t="str">
        <f>IF(NOT(ISBLANK(K71)),"_","")</f>
        <v>_</v>
      </c>
      <c r="K71" s="2" t="s">
        <v>52</v>
      </c>
      <c r="L71" s="20" t="str">
        <f t="shared" si="60"/>
        <v>-</v>
      </c>
      <c r="M71" s="2" t="s">
        <v>48</v>
      </c>
      <c r="N71" s="20" t="str">
        <f t="shared" si="61"/>
        <v>-</v>
      </c>
      <c r="O71" s="2" t="s">
        <v>26</v>
      </c>
    </row>
    <row r="72" spans="1:15" x14ac:dyDescent="0.25">
      <c r="A72" s="1"/>
      <c r="B72" s="1"/>
      <c r="F72" s="20"/>
      <c r="H72" s="20"/>
      <c r="J72" s="20"/>
      <c r="L72" s="20"/>
      <c r="N72" s="20"/>
    </row>
    <row r="73" spans="1:15" x14ac:dyDescent="0.25">
      <c r="A73" s="1" t="str">
        <f t="shared" si="2"/>
        <v>@color-raceway_line_unpaved-(def)</v>
      </c>
      <c r="B73" s="1" t="str">
        <f t="shared" si="3"/>
        <v>"#eddfca"</v>
      </c>
      <c r="C73" s="35" t="s">
        <v>55</v>
      </c>
      <c r="E73" s="2" t="s">
        <v>21</v>
      </c>
      <c r="F73" s="20" t="str">
        <f t="shared" si="5"/>
        <v>-</v>
      </c>
      <c r="G73" s="2" t="s">
        <v>62</v>
      </c>
      <c r="H73" s="20" t="str">
        <f>IF(NOT(ISBLANK(I73)),"_","")</f>
        <v>_</v>
      </c>
      <c r="I73" s="2" t="s">
        <v>28</v>
      </c>
      <c r="J73" s="20" t="str">
        <f>IF(NOT(ISBLANK(K73)),"_","")</f>
        <v>_</v>
      </c>
      <c r="K73" s="2" t="s">
        <v>45</v>
      </c>
      <c r="L73" s="20" t="str">
        <f t="shared" si="5"/>
        <v>-</v>
      </c>
      <c r="M73" s="2" t="s">
        <v>25</v>
      </c>
      <c r="N73" s="20" t="str">
        <f t="shared" si="5"/>
        <v/>
      </c>
    </row>
    <row r="74" spans="1:15" x14ac:dyDescent="0.25">
      <c r="A74" s="1" t="str">
        <f t="shared" si="2"/>
        <v>@color-raceway_line_paved_or_uk-(def)</v>
      </c>
      <c r="B74" s="1" t="str">
        <f t="shared" si="3"/>
        <v>"#ffffff"</v>
      </c>
      <c r="C74" s="36" t="s">
        <v>56</v>
      </c>
      <c r="E74" s="2" t="s">
        <v>21</v>
      </c>
      <c r="F74" s="20" t="str">
        <f t="shared" ref="F74" si="64">IF(NOT(ISBLANK(G74)),"-","")</f>
        <v>-</v>
      </c>
      <c r="G74" s="2" t="s">
        <v>62</v>
      </c>
      <c r="H74" s="20" t="str">
        <f>IF(NOT(ISBLANK(I74)),"_","")</f>
        <v>_</v>
      </c>
      <c r="I74" s="2" t="s">
        <v>28</v>
      </c>
      <c r="J74" s="20" t="str">
        <f>IF(NOT(ISBLANK(K74)),"_","")</f>
        <v>_</v>
      </c>
      <c r="K74" s="2" t="s">
        <v>52</v>
      </c>
      <c r="L74" s="20" t="str">
        <f t="shared" si="5"/>
        <v>-</v>
      </c>
      <c r="M74" s="2" t="s">
        <v>25</v>
      </c>
      <c r="N74" s="20" t="str">
        <f t="shared" si="5"/>
        <v/>
      </c>
    </row>
    <row r="75" spans="1:15" x14ac:dyDescent="0.25">
      <c r="A75" s="1"/>
      <c r="B75" s="1"/>
      <c r="C75" s="20"/>
      <c r="F75" s="20"/>
      <c r="H75" s="20"/>
      <c r="J75" s="20"/>
      <c r="L75" s="20"/>
      <c r="N75" s="20"/>
    </row>
    <row r="76" spans="1:15" x14ac:dyDescent="0.25">
      <c r="A76" s="1" t="str">
        <f t="shared" si="2"/>
        <v>@color-driveway-line-unpaved-(def)</v>
      </c>
      <c r="B76" s="1" t="str">
        <f t="shared" si="3"/>
        <v>"#eddfca"</v>
      </c>
      <c r="C76" s="35" t="s">
        <v>55</v>
      </c>
      <c r="E76" s="2" t="s">
        <v>21</v>
      </c>
      <c r="F76" s="20" t="str">
        <f t="shared" si="5"/>
        <v>-</v>
      </c>
      <c r="G76" s="2" t="s">
        <v>63</v>
      </c>
      <c r="H76" s="20" t="str">
        <f t="shared" si="5"/>
        <v>-</v>
      </c>
      <c r="I76" s="2" t="s">
        <v>28</v>
      </c>
      <c r="J76" s="20" t="str">
        <f t="shared" si="5"/>
        <v>-</v>
      </c>
      <c r="K76" s="2" t="s">
        <v>45</v>
      </c>
      <c r="L76" s="20" t="str">
        <f t="shared" si="5"/>
        <v>-</v>
      </c>
      <c r="M76" s="2" t="s">
        <v>25</v>
      </c>
      <c r="N76" s="20" t="str">
        <f t="shared" si="5"/>
        <v/>
      </c>
    </row>
    <row r="77" spans="1:15" x14ac:dyDescent="0.25">
      <c r="A77" s="1" t="str">
        <f t="shared" ref="A77" si="65">_xlfn.CONCAT("@",E77,F77,G77,H77,I77,J77,K77,L77,"(",M77,N77,O77,")")</f>
        <v>@color-driveway-line-unpaved-(defhc)</v>
      </c>
      <c r="B77" s="1" t="str">
        <f t="shared" ref="B77" si="66">_xlfn.CONCAT("""",C77,"""")</f>
        <v>"#eddfca"</v>
      </c>
      <c r="C77" s="35" t="s">
        <v>55</v>
      </c>
      <c r="E77" s="2" t="s">
        <v>21</v>
      </c>
      <c r="F77" s="20" t="str">
        <f t="shared" ref="F77" si="67">IF(NOT(ISBLANK(G77)),"-","")</f>
        <v>-</v>
      </c>
      <c r="G77" s="2" t="s">
        <v>63</v>
      </c>
      <c r="H77" s="20" t="str">
        <f t="shared" ref="H77" si="68">IF(NOT(ISBLANK(I77)),"-","")</f>
        <v>-</v>
      </c>
      <c r="I77" s="2" t="s">
        <v>28</v>
      </c>
      <c r="J77" s="20" t="str">
        <f t="shared" ref="J77" si="69">IF(NOT(ISBLANK(K77)),"-","")</f>
        <v>-</v>
      </c>
      <c r="K77" s="2" t="s">
        <v>45</v>
      </c>
      <c r="L77" s="20" t="str">
        <f t="shared" ref="L77" si="70">IF(NOT(ISBLANK(M77)),"-","")</f>
        <v>-</v>
      </c>
      <c r="M77" s="2" t="s">
        <v>25</v>
      </c>
      <c r="N77" s="20"/>
      <c r="O77" s="2" t="s">
        <v>26</v>
      </c>
    </row>
    <row r="78" spans="1:15" x14ac:dyDescent="0.25">
      <c r="A78" s="1" t="str">
        <f t="shared" si="2"/>
        <v>@color-driveway-line-paved_or_uk-(def)</v>
      </c>
      <c r="B78" s="1" t="str">
        <f t="shared" si="3"/>
        <v>"#ffffff"</v>
      </c>
      <c r="C78" s="36" t="s">
        <v>56</v>
      </c>
      <c r="E78" s="2" t="s">
        <v>21</v>
      </c>
      <c r="F78" s="20" t="str">
        <f t="shared" si="5"/>
        <v>-</v>
      </c>
      <c r="G78" s="2" t="s">
        <v>63</v>
      </c>
      <c r="H78" s="20" t="str">
        <f t="shared" ref="H78" si="71">IF(NOT(ISBLANK(I78)),"-","")</f>
        <v>-</v>
      </c>
      <c r="I78" s="2" t="s">
        <v>28</v>
      </c>
      <c r="J78" s="20" t="str">
        <f t="shared" si="5"/>
        <v>-</v>
      </c>
      <c r="K78" s="2" t="s">
        <v>52</v>
      </c>
      <c r="L78" s="20" t="str">
        <f t="shared" si="5"/>
        <v>-</v>
      </c>
      <c r="M78" s="2" t="s">
        <v>25</v>
      </c>
      <c r="N78" s="20" t="str">
        <f t="shared" si="5"/>
        <v/>
      </c>
    </row>
    <row r="79" spans="1:15" x14ac:dyDescent="0.25">
      <c r="A79" s="1" t="str">
        <f t="shared" si="2"/>
        <v>@color-driveway-line-paved_or_uk-(def-hc)</v>
      </c>
      <c r="B79" s="1" t="str">
        <f t="shared" si="3"/>
        <v>"#ffffff"</v>
      </c>
      <c r="C79" s="36" t="s">
        <v>56</v>
      </c>
      <c r="E79" s="2" t="s">
        <v>21</v>
      </c>
      <c r="F79" s="20" t="str">
        <f t="shared" ref="F79:F82" si="72">IF(NOT(ISBLANK(G79)),"-","")</f>
        <v>-</v>
      </c>
      <c r="G79" s="2" t="s">
        <v>63</v>
      </c>
      <c r="H79" s="20" t="str">
        <f t="shared" ref="H79:H82" si="73">IF(NOT(ISBLANK(I79)),"-","")</f>
        <v>-</v>
      </c>
      <c r="I79" s="2" t="s">
        <v>28</v>
      </c>
      <c r="J79" s="20" t="str">
        <f t="shared" ref="J79:J82" si="74">IF(NOT(ISBLANK(K79)),"-","")</f>
        <v>-</v>
      </c>
      <c r="K79" s="2" t="s">
        <v>52</v>
      </c>
      <c r="L79" s="20" t="str">
        <f t="shared" ref="L79:L82" si="75">IF(NOT(ISBLANK(M79)),"-","")</f>
        <v>-</v>
      </c>
      <c r="M79" s="2" t="s">
        <v>25</v>
      </c>
      <c r="N79" s="20" t="str">
        <f t="shared" si="5"/>
        <v>-</v>
      </c>
      <c r="O79" s="2" t="s">
        <v>26</v>
      </c>
    </row>
    <row r="80" spans="1:15" x14ac:dyDescent="0.25">
      <c r="A80" s="1" t="str">
        <f t="shared" si="2"/>
        <v>@color-driveway-line-unpaved-(gr)</v>
      </c>
      <c r="B80" s="1" t="str">
        <f t="shared" si="3"/>
        <v>"#eddfca"</v>
      </c>
      <c r="C80" s="35" t="s">
        <v>55</v>
      </c>
      <c r="E80" s="2" t="s">
        <v>21</v>
      </c>
      <c r="F80" s="20" t="str">
        <f t="shared" si="72"/>
        <v>-</v>
      </c>
      <c r="G80" s="2" t="s">
        <v>63</v>
      </c>
      <c r="H80" s="20" t="str">
        <f t="shared" si="73"/>
        <v>-</v>
      </c>
      <c r="I80" s="2" t="s">
        <v>28</v>
      </c>
      <c r="J80" s="20" t="str">
        <f t="shared" si="74"/>
        <v>-</v>
      </c>
      <c r="K80" s="2" t="s">
        <v>45</v>
      </c>
      <c r="L80" s="20" t="str">
        <f t="shared" si="75"/>
        <v>-</v>
      </c>
      <c r="M80" s="2" t="s">
        <v>48</v>
      </c>
      <c r="N80" s="20" t="str">
        <f t="shared" ref="N80:N83" si="76">IF(NOT(ISBLANK(O80)),"-","")</f>
        <v/>
      </c>
      <c r="O80" s="20"/>
    </row>
    <row r="81" spans="1:15" x14ac:dyDescent="0.25">
      <c r="A81" s="1" t="str">
        <f t="shared" ref="A81:A93" si="77">_xlfn.CONCAT("@",E81,F81,G81,H81,I81,J81,K81,L81,"(",M81,N81,O81,")")</f>
        <v>@color-driveway-line-unpaved-(grhc)</v>
      </c>
      <c r="B81" s="1" t="str">
        <f t="shared" ref="B81:B93" si="78">_xlfn.CONCAT("""",C81,"""")</f>
        <v>""</v>
      </c>
      <c r="E81" s="2" t="s">
        <v>21</v>
      </c>
      <c r="F81" s="20" t="str">
        <f t="shared" si="72"/>
        <v>-</v>
      </c>
      <c r="G81" s="2" t="s">
        <v>63</v>
      </c>
      <c r="H81" s="20" t="str">
        <f t="shared" si="73"/>
        <v>-</v>
      </c>
      <c r="I81" s="2" t="s">
        <v>28</v>
      </c>
      <c r="J81" s="20" t="str">
        <f t="shared" si="74"/>
        <v>-</v>
      </c>
      <c r="K81" s="2" t="s">
        <v>45</v>
      </c>
      <c r="L81" s="20" t="str">
        <f t="shared" si="75"/>
        <v>-</v>
      </c>
      <c r="M81" s="2" t="s">
        <v>48</v>
      </c>
      <c r="N81" s="20"/>
      <c r="O81" s="2" t="s">
        <v>26</v>
      </c>
    </row>
    <row r="82" spans="1:15" x14ac:dyDescent="0.25">
      <c r="A82" s="1" t="str">
        <f t="shared" si="77"/>
        <v>@color-driveway-line-paved_or_uk-(gr)</v>
      </c>
      <c r="B82" s="1" t="str">
        <f t="shared" si="78"/>
        <v>"#ffffff"</v>
      </c>
      <c r="C82" s="36" t="s">
        <v>56</v>
      </c>
      <c r="E82" s="2" t="s">
        <v>21</v>
      </c>
      <c r="F82" s="20" t="str">
        <f t="shared" si="72"/>
        <v>-</v>
      </c>
      <c r="G82" s="2" t="s">
        <v>63</v>
      </c>
      <c r="H82" s="20" t="str">
        <f t="shared" si="73"/>
        <v>-</v>
      </c>
      <c r="I82" s="2" t="s">
        <v>28</v>
      </c>
      <c r="J82" s="20" t="str">
        <f t="shared" si="74"/>
        <v>-</v>
      </c>
      <c r="K82" s="2" t="s">
        <v>52</v>
      </c>
      <c r="L82" s="20" t="str">
        <f t="shared" si="75"/>
        <v>-</v>
      </c>
      <c r="M82" s="2" t="s">
        <v>48</v>
      </c>
      <c r="N82" s="20" t="str">
        <f t="shared" ref="N82:N83" si="79">IF(NOT(ISBLANK(O82)),"-","")</f>
        <v/>
      </c>
      <c r="O82" s="20"/>
    </row>
    <row r="83" spans="1:15" x14ac:dyDescent="0.25">
      <c r="A83" s="1" t="str">
        <f t="shared" si="77"/>
        <v>@color-driveway-line-paved_or_uk-(gr-hc)</v>
      </c>
      <c r="B83" s="1" t="str">
        <f t="shared" si="78"/>
        <v>""</v>
      </c>
      <c r="E83" s="2" t="s">
        <v>21</v>
      </c>
      <c r="F83" s="20" t="str">
        <f t="shared" ref="F83" si="80">IF(NOT(ISBLANK(G83)),"-","")</f>
        <v>-</v>
      </c>
      <c r="G83" s="2" t="s">
        <v>63</v>
      </c>
      <c r="H83" s="20" t="str">
        <f t="shared" ref="H83" si="81">IF(NOT(ISBLANK(I83)),"-","")</f>
        <v>-</v>
      </c>
      <c r="I83" s="2" t="s">
        <v>28</v>
      </c>
      <c r="J83" s="20" t="str">
        <f t="shared" ref="J83" si="82">IF(NOT(ISBLANK(K83)),"-","")</f>
        <v>-</v>
      </c>
      <c r="K83" s="2" t="s">
        <v>52</v>
      </c>
      <c r="L83" s="20" t="str">
        <f t="shared" ref="L83" si="83">IF(NOT(ISBLANK(M83)),"-","")</f>
        <v>-</v>
      </c>
      <c r="M83" s="2" t="s">
        <v>48</v>
      </c>
      <c r="N83" s="20" t="str">
        <f t="shared" si="79"/>
        <v>-</v>
      </c>
      <c r="O83" s="2" t="s">
        <v>26</v>
      </c>
    </row>
    <row r="84" spans="1:15" x14ac:dyDescent="0.25">
      <c r="A84" s="21"/>
      <c r="B84" s="21"/>
      <c r="C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</row>
    <row r="85" spans="1:15" x14ac:dyDescent="0.25">
      <c r="A85" s="1" t="str">
        <f t="shared" si="77"/>
        <v>@color-service-line-unpaved-(def)</v>
      </c>
      <c r="B85" s="1" t="str">
        <f t="shared" si="78"/>
        <v>"#eddfca"</v>
      </c>
      <c r="C85" s="35" t="s">
        <v>55</v>
      </c>
      <c r="E85" s="2" t="s">
        <v>21</v>
      </c>
      <c r="F85" s="20" t="str">
        <f t="shared" ref="F85:F92" si="84">IF(NOT(ISBLANK(G85)),"-","")</f>
        <v>-</v>
      </c>
      <c r="G85" s="2" t="s">
        <v>64</v>
      </c>
      <c r="H85" s="20" t="str">
        <f t="shared" ref="H85:H92" si="85">IF(NOT(ISBLANK(I85)),"-","")</f>
        <v>-</v>
      </c>
      <c r="I85" s="2" t="s">
        <v>28</v>
      </c>
      <c r="J85" s="20" t="str">
        <f t="shared" ref="J85:J92" si="86">IF(NOT(ISBLANK(K85)),"-","")</f>
        <v>-</v>
      </c>
      <c r="K85" s="2" t="s">
        <v>45</v>
      </c>
      <c r="L85" s="20" t="str">
        <f t="shared" ref="L85:L92" si="87">IF(NOT(ISBLANK(M85)),"-","")</f>
        <v>-</v>
      </c>
      <c r="M85" s="2" t="s">
        <v>25</v>
      </c>
      <c r="N85" s="20" t="str">
        <f t="shared" ref="N85:N92" si="88">IF(NOT(ISBLANK(O85)),"-","")</f>
        <v/>
      </c>
      <c r="O85" s="20"/>
    </row>
    <row r="86" spans="1:15" x14ac:dyDescent="0.25">
      <c r="A86" s="1" t="str">
        <f t="shared" si="77"/>
        <v>@color-service-line-unpaved-(defhc)</v>
      </c>
      <c r="B86" s="1" t="str">
        <f t="shared" si="78"/>
        <v>"#eddfca"</v>
      </c>
      <c r="C86" s="35" t="s">
        <v>55</v>
      </c>
      <c r="E86" s="2" t="s">
        <v>21</v>
      </c>
      <c r="F86" s="20" t="str">
        <f t="shared" si="84"/>
        <v>-</v>
      </c>
      <c r="G86" s="2" t="s">
        <v>64</v>
      </c>
      <c r="H86" s="20" t="str">
        <f t="shared" si="85"/>
        <v>-</v>
      </c>
      <c r="I86" s="2" t="s">
        <v>28</v>
      </c>
      <c r="J86" s="20" t="str">
        <f t="shared" si="86"/>
        <v>-</v>
      </c>
      <c r="K86" s="2" t="s">
        <v>45</v>
      </c>
      <c r="L86" s="20" t="str">
        <f t="shared" si="87"/>
        <v>-</v>
      </c>
      <c r="M86" s="2" t="s">
        <v>25</v>
      </c>
      <c r="N86" s="20"/>
      <c r="O86" s="2" t="s">
        <v>26</v>
      </c>
    </row>
    <row r="87" spans="1:15" x14ac:dyDescent="0.25">
      <c r="A87" s="1" t="str">
        <f t="shared" si="77"/>
        <v>@color-service-line-paved_or_uk-(def)</v>
      </c>
      <c r="B87" s="1" t="str">
        <f t="shared" si="78"/>
        <v>"#ffffff"</v>
      </c>
      <c r="C87" s="36" t="s">
        <v>56</v>
      </c>
      <c r="E87" s="2" t="s">
        <v>21</v>
      </c>
      <c r="F87" s="20" t="str">
        <f t="shared" si="84"/>
        <v>-</v>
      </c>
      <c r="G87" s="2" t="s">
        <v>64</v>
      </c>
      <c r="H87" s="20" t="str">
        <f t="shared" si="85"/>
        <v>-</v>
      </c>
      <c r="I87" s="2" t="s">
        <v>28</v>
      </c>
      <c r="J87" s="20" t="str">
        <f t="shared" si="86"/>
        <v>-</v>
      </c>
      <c r="K87" s="2" t="s">
        <v>52</v>
      </c>
      <c r="L87" s="20" t="str">
        <f t="shared" si="87"/>
        <v>-</v>
      </c>
      <c r="M87" s="2" t="s">
        <v>25</v>
      </c>
      <c r="N87" s="20" t="str">
        <f t="shared" ref="N87:N92" si="89">IF(NOT(ISBLANK(O87)),"-","")</f>
        <v/>
      </c>
      <c r="O87" s="20"/>
    </row>
    <row r="88" spans="1:15" x14ac:dyDescent="0.25">
      <c r="A88" s="1" t="str">
        <f t="shared" si="77"/>
        <v>@color-service-line-paved_or_uk-(def-hc)</v>
      </c>
      <c r="B88" s="1" t="str">
        <f t="shared" si="78"/>
        <v>"#ffffff"</v>
      </c>
      <c r="C88" s="36" t="s">
        <v>56</v>
      </c>
      <c r="E88" s="2" t="s">
        <v>21</v>
      </c>
      <c r="F88" s="20" t="str">
        <f t="shared" si="84"/>
        <v>-</v>
      </c>
      <c r="G88" s="2" t="s">
        <v>64</v>
      </c>
      <c r="H88" s="20" t="str">
        <f t="shared" si="85"/>
        <v>-</v>
      </c>
      <c r="I88" s="2" t="s">
        <v>28</v>
      </c>
      <c r="J88" s="20" t="str">
        <f t="shared" si="86"/>
        <v>-</v>
      </c>
      <c r="K88" s="2" t="s">
        <v>52</v>
      </c>
      <c r="L88" s="20" t="str">
        <f t="shared" si="87"/>
        <v>-</v>
      </c>
      <c r="M88" s="2" t="s">
        <v>25</v>
      </c>
      <c r="N88" s="20" t="str">
        <f t="shared" si="89"/>
        <v>-</v>
      </c>
      <c r="O88" s="2" t="s">
        <v>26</v>
      </c>
    </row>
    <row r="89" spans="1:15" x14ac:dyDescent="0.25">
      <c r="A89" s="1" t="str">
        <f t="shared" si="77"/>
        <v>@color-service-line-unpaved-(gr)</v>
      </c>
      <c r="B89" s="1" t="str">
        <f t="shared" si="78"/>
        <v>"#eddfca"</v>
      </c>
      <c r="C89" s="35" t="s">
        <v>55</v>
      </c>
      <c r="E89" s="2" t="s">
        <v>21</v>
      </c>
      <c r="F89" s="20" t="str">
        <f t="shared" si="84"/>
        <v>-</v>
      </c>
      <c r="G89" s="2" t="s">
        <v>64</v>
      </c>
      <c r="H89" s="20" t="str">
        <f t="shared" si="85"/>
        <v>-</v>
      </c>
      <c r="I89" s="2" t="s">
        <v>28</v>
      </c>
      <c r="J89" s="20" t="str">
        <f t="shared" si="86"/>
        <v>-</v>
      </c>
      <c r="K89" s="2" t="s">
        <v>45</v>
      </c>
      <c r="L89" s="20" t="str">
        <f t="shared" si="87"/>
        <v>-</v>
      </c>
      <c r="M89" s="2" t="s">
        <v>48</v>
      </c>
      <c r="N89" s="20" t="str">
        <f t="shared" si="89"/>
        <v/>
      </c>
      <c r="O89" s="20"/>
    </row>
    <row r="90" spans="1:15" x14ac:dyDescent="0.25">
      <c r="A90" s="1" t="str">
        <f t="shared" si="77"/>
        <v>@color-service-line-unpaved-(grhc)</v>
      </c>
      <c r="B90" s="1" t="str">
        <f t="shared" si="78"/>
        <v>""</v>
      </c>
      <c r="C90" s="20"/>
      <c r="E90" s="2" t="s">
        <v>21</v>
      </c>
      <c r="F90" s="20" t="str">
        <f t="shared" si="84"/>
        <v>-</v>
      </c>
      <c r="G90" s="2" t="s">
        <v>64</v>
      </c>
      <c r="H90" s="20" t="str">
        <f t="shared" si="85"/>
        <v>-</v>
      </c>
      <c r="I90" s="2" t="s">
        <v>28</v>
      </c>
      <c r="J90" s="20" t="str">
        <f t="shared" si="86"/>
        <v>-</v>
      </c>
      <c r="K90" s="2" t="s">
        <v>45</v>
      </c>
      <c r="L90" s="20" t="str">
        <f t="shared" si="87"/>
        <v>-</v>
      </c>
      <c r="M90" s="2" t="s">
        <v>48</v>
      </c>
      <c r="N90" s="20"/>
      <c r="O90" s="2" t="s">
        <v>26</v>
      </c>
    </row>
    <row r="91" spans="1:15" x14ac:dyDescent="0.25">
      <c r="A91" s="1" t="str">
        <f t="shared" si="77"/>
        <v>@color-service-line-paved_or_uk-(gr)</v>
      </c>
      <c r="B91" s="1" t="str">
        <f t="shared" si="78"/>
        <v>"#ffffff"</v>
      </c>
      <c r="C91" s="36" t="s">
        <v>56</v>
      </c>
      <c r="E91" s="2" t="s">
        <v>21</v>
      </c>
      <c r="F91" s="20" t="str">
        <f t="shared" si="84"/>
        <v>-</v>
      </c>
      <c r="G91" s="2" t="s">
        <v>64</v>
      </c>
      <c r="H91" s="20" t="str">
        <f t="shared" si="85"/>
        <v>-</v>
      </c>
      <c r="I91" s="2" t="s">
        <v>28</v>
      </c>
      <c r="J91" s="20" t="str">
        <f t="shared" si="86"/>
        <v>-</v>
      </c>
      <c r="K91" s="2" t="s">
        <v>52</v>
      </c>
      <c r="L91" s="20" t="str">
        <f t="shared" si="87"/>
        <v>-</v>
      </c>
      <c r="M91" s="2" t="s">
        <v>48</v>
      </c>
      <c r="N91" s="20" t="str">
        <f t="shared" ref="N91:N92" si="90">IF(NOT(ISBLANK(O91)),"-","")</f>
        <v/>
      </c>
      <c r="O91" s="20"/>
    </row>
    <row r="92" spans="1:15" x14ac:dyDescent="0.25">
      <c r="A92" s="1" t="str">
        <f t="shared" si="77"/>
        <v>@color-service-line-paved_or_uk-(gr-hc)</v>
      </c>
      <c r="B92" s="1" t="str">
        <f t="shared" si="78"/>
        <v>""</v>
      </c>
      <c r="C92" s="20"/>
      <c r="E92" s="2" t="s">
        <v>21</v>
      </c>
      <c r="F92" s="20" t="str">
        <f t="shared" si="84"/>
        <v>-</v>
      </c>
      <c r="G92" s="2" t="s">
        <v>64</v>
      </c>
      <c r="H92" s="20" t="str">
        <f t="shared" si="85"/>
        <v>-</v>
      </c>
      <c r="I92" s="2" t="s">
        <v>28</v>
      </c>
      <c r="J92" s="20" t="str">
        <f t="shared" si="86"/>
        <v>-</v>
      </c>
      <c r="K92" s="2" t="s">
        <v>52</v>
      </c>
      <c r="L92" s="20" t="str">
        <f t="shared" si="87"/>
        <v>-</v>
      </c>
      <c r="M92" s="2" t="s">
        <v>48</v>
      </c>
      <c r="N92" s="20" t="str">
        <f t="shared" si="90"/>
        <v>-</v>
      </c>
      <c r="O92" s="2" t="s">
        <v>26</v>
      </c>
    </row>
    <row r="93" spans="1:15" x14ac:dyDescent="0.25">
      <c r="A93" s="21"/>
      <c r="B93" s="21"/>
      <c r="C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</row>
    <row r="94" spans="1:15" x14ac:dyDescent="0.25">
      <c r="A94" s="1" t="str">
        <f t="shared" ref="A94:A116" si="91">_xlfn.CONCAT("@",E94,F94,G94,H94,I94,J94,K94,L94,"(",M94,N94,O94,")")</f>
        <v>@color-minor-line-unpaved-(def)</v>
      </c>
      <c r="B94" s="1" t="str">
        <f t="shared" ref="B94:B116" si="92">_xlfn.CONCAT("""",C94,"""")</f>
        <v>"#eddfca"</v>
      </c>
      <c r="C94" s="35" t="s">
        <v>55</v>
      </c>
      <c r="E94" s="2" t="s">
        <v>21</v>
      </c>
      <c r="F94" s="20" t="str">
        <f t="shared" ref="F94:F101" si="93">IF(NOT(ISBLANK(G94)),"-","")</f>
        <v>-</v>
      </c>
      <c r="G94" s="2" t="s">
        <v>65</v>
      </c>
      <c r="H94" s="20" t="str">
        <f t="shared" ref="H94:H101" si="94">IF(NOT(ISBLANK(I94)),"-","")</f>
        <v>-</v>
      </c>
      <c r="I94" s="2" t="s">
        <v>28</v>
      </c>
      <c r="J94" s="20" t="str">
        <f t="shared" ref="J94:J101" si="95">IF(NOT(ISBLANK(K94)),"-","")</f>
        <v>-</v>
      </c>
      <c r="K94" s="2" t="s">
        <v>45</v>
      </c>
      <c r="L94" s="20" t="str">
        <f t="shared" ref="L94:L101" si="96">IF(NOT(ISBLANK(M94)),"-","")</f>
        <v>-</v>
      </c>
      <c r="M94" s="2" t="s">
        <v>25</v>
      </c>
      <c r="N94" s="20" t="str">
        <f t="shared" ref="N94:N101" si="97">IF(NOT(ISBLANK(O94)),"-","")</f>
        <v/>
      </c>
      <c r="O94" s="20"/>
    </row>
    <row r="95" spans="1:15" x14ac:dyDescent="0.25">
      <c r="A95" s="1" t="str">
        <f t="shared" si="91"/>
        <v>@color-minor-line-unpaved-(defhc)</v>
      </c>
      <c r="B95" s="1" t="str">
        <f t="shared" si="92"/>
        <v>"#eddfca"</v>
      </c>
      <c r="C95" s="35" t="s">
        <v>55</v>
      </c>
      <c r="E95" s="2" t="s">
        <v>21</v>
      </c>
      <c r="F95" s="20" t="str">
        <f t="shared" si="93"/>
        <v>-</v>
      </c>
      <c r="G95" s="2" t="s">
        <v>65</v>
      </c>
      <c r="H95" s="20" t="str">
        <f t="shared" si="94"/>
        <v>-</v>
      </c>
      <c r="I95" s="2" t="s">
        <v>28</v>
      </c>
      <c r="J95" s="20" t="str">
        <f t="shared" si="95"/>
        <v>-</v>
      </c>
      <c r="K95" s="2" t="s">
        <v>45</v>
      </c>
      <c r="L95" s="20" t="str">
        <f t="shared" si="96"/>
        <v>-</v>
      </c>
      <c r="M95" s="2" t="s">
        <v>25</v>
      </c>
      <c r="N95" s="20"/>
      <c r="O95" s="2" t="s">
        <v>26</v>
      </c>
    </row>
    <row r="96" spans="1:15" x14ac:dyDescent="0.25">
      <c r="A96" s="1" t="str">
        <f t="shared" si="91"/>
        <v>@color-minor-line-paved_or_uk-(def)</v>
      </c>
      <c r="B96" s="1" t="str">
        <f t="shared" si="92"/>
        <v>"#ffffff"</v>
      </c>
      <c r="C96" s="36" t="s">
        <v>56</v>
      </c>
      <c r="E96" s="2" t="s">
        <v>21</v>
      </c>
      <c r="F96" s="20" t="str">
        <f t="shared" si="93"/>
        <v>-</v>
      </c>
      <c r="G96" s="2" t="s">
        <v>65</v>
      </c>
      <c r="H96" s="20" t="str">
        <f t="shared" si="94"/>
        <v>-</v>
      </c>
      <c r="I96" s="2" t="s">
        <v>28</v>
      </c>
      <c r="J96" s="20" t="str">
        <f t="shared" si="95"/>
        <v>-</v>
      </c>
      <c r="K96" s="2" t="s">
        <v>52</v>
      </c>
      <c r="L96" s="20" t="str">
        <f t="shared" si="96"/>
        <v>-</v>
      </c>
      <c r="M96" s="2" t="s">
        <v>25</v>
      </c>
      <c r="N96" s="20" t="str">
        <f t="shared" ref="N96:N101" si="98">IF(NOT(ISBLANK(O96)),"-","")</f>
        <v/>
      </c>
      <c r="O96" s="20"/>
    </row>
    <row r="97" spans="1:16" x14ac:dyDescent="0.25">
      <c r="A97" s="1" t="str">
        <f t="shared" si="91"/>
        <v>@color-minor-line-paved_or_uk-(def-hc)</v>
      </c>
      <c r="B97" s="1" t="str">
        <f t="shared" si="92"/>
        <v>"#ffffff"</v>
      </c>
      <c r="C97" s="36" t="s">
        <v>56</v>
      </c>
      <c r="E97" s="2" t="s">
        <v>21</v>
      </c>
      <c r="F97" s="20" t="str">
        <f t="shared" si="93"/>
        <v>-</v>
      </c>
      <c r="G97" s="2" t="s">
        <v>65</v>
      </c>
      <c r="H97" s="20" t="str">
        <f t="shared" si="94"/>
        <v>-</v>
      </c>
      <c r="I97" s="2" t="s">
        <v>28</v>
      </c>
      <c r="J97" s="20" t="str">
        <f t="shared" si="95"/>
        <v>-</v>
      </c>
      <c r="K97" s="2" t="s">
        <v>52</v>
      </c>
      <c r="L97" s="20" t="str">
        <f t="shared" si="96"/>
        <v>-</v>
      </c>
      <c r="M97" s="2" t="s">
        <v>25</v>
      </c>
      <c r="N97" s="20" t="str">
        <f t="shared" si="98"/>
        <v>-</v>
      </c>
      <c r="O97" s="2" t="s">
        <v>26</v>
      </c>
    </row>
    <row r="98" spans="1:16" x14ac:dyDescent="0.25">
      <c r="A98" s="1" t="str">
        <f t="shared" si="91"/>
        <v>@color-minor-line-unpaved-(gr)</v>
      </c>
      <c r="B98" s="1" t="str">
        <f t="shared" si="92"/>
        <v>"#eddfca"</v>
      </c>
      <c r="C98" s="35" t="s">
        <v>55</v>
      </c>
      <c r="E98" s="2" t="s">
        <v>21</v>
      </c>
      <c r="F98" s="20" t="str">
        <f t="shared" si="93"/>
        <v>-</v>
      </c>
      <c r="G98" s="2" t="s">
        <v>65</v>
      </c>
      <c r="H98" s="20" t="str">
        <f t="shared" si="94"/>
        <v>-</v>
      </c>
      <c r="I98" s="2" t="s">
        <v>28</v>
      </c>
      <c r="J98" s="20" t="str">
        <f t="shared" si="95"/>
        <v>-</v>
      </c>
      <c r="K98" s="2" t="s">
        <v>45</v>
      </c>
      <c r="L98" s="20" t="str">
        <f t="shared" si="96"/>
        <v>-</v>
      </c>
      <c r="M98" s="2" t="s">
        <v>48</v>
      </c>
      <c r="N98" s="20" t="str">
        <f t="shared" si="98"/>
        <v/>
      </c>
      <c r="O98" s="20"/>
    </row>
    <row r="99" spans="1:16" x14ac:dyDescent="0.25">
      <c r="A99" s="1" t="str">
        <f t="shared" si="91"/>
        <v>@color-minor-line-unpaved-(grhc)</v>
      </c>
      <c r="B99" s="1" t="str">
        <f t="shared" si="92"/>
        <v>""</v>
      </c>
      <c r="C99" s="20"/>
      <c r="E99" s="2" t="s">
        <v>21</v>
      </c>
      <c r="F99" s="20" t="str">
        <f t="shared" si="93"/>
        <v>-</v>
      </c>
      <c r="G99" s="2" t="s">
        <v>65</v>
      </c>
      <c r="H99" s="20" t="str">
        <f t="shared" si="94"/>
        <v>-</v>
      </c>
      <c r="I99" s="2" t="s">
        <v>28</v>
      </c>
      <c r="J99" s="20" t="str">
        <f t="shared" si="95"/>
        <v>-</v>
      </c>
      <c r="K99" s="2" t="s">
        <v>45</v>
      </c>
      <c r="L99" s="20" t="str">
        <f t="shared" si="96"/>
        <v>-</v>
      </c>
      <c r="M99" s="2" t="s">
        <v>48</v>
      </c>
      <c r="N99" s="20"/>
      <c r="O99" s="2" t="s">
        <v>26</v>
      </c>
    </row>
    <row r="100" spans="1:16" x14ac:dyDescent="0.25">
      <c r="A100" s="1" t="str">
        <f t="shared" si="91"/>
        <v>@color-minor-line-paved_or_uk-(gr)</v>
      </c>
      <c r="B100" s="1" t="str">
        <f t="shared" si="92"/>
        <v>"#ffffff"</v>
      </c>
      <c r="C100" s="36" t="s">
        <v>56</v>
      </c>
      <c r="E100" s="2" t="s">
        <v>21</v>
      </c>
      <c r="F100" s="20" t="str">
        <f t="shared" si="93"/>
        <v>-</v>
      </c>
      <c r="G100" s="2" t="s">
        <v>65</v>
      </c>
      <c r="H100" s="20" t="str">
        <f t="shared" si="94"/>
        <v>-</v>
      </c>
      <c r="I100" s="2" t="s">
        <v>28</v>
      </c>
      <c r="J100" s="20" t="str">
        <f t="shared" si="95"/>
        <v>-</v>
      </c>
      <c r="K100" s="2" t="s">
        <v>52</v>
      </c>
      <c r="L100" s="20" t="str">
        <f t="shared" si="96"/>
        <v>-</v>
      </c>
      <c r="M100" s="2" t="s">
        <v>48</v>
      </c>
      <c r="N100" s="20" t="str">
        <f t="shared" ref="N100:N101" si="99">IF(NOT(ISBLANK(O100)),"-","")</f>
        <v/>
      </c>
      <c r="O100" s="20"/>
    </row>
    <row r="101" spans="1:16" x14ac:dyDescent="0.25">
      <c r="A101" s="1" t="str">
        <f t="shared" si="91"/>
        <v>@color-minor-line-paved_or_uk-(gr-hc)</v>
      </c>
      <c r="B101" s="1" t="str">
        <f t="shared" si="92"/>
        <v>""</v>
      </c>
      <c r="C101" s="20"/>
      <c r="E101" s="2" t="s">
        <v>21</v>
      </c>
      <c r="F101" s="20" t="str">
        <f t="shared" si="93"/>
        <v>-</v>
      </c>
      <c r="G101" s="2" t="s">
        <v>65</v>
      </c>
      <c r="H101" s="20" t="str">
        <f t="shared" si="94"/>
        <v>-</v>
      </c>
      <c r="I101" s="2" t="s">
        <v>28</v>
      </c>
      <c r="J101" s="20" t="str">
        <f t="shared" si="95"/>
        <v>-</v>
      </c>
      <c r="K101" s="2" t="s">
        <v>52</v>
      </c>
      <c r="L101" s="20" t="str">
        <f t="shared" si="96"/>
        <v>-</v>
      </c>
      <c r="M101" s="2" t="s">
        <v>48</v>
      </c>
      <c r="N101" s="20" t="str">
        <f t="shared" si="99"/>
        <v>-</v>
      </c>
      <c r="O101" s="2" t="s">
        <v>26</v>
      </c>
    </row>
    <row r="102" spans="1:16" x14ac:dyDescent="0.25">
      <c r="A102" s="21"/>
      <c r="B102" s="21"/>
      <c r="C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</row>
    <row r="103" spans="1:16" x14ac:dyDescent="0.25">
      <c r="A103" s="1" t="str">
        <f t="shared" si="91"/>
        <v>@color-trunk_primary_secondary_tertiary_link-line-(def)</v>
      </c>
      <c r="B103" s="1" t="str">
        <f t="shared" si="92"/>
        <v>"#ffeeaa"</v>
      </c>
      <c r="C103" s="33" t="s">
        <v>53</v>
      </c>
      <c r="E103" s="2" t="s">
        <v>21</v>
      </c>
      <c r="F103" s="20" t="str">
        <f t="shared" ref="F94:F116" si="100">IF(NOT(ISBLANK(G103)),"-","")</f>
        <v>-</v>
      </c>
      <c r="G103" s="20" t="s">
        <v>66</v>
      </c>
      <c r="H103" s="20" t="str">
        <f t="shared" ref="H103:H116" si="101">IF(NOT(ISBLANK(I103)),"-","")</f>
        <v>-</v>
      </c>
      <c r="I103" s="2" t="s">
        <v>28</v>
      </c>
      <c r="J103" s="20" t="str">
        <f t="shared" ref="J94:J116" si="102">IF(NOT(ISBLANK(K103)),"-","")</f>
        <v/>
      </c>
      <c r="K103" s="20"/>
      <c r="L103" s="20" t="str">
        <f t="shared" ref="L103:L110" si="103">IF(NOT(ISBLANK(M103)),"-","")</f>
        <v>-</v>
      </c>
      <c r="M103" s="2" t="s">
        <v>25</v>
      </c>
      <c r="N103" s="20" t="str">
        <f t="shared" ref="N103:N110" si="104">IF(NOT(ISBLANK(O103)),"-","")</f>
        <v/>
      </c>
      <c r="O103" s="20"/>
    </row>
    <row r="104" spans="1:16" x14ac:dyDescent="0.25">
      <c r="A104" s="1" t="str">
        <f t="shared" si="91"/>
        <v>@color-trunk_primary_secondary_tertiary_link-line-(def-hc)</v>
      </c>
      <c r="B104" s="1" t="str">
        <f t="shared" si="92"/>
        <v>"#d6771e"</v>
      </c>
      <c r="C104" s="25" t="s">
        <v>37</v>
      </c>
      <c r="E104" s="2" t="s">
        <v>21</v>
      </c>
      <c r="F104" s="20" t="str">
        <f t="shared" si="100"/>
        <v>-</v>
      </c>
      <c r="G104" s="20" t="s">
        <v>66</v>
      </c>
      <c r="H104" s="20" t="str">
        <f t="shared" si="101"/>
        <v>-</v>
      </c>
      <c r="I104" s="2" t="s">
        <v>28</v>
      </c>
      <c r="J104" s="20" t="str">
        <f t="shared" si="102"/>
        <v/>
      </c>
      <c r="K104" s="20"/>
      <c r="L104" s="20" t="str">
        <f>IF(NOT(ISBLANK(M104)),"-","")</f>
        <v>-</v>
      </c>
      <c r="M104" s="2" t="s">
        <v>25</v>
      </c>
      <c r="N104" s="20" t="str">
        <f>IF(NOT(ISBLANK(O104)),"-","")</f>
        <v>-</v>
      </c>
      <c r="O104" s="20" t="s">
        <v>26</v>
      </c>
    </row>
    <row r="105" spans="1:16" x14ac:dyDescent="0.25">
      <c r="A105" s="1" t="str">
        <f t="shared" si="91"/>
        <v>@color-trunk_primary_secondary_tertiary_link-line-bicycle_no-(def)</v>
      </c>
      <c r="B105" s="1" t="str">
        <f t="shared" si="92"/>
        <v>"#ffcc88"</v>
      </c>
      <c r="C105" s="24" t="s">
        <v>36</v>
      </c>
      <c r="E105" s="2" t="s">
        <v>21</v>
      </c>
      <c r="F105" s="20" t="str">
        <f t="shared" si="100"/>
        <v>-</v>
      </c>
      <c r="G105" s="20" t="s">
        <v>66</v>
      </c>
      <c r="H105" s="20" t="str">
        <f t="shared" si="101"/>
        <v>-</v>
      </c>
      <c r="I105" s="2" t="s">
        <v>28</v>
      </c>
      <c r="J105" s="20" t="str">
        <f t="shared" si="102"/>
        <v>-</v>
      </c>
      <c r="K105" s="2" t="s">
        <v>51</v>
      </c>
      <c r="L105" s="20" t="str">
        <f t="shared" ref="L105:L110" si="105">IF(NOT(ISBLANK(M105)),"-","")</f>
        <v>-</v>
      </c>
      <c r="M105" s="2" t="s">
        <v>25</v>
      </c>
      <c r="N105" s="20" t="str">
        <f t="shared" ref="N105:N110" si="106">IF(NOT(ISBLANK(O105)),"-","")</f>
        <v/>
      </c>
      <c r="O105" s="20"/>
    </row>
    <row r="106" spans="1:16" x14ac:dyDescent="0.25">
      <c r="A106" s="1" t="str">
        <f t="shared" si="91"/>
        <v>@color-trunk_primary_secondary_tertiary_link-line-bicycle_no-(def-hc)</v>
      </c>
      <c r="B106" s="1" t="str">
        <f t="shared" si="92"/>
        <v>"#ffc72e"</v>
      </c>
      <c r="C106" s="34" t="s">
        <v>54</v>
      </c>
      <c r="E106" s="2" t="s">
        <v>21</v>
      </c>
      <c r="F106" s="20" t="str">
        <f t="shared" si="100"/>
        <v>-</v>
      </c>
      <c r="G106" s="20" t="s">
        <v>66</v>
      </c>
      <c r="H106" s="20" t="str">
        <f t="shared" si="101"/>
        <v>-</v>
      </c>
      <c r="I106" s="2" t="s">
        <v>28</v>
      </c>
      <c r="J106" s="20" t="str">
        <f t="shared" si="102"/>
        <v>-</v>
      </c>
      <c r="K106" s="2" t="s">
        <v>51</v>
      </c>
      <c r="L106" s="20" t="str">
        <f t="shared" si="105"/>
        <v>-</v>
      </c>
      <c r="M106" s="2" t="s">
        <v>25</v>
      </c>
      <c r="N106" s="20" t="str">
        <f t="shared" si="106"/>
        <v>-</v>
      </c>
      <c r="O106" s="20" t="s">
        <v>26</v>
      </c>
    </row>
    <row r="107" spans="1:16" x14ac:dyDescent="0.25">
      <c r="A107" s="1" t="str">
        <f t="shared" si="91"/>
        <v>@color-trunk_primary_secondary_tertiary_link-line-unpaved-(gr)</v>
      </c>
      <c r="B107" s="1" t="str">
        <f t="shared" si="92"/>
        <v>"#eddfca"</v>
      </c>
      <c r="C107" s="35" t="s">
        <v>55</v>
      </c>
      <c r="E107" s="2" t="s">
        <v>21</v>
      </c>
      <c r="F107" s="20" t="str">
        <f t="shared" si="100"/>
        <v>-</v>
      </c>
      <c r="G107" s="20" t="s">
        <v>66</v>
      </c>
      <c r="H107" s="20" t="str">
        <f t="shared" si="101"/>
        <v>-</v>
      </c>
      <c r="I107" s="2" t="s">
        <v>28</v>
      </c>
      <c r="J107" s="20" t="str">
        <f t="shared" si="102"/>
        <v>-</v>
      </c>
      <c r="K107" s="2" t="s">
        <v>45</v>
      </c>
      <c r="L107" s="20" t="str">
        <f t="shared" si="105"/>
        <v>-</v>
      </c>
      <c r="M107" s="2" t="s">
        <v>48</v>
      </c>
      <c r="N107" s="20" t="str">
        <f t="shared" si="106"/>
        <v/>
      </c>
      <c r="O107" s="20"/>
    </row>
    <row r="108" spans="1:16" x14ac:dyDescent="0.25">
      <c r="A108" s="1" t="str">
        <f t="shared" si="91"/>
        <v>@color-trunk_primary_secondary_tertiary_link-line-unpaved-(gr-hc)</v>
      </c>
      <c r="B108" s="1" t="str">
        <f t="shared" si="92"/>
        <v>""</v>
      </c>
      <c r="C108" s="20"/>
      <c r="E108" s="2" t="s">
        <v>21</v>
      </c>
      <c r="F108" s="20" t="str">
        <f t="shared" si="100"/>
        <v>-</v>
      </c>
      <c r="G108" s="20" t="s">
        <v>66</v>
      </c>
      <c r="H108" s="20" t="str">
        <f t="shared" si="101"/>
        <v>-</v>
      </c>
      <c r="I108" s="2" t="s">
        <v>28</v>
      </c>
      <c r="J108" s="20" t="str">
        <f t="shared" si="102"/>
        <v>-</v>
      </c>
      <c r="K108" s="2" t="s">
        <v>45</v>
      </c>
      <c r="L108" s="20" t="str">
        <f t="shared" si="105"/>
        <v>-</v>
      </c>
      <c r="M108" s="2" t="s">
        <v>48</v>
      </c>
      <c r="N108" s="20" t="str">
        <f t="shared" si="106"/>
        <v>-</v>
      </c>
      <c r="O108" s="2" t="s">
        <v>26</v>
      </c>
    </row>
    <row r="109" spans="1:16" x14ac:dyDescent="0.25">
      <c r="A109" s="1" t="str">
        <f t="shared" si="91"/>
        <v>@color-trunk_primary_secondary_tertiary_link-line-paved_or_uk-(gr)</v>
      </c>
      <c r="B109" s="1" t="str">
        <f t="shared" si="92"/>
        <v>"#ffffff"</v>
      </c>
      <c r="C109" s="36" t="s">
        <v>56</v>
      </c>
      <c r="E109" s="2" t="s">
        <v>21</v>
      </c>
      <c r="F109" s="20" t="str">
        <f t="shared" si="100"/>
        <v>-</v>
      </c>
      <c r="G109" s="20" t="s">
        <v>66</v>
      </c>
      <c r="H109" s="20" t="str">
        <f t="shared" si="101"/>
        <v>-</v>
      </c>
      <c r="I109" s="2" t="s">
        <v>28</v>
      </c>
      <c r="J109" s="20" t="str">
        <f t="shared" si="102"/>
        <v>-</v>
      </c>
      <c r="K109" s="2" t="s">
        <v>52</v>
      </c>
      <c r="L109" s="20" t="str">
        <f t="shared" si="105"/>
        <v>-</v>
      </c>
      <c r="M109" s="2" t="s">
        <v>48</v>
      </c>
      <c r="N109" s="20" t="str">
        <f t="shared" si="106"/>
        <v/>
      </c>
      <c r="O109" s="20"/>
    </row>
    <row r="110" spans="1:16" x14ac:dyDescent="0.25">
      <c r="A110" s="1" t="str">
        <f t="shared" si="91"/>
        <v>@color-trunk_primary_secondary_tertiary_link-line-paved_or_uk-(gr-hc)</v>
      </c>
      <c r="B110" s="1" t="str">
        <f t="shared" si="92"/>
        <v>""</v>
      </c>
      <c r="C110" s="20"/>
      <c r="E110" s="2" t="s">
        <v>21</v>
      </c>
      <c r="F110" s="20" t="str">
        <f t="shared" si="100"/>
        <v>-</v>
      </c>
      <c r="G110" s="20" t="s">
        <v>66</v>
      </c>
      <c r="H110" s="20" t="str">
        <f t="shared" si="101"/>
        <v>-</v>
      </c>
      <c r="I110" s="2" t="s">
        <v>28</v>
      </c>
      <c r="J110" s="20" t="str">
        <f t="shared" si="102"/>
        <v>-</v>
      </c>
      <c r="K110" s="2" t="s">
        <v>52</v>
      </c>
      <c r="L110" s="20" t="str">
        <f t="shared" si="105"/>
        <v>-</v>
      </c>
      <c r="M110" s="2" t="s">
        <v>48</v>
      </c>
      <c r="N110" s="20" t="str">
        <f t="shared" si="106"/>
        <v>-</v>
      </c>
      <c r="O110" s="2" t="s">
        <v>26</v>
      </c>
    </row>
    <row r="111" spans="1:16" x14ac:dyDescent="0.25">
      <c r="A111" s="21"/>
      <c r="B111" s="21"/>
      <c r="C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</row>
    <row r="112" spans="1:16" x14ac:dyDescent="0.25">
      <c r="A112" s="1" t="str">
        <f t="shared" si="91"/>
        <v>@color-motorway_link-line-(def)</v>
      </c>
      <c r="B112" s="1" t="str">
        <f t="shared" si="92"/>
        <v>"#ffcc88"</v>
      </c>
      <c r="C112" s="24" t="s">
        <v>36</v>
      </c>
      <c r="E112" s="2" t="s">
        <v>21</v>
      </c>
      <c r="F112" s="20" t="str">
        <f t="shared" si="100"/>
        <v>-</v>
      </c>
      <c r="G112" s="20" t="s">
        <v>67</v>
      </c>
      <c r="H112" s="20" t="str">
        <f t="shared" si="101"/>
        <v>-</v>
      </c>
      <c r="I112" s="20" t="s">
        <v>28</v>
      </c>
      <c r="J112" s="20" t="str">
        <f t="shared" si="102"/>
        <v/>
      </c>
      <c r="K112" s="20"/>
      <c r="L112" s="20" t="str">
        <f t="shared" ref="L94:L116" si="107">IF(NOT(ISBLANK(M112)),"-","")</f>
        <v>-</v>
      </c>
      <c r="M112" s="20" t="s">
        <v>25</v>
      </c>
      <c r="N112" s="20" t="str">
        <f t="shared" ref="N94:N116" si="108">IF(NOT(ISBLANK(O112)),"-","")</f>
        <v/>
      </c>
      <c r="O112" s="20"/>
    </row>
    <row r="113" spans="1:15" x14ac:dyDescent="0.25">
      <c r="A113" s="1" t="str">
        <f t="shared" si="91"/>
        <v>@color-motorway_link-line-(def-hc)</v>
      </c>
      <c r="B113" s="1" t="str">
        <f t="shared" si="92"/>
        <v>"#d6771e"</v>
      </c>
      <c r="C113" s="25" t="s">
        <v>37</v>
      </c>
      <c r="E113" s="2" t="s">
        <v>21</v>
      </c>
      <c r="F113" s="20" t="str">
        <f t="shared" si="100"/>
        <v>-</v>
      </c>
      <c r="G113" s="20" t="s">
        <v>67</v>
      </c>
      <c r="H113" s="20" t="str">
        <f t="shared" ref="H113" si="109">IF(NOT(ISBLANK(I113)),"-","")</f>
        <v>-</v>
      </c>
      <c r="I113" s="20" t="s">
        <v>28</v>
      </c>
      <c r="J113" s="20" t="str">
        <f t="shared" si="102"/>
        <v/>
      </c>
      <c r="K113" s="20"/>
      <c r="L113" s="20" t="str">
        <f t="shared" si="107"/>
        <v>-</v>
      </c>
      <c r="M113" s="20" t="s">
        <v>25</v>
      </c>
      <c r="N113" s="20" t="str">
        <f t="shared" si="108"/>
        <v>-</v>
      </c>
      <c r="O113" s="2" t="s">
        <v>26</v>
      </c>
    </row>
    <row r="114" spans="1:15" x14ac:dyDescent="0.25">
      <c r="A114" s="1" t="str">
        <f t="shared" si="91"/>
        <v>@()</v>
      </c>
      <c r="B114" s="1" t="str">
        <f t="shared" si="92"/>
        <v>""</v>
      </c>
      <c r="C114" s="20"/>
      <c r="E114" s="20"/>
      <c r="F114" s="20" t="str">
        <f t="shared" si="100"/>
        <v/>
      </c>
      <c r="G114" s="20"/>
      <c r="H114" s="20" t="str">
        <f t="shared" si="101"/>
        <v/>
      </c>
      <c r="I114" s="20"/>
      <c r="J114" s="20" t="str">
        <f t="shared" si="102"/>
        <v/>
      </c>
      <c r="K114" s="20"/>
      <c r="L114" s="20" t="str">
        <f t="shared" si="107"/>
        <v/>
      </c>
      <c r="M114" s="20"/>
      <c r="N114" s="20" t="str">
        <f t="shared" si="108"/>
        <v/>
      </c>
      <c r="O114" s="20"/>
    </row>
    <row r="115" spans="1:15" x14ac:dyDescent="0.25">
      <c r="A115" s="1" t="str">
        <f t="shared" si="91"/>
        <v>@()</v>
      </c>
      <c r="B115" s="1" t="str">
        <f t="shared" si="92"/>
        <v>""</v>
      </c>
      <c r="C115" s="20"/>
      <c r="E115" s="20"/>
      <c r="F115" s="20" t="str">
        <f t="shared" si="100"/>
        <v/>
      </c>
      <c r="G115" s="20"/>
      <c r="H115" s="20" t="str">
        <f t="shared" si="101"/>
        <v/>
      </c>
      <c r="I115" s="20"/>
      <c r="J115" s="20" t="str">
        <f t="shared" si="102"/>
        <v/>
      </c>
      <c r="K115" s="20"/>
      <c r="L115" s="20" t="str">
        <f t="shared" si="107"/>
        <v/>
      </c>
      <c r="M115" s="20"/>
      <c r="N115" s="20" t="str">
        <f t="shared" si="108"/>
        <v/>
      </c>
      <c r="O115" s="20"/>
    </row>
    <row r="116" spans="1:15" x14ac:dyDescent="0.25">
      <c r="A116" s="1" t="str">
        <f t="shared" si="91"/>
        <v>@()</v>
      </c>
      <c r="B116" s="1" t="str">
        <f t="shared" si="92"/>
        <v>""</v>
      </c>
      <c r="C116" s="20"/>
      <c r="E116" s="20"/>
      <c r="F116" s="20" t="str">
        <f t="shared" si="100"/>
        <v/>
      </c>
      <c r="G116" s="20"/>
      <c r="H116" s="20" t="str">
        <f t="shared" si="101"/>
        <v/>
      </c>
      <c r="I116" s="20"/>
      <c r="J116" s="20" t="str">
        <f t="shared" si="102"/>
        <v/>
      </c>
      <c r="K116" s="20"/>
      <c r="L116" s="20" t="str">
        <f t="shared" si="107"/>
        <v/>
      </c>
      <c r="M116" s="20"/>
      <c r="N116" s="20" t="str">
        <f t="shared" si="108"/>
        <v/>
      </c>
      <c r="O116" s="20"/>
    </row>
    <row r="117" spans="1:15" x14ac:dyDescent="0.25">
      <c r="A117" s="1" t="str">
        <f t="shared" ref="A117:A141" si="110">_xlfn.CONCAT("@",E117,F117,G117,H117,I117,J117,K117,L117,"(",M117,N117,O117,")")</f>
        <v>@()</v>
      </c>
      <c r="B117" s="1" t="str">
        <f t="shared" ref="B117:B141" si="111">_xlfn.CONCAT("""",C117,"""")</f>
        <v>""</v>
      </c>
      <c r="C117" s="20"/>
      <c r="E117" s="20"/>
      <c r="F117" s="20" t="str">
        <f t="shared" ref="F117:F141" si="112">IF(NOT(ISBLANK(G117)),"-","")</f>
        <v/>
      </c>
      <c r="G117" s="20"/>
      <c r="H117" s="20" t="str">
        <f t="shared" ref="H117:H141" si="113">IF(NOT(ISBLANK(I117)),"-","")</f>
        <v/>
      </c>
      <c r="I117" s="20"/>
      <c r="J117" s="20" t="str">
        <f t="shared" ref="J117:J141" si="114">IF(NOT(ISBLANK(K117)),"-","")</f>
        <v/>
      </c>
      <c r="K117" s="20"/>
      <c r="L117" s="20" t="str">
        <f t="shared" ref="L117:L141" si="115">IF(NOT(ISBLANK(M117)),"-","")</f>
        <v/>
      </c>
      <c r="M117" s="20"/>
      <c r="N117" s="20" t="str">
        <f t="shared" ref="N117:N141" si="116">IF(NOT(ISBLANK(O117)),"-","")</f>
        <v/>
      </c>
      <c r="O117" s="20"/>
    </row>
    <row r="118" spans="1:15" x14ac:dyDescent="0.25">
      <c r="A118" s="1" t="str">
        <f t="shared" si="110"/>
        <v>@()</v>
      </c>
      <c r="B118" s="1" t="str">
        <f t="shared" si="111"/>
        <v>""</v>
      </c>
      <c r="C118" s="20"/>
      <c r="E118" s="20"/>
      <c r="F118" s="20" t="str">
        <f t="shared" si="112"/>
        <v/>
      </c>
      <c r="G118" s="20"/>
      <c r="H118" s="20" t="str">
        <f t="shared" si="113"/>
        <v/>
      </c>
      <c r="I118" s="20"/>
      <c r="J118" s="20" t="str">
        <f t="shared" si="114"/>
        <v/>
      </c>
      <c r="K118" s="20"/>
      <c r="L118" s="20" t="str">
        <f t="shared" si="115"/>
        <v/>
      </c>
      <c r="M118" s="20"/>
      <c r="N118" s="20" t="str">
        <f t="shared" si="116"/>
        <v/>
      </c>
      <c r="O118" s="20"/>
    </row>
    <row r="119" spans="1:15" x14ac:dyDescent="0.25">
      <c r="A119" s="1" t="str">
        <f t="shared" si="110"/>
        <v>@()</v>
      </c>
      <c r="B119" s="1" t="str">
        <f t="shared" si="111"/>
        <v>""</v>
      </c>
      <c r="C119" s="20"/>
      <c r="E119" s="20"/>
      <c r="F119" s="20" t="str">
        <f t="shared" si="112"/>
        <v/>
      </c>
      <c r="G119" s="20"/>
      <c r="H119" s="20" t="str">
        <f t="shared" si="113"/>
        <v/>
      </c>
      <c r="I119" s="20"/>
      <c r="J119" s="20" t="str">
        <f t="shared" si="114"/>
        <v/>
      </c>
      <c r="K119" s="20"/>
      <c r="L119" s="20" t="str">
        <f t="shared" si="115"/>
        <v/>
      </c>
      <c r="M119" s="20"/>
      <c r="N119" s="20" t="str">
        <f t="shared" si="116"/>
        <v/>
      </c>
      <c r="O119" s="20"/>
    </row>
    <row r="120" spans="1:15" x14ac:dyDescent="0.25">
      <c r="A120" s="1" t="str">
        <f t="shared" si="110"/>
        <v>@()</v>
      </c>
      <c r="B120" s="1" t="str">
        <f t="shared" si="111"/>
        <v>""</v>
      </c>
      <c r="C120" s="20"/>
      <c r="E120" s="20"/>
      <c r="F120" s="20" t="str">
        <f t="shared" si="112"/>
        <v/>
      </c>
      <c r="G120" s="20"/>
      <c r="H120" s="20" t="str">
        <f t="shared" si="113"/>
        <v/>
      </c>
      <c r="I120" s="20"/>
      <c r="J120" s="20" t="str">
        <f t="shared" si="114"/>
        <v/>
      </c>
      <c r="K120" s="20"/>
      <c r="L120" s="20" t="str">
        <f t="shared" si="115"/>
        <v/>
      </c>
      <c r="M120" s="20"/>
      <c r="N120" s="20" t="str">
        <f t="shared" si="116"/>
        <v/>
      </c>
      <c r="O120" s="20"/>
    </row>
    <row r="121" spans="1:15" x14ac:dyDescent="0.25">
      <c r="A121" s="1" t="str">
        <f t="shared" si="110"/>
        <v>@()</v>
      </c>
      <c r="B121" s="1" t="str">
        <f t="shared" si="111"/>
        <v>""</v>
      </c>
      <c r="C121" s="20"/>
      <c r="E121" s="20"/>
      <c r="F121" s="20" t="str">
        <f t="shared" si="112"/>
        <v/>
      </c>
      <c r="G121" s="20"/>
      <c r="H121" s="20" t="str">
        <f t="shared" si="113"/>
        <v/>
      </c>
      <c r="I121" s="20"/>
      <c r="J121" s="20" t="str">
        <f t="shared" si="114"/>
        <v/>
      </c>
      <c r="K121" s="20"/>
      <c r="L121" s="20" t="str">
        <f t="shared" si="115"/>
        <v/>
      </c>
      <c r="M121" s="20"/>
      <c r="N121" s="20" t="str">
        <f t="shared" si="116"/>
        <v/>
      </c>
      <c r="O121" s="20"/>
    </row>
    <row r="122" spans="1:15" x14ac:dyDescent="0.25">
      <c r="A122" s="1" t="str">
        <f t="shared" si="110"/>
        <v>@()</v>
      </c>
      <c r="B122" s="1" t="str">
        <f t="shared" si="111"/>
        <v>""</v>
      </c>
      <c r="C122" s="20"/>
      <c r="E122" s="20"/>
      <c r="F122" s="20" t="str">
        <f t="shared" si="112"/>
        <v/>
      </c>
      <c r="G122" s="20"/>
      <c r="H122" s="20" t="str">
        <f t="shared" si="113"/>
        <v/>
      </c>
      <c r="I122" s="20"/>
      <c r="J122" s="20" t="str">
        <f t="shared" si="114"/>
        <v/>
      </c>
      <c r="K122" s="20"/>
      <c r="L122" s="20" t="str">
        <f t="shared" si="115"/>
        <v/>
      </c>
      <c r="M122" s="20"/>
      <c r="N122" s="20" t="str">
        <f t="shared" si="116"/>
        <v/>
      </c>
      <c r="O122" s="20"/>
    </row>
    <row r="123" spans="1:15" x14ac:dyDescent="0.25">
      <c r="A123" s="1" t="str">
        <f t="shared" si="110"/>
        <v>@()</v>
      </c>
      <c r="B123" s="1" t="str">
        <f t="shared" si="111"/>
        <v>""</v>
      </c>
      <c r="C123" s="20"/>
      <c r="E123" s="20"/>
      <c r="F123" s="20" t="str">
        <f t="shared" si="112"/>
        <v/>
      </c>
      <c r="G123" s="20"/>
      <c r="H123" s="20" t="str">
        <f t="shared" si="113"/>
        <v/>
      </c>
      <c r="I123" s="20"/>
      <c r="J123" s="20" t="str">
        <f t="shared" si="114"/>
        <v/>
      </c>
      <c r="K123" s="20"/>
      <c r="L123" s="20" t="str">
        <f t="shared" si="115"/>
        <v/>
      </c>
      <c r="M123" s="20"/>
      <c r="N123" s="20" t="str">
        <f t="shared" si="116"/>
        <v/>
      </c>
      <c r="O123" s="20"/>
    </row>
    <row r="124" spans="1:15" x14ac:dyDescent="0.25">
      <c r="A124" s="1" t="str">
        <f t="shared" si="110"/>
        <v>@()</v>
      </c>
      <c r="B124" s="1" t="str">
        <f t="shared" si="111"/>
        <v>""</v>
      </c>
      <c r="C124" s="20"/>
      <c r="E124" s="20"/>
      <c r="F124" s="20" t="str">
        <f t="shared" si="112"/>
        <v/>
      </c>
      <c r="G124" s="20"/>
      <c r="H124" s="20" t="str">
        <f t="shared" si="113"/>
        <v/>
      </c>
      <c r="I124" s="20"/>
      <c r="J124" s="20" t="str">
        <f t="shared" si="114"/>
        <v/>
      </c>
      <c r="K124" s="20"/>
      <c r="L124" s="20" t="str">
        <f t="shared" si="115"/>
        <v/>
      </c>
      <c r="M124" s="20"/>
      <c r="N124" s="20" t="str">
        <f t="shared" si="116"/>
        <v/>
      </c>
      <c r="O124" s="20"/>
    </row>
    <row r="125" spans="1:15" x14ac:dyDescent="0.25">
      <c r="A125" s="1" t="str">
        <f t="shared" si="110"/>
        <v>@()</v>
      </c>
      <c r="B125" s="1" t="str">
        <f t="shared" si="111"/>
        <v>""</v>
      </c>
      <c r="C125" s="20"/>
      <c r="E125" s="20"/>
      <c r="F125" s="20" t="str">
        <f t="shared" si="112"/>
        <v/>
      </c>
      <c r="G125" s="20"/>
      <c r="H125" s="20" t="str">
        <f t="shared" si="113"/>
        <v/>
      </c>
      <c r="I125" s="20"/>
      <c r="J125" s="20" t="str">
        <f t="shared" si="114"/>
        <v/>
      </c>
      <c r="K125" s="20"/>
      <c r="L125" s="20" t="str">
        <f t="shared" si="115"/>
        <v/>
      </c>
      <c r="M125" s="20"/>
      <c r="N125" s="20" t="str">
        <f t="shared" si="116"/>
        <v/>
      </c>
      <c r="O125" s="20"/>
    </row>
    <row r="126" spans="1:15" x14ac:dyDescent="0.25">
      <c r="A126" s="1" t="str">
        <f t="shared" si="110"/>
        <v>@()</v>
      </c>
      <c r="B126" s="1" t="str">
        <f t="shared" si="111"/>
        <v>""</v>
      </c>
      <c r="C126" s="20"/>
      <c r="E126" s="20"/>
      <c r="F126" s="20" t="str">
        <f t="shared" si="112"/>
        <v/>
      </c>
      <c r="G126" s="20"/>
      <c r="H126" s="20" t="str">
        <f t="shared" si="113"/>
        <v/>
      </c>
      <c r="I126" s="20"/>
      <c r="J126" s="20" t="str">
        <f t="shared" si="114"/>
        <v/>
      </c>
      <c r="K126" s="20"/>
      <c r="L126" s="20" t="str">
        <f t="shared" si="115"/>
        <v/>
      </c>
      <c r="M126" s="20"/>
      <c r="N126" s="20" t="str">
        <f t="shared" si="116"/>
        <v/>
      </c>
      <c r="O126" s="20"/>
    </row>
    <row r="127" spans="1:15" x14ac:dyDescent="0.25">
      <c r="A127" s="1" t="str">
        <f t="shared" si="110"/>
        <v>@()</v>
      </c>
      <c r="B127" s="1" t="str">
        <f t="shared" si="111"/>
        <v>""</v>
      </c>
      <c r="C127" s="20"/>
      <c r="E127" s="20"/>
      <c r="F127" s="20" t="str">
        <f t="shared" si="112"/>
        <v/>
      </c>
      <c r="G127" s="20"/>
      <c r="H127" s="20" t="str">
        <f t="shared" si="113"/>
        <v/>
      </c>
      <c r="I127" s="20"/>
      <c r="J127" s="20" t="str">
        <f t="shared" si="114"/>
        <v/>
      </c>
      <c r="K127" s="20"/>
      <c r="L127" s="20" t="str">
        <f t="shared" si="115"/>
        <v/>
      </c>
      <c r="M127" s="20"/>
      <c r="N127" s="20" t="str">
        <f t="shared" si="116"/>
        <v/>
      </c>
      <c r="O127" s="20"/>
    </row>
    <row r="128" spans="1:15" x14ac:dyDescent="0.25">
      <c r="A128" s="1" t="str">
        <f t="shared" si="110"/>
        <v>@()</v>
      </c>
      <c r="B128" s="1" t="str">
        <f t="shared" si="111"/>
        <v>""</v>
      </c>
      <c r="C128" s="20"/>
      <c r="E128" s="20"/>
      <c r="F128" s="20" t="str">
        <f t="shared" si="112"/>
        <v/>
      </c>
      <c r="G128" s="20"/>
      <c r="H128" s="20" t="str">
        <f t="shared" si="113"/>
        <v/>
      </c>
      <c r="I128" s="20"/>
      <c r="J128" s="20" t="str">
        <f t="shared" si="114"/>
        <v/>
      </c>
      <c r="K128" s="20"/>
      <c r="L128" s="20" t="str">
        <f t="shared" si="115"/>
        <v/>
      </c>
      <c r="M128" s="20"/>
      <c r="N128" s="20" t="str">
        <f t="shared" si="116"/>
        <v/>
      </c>
      <c r="O128" s="20"/>
    </row>
    <row r="129" spans="1:15" x14ac:dyDescent="0.25">
      <c r="A129" s="1" t="str">
        <f t="shared" si="110"/>
        <v>@()</v>
      </c>
      <c r="B129" s="1" t="str">
        <f t="shared" si="111"/>
        <v>""</v>
      </c>
      <c r="C129" s="20"/>
      <c r="E129" s="20"/>
      <c r="F129" s="20" t="str">
        <f t="shared" si="112"/>
        <v/>
      </c>
      <c r="G129" s="20"/>
      <c r="H129" s="20" t="str">
        <f t="shared" si="113"/>
        <v/>
      </c>
      <c r="I129" s="20"/>
      <c r="J129" s="20" t="str">
        <f t="shared" si="114"/>
        <v/>
      </c>
      <c r="K129" s="20"/>
      <c r="L129" s="20" t="str">
        <f t="shared" si="115"/>
        <v/>
      </c>
      <c r="M129" s="20"/>
      <c r="N129" s="20" t="str">
        <f t="shared" si="116"/>
        <v/>
      </c>
      <c r="O129" s="20"/>
    </row>
    <row r="130" spans="1:15" x14ac:dyDescent="0.25">
      <c r="A130" s="1" t="str">
        <f t="shared" si="110"/>
        <v>@()</v>
      </c>
      <c r="B130" s="1" t="str">
        <f t="shared" si="111"/>
        <v>""</v>
      </c>
      <c r="C130" s="20"/>
      <c r="E130" s="20"/>
      <c r="F130" s="20" t="str">
        <f t="shared" si="112"/>
        <v/>
      </c>
      <c r="G130" s="20"/>
      <c r="H130" s="20" t="str">
        <f t="shared" si="113"/>
        <v/>
      </c>
      <c r="I130" s="20"/>
      <c r="J130" s="20" t="str">
        <f t="shared" si="114"/>
        <v/>
      </c>
      <c r="K130" s="20"/>
      <c r="L130" s="20" t="str">
        <f t="shared" si="115"/>
        <v/>
      </c>
      <c r="M130" s="20"/>
      <c r="N130" s="20" t="str">
        <f t="shared" si="116"/>
        <v/>
      </c>
      <c r="O130" s="20"/>
    </row>
    <row r="131" spans="1:15" x14ac:dyDescent="0.25">
      <c r="A131" s="1" t="str">
        <f t="shared" si="110"/>
        <v>@()</v>
      </c>
      <c r="B131" s="1" t="str">
        <f t="shared" si="111"/>
        <v>""</v>
      </c>
      <c r="C131" s="20"/>
      <c r="E131" s="20"/>
      <c r="F131" s="20" t="str">
        <f t="shared" si="112"/>
        <v/>
      </c>
      <c r="G131" s="20"/>
      <c r="H131" s="20" t="str">
        <f t="shared" si="113"/>
        <v/>
      </c>
      <c r="I131" s="20"/>
      <c r="J131" s="20" t="str">
        <f t="shared" si="114"/>
        <v/>
      </c>
      <c r="K131" s="20"/>
      <c r="L131" s="20" t="str">
        <f t="shared" si="115"/>
        <v/>
      </c>
      <c r="M131" s="20"/>
      <c r="N131" s="20" t="str">
        <f t="shared" si="116"/>
        <v/>
      </c>
      <c r="O131" s="20"/>
    </row>
    <row r="132" spans="1:15" x14ac:dyDescent="0.25">
      <c r="A132" s="1" t="str">
        <f t="shared" si="110"/>
        <v>@()</v>
      </c>
      <c r="B132" s="1" t="str">
        <f t="shared" si="111"/>
        <v>""</v>
      </c>
      <c r="C132" s="20"/>
      <c r="E132" s="20"/>
      <c r="F132" s="20" t="str">
        <f t="shared" si="112"/>
        <v/>
      </c>
      <c r="G132" s="20"/>
      <c r="H132" s="20" t="str">
        <f t="shared" si="113"/>
        <v/>
      </c>
      <c r="I132" s="20"/>
      <c r="J132" s="20" t="str">
        <f t="shared" si="114"/>
        <v/>
      </c>
      <c r="K132" s="20"/>
      <c r="L132" s="20" t="str">
        <f t="shared" si="115"/>
        <v/>
      </c>
      <c r="M132" s="20"/>
      <c r="N132" s="20" t="str">
        <f t="shared" si="116"/>
        <v/>
      </c>
      <c r="O132" s="20"/>
    </row>
    <row r="133" spans="1:15" x14ac:dyDescent="0.25">
      <c r="A133" s="1" t="str">
        <f t="shared" si="110"/>
        <v>@()</v>
      </c>
      <c r="B133" s="1" t="str">
        <f t="shared" si="111"/>
        <v>""</v>
      </c>
      <c r="C133" s="20"/>
      <c r="E133" s="20"/>
      <c r="F133" s="20" t="str">
        <f t="shared" si="112"/>
        <v/>
      </c>
      <c r="G133" s="20"/>
      <c r="H133" s="20" t="str">
        <f t="shared" si="113"/>
        <v/>
      </c>
      <c r="I133" s="20"/>
      <c r="J133" s="20" t="str">
        <f t="shared" si="114"/>
        <v/>
      </c>
      <c r="K133" s="20"/>
      <c r="L133" s="20" t="str">
        <f t="shared" si="115"/>
        <v/>
      </c>
      <c r="M133" s="20"/>
      <c r="N133" s="20" t="str">
        <f t="shared" si="116"/>
        <v/>
      </c>
      <c r="O133" s="20"/>
    </row>
    <row r="134" spans="1:15" x14ac:dyDescent="0.25">
      <c r="A134" s="1" t="str">
        <f t="shared" si="110"/>
        <v>@()</v>
      </c>
      <c r="B134" s="1" t="str">
        <f t="shared" si="111"/>
        <v>""</v>
      </c>
      <c r="C134" s="20"/>
      <c r="E134" s="20"/>
      <c r="F134" s="20" t="str">
        <f t="shared" si="112"/>
        <v/>
      </c>
      <c r="G134" s="20"/>
      <c r="H134" s="20" t="str">
        <f t="shared" si="113"/>
        <v/>
      </c>
      <c r="I134" s="20"/>
      <c r="J134" s="20" t="str">
        <f t="shared" si="114"/>
        <v/>
      </c>
      <c r="K134" s="20"/>
      <c r="L134" s="20" t="str">
        <f t="shared" si="115"/>
        <v/>
      </c>
      <c r="M134" s="20"/>
      <c r="N134" s="20" t="str">
        <f t="shared" si="116"/>
        <v/>
      </c>
      <c r="O134" s="20"/>
    </row>
    <row r="135" spans="1:15" x14ac:dyDescent="0.25">
      <c r="A135" s="1" t="str">
        <f t="shared" si="110"/>
        <v>@()</v>
      </c>
      <c r="B135" s="1" t="str">
        <f t="shared" si="111"/>
        <v>""</v>
      </c>
      <c r="C135" s="20"/>
      <c r="E135" s="20"/>
      <c r="F135" s="20" t="str">
        <f t="shared" si="112"/>
        <v/>
      </c>
      <c r="G135" s="20"/>
      <c r="H135" s="20" t="str">
        <f t="shared" si="113"/>
        <v/>
      </c>
      <c r="I135" s="20"/>
      <c r="J135" s="20" t="str">
        <f t="shared" si="114"/>
        <v/>
      </c>
      <c r="K135" s="20"/>
      <c r="L135" s="20" t="str">
        <f t="shared" si="115"/>
        <v/>
      </c>
      <c r="M135" s="20"/>
      <c r="N135" s="20" t="str">
        <f t="shared" si="116"/>
        <v/>
      </c>
      <c r="O135" s="20"/>
    </row>
    <row r="136" spans="1:15" x14ac:dyDescent="0.25">
      <c r="A136" s="1" t="str">
        <f t="shared" si="110"/>
        <v>@()</v>
      </c>
      <c r="B136" s="1" t="str">
        <f t="shared" si="111"/>
        <v>""</v>
      </c>
      <c r="C136" s="20"/>
      <c r="E136" s="20"/>
      <c r="F136" s="20" t="str">
        <f t="shared" si="112"/>
        <v/>
      </c>
      <c r="G136" s="20"/>
      <c r="H136" s="20" t="str">
        <f t="shared" si="113"/>
        <v/>
      </c>
      <c r="I136" s="20"/>
      <c r="J136" s="20" t="str">
        <f t="shared" si="114"/>
        <v/>
      </c>
      <c r="K136" s="20"/>
      <c r="L136" s="20" t="str">
        <f t="shared" si="115"/>
        <v/>
      </c>
      <c r="M136" s="20"/>
      <c r="N136" s="20" t="str">
        <f t="shared" si="116"/>
        <v/>
      </c>
      <c r="O136" s="20"/>
    </row>
    <row r="137" spans="1:15" x14ac:dyDescent="0.25">
      <c r="A137" s="1" t="str">
        <f t="shared" si="110"/>
        <v>@()</v>
      </c>
      <c r="B137" s="1" t="str">
        <f t="shared" si="111"/>
        <v>""</v>
      </c>
      <c r="C137" s="20"/>
      <c r="E137" s="20"/>
      <c r="F137" s="20" t="str">
        <f t="shared" si="112"/>
        <v/>
      </c>
      <c r="G137" s="20"/>
      <c r="H137" s="20" t="str">
        <f t="shared" si="113"/>
        <v/>
      </c>
      <c r="I137" s="20"/>
      <c r="J137" s="20" t="str">
        <f t="shared" si="114"/>
        <v/>
      </c>
      <c r="K137" s="20"/>
      <c r="L137" s="20" t="str">
        <f t="shared" si="115"/>
        <v/>
      </c>
      <c r="M137" s="20"/>
      <c r="N137" s="20" t="str">
        <f t="shared" si="116"/>
        <v/>
      </c>
      <c r="O137" s="20"/>
    </row>
    <row r="138" spans="1:15" x14ac:dyDescent="0.25">
      <c r="A138" s="1" t="str">
        <f t="shared" si="110"/>
        <v>@()</v>
      </c>
      <c r="B138" s="1" t="str">
        <f t="shared" si="111"/>
        <v>""</v>
      </c>
      <c r="C138" s="20"/>
      <c r="E138" s="20"/>
      <c r="F138" s="20" t="str">
        <f t="shared" si="112"/>
        <v/>
      </c>
      <c r="G138" s="20"/>
      <c r="H138" s="20" t="str">
        <f t="shared" si="113"/>
        <v/>
      </c>
      <c r="I138" s="20"/>
      <c r="J138" s="20" t="str">
        <f t="shared" si="114"/>
        <v/>
      </c>
      <c r="K138" s="20"/>
      <c r="L138" s="20" t="str">
        <f t="shared" si="115"/>
        <v/>
      </c>
      <c r="M138" s="20"/>
      <c r="N138" s="20" t="str">
        <f t="shared" si="116"/>
        <v/>
      </c>
      <c r="O138" s="20"/>
    </row>
    <row r="139" spans="1:15" x14ac:dyDescent="0.25">
      <c r="A139" s="1" t="str">
        <f t="shared" si="110"/>
        <v>@()</v>
      </c>
      <c r="B139" s="1" t="str">
        <f t="shared" si="111"/>
        <v>""</v>
      </c>
      <c r="C139" s="20"/>
      <c r="E139" s="20"/>
      <c r="F139" s="20" t="str">
        <f t="shared" si="112"/>
        <v/>
      </c>
      <c r="G139" s="20"/>
      <c r="H139" s="20" t="str">
        <f t="shared" si="113"/>
        <v/>
      </c>
      <c r="I139" s="20"/>
      <c r="J139" s="20" t="str">
        <f t="shared" si="114"/>
        <v/>
      </c>
      <c r="K139" s="20"/>
      <c r="L139" s="20" t="str">
        <f t="shared" si="115"/>
        <v/>
      </c>
      <c r="M139" s="20"/>
      <c r="N139" s="20" t="str">
        <f t="shared" si="116"/>
        <v/>
      </c>
      <c r="O139" s="20"/>
    </row>
    <row r="140" spans="1:15" x14ac:dyDescent="0.25">
      <c r="A140" s="1" t="str">
        <f t="shared" si="110"/>
        <v>@()</v>
      </c>
      <c r="B140" s="1" t="str">
        <f t="shared" si="111"/>
        <v>""</v>
      </c>
      <c r="C140" s="20"/>
      <c r="E140" s="20"/>
      <c r="F140" s="20" t="str">
        <f t="shared" si="112"/>
        <v/>
      </c>
      <c r="G140" s="20"/>
      <c r="H140" s="20" t="str">
        <f t="shared" si="113"/>
        <v/>
      </c>
      <c r="I140" s="20"/>
      <c r="J140" s="20" t="str">
        <f t="shared" si="114"/>
        <v/>
      </c>
      <c r="K140" s="20"/>
      <c r="L140" s="20" t="str">
        <f t="shared" si="115"/>
        <v/>
      </c>
      <c r="M140" s="20"/>
      <c r="N140" s="20" t="str">
        <f t="shared" si="116"/>
        <v/>
      </c>
      <c r="O140" s="20"/>
    </row>
    <row r="141" spans="1:15" x14ac:dyDescent="0.25">
      <c r="A141" s="1" t="str">
        <f t="shared" si="110"/>
        <v>@()</v>
      </c>
      <c r="B141" s="1" t="str">
        <f t="shared" si="111"/>
        <v>""</v>
      </c>
      <c r="C141" s="20"/>
      <c r="E141" s="20"/>
      <c r="F141" s="20" t="str">
        <f t="shared" si="112"/>
        <v/>
      </c>
      <c r="G141" s="20"/>
      <c r="H141" s="20" t="str">
        <f t="shared" si="113"/>
        <v/>
      </c>
      <c r="I141" s="20"/>
      <c r="J141" s="20" t="str">
        <f t="shared" si="114"/>
        <v/>
      </c>
      <c r="K141" s="20"/>
      <c r="L141" s="20" t="str">
        <f t="shared" si="115"/>
        <v/>
      </c>
      <c r="M141" s="20"/>
      <c r="N141" s="20" t="str">
        <f t="shared" si="116"/>
        <v/>
      </c>
      <c r="O141" s="20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style_variables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2024-10-27T07:08:48Z</dcterms:modified>
</cp:coreProperties>
</file>