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160C50C9-A04A-4C31-ADD6-928116F5DDEA}" xr6:coauthVersionLast="47" xr6:coauthVersionMax="47" xr10:uidLastSave="{00000000-0000-0000-0000-000000000000}"/>
  <bookViews>
    <workbookView xWindow="-105" yWindow="0" windowWidth="38610" windowHeight="3178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45" i="5" l="1"/>
  <c r="AF145" i="5"/>
  <c r="AD145" i="5"/>
  <c r="AB145" i="5"/>
  <c r="B145" i="5"/>
  <c r="AH144" i="5"/>
  <c r="AF144" i="5"/>
  <c r="AD144" i="5"/>
  <c r="AB144" i="5"/>
  <c r="B144" i="5"/>
  <c r="AH143" i="5"/>
  <c r="AF143" i="5"/>
  <c r="AD143" i="5"/>
  <c r="AB143" i="5"/>
  <c r="B143" i="5"/>
  <c r="AH142" i="5"/>
  <c r="AF142" i="5"/>
  <c r="AD142" i="5"/>
  <c r="AB142" i="5"/>
  <c r="B142" i="5"/>
  <c r="AH141" i="5"/>
  <c r="B141" i="5" s="1"/>
  <c r="AF141" i="5"/>
  <c r="AD141" i="5"/>
  <c r="AB141" i="5"/>
  <c r="AH140" i="5"/>
  <c r="AF140" i="5"/>
  <c r="AD140" i="5"/>
  <c r="AB140" i="5"/>
  <c r="B140" i="5"/>
  <c r="AH136" i="5"/>
  <c r="AF136" i="5"/>
  <c r="AD136" i="5"/>
  <c r="AB136" i="5"/>
  <c r="B136" i="5"/>
  <c r="AH135" i="5"/>
  <c r="AF135" i="5"/>
  <c r="AD135" i="5"/>
  <c r="AB135" i="5"/>
  <c r="AH108" i="5"/>
  <c r="AF108" i="5"/>
  <c r="AD108" i="5"/>
  <c r="AB108" i="5"/>
  <c r="B108" i="5"/>
  <c r="AH139" i="5"/>
  <c r="AF139" i="5"/>
  <c r="AD139" i="5"/>
  <c r="AB139" i="5"/>
  <c r="B139" i="5"/>
  <c r="AH138" i="5"/>
  <c r="AF138" i="5"/>
  <c r="AD138" i="5"/>
  <c r="AB138" i="5"/>
  <c r="AH134" i="5"/>
  <c r="AF134" i="5"/>
  <c r="AD134" i="5"/>
  <c r="AB134" i="5"/>
  <c r="B134" i="5"/>
  <c r="AH133" i="5"/>
  <c r="AF133" i="5"/>
  <c r="AD133" i="5"/>
  <c r="AB133" i="5"/>
  <c r="Y390" i="5"/>
  <c r="V390" i="5"/>
  <c r="Y389" i="5"/>
  <c r="V389" i="5"/>
  <c r="Y377" i="5"/>
  <c r="V377" i="5"/>
  <c r="Y376" i="5"/>
  <c r="V376" i="5"/>
  <c r="Y364" i="5"/>
  <c r="V364" i="5"/>
  <c r="Y363" i="5"/>
  <c r="V363" i="5"/>
  <c r="Y351" i="5"/>
  <c r="V351" i="5"/>
  <c r="Y350" i="5"/>
  <c r="V350" i="5"/>
  <c r="Y338" i="5"/>
  <c r="V338" i="5"/>
  <c r="Y337" i="5"/>
  <c r="V337" i="5"/>
  <c r="Y325" i="5"/>
  <c r="V325" i="5"/>
  <c r="Y324" i="5"/>
  <c r="V324" i="5"/>
  <c r="Y309" i="5"/>
  <c r="V309" i="5"/>
  <c r="Y308" i="5"/>
  <c r="V308" i="5"/>
  <c r="Y299" i="5"/>
  <c r="V299" i="5"/>
  <c r="Y298" i="5"/>
  <c r="V298" i="5"/>
  <c r="Y289" i="5"/>
  <c r="V289" i="5"/>
  <c r="Y288" i="5"/>
  <c r="V288" i="5"/>
  <c r="Y278" i="5"/>
  <c r="V278" i="5"/>
  <c r="Y277" i="5"/>
  <c r="V277" i="5"/>
  <c r="Y197" i="5"/>
  <c r="V197" i="5"/>
  <c r="Y191" i="5"/>
  <c r="V191" i="5"/>
  <c r="Y190" i="5"/>
  <c r="V190" i="5"/>
  <c r="Y189" i="5"/>
  <c r="V189" i="5"/>
  <c r="Y188" i="5"/>
  <c r="V188" i="5"/>
  <c r="Y160" i="5"/>
  <c r="V160" i="5"/>
  <c r="Y159" i="5"/>
  <c r="V159" i="5"/>
  <c r="AH67" i="5"/>
  <c r="AF67" i="5"/>
  <c r="AD67" i="5"/>
  <c r="AB67" i="5"/>
  <c r="AH382" i="5"/>
  <c r="AF382" i="5"/>
  <c r="AD382" i="5"/>
  <c r="AB382" i="5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14" i="5"/>
  <c r="AF314" i="5"/>
  <c r="AD314" i="5"/>
  <c r="AB314" i="5"/>
  <c r="B314" i="5"/>
  <c r="AH313" i="5"/>
  <c r="AF313" i="5"/>
  <c r="B313" i="5" s="1"/>
  <c r="AD313" i="5"/>
  <c r="AB313" i="5"/>
  <c r="AH312" i="5"/>
  <c r="AF312" i="5"/>
  <c r="AD312" i="5"/>
  <c r="AB312" i="5"/>
  <c r="B312" i="5" s="1"/>
  <c r="AH311" i="5"/>
  <c r="AF311" i="5"/>
  <c r="AD311" i="5"/>
  <c r="AB311" i="5"/>
  <c r="B311" i="5"/>
  <c r="AH318" i="5"/>
  <c r="AF318" i="5"/>
  <c r="AD318" i="5"/>
  <c r="AB318" i="5"/>
  <c r="AH317" i="5"/>
  <c r="AF317" i="5"/>
  <c r="AD317" i="5"/>
  <c r="AB317" i="5"/>
  <c r="B317" i="5" s="1"/>
  <c r="AH330" i="5"/>
  <c r="AF330" i="5"/>
  <c r="AD330" i="5"/>
  <c r="AB330" i="5"/>
  <c r="B330" i="5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AH356" i="5"/>
  <c r="AF356" i="5"/>
  <c r="AD356" i="5"/>
  <c r="AB356" i="5"/>
  <c r="B356" i="5" s="1"/>
  <c r="AH355" i="5"/>
  <c r="AF355" i="5"/>
  <c r="AD355" i="5"/>
  <c r="AB355" i="5"/>
  <c r="AH354" i="5"/>
  <c r="AF354" i="5"/>
  <c r="AD354" i="5"/>
  <c r="AB354" i="5"/>
  <c r="AH353" i="5"/>
  <c r="AF353" i="5"/>
  <c r="AD353" i="5"/>
  <c r="AB353" i="5"/>
  <c r="B353" i="5"/>
  <c r="AH343" i="5"/>
  <c r="AF343" i="5"/>
  <c r="AD343" i="5"/>
  <c r="B343" i="5" s="1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67" i="5"/>
  <c r="AF367" i="5"/>
  <c r="AD367" i="5"/>
  <c r="AB367" i="5"/>
  <c r="AH366" i="5"/>
  <c r="AF366" i="5"/>
  <c r="AD366" i="5"/>
  <c r="AB366" i="5"/>
  <c r="AH369" i="5"/>
  <c r="AF369" i="5"/>
  <c r="AD369" i="5"/>
  <c r="AB369" i="5"/>
  <c r="B369" i="5"/>
  <c r="AH368" i="5"/>
  <c r="AF368" i="5"/>
  <c r="AD368" i="5"/>
  <c r="AB368" i="5"/>
  <c r="B368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60" i="5"/>
  <c r="AF260" i="5"/>
  <c r="AD260" i="5"/>
  <c r="AB260" i="5"/>
  <c r="B260" i="5"/>
  <c r="AH259" i="5"/>
  <c r="AF259" i="5"/>
  <c r="AD259" i="5"/>
  <c r="AB259" i="5"/>
  <c r="B259" i="5" s="1"/>
  <c r="AH255" i="5"/>
  <c r="AF255" i="5"/>
  <c r="AD255" i="5"/>
  <c r="AB255" i="5"/>
  <c r="B255" i="5"/>
  <c r="AH254" i="5"/>
  <c r="AF254" i="5"/>
  <c r="AD254" i="5"/>
  <c r="AB254" i="5"/>
  <c r="B254" i="5" s="1"/>
  <c r="AH253" i="5"/>
  <c r="AF253" i="5"/>
  <c r="AD253" i="5"/>
  <c r="AB253" i="5"/>
  <c r="B253" i="5" s="1"/>
  <c r="AH252" i="5"/>
  <c r="AF252" i="5"/>
  <c r="AD252" i="5"/>
  <c r="AB252" i="5"/>
  <c r="AH262" i="5"/>
  <c r="AF262" i="5"/>
  <c r="AD262" i="5"/>
  <c r="AB262" i="5"/>
  <c r="AH261" i="5"/>
  <c r="AF261" i="5"/>
  <c r="AD261" i="5"/>
  <c r="AB261" i="5"/>
  <c r="AH258" i="5"/>
  <c r="AF258" i="5"/>
  <c r="AD258" i="5"/>
  <c r="AB258" i="5"/>
  <c r="B258" i="5"/>
  <c r="AH256" i="5"/>
  <c r="AF256" i="5"/>
  <c r="AD256" i="5"/>
  <c r="AB256" i="5"/>
  <c r="AH251" i="5"/>
  <c r="AF251" i="5"/>
  <c r="AD251" i="5"/>
  <c r="AB251" i="5"/>
  <c r="AH250" i="5"/>
  <c r="AF250" i="5"/>
  <c r="AD250" i="5"/>
  <c r="AB250" i="5"/>
  <c r="M390" i="5"/>
  <c r="M389" i="5"/>
  <c r="M377" i="5"/>
  <c r="M376" i="5"/>
  <c r="M364" i="5"/>
  <c r="M363" i="5"/>
  <c r="M351" i="5"/>
  <c r="M350" i="5"/>
  <c r="M338" i="5"/>
  <c r="M337" i="5"/>
  <c r="M325" i="5"/>
  <c r="M324" i="5"/>
  <c r="M309" i="5"/>
  <c r="M308" i="5"/>
  <c r="M299" i="5"/>
  <c r="M298" i="5"/>
  <c r="M289" i="5"/>
  <c r="M288" i="5"/>
  <c r="M278" i="5"/>
  <c r="M277" i="5"/>
  <c r="AH358" i="5"/>
  <c r="AF358" i="5"/>
  <c r="AD358" i="5"/>
  <c r="AB358" i="5"/>
  <c r="AH351" i="5"/>
  <c r="AF351" i="5"/>
  <c r="AD351" i="5"/>
  <c r="AB351" i="5"/>
  <c r="J351" i="5"/>
  <c r="G351" i="5"/>
  <c r="D351" i="5"/>
  <c r="B351" i="5"/>
  <c r="AH350" i="5"/>
  <c r="AF350" i="5"/>
  <c r="AD350" i="5"/>
  <c r="AB350" i="5"/>
  <c r="B350" i="5" s="1"/>
  <c r="J350" i="5"/>
  <c r="G350" i="5"/>
  <c r="D350" i="5"/>
  <c r="AH349" i="5"/>
  <c r="AF349" i="5"/>
  <c r="AD349" i="5"/>
  <c r="AB349" i="5"/>
  <c r="J349" i="5"/>
  <c r="I349" i="5"/>
  <c r="AH348" i="5"/>
  <c r="AF348" i="5"/>
  <c r="AD348" i="5"/>
  <c r="AB348" i="5"/>
  <c r="B348" i="5" s="1"/>
  <c r="J348" i="5"/>
  <c r="I348" i="5"/>
  <c r="AH347" i="5"/>
  <c r="AF347" i="5"/>
  <c r="AD347" i="5"/>
  <c r="AB347" i="5"/>
  <c r="J347" i="5"/>
  <c r="I347" i="5"/>
  <c r="AH346" i="5"/>
  <c r="AF346" i="5"/>
  <c r="AD346" i="5"/>
  <c r="AB346" i="5"/>
  <c r="J346" i="5"/>
  <c r="I346" i="5"/>
  <c r="G364" i="5"/>
  <c r="G363" i="5"/>
  <c r="G377" i="5"/>
  <c r="G376" i="5"/>
  <c r="G338" i="5"/>
  <c r="G337" i="5"/>
  <c r="G325" i="5"/>
  <c r="G324" i="5"/>
  <c r="J338" i="5"/>
  <c r="J337" i="5"/>
  <c r="J391" i="5"/>
  <c r="I391" i="5"/>
  <c r="AH395" i="5"/>
  <c r="AF395" i="5"/>
  <c r="AD395" i="5"/>
  <c r="AB395" i="5"/>
  <c r="AH393" i="5"/>
  <c r="AF393" i="5"/>
  <c r="AD393" i="5"/>
  <c r="AB393" i="5"/>
  <c r="AH391" i="5"/>
  <c r="AF391" i="5"/>
  <c r="AD391" i="5"/>
  <c r="AB391" i="5"/>
  <c r="B391" i="5" s="1"/>
  <c r="J392" i="5"/>
  <c r="I392" i="5"/>
  <c r="J390" i="5"/>
  <c r="G390" i="5"/>
  <c r="D390" i="5"/>
  <c r="J389" i="5"/>
  <c r="G389" i="5"/>
  <c r="D389" i="5"/>
  <c r="J388" i="5"/>
  <c r="I388" i="5"/>
  <c r="AH387" i="5"/>
  <c r="AF387" i="5"/>
  <c r="AD387" i="5"/>
  <c r="AB387" i="5"/>
  <c r="AH396" i="5"/>
  <c r="AF396" i="5"/>
  <c r="AD396" i="5"/>
  <c r="AB396" i="5"/>
  <c r="AH394" i="5"/>
  <c r="AF394" i="5"/>
  <c r="AD394" i="5"/>
  <c r="AB394" i="5"/>
  <c r="AH392" i="5"/>
  <c r="AF392" i="5"/>
  <c r="AD392" i="5"/>
  <c r="AB392" i="5"/>
  <c r="AH322" i="5"/>
  <c r="AF322" i="5"/>
  <c r="AD322" i="5"/>
  <c r="AB322" i="5"/>
  <c r="J322" i="5"/>
  <c r="I322" i="5"/>
  <c r="AH320" i="5"/>
  <c r="AF320" i="5"/>
  <c r="AD320" i="5"/>
  <c r="AB320" i="5"/>
  <c r="J320" i="5"/>
  <c r="I320" i="5"/>
  <c r="AH185" i="5"/>
  <c r="AF185" i="5"/>
  <c r="AD185" i="5"/>
  <c r="AB185" i="5"/>
  <c r="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80" i="5"/>
  <c r="AF180" i="5"/>
  <c r="AD180" i="5"/>
  <c r="AB180" i="5"/>
  <c r="AH179" i="5"/>
  <c r="AF179" i="5"/>
  <c r="AD179" i="5"/>
  <c r="AB179" i="5"/>
  <c r="AH178" i="5"/>
  <c r="AF178" i="5"/>
  <c r="AD178" i="5"/>
  <c r="AB178" i="5"/>
  <c r="AH177" i="5"/>
  <c r="AF177" i="5"/>
  <c r="AD177" i="5"/>
  <c r="AB177" i="5"/>
  <c r="AH175" i="5"/>
  <c r="AF175" i="5"/>
  <c r="AD175" i="5"/>
  <c r="AB175" i="5"/>
  <c r="AH174" i="5"/>
  <c r="AF174" i="5"/>
  <c r="AD174" i="5"/>
  <c r="AB174" i="5"/>
  <c r="AH173" i="5"/>
  <c r="AF173" i="5"/>
  <c r="AD173" i="5"/>
  <c r="AB173" i="5"/>
  <c r="B173" i="5"/>
  <c r="AH172" i="5"/>
  <c r="AF172" i="5"/>
  <c r="AD172" i="5"/>
  <c r="AB172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04" i="5"/>
  <c r="AF104" i="5"/>
  <c r="AD104" i="5"/>
  <c r="AB104" i="5"/>
  <c r="B104" i="5" s="1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5" i="5"/>
  <c r="AF105" i="5"/>
  <c r="AD105" i="5"/>
  <c r="AB105" i="5"/>
  <c r="AH170" i="5"/>
  <c r="AF170" i="5"/>
  <c r="AD170" i="5"/>
  <c r="AB170" i="5"/>
  <c r="AH169" i="5"/>
  <c r="AF169" i="5"/>
  <c r="AD169" i="5"/>
  <c r="AB169" i="5"/>
  <c r="B169" i="5"/>
  <c r="AH168" i="5"/>
  <c r="AF168" i="5"/>
  <c r="AD168" i="5"/>
  <c r="AB168" i="5"/>
  <c r="AH167" i="5"/>
  <c r="AF167" i="5"/>
  <c r="AD167" i="5"/>
  <c r="AB167" i="5"/>
  <c r="M197" i="5"/>
  <c r="J197" i="5"/>
  <c r="M191" i="5"/>
  <c r="J191" i="5"/>
  <c r="M190" i="5"/>
  <c r="J190" i="5"/>
  <c r="M189" i="5"/>
  <c r="J189" i="5"/>
  <c r="M188" i="5"/>
  <c r="J188" i="5"/>
  <c r="M160" i="5"/>
  <c r="M159" i="5"/>
  <c r="J160" i="5"/>
  <c r="J159" i="5"/>
  <c r="AH165" i="5"/>
  <c r="AF165" i="5"/>
  <c r="AD165" i="5"/>
  <c r="AB165" i="5"/>
  <c r="AH164" i="5"/>
  <c r="AF164" i="5"/>
  <c r="AD164" i="5"/>
  <c r="AB164" i="5"/>
  <c r="AH163" i="5"/>
  <c r="AF163" i="5"/>
  <c r="AD163" i="5"/>
  <c r="AB163" i="5"/>
  <c r="AH87" i="5"/>
  <c r="AF87" i="5"/>
  <c r="AD87" i="5"/>
  <c r="AB87" i="5"/>
  <c r="AH86" i="5"/>
  <c r="AF86" i="5"/>
  <c r="AD86" i="5"/>
  <c r="AB86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B89" i="5" s="1"/>
  <c r="AH95" i="5"/>
  <c r="AF95" i="5"/>
  <c r="AD95" i="5"/>
  <c r="AB95" i="5"/>
  <c r="AH152" i="5"/>
  <c r="AF152" i="5"/>
  <c r="AD152" i="5"/>
  <c r="AB152" i="5"/>
  <c r="AH156" i="5"/>
  <c r="AF156" i="5"/>
  <c r="AD156" i="5"/>
  <c r="AB156" i="5"/>
  <c r="AH155" i="5"/>
  <c r="AF155" i="5"/>
  <c r="AD155" i="5"/>
  <c r="AB155" i="5"/>
  <c r="AH154" i="5"/>
  <c r="AF154" i="5"/>
  <c r="AD154" i="5"/>
  <c r="AB154" i="5"/>
  <c r="B154" i="5" s="1"/>
  <c r="AH153" i="5"/>
  <c r="AF153" i="5"/>
  <c r="AD153" i="5"/>
  <c r="AB153" i="5"/>
  <c r="AH162" i="5"/>
  <c r="AF162" i="5"/>
  <c r="AD162" i="5"/>
  <c r="AB162" i="5"/>
  <c r="AH221" i="5"/>
  <c r="AF221" i="5"/>
  <c r="AD221" i="5"/>
  <c r="AB221" i="5"/>
  <c r="AH220" i="5"/>
  <c r="AF220" i="5"/>
  <c r="AD220" i="5"/>
  <c r="AB220" i="5"/>
  <c r="AH218" i="5"/>
  <c r="AF218" i="5"/>
  <c r="AD218" i="5"/>
  <c r="AB218" i="5"/>
  <c r="AH217" i="5"/>
  <c r="AF217" i="5"/>
  <c r="AD217" i="5"/>
  <c r="AB217" i="5"/>
  <c r="AH216" i="5"/>
  <c r="AF216" i="5"/>
  <c r="AD216" i="5"/>
  <c r="AB216" i="5"/>
  <c r="AH214" i="5"/>
  <c r="AF214" i="5"/>
  <c r="AD214" i="5"/>
  <c r="AB214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09" i="5"/>
  <c r="AH208" i="5"/>
  <c r="AH207" i="5"/>
  <c r="AH206" i="5"/>
  <c r="AH205" i="5"/>
  <c r="AH204" i="5"/>
  <c r="AH203" i="5"/>
  <c r="AH202" i="5"/>
  <c r="AH201" i="5"/>
  <c r="AH200" i="5"/>
  <c r="AF209" i="5"/>
  <c r="AF208" i="5"/>
  <c r="AF207" i="5"/>
  <c r="AF206" i="5"/>
  <c r="AF205" i="5"/>
  <c r="AF204" i="5"/>
  <c r="AF203" i="5"/>
  <c r="AF202" i="5"/>
  <c r="AD209" i="5"/>
  <c r="AD208" i="5"/>
  <c r="AD207" i="5"/>
  <c r="AD206" i="5"/>
  <c r="AB209" i="5"/>
  <c r="AB208" i="5"/>
  <c r="AB207" i="5"/>
  <c r="AB206" i="5"/>
  <c r="AD202" i="5"/>
  <c r="AB202" i="5"/>
  <c r="AD203" i="5"/>
  <c r="AB203" i="5"/>
  <c r="AF201" i="5"/>
  <c r="AD201" i="5"/>
  <c r="AB201" i="5"/>
  <c r="AF200" i="5"/>
  <c r="AD200" i="5"/>
  <c r="AB200" i="5"/>
  <c r="AH199" i="5"/>
  <c r="AF199" i="5"/>
  <c r="AD199" i="5"/>
  <c r="AB199" i="5"/>
  <c r="AH198" i="5"/>
  <c r="AF198" i="5"/>
  <c r="AD198" i="5"/>
  <c r="AB198" i="5"/>
  <c r="G159" i="5"/>
  <c r="G160" i="5"/>
  <c r="G191" i="5"/>
  <c r="G190" i="5"/>
  <c r="G189" i="5"/>
  <c r="G188" i="5"/>
  <c r="G197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309" i="5"/>
  <c r="AH308" i="5"/>
  <c r="AH307" i="5"/>
  <c r="AH306" i="5"/>
  <c r="AH305" i="5"/>
  <c r="AH304" i="5"/>
  <c r="AH303" i="5"/>
  <c r="AH302" i="5"/>
  <c r="AH301" i="5"/>
  <c r="AH299" i="5"/>
  <c r="AH298" i="5"/>
  <c r="AH296" i="5"/>
  <c r="AH295" i="5"/>
  <c r="AH294" i="5"/>
  <c r="AH293" i="5"/>
  <c r="AH292" i="5"/>
  <c r="AH291" i="5"/>
  <c r="AH289" i="5"/>
  <c r="AH288" i="5"/>
  <c r="AH286" i="5"/>
  <c r="AH285" i="5"/>
  <c r="AH284" i="5"/>
  <c r="AH283" i="5"/>
  <c r="AH282" i="5"/>
  <c r="AH281" i="5"/>
  <c r="AH28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AH390" i="5"/>
  <c r="AH389" i="5"/>
  <c r="AH388" i="5"/>
  <c r="AH386" i="5"/>
  <c r="AH385" i="5"/>
  <c r="AH384" i="5"/>
  <c r="AH383" i="5"/>
  <c r="AH377" i="5"/>
  <c r="AH376" i="5"/>
  <c r="AH375" i="5"/>
  <c r="AH374" i="5"/>
  <c r="AH373" i="5"/>
  <c r="AH372" i="5"/>
  <c r="AH371" i="5"/>
  <c r="AH364" i="5"/>
  <c r="AH363" i="5"/>
  <c r="AH362" i="5"/>
  <c r="AH361" i="5"/>
  <c r="AH360" i="5"/>
  <c r="AH359" i="5"/>
  <c r="AH345" i="5"/>
  <c r="AH338" i="5"/>
  <c r="AH337" i="5"/>
  <c r="AH336" i="5"/>
  <c r="AH335" i="5"/>
  <c r="AH334" i="5"/>
  <c r="AH333" i="5"/>
  <c r="AH332" i="5"/>
  <c r="AH325" i="5"/>
  <c r="AH324" i="5"/>
  <c r="AH323" i="5"/>
  <c r="AH321" i="5"/>
  <c r="AH316" i="5"/>
  <c r="AH315" i="5"/>
  <c r="AH300" i="5"/>
  <c r="AH297" i="5"/>
  <c r="AH290" i="5"/>
  <c r="AH287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57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197" i="5"/>
  <c r="AH196" i="5"/>
  <c r="AH195" i="5"/>
  <c r="AH194" i="5"/>
  <c r="AH193" i="5"/>
  <c r="AH192" i="5"/>
  <c r="AH191" i="5"/>
  <c r="AH190" i="5"/>
  <c r="AH189" i="5"/>
  <c r="AH188" i="5"/>
  <c r="AH187" i="5"/>
  <c r="AH161" i="5"/>
  <c r="AH160" i="5"/>
  <c r="AH150" i="5"/>
  <c r="AH159" i="5"/>
  <c r="AH149" i="5"/>
  <c r="AH148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302" i="5"/>
  <c r="AD302" i="5"/>
  <c r="AB302" i="5"/>
  <c r="J302" i="5"/>
  <c r="I302" i="5"/>
  <c r="AF292" i="5"/>
  <c r="AD292" i="5"/>
  <c r="AB292" i="5"/>
  <c r="J292" i="5"/>
  <c r="I292" i="5"/>
  <c r="AF282" i="5"/>
  <c r="AD282" i="5"/>
  <c r="AB282" i="5"/>
  <c r="J282" i="5"/>
  <c r="I282" i="5"/>
  <c r="AF271" i="5"/>
  <c r="AD271" i="5"/>
  <c r="AB271" i="5"/>
  <c r="J271" i="5"/>
  <c r="I271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204" i="5"/>
  <c r="AB204" i="5"/>
  <c r="AF247" i="5"/>
  <c r="AD247" i="5"/>
  <c r="AB247" i="5"/>
  <c r="G309" i="5"/>
  <c r="G308" i="5"/>
  <c r="G299" i="5"/>
  <c r="G298" i="5"/>
  <c r="G289" i="5"/>
  <c r="G288" i="5"/>
  <c r="G278" i="5"/>
  <c r="G277" i="5"/>
  <c r="D309" i="5"/>
  <c r="D308" i="5"/>
  <c r="D299" i="5"/>
  <c r="D298" i="5"/>
  <c r="D289" i="5"/>
  <c r="D288" i="5"/>
  <c r="D278" i="5"/>
  <c r="D277" i="5"/>
  <c r="AF270" i="5"/>
  <c r="AD270" i="5"/>
  <c r="AB270" i="5"/>
  <c r="J270" i="5"/>
  <c r="I270" i="5"/>
  <c r="AF150" i="5"/>
  <c r="AD150" i="5"/>
  <c r="AB150" i="5"/>
  <c r="AF149" i="5"/>
  <c r="AD149" i="5"/>
  <c r="AB149" i="5"/>
  <c r="AF249" i="5"/>
  <c r="AD249" i="5"/>
  <c r="AB249" i="5"/>
  <c r="AF196" i="5"/>
  <c r="AD196" i="5"/>
  <c r="AB196" i="5"/>
  <c r="AF195" i="5"/>
  <c r="AD195" i="5"/>
  <c r="AB195" i="5"/>
  <c r="AF194" i="5"/>
  <c r="AD194" i="5"/>
  <c r="AB194" i="5"/>
  <c r="AF193" i="5"/>
  <c r="AD193" i="5"/>
  <c r="AB193" i="5"/>
  <c r="AF192" i="5"/>
  <c r="AD192" i="5"/>
  <c r="AB192" i="5"/>
  <c r="AF248" i="5"/>
  <c r="AD248" i="5"/>
  <c r="AB248" i="5"/>
  <c r="AF246" i="5"/>
  <c r="AD246" i="5"/>
  <c r="AB246" i="5"/>
  <c r="J276" i="5"/>
  <c r="I276" i="5"/>
  <c r="J287" i="5"/>
  <c r="J297" i="5"/>
  <c r="J307" i="5"/>
  <c r="J301" i="5"/>
  <c r="J291" i="5"/>
  <c r="AF274" i="5"/>
  <c r="AD274" i="5"/>
  <c r="AB274" i="5"/>
  <c r="AF272" i="5"/>
  <c r="AD272" i="5"/>
  <c r="AB272" i="5"/>
  <c r="J281" i="5"/>
  <c r="J267" i="5"/>
  <c r="I267" i="5"/>
  <c r="I266" i="5"/>
  <c r="I265" i="5"/>
  <c r="J278" i="5"/>
  <c r="J277" i="5"/>
  <c r="J289" i="5"/>
  <c r="J288" i="5"/>
  <c r="J298" i="5"/>
  <c r="J299" i="5"/>
  <c r="J308" i="5"/>
  <c r="J309" i="5"/>
  <c r="AF338" i="5"/>
  <c r="AD338" i="5"/>
  <c r="AB338" i="5"/>
  <c r="D338" i="5"/>
  <c r="AF337" i="5"/>
  <c r="AD337" i="5"/>
  <c r="AB337" i="5"/>
  <c r="D337" i="5"/>
  <c r="AF336" i="5"/>
  <c r="AD336" i="5"/>
  <c r="AB336" i="5"/>
  <c r="J336" i="5"/>
  <c r="I336" i="5"/>
  <c r="AF335" i="5"/>
  <c r="AD335" i="5"/>
  <c r="AB335" i="5"/>
  <c r="J335" i="5"/>
  <c r="I335" i="5"/>
  <c r="AF334" i="5"/>
  <c r="AD334" i="5"/>
  <c r="AB334" i="5"/>
  <c r="J334" i="5"/>
  <c r="I334" i="5"/>
  <c r="AF333" i="5"/>
  <c r="AD333" i="5"/>
  <c r="AB333" i="5"/>
  <c r="J333" i="5"/>
  <c r="I333" i="5"/>
  <c r="AF332" i="5"/>
  <c r="AD332" i="5"/>
  <c r="AB332" i="5"/>
  <c r="AF364" i="5"/>
  <c r="AD364" i="5"/>
  <c r="AB364" i="5"/>
  <c r="J364" i="5"/>
  <c r="I364" i="5"/>
  <c r="D364" i="5"/>
  <c r="AF363" i="5"/>
  <c r="AD363" i="5"/>
  <c r="AB363" i="5"/>
  <c r="J363" i="5"/>
  <c r="I363" i="5"/>
  <c r="D363" i="5"/>
  <c r="AF362" i="5"/>
  <c r="AD362" i="5"/>
  <c r="AB362" i="5"/>
  <c r="J362" i="5"/>
  <c r="I362" i="5"/>
  <c r="AF361" i="5"/>
  <c r="AD361" i="5"/>
  <c r="AB361" i="5"/>
  <c r="J361" i="5"/>
  <c r="I361" i="5"/>
  <c r="AF360" i="5"/>
  <c r="AD360" i="5"/>
  <c r="AB360" i="5"/>
  <c r="J360" i="5"/>
  <c r="I360" i="5"/>
  <c r="AF359" i="5"/>
  <c r="AD359" i="5"/>
  <c r="AB359" i="5"/>
  <c r="J359" i="5"/>
  <c r="I359" i="5"/>
  <c r="AF345" i="5"/>
  <c r="AD345" i="5"/>
  <c r="AB345" i="5"/>
  <c r="J375" i="5"/>
  <c r="J374" i="5"/>
  <c r="I375" i="5"/>
  <c r="I374" i="5"/>
  <c r="J373" i="5"/>
  <c r="J372" i="5"/>
  <c r="I373" i="5"/>
  <c r="I372" i="5"/>
  <c r="AF374" i="5"/>
  <c r="AD374" i="5"/>
  <c r="AB374" i="5"/>
  <c r="AF372" i="5"/>
  <c r="AD372" i="5"/>
  <c r="AB372" i="5"/>
  <c r="AF375" i="5"/>
  <c r="AD375" i="5"/>
  <c r="AB375" i="5"/>
  <c r="AF373" i="5"/>
  <c r="AD373" i="5"/>
  <c r="AB373" i="5"/>
  <c r="J323" i="5"/>
  <c r="J321" i="5"/>
  <c r="I321" i="5"/>
  <c r="I323" i="5"/>
  <c r="AF323" i="5"/>
  <c r="AD323" i="5"/>
  <c r="AB323" i="5"/>
  <c r="AF321" i="5"/>
  <c r="AD321" i="5"/>
  <c r="AB321" i="5"/>
  <c r="J377" i="5"/>
  <c r="J376" i="5"/>
  <c r="J325" i="5"/>
  <c r="D377" i="5"/>
  <c r="D376" i="5"/>
  <c r="D325" i="5"/>
  <c r="J324" i="5"/>
  <c r="D324" i="5"/>
  <c r="AF287" i="5"/>
  <c r="AD287" i="5"/>
  <c r="AB287" i="5"/>
  <c r="I287" i="5"/>
  <c r="AF297" i="5"/>
  <c r="AD297" i="5"/>
  <c r="AB297" i="5"/>
  <c r="I297" i="5"/>
  <c r="I307" i="5"/>
  <c r="AF307" i="5"/>
  <c r="AD307" i="5"/>
  <c r="AB307" i="5"/>
  <c r="AF285" i="5"/>
  <c r="AD285" i="5"/>
  <c r="AB285" i="5"/>
  <c r="AF283" i="5"/>
  <c r="AD283" i="5"/>
  <c r="AB283" i="5"/>
  <c r="AF281" i="5"/>
  <c r="AD281" i="5"/>
  <c r="AB281" i="5"/>
  <c r="I281" i="5"/>
  <c r="AF299" i="5"/>
  <c r="AD299" i="5"/>
  <c r="AB299" i="5"/>
  <c r="AF298" i="5"/>
  <c r="AD298" i="5"/>
  <c r="AB298" i="5"/>
  <c r="AF296" i="5"/>
  <c r="AD296" i="5"/>
  <c r="AB296" i="5"/>
  <c r="AF295" i="5"/>
  <c r="AD295" i="5"/>
  <c r="AB295" i="5"/>
  <c r="AF294" i="5"/>
  <c r="AD294" i="5"/>
  <c r="AB294" i="5"/>
  <c r="AF293" i="5"/>
  <c r="AD293" i="5"/>
  <c r="AB293" i="5"/>
  <c r="AF291" i="5"/>
  <c r="AD291" i="5"/>
  <c r="AB291" i="5"/>
  <c r="I291" i="5"/>
  <c r="AF290" i="5"/>
  <c r="AF305" i="5"/>
  <c r="AD305" i="5"/>
  <c r="AB305" i="5"/>
  <c r="AF303" i="5"/>
  <c r="AD303" i="5"/>
  <c r="AB303" i="5"/>
  <c r="I301" i="5"/>
  <c r="AF301" i="5"/>
  <c r="AD301" i="5"/>
  <c r="AB301" i="5"/>
  <c r="AF309" i="5"/>
  <c r="AF308" i="5"/>
  <c r="AF306" i="5"/>
  <c r="AF304" i="5"/>
  <c r="AF300" i="5"/>
  <c r="AD309" i="5"/>
  <c r="AB309" i="5"/>
  <c r="AD308" i="5"/>
  <c r="AB308" i="5"/>
  <c r="AD306" i="5"/>
  <c r="AB306" i="5"/>
  <c r="AD304" i="5"/>
  <c r="AB304" i="5"/>
  <c r="AF66" i="5"/>
  <c r="AD66" i="5"/>
  <c r="AB66" i="5"/>
  <c r="AF65" i="5"/>
  <c r="AD65" i="5"/>
  <c r="AB65" i="5"/>
  <c r="AF64" i="5"/>
  <c r="AD64" i="5"/>
  <c r="AB64" i="5"/>
  <c r="AF390" i="5"/>
  <c r="AF389" i="5"/>
  <c r="AF388" i="5"/>
  <c r="AF386" i="5"/>
  <c r="AF385" i="5"/>
  <c r="AF384" i="5"/>
  <c r="AF383" i="5"/>
  <c r="AF377" i="5"/>
  <c r="AF376" i="5"/>
  <c r="AF371" i="5"/>
  <c r="AF325" i="5"/>
  <c r="AF324" i="5"/>
  <c r="AF316" i="5"/>
  <c r="AF315" i="5"/>
  <c r="AF289" i="5"/>
  <c r="AF288" i="5"/>
  <c r="AD390" i="5"/>
  <c r="AD389" i="5"/>
  <c r="AD388" i="5"/>
  <c r="AD386" i="5"/>
  <c r="AD385" i="5"/>
  <c r="AD384" i="5"/>
  <c r="AD383" i="5"/>
  <c r="AD377" i="5"/>
  <c r="AD376" i="5"/>
  <c r="AD371" i="5"/>
  <c r="AD325" i="5"/>
  <c r="AD324" i="5"/>
  <c r="AD316" i="5"/>
  <c r="AD315" i="5"/>
  <c r="AD289" i="5"/>
  <c r="AD288" i="5"/>
  <c r="AB390" i="5"/>
  <c r="AB389" i="5"/>
  <c r="AB388" i="5"/>
  <c r="AB386" i="5"/>
  <c r="AB385" i="5"/>
  <c r="AB384" i="5"/>
  <c r="AB383" i="5"/>
  <c r="AB377" i="5"/>
  <c r="AB376" i="5"/>
  <c r="AB371" i="5"/>
  <c r="AB325" i="5"/>
  <c r="AB324" i="5"/>
  <c r="AB316" i="5"/>
  <c r="AB315" i="5"/>
  <c r="AB289" i="5"/>
  <c r="I377" i="5"/>
  <c r="I376" i="5"/>
  <c r="I325" i="5"/>
  <c r="I324" i="5"/>
  <c r="AF286" i="5"/>
  <c r="AF284" i="5"/>
  <c r="AD286" i="5"/>
  <c r="AD284" i="5"/>
  <c r="AB288" i="5"/>
  <c r="AB286" i="5"/>
  <c r="AB284" i="5"/>
  <c r="AF280" i="5"/>
  <c r="AF279" i="5"/>
  <c r="AF278" i="5"/>
  <c r="AF277" i="5"/>
  <c r="AF276" i="5"/>
  <c r="AF275" i="5"/>
  <c r="AF273" i="5"/>
  <c r="AF269" i="5"/>
  <c r="AF268" i="5"/>
  <c r="AF267" i="5"/>
  <c r="AF266" i="5"/>
  <c r="AF265" i="5"/>
  <c r="AF264" i="5"/>
  <c r="AF257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31" i="5"/>
  <c r="AF230" i="5"/>
  <c r="AF229" i="5"/>
  <c r="AF228" i="5"/>
  <c r="AF227" i="5"/>
  <c r="AF226" i="5"/>
  <c r="AF225" i="5"/>
  <c r="AF224" i="5"/>
  <c r="AF197" i="5"/>
  <c r="AF191" i="5"/>
  <c r="AF190" i="5"/>
  <c r="AF189" i="5"/>
  <c r="AF188" i="5"/>
  <c r="AF187" i="5"/>
  <c r="AF161" i="5"/>
  <c r="AF160" i="5"/>
  <c r="AF159" i="5"/>
  <c r="AF148" i="5"/>
  <c r="AF63" i="5"/>
  <c r="AF61" i="5"/>
  <c r="AF60" i="5"/>
  <c r="AF59" i="5"/>
  <c r="AF58" i="5"/>
  <c r="AF57" i="5"/>
  <c r="AF56" i="5"/>
  <c r="AF55" i="5"/>
  <c r="AF54" i="5"/>
  <c r="AD280" i="5"/>
  <c r="AD279" i="5"/>
  <c r="AD278" i="5"/>
  <c r="AD277" i="5"/>
  <c r="AD276" i="5"/>
  <c r="AD275" i="5"/>
  <c r="AD273" i="5"/>
  <c r="AD269" i="5"/>
  <c r="AD268" i="5"/>
  <c r="AD267" i="5"/>
  <c r="AD266" i="5"/>
  <c r="AD265" i="5"/>
  <c r="AD264" i="5"/>
  <c r="AD257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05" i="5"/>
  <c r="AD197" i="5"/>
  <c r="AD191" i="5"/>
  <c r="AD190" i="5"/>
  <c r="AD189" i="5"/>
  <c r="AD188" i="5"/>
  <c r="AD187" i="5"/>
  <c r="AD161" i="5"/>
  <c r="AD160" i="5"/>
  <c r="AD159" i="5"/>
  <c r="AD148" i="5"/>
  <c r="AD63" i="5"/>
  <c r="AD61" i="5"/>
  <c r="AD60" i="5"/>
  <c r="AD59" i="5"/>
  <c r="AD58" i="5"/>
  <c r="AD57" i="5"/>
  <c r="AD56" i="5"/>
  <c r="AD55" i="5"/>
  <c r="AB280" i="5"/>
  <c r="AB279" i="5"/>
  <c r="AB278" i="5"/>
  <c r="AB277" i="5"/>
  <c r="AB276" i="5"/>
  <c r="AB275" i="5"/>
  <c r="AB273" i="5"/>
  <c r="AB269" i="5"/>
  <c r="AB268" i="5"/>
  <c r="AB267" i="5"/>
  <c r="AB266" i="5"/>
  <c r="AB265" i="5"/>
  <c r="AB264" i="5"/>
  <c r="AB257" i="5"/>
  <c r="AB245" i="5"/>
  <c r="AB244" i="5"/>
  <c r="AB243" i="5"/>
  <c r="AB242" i="5"/>
  <c r="AB241" i="5"/>
  <c r="AB240" i="5"/>
  <c r="AB239" i="5"/>
  <c r="AB238" i="5"/>
  <c r="AB237" i="5"/>
  <c r="AB236" i="5"/>
  <c r="AB235" i="5"/>
  <c r="AB234" i="5"/>
  <c r="AB233" i="5"/>
  <c r="AB232" i="5"/>
  <c r="AB231" i="5"/>
  <c r="AB230" i="5"/>
  <c r="AB229" i="5"/>
  <c r="AB228" i="5"/>
  <c r="AB227" i="5"/>
  <c r="AB226" i="5"/>
  <c r="AB225" i="5"/>
  <c r="AB224" i="5"/>
  <c r="AB205" i="5"/>
  <c r="AB197" i="5"/>
  <c r="AB191" i="5"/>
  <c r="AB190" i="5"/>
  <c r="AB189" i="5"/>
  <c r="AB188" i="5"/>
  <c r="AB187" i="5"/>
  <c r="AB161" i="5"/>
  <c r="AB160" i="5"/>
  <c r="AB159" i="5"/>
  <c r="AB148" i="5"/>
  <c r="AB63" i="5"/>
  <c r="AB61" i="5"/>
  <c r="AB60" i="5"/>
  <c r="AB59" i="5"/>
  <c r="AB58" i="5"/>
  <c r="AB57" i="5"/>
  <c r="AB56" i="5"/>
  <c r="AB55" i="5"/>
  <c r="AB54" i="5"/>
  <c r="D191" i="5"/>
  <c r="D197" i="5"/>
  <c r="D190" i="5"/>
  <c r="D189" i="5"/>
  <c r="D188" i="5"/>
  <c r="D160" i="5"/>
  <c r="D159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35" i="5" l="1"/>
  <c r="B381" i="5"/>
  <c r="B329" i="5"/>
  <c r="B138" i="5"/>
  <c r="B182" i="5"/>
  <c r="B133" i="5"/>
  <c r="B341" i="5"/>
  <c r="B340" i="5"/>
  <c r="B382" i="5"/>
  <c r="B380" i="5"/>
  <c r="B180" i="5"/>
  <c r="B367" i="5"/>
  <c r="B67" i="5"/>
  <c r="B318" i="5"/>
  <c r="B327" i="5"/>
  <c r="B379" i="5"/>
  <c r="B102" i="5"/>
  <c r="B366" i="5"/>
  <c r="B328" i="5"/>
  <c r="B354" i="5"/>
  <c r="B355" i="5"/>
  <c r="B342" i="5"/>
  <c r="B347" i="5"/>
  <c r="B261" i="5"/>
  <c r="B93" i="5"/>
  <c r="B92" i="5"/>
  <c r="B256" i="5"/>
  <c r="B252" i="5"/>
  <c r="B262" i="5"/>
  <c r="B322" i="5"/>
  <c r="B130" i="5"/>
  <c r="B128" i="5"/>
  <c r="B257" i="5"/>
  <c r="B395" i="5"/>
  <c r="B349" i="5"/>
  <c r="B346" i="5"/>
  <c r="B178" i="5"/>
  <c r="B170" i="5"/>
  <c r="B123" i="5"/>
  <c r="B396" i="5"/>
  <c r="B172" i="5"/>
  <c r="B393" i="5"/>
  <c r="B177" i="5"/>
  <c r="B392" i="5"/>
  <c r="B99" i="5"/>
  <c r="B129" i="5"/>
  <c r="B394" i="5"/>
  <c r="B126" i="5"/>
  <c r="B175" i="5"/>
  <c r="B320" i="5"/>
  <c r="B184" i="5"/>
  <c r="B183" i="5"/>
  <c r="B127" i="5"/>
  <c r="B179" i="5"/>
  <c r="B90" i="5"/>
  <c r="B174" i="5"/>
  <c r="B86" i="5"/>
  <c r="B165" i="5"/>
  <c r="B103" i="5"/>
  <c r="B105" i="5"/>
  <c r="B101" i="5"/>
  <c r="B209" i="5"/>
  <c r="B208" i="5"/>
  <c r="B164" i="5"/>
  <c r="B163" i="5"/>
  <c r="B96" i="5"/>
  <c r="B156" i="5"/>
  <c r="B167" i="5"/>
  <c r="B168" i="5"/>
  <c r="B95" i="5"/>
  <c r="B87" i="5"/>
  <c r="B97" i="5"/>
  <c r="B98" i="5"/>
  <c r="B152" i="5"/>
  <c r="B91" i="5"/>
  <c r="B220" i="5"/>
  <c r="B155" i="5"/>
  <c r="B153" i="5"/>
  <c r="B202" i="5"/>
  <c r="B162" i="5"/>
  <c r="B216" i="5"/>
  <c r="B288" i="5"/>
  <c r="B120" i="5"/>
  <c r="B42" i="5"/>
  <c r="B217" i="5"/>
  <c r="B201" i="5"/>
  <c r="B122" i="5"/>
  <c r="B221" i="5"/>
  <c r="B214" i="5"/>
  <c r="B212" i="5"/>
  <c r="B203" i="5"/>
  <c r="B213" i="5"/>
  <c r="B218" i="5"/>
  <c r="B199" i="5"/>
  <c r="B39" i="5"/>
  <c r="B40" i="5"/>
  <c r="B38" i="5"/>
  <c r="B14" i="5"/>
  <c r="B13" i="5"/>
  <c r="B12" i="5"/>
  <c r="B247" i="5"/>
  <c r="B198" i="5"/>
  <c r="B211" i="5"/>
  <c r="B206" i="5"/>
  <c r="B207" i="5"/>
  <c r="B21" i="5"/>
  <c r="B20" i="5"/>
  <c r="B19" i="5"/>
  <c r="B18" i="5"/>
  <c r="B17" i="5"/>
  <c r="B16" i="5"/>
  <c r="B15" i="5"/>
  <c r="B289" i="5"/>
  <c r="B204" i="5"/>
  <c r="B292" i="5"/>
  <c r="B282" i="5"/>
  <c r="B112" i="5"/>
  <c r="B110" i="5"/>
  <c r="B43" i="5"/>
  <c r="B246" i="5"/>
  <c r="B390" i="5"/>
  <c r="B389" i="5"/>
  <c r="B388" i="5"/>
  <c r="B386" i="5"/>
  <c r="B385" i="5"/>
  <c r="B376" i="5"/>
  <c r="B325" i="5"/>
  <c r="B324" i="5"/>
  <c r="B119" i="5"/>
  <c r="B46" i="5"/>
  <c r="B124" i="5"/>
  <c r="B121" i="5"/>
  <c r="B118" i="5"/>
  <c r="B113" i="5"/>
  <c r="B115" i="5"/>
  <c r="B47" i="5"/>
  <c r="B117" i="5"/>
  <c r="B114" i="5"/>
  <c r="B75" i="5"/>
  <c r="B74" i="5"/>
  <c r="B73" i="5"/>
  <c r="B200" i="5"/>
  <c r="B77" i="5"/>
  <c r="B78" i="5"/>
  <c r="B281" i="5"/>
  <c r="B299" i="5"/>
  <c r="B298" i="5"/>
  <c r="B296" i="5"/>
  <c r="B294" i="5"/>
  <c r="B293" i="5"/>
  <c r="B291" i="5"/>
  <c r="B301" i="5"/>
  <c r="B116" i="5"/>
  <c r="B11" i="5"/>
  <c r="B79" i="5"/>
  <c r="B377" i="5"/>
  <c r="B83" i="5"/>
  <c r="B82" i="5"/>
  <c r="B81" i="5"/>
  <c r="B249" i="5"/>
  <c r="B303" i="5"/>
  <c r="B362" i="5"/>
  <c r="B360" i="5"/>
  <c r="B323" i="5"/>
  <c r="B321" i="5"/>
  <c r="B111" i="5"/>
  <c r="B109" i="5"/>
  <c r="B248" i="5"/>
  <c r="B287" i="5"/>
  <c r="B297" i="5"/>
  <c r="B59" i="5"/>
  <c r="B58" i="5"/>
  <c r="B57" i="5"/>
  <c r="B56" i="5"/>
  <c r="B55" i="5"/>
  <c r="B302" i="5"/>
  <c r="B48" i="5"/>
  <c r="B364" i="5"/>
  <c r="B363" i="5"/>
  <c r="B228" i="5"/>
  <c r="B227" i="5"/>
  <c r="B226" i="5"/>
  <c r="B225" i="5"/>
  <c r="B197" i="5"/>
  <c r="B191" i="5"/>
  <c r="B190" i="5"/>
  <c r="B189" i="5"/>
  <c r="B188" i="5"/>
  <c r="B160" i="5"/>
  <c r="B159" i="5"/>
  <c r="B61" i="5"/>
  <c r="B60" i="5"/>
  <c r="B196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338" i="5"/>
  <c r="B337" i="5"/>
  <c r="B336" i="5"/>
  <c r="B334" i="5"/>
  <c r="B295" i="5"/>
  <c r="B66" i="5"/>
  <c r="B65" i="5"/>
  <c r="B64" i="5"/>
  <c r="B276" i="5"/>
  <c r="B267" i="5"/>
  <c r="B266" i="5"/>
  <c r="B265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194" i="5"/>
  <c r="B62" i="5"/>
  <c r="B150" i="5"/>
  <c r="B72" i="5"/>
  <c r="B195" i="5"/>
  <c r="B149" i="5"/>
  <c r="B80" i="5"/>
  <c r="B29" i="5"/>
  <c r="B270" i="5"/>
  <c r="B307" i="5"/>
  <c r="B285" i="5"/>
  <c r="B283" i="5"/>
  <c r="B305" i="5"/>
  <c r="B309" i="5"/>
  <c r="B308" i="5"/>
  <c r="B306" i="5"/>
  <c r="B304" i="5"/>
  <c r="B286" i="5"/>
  <c r="B284" i="5"/>
  <c r="B375" i="5"/>
  <c r="B374" i="5"/>
  <c r="B373" i="5"/>
  <c r="B372" i="5"/>
  <c r="B335" i="5"/>
  <c r="B333" i="5"/>
  <c r="B359" i="5"/>
  <c r="B361" i="5"/>
  <c r="B278" i="5"/>
  <c r="B277" i="5"/>
  <c r="B275" i="5"/>
  <c r="B274" i="5"/>
  <c r="B273" i="5"/>
  <c r="B272" i="5"/>
  <c r="B271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<sst xmlns="http://schemas.openxmlformats.org/spreadsheetml/2006/main" count="5798" uniqueCount="398">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</sst>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6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  <xf numFmtId="49" fontId="0" fillId="2" borderId="0" xfId="0" applyNumberFormat="1" applyFont="1" applyFill="1"/>
    <xf numFmtId="49" fontId="0" fillId="10" borderId="0" xfId="0" applyNumberFormat="1" applyFont="1" applyFill="1"/>
    <xf numFmtId="49" fontId="0" fillId="3" borderId="0" xfId="0" applyNumberFormat="1" applyFont="1" applyFill="1"/>
    <xf numFmtId="49" fontId="0" fillId="11" borderId="0" xfId="0" applyNumberFormat="1" applyFont="1" applyFill="1"/>
    <xf numFmtId="49" fontId="0" fillId="4" borderId="0" xfId="0" applyNumberFormat="1" applyFont="1" applyFill="1"/>
    <xf numFmtId="49" fontId="0" fillId="12" borderId="0" xfId="0" applyNumberFormat="1" applyFont="1" applyFill="1"/>
    <xf numFmtId="49" fontId="0" fillId="5" borderId="0" xfId="0" applyNumberFormat="1" applyFont="1" applyFill="1"/>
    <xf numFmtId="49" fontId="0" fillId="13" borderId="0" xfId="0" applyNumberFormat="1" applyFont="1" applyFill="1"/>
    <xf numFmtId="49" fontId="0" fillId="6" borderId="0" xfId="0" applyNumberFormat="1" applyFont="1" applyFill="1"/>
    <xf numFmtId="49" fontId="0" fillId="7" borderId="0" xfId="0" applyNumberFormat="1" applyFont="1" applyFill="1"/>
    <xf numFmtId="49" fontId="0" fillId="14" borderId="0" xfId="0" applyNumberFormat="1" applyFont="1" applyFill="1"/>
    <xf numFmtId="49" fontId="0" fillId="8" borderId="0" xfId="0" applyNumberFormat="1" applyFont="1" applyFill="1"/>
    <xf numFmtId="49" fontId="0" fillId="15" borderId="0" xfId="0" applyNumberFormat="1" applyFont="1" applyFill="1"/>
    <xf numFmtId="49" fontId="0" fillId="9" borderId="0" xfId="0" applyNumberFormat="1" applyFont="1" applyFill="1"/>
    <xf numFmtId="49" fontId="0" fillId="16" borderId="0" xfId="0" applyNumberFormat="1" applyFont="1" applyFill="1"/>
    <xf numFmtId="49" fontId="0" fillId="28" borderId="0" xfId="0" applyNumberFormat="1" applyFont="1" applyFill="1"/>
    <xf numFmtId="49" fontId="0" fillId="87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15"/>
  <sheetViews>
    <sheetView tabSelected="1" topLeftCell="A3" zoomScale="85" zoomScaleNormal="85" workbookViewId="0">
      <pane ySplit="4" topLeftCell="A58" activePane="bottomLeft" state="frozen"/>
      <selection activeCell="A3" sqref="A3"/>
      <selection pane="bottomLeft" activeCell="R127" sqref="R127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37" t="s">
        <v>302</v>
      </c>
      <c r="D26" s="137" t="s">
        <v>302</v>
      </c>
      <c r="F26" s="138" t="s">
        <v>303</v>
      </c>
      <c r="G26" s="38" t="s">
        <v>222</v>
      </c>
      <c r="I26" s="137" t="s">
        <v>302</v>
      </c>
      <c r="J26" s="137" t="s">
        <v>302</v>
      </c>
      <c r="L26" s="138" t="s">
        <v>303</v>
      </c>
      <c r="M26" s="38" t="s">
        <v>222</v>
      </c>
      <c r="U26" s="137" t="s">
        <v>302</v>
      </c>
      <c r="V26" s="137" t="s">
        <v>302</v>
      </c>
      <c r="X26" s="138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39" t="s">
        <v>304</v>
      </c>
      <c r="D28" s="139" t="s">
        <v>304</v>
      </c>
      <c r="F28" s="140" t="s">
        <v>305</v>
      </c>
      <c r="G28" s="38" t="s">
        <v>222</v>
      </c>
      <c r="I28" s="139" t="s">
        <v>304</v>
      </c>
      <c r="J28" s="139" t="s">
        <v>304</v>
      </c>
      <c r="L28" s="140" t="s">
        <v>305</v>
      </c>
      <c r="M28" s="38" t="s">
        <v>222</v>
      </c>
      <c r="U28" s="139" t="s">
        <v>304</v>
      </c>
      <c r="V28" s="139" t="s">
        <v>304</v>
      </c>
      <c r="X28" s="140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39" t="s">
        <v>304</v>
      </c>
      <c r="D30" s="139" t="s">
        <v>304</v>
      </c>
      <c r="F30" s="140" t="s">
        <v>305</v>
      </c>
      <c r="G30" s="38" t="s">
        <v>222</v>
      </c>
      <c r="I30" s="139" t="s">
        <v>304</v>
      </c>
      <c r="J30" s="139" t="s">
        <v>304</v>
      </c>
      <c r="L30" s="140" t="s">
        <v>305</v>
      </c>
      <c r="M30" s="38" t="s">
        <v>222</v>
      </c>
      <c r="U30" s="139" t="s">
        <v>304</v>
      </c>
      <c r="V30" s="139" t="s">
        <v>304</v>
      </c>
      <c r="X30" s="140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39" t="s">
        <v>304</v>
      </c>
      <c r="D32" s="139" t="s">
        <v>304</v>
      </c>
      <c r="F32" s="140" t="s">
        <v>305</v>
      </c>
      <c r="G32" s="38" t="s">
        <v>222</v>
      </c>
      <c r="I32" s="139" t="s">
        <v>304</v>
      </c>
      <c r="J32" s="139" t="s">
        <v>304</v>
      </c>
      <c r="L32" s="140" t="s">
        <v>305</v>
      </c>
      <c r="M32" s="38" t="s">
        <v>222</v>
      </c>
      <c r="U32" s="139" t="s">
        <v>304</v>
      </c>
      <c r="V32" s="139" t="s">
        <v>304</v>
      </c>
      <c r="X32" s="140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39" t="s">
        <v>304</v>
      </c>
      <c r="D34" s="139" t="s">
        <v>304</v>
      </c>
      <c r="F34" s="140" t="s">
        <v>305</v>
      </c>
      <c r="G34" s="38" t="s">
        <v>222</v>
      </c>
      <c r="I34" s="139" t="s">
        <v>304</v>
      </c>
      <c r="J34" s="139" t="s">
        <v>304</v>
      </c>
      <c r="L34" s="140" t="s">
        <v>305</v>
      </c>
      <c r="M34" s="38" t="s">
        <v>222</v>
      </c>
      <c r="U34" s="139" t="s">
        <v>304</v>
      </c>
      <c r="V34" s="139" t="s">
        <v>304</v>
      </c>
      <c r="X34" s="140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35" t="s">
        <v>299</v>
      </c>
      <c r="D36" s="135" t="s">
        <v>299</v>
      </c>
      <c r="F36" s="136" t="s">
        <v>300</v>
      </c>
      <c r="G36" s="38" t="s">
        <v>222</v>
      </c>
      <c r="I36" s="135" t="s">
        <v>299</v>
      </c>
      <c r="J36" s="135" t="s">
        <v>299</v>
      </c>
      <c r="L36" s="136" t="s">
        <v>300</v>
      </c>
      <c r="M36" s="38" t="s">
        <v>222</v>
      </c>
      <c r="U36" s="135" t="s">
        <v>299</v>
      </c>
      <c r="V36" s="135" t="s">
        <v>299</v>
      </c>
      <c r="X36" s="136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35" t="s">
        <v>299</v>
      </c>
      <c r="D38" s="135" t="s">
        <v>299</v>
      </c>
      <c r="F38" s="136" t="s">
        <v>300</v>
      </c>
      <c r="G38" s="38" t="s">
        <v>222</v>
      </c>
      <c r="I38" s="135" t="s">
        <v>299</v>
      </c>
      <c r="J38" s="135" t="s">
        <v>299</v>
      </c>
      <c r="L38" s="136" t="s">
        <v>300</v>
      </c>
      <c r="M38" s="38" t="s">
        <v>222</v>
      </c>
      <c r="U38" s="135" t="s">
        <v>299</v>
      </c>
      <c r="V38" s="135" t="s">
        <v>299</v>
      </c>
      <c r="X38" s="136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159" t="s">
        <v>170</v>
      </c>
      <c r="D54" s="160" t="s">
        <v>178</v>
      </c>
      <c r="E54" s="156"/>
      <c r="F54" s="159" t="s">
        <v>170</v>
      </c>
      <c r="G54" s="160" t="s">
        <v>178</v>
      </c>
      <c r="H54" s="156"/>
      <c r="I54" s="159" t="s">
        <v>170</v>
      </c>
      <c r="J54" s="160" t="s">
        <v>178</v>
      </c>
      <c r="K54" s="156"/>
      <c r="L54" s="159" t="s">
        <v>170</v>
      </c>
      <c r="M54" s="160" t="s">
        <v>178</v>
      </c>
      <c r="U54" s="28" t="s">
        <v>297</v>
      </c>
      <c r="V54" s="28" t="s">
        <v>297</v>
      </c>
      <c r="X54" s="28" t="s">
        <v>297</v>
      </c>
      <c r="Y54" s="28" t="s">
        <v>297</v>
      </c>
      <c r="AA54" s="2" t="s">
        <v>6</v>
      </c>
      <c r="AB54" s="2" t="str">
        <f t="shared" ref="AB54:AB61" si="70">IF(NOT(ISBLANK(AC54)),"-","")</f>
        <v>-</v>
      </c>
      <c r="AC54" s="2" t="s">
        <v>7</v>
      </c>
      <c r="AD54" s="2" t="str">
        <f t="shared" ref="AD54:AD61" si="71">IF(NOT(ISBLANK(AE54)),"_","")</f>
        <v>_</v>
      </c>
      <c r="AE54" s="2" t="s">
        <v>9</v>
      </c>
      <c r="AF54" s="2" t="str">
        <f t="shared" ref="AF54:AF61" si="72">IF(NOT(ISBLANK(AG54)),"_","")</f>
        <v/>
      </c>
      <c r="AG54" s="2"/>
      <c r="AH54" s="2" t="str">
        <f t="shared" ref="AH54:AH66" si="73">IF(NOT(ISBLANK(AI54)),"_","")</f>
        <v/>
      </c>
      <c r="AI54" s="2"/>
    </row>
    <row r="55" spans="1:35" x14ac:dyDescent="0.25">
      <c r="B55" s="2" t="str">
        <f t="shared" si="69"/>
        <v>@color-mtb:scale_0</v>
      </c>
      <c r="C55" s="161" t="s">
        <v>171</v>
      </c>
      <c r="D55" s="162" t="s">
        <v>179</v>
      </c>
      <c r="E55" s="156"/>
      <c r="F55" s="161" t="s">
        <v>171</v>
      </c>
      <c r="G55" s="162" t="s">
        <v>179</v>
      </c>
      <c r="H55" s="156"/>
      <c r="I55" s="161" t="s">
        <v>171</v>
      </c>
      <c r="J55" s="162" t="s">
        <v>179</v>
      </c>
      <c r="K55" s="156"/>
      <c r="L55" s="161" t="s">
        <v>171</v>
      </c>
      <c r="M55" s="162" t="s">
        <v>179</v>
      </c>
      <c r="U55" s="28" t="s">
        <v>297</v>
      </c>
      <c r="V55" s="28" t="s">
        <v>297</v>
      </c>
      <c r="X55" s="28" t="s">
        <v>297</v>
      </c>
      <c r="Y55" s="28" t="s">
        <v>297</v>
      </c>
      <c r="AA55" s="2" t="s">
        <v>6</v>
      </c>
      <c r="AB55" s="2" t="str">
        <f t="shared" si="70"/>
        <v>-</v>
      </c>
      <c r="AC55" s="2" t="s">
        <v>7</v>
      </c>
      <c r="AD55" s="2" t="str">
        <f t="shared" si="71"/>
        <v>_</v>
      </c>
      <c r="AE55" s="2">
        <v>0</v>
      </c>
      <c r="AF55" s="2" t="str">
        <f t="shared" si="72"/>
        <v/>
      </c>
      <c r="AH55" s="2" t="str">
        <f t="shared" si="73"/>
        <v/>
      </c>
    </row>
    <row r="56" spans="1:35" x14ac:dyDescent="0.25">
      <c r="B56" s="2" t="str">
        <f t="shared" si="69"/>
        <v>@color-mtb:scale_1</v>
      </c>
      <c r="C56" s="163" t="s">
        <v>172</v>
      </c>
      <c r="D56" s="164" t="s">
        <v>180</v>
      </c>
      <c r="E56" s="156"/>
      <c r="F56" s="163" t="s">
        <v>172</v>
      </c>
      <c r="G56" s="164" t="s">
        <v>180</v>
      </c>
      <c r="H56" s="156"/>
      <c r="I56" s="163" t="s">
        <v>172</v>
      </c>
      <c r="J56" s="164" t="s">
        <v>180</v>
      </c>
      <c r="K56" s="156"/>
      <c r="L56" s="163" t="s">
        <v>172</v>
      </c>
      <c r="M56" s="164" t="s">
        <v>180</v>
      </c>
      <c r="U56" s="28" t="s">
        <v>297</v>
      </c>
      <c r="V56" s="28" t="s">
        <v>297</v>
      </c>
      <c r="X56" s="28" t="s">
        <v>297</v>
      </c>
      <c r="Y56" s="28" t="s">
        <v>297</v>
      </c>
      <c r="AA56" s="2" t="s">
        <v>6</v>
      </c>
      <c r="AB56" s="2" t="str">
        <f t="shared" si="70"/>
        <v>-</v>
      </c>
      <c r="AC56" s="2" t="s">
        <v>7</v>
      </c>
      <c r="AD56" s="2" t="str">
        <f t="shared" si="71"/>
        <v>_</v>
      </c>
      <c r="AE56" s="2">
        <v>1</v>
      </c>
      <c r="AF56" s="2" t="str">
        <f t="shared" si="72"/>
        <v/>
      </c>
      <c r="AH56" s="2" t="str">
        <f t="shared" si="73"/>
        <v/>
      </c>
    </row>
    <row r="57" spans="1:35" x14ac:dyDescent="0.25">
      <c r="B57" s="2" t="str">
        <f t="shared" si="69"/>
        <v>@color-mtb:scale_2</v>
      </c>
      <c r="C57" s="165" t="s">
        <v>173</v>
      </c>
      <c r="D57" s="166" t="s">
        <v>181</v>
      </c>
      <c r="E57" s="156"/>
      <c r="F57" s="165" t="s">
        <v>173</v>
      </c>
      <c r="G57" s="166" t="s">
        <v>181</v>
      </c>
      <c r="H57" s="156"/>
      <c r="I57" s="165" t="s">
        <v>173</v>
      </c>
      <c r="J57" s="166" t="s">
        <v>181</v>
      </c>
      <c r="K57" s="156"/>
      <c r="L57" s="165" t="s">
        <v>173</v>
      </c>
      <c r="M57" s="166" t="s">
        <v>181</v>
      </c>
      <c r="U57" s="28" t="s">
        <v>297</v>
      </c>
      <c r="V57" s="28" t="s">
        <v>297</v>
      </c>
      <c r="X57" s="28" t="s">
        <v>297</v>
      </c>
      <c r="Y57" s="28" t="s">
        <v>297</v>
      </c>
      <c r="AA57" s="2" t="s">
        <v>6</v>
      </c>
      <c r="AB57" s="2" t="str">
        <f t="shared" si="70"/>
        <v>-</v>
      </c>
      <c r="AC57" s="2" t="s">
        <v>7</v>
      </c>
      <c r="AD57" s="2" t="str">
        <f t="shared" si="71"/>
        <v>_</v>
      </c>
      <c r="AE57" s="2">
        <v>2</v>
      </c>
      <c r="AF57" s="2" t="str">
        <f t="shared" si="72"/>
        <v/>
      </c>
      <c r="AH57" s="2" t="str">
        <f t="shared" si="73"/>
        <v/>
      </c>
    </row>
    <row r="58" spans="1:35" x14ac:dyDescent="0.25">
      <c r="B58" s="2" t="str">
        <f t="shared" si="69"/>
        <v>@color-mtb:scale_3</v>
      </c>
      <c r="C58" s="167" t="s">
        <v>174</v>
      </c>
      <c r="D58" s="167" t="s">
        <v>174</v>
      </c>
      <c r="E58" s="156"/>
      <c r="F58" s="167" t="s">
        <v>174</v>
      </c>
      <c r="G58" s="167" t="s">
        <v>174</v>
      </c>
      <c r="H58" s="156"/>
      <c r="I58" s="167" t="s">
        <v>174</v>
      </c>
      <c r="J58" s="167" t="s">
        <v>174</v>
      </c>
      <c r="K58" s="156"/>
      <c r="L58" s="167" t="s">
        <v>174</v>
      </c>
      <c r="M58" s="167" t="s">
        <v>174</v>
      </c>
      <c r="U58" s="28" t="s">
        <v>297</v>
      </c>
      <c r="V58" s="28" t="s">
        <v>297</v>
      </c>
      <c r="X58" s="28" t="s">
        <v>297</v>
      </c>
      <c r="Y58" s="28" t="s">
        <v>297</v>
      </c>
      <c r="AA58" s="2" t="s">
        <v>6</v>
      </c>
      <c r="AB58" s="2" t="str">
        <f t="shared" si="70"/>
        <v>-</v>
      </c>
      <c r="AC58" s="2" t="s">
        <v>7</v>
      </c>
      <c r="AD58" s="2" t="str">
        <f t="shared" si="71"/>
        <v>_</v>
      </c>
      <c r="AE58" s="2">
        <v>3</v>
      </c>
      <c r="AF58" s="2" t="str">
        <f t="shared" si="72"/>
        <v/>
      </c>
      <c r="AH58" s="2" t="str">
        <f t="shared" si="73"/>
        <v/>
      </c>
    </row>
    <row r="59" spans="1:35" x14ac:dyDescent="0.25">
      <c r="B59" s="2" t="str">
        <f t="shared" si="69"/>
        <v>@color-mtb:scale_4</v>
      </c>
      <c r="C59" s="168" t="s">
        <v>175</v>
      </c>
      <c r="D59" s="169" t="s">
        <v>182</v>
      </c>
      <c r="E59" s="156"/>
      <c r="F59" s="168" t="s">
        <v>175</v>
      </c>
      <c r="G59" s="169" t="s">
        <v>182</v>
      </c>
      <c r="H59" s="156"/>
      <c r="I59" s="168" t="s">
        <v>175</v>
      </c>
      <c r="J59" s="169" t="s">
        <v>182</v>
      </c>
      <c r="K59" s="156"/>
      <c r="L59" s="168" t="s">
        <v>175</v>
      </c>
      <c r="M59" s="169" t="s">
        <v>182</v>
      </c>
      <c r="U59" s="28" t="s">
        <v>297</v>
      </c>
      <c r="V59" s="28" t="s">
        <v>297</v>
      </c>
      <c r="X59" s="28" t="s">
        <v>297</v>
      </c>
      <c r="Y59" s="28" t="s">
        <v>297</v>
      </c>
      <c r="AA59" s="2" t="s">
        <v>6</v>
      </c>
      <c r="AB59" s="2" t="str">
        <f t="shared" si="70"/>
        <v>-</v>
      </c>
      <c r="AC59" s="2" t="s">
        <v>7</v>
      </c>
      <c r="AD59" s="2" t="str">
        <f t="shared" si="71"/>
        <v>_</v>
      </c>
      <c r="AE59" s="2">
        <v>4</v>
      </c>
      <c r="AF59" s="2" t="str">
        <f t="shared" si="72"/>
        <v/>
      </c>
      <c r="AH59" s="2" t="str">
        <f t="shared" si="73"/>
        <v/>
      </c>
    </row>
    <row r="60" spans="1:35" x14ac:dyDescent="0.25">
      <c r="B60" s="2" t="str">
        <f t="shared" si="69"/>
        <v>@color-mtb:scale_5</v>
      </c>
      <c r="C60" s="170" t="s">
        <v>176</v>
      </c>
      <c r="D60" s="171" t="s">
        <v>183</v>
      </c>
      <c r="E60" s="156"/>
      <c r="F60" s="170" t="s">
        <v>176</v>
      </c>
      <c r="G60" s="171" t="s">
        <v>183</v>
      </c>
      <c r="H60" s="156"/>
      <c r="I60" s="170" t="s">
        <v>176</v>
      </c>
      <c r="J60" s="171" t="s">
        <v>183</v>
      </c>
      <c r="K60" s="156"/>
      <c r="L60" s="170" t="s">
        <v>176</v>
      </c>
      <c r="M60" s="171" t="s">
        <v>183</v>
      </c>
      <c r="U60" s="28" t="s">
        <v>297</v>
      </c>
      <c r="V60" s="28" t="s">
        <v>297</v>
      </c>
      <c r="X60" s="28" t="s">
        <v>297</v>
      </c>
      <c r="Y60" s="28" t="s">
        <v>297</v>
      </c>
      <c r="AA60" s="2" t="s">
        <v>6</v>
      </c>
      <c r="AB60" s="2" t="str">
        <f t="shared" si="70"/>
        <v>-</v>
      </c>
      <c r="AC60" s="2" t="s">
        <v>7</v>
      </c>
      <c r="AD60" s="2" t="str">
        <f t="shared" si="71"/>
        <v>_</v>
      </c>
      <c r="AE60" s="2">
        <v>5</v>
      </c>
      <c r="AF60" s="2" t="str">
        <f t="shared" si="72"/>
        <v/>
      </c>
      <c r="AH60" s="2" t="str">
        <f t="shared" si="73"/>
        <v/>
      </c>
    </row>
    <row r="61" spans="1:35" x14ac:dyDescent="0.25">
      <c r="B61" s="2" t="str">
        <f t="shared" si="69"/>
        <v>@color-mtb:scale_6</v>
      </c>
      <c r="C61" s="172" t="s">
        <v>177</v>
      </c>
      <c r="D61" s="173" t="s">
        <v>184</v>
      </c>
      <c r="E61" s="156"/>
      <c r="F61" s="172" t="s">
        <v>177</v>
      </c>
      <c r="G61" s="173" t="s">
        <v>184</v>
      </c>
      <c r="H61" s="156"/>
      <c r="I61" s="172" t="s">
        <v>177</v>
      </c>
      <c r="J61" s="173" t="s">
        <v>184</v>
      </c>
      <c r="K61" s="156"/>
      <c r="L61" s="172" t="s">
        <v>177</v>
      </c>
      <c r="M61" s="173" t="s">
        <v>184</v>
      </c>
      <c r="U61" s="28" t="s">
        <v>297</v>
      </c>
      <c r="V61" s="28" t="s">
        <v>297</v>
      </c>
      <c r="X61" s="28" t="s">
        <v>297</v>
      </c>
      <c r="Y61" s="28" t="s">
        <v>297</v>
      </c>
      <c r="AA61" s="2" t="s">
        <v>6</v>
      </c>
      <c r="AB61" s="2" t="str">
        <f t="shared" si="70"/>
        <v>-</v>
      </c>
      <c r="AC61" s="2" t="s">
        <v>7</v>
      </c>
      <c r="AD61" s="2" t="str">
        <f t="shared" si="71"/>
        <v>_</v>
      </c>
      <c r="AE61" s="2">
        <v>6</v>
      </c>
      <c r="AF61" s="2" t="str">
        <f t="shared" si="72"/>
        <v/>
      </c>
      <c r="AH61" s="2" t="str">
        <f t="shared" si="73"/>
        <v/>
      </c>
    </row>
    <row r="62" spans="1:35" x14ac:dyDescent="0.25">
      <c r="B62" s="2" t="str">
        <f t="shared" si="69"/>
        <v>@color-mtb:scale_null</v>
      </c>
      <c r="C62" s="174" t="s">
        <v>222</v>
      </c>
      <c r="D62" s="174" t="s">
        <v>222</v>
      </c>
      <c r="E62" s="156"/>
      <c r="F62" s="175" t="s">
        <v>281</v>
      </c>
      <c r="G62" s="175" t="s">
        <v>281</v>
      </c>
      <c r="H62" s="156"/>
      <c r="I62" s="174" t="s">
        <v>222</v>
      </c>
      <c r="J62" s="174" t="s">
        <v>222</v>
      </c>
      <c r="K62" s="156"/>
      <c r="L62" s="175" t="s">
        <v>281</v>
      </c>
      <c r="M62" s="175" t="s">
        <v>281</v>
      </c>
      <c r="U62" s="28" t="s">
        <v>297</v>
      </c>
      <c r="V62" s="28" t="s">
        <v>297</v>
      </c>
      <c r="X62" s="28" t="s">
        <v>297</v>
      </c>
      <c r="Y62" s="28" t="s">
        <v>297</v>
      </c>
      <c r="AA62" s="2" t="s">
        <v>6</v>
      </c>
      <c r="AB62" s="2" t="str">
        <f t="shared" ref="AB62" si="74">IF(NOT(ISBLANK(AC62)),"-","")</f>
        <v>-</v>
      </c>
      <c r="AC62" s="2" t="s">
        <v>7</v>
      </c>
      <c r="AD62" s="2" t="str">
        <f t="shared" ref="AD62" si="75">IF(NOT(ISBLANK(AE62)),"_","")</f>
        <v>_</v>
      </c>
      <c r="AE62" s="2" t="s">
        <v>297</v>
      </c>
      <c r="AF62" s="2" t="str">
        <f t="shared" ref="AF62" si="76">IF(NOT(ISBLANK(AG62)),"_","")</f>
        <v/>
      </c>
      <c r="AH62" s="2" t="str">
        <f t="shared" si="73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3"/>
        <v/>
      </c>
    </row>
    <row r="64" spans="1:35" x14ac:dyDescent="0.25">
      <c r="B64" s="2" t="str">
        <f>_xlfn.CONCAT("@",AA64,AB64,AC64,AD64,AE64,AF64,AG64,AH64,AI64)</f>
        <v>@color-mtb:winter_1</v>
      </c>
      <c r="C64" s="28" t="s">
        <v>297</v>
      </c>
      <c r="D64" s="28" t="s">
        <v>297</v>
      </c>
      <c r="F64" s="28" t="s">
        <v>297</v>
      </c>
      <c r="G64" s="28" t="s">
        <v>297</v>
      </c>
      <c r="I64" s="28" t="s">
        <v>297</v>
      </c>
      <c r="J64" s="28" t="s">
        <v>297</v>
      </c>
      <c r="L64" s="28" t="s">
        <v>297</v>
      </c>
      <c r="M64" s="28" t="s">
        <v>297</v>
      </c>
      <c r="O64" s="40"/>
      <c r="P64" s="40"/>
      <c r="R64" s="40"/>
      <c r="S64" s="40"/>
      <c r="U64" s="41" t="s">
        <v>171</v>
      </c>
      <c r="V64" s="42" t="s">
        <v>179</v>
      </c>
      <c r="X64" s="41" t="s">
        <v>171</v>
      </c>
      <c r="Y64" s="42" t="s">
        <v>179</v>
      </c>
      <c r="AA64" s="2" t="s">
        <v>6</v>
      </c>
      <c r="AB64" s="2" t="str">
        <f t="shared" ref="AB64" si="77">IF(NOT(ISBLANK(AC64)),"-","")</f>
        <v>-</v>
      </c>
      <c r="AC64" s="2" t="s">
        <v>225</v>
      </c>
      <c r="AD64" s="2" t="str">
        <f t="shared" ref="AD64" si="78">IF(NOT(ISBLANK(AE64)),"_","")</f>
        <v>_</v>
      </c>
      <c r="AE64" s="2">
        <v>1</v>
      </c>
      <c r="AF64" s="2" t="str">
        <f t="shared" ref="AF64" si="79">IF(NOT(ISBLANK(AG64)),"_","")</f>
        <v/>
      </c>
      <c r="AH64" s="2" t="str">
        <f t="shared" si="73"/>
        <v/>
      </c>
    </row>
    <row r="65" spans="2:34" x14ac:dyDescent="0.25">
      <c r="B65" s="2" t="str">
        <f t="shared" ref="B65:B66" si="80">_xlfn.CONCAT("@",AA65,AB65,AC65,AD65,AE65,AF65,AG65,AH65,AI65)</f>
        <v>@color-mtb:winter_2</v>
      </c>
      <c r="C65" s="28" t="s">
        <v>297</v>
      </c>
      <c r="D65" s="28" t="s">
        <v>297</v>
      </c>
      <c r="F65" s="28" t="s">
        <v>297</v>
      </c>
      <c r="G65" s="28" t="s">
        <v>297</v>
      </c>
      <c r="I65" s="28" t="s">
        <v>297</v>
      </c>
      <c r="J65" s="28" t="s">
        <v>297</v>
      </c>
      <c r="L65" s="28" t="s">
        <v>297</v>
      </c>
      <c r="M65" s="28" t="s">
        <v>297</v>
      </c>
      <c r="O65" s="40"/>
      <c r="P65" s="40"/>
      <c r="R65" s="40"/>
      <c r="S65" s="40"/>
      <c r="U65" s="43" t="s">
        <v>172</v>
      </c>
      <c r="V65" s="44" t="s">
        <v>180</v>
      </c>
      <c r="X65" s="43" t="s">
        <v>172</v>
      </c>
      <c r="Y65" s="44" t="s">
        <v>180</v>
      </c>
      <c r="AA65" s="2" t="s">
        <v>6</v>
      </c>
      <c r="AB65" s="2" t="str">
        <f t="shared" ref="AB65:AB66" si="81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3"/>
        <v/>
      </c>
    </row>
    <row r="66" spans="2:34" x14ac:dyDescent="0.25">
      <c r="B66" s="2" t="str">
        <f t="shared" si="80"/>
        <v>@color-mtb:winter_3</v>
      </c>
      <c r="C66" s="28" t="s">
        <v>297</v>
      </c>
      <c r="D66" s="28" t="s">
        <v>297</v>
      </c>
      <c r="F66" s="28" t="s">
        <v>297</v>
      </c>
      <c r="G66" s="28" t="s">
        <v>297</v>
      </c>
      <c r="I66" s="28" t="s">
        <v>297</v>
      </c>
      <c r="J66" s="28" t="s">
        <v>297</v>
      </c>
      <c r="L66" s="28" t="s">
        <v>297</v>
      </c>
      <c r="M66" s="28" t="s">
        <v>297</v>
      </c>
      <c r="O66" s="40"/>
      <c r="P66" s="40"/>
      <c r="R66" s="40"/>
      <c r="S66" s="40"/>
      <c r="U66" s="45" t="s">
        <v>173</v>
      </c>
      <c r="V66" s="46" t="s">
        <v>181</v>
      </c>
      <c r="X66" s="45" t="s">
        <v>173</v>
      </c>
      <c r="Y66" s="46" t="s">
        <v>181</v>
      </c>
      <c r="AA66" s="2" t="s">
        <v>6</v>
      </c>
      <c r="AB66" s="2" t="str">
        <f t="shared" si="81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3"/>
        <v/>
      </c>
    </row>
    <row r="67" spans="2:34" x14ac:dyDescent="0.25">
      <c r="B67" s="2" t="str">
        <f t="shared" ref="B67" si="82">_xlfn.CONCAT("@",AA67,AB67,AC67,AD67,AE67,AF67,AG67,AH67,AI67)</f>
        <v>@color-mtb:winter_null</v>
      </c>
      <c r="C67" s="28" t="s">
        <v>297</v>
      </c>
      <c r="D67" s="28" t="s">
        <v>297</v>
      </c>
      <c r="F67" s="28" t="s">
        <v>297</v>
      </c>
      <c r="G67" s="28" t="s">
        <v>297</v>
      </c>
      <c r="I67" s="28" t="s">
        <v>297</v>
      </c>
      <c r="J67" s="28" t="s">
        <v>297</v>
      </c>
      <c r="L67" s="28" t="s">
        <v>297</v>
      </c>
      <c r="M67" s="28" t="s">
        <v>297</v>
      </c>
      <c r="O67" s="40"/>
      <c r="P67" s="40"/>
      <c r="R67" s="40"/>
      <c r="S67" s="40"/>
      <c r="U67" s="38" t="s">
        <v>222</v>
      </c>
      <c r="V67" s="38" t="s">
        <v>222</v>
      </c>
      <c r="X67" s="136" t="s">
        <v>300</v>
      </c>
      <c r="Y67" s="136" t="s">
        <v>300</v>
      </c>
      <c r="AA67" s="2" t="s">
        <v>6</v>
      </c>
      <c r="AB67" s="2" t="str">
        <f t="shared" ref="AB67" si="83">IF(NOT(ISBLANK(AC67)),"-","")</f>
        <v>-</v>
      </c>
      <c r="AC67" s="2" t="s">
        <v>225</v>
      </c>
      <c r="AD67" s="2" t="str">
        <f>IF(NOT(ISBLANK(AE67)),"_","")</f>
        <v>_</v>
      </c>
      <c r="AE67" s="2" t="s">
        <v>297</v>
      </c>
      <c r="AF67" s="2" t="str">
        <f>IF(NOT(ISBLANK(AG67)),"_","")</f>
        <v/>
      </c>
      <c r="AH67" s="2" t="str">
        <f t="shared" ref="AH67" si="84">IF(NOT(ISBLANK(AI67)),"_","")</f>
        <v/>
      </c>
    </row>
    <row r="68" spans="2:34" x14ac:dyDescent="0.25">
      <c r="B68" s="2"/>
      <c r="AA68" s="2"/>
      <c r="AB68" s="2"/>
      <c r="AC68" s="2"/>
      <c r="AD68" s="2"/>
      <c r="AE68" s="2"/>
    </row>
    <row r="69" spans="2:34" x14ac:dyDescent="0.25">
      <c r="B69" s="2" t="str">
        <f t="shared" ref="B69:B84" si="85">_xlfn.CONCAT("@",AA69,AB69,AC69,AD69,AE69,AF69,AG69,AH69,AI69)</f>
        <v>@case_width-path_narrow_z11</v>
      </c>
      <c r="C69" s="28" t="s">
        <v>80</v>
      </c>
      <c r="D69" s="28" t="s">
        <v>85</v>
      </c>
      <c r="F69" s="28" t="s">
        <v>80</v>
      </c>
      <c r="G69" s="28" t="s">
        <v>85</v>
      </c>
      <c r="I69" s="28" t="s">
        <v>95</v>
      </c>
      <c r="L69" s="28" t="s">
        <v>95</v>
      </c>
      <c r="U69" s="28" t="s">
        <v>80</v>
      </c>
      <c r="V69" s="28" t="s">
        <v>85</v>
      </c>
      <c r="X69" s="28" t="s">
        <v>80</v>
      </c>
      <c r="Y69" s="28" t="s">
        <v>85</v>
      </c>
      <c r="AA69" s="2" t="s">
        <v>78</v>
      </c>
      <c r="AB69" s="2" t="str">
        <f t="shared" ref="AB69" si="86">IF(NOT(ISBLANK(AC69)),"-","")</f>
        <v>-</v>
      </c>
      <c r="AC69" s="2" t="s">
        <v>71</v>
      </c>
      <c r="AD69" s="2" t="str">
        <f t="shared" ref="AD69" si="87">IF(NOT(ISBLANK(AE69)),"_","")</f>
        <v>_</v>
      </c>
      <c r="AE69" s="2" t="s">
        <v>72</v>
      </c>
      <c r="AF69" s="2" t="str">
        <f t="shared" ref="AF69" si="88">IF(NOT(ISBLANK(AG69)),"_","")</f>
        <v>_</v>
      </c>
      <c r="AG69" s="28" t="s">
        <v>70</v>
      </c>
      <c r="AH69" s="2" t="str">
        <f t="shared" ref="AH69:AH84" si="89">IF(NOT(ISBLANK(AI69)),"_","")</f>
        <v/>
      </c>
    </row>
    <row r="70" spans="2:34" x14ac:dyDescent="0.25">
      <c r="B70" s="2" t="str">
        <f t="shared" si="85"/>
        <v>@case_width-path_medium_z11</v>
      </c>
      <c r="C70" s="28" t="s">
        <v>84</v>
      </c>
      <c r="D70" s="28" t="s">
        <v>88</v>
      </c>
      <c r="F70" s="28" t="s">
        <v>84</v>
      </c>
      <c r="G70" s="28" t="s">
        <v>88</v>
      </c>
      <c r="I70" s="28" t="s">
        <v>96</v>
      </c>
      <c r="L70" s="28" t="s">
        <v>96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0">IF(NOT(ISBLANK(AC70)),"-","")</f>
        <v>-</v>
      </c>
      <c r="AC70" s="2" t="s">
        <v>71</v>
      </c>
      <c r="AD70" s="2" t="str">
        <f t="shared" ref="AD70" si="91">IF(NOT(ISBLANK(AE70)),"_","")</f>
        <v>_</v>
      </c>
      <c r="AE70" s="2" t="s">
        <v>79</v>
      </c>
      <c r="AF70" s="2" t="str">
        <f t="shared" ref="AF70" si="92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U71" s="28" t="s">
        <v>85</v>
      </c>
      <c r="V71" s="28" t="s">
        <v>92</v>
      </c>
      <c r="X71" s="28" t="s">
        <v>85</v>
      </c>
      <c r="Y71" s="28" t="s">
        <v>92</v>
      </c>
      <c r="AA71" s="2" t="s">
        <v>78</v>
      </c>
      <c r="AB71" s="2" t="str">
        <f t="shared" ref="AB71:AB74" si="93">IF(NOT(ISBLANK(AC71)),"-","")</f>
        <v>-</v>
      </c>
      <c r="AC71" s="2" t="s">
        <v>71</v>
      </c>
      <c r="AD71" s="2" t="str">
        <f t="shared" ref="AD71:AD74" si="94">IF(NOT(ISBLANK(AE71)),"_","")</f>
        <v>_</v>
      </c>
      <c r="AE71" s="2" t="s">
        <v>77</v>
      </c>
      <c r="AF71" s="2" t="str">
        <f t="shared" ref="AF71:AF74" si="95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@case_width-path_widest_z11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85</v>
      </c>
      <c r="V72" s="28" t="s">
        <v>92</v>
      </c>
      <c r="X72" s="28" t="s">
        <v>85</v>
      </c>
      <c r="Y72" s="28" t="s">
        <v>92</v>
      </c>
      <c r="AA72" s="2" t="s">
        <v>78</v>
      </c>
      <c r="AB72" s="2" t="str">
        <f t="shared" ref="AB72" si="96">IF(NOT(ISBLANK(AC72)),"-","")</f>
        <v>-</v>
      </c>
      <c r="AC72" s="2" t="s">
        <v>71</v>
      </c>
      <c r="AD72" s="2" t="str">
        <f t="shared" ref="AD72" si="97">IF(NOT(ISBLANK(AE72)),"_","")</f>
        <v>_</v>
      </c>
      <c r="AE72" s="2" t="s">
        <v>296</v>
      </c>
      <c r="AF72" s="2" t="str">
        <f t="shared" ref="AF72" si="98">IF(NOT(ISBLANK(AG72)),"_","")</f>
        <v>_</v>
      </c>
      <c r="AG72" s="28" t="s">
        <v>70</v>
      </c>
      <c r="AH72" s="2" t="str">
        <f t="shared" si="89"/>
        <v/>
      </c>
    </row>
    <row r="73" spans="2:34" x14ac:dyDescent="0.25">
      <c r="B73" s="2" t="str">
        <f t="shared" si="85"/>
        <v>@case_width-path_narrow_z14</v>
      </c>
      <c r="C73" s="28" t="s">
        <v>81</v>
      </c>
      <c r="D73" s="28" t="s">
        <v>90</v>
      </c>
      <c r="F73" s="28" t="s">
        <v>81</v>
      </c>
      <c r="G73" s="28" t="s">
        <v>90</v>
      </c>
      <c r="I73" s="28" t="s">
        <v>80</v>
      </c>
      <c r="L73" s="28" t="s">
        <v>80</v>
      </c>
      <c r="U73" s="28" t="s">
        <v>81</v>
      </c>
      <c r="V73" s="28" t="s">
        <v>90</v>
      </c>
      <c r="X73" s="28" t="s">
        <v>81</v>
      </c>
      <c r="Y73" s="28" t="s">
        <v>90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72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@case_width-path_medium_z14</v>
      </c>
      <c r="C74" s="28" t="s">
        <v>85</v>
      </c>
      <c r="D74" s="28" t="s">
        <v>92</v>
      </c>
      <c r="F74" s="28" t="s">
        <v>85</v>
      </c>
      <c r="G74" s="28" t="s">
        <v>92</v>
      </c>
      <c r="I74" s="28" t="s">
        <v>97</v>
      </c>
      <c r="L74" s="28" t="s">
        <v>97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3"/>
        <v>-</v>
      </c>
      <c r="AC74" s="2" t="s">
        <v>71</v>
      </c>
      <c r="AD74" s="2" t="str">
        <f t="shared" si="94"/>
        <v>_</v>
      </c>
      <c r="AE74" s="2" t="s">
        <v>79</v>
      </c>
      <c r="AF74" s="2" t="str">
        <f t="shared" si="95"/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U75" s="28" t="s">
        <v>88</v>
      </c>
      <c r="V75" s="28" t="s">
        <v>86</v>
      </c>
      <c r="X75" s="28" t="s">
        <v>88</v>
      </c>
      <c r="Y75" s="28" t="s">
        <v>86</v>
      </c>
      <c r="AA75" s="2" t="s">
        <v>78</v>
      </c>
      <c r="AB75" s="2" t="str">
        <f t="shared" ref="AB75:AB78" si="99">IF(NOT(ISBLANK(AC75)),"-","")</f>
        <v>-</v>
      </c>
      <c r="AC75" s="2" t="s">
        <v>71</v>
      </c>
      <c r="AD75" s="2" t="str">
        <f t="shared" ref="AD75:AD78" si="100">IF(NOT(ISBLANK(AE75)),"_","")</f>
        <v>_</v>
      </c>
      <c r="AE75" s="2" t="s">
        <v>77</v>
      </c>
      <c r="AF75" s="2" t="str">
        <f t="shared" ref="AF75:AF78" si="101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@case_width-path_widest_z14</v>
      </c>
      <c r="C76" s="28" t="s">
        <v>88</v>
      </c>
      <c r="D76" s="28" t="s">
        <v>86</v>
      </c>
      <c r="F76" s="28" t="s">
        <v>88</v>
      </c>
      <c r="G76" s="28" t="s">
        <v>86</v>
      </c>
      <c r="I76" s="28" t="s">
        <v>100</v>
      </c>
      <c r="L76" s="28" t="s">
        <v>100</v>
      </c>
      <c r="U76" s="28" t="s">
        <v>88</v>
      </c>
      <c r="V76" s="28" t="s">
        <v>86</v>
      </c>
      <c r="X76" s="28" t="s">
        <v>88</v>
      </c>
      <c r="Y76" s="28" t="s">
        <v>86</v>
      </c>
      <c r="AA76" s="2" t="s">
        <v>78</v>
      </c>
      <c r="AB76" s="2" t="str">
        <f t="shared" ref="AB76" si="102">IF(NOT(ISBLANK(AC76)),"-","")</f>
        <v>-</v>
      </c>
      <c r="AC76" s="2" t="s">
        <v>71</v>
      </c>
      <c r="AD76" s="2" t="str">
        <f t="shared" ref="AD76" si="103">IF(NOT(ISBLANK(AE76)),"_","")</f>
        <v>_</v>
      </c>
      <c r="AE76" s="2" t="s">
        <v>296</v>
      </c>
      <c r="AF76" s="2" t="str">
        <f t="shared" ref="AF76" si="104">IF(NOT(ISBLANK(AG76)),"_","")</f>
        <v>_</v>
      </c>
      <c r="AG76" s="28" t="s">
        <v>74</v>
      </c>
      <c r="AH76" s="2" t="str">
        <f t="shared" si="89"/>
        <v/>
      </c>
    </row>
    <row r="77" spans="2:34" x14ac:dyDescent="0.25">
      <c r="B77" s="2" t="str">
        <f t="shared" si="85"/>
        <v>@case_width-path_narrow_z16</v>
      </c>
      <c r="C77" s="28" t="s">
        <v>88</v>
      </c>
      <c r="D77" s="28" t="s">
        <v>88</v>
      </c>
      <c r="F77" s="28" t="s">
        <v>88</v>
      </c>
      <c r="G77" s="28" t="s">
        <v>88</v>
      </c>
      <c r="I77" s="28" t="s">
        <v>80</v>
      </c>
      <c r="L77" s="28" t="s">
        <v>80</v>
      </c>
      <c r="U77" s="28" t="s">
        <v>88</v>
      </c>
      <c r="V77" s="28" t="s">
        <v>88</v>
      </c>
      <c r="X77" s="28" t="s">
        <v>88</v>
      </c>
      <c r="Y77" s="28" t="s">
        <v>88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72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@case_width-path_medium_z16</v>
      </c>
      <c r="C78" s="28" t="s">
        <v>86</v>
      </c>
      <c r="D78" s="28" t="s">
        <v>86</v>
      </c>
      <c r="F78" s="28" t="s">
        <v>86</v>
      </c>
      <c r="G78" s="28" t="s">
        <v>86</v>
      </c>
      <c r="I78" s="28" t="s">
        <v>98</v>
      </c>
      <c r="L78" s="28" t="s">
        <v>98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99"/>
        <v>-</v>
      </c>
      <c r="AC78" s="2" t="s">
        <v>71</v>
      </c>
      <c r="AD78" s="2" t="str">
        <f t="shared" si="100"/>
        <v>_</v>
      </c>
      <c r="AE78" s="2" t="s">
        <v>79</v>
      </c>
      <c r="AF78" s="2" t="str">
        <f t="shared" si="101"/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U79" s="28" t="s">
        <v>87</v>
      </c>
      <c r="V79" s="28" t="s">
        <v>87</v>
      </c>
      <c r="X79" s="28" t="s">
        <v>87</v>
      </c>
      <c r="Y79" s="28" t="s">
        <v>87</v>
      </c>
      <c r="AA79" s="2" t="s">
        <v>78</v>
      </c>
      <c r="AB79" s="2" t="str">
        <f t="shared" ref="AB79:AB82" si="105">IF(NOT(ISBLANK(AC79)),"-","")</f>
        <v>-</v>
      </c>
      <c r="AC79" s="2" t="s">
        <v>71</v>
      </c>
      <c r="AD79" s="2" t="str">
        <f t="shared" ref="AD79:AD82" si="106">IF(NOT(ISBLANK(AE79)),"_","")</f>
        <v>_</v>
      </c>
      <c r="AE79" s="2" t="s">
        <v>77</v>
      </c>
      <c r="AF79" s="2" t="str">
        <f t="shared" ref="AF79:AF82" si="107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@case_width-path_widest_z16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91</v>
      </c>
      <c r="L80" s="28" t="s">
        <v>91</v>
      </c>
      <c r="U80" s="28" t="s">
        <v>87</v>
      </c>
      <c r="V80" s="28" t="s">
        <v>87</v>
      </c>
      <c r="X80" s="28" t="s">
        <v>87</v>
      </c>
      <c r="Y80" s="28" t="s">
        <v>87</v>
      </c>
      <c r="AA80" s="2" t="s">
        <v>78</v>
      </c>
      <c r="AB80" s="2" t="str">
        <f t="shared" ref="AB80" si="108">IF(NOT(ISBLANK(AC80)),"-","")</f>
        <v>-</v>
      </c>
      <c r="AC80" s="2" t="s">
        <v>71</v>
      </c>
      <c r="AD80" s="2" t="str">
        <f t="shared" ref="AD80" si="109">IF(NOT(ISBLANK(AE80)),"_","")</f>
        <v>_</v>
      </c>
      <c r="AE80" s="2" t="s">
        <v>296</v>
      </c>
      <c r="AF80" s="2" t="str">
        <f t="shared" ref="AF80" si="110">IF(NOT(ISBLANK(AG80)),"_","")</f>
        <v>_</v>
      </c>
      <c r="AG80" s="28" t="s">
        <v>75</v>
      </c>
      <c r="AH80" s="2" t="str">
        <f t="shared" si="89"/>
        <v/>
      </c>
    </row>
    <row r="81" spans="2:34" x14ac:dyDescent="0.25">
      <c r="B81" s="2" t="str">
        <f t="shared" si="85"/>
        <v>@case_width-path_narrow_z18</v>
      </c>
      <c r="C81" s="28" t="s">
        <v>83</v>
      </c>
      <c r="D81" s="28" t="s">
        <v>91</v>
      </c>
      <c r="F81" s="28" t="s">
        <v>83</v>
      </c>
      <c r="G81" s="28" t="s">
        <v>91</v>
      </c>
      <c r="I81" s="28" t="s">
        <v>84</v>
      </c>
      <c r="L81" s="28" t="s">
        <v>84</v>
      </c>
      <c r="U81" s="28" t="s">
        <v>83</v>
      </c>
      <c r="V81" s="28" t="s">
        <v>91</v>
      </c>
      <c r="X81" s="28" t="s">
        <v>83</v>
      </c>
      <c r="Y81" s="28" t="s">
        <v>91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72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@case_width-path_medium_z18</v>
      </c>
      <c r="C82" s="28" t="s">
        <v>87</v>
      </c>
      <c r="D82" s="28" t="s">
        <v>93</v>
      </c>
      <c r="F82" s="28" t="s">
        <v>87</v>
      </c>
      <c r="G82" s="28" t="s">
        <v>93</v>
      </c>
      <c r="I82" s="28" t="s">
        <v>99</v>
      </c>
      <c r="L82" s="28" t="s">
        <v>99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5"/>
        <v>-</v>
      </c>
      <c r="AC82" s="2" t="s">
        <v>71</v>
      </c>
      <c r="AD82" s="2" t="str">
        <f t="shared" si="106"/>
        <v>_</v>
      </c>
      <c r="AE82" s="2" t="s">
        <v>79</v>
      </c>
      <c r="AF82" s="2" t="str">
        <f t="shared" si="107"/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U83" s="28" t="s">
        <v>89</v>
      </c>
      <c r="V83" s="28" t="s">
        <v>94</v>
      </c>
      <c r="X83" s="28" t="s">
        <v>89</v>
      </c>
      <c r="Y83" s="28" t="s">
        <v>94</v>
      </c>
      <c r="AA83" s="2" t="s">
        <v>78</v>
      </c>
      <c r="AB83" s="2" t="str">
        <f t="shared" ref="AB83" si="111">IF(NOT(ISBLANK(AC83)),"-","")</f>
        <v>-</v>
      </c>
      <c r="AC83" s="2" t="s">
        <v>71</v>
      </c>
      <c r="AD83" s="2" t="str">
        <f t="shared" ref="AD83" si="112">IF(NOT(ISBLANK(AE83)),"_","")</f>
        <v>_</v>
      </c>
      <c r="AE83" s="2" t="s">
        <v>77</v>
      </c>
      <c r="AF83" s="2" t="str">
        <f t="shared" ref="AF83" si="113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 t="str">
        <f t="shared" si="85"/>
        <v>@case_width-path_widest_z18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332</v>
      </c>
      <c r="L84" s="28" t="s">
        <v>332</v>
      </c>
      <c r="U84" s="28" t="s">
        <v>89</v>
      </c>
      <c r="V84" s="28" t="s">
        <v>94</v>
      </c>
      <c r="X84" s="28" t="s">
        <v>89</v>
      </c>
      <c r="Y84" s="28" t="s">
        <v>94</v>
      </c>
      <c r="AA84" s="2" t="s">
        <v>78</v>
      </c>
      <c r="AB84" s="2" t="str">
        <f t="shared" ref="AB84" si="114">IF(NOT(ISBLANK(AC84)),"-","")</f>
        <v>-</v>
      </c>
      <c r="AC84" s="2" t="s">
        <v>71</v>
      </c>
      <c r="AD84" s="2" t="str">
        <f t="shared" ref="AD84" si="115">IF(NOT(ISBLANK(AE84)),"_","")</f>
        <v>_</v>
      </c>
      <c r="AE84" s="2" t="s">
        <v>296</v>
      </c>
      <c r="AF84" s="2" t="str">
        <f t="shared" ref="AF84" si="116">IF(NOT(ISBLANK(AG84)),"_","")</f>
        <v>_</v>
      </c>
      <c r="AG84" s="28" t="s">
        <v>76</v>
      </c>
      <c r="AH84" s="2" t="str">
        <f t="shared" si="89"/>
        <v/>
      </c>
    </row>
    <row r="85" spans="2:34" x14ac:dyDescent="0.25">
      <c r="B85" s="2"/>
      <c r="AA85" s="2"/>
      <c r="AB85" s="2"/>
      <c r="AC85" s="2"/>
      <c r="AD85" s="2"/>
      <c r="AE85" s="2"/>
      <c r="AF85" s="2"/>
      <c r="AH85" s="2"/>
    </row>
    <row r="86" spans="2:34" x14ac:dyDescent="0.25">
      <c r="B86" s="2" t="str">
        <f t="shared" ref="B86" si="117">_xlfn.CONCAT("@",AA86,AB86,AC86,AD86,AE86,AF86,AG86,AH86,AI86)</f>
        <v>@color-path_track_footway_cycleway_railings</v>
      </c>
      <c r="C86" s="48" t="s">
        <v>214</v>
      </c>
      <c r="D86" s="48" t="s">
        <v>214</v>
      </c>
      <c r="F86" s="31" t="s">
        <v>281</v>
      </c>
      <c r="G86" s="31" t="s">
        <v>281</v>
      </c>
      <c r="I86" s="48" t="s">
        <v>214</v>
      </c>
      <c r="J86" s="48" t="s">
        <v>214</v>
      </c>
      <c r="L86" s="31" t="s">
        <v>281</v>
      </c>
      <c r="M86" s="31" t="s">
        <v>281</v>
      </c>
      <c r="U86" s="48" t="s">
        <v>214</v>
      </c>
      <c r="V86" s="48" t="s">
        <v>214</v>
      </c>
      <c r="X86" s="31" t="s">
        <v>281</v>
      </c>
      <c r="Y86" s="31" t="s">
        <v>281</v>
      </c>
      <c r="AA86" s="2" t="s">
        <v>6</v>
      </c>
      <c r="AB86" s="2" t="str">
        <f t="shared" ref="AB86" si="118">IF(NOT(ISBLANK(AC86)),"-","")</f>
        <v>-</v>
      </c>
      <c r="AC86" s="2" t="s">
        <v>349</v>
      </c>
      <c r="AD86" s="2" t="str">
        <f t="shared" ref="AD86" si="119">IF(NOT(ISBLANK(AE86)),"_","")</f>
        <v>_</v>
      </c>
      <c r="AE86" s="2" t="s">
        <v>342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 t="str">
        <f t="shared" ref="B87" si="122">_xlfn.CONCAT("@",AA87,AB87,AC87,AD87,AE87,AF87,AG87,AH87,AI87)</f>
        <v>@color-path_track_footway_cycleway_floor</v>
      </c>
      <c r="C87" s="47" t="s">
        <v>222</v>
      </c>
      <c r="D87" s="47" t="s">
        <v>222</v>
      </c>
      <c r="F87" s="48" t="s">
        <v>214</v>
      </c>
      <c r="G87" s="48" t="s">
        <v>214</v>
      </c>
      <c r="I87" s="47" t="s">
        <v>222</v>
      </c>
      <c r="J87" s="47" t="s">
        <v>222</v>
      </c>
      <c r="L87" s="48" t="s">
        <v>214</v>
      </c>
      <c r="M87" s="48" t="s">
        <v>214</v>
      </c>
      <c r="U87" s="47" t="s">
        <v>222</v>
      </c>
      <c r="V87" s="47" t="s">
        <v>222</v>
      </c>
      <c r="X87" s="48" t="s">
        <v>214</v>
      </c>
      <c r="Y87" s="48" t="s">
        <v>214</v>
      </c>
      <c r="AA87" s="2" t="s">
        <v>6</v>
      </c>
      <c r="AB87" s="2" t="str">
        <f t="shared" ref="AB87" si="123">IF(NOT(ISBLANK(AC87)),"-","")</f>
        <v>-</v>
      </c>
      <c r="AC87" s="2" t="s">
        <v>349</v>
      </c>
      <c r="AD87" s="2" t="str">
        <f t="shared" ref="AD87" si="124">IF(NOT(ISBLANK(AE87)),"_","")</f>
        <v>_</v>
      </c>
      <c r="AE87" s="2" t="s">
        <v>343</v>
      </c>
      <c r="AF87" s="2" t="str">
        <f t="shared" ref="AF87" si="125">IF(NOT(ISBLANK(AG87)),"_","")</f>
        <v/>
      </c>
      <c r="AH87" s="2" t="str">
        <f t="shared" ref="AH87" si="126">IF(NOT(ISBLANK(AI87)),"_","")</f>
        <v/>
      </c>
    </row>
    <row r="88" spans="2:34" x14ac:dyDescent="0.25">
      <c r="B88" s="2"/>
      <c r="AA88" s="2"/>
      <c r="AB88" s="2"/>
      <c r="AC88" s="2"/>
      <c r="AD88" s="2"/>
      <c r="AE88" s="2"/>
      <c r="AF88" s="2"/>
      <c r="AH88" s="2"/>
    </row>
    <row r="89" spans="2:34" x14ac:dyDescent="0.25">
      <c r="B89" s="2" t="str">
        <f t="shared" ref="B89" si="127">_xlfn.CONCAT("@",AA89,AB89,AC89,AD89,AE89,AF89,AG89,AH89,AI89)</f>
        <v>@case_width-path_track_footway_cycleway_railings_z12</v>
      </c>
      <c r="C89" s="28" t="s">
        <v>131</v>
      </c>
      <c r="D89" s="28" t="s">
        <v>131</v>
      </c>
      <c r="F89" s="28" t="s">
        <v>131</v>
      </c>
      <c r="G89" s="28" t="s">
        <v>131</v>
      </c>
      <c r="I89" s="28" t="s">
        <v>131</v>
      </c>
      <c r="J89" s="28" t="s">
        <v>82</v>
      </c>
      <c r="L89" s="28" t="s">
        <v>131</v>
      </c>
      <c r="M89" s="28" t="s">
        <v>82</v>
      </c>
      <c r="U89" s="28" t="s">
        <v>131</v>
      </c>
      <c r="V89" s="28" t="s">
        <v>131</v>
      </c>
      <c r="X89" s="28" t="s">
        <v>131</v>
      </c>
      <c r="Y89" s="28" t="s">
        <v>131</v>
      </c>
      <c r="AA89" s="2" t="s">
        <v>78</v>
      </c>
      <c r="AB89" s="2" t="str">
        <f t="shared" ref="AB89" si="128">IF(NOT(ISBLANK(AC89)),"-","")</f>
        <v>-</v>
      </c>
      <c r="AC89" s="2" t="s">
        <v>349</v>
      </c>
      <c r="AD89" s="2" t="str">
        <f t="shared" ref="AD89" si="129">IF(NOT(ISBLANK(AE89)),"_","")</f>
        <v>_</v>
      </c>
      <c r="AE89" s="2" t="s">
        <v>342</v>
      </c>
      <c r="AF89" s="2" t="str">
        <f t="shared" ref="AF89" si="130">IF(NOT(ISBLANK(AG89)),"_","")</f>
        <v>_</v>
      </c>
      <c r="AG89" s="28" t="s">
        <v>109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@case_width-path_track_footway_cycleway_railings_z14</v>
      </c>
      <c r="C90" s="28" t="s">
        <v>344</v>
      </c>
      <c r="D90" s="28" t="s">
        <v>344</v>
      </c>
      <c r="F90" s="28" t="s">
        <v>344</v>
      </c>
      <c r="G90" s="28" t="s">
        <v>344</v>
      </c>
      <c r="I90" s="28" t="s">
        <v>86</v>
      </c>
      <c r="J90" s="28" t="s">
        <v>134</v>
      </c>
      <c r="L90" s="28" t="s">
        <v>86</v>
      </c>
      <c r="M90" s="28" t="s">
        <v>134</v>
      </c>
      <c r="U90" s="28" t="s">
        <v>344</v>
      </c>
      <c r="V90" s="28" t="s">
        <v>344</v>
      </c>
      <c r="X90" s="28" t="s">
        <v>344</v>
      </c>
      <c r="Y90" s="28" t="s">
        <v>344</v>
      </c>
      <c r="AA90" s="2" t="s">
        <v>78</v>
      </c>
      <c r="AB90" s="2" t="str">
        <f t="shared" ref="AB90" si="133">IF(NOT(ISBLANK(AC90)),"-","")</f>
        <v>-</v>
      </c>
      <c r="AC90" s="2" t="s">
        <v>349</v>
      </c>
      <c r="AD90" s="2" t="str">
        <f t="shared" ref="AD90" si="134">IF(NOT(ISBLANK(AE90)),"_","")</f>
        <v>_</v>
      </c>
      <c r="AE90" s="2" t="s">
        <v>342</v>
      </c>
      <c r="AF90" s="2" t="str">
        <f t="shared" ref="AF90" si="135">IF(NOT(ISBLANK(AG90)),"_","")</f>
        <v>_</v>
      </c>
      <c r="AG90" s="28" t="s">
        <v>74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@case_width-path_track_footway_cycleway_railings_z15</v>
      </c>
      <c r="C91" s="28" t="s">
        <v>128</v>
      </c>
      <c r="D91" s="28" t="s">
        <v>313</v>
      </c>
      <c r="F91" s="28" t="s">
        <v>128</v>
      </c>
      <c r="G91" s="28" t="s">
        <v>86</v>
      </c>
      <c r="I91" s="28" t="s">
        <v>134</v>
      </c>
      <c r="J91" s="28" t="s">
        <v>327</v>
      </c>
      <c r="L91" s="28" t="s">
        <v>134</v>
      </c>
      <c r="M91" s="28" t="s">
        <v>327</v>
      </c>
      <c r="U91" s="28" t="s">
        <v>128</v>
      </c>
      <c r="V91" s="28" t="s">
        <v>313</v>
      </c>
      <c r="X91" s="28" t="s">
        <v>128</v>
      </c>
      <c r="Y91" s="28" t="s">
        <v>86</v>
      </c>
      <c r="AA91" s="2" t="s">
        <v>78</v>
      </c>
      <c r="AB91" s="2" t="str">
        <f t="shared" ref="AB91" si="138">IF(NOT(ISBLANK(AC91)),"-","")</f>
        <v>-</v>
      </c>
      <c r="AC91" s="2" t="s">
        <v>349</v>
      </c>
      <c r="AD91" s="2" t="str">
        <f t="shared" ref="AD91" si="139">IF(NOT(ISBLANK(AE91)),"_","")</f>
        <v>_</v>
      </c>
      <c r="AE91" s="2" t="s">
        <v>342</v>
      </c>
      <c r="AF91" s="2" t="str">
        <f t="shared" ref="AF91" si="140">IF(NOT(ISBLANK(AG91)),"_","")</f>
        <v>_</v>
      </c>
      <c r="AG91" s="28" t="s">
        <v>337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@case_width-path_track_footway_cycleway_railings_z16</v>
      </c>
      <c r="C92" s="28" t="s">
        <v>340</v>
      </c>
      <c r="D92" s="28" t="s">
        <v>345</v>
      </c>
      <c r="F92" s="28" t="s">
        <v>340</v>
      </c>
      <c r="G92" s="28" t="s">
        <v>345</v>
      </c>
      <c r="I92" s="28" t="s">
        <v>135</v>
      </c>
      <c r="J92" s="28" t="s">
        <v>347</v>
      </c>
      <c r="L92" s="28" t="s">
        <v>135</v>
      </c>
      <c r="M92" s="28" t="s">
        <v>347</v>
      </c>
      <c r="U92" s="28" t="s">
        <v>340</v>
      </c>
      <c r="V92" s="28" t="s">
        <v>345</v>
      </c>
      <c r="X92" s="28" t="s">
        <v>340</v>
      </c>
      <c r="Y92" s="28" t="s">
        <v>345</v>
      </c>
      <c r="AA92" s="2" t="s">
        <v>78</v>
      </c>
      <c r="AB92" s="2" t="str">
        <f t="shared" ref="AB92" si="143">IF(NOT(ISBLANK(AC92)),"-","")</f>
        <v>-</v>
      </c>
      <c r="AC92" s="2" t="s">
        <v>349</v>
      </c>
      <c r="AD92" s="2" t="str">
        <f t="shared" ref="AD92" si="144">IF(NOT(ISBLANK(AE92)),"_","")</f>
        <v>_</v>
      </c>
      <c r="AE92" s="2" t="s">
        <v>342</v>
      </c>
      <c r="AF92" s="2" t="str">
        <f t="shared" ref="AF92" si="145">IF(NOT(ISBLANK(AG92)),"_","")</f>
        <v>_</v>
      </c>
      <c r="AG92" s="28" t="s">
        <v>75</v>
      </c>
      <c r="AH92" s="2" t="str">
        <f t="shared" ref="AH92" si="146">IF(NOT(ISBLANK(AI92)),"_","")</f>
        <v/>
      </c>
    </row>
    <row r="93" spans="2:34" x14ac:dyDescent="0.25">
      <c r="B93" s="2" t="str">
        <f t="shared" ref="B93" si="147">_xlfn.CONCAT("@",AA93,AB93,AC93,AD93,AE93,AF93,AG93,AH93,AI93)</f>
        <v>@case_width-path_track_footway_cycleway_railings_z18</v>
      </c>
      <c r="C93" s="28" t="s">
        <v>89</v>
      </c>
      <c r="D93" s="28" t="s">
        <v>339</v>
      </c>
      <c r="F93" s="28" t="s">
        <v>89</v>
      </c>
      <c r="G93" s="28" t="s">
        <v>339</v>
      </c>
      <c r="I93" s="28" t="s">
        <v>346</v>
      </c>
      <c r="J93" s="28" t="s">
        <v>348</v>
      </c>
      <c r="L93" s="28" t="s">
        <v>346</v>
      </c>
      <c r="M93" s="28" t="s">
        <v>348</v>
      </c>
      <c r="U93" s="28" t="s">
        <v>89</v>
      </c>
      <c r="V93" s="28" t="s">
        <v>339</v>
      </c>
      <c r="X93" s="28" t="s">
        <v>89</v>
      </c>
      <c r="Y93" s="28" t="s">
        <v>339</v>
      </c>
      <c r="AA93" s="2" t="s">
        <v>78</v>
      </c>
      <c r="AB93" s="2" t="str">
        <f t="shared" ref="AB93" si="148">IF(NOT(ISBLANK(AC93)),"-","")</f>
        <v>-</v>
      </c>
      <c r="AC93" s="2" t="s">
        <v>349</v>
      </c>
      <c r="AD93" s="2" t="str">
        <f t="shared" ref="AD93" si="149">IF(NOT(ISBLANK(AE93)),"_","")</f>
        <v>_</v>
      </c>
      <c r="AE93" s="2" t="s">
        <v>342</v>
      </c>
      <c r="AF93" s="2" t="str">
        <f t="shared" ref="AF93" si="150">IF(NOT(ISBLANK(AG93)),"_","")</f>
        <v>_</v>
      </c>
      <c r="AG93" s="28" t="s">
        <v>76</v>
      </c>
      <c r="AH93" s="2" t="str">
        <f t="shared" ref="AH93" si="151">IF(NOT(ISBLANK(AI93)),"_","")</f>
        <v/>
      </c>
    </row>
    <row r="94" spans="2:34" x14ac:dyDescent="0.25">
      <c r="B94" s="2"/>
      <c r="AA94" s="2"/>
      <c r="AB94" s="2"/>
      <c r="AC94" s="2"/>
      <c r="AD94" s="2"/>
      <c r="AE94" s="2"/>
      <c r="AF94" s="2"/>
      <c r="AH94" s="2"/>
    </row>
    <row r="95" spans="2:34" x14ac:dyDescent="0.25">
      <c r="B95" s="2" t="str">
        <f t="shared" ref="B95" si="152">_xlfn.CONCAT("@",AA95,AB95,AC95,AD95,AE95,AF95,AG95,AH95,AI95)</f>
        <v>@case_width-path_track_footway_cycleway_floor_z12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112</v>
      </c>
      <c r="J95" s="28" t="s">
        <v>90</v>
      </c>
      <c r="L95" s="28" t="s">
        <v>112</v>
      </c>
      <c r="M95" s="28" t="s">
        <v>90</v>
      </c>
      <c r="U95" s="28" t="s">
        <v>112</v>
      </c>
      <c r="V95" s="28" t="s">
        <v>112</v>
      </c>
      <c r="X95" s="28" t="s">
        <v>112</v>
      </c>
      <c r="Y95" s="28" t="s">
        <v>112</v>
      </c>
      <c r="AA95" s="2" t="s">
        <v>78</v>
      </c>
      <c r="AB95" s="2" t="str">
        <f t="shared" ref="AB95" si="153">IF(NOT(ISBLANK(AC95)),"-","")</f>
        <v>-</v>
      </c>
      <c r="AC95" s="2" t="s">
        <v>349</v>
      </c>
      <c r="AD95" s="2" t="str">
        <f t="shared" ref="AD95" si="154">IF(NOT(ISBLANK(AE95)),"_","")</f>
        <v>_</v>
      </c>
      <c r="AE95" s="2" t="s">
        <v>343</v>
      </c>
      <c r="AF95" s="2" t="str">
        <f t="shared" ref="AF95" si="155">IF(NOT(ISBLANK(AG95)),"_","")</f>
        <v>_</v>
      </c>
      <c r="AG95" s="28" t="s">
        <v>109</v>
      </c>
      <c r="AH95" s="2" t="str">
        <f t="shared" ref="AH95" si="156">IF(NOT(ISBLANK(AI95)),"_","")</f>
        <v/>
      </c>
    </row>
    <row r="96" spans="2:34" x14ac:dyDescent="0.25">
      <c r="B96" s="2" t="str">
        <f t="shared" ref="B96" si="157">_xlfn.CONCAT("@",AA96,AB96,AC96,AD96,AE96,AF96,AG96,AH96,AI96)</f>
        <v>@case_width-path_track_footway_cycleway_floor_z14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128</v>
      </c>
      <c r="J96" s="28" t="s">
        <v>313</v>
      </c>
      <c r="L96" s="28" t="s">
        <v>128</v>
      </c>
      <c r="M96" s="28" t="s">
        <v>313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58">IF(NOT(ISBLANK(AC96)),"-","")</f>
        <v>-</v>
      </c>
      <c r="AC96" s="2" t="s">
        <v>349</v>
      </c>
      <c r="AD96" s="2" t="str">
        <f t="shared" ref="AD96" si="159">IF(NOT(ISBLANK(AE96)),"_","")</f>
        <v>_</v>
      </c>
      <c r="AE96" s="2" t="s">
        <v>343</v>
      </c>
      <c r="AF96" s="2" t="str">
        <f t="shared" ref="AF96" si="160">IF(NOT(ISBLANK(AG96)),"_","")</f>
        <v>_</v>
      </c>
      <c r="AG96" s="28" t="s">
        <v>74</v>
      </c>
      <c r="AH96" s="2" t="str">
        <f t="shared" ref="AH96" si="161">IF(NOT(ISBLANK(AI96)),"_","")</f>
        <v/>
      </c>
    </row>
    <row r="97" spans="1:35" x14ac:dyDescent="0.25">
      <c r="B97" s="2" t="str">
        <f t="shared" ref="B97:B98" si="162">_xlfn.CONCAT("@",AA97,AB97,AC97,AD97,AE97,AF97,AG97,AH97,AI97)</f>
        <v>@case_width-path_track_footway_cycleway_floor_z15</v>
      </c>
      <c r="C97" s="28" t="s">
        <v>88</v>
      </c>
      <c r="D97" s="28" t="s">
        <v>92</v>
      </c>
      <c r="F97" s="28" t="s">
        <v>88</v>
      </c>
      <c r="G97" s="28" t="s">
        <v>92</v>
      </c>
      <c r="I97" s="28" t="s">
        <v>83</v>
      </c>
      <c r="J97" s="28" t="s">
        <v>86</v>
      </c>
      <c r="L97" s="28" t="s">
        <v>83</v>
      </c>
      <c r="M97" s="28" t="s">
        <v>86</v>
      </c>
      <c r="U97" s="28" t="s">
        <v>88</v>
      </c>
      <c r="V97" s="28" t="s">
        <v>92</v>
      </c>
      <c r="X97" s="28" t="s">
        <v>88</v>
      </c>
      <c r="Y97" s="28" t="s">
        <v>92</v>
      </c>
      <c r="AA97" s="2" t="s">
        <v>78</v>
      </c>
      <c r="AB97" s="2" t="str">
        <f t="shared" ref="AB97:AB98" si="163">IF(NOT(ISBLANK(AC97)),"-","")</f>
        <v>-</v>
      </c>
      <c r="AC97" s="2" t="s">
        <v>349</v>
      </c>
      <c r="AD97" s="2" t="str">
        <f t="shared" ref="AD97:AD98" si="164">IF(NOT(ISBLANK(AE97)),"_","")</f>
        <v>_</v>
      </c>
      <c r="AE97" s="2" t="s">
        <v>343</v>
      </c>
      <c r="AF97" s="2" t="str">
        <f t="shared" ref="AF97:AF98" si="165">IF(NOT(ISBLANK(AG97)),"_","")</f>
        <v>_</v>
      </c>
      <c r="AG97" s="28" t="s">
        <v>337</v>
      </c>
      <c r="AH97" s="2" t="str">
        <f t="shared" ref="AH97:AH98" si="166">IF(NOT(ISBLANK(AI97)),"_","")</f>
        <v/>
      </c>
    </row>
    <row r="98" spans="1:35" x14ac:dyDescent="0.25">
      <c r="B98" s="2" t="str">
        <f t="shared" si="162"/>
        <v>@case_width-path_track_footway_cycleway_floor_z16</v>
      </c>
      <c r="C98" s="28" t="s">
        <v>86</v>
      </c>
      <c r="D98" s="28" t="s">
        <v>134</v>
      </c>
      <c r="F98" s="28" t="s">
        <v>86</v>
      </c>
      <c r="G98" s="28" t="s">
        <v>134</v>
      </c>
      <c r="I98" s="28" t="s">
        <v>327</v>
      </c>
      <c r="J98" s="28" t="s">
        <v>341</v>
      </c>
      <c r="L98" s="28" t="s">
        <v>327</v>
      </c>
      <c r="M98" s="28" t="s">
        <v>341</v>
      </c>
      <c r="U98" s="28" t="s">
        <v>86</v>
      </c>
      <c r="V98" s="28" t="s">
        <v>134</v>
      </c>
      <c r="X98" s="28" t="s">
        <v>86</v>
      </c>
      <c r="Y98" s="28" t="s">
        <v>134</v>
      </c>
      <c r="AA98" s="2" t="s">
        <v>78</v>
      </c>
      <c r="AB98" s="2" t="str">
        <f t="shared" si="163"/>
        <v>-</v>
      </c>
      <c r="AC98" s="2" t="s">
        <v>349</v>
      </c>
      <c r="AD98" s="2" t="str">
        <f t="shared" si="164"/>
        <v>_</v>
      </c>
      <c r="AE98" s="2" t="s">
        <v>343</v>
      </c>
      <c r="AF98" s="2" t="str">
        <f t="shared" si="165"/>
        <v>_</v>
      </c>
      <c r="AG98" s="28" t="s">
        <v>75</v>
      </c>
      <c r="AH98" s="2" t="str">
        <f t="shared" si="166"/>
        <v/>
      </c>
    </row>
    <row r="99" spans="1:35" x14ac:dyDescent="0.25">
      <c r="B99" s="2" t="str">
        <f t="shared" ref="B99" si="167">_xlfn.CONCAT("@",AA99,AB99,AC99,AD99,AE99,AF99,AG99,AH99,AI99)</f>
        <v>@case_width-path_track_footway_cycleway_floor_z18</v>
      </c>
      <c r="C99" s="28" t="s">
        <v>332</v>
      </c>
      <c r="D99" s="28" t="s">
        <v>338</v>
      </c>
      <c r="F99" s="28" t="s">
        <v>332</v>
      </c>
      <c r="G99" s="28" t="s">
        <v>338</v>
      </c>
      <c r="I99" s="28" t="s">
        <v>339</v>
      </c>
      <c r="J99" s="28" t="s">
        <v>145</v>
      </c>
      <c r="L99" s="28" t="s">
        <v>339</v>
      </c>
      <c r="M99" s="28" t="s">
        <v>145</v>
      </c>
      <c r="U99" s="28" t="s">
        <v>332</v>
      </c>
      <c r="V99" s="28" t="s">
        <v>338</v>
      </c>
      <c r="X99" s="28" t="s">
        <v>332</v>
      </c>
      <c r="Y99" s="28" t="s">
        <v>338</v>
      </c>
      <c r="AA99" s="2" t="s">
        <v>78</v>
      </c>
      <c r="AB99" s="2" t="str">
        <f t="shared" ref="AB99" si="168">IF(NOT(ISBLANK(AC99)),"-","")</f>
        <v>-</v>
      </c>
      <c r="AC99" s="2" t="s">
        <v>349</v>
      </c>
      <c r="AD99" s="2" t="str">
        <f t="shared" ref="AD99" si="169">IF(NOT(ISBLANK(AE99)),"_","")</f>
        <v>_</v>
      </c>
      <c r="AE99" s="2" t="s">
        <v>343</v>
      </c>
      <c r="AF99" s="2" t="str">
        <f t="shared" ref="AF99" si="170">IF(NOT(ISBLANK(AG99)),"_","")</f>
        <v>_</v>
      </c>
      <c r="AG99" s="28" t="s">
        <v>76</v>
      </c>
      <c r="AH99" s="2" t="str">
        <f t="shared" ref="AH99" si="171">IF(NOT(ISBLANK(AI99)),"_","")</f>
        <v/>
      </c>
    </row>
    <row r="100" spans="1:35" x14ac:dyDescent="0.25">
      <c r="B100" s="2"/>
      <c r="AA100" s="2"/>
      <c r="AB100" s="2"/>
      <c r="AC100" s="2"/>
      <c r="AD100" s="2"/>
      <c r="AE100" s="2"/>
    </row>
    <row r="101" spans="1:35" x14ac:dyDescent="0.25">
      <c r="B101" s="2" t="str">
        <f>_xlfn.CONCAT("@",AA101,AB101,AC101,AD101,AE101,AF101,AG101,AH101,AI101)</f>
        <v>@case_width-track_default_z10</v>
      </c>
      <c r="C101" s="28" t="s">
        <v>85</v>
      </c>
      <c r="D101" s="28" t="s">
        <v>354</v>
      </c>
      <c r="F101" s="28" t="s">
        <v>85</v>
      </c>
      <c r="G101" s="28" t="s">
        <v>354</v>
      </c>
      <c r="I101" s="28" t="s">
        <v>85</v>
      </c>
      <c r="J101" s="28" t="s">
        <v>354</v>
      </c>
      <c r="L101" s="28" t="s">
        <v>85</v>
      </c>
      <c r="M101" s="28" t="s">
        <v>354</v>
      </c>
      <c r="U101" s="28" t="s">
        <v>85</v>
      </c>
      <c r="V101" s="28" t="s">
        <v>354</v>
      </c>
      <c r="X101" s="28" t="s">
        <v>85</v>
      </c>
      <c r="Y101" s="28" t="s">
        <v>354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103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@case_width-track_default_z12</v>
      </c>
      <c r="C102" s="28" t="s">
        <v>82</v>
      </c>
      <c r="D102" s="28" t="s">
        <v>83</v>
      </c>
      <c r="F102" s="28" t="s">
        <v>82</v>
      </c>
      <c r="G102" s="28" t="s">
        <v>83</v>
      </c>
      <c r="I102" s="28" t="s">
        <v>82</v>
      </c>
      <c r="J102" s="28" t="s">
        <v>83</v>
      </c>
      <c r="L102" s="28" t="s">
        <v>82</v>
      </c>
      <c r="M102" s="28" t="s">
        <v>83</v>
      </c>
      <c r="U102" s="28" t="s">
        <v>82</v>
      </c>
      <c r="V102" s="28" t="s">
        <v>83</v>
      </c>
      <c r="X102" s="28" t="s">
        <v>82</v>
      </c>
      <c r="Y102" s="28" t="s">
        <v>83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109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@case_width-track_default_z14</v>
      </c>
      <c r="C103" s="28" t="s">
        <v>92</v>
      </c>
      <c r="D103" s="28" t="s">
        <v>86</v>
      </c>
      <c r="F103" s="28" t="s">
        <v>92</v>
      </c>
      <c r="G103" s="28" t="s">
        <v>86</v>
      </c>
      <c r="I103" s="28" t="s">
        <v>92</v>
      </c>
      <c r="J103" s="28" t="s">
        <v>86</v>
      </c>
      <c r="L103" s="28" t="s">
        <v>92</v>
      </c>
      <c r="M103" s="28" t="s">
        <v>86</v>
      </c>
      <c r="U103" s="28" t="s">
        <v>92</v>
      </c>
      <c r="V103" s="28" t="s">
        <v>86</v>
      </c>
      <c r="X103" s="28" t="s">
        <v>92</v>
      </c>
      <c r="Y103" s="28" t="s">
        <v>86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74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@case_width-track_default_z16</v>
      </c>
      <c r="C104" s="28" t="s">
        <v>87</v>
      </c>
      <c r="D104" s="28" t="s">
        <v>87</v>
      </c>
      <c r="F104" s="28" t="s">
        <v>87</v>
      </c>
      <c r="G104" s="28" t="s">
        <v>87</v>
      </c>
      <c r="I104" s="28" t="s">
        <v>87</v>
      </c>
      <c r="J104" s="28" t="s">
        <v>87</v>
      </c>
      <c r="L104" s="28" t="s">
        <v>87</v>
      </c>
      <c r="M104" s="28" t="s">
        <v>87</v>
      </c>
      <c r="U104" s="28" t="s">
        <v>87</v>
      </c>
      <c r="V104" s="28" t="s">
        <v>87</v>
      </c>
      <c r="X104" s="28" t="s">
        <v>87</v>
      </c>
      <c r="Y104" s="28" t="s">
        <v>87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75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76</v>
      </c>
      <c r="AH105" s="2" t="str">
        <f>IF(NOT(ISBLANK(AI105)),"_","")</f>
        <v/>
      </c>
    </row>
    <row r="106" spans="1:35" x14ac:dyDescent="0.25">
      <c r="B106" s="2"/>
      <c r="AA106" s="2"/>
      <c r="AB106" s="2"/>
      <c r="AC106" s="2"/>
      <c r="AD106" s="2"/>
      <c r="AE106" s="2"/>
    </row>
    <row r="107" spans="1:35" s="5" customFormat="1" x14ac:dyDescent="0.25">
      <c r="A107" s="27" t="s">
        <v>334</v>
      </c>
      <c r="B107" s="27"/>
      <c r="C107" s="27"/>
      <c r="D107" s="27"/>
      <c r="F107" s="27"/>
      <c r="G107" s="27"/>
      <c r="I107" s="27"/>
      <c r="J107" s="27"/>
      <c r="L107" s="27"/>
      <c r="M107" s="27"/>
      <c r="O107" s="27"/>
      <c r="P107" s="27"/>
      <c r="R107" s="27"/>
      <c r="S107" s="27"/>
      <c r="U107" s="27"/>
      <c r="V107" s="27"/>
      <c r="X107" s="27"/>
      <c r="Y107" s="27"/>
      <c r="AA107" s="27"/>
      <c r="AB107" s="27"/>
      <c r="AC107" s="27"/>
      <c r="AD107" s="27"/>
      <c r="AE107" s="27"/>
      <c r="AF107" s="27"/>
      <c r="AG107" s="27"/>
      <c r="AH107" s="27"/>
      <c r="AI107" s="27"/>
    </row>
    <row r="108" spans="1:35" x14ac:dyDescent="0.25">
      <c r="B108" s="2" t="str">
        <f t="shared" ref="B108" si="172">_xlfn.CONCAT("@",AA108,AB108,AC108,AD108,AE108,AF108,AG108,AH108,AI108)</f>
        <v>@line_width-path_default_farzoom</v>
      </c>
      <c r="C108" s="28" t="s">
        <v>122</v>
      </c>
      <c r="D108" s="28" t="s">
        <v>122</v>
      </c>
      <c r="F108" s="28" t="s">
        <v>122</v>
      </c>
      <c r="G108" s="28" t="s">
        <v>122</v>
      </c>
      <c r="I108" s="28" t="s">
        <v>122</v>
      </c>
      <c r="J108" s="28" t="s">
        <v>122</v>
      </c>
      <c r="L108" s="28" t="s">
        <v>122</v>
      </c>
      <c r="M108" s="28" t="s">
        <v>122</v>
      </c>
      <c r="U108" s="28" t="s">
        <v>122</v>
      </c>
      <c r="V108" s="28" t="s">
        <v>122</v>
      </c>
      <c r="X108" s="28" t="s">
        <v>122</v>
      </c>
      <c r="Y108" s="28" t="s">
        <v>122</v>
      </c>
      <c r="AA108" s="2" t="s">
        <v>119</v>
      </c>
      <c r="AB108" s="2" t="str">
        <f t="shared" ref="AB108" si="173">IF(NOT(ISBLANK(AC108)),"-","")</f>
        <v>-</v>
      </c>
      <c r="AC108" s="2" t="s">
        <v>71</v>
      </c>
      <c r="AD108" s="2" t="str">
        <f t="shared" ref="AD108" si="174">IF(NOT(ISBLANK(AE108)),"_","")</f>
        <v>_</v>
      </c>
      <c r="AE108" s="2" t="s">
        <v>262</v>
      </c>
      <c r="AF108" s="2" t="str">
        <f t="shared" ref="AF108" si="175">IF(NOT(ISBLANK(AG108)),"_","")</f>
        <v>_</v>
      </c>
      <c r="AG108" s="28" t="s">
        <v>20</v>
      </c>
      <c r="AH108" s="2" t="str">
        <f t="shared" ref="AH108" si="176">IF(NOT(ISBLANK(AI108)),"_","")</f>
        <v/>
      </c>
    </row>
    <row r="109" spans="1:35" x14ac:dyDescent="0.25">
      <c r="B109" s="2" t="str">
        <f t="shared" ref="B109:B124" si="177">_xlfn.CONCAT("@",AA109,AB109,AC109,AD109,AE109,AF109,AG109,AH109,AI109)</f>
        <v>@line_width-path_narrow_z12</v>
      </c>
      <c r="C109" s="28" t="s">
        <v>120</v>
      </c>
      <c r="D109" s="28" t="s">
        <v>122</v>
      </c>
      <c r="F109" s="28" t="s">
        <v>120</v>
      </c>
      <c r="G109" s="28" t="s">
        <v>122</v>
      </c>
      <c r="I109" s="28" t="s">
        <v>120</v>
      </c>
      <c r="J109" s="28" t="s">
        <v>122</v>
      </c>
      <c r="L109" s="28" t="s">
        <v>120</v>
      </c>
      <c r="M109" s="28" t="s">
        <v>122</v>
      </c>
      <c r="U109" s="28" t="s">
        <v>122</v>
      </c>
      <c r="V109" s="28" t="s">
        <v>116</v>
      </c>
      <c r="X109" s="28" t="s">
        <v>122</v>
      </c>
      <c r="Y109" s="28" t="s">
        <v>116</v>
      </c>
      <c r="AA109" s="2" t="s">
        <v>119</v>
      </c>
      <c r="AB109" s="2" t="str">
        <f t="shared" ref="AB109:AB124" si="178">IF(NOT(ISBLANK(AC109)),"-","")</f>
        <v>-</v>
      </c>
      <c r="AC109" s="2" t="s">
        <v>71</v>
      </c>
      <c r="AD109" s="2" t="str">
        <f t="shared" ref="AD109:AD124" si="179">IF(NOT(ISBLANK(AE109)),"_","")</f>
        <v>_</v>
      </c>
      <c r="AE109" s="2" t="s">
        <v>72</v>
      </c>
      <c r="AF109" s="2" t="str">
        <f t="shared" ref="AF109:AF124" si="180">IF(NOT(ISBLANK(AG109)),"_","")</f>
        <v>_</v>
      </c>
      <c r="AG109" s="28" t="s">
        <v>109</v>
      </c>
      <c r="AH109" s="2" t="str">
        <f t="shared" ref="AH109:AH124" si="181">IF(NOT(ISBLANK(AI109)),"_","")</f>
        <v/>
      </c>
    </row>
    <row r="110" spans="1:35" x14ac:dyDescent="0.25">
      <c r="B110" s="2" t="str">
        <f t="shared" si="177"/>
        <v>@line_width-path_medium_z12</v>
      </c>
      <c r="C110" s="28" t="s">
        <v>122</v>
      </c>
      <c r="D110" s="28" t="s">
        <v>116</v>
      </c>
      <c r="F110" s="28" t="s">
        <v>122</v>
      </c>
      <c r="G110" s="28" t="s">
        <v>116</v>
      </c>
      <c r="I110" s="28" t="s">
        <v>122</v>
      </c>
      <c r="J110" s="28" t="s">
        <v>116</v>
      </c>
      <c r="L110" s="28" t="s">
        <v>122</v>
      </c>
      <c r="M110" s="28" t="s">
        <v>116</v>
      </c>
      <c r="U110" s="28" t="s">
        <v>122</v>
      </c>
      <c r="V110" s="28" t="s">
        <v>116</v>
      </c>
      <c r="X110" s="28" t="s">
        <v>122</v>
      </c>
      <c r="Y110" s="28" t="s">
        <v>116</v>
      </c>
      <c r="AA110" s="2" t="s">
        <v>119</v>
      </c>
      <c r="AB110" s="2" t="str">
        <f t="shared" si="178"/>
        <v>-</v>
      </c>
      <c r="AC110" s="2" t="s">
        <v>71</v>
      </c>
      <c r="AD110" s="2" t="str">
        <f t="shared" si="179"/>
        <v>_</v>
      </c>
      <c r="AE110" s="2" t="s">
        <v>79</v>
      </c>
      <c r="AF110" s="2" t="str">
        <f t="shared" si="180"/>
        <v>_</v>
      </c>
      <c r="AG110" s="28" t="s">
        <v>109</v>
      </c>
      <c r="AH110" s="2" t="str">
        <f t="shared" si="181"/>
        <v/>
      </c>
    </row>
    <row r="111" spans="1:35" x14ac:dyDescent="0.25">
      <c r="B111" s="2" t="str">
        <f t="shared" si="177"/>
        <v>@line_width-path_wide_z12</v>
      </c>
      <c r="C111" s="28" t="s">
        <v>97</v>
      </c>
      <c r="D111" s="28" t="s">
        <v>123</v>
      </c>
      <c r="F111" s="28" t="s">
        <v>97</v>
      </c>
      <c r="G111" s="28" t="s">
        <v>123</v>
      </c>
      <c r="I111" s="28" t="s">
        <v>97</v>
      </c>
      <c r="J111" s="28" t="s">
        <v>123</v>
      </c>
      <c r="L111" s="28" t="s">
        <v>97</v>
      </c>
      <c r="M111" s="28" t="s">
        <v>123</v>
      </c>
      <c r="U111" s="28" t="s">
        <v>122</v>
      </c>
      <c r="V111" s="28" t="s">
        <v>116</v>
      </c>
      <c r="X111" s="28" t="s">
        <v>122</v>
      </c>
      <c r="Y111" s="28" t="s">
        <v>116</v>
      </c>
      <c r="AA111" s="2" t="s">
        <v>119</v>
      </c>
      <c r="AB111" s="2" t="str">
        <f t="shared" si="178"/>
        <v>-</v>
      </c>
      <c r="AC111" s="2" t="s">
        <v>71</v>
      </c>
      <c r="AD111" s="2" t="str">
        <f t="shared" si="179"/>
        <v>_</v>
      </c>
      <c r="AE111" s="2" t="s">
        <v>77</v>
      </c>
      <c r="AF111" s="2" t="str">
        <f t="shared" si="180"/>
        <v>_</v>
      </c>
      <c r="AG111" s="28" t="s">
        <v>109</v>
      </c>
      <c r="AH111" s="2" t="str">
        <f t="shared" si="181"/>
        <v/>
      </c>
    </row>
    <row r="112" spans="1:35" x14ac:dyDescent="0.25">
      <c r="B112" s="2" t="str">
        <f t="shared" si="177"/>
        <v>@line_width-path_widest_z12</v>
      </c>
      <c r="C112" s="28" t="s">
        <v>97</v>
      </c>
      <c r="D112" s="28" t="s">
        <v>123</v>
      </c>
      <c r="F112" s="28" t="s">
        <v>97</v>
      </c>
      <c r="G112" s="28" t="s">
        <v>123</v>
      </c>
      <c r="I112" s="28" t="s">
        <v>97</v>
      </c>
      <c r="J112" s="28" t="s">
        <v>123</v>
      </c>
      <c r="L112" s="28" t="s">
        <v>97</v>
      </c>
      <c r="M112" s="28" t="s">
        <v>123</v>
      </c>
      <c r="U112" s="28" t="s">
        <v>122</v>
      </c>
      <c r="V112" s="28" t="s">
        <v>116</v>
      </c>
      <c r="X112" s="28" t="s">
        <v>122</v>
      </c>
      <c r="Y112" s="28" t="s">
        <v>116</v>
      </c>
      <c r="AA112" s="2" t="s">
        <v>119</v>
      </c>
      <c r="AB112" s="2" t="str">
        <f t="shared" si="178"/>
        <v>-</v>
      </c>
      <c r="AC112" s="2" t="s">
        <v>71</v>
      </c>
      <c r="AD112" s="2" t="str">
        <f t="shared" si="179"/>
        <v>_</v>
      </c>
      <c r="AE112" s="2" t="s">
        <v>296</v>
      </c>
      <c r="AF112" s="2" t="str">
        <f t="shared" si="180"/>
        <v>_</v>
      </c>
      <c r="AG112" s="28" t="s">
        <v>109</v>
      </c>
      <c r="AH112" s="2" t="str">
        <f t="shared" si="181"/>
        <v/>
      </c>
    </row>
    <row r="113" spans="2:34" x14ac:dyDescent="0.25">
      <c r="B113" s="2" t="str">
        <f t="shared" si="177"/>
        <v>@line_width-path_narrow_z14</v>
      </c>
      <c r="C113" s="28" t="s">
        <v>96</v>
      </c>
      <c r="D113" s="28" t="s">
        <v>97</v>
      </c>
      <c r="F113" s="28" t="s">
        <v>96</v>
      </c>
      <c r="G113" s="28" t="s">
        <v>97</v>
      </c>
      <c r="I113" s="28" t="s">
        <v>95</v>
      </c>
      <c r="J113" s="28" t="s">
        <v>115</v>
      </c>
      <c r="L113" s="28" t="s">
        <v>95</v>
      </c>
      <c r="M113" s="28" t="s">
        <v>115</v>
      </c>
      <c r="U113" s="28" t="s">
        <v>80</v>
      </c>
      <c r="V113" s="28" t="s">
        <v>84</v>
      </c>
      <c r="X113" s="28" t="s">
        <v>80</v>
      </c>
      <c r="Y113" s="28" t="s">
        <v>84</v>
      </c>
      <c r="AA113" s="2" t="s">
        <v>119</v>
      </c>
      <c r="AB113" s="2" t="str">
        <f t="shared" si="178"/>
        <v>-</v>
      </c>
      <c r="AC113" s="2" t="s">
        <v>71</v>
      </c>
      <c r="AD113" s="2" t="str">
        <f t="shared" si="179"/>
        <v>_</v>
      </c>
      <c r="AE113" s="2" t="s">
        <v>72</v>
      </c>
      <c r="AF113" s="2" t="str">
        <f t="shared" si="180"/>
        <v>_</v>
      </c>
      <c r="AG113" s="28" t="s">
        <v>74</v>
      </c>
      <c r="AH113" s="2" t="str">
        <f t="shared" si="181"/>
        <v/>
      </c>
    </row>
    <row r="114" spans="2:34" x14ac:dyDescent="0.25">
      <c r="B114" s="2" t="str">
        <f t="shared" si="177"/>
        <v>@line_width-path_medium_z14</v>
      </c>
      <c r="C114" s="28" t="s">
        <v>80</v>
      </c>
      <c r="D114" s="28" t="s">
        <v>84</v>
      </c>
      <c r="F114" s="28" t="s">
        <v>80</v>
      </c>
      <c r="G114" s="28" t="s">
        <v>84</v>
      </c>
      <c r="I114" s="28" t="s">
        <v>96</v>
      </c>
      <c r="J114" s="28" t="s">
        <v>97</v>
      </c>
      <c r="L114" s="28" t="s">
        <v>96</v>
      </c>
      <c r="M114" s="28" t="s">
        <v>97</v>
      </c>
      <c r="U114" s="28" t="s">
        <v>80</v>
      </c>
      <c r="V114" s="28" t="s">
        <v>84</v>
      </c>
      <c r="X114" s="28" t="s">
        <v>80</v>
      </c>
      <c r="Y114" s="28" t="s">
        <v>84</v>
      </c>
      <c r="AA114" s="2" t="s">
        <v>119</v>
      </c>
      <c r="AB114" s="2" t="str">
        <f t="shared" si="178"/>
        <v>-</v>
      </c>
      <c r="AC114" s="2" t="s">
        <v>71</v>
      </c>
      <c r="AD114" s="2" t="str">
        <f t="shared" si="179"/>
        <v>_</v>
      </c>
      <c r="AE114" s="2" t="s">
        <v>79</v>
      </c>
      <c r="AF114" s="2" t="str">
        <f t="shared" si="180"/>
        <v>_</v>
      </c>
      <c r="AG114" s="28" t="s">
        <v>74</v>
      </c>
      <c r="AH114" s="2" t="str">
        <f t="shared" si="181"/>
        <v/>
      </c>
    </row>
    <row r="115" spans="2:34" x14ac:dyDescent="0.25">
      <c r="B115" s="2" t="str">
        <f t="shared" si="177"/>
        <v>@line_width-path_wide_z14</v>
      </c>
      <c r="C115" s="28" t="s">
        <v>123</v>
      </c>
      <c r="D115" s="28" t="s">
        <v>126</v>
      </c>
      <c r="F115" s="28" t="s">
        <v>123</v>
      </c>
      <c r="G115" s="28" t="s">
        <v>126</v>
      </c>
      <c r="I115" s="28" t="s">
        <v>84</v>
      </c>
      <c r="J115" s="28" t="s">
        <v>112</v>
      </c>
      <c r="L115" s="28" t="s">
        <v>84</v>
      </c>
      <c r="M115" s="28" t="s">
        <v>112</v>
      </c>
      <c r="U115" s="28" t="s">
        <v>80</v>
      </c>
      <c r="V115" s="28" t="s">
        <v>84</v>
      </c>
      <c r="X115" s="28" t="s">
        <v>80</v>
      </c>
      <c r="Y115" s="28" t="s">
        <v>84</v>
      </c>
      <c r="AA115" s="2" t="s">
        <v>119</v>
      </c>
      <c r="AB115" s="2" t="str">
        <f t="shared" si="178"/>
        <v>-</v>
      </c>
      <c r="AC115" s="2" t="s">
        <v>71</v>
      </c>
      <c r="AD115" s="2" t="str">
        <f t="shared" si="179"/>
        <v>_</v>
      </c>
      <c r="AE115" s="2" t="s">
        <v>77</v>
      </c>
      <c r="AF115" s="2" t="str">
        <f t="shared" si="180"/>
        <v>_</v>
      </c>
      <c r="AG115" s="28" t="s">
        <v>74</v>
      </c>
      <c r="AH115" s="2" t="str">
        <f t="shared" si="181"/>
        <v/>
      </c>
    </row>
    <row r="116" spans="2:34" x14ac:dyDescent="0.25">
      <c r="B116" s="2" t="str">
        <f t="shared" si="177"/>
        <v>@line_width-path_widest_z14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84</v>
      </c>
      <c r="J116" s="28" t="s">
        <v>112</v>
      </c>
      <c r="L116" s="28" t="s">
        <v>84</v>
      </c>
      <c r="M116" s="28" t="s">
        <v>112</v>
      </c>
      <c r="U116" s="28" t="s">
        <v>80</v>
      </c>
      <c r="V116" s="28" t="s">
        <v>84</v>
      </c>
      <c r="X116" s="28" t="s">
        <v>80</v>
      </c>
      <c r="Y116" s="28" t="s">
        <v>84</v>
      </c>
      <c r="AA116" s="2" t="s">
        <v>119</v>
      </c>
      <c r="AB116" s="2" t="str">
        <f t="shared" si="178"/>
        <v>-</v>
      </c>
      <c r="AC116" s="2" t="s">
        <v>71</v>
      </c>
      <c r="AD116" s="2" t="str">
        <f t="shared" si="179"/>
        <v>_</v>
      </c>
      <c r="AE116" s="2" t="s">
        <v>296</v>
      </c>
      <c r="AF116" s="2" t="str">
        <f t="shared" si="180"/>
        <v>_</v>
      </c>
      <c r="AG116" s="28" t="s">
        <v>74</v>
      </c>
      <c r="AH116" s="2" t="str">
        <f t="shared" si="181"/>
        <v/>
      </c>
    </row>
    <row r="117" spans="2:34" x14ac:dyDescent="0.25">
      <c r="B117" s="2" t="str">
        <f t="shared" si="177"/>
        <v>@line_width-path_narrow_z16</v>
      </c>
      <c r="C117" s="28" t="s">
        <v>80</v>
      </c>
      <c r="D117" s="28" t="s">
        <v>85</v>
      </c>
      <c r="F117" s="28" t="s">
        <v>80</v>
      </c>
      <c r="G117" s="28" t="s">
        <v>85</v>
      </c>
      <c r="I117" s="28" t="s">
        <v>80</v>
      </c>
      <c r="J117" s="28" t="s">
        <v>84</v>
      </c>
      <c r="L117" s="28" t="s">
        <v>80</v>
      </c>
      <c r="M117" s="28" t="s">
        <v>84</v>
      </c>
      <c r="U117" s="28" t="s">
        <v>123</v>
      </c>
      <c r="V117" s="28" t="s">
        <v>126</v>
      </c>
      <c r="X117" s="28" t="s">
        <v>123</v>
      </c>
      <c r="Y117" s="28" t="s">
        <v>126</v>
      </c>
      <c r="AA117" s="2" t="s">
        <v>119</v>
      </c>
      <c r="AB117" s="2" t="str">
        <f t="shared" si="178"/>
        <v>-</v>
      </c>
      <c r="AC117" s="2" t="s">
        <v>71</v>
      </c>
      <c r="AD117" s="2" t="str">
        <f t="shared" si="179"/>
        <v>_</v>
      </c>
      <c r="AE117" s="2" t="s">
        <v>72</v>
      </c>
      <c r="AF117" s="2" t="str">
        <f t="shared" si="180"/>
        <v>_</v>
      </c>
      <c r="AG117" s="28" t="s">
        <v>75</v>
      </c>
      <c r="AH117" s="2" t="str">
        <f t="shared" si="181"/>
        <v/>
      </c>
    </row>
    <row r="118" spans="2:34" x14ac:dyDescent="0.25">
      <c r="B118" s="2" t="str">
        <f t="shared" si="177"/>
        <v>@line_width-path_medium_z16</v>
      </c>
      <c r="C118" s="28" t="s">
        <v>123</v>
      </c>
      <c r="D118" s="28" t="s">
        <v>126</v>
      </c>
      <c r="F118" s="28" t="s">
        <v>123</v>
      </c>
      <c r="G118" s="28" t="s">
        <v>126</v>
      </c>
      <c r="I118" s="28" t="s">
        <v>97</v>
      </c>
      <c r="J118" s="28" t="s">
        <v>123</v>
      </c>
      <c r="L118" s="28" t="s">
        <v>97</v>
      </c>
      <c r="M118" s="28" t="s">
        <v>123</v>
      </c>
      <c r="U118" s="28" t="s">
        <v>123</v>
      </c>
      <c r="V118" s="28" t="s">
        <v>126</v>
      </c>
      <c r="X118" s="28" t="s">
        <v>123</v>
      </c>
      <c r="Y118" s="28" t="s">
        <v>126</v>
      </c>
      <c r="AA118" s="2" t="s">
        <v>119</v>
      </c>
      <c r="AB118" s="2" t="str">
        <f t="shared" si="178"/>
        <v>-</v>
      </c>
      <c r="AC118" s="2" t="s">
        <v>71</v>
      </c>
      <c r="AD118" s="2" t="str">
        <f t="shared" si="179"/>
        <v>_</v>
      </c>
      <c r="AE118" s="2" t="s">
        <v>79</v>
      </c>
      <c r="AF118" s="2" t="str">
        <f t="shared" si="180"/>
        <v>_</v>
      </c>
      <c r="AG118" s="28" t="s">
        <v>75</v>
      </c>
      <c r="AH118" s="2" t="str">
        <f t="shared" si="181"/>
        <v/>
      </c>
    </row>
    <row r="119" spans="2:34" x14ac:dyDescent="0.25">
      <c r="B119" s="2" t="str">
        <f t="shared" si="177"/>
        <v>@line_width-path_wide_z16</v>
      </c>
      <c r="C119" s="28" t="s">
        <v>88</v>
      </c>
      <c r="D119" s="28" t="s">
        <v>128</v>
      </c>
      <c r="F119" s="28" t="s">
        <v>88</v>
      </c>
      <c r="G119" s="28" t="s">
        <v>128</v>
      </c>
      <c r="I119" s="28" t="s">
        <v>98</v>
      </c>
      <c r="J119" s="28" t="s">
        <v>99</v>
      </c>
      <c r="L119" s="28" t="s">
        <v>98</v>
      </c>
      <c r="M119" s="28" t="s">
        <v>99</v>
      </c>
      <c r="U119" s="28" t="s">
        <v>123</v>
      </c>
      <c r="V119" s="28" t="s">
        <v>126</v>
      </c>
      <c r="X119" s="28" t="s">
        <v>123</v>
      </c>
      <c r="Y119" s="28" t="s">
        <v>126</v>
      </c>
      <c r="AA119" s="2" t="s">
        <v>119</v>
      </c>
      <c r="AB119" s="2" t="str">
        <f t="shared" si="178"/>
        <v>-</v>
      </c>
      <c r="AC119" s="2" t="s">
        <v>71</v>
      </c>
      <c r="AD119" s="2" t="str">
        <f t="shared" si="179"/>
        <v>_</v>
      </c>
      <c r="AE119" s="2" t="s">
        <v>77</v>
      </c>
      <c r="AF119" s="2" t="str">
        <f t="shared" si="180"/>
        <v>_</v>
      </c>
      <c r="AG119" s="28" t="s">
        <v>75</v>
      </c>
      <c r="AH119" s="2" t="str">
        <f t="shared" si="181"/>
        <v/>
      </c>
    </row>
    <row r="120" spans="2:34" x14ac:dyDescent="0.25">
      <c r="B120" s="2" t="str">
        <f t="shared" si="177"/>
        <v>@line_width-path_widest_z16</v>
      </c>
      <c r="C120" s="28" t="s">
        <v>88</v>
      </c>
      <c r="D120" s="28" t="s">
        <v>128</v>
      </c>
      <c r="F120" s="28" t="s">
        <v>88</v>
      </c>
      <c r="G120" s="28" t="s">
        <v>128</v>
      </c>
      <c r="I120" s="28" t="s">
        <v>98</v>
      </c>
      <c r="J120" s="28" t="s">
        <v>99</v>
      </c>
      <c r="L120" s="28" t="s">
        <v>98</v>
      </c>
      <c r="M120" s="28" t="s">
        <v>99</v>
      </c>
      <c r="U120" s="28" t="s">
        <v>123</v>
      </c>
      <c r="V120" s="28" t="s">
        <v>126</v>
      </c>
      <c r="X120" s="28" t="s">
        <v>123</v>
      </c>
      <c r="Y120" s="28" t="s">
        <v>126</v>
      </c>
      <c r="AA120" s="2" t="s">
        <v>119</v>
      </c>
      <c r="AB120" s="2" t="str">
        <f t="shared" si="178"/>
        <v>-</v>
      </c>
      <c r="AC120" s="2" t="s">
        <v>71</v>
      </c>
      <c r="AD120" s="2" t="str">
        <f t="shared" si="179"/>
        <v>_</v>
      </c>
      <c r="AE120" s="2" t="s">
        <v>296</v>
      </c>
      <c r="AF120" s="2" t="str">
        <f t="shared" si="180"/>
        <v>_</v>
      </c>
      <c r="AG120" s="28" t="s">
        <v>75</v>
      </c>
      <c r="AH120" s="2" t="str">
        <f t="shared" si="181"/>
        <v/>
      </c>
    </row>
    <row r="121" spans="2:34" x14ac:dyDescent="0.25">
      <c r="B121" s="2" t="str">
        <f t="shared" si="177"/>
        <v>@line_width-path_narrow_z18</v>
      </c>
      <c r="C121" s="28" t="s">
        <v>85</v>
      </c>
      <c r="D121" s="28" t="s">
        <v>88</v>
      </c>
      <c r="F121" s="28" t="s">
        <v>85</v>
      </c>
      <c r="G121" s="28" t="s">
        <v>88</v>
      </c>
      <c r="I121" s="28" t="s">
        <v>80</v>
      </c>
      <c r="J121" s="28" t="s">
        <v>84</v>
      </c>
      <c r="L121" s="28" t="s">
        <v>80</v>
      </c>
      <c r="M121" s="28" t="s">
        <v>84</v>
      </c>
      <c r="U121" s="28" t="s">
        <v>82</v>
      </c>
      <c r="V121" s="28" t="s">
        <v>127</v>
      </c>
      <c r="X121" s="28" t="s">
        <v>82</v>
      </c>
      <c r="Y121" s="28" t="s">
        <v>127</v>
      </c>
      <c r="AA121" s="2" t="s">
        <v>119</v>
      </c>
      <c r="AB121" s="2" t="str">
        <f t="shared" si="178"/>
        <v>-</v>
      </c>
      <c r="AC121" s="2" t="s">
        <v>71</v>
      </c>
      <c r="AD121" s="2" t="str">
        <f t="shared" si="179"/>
        <v>_</v>
      </c>
      <c r="AE121" s="2" t="s">
        <v>72</v>
      </c>
      <c r="AF121" s="2" t="str">
        <f t="shared" si="180"/>
        <v>_</v>
      </c>
      <c r="AG121" s="28" t="s">
        <v>76</v>
      </c>
      <c r="AH121" s="2" t="str">
        <f t="shared" si="181"/>
        <v/>
      </c>
    </row>
    <row r="122" spans="2:34" x14ac:dyDescent="0.25">
      <c r="B122" s="2" t="str">
        <f t="shared" si="177"/>
        <v>@line_width-path_medium_z18</v>
      </c>
      <c r="C122" s="28" t="s">
        <v>82</v>
      </c>
      <c r="D122" s="28" t="s">
        <v>127</v>
      </c>
      <c r="F122" s="28" t="s">
        <v>82</v>
      </c>
      <c r="G122" s="28" t="s">
        <v>127</v>
      </c>
      <c r="I122" s="28" t="s">
        <v>98</v>
      </c>
      <c r="J122" s="28" t="s">
        <v>99</v>
      </c>
      <c r="L122" s="28" t="s">
        <v>98</v>
      </c>
      <c r="M122" s="28" t="s">
        <v>99</v>
      </c>
      <c r="U122" s="28" t="s">
        <v>82</v>
      </c>
      <c r="V122" s="28" t="s">
        <v>127</v>
      </c>
      <c r="X122" s="28" t="s">
        <v>82</v>
      </c>
      <c r="Y122" s="28" t="s">
        <v>127</v>
      </c>
      <c r="AA122" s="2" t="s">
        <v>119</v>
      </c>
      <c r="AB122" s="2" t="str">
        <f t="shared" si="178"/>
        <v>-</v>
      </c>
      <c r="AC122" s="2" t="s">
        <v>71</v>
      </c>
      <c r="AD122" s="2" t="str">
        <f t="shared" si="179"/>
        <v>_</v>
      </c>
      <c r="AE122" s="2" t="s">
        <v>79</v>
      </c>
      <c r="AF122" s="2" t="str">
        <f t="shared" si="180"/>
        <v>_</v>
      </c>
      <c r="AG122" s="28" t="s">
        <v>76</v>
      </c>
      <c r="AH122" s="2" t="str">
        <f t="shared" si="181"/>
        <v/>
      </c>
    </row>
    <row r="123" spans="2:34" x14ac:dyDescent="0.25">
      <c r="B123" s="2" t="str">
        <f t="shared" si="177"/>
        <v>@line_width-path_wide_z18</v>
      </c>
      <c r="C123" s="28" t="s">
        <v>313</v>
      </c>
      <c r="D123" s="28" t="s">
        <v>129</v>
      </c>
      <c r="F123" s="28" t="s">
        <v>313</v>
      </c>
      <c r="G123" s="28" t="s">
        <v>129</v>
      </c>
      <c r="I123" s="28" t="s">
        <v>99</v>
      </c>
      <c r="J123" s="28" t="s">
        <v>100</v>
      </c>
      <c r="L123" s="28" t="s">
        <v>99</v>
      </c>
      <c r="M123" s="28" t="s">
        <v>100</v>
      </c>
      <c r="U123" s="28" t="s">
        <v>82</v>
      </c>
      <c r="V123" s="28" t="s">
        <v>127</v>
      </c>
      <c r="X123" s="28" t="s">
        <v>82</v>
      </c>
      <c r="Y123" s="28" t="s">
        <v>127</v>
      </c>
      <c r="AA123" s="2" t="s">
        <v>119</v>
      </c>
      <c r="AB123" s="2" t="str">
        <f t="shared" si="178"/>
        <v>-</v>
      </c>
      <c r="AC123" s="2" t="s">
        <v>71</v>
      </c>
      <c r="AD123" s="2" t="str">
        <f t="shared" si="179"/>
        <v>_</v>
      </c>
      <c r="AE123" s="2" t="s">
        <v>77</v>
      </c>
      <c r="AF123" s="2" t="str">
        <f t="shared" si="180"/>
        <v>_</v>
      </c>
      <c r="AG123" s="28" t="s">
        <v>76</v>
      </c>
      <c r="AH123" s="2" t="str">
        <f t="shared" si="181"/>
        <v/>
      </c>
    </row>
    <row r="124" spans="2:34" x14ac:dyDescent="0.25">
      <c r="B124" s="2" t="str">
        <f t="shared" si="177"/>
        <v>@line_width-path_widest_z18</v>
      </c>
      <c r="C124" s="28" t="s">
        <v>313</v>
      </c>
      <c r="D124" s="28" t="s">
        <v>129</v>
      </c>
      <c r="F124" s="28" t="s">
        <v>313</v>
      </c>
      <c r="G124" s="28" t="s">
        <v>129</v>
      </c>
      <c r="I124" s="28" t="s">
        <v>99</v>
      </c>
      <c r="J124" s="28" t="s">
        <v>100</v>
      </c>
      <c r="L124" s="28" t="s">
        <v>99</v>
      </c>
      <c r="M124" s="28" t="s">
        <v>100</v>
      </c>
      <c r="U124" s="28" t="s">
        <v>82</v>
      </c>
      <c r="V124" s="28" t="s">
        <v>127</v>
      </c>
      <c r="X124" s="28" t="s">
        <v>82</v>
      </c>
      <c r="Y124" s="28" t="s">
        <v>127</v>
      </c>
      <c r="AA124" s="2" t="s">
        <v>119</v>
      </c>
      <c r="AB124" s="2" t="str">
        <f t="shared" si="178"/>
        <v>-</v>
      </c>
      <c r="AC124" s="2" t="s">
        <v>71</v>
      </c>
      <c r="AD124" s="2" t="str">
        <f t="shared" si="179"/>
        <v>_</v>
      </c>
      <c r="AE124" s="2" t="s">
        <v>296</v>
      </c>
      <c r="AF124" s="2" t="str">
        <f t="shared" si="180"/>
        <v>_</v>
      </c>
      <c r="AG124" s="28" t="s">
        <v>76</v>
      </c>
      <c r="AH124" s="2" t="str">
        <f t="shared" si="181"/>
        <v/>
      </c>
    </row>
    <row r="125" spans="2:34" x14ac:dyDescent="0.25">
      <c r="B125" s="2"/>
      <c r="AA125" s="2"/>
      <c r="AB125" s="2"/>
      <c r="AC125" s="2"/>
      <c r="AD125" s="2"/>
      <c r="AE125" s="2"/>
      <c r="AF125" s="2"/>
      <c r="AH125" s="2"/>
    </row>
    <row r="126" spans="2:34" x14ac:dyDescent="0.25">
      <c r="B126" s="2" t="str">
        <f>_xlfn.CONCAT("@",AA126,AB126,AC126,AD126,AE126,AF126,AG126,AH126,AI126)</f>
        <v>@line_width-track_default_z10</v>
      </c>
      <c r="C126" s="28" t="s">
        <v>120</v>
      </c>
      <c r="D126" s="28" t="s">
        <v>81</v>
      </c>
      <c r="F126" s="28" t="s">
        <v>120</v>
      </c>
      <c r="G126" s="28" t="s">
        <v>81</v>
      </c>
      <c r="I126" s="28" t="s">
        <v>96</v>
      </c>
      <c r="J126" s="28" t="s">
        <v>353</v>
      </c>
      <c r="L126" s="28" t="s">
        <v>96</v>
      </c>
      <c r="M126" s="28" t="s">
        <v>353</v>
      </c>
      <c r="U126" s="28" t="s">
        <v>120</v>
      </c>
      <c r="V126" s="28" t="s">
        <v>81</v>
      </c>
      <c r="X126" s="28" t="s">
        <v>120</v>
      </c>
      <c r="Y126" s="28" t="s">
        <v>81</v>
      </c>
      <c r="AA126" s="2" t="s">
        <v>119</v>
      </c>
      <c r="AB126" s="2" t="str">
        <f t="shared" ref="AB126:AB130" si="182">IF(NOT(ISBLANK(AC126)),"-","")</f>
        <v>-</v>
      </c>
      <c r="AC126" s="2" t="s">
        <v>102</v>
      </c>
      <c r="AD126" s="2" t="str">
        <f t="shared" ref="AD126:AD130" si="183">IF(NOT(ISBLANK(AE126)),"_","")</f>
        <v>_</v>
      </c>
      <c r="AE126" s="2" t="s">
        <v>262</v>
      </c>
      <c r="AF126" s="2" t="str">
        <f t="shared" ref="AF126:AF130" si="184">IF(NOT(ISBLANK(AG126)),"_","")</f>
        <v>_</v>
      </c>
      <c r="AG126" s="28" t="s">
        <v>103</v>
      </c>
      <c r="AH126" s="2" t="str">
        <f t="shared" ref="AH126:AH130" si="185">IF(NOT(ISBLANK(AI126)),"_","")</f>
        <v/>
      </c>
    </row>
    <row r="127" spans="2:34" x14ac:dyDescent="0.25">
      <c r="B127" s="2" t="str">
        <f>_xlfn.CONCAT("@",AA127,AB127,AC127,AD127,AE127,AF127,AG127,AH127,AI127)</f>
        <v>@line_width-track_default_z12</v>
      </c>
      <c r="C127" s="28" t="s">
        <v>96</v>
      </c>
      <c r="D127" s="28" t="s">
        <v>98</v>
      </c>
      <c r="F127" s="28" t="s">
        <v>96</v>
      </c>
      <c r="G127" s="28" t="s">
        <v>98</v>
      </c>
      <c r="I127" s="28" t="s">
        <v>97</v>
      </c>
      <c r="J127" s="28" t="s">
        <v>123</v>
      </c>
      <c r="L127" s="28" t="s">
        <v>97</v>
      </c>
      <c r="M127" s="28" t="s">
        <v>123</v>
      </c>
      <c r="U127" s="28" t="s">
        <v>96</v>
      </c>
      <c r="V127" s="28" t="s">
        <v>98</v>
      </c>
      <c r="X127" s="28" t="s">
        <v>96</v>
      </c>
      <c r="Y127" s="28" t="s">
        <v>98</v>
      </c>
      <c r="AA127" s="2" t="s">
        <v>119</v>
      </c>
      <c r="AB127" s="2" t="str">
        <f t="shared" si="182"/>
        <v>-</v>
      </c>
      <c r="AC127" s="2" t="s">
        <v>102</v>
      </c>
      <c r="AD127" s="2" t="str">
        <f t="shared" si="183"/>
        <v>_</v>
      </c>
      <c r="AE127" s="2" t="s">
        <v>262</v>
      </c>
      <c r="AF127" s="2" t="str">
        <f t="shared" si="184"/>
        <v>_</v>
      </c>
      <c r="AG127" s="28" t="s">
        <v>109</v>
      </c>
      <c r="AH127" s="2" t="str">
        <f t="shared" si="185"/>
        <v/>
      </c>
    </row>
    <row r="128" spans="2:34" x14ac:dyDescent="0.25">
      <c r="B128" s="2" t="str">
        <f>_xlfn.CONCAT("@",AA128,AB128,AC128,AD128,AE128,AF128,AG128,AH128,AI128)</f>
        <v>@line_width-track_default_z14</v>
      </c>
      <c r="C128" s="28" t="s">
        <v>81</v>
      </c>
      <c r="D128" s="28" t="s">
        <v>85</v>
      </c>
      <c r="F128" s="28" t="s">
        <v>81</v>
      </c>
      <c r="G128" s="28" t="s">
        <v>85</v>
      </c>
      <c r="I128" s="28" t="s">
        <v>98</v>
      </c>
      <c r="J128" s="28" t="s">
        <v>99</v>
      </c>
      <c r="L128" s="28" t="s">
        <v>98</v>
      </c>
      <c r="M128" s="28" t="s">
        <v>99</v>
      </c>
      <c r="U128" s="28" t="s">
        <v>81</v>
      </c>
      <c r="V128" s="28" t="s">
        <v>85</v>
      </c>
      <c r="X128" s="28" t="s">
        <v>81</v>
      </c>
      <c r="Y128" s="28" t="s">
        <v>85</v>
      </c>
      <c r="AA128" s="2" t="s">
        <v>119</v>
      </c>
      <c r="AB128" s="2" t="str">
        <f t="shared" si="182"/>
        <v>-</v>
      </c>
      <c r="AC128" s="2" t="s">
        <v>102</v>
      </c>
      <c r="AD128" s="2" t="str">
        <f t="shared" si="183"/>
        <v>_</v>
      </c>
      <c r="AE128" s="2" t="s">
        <v>262</v>
      </c>
      <c r="AF128" s="2" t="str">
        <f t="shared" si="184"/>
        <v>_</v>
      </c>
      <c r="AG128" s="28" t="s">
        <v>74</v>
      </c>
      <c r="AH128" s="2" t="str">
        <f t="shared" si="185"/>
        <v/>
      </c>
    </row>
    <row r="129" spans="2:35" x14ac:dyDescent="0.25">
      <c r="B129" s="2" t="str">
        <f>_xlfn.CONCAT("@",AA129,AB129,AC129,AD129,AE129,AF129,AG129,AH129,AI129)</f>
        <v>@line_width-track_default_z16</v>
      </c>
      <c r="C129" s="28" t="s">
        <v>82</v>
      </c>
      <c r="D129" s="28" t="s">
        <v>127</v>
      </c>
      <c r="F129" s="28" t="s">
        <v>82</v>
      </c>
      <c r="G129" s="28" t="s">
        <v>127</v>
      </c>
      <c r="I129" s="28" t="s">
        <v>92</v>
      </c>
      <c r="J129" s="28" t="s">
        <v>86</v>
      </c>
      <c r="L129" s="28" t="s">
        <v>92</v>
      </c>
      <c r="M129" s="28" t="s">
        <v>86</v>
      </c>
      <c r="U129" s="28" t="s">
        <v>82</v>
      </c>
      <c r="V129" s="28" t="s">
        <v>127</v>
      </c>
      <c r="X129" s="28" t="s">
        <v>82</v>
      </c>
      <c r="Y129" s="28" t="s">
        <v>127</v>
      </c>
      <c r="AA129" s="2" t="s">
        <v>119</v>
      </c>
      <c r="AB129" s="2" t="str">
        <f t="shared" si="182"/>
        <v>-</v>
      </c>
      <c r="AC129" s="2" t="s">
        <v>102</v>
      </c>
      <c r="AD129" s="2" t="str">
        <f t="shared" si="183"/>
        <v>_</v>
      </c>
      <c r="AE129" s="2" t="s">
        <v>262</v>
      </c>
      <c r="AF129" s="2" t="str">
        <f t="shared" si="184"/>
        <v>_</v>
      </c>
      <c r="AG129" s="28" t="s">
        <v>75</v>
      </c>
      <c r="AH129" s="2" t="str">
        <f t="shared" si="185"/>
        <v/>
      </c>
    </row>
    <row r="130" spans="2:35" x14ac:dyDescent="0.25">
      <c r="B130" s="2" t="str">
        <f>_xlfn.CONCAT("@",AA130,AB130,AC130,AD130,AE130,AF130,AG130,AH130,AI130)</f>
        <v>@line_width-track_default_z18</v>
      </c>
      <c r="C130" s="28" t="s">
        <v>134</v>
      </c>
      <c r="D130" s="28" t="s">
        <v>135</v>
      </c>
      <c r="F130" s="28" t="s">
        <v>134</v>
      </c>
      <c r="G130" s="28" t="s">
        <v>135</v>
      </c>
      <c r="I130" s="28" t="s">
        <v>327</v>
      </c>
      <c r="J130" s="28" t="s">
        <v>332</v>
      </c>
      <c r="L130" s="28" t="s">
        <v>327</v>
      </c>
      <c r="M130" s="28" t="s">
        <v>332</v>
      </c>
      <c r="U130" s="28" t="s">
        <v>134</v>
      </c>
      <c r="V130" s="28" t="s">
        <v>135</v>
      </c>
      <c r="X130" s="28" t="s">
        <v>134</v>
      </c>
      <c r="Y130" s="28" t="s">
        <v>135</v>
      </c>
      <c r="AA130" s="2" t="s">
        <v>119</v>
      </c>
      <c r="AB130" s="2" t="str">
        <f t="shared" si="182"/>
        <v>-</v>
      </c>
      <c r="AC130" s="2" t="s">
        <v>102</v>
      </c>
      <c r="AD130" s="2" t="str">
        <f t="shared" si="183"/>
        <v>_</v>
      </c>
      <c r="AE130" s="2" t="s">
        <v>262</v>
      </c>
      <c r="AF130" s="2" t="str">
        <f t="shared" si="184"/>
        <v>_</v>
      </c>
      <c r="AG130" s="28" t="s">
        <v>76</v>
      </c>
      <c r="AH130" s="2" t="str">
        <f t="shared" si="185"/>
        <v/>
      </c>
    </row>
    <row r="131" spans="2:35" x14ac:dyDescent="0.25">
      <c r="B131" s="2"/>
      <c r="AA131" s="2"/>
      <c r="AB131" s="2"/>
      <c r="AC131" s="2"/>
      <c r="AD131" s="2"/>
      <c r="AE131" s="2"/>
      <c r="AF131" s="2"/>
      <c r="AH131" s="2"/>
    </row>
    <row r="132" spans="2:35" x14ac:dyDescent="0.25">
      <c r="B132" s="2"/>
      <c r="AA132" s="2"/>
      <c r="AB132" s="2"/>
      <c r="AC132" s="2"/>
      <c r="AD132" s="2"/>
      <c r="AE132" s="2"/>
    </row>
    <row r="133" spans="2:35" x14ac:dyDescent="0.25">
      <c r="B133" s="2" t="str">
        <f>_xlfn.CONCAT("@",AA133,AB133,AC133,AD133,AE133,AF133,AG133,AH133,AI133)</f>
        <v>@dasharray-path_badvis_farzoom_dash</v>
      </c>
      <c r="C133" s="28" t="s">
        <v>96</v>
      </c>
      <c r="D133" s="28" t="s">
        <v>96</v>
      </c>
      <c r="F133" s="28" t="s">
        <v>96</v>
      </c>
      <c r="G133" s="28" t="s">
        <v>96</v>
      </c>
      <c r="I133" s="28" t="s">
        <v>96</v>
      </c>
      <c r="J133" s="28" t="s">
        <v>96</v>
      </c>
      <c r="L133" s="28" t="s">
        <v>96</v>
      </c>
      <c r="M133" s="28" t="s">
        <v>96</v>
      </c>
      <c r="U133" s="28" t="s">
        <v>90</v>
      </c>
      <c r="V133" s="28" t="s">
        <v>90</v>
      </c>
      <c r="X133" s="28" t="s">
        <v>90</v>
      </c>
      <c r="Y133" s="28" t="s">
        <v>90</v>
      </c>
      <c r="AA133" s="2" t="s">
        <v>385</v>
      </c>
      <c r="AB133" s="2" t="str">
        <f t="shared" ref="AB133" si="186">IF(NOT(ISBLANK(AC133)),"-","")</f>
        <v>-</v>
      </c>
      <c r="AC133" s="2" t="s">
        <v>71</v>
      </c>
      <c r="AD133" s="2" t="str">
        <f t="shared" ref="AD133" si="187">IF(NOT(ISBLANK(AE133)),"_","")</f>
        <v>_</v>
      </c>
      <c r="AE133" s="2" t="s">
        <v>393</v>
      </c>
      <c r="AF133" s="2" t="str">
        <f t="shared" ref="AF133" si="188">IF(NOT(ISBLANK(AG133)),"_","")</f>
        <v>_</v>
      </c>
      <c r="AG133" s="28" t="s">
        <v>20</v>
      </c>
      <c r="AH133" s="2" t="str">
        <f t="shared" ref="AH133" si="189">IF(NOT(ISBLANK(AI133)),"_","")</f>
        <v>_</v>
      </c>
      <c r="AI133" s="28" t="s">
        <v>387</v>
      </c>
    </row>
    <row r="134" spans="2:35" x14ac:dyDescent="0.25">
      <c r="B134" s="2" t="str">
        <f>_xlfn.CONCAT("@",AA134,AB134,AC134,AD134,AE134,AF134,AG134,AH134,AI134)</f>
        <v>@dasharray-path_badvis_farzoom_gap</v>
      </c>
      <c r="C134" s="28" t="s">
        <v>84</v>
      </c>
      <c r="D134" s="28" t="s">
        <v>84</v>
      </c>
      <c r="F134" s="28" t="s">
        <v>84</v>
      </c>
      <c r="G134" s="28" t="s">
        <v>84</v>
      </c>
      <c r="I134" s="28" t="s">
        <v>84</v>
      </c>
      <c r="J134" s="28" t="s">
        <v>84</v>
      </c>
      <c r="L134" s="28" t="s">
        <v>84</v>
      </c>
      <c r="M134" s="28" t="s">
        <v>84</v>
      </c>
      <c r="U134" s="28" t="s">
        <v>85</v>
      </c>
      <c r="V134" s="28" t="s">
        <v>85</v>
      </c>
      <c r="X134" s="28" t="s">
        <v>85</v>
      </c>
      <c r="Y134" s="28" t="s">
        <v>85</v>
      </c>
      <c r="AA134" s="2" t="s">
        <v>385</v>
      </c>
      <c r="AB134" s="2" t="str">
        <f t="shared" ref="AB134:AB135" si="190">IF(NOT(ISBLANK(AC134)),"-","")</f>
        <v>-</v>
      </c>
      <c r="AC134" s="2" t="s">
        <v>71</v>
      </c>
      <c r="AD134" s="2" t="str">
        <f t="shared" ref="AD134:AD135" si="191">IF(NOT(ISBLANK(AE134)),"_","")</f>
        <v>_</v>
      </c>
      <c r="AE134" s="2" t="s">
        <v>393</v>
      </c>
      <c r="AF134" s="2" t="str">
        <f t="shared" ref="AF134:AF135" si="192">IF(NOT(ISBLANK(AG134)),"_","")</f>
        <v>_</v>
      </c>
      <c r="AG134" s="28" t="s">
        <v>20</v>
      </c>
      <c r="AH134" s="2" t="str">
        <f t="shared" ref="AH134:AH135" si="193">IF(NOT(ISBLANK(AI134)),"_","")</f>
        <v>_</v>
      </c>
      <c r="AI134" s="28" t="s">
        <v>388</v>
      </c>
    </row>
    <row r="135" spans="2:35" x14ac:dyDescent="0.25">
      <c r="B135" s="2" t="str">
        <f>_xlfn.CONCAT("@",AA135,AB135,AC135,AD135,AE135,AF135,AG135,AH135,AI135)</f>
        <v>@dasharray-path_badvis_default_dash</v>
      </c>
      <c r="C135" s="28" t="s">
        <v>96</v>
      </c>
      <c r="D135" s="28" t="s">
        <v>96</v>
      </c>
      <c r="F135" s="28" t="s">
        <v>96</v>
      </c>
      <c r="G135" s="28" t="s">
        <v>96</v>
      </c>
      <c r="I135" s="28" t="s">
        <v>96</v>
      </c>
      <c r="J135" s="28" t="s">
        <v>96</v>
      </c>
      <c r="L135" s="28" t="s">
        <v>96</v>
      </c>
      <c r="M135" s="28" t="s">
        <v>96</v>
      </c>
      <c r="U135" s="28" t="s">
        <v>90</v>
      </c>
      <c r="V135" s="28" t="s">
        <v>90</v>
      </c>
      <c r="X135" s="28" t="s">
        <v>90</v>
      </c>
      <c r="Y135" s="28" t="s">
        <v>90</v>
      </c>
      <c r="AA135" s="2" t="s">
        <v>385</v>
      </c>
      <c r="AB135" s="2" t="str">
        <f t="shared" si="190"/>
        <v>-</v>
      </c>
      <c r="AC135" s="2" t="s">
        <v>71</v>
      </c>
      <c r="AD135" s="2" t="str">
        <f t="shared" si="191"/>
        <v>_</v>
      </c>
      <c r="AE135" s="2" t="s">
        <v>393</v>
      </c>
      <c r="AF135" s="2" t="str">
        <f t="shared" si="192"/>
        <v>_</v>
      </c>
      <c r="AG135" s="2" t="s">
        <v>262</v>
      </c>
      <c r="AH135" s="2" t="str">
        <f t="shared" si="193"/>
        <v>_</v>
      </c>
      <c r="AI135" s="28" t="s">
        <v>387</v>
      </c>
    </row>
    <row r="136" spans="2:35" x14ac:dyDescent="0.25">
      <c r="B136" s="2" t="str">
        <f>_xlfn.CONCAT("@",AA136,AB136,AC136,AD136,AE136,AF136,AG136,AH136,AI136)</f>
        <v>@dasharray-path_badvis_default_gap</v>
      </c>
      <c r="C136" s="28" t="s">
        <v>84</v>
      </c>
      <c r="D136" s="28" t="s">
        <v>84</v>
      </c>
      <c r="F136" s="28" t="s">
        <v>84</v>
      </c>
      <c r="G136" s="28" t="s">
        <v>84</v>
      </c>
      <c r="I136" s="28" t="s">
        <v>84</v>
      </c>
      <c r="J136" s="28" t="s">
        <v>84</v>
      </c>
      <c r="L136" s="28" t="s">
        <v>84</v>
      </c>
      <c r="M136" s="28" t="s">
        <v>84</v>
      </c>
      <c r="U136" s="28" t="s">
        <v>85</v>
      </c>
      <c r="V136" s="28" t="s">
        <v>85</v>
      </c>
      <c r="X136" s="28" t="s">
        <v>85</v>
      </c>
      <c r="Y136" s="28" t="s">
        <v>85</v>
      </c>
      <c r="AA136" s="2" t="s">
        <v>385</v>
      </c>
      <c r="AB136" s="2" t="str">
        <f t="shared" ref="AB136" si="194">IF(NOT(ISBLANK(AC136)),"-","")</f>
        <v>-</v>
      </c>
      <c r="AC136" s="2" t="s">
        <v>71</v>
      </c>
      <c r="AD136" s="2" t="str">
        <f t="shared" ref="AD136" si="195">IF(NOT(ISBLANK(AE136)),"_","")</f>
        <v>_</v>
      </c>
      <c r="AE136" s="2" t="s">
        <v>393</v>
      </c>
      <c r="AF136" s="2" t="str">
        <f t="shared" ref="AF136" si="196">IF(NOT(ISBLANK(AG136)),"_","")</f>
        <v>_</v>
      </c>
      <c r="AG136" s="2" t="s">
        <v>262</v>
      </c>
      <c r="AH136" s="2" t="str">
        <f t="shared" ref="AH136" si="197">IF(NOT(ISBLANK(AI136)),"_","")</f>
        <v>_</v>
      </c>
      <c r="AI136" s="28" t="s">
        <v>388</v>
      </c>
    </row>
    <row r="137" spans="2:35" x14ac:dyDescent="0.25">
      <c r="B137" s="2"/>
      <c r="AA137" s="2"/>
      <c r="AB137" s="2"/>
      <c r="AC137" s="2"/>
      <c r="AD137" s="2"/>
      <c r="AE137" s="2"/>
    </row>
    <row r="138" spans="2:35" x14ac:dyDescent="0.25">
      <c r="B138" s="2" t="str">
        <f>_xlfn.CONCAT("@",AA138,AB138,AC138,AD138,AE138,AF138,AG138,AH138,AI138)</f>
        <v>@dasharray-path_goodvis_farzoom_dash</v>
      </c>
      <c r="C138" s="28" t="s">
        <v>90</v>
      </c>
      <c r="D138" s="28" t="s">
        <v>90</v>
      </c>
      <c r="F138" s="28" t="s">
        <v>90</v>
      </c>
      <c r="G138" s="28" t="s">
        <v>90</v>
      </c>
      <c r="I138" s="28" t="s">
        <v>90</v>
      </c>
      <c r="J138" s="28" t="s">
        <v>90</v>
      </c>
      <c r="L138" s="28" t="s">
        <v>90</v>
      </c>
      <c r="M138" s="28" t="s">
        <v>90</v>
      </c>
      <c r="U138" s="28" t="s">
        <v>90</v>
      </c>
      <c r="V138" s="28" t="s">
        <v>90</v>
      </c>
      <c r="X138" s="28" t="s">
        <v>90</v>
      </c>
      <c r="Y138" s="28" t="s">
        <v>90</v>
      </c>
      <c r="AA138" s="2" t="s">
        <v>385</v>
      </c>
      <c r="AB138" s="2" t="str">
        <f t="shared" ref="AB138:AB139" si="198">IF(NOT(ISBLANK(AC138)),"-","")</f>
        <v>-</v>
      </c>
      <c r="AC138" s="2" t="s">
        <v>71</v>
      </c>
      <c r="AD138" s="2" t="str">
        <f t="shared" ref="AD138:AD139" si="199">IF(NOT(ISBLANK(AE138)),"_","")</f>
        <v>_</v>
      </c>
      <c r="AE138" s="2" t="s">
        <v>394</v>
      </c>
      <c r="AF138" s="2" t="str">
        <f t="shared" ref="AF138:AF139" si="200">IF(NOT(ISBLANK(AG138)),"_","")</f>
        <v>_</v>
      </c>
      <c r="AG138" s="28" t="s">
        <v>20</v>
      </c>
      <c r="AH138" s="2" t="str">
        <f t="shared" ref="AH138:AH139" si="201">IF(NOT(ISBLANK(AI138)),"_","")</f>
        <v>_</v>
      </c>
      <c r="AI138" s="28" t="s">
        <v>387</v>
      </c>
    </row>
    <row r="139" spans="2:35" x14ac:dyDescent="0.25">
      <c r="B139" s="2" t="str">
        <f>_xlfn.CONCAT("@",AA139,AB139,AC139,AD139,AE139,AF139,AG139,AH139,AI139)</f>
        <v>@dasharray-path_goodvis_farzoom_gap</v>
      </c>
      <c r="C139" s="28" t="s">
        <v>85</v>
      </c>
      <c r="D139" s="28" t="s">
        <v>85</v>
      </c>
      <c r="F139" s="28" t="s">
        <v>85</v>
      </c>
      <c r="G139" s="28" t="s">
        <v>85</v>
      </c>
      <c r="I139" s="28" t="s">
        <v>85</v>
      </c>
      <c r="J139" s="28" t="s">
        <v>85</v>
      </c>
      <c r="L139" s="28" t="s">
        <v>85</v>
      </c>
      <c r="M139" s="28" t="s">
        <v>85</v>
      </c>
      <c r="U139" s="28" t="s">
        <v>85</v>
      </c>
      <c r="V139" s="28" t="s">
        <v>85</v>
      </c>
      <c r="X139" s="28" t="s">
        <v>85</v>
      </c>
      <c r="Y139" s="28" t="s">
        <v>85</v>
      </c>
      <c r="AA139" s="2" t="s">
        <v>385</v>
      </c>
      <c r="AB139" s="2" t="str">
        <f t="shared" si="198"/>
        <v>-</v>
      </c>
      <c r="AC139" s="2" t="s">
        <v>71</v>
      </c>
      <c r="AD139" s="2" t="str">
        <f t="shared" si="199"/>
        <v>_</v>
      </c>
      <c r="AE139" s="2" t="s">
        <v>394</v>
      </c>
      <c r="AF139" s="2" t="str">
        <f t="shared" si="200"/>
        <v>_</v>
      </c>
      <c r="AG139" s="28" t="s">
        <v>20</v>
      </c>
      <c r="AH139" s="2" t="str">
        <f t="shared" si="201"/>
        <v>_</v>
      </c>
      <c r="AI139" s="28" t="s">
        <v>388</v>
      </c>
    </row>
    <row r="140" spans="2:35" x14ac:dyDescent="0.25">
      <c r="B140" s="2" t="str">
        <f>_xlfn.CONCAT("@",AA140,AB140,AC140,AD140,AE140,AF140,AG140,AH140,AI140)</f>
        <v>@dasharray-path_goodvis_narrow_dash</v>
      </c>
      <c r="C140" s="28" t="s">
        <v>395</v>
      </c>
      <c r="D140" s="28" t="s">
        <v>395</v>
      </c>
      <c r="F140" s="28" t="s">
        <v>395</v>
      </c>
      <c r="G140" s="28" t="s">
        <v>395</v>
      </c>
      <c r="I140" s="28" t="s">
        <v>395</v>
      </c>
      <c r="J140" s="28" t="s">
        <v>395</v>
      </c>
      <c r="L140" s="28" t="s">
        <v>395</v>
      </c>
      <c r="M140" s="28" t="s">
        <v>395</v>
      </c>
      <c r="U140" s="28" t="s">
        <v>82</v>
      </c>
      <c r="V140" s="28" t="s">
        <v>82</v>
      </c>
      <c r="X140" s="28" t="s">
        <v>82</v>
      </c>
      <c r="Y140" s="28" t="s">
        <v>82</v>
      </c>
      <c r="AA140" s="2" t="s">
        <v>385</v>
      </c>
      <c r="AB140" s="2" t="str">
        <f t="shared" ref="AB140:AB141" si="202">IF(NOT(ISBLANK(AC140)),"-","")</f>
        <v>-</v>
      </c>
      <c r="AC140" s="2" t="s">
        <v>71</v>
      </c>
      <c r="AD140" s="2" t="str">
        <f t="shared" ref="AD140:AD141" si="203">IF(NOT(ISBLANK(AE140)),"_","")</f>
        <v>_</v>
      </c>
      <c r="AE140" s="2" t="s">
        <v>394</v>
      </c>
      <c r="AF140" s="2" t="str">
        <f t="shared" ref="AF140:AF141" si="204">IF(NOT(ISBLANK(AG140)),"_","")</f>
        <v>_</v>
      </c>
      <c r="AG140" s="28" t="s">
        <v>72</v>
      </c>
      <c r="AH140" s="2" t="str">
        <f t="shared" ref="AH140:AH141" si="205">IF(NOT(ISBLANK(AI140)),"_","")</f>
        <v>_</v>
      </c>
      <c r="AI140" s="28" t="s">
        <v>387</v>
      </c>
    </row>
    <row r="141" spans="2:35" x14ac:dyDescent="0.25">
      <c r="B141" s="2" t="str">
        <f>_xlfn.CONCAT("@",AA141,AB141,AC141,AD141,AE141,AF141,AG141,AH141,AI141)</f>
        <v>@dasharray-path_goodvis_narrow_gap</v>
      </c>
      <c r="C141" s="28" t="s">
        <v>396</v>
      </c>
      <c r="D141" s="28" t="s">
        <v>396</v>
      </c>
      <c r="F141" s="28" t="s">
        <v>396</v>
      </c>
      <c r="G141" s="28" t="s">
        <v>396</v>
      </c>
      <c r="I141" s="28" t="s">
        <v>396</v>
      </c>
      <c r="J141" s="28" t="s">
        <v>396</v>
      </c>
      <c r="L141" s="28" t="s">
        <v>396</v>
      </c>
      <c r="M141" s="28" t="s">
        <v>396</v>
      </c>
      <c r="U141" s="28" t="s">
        <v>90</v>
      </c>
      <c r="V141" s="28" t="s">
        <v>90</v>
      </c>
      <c r="X141" s="28" t="s">
        <v>90</v>
      </c>
      <c r="Y141" s="28" t="s">
        <v>90</v>
      </c>
      <c r="AA141" s="2" t="s">
        <v>385</v>
      </c>
      <c r="AB141" s="2" t="str">
        <f t="shared" si="202"/>
        <v>-</v>
      </c>
      <c r="AC141" s="2" t="s">
        <v>71</v>
      </c>
      <c r="AD141" s="2" t="str">
        <f t="shared" si="203"/>
        <v>_</v>
      </c>
      <c r="AE141" s="2" t="s">
        <v>394</v>
      </c>
      <c r="AF141" s="2" t="str">
        <f t="shared" si="204"/>
        <v>_</v>
      </c>
      <c r="AG141" s="28" t="s">
        <v>72</v>
      </c>
      <c r="AH141" s="2" t="str">
        <f t="shared" si="205"/>
        <v>_</v>
      </c>
      <c r="AI141" s="28" t="s">
        <v>388</v>
      </c>
    </row>
    <row r="142" spans="2:35" x14ac:dyDescent="0.25">
      <c r="B142" s="2" t="str">
        <f>_xlfn.CONCAT("@",AA142,AB142,AC142,AD142,AE142,AF142,AG142,AH142,AI142)</f>
        <v>@dasharray-path_goodvis_medium_dash</v>
      </c>
      <c r="C142" s="28" t="s">
        <v>82</v>
      </c>
      <c r="D142" s="28" t="s">
        <v>82</v>
      </c>
      <c r="F142" s="28" t="s">
        <v>82</v>
      </c>
      <c r="G142" s="28" t="s">
        <v>82</v>
      </c>
      <c r="I142" s="28" t="s">
        <v>82</v>
      </c>
      <c r="J142" s="28" t="s">
        <v>82</v>
      </c>
      <c r="L142" s="28" t="s">
        <v>82</v>
      </c>
      <c r="M142" s="28" t="s">
        <v>82</v>
      </c>
      <c r="U142" s="28" t="s">
        <v>82</v>
      </c>
      <c r="V142" s="28" t="s">
        <v>82</v>
      </c>
      <c r="X142" s="28" t="s">
        <v>82</v>
      </c>
      <c r="Y142" s="28" t="s">
        <v>82</v>
      </c>
      <c r="AA142" s="2" t="s">
        <v>385</v>
      </c>
      <c r="AB142" s="2" t="str">
        <f t="shared" ref="AB142:AB143" si="206">IF(NOT(ISBLANK(AC142)),"-","")</f>
        <v>-</v>
      </c>
      <c r="AC142" s="2" t="s">
        <v>71</v>
      </c>
      <c r="AD142" s="2" t="str">
        <f t="shared" ref="AD142:AD143" si="207">IF(NOT(ISBLANK(AE142)),"_","")</f>
        <v>_</v>
      </c>
      <c r="AE142" s="2" t="s">
        <v>394</v>
      </c>
      <c r="AF142" s="2" t="str">
        <f t="shared" ref="AF142:AF143" si="208">IF(NOT(ISBLANK(AG142)),"_","")</f>
        <v>_</v>
      </c>
      <c r="AG142" s="28" t="s">
        <v>79</v>
      </c>
      <c r="AH142" s="2" t="str">
        <f t="shared" ref="AH142:AH143" si="209">IF(NOT(ISBLANK(AI142)),"_","")</f>
        <v>_</v>
      </c>
      <c r="AI142" s="28" t="s">
        <v>387</v>
      </c>
    </row>
    <row r="143" spans="2:35" x14ac:dyDescent="0.25">
      <c r="B143" s="2" t="str">
        <f>_xlfn.CONCAT("@",AA143,AB143,AC143,AD143,AE143,AF143,AG143,AH143,AI143)</f>
        <v>@dasharray-path_goodvis_medium_gap</v>
      </c>
      <c r="C143" s="28" t="s">
        <v>90</v>
      </c>
      <c r="D143" s="28" t="s">
        <v>90</v>
      </c>
      <c r="F143" s="28" t="s">
        <v>90</v>
      </c>
      <c r="G143" s="28" t="s">
        <v>90</v>
      </c>
      <c r="I143" s="28" t="s">
        <v>90</v>
      </c>
      <c r="J143" s="28" t="s">
        <v>90</v>
      </c>
      <c r="L143" s="28" t="s">
        <v>90</v>
      </c>
      <c r="M143" s="28" t="s">
        <v>90</v>
      </c>
      <c r="U143" s="28" t="s">
        <v>90</v>
      </c>
      <c r="V143" s="28" t="s">
        <v>90</v>
      </c>
      <c r="X143" s="28" t="s">
        <v>90</v>
      </c>
      <c r="Y143" s="28" t="s">
        <v>90</v>
      </c>
      <c r="AA143" s="2" t="s">
        <v>385</v>
      </c>
      <c r="AB143" s="2" t="str">
        <f t="shared" si="206"/>
        <v>-</v>
      </c>
      <c r="AC143" s="2" t="s">
        <v>71</v>
      </c>
      <c r="AD143" s="2" t="str">
        <f t="shared" si="207"/>
        <v>_</v>
      </c>
      <c r="AE143" s="2" t="s">
        <v>394</v>
      </c>
      <c r="AF143" s="2" t="str">
        <f t="shared" si="208"/>
        <v>_</v>
      </c>
      <c r="AG143" s="28" t="s">
        <v>79</v>
      </c>
      <c r="AH143" s="2" t="str">
        <f t="shared" si="209"/>
        <v>_</v>
      </c>
      <c r="AI143" s="28" t="s">
        <v>388</v>
      </c>
    </row>
    <row r="144" spans="2:35" x14ac:dyDescent="0.25">
      <c r="B144" s="2" t="str">
        <f>_xlfn.CONCAT("@",AA144,AB144,AC144,AD144,AE144,AF144,AG144,AH144,AI144)</f>
        <v>@dasharray-path_goodvis_wide_dash</v>
      </c>
      <c r="C144" s="28" t="s">
        <v>397</v>
      </c>
      <c r="D144" s="28" t="s">
        <v>397</v>
      </c>
      <c r="F144" s="28" t="s">
        <v>397</v>
      </c>
      <c r="G144" s="28" t="s">
        <v>397</v>
      </c>
      <c r="I144" s="28" t="s">
        <v>397</v>
      </c>
      <c r="J144" s="28" t="s">
        <v>397</v>
      </c>
      <c r="L144" s="28" t="s">
        <v>397</v>
      </c>
      <c r="M144" s="28" t="s">
        <v>397</v>
      </c>
      <c r="U144" s="28" t="s">
        <v>82</v>
      </c>
      <c r="V144" s="28" t="s">
        <v>82</v>
      </c>
      <c r="X144" s="28" t="s">
        <v>82</v>
      </c>
      <c r="Y144" s="28" t="s">
        <v>82</v>
      </c>
      <c r="AA144" s="2" t="s">
        <v>385</v>
      </c>
      <c r="AB144" s="2" t="str">
        <f t="shared" ref="AB144:AB145" si="210">IF(NOT(ISBLANK(AC144)),"-","")</f>
        <v>-</v>
      </c>
      <c r="AC144" s="2" t="s">
        <v>71</v>
      </c>
      <c r="AD144" s="2" t="str">
        <f t="shared" ref="AD144:AD145" si="211">IF(NOT(ISBLANK(AE144)),"_","")</f>
        <v>_</v>
      </c>
      <c r="AE144" s="2" t="s">
        <v>394</v>
      </c>
      <c r="AF144" s="2" t="str">
        <f t="shared" ref="AF144:AF145" si="212">IF(NOT(ISBLANK(AG144)),"_","")</f>
        <v>_</v>
      </c>
      <c r="AG144" s="28" t="s">
        <v>77</v>
      </c>
      <c r="AH144" s="2" t="str">
        <f t="shared" ref="AH144:AH145" si="213">IF(NOT(ISBLANK(AI144)),"_","")</f>
        <v>_</v>
      </c>
      <c r="AI144" s="28" t="s">
        <v>387</v>
      </c>
    </row>
    <row r="145" spans="1:35" x14ac:dyDescent="0.25">
      <c r="B145" s="2" t="str">
        <f>_xlfn.CONCAT("@",AA145,AB145,AC145,AD145,AE145,AF145,AG145,AH145,AI145)</f>
        <v>@dasharray-path_goodvis_wide_gap</v>
      </c>
      <c r="C145" s="28" t="s">
        <v>84</v>
      </c>
      <c r="D145" s="28" t="s">
        <v>84</v>
      </c>
      <c r="F145" s="28" t="s">
        <v>84</v>
      </c>
      <c r="G145" s="28" t="s">
        <v>84</v>
      </c>
      <c r="I145" s="28" t="s">
        <v>84</v>
      </c>
      <c r="J145" s="28" t="s">
        <v>84</v>
      </c>
      <c r="L145" s="28" t="s">
        <v>84</v>
      </c>
      <c r="M145" s="28" t="s">
        <v>84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si="210"/>
        <v>-</v>
      </c>
      <c r="AC145" s="2" t="s">
        <v>71</v>
      </c>
      <c r="AD145" s="2" t="str">
        <f t="shared" si="211"/>
        <v>_</v>
      </c>
      <c r="AE145" s="2" t="s">
        <v>394</v>
      </c>
      <c r="AF145" s="2" t="str">
        <f t="shared" si="212"/>
        <v>_</v>
      </c>
      <c r="AG145" s="28" t="s">
        <v>77</v>
      </c>
      <c r="AH145" s="2" t="str">
        <f t="shared" si="213"/>
        <v>_</v>
      </c>
      <c r="AI145" s="28" t="s">
        <v>388</v>
      </c>
    </row>
    <row r="146" spans="1:35" x14ac:dyDescent="0.25">
      <c r="B146" s="2"/>
      <c r="AA146" s="2"/>
      <c r="AB146" s="2"/>
      <c r="AC146" s="2"/>
      <c r="AD146" s="2"/>
      <c r="AE146" s="2"/>
    </row>
    <row r="147" spans="1:35" x14ac:dyDescent="0.25">
      <c r="B147" s="2"/>
      <c r="AA147" s="2"/>
      <c r="AB147" s="2"/>
      <c r="AC147" s="2"/>
      <c r="AD147" s="2"/>
      <c r="AE147" s="2"/>
    </row>
    <row r="148" spans="1:35" s="2" customFormat="1" x14ac:dyDescent="0.25">
      <c r="A148" s="3" t="s">
        <v>336</v>
      </c>
      <c r="B148" s="3"/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4"/>
      <c r="AB148" s="4" t="str">
        <f t="shared" ref="AB148:AB280" si="214">IF(NOT(ISBLANK(AC148)),"-","")</f>
        <v/>
      </c>
      <c r="AC148" s="4"/>
      <c r="AD148" s="4" t="str">
        <f t="shared" ref="AD148:AD284" si="215">IF(NOT(ISBLANK(AE148)),"_","")</f>
        <v/>
      </c>
      <c r="AE148" s="4"/>
      <c r="AF148" s="4" t="str">
        <f t="shared" ref="AF148:AF284" si="216">IF(NOT(ISBLANK(AG148)),"_","")</f>
        <v/>
      </c>
      <c r="AG148" s="4"/>
      <c r="AH148" s="4" t="str">
        <f t="shared" ref="AH148:AH196" si="217">IF(NOT(ISBLANK(AI148)),"_","")</f>
        <v/>
      </c>
      <c r="AI148" s="4"/>
    </row>
    <row r="149" spans="1:35" x14ac:dyDescent="0.25">
      <c r="B149" s="2" t="str">
        <f t="shared" ref="B149" si="218">_xlfn.CONCAT("@",AA149,AB149,AC149,AD149,AE149,AF149,AG149,AH149,AI149)</f>
        <v>@color-cycleway_case</v>
      </c>
      <c r="C149" s="47" t="s">
        <v>222</v>
      </c>
      <c r="D149" s="47" t="s">
        <v>222</v>
      </c>
      <c r="F149" s="48" t="s">
        <v>214</v>
      </c>
      <c r="G149" s="48" t="s">
        <v>214</v>
      </c>
      <c r="I149" s="47" t="s">
        <v>222</v>
      </c>
      <c r="J149" s="47" t="s">
        <v>222</v>
      </c>
      <c r="L149" s="48" t="s">
        <v>214</v>
      </c>
      <c r="M149" s="48" t="s">
        <v>214</v>
      </c>
      <c r="U149" s="47" t="s">
        <v>222</v>
      </c>
      <c r="V149" s="47" t="s">
        <v>222</v>
      </c>
      <c r="X149" s="48" t="s">
        <v>214</v>
      </c>
      <c r="Y149" s="48" t="s">
        <v>214</v>
      </c>
      <c r="AA149" s="2" t="s">
        <v>6</v>
      </c>
      <c r="AB149" s="2" t="str">
        <f t="shared" ref="AB149" si="219">IF(NOT(ISBLANK(AC149)),"-","")</f>
        <v>-</v>
      </c>
      <c r="AC149" s="2" t="s">
        <v>12</v>
      </c>
      <c r="AD149" s="2" t="str">
        <f t="shared" ref="AD149" si="220">IF(NOT(ISBLANK(AE149)),"_","")</f>
        <v>_</v>
      </c>
      <c r="AE149" s="2" t="s">
        <v>17</v>
      </c>
      <c r="AF149" s="2" t="str">
        <f t="shared" ref="AF149" si="221">IF(NOT(ISBLANK(AG149)),"_","")</f>
        <v/>
      </c>
      <c r="AH149" s="2" t="str">
        <f t="shared" si="217"/>
        <v/>
      </c>
    </row>
    <row r="150" spans="1:35" x14ac:dyDescent="0.25">
      <c r="B150" s="2" t="str">
        <f>_xlfn.CONCAT("@",AA150,AB150,AC150,AD150,AE150,AF150,AG150,AH150,AI150)</f>
        <v>@color-footway_case</v>
      </c>
      <c r="C150" s="47" t="s">
        <v>222</v>
      </c>
      <c r="D150" s="47" t="s">
        <v>222</v>
      </c>
      <c r="F150" s="48" t="s">
        <v>214</v>
      </c>
      <c r="G150" s="48" t="s">
        <v>214</v>
      </c>
      <c r="I150" s="47" t="s">
        <v>222</v>
      </c>
      <c r="J150" s="47" t="s">
        <v>222</v>
      </c>
      <c r="L150" s="48" t="s">
        <v>214</v>
      </c>
      <c r="M150" s="48" t="s">
        <v>214</v>
      </c>
      <c r="U150" s="47" t="s">
        <v>222</v>
      </c>
      <c r="V150" s="47" t="s">
        <v>222</v>
      </c>
      <c r="X150" s="48" t="s">
        <v>214</v>
      </c>
      <c r="Y150" s="48" t="s">
        <v>214</v>
      </c>
      <c r="AA150" s="2" t="s">
        <v>6</v>
      </c>
      <c r="AB150" s="2" t="str">
        <f t="shared" ref="AB150:AB153" si="222">IF(NOT(ISBLANK(AC150)),"-","")</f>
        <v>-</v>
      </c>
      <c r="AC150" s="2" t="s">
        <v>34</v>
      </c>
      <c r="AD150" s="2" t="str">
        <f t="shared" ref="AD150:AD153" si="223">IF(NOT(ISBLANK(AE150)),"_","")</f>
        <v>_</v>
      </c>
      <c r="AE150" s="2" t="s">
        <v>17</v>
      </c>
      <c r="AF150" s="2" t="str">
        <f t="shared" ref="AF150:AF153" si="224">IF(NOT(ISBLANK(AG150)),"_","")</f>
        <v/>
      </c>
      <c r="AG150" s="2"/>
      <c r="AH150" s="2" t="str">
        <f>IF(NOT(ISBLANK(AI150)),"_","")</f>
        <v/>
      </c>
      <c r="AI150" s="2"/>
    </row>
    <row r="151" spans="1:35" x14ac:dyDescent="0.25">
      <c r="B151" s="2"/>
      <c r="U151" s="154"/>
      <c r="AA151" s="2"/>
      <c r="AB151" s="2"/>
      <c r="AC151" s="2"/>
      <c r="AD151" s="2"/>
      <c r="AE151" s="2"/>
    </row>
    <row r="152" spans="1:35" x14ac:dyDescent="0.25">
      <c r="B152" s="2" t="str">
        <f t="shared" ref="B152" si="225">_xlfn.CONCAT("@",AA152,AB152,AC152,AD152,AE152,AF152,AG152,AH152,AI152)</f>
        <v>@case_width-cycleway_default_z12</v>
      </c>
      <c r="C152" s="28" t="s">
        <v>112</v>
      </c>
      <c r="D152" s="28" t="s">
        <v>112</v>
      </c>
      <c r="F152" s="28" t="s">
        <v>112</v>
      </c>
      <c r="G152" s="28" t="s">
        <v>112</v>
      </c>
      <c r="I152" s="28" t="s">
        <v>112</v>
      </c>
      <c r="J152" s="28" t="s">
        <v>90</v>
      </c>
      <c r="L152" s="28" t="s">
        <v>112</v>
      </c>
      <c r="M152" s="28" t="s">
        <v>90</v>
      </c>
      <c r="U152" s="28" t="s">
        <v>112</v>
      </c>
      <c r="V152" s="28" t="s">
        <v>112</v>
      </c>
      <c r="X152" s="28" t="s">
        <v>112</v>
      </c>
      <c r="Y152" s="28" t="s">
        <v>112</v>
      </c>
      <c r="AA152" s="2" t="s">
        <v>78</v>
      </c>
      <c r="AB152" s="2" t="str">
        <f t="shared" ref="AB152" si="226">IF(NOT(ISBLANK(AC152)),"-","")</f>
        <v>-</v>
      </c>
      <c r="AC152" s="2" t="s">
        <v>12</v>
      </c>
      <c r="AD152" s="2" t="str">
        <f t="shared" ref="AD152" si="227">IF(NOT(ISBLANK(AE152)),"_","")</f>
        <v>_</v>
      </c>
      <c r="AE152" s="2" t="s">
        <v>262</v>
      </c>
      <c r="AF152" s="2" t="str">
        <f t="shared" ref="AF152" si="228">IF(NOT(ISBLANK(AG152)),"_","")</f>
        <v>_</v>
      </c>
      <c r="AG152" s="28" t="s">
        <v>109</v>
      </c>
      <c r="AH152" s="2" t="str">
        <f t="shared" ref="AH152" si="229">IF(NOT(ISBLANK(AI152)),"_","")</f>
        <v/>
      </c>
    </row>
    <row r="153" spans="1:35" x14ac:dyDescent="0.25">
      <c r="B153" s="2" t="str">
        <f t="shared" ref="B153" si="230">_xlfn.CONCAT("@",AA153,AB153,AC153,AD153,AE153,AF153,AG153,AH153,AI153)</f>
        <v>@case_width-cycleway_default_z14</v>
      </c>
      <c r="C153" s="28" t="s">
        <v>112</v>
      </c>
      <c r="D153" s="28" t="s">
        <v>112</v>
      </c>
      <c r="F153" s="28" t="s">
        <v>112</v>
      </c>
      <c r="G153" s="28" t="s">
        <v>112</v>
      </c>
      <c r="I153" s="28" t="s">
        <v>128</v>
      </c>
      <c r="J153" s="28" t="s">
        <v>313</v>
      </c>
      <c r="L153" s="28" t="s">
        <v>128</v>
      </c>
      <c r="M153" s="28" t="s">
        <v>313</v>
      </c>
      <c r="U153" s="28" t="s">
        <v>112</v>
      </c>
      <c r="V153" s="28" t="s">
        <v>112</v>
      </c>
      <c r="X153" s="28" t="s">
        <v>112</v>
      </c>
      <c r="Y153" s="28" t="s">
        <v>112</v>
      </c>
      <c r="AA153" s="2" t="s">
        <v>78</v>
      </c>
      <c r="AB153" s="2" t="str">
        <f t="shared" si="222"/>
        <v>-</v>
      </c>
      <c r="AC153" s="2" t="s">
        <v>12</v>
      </c>
      <c r="AD153" s="2" t="str">
        <f t="shared" si="223"/>
        <v>_</v>
      </c>
      <c r="AE153" s="2" t="s">
        <v>262</v>
      </c>
      <c r="AF153" s="2" t="str">
        <f t="shared" si="224"/>
        <v>_</v>
      </c>
      <c r="AG153" s="28" t="s">
        <v>74</v>
      </c>
      <c r="AH153" s="2" t="str">
        <f t="shared" ref="AH153" si="231">IF(NOT(ISBLANK(AI153)),"_","")</f>
        <v/>
      </c>
    </row>
    <row r="154" spans="1:35" x14ac:dyDescent="0.25">
      <c r="B154" s="2" t="str">
        <f t="shared" ref="B154" si="232">_xlfn.CONCAT("@",AA154,AB154,AC154,AD154,AE154,AF154,AG154,AH154,AI154)</f>
        <v>@case_width-cycleway_default_z15</v>
      </c>
      <c r="C154" s="28" t="s">
        <v>88</v>
      </c>
      <c r="D154" s="28" t="s">
        <v>92</v>
      </c>
      <c r="F154" s="28" t="s">
        <v>88</v>
      </c>
      <c r="G154" s="28" t="s">
        <v>92</v>
      </c>
      <c r="I154" s="28" t="s">
        <v>83</v>
      </c>
      <c r="J154" s="28" t="s">
        <v>86</v>
      </c>
      <c r="L154" s="28" t="s">
        <v>83</v>
      </c>
      <c r="M154" s="28" t="s">
        <v>86</v>
      </c>
      <c r="U154" s="28" t="s">
        <v>88</v>
      </c>
      <c r="V154" s="28" t="s">
        <v>92</v>
      </c>
      <c r="X154" s="28" t="s">
        <v>88</v>
      </c>
      <c r="Y154" s="28" t="s">
        <v>92</v>
      </c>
      <c r="AA154" s="2" t="s">
        <v>78</v>
      </c>
      <c r="AB154" s="2" t="str">
        <f t="shared" ref="AB154" si="233">IF(NOT(ISBLANK(AC154)),"-","")</f>
        <v>-</v>
      </c>
      <c r="AC154" s="2" t="s">
        <v>12</v>
      </c>
      <c r="AD154" s="2" t="str">
        <f t="shared" ref="AD154" si="234">IF(NOT(ISBLANK(AE154)),"_","")</f>
        <v>_</v>
      </c>
      <c r="AE154" s="2" t="s">
        <v>262</v>
      </c>
      <c r="AF154" s="2" t="str">
        <f t="shared" ref="AF154" si="235">IF(NOT(ISBLANK(AG154)),"_","")</f>
        <v>_</v>
      </c>
      <c r="AG154" s="28" t="s">
        <v>337</v>
      </c>
      <c r="AH154" s="2" t="str">
        <f t="shared" ref="AH154" si="236">IF(NOT(ISBLANK(AI154)),"_","")</f>
        <v/>
      </c>
    </row>
    <row r="155" spans="1:35" x14ac:dyDescent="0.25">
      <c r="B155" s="2" t="str">
        <f t="shared" ref="B155" si="237">_xlfn.CONCAT("@",AA155,AB155,AC155,AD155,AE155,AF155,AG155,AH155,AI155)</f>
        <v>@case_width-cycleway_default_z16</v>
      </c>
      <c r="C155" s="28" t="s">
        <v>86</v>
      </c>
      <c r="D155" s="28" t="s">
        <v>134</v>
      </c>
      <c r="F155" s="28" t="s">
        <v>86</v>
      </c>
      <c r="G155" s="28" t="s">
        <v>134</v>
      </c>
      <c r="I155" s="28" t="s">
        <v>327</v>
      </c>
      <c r="J155" s="28" t="s">
        <v>341</v>
      </c>
      <c r="L155" s="28" t="s">
        <v>327</v>
      </c>
      <c r="M155" s="28" t="s">
        <v>341</v>
      </c>
      <c r="U155" s="28" t="s">
        <v>86</v>
      </c>
      <c r="V155" s="28" t="s">
        <v>134</v>
      </c>
      <c r="X155" s="28" t="s">
        <v>86</v>
      </c>
      <c r="Y155" s="28" t="s">
        <v>134</v>
      </c>
      <c r="AA155" s="2" t="s">
        <v>78</v>
      </c>
      <c r="AB155" s="2" t="str">
        <f t="shared" ref="AB155" si="238">IF(NOT(ISBLANK(AC155)),"-","")</f>
        <v>-</v>
      </c>
      <c r="AC155" s="2" t="s">
        <v>12</v>
      </c>
      <c r="AD155" s="2" t="str">
        <f t="shared" ref="AD155" si="239">IF(NOT(ISBLANK(AE155)),"_","")</f>
        <v>_</v>
      </c>
      <c r="AE155" s="2" t="s">
        <v>262</v>
      </c>
      <c r="AF155" s="2" t="str">
        <f t="shared" ref="AF155" si="240">IF(NOT(ISBLANK(AG155)),"_","")</f>
        <v>_</v>
      </c>
      <c r="AG155" s="28" t="s">
        <v>75</v>
      </c>
      <c r="AH155" s="2" t="str">
        <f t="shared" ref="AH155" si="241">IF(NOT(ISBLANK(AI155)),"_","")</f>
        <v/>
      </c>
    </row>
    <row r="156" spans="1:35" x14ac:dyDescent="0.25">
      <c r="B156" s="2" t="str">
        <f t="shared" ref="B156" si="242">_xlfn.CONCAT("@",AA156,AB156,AC156,AD156,AE156,AF156,AG156,AH156,AI156)</f>
        <v>@case_width-cycleway_default_z18</v>
      </c>
      <c r="C156" s="28" t="s">
        <v>332</v>
      </c>
      <c r="D156" s="28" t="s">
        <v>338</v>
      </c>
      <c r="F156" s="28" t="s">
        <v>332</v>
      </c>
      <c r="G156" s="28" t="s">
        <v>338</v>
      </c>
      <c r="I156" s="28" t="s">
        <v>339</v>
      </c>
      <c r="J156" s="28" t="s">
        <v>145</v>
      </c>
      <c r="L156" s="28" t="s">
        <v>339</v>
      </c>
      <c r="M156" s="28" t="s">
        <v>145</v>
      </c>
      <c r="U156" s="28" t="s">
        <v>332</v>
      </c>
      <c r="V156" s="28" t="s">
        <v>338</v>
      </c>
      <c r="X156" s="28" t="s">
        <v>332</v>
      </c>
      <c r="Y156" s="28" t="s">
        <v>338</v>
      </c>
      <c r="AA156" s="2" t="s">
        <v>78</v>
      </c>
      <c r="AB156" s="2" t="str">
        <f t="shared" ref="AB156" si="243">IF(NOT(ISBLANK(AC156)),"-","")</f>
        <v>-</v>
      </c>
      <c r="AC156" s="2" t="s">
        <v>12</v>
      </c>
      <c r="AD156" s="2" t="str">
        <f t="shared" ref="AD156" si="244">IF(NOT(ISBLANK(AE156)),"_","")</f>
        <v>_</v>
      </c>
      <c r="AE156" s="2" t="s">
        <v>262</v>
      </c>
      <c r="AF156" s="2" t="str">
        <f t="shared" ref="AF156" si="245">IF(NOT(ISBLANK(AG156)),"_","")</f>
        <v>_</v>
      </c>
      <c r="AG156" s="28" t="s">
        <v>76</v>
      </c>
      <c r="AH156" s="2" t="str">
        <f t="shared" ref="AH156" si="246">IF(NOT(ISBLANK(AI156)),"_","")</f>
        <v/>
      </c>
    </row>
    <row r="157" spans="1:35" x14ac:dyDescent="0.25">
      <c r="B157" s="2"/>
      <c r="AA157" s="2"/>
      <c r="AB157" s="2"/>
      <c r="AC157" s="2"/>
      <c r="AD157" s="2"/>
      <c r="AE157" s="2"/>
    </row>
    <row r="158" spans="1:35" s="5" customFormat="1" x14ac:dyDescent="0.25">
      <c r="A158" s="3" t="s">
        <v>335</v>
      </c>
      <c r="B158" s="27"/>
      <c r="C158" s="27"/>
      <c r="D158" s="27"/>
      <c r="F158" s="27"/>
      <c r="G158" s="27"/>
      <c r="I158" s="27"/>
      <c r="J158" s="27"/>
      <c r="L158" s="27"/>
      <c r="M158" s="27"/>
      <c r="O158" s="27"/>
      <c r="P158" s="27"/>
      <c r="R158" s="27"/>
      <c r="S158" s="27"/>
      <c r="U158" s="27"/>
      <c r="V158" s="27"/>
      <c r="X158" s="27"/>
      <c r="Y158" s="27"/>
      <c r="AA158" s="27"/>
      <c r="AB158" s="27"/>
      <c r="AC158" s="27"/>
      <c r="AD158" s="27"/>
      <c r="AE158" s="27"/>
      <c r="AF158" s="27"/>
      <c r="AG158" s="27"/>
      <c r="AH158" s="27"/>
      <c r="AI158" s="27"/>
    </row>
    <row r="159" spans="1:35" x14ac:dyDescent="0.25">
      <c r="B159" s="2" t="str">
        <f>_xlfn.CONCAT("@",AA159,AB159,AC159,AD159,AE159,AF159,AG159,AH159,AI159)</f>
        <v>@color-cycleway_line</v>
      </c>
      <c r="C159" s="49" t="s">
        <v>185</v>
      </c>
      <c r="D159" s="50" t="str">
        <f>C159</f>
        <v>"#3046d7"</v>
      </c>
      <c r="F159" s="49" t="s">
        <v>185</v>
      </c>
      <c r="G159" s="50" t="str">
        <f>F159</f>
        <v>"#3046d7"</v>
      </c>
      <c r="I159" s="49" t="s">
        <v>185</v>
      </c>
      <c r="J159" s="50" t="str">
        <f>I159</f>
        <v>"#3046d7"</v>
      </c>
      <c r="L159" s="49" t="s">
        <v>185</v>
      </c>
      <c r="M159" s="50" t="str">
        <f>L159</f>
        <v>"#3046d7"</v>
      </c>
      <c r="U159" s="49" t="s">
        <v>185</v>
      </c>
      <c r="V159" s="50" t="str">
        <f>U159</f>
        <v>"#3046d7"</v>
      </c>
      <c r="X159" s="49" t="s">
        <v>185</v>
      </c>
      <c r="Y159" s="50" t="str">
        <f>X159</f>
        <v>"#3046d7"</v>
      </c>
      <c r="AA159" s="2" t="s">
        <v>6</v>
      </c>
      <c r="AB159" s="2" t="str">
        <f>IF(NOT(ISBLANK(AC159)),"-","")</f>
        <v>-</v>
      </c>
      <c r="AC159" s="2" t="s">
        <v>12</v>
      </c>
      <c r="AD159" s="2" t="str">
        <f>IF(NOT(ISBLANK(AE159)),"_","")</f>
        <v>_</v>
      </c>
      <c r="AE159" s="2" t="s">
        <v>13</v>
      </c>
      <c r="AF159" s="2" t="str">
        <f>IF(NOT(ISBLANK(AG159)),"_","")</f>
        <v/>
      </c>
      <c r="AH159" s="2" t="str">
        <f>IF(NOT(ISBLANK(AI159)),"_","")</f>
        <v/>
      </c>
    </row>
    <row r="160" spans="1:35" x14ac:dyDescent="0.25">
      <c r="B160" s="2" t="str">
        <f>_xlfn.CONCAT("@",AA160,AB160,AC160,AD160,AE160,AF160,AG160,AH160,AI160)</f>
        <v>@color-footway_line</v>
      </c>
      <c r="C160" s="51" t="s">
        <v>186</v>
      </c>
      <c r="D160" s="52" t="str">
        <f>C160</f>
        <v>"#a43820"</v>
      </c>
      <c r="F160" s="51" t="s">
        <v>186</v>
      </c>
      <c r="G160" s="52" t="str">
        <f>F160</f>
        <v>"#a43820"</v>
      </c>
      <c r="I160" s="51" t="s">
        <v>186</v>
      </c>
      <c r="J160" s="52" t="str">
        <f>I160</f>
        <v>"#a43820"</v>
      </c>
      <c r="L160" s="51" t="s">
        <v>186</v>
      </c>
      <c r="M160" s="52" t="str">
        <f>L160</f>
        <v>"#a43820"</v>
      </c>
      <c r="U160" s="51" t="s">
        <v>186</v>
      </c>
      <c r="V160" s="52" t="str">
        <f>U160</f>
        <v>"#a43820"</v>
      </c>
      <c r="X160" s="51" t="s">
        <v>186</v>
      </c>
      <c r="Y160" s="52" t="str">
        <f>X160</f>
        <v>"#a43820"</v>
      </c>
      <c r="AA160" s="2" t="s">
        <v>6</v>
      </c>
      <c r="AB160" s="2" t="str">
        <f>IF(NOT(ISBLANK(AC160)),"-","")</f>
        <v>-</v>
      </c>
      <c r="AC160" s="2" t="s">
        <v>34</v>
      </c>
      <c r="AD160" s="2" t="str">
        <f>IF(NOT(ISBLANK(AE160)),"_","")</f>
        <v>_</v>
      </c>
      <c r="AE160" s="2" t="s">
        <v>13</v>
      </c>
      <c r="AF160" s="2" t="str">
        <f>IF(NOT(ISBLANK(AG160)),"_","")</f>
        <v/>
      </c>
      <c r="AG160" s="2"/>
      <c r="AH160" s="2" t="str">
        <f>IF(NOT(ISBLANK(AI160)),"_","")</f>
        <v/>
      </c>
      <c r="AI160" s="2"/>
    </row>
    <row r="161" spans="2:34" x14ac:dyDescent="0.25">
      <c r="AA161" s="2"/>
      <c r="AB161" s="2" t="str">
        <f t="shared" si="214"/>
        <v/>
      </c>
      <c r="AC161" s="2"/>
      <c r="AD161" s="2" t="str">
        <f t="shared" si="215"/>
        <v/>
      </c>
      <c r="AE161" s="2"/>
      <c r="AF161" s="28" t="str">
        <f t="shared" si="216"/>
        <v/>
      </c>
      <c r="AH161" s="28" t="str">
        <f t="shared" si="217"/>
        <v/>
      </c>
    </row>
    <row r="162" spans="2:34" x14ac:dyDescent="0.25">
      <c r="B162" s="2" t="str">
        <f t="shared" ref="B162" si="247">_xlfn.CONCAT("@",AA162,AB162,AC162,AD162,AE162,AF162,AG162,AH162,AI162)</f>
        <v>@line_width-cycleway_paved_or_uk_z12</v>
      </c>
      <c r="C162" s="28" t="s">
        <v>84</v>
      </c>
      <c r="D162" s="28" t="s">
        <v>84</v>
      </c>
      <c r="F162" s="28" t="s">
        <v>84</v>
      </c>
      <c r="G162" s="28" t="s">
        <v>84</v>
      </c>
      <c r="I162" s="28" t="s">
        <v>123</v>
      </c>
      <c r="J162" s="28" t="s">
        <v>123</v>
      </c>
      <c r="L162" s="28" t="s">
        <v>123</v>
      </c>
      <c r="M162" s="28" t="s">
        <v>123</v>
      </c>
      <c r="U162" s="28" t="s">
        <v>84</v>
      </c>
      <c r="V162" s="28" t="s">
        <v>84</v>
      </c>
      <c r="X162" s="28" t="s">
        <v>84</v>
      </c>
      <c r="Y162" s="28" t="s">
        <v>84</v>
      </c>
      <c r="AA162" s="2" t="s">
        <v>119</v>
      </c>
      <c r="AB162" s="2" t="str">
        <f t="shared" ref="AB162" si="248">IF(NOT(ISBLANK(AC162)),"-","")</f>
        <v>-</v>
      </c>
      <c r="AC162" s="2" t="s">
        <v>12</v>
      </c>
      <c r="AD162" s="2" t="str">
        <f t="shared" ref="AD162" si="249">IF(NOT(ISBLANK(AE162)),"_","")</f>
        <v>_</v>
      </c>
      <c r="AE162" s="2" t="s">
        <v>24</v>
      </c>
      <c r="AF162" s="2" t="str">
        <f t="shared" ref="AF162" si="250">IF(NOT(ISBLANK(AG162)),"_","")</f>
        <v>_</v>
      </c>
      <c r="AG162" s="28" t="s">
        <v>109</v>
      </c>
      <c r="AH162" s="2" t="str">
        <f t="shared" ref="AH162" si="251">IF(NOT(ISBLANK(AI162)),"_","")</f>
        <v/>
      </c>
    </row>
    <row r="163" spans="2:34" x14ac:dyDescent="0.25">
      <c r="B163" s="2" t="str">
        <f t="shared" ref="B163" si="252">_xlfn.CONCAT("@",AA163,AB163,AC163,AD163,AE163,AF163,AG163,AH163,AI163)</f>
        <v>@line_width-cycleway_paved_or_uk_z14</v>
      </c>
      <c r="C163" s="28" t="s">
        <v>123</v>
      </c>
      <c r="D163" s="28" t="s">
        <v>90</v>
      </c>
      <c r="F163" s="28" t="s">
        <v>123</v>
      </c>
      <c r="G163" s="28" t="s">
        <v>90</v>
      </c>
      <c r="I163" s="28" t="s">
        <v>112</v>
      </c>
      <c r="J163" s="28" t="s">
        <v>350</v>
      </c>
      <c r="L163" s="28" t="s">
        <v>112</v>
      </c>
      <c r="M163" s="28" t="s">
        <v>350</v>
      </c>
      <c r="U163" s="28" t="s">
        <v>123</v>
      </c>
      <c r="V163" s="28" t="s">
        <v>90</v>
      </c>
      <c r="X163" s="28" t="s">
        <v>123</v>
      </c>
      <c r="Y163" s="28" t="s">
        <v>90</v>
      </c>
      <c r="AA163" s="2" t="s">
        <v>119</v>
      </c>
      <c r="AB163" s="2" t="str">
        <f t="shared" ref="AB163" si="253">IF(NOT(ISBLANK(AC163)),"-","")</f>
        <v>-</v>
      </c>
      <c r="AC163" s="2" t="s">
        <v>12</v>
      </c>
      <c r="AD163" s="2" t="str">
        <f t="shared" ref="AD163" si="254">IF(NOT(ISBLANK(AE163)),"_","")</f>
        <v>_</v>
      </c>
      <c r="AE163" s="2" t="s">
        <v>24</v>
      </c>
      <c r="AF163" s="2" t="str">
        <f t="shared" ref="AF163" si="255">IF(NOT(ISBLANK(AG163)),"_","")</f>
        <v>_</v>
      </c>
      <c r="AG163" s="28" t="s">
        <v>74</v>
      </c>
      <c r="AH163" s="2" t="str">
        <f t="shared" ref="AH163" si="256">IF(NOT(ISBLANK(AI163)),"_","")</f>
        <v/>
      </c>
    </row>
    <row r="164" spans="2:34" x14ac:dyDescent="0.25">
      <c r="B164" s="2" t="str">
        <f t="shared" ref="B164" si="257">_xlfn.CONCAT("@",AA164,AB164,AC164,AD164,AE164,AF164,AG164,AH164,AI164)</f>
        <v>@line_width-cycleway_paved_or_uk_z16</v>
      </c>
      <c r="C164" s="28" t="s">
        <v>88</v>
      </c>
      <c r="D164" s="28" t="s">
        <v>92</v>
      </c>
      <c r="F164" s="28" t="s">
        <v>88</v>
      </c>
      <c r="G164" s="28" t="s">
        <v>92</v>
      </c>
      <c r="I164" s="28" t="s">
        <v>82</v>
      </c>
      <c r="J164" s="28" t="s">
        <v>83</v>
      </c>
      <c r="L164" s="28" t="s">
        <v>82</v>
      </c>
      <c r="M164" s="28" t="s">
        <v>83</v>
      </c>
      <c r="U164" s="28" t="s">
        <v>88</v>
      </c>
      <c r="V164" s="28" t="s">
        <v>92</v>
      </c>
      <c r="X164" s="28" t="s">
        <v>88</v>
      </c>
      <c r="Y164" s="28" t="s">
        <v>92</v>
      </c>
      <c r="AA164" s="2" t="s">
        <v>119</v>
      </c>
      <c r="AB164" s="2" t="str">
        <f t="shared" ref="AB164" si="258">IF(NOT(ISBLANK(AC164)),"-","")</f>
        <v>-</v>
      </c>
      <c r="AC164" s="2" t="s">
        <v>12</v>
      </c>
      <c r="AD164" s="2" t="str">
        <f t="shared" ref="AD164" si="259">IF(NOT(ISBLANK(AE164)),"_","")</f>
        <v>_</v>
      </c>
      <c r="AE164" s="2" t="s">
        <v>24</v>
      </c>
      <c r="AF164" s="2" t="str">
        <f t="shared" ref="AF164" si="260">IF(NOT(ISBLANK(AG164)),"_","")</f>
        <v>_</v>
      </c>
      <c r="AG164" s="28" t="s">
        <v>75</v>
      </c>
      <c r="AH164" s="2" t="str">
        <f t="shared" ref="AH164" si="261">IF(NOT(ISBLANK(AI164)),"_","")</f>
        <v/>
      </c>
    </row>
    <row r="165" spans="2:34" x14ac:dyDescent="0.25">
      <c r="B165" s="2" t="str">
        <f t="shared" ref="B165" si="262">_xlfn.CONCAT("@",AA165,AB165,AC165,AD165,AE165,AF165,AG165,AH165,AI165)</f>
        <v>@line_width-cycleway_paved_or_uk_z18</v>
      </c>
      <c r="C165" s="28" t="s">
        <v>86</v>
      </c>
      <c r="D165" s="28" t="s">
        <v>341</v>
      </c>
      <c r="F165" s="28" t="s">
        <v>86</v>
      </c>
      <c r="G165" s="28" t="s">
        <v>341</v>
      </c>
      <c r="I165" s="28" t="s">
        <v>134</v>
      </c>
      <c r="J165" s="28" t="s">
        <v>332</v>
      </c>
      <c r="L165" s="28" t="s">
        <v>134</v>
      </c>
      <c r="M165" s="28" t="s">
        <v>332</v>
      </c>
      <c r="U165" s="28" t="s">
        <v>86</v>
      </c>
      <c r="V165" s="28" t="s">
        <v>341</v>
      </c>
      <c r="X165" s="28" t="s">
        <v>86</v>
      </c>
      <c r="Y165" s="28" t="s">
        <v>341</v>
      </c>
      <c r="AA165" s="2" t="s">
        <v>119</v>
      </c>
      <c r="AB165" s="2" t="str">
        <f t="shared" ref="AB165" si="263">IF(NOT(ISBLANK(AC165)),"-","")</f>
        <v>-</v>
      </c>
      <c r="AC165" s="2" t="s">
        <v>12</v>
      </c>
      <c r="AD165" s="2" t="str">
        <f t="shared" ref="AD165" si="264">IF(NOT(ISBLANK(AE165)),"_","")</f>
        <v>_</v>
      </c>
      <c r="AE165" s="2" t="s">
        <v>24</v>
      </c>
      <c r="AF165" s="2" t="str">
        <f t="shared" ref="AF165" si="265">IF(NOT(ISBLANK(AG165)),"_","")</f>
        <v>_</v>
      </c>
      <c r="AG165" s="28" t="s">
        <v>76</v>
      </c>
      <c r="AH165" s="2" t="str">
        <f t="shared" ref="AH165" si="266">IF(NOT(ISBLANK(AI165)),"_","")</f>
        <v/>
      </c>
    </row>
    <row r="166" spans="2:34" x14ac:dyDescent="0.25">
      <c r="AA166" s="2"/>
      <c r="AB166" s="2"/>
      <c r="AC166" s="2"/>
      <c r="AD166" s="2"/>
      <c r="AE166" s="2"/>
    </row>
    <row r="167" spans="2:34" x14ac:dyDescent="0.25">
      <c r="B167" s="2" t="str">
        <f t="shared" ref="B167:B170" si="267">_xlfn.CONCAT("@",AA167,AB167,AC167,AD167,AE167,AF167,AG167,AH167,AI167)</f>
        <v>@line_width-cycleway_unpaved_z12</v>
      </c>
      <c r="C167" s="28" t="s">
        <v>112</v>
      </c>
      <c r="D167" s="28" t="s">
        <v>112</v>
      </c>
      <c r="F167" s="28" t="s">
        <v>112</v>
      </c>
      <c r="G167" s="28" t="s">
        <v>112</v>
      </c>
      <c r="I167" s="28" t="s">
        <v>126</v>
      </c>
      <c r="J167" s="28" t="s">
        <v>126</v>
      </c>
      <c r="L167" s="28" t="s">
        <v>126</v>
      </c>
      <c r="M167" s="28" t="s">
        <v>126</v>
      </c>
      <c r="U167" s="28" t="s">
        <v>112</v>
      </c>
      <c r="V167" s="28" t="s">
        <v>112</v>
      </c>
      <c r="X167" s="28" t="s">
        <v>112</v>
      </c>
      <c r="Y167" s="28" t="s">
        <v>112</v>
      </c>
      <c r="AA167" s="2" t="s">
        <v>119</v>
      </c>
      <c r="AB167" s="2" t="str">
        <f t="shared" ref="AB167:AB170" si="268">IF(NOT(ISBLANK(AC167)),"-","")</f>
        <v>-</v>
      </c>
      <c r="AC167" s="2" t="s">
        <v>12</v>
      </c>
      <c r="AD167" s="2" t="str">
        <f t="shared" ref="AD167:AD170" si="269">IF(NOT(ISBLANK(AE167)),"_","")</f>
        <v>_</v>
      </c>
      <c r="AE167" s="2" t="s">
        <v>21</v>
      </c>
      <c r="AF167" s="2" t="str">
        <f t="shared" ref="AF167:AF170" si="270">IF(NOT(ISBLANK(AG167)),"_","")</f>
        <v>_</v>
      </c>
      <c r="AG167" s="28" t="s">
        <v>109</v>
      </c>
      <c r="AH167" s="2" t="str">
        <f t="shared" ref="AH167:AH170" si="271">IF(NOT(ISBLANK(AI167)),"_","")</f>
        <v/>
      </c>
    </row>
    <row r="168" spans="2:34" x14ac:dyDescent="0.25">
      <c r="B168" s="2" t="str">
        <f t="shared" si="267"/>
        <v>@line_width-cycleway_unpaved_z14</v>
      </c>
      <c r="C168" s="28" t="s">
        <v>126</v>
      </c>
      <c r="D168" s="28" t="s">
        <v>344</v>
      </c>
      <c r="F168" s="28" t="s">
        <v>126</v>
      </c>
      <c r="G168" s="28" t="s">
        <v>344</v>
      </c>
      <c r="I168" s="28" t="s">
        <v>351</v>
      </c>
      <c r="J168" s="28" t="s">
        <v>352</v>
      </c>
      <c r="L168" s="28" t="s">
        <v>351</v>
      </c>
      <c r="M168" s="28" t="s">
        <v>352</v>
      </c>
      <c r="U168" s="28" t="s">
        <v>126</v>
      </c>
      <c r="V168" s="28" t="s">
        <v>344</v>
      </c>
      <c r="X168" s="28" t="s">
        <v>126</v>
      </c>
      <c r="Y168" s="28" t="s">
        <v>344</v>
      </c>
      <c r="AA168" s="2" t="s">
        <v>119</v>
      </c>
      <c r="AB168" s="2" t="str">
        <f t="shared" si="268"/>
        <v>-</v>
      </c>
      <c r="AC168" s="2" t="s">
        <v>12</v>
      </c>
      <c r="AD168" s="2" t="str">
        <f t="shared" si="269"/>
        <v>_</v>
      </c>
      <c r="AE168" s="2" t="s">
        <v>21</v>
      </c>
      <c r="AF168" s="2" t="str">
        <f t="shared" si="270"/>
        <v>_</v>
      </c>
      <c r="AG168" s="28" t="s">
        <v>74</v>
      </c>
      <c r="AH168" s="2" t="str">
        <f t="shared" si="271"/>
        <v/>
      </c>
    </row>
    <row r="169" spans="2:34" x14ac:dyDescent="0.25">
      <c r="B169" s="2" t="str">
        <f t="shared" si="267"/>
        <v>@line_width-cycleway_unpaved_z16</v>
      </c>
      <c r="C169" s="28" t="s">
        <v>128</v>
      </c>
      <c r="D169" s="28" t="s">
        <v>86</v>
      </c>
      <c r="F169" s="28" t="s">
        <v>128</v>
      </c>
      <c r="G169" s="28" t="s">
        <v>86</v>
      </c>
      <c r="I169" s="28" t="s">
        <v>127</v>
      </c>
      <c r="J169" s="28" t="s">
        <v>91</v>
      </c>
      <c r="L169" s="28" t="s">
        <v>127</v>
      </c>
      <c r="M169" s="28" t="s">
        <v>91</v>
      </c>
      <c r="U169" s="28" t="s">
        <v>128</v>
      </c>
      <c r="V169" s="28" t="s">
        <v>86</v>
      </c>
      <c r="X169" s="28" t="s">
        <v>128</v>
      </c>
      <c r="Y169" s="28" t="s">
        <v>86</v>
      </c>
      <c r="AA169" s="2" t="s">
        <v>119</v>
      </c>
      <c r="AB169" s="2" t="str">
        <f t="shared" si="268"/>
        <v>-</v>
      </c>
      <c r="AC169" s="2" t="s">
        <v>12</v>
      </c>
      <c r="AD169" s="2" t="str">
        <f t="shared" si="269"/>
        <v>_</v>
      </c>
      <c r="AE169" s="2" t="s">
        <v>21</v>
      </c>
      <c r="AF169" s="2" t="str">
        <f t="shared" si="270"/>
        <v>_</v>
      </c>
      <c r="AG169" s="28" t="s">
        <v>75</v>
      </c>
      <c r="AH169" s="2" t="str">
        <f t="shared" si="271"/>
        <v/>
      </c>
    </row>
    <row r="170" spans="2:34" x14ac:dyDescent="0.25">
      <c r="B170" s="2" t="str">
        <f t="shared" si="267"/>
        <v>@line_width-cycleway_unpaved_z18</v>
      </c>
      <c r="C170" s="28" t="s">
        <v>87</v>
      </c>
      <c r="D170" s="28" t="s">
        <v>89</v>
      </c>
      <c r="F170" s="28" t="s">
        <v>87</v>
      </c>
      <c r="G170" s="28" t="s">
        <v>89</v>
      </c>
      <c r="I170" s="28" t="s">
        <v>135</v>
      </c>
      <c r="J170" s="28" t="s">
        <v>145</v>
      </c>
      <c r="L170" s="28" t="s">
        <v>135</v>
      </c>
      <c r="M170" s="28" t="s">
        <v>145</v>
      </c>
      <c r="U170" s="28" t="s">
        <v>87</v>
      </c>
      <c r="V170" s="28" t="s">
        <v>89</v>
      </c>
      <c r="X170" s="28" t="s">
        <v>87</v>
      </c>
      <c r="Y170" s="28" t="s">
        <v>89</v>
      </c>
      <c r="AA170" s="2" t="s">
        <v>119</v>
      </c>
      <c r="AB170" s="2" t="str">
        <f t="shared" si="268"/>
        <v>-</v>
      </c>
      <c r="AC170" s="2" t="s">
        <v>12</v>
      </c>
      <c r="AD170" s="2" t="str">
        <f t="shared" si="269"/>
        <v>_</v>
      </c>
      <c r="AE170" s="2" t="s">
        <v>21</v>
      </c>
      <c r="AF170" s="2" t="str">
        <f t="shared" si="270"/>
        <v>_</v>
      </c>
      <c r="AG170" s="28" t="s">
        <v>76</v>
      </c>
      <c r="AH170" s="2" t="str">
        <f t="shared" si="271"/>
        <v/>
      </c>
    </row>
    <row r="171" spans="2:34" x14ac:dyDescent="0.25">
      <c r="AA171" s="2"/>
      <c r="AB171" s="2"/>
      <c r="AC171" s="2"/>
      <c r="AD171" s="2"/>
      <c r="AE171" s="2"/>
    </row>
    <row r="172" spans="2:34" x14ac:dyDescent="0.25">
      <c r="B172" s="2" t="str">
        <f t="shared" ref="B172:B175" si="272">_xlfn.CONCAT("@",AA172,AB172,AC172,AD172,AE172,AF172,AG172,AH172,AI172)</f>
        <v>@line_width-footway_default_z12</v>
      </c>
      <c r="C172" s="28" t="s">
        <v>96</v>
      </c>
      <c r="D172" s="28" t="s">
        <v>116</v>
      </c>
      <c r="F172" s="28" t="s">
        <v>96</v>
      </c>
      <c r="G172" s="28" t="s">
        <v>116</v>
      </c>
      <c r="I172" s="28" t="s">
        <v>96</v>
      </c>
      <c r="J172" s="28" t="s">
        <v>116</v>
      </c>
      <c r="L172" s="28" t="s">
        <v>96</v>
      </c>
      <c r="M172" s="28" t="s">
        <v>116</v>
      </c>
      <c r="U172" s="28" t="s">
        <v>96</v>
      </c>
      <c r="V172" s="28" t="s">
        <v>116</v>
      </c>
      <c r="X172" s="28" t="s">
        <v>96</v>
      </c>
      <c r="Y172" s="28" t="s">
        <v>116</v>
      </c>
      <c r="AA172" s="2" t="s">
        <v>119</v>
      </c>
      <c r="AB172" s="2" t="str">
        <f t="shared" ref="AB172:AB175" si="273">IF(NOT(ISBLANK(AC172)),"-","")</f>
        <v>-</v>
      </c>
      <c r="AC172" s="2" t="s">
        <v>34</v>
      </c>
      <c r="AD172" s="2" t="str">
        <f t="shared" ref="AD172:AD175" si="274">IF(NOT(ISBLANK(AE172)),"_","")</f>
        <v>_</v>
      </c>
      <c r="AE172" s="2" t="s">
        <v>262</v>
      </c>
      <c r="AF172" s="2" t="str">
        <f t="shared" ref="AF172:AF175" si="275">IF(NOT(ISBLANK(AG172)),"_","")</f>
        <v>_</v>
      </c>
      <c r="AG172" s="28" t="s">
        <v>109</v>
      </c>
      <c r="AH172" s="2" t="str">
        <f t="shared" ref="AH172:AH175" si="276">IF(NOT(ISBLANK(AI172)),"_","")</f>
        <v/>
      </c>
    </row>
    <row r="173" spans="2:34" x14ac:dyDescent="0.25">
      <c r="B173" s="2" t="str">
        <f t="shared" si="272"/>
        <v>@line_width-footway_default_z14</v>
      </c>
      <c r="C173" s="28" t="s">
        <v>84</v>
      </c>
      <c r="D173" s="28" t="s">
        <v>90</v>
      </c>
      <c r="F173" s="28" t="s">
        <v>84</v>
      </c>
      <c r="G173" s="28" t="s">
        <v>90</v>
      </c>
      <c r="I173" s="28" t="s">
        <v>84</v>
      </c>
      <c r="J173" s="28" t="s">
        <v>90</v>
      </c>
      <c r="L173" s="28" t="s">
        <v>84</v>
      </c>
      <c r="M173" s="28" t="s">
        <v>90</v>
      </c>
      <c r="U173" s="28" t="s">
        <v>84</v>
      </c>
      <c r="V173" s="28" t="s">
        <v>90</v>
      </c>
      <c r="X173" s="28" t="s">
        <v>84</v>
      </c>
      <c r="Y173" s="28" t="s">
        <v>90</v>
      </c>
      <c r="AA173" s="2" t="s">
        <v>119</v>
      </c>
      <c r="AB173" s="2" t="str">
        <f t="shared" si="273"/>
        <v>-</v>
      </c>
      <c r="AC173" s="2" t="s">
        <v>34</v>
      </c>
      <c r="AD173" s="2" t="str">
        <f t="shared" si="274"/>
        <v>_</v>
      </c>
      <c r="AE173" s="2" t="s">
        <v>262</v>
      </c>
      <c r="AF173" s="2" t="str">
        <f t="shared" si="275"/>
        <v>_</v>
      </c>
      <c r="AG173" s="28" t="s">
        <v>74</v>
      </c>
      <c r="AH173" s="2" t="str">
        <f t="shared" si="276"/>
        <v/>
      </c>
    </row>
    <row r="174" spans="2:34" x14ac:dyDescent="0.25">
      <c r="B174" s="2" t="str">
        <f t="shared" si="272"/>
        <v>@line_width-footway_default_z16</v>
      </c>
      <c r="C174" s="28" t="s">
        <v>90</v>
      </c>
      <c r="D174" s="28" t="s">
        <v>92</v>
      </c>
      <c r="F174" s="28" t="s">
        <v>90</v>
      </c>
      <c r="G174" s="28" t="s">
        <v>92</v>
      </c>
      <c r="I174" s="28" t="s">
        <v>90</v>
      </c>
      <c r="J174" s="28" t="s">
        <v>92</v>
      </c>
      <c r="L174" s="28" t="s">
        <v>90</v>
      </c>
      <c r="M174" s="28" t="s">
        <v>92</v>
      </c>
      <c r="U174" s="28" t="s">
        <v>90</v>
      </c>
      <c r="V174" s="28" t="s">
        <v>92</v>
      </c>
      <c r="X174" s="28" t="s">
        <v>90</v>
      </c>
      <c r="Y174" s="28" t="s">
        <v>92</v>
      </c>
      <c r="AA174" s="2" t="s">
        <v>119</v>
      </c>
      <c r="AB174" s="2" t="str">
        <f t="shared" si="273"/>
        <v>-</v>
      </c>
      <c r="AC174" s="2" t="s">
        <v>34</v>
      </c>
      <c r="AD174" s="2" t="str">
        <f t="shared" si="274"/>
        <v>_</v>
      </c>
      <c r="AE174" s="2" t="s">
        <v>262</v>
      </c>
      <c r="AF174" s="2" t="str">
        <f t="shared" si="275"/>
        <v>_</v>
      </c>
      <c r="AG174" s="28" t="s">
        <v>75</v>
      </c>
      <c r="AH174" s="2" t="str">
        <f t="shared" si="276"/>
        <v/>
      </c>
    </row>
    <row r="175" spans="2:34" x14ac:dyDescent="0.25">
      <c r="B175" s="2" t="str">
        <f t="shared" si="272"/>
        <v>@line_width-footway_default_z18</v>
      </c>
      <c r="C175" s="28" t="s">
        <v>92</v>
      </c>
      <c r="D175" s="28" t="s">
        <v>86</v>
      </c>
      <c r="F175" s="28" t="s">
        <v>92</v>
      </c>
      <c r="G175" s="28" t="s">
        <v>86</v>
      </c>
      <c r="I175" s="28" t="s">
        <v>92</v>
      </c>
      <c r="J175" s="28" t="s">
        <v>86</v>
      </c>
      <c r="L175" s="28" t="s">
        <v>92</v>
      </c>
      <c r="M175" s="28" t="s">
        <v>86</v>
      </c>
      <c r="U175" s="28" t="s">
        <v>92</v>
      </c>
      <c r="V175" s="28" t="s">
        <v>86</v>
      </c>
      <c r="X175" s="28" t="s">
        <v>92</v>
      </c>
      <c r="Y175" s="28" t="s">
        <v>86</v>
      </c>
      <c r="AA175" s="2" t="s">
        <v>119</v>
      </c>
      <c r="AB175" s="2" t="str">
        <f t="shared" si="273"/>
        <v>-</v>
      </c>
      <c r="AC175" s="2" t="s">
        <v>34</v>
      </c>
      <c r="AD175" s="2" t="str">
        <f t="shared" si="274"/>
        <v>_</v>
      </c>
      <c r="AE175" s="2" t="s">
        <v>262</v>
      </c>
      <c r="AF175" s="2" t="str">
        <f t="shared" si="275"/>
        <v>_</v>
      </c>
      <c r="AG175" s="28" t="s">
        <v>76</v>
      </c>
      <c r="AH175" s="2" t="str">
        <f t="shared" si="276"/>
        <v/>
      </c>
    </row>
    <row r="176" spans="2:34" x14ac:dyDescent="0.25">
      <c r="AA176" s="2"/>
      <c r="AB176" s="2"/>
      <c r="AC176" s="2"/>
      <c r="AD176" s="2"/>
      <c r="AE176" s="2"/>
    </row>
    <row r="177" spans="1:39" x14ac:dyDescent="0.25">
      <c r="B177" s="2" t="str">
        <f t="shared" ref="B177:B180" si="277">_xlfn.CONCAT("@",AA177,AB177,AC177,AD177,AE177,AF177,AG177,AH177,AI177)</f>
        <v>@line_offset-footway_left_z12</v>
      </c>
      <c r="C177" s="28" t="s">
        <v>363</v>
      </c>
      <c r="D177" s="28" t="s">
        <v>364</v>
      </c>
      <c r="F177" s="28" t="s">
        <v>363</v>
      </c>
      <c r="G177" s="28" t="s">
        <v>364</v>
      </c>
      <c r="I177" s="28" t="s">
        <v>363</v>
      </c>
      <c r="J177" s="28" t="s">
        <v>364</v>
      </c>
      <c r="L177" s="28" t="s">
        <v>363</v>
      </c>
      <c r="M177" s="28" t="s">
        <v>364</v>
      </c>
      <c r="U177" s="28" t="s">
        <v>363</v>
      </c>
      <c r="V177" s="28" t="s">
        <v>364</v>
      </c>
      <c r="X177" s="28" t="s">
        <v>363</v>
      </c>
      <c r="Y177" s="28" t="s">
        <v>364</v>
      </c>
      <c r="AA177" s="2" t="s">
        <v>355</v>
      </c>
      <c r="AB177" s="2" t="str">
        <f t="shared" ref="AB177:AB180" si="278">IF(NOT(ISBLANK(AC177)),"-","")</f>
        <v>-</v>
      </c>
      <c r="AC177" s="2" t="s">
        <v>34</v>
      </c>
      <c r="AD177" s="2" t="str">
        <f t="shared" ref="AD177:AD180" si="279">IF(NOT(ISBLANK(AE177)),"_","")</f>
        <v>_</v>
      </c>
      <c r="AE177" s="2" t="s">
        <v>356</v>
      </c>
      <c r="AF177" s="2" t="str">
        <f t="shared" ref="AF177:AF180" si="280">IF(NOT(ISBLANK(AG177)),"_","")</f>
        <v>_</v>
      </c>
      <c r="AG177" s="28" t="s">
        <v>109</v>
      </c>
      <c r="AH177" s="2" t="str">
        <f t="shared" ref="AH177:AH180" si="281">IF(NOT(ISBLANK(AI177)),"_","")</f>
        <v/>
      </c>
    </row>
    <row r="178" spans="1:39" x14ac:dyDescent="0.25">
      <c r="B178" s="2" t="str">
        <f t="shared" si="277"/>
        <v>@line_offset-footway_left_z14</v>
      </c>
      <c r="C178" s="28" t="s">
        <v>359</v>
      </c>
      <c r="D178" s="28" t="s">
        <v>360</v>
      </c>
      <c r="F178" s="28" t="s">
        <v>359</v>
      </c>
      <c r="G178" s="28" t="s">
        <v>360</v>
      </c>
      <c r="I178" s="28" t="s">
        <v>359</v>
      </c>
      <c r="J178" s="28" t="s">
        <v>360</v>
      </c>
      <c r="L178" s="28" t="s">
        <v>359</v>
      </c>
      <c r="M178" s="28" t="s">
        <v>360</v>
      </c>
      <c r="U178" s="28" t="s">
        <v>359</v>
      </c>
      <c r="V178" s="28" t="s">
        <v>360</v>
      </c>
      <c r="X178" s="28" t="s">
        <v>359</v>
      </c>
      <c r="Y178" s="28" t="s">
        <v>360</v>
      </c>
      <c r="AA178" s="2" t="s">
        <v>355</v>
      </c>
      <c r="AB178" s="2" t="str">
        <f t="shared" si="278"/>
        <v>-</v>
      </c>
      <c r="AC178" s="2" t="s">
        <v>34</v>
      </c>
      <c r="AD178" s="2" t="str">
        <f t="shared" si="279"/>
        <v>_</v>
      </c>
      <c r="AE178" s="2" t="s">
        <v>356</v>
      </c>
      <c r="AF178" s="2" t="str">
        <f t="shared" si="280"/>
        <v>_</v>
      </c>
      <c r="AG178" s="28" t="s">
        <v>74</v>
      </c>
      <c r="AH178" s="2" t="str">
        <f t="shared" si="281"/>
        <v/>
      </c>
    </row>
    <row r="179" spans="1:39" x14ac:dyDescent="0.25">
      <c r="B179" s="2" t="str">
        <f t="shared" si="277"/>
        <v>@line_offset-footway_left_z16</v>
      </c>
      <c r="C179" s="28" t="s">
        <v>358</v>
      </c>
      <c r="D179" s="28" t="s">
        <v>361</v>
      </c>
      <c r="F179" s="28" t="s">
        <v>358</v>
      </c>
      <c r="G179" s="28" t="s">
        <v>361</v>
      </c>
      <c r="I179" s="28" t="s">
        <v>358</v>
      </c>
      <c r="J179" s="28" t="s">
        <v>361</v>
      </c>
      <c r="L179" s="28" t="s">
        <v>358</v>
      </c>
      <c r="M179" s="28" t="s">
        <v>361</v>
      </c>
      <c r="U179" s="28" t="s">
        <v>358</v>
      </c>
      <c r="V179" s="28" t="s">
        <v>361</v>
      </c>
      <c r="X179" s="28" t="s">
        <v>358</v>
      </c>
      <c r="Y179" s="28" t="s">
        <v>361</v>
      </c>
      <c r="AA179" s="2" t="s">
        <v>355</v>
      </c>
      <c r="AB179" s="2" t="str">
        <f t="shared" si="278"/>
        <v>-</v>
      </c>
      <c r="AC179" s="2" t="s">
        <v>34</v>
      </c>
      <c r="AD179" s="2" t="str">
        <f t="shared" si="279"/>
        <v>_</v>
      </c>
      <c r="AE179" s="2" t="s">
        <v>356</v>
      </c>
      <c r="AF179" s="2" t="str">
        <f t="shared" si="280"/>
        <v>_</v>
      </c>
      <c r="AG179" s="28" t="s">
        <v>75</v>
      </c>
      <c r="AH179" s="2" t="str">
        <f t="shared" si="281"/>
        <v/>
      </c>
    </row>
    <row r="180" spans="1:39" x14ac:dyDescent="0.25">
      <c r="B180" s="2" t="str">
        <f t="shared" si="277"/>
        <v>@line_offset-footway_left_z18</v>
      </c>
      <c r="C180" s="28" t="s">
        <v>357</v>
      </c>
      <c r="D180" s="28" t="s">
        <v>362</v>
      </c>
      <c r="F180" s="28" t="s">
        <v>357</v>
      </c>
      <c r="G180" s="28" t="s">
        <v>362</v>
      </c>
      <c r="I180" s="28" t="s">
        <v>357</v>
      </c>
      <c r="J180" s="28" t="s">
        <v>362</v>
      </c>
      <c r="L180" s="28" t="s">
        <v>357</v>
      </c>
      <c r="M180" s="28" t="s">
        <v>362</v>
      </c>
      <c r="U180" s="28" t="s">
        <v>357</v>
      </c>
      <c r="V180" s="28" t="s">
        <v>362</v>
      </c>
      <c r="X180" s="28" t="s">
        <v>357</v>
      </c>
      <c r="Y180" s="28" t="s">
        <v>362</v>
      </c>
      <c r="AA180" s="2" t="s">
        <v>355</v>
      </c>
      <c r="AB180" s="2" t="str">
        <f t="shared" si="278"/>
        <v>-</v>
      </c>
      <c r="AC180" s="2" t="s">
        <v>34</v>
      </c>
      <c r="AD180" s="2" t="str">
        <f t="shared" si="279"/>
        <v>_</v>
      </c>
      <c r="AE180" s="2" t="s">
        <v>356</v>
      </c>
      <c r="AF180" s="2" t="str">
        <f t="shared" si="280"/>
        <v>_</v>
      </c>
      <c r="AG180" s="28" t="s">
        <v>76</v>
      </c>
      <c r="AH180" s="2" t="str">
        <f t="shared" si="281"/>
        <v/>
      </c>
    </row>
    <row r="181" spans="1:39" x14ac:dyDescent="0.25">
      <c r="AA181" s="2"/>
      <c r="AB181" s="2"/>
      <c r="AC181" s="2"/>
      <c r="AD181" s="2"/>
      <c r="AE181" s="2"/>
    </row>
    <row r="182" spans="1:39" x14ac:dyDescent="0.25">
      <c r="B182" s="2" t="str">
        <f t="shared" ref="B182:B185" si="282">_xlfn.CONCAT("@",AA182,AB182,AC182,AD182,AE182,AF182,AG182,AH182,AI182)</f>
        <v>@line_offset-footway_right_z12</v>
      </c>
      <c r="C182" s="28" t="s">
        <v>84</v>
      </c>
      <c r="D182" s="28" t="s">
        <v>85</v>
      </c>
      <c r="F182" s="28" t="s">
        <v>363</v>
      </c>
      <c r="G182" s="28" t="s">
        <v>364</v>
      </c>
      <c r="I182" s="28" t="s">
        <v>363</v>
      </c>
      <c r="J182" s="28" t="s">
        <v>364</v>
      </c>
      <c r="L182" s="28" t="s">
        <v>363</v>
      </c>
      <c r="M182" s="28" t="s">
        <v>364</v>
      </c>
      <c r="U182" s="28" t="s">
        <v>84</v>
      </c>
      <c r="V182" s="28" t="s">
        <v>85</v>
      </c>
      <c r="X182" s="28" t="s">
        <v>363</v>
      </c>
      <c r="Y182" s="28" t="s">
        <v>364</v>
      </c>
      <c r="AA182" s="2" t="s">
        <v>355</v>
      </c>
      <c r="AB182" s="2" t="str">
        <f t="shared" ref="AB182:AB185" si="283">IF(NOT(ISBLANK(AC182)),"-","")</f>
        <v>-</v>
      </c>
      <c r="AC182" s="2" t="s">
        <v>34</v>
      </c>
      <c r="AD182" s="2" t="str">
        <f t="shared" ref="AD182:AD185" si="284">IF(NOT(ISBLANK(AE182)),"_","")</f>
        <v>_</v>
      </c>
      <c r="AE182" s="2" t="s">
        <v>365</v>
      </c>
      <c r="AF182" s="2" t="str">
        <f t="shared" ref="AF182:AF185" si="285">IF(NOT(ISBLANK(AG182)),"_","")</f>
        <v>_</v>
      </c>
      <c r="AG182" s="28" t="s">
        <v>109</v>
      </c>
      <c r="AH182" s="2" t="str">
        <f t="shared" ref="AH182:AH185" si="286">IF(NOT(ISBLANK(AI182)),"_","")</f>
        <v/>
      </c>
    </row>
    <row r="183" spans="1:39" x14ac:dyDescent="0.25">
      <c r="B183" s="2" t="str">
        <f t="shared" si="282"/>
        <v>@line_offset-footway_right_z14</v>
      </c>
      <c r="C183" s="28" t="s">
        <v>88</v>
      </c>
      <c r="D183" s="28" t="s">
        <v>92</v>
      </c>
      <c r="F183" s="28" t="s">
        <v>359</v>
      </c>
      <c r="G183" s="28" t="s">
        <v>360</v>
      </c>
      <c r="I183" s="28" t="s">
        <v>359</v>
      </c>
      <c r="J183" s="28" t="s">
        <v>360</v>
      </c>
      <c r="L183" s="28" t="s">
        <v>359</v>
      </c>
      <c r="M183" s="28" t="s">
        <v>360</v>
      </c>
      <c r="U183" s="28" t="s">
        <v>88</v>
      </c>
      <c r="V183" s="28" t="s">
        <v>92</v>
      </c>
      <c r="X183" s="28" t="s">
        <v>359</v>
      </c>
      <c r="Y183" s="28" t="s">
        <v>360</v>
      </c>
      <c r="AA183" s="2" t="s">
        <v>355</v>
      </c>
      <c r="AB183" s="2" t="str">
        <f t="shared" si="283"/>
        <v>-</v>
      </c>
      <c r="AC183" s="2" t="s">
        <v>34</v>
      </c>
      <c r="AD183" s="2" t="str">
        <f t="shared" si="284"/>
        <v>_</v>
      </c>
      <c r="AE183" s="2" t="s">
        <v>365</v>
      </c>
      <c r="AF183" s="2" t="str">
        <f t="shared" si="285"/>
        <v>_</v>
      </c>
      <c r="AG183" s="28" t="s">
        <v>74</v>
      </c>
      <c r="AH183" s="2" t="str">
        <f t="shared" si="286"/>
        <v/>
      </c>
    </row>
    <row r="184" spans="1:39" x14ac:dyDescent="0.25">
      <c r="B184" s="2" t="str">
        <f t="shared" si="282"/>
        <v>@line_offset-footway_right_z16</v>
      </c>
      <c r="C184" s="28" t="s">
        <v>134</v>
      </c>
      <c r="D184" s="28" t="s">
        <v>327</v>
      </c>
      <c r="F184" s="28" t="s">
        <v>358</v>
      </c>
      <c r="G184" s="28" t="s">
        <v>361</v>
      </c>
      <c r="I184" s="28" t="s">
        <v>358</v>
      </c>
      <c r="J184" s="28" t="s">
        <v>361</v>
      </c>
      <c r="L184" s="28" t="s">
        <v>358</v>
      </c>
      <c r="M184" s="28" t="s">
        <v>361</v>
      </c>
      <c r="U184" s="28" t="s">
        <v>134</v>
      </c>
      <c r="V184" s="28" t="s">
        <v>327</v>
      </c>
      <c r="X184" s="28" t="s">
        <v>358</v>
      </c>
      <c r="Y184" s="28" t="s">
        <v>361</v>
      </c>
      <c r="AA184" s="2" t="s">
        <v>355</v>
      </c>
      <c r="AB184" s="2" t="str">
        <f t="shared" si="283"/>
        <v>-</v>
      </c>
      <c r="AC184" s="2" t="s">
        <v>34</v>
      </c>
      <c r="AD184" s="2" t="str">
        <f t="shared" si="284"/>
        <v>_</v>
      </c>
      <c r="AE184" s="2" t="s">
        <v>365</v>
      </c>
      <c r="AF184" s="2" t="str">
        <f t="shared" si="285"/>
        <v>_</v>
      </c>
      <c r="AG184" s="28" t="s">
        <v>75</v>
      </c>
      <c r="AH184" s="2" t="str">
        <f t="shared" si="286"/>
        <v/>
      </c>
    </row>
    <row r="185" spans="1:39" x14ac:dyDescent="0.25">
      <c r="B185" s="2" t="str">
        <f t="shared" si="282"/>
        <v>@line_offset-footway_right_z18</v>
      </c>
      <c r="C185" s="28" t="s">
        <v>366</v>
      </c>
      <c r="D185" s="28" t="s">
        <v>339</v>
      </c>
      <c r="F185" s="28" t="s">
        <v>357</v>
      </c>
      <c r="G185" s="28" t="s">
        <v>362</v>
      </c>
      <c r="I185" s="28" t="s">
        <v>357</v>
      </c>
      <c r="J185" s="28" t="s">
        <v>362</v>
      </c>
      <c r="L185" s="28" t="s">
        <v>357</v>
      </c>
      <c r="M185" s="28" t="s">
        <v>362</v>
      </c>
      <c r="U185" s="28" t="s">
        <v>366</v>
      </c>
      <c r="V185" s="28" t="s">
        <v>339</v>
      </c>
      <c r="X185" s="28" t="s">
        <v>357</v>
      </c>
      <c r="Y185" s="28" t="s">
        <v>362</v>
      </c>
      <c r="AA185" s="2" t="s">
        <v>355</v>
      </c>
      <c r="AB185" s="2" t="str">
        <f t="shared" si="283"/>
        <v>-</v>
      </c>
      <c r="AC185" s="2" t="s">
        <v>34</v>
      </c>
      <c r="AD185" s="2" t="str">
        <f t="shared" si="284"/>
        <v>_</v>
      </c>
      <c r="AE185" s="2" t="s">
        <v>365</v>
      </c>
      <c r="AF185" s="2" t="str">
        <f t="shared" si="285"/>
        <v>_</v>
      </c>
      <c r="AG185" s="28" t="s">
        <v>76</v>
      </c>
      <c r="AH185" s="2" t="str">
        <f t="shared" si="286"/>
        <v/>
      </c>
    </row>
    <row r="186" spans="1:39" x14ac:dyDescent="0.25">
      <c r="AA186" s="2"/>
      <c r="AB186" s="2"/>
      <c r="AC186" s="2"/>
      <c r="AD186" s="2"/>
      <c r="AE186" s="2"/>
    </row>
    <row r="187" spans="1:39" s="2" customFormat="1" x14ac:dyDescent="0.25">
      <c r="A187" s="3" t="s">
        <v>39</v>
      </c>
      <c r="B187" s="3"/>
      <c r="C187" s="27"/>
      <c r="D187" s="6"/>
      <c r="E187" s="7"/>
      <c r="F187" s="6"/>
      <c r="G187" s="6"/>
      <c r="H187" s="7"/>
      <c r="I187" s="6"/>
      <c r="J187" s="6"/>
      <c r="K187" s="7"/>
      <c r="L187" s="6"/>
      <c r="M187" s="6"/>
      <c r="N187" s="7"/>
      <c r="O187" s="6"/>
      <c r="P187" s="6"/>
      <c r="Q187" s="7"/>
      <c r="R187" s="6"/>
      <c r="S187" s="6"/>
      <c r="T187" s="7"/>
      <c r="U187" s="6"/>
      <c r="V187" s="6"/>
      <c r="W187" s="7"/>
      <c r="X187" s="6"/>
      <c r="Y187" s="6"/>
      <c r="AA187" s="4"/>
      <c r="AB187" s="4" t="str">
        <f t="shared" si="214"/>
        <v/>
      </c>
      <c r="AC187" s="4"/>
      <c r="AD187" s="4" t="str">
        <f t="shared" si="215"/>
        <v/>
      </c>
      <c r="AE187" s="4"/>
      <c r="AF187" s="4" t="str">
        <f t="shared" si="216"/>
        <v/>
      </c>
      <c r="AG187" s="4"/>
      <c r="AH187" s="4" t="str">
        <f t="shared" si="217"/>
        <v/>
      </c>
      <c r="AI187" s="4"/>
    </row>
    <row r="188" spans="1:39" x14ac:dyDescent="0.25">
      <c r="B188" s="2" t="str">
        <f t="shared" ref="B188:B191" si="287">_xlfn.CONCAT("@",AA188,AB188,AC188,AD188,AE188,AF188,AG188,AH188,AI188)</f>
        <v>@color-obstacle_vegetation</v>
      </c>
      <c r="C188" s="53" t="s">
        <v>187</v>
      </c>
      <c r="D188" s="54" t="str">
        <f>C188</f>
        <v>"#4a9100"</v>
      </c>
      <c r="F188" s="53" t="s">
        <v>187</v>
      </c>
      <c r="G188" s="54" t="str">
        <f>F188</f>
        <v>"#4a9100"</v>
      </c>
      <c r="I188" s="53" t="s">
        <v>187</v>
      </c>
      <c r="J188" s="54" t="str">
        <f>I188</f>
        <v>"#4a9100"</v>
      </c>
      <c r="L188" s="53" t="s">
        <v>187</v>
      </c>
      <c r="M188" s="54" t="str">
        <f>L188</f>
        <v>"#4a9100"</v>
      </c>
      <c r="U188" s="53" t="s">
        <v>187</v>
      </c>
      <c r="V188" s="54" t="str">
        <f>U188</f>
        <v>"#4a9100"</v>
      </c>
      <c r="X188" s="53" t="s">
        <v>187</v>
      </c>
      <c r="Y188" s="54" t="str">
        <f>X188</f>
        <v>"#4a9100"</v>
      </c>
      <c r="AA188" s="2" t="s">
        <v>6</v>
      </c>
      <c r="AB188" s="2" t="str">
        <f t="shared" si="214"/>
        <v>-</v>
      </c>
      <c r="AC188" s="2" t="s">
        <v>35</v>
      </c>
      <c r="AD188" s="2" t="str">
        <f t="shared" si="215"/>
        <v>_</v>
      </c>
      <c r="AE188" s="2" t="s">
        <v>36</v>
      </c>
      <c r="AF188" s="2" t="str">
        <f t="shared" si="216"/>
        <v/>
      </c>
      <c r="AG188" s="2"/>
      <c r="AH188" s="2" t="str">
        <f t="shared" si="217"/>
        <v/>
      </c>
      <c r="AI188" s="2"/>
      <c r="AJ188" s="2"/>
      <c r="AK188" s="2"/>
      <c r="AL188" s="2"/>
      <c r="AM188" s="2"/>
    </row>
    <row r="189" spans="1:39" x14ac:dyDescent="0.25">
      <c r="B189" s="2" t="str">
        <f t="shared" si="287"/>
        <v>@color-surface_mud</v>
      </c>
      <c r="C189" s="55" t="s">
        <v>188</v>
      </c>
      <c r="D189" s="56" t="str">
        <f>C189</f>
        <v>"#0e84ed"</v>
      </c>
      <c r="F189" s="55" t="s">
        <v>188</v>
      </c>
      <c r="G189" s="56" t="str">
        <f>F189</f>
        <v>"#0e84ed"</v>
      </c>
      <c r="I189" s="55" t="s">
        <v>188</v>
      </c>
      <c r="J189" s="56" t="str">
        <f>I189</f>
        <v>"#0e84ed"</v>
      </c>
      <c r="L189" s="55" t="s">
        <v>188</v>
      </c>
      <c r="M189" s="56" t="str">
        <f>L189</f>
        <v>"#0e84ed"</v>
      </c>
      <c r="U189" s="55" t="s">
        <v>188</v>
      </c>
      <c r="V189" s="56" t="str">
        <f>U189</f>
        <v>"#0e84ed"</v>
      </c>
      <c r="X189" s="55" t="s">
        <v>188</v>
      </c>
      <c r="Y189" s="56" t="str">
        <f>X189</f>
        <v>"#0e84ed"</v>
      </c>
      <c r="AA189" s="2" t="s">
        <v>6</v>
      </c>
      <c r="AB189" s="2" t="str">
        <f t="shared" si="214"/>
        <v>-</v>
      </c>
      <c r="AC189" s="2" t="s">
        <v>37</v>
      </c>
      <c r="AD189" s="2" t="str">
        <f t="shared" si="215"/>
        <v>_</v>
      </c>
      <c r="AE189" s="2" t="s">
        <v>38</v>
      </c>
      <c r="AF189" s="2" t="str">
        <f t="shared" si="216"/>
        <v/>
      </c>
      <c r="AG189" s="2"/>
      <c r="AH189" s="2" t="str">
        <f t="shared" si="217"/>
        <v/>
      </c>
      <c r="AI189" s="2"/>
    </row>
    <row r="190" spans="1:39" x14ac:dyDescent="0.25">
      <c r="B190" s="2" t="str">
        <f t="shared" si="287"/>
        <v>@color-access_no</v>
      </c>
      <c r="C190" s="57" t="s">
        <v>189</v>
      </c>
      <c r="D190" s="58" t="str">
        <f>C190</f>
        <v>"#ff003d"</v>
      </c>
      <c r="F190" s="57" t="s">
        <v>189</v>
      </c>
      <c r="G190" s="58" t="str">
        <f>F190</f>
        <v>"#ff003d"</v>
      </c>
      <c r="I190" s="57" t="s">
        <v>189</v>
      </c>
      <c r="J190" s="58" t="str">
        <f>I190</f>
        <v>"#ff003d"</v>
      </c>
      <c r="L190" s="57" t="s">
        <v>189</v>
      </c>
      <c r="M190" s="58" t="str">
        <f>L190</f>
        <v>"#ff003d"</v>
      </c>
      <c r="U190" s="57" t="s">
        <v>189</v>
      </c>
      <c r="V190" s="58" t="str">
        <f>U190</f>
        <v>"#ff003d"</v>
      </c>
      <c r="X190" s="57" t="s">
        <v>189</v>
      </c>
      <c r="Y190" s="58" t="str">
        <f>X190</f>
        <v>"#ff003d"</v>
      </c>
      <c r="AA190" s="2" t="s">
        <v>6</v>
      </c>
      <c r="AB190" s="2" t="str">
        <f t="shared" si="214"/>
        <v>-</v>
      </c>
      <c r="AC190" s="2" t="s">
        <v>40</v>
      </c>
      <c r="AD190" s="2" t="str">
        <f t="shared" si="215"/>
        <v>_</v>
      </c>
      <c r="AE190" s="2" t="s">
        <v>41</v>
      </c>
      <c r="AF190" s="2" t="str">
        <f t="shared" si="216"/>
        <v/>
      </c>
      <c r="AG190" s="2"/>
      <c r="AH190" s="2" t="str">
        <f t="shared" si="217"/>
        <v/>
      </c>
      <c r="AI190" s="2"/>
    </row>
    <row r="191" spans="1:39" x14ac:dyDescent="0.25">
      <c r="B191" s="2" t="str">
        <f t="shared" si="287"/>
        <v>@color-access_discouraged</v>
      </c>
      <c r="C191" s="59" t="s">
        <v>190</v>
      </c>
      <c r="D191" s="60" t="str">
        <f>C191</f>
        <v>"#ff6a00"</v>
      </c>
      <c r="F191" s="59" t="s">
        <v>190</v>
      </c>
      <c r="G191" s="60" t="str">
        <f>F191</f>
        <v>"#ff6a00"</v>
      </c>
      <c r="I191" s="59" t="s">
        <v>190</v>
      </c>
      <c r="J191" s="60" t="str">
        <f>I191</f>
        <v>"#ff6a00"</v>
      </c>
      <c r="L191" s="59" t="s">
        <v>190</v>
      </c>
      <c r="M191" s="60" t="str">
        <f>L191</f>
        <v>"#ff6a00"</v>
      </c>
      <c r="U191" s="59" t="s">
        <v>190</v>
      </c>
      <c r="V191" s="60" t="str">
        <f>U191</f>
        <v>"#ff6a00"</v>
      </c>
      <c r="X191" s="59" t="s">
        <v>190</v>
      </c>
      <c r="Y191" s="60" t="str">
        <f>X191</f>
        <v>"#ff6a00"</v>
      </c>
      <c r="AA191" s="2" t="s">
        <v>6</v>
      </c>
      <c r="AB191" s="2" t="str">
        <f t="shared" si="214"/>
        <v>-</v>
      </c>
      <c r="AC191" s="2" t="s">
        <v>40</v>
      </c>
      <c r="AD191" s="2" t="str">
        <f t="shared" si="215"/>
        <v>_</v>
      </c>
      <c r="AE191" s="2" t="s">
        <v>42</v>
      </c>
      <c r="AF191" s="2" t="str">
        <f t="shared" si="216"/>
        <v/>
      </c>
      <c r="AG191" s="2"/>
      <c r="AH191" s="2" t="str">
        <f t="shared" si="217"/>
        <v/>
      </c>
      <c r="AI191" s="2"/>
    </row>
    <row r="192" spans="1:39" x14ac:dyDescent="0.25">
      <c r="AB192" s="28" t="str">
        <f t="shared" ref="AB192:AB194" si="288">IF(NOT(ISBLANK(AC192)),"-","")</f>
        <v/>
      </c>
      <c r="AD192" s="28" t="str">
        <f t="shared" ref="AD192:AD194" si="289">IF(NOT(ISBLANK(AE192)),"_","")</f>
        <v/>
      </c>
      <c r="AF192" s="28" t="str">
        <f t="shared" ref="AF192:AF194" si="290">IF(NOT(ISBLANK(AG192)),"_","")</f>
        <v/>
      </c>
      <c r="AH192" s="28" t="str">
        <f t="shared" si="217"/>
        <v/>
      </c>
    </row>
    <row r="193" spans="1:35" s="2" customFormat="1" x14ac:dyDescent="0.25">
      <c r="A193" s="3" t="s">
        <v>268</v>
      </c>
      <c r="B193" s="3"/>
      <c r="C193" s="27"/>
      <c r="D193" s="6"/>
      <c r="E193" s="7"/>
      <c r="F193" s="6"/>
      <c r="G193" s="6"/>
      <c r="H193" s="7"/>
      <c r="I193" s="27"/>
      <c r="J193" s="6"/>
      <c r="K193" s="7"/>
      <c r="L193" s="6"/>
      <c r="M193" s="6"/>
      <c r="N193" s="7"/>
      <c r="O193" s="6"/>
      <c r="P193" s="6"/>
      <c r="Q193" s="7"/>
      <c r="R193" s="6"/>
      <c r="S193" s="6"/>
      <c r="T193" s="7"/>
      <c r="U193" s="6"/>
      <c r="V193" s="6"/>
      <c r="W193" s="7"/>
      <c r="X193" s="6"/>
      <c r="Y193" s="6"/>
      <c r="AA193" s="4"/>
      <c r="AB193" s="4" t="str">
        <f t="shared" si="288"/>
        <v/>
      </c>
      <c r="AC193" s="4"/>
      <c r="AD193" s="4" t="str">
        <f t="shared" si="289"/>
        <v/>
      </c>
      <c r="AE193" s="4"/>
      <c r="AF193" s="4" t="str">
        <f t="shared" si="290"/>
        <v/>
      </c>
      <c r="AG193" s="4"/>
      <c r="AH193" s="4" t="str">
        <f t="shared" si="217"/>
        <v/>
      </c>
      <c r="AI193" s="4"/>
    </row>
    <row r="194" spans="1:35" x14ac:dyDescent="0.25">
      <c r="B194" s="2" t="str">
        <f t="shared" ref="B194:B209" si="291">_xlfn.CONCAT("@",AA194,AB194,AC194,AD194,AE194,AF194,AG194,AH194,AI194)</f>
        <v>@color-building_area_residential</v>
      </c>
      <c r="C194" s="61" t="s">
        <v>257</v>
      </c>
      <c r="D194" s="61" t="s">
        <v>257</v>
      </c>
      <c r="F194" s="62" t="s">
        <v>247</v>
      </c>
      <c r="G194" s="118" t="s">
        <v>228</v>
      </c>
      <c r="I194" s="61" t="s">
        <v>257</v>
      </c>
      <c r="J194" s="61" t="s">
        <v>257</v>
      </c>
      <c r="L194" s="62" t="s">
        <v>247</v>
      </c>
      <c r="M194" s="118" t="s">
        <v>228</v>
      </c>
      <c r="U194" s="61" t="s">
        <v>257</v>
      </c>
      <c r="V194" s="61" t="s">
        <v>257</v>
      </c>
      <c r="X194" s="62" t="s">
        <v>247</v>
      </c>
      <c r="Y194" s="118" t="s">
        <v>228</v>
      </c>
      <c r="AA194" s="2" t="s">
        <v>6</v>
      </c>
      <c r="AB194" s="2" t="str">
        <f t="shared" si="288"/>
        <v>-</v>
      </c>
      <c r="AC194" s="2" t="s">
        <v>253</v>
      </c>
      <c r="AD194" s="2" t="str">
        <f t="shared" si="289"/>
        <v>_</v>
      </c>
      <c r="AE194" s="2" t="s">
        <v>259</v>
      </c>
      <c r="AF194" s="2" t="str">
        <f t="shared" si="290"/>
        <v>_</v>
      </c>
      <c r="AG194" s="2" t="s">
        <v>64</v>
      </c>
      <c r="AH194" s="2" t="str">
        <f t="shared" si="217"/>
        <v/>
      </c>
      <c r="AI194" s="2"/>
    </row>
    <row r="195" spans="1:35" x14ac:dyDescent="0.25">
      <c r="B195" s="2" t="str">
        <f t="shared" si="291"/>
        <v>@color-building_area_generic</v>
      </c>
      <c r="C195" s="63" t="s">
        <v>256</v>
      </c>
      <c r="D195" s="63" t="s">
        <v>256</v>
      </c>
      <c r="F195" s="64" t="s">
        <v>254</v>
      </c>
      <c r="G195" s="149" t="s">
        <v>367</v>
      </c>
      <c r="I195" s="63" t="s">
        <v>256</v>
      </c>
      <c r="J195" s="63" t="s">
        <v>256</v>
      </c>
      <c r="L195" s="64" t="s">
        <v>254</v>
      </c>
      <c r="M195" s="149" t="s">
        <v>367</v>
      </c>
      <c r="U195" s="63" t="s">
        <v>256</v>
      </c>
      <c r="V195" s="63" t="s">
        <v>256</v>
      </c>
      <c r="X195" s="64" t="s">
        <v>254</v>
      </c>
      <c r="Y195" s="149" t="s">
        <v>367</v>
      </c>
      <c r="AA195" s="2" t="s">
        <v>6</v>
      </c>
      <c r="AB195" s="2" t="str">
        <f t="shared" ref="AB195" si="292">IF(NOT(ISBLANK(AC195)),"-","")</f>
        <v>-</v>
      </c>
      <c r="AC195" s="2" t="s">
        <v>253</v>
      </c>
      <c r="AD195" s="2" t="str">
        <f t="shared" ref="AD195" si="293">IF(NOT(ISBLANK(AE195)),"_","")</f>
        <v>_</v>
      </c>
      <c r="AE195" s="2" t="s">
        <v>259</v>
      </c>
      <c r="AF195" s="2" t="str">
        <f t="shared" ref="AF195" si="294">IF(NOT(ISBLANK(AG195)),"_","")</f>
        <v>_</v>
      </c>
      <c r="AG195" s="2" t="s">
        <v>255</v>
      </c>
      <c r="AH195" s="2" t="str">
        <f t="shared" si="217"/>
        <v/>
      </c>
      <c r="AI195" s="2"/>
    </row>
    <row r="196" spans="1:35" x14ac:dyDescent="0.25">
      <c r="B196" s="2" t="str">
        <f t="shared" si="291"/>
        <v>@color-building_line_top</v>
      </c>
      <c r="C196" s="63" t="s">
        <v>256</v>
      </c>
      <c r="D196" s="63" t="s">
        <v>256</v>
      </c>
      <c r="F196" s="64" t="s">
        <v>254</v>
      </c>
      <c r="G196" s="149" t="s">
        <v>367</v>
      </c>
      <c r="I196" s="63" t="s">
        <v>256</v>
      </c>
      <c r="J196" s="63" t="s">
        <v>256</v>
      </c>
      <c r="L196" s="64" t="s">
        <v>254</v>
      </c>
      <c r="M196" s="149" t="s">
        <v>367</v>
      </c>
      <c r="U196" s="63" t="s">
        <v>256</v>
      </c>
      <c r="V196" s="63" t="s">
        <v>256</v>
      </c>
      <c r="X196" s="64" t="s">
        <v>254</v>
      </c>
      <c r="Y196" s="149" t="s">
        <v>367</v>
      </c>
      <c r="AA196" s="2" t="s">
        <v>6</v>
      </c>
      <c r="AB196" s="2" t="str">
        <f t="shared" ref="AB196" si="295">IF(NOT(ISBLANK(AC196)),"-","")</f>
        <v>-</v>
      </c>
      <c r="AC196" s="2" t="s">
        <v>253</v>
      </c>
      <c r="AD196" s="2" t="str">
        <f t="shared" ref="AD196" si="296">IF(NOT(ISBLANK(AE196)),"_","")</f>
        <v>_</v>
      </c>
      <c r="AE196" s="2" t="s">
        <v>13</v>
      </c>
      <c r="AF196" s="2" t="str">
        <f t="shared" ref="AF196" si="297">IF(NOT(ISBLANK(AG196)),"_","")</f>
        <v>_</v>
      </c>
      <c r="AG196" s="2" t="s">
        <v>258</v>
      </c>
      <c r="AH196" s="2" t="str">
        <f t="shared" si="217"/>
        <v/>
      </c>
      <c r="AI196" s="2"/>
    </row>
    <row r="197" spans="1:35" x14ac:dyDescent="0.25">
      <c r="B197" s="2" t="str">
        <f t="shared" si="291"/>
        <v>@color-contours_line</v>
      </c>
      <c r="C197" s="65" t="s">
        <v>191</v>
      </c>
      <c r="D197" s="66" t="str">
        <f>C197</f>
        <v>"#916f4c"</v>
      </c>
      <c r="F197" s="67" t="s">
        <v>269</v>
      </c>
      <c r="G197" s="67" t="str">
        <f>F197</f>
        <v>"#5f472f"</v>
      </c>
      <c r="I197" s="65" t="s">
        <v>191</v>
      </c>
      <c r="J197" s="66" t="str">
        <f>I197</f>
        <v>"#916f4c"</v>
      </c>
      <c r="L197" s="67" t="s">
        <v>269</v>
      </c>
      <c r="M197" s="67" t="str">
        <f>L197</f>
        <v>"#5f472f"</v>
      </c>
      <c r="U197" s="65" t="s">
        <v>191</v>
      </c>
      <c r="V197" s="66" t="str">
        <f>U197</f>
        <v>"#916f4c"</v>
      </c>
      <c r="X197" s="67" t="s">
        <v>269</v>
      </c>
      <c r="Y197" s="67" t="str">
        <f>X197</f>
        <v>"#5f472f"</v>
      </c>
      <c r="AA197" s="2" t="s">
        <v>6</v>
      </c>
      <c r="AB197" s="2" t="str">
        <f t="shared" ref="AB197:AB204" si="298">IF(NOT(ISBLANK(AC197)),"-","")</f>
        <v>-</v>
      </c>
      <c r="AC197" s="2" t="s">
        <v>67</v>
      </c>
      <c r="AD197" s="2" t="str">
        <f t="shared" ref="AD197:AD204" si="299">IF(NOT(ISBLANK(AE197)),"_","")</f>
        <v>_</v>
      </c>
      <c r="AE197" s="2" t="s">
        <v>13</v>
      </c>
      <c r="AF197" s="2" t="str">
        <f>IF(NOT(ISBLANK(AG197)),"_","")</f>
        <v/>
      </c>
      <c r="AG197" s="2"/>
      <c r="AH197" s="2" t="str">
        <f>IF(NOT(ISBLANK(AI197)),"_","")</f>
        <v/>
      </c>
      <c r="AI197" s="2"/>
    </row>
    <row r="198" spans="1:35" x14ac:dyDescent="0.25">
      <c r="B198" s="2" t="str">
        <f t="shared" ref="B198" si="300">_xlfn.CONCAT("@",AA198,AB198,AC198,AD198,AE198,AF198,AG198,AH198,AI198)</f>
        <v>@color-water_contours_line_1500</v>
      </c>
      <c r="C198" s="141" t="s">
        <v>315</v>
      </c>
      <c r="D198" s="145" t="s">
        <v>320</v>
      </c>
      <c r="F198" s="142" t="s">
        <v>316</v>
      </c>
      <c r="G198" s="142" t="s">
        <v>316</v>
      </c>
      <c r="I198" s="141" t="s">
        <v>315</v>
      </c>
      <c r="J198" s="145" t="s">
        <v>320</v>
      </c>
      <c r="L198" s="142" t="s">
        <v>316</v>
      </c>
      <c r="M198" s="142" t="s">
        <v>316</v>
      </c>
      <c r="U198" s="141" t="s">
        <v>315</v>
      </c>
      <c r="V198" s="145" t="s">
        <v>320</v>
      </c>
      <c r="X198" s="142" t="s">
        <v>316</v>
      </c>
      <c r="Y198" s="142" t="s">
        <v>316</v>
      </c>
      <c r="AA198" s="2" t="s">
        <v>6</v>
      </c>
      <c r="AB198" s="2" t="str">
        <f t="shared" si="298"/>
        <v>-</v>
      </c>
      <c r="AC198" s="2" t="s">
        <v>314</v>
      </c>
      <c r="AD198" s="2" t="str">
        <f t="shared" si="299"/>
        <v>_</v>
      </c>
      <c r="AE198" s="2" t="s">
        <v>13</v>
      </c>
      <c r="AF198" s="2" t="str">
        <f>IF(NOT(ISBLANK(AG198)),"_","")</f>
        <v>_</v>
      </c>
      <c r="AG198" s="2">
        <v>1500</v>
      </c>
      <c r="AH198" s="2" t="str">
        <f>IF(NOT(ISBLANK(AI198)),"_","")</f>
        <v/>
      </c>
      <c r="AI198" s="2"/>
    </row>
    <row r="199" spans="1:35" x14ac:dyDescent="0.25">
      <c r="B199" s="2" t="str">
        <f t="shared" ref="B199" si="301">_xlfn.CONCAT("@",AA199,AB199,AC199,AD199,AE199,AF199,AG199,AH199,AI199)</f>
        <v>@color-water_contours_line_3000</v>
      </c>
      <c r="C199" s="143" t="s">
        <v>318</v>
      </c>
      <c r="D199" s="146" t="s">
        <v>321</v>
      </c>
      <c r="F199" s="142" t="s">
        <v>316</v>
      </c>
      <c r="G199" s="142" t="s">
        <v>316</v>
      </c>
      <c r="I199" s="143" t="s">
        <v>318</v>
      </c>
      <c r="J199" s="146" t="s">
        <v>321</v>
      </c>
      <c r="L199" s="142" t="s">
        <v>316</v>
      </c>
      <c r="M199" s="142" t="s">
        <v>316</v>
      </c>
      <c r="U199" s="143" t="s">
        <v>318</v>
      </c>
      <c r="V199" s="146" t="s">
        <v>321</v>
      </c>
      <c r="X199" s="142" t="s">
        <v>316</v>
      </c>
      <c r="Y199" s="142" t="s">
        <v>316</v>
      </c>
      <c r="AA199" s="2" t="s">
        <v>6</v>
      </c>
      <c r="AB199" s="2" t="str">
        <f t="shared" si="298"/>
        <v>-</v>
      </c>
      <c r="AC199" s="2" t="s">
        <v>314</v>
      </c>
      <c r="AD199" s="2" t="str">
        <f t="shared" si="299"/>
        <v>_</v>
      </c>
      <c r="AE199" s="2" t="s">
        <v>13</v>
      </c>
      <c r="AF199" s="2" t="str">
        <f>IF(NOT(ISBLANK(AG199)),"_","")</f>
        <v>_</v>
      </c>
      <c r="AG199" s="2">
        <v>3000</v>
      </c>
      <c r="AH199" s="2" t="str">
        <f>IF(NOT(ISBLANK(AI199)),"_","")</f>
        <v/>
      </c>
      <c r="AI199" s="2"/>
    </row>
    <row r="200" spans="1:35" x14ac:dyDescent="0.25">
      <c r="B200" s="2" t="str">
        <f t="shared" ref="B200" si="302">_xlfn.CONCAT("@",AA200,AB200,AC200,AD200,AE200,AF200,AG200,AH200,AI200)</f>
        <v>@color-water_contours_line_6000</v>
      </c>
      <c r="C200" s="144" t="s">
        <v>319</v>
      </c>
      <c r="D200" s="147" t="s">
        <v>322</v>
      </c>
      <c r="F200" s="142" t="s">
        <v>316</v>
      </c>
      <c r="G200" s="142" t="s">
        <v>316</v>
      </c>
      <c r="I200" s="144" t="s">
        <v>319</v>
      </c>
      <c r="J200" s="147" t="s">
        <v>322</v>
      </c>
      <c r="L200" s="142" t="s">
        <v>316</v>
      </c>
      <c r="M200" s="142" t="s">
        <v>316</v>
      </c>
      <c r="U200" s="144" t="s">
        <v>319</v>
      </c>
      <c r="V200" s="147" t="s">
        <v>322</v>
      </c>
      <c r="X200" s="142" t="s">
        <v>316</v>
      </c>
      <c r="Y200" s="142" t="s">
        <v>316</v>
      </c>
      <c r="AA200" s="2" t="s">
        <v>6</v>
      </c>
      <c r="AB200" s="2" t="str">
        <f t="shared" si="298"/>
        <v>-</v>
      </c>
      <c r="AC200" s="2" t="s">
        <v>314</v>
      </c>
      <c r="AD200" s="2" t="str">
        <f t="shared" si="299"/>
        <v>_</v>
      </c>
      <c r="AE200" s="2" t="s">
        <v>13</v>
      </c>
      <c r="AF200" s="2" t="str">
        <f>IF(NOT(ISBLANK(AG200)),"_","")</f>
        <v>_</v>
      </c>
      <c r="AG200" s="2">
        <v>6000</v>
      </c>
      <c r="AH200" s="2" t="str">
        <f t="shared" ref="AH200:AH221" si="303">IF(NOT(ISBLANK(AI200)),"_","")</f>
        <v/>
      </c>
      <c r="AI200" s="2"/>
    </row>
    <row r="201" spans="1:35" x14ac:dyDescent="0.25">
      <c r="B201" s="2" t="str">
        <f t="shared" ref="B201:B202" si="304">_xlfn.CONCAT("@",AA201,AB201,AC201,AD201,AE201,AF201,AG201,AH201,AI201)</f>
        <v>@color-water_contours_line_over6000</v>
      </c>
      <c r="C201" s="145" t="s">
        <v>320</v>
      </c>
      <c r="D201" s="148" t="s">
        <v>323</v>
      </c>
      <c r="F201" s="142" t="s">
        <v>316</v>
      </c>
      <c r="G201" s="142" t="s">
        <v>316</v>
      </c>
      <c r="I201" s="145" t="s">
        <v>320</v>
      </c>
      <c r="J201" s="148" t="s">
        <v>323</v>
      </c>
      <c r="L201" s="142" t="s">
        <v>316</v>
      </c>
      <c r="M201" s="142" t="s">
        <v>316</v>
      </c>
      <c r="U201" s="145" t="s">
        <v>320</v>
      </c>
      <c r="V201" s="148" t="s">
        <v>323</v>
      </c>
      <c r="X201" s="142" t="s">
        <v>316</v>
      </c>
      <c r="Y201" s="142" t="s">
        <v>316</v>
      </c>
      <c r="AA201" s="2" t="s">
        <v>6</v>
      </c>
      <c r="AB201" s="2" t="str">
        <f t="shared" si="298"/>
        <v>-</v>
      </c>
      <c r="AC201" s="2" t="s">
        <v>314</v>
      </c>
      <c r="AD201" s="2" t="str">
        <f t="shared" si="299"/>
        <v>_</v>
      </c>
      <c r="AE201" s="2" t="s">
        <v>13</v>
      </c>
      <c r="AF201" s="2" t="str">
        <f>IF(NOT(ISBLANK(AG201)),"_","")</f>
        <v>_</v>
      </c>
      <c r="AG201" s="2" t="s">
        <v>317</v>
      </c>
      <c r="AH201" s="2" t="str">
        <f t="shared" si="303"/>
        <v/>
      </c>
      <c r="AI201" s="2"/>
    </row>
    <row r="202" spans="1:35" x14ac:dyDescent="0.25">
      <c r="B202" s="2" t="str">
        <f t="shared" si="304"/>
        <v>@color-water_contours_label</v>
      </c>
      <c r="C202" s="144" t="s">
        <v>319</v>
      </c>
      <c r="D202" s="147" t="s">
        <v>322</v>
      </c>
      <c r="F202" s="142" t="s">
        <v>316</v>
      </c>
      <c r="G202" s="142" t="s">
        <v>316</v>
      </c>
      <c r="I202" s="144" t="s">
        <v>319</v>
      </c>
      <c r="J202" s="147" t="s">
        <v>322</v>
      </c>
      <c r="L202" s="142" t="s">
        <v>316</v>
      </c>
      <c r="M202" s="142" t="s">
        <v>316</v>
      </c>
      <c r="U202" s="144" t="s">
        <v>319</v>
      </c>
      <c r="V202" s="147" t="s">
        <v>322</v>
      </c>
      <c r="X202" s="142" t="s">
        <v>316</v>
      </c>
      <c r="Y202" s="142" t="s">
        <v>316</v>
      </c>
      <c r="AA202" s="2" t="s">
        <v>6</v>
      </c>
      <c r="AB202" s="2" t="str">
        <f t="shared" si="298"/>
        <v>-</v>
      </c>
      <c r="AC202" s="2" t="s">
        <v>314</v>
      </c>
      <c r="AD202" s="2" t="str">
        <f t="shared" si="299"/>
        <v>_</v>
      </c>
      <c r="AE202" s="2" t="s">
        <v>271</v>
      </c>
      <c r="AF202" s="2" t="str">
        <f t="shared" ref="AF202:AF221" si="305">IF(NOT(ISBLANK(AG202)),"_","")</f>
        <v/>
      </c>
      <c r="AG202" s="2"/>
      <c r="AH202" s="2" t="str">
        <f t="shared" si="303"/>
        <v/>
      </c>
      <c r="AI202" s="2"/>
    </row>
    <row r="203" spans="1:35" x14ac:dyDescent="0.25">
      <c r="B203" s="2" t="str">
        <f t="shared" ref="B203" si="306">_xlfn.CONCAT("@",AA203,AB203,AC203,AD203,AE203,AF203,AG203,AH203,AI203)</f>
        <v>@color-water_shipping_lane</v>
      </c>
      <c r="C203" s="48" t="s">
        <v>214</v>
      </c>
      <c r="D203" s="48" t="s">
        <v>214</v>
      </c>
      <c r="F203" s="47" t="s">
        <v>222</v>
      </c>
      <c r="G203" s="47" t="s">
        <v>222</v>
      </c>
      <c r="I203" s="48" t="s">
        <v>214</v>
      </c>
      <c r="J203" s="48" t="s">
        <v>214</v>
      </c>
      <c r="L203" s="47" t="s">
        <v>222</v>
      </c>
      <c r="M203" s="47" t="s">
        <v>222</v>
      </c>
      <c r="U203" s="48" t="s">
        <v>214</v>
      </c>
      <c r="V203" s="48" t="s">
        <v>214</v>
      </c>
      <c r="X203" s="47" t="s">
        <v>222</v>
      </c>
      <c r="Y203" s="47" t="s">
        <v>222</v>
      </c>
      <c r="AA203" s="2" t="s">
        <v>6</v>
      </c>
      <c r="AB203" s="2" t="str">
        <f t="shared" si="298"/>
        <v>-</v>
      </c>
      <c r="AC203" s="2" t="s">
        <v>324</v>
      </c>
      <c r="AD203" s="2" t="str">
        <f t="shared" si="299"/>
        <v/>
      </c>
      <c r="AE203" s="2"/>
      <c r="AF203" s="2" t="str">
        <f t="shared" si="305"/>
        <v/>
      </c>
      <c r="AG203" s="2"/>
      <c r="AH203" s="2" t="str">
        <f t="shared" si="303"/>
        <v/>
      </c>
      <c r="AI203" s="2"/>
    </row>
    <row r="204" spans="1:35" x14ac:dyDescent="0.25">
      <c r="B204" s="2" t="str">
        <f t="shared" si="291"/>
        <v>@color-cliff_line</v>
      </c>
      <c r="C204" s="48" t="s">
        <v>214</v>
      </c>
      <c r="D204" s="48" t="s">
        <v>214</v>
      </c>
      <c r="F204" s="47" t="s">
        <v>222</v>
      </c>
      <c r="G204" s="47" t="s">
        <v>222</v>
      </c>
      <c r="I204" s="48" t="s">
        <v>214</v>
      </c>
      <c r="J204" s="48" t="s">
        <v>214</v>
      </c>
      <c r="L204" s="47" t="s">
        <v>222</v>
      </c>
      <c r="M204" s="47" t="s">
        <v>222</v>
      </c>
      <c r="U204" s="48" t="s">
        <v>214</v>
      </c>
      <c r="V204" s="48" t="s">
        <v>214</v>
      </c>
      <c r="X204" s="47" t="s">
        <v>222</v>
      </c>
      <c r="Y204" s="47" t="s">
        <v>222</v>
      </c>
      <c r="AA204" s="2" t="s">
        <v>6</v>
      </c>
      <c r="AB204" s="2" t="str">
        <f t="shared" si="298"/>
        <v>-</v>
      </c>
      <c r="AC204" s="2" t="s">
        <v>270</v>
      </c>
      <c r="AD204" s="2" t="str">
        <f t="shared" si="299"/>
        <v>_</v>
      </c>
      <c r="AE204" s="2" t="s">
        <v>13</v>
      </c>
      <c r="AF204" s="2" t="str">
        <f t="shared" si="305"/>
        <v/>
      </c>
      <c r="AG204" s="2"/>
      <c r="AH204" s="2" t="str">
        <f t="shared" si="303"/>
        <v/>
      </c>
      <c r="AI204" s="2"/>
    </row>
    <row r="205" spans="1:35" x14ac:dyDescent="0.25">
      <c r="AB205" s="28" t="str">
        <f t="shared" si="214"/>
        <v/>
      </c>
      <c r="AD205" s="28" t="str">
        <f t="shared" si="215"/>
        <v/>
      </c>
      <c r="AF205" s="2" t="str">
        <f t="shared" si="305"/>
        <v/>
      </c>
      <c r="AH205" s="2" t="str">
        <f t="shared" si="303"/>
        <v/>
      </c>
    </row>
    <row r="206" spans="1:35" x14ac:dyDescent="0.25">
      <c r="B206" s="2" t="str">
        <f t="shared" si="291"/>
        <v>@line_width-ditch_z12</v>
      </c>
      <c r="C206" s="28" t="s">
        <v>95</v>
      </c>
      <c r="D206" s="28" t="s">
        <v>80</v>
      </c>
      <c r="F206" s="28" t="s">
        <v>95</v>
      </c>
      <c r="G206" s="28" t="s">
        <v>80</v>
      </c>
      <c r="I206" s="28" t="s">
        <v>95</v>
      </c>
      <c r="J206" s="28" t="s">
        <v>80</v>
      </c>
      <c r="L206" s="28" t="s">
        <v>95</v>
      </c>
      <c r="M206" s="28" t="s">
        <v>80</v>
      </c>
      <c r="O206" s="28" t="s">
        <v>95</v>
      </c>
      <c r="P206" s="28" t="s">
        <v>80</v>
      </c>
      <c r="R206" s="28" t="s">
        <v>95</v>
      </c>
      <c r="S206" s="28" t="s">
        <v>80</v>
      </c>
      <c r="U206" s="28" t="s">
        <v>95</v>
      </c>
      <c r="V206" s="28" t="s">
        <v>80</v>
      </c>
      <c r="X206" s="28" t="s">
        <v>95</v>
      </c>
      <c r="Y206" s="28" t="s">
        <v>80</v>
      </c>
      <c r="AA206" s="2" t="s">
        <v>119</v>
      </c>
      <c r="AB206" s="2" t="str">
        <f t="shared" si="214"/>
        <v>-</v>
      </c>
      <c r="AC206" s="28" t="s">
        <v>325</v>
      </c>
      <c r="AD206" s="2" t="str">
        <f t="shared" si="215"/>
        <v>_</v>
      </c>
      <c r="AE206" s="28" t="s">
        <v>109</v>
      </c>
      <c r="AF206" s="2" t="str">
        <f t="shared" si="305"/>
        <v/>
      </c>
      <c r="AH206" s="2" t="str">
        <f t="shared" si="303"/>
        <v/>
      </c>
    </row>
    <row r="207" spans="1:35" x14ac:dyDescent="0.25">
      <c r="B207" s="2" t="str">
        <f t="shared" si="291"/>
        <v>@line_width-ditch_z14</v>
      </c>
      <c r="C207" s="28" t="s">
        <v>84</v>
      </c>
      <c r="D207" s="28" t="s">
        <v>85</v>
      </c>
      <c r="F207" s="28" t="s">
        <v>84</v>
      </c>
      <c r="G207" s="28" t="s">
        <v>85</v>
      </c>
      <c r="I207" s="28" t="s">
        <v>84</v>
      </c>
      <c r="J207" s="28" t="s">
        <v>85</v>
      </c>
      <c r="L207" s="28" t="s">
        <v>84</v>
      </c>
      <c r="M207" s="28" t="s">
        <v>85</v>
      </c>
      <c r="O207" s="28" t="s">
        <v>84</v>
      </c>
      <c r="P207" s="28" t="s">
        <v>85</v>
      </c>
      <c r="R207" s="28" t="s">
        <v>84</v>
      </c>
      <c r="S207" s="28" t="s">
        <v>85</v>
      </c>
      <c r="U207" s="28" t="s">
        <v>84</v>
      </c>
      <c r="V207" s="28" t="s">
        <v>85</v>
      </c>
      <c r="X207" s="28" t="s">
        <v>84</v>
      </c>
      <c r="Y207" s="28" t="s">
        <v>85</v>
      </c>
      <c r="AA207" s="2" t="s">
        <v>119</v>
      </c>
      <c r="AB207" s="2" t="str">
        <f t="shared" si="214"/>
        <v>-</v>
      </c>
      <c r="AC207" s="28" t="s">
        <v>325</v>
      </c>
      <c r="AD207" s="2" t="str">
        <f t="shared" si="215"/>
        <v>_</v>
      </c>
      <c r="AE207" s="28" t="s">
        <v>74</v>
      </c>
      <c r="AF207" s="2" t="str">
        <f t="shared" si="305"/>
        <v/>
      </c>
      <c r="AH207" s="2" t="str">
        <f t="shared" si="303"/>
        <v/>
      </c>
    </row>
    <row r="208" spans="1:35" x14ac:dyDescent="0.25">
      <c r="B208" s="2" t="str">
        <f t="shared" si="291"/>
        <v>@line_width-ditch_z16</v>
      </c>
      <c r="C208" s="28" t="s">
        <v>92</v>
      </c>
      <c r="D208" s="28" t="s">
        <v>92</v>
      </c>
      <c r="F208" s="28" t="s">
        <v>92</v>
      </c>
      <c r="G208" s="28" t="s">
        <v>92</v>
      </c>
      <c r="I208" s="28" t="s">
        <v>92</v>
      </c>
      <c r="J208" s="28" t="s">
        <v>92</v>
      </c>
      <c r="L208" s="28" t="s">
        <v>92</v>
      </c>
      <c r="M208" s="28" t="s">
        <v>92</v>
      </c>
      <c r="O208" s="28" t="s">
        <v>92</v>
      </c>
      <c r="P208" s="28" t="s">
        <v>92</v>
      </c>
      <c r="R208" s="28" t="s">
        <v>92</v>
      </c>
      <c r="S208" s="28" t="s">
        <v>92</v>
      </c>
      <c r="U208" s="28" t="s">
        <v>92</v>
      </c>
      <c r="V208" s="28" t="s">
        <v>92</v>
      </c>
      <c r="X208" s="28" t="s">
        <v>92</v>
      </c>
      <c r="Y208" s="28" t="s">
        <v>92</v>
      </c>
      <c r="AA208" s="2" t="s">
        <v>119</v>
      </c>
      <c r="AB208" s="2" t="str">
        <f t="shared" si="214"/>
        <v>-</v>
      </c>
      <c r="AC208" s="28" t="s">
        <v>325</v>
      </c>
      <c r="AD208" s="2" t="str">
        <f t="shared" si="215"/>
        <v>_</v>
      </c>
      <c r="AE208" s="28" t="s">
        <v>75</v>
      </c>
      <c r="AF208" s="2" t="str">
        <f t="shared" si="305"/>
        <v/>
      </c>
      <c r="AH208" s="2" t="str">
        <f t="shared" si="303"/>
        <v/>
      </c>
    </row>
    <row r="209" spans="1:35" x14ac:dyDescent="0.25">
      <c r="B209" s="2" t="str">
        <f t="shared" si="291"/>
        <v>@line_width-ditch_z18</v>
      </c>
      <c r="C209" s="28" t="s">
        <v>327</v>
      </c>
      <c r="D209" s="28" t="s">
        <v>327</v>
      </c>
      <c r="F209" s="28" t="s">
        <v>327</v>
      </c>
      <c r="G209" s="28" t="s">
        <v>327</v>
      </c>
      <c r="I209" s="28" t="s">
        <v>327</v>
      </c>
      <c r="J209" s="28" t="s">
        <v>327</v>
      </c>
      <c r="L209" s="28" t="s">
        <v>327</v>
      </c>
      <c r="M209" s="28" t="s">
        <v>327</v>
      </c>
      <c r="O209" s="28" t="s">
        <v>327</v>
      </c>
      <c r="P209" s="28" t="s">
        <v>327</v>
      </c>
      <c r="R209" s="28" t="s">
        <v>327</v>
      </c>
      <c r="S209" s="28" t="s">
        <v>327</v>
      </c>
      <c r="U209" s="28" t="s">
        <v>327</v>
      </c>
      <c r="V209" s="28" t="s">
        <v>327</v>
      </c>
      <c r="X209" s="28" t="s">
        <v>327</v>
      </c>
      <c r="Y209" s="28" t="s">
        <v>327</v>
      </c>
      <c r="AA209" s="2" t="s">
        <v>119</v>
      </c>
      <c r="AB209" s="2" t="str">
        <f t="shared" si="214"/>
        <v>-</v>
      </c>
      <c r="AC209" s="28" t="s">
        <v>325</v>
      </c>
      <c r="AD209" s="2" t="str">
        <f t="shared" si="215"/>
        <v>_</v>
      </c>
      <c r="AE209" s="28" t="s">
        <v>76</v>
      </c>
      <c r="AF209" s="2" t="str">
        <f t="shared" si="305"/>
        <v/>
      </c>
      <c r="AH209" s="2" t="str">
        <f t="shared" si="303"/>
        <v/>
      </c>
    </row>
    <row r="210" spans="1:35" x14ac:dyDescent="0.25">
      <c r="B210" s="2"/>
      <c r="AA210" s="2"/>
      <c r="AB210" s="2"/>
      <c r="AD210" s="2"/>
      <c r="AF210" s="2"/>
      <c r="AH210" s="2"/>
    </row>
    <row r="211" spans="1:35" x14ac:dyDescent="0.25">
      <c r="B211" s="2" t="str">
        <f t="shared" ref="B211:B214" si="307">_xlfn.CONCAT("@",AA211,AB211,AC211,AD211,AE211,AF211,AG211,AH211,AI211)</f>
        <v>@line_width-stream_z12</v>
      </c>
      <c r="C211" s="28" t="s">
        <v>80</v>
      </c>
      <c r="D211" s="28" t="s">
        <v>85</v>
      </c>
      <c r="F211" s="28" t="s">
        <v>80</v>
      </c>
      <c r="G211" s="28" t="s">
        <v>85</v>
      </c>
      <c r="I211" s="28" t="s">
        <v>80</v>
      </c>
      <c r="J211" s="28" t="s">
        <v>85</v>
      </c>
      <c r="L211" s="28" t="s">
        <v>80</v>
      </c>
      <c r="M211" s="28" t="s">
        <v>85</v>
      </c>
      <c r="O211" s="28" t="s">
        <v>80</v>
      </c>
      <c r="P211" s="28" t="s">
        <v>85</v>
      </c>
      <c r="R211" s="28" t="s">
        <v>80</v>
      </c>
      <c r="S211" s="28" t="s">
        <v>85</v>
      </c>
      <c r="U211" s="28" t="s">
        <v>80</v>
      </c>
      <c r="V211" s="28" t="s">
        <v>85</v>
      </c>
      <c r="X211" s="28" t="s">
        <v>80</v>
      </c>
      <c r="Y211" s="28" t="s">
        <v>85</v>
      </c>
      <c r="AA211" s="2" t="s">
        <v>119</v>
      </c>
      <c r="AB211" s="2" t="str">
        <f t="shared" ref="AB211:AB214" si="308">IF(NOT(ISBLANK(AC211)),"-","")</f>
        <v>-</v>
      </c>
      <c r="AC211" s="28" t="s">
        <v>326</v>
      </c>
      <c r="AD211" s="2" t="str">
        <f t="shared" ref="AD211:AD214" si="309">IF(NOT(ISBLANK(AE211)),"_","")</f>
        <v>_</v>
      </c>
      <c r="AE211" s="28" t="s">
        <v>109</v>
      </c>
      <c r="AF211" s="2" t="str">
        <f t="shared" si="305"/>
        <v/>
      </c>
      <c r="AH211" s="2" t="str">
        <f t="shared" si="303"/>
        <v/>
      </c>
    </row>
    <row r="212" spans="1:35" x14ac:dyDescent="0.25">
      <c r="B212" s="2" t="str">
        <f t="shared" si="307"/>
        <v>@line_width-stream_z14</v>
      </c>
      <c r="C212" s="28" t="s">
        <v>90</v>
      </c>
      <c r="D212" s="28" t="s">
        <v>88</v>
      </c>
      <c r="F212" s="28" t="s">
        <v>90</v>
      </c>
      <c r="G212" s="28" t="s">
        <v>88</v>
      </c>
      <c r="I212" s="28" t="s">
        <v>90</v>
      </c>
      <c r="J212" s="28" t="s">
        <v>88</v>
      </c>
      <c r="L212" s="28" t="s">
        <v>90</v>
      </c>
      <c r="M212" s="28" t="s">
        <v>88</v>
      </c>
      <c r="O212" s="28" t="s">
        <v>90</v>
      </c>
      <c r="P212" s="28" t="s">
        <v>88</v>
      </c>
      <c r="R212" s="28" t="s">
        <v>90</v>
      </c>
      <c r="S212" s="28" t="s">
        <v>88</v>
      </c>
      <c r="U212" s="28" t="s">
        <v>90</v>
      </c>
      <c r="V212" s="28" t="s">
        <v>88</v>
      </c>
      <c r="X212" s="28" t="s">
        <v>90</v>
      </c>
      <c r="Y212" s="28" t="s">
        <v>88</v>
      </c>
      <c r="AA212" s="2" t="s">
        <v>119</v>
      </c>
      <c r="AB212" s="2" t="str">
        <f t="shared" si="308"/>
        <v>-</v>
      </c>
      <c r="AC212" s="28" t="s">
        <v>326</v>
      </c>
      <c r="AD212" s="2" t="str">
        <f t="shared" si="309"/>
        <v>_</v>
      </c>
      <c r="AE212" s="28" t="s">
        <v>74</v>
      </c>
      <c r="AF212" s="2" t="str">
        <f t="shared" si="305"/>
        <v/>
      </c>
      <c r="AH212" s="2" t="str">
        <f t="shared" si="303"/>
        <v/>
      </c>
    </row>
    <row r="213" spans="1:35" x14ac:dyDescent="0.25">
      <c r="B213" s="2" t="str">
        <f t="shared" si="307"/>
        <v>@line_width-stream_z16</v>
      </c>
      <c r="C213" s="28" t="s">
        <v>86</v>
      </c>
      <c r="D213" s="28" t="s">
        <v>86</v>
      </c>
      <c r="F213" s="28" t="s">
        <v>86</v>
      </c>
      <c r="G213" s="28" t="s">
        <v>86</v>
      </c>
      <c r="I213" s="28" t="s">
        <v>86</v>
      </c>
      <c r="J213" s="28" t="s">
        <v>86</v>
      </c>
      <c r="L213" s="28" t="s">
        <v>86</v>
      </c>
      <c r="M213" s="28" t="s">
        <v>86</v>
      </c>
      <c r="O213" s="28" t="s">
        <v>86</v>
      </c>
      <c r="P213" s="28" t="s">
        <v>86</v>
      </c>
      <c r="R213" s="28" t="s">
        <v>86</v>
      </c>
      <c r="S213" s="28" t="s">
        <v>86</v>
      </c>
      <c r="U213" s="28" t="s">
        <v>86</v>
      </c>
      <c r="V213" s="28" t="s">
        <v>86</v>
      </c>
      <c r="X213" s="28" t="s">
        <v>86</v>
      </c>
      <c r="Y213" s="28" t="s">
        <v>86</v>
      </c>
      <c r="AA213" s="2" t="s">
        <v>119</v>
      </c>
      <c r="AB213" s="2" t="str">
        <f t="shared" si="308"/>
        <v>-</v>
      </c>
      <c r="AC213" s="28" t="s">
        <v>326</v>
      </c>
      <c r="AD213" s="2" t="str">
        <f t="shared" si="309"/>
        <v>_</v>
      </c>
      <c r="AE213" s="28" t="s">
        <v>75</v>
      </c>
      <c r="AF213" s="2" t="str">
        <f t="shared" si="305"/>
        <v/>
      </c>
      <c r="AH213" s="2" t="str">
        <f t="shared" si="303"/>
        <v/>
      </c>
    </row>
    <row r="214" spans="1:35" x14ac:dyDescent="0.25">
      <c r="B214" s="2" t="str">
        <f t="shared" si="307"/>
        <v>@line_width-stream_z18</v>
      </c>
      <c r="C214" s="28" t="s">
        <v>328</v>
      </c>
      <c r="D214" s="28" t="s">
        <v>328</v>
      </c>
      <c r="F214" s="28" t="s">
        <v>328</v>
      </c>
      <c r="G214" s="28" t="s">
        <v>328</v>
      </c>
      <c r="I214" s="28" t="s">
        <v>328</v>
      </c>
      <c r="J214" s="28" t="s">
        <v>328</v>
      </c>
      <c r="L214" s="28" t="s">
        <v>328</v>
      </c>
      <c r="M214" s="28" t="s">
        <v>328</v>
      </c>
      <c r="O214" s="28" t="s">
        <v>328</v>
      </c>
      <c r="P214" s="28" t="s">
        <v>328</v>
      </c>
      <c r="R214" s="28" t="s">
        <v>328</v>
      </c>
      <c r="S214" s="28" t="s">
        <v>328</v>
      </c>
      <c r="U214" s="28" t="s">
        <v>328</v>
      </c>
      <c r="V214" s="28" t="s">
        <v>328</v>
      </c>
      <c r="X214" s="28" t="s">
        <v>328</v>
      </c>
      <c r="Y214" s="28" t="s">
        <v>328</v>
      </c>
      <c r="AA214" s="2" t="s">
        <v>119</v>
      </c>
      <c r="AB214" s="2" t="str">
        <f t="shared" si="308"/>
        <v>-</v>
      </c>
      <c r="AC214" s="28" t="s">
        <v>326</v>
      </c>
      <c r="AD214" s="2" t="str">
        <f t="shared" si="309"/>
        <v>_</v>
      </c>
      <c r="AE214" s="28" t="s">
        <v>76</v>
      </c>
      <c r="AF214" s="2" t="str">
        <f t="shared" si="305"/>
        <v/>
      </c>
      <c r="AH214" s="2" t="str">
        <f t="shared" si="303"/>
        <v/>
      </c>
    </row>
    <row r="215" spans="1:35" x14ac:dyDescent="0.25">
      <c r="B215" s="2"/>
      <c r="AA215" s="2"/>
      <c r="AB215" s="2"/>
      <c r="AD215" s="2"/>
      <c r="AF215" s="2"/>
      <c r="AH215" s="2"/>
    </row>
    <row r="216" spans="1:35" x14ac:dyDescent="0.25">
      <c r="B216" s="2" t="str">
        <f t="shared" ref="B216:B218" si="310">_xlfn.CONCAT("@",AA216,AB216,AC216,AD216,AE216,AF216,AG216,AH216,AI216)</f>
        <v>@line_width-canal_z13</v>
      </c>
      <c r="C216" s="28" t="s">
        <v>95</v>
      </c>
      <c r="D216" s="28" t="s">
        <v>80</v>
      </c>
      <c r="F216" s="28" t="s">
        <v>95</v>
      </c>
      <c r="G216" s="28" t="s">
        <v>80</v>
      </c>
      <c r="I216" s="28" t="s">
        <v>95</v>
      </c>
      <c r="J216" s="28" t="s">
        <v>80</v>
      </c>
      <c r="L216" s="28" t="s">
        <v>95</v>
      </c>
      <c r="M216" s="28" t="s">
        <v>80</v>
      </c>
      <c r="O216" s="28" t="s">
        <v>95</v>
      </c>
      <c r="P216" s="28" t="s">
        <v>80</v>
      </c>
      <c r="R216" s="28" t="s">
        <v>95</v>
      </c>
      <c r="S216" s="28" t="s">
        <v>80</v>
      </c>
      <c r="U216" s="28" t="s">
        <v>95</v>
      </c>
      <c r="V216" s="28" t="s">
        <v>80</v>
      </c>
      <c r="X216" s="28" t="s">
        <v>95</v>
      </c>
      <c r="Y216" s="28" t="s">
        <v>80</v>
      </c>
      <c r="AA216" s="2" t="s">
        <v>119</v>
      </c>
      <c r="AB216" s="2" t="str">
        <f t="shared" ref="AB216:AB218" si="311">IF(NOT(ISBLANK(AC216)),"-","")</f>
        <v>-</v>
      </c>
      <c r="AC216" s="28" t="s">
        <v>329</v>
      </c>
      <c r="AD216" s="2" t="str">
        <f t="shared" ref="AD216:AD218" si="312">IF(NOT(ISBLANK(AE216)),"_","")</f>
        <v>_</v>
      </c>
      <c r="AE216" s="28" t="s">
        <v>330</v>
      </c>
      <c r="AF216" s="2" t="str">
        <f t="shared" si="305"/>
        <v/>
      </c>
      <c r="AH216" s="2" t="str">
        <f t="shared" si="303"/>
        <v/>
      </c>
    </row>
    <row r="217" spans="1:35" x14ac:dyDescent="0.25">
      <c r="B217" s="2" t="str">
        <f t="shared" si="310"/>
        <v>@line_width-canal_z16</v>
      </c>
      <c r="C217" s="28" t="s">
        <v>128</v>
      </c>
      <c r="D217" s="28" t="s">
        <v>86</v>
      </c>
      <c r="F217" s="28" t="s">
        <v>128</v>
      </c>
      <c r="G217" s="28" t="s">
        <v>86</v>
      </c>
      <c r="I217" s="28" t="s">
        <v>128</v>
      </c>
      <c r="J217" s="28" t="s">
        <v>86</v>
      </c>
      <c r="L217" s="28" t="s">
        <v>128</v>
      </c>
      <c r="M217" s="28" t="s">
        <v>86</v>
      </c>
      <c r="O217" s="28" t="s">
        <v>128</v>
      </c>
      <c r="P217" s="28" t="s">
        <v>86</v>
      </c>
      <c r="R217" s="28" t="s">
        <v>128</v>
      </c>
      <c r="S217" s="28" t="s">
        <v>86</v>
      </c>
      <c r="U217" s="28" t="s">
        <v>128</v>
      </c>
      <c r="V217" s="28" t="s">
        <v>86</v>
      </c>
      <c r="X217" s="28" t="s">
        <v>128</v>
      </c>
      <c r="Y217" s="28" t="s">
        <v>86</v>
      </c>
      <c r="AA217" s="2" t="s">
        <v>119</v>
      </c>
      <c r="AB217" s="2" t="str">
        <f t="shared" si="311"/>
        <v>-</v>
      </c>
      <c r="AC217" s="28" t="s">
        <v>329</v>
      </c>
      <c r="AD217" s="2" t="str">
        <f t="shared" si="312"/>
        <v>_</v>
      </c>
      <c r="AE217" s="28" t="s">
        <v>75</v>
      </c>
      <c r="AF217" s="2" t="str">
        <f t="shared" si="305"/>
        <v/>
      </c>
      <c r="AH217" s="2" t="str">
        <f t="shared" si="303"/>
        <v/>
      </c>
    </row>
    <row r="218" spans="1:35" x14ac:dyDescent="0.25">
      <c r="B218" s="2" t="str">
        <f t="shared" si="310"/>
        <v>@line_width-canal_z20</v>
      </c>
      <c r="C218" s="28" t="s">
        <v>86</v>
      </c>
      <c r="D218" s="28" t="s">
        <v>87</v>
      </c>
      <c r="F218" s="28" t="s">
        <v>86</v>
      </c>
      <c r="G218" s="28" t="s">
        <v>87</v>
      </c>
      <c r="I218" s="28" t="s">
        <v>86</v>
      </c>
      <c r="J218" s="28" t="s">
        <v>87</v>
      </c>
      <c r="L218" s="28" t="s">
        <v>86</v>
      </c>
      <c r="M218" s="28" t="s">
        <v>87</v>
      </c>
      <c r="O218" s="28" t="s">
        <v>86</v>
      </c>
      <c r="P218" s="28" t="s">
        <v>87</v>
      </c>
      <c r="R218" s="28" t="s">
        <v>86</v>
      </c>
      <c r="S218" s="28" t="s">
        <v>87</v>
      </c>
      <c r="U218" s="28" t="s">
        <v>86</v>
      </c>
      <c r="V218" s="28" t="s">
        <v>87</v>
      </c>
      <c r="X218" s="28" t="s">
        <v>86</v>
      </c>
      <c r="Y218" s="28" t="s">
        <v>87</v>
      </c>
      <c r="AA218" s="2" t="s">
        <v>119</v>
      </c>
      <c r="AB218" s="2" t="str">
        <f t="shared" si="311"/>
        <v>-</v>
      </c>
      <c r="AC218" s="28" t="s">
        <v>329</v>
      </c>
      <c r="AD218" s="2" t="str">
        <f t="shared" si="312"/>
        <v>_</v>
      </c>
      <c r="AE218" s="28" t="s">
        <v>139</v>
      </c>
      <c r="AF218" s="2" t="str">
        <f t="shared" si="305"/>
        <v/>
      </c>
      <c r="AH218" s="2" t="str">
        <f t="shared" si="303"/>
        <v/>
      </c>
    </row>
    <row r="219" spans="1:35" x14ac:dyDescent="0.25">
      <c r="B219" s="2"/>
      <c r="AA219" s="2"/>
      <c r="AB219" s="2"/>
      <c r="AD219" s="2"/>
      <c r="AF219" s="2"/>
      <c r="AH219" s="2"/>
    </row>
    <row r="220" spans="1:35" x14ac:dyDescent="0.25">
      <c r="B220" s="2" t="str">
        <f t="shared" ref="B220:B221" si="313">_xlfn.CONCAT("@",AA220,AB220,AC220,AD220,AE220,AF220,AG220,AH220,AI220)</f>
        <v>@line_width-river_z10</v>
      </c>
      <c r="C220" s="28" t="s">
        <v>96</v>
      </c>
      <c r="D220" s="28" t="s">
        <v>97</v>
      </c>
      <c r="F220" s="28" t="s">
        <v>96</v>
      </c>
      <c r="G220" s="28" t="s">
        <v>97</v>
      </c>
      <c r="I220" s="28" t="s">
        <v>96</v>
      </c>
      <c r="J220" s="28" t="s">
        <v>97</v>
      </c>
      <c r="L220" s="28" t="s">
        <v>96</v>
      </c>
      <c r="M220" s="28" t="s">
        <v>97</v>
      </c>
      <c r="O220" s="28" t="s">
        <v>96</v>
      </c>
      <c r="P220" s="28" t="s">
        <v>97</v>
      </c>
      <c r="R220" s="28" t="s">
        <v>96</v>
      </c>
      <c r="S220" s="28" t="s">
        <v>97</v>
      </c>
      <c r="U220" s="28" t="s">
        <v>96</v>
      </c>
      <c r="V220" s="28" t="s">
        <v>97</v>
      </c>
      <c r="X220" s="28" t="s">
        <v>96</v>
      </c>
      <c r="Y220" s="28" t="s">
        <v>97</v>
      </c>
      <c r="AA220" s="2" t="s">
        <v>119</v>
      </c>
      <c r="AB220" s="2" t="str">
        <f t="shared" ref="AB220:AB221" si="314">IF(NOT(ISBLANK(AC220)),"-","")</f>
        <v>-</v>
      </c>
      <c r="AC220" s="28" t="s">
        <v>331</v>
      </c>
      <c r="AD220" s="2" t="str">
        <f t="shared" ref="AD220:AD221" si="315">IF(NOT(ISBLANK(AE220)),"_","")</f>
        <v>_</v>
      </c>
      <c r="AE220" s="28" t="s">
        <v>103</v>
      </c>
      <c r="AF220" s="2" t="str">
        <f t="shared" si="305"/>
        <v/>
      </c>
      <c r="AH220" s="2" t="str">
        <f t="shared" si="303"/>
        <v/>
      </c>
    </row>
    <row r="221" spans="1:35" x14ac:dyDescent="0.25">
      <c r="B221" s="2" t="str">
        <f t="shared" si="313"/>
        <v>@line_width-river_z20</v>
      </c>
      <c r="C221" s="28" t="s">
        <v>86</v>
      </c>
      <c r="D221" s="28" t="s">
        <v>332</v>
      </c>
      <c r="F221" s="28" t="s">
        <v>86</v>
      </c>
      <c r="G221" s="28" t="s">
        <v>332</v>
      </c>
      <c r="I221" s="28" t="s">
        <v>86</v>
      </c>
      <c r="J221" s="28" t="s">
        <v>332</v>
      </c>
      <c r="L221" s="28" t="s">
        <v>86</v>
      </c>
      <c r="M221" s="28" t="s">
        <v>332</v>
      </c>
      <c r="O221" s="28" t="s">
        <v>86</v>
      </c>
      <c r="P221" s="28" t="s">
        <v>332</v>
      </c>
      <c r="R221" s="28" t="s">
        <v>86</v>
      </c>
      <c r="S221" s="28" t="s">
        <v>332</v>
      </c>
      <c r="U221" s="28" t="s">
        <v>86</v>
      </c>
      <c r="V221" s="28" t="s">
        <v>332</v>
      </c>
      <c r="X221" s="28" t="s">
        <v>86</v>
      </c>
      <c r="Y221" s="28" t="s">
        <v>332</v>
      </c>
      <c r="AA221" s="2" t="s">
        <v>119</v>
      </c>
      <c r="AB221" s="2" t="str">
        <f t="shared" si="314"/>
        <v>-</v>
      </c>
      <c r="AC221" s="28" t="s">
        <v>331</v>
      </c>
      <c r="AD221" s="2" t="str">
        <f t="shared" si="315"/>
        <v>_</v>
      </c>
      <c r="AE221" s="28" t="s">
        <v>139</v>
      </c>
      <c r="AF221" s="2" t="str">
        <f t="shared" si="305"/>
        <v/>
      </c>
      <c r="AH221" s="2" t="str">
        <f t="shared" si="303"/>
        <v/>
      </c>
    </row>
    <row r="222" spans="1:35" x14ac:dyDescent="0.25">
      <c r="B222" s="2"/>
      <c r="AA222" s="2"/>
      <c r="AB222" s="2"/>
      <c r="AD222" s="2"/>
      <c r="AF222" s="2"/>
      <c r="AH222" s="2"/>
    </row>
    <row r="223" spans="1:35" x14ac:dyDescent="0.25">
      <c r="AA223" s="2"/>
    </row>
    <row r="224" spans="1:35" s="2" customFormat="1" x14ac:dyDescent="0.25">
      <c r="A224" s="3" t="s">
        <v>252</v>
      </c>
      <c r="B224" s="3"/>
      <c r="C224" s="27"/>
      <c r="D224" s="6"/>
      <c r="E224" s="7"/>
      <c r="F224" s="6"/>
      <c r="G224" s="6"/>
      <c r="H224" s="7"/>
      <c r="I224" s="6"/>
      <c r="J224" s="6"/>
      <c r="K224" s="7"/>
      <c r="L224" s="6"/>
      <c r="M224" s="6"/>
      <c r="N224" s="7"/>
      <c r="O224" s="6"/>
      <c r="P224" s="6"/>
      <c r="Q224" s="7"/>
      <c r="R224" s="6"/>
      <c r="S224" s="6"/>
      <c r="T224" s="7"/>
      <c r="U224" s="6"/>
      <c r="V224" s="6"/>
      <c r="W224" s="7"/>
      <c r="X224" s="6"/>
      <c r="Y224" s="6"/>
      <c r="AA224" s="4"/>
      <c r="AB224" s="4" t="str">
        <f t="shared" si="214"/>
        <v/>
      </c>
      <c r="AC224" s="4"/>
      <c r="AD224" s="4" t="str">
        <f t="shared" si="215"/>
        <v/>
      </c>
      <c r="AE224" s="4"/>
      <c r="AF224" s="4" t="str">
        <f t="shared" si="216"/>
        <v/>
      </c>
      <c r="AG224" s="4"/>
      <c r="AH224" s="4" t="str">
        <f t="shared" ref="AH224:AH271" si="316">IF(NOT(ISBLANK(AI224)),"_","")</f>
        <v/>
      </c>
      <c r="AI224" s="4"/>
    </row>
    <row r="225" spans="2:35" x14ac:dyDescent="0.25">
      <c r="B225" s="2" t="str">
        <f t="shared" ref="B225:B249" si="317">_xlfn.CONCAT("@",AA225,AB225,AC225,AD225,AE225,AF225,AG225,AH225,AI225)</f>
        <v>@color-background</v>
      </c>
      <c r="C225" s="68" t="s">
        <v>192</v>
      </c>
      <c r="D225" s="38" t="s">
        <v>222</v>
      </c>
      <c r="F225" s="48" t="s">
        <v>214</v>
      </c>
      <c r="G225" s="48" t="s">
        <v>214</v>
      </c>
      <c r="I225" s="68" t="s">
        <v>192</v>
      </c>
      <c r="J225" s="38" t="s">
        <v>222</v>
      </c>
      <c r="L225" s="48" t="s">
        <v>214</v>
      </c>
      <c r="M225" s="48" t="s">
        <v>214</v>
      </c>
      <c r="U225" s="68" t="s">
        <v>192</v>
      </c>
      <c r="V225" s="38" t="s">
        <v>222</v>
      </c>
      <c r="X225" s="48" t="s">
        <v>214</v>
      </c>
      <c r="Y225" s="48" t="s">
        <v>214</v>
      </c>
      <c r="AA225" s="2" t="s">
        <v>6</v>
      </c>
      <c r="AB225" s="2" t="str">
        <f t="shared" si="214"/>
        <v>-</v>
      </c>
      <c r="AC225" s="2" t="s">
        <v>66</v>
      </c>
      <c r="AD225" s="2" t="str">
        <f t="shared" si="215"/>
        <v/>
      </c>
      <c r="AE225" s="2"/>
      <c r="AF225" s="2" t="str">
        <f t="shared" si="216"/>
        <v/>
      </c>
      <c r="AG225" s="2"/>
      <c r="AH225" s="2" t="str">
        <f t="shared" si="316"/>
        <v/>
      </c>
      <c r="AI225" s="2"/>
    </row>
    <row r="226" spans="2:35" x14ac:dyDescent="0.25">
      <c r="B226" s="2" t="str">
        <f t="shared" si="317"/>
        <v>@color-water</v>
      </c>
      <c r="C226" s="69" t="s">
        <v>193</v>
      </c>
      <c r="D226" s="70" t="s">
        <v>194</v>
      </c>
      <c r="F226" s="71" t="s">
        <v>235</v>
      </c>
      <c r="G226" s="71" t="s">
        <v>235</v>
      </c>
      <c r="I226" s="69" t="s">
        <v>193</v>
      </c>
      <c r="J226" s="70" t="s">
        <v>194</v>
      </c>
      <c r="L226" s="71" t="s">
        <v>235</v>
      </c>
      <c r="M226" s="71" t="s">
        <v>235</v>
      </c>
      <c r="U226" s="69" t="s">
        <v>193</v>
      </c>
      <c r="V226" s="70" t="s">
        <v>194</v>
      </c>
      <c r="X226" s="71" t="s">
        <v>235</v>
      </c>
      <c r="Y226" s="71" t="s">
        <v>235</v>
      </c>
      <c r="AA226" s="2" t="s">
        <v>6</v>
      </c>
      <c r="AB226" s="2" t="str">
        <f t="shared" si="214"/>
        <v>-</v>
      </c>
      <c r="AC226" s="2" t="s">
        <v>14</v>
      </c>
      <c r="AD226" s="2" t="str">
        <f t="shared" si="215"/>
        <v/>
      </c>
      <c r="AE226" s="2"/>
      <c r="AF226" s="2" t="str">
        <f t="shared" si="216"/>
        <v/>
      </c>
      <c r="AG226" s="2"/>
      <c r="AH226" s="2" t="str">
        <f t="shared" si="316"/>
        <v/>
      </c>
      <c r="AI226" s="2"/>
    </row>
    <row r="227" spans="2:35" x14ac:dyDescent="0.25">
      <c r="B227" s="2" t="str">
        <f t="shared" si="317"/>
        <v>@color-landcover_field</v>
      </c>
      <c r="C227" s="72" t="s">
        <v>195</v>
      </c>
      <c r="D227" s="73" t="s">
        <v>196</v>
      </c>
      <c r="F227" s="74" t="s">
        <v>238</v>
      </c>
      <c r="G227" s="74" t="s">
        <v>238</v>
      </c>
      <c r="I227" s="150" t="s">
        <v>368</v>
      </c>
      <c r="J227" s="73" t="s">
        <v>196</v>
      </c>
      <c r="L227" s="74" t="s">
        <v>238</v>
      </c>
      <c r="M227" s="74" t="s">
        <v>238</v>
      </c>
      <c r="U227" s="72" t="s">
        <v>195</v>
      </c>
      <c r="V227" s="73" t="s">
        <v>196</v>
      </c>
      <c r="X227" s="74" t="s">
        <v>238</v>
      </c>
      <c r="Y227" s="74" t="s">
        <v>238</v>
      </c>
      <c r="AA227" s="2" t="s">
        <v>6</v>
      </c>
      <c r="AB227" s="2" t="str">
        <f t="shared" si="214"/>
        <v>-</v>
      </c>
      <c r="AC227" s="2" t="s">
        <v>51</v>
      </c>
      <c r="AD227" s="2" t="str">
        <f t="shared" si="215"/>
        <v>_</v>
      </c>
      <c r="AE227" s="2" t="s">
        <v>46</v>
      </c>
      <c r="AF227" s="2" t="str">
        <f t="shared" si="216"/>
        <v/>
      </c>
      <c r="AG227" s="2"/>
      <c r="AH227" s="2" t="str">
        <f t="shared" si="316"/>
        <v/>
      </c>
      <c r="AI227" s="2"/>
    </row>
    <row r="228" spans="2:35" x14ac:dyDescent="0.25">
      <c r="B228" s="2" t="str">
        <f t="shared" si="317"/>
        <v>@color-landcover_meadow</v>
      </c>
      <c r="C228" s="75" t="s">
        <v>197</v>
      </c>
      <c r="D228" s="76" t="s">
        <v>198</v>
      </c>
      <c r="F228" s="77" t="s">
        <v>237</v>
      </c>
      <c r="G228" s="77" t="s">
        <v>237</v>
      </c>
      <c r="I228" s="151" t="s">
        <v>369</v>
      </c>
      <c r="J228" s="76" t="s">
        <v>198</v>
      </c>
      <c r="L228" s="77" t="s">
        <v>237</v>
      </c>
      <c r="M228" s="77" t="s">
        <v>237</v>
      </c>
      <c r="U228" s="75" t="s">
        <v>197</v>
      </c>
      <c r="V228" s="76" t="s">
        <v>198</v>
      </c>
      <c r="X228" s="77" t="s">
        <v>237</v>
      </c>
      <c r="Y228" s="77" t="s">
        <v>237</v>
      </c>
      <c r="AA228" s="2" t="s">
        <v>6</v>
      </c>
      <c r="AB228" s="2" t="str">
        <f t="shared" si="214"/>
        <v>-</v>
      </c>
      <c r="AC228" s="2" t="s">
        <v>51</v>
      </c>
      <c r="AD228" s="2" t="str">
        <f t="shared" si="215"/>
        <v>_</v>
      </c>
      <c r="AE228" s="2" t="s">
        <v>47</v>
      </c>
      <c r="AF228" s="2" t="str">
        <f t="shared" si="216"/>
        <v/>
      </c>
      <c r="AG228" s="2"/>
      <c r="AH228" s="2" t="str">
        <f t="shared" si="316"/>
        <v/>
      </c>
      <c r="AI228" s="2"/>
    </row>
    <row r="229" spans="2:35" x14ac:dyDescent="0.25">
      <c r="B229" s="2" t="str">
        <f t="shared" si="317"/>
        <v>@color-landcover_bare_rock</v>
      </c>
      <c r="C229" s="78" t="s">
        <v>199</v>
      </c>
      <c r="D229" s="78" t="s">
        <v>199</v>
      </c>
      <c r="F229" s="79" t="s">
        <v>242</v>
      </c>
      <c r="G229" s="79" t="s">
        <v>242</v>
      </c>
      <c r="I229" s="78" t="s">
        <v>199</v>
      </c>
      <c r="J229" s="78" t="s">
        <v>199</v>
      </c>
      <c r="L229" s="79" t="s">
        <v>242</v>
      </c>
      <c r="M229" s="79" t="s">
        <v>242</v>
      </c>
      <c r="U229" s="78" t="s">
        <v>199</v>
      </c>
      <c r="V229" s="78" t="s">
        <v>199</v>
      </c>
      <c r="X229" s="79" t="s">
        <v>242</v>
      </c>
      <c r="Y229" s="79" t="s">
        <v>242</v>
      </c>
      <c r="AA229" s="2" t="s">
        <v>6</v>
      </c>
      <c r="AB229" s="2" t="str">
        <f t="shared" si="214"/>
        <v>-</v>
      </c>
      <c r="AC229" s="2" t="s">
        <v>51</v>
      </c>
      <c r="AD229" s="2" t="str">
        <f t="shared" si="215"/>
        <v>_</v>
      </c>
      <c r="AE229" s="2" t="s">
        <v>48</v>
      </c>
      <c r="AF229" s="2" t="str">
        <f t="shared" si="216"/>
        <v/>
      </c>
      <c r="AG229" s="2"/>
      <c r="AH229" s="2" t="str">
        <f t="shared" si="316"/>
        <v/>
      </c>
      <c r="AI229" s="2"/>
    </row>
    <row r="230" spans="2:35" x14ac:dyDescent="0.25">
      <c r="B230" s="2" t="str">
        <f t="shared" si="317"/>
        <v>@color-landcover_sand</v>
      </c>
      <c r="C230" s="80" t="s">
        <v>200</v>
      </c>
      <c r="D230" s="38" t="s">
        <v>222</v>
      </c>
      <c r="F230" s="81" t="s">
        <v>243</v>
      </c>
      <c r="G230" s="48" t="s">
        <v>214</v>
      </c>
      <c r="I230" s="80" t="s">
        <v>200</v>
      </c>
      <c r="J230" s="38" t="s">
        <v>222</v>
      </c>
      <c r="L230" s="81" t="s">
        <v>243</v>
      </c>
      <c r="M230" s="48" t="s">
        <v>214</v>
      </c>
      <c r="U230" s="80" t="s">
        <v>200</v>
      </c>
      <c r="V230" s="38" t="s">
        <v>222</v>
      </c>
      <c r="X230" s="81" t="s">
        <v>243</v>
      </c>
      <c r="Y230" s="48" t="s">
        <v>214</v>
      </c>
      <c r="AA230" s="2" t="s">
        <v>6</v>
      </c>
      <c r="AB230" s="2" t="str">
        <f t="shared" si="214"/>
        <v>-</v>
      </c>
      <c r="AC230" s="2" t="s">
        <v>51</v>
      </c>
      <c r="AD230" s="2" t="str">
        <f t="shared" si="215"/>
        <v>_</v>
      </c>
      <c r="AE230" s="2" t="s">
        <v>49</v>
      </c>
      <c r="AF230" s="2" t="str">
        <f t="shared" si="216"/>
        <v/>
      </c>
      <c r="AG230" s="2"/>
      <c r="AH230" s="2" t="str">
        <f t="shared" si="316"/>
        <v/>
      </c>
      <c r="AI230" s="2"/>
    </row>
    <row r="231" spans="2:35" x14ac:dyDescent="0.25">
      <c r="B231" s="2" t="str">
        <f t="shared" si="317"/>
        <v>@color-landcover_allotments</v>
      </c>
      <c r="C231" s="82" t="s">
        <v>201</v>
      </c>
      <c r="D231" s="82" t="s">
        <v>201</v>
      </c>
      <c r="F231" s="83" t="s">
        <v>244</v>
      </c>
      <c r="G231" s="83" t="s">
        <v>244</v>
      </c>
      <c r="I231" s="82" t="s">
        <v>201</v>
      </c>
      <c r="J231" s="82" t="s">
        <v>201</v>
      </c>
      <c r="L231" s="83" t="s">
        <v>244</v>
      </c>
      <c r="M231" s="83" t="s">
        <v>244</v>
      </c>
      <c r="U231" s="82" t="s">
        <v>201</v>
      </c>
      <c r="V231" s="82" t="s">
        <v>201</v>
      </c>
      <c r="X231" s="83" t="s">
        <v>244</v>
      </c>
      <c r="Y231" s="83" t="s">
        <v>244</v>
      </c>
      <c r="AA231" s="2" t="s">
        <v>6</v>
      </c>
      <c r="AB231" s="2" t="str">
        <f t="shared" si="214"/>
        <v>-</v>
      </c>
      <c r="AC231" s="2" t="s">
        <v>51</v>
      </c>
      <c r="AD231" s="2" t="str">
        <f t="shared" si="215"/>
        <v>_</v>
      </c>
      <c r="AE231" s="2" t="s">
        <v>50</v>
      </c>
      <c r="AF231" s="2" t="str">
        <f t="shared" si="216"/>
        <v/>
      </c>
      <c r="AG231" s="2"/>
      <c r="AH231" s="2" t="str">
        <f t="shared" si="316"/>
        <v/>
      </c>
      <c r="AI231" s="2"/>
    </row>
    <row r="232" spans="2:35" x14ac:dyDescent="0.25">
      <c r="B232" s="2" t="str">
        <f t="shared" si="317"/>
        <v>@color-landcover_heath_fell</v>
      </c>
      <c r="C232" s="84" t="s">
        <v>202</v>
      </c>
      <c r="D232" s="38" t="s">
        <v>222</v>
      </c>
      <c r="F232" s="85" t="s">
        <v>245</v>
      </c>
      <c r="G232" s="48" t="s">
        <v>214</v>
      </c>
      <c r="I232" s="84" t="s">
        <v>202</v>
      </c>
      <c r="J232" s="38" t="s">
        <v>222</v>
      </c>
      <c r="L232" s="85" t="s">
        <v>245</v>
      </c>
      <c r="M232" s="48" t="s">
        <v>214</v>
      </c>
      <c r="U232" s="84" t="s">
        <v>202</v>
      </c>
      <c r="V232" s="38" t="s">
        <v>222</v>
      </c>
      <c r="X232" s="85" t="s">
        <v>245</v>
      </c>
      <c r="Y232" s="48" t="s">
        <v>214</v>
      </c>
      <c r="AA232" s="2" t="s">
        <v>6</v>
      </c>
      <c r="AB232" s="2" t="str">
        <f t="shared" si="214"/>
        <v>-</v>
      </c>
      <c r="AC232" s="2" t="s">
        <v>51</v>
      </c>
      <c r="AD232" s="2" t="str">
        <f t="shared" si="215"/>
        <v>_</v>
      </c>
      <c r="AE232" s="2" t="s">
        <v>52</v>
      </c>
      <c r="AF232" s="2" t="str">
        <f t="shared" si="216"/>
        <v/>
      </c>
      <c r="AG232" s="2"/>
      <c r="AH232" s="2" t="str">
        <f t="shared" si="316"/>
        <v/>
      </c>
      <c r="AI232" s="2"/>
    </row>
    <row r="233" spans="2:35" x14ac:dyDescent="0.25">
      <c r="B233" s="2" t="str">
        <f t="shared" si="317"/>
        <v>@color-landcover_grass</v>
      </c>
      <c r="C233" s="86" t="s">
        <v>203</v>
      </c>
      <c r="D233" s="38" t="s">
        <v>222</v>
      </c>
      <c r="F233" s="87" t="s">
        <v>275</v>
      </c>
      <c r="G233" s="48" t="s">
        <v>214</v>
      </c>
      <c r="I233" s="86" t="s">
        <v>203</v>
      </c>
      <c r="J233" s="38" t="s">
        <v>222</v>
      </c>
      <c r="L233" s="87" t="s">
        <v>275</v>
      </c>
      <c r="M233" s="48" t="s">
        <v>214</v>
      </c>
      <c r="U233" s="86" t="s">
        <v>203</v>
      </c>
      <c r="V233" s="38" t="s">
        <v>222</v>
      </c>
      <c r="X233" s="87" t="s">
        <v>275</v>
      </c>
      <c r="Y233" s="48" t="s">
        <v>214</v>
      </c>
      <c r="AA233" s="2" t="s">
        <v>6</v>
      </c>
      <c r="AB233" s="2" t="str">
        <f t="shared" si="214"/>
        <v>-</v>
      </c>
      <c r="AC233" s="2" t="s">
        <v>51</v>
      </c>
      <c r="AD233" s="2" t="str">
        <f t="shared" si="215"/>
        <v>_</v>
      </c>
      <c r="AE233" s="2" t="s">
        <v>53</v>
      </c>
      <c r="AF233" s="2" t="str">
        <f t="shared" si="216"/>
        <v/>
      </c>
      <c r="AG233" s="2"/>
      <c r="AH233" s="2" t="str">
        <f t="shared" si="316"/>
        <v/>
      </c>
      <c r="AI233" s="2"/>
    </row>
    <row r="234" spans="2:35" x14ac:dyDescent="0.25">
      <c r="B234" s="2" t="str">
        <f t="shared" si="317"/>
        <v>@color-landcover_quarry</v>
      </c>
      <c r="C234" s="88" t="s">
        <v>204</v>
      </c>
      <c r="D234" s="88" t="s">
        <v>204</v>
      </c>
      <c r="F234" s="89" t="s">
        <v>246</v>
      </c>
      <c r="G234" s="89" t="s">
        <v>246</v>
      </c>
      <c r="I234" s="88" t="s">
        <v>204</v>
      </c>
      <c r="J234" s="88" t="s">
        <v>204</v>
      </c>
      <c r="L234" s="89" t="s">
        <v>246</v>
      </c>
      <c r="M234" s="89" t="s">
        <v>246</v>
      </c>
      <c r="U234" s="88" t="s">
        <v>204</v>
      </c>
      <c r="V234" s="88" t="s">
        <v>204</v>
      </c>
      <c r="X234" s="89" t="s">
        <v>246</v>
      </c>
      <c r="Y234" s="89" t="s">
        <v>246</v>
      </c>
      <c r="AA234" s="2" t="s">
        <v>6</v>
      </c>
      <c r="AB234" s="2" t="str">
        <f t="shared" si="214"/>
        <v>-</v>
      </c>
      <c r="AC234" s="2" t="s">
        <v>51</v>
      </c>
      <c r="AD234" s="2" t="str">
        <f t="shared" si="215"/>
        <v>_</v>
      </c>
      <c r="AE234" s="2" t="s">
        <v>54</v>
      </c>
      <c r="AF234" s="2" t="str">
        <f t="shared" si="216"/>
        <v/>
      </c>
      <c r="AG234" s="2"/>
      <c r="AH234" s="2" t="str">
        <f t="shared" si="316"/>
        <v/>
      </c>
      <c r="AI234" s="2"/>
    </row>
    <row r="235" spans="2:35" x14ac:dyDescent="0.25">
      <c r="B235" s="2" t="str">
        <f t="shared" si="317"/>
        <v>@color-landcover_storage</v>
      </c>
      <c r="C235" s="90" t="s">
        <v>205</v>
      </c>
      <c r="D235" s="90" t="s">
        <v>205</v>
      </c>
      <c r="F235" s="91" t="s">
        <v>260</v>
      </c>
      <c r="G235" s="91" t="s">
        <v>260</v>
      </c>
      <c r="I235" s="90" t="s">
        <v>205</v>
      </c>
      <c r="J235" s="90" t="s">
        <v>205</v>
      </c>
      <c r="L235" s="91" t="s">
        <v>260</v>
      </c>
      <c r="M235" s="91" t="s">
        <v>260</v>
      </c>
      <c r="U235" s="90" t="s">
        <v>205</v>
      </c>
      <c r="V235" s="90" t="s">
        <v>205</v>
      </c>
      <c r="X235" s="91" t="s">
        <v>260</v>
      </c>
      <c r="Y235" s="91" t="s">
        <v>260</v>
      </c>
      <c r="AA235" s="2" t="s">
        <v>6</v>
      </c>
      <c r="AB235" s="2" t="str">
        <f t="shared" si="214"/>
        <v>-</v>
      </c>
      <c r="AC235" s="2" t="s">
        <v>51</v>
      </c>
      <c r="AD235" s="2" t="str">
        <f t="shared" si="215"/>
        <v>_</v>
      </c>
      <c r="AE235" s="2" t="s">
        <v>55</v>
      </c>
      <c r="AF235" s="2" t="str">
        <f t="shared" si="216"/>
        <v/>
      </c>
      <c r="AG235" s="2"/>
      <c r="AH235" s="2" t="str">
        <f t="shared" si="316"/>
        <v/>
      </c>
      <c r="AI235" s="2"/>
    </row>
    <row r="236" spans="2:35" x14ac:dyDescent="0.25">
      <c r="B236" s="2" t="str">
        <f t="shared" si="317"/>
        <v>@color-landcover_wood</v>
      </c>
      <c r="C236" s="92" t="s">
        <v>206</v>
      </c>
      <c r="D236" s="92" t="s">
        <v>206</v>
      </c>
      <c r="F236" s="93" t="s">
        <v>236</v>
      </c>
      <c r="G236" s="93" t="s">
        <v>236</v>
      </c>
      <c r="I236" s="92" t="s">
        <v>206</v>
      </c>
      <c r="J236" s="92" t="s">
        <v>206</v>
      </c>
      <c r="L236" s="93" t="s">
        <v>236</v>
      </c>
      <c r="M236" s="93" t="s">
        <v>236</v>
      </c>
      <c r="U236" s="92" t="s">
        <v>206</v>
      </c>
      <c r="V236" s="92" t="s">
        <v>206</v>
      </c>
      <c r="X236" s="93" t="s">
        <v>236</v>
      </c>
      <c r="Y236" s="93" t="s">
        <v>236</v>
      </c>
      <c r="AA236" s="2" t="s">
        <v>6</v>
      </c>
      <c r="AB236" s="2" t="str">
        <f t="shared" si="214"/>
        <v>-</v>
      </c>
      <c r="AC236" s="2" t="s">
        <v>51</v>
      </c>
      <c r="AD236" s="2" t="str">
        <f t="shared" si="215"/>
        <v>_</v>
      </c>
      <c r="AE236" s="2" t="s">
        <v>56</v>
      </c>
      <c r="AF236" s="2" t="str">
        <f t="shared" si="216"/>
        <v/>
      </c>
      <c r="AG236" s="2"/>
      <c r="AH236" s="2" t="str">
        <f t="shared" si="316"/>
        <v/>
      </c>
      <c r="AI236" s="2"/>
    </row>
    <row r="237" spans="2:35" x14ac:dyDescent="0.25">
      <c r="B237" s="2" t="str">
        <f t="shared" si="317"/>
        <v>@color-landcover_parking_area</v>
      </c>
      <c r="C237" s="94" t="s">
        <v>207</v>
      </c>
      <c r="D237" s="94" t="s">
        <v>207</v>
      </c>
      <c r="F237" s="95" t="s">
        <v>247</v>
      </c>
      <c r="G237" s="95" t="s">
        <v>247</v>
      </c>
      <c r="I237" s="94" t="s">
        <v>207</v>
      </c>
      <c r="J237" s="94" t="s">
        <v>207</v>
      </c>
      <c r="L237" s="95" t="s">
        <v>247</v>
      </c>
      <c r="M237" s="95" t="s">
        <v>247</v>
      </c>
      <c r="U237" s="94" t="s">
        <v>207</v>
      </c>
      <c r="V237" s="94" t="s">
        <v>207</v>
      </c>
      <c r="X237" s="95" t="s">
        <v>247</v>
      </c>
      <c r="Y237" s="95" t="s">
        <v>247</v>
      </c>
      <c r="AA237" s="2" t="s">
        <v>6</v>
      </c>
      <c r="AB237" s="2" t="str">
        <f t="shared" si="214"/>
        <v>-</v>
      </c>
      <c r="AC237" s="2" t="s">
        <v>51</v>
      </c>
      <c r="AD237" s="2" t="str">
        <f t="shared" si="215"/>
        <v>_</v>
      </c>
      <c r="AE237" s="2" t="s">
        <v>57</v>
      </c>
      <c r="AF237" s="2" t="str">
        <f t="shared" si="216"/>
        <v/>
      </c>
      <c r="AG237" s="2"/>
      <c r="AH237" s="2" t="str">
        <f t="shared" si="316"/>
        <v/>
      </c>
      <c r="AI237" s="2"/>
    </row>
    <row r="238" spans="2:35" x14ac:dyDescent="0.25">
      <c r="B238" s="2" t="str">
        <f t="shared" si="317"/>
        <v>@color-landcover_railway</v>
      </c>
      <c r="C238" s="96" t="s">
        <v>208</v>
      </c>
      <c r="D238" s="96" t="s">
        <v>208</v>
      </c>
      <c r="F238" s="97" t="s">
        <v>248</v>
      </c>
      <c r="G238" s="97" t="s">
        <v>248</v>
      </c>
      <c r="I238" s="96" t="s">
        <v>208</v>
      </c>
      <c r="J238" s="96" t="s">
        <v>208</v>
      </c>
      <c r="L238" s="97" t="s">
        <v>248</v>
      </c>
      <c r="M238" s="97" t="s">
        <v>248</v>
      </c>
      <c r="U238" s="96" t="s">
        <v>208</v>
      </c>
      <c r="V238" s="96" t="s">
        <v>208</v>
      </c>
      <c r="X238" s="97" t="s">
        <v>248</v>
      </c>
      <c r="Y238" s="97" t="s">
        <v>248</v>
      </c>
      <c r="AA238" s="2" t="s">
        <v>6</v>
      </c>
      <c r="AB238" s="2" t="str">
        <f t="shared" si="214"/>
        <v>-</v>
      </c>
      <c r="AC238" s="2" t="s">
        <v>51</v>
      </c>
      <c r="AD238" s="2" t="str">
        <f t="shared" si="215"/>
        <v>_</v>
      </c>
      <c r="AE238" s="2" t="s">
        <v>58</v>
      </c>
      <c r="AF238" s="2" t="str">
        <f t="shared" si="216"/>
        <v/>
      </c>
      <c r="AG238" s="2"/>
      <c r="AH238" s="2" t="str">
        <f t="shared" si="316"/>
        <v/>
      </c>
      <c r="AI238" s="2"/>
    </row>
    <row r="239" spans="2:35" x14ac:dyDescent="0.25">
      <c r="B239" s="2" t="str">
        <f t="shared" si="317"/>
        <v>@color-landcover_school</v>
      </c>
      <c r="C239" s="98" t="s">
        <v>210</v>
      </c>
      <c r="D239" s="98" t="s">
        <v>210</v>
      </c>
      <c r="F239" s="91" t="s">
        <v>260</v>
      </c>
      <c r="G239" s="91" t="s">
        <v>260</v>
      </c>
      <c r="I239" s="98" t="s">
        <v>210</v>
      </c>
      <c r="J239" s="98" t="s">
        <v>210</v>
      </c>
      <c r="L239" s="91" t="s">
        <v>260</v>
      </c>
      <c r="M239" s="91" t="s">
        <v>260</v>
      </c>
      <c r="U239" s="98" t="s">
        <v>210</v>
      </c>
      <c r="V239" s="98" t="s">
        <v>210</v>
      </c>
      <c r="X239" s="91" t="s">
        <v>260</v>
      </c>
      <c r="Y239" s="91" t="s">
        <v>260</v>
      </c>
      <c r="AA239" s="2" t="s">
        <v>6</v>
      </c>
      <c r="AB239" s="2" t="str">
        <f t="shared" si="214"/>
        <v>-</v>
      </c>
      <c r="AC239" s="2" t="s">
        <v>51</v>
      </c>
      <c r="AD239" s="2" t="str">
        <f t="shared" si="215"/>
        <v>_</v>
      </c>
      <c r="AE239" s="2" t="s">
        <v>59</v>
      </c>
      <c r="AF239" s="2" t="str">
        <f t="shared" si="216"/>
        <v/>
      </c>
      <c r="AG239" s="2"/>
      <c r="AH239" s="2" t="str">
        <f t="shared" si="316"/>
        <v/>
      </c>
      <c r="AI239" s="2"/>
    </row>
    <row r="240" spans="2:35" x14ac:dyDescent="0.25">
      <c r="B240" s="2" t="str">
        <f t="shared" si="317"/>
        <v>@color-landcover_cemetery</v>
      </c>
      <c r="C240" s="99" t="s">
        <v>209</v>
      </c>
      <c r="D240" s="99" t="s">
        <v>209</v>
      </c>
      <c r="F240" s="100" t="s">
        <v>249</v>
      </c>
      <c r="G240" s="100" t="s">
        <v>249</v>
      </c>
      <c r="I240" s="99" t="s">
        <v>209</v>
      </c>
      <c r="J240" s="99" t="s">
        <v>209</v>
      </c>
      <c r="L240" s="100" t="s">
        <v>249</v>
      </c>
      <c r="M240" s="100" t="s">
        <v>249</v>
      </c>
      <c r="U240" s="99" t="s">
        <v>209</v>
      </c>
      <c r="V240" s="99" t="s">
        <v>209</v>
      </c>
      <c r="X240" s="100" t="s">
        <v>249</v>
      </c>
      <c r="Y240" s="100" t="s">
        <v>249</v>
      </c>
      <c r="AA240" s="2" t="s">
        <v>6</v>
      </c>
      <c r="AB240" s="2" t="str">
        <f t="shared" si="214"/>
        <v>-</v>
      </c>
      <c r="AC240" s="2" t="s">
        <v>51</v>
      </c>
      <c r="AD240" s="2" t="str">
        <f t="shared" si="215"/>
        <v>_</v>
      </c>
      <c r="AE240" s="2" t="s">
        <v>61</v>
      </c>
      <c r="AF240" s="2" t="str">
        <f t="shared" si="216"/>
        <v/>
      </c>
      <c r="AG240" s="2"/>
      <c r="AH240" s="2" t="str">
        <f t="shared" si="316"/>
        <v/>
      </c>
      <c r="AI240" s="2"/>
    </row>
    <row r="241" spans="1:35" x14ac:dyDescent="0.25">
      <c r="B241" s="2" t="str">
        <f t="shared" si="317"/>
        <v>@color-landcover_hospital</v>
      </c>
      <c r="C241" s="98" t="s">
        <v>210</v>
      </c>
      <c r="D241" s="98" t="s">
        <v>210</v>
      </c>
      <c r="F241" s="91" t="s">
        <v>260</v>
      </c>
      <c r="G241" s="91" t="s">
        <v>260</v>
      </c>
      <c r="I241" s="98" t="s">
        <v>210</v>
      </c>
      <c r="J241" s="98" t="s">
        <v>210</v>
      </c>
      <c r="L241" s="91" t="s">
        <v>260</v>
      </c>
      <c r="M241" s="91" t="s">
        <v>260</v>
      </c>
      <c r="U241" s="98" t="s">
        <v>210</v>
      </c>
      <c r="V241" s="98" t="s">
        <v>210</v>
      </c>
      <c r="X241" s="91" t="s">
        <v>260</v>
      </c>
      <c r="Y241" s="91" t="s">
        <v>260</v>
      </c>
      <c r="AA241" s="2" t="s">
        <v>6</v>
      </c>
      <c r="AB241" s="2" t="str">
        <f t="shared" si="214"/>
        <v>-</v>
      </c>
      <c r="AC241" s="2" t="s">
        <v>51</v>
      </c>
      <c r="AD241" s="2" t="str">
        <f t="shared" si="215"/>
        <v>_</v>
      </c>
      <c r="AE241" s="2" t="s">
        <v>60</v>
      </c>
      <c r="AF241" s="2" t="str">
        <f t="shared" si="216"/>
        <v/>
      </c>
      <c r="AG241" s="2"/>
      <c r="AH241" s="2" t="str">
        <f t="shared" si="316"/>
        <v/>
      </c>
      <c r="AI241" s="2"/>
    </row>
    <row r="242" spans="1:35" x14ac:dyDescent="0.25">
      <c r="B242" s="2" t="str">
        <f t="shared" si="317"/>
        <v>@color-landcover_industrial</v>
      </c>
      <c r="C242" s="98" t="s">
        <v>210</v>
      </c>
      <c r="D242" s="98" t="s">
        <v>210</v>
      </c>
      <c r="F242" s="91" t="s">
        <v>260</v>
      </c>
      <c r="G242" s="91" t="s">
        <v>260</v>
      </c>
      <c r="I242" s="98" t="s">
        <v>210</v>
      </c>
      <c r="J242" s="98" t="s">
        <v>210</v>
      </c>
      <c r="L242" s="91" t="s">
        <v>260</v>
      </c>
      <c r="M242" s="91" t="s">
        <v>260</v>
      </c>
      <c r="U242" s="98" t="s">
        <v>210</v>
      </c>
      <c r="V242" s="98" t="s">
        <v>210</v>
      </c>
      <c r="X242" s="91" t="s">
        <v>260</v>
      </c>
      <c r="Y242" s="91" t="s">
        <v>260</v>
      </c>
      <c r="AA242" s="2" t="s">
        <v>6</v>
      </c>
      <c r="AB242" s="2" t="str">
        <f t="shared" si="214"/>
        <v>-</v>
      </c>
      <c r="AC242" s="2" t="s">
        <v>51</v>
      </c>
      <c r="AD242" s="2" t="str">
        <f t="shared" si="215"/>
        <v>_</v>
      </c>
      <c r="AE242" s="2" t="s">
        <v>62</v>
      </c>
      <c r="AF242" s="2" t="str">
        <f t="shared" si="216"/>
        <v/>
      </c>
      <c r="AG242" s="2"/>
      <c r="AH242" s="2" t="str">
        <f t="shared" si="316"/>
        <v/>
      </c>
      <c r="AI242" s="2"/>
    </row>
    <row r="243" spans="1:35" x14ac:dyDescent="0.25">
      <c r="B243" s="2" t="str">
        <f t="shared" si="317"/>
        <v>@color-landcover_commercial</v>
      </c>
      <c r="C243" s="98" t="s">
        <v>210</v>
      </c>
      <c r="D243" s="98" t="s">
        <v>210</v>
      </c>
      <c r="F243" s="91" t="s">
        <v>260</v>
      </c>
      <c r="G243" s="91" t="s">
        <v>260</v>
      </c>
      <c r="I243" s="98" t="s">
        <v>210</v>
      </c>
      <c r="J243" s="98" t="s">
        <v>210</v>
      </c>
      <c r="L243" s="91" t="s">
        <v>260</v>
      </c>
      <c r="M243" s="91" t="s">
        <v>260</v>
      </c>
      <c r="U243" s="98" t="s">
        <v>210</v>
      </c>
      <c r="V243" s="98" t="s">
        <v>210</v>
      </c>
      <c r="X243" s="91" t="s">
        <v>260</v>
      </c>
      <c r="Y243" s="91" t="s">
        <v>260</v>
      </c>
      <c r="AA243" s="2" t="s">
        <v>6</v>
      </c>
      <c r="AB243" s="2" t="str">
        <f t="shared" si="214"/>
        <v>-</v>
      </c>
      <c r="AC243" s="2" t="s">
        <v>51</v>
      </c>
      <c r="AD243" s="2" t="str">
        <f t="shared" si="215"/>
        <v>_</v>
      </c>
      <c r="AE243" s="2" t="s">
        <v>63</v>
      </c>
      <c r="AF243" s="2" t="str">
        <f t="shared" si="216"/>
        <v/>
      </c>
      <c r="AG243" s="2"/>
      <c r="AH243" s="2" t="str">
        <f t="shared" si="316"/>
        <v/>
      </c>
      <c r="AI243" s="2"/>
    </row>
    <row r="244" spans="1:35" x14ac:dyDescent="0.25">
      <c r="B244" s="2" t="str">
        <f t="shared" si="317"/>
        <v>@color-landcover_residential</v>
      </c>
      <c r="C244" s="98" t="s">
        <v>210</v>
      </c>
      <c r="D244" s="98" t="s">
        <v>210</v>
      </c>
      <c r="F244" s="91" t="s">
        <v>260</v>
      </c>
      <c r="G244" s="91" t="s">
        <v>260</v>
      </c>
      <c r="I244" s="98" t="s">
        <v>210</v>
      </c>
      <c r="J244" s="98" t="s">
        <v>210</v>
      </c>
      <c r="L244" s="91" t="s">
        <v>260</v>
      </c>
      <c r="M244" s="91" t="s">
        <v>260</v>
      </c>
      <c r="U244" s="98" t="s">
        <v>210</v>
      </c>
      <c r="V244" s="98" t="s">
        <v>210</v>
      </c>
      <c r="X244" s="91" t="s">
        <v>260</v>
      </c>
      <c r="Y244" s="91" t="s">
        <v>260</v>
      </c>
      <c r="AA244" s="2" t="s">
        <v>6</v>
      </c>
      <c r="AB244" s="2" t="str">
        <f t="shared" si="214"/>
        <v>-</v>
      </c>
      <c r="AC244" s="2" t="s">
        <v>51</v>
      </c>
      <c r="AD244" s="2" t="str">
        <f t="shared" si="215"/>
        <v>_</v>
      </c>
      <c r="AE244" s="2" t="s">
        <v>64</v>
      </c>
      <c r="AF244" s="2" t="str">
        <f t="shared" si="216"/>
        <v/>
      </c>
      <c r="AG244" s="2"/>
      <c r="AH244" s="2" t="str">
        <f t="shared" si="316"/>
        <v/>
      </c>
      <c r="AI244" s="2"/>
    </row>
    <row r="245" spans="1:35" x14ac:dyDescent="0.25">
      <c r="B245" s="2" t="str">
        <f t="shared" si="317"/>
        <v>@color-landcover_built-up</v>
      </c>
      <c r="C245" s="98" t="s">
        <v>210</v>
      </c>
      <c r="D245" s="98" t="s">
        <v>210</v>
      </c>
      <c r="F245" s="91" t="s">
        <v>260</v>
      </c>
      <c r="G245" s="91" t="s">
        <v>260</v>
      </c>
      <c r="I245" s="98" t="s">
        <v>210</v>
      </c>
      <c r="J245" s="98" t="s">
        <v>210</v>
      </c>
      <c r="L245" s="91" t="s">
        <v>260</v>
      </c>
      <c r="M245" s="91" t="s">
        <v>260</v>
      </c>
      <c r="U245" s="98" t="s">
        <v>210</v>
      </c>
      <c r="V245" s="98" t="s">
        <v>210</v>
      </c>
      <c r="X245" s="91" t="s">
        <v>260</v>
      </c>
      <c r="Y245" s="91" t="s">
        <v>260</v>
      </c>
      <c r="AA245" s="2" t="s">
        <v>6</v>
      </c>
      <c r="AB245" s="2" t="str">
        <f t="shared" si="214"/>
        <v>-</v>
      </c>
      <c r="AC245" s="2" t="s">
        <v>51</v>
      </c>
      <c r="AD245" s="2" t="str">
        <f t="shared" si="215"/>
        <v>_</v>
      </c>
      <c r="AE245" s="2" t="s">
        <v>65</v>
      </c>
      <c r="AF245" s="2" t="str">
        <f t="shared" si="216"/>
        <v/>
      </c>
      <c r="AG245" s="2"/>
      <c r="AH245" s="2" t="str">
        <f t="shared" si="316"/>
        <v/>
      </c>
      <c r="AI245" s="2"/>
    </row>
    <row r="246" spans="1:35" x14ac:dyDescent="0.25">
      <c r="B246" s="2" t="str">
        <f t="shared" si="317"/>
        <v>@color-landcover_ice_shelf</v>
      </c>
      <c r="C246" s="68" t="s">
        <v>192</v>
      </c>
      <c r="D246" s="68" t="s">
        <v>192</v>
      </c>
      <c r="F246" s="101" t="s">
        <v>250</v>
      </c>
      <c r="G246" s="101" t="s">
        <v>250</v>
      </c>
      <c r="I246" s="68" t="s">
        <v>192</v>
      </c>
      <c r="J246" s="68" t="s">
        <v>192</v>
      </c>
      <c r="L246" s="101" t="s">
        <v>250</v>
      </c>
      <c r="M246" s="101" t="s">
        <v>250</v>
      </c>
      <c r="U246" s="68" t="s">
        <v>192</v>
      </c>
      <c r="V246" s="68" t="s">
        <v>192</v>
      </c>
      <c r="X246" s="101" t="s">
        <v>250</v>
      </c>
      <c r="Y246" s="101" t="s">
        <v>250</v>
      </c>
      <c r="AA246" s="2" t="s">
        <v>6</v>
      </c>
      <c r="AB246" s="2" t="str">
        <f t="shared" ref="AB246:AB256" si="318">IF(NOT(ISBLANK(AC246)),"-","")</f>
        <v>-</v>
      </c>
      <c r="AC246" s="2" t="s">
        <v>51</v>
      </c>
      <c r="AD246" s="2" t="str">
        <f t="shared" ref="AD246:AD256" si="319">IF(NOT(ISBLANK(AE246)),"_","")</f>
        <v>_</v>
      </c>
      <c r="AE246" s="2" t="s">
        <v>239</v>
      </c>
      <c r="AF246" s="2" t="str">
        <f t="shared" ref="AF246:AF256" si="320">IF(NOT(ISBLANK(AG246)),"_","")</f>
        <v/>
      </c>
      <c r="AG246" s="2"/>
      <c r="AH246" s="2" t="str">
        <f t="shared" si="316"/>
        <v/>
      </c>
      <c r="AI246" s="2"/>
    </row>
    <row r="247" spans="1:35" x14ac:dyDescent="0.25">
      <c r="B247" s="2" t="str">
        <f t="shared" si="317"/>
        <v>@color-landcover_glacier</v>
      </c>
      <c r="C247" s="68" t="s">
        <v>192</v>
      </c>
      <c r="D247" s="68" t="s">
        <v>192</v>
      </c>
      <c r="F247" s="101" t="s">
        <v>250</v>
      </c>
      <c r="G247" s="101" t="s">
        <v>250</v>
      </c>
      <c r="I247" s="68" t="s">
        <v>192</v>
      </c>
      <c r="J247" s="68" t="s">
        <v>192</v>
      </c>
      <c r="L247" s="101" t="s">
        <v>250</v>
      </c>
      <c r="M247" s="101" t="s">
        <v>250</v>
      </c>
      <c r="U247" s="68" t="s">
        <v>192</v>
      </c>
      <c r="V247" s="68" t="s">
        <v>192</v>
      </c>
      <c r="X247" s="101" t="s">
        <v>250</v>
      </c>
      <c r="Y247" s="101" t="s">
        <v>250</v>
      </c>
      <c r="AA247" s="2" t="s">
        <v>6</v>
      </c>
      <c r="AB247" s="2" t="str">
        <f t="shared" ref="AB247" si="321">IF(NOT(ISBLANK(AC247)),"-","")</f>
        <v>-</v>
      </c>
      <c r="AC247" s="2" t="s">
        <v>51</v>
      </c>
      <c r="AD247" s="2" t="str">
        <f t="shared" ref="AD247" si="322">IF(NOT(ISBLANK(AE247)),"_","")</f>
        <v>_</v>
      </c>
      <c r="AE247" s="2" t="s">
        <v>263</v>
      </c>
      <c r="AF247" s="2" t="str">
        <f t="shared" ref="AF247" si="323">IF(NOT(ISBLANK(AG247)),"_","")</f>
        <v/>
      </c>
      <c r="AG247" s="2"/>
      <c r="AH247" s="2" t="str">
        <f t="shared" si="316"/>
        <v/>
      </c>
      <c r="AI247" s="2"/>
    </row>
    <row r="248" spans="1:35" x14ac:dyDescent="0.25">
      <c r="B248" s="2" t="str">
        <f t="shared" si="317"/>
        <v>@color-landcover_sport_play</v>
      </c>
      <c r="C248" s="102" t="s">
        <v>241</v>
      </c>
      <c r="D248" s="102" t="s">
        <v>241</v>
      </c>
      <c r="F248" s="103" t="s">
        <v>251</v>
      </c>
      <c r="G248" s="103" t="s">
        <v>251</v>
      </c>
      <c r="I248" s="102" t="s">
        <v>241</v>
      </c>
      <c r="J248" s="102" t="s">
        <v>241</v>
      </c>
      <c r="L248" s="103" t="s">
        <v>251</v>
      </c>
      <c r="M248" s="103" t="s">
        <v>251</v>
      </c>
      <c r="U248" s="102" t="s">
        <v>241</v>
      </c>
      <c r="V248" s="102" t="s">
        <v>241</v>
      </c>
      <c r="X248" s="103" t="s">
        <v>251</v>
      </c>
      <c r="Y248" s="103" t="s">
        <v>251</v>
      </c>
      <c r="AA248" s="2" t="s">
        <v>6</v>
      </c>
      <c r="AB248" s="2" t="str">
        <f t="shared" si="318"/>
        <v>-</v>
      </c>
      <c r="AC248" s="2" t="s">
        <v>51</v>
      </c>
      <c r="AD248" s="2" t="str">
        <f t="shared" si="319"/>
        <v>_</v>
      </c>
      <c r="AE248" s="2" t="s">
        <v>240</v>
      </c>
      <c r="AF248" s="2" t="str">
        <f t="shared" si="320"/>
        <v/>
      </c>
      <c r="AG248" s="2"/>
      <c r="AH248" s="2" t="str">
        <f t="shared" si="316"/>
        <v/>
      </c>
      <c r="AI248" s="2"/>
    </row>
    <row r="249" spans="1:35" x14ac:dyDescent="0.25">
      <c r="B249" s="2" t="str">
        <f t="shared" si="317"/>
        <v>@color-landcover_line_generic</v>
      </c>
      <c r="C249" s="104" t="s">
        <v>261</v>
      </c>
      <c r="D249" s="104" t="s">
        <v>261</v>
      </c>
      <c r="F249" s="91" t="s">
        <v>260</v>
      </c>
      <c r="G249" s="91" t="s">
        <v>260</v>
      </c>
      <c r="I249" s="104" t="s">
        <v>261</v>
      </c>
      <c r="J249" s="104" t="s">
        <v>261</v>
      </c>
      <c r="L249" s="91" t="s">
        <v>260</v>
      </c>
      <c r="M249" s="91" t="s">
        <v>260</v>
      </c>
      <c r="U249" s="104" t="s">
        <v>261</v>
      </c>
      <c r="V249" s="104" t="s">
        <v>261</v>
      </c>
      <c r="X249" s="91" t="s">
        <v>260</v>
      </c>
      <c r="Y249" s="91" t="s">
        <v>260</v>
      </c>
      <c r="AA249" s="2" t="s">
        <v>6</v>
      </c>
      <c r="AB249" s="2" t="str">
        <f t="shared" si="318"/>
        <v>-</v>
      </c>
      <c r="AC249" s="2" t="s">
        <v>51</v>
      </c>
      <c r="AD249" s="2" t="str">
        <f t="shared" si="319"/>
        <v>_</v>
      </c>
      <c r="AE249" s="2" t="s">
        <v>13</v>
      </c>
      <c r="AF249" s="2" t="str">
        <f t="shared" si="320"/>
        <v>_</v>
      </c>
      <c r="AG249" s="2" t="s">
        <v>255</v>
      </c>
      <c r="AH249" s="2" t="str">
        <f t="shared" si="316"/>
        <v/>
      </c>
      <c r="AI249" s="2"/>
    </row>
    <row r="250" spans="1:35" x14ac:dyDescent="0.25">
      <c r="AB250" s="28" t="str">
        <f t="shared" si="318"/>
        <v/>
      </c>
      <c r="AD250" s="28" t="str">
        <f t="shared" si="319"/>
        <v/>
      </c>
      <c r="AF250" s="28" t="str">
        <f t="shared" si="320"/>
        <v/>
      </c>
      <c r="AH250" s="28" t="str">
        <f t="shared" ref="AH250:AH256" si="324">IF(NOT(ISBLANK(AI250)),"_","")</f>
        <v/>
      </c>
    </row>
    <row r="251" spans="1:35" s="2" customFormat="1" x14ac:dyDescent="0.25">
      <c r="A251" s="3" t="s">
        <v>371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318"/>
        <v/>
      </c>
      <c r="AC251" s="4"/>
      <c r="AD251" s="4" t="str">
        <f t="shared" si="319"/>
        <v/>
      </c>
      <c r="AE251" s="4"/>
      <c r="AF251" s="4" t="str">
        <f t="shared" si="320"/>
        <v/>
      </c>
      <c r="AG251" s="4"/>
      <c r="AH251" s="4" t="str">
        <f t="shared" si="324"/>
        <v/>
      </c>
      <c r="AI251" s="4"/>
    </row>
    <row r="252" spans="1:35" x14ac:dyDescent="0.25">
      <c r="B252" s="2" t="str">
        <f t="shared" ref="B252:B255" si="325">_xlfn.CONCAT("@",AA252,AB252,AC252,AD252,AE252,AF252,AG252,AH252,AI252)</f>
        <v>@opacity-landcover_clearcut_mid</v>
      </c>
      <c r="C252" s="28" t="s">
        <v>95</v>
      </c>
      <c r="D252" s="28" t="s">
        <v>95</v>
      </c>
      <c r="F252" s="28" t="s">
        <v>95</v>
      </c>
      <c r="G252" s="28" t="s">
        <v>95</v>
      </c>
      <c r="I252" s="28" t="s">
        <v>375</v>
      </c>
      <c r="J252" s="28" t="s">
        <v>375</v>
      </c>
      <c r="L252" s="28" t="s">
        <v>375</v>
      </c>
      <c r="M252" s="28" t="s">
        <v>375</v>
      </c>
      <c r="O252" s="28" t="s">
        <v>376</v>
      </c>
      <c r="P252" s="28" t="s">
        <v>376</v>
      </c>
      <c r="R252" s="28" t="s">
        <v>376</v>
      </c>
      <c r="S252" s="28" t="s">
        <v>376</v>
      </c>
      <c r="U252" s="28" t="s">
        <v>376</v>
      </c>
      <c r="V252" s="28" t="s">
        <v>376</v>
      </c>
      <c r="X252" s="28" t="s">
        <v>376</v>
      </c>
      <c r="Y252" s="28" t="s">
        <v>376</v>
      </c>
      <c r="AA252" s="28" t="s">
        <v>392</v>
      </c>
      <c r="AB252" s="28" t="str">
        <f t="shared" ref="AB252:AB255" si="326">IF(NOT(ISBLANK(AC252)),"-","")</f>
        <v>-</v>
      </c>
      <c r="AC252" s="28" t="s">
        <v>51</v>
      </c>
      <c r="AD252" s="28" t="str">
        <f t="shared" ref="AD252:AD255" si="327">IF(NOT(ISBLANK(AE252)),"_","")</f>
        <v>_</v>
      </c>
      <c r="AE252" s="28" t="s">
        <v>383</v>
      </c>
      <c r="AF252" s="28" t="str">
        <f t="shared" ref="AF252:AF255" si="328">IF(NOT(ISBLANK(AG252)),"_","")</f>
        <v>_</v>
      </c>
      <c r="AG252" s="28" t="s">
        <v>374</v>
      </c>
      <c r="AH252" s="28" t="str">
        <f t="shared" ref="AH252:AH255" si="329">IF(NOT(ISBLANK(AI252)),"_","")</f>
        <v/>
      </c>
    </row>
    <row r="253" spans="1:35" x14ac:dyDescent="0.25">
      <c r="B253" s="2" t="str">
        <f t="shared" si="325"/>
        <v>@opacity-landcover_clearcut_full</v>
      </c>
      <c r="C253" s="28" t="s">
        <v>80</v>
      </c>
      <c r="D253" s="28" t="s">
        <v>80</v>
      </c>
      <c r="F253" s="28" t="s">
        <v>80</v>
      </c>
      <c r="G253" s="28" t="s">
        <v>80</v>
      </c>
      <c r="I253" s="28" t="s">
        <v>95</v>
      </c>
      <c r="J253" s="28" t="s">
        <v>95</v>
      </c>
      <c r="L253" s="28" t="s">
        <v>95</v>
      </c>
      <c r="M253" s="28" t="s">
        <v>95</v>
      </c>
      <c r="O253" s="28" t="s">
        <v>124</v>
      </c>
      <c r="P253" s="28" t="s">
        <v>124</v>
      </c>
      <c r="R253" s="28" t="s">
        <v>124</v>
      </c>
      <c r="S253" s="28" t="s">
        <v>124</v>
      </c>
      <c r="U253" s="28" t="s">
        <v>124</v>
      </c>
      <c r="V253" s="28" t="s">
        <v>124</v>
      </c>
      <c r="X253" s="28" t="s">
        <v>124</v>
      </c>
      <c r="Y253" s="28" t="s">
        <v>124</v>
      </c>
      <c r="AA253" s="28" t="s">
        <v>392</v>
      </c>
      <c r="AB253" s="28" t="str">
        <f t="shared" si="326"/>
        <v>-</v>
      </c>
      <c r="AC253" s="28" t="s">
        <v>51</v>
      </c>
      <c r="AD253" s="28" t="str">
        <f t="shared" si="327"/>
        <v>_</v>
      </c>
      <c r="AE253" s="28" t="s">
        <v>383</v>
      </c>
      <c r="AF253" s="28" t="str">
        <f t="shared" si="328"/>
        <v>_</v>
      </c>
      <c r="AG253" s="28" t="s">
        <v>373</v>
      </c>
      <c r="AH253" s="28" t="str">
        <f t="shared" si="329"/>
        <v/>
      </c>
    </row>
    <row r="254" spans="1:35" x14ac:dyDescent="0.25">
      <c r="B254" s="2" t="str">
        <f t="shared" si="325"/>
        <v>@opacity-landcover_field_mid</v>
      </c>
      <c r="C254" s="28" t="s">
        <v>95</v>
      </c>
      <c r="D254" s="28" t="s">
        <v>95</v>
      </c>
      <c r="F254" s="28" t="s">
        <v>95</v>
      </c>
      <c r="G254" s="28" t="s">
        <v>95</v>
      </c>
      <c r="I254" s="28" t="s">
        <v>95</v>
      </c>
      <c r="J254" s="28" t="s">
        <v>95</v>
      </c>
      <c r="L254" s="28" t="s">
        <v>95</v>
      </c>
      <c r="M254" s="28" t="s">
        <v>95</v>
      </c>
      <c r="O254" s="28" t="s">
        <v>95</v>
      </c>
      <c r="P254" s="28" t="s">
        <v>95</v>
      </c>
      <c r="R254" s="28" t="s">
        <v>95</v>
      </c>
      <c r="S254" s="28" t="s">
        <v>95</v>
      </c>
      <c r="U254" s="28" t="s">
        <v>95</v>
      </c>
      <c r="V254" s="28" t="s">
        <v>95</v>
      </c>
      <c r="X254" s="28" t="s">
        <v>95</v>
      </c>
      <c r="Y254" s="28" t="s">
        <v>95</v>
      </c>
      <c r="AA254" s="28" t="s">
        <v>392</v>
      </c>
      <c r="AB254" s="28" t="str">
        <f t="shared" si="326"/>
        <v>-</v>
      </c>
      <c r="AC254" s="28" t="s">
        <v>51</v>
      </c>
      <c r="AD254" s="28" t="str">
        <f t="shared" si="327"/>
        <v>_</v>
      </c>
      <c r="AE254" s="28" t="s">
        <v>46</v>
      </c>
      <c r="AF254" s="28" t="str">
        <f t="shared" si="328"/>
        <v>_</v>
      </c>
      <c r="AG254" s="28" t="s">
        <v>374</v>
      </c>
      <c r="AH254" s="28" t="str">
        <f t="shared" si="329"/>
        <v/>
      </c>
    </row>
    <row r="255" spans="1:35" x14ac:dyDescent="0.25">
      <c r="B255" s="2" t="str">
        <f t="shared" si="325"/>
        <v>@opacity-landcover_field_full</v>
      </c>
      <c r="C255" s="28" t="s">
        <v>80</v>
      </c>
      <c r="D255" s="28" t="s">
        <v>80</v>
      </c>
      <c r="F255" s="28" t="s">
        <v>80</v>
      </c>
      <c r="G255" s="28" t="s">
        <v>80</v>
      </c>
      <c r="I255" s="28" t="s">
        <v>80</v>
      </c>
      <c r="J255" s="28" t="s">
        <v>80</v>
      </c>
      <c r="L255" s="28" t="s">
        <v>80</v>
      </c>
      <c r="M255" s="28" t="s">
        <v>80</v>
      </c>
      <c r="O255" s="28" t="s">
        <v>80</v>
      </c>
      <c r="P255" s="28" t="s">
        <v>80</v>
      </c>
      <c r="R255" s="28" t="s">
        <v>80</v>
      </c>
      <c r="S255" s="28" t="s">
        <v>80</v>
      </c>
      <c r="U255" s="28" t="s">
        <v>80</v>
      </c>
      <c r="V255" s="28" t="s">
        <v>80</v>
      </c>
      <c r="X255" s="28" t="s">
        <v>80</v>
      </c>
      <c r="Y255" s="28" t="s">
        <v>80</v>
      </c>
      <c r="AA255" s="28" t="s">
        <v>392</v>
      </c>
      <c r="AB255" s="28" t="str">
        <f t="shared" si="326"/>
        <v>-</v>
      </c>
      <c r="AC255" s="28" t="s">
        <v>51</v>
      </c>
      <c r="AD255" s="28" t="str">
        <f t="shared" si="327"/>
        <v>_</v>
      </c>
      <c r="AE255" s="28" t="s">
        <v>46</v>
      </c>
      <c r="AF255" s="28" t="str">
        <f t="shared" si="328"/>
        <v>_</v>
      </c>
      <c r="AG255" s="28" t="s">
        <v>373</v>
      </c>
      <c r="AH255" s="28" t="str">
        <f t="shared" si="329"/>
        <v/>
      </c>
    </row>
    <row r="256" spans="1:35" x14ac:dyDescent="0.25">
      <c r="B256" s="2" t="str">
        <f t="shared" ref="B256" si="330">_xlfn.CONCAT("@",AA256,AB256,AC256,AD256,AE256,AF256,AG256,AH256,AI256)</f>
        <v>@opacity-landcover_scrub_mid</v>
      </c>
      <c r="C256" s="28" t="s">
        <v>95</v>
      </c>
      <c r="D256" s="28" t="s">
        <v>95</v>
      </c>
      <c r="F256" s="28" t="s">
        <v>95</v>
      </c>
      <c r="G256" s="28" t="s">
        <v>95</v>
      </c>
      <c r="I256" s="28" t="s">
        <v>375</v>
      </c>
      <c r="J256" s="28" t="s">
        <v>375</v>
      </c>
      <c r="L256" s="28" t="s">
        <v>375</v>
      </c>
      <c r="M256" s="28" t="s">
        <v>375</v>
      </c>
      <c r="O256" s="28" t="s">
        <v>376</v>
      </c>
      <c r="P256" s="28" t="s">
        <v>376</v>
      </c>
      <c r="R256" s="28" t="s">
        <v>376</v>
      </c>
      <c r="S256" s="28" t="s">
        <v>376</v>
      </c>
      <c r="U256" s="28" t="s">
        <v>376</v>
      </c>
      <c r="V256" s="28" t="s">
        <v>376</v>
      </c>
      <c r="X256" s="28" t="s">
        <v>376</v>
      </c>
      <c r="Y256" s="28" t="s">
        <v>376</v>
      </c>
      <c r="AA256" s="28" t="s">
        <v>392</v>
      </c>
      <c r="AB256" s="28" t="str">
        <f t="shared" si="318"/>
        <v>-</v>
      </c>
      <c r="AC256" s="28" t="s">
        <v>51</v>
      </c>
      <c r="AD256" s="28" t="str">
        <f t="shared" si="319"/>
        <v>_</v>
      </c>
      <c r="AE256" s="28" t="s">
        <v>372</v>
      </c>
      <c r="AF256" s="28" t="str">
        <f t="shared" si="320"/>
        <v>_</v>
      </c>
      <c r="AG256" s="28" t="s">
        <v>374</v>
      </c>
      <c r="AH256" s="28" t="str">
        <f t="shared" si="324"/>
        <v/>
      </c>
    </row>
    <row r="257" spans="1:35" x14ac:dyDescent="0.25">
      <c r="B257" s="2" t="str">
        <f t="shared" ref="B257" si="331">_xlfn.CONCAT("@",AA257,AB257,AC257,AD257,AE257,AF257,AG257,AH257,AI257)</f>
        <v>@opacity-landcover_scrub_full</v>
      </c>
      <c r="C257" s="28" t="s">
        <v>80</v>
      </c>
      <c r="D257" s="28" t="s">
        <v>80</v>
      </c>
      <c r="F257" s="28" t="s">
        <v>80</v>
      </c>
      <c r="G257" s="28" t="s">
        <v>80</v>
      </c>
      <c r="I257" s="28" t="s">
        <v>95</v>
      </c>
      <c r="J257" s="28" t="s">
        <v>95</v>
      </c>
      <c r="L257" s="28" t="s">
        <v>95</v>
      </c>
      <c r="M257" s="28" t="s">
        <v>95</v>
      </c>
      <c r="O257" s="28" t="s">
        <v>124</v>
      </c>
      <c r="P257" s="28" t="s">
        <v>124</v>
      </c>
      <c r="R257" s="28" t="s">
        <v>124</v>
      </c>
      <c r="S257" s="28" t="s">
        <v>124</v>
      </c>
      <c r="U257" s="28" t="s">
        <v>124</v>
      </c>
      <c r="V257" s="28" t="s">
        <v>124</v>
      </c>
      <c r="X257" s="28" t="s">
        <v>124</v>
      </c>
      <c r="Y257" s="28" t="s">
        <v>124</v>
      </c>
      <c r="AA257" s="28" t="s">
        <v>392</v>
      </c>
      <c r="AB257" s="28" t="str">
        <f t="shared" si="214"/>
        <v>-</v>
      </c>
      <c r="AC257" s="28" t="s">
        <v>51</v>
      </c>
      <c r="AD257" s="28" t="str">
        <f t="shared" si="215"/>
        <v>_</v>
      </c>
      <c r="AE257" s="28" t="s">
        <v>372</v>
      </c>
      <c r="AF257" s="28" t="str">
        <f t="shared" si="216"/>
        <v>_</v>
      </c>
      <c r="AG257" s="28" t="s">
        <v>373</v>
      </c>
      <c r="AH257" s="28" t="str">
        <f t="shared" si="316"/>
        <v/>
      </c>
    </row>
    <row r="258" spans="1:35" x14ac:dyDescent="0.25">
      <c r="B258" s="2" t="str">
        <f t="shared" ref="B258:B260" si="332">_xlfn.CONCAT("@",AA258,AB258,AC258,AD258,AE258,AF258,AG258,AH258,AI258)</f>
        <v>@opacity-landcover_wetland_full</v>
      </c>
      <c r="C258" s="28" t="s">
        <v>80</v>
      </c>
      <c r="D258" s="28" t="s">
        <v>80</v>
      </c>
      <c r="F258" s="28" t="s">
        <v>80</v>
      </c>
      <c r="G258" s="28" t="s">
        <v>80</v>
      </c>
      <c r="I258" s="28" t="s">
        <v>95</v>
      </c>
      <c r="J258" s="28" t="s">
        <v>95</v>
      </c>
      <c r="L258" s="28" t="s">
        <v>95</v>
      </c>
      <c r="M258" s="28" t="s">
        <v>95</v>
      </c>
      <c r="O258" s="28" t="s">
        <v>124</v>
      </c>
      <c r="P258" s="28" t="s">
        <v>124</v>
      </c>
      <c r="R258" s="28" t="s">
        <v>124</v>
      </c>
      <c r="S258" s="28" t="s">
        <v>124</v>
      </c>
      <c r="U258" s="28" t="s">
        <v>124</v>
      </c>
      <c r="V258" s="28" t="s">
        <v>124</v>
      </c>
      <c r="X258" s="28" t="s">
        <v>124</v>
      </c>
      <c r="Y258" s="28" t="s">
        <v>124</v>
      </c>
      <c r="AA258" s="28" t="s">
        <v>392</v>
      </c>
      <c r="AB258" s="28" t="str">
        <f t="shared" ref="AB258:AB260" si="333">IF(NOT(ISBLANK(AC258)),"-","")</f>
        <v>-</v>
      </c>
      <c r="AC258" s="28" t="s">
        <v>51</v>
      </c>
      <c r="AD258" s="28" t="str">
        <f t="shared" ref="AD258:AD260" si="334">IF(NOT(ISBLANK(AE258)),"_","")</f>
        <v>_</v>
      </c>
      <c r="AE258" s="28" t="s">
        <v>377</v>
      </c>
      <c r="AF258" s="28" t="str">
        <f t="shared" ref="AF258:AF260" si="335">IF(NOT(ISBLANK(AG258)),"_","")</f>
        <v>_</v>
      </c>
      <c r="AG258" s="28" t="s">
        <v>373</v>
      </c>
      <c r="AH258" s="28" t="str">
        <f t="shared" ref="AH258:AH260" si="336">IF(NOT(ISBLANK(AI258)),"_","")</f>
        <v/>
      </c>
    </row>
    <row r="259" spans="1:35" x14ac:dyDescent="0.25">
      <c r="B259" s="2" t="str">
        <f t="shared" si="332"/>
        <v>@opacity-landuse_sport_play_mid</v>
      </c>
      <c r="C259" s="28" t="s">
        <v>95</v>
      </c>
      <c r="D259" s="28" t="s">
        <v>95</v>
      </c>
      <c r="F259" s="28" t="s">
        <v>95</v>
      </c>
      <c r="G259" s="28" t="s">
        <v>95</v>
      </c>
      <c r="I259" s="28" t="s">
        <v>95</v>
      </c>
      <c r="J259" s="28" t="s">
        <v>95</v>
      </c>
      <c r="L259" s="28" t="s">
        <v>95</v>
      </c>
      <c r="M259" s="28" t="s">
        <v>95</v>
      </c>
      <c r="O259" s="28" t="s">
        <v>95</v>
      </c>
      <c r="P259" s="28" t="s">
        <v>95</v>
      </c>
      <c r="R259" s="28" t="s">
        <v>95</v>
      </c>
      <c r="S259" s="28" t="s">
        <v>95</v>
      </c>
      <c r="U259" s="28" t="s">
        <v>95</v>
      </c>
      <c r="V259" s="28" t="s">
        <v>95</v>
      </c>
      <c r="X259" s="28" t="s">
        <v>95</v>
      </c>
      <c r="Y259" s="28" t="s">
        <v>95</v>
      </c>
      <c r="AA259" s="28" t="s">
        <v>392</v>
      </c>
      <c r="AB259" s="28" t="str">
        <f t="shared" si="333"/>
        <v>-</v>
      </c>
      <c r="AC259" s="28" t="s">
        <v>384</v>
      </c>
      <c r="AD259" s="28" t="str">
        <f t="shared" si="334"/>
        <v>_</v>
      </c>
      <c r="AE259" s="28" t="s">
        <v>240</v>
      </c>
      <c r="AF259" s="28" t="str">
        <f t="shared" si="335"/>
        <v>_</v>
      </c>
      <c r="AG259" s="28" t="s">
        <v>374</v>
      </c>
      <c r="AH259" s="28" t="str">
        <f t="shared" si="336"/>
        <v/>
      </c>
    </row>
    <row r="260" spans="1:35" x14ac:dyDescent="0.25">
      <c r="B260" s="2" t="str">
        <f t="shared" si="332"/>
        <v>@opacity-landuse_sport_play_full</v>
      </c>
      <c r="C260" s="28" t="s">
        <v>80</v>
      </c>
      <c r="D260" s="28" t="s">
        <v>80</v>
      </c>
      <c r="F260" s="28" t="s">
        <v>80</v>
      </c>
      <c r="G260" s="28" t="s">
        <v>80</v>
      </c>
      <c r="I260" s="28" t="s">
        <v>80</v>
      </c>
      <c r="J260" s="28" t="s">
        <v>80</v>
      </c>
      <c r="L260" s="28" t="s">
        <v>80</v>
      </c>
      <c r="M260" s="28" t="s">
        <v>80</v>
      </c>
      <c r="O260" s="28" t="s">
        <v>80</v>
      </c>
      <c r="P260" s="28" t="s">
        <v>80</v>
      </c>
      <c r="R260" s="28" t="s">
        <v>80</v>
      </c>
      <c r="S260" s="28" t="s">
        <v>80</v>
      </c>
      <c r="U260" s="28" t="s">
        <v>80</v>
      </c>
      <c r="V260" s="28" t="s">
        <v>80</v>
      </c>
      <c r="X260" s="28" t="s">
        <v>80</v>
      </c>
      <c r="Y260" s="28" t="s">
        <v>80</v>
      </c>
      <c r="AA260" s="28" t="s">
        <v>392</v>
      </c>
      <c r="AB260" s="28" t="str">
        <f t="shared" si="333"/>
        <v>-</v>
      </c>
      <c r="AC260" s="28" t="s">
        <v>384</v>
      </c>
      <c r="AD260" s="28" t="str">
        <f t="shared" si="334"/>
        <v>_</v>
      </c>
      <c r="AE260" s="28" t="s">
        <v>240</v>
      </c>
      <c r="AF260" s="28" t="str">
        <f t="shared" si="335"/>
        <v>_</v>
      </c>
      <c r="AG260" s="28" t="s">
        <v>373</v>
      </c>
      <c r="AH260" s="28" t="str">
        <f t="shared" si="336"/>
        <v/>
      </c>
    </row>
    <row r="261" spans="1:35" x14ac:dyDescent="0.25">
      <c r="B261" s="2" t="str">
        <f t="shared" ref="B261" si="337">_xlfn.CONCAT("@",AA261,AB261,AC261,AD261,AE261,AF261,AG261,AH261,AI261)</f>
        <v>@opacity-portected_area_outline-inner_full</v>
      </c>
      <c r="C261" s="28" t="s">
        <v>120</v>
      </c>
      <c r="D261" s="28" t="s">
        <v>120</v>
      </c>
      <c r="F261" s="28" t="s">
        <v>380</v>
      </c>
      <c r="G261" s="28" t="s">
        <v>380</v>
      </c>
      <c r="I261" s="28" t="s">
        <v>380</v>
      </c>
      <c r="J261" s="28" t="s">
        <v>380</v>
      </c>
      <c r="L261" s="28" t="s">
        <v>381</v>
      </c>
      <c r="M261" s="28" t="s">
        <v>381</v>
      </c>
      <c r="O261" s="28" t="s">
        <v>380</v>
      </c>
      <c r="P261" s="28" t="s">
        <v>380</v>
      </c>
      <c r="R261" s="28" t="s">
        <v>381</v>
      </c>
      <c r="S261" s="28" t="s">
        <v>381</v>
      </c>
      <c r="U261" s="28" t="s">
        <v>120</v>
      </c>
      <c r="V261" s="28" t="s">
        <v>120</v>
      </c>
      <c r="X261" s="28" t="s">
        <v>120</v>
      </c>
      <c r="Y261" s="28" t="s">
        <v>120</v>
      </c>
      <c r="AA261" s="28" t="s">
        <v>392</v>
      </c>
      <c r="AB261" s="28" t="str">
        <f t="shared" ref="AB261" si="338">IF(NOT(ISBLANK(AC261)),"-","")</f>
        <v>-</v>
      </c>
      <c r="AC261" s="28" t="s">
        <v>378</v>
      </c>
      <c r="AD261" s="28" t="str">
        <f t="shared" ref="AD261" si="339">IF(NOT(ISBLANK(AE261)),"_","")</f>
        <v>_</v>
      </c>
      <c r="AE261" s="28" t="s">
        <v>379</v>
      </c>
      <c r="AF261" s="28" t="str">
        <f t="shared" ref="AF261" si="340">IF(NOT(ISBLANK(AG261)),"_","")</f>
        <v>_</v>
      </c>
      <c r="AG261" s="28" t="s">
        <v>373</v>
      </c>
      <c r="AH261" s="28" t="str">
        <f t="shared" ref="AH261" si="341">IF(NOT(ISBLANK(AI261)),"_","")</f>
        <v/>
      </c>
    </row>
    <row r="262" spans="1:35" x14ac:dyDescent="0.25">
      <c r="B262" s="2" t="str">
        <f t="shared" ref="B262" si="342">_xlfn.CONCAT("@",AA262,AB262,AC262,AD262,AE262,AF262,AG262,AH262,AI262)</f>
        <v>@opacity-portected_area_outline-outer_full</v>
      </c>
      <c r="C262" s="28" t="s">
        <v>80</v>
      </c>
      <c r="D262" s="28" t="s">
        <v>80</v>
      </c>
      <c r="F262" s="28" t="s">
        <v>122</v>
      </c>
      <c r="G262" s="28" t="s">
        <v>122</v>
      </c>
      <c r="I262" s="28" t="s">
        <v>95</v>
      </c>
      <c r="J262" s="28" t="s">
        <v>95</v>
      </c>
      <c r="L262" s="28" t="s">
        <v>375</v>
      </c>
      <c r="M262" s="28" t="s">
        <v>375</v>
      </c>
      <c r="O262" s="28" t="s">
        <v>124</v>
      </c>
      <c r="P262" s="28" t="s">
        <v>124</v>
      </c>
      <c r="R262" s="28" t="s">
        <v>376</v>
      </c>
      <c r="S262" s="28" t="s">
        <v>376</v>
      </c>
      <c r="U262" s="28" t="s">
        <v>80</v>
      </c>
      <c r="V262" s="28" t="s">
        <v>80</v>
      </c>
      <c r="X262" s="28" t="s">
        <v>122</v>
      </c>
      <c r="Y262" s="28" t="s">
        <v>122</v>
      </c>
      <c r="AA262" s="28" t="s">
        <v>392</v>
      </c>
      <c r="AB262" s="28" t="str">
        <f t="shared" ref="AB262" si="343">IF(NOT(ISBLANK(AC262)),"-","")</f>
        <v>-</v>
      </c>
      <c r="AC262" s="28" t="s">
        <v>378</v>
      </c>
      <c r="AD262" s="28" t="str">
        <f t="shared" ref="AD262" si="344">IF(NOT(ISBLANK(AE262)),"_","")</f>
        <v>_</v>
      </c>
      <c r="AE262" s="28" t="s">
        <v>382</v>
      </c>
      <c r="AF262" s="28" t="str">
        <f t="shared" ref="AF262" si="345">IF(NOT(ISBLANK(AG262)),"_","")</f>
        <v>_</v>
      </c>
      <c r="AG262" s="28" t="s">
        <v>373</v>
      </c>
      <c r="AH262" s="28" t="str">
        <f t="shared" ref="AH262" si="346">IF(NOT(ISBLANK(AI262)),"_","")</f>
        <v/>
      </c>
    </row>
    <row r="264" spans="1:35" s="2" customFormat="1" x14ac:dyDescent="0.25">
      <c r="A264" s="3" t="s">
        <v>43</v>
      </c>
      <c r="B264" s="3"/>
      <c r="C264" s="27"/>
      <c r="D264" s="6"/>
      <c r="E264" s="7"/>
      <c r="F264" s="6"/>
      <c r="G264" s="6"/>
      <c r="H264" s="7"/>
      <c r="I264" s="6"/>
      <c r="J264" s="6"/>
      <c r="K264" s="7"/>
      <c r="L264" s="6"/>
      <c r="M264" s="6"/>
      <c r="N264" s="7"/>
      <c r="O264" s="6"/>
      <c r="P264" s="6"/>
      <c r="Q264" s="7"/>
      <c r="R264" s="6"/>
      <c r="S264" s="6"/>
      <c r="T264" s="7"/>
      <c r="U264" s="6"/>
      <c r="V264" s="6"/>
      <c r="W264" s="7"/>
      <c r="X264" s="6"/>
      <c r="Y264" s="6"/>
      <c r="AA264" s="4"/>
      <c r="AB264" s="4" t="str">
        <f t="shared" si="214"/>
        <v/>
      </c>
      <c r="AC264" s="4"/>
      <c r="AD264" s="4" t="str">
        <f t="shared" si="215"/>
        <v/>
      </c>
      <c r="AE264" s="4"/>
      <c r="AF264" s="4" t="str">
        <f t="shared" si="216"/>
        <v/>
      </c>
      <c r="AG264" s="4"/>
      <c r="AH264" s="4" t="str">
        <f t="shared" si="316"/>
        <v/>
      </c>
      <c r="AI264" s="4"/>
    </row>
    <row r="265" spans="1:35" x14ac:dyDescent="0.25">
      <c r="B265" s="2" t="str">
        <f t="shared" ref="B265:B267" si="347">_xlfn.CONCAT("@",AA265,AB265,AC265,AD265,AE265,AF265,AG265,AH265,AI265)</f>
        <v>@color-motorway_case_farzoom</v>
      </c>
      <c r="C265" s="105" t="s">
        <v>211</v>
      </c>
      <c r="D265" s="48" t="s">
        <v>214</v>
      </c>
      <c r="F265" s="105" t="s">
        <v>211</v>
      </c>
      <c r="G265" s="105" t="s">
        <v>211</v>
      </c>
      <c r="I265" s="106" t="str">
        <f>C265</f>
        <v>"#bf440f"</v>
      </c>
      <c r="J265" s="48" t="s">
        <v>214</v>
      </c>
      <c r="L265" s="105" t="s">
        <v>211</v>
      </c>
      <c r="M265" s="105" t="s">
        <v>211</v>
      </c>
      <c r="U265" s="105" t="s">
        <v>211</v>
      </c>
      <c r="V265" s="48" t="s">
        <v>214</v>
      </c>
      <c r="X265" s="105" t="s">
        <v>211</v>
      </c>
      <c r="Y265" s="105" t="s">
        <v>211</v>
      </c>
      <c r="AA265" s="2" t="s">
        <v>6</v>
      </c>
      <c r="AB265" s="2" t="str">
        <f t="shared" si="214"/>
        <v>-</v>
      </c>
      <c r="AC265" s="2" t="s">
        <v>16</v>
      </c>
      <c r="AD265" s="2" t="str">
        <f t="shared" si="215"/>
        <v>_</v>
      </c>
      <c r="AE265" s="2" t="s">
        <v>17</v>
      </c>
      <c r="AF265" s="2" t="str">
        <f t="shared" si="216"/>
        <v>_</v>
      </c>
      <c r="AG265" s="2" t="s">
        <v>20</v>
      </c>
      <c r="AH265" s="2" t="str">
        <f t="shared" si="316"/>
        <v/>
      </c>
      <c r="AI265" s="2"/>
    </row>
    <row r="266" spans="1:35" x14ac:dyDescent="0.25">
      <c r="B266" s="2" t="str">
        <f t="shared" si="347"/>
        <v>@color-motorway_case_default</v>
      </c>
      <c r="C266" s="107" t="s">
        <v>212</v>
      </c>
      <c r="D266" s="48" t="s">
        <v>214</v>
      </c>
      <c r="F266" s="48" t="s">
        <v>214</v>
      </c>
      <c r="G266" s="48" t="s">
        <v>214</v>
      </c>
      <c r="I266" s="108" t="str">
        <f>C266</f>
        <v>"#a15412"</v>
      </c>
      <c r="J266" s="48" t="s">
        <v>214</v>
      </c>
      <c r="L266" s="48" t="s">
        <v>214</v>
      </c>
      <c r="M266" s="48" t="s">
        <v>214</v>
      </c>
      <c r="U266" s="107" t="s">
        <v>212</v>
      </c>
      <c r="V266" s="48" t="s">
        <v>214</v>
      </c>
      <c r="X266" s="48" t="s">
        <v>214</v>
      </c>
      <c r="Y266" s="48" t="s">
        <v>214</v>
      </c>
      <c r="AA266" s="2" t="s">
        <v>6</v>
      </c>
      <c r="AB266" s="2" t="str">
        <f t="shared" si="214"/>
        <v>-</v>
      </c>
      <c r="AC266" s="2" t="s">
        <v>16</v>
      </c>
      <c r="AD266" s="2" t="str">
        <f t="shared" si="215"/>
        <v>_</v>
      </c>
      <c r="AE266" s="2" t="s">
        <v>17</v>
      </c>
      <c r="AF266" s="2" t="str">
        <f t="shared" si="216"/>
        <v>_</v>
      </c>
      <c r="AG266" s="2" t="s">
        <v>262</v>
      </c>
      <c r="AH266" s="2" t="str">
        <f t="shared" si="316"/>
        <v/>
      </c>
      <c r="AI266" s="2"/>
    </row>
    <row r="267" spans="1:35" x14ac:dyDescent="0.25">
      <c r="B267" s="2" t="str">
        <f t="shared" si="347"/>
        <v>@color-motorway_line_default</v>
      </c>
      <c r="C267" s="109" t="s">
        <v>213</v>
      </c>
      <c r="D267" s="110" t="s">
        <v>215</v>
      </c>
      <c r="F267" s="110" t="s">
        <v>215</v>
      </c>
      <c r="G267" s="110" t="s">
        <v>215</v>
      </c>
      <c r="I267" s="111" t="str">
        <f>C267</f>
        <v>"#ffcc88"</v>
      </c>
      <c r="J267" s="112" t="str">
        <f>D267</f>
        <v>"#d6771e"</v>
      </c>
      <c r="L267" s="110" t="s">
        <v>215</v>
      </c>
      <c r="M267" s="110" t="s">
        <v>215</v>
      </c>
      <c r="U267" s="109" t="s">
        <v>213</v>
      </c>
      <c r="V267" s="110" t="s">
        <v>215</v>
      </c>
      <c r="X267" s="110" t="s">
        <v>215</v>
      </c>
      <c r="Y267" s="110" t="s">
        <v>215</v>
      </c>
      <c r="AA267" s="2" t="s">
        <v>6</v>
      </c>
      <c r="AB267" s="2" t="str">
        <f t="shared" si="214"/>
        <v>-</v>
      </c>
      <c r="AC267" s="2" t="s">
        <v>16</v>
      </c>
      <c r="AD267" s="2" t="str">
        <f t="shared" si="215"/>
        <v>_</v>
      </c>
      <c r="AE267" s="2" t="s">
        <v>13</v>
      </c>
      <c r="AF267" s="2" t="str">
        <f t="shared" si="216"/>
        <v>_</v>
      </c>
      <c r="AG267" s="2" t="s">
        <v>262</v>
      </c>
      <c r="AH267" s="2" t="str">
        <f t="shared" si="316"/>
        <v/>
      </c>
      <c r="AI267" s="2"/>
    </row>
    <row r="268" spans="1:35" x14ac:dyDescent="0.25">
      <c r="AB268" s="28" t="str">
        <f t="shared" si="214"/>
        <v/>
      </c>
      <c r="AD268" s="28" t="str">
        <f t="shared" si="215"/>
        <v/>
      </c>
      <c r="AF268" s="28" t="str">
        <f t="shared" si="216"/>
        <v/>
      </c>
      <c r="AH268" s="28" t="str">
        <f t="shared" si="316"/>
        <v/>
      </c>
    </row>
    <row r="269" spans="1:35" s="2" customFormat="1" x14ac:dyDescent="0.25">
      <c r="A269" s="3" t="s">
        <v>45</v>
      </c>
      <c r="B269" s="3"/>
      <c r="C269" s="27"/>
      <c r="D269" s="6"/>
      <c r="E269" s="7"/>
      <c r="F269" s="6"/>
      <c r="G269" s="6"/>
      <c r="H269" s="7"/>
      <c r="I269" s="6"/>
      <c r="J269" s="6"/>
      <c r="K269" s="7"/>
      <c r="L269" s="6"/>
      <c r="M269" s="6"/>
      <c r="N269" s="7"/>
      <c r="O269" s="6"/>
      <c r="P269" s="6"/>
      <c r="Q269" s="7"/>
      <c r="R269" s="6"/>
      <c r="S269" s="6"/>
      <c r="T269" s="7"/>
      <c r="U269" s="27"/>
      <c r="V269" s="6"/>
      <c r="W269" s="7"/>
      <c r="X269" s="6"/>
      <c r="Y269" s="6"/>
      <c r="AA269" s="4"/>
      <c r="AB269" s="4" t="str">
        <f t="shared" si="214"/>
        <v/>
      </c>
      <c r="AC269" s="4"/>
      <c r="AD269" s="4" t="str">
        <f t="shared" si="215"/>
        <v/>
      </c>
      <c r="AE269" s="4"/>
      <c r="AF269" s="4" t="str">
        <f t="shared" si="216"/>
        <v/>
      </c>
      <c r="AG269" s="4"/>
      <c r="AH269" s="4" t="str">
        <f t="shared" si="316"/>
        <v/>
      </c>
      <c r="AI269" s="4"/>
    </row>
    <row r="270" spans="1:35" x14ac:dyDescent="0.25">
      <c r="B270" s="2" t="str">
        <f t="shared" ref="B270:B278" si="348">_xlfn.CONCAT("@",AA270,AB270,AC270,AD270,AE270,AF270,AG270,AH270,AI270)</f>
        <v>@color-trunk_case_bicycle_no_default</v>
      </c>
      <c r="C270" s="113" t="s">
        <v>226</v>
      </c>
      <c r="D270" s="48" t="s">
        <v>214</v>
      </c>
      <c r="F270" s="48" t="s">
        <v>214</v>
      </c>
      <c r="G270" s="48" t="s">
        <v>214</v>
      </c>
      <c r="I270" s="114" t="str">
        <f>C270</f>
        <v>"#bd430f"</v>
      </c>
      <c r="J270" s="37" t="str">
        <f>D270</f>
        <v>"#000000"</v>
      </c>
      <c r="L270" s="48" t="s">
        <v>214</v>
      </c>
      <c r="M270" s="48" t="s">
        <v>214</v>
      </c>
      <c r="U270" s="113" t="s">
        <v>226</v>
      </c>
      <c r="V270" s="48" t="s">
        <v>214</v>
      </c>
      <c r="X270" s="48" t="s">
        <v>214</v>
      </c>
      <c r="Y270" s="48" t="s">
        <v>214</v>
      </c>
      <c r="AA270" s="28" t="s">
        <v>6</v>
      </c>
      <c r="AB270" s="2" t="str">
        <f t="shared" si="214"/>
        <v>-</v>
      </c>
      <c r="AC270" s="2" t="s">
        <v>18</v>
      </c>
      <c r="AD270" s="2" t="str">
        <f t="shared" ref="AD270" si="349">IF(NOT(ISBLANK(AE270)),"_","")</f>
        <v>_</v>
      </c>
      <c r="AE270" s="28" t="s">
        <v>17</v>
      </c>
      <c r="AF270" s="2" t="str">
        <f t="shared" ref="AF270" si="350">IF(NOT(ISBLANK(AG270)),"_","")</f>
        <v>_</v>
      </c>
      <c r="AG270" s="28" t="s">
        <v>23</v>
      </c>
      <c r="AH270" s="2" t="str">
        <f t="shared" si="316"/>
        <v>_</v>
      </c>
      <c r="AI270" s="28" t="s">
        <v>262</v>
      </c>
    </row>
    <row r="271" spans="1:35" x14ac:dyDescent="0.25">
      <c r="B271" s="2" t="str">
        <f t="shared" si="348"/>
        <v>@color-trunk_case_bicycle_no_farzoom</v>
      </c>
      <c r="C271" s="113" t="s">
        <v>226</v>
      </c>
      <c r="D271" s="48" t="s">
        <v>214</v>
      </c>
      <c r="F271" s="113" t="s">
        <v>226</v>
      </c>
      <c r="G271" s="113" t="s">
        <v>226</v>
      </c>
      <c r="I271" s="114" t="str">
        <f>C271</f>
        <v>"#bd430f"</v>
      </c>
      <c r="J271" s="37" t="str">
        <f>D271</f>
        <v>"#000000"</v>
      </c>
      <c r="L271" s="113" t="s">
        <v>226</v>
      </c>
      <c r="M271" s="113" t="s">
        <v>226</v>
      </c>
      <c r="U271" s="113" t="s">
        <v>226</v>
      </c>
      <c r="V271" s="48" t="s">
        <v>214</v>
      </c>
      <c r="X271" s="113" t="s">
        <v>226</v>
      </c>
      <c r="Y271" s="113" t="s">
        <v>226</v>
      </c>
      <c r="AA271" s="28" t="s">
        <v>6</v>
      </c>
      <c r="AB271" s="2" t="str">
        <f t="shared" ref="AB271" si="351">IF(NOT(ISBLANK(AC271)),"-","")</f>
        <v>-</v>
      </c>
      <c r="AC271" s="2" t="s">
        <v>18</v>
      </c>
      <c r="AD271" s="2" t="str">
        <f t="shared" ref="AD271" si="352">IF(NOT(ISBLANK(AE271)),"_","")</f>
        <v>_</v>
      </c>
      <c r="AE271" s="28" t="s">
        <v>17</v>
      </c>
      <c r="AF271" s="2" t="str">
        <f t="shared" ref="AF271" si="353">IF(NOT(ISBLANK(AG271)),"_","")</f>
        <v>_</v>
      </c>
      <c r="AG271" s="28" t="s">
        <v>23</v>
      </c>
      <c r="AH271" s="2" t="str">
        <f t="shared" si="316"/>
        <v>_</v>
      </c>
      <c r="AI271" s="28" t="s">
        <v>20</v>
      </c>
    </row>
    <row r="272" spans="1:35" x14ac:dyDescent="0.25">
      <c r="B272" s="2" t="str">
        <f t="shared" si="348"/>
        <v>@color-trunk_case_unpaved_farzoom</v>
      </c>
      <c r="C272" s="115" t="s">
        <v>227</v>
      </c>
      <c r="D272" s="116" t="s">
        <v>229</v>
      </c>
      <c r="F272" s="116" t="s">
        <v>229</v>
      </c>
      <c r="G272" s="115" t="s">
        <v>227</v>
      </c>
      <c r="I272" s="115" t="s">
        <v>227</v>
      </c>
      <c r="J272" s="116" t="s">
        <v>229</v>
      </c>
      <c r="L272" s="116" t="s">
        <v>229</v>
      </c>
      <c r="M272" s="115" t="s">
        <v>227</v>
      </c>
      <c r="U272" s="115" t="s">
        <v>227</v>
      </c>
      <c r="V272" s="116" t="s">
        <v>229</v>
      </c>
      <c r="X272" s="116" t="s">
        <v>229</v>
      </c>
      <c r="Y272" s="115" t="s">
        <v>227</v>
      </c>
      <c r="AA272" s="28" t="s">
        <v>6</v>
      </c>
      <c r="AB272" s="2" t="str">
        <f>IF(NOT(ISBLANK(AC272)),"-","")</f>
        <v>-</v>
      </c>
      <c r="AC272" s="2" t="s">
        <v>18</v>
      </c>
      <c r="AD272" s="2" t="str">
        <f>IF(NOT(ISBLANK(AE272)),"_","")</f>
        <v>_</v>
      </c>
      <c r="AE272" s="28" t="s">
        <v>17</v>
      </c>
      <c r="AF272" s="2" t="str">
        <f>IF(NOT(ISBLANK(AG272)),"_","")</f>
        <v>_</v>
      </c>
      <c r="AG272" s="28" t="s">
        <v>21</v>
      </c>
      <c r="AH272" s="2" t="str">
        <f>IF(NOT(ISBLANK(AI272)),"_","")</f>
        <v>_</v>
      </c>
      <c r="AI272" s="28" t="s">
        <v>20</v>
      </c>
    </row>
    <row r="273" spans="1:35" x14ac:dyDescent="0.25">
      <c r="B273" s="2" t="str">
        <f t="shared" si="348"/>
        <v>@color-trunk_case_unpaved_default</v>
      </c>
      <c r="C273" s="117" t="s">
        <v>217</v>
      </c>
      <c r="D273" s="48" t="s">
        <v>214</v>
      </c>
      <c r="F273" s="48" t="s">
        <v>214</v>
      </c>
      <c r="G273" s="48" t="s">
        <v>214</v>
      </c>
      <c r="I273" s="117" t="s">
        <v>217</v>
      </c>
      <c r="J273" s="48" t="s">
        <v>214</v>
      </c>
      <c r="L273" s="48" t="s">
        <v>214</v>
      </c>
      <c r="M273" s="48" t="s">
        <v>214</v>
      </c>
      <c r="U273" s="117" t="s">
        <v>217</v>
      </c>
      <c r="V273" s="48" t="s">
        <v>214</v>
      </c>
      <c r="X273" s="48" t="s">
        <v>214</v>
      </c>
      <c r="Y273" s="48" t="s">
        <v>214</v>
      </c>
      <c r="AA273" s="28" t="s">
        <v>6</v>
      </c>
      <c r="AB273" s="28" t="str">
        <f t="shared" si="214"/>
        <v>-</v>
      </c>
      <c r="AC273" s="2" t="s">
        <v>18</v>
      </c>
      <c r="AD273" s="28" t="str">
        <f t="shared" si="215"/>
        <v>_</v>
      </c>
      <c r="AE273" s="28" t="s">
        <v>17</v>
      </c>
      <c r="AF273" s="28" t="str">
        <f t="shared" si="216"/>
        <v>_</v>
      </c>
      <c r="AG273" s="28" t="s">
        <v>21</v>
      </c>
      <c r="AH273" s="28" t="str">
        <f t="shared" ref="AH273:AH282" si="354">IF(NOT(ISBLANK(AI273)),"_","")</f>
        <v>_</v>
      </c>
      <c r="AI273" s="28" t="s">
        <v>262</v>
      </c>
    </row>
    <row r="274" spans="1:35" x14ac:dyDescent="0.25">
      <c r="B274" s="2" t="str">
        <f t="shared" si="348"/>
        <v>@color-trunk_case_paved_or_uk_farzoom</v>
      </c>
      <c r="C274" s="118" t="s">
        <v>228</v>
      </c>
      <c r="D274" s="48" t="s">
        <v>214</v>
      </c>
      <c r="F274" s="118" t="s">
        <v>228</v>
      </c>
      <c r="G274" s="118" t="s">
        <v>228</v>
      </c>
      <c r="I274" s="118" t="s">
        <v>228</v>
      </c>
      <c r="J274" s="48" t="s">
        <v>214</v>
      </c>
      <c r="L274" s="118" t="s">
        <v>228</v>
      </c>
      <c r="M274" s="118" t="s">
        <v>228</v>
      </c>
      <c r="U274" s="118" t="s">
        <v>228</v>
      </c>
      <c r="V274" s="48" t="s">
        <v>214</v>
      </c>
      <c r="X274" s="118" t="s">
        <v>228</v>
      </c>
      <c r="Y274" s="118" t="s">
        <v>228</v>
      </c>
      <c r="AA274" s="2" t="s">
        <v>6</v>
      </c>
      <c r="AB274" s="2" t="str">
        <f t="shared" si="214"/>
        <v>-</v>
      </c>
      <c r="AC274" s="2" t="s">
        <v>18</v>
      </c>
      <c r="AD274" s="2" t="str">
        <f t="shared" si="215"/>
        <v>_</v>
      </c>
      <c r="AE274" s="2" t="s">
        <v>17</v>
      </c>
      <c r="AF274" s="2" t="str">
        <f t="shared" si="216"/>
        <v>_</v>
      </c>
      <c r="AG274" s="2" t="s">
        <v>24</v>
      </c>
      <c r="AH274" s="2" t="str">
        <f t="shared" si="354"/>
        <v>_</v>
      </c>
      <c r="AI274" s="28" t="s">
        <v>20</v>
      </c>
    </row>
    <row r="275" spans="1:35" x14ac:dyDescent="0.25">
      <c r="B275" s="2" t="str">
        <f t="shared" si="348"/>
        <v>@color-trunk_case_paved_or_uk_default</v>
      </c>
      <c r="C275" s="119" t="s">
        <v>218</v>
      </c>
      <c r="D275" s="48" t="s">
        <v>214</v>
      </c>
      <c r="F275" s="48" t="s">
        <v>214</v>
      </c>
      <c r="G275" s="48" t="s">
        <v>214</v>
      </c>
      <c r="I275" s="119" t="s">
        <v>218</v>
      </c>
      <c r="J275" s="48" t="s">
        <v>214</v>
      </c>
      <c r="L275" s="48" t="s">
        <v>214</v>
      </c>
      <c r="M275" s="48" t="s">
        <v>214</v>
      </c>
      <c r="U275" s="119" t="s">
        <v>218</v>
      </c>
      <c r="V275" s="48" t="s">
        <v>214</v>
      </c>
      <c r="X275" s="48" t="s">
        <v>214</v>
      </c>
      <c r="Y275" s="48" t="s">
        <v>214</v>
      </c>
      <c r="AA275" s="2" t="s">
        <v>6</v>
      </c>
      <c r="AB275" s="2" t="str">
        <f t="shared" si="214"/>
        <v>-</v>
      </c>
      <c r="AC275" s="2" t="s">
        <v>18</v>
      </c>
      <c r="AD275" s="2" t="str">
        <f t="shared" si="215"/>
        <v>_</v>
      </c>
      <c r="AE275" s="2" t="s">
        <v>17</v>
      </c>
      <c r="AF275" s="2" t="str">
        <f t="shared" si="216"/>
        <v>_</v>
      </c>
      <c r="AG275" s="2" t="s">
        <v>24</v>
      </c>
      <c r="AH275" s="2" t="str">
        <f t="shared" si="354"/>
        <v>_</v>
      </c>
      <c r="AI275" s="28" t="s">
        <v>262</v>
      </c>
    </row>
    <row r="276" spans="1:35" x14ac:dyDescent="0.25">
      <c r="B276" s="2" t="str">
        <f t="shared" si="348"/>
        <v>@color-trunk_line_bicycle_no</v>
      </c>
      <c r="C276" s="109" t="s">
        <v>213</v>
      </c>
      <c r="D276" s="110" t="s">
        <v>215</v>
      </c>
      <c r="F276" s="109" t="s">
        <v>213</v>
      </c>
      <c r="G276" s="110" t="s">
        <v>215</v>
      </c>
      <c r="I276" s="111" t="str">
        <f>C276</f>
        <v>"#ffcc88"</v>
      </c>
      <c r="J276" s="112" t="str">
        <f>D276</f>
        <v>"#d6771e"</v>
      </c>
      <c r="L276" s="109" t="s">
        <v>213</v>
      </c>
      <c r="M276" s="110" t="s">
        <v>215</v>
      </c>
      <c r="U276" s="109" t="s">
        <v>213</v>
      </c>
      <c r="V276" s="110" t="s">
        <v>215</v>
      </c>
      <c r="X276" s="109" t="s">
        <v>213</v>
      </c>
      <c r="Y276" s="110" t="s">
        <v>215</v>
      </c>
      <c r="AA276" s="2" t="s">
        <v>6</v>
      </c>
      <c r="AB276" s="2" t="str">
        <f t="shared" si="214"/>
        <v>-</v>
      </c>
      <c r="AC276" s="2" t="s">
        <v>18</v>
      </c>
      <c r="AD276" s="2" t="str">
        <f t="shared" si="215"/>
        <v>_</v>
      </c>
      <c r="AE276" s="2" t="s">
        <v>13</v>
      </c>
      <c r="AF276" s="2" t="str">
        <f t="shared" si="216"/>
        <v>_</v>
      </c>
      <c r="AG276" s="2" t="s">
        <v>23</v>
      </c>
      <c r="AH276" s="2" t="str">
        <f t="shared" si="354"/>
        <v/>
      </c>
      <c r="AI276" s="2"/>
    </row>
    <row r="277" spans="1:35" x14ac:dyDescent="0.25">
      <c r="B277" s="2" t="str">
        <f t="shared" si="348"/>
        <v>@color-trunk_line_unpaved_default</v>
      </c>
      <c r="C277" s="120" t="s">
        <v>221</v>
      </c>
      <c r="D277" s="121" t="str">
        <f>C277</f>
        <v>"#eddfca"</v>
      </c>
      <c r="F277" s="120" t="s">
        <v>221</v>
      </c>
      <c r="G277" s="121" t="str">
        <f>F277</f>
        <v>"#eddfca"</v>
      </c>
      <c r="I277" s="120" t="s">
        <v>221</v>
      </c>
      <c r="J277" s="121" t="str">
        <f>I277</f>
        <v>"#eddfca"</v>
      </c>
      <c r="L277" s="120" t="s">
        <v>221</v>
      </c>
      <c r="M277" s="121" t="str">
        <f>L277</f>
        <v>"#eddfca"</v>
      </c>
      <c r="U277" s="120" t="s">
        <v>221</v>
      </c>
      <c r="V277" s="121" t="str">
        <f>U277</f>
        <v>"#eddfca"</v>
      </c>
      <c r="X277" s="120" t="s">
        <v>221</v>
      </c>
      <c r="Y277" s="121" t="str">
        <f>X277</f>
        <v>"#eddfca"</v>
      </c>
      <c r="AA277" s="2" t="s">
        <v>6</v>
      </c>
      <c r="AB277" s="2" t="str">
        <f t="shared" si="214"/>
        <v>-</v>
      </c>
      <c r="AC277" s="2" t="s">
        <v>18</v>
      </c>
      <c r="AD277" s="2" t="str">
        <f t="shared" si="215"/>
        <v>_</v>
      </c>
      <c r="AE277" s="2" t="s">
        <v>13</v>
      </c>
      <c r="AF277" s="2" t="str">
        <f t="shared" si="216"/>
        <v>_</v>
      </c>
      <c r="AG277" s="2" t="s">
        <v>21</v>
      </c>
      <c r="AH277" s="2" t="str">
        <f t="shared" si="354"/>
        <v>_</v>
      </c>
      <c r="AI277" s="28" t="s">
        <v>262</v>
      </c>
    </row>
    <row r="278" spans="1:35" x14ac:dyDescent="0.25">
      <c r="B278" s="2" t="str">
        <f t="shared" si="348"/>
        <v>@color-trunk_line_paved_or_uk_default</v>
      </c>
      <c r="C278" s="47" t="s">
        <v>222</v>
      </c>
      <c r="D278" s="38" t="str">
        <f>C278</f>
        <v>"#ffffff"</v>
      </c>
      <c r="F278" s="47" t="s">
        <v>222</v>
      </c>
      <c r="G278" s="38" t="str">
        <f>F278</f>
        <v>"#ffffff"</v>
      </c>
      <c r="I278" s="47" t="s">
        <v>222</v>
      </c>
      <c r="J278" s="38" t="str">
        <f>I278</f>
        <v>"#ffffff"</v>
      </c>
      <c r="L278" s="47" t="s">
        <v>222</v>
      </c>
      <c r="M278" s="38" t="str">
        <f>L278</f>
        <v>"#ffffff"</v>
      </c>
      <c r="U278" s="47" t="s">
        <v>222</v>
      </c>
      <c r="V278" s="38" t="str">
        <f>U278</f>
        <v>"#ffffff"</v>
      </c>
      <c r="X278" s="47" t="s">
        <v>222</v>
      </c>
      <c r="Y278" s="38" t="str">
        <f>X278</f>
        <v>"#ffffff"</v>
      </c>
      <c r="AA278" s="28" t="s">
        <v>6</v>
      </c>
      <c r="AB278" s="28" t="str">
        <f t="shared" si="214"/>
        <v>-</v>
      </c>
      <c r="AC278" s="28" t="s">
        <v>18</v>
      </c>
      <c r="AD278" s="28" t="str">
        <f t="shared" si="215"/>
        <v>_</v>
      </c>
      <c r="AE278" s="28" t="s">
        <v>13</v>
      </c>
      <c r="AF278" s="28" t="str">
        <f t="shared" si="216"/>
        <v>_</v>
      </c>
      <c r="AG278" s="28" t="s">
        <v>24</v>
      </c>
      <c r="AH278" s="28" t="str">
        <f t="shared" si="354"/>
        <v>_</v>
      </c>
      <c r="AI278" s="28" t="s">
        <v>262</v>
      </c>
    </row>
    <row r="279" spans="1:35" x14ac:dyDescent="0.25">
      <c r="B279" s="2"/>
      <c r="AB279" s="28" t="str">
        <f t="shared" si="214"/>
        <v/>
      </c>
      <c r="AD279" s="28" t="str">
        <f t="shared" si="215"/>
        <v/>
      </c>
      <c r="AF279" s="28" t="str">
        <f t="shared" si="216"/>
        <v/>
      </c>
      <c r="AH279" s="28" t="str">
        <f t="shared" si="354"/>
        <v/>
      </c>
    </row>
    <row r="280" spans="1:35" s="2" customFormat="1" x14ac:dyDescent="0.25">
      <c r="A280" s="3" t="s">
        <v>44</v>
      </c>
      <c r="B280" s="3"/>
      <c r="C280" s="27"/>
      <c r="D280" s="6"/>
      <c r="E280" s="7"/>
      <c r="F280" s="6"/>
      <c r="G280" s="6"/>
      <c r="H280" s="7"/>
      <c r="I280" s="6"/>
      <c r="J280" s="6"/>
      <c r="K280" s="7"/>
      <c r="L280" s="6"/>
      <c r="M280" s="6"/>
      <c r="N280" s="7"/>
      <c r="O280" s="6"/>
      <c r="P280" s="6"/>
      <c r="Q280" s="7"/>
      <c r="R280" s="6"/>
      <c r="S280" s="6"/>
      <c r="T280" s="7"/>
      <c r="U280" s="27"/>
      <c r="V280" s="6"/>
      <c r="W280" s="7"/>
      <c r="X280" s="6"/>
      <c r="Y280" s="6"/>
      <c r="AA280" s="4"/>
      <c r="AB280" s="4" t="str">
        <f t="shared" si="214"/>
        <v/>
      </c>
      <c r="AC280" s="4"/>
      <c r="AD280" s="4" t="str">
        <f t="shared" si="215"/>
        <v/>
      </c>
      <c r="AE280" s="4"/>
      <c r="AF280" s="4" t="str">
        <f t="shared" si="216"/>
        <v/>
      </c>
      <c r="AG280" s="4"/>
      <c r="AH280" s="4" t="str">
        <f t="shared" si="354"/>
        <v/>
      </c>
      <c r="AI280" s="4"/>
    </row>
    <row r="281" spans="1:35" x14ac:dyDescent="0.25">
      <c r="B281" s="2" t="str">
        <f t="shared" ref="B281:B289" si="355">_xlfn.CONCAT("@",AA281,AB281,AC281,AD281,AE281,AF281,AG281,AH281,AI281)</f>
        <v>@color-primary_case_bicycle_no_default</v>
      </c>
      <c r="C281" s="113" t="s">
        <v>226</v>
      </c>
      <c r="D281" s="48" t="s">
        <v>214</v>
      </c>
      <c r="F281" s="48" t="s">
        <v>214</v>
      </c>
      <c r="G281" s="48" t="s">
        <v>214</v>
      </c>
      <c r="I281" s="114" t="str">
        <f>C281</f>
        <v>"#bd430f"</v>
      </c>
      <c r="J281" s="37" t="str">
        <f>D281</f>
        <v>"#000000"</v>
      </c>
      <c r="L281" s="48" t="s">
        <v>214</v>
      </c>
      <c r="M281" s="48" t="s">
        <v>214</v>
      </c>
      <c r="U281" s="113" t="s">
        <v>226</v>
      </c>
      <c r="V281" s="48" t="s">
        <v>214</v>
      </c>
      <c r="X281" s="48" t="s">
        <v>214</v>
      </c>
      <c r="Y281" s="48" t="s">
        <v>214</v>
      </c>
      <c r="AA281" s="28" t="s">
        <v>6</v>
      </c>
      <c r="AB281" s="2" t="str">
        <f t="shared" ref="AB281:AB390" si="356">IF(NOT(ISBLANK(AC281)),"-","")</f>
        <v>-</v>
      </c>
      <c r="AC281" s="2" t="s">
        <v>25</v>
      </c>
      <c r="AD281" s="2" t="str">
        <f t="shared" si="215"/>
        <v>_</v>
      </c>
      <c r="AE281" s="28" t="s">
        <v>17</v>
      </c>
      <c r="AF281" s="2" t="str">
        <f t="shared" si="216"/>
        <v>_</v>
      </c>
      <c r="AG281" s="28" t="s">
        <v>23</v>
      </c>
      <c r="AH281" s="2" t="str">
        <f t="shared" si="354"/>
        <v>_</v>
      </c>
      <c r="AI281" s="28" t="s">
        <v>262</v>
      </c>
    </row>
    <row r="282" spans="1:35" x14ac:dyDescent="0.25">
      <c r="B282" s="2" t="str">
        <f t="shared" si="355"/>
        <v>@color-primary_case_bicycle_no_farzoom</v>
      </c>
      <c r="C282" s="113" t="s">
        <v>226</v>
      </c>
      <c r="D282" s="48" t="s">
        <v>214</v>
      </c>
      <c r="F282" s="113" t="s">
        <v>226</v>
      </c>
      <c r="G282" s="113" t="s">
        <v>226</v>
      </c>
      <c r="I282" s="114" t="str">
        <f>C282</f>
        <v>"#bd430f"</v>
      </c>
      <c r="J282" s="37" t="str">
        <f>D282</f>
        <v>"#000000"</v>
      </c>
      <c r="L282" s="113" t="s">
        <v>226</v>
      </c>
      <c r="M282" s="113" t="s">
        <v>226</v>
      </c>
      <c r="U282" s="113" t="s">
        <v>226</v>
      </c>
      <c r="V282" s="48" t="s">
        <v>214</v>
      </c>
      <c r="X282" s="113" t="s">
        <v>226</v>
      </c>
      <c r="Y282" s="113" t="s">
        <v>226</v>
      </c>
      <c r="AA282" s="28" t="s">
        <v>6</v>
      </c>
      <c r="AB282" s="2" t="str">
        <f t="shared" ref="AB282" si="357">IF(NOT(ISBLANK(AC282)),"-","")</f>
        <v>-</v>
      </c>
      <c r="AC282" s="2" t="s">
        <v>25</v>
      </c>
      <c r="AD282" s="2" t="str">
        <f t="shared" ref="AD282" si="358">IF(NOT(ISBLANK(AE282)),"_","")</f>
        <v>_</v>
      </c>
      <c r="AE282" s="28" t="s">
        <v>17</v>
      </c>
      <c r="AF282" s="2" t="str">
        <f t="shared" ref="AF282" si="359">IF(NOT(ISBLANK(AG282)),"_","")</f>
        <v>_</v>
      </c>
      <c r="AG282" s="28" t="s">
        <v>23</v>
      </c>
      <c r="AH282" s="2" t="str">
        <f t="shared" si="354"/>
        <v>_</v>
      </c>
      <c r="AI282" s="28" t="s">
        <v>20</v>
      </c>
    </row>
    <row r="283" spans="1:35" x14ac:dyDescent="0.25">
      <c r="B283" s="2" t="str">
        <f t="shared" si="355"/>
        <v>@color-primary_case_unpaved_farzoom</v>
      </c>
      <c r="C283" s="115" t="s">
        <v>227</v>
      </c>
      <c r="D283" s="116" t="s">
        <v>229</v>
      </c>
      <c r="F283" s="116" t="s">
        <v>229</v>
      </c>
      <c r="G283" s="115" t="s">
        <v>227</v>
      </c>
      <c r="I283" s="115" t="s">
        <v>227</v>
      </c>
      <c r="J283" s="116" t="s">
        <v>229</v>
      </c>
      <c r="L283" s="116" t="s">
        <v>229</v>
      </c>
      <c r="M283" s="115" t="s">
        <v>227</v>
      </c>
      <c r="U283" s="115" t="s">
        <v>227</v>
      </c>
      <c r="V283" s="116" t="s">
        <v>229</v>
      </c>
      <c r="X283" s="116" t="s">
        <v>229</v>
      </c>
      <c r="Y283" s="115" t="s">
        <v>227</v>
      </c>
      <c r="AA283" s="28" t="s">
        <v>6</v>
      </c>
      <c r="AB283" s="2" t="str">
        <f>IF(NOT(ISBLANK(AC283)),"-","")</f>
        <v>-</v>
      </c>
      <c r="AC283" s="2" t="s">
        <v>25</v>
      </c>
      <c r="AD283" s="2" t="str">
        <f>IF(NOT(ISBLANK(AE283)),"_","")</f>
        <v>_</v>
      </c>
      <c r="AE283" s="28" t="s">
        <v>17</v>
      </c>
      <c r="AF283" s="2" t="str">
        <f>IF(NOT(ISBLANK(AG283)),"_","")</f>
        <v>_</v>
      </c>
      <c r="AG283" s="28" t="s">
        <v>21</v>
      </c>
      <c r="AH283" s="2" t="str">
        <f>IF(NOT(ISBLANK(AI283)),"_","")</f>
        <v>_</v>
      </c>
      <c r="AI283" s="28" t="s">
        <v>20</v>
      </c>
    </row>
    <row r="284" spans="1:35" x14ac:dyDescent="0.25">
      <c r="B284" s="2" t="str">
        <f t="shared" si="355"/>
        <v>@color-primary_case_unpaved_default</v>
      </c>
      <c r="C284" s="117" t="s">
        <v>217</v>
      </c>
      <c r="D284" s="116" t="s">
        <v>229</v>
      </c>
      <c r="F284" s="48" t="s">
        <v>214</v>
      </c>
      <c r="G284" s="48" t="s">
        <v>214</v>
      </c>
      <c r="I284" s="117" t="s">
        <v>217</v>
      </c>
      <c r="J284" s="116" t="s">
        <v>229</v>
      </c>
      <c r="L284" s="48" t="s">
        <v>214</v>
      </c>
      <c r="M284" s="48" t="s">
        <v>214</v>
      </c>
      <c r="U284" s="117" t="s">
        <v>217</v>
      </c>
      <c r="V284" s="116" t="s">
        <v>229</v>
      </c>
      <c r="X284" s="48" t="s">
        <v>214</v>
      </c>
      <c r="Y284" s="48" t="s">
        <v>214</v>
      </c>
      <c r="AA284" s="28" t="s">
        <v>6</v>
      </c>
      <c r="AB284" s="2" t="str">
        <f t="shared" si="356"/>
        <v>-</v>
      </c>
      <c r="AC284" s="2" t="s">
        <v>25</v>
      </c>
      <c r="AD284" s="2" t="str">
        <f t="shared" si="215"/>
        <v>_</v>
      </c>
      <c r="AE284" s="28" t="s">
        <v>17</v>
      </c>
      <c r="AF284" s="2" t="str">
        <f t="shared" si="216"/>
        <v>_</v>
      </c>
      <c r="AG284" s="28" t="s">
        <v>21</v>
      </c>
      <c r="AH284" s="28" t="str">
        <f t="shared" ref="AH284:AH286" si="360">IF(NOT(ISBLANK(AI284)),"_","")</f>
        <v>_</v>
      </c>
      <c r="AI284" s="28" t="s">
        <v>262</v>
      </c>
    </row>
    <row r="285" spans="1:35" x14ac:dyDescent="0.25">
      <c r="B285" s="2" t="str">
        <f t="shared" si="355"/>
        <v>@color-primary_case_paved_or_uk_farzoom</v>
      </c>
      <c r="C285" s="118" t="s">
        <v>228</v>
      </c>
      <c r="D285" s="48" t="s">
        <v>214</v>
      </c>
      <c r="F285" s="118" t="s">
        <v>228</v>
      </c>
      <c r="G285" s="118" t="s">
        <v>228</v>
      </c>
      <c r="I285" s="118" t="s">
        <v>228</v>
      </c>
      <c r="J285" s="48" t="s">
        <v>214</v>
      </c>
      <c r="L285" s="118" t="s">
        <v>228</v>
      </c>
      <c r="M285" s="118" t="s">
        <v>228</v>
      </c>
      <c r="U285" s="118" t="s">
        <v>228</v>
      </c>
      <c r="V285" s="48" t="s">
        <v>214</v>
      </c>
      <c r="X285" s="118" t="s">
        <v>228</v>
      </c>
      <c r="Y285" s="118" t="s">
        <v>228</v>
      </c>
      <c r="AA285" s="2" t="s">
        <v>6</v>
      </c>
      <c r="AB285" s="2" t="str">
        <f t="shared" si="356"/>
        <v>-</v>
      </c>
      <c r="AC285" s="2" t="s">
        <v>25</v>
      </c>
      <c r="AD285" s="2" t="str">
        <f t="shared" ref="AD285" si="361">IF(NOT(ISBLANK(AE285)),"_","")</f>
        <v>_</v>
      </c>
      <c r="AE285" s="2" t="s">
        <v>17</v>
      </c>
      <c r="AF285" s="2" t="str">
        <f t="shared" ref="AF285" si="362">IF(NOT(ISBLANK(AG285)),"_","")</f>
        <v>_</v>
      </c>
      <c r="AG285" s="2" t="s">
        <v>24</v>
      </c>
      <c r="AH285" s="2" t="str">
        <f t="shared" si="360"/>
        <v>_</v>
      </c>
      <c r="AI285" s="28" t="s">
        <v>20</v>
      </c>
    </row>
    <row r="286" spans="1:35" x14ac:dyDescent="0.25">
      <c r="B286" s="2" t="str">
        <f t="shared" si="355"/>
        <v>@color-primary_case_paved_or_uk_default</v>
      </c>
      <c r="C286" s="119" t="s">
        <v>218</v>
      </c>
      <c r="D286" s="48" t="s">
        <v>214</v>
      </c>
      <c r="F286" s="48" t="s">
        <v>214</v>
      </c>
      <c r="G286" s="48" t="s">
        <v>214</v>
      </c>
      <c r="I286" s="119" t="s">
        <v>218</v>
      </c>
      <c r="J286" s="48" t="s">
        <v>214</v>
      </c>
      <c r="L286" s="48" t="s">
        <v>214</v>
      </c>
      <c r="M286" s="48" t="s">
        <v>214</v>
      </c>
      <c r="U286" s="119" t="s">
        <v>218</v>
      </c>
      <c r="V286" s="48" t="s">
        <v>214</v>
      </c>
      <c r="X286" s="48" t="s">
        <v>214</v>
      </c>
      <c r="Y286" s="48" t="s">
        <v>214</v>
      </c>
      <c r="AA286" s="2" t="s">
        <v>6</v>
      </c>
      <c r="AB286" s="2" t="str">
        <f t="shared" si="356"/>
        <v>-</v>
      </c>
      <c r="AC286" s="28" t="s">
        <v>25</v>
      </c>
      <c r="AD286" s="2" t="str">
        <f t="shared" ref="AD286:AD390" si="363">IF(NOT(ISBLANK(AE286)),"_","")</f>
        <v>_</v>
      </c>
      <c r="AE286" s="2" t="s">
        <v>17</v>
      </c>
      <c r="AF286" s="2" t="str">
        <f t="shared" ref="AF286:AF390" si="364">IF(NOT(ISBLANK(AG286)),"_","")</f>
        <v>_</v>
      </c>
      <c r="AG286" s="2" t="s">
        <v>24</v>
      </c>
      <c r="AH286" s="2" t="str">
        <f t="shared" si="360"/>
        <v>_</v>
      </c>
      <c r="AI286" s="28" t="s">
        <v>262</v>
      </c>
    </row>
    <row r="287" spans="1:35" x14ac:dyDescent="0.25">
      <c r="B287" s="2" t="str">
        <f t="shared" si="355"/>
        <v>@color-primary_line_bicycle_no</v>
      </c>
      <c r="C287" s="122" t="s">
        <v>231</v>
      </c>
      <c r="D287" s="110" t="s">
        <v>215</v>
      </c>
      <c r="F287" s="122" t="s">
        <v>231</v>
      </c>
      <c r="G287" s="110" t="s">
        <v>215</v>
      </c>
      <c r="I287" s="123" t="str">
        <f>C287</f>
        <v>"#ffcc8a"</v>
      </c>
      <c r="J287" s="112" t="str">
        <f>D287</f>
        <v>"#d6771e"</v>
      </c>
      <c r="L287" s="122" t="s">
        <v>231</v>
      </c>
      <c r="M287" s="110" t="s">
        <v>215</v>
      </c>
      <c r="U287" s="122" t="s">
        <v>231</v>
      </c>
      <c r="V287" s="110" t="s">
        <v>215</v>
      </c>
      <c r="X287" s="122" t="s">
        <v>231</v>
      </c>
      <c r="Y287" s="110" t="s">
        <v>215</v>
      </c>
      <c r="AA287" s="28" t="s">
        <v>6</v>
      </c>
      <c r="AB287" s="2" t="str">
        <f t="shared" si="356"/>
        <v>-</v>
      </c>
      <c r="AC287" s="28" t="s">
        <v>25</v>
      </c>
      <c r="AD287" s="2" t="str">
        <f t="shared" si="363"/>
        <v>_</v>
      </c>
      <c r="AE287" s="28" t="s">
        <v>13</v>
      </c>
      <c r="AF287" s="2" t="str">
        <f t="shared" si="364"/>
        <v>_</v>
      </c>
      <c r="AG287" s="28" t="s">
        <v>23</v>
      </c>
      <c r="AH287" s="2" t="str">
        <f t="shared" ref="AH287:AH292" si="365">IF(NOT(ISBLANK(AI287)),"_","")</f>
        <v/>
      </c>
    </row>
    <row r="288" spans="1:35" x14ac:dyDescent="0.25">
      <c r="B288" s="2" t="str">
        <f t="shared" si="355"/>
        <v>@color-primary_line_unpaved_default</v>
      </c>
      <c r="C288" s="120" t="s">
        <v>221</v>
      </c>
      <c r="D288" s="121" t="str">
        <f>C288</f>
        <v>"#eddfca"</v>
      </c>
      <c r="F288" s="120" t="s">
        <v>221</v>
      </c>
      <c r="G288" s="121" t="str">
        <f>F288</f>
        <v>"#eddfca"</v>
      </c>
      <c r="I288" s="120" t="s">
        <v>221</v>
      </c>
      <c r="J288" s="121" t="str">
        <f>I288</f>
        <v>"#eddfca"</v>
      </c>
      <c r="L288" s="120" t="s">
        <v>221</v>
      </c>
      <c r="M288" s="121" t="str">
        <f>L288</f>
        <v>"#eddfca"</v>
      </c>
      <c r="U288" s="120" t="s">
        <v>221</v>
      </c>
      <c r="V288" s="121" t="str">
        <f>U288</f>
        <v>"#eddfca"</v>
      </c>
      <c r="X288" s="120" t="s">
        <v>221</v>
      </c>
      <c r="Y288" s="121" t="str">
        <f>X288</f>
        <v>"#eddfca"</v>
      </c>
      <c r="AA288" s="2" t="s">
        <v>6</v>
      </c>
      <c r="AB288" s="2" t="str">
        <f t="shared" si="356"/>
        <v>-</v>
      </c>
      <c r="AC288" s="2" t="s">
        <v>25</v>
      </c>
      <c r="AD288" s="2" t="str">
        <f t="shared" si="363"/>
        <v>_</v>
      </c>
      <c r="AE288" s="2" t="s">
        <v>13</v>
      </c>
      <c r="AF288" s="2" t="str">
        <f t="shared" si="364"/>
        <v>_</v>
      </c>
      <c r="AG288" s="2" t="s">
        <v>21</v>
      </c>
      <c r="AH288" s="2" t="str">
        <f t="shared" si="365"/>
        <v>_</v>
      </c>
      <c r="AI288" s="28" t="s">
        <v>262</v>
      </c>
    </row>
    <row r="289" spans="2:35" x14ac:dyDescent="0.25">
      <c r="B289" s="2" t="str">
        <f t="shared" si="355"/>
        <v>@color-primary_line_paved_or_uk_default</v>
      </c>
      <c r="C289" s="47" t="s">
        <v>222</v>
      </c>
      <c r="D289" s="38" t="str">
        <f>C289</f>
        <v>"#ffffff"</v>
      </c>
      <c r="F289" s="47" t="s">
        <v>222</v>
      </c>
      <c r="G289" s="38" t="str">
        <f>F289</f>
        <v>"#ffffff"</v>
      </c>
      <c r="I289" s="47" t="s">
        <v>222</v>
      </c>
      <c r="J289" s="38" t="str">
        <f>I289</f>
        <v>"#ffffff"</v>
      </c>
      <c r="L289" s="47" t="s">
        <v>222</v>
      </c>
      <c r="M289" s="38" t="str">
        <f>L289</f>
        <v>"#ffffff"</v>
      </c>
      <c r="U289" s="47" t="s">
        <v>222</v>
      </c>
      <c r="V289" s="38" t="str">
        <f>U289</f>
        <v>"#ffffff"</v>
      </c>
      <c r="X289" s="47" t="s">
        <v>222</v>
      </c>
      <c r="Y289" s="38" t="str">
        <f>X289</f>
        <v>"#ffffff"</v>
      </c>
      <c r="AA289" s="2" t="s">
        <v>6</v>
      </c>
      <c r="AB289" s="2" t="str">
        <f t="shared" si="356"/>
        <v>-</v>
      </c>
      <c r="AC289" s="2" t="s">
        <v>25</v>
      </c>
      <c r="AD289" s="2" t="str">
        <f t="shared" si="363"/>
        <v>_</v>
      </c>
      <c r="AE289" s="2" t="s">
        <v>13</v>
      </c>
      <c r="AF289" s="2" t="str">
        <f t="shared" si="364"/>
        <v>_</v>
      </c>
      <c r="AG289" s="28" t="s">
        <v>24</v>
      </c>
      <c r="AH289" s="28" t="str">
        <f t="shared" si="365"/>
        <v>_</v>
      </c>
      <c r="AI289" s="28" t="s">
        <v>262</v>
      </c>
    </row>
    <row r="290" spans="2:35" x14ac:dyDescent="0.25">
      <c r="B290" s="2"/>
      <c r="C290" s="26"/>
      <c r="D290" s="26"/>
      <c r="I290" s="26"/>
      <c r="U290" s="26"/>
      <c r="V290" s="26"/>
      <c r="AB290" s="2"/>
      <c r="AD290" s="2"/>
      <c r="AF290" s="2" t="str">
        <f t="shared" ref="AF290:AF299" si="366">IF(NOT(ISBLANK(AG290)),"_","")</f>
        <v/>
      </c>
      <c r="AH290" s="2" t="str">
        <f t="shared" si="365"/>
        <v/>
      </c>
    </row>
    <row r="291" spans="2:35" x14ac:dyDescent="0.25">
      <c r="B291" s="2" t="str">
        <f t="shared" ref="B291:B299" si="367">_xlfn.CONCAT("@",AA291,AB291,AC291,AD291,AE291,AF291,AG291,AH291,AI291)</f>
        <v>@color-secondary_case_bicycle_no_default</v>
      </c>
      <c r="C291" s="113" t="s">
        <v>226</v>
      </c>
      <c r="D291" s="48" t="s">
        <v>214</v>
      </c>
      <c r="F291" s="48" t="s">
        <v>214</v>
      </c>
      <c r="G291" s="48" t="s">
        <v>214</v>
      </c>
      <c r="I291" s="114" t="str">
        <f>C291</f>
        <v>"#bd430f"</v>
      </c>
      <c r="J291" s="37" t="str">
        <f>D291</f>
        <v>"#000000"</v>
      </c>
      <c r="L291" s="48" t="s">
        <v>214</v>
      </c>
      <c r="M291" s="48" t="s">
        <v>214</v>
      </c>
      <c r="U291" s="113" t="s">
        <v>226</v>
      </c>
      <c r="V291" s="48" t="s">
        <v>214</v>
      </c>
      <c r="X291" s="48" t="s">
        <v>214</v>
      </c>
      <c r="Y291" s="48" t="s">
        <v>214</v>
      </c>
      <c r="AA291" s="28" t="s">
        <v>6</v>
      </c>
      <c r="AB291" s="2" t="str">
        <f t="shared" ref="AB291:AB299" si="368">IF(NOT(ISBLANK(AC291)),"-","")</f>
        <v>-</v>
      </c>
      <c r="AC291" s="2" t="s">
        <v>27</v>
      </c>
      <c r="AD291" s="2" t="str">
        <f t="shared" ref="AD291:AD299" si="369">IF(NOT(ISBLANK(AE291)),"_","")</f>
        <v>_</v>
      </c>
      <c r="AE291" s="28" t="s">
        <v>17</v>
      </c>
      <c r="AF291" s="2" t="str">
        <f t="shared" si="366"/>
        <v>_</v>
      </c>
      <c r="AG291" s="28" t="s">
        <v>23</v>
      </c>
      <c r="AH291" s="2" t="str">
        <f t="shared" si="365"/>
        <v>_</v>
      </c>
      <c r="AI291" s="28" t="s">
        <v>262</v>
      </c>
    </row>
    <row r="292" spans="2:35" x14ac:dyDescent="0.25">
      <c r="B292" s="2" t="str">
        <f t="shared" si="367"/>
        <v>@color-secondary_case_bicycle_no_farzoom</v>
      </c>
      <c r="C292" s="113" t="s">
        <v>226</v>
      </c>
      <c r="D292" s="48" t="s">
        <v>214</v>
      </c>
      <c r="F292" s="113" t="s">
        <v>226</v>
      </c>
      <c r="G292" s="113" t="s">
        <v>226</v>
      </c>
      <c r="I292" s="114" t="str">
        <f>C292</f>
        <v>"#bd430f"</v>
      </c>
      <c r="J292" s="37" t="str">
        <f>D292</f>
        <v>"#000000"</v>
      </c>
      <c r="L292" s="113" t="s">
        <v>226</v>
      </c>
      <c r="M292" s="113" t="s">
        <v>226</v>
      </c>
      <c r="U292" s="113" t="s">
        <v>226</v>
      </c>
      <c r="V292" s="48" t="s">
        <v>214</v>
      </c>
      <c r="X292" s="113" t="s">
        <v>226</v>
      </c>
      <c r="Y292" s="113" t="s">
        <v>226</v>
      </c>
      <c r="AA292" s="28" t="s">
        <v>6</v>
      </c>
      <c r="AB292" s="2" t="str">
        <f t="shared" ref="AB292" si="370">IF(NOT(ISBLANK(AC292)),"-","")</f>
        <v>-</v>
      </c>
      <c r="AC292" s="2" t="s">
        <v>27</v>
      </c>
      <c r="AD292" s="2" t="str">
        <f t="shared" ref="AD292" si="371">IF(NOT(ISBLANK(AE292)),"_","")</f>
        <v>_</v>
      </c>
      <c r="AE292" s="28" t="s">
        <v>17</v>
      </c>
      <c r="AF292" s="2" t="str">
        <f t="shared" ref="AF292" si="372">IF(NOT(ISBLANK(AG292)),"_","")</f>
        <v>_</v>
      </c>
      <c r="AG292" s="28" t="s">
        <v>23</v>
      </c>
      <c r="AH292" s="2" t="str">
        <f t="shared" si="365"/>
        <v>_</v>
      </c>
      <c r="AI292" s="28" t="s">
        <v>20</v>
      </c>
    </row>
    <row r="293" spans="2:35" x14ac:dyDescent="0.25">
      <c r="B293" s="2" t="str">
        <f t="shared" si="367"/>
        <v>@color-secondary_case_unpaved_farzoom</v>
      </c>
      <c r="C293" s="115" t="s">
        <v>227</v>
      </c>
      <c r="D293" s="116" t="s">
        <v>229</v>
      </c>
      <c r="F293" s="116" t="s">
        <v>229</v>
      </c>
      <c r="G293" s="115" t="s">
        <v>227</v>
      </c>
      <c r="I293" s="115" t="s">
        <v>227</v>
      </c>
      <c r="J293" s="116" t="s">
        <v>229</v>
      </c>
      <c r="L293" s="116" t="s">
        <v>229</v>
      </c>
      <c r="M293" s="115" t="s">
        <v>227</v>
      </c>
      <c r="U293" s="115" t="s">
        <v>227</v>
      </c>
      <c r="V293" s="116" t="s">
        <v>229</v>
      </c>
      <c r="X293" s="116" t="s">
        <v>229</v>
      </c>
      <c r="Y293" s="115" t="s">
        <v>227</v>
      </c>
      <c r="AA293" s="28" t="s">
        <v>6</v>
      </c>
      <c r="AB293" s="2" t="str">
        <f>IF(NOT(ISBLANK(AC293)),"-","")</f>
        <v>-</v>
      </c>
      <c r="AC293" s="2" t="s">
        <v>27</v>
      </c>
      <c r="AD293" s="2" t="str">
        <f>IF(NOT(ISBLANK(AE293)),"_","")</f>
        <v>_</v>
      </c>
      <c r="AE293" s="28" t="s">
        <v>17</v>
      </c>
      <c r="AF293" s="2" t="str">
        <f>IF(NOT(ISBLANK(AG293)),"_","")</f>
        <v>_</v>
      </c>
      <c r="AG293" s="28" t="s">
        <v>21</v>
      </c>
      <c r="AH293" s="2" t="str">
        <f>IF(NOT(ISBLANK(AI293)),"_","")</f>
        <v>_</v>
      </c>
      <c r="AI293" s="28" t="s">
        <v>20</v>
      </c>
    </row>
    <row r="294" spans="2:35" x14ac:dyDescent="0.25">
      <c r="B294" s="2" t="str">
        <f t="shared" si="367"/>
        <v>@color-secondary_case_unpaved_default</v>
      </c>
      <c r="C294" s="116" t="s">
        <v>229</v>
      </c>
      <c r="D294" s="116" t="s">
        <v>229</v>
      </c>
      <c r="F294" s="48" t="s">
        <v>214</v>
      </c>
      <c r="G294" s="48" t="s">
        <v>214</v>
      </c>
      <c r="I294" s="116" t="s">
        <v>229</v>
      </c>
      <c r="J294" s="116" t="s">
        <v>229</v>
      </c>
      <c r="L294" s="48" t="s">
        <v>214</v>
      </c>
      <c r="M294" s="48" t="s">
        <v>214</v>
      </c>
      <c r="U294" s="116" t="s">
        <v>229</v>
      </c>
      <c r="V294" s="116" t="s">
        <v>229</v>
      </c>
      <c r="X294" s="48" t="s">
        <v>214</v>
      </c>
      <c r="Y294" s="48" t="s">
        <v>214</v>
      </c>
      <c r="AA294" s="28" t="s">
        <v>6</v>
      </c>
      <c r="AB294" s="2" t="str">
        <f t="shared" si="368"/>
        <v>-</v>
      </c>
      <c r="AC294" s="2" t="s">
        <v>27</v>
      </c>
      <c r="AD294" s="2" t="str">
        <f t="shared" si="369"/>
        <v>_</v>
      </c>
      <c r="AE294" s="28" t="s">
        <v>17</v>
      </c>
      <c r="AF294" s="2" t="str">
        <f t="shared" si="366"/>
        <v>_</v>
      </c>
      <c r="AG294" s="28" t="s">
        <v>21</v>
      </c>
      <c r="AH294" s="28" t="str">
        <f t="shared" ref="AH294:AH296" si="373">IF(NOT(ISBLANK(AI294)),"_","")</f>
        <v>_</v>
      </c>
      <c r="AI294" s="28" t="s">
        <v>262</v>
      </c>
    </row>
    <row r="295" spans="2:35" x14ac:dyDescent="0.25">
      <c r="B295" s="2" t="str">
        <f t="shared" si="367"/>
        <v>@color-secondary_case_paved_or_uk_farzoom</v>
      </c>
      <c r="C295" s="118" t="s">
        <v>228</v>
      </c>
      <c r="D295" s="48" t="s">
        <v>214</v>
      </c>
      <c r="F295" s="118" t="s">
        <v>228</v>
      </c>
      <c r="G295" s="118" t="s">
        <v>228</v>
      </c>
      <c r="I295" s="118" t="s">
        <v>228</v>
      </c>
      <c r="J295" s="48" t="s">
        <v>214</v>
      </c>
      <c r="L295" s="118" t="s">
        <v>228</v>
      </c>
      <c r="M295" s="118" t="s">
        <v>228</v>
      </c>
      <c r="U295" s="118" t="s">
        <v>228</v>
      </c>
      <c r="V295" s="48" t="s">
        <v>214</v>
      </c>
      <c r="X295" s="118" t="s">
        <v>228</v>
      </c>
      <c r="Y295" s="118" t="s">
        <v>228</v>
      </c>
      <c r="AA295" s="2" t="s">
        <v>6</v>
      </c>
      <c r="AB295" s="2" t="str">
        <f t="shared" si="368"/>
        <v>-</v>
      </c>
      <c r="AC295" s="2" t="s">
        <v>27</v>
      </c>
      <c r="AD295" s="2" t="str">
        <f t="shared" si="369"/>
        <v>_</v>
      </c>
      <c r="AE295" s="2" t="s">
        <v>17</v>
      </c>
      <c r="AF295" s="2" t="str">
        <f t="shared" si="366"/>
        <v>_</v>
      </c>
      <c r="AG295" s="2" t="s">
        <v>24</v>
      </c>
      <c r="AH295" s="2" t="str">
        <f t="shared" si="373"/>
        <v>_</v>
      </c>
      <c r="AI295" s="28" t="s">
        <v>20</v>
      </c>
    </row>
    <row r="296" spans="2:35" x14ac:dyDescent="0.25">
      <c r="B296" s="2" t="str">
        <f t="shared" si="367"/>
        <v>@color-secondary_case_paved_or_uk_default</v>
      </c>
      <c r="C296" s="124" t="s">
        <v>230</v>
      </c>
      <c r="D296" s="48" t="s">
        <v>214</v>
      </c>
      <c r="F296" s="48" t="s">
        <v>214</v>
      </c>
      <c r="G296" s="48" t="s">
        <v>214</v>
      </c>
      <c r="I296" s="124" t="s">
        <v>230</v>
      </c>
      <c r="J296" s="48" t="s">
        <v>214</v>
      </c>
      <c r="L296" s="48" t="s">
        <v>214</v>
      </c>
      <c r="M296" s="48" t="s">
        <v>214</v>
      </c>
      <c r="U296" s="124" t="s">
        <v>230</v>
      </c>
      <c r="V296" s="48" t="s">
        <v>214</v>
      </c>
      <c r="X296" s="48" t="s">
        <v>214</v>
      </c>
      <c r="Y296" s="48" t="s">
        <v>214</v>
      </c>
      <c r="AA296" s="2" t="s">
        <v>6</v>
      </c>
      <c r="AB296" s="2" t="str">
        <f t="shared" si="368"/>
        <v>-</v>
      </c>
      <c r="AC296" s="2" t="s">
        <v>27</v>
      </c>
      <c r="AD296" s="2" t="str">
        <f t="shared" si="369"/>
        <v>_</v>
      </c>
      <c r="AE296" s="2" t="s">
        <v>17</v>
      </c>
      <c r="AF296" s="2" t="str">
        <f t="shared" si="366"/>
        <v>_</v>
      </c>
      <c r="AG296" s="2" t="s">
        <v>24</v>
      </c>
      <c r="AH296" s="2" t="str">
        <f t="shared" si="373"/>
        <v>_</v>
      </c>
      <c r="AI296" s="28" t="s">
        <v>262</v>
      </c>
    </row>
    <row r="297" spans="2:35" x14ac:dyDescent="0.25">
      <c r="B297" s="2" t="str">
        <f t="shared" si="367"/>
        <v>@color-secondary_line_bicycle_no</v>
      </c>
      <c r="C297" s="122" t="s">
        <v>231</v>
      </c>
      <c r="D297" s="110" t="s">
        <v>215</v>
      </c>
      <c r="F297" s="122" t="s">
        <v>231</v>
      </c>
      <c r="G297" s="110" t="s">
        <v>215</v>
      </c>
      <c r="I297" s="123" t="str">
        <f>C297</f>
        <v>"#ffcc8a"</v>
      </c>
      <c r="J297" s="112" t="str">
        <f>D297</f>
        <v>"#d6771e"</v>
      </c>
      <c r="L297" s="122" t="s">
        <v>231</v>
      </c>
      <c r="M297" s="110" t="s">
        <v>215</v>
      </c>
      <c r="U297" s="122" t="s">
        <v>231</v>
      </c>
      <c r="V297" s="110" t="s">
        <v>215</v>
      </c>
      <c r="X297" s="122" t="s">
        <v>231</v>
      </c>
      <c r="Y297" s="110" t="s">
        <v>215</v>
      </c>
      <c r="AA297" s="28" t="s">
        <v>6</v>
      </c>
      <c r="AB297" s="2" t="str">
        <f t="shared" si="368"/>
        <v>-</v>
      </c>
      <c r="AC297" s="2" t="s">
        <v>27</v>
      </c>
      <c r="AD297" s="2" t="str">
        <f t="shared" si="369"/>
        <v>_</v>
      </c>
      <c r="AE297" s="28" t="s">
        <v>13</v>
      </c>
      <c r="AF297" s="2" t="str">
        <f t="shared" si="366"/>
        <v>_</v>
      </c>
      <c r="AG297" s="28" t="s">
        <v>23</v>
      </c>
      <c r="AH297" s="2" t="str">
        <f t="shared" ref="AH297:AH391" si="374">IF(NOT(ISBLANK(AI297)),"_","")</f>
        <v/>
      </c>
    </row>
    <row r="298" spans="2:35" x14ac:dyDescent="0.25">
      <c r="B298" s="2" t="str">
        <f t="shared" si="367"/>
        <v>@color-secondary_line_unpaved_default</v>
      </c>
      <c r="C298" s="120" t="s">
        <v>221</v>
      </c>
      <c r="D298" s="121" t="str">
        <f>C298</f>
        <v>"#eddfca"</v>
      </c>
      <c r="F298" s="120" t="s">
        <v>221</v>
      </c>
      <c r="G298" s="121" t="str">
        <f>F298</f>
        <v>"#eddfca"</v>
      </c>
      <c r="I298" s="120" t="s">
        <v>221</v>
      </c>
      <c r="J298" s="121" t="str">
        <f>I298</f>
        <v>"#eddfca"</v>
      </c>
      <c r="L298" s="120" t="s">
        <v>221</v>
      </c>
      <c r="M298" s="121" t="str">
        <f>L298</f>
        <v>"#eddfca"</v>
      </c>
      <c r="U298" s="120" t="s">
        <v>221</v>
      </c>
      <c r="V298" s="121" t="str">
        <f>U298</f>
        <v>"#eddfca"</v>
      </c>
      <c r="X298" s="120" t="s">
        <v>221</v>
      </c>
      <c r="Y298" s="121" t="str">
        <f>X298</f>
        <v>"#eddfca"</v>
      </c>
      <c r="AA298" s="2" t="s">
        <v>6</v>
      </c>
      <c r="AB298" s="2" t="str">
        <f t="shared" si="368"/>
        <v>-</v>
      </c>
      <c r="AC298" s="2" t="s">
        <v>27</v>
      </c>
      <c r="AD298" s="2" t="str">
        <f t="shared" si="369"/>
        <v>_</v>
      </c>
      <c r="AE298" s="2" t="s">
        <v>13</v>
      </c>
      <c r="AF298" s="2" t="str">
        <f t="shared" si="366"/>
        <v>_</v>
      </c>
      <c r="AG298" s="2" t="s">
        <v>21</v>
      </c>
      <c r="AH298" s="2" t="str">
        <f t="shared" si="374"/>
        <v>_</v>
      </c>
      <c r="AI298" s="28" t="s">
        <v>262</v>
      </c>
    </row>
    <row r="299" spans="2:35" x14ac:dyDescent="0.25">
      <c r="B299" s="2" t="str">
        <f t="shared" si="367"/>
        <v>@color-secondary_line_paved_or_uk_default</v>
      </c>
      <c r="C299" s="47" t="s">
        <v>222</v>
      </c>
      <c r="D299" s="38" t="str">
        <f>C299</f>
        <v>"#ffffff"</v>
      </c>
      <c r="F299" s="47" t="s">
        <v>222</v>
      </c>
      <c r="G299" s="38" t="str">
        <f>F299</f>
        <v>"#ffffff"</v>
      </c>
      <c r="I299" s="47" t="s">
        <v>222</v>
      </c>
      <c r="J299" s="38" t="str">
        <f>I299</f>
        <v>"#ffffff"</v>
      </c>
      <c r="L299" s="47" t="s">
        <v>222</v>
      </c>
      <c r="M299" s="38" t="str">
        <f>L299</f>
        <v>"#ffffff"</v>
      </c>
      <c r="U299" s="47" t="s">
        <v>222</v>
      </c>
      <c r="V299" s="38" t="str">
        <f>U299</f>
        <v>"#ffffff"</v>
      </c>
      <c r="X299" s="47" t="s">
        <v>222</v>
      </c>
      <c r="Y299" s="38" t="str">
        <f>X299</f>
        <v>"#ffffff"</v>
      </c>
      <c r="AA299" s="2" t="s">
        <v>6</v>
      </c>
      <c r="AB299" s="2" t="str">
        <f t="shared" si="368"/>
        <v>-</v>
      </c>
      <c r="AC299" s="2" t="s">
        <v>27</v>
      </c>
      <c r="AD299" s="2" t="str">
        <f t="shared" si="369"/>
        <v>_</v>
      </c>
      <c r="AE299" s="2" t="s">
        <v>13</v>
      </c>
      <c r="AF299" s="2" t="str">
        <f t="shared" si="366"/>
        <v>_</v>
      </c>
      <c r="AG299" s="28" t="s">
        <v>24</v>
      </c>
      <c r="AH299" s="28" t="str">
        <f t="shared" si="374"/>
        <v>_</v>
      </c>
      <c r="AI299" s="28" t="s">
        <v>262</v>
      </c>
    </row>
    <row r="300" spans="2:35" x14ac:dyDescent="0.25">
      <c r="B300" s="2"/>
      <c r="C300" s="26"/>
      <c r="D300" s="26"/>
      <c r="I300" s="26"/>
      <c r="U300" s="26"/>
      <c r="V300" s="26"/>
      <c r="AB300" s="2"/>
      <c r="AD300" s="2"/>
      <c r="AF300" s="2" t="str">
        <f t="shared" si="364"/>
        <v/>
      </c>
      <c r="AH300" s="2" t="str">
        <f t="shared" si="374"/>
        <v/>
      </c>
    </row>
    <row r="301" spans="2:35" x14ac:dyDescent="0.25">
      <c r="B301" s="2" t="str">
        <f t="shared" ref="B301:B309" si="375">_xlfn.CONCAT("@",AA301,AB301,AC301,AD301,AE301,AF301,AG301,AH301,AI301)</f>
        <v>@color-tertiary_case_bicycle_no_default</v>
      </c>
      <c r="C301" s="113" t="s">
        <v>226</v>
      </c>
      <c r="D301" s="48" t="s">
        <v>214</v>
      </c>
      <c r="F301" s="48" t="s">
        <v>214</v>
      </c>
      <c r="G301" s="48" t="s">
        <v>214</v>
      </c>
      <c r="I301" s="114" t="str">
        <f>C301</f>
        <v>"#bd430f"</v>
      </c>
      <c r="J301" s="37" t="str">
        <f>D301</f>
        <v>"#000000"</v>
      </c>
      <c r="L301" s="48" t="s">
        <v>214</v>
      </c>
      <c r="M301" s="48" t="s">
        <v>214</v>
      </c>
      <c r="U301" s="113" t="s">
        <v>226</v>
      </c>
      <c r="V301" s="48" t="s">
        <v>214</v>
      </c>
      <c r="X301" s="48" t="s">
        <v>214</v>
      </c>
      <c r="Y301" s="48" t="s">
        <v>214</v>
      </c>
      <c r="AA301" s="28" t="s">
        <v>6</v>
      </c>
      <c r="AB301" s="2" t="str">
        <f t="shared" ref="AB301:AB303" si="376">IF(NOT(ISBLANK(AC301)),"-","")</f>
        <v>-</v>
      </c>
      <c r="AC301" s="2" t="s">
        <v>26</v>
      </c>
      <c r="AD301" s="2" t="str">
        <f t="shared" ref="AD301:AD303" si="377">IF(NOT(ISBLANK(AE301)),"_","")</f>
        <v>_</v>
      </c>
      <c r="AE301" s="28" t="s">
        <v>17</v>
      </c>
      <c r="AF301" s="2" t="str">
        <f t="shared" ref="AF301:AF303" si="378">IF(NOT(ISBLANK(AG301)),"_","")</f>
        <v>_</v>
      </c>
      <c r="AG301" s="28" t="s">
        <v>23</v>
      </c>
      <c r="AH301" s="2" t="str">
        <f t="shared" si="374"/>
        <v>_</v>
      </c>
      <c r="AI301" s="28" t="s">
        <v>262</v>
      </c>
    </row>
    <row r="302" spans="2:35" x14ac:dyDescent="0.25">
      <c r="B302" s="2" t="str">
        <f t="shared" si="375"/>
        <v>@color-tertiary_case_bicycle_no_farzoom</v>
      </c>
      <c r="C302" s="113" t="s">
        <v>226</v>
      </c>
      <c r="D302" s="48" t="s">
        <v>214</v>
      </c>
      <c r="F302" s="113" t="s">
        <v>226</v>
      </c>
      <c r="G302" s="113" t="s">
        <v>226</v>
      </c>
      <c r="I302" s="114" t="str">
        <f>C302</f>
        <v>"#bd430f"</v>
      </c>
      <c r="J302" s="37" t="str">
        <f>D302</f>
        <v>"#000000"</v>
      </c>
      <c r="L302" s="113" t="s">
        <v>226</v>
      </c>
      <c r="M302" s="113" t="s">
        <v>226</v>
      </c>
      <c r="U302" s="113" t="s">
        <v>226</v>
      </c>
      <c r="V302" s="48" t="s">
        <v>214</v>
      </c>
      <c r="X302" s="113" t="s">
        <v>226</v>
      </c>
      <c r="Y302" s="113" t="s">
        <v>226</v>
      </c>
      <c r="AA302" s="28" t="s">
        <v>6</v>
      </c>
      <c r="AB302" s="2" t="str">
        <f t="shared" ref="AB302" si="379">IF(NOT(ISBLANK(AC302)),"-","")</f>
        <v>-</v>
      </c>
      <c r="AC302" s="2" t="s">
        <v>26</v>
      </c>
      <c r="AD302" s="2" t="str">
        <f t="shared" ref="AD302" si="380">IF(NOT(ISBLANK(AE302)),"_","")</f>
        <v>_</v>
      </c>
      <c r="AE302" s="28" t="s">
        <v>17</v>
      </c>
      <c r="AF302" s="2" t="str">
        <f t="shared" ref="AF302" si="381">IF(NOT(ISBLANK(AG302)),"_","")</f>
        <v>_</v>
      </c>
      <c r="AG302" s="28" t="s">
        <v>23</v>
      </c>
      <c r="AH302" s="2" t="str">
        <f t="shared" si="374"/>
        <v>_</v>
      </c>
      <c r="AI302" s="28" t="s">
        <v>20</v>
      </c>
    </row>
    <row r="303" spans="2:35" x14ac:dyDescent="0.25">
      <c r="B303" s="2" t="str">
        <f t="shared" si="375"/>
        <v>@color-tertiary_case_unpaved_farzoom</v>
      </c>
      <c r="C303" s="115" t="s">
        <v>227</v>
      </c>
      <c r="D303" s="116" t="s">
        <v>229</v>
      </c>
      <c r="F303" s="116" t="s">
        <v>229</v>
      </c>
      <c r="G303" s="115" t="s">
        <v>227</v>
      </c>
      <c r="I303" s="115" t="s">
        <v>227</v>
      </c>
      <c r="J303" s="116" t="s">
        <v>229</v>
      </c>
      <c r="L303" s="116" t="s">
        <v>229</v>
      </c>
      <c r="M303" s="115" t="s">
        <v>227</v>
      </c>
      <c r="U303" s="115" t="s">
        <v>227</v>
      </c>
      <c r="V303" s="116" t="s">
        <v>229</v>
      </c>
      <c r="X303" s="116" t="s">
        <v>229</v>
      </c>
      <c r="Y303" s="115" t="s">
        <v>227</v>
      </c>
      <c r="AA303" s="28" t="s">
        <v>6</v>
      </c>
      <c r="AB303" s="2" t="str">
        <f t="shared" si="376"/>
        <v>-</v>
      </c>
      <c r="AC303" s="2" t="s">
        <v>26</v>
      </c>
      <c r="AD303" s="2" t="str">
        <f t="shared" si="377"/>
        <v>_</v>
      </c>
      <c r="AE303" s="28" t="s">
        <v>17</v>
      </c>
      <c r="AF303" s="2" t="str">
        <f t="shared" si="378"/>
        <v>_</v>
      </c>
      <c r="AG303" s="28" t="s">
        <v>21</v>
      </c>
      <c r="AH303" s="2" t="str">
        <f>IF(NOT(ISBLANK(AI303)),"_","")</f>
        <v>_</v>
      </c>
      <c r="AI303" s="28" t="s">
        <v>20</v>
      </c>
    </row>
    <row r="304" spans="2:35" x14ac:dyDescent="0.25">
      <c r="B304" s="2" t="str">
        <f t="shared" si="375"/>
        <v>@color-tertiary_case_unpaved_default</v>
      </c>
      <c r="C304" s="116" t="s">
        <v>229</v>
      </c>
      <c r="D304" s="116" t="s">
        <v>229</v>
      </c>
      <c r="F304" s="48" t="s">
        <v>214</v>
      </c>
      <c r="G304" s="48" t="s">
        <v>214</v>
      </c>
      <c r="I304" s="116" t="s">
        <v>229</v>
      </c>
      <c r="J304" s="116" t="s">
        <v>229</v>
      </c>
      <c r="L304" s="48" t="s">
        <v>214</v>
      </c>
      <c r="M304" s="48" t="s">
        <v>214</v>
      </c>
      <c r="U304" s="116" t="s">
        <v>229</v>
      </c>
      <c r="V304" s="116" t="s">
        <v>229</v>
      </c>
      <c r="X304" s="48" t="s">
        <v>214</v>
      </c>
      <c r="Y304" s="48" t="s">
        <v>214</v>
      </c>
      <c r="AA304" s="28" t="s">
        <v>6</v>
      </c>
      <c r="AB304" s="2" t="str">
        <f t="shared" ref="AB304:AB309" si="382">IF(NOT(ISBLANK(AC304)),"-","")</f>
        <v>-</v>
      </c>
      <c r="AC304" s="2" t="s">
        <v>26</v>
      </c>
      <c r="AD304" s="2" t="str">
        <f t="shared" ref="AD304:AD309" si="383">IF(NOT(ISBLANK(AE304)),"_","")</f>
        <v>_</v>
      </c>
      <c r="AE304" s="28" t="s">
        <v>17</v>
      </c>
      <c r="AF304" s="2" t="str">
        <f t="shared" si="364"/>
        <v>_</v>
      </c>
      <c r="AG304" s="28" t="s">
        <v>21</v>
      </c>
      <c r="AH304" s="28" t="str">
        <f t="shared" ref="AH304:AH309" si="384">IF(NOT(ISBLANK(AI304)),"_","")</f>
        <v>_</v>
      </c>
      <c r="AI304" s="28" t="s">
        <v>262</v>
      </c>
    </row>
    <row r="305" spans="1:35" x14ac:dyDescent="0.25">
      <c r="B305" s="2" t="str">
        <f t="shared" si="375"/>
        <v>@color-tertiary_case_paved_or_uk_farzoom</v>
      </c>
      <c r="C305" s="118" t="s">
        <v>228</v>
      </c>
      <c r="D305" s="48" t="s">
        <v>214</v>
      </c>
      <c r="F305" s="118" t="s">
        <v>228</v>
      </c>
      <c r="G305" s="118" t="s">
        <v>228</v>
      </c>
      <c r="I305" s="118" t="s">
        <v>228</v>
      </c>
      <c r="J305" s="48" t="s">
        <v>214</v>
      </c>
      <c r="L305" s="118" t="s">
        <v>228</v>
      </c>
      <c r="M305" s="118" t="s">
        <v>228</v>
      </c>
      <c r="U305" s="118" t="s">
        <v>228</v>
      </c>
      <c r="V305" s="48" t="s">
        <v>214</v>
      </c>
      <c r="X305" s="118" t="s">
        <v>228</v>
      </c>
      <c r="Y305" s="118" t="s">
        <v>228</v>
      </c>
      <c r="AA305" s="2" t="s">
        <v>6</v>
      </c>
      <c r="AB305" s="2" t="str">
        <f t="shared" ref="AB305" si="385">IF(NOT(ISBLANK(AC305)),"-","")</f>
        <v>-</v>
      </c>
      <c r="AC305" s="2" t="s">
        <v>26</v>
      </c>
      <c r="AD305" s="2" t="str">
        <f t="shared" ref="AD305" si="386">IF(NOT(ISBLANK(AE305)),"_","")</f>
        <v>_</v>
      </c>
      <c r="AE305" s="2" t="s">
        <v>17</v>
      </c>
      <c r="AF305" s="2" t="str">
        <f t="shared" ref="AF305" si="387">IF(NOT(ISBLANK(AG305)),"_","")</f>
        <v>_</v>
      </c>
      <c r="AG305" s="2" t="s">
        <v>24</v>
      </c>
      <c r="AH305" s="2" t="str">
        <f t="shared" si="384"/>
        <v>_</v>
      </c>
      <c r="AI305" s="28" t="s">
        <v>20</v>
      </c>
    </row>
    <row r="306" spans="1:35" x14ac:dyDescent="0.25">
      <c r="B306" s="2" t="str">
        <f t="shared" si="375"/>
        <v>@color-tertiary_case_paved_or_uk_default</v>
      </c>
      <c r="C306" s="124" t="s">
        <v>230</v>
      </c>
      <c r="D306" s="48" t="s">
        <v>214</v>
      </c>
      <c r="F306" s="48" t="s">
        <v>214</v>
      </c>
      <c r="G306" s="48" t="s">
        <v>214</v>
      </c>
      <c r="I306" s="124" t="s">
        <v>230</v>
      </c>
      <c r="J306" s="48" t="s">
        <v>214</v>
      </c>
      <c r="L306" s="48" t="s">
        <v>214</v>
      </c>
      <c r="M306" s="48" t="s">
        <v>214</v>
      </c>
      <c r="U306" s="124" t="s">
        <v>230</v>
      </c>
      <c r="V306" s="48" t="s">
        <v>214</v>
      </c>
      <c r="X306" s="48" t="s">
        <v>214</v>
      </c>
      <c r="Y306" s="48" t="s">
        <v>214</v>
      </c>
      <c r="AA306" s="2" t="s">
        <v>6</v>
      </c>
      <c r="AB306" s="2" t="str">
        <f t="shared" si="382"/>
        <v>-</v>
      </c>
      <c r="AC306" s="2" t="s">
        <v>26</v>
      </c>
      <c r="AD306" s="2" t="str">
        <f t="shared" si="383"/>
        <v>_</v>
      </c>
      <c r="AE306" s="2" t="s">
        <v>17</v>
      </c>
      <c r="AF306" s="2" t="str">
        <f t="shared" si="364"/>
        <v>_</v>
      </c>
      <c r="AG306" s="2" t="s">
        <v>24</v>
      </c>
      <c r="AH306" s="2" t="str">
        <f t="shared" si="384"/>
        <v>_</v>
      </c>
      <c r="AI306" s="28" t="s">
        <v>262</v>
      </c>
    </row>
    <row r="307" spans="1:35" x14ac:dyDescent="0.25">
      <c r="B307" s="2" t="str">
        <f t="shared" si="375"/>
        <v>@color-tertiary_line_bicycle_no</v>
      </c>
      <c r="C307" s="122" t="s">
        <v>231</v>
      </c>
      <c r="D307" s="110" t="s">
        <v>215</v>
      </c>
      <c r="F307" s="122" t="s">
        <v>231</v>
      </c>
      <c r="G307" s="110" t="s">
        <v>215</v>
      </c>
      <c r="I307" s="123" t="str">
        <f>C307</f>
        <v>"#ffcc8a"</v>
      </c>
      <c r="J307" s="112" t="str">
        <f>D307</f>
        <v>"#d6771e"</v>
      </c>
      <c r="L307" s="122" t="s">
        <v>231</v>
      </c>
      <c r="M307" s="110" t="s">
        <v>215</v>
      </c>
      <c r="U307" s="122" t="s">
        <v>231</v>
      </c>
      <c r="V307" s="110" t="s">
        <v>215</v>
      </c>
      <c r="X307" s="122" t="s">
        <v>231</v>
      </c>
      <c r="Y307" s="110" t="s">
        <v>215</v>
      </c>
      <c r="AA307" s="28" t="s">
        <v>6</v>
      </c>
      <c r="AB307" s="2" t="str">
        <f t="shared" si="382"/>
        <v>-</v>
      </c>
      <c r="AC307" s="2" t="s">
        <v>26</v>
      </c>
      <c r="AD307" s="2" t="str">
        <f t="shared" si="383"/>
        <v>_</v>
      </c>
      <c r="AE307" s="28" t="s">
        <v>13</v>
      </c>
      <c r="AF307" s="2" t="str">
        <f t="shared" si="364"/>
        <v>_</v>
      </c>
      <c r="AG307" s="28" t="s">
        <v>23</v>
      </c>
      <c r="AH307" s="2" t="str">
        <f t="shared" si="384"/>
        <v/>
      </c>
    </row>
    <row r="308" spans="1:35" x14ac:dyDescent="0.25">
      <c r="B308" s="2" t="str">
        <f t="shared" si="375"/>
        <v>@color-tertiary_line_unpaved_default</v>
      </c>
      <c r="C308" s="120" t="s">
        <v>221</v>
      </c>
      <c r="D308" s="121" t="str">
        <f>C308</f>
        <v>"#eddfca"</v>
      </c>
      <c r="F308" s="120" t="s">
        <v>221</v>
      </c>
      <c r="G308" s="121" t="str">
        <f>F308</f>
        <v>"#eddfca"</v>
      </c>
      <c r="I308" s="120" t="s">
        <v>221</v>
      </c>
      <c r="J308" s="121" t="str">
        <f>I308</f>
        <v>"#eddfca"</v>
      </c>
      <c r="L308" s="120" t="s">
        <v>221</v>
      </c>
      <c r="M308" s="121" t="str">
        <f>L308</f>
        <v>"#eddfca"</v>
      </c>
      <c r="U308" s="120" t="s">
        <v>221</v>
      </c>
      <c r="V308" s="121" t="str">
        <f>U308</f>
        <v>"#eddfca"</v>
      </c>
      <c r="X308" s="120" t="s">
        <v>221</v>
      </c>
      <c r="Y308" s="121" t="str">
        <f>X308</f>
        <v>"#eddfca"</v>
      </c>
      <c r="AA308" s="2" t="s">
        <v>6</v>
      </c>
      <c r="AB308" s="2" t="str">
        <f t="shared" si="382"/>
        <v>-</v>
      </c>
      <c r="AC308" s="2" t="s">
        <v>26</v>
      </c>
      <c r="AD308" s="2" t="str">
        <f t="shared" si="383"/>
        <v>_</v>
      </c>
      <c r="AE308" s="2" t="s">
        <v>13</v>
      </c>
      <c r="AF308" s="2" t="str">
        <f t="shared" si="364"/>
        <v>_</v>
      </c>
      <c r="AG308" s="2" t="s">
        <v>21</v>
      </c>
      <c r="AH308" s="2" t="str">
        <f t="shared" si="384"/>
        <v>_</v>
      </c>
      <c r="AI308" s="28" t="s">
        <v>262</v>
      </c>
    </row>
    <row r="309" spans="1:35" x14ac:dyDescent="0.25">
      <c r="B309" s="2" t="str">
        <f t="shared" si="375"/>
        <v>@color-tertiary_line_paved_or_uk_default</v>
      </c>
      <c r="C309" s="47" t="s">
        <v>222</v>
      </c>
      <c r="D309" s="38" t="str">
        <f>C309</f>
        <v>"#ffffff"</v>
      </c>
      <c r="F309" s="47" t="s">
        <v>222</v>
      </c>
      <c r="G309" s="38" t="str">
        <f>F309</f>
        <v>"#ffffff"</v>
      </c>
      <c r="I309" s="47" t="s">
        <v>222</v>
      </c>
      <c r="J309" s="38" t="str">
        <f>I309</f>
        <v>"#ffffff"</v>
      </c>
      <c r="L309" s="47" t="s">
        <v>222</v>
      </c>
      <c r="M309" s="38" t="str">
        <f>L309</f>
        <v>"#ffffff"</v>
      </c>
      <c r="U309" s="47" t="s">
        <v>222</v>
      </c>
      <c r="V309" s="38" t="str">
        <f>U309</f>
        <v>"#ffffff"</v>
      </c>
      <c r="X309" s="47" t="s">
        <v>222</v>
      </c>
      <c r="Y309" s="38" t="str">
        <f>X309</f>
        <v>"#ffffff"</v>
      </c>
      <c r="AA309" s="2" t="s">
        <v>6</v>
      </c>
      <c r="AB309" s="2" t="str">
        <f t="shared" si="382"/>
        <v>-</v>
      </c>
      <c r="AC309" s="2" t="s">
        <v>26</v>
      </c>
      <c r="AD309" s="2" t="str">
        <f t="shared" si="383"/>
        <v>_</v>
      </c>
      <c r="AE309" s="2" t="s">
        <v>13</v>
      </c>
      <c r="AF309" s="2" t="str">
        <f t="shared" si="364"/>
        <v>_</v>
      </c>
      <c r="AG309" s="28" t="s">
        <v>24</v>
      </c>
      <c r="AH309" s="28" t="str">
        <f t="shared" si="384"/>
        <v>_</v>
      </c>
      <c r="AI309" s="28" t="s">
        <v>262</v>
      </c>
    </row>
    <row r="310" spans="1:35" x14ac:dyDescent="0.25">
      <c r="B310" s="2"/>
      <c r="C310" s="153"/>
      <c r="D310" s="154"/>
      <c r="E310" s="154"/>
      <c r="F310" s="153"/>
      <c r="G310" s="154"/>
      <c r="H310" s="154"/>
      <c r="I310" s="154"/>
      <c r="J310" s="154"/>
      <c r="K310" s="154"/>
      <c r="L310" s="153"/>
      <c r="M310" s="154"/>
      <c r="U310" s="152"/>
      <c r="V310" s="152"/>
      <c r="X310" s="152"/>
      <c r="Y310" s="152"/>
      <c r="AA310" s="2"/>
      <c r="AB310" s="2"/>
      <c r="AC310" s="2"/>
      <c r="AD310" s="2"/>
      <c r="AE310" s="2"/>
      <c r="AF310" s="2"/>
      <c r="AG310" s="2"/>
      <c r="AH310" s="2"/>
      <c r="AI310" s="2"/>
    </row>
    <row r="311" spans="1:35" x14ac:dyDescent="0.25">
      <c r="B311" s="2" t="str">
        <f t="shared" ref="B311:B314" si="388">_xlfn.CONCAT("@",AA311,AB311,AC311,AD311,AE311,AF311,AG311,AH311,AI311)</f>
        <v>@dasharray-tertiary_case_medium_dash</v>
      </c>
      <c r="C311" s="155" t="s">
        <v>341</v>
      </c>
      <c r="D311" s="155" t="s">
        <v>341</v>
      </c>
      <c r="E311" s="155"/>
      <c r="F311" s="155" t="s">
        <v>341</v>
      </c>
      <c r="G311" s="155" t="s">
        <v>341</v>
      </c>
      <c r="H311" s="155"/>
      <c r="I311" s="155" t="s">
        <v>92</v>
      </c>
      <c r="J311" s="155" t="s">
        <v>92</v>
      </c>
      <c r="K311" s="155"/>
      <c r="L311" s="155" t="s">
        <v>92</v>
      </c>
      <c r="M311" s="155" t="s">
        <v>92</v>
      </c>
      <c r="N311" s="156"/>
      <c r="U311" s="155" t="s">
        <v>341</v>
      </c>
      <c r="V311" s="155" t="s">
        <v>341</v>
      </c>
      <c r="W311" s="155"/>
      <c r="X311" s="155" t="s">
        <v>341</v>
      </c>
      <c r="Y311" s="155" t="s">
        <v>341</v>
      </c>
      <c r="AA311" s="2" t="s">
        <v>385</v>
      </c>
      <c r="AB311" s="2" t="str">
        <f t="shared" ref="AB311:AB314" si="389">IF(NOT(ISBLANK(AC311)),"-","")</f>
        <v>-</v>
      </c>
      <c r="AC311" s="2" t="s">
        <v>26</v>
      </c>
      <c r="AD311" s="2" t="str">
        <f t="shared" ref="AD311:AD314" si="390">IF(NOT(ISBLANK(AE311)),"_","")</f>
        <v>_</v>
      </c>
      <c r="AE311" s="2" t="s">
        <v>17</v>
      </c>
      <c r="AF311" s="2" t="str">
        <f t="shared" ref="AF311:AF314" si="391">IF(NOT(ISBLANK(AG311)),"_","")</f>
        <v>_</v>
      </c>
      <c r="AG311" s="2" t="s">
        <v>79</v>
      </c>
      <c r="AH311" s="2" t="str">
        <f t="shared" ref="AH311:AH314" si="392">IF(NOT(ISBLANK(AI311)),"_","")</f>
        <v>_</v>
      </c>
      <c r="AI311" s="2" t="s">
        <v>387</v>
      </c>
    </row>
    <row r="312" spans="1:35" x14ac:dyDescent="0.25">
      <c r="B312" s="2" t="str">
        <f t="shared" si="388"/>
        <v>@dasharray-tertiary_case_medium_gap</v>
      </c>
      <c r="C312" s="155" t="s">
        <v>389</v>
      </c>
      <c r="D312" s="155" t="s">
        <v>389</v>
      </c>
      <c r="E312" s="155"/>
      <c r="F312" s="155" t="s">
        <v>389</v>
      </c>
      <c r="G312" s="155" t="s">
        <v>389</v>
      </c>
      <c r="H312" s="155"/>
      <c r="I312" s="155" t="s">
        <v>96</v>
      </c>
      <c r="J312" s="155" t="s">
        <v>96</v>
      </c>
      <c r="K312" s="155"/>
      <c r="L312" s="155" t="s">
        <v>96</v>
      </c>
      <c r="M312" s="155" t="s">
        <v>96</v>
      </c>
      <c r="N312" s="156"/>
      <c r="U312" s="155" t="s">
        <v>389</v>
      </c>
      <c r="V312" s="155" t="s">
        <v>389</v>
      </c>
      <c r="W312" s="155"/>
      <c r="X312" s="155" t="s">
        <v>389</v>
      </c>
      <c r="Y312" s="155" t="s">
        <v>389</v>
      </c>
      <c r="AA312" s="2" t="s">
        <v>385</v>
      </c>
      <c r="AB312" s="2" t="str">
        <f t="shared" si="389"/>
        <v>-</v>
      </c>
      <c r="AC312" s="2" t="s">
        <v>26</v>
      </c>
      <c r="AD312" s="2" t="str">
        <f t="shared" si="390"/>
        <v>_</v>
      </c>
      <c r="AE312" s="2" t="s">
        <v>17</v>
      </c>
      <c r="AF312" s="2" t="str">
        <f t="shared" si="391"/>
        <v>_</v>
      </c>
      <c r="AG312" s="2" t="s">
        <v>79</v>
      </c>
      <c r="AH312" s="2" t="str">
        <f t="shared" si="392"/>
        <v>_</v>
      </c>
      <c r="AI312" s="2" t="s">
        <v>388</v>
      </c>
    </row>
    <row r="313" spans="1:35" x14ac:dyDescent="0.25">
      <c r="B313" s="2" t="str">
        <f t="shared" si="388"/>
        <v>@dasharray-tertiary_case_rough_dash</v>
      </c>
      <c r="C313" s="155" t="s">
        <v>341</v>
      </c>
      <c r="D313" s="155" t="s">
        <v>341</v>
      </c>
      <c r="E313" s="155"/>
      <c r="F313" s="155" t="s">
        <v>341</v>
      </c>
      <c r="G313" s="155" t="s">
        <v>341</v>
      </c>
      <c r="H313" s="155"/>
      <c r="I313" s="155" t="s">
        <v>97</v>
      </c>
      <c r="J313" s="155" t="s">
        <v>97</v>
      </c>
      <c r="K313" s="155"/>
      <c r="L313" s="155" t="s">
        <v>97</v>
      </c>
      <c r="M313" s="155" t="s">
        <v>97</v>
      </c>
      <c r="N313" s="156"/>
      <c r="U313" s="155" t="s">
        <v>341</v>
      </c>
      <c r="V313" s="155" t="s">
        <v>341</v>
      </c>
      <c r="W313" s="155"/>
      <c r="X313" s="155" t="s">
        <v>341</v>
      </c>
      <c r="Y313" s="155" t="s">
        <v>341</v>
      </c>
      <c r="AA313" s="2" t="s">
        <v>385</v>
      </c>
      <c r="AB313" s="2" t="str">
        <f t="shared" si="389"/>
        <v>-</v>
      </c>
      <c r="AC313" s="2" t="s">
        <v>26</v>
      </c>
      <c r="AD313" s="2" t="str">
        <f t="shared" si="390"/>
        <v>_</v>
      </c>
      <c r="AE313" s="2" t="s">
        <v>17</v>
      </c>
      <c r="AF313" s="2" t="str">
        <f t="shared" si="391"/>
        <v>_</v>
      </c>
      <c r="AG313" s="2" t="s">
        <v>386</v>
      </c>
      <c r="AH313" s="2" t="str">
        <f t="shared" si="392"/>
        <v>_</v>
      </c>
      <c r="AI313" s="2" t="s">
        <v>387</v>
      </c>
    </row>
    <row r="314" spans="1:35" x14ac:dyDescent="0.25">
      <c r="B314" s="2" t="str">
        <f t="shared" si="388"/>
        <v>@dasharray-tertiary_case_rough_gap</v>
      </c>
      <c r="C314" s="155" t="s">
        <v>389</v>
      </c>
      <c r="D314" s="155" t="s">
        <v>389</v>
      </c>
      <c r="E314" s="155"/>
      <c r="F314" s="155" t="s">
        <v>389</v>
      </c>
      <c r="G314" s="155" t="s">
        <v>389</v>
      </c>
      <c r="H314" s="155"/>
      <c r="I314" s="155" t="s">
        <v>96</v>
      </c>
      <c r="J314" s="155" t="s">
        <v>96</v>
      </c>
      <c r="K314" s="155"/>
      <c r="L314" s="155" t="s">
        <v>96</v>
      </c>
      <c r="M314" s="155" t="s">
        <v>96</v>
      </c>
      <c r="N314" s="156"/>
      <c r="U314" s="155" t="s">
        <v>389</v>
      </c>
      <c r="V314" s="155" t="s">
        <v>389</v>
      </c>
      <c r="W314" s="155"/>
      <c r="X314" s="155" t="s">
        <v>389</v>
      </c>
      <c r="Y314" s="155" t="s">
        <v>389</v>
      </c>
      <c r="AA314" s="2" t="s">
        <v>385</v>
      </c>
      <c r="AB314" s="2" t="str">
        <f t="shared" si="389"/>
        <v>-</v>
      </c>
      <c r="AC314" s="2" t="s">
        <v>26</v>
      </c>
      <c r="AD314" s="2" t="str">
        <f t="shared" si="390"/>
        <v>_</v>
      </c>
      <c r="AE314" s="2" t="s">
        <v>17</v>
      </c>
      <c r="AF314" s="2" t="str">
        <f t="shared" si="391"/>
        <v>_</v>
      </c>
      <c r="AG314" s="2" t="s">
        <v>386</v>
      </c>
      <c r="AH314" s="2" t="str">
        <f t="shared" si="392"/>
        <v>_</v>
      </c>
      <c r="AI314" s="2" t="s">
        <v>388</v>
      </c>
    </row>
    <row r="315" spans="1:35" x14ac:dyDescent="0.25">
      <c r="B315" s="2"/>
      <c r="AB315" s="28" t="str">
        <f t="shared" si="356"/>
        <v/>
      </c>
      <c r="AD315" s="28" t="str">
        <f t="shared" si="363"/>
        <v/>
      </c>
      <c r="AF315" s="28" t="str">
        <f t="shared" si="364"/>
        <v/>
      </c>
      <c r="AH315" s="28" t="str">
        <f t="shared" si="374"/>
        <v/>
      </c>
    </row>
    <row r="316" spans="1:35" s="2" customFormat="1" x14ac:dyDescent="0.25">
      <c r="A316" s="3" t="s">
        <v>223</v>
      </c>
      <c r="B316" s="3"/>
      <c r="C316" s="27"/>
      <c r="D316" s="6"/>
      <c r="E316" s="7"/>
      <c r="F316" s="6"/>
      <c r="G316" s="6"/>
      <c r="H316" s="7"/>
      <c r="I316" s="6"/>
      <c r="J316" s="6"/>
      <c r="K316" s="7"/>
      <c r="L316" s="6"/>
      <c r="M316" s="6"/>
      <c r="N316" s="7"/>
      <c r="O316" s="6"/>
      <c r="P316" s="6"/>
      <c r="Q316" s="7"/>
      <c r="R316" s="6"/>
      <c r="S316" s="6"/>
      <c r="T316" s="7"/>
      <c r="U316" s="6"/>
      <c r="V316" s="6"/>
      <c r="W316" s="7"/>
      <c r="X316" s="6"/>
      <c r="Y316" s="6"/>
      <c r="AA316" s="4"/>
      <c r="AB316" s="4" t="str">
        <f t="shared" si="356"/>
        <v/>
      </c>
      <c r="AC316" s="4"/>
      <c r="AD316" s="4" t="str">
        <f t="shared" si="363"/>
        <v/>
      </c>
      <c r="AE316" s="4"/>
      <c r="AF316" s="4" t="str">
        <f t="shared" si="364"/>
        <v/>
      </c>
      <c r="AG316" s="4"/>
      <c r="AH316" s="4" t="str">
        <f t="shared" si="374"/>
        <v/>
      </c>
      <c r="AI316" s="4"/>
    </row>
    <row r="317" spans="1:35" x14ac:dyDescent="0.25">
      <c r="B317" s="2" t="str">
        <f t="shared" ref="B317:B318" si="393">_xlfn.CONCAT("@",AA317,AB317,AC317,AD317,AE317,AF317,AG317,AH317,AI317)</f>
        <v>@color-parking_aisle_line_unpaved</v>
      </c>
      <c r="C317" s="125" t="s">
        <v>232</v>
      </c>
      <c r="D317" s="116" t="s">
        <v>229</v>
      </c>
      <c r="F317" s="125" t="s">
        <v>232</v>
      </c>
      <c r="G317" s="115" t="s">
        <v>227</v>
      </c>
      <c r="I317" s="125" t="s">
        <v>232</v>
      </c>
      <c r="J317" s="116" t="s">
        <v>229</v>
      </c>
      <c r="L317" s="125" t="s">
        <v>232</v>
      </c>
      <c r="M317" s="115" t="s">
        <v>227</v>
      </c>
      <c r="U317" s="125" t="s">
        <v>232</v>
      </c>
      <c r="V317" s="116" t="s">
        <v>229</v>
      </c>
      <c r="X317" s="125" t="s">
        <v>232</v>
      </c>
      <c r="Y317" s="115" t="s">
        <v>227</v>
      </c>
      <c r="AA317" s="2" t="s">
        <v>6</v>
      </c>
      <c r="AB317" s="2" t="str">
        <f t="shared" ref="AB317:AB318" si="394">IF(NOT(ISBLANK(AC317)),"-","")</f>
        <v>-</v>
      </c>
      <c r="AC317" s="2" t="s">
        <v>391</v>
      </c>
      <c r="AD317" s="2" t="str">
        <f t="shared" ref="AD317:AD318" si="395">IF(NOT(ISBLANK(AE317)),"_","")</f>
        <v>_</v>
      </c>
      <c r="AE317" s="2" t="s">
        <v>13</v>
      </c>
      <c r="AF317" s="2" t="str">
        <f t="shared" ref="AF317:AF318" si="396">IF(NOT(ISBLANK(AG317)),"_","")</f>
        <v>_</v>
      </c>
      <c r="AG317" s="2" t="s">
        <v>21</v>
      </c>
      <c r="AH317" s="2" t="str">
        <f t="shared" ref="AH317:AH318" si="397">IF(NOT(ISBLANK(AI317)),"_","")</f>
        <v/>
      </c>
      <c r="AI317" s="2"/>
    </row>
    <row r="318" spans="1:35" x14ac:dyDescent="0.25">
      <c r="B318" s="2" t="str">
        <f t="shared" si="393"/>
        <v>@color-parking_aisle_line_paved_or_uk</v>
      </c>
      <c r="C318" s="128" t="s">
        <v>233</v>
      </c>
      <c r="D318" s="129" t="s">
        <v>234</v>
      </c>
      <c r="F318" s="128" t="s">
        <v>233</v>
      </c>
      <c r="G318" s="128" t="s">
        <v>233</v>
      </c>
      <c r="I318" s="128" t="s">
        <v>233</v>
      </c>
      <c r="J318" s="129" t="s">
        <v>234</v>
      </c>
      <c r="L318" s="128" t="s">
        <v>233</v>
      </c>
      <c r="M318" s="128" t="s">
        <v>233</v>
      </c>
      <c r="U318" s="128" t="s">
        <v>233</v>
      </c>
      <c r="V318" s="129" t="s">
        <v>234</v>
      </c>
      <c r="X318" s="128" t="s">
        <v>233</v>
      </c>
      <c r="Y318" s="128" t="s">
        <v>233</v>
      </c>
      <c r="AA318" s="2" t="s">
        <v>6</v>
      </c>
      <c r="AB318" s="2" t="str">
        <f t="shared" si="394"/>
        <v>-</v>
      </c>
      <c r="AC318" s="2" t="s">
        <v>391</v>
      </c>
      <c r="AD318" s="2" t="str">
        <f t="shared" si="395"/>
        <v>_</v>
      </c>
      <c r="AE318" s="2" t="s">
        <v>13</v>
      </c>
      <c r="AF318" s="2" t="str">
        <f t="shared" si="396"/>
        <v>_</v>
      </c>
      <c r="AG318" s="2" t="s">
        <v>24</v>
      </c>
      <c r="AH318" s="2" t="str">
        <f t="shared" si="397"/>
        <v/>
      </c>
      <c r="AI318" s="2"/>
    </row>
    <row r="319" spans="1:35" x14ac:dyDescent="0.25">
      <c r="B319" s="2"/>
      <c r="C319" s="26"/>
      <c r="D319" s="38"/>
      <c r="F319" s="47"/>
      <c r="G319" s="38"/>
      <c r="I319" s="38"/>
      <c r="J319" s="38"/>
      <c r="L319" s="47"/>
      <c r="M319" s="38"/>
      <c r="U319" s="26"/>
      <c r="V319" s="38"/>
      <c r="X319" s="47"/>
      <c r="Y319" s="38"/>
      <c r="AA319" s="2"/>
      <c r="AB319" s="2"/>
      <c r="AC319" s="2"/>
      <c r="AD319" s="2"/>
      <c r="AE319" s="2"/>
      <c r="AF319" s="2"/>
      <c r="AG319" s="2"/>
      <c r="AH319" s="2"/>
      <c r="AI319" s="2"/>
    </row>
    <row r="320" spans="1:35" x14ac:dyDescent="0.25">
      <c r="B320" s="2" t="str">
        <f t="shared" ref="B320:B325" si="398">_xlfn.CONCAT("@",AA320,AB320,AC320,AD320,AE320,AF320,AG320,AH320,AI320)</f>
        <v>@color-raceway_case_unpaved_farzoom</v>
      </c>
      <c r="C320" s="115" t="s">
        <v>227</v>
      </c>
      <c r="D320" s="116" t="s">
        <v>229</v>
      </c>
      <c r="F320" s="116" t="s">
        <v>229</v>
      </c>
      <c r="G320" s="115" t="s">
        <v>227</v>
      </c>
      <c r="I320" s="132" t="str">
        <f t="shared" ref="I320" si="399">C320</f>
        <v>"#b99346"</v>
      </c>
      <c r="J320" s="127" t="str">
        <f t="shared" ref="J320" si="400">D320</f>
        <v>"#644507"</v>
      </c>
      <c r="L320" s="116" t="s">
        <v>229</v>
      </c>
      <c r="M320" s="115" t="s">
        <v>227</v>
      </c>
      <c r="U320" s="115" t="s">
        <v>227</v>
      </c>
      <c r="V320" s="116" t="s">
        <v>229</v>
      </c>
      <c r="X320" s="116" t="s">
        <v>229</v>
      </c>
      <c r="Y320" s="115" t="s">
        <v>227</v>
      </c>
      <c r="AA320" s="2" t="s">
        <v>6</v>
      </c>
      <c r="AB320" s="2" t="str">
        <f t="shared" ref="AB320" si="401">IF(NOT(ISBLANK(AC320)),"-","")</f>
        <v>-</v>
      </c>
      <c r="AC320" s="2" t="s">
        <v>28</v>
      </c>
      <c r="AD320" s="2" t="str">
        <f t="shared" ref="AD320" si="402">IF(NOT(ISBLANK(AE320)),"_","")</f>
        <v>_</v>
      </c>
      <c r="AE320" s="2" t="s">
        <v>17</v>
      </c>
      <c r="AF320" s="2" t="str">
        <f t="shared" ref="AF320" si="403">IF(NOT(ISBLANK(AG320)),"_","")</f>
        <v>_</v>
      </c>
      <c r="AG320" s="2" t="s">
        <v>21</v>
      </c>
      <c r="AH320" s="2" t="str">
        <f t="shared" ref="AH320" si="404">IF(NOT(ISBLANK(AI320)),"_","")</f>
        <v>_</v>
      </c>
      <c r="AI320" s="28" t="s">
        <v>20</v>
      </c>
    </row>
    <row r="321" spans="2:35" x14ac:dyDescent="0.25">
      <c r="B321" s="2" t="str">
        <f t="shared" si="398"/>
        <v>@color-raceway_case_unpaved_default</v>
      </c>
      <c r="C321" s="125" t="s">
        <v>232</v>
      </c>
      <c r="D321" s="116" t="s">
        <v>229</v>
      </c>
      <c r="F321" s="48" t="s">
        <v>214</v>
      </c>
      <c r="G321" s="48" t="s">
        <v>214</v>
      </c>
      <c r="I321" s="126" t="str">
        <f>C321</f>
        <v>"#af9564"</v>
      </c>
      <c r="J321" s="127" t="str">
        <f>D321</f>
        <v>"#644507"</v>
      </c>
      <c r="L321" s="48" t="s">
        <v>214</v>
      </c>
      <c r="M321" s="48" t="s">
        <v>214</v>
      </c>
      <c r="U321" s="125" t="s">
        <v>232</v>
      </c>
      <c r="V321" s="116" t="s">
        <v>229</v>
      </c>
      <c r="X321" s="48" t="s">
        <v>214</v>
      </c>
      <c r="Y321" s="48" t="s">
        <v>214</v>
      </c>
      <c r="AA321" s="2" t="s">
        <v>6</v>
      </c>
      <c r="AB321" s="2" t="str">
        <f t="shared" ref="AB321:AB323" si="405">IF(NOT(ISBLANK(AC321)),"-","")</f>
        <v>-</v>
      </c>
      <c r="AC321" s="2" t="s">
        <v>28</v>
      </c>
      <c r="AD321" s="2" t="str">
        <f t="shared" ref="AD321:AD323" si="406">IF(NOT(ISBLANK(AE321)),"_","")</f>
        <v>_</v>
      </c>
      <c r="AE321" s="2" t="s">
        <v>17</v>
      </c>
      <c r="AF321" s="2" t="str">
        <f t="shared" ref="AF321:AF323" si="407">IF(NOT(ISBLANK(AG321)),"_","")</f>
        <v>_</v>
      </c>
      <c r="AG321" s="2" t="s">
        <v>21</v>
      </c>
      <c r="AH321" s="2" t="str">
        <f t="shared" si="374"/>
        <v>_</v>
      </c>
      <c r="AI321" s="2" t="s">
        <v>262</v>
      </c>
    </row>
    <row r="322" spans="2:35" x14ac:dyDescent="0.25">
      <c r="B322" s="2" t="str">
        <f t="shared" si="398"/>
        <v>@color-raceway_case_paved_or_uk_farzoom</v>
      </c>
      <c r="C322" s="118" t="s">
        <v>228</v>
      </c>
      <c r="D322" s="48" t="s">
        <v>214</v>
      </c>
      <c r="F322" s="118" t="s">
        <v>228</v>
      </c>
      <c r="G322" s="118" t="s">
        <v>228</v>
      </c>
      <c r="I322" s="133" t="str">
        <f t="shared" ref="I322" si="408">C322</f>
        <v>"#808080"</v>
      </c>
      <c r="J322" s="37" t="str">
        <f t="shared" ref="J322" si="409">D322</f>
        <v>"#000000"</v>
      </c>
      <c r="L322" s="118" t="s">
        <v>228</v>
      </c>
      <c r="M322" s="118" t="s">
        <v>228</v>
      </c>
      <c r="U322" s="118" t="s">
        <v>228</v>
      </c>
      <c r="V322" s="48" t="s">
        <v>214</v>
      </c>
      <c r="X322" s="118" t="s">
        <v>228</v>
      </c>
      <c r="Y322" s="118" t="s">
        <v>228</v>
      </c>
      <c r="AA322" s="2" t="s">
        <v>6</v>
      </c>
      <c r="AB322" s="2" t="str">
        <f t="shared" si="405"/>
        <v>-</v>
      </c>
      <c r="AC322" s="2" t="s">
        <v>28</v>
      </c>
      <c r="AD322" s="2" t="str">
        <f t="shared" si="406"/>
        <v>_</v>
      </c>
      <c r="AE322" s="2" t="s">
        <v>17</v>
      </c>
      <c r="AF322" s="2" t="str">
        <f t="shared" si="407"/>
        <v>_</v>
      </c>
      <c r="AG322" s="2" t="s">
        <v>24</v>
      </c>
      <c r="AH322" s="2" t="str">
        <f t="shared" ref="AH322" si="410">IF(NOT(ISBLANK(AI322)),"_","")</f>
        <v>_</v>
      </c>
      <c r="AI322" s="28" t="s">
        <v>20</v>
      </c>
    </row>
    <row r="323" spans="2:35" x14ac:dyDescent="0.25">
      <c r="B323" s="2" t="str">
        <f t="shared" si="398"/>
        <v>@color-raceway_case_paved_or_uk_default</v>
      </c>
      <c r="C323" s="128" t="s">
        <v>233</v>
      </c>
      <c r="D323" s="129" t="s">
        <v>234</v>
      </c>
      <c r="F323" s="48" t="s">
        <v>214</v>
      </c>
      <c r="G323" s="48" t="s">
        <v>214</v>
      </c>
      <c r="I323" s="130" t="str">
        <f>C323</f>
        <v>"#a8a6a4"</v>
      </c>
      <c r="J323" s="131" t="str">
        <f>D323</f>
        <v>"#4a4a4a"</v>
      </c>
      <c r="L323" s="48" t="s">
        <v>214</v>
      </c>
      <c r="M323" s="48" t="s">
        <v>214</v>
      </c>
      <c r="U323" s="128" t="s">
        <v>233</v>
      </c>
      <c r="V323" s="129" t="s">
        <v>234</v>
      </c>
      <c r="X323" s="48" t="s">
        <v>214</v>
      </c>
      <c r="Y323" s="48" t="s">
        <v>214</v>
      </c>
      <c r="AA323" s="2" t="s">
        <v>6</v>
      </c>
      <c r="AB323" s="2" t="str">
        <f t="shared" si="405"/>
        <v>-</v>
      </c>
      <c r="AC323" s="2" t="s">
        <v>28</v>
      </c>
      <c r="AD323" s="2" t="str">
        <f t="shared" si="406"/>
        <v>_</v>
      </c>
      <c r="AE323" s="2" t="s">
        <v>17</v>
      </c>
      <c r="AF323" s="2" t="str">
        <f t="shared" si="407"/>
        <v>_</v>
      </c>
      <c r="AG323" s="2" t="s">
        <v>24</v>
      </c>
      <c r="AH323" s="2" t="str">
        <f t="shared" si="374"/>
        <v>_</v>
      </c>
      <c r="AI323" s="2" t="s">
        <v>262</v>
      </c>
    </row>
    <row r="324" spans="2:35" x14ac:dyDescent="0.25">
      <c r="B324" s="2" t="str">
        <f t="shared" si="398"/>
        <v>@color-raceway_line_unpaved</v>
      </c>
      <c r="C324" s="120" t="s">
        <v>221</v>
      </c>
      <c r="D324" s="121" t="str">
        <f>C324</f>
        <v>"#eddfca"</v>
      </c>
      <c r="F324" s="120" t="s">
        <v>221</v>
      </c>
      <c r="G324" s="38" t="str">
        <f t="shared" ref="G324:G325" si="411">F324</f>
        <v>"#eddfca"</v>
      </c>
      <c r="I324" s="121" t="str">
        <f>C324</f>
        <v>"#eddfca"</v>
      </c>
      <c r="J324" s="121" t="str">
        <f>C324</f>
        <v>"#eddfca"</v>
      </c>
      <c r="L324" s="120" t="s">
        <v>221</v>
      </c>
      <c r="M324" s="38" t="str">
        <f t="shared" ref="M324:M325" si="412">L324</f>
        <v>"#eddfca"</v>
      </c>
      <c r="U324" s="120" t="s">
        <v>221</v>
      </c>
      <c r="V324" s="121" t="str">
        <f>U324</f>
        <v>"#eddfca"</v>
      </c>
      <c r="X324" s="120" t="s">
        <v>221</v>
      </c>
      <c r="Y324" s="38" t="str">
        <f t="shared" ref="Y324:Y325" si="413">X324</f>
        <v>"#eddfca"</v>
      </c>
      <c r="AA324" s="2" t="s">
        <v>6</v>
      </c>
      <c r="AB324" s="2" t="str">
        <f t="shared" si="356"/>
        <v>-</v>
      </c>
      <c r="AC324" s="2" t="s">
        <v>28</v>
      </c>
      <c r="AD324" s="2" t="str">
        <f t="shared" si="363"/>
        <v>_</v>
      </c>
      <c r="AE324" s="2" t="s">
        <v>13</v>
      </c>
      <c r="AF324" s="2" t="str">
        <f t="shared" si="364"/>
        <v>_</v>
      </c>
      <c r="AG324" s="2" t="s">
        <v>21</v>
      </c>
      <c r="AH324" s="2" t="str">
        <f t="shared" si="374"/>
        <v/>
      </c>
      <c r="AI324" s="2"/>
    </row>
    <row r="325" spans="2:35" x14ac:dyDescent="0.25">
      <c r="B325" s="2" t="str">
        <f t="shared" si="398"/>
        <v>@color-raceway_line_paved_or_uk</v>
      </c>
      <c r="C325" s="26" t="s">
        <v>222</v>
      </c>
      <c r="D325" s="38" t="str">
        <f>C325</f>
        <v>"#ffffff"</v>
      </c>
      <c r="F325" s="47" t="s">
        <v>222</v>
      </c>
      <c r="G325" s="38" t="str">
        <f t="shared" si="411"/>
        <v>"#ffffff"</v>
      </c>
      <c r="I325" s="38" t="str">
        <f>C325</f>
        <v>"#ffffff"</v>
      </c>
      <c r="J325" s="38" t="str">
        <f>C325</f>
        <v>"#ffffff"</v>
      </c>
      <c r="L325" s="47" t="s">
        <v>222</v>
      </c>
      <c r="M325" s="38" t="str">
        <f t="shared" si="412"/>
        <v>"#ffffff"</v>
      </c>
      <c r="U325" s="26" t="s">
        <v>222</v>
      </c>
      <c r="V325" s="38" t="str">
        <f>U325</f>
        <v>"#ffffff"</v>
      </c>
      <c r="X325" s="47" t="s">
        <v>222</v>
      </c>
      <c r="Y325" s="38" t="str">
        <f t="shared" si="413"/>
        <v>"#ffffff"</v>
      </c>
      <c r="AA325" s="2" t="s">
        <v>6</v>
      </c>
      <c r="AB325" s="2" t="str">
        <f t="shared" si="356"/>
        <v>-</v>
      </c>
      <c r="AC325" s="2" t="s">
        <v>28</v>
      </c>
      <c r="AD325" s="2" t="str">
        <f t="shared" si="363"/>
        <v>_</v>
      </c>
      <c r="AE325" s="2" t="s">
        <v>13</v>
      </c>
      <c r="AF325" s="2" t="str">
        <f t="shared" si="364"/>
        <v>_</v>
      </c>
      <c r="AG325" s="2" t="s">
        <v>24</v>
      </c>
      <c r="AH325" s="2" t="str">
        <f t="shared" si="374"/>
        <v/>
      </c>
      <c r="AI325" s="2"/>
    </row>
    <row r="326" spans="2:35" x14ac:dyDescent="0.25">
      <c r="B326" s="2"/>
      <c r="C326" s="153"/>
      <c r="D326" s="154"/>
      <c r="E326" s="154"/>
      <c r="F326" s="153"/>
      <c r="G326" s="154"/>
      <c r="H326" s="154"/>
      <c r="I326" s="154"/>
      <c r="J326" s="154"/>
      <c r="K326" s="154"/>
      <c r="L326" s="153"/>
      <c r="M326" s="154"/>
      <c r="N326" s="154"/>
      <c r="O326" s="154"/>
      <c r="P326" s="154"/>
      <c r="Q326" s="154"/>
      <c r="R326" s="154"/>
      <c r="U326" s="153"/>
      <c r="V326" s="154"/>
      <c r="W326" s="154"/>
      <c r="X326" s="153"/>
      <c r="Y326" s="154"/>
      <c r="AA326" s="2"/>
      <c r="AB326" s="2"/>
      <c r="AC326" s="2"/>
      <c r="AD326" s="2"/>
      <c r="AE326" s="2"/>
      <c r="AF326" s="2"/>
      <c r="AG326" s="2"/>
      <c r="AH326" s="2"/>
      <c r="AI326" s="2"/>
    </row>
    <row r="327" spans="2:35" x14ac:dyDescent="0.25">
      <c r="B327" s="2" t="str">
        <f t="shared" ref="B327:B330" si="414">_xlfn.CONCAT("@",AA327,AB327,AC327,AD327,AE327,AF327,AG327,AH327,AI327)</f>
        <v>@dasharray-raceway_case_medium_dash</v>
      </c>
      <c r="C327" s="155" t="s">
        <v>341</v>
      </c>
      <c r="D327" s="155" t="s">
        <v>341</v>
      </c>
      <c r="E327" s="155"/>
      <c r="F327" s="155" t="s">
        <v>341</v>
      </c>
      <c r="G327" s="155" t="s">
        <v>341</v>
      </c>
      <c r="H327" s="155"/>
      <c r="I327" s="155" t="s">
        <v>92</v>
      </c>
      <c r="J327" s="155" t="s">
        <v>92</v>
      </c>
      <c r="K327" s="155"/>
      <c r="L327" s="155" t="s">
        <v>92</v>
      </c>
      <c r="M327" s="155" t="s">
        <v>92</v>
      </c>
      <c r="N327" s="156"/>
      <c r="U327" s="155" t="s">
        <v>341</v>
      </c>
      <c r="V327" s="155" t="s">
        <v>341</v>
      </c>
      <c r="W327" s="155"/>
      <c r="X327" s="155" t="s">
        <v>341</v>
      </c>
      <c r="Y327" s="155" t="s">
        <v>341</v>
      </c>
      <c r="AA327" s="2" t="s">
        <v>385</v>
      </c>
      <c r="AB327" s="2" t="str">
        <f t="shared" ref="AB327:AB330" si="415">IF(NOT(ISBLANK(AC327)),"-","")</f>
        <v>-</v>
      </c>
      <c r="AC327" s="2" t="s">
        <v>28</v>
      </c>
      <c r="AD327" s="2" t="str">
        <f t="shared" ref="AD327:AD330" si="416">IF(NOT(ISBLANK(AE327)),"_","")</f>
        <v>_</v>
      </c>
      <c r="AE327" s="2" t="s">
        <v>17</v>
      </c>
      <c r="AF327" s="2" t="str">
        <f t="shared" ref="AF327:AF330" si="417">IF(NOT(ISBLANK(AG327)),"_","")</f>
        <v>_</v>
      </c>
      <c r="AG327" s="2" t="s">
        <v>79</v>
      </c>
      <c r="AH327" s="2" t="str">
        <f t="shared" ref="AH327:AH330" si="418">IF(NOT(ISBLANK(AI327)),"_","")</f>
        <v>_</v>
      </c>
      <c r="AI327" s="2" t="s">
        <v>387</v>
      </c>
    </row>
    <row r="328" spans="2:35" x14ac:dyDescent="0.25">
      <c r="B328" s="2" t="str">
        <f t="shared" si="414"/>
        <v>@dasharray-raceway_case_medium_gap</v>
      </c>
      <c r="C328" s="155" t="s">
        <v>389</v>
      </c>
      <c r="D328" s="155" t="s">
        <v>389</v>
      </c>
      <c r="E328" s="155"/>
      <c r="F328" s="155" t="s">
        <v>389</v>
      </c>
      <c r="G328" s="155" t="s">
        <v>389</v>
      </c>
      <c r="H328" s="155"/>
      <c r="I328" s="155" t="s">
        <v>96</v>
      </c>
      <c r="J328" s="155" t="s">
        <v>96</v>
      </c>
      <c r="K328" s="155"/>
      <c r="L328" s="155" t="s">
        <v>96</v>
      </c>
      <c r="M328" s="155" t="s">
        <v>96</v>
      </c>
      <c r="N328" s="156"/>
      <c r="U328" s="155" t="s">
        <v>389</v>
      </c>
      <c r="V328" s="155" t="s">
        <v>389</v>
      </c>
      <c r="W328" s="155"/>
      <c r="X328" s="155" t="s">
        <v>389</v>
      </c>
      <c r="Y328" s="155" t="s">
        <v>389</v>
      </c>
      <c r="AA328" s="2" t="s">
        <v>385</v>
      </c>
      <c r="AB328" s="2" t="str">
        <f t="shared" si="415"/>
        <v>-</v>
      </c>
      <c r="AC328" s="2" t="s">
        <v>28</v>
      </c>
      <c r="AD328" s="2" t="str">
        <f t="shared" si="416"/>
        <v>_</v>
      </c>
      <c r="AE328" s="2" t="s">
        <v>17</v>
      </c>
      <c r="AF328" s="2" t="str">
        <f t="shared" si="417"/>
        <v>_</v>
      </c>
      <c r="AG328" s="2" t="s">
        <v>79</v>
      </c>
      <c r="AH328" s="2" t="str">
        <f t="shared" si="418"/>
        <v>_</v>
      </c>
      <c r="AI328" s="2" t="s">
        <v>388</v>
      </c>
    </row>
    <row r="329" spans="2:35" x14ac:dyDescent="0.25">
      <c r="B329" s="2" t="str">
        <f t="shared" si="414"/>
        <v>@dasharray-raceway_case_rough_dash</v>
      </c>
      <c r="C329" s="155" t="s">
        <v>341</v>
      </c>
      <c r="D329" s="155" t="s">
        <v>341</v>
      </c>
      <c r="E329" s="155"/>
      <c r="F329" s="155" t="s">
        <v>341</v>
      </c>
      <c r="G329" s="155" t="s">
        <v>341</v>
      </c>
      <c r="H329" s="155"/>
      <c r="I329" s="155" t="s">
        <v>97</v>
      </c>
      <c r="J329" s="155" t="s">
        <v>97</v>
      </c>
      <c r="K329" s="155"/>
      <c r="L329" s="155" t="s">
        <v>97</v>
      </c>
      <c r="M329" s="155" t="s">
        <v>97</v>
      </c>
      <c r="N329" s="156"/>
      <c r="U329" s="155" t="s">
        <v>341</v>
      </c>
      <c r="V329" s="155" t="s">
        <v>341</v>
      </c>
      <c r="W329" s="155"/>
      <c r="X329" s="155" t="s">
        <v>341</v>
      </c>
      <c r="Y329" s="155" t="s">
        <v>341</v>
      </c>
      <c r="AA329" s="2" t="s">
        <v>385</v>
      </c>
      <c r="AB329" s="2" t="str">
        <f t="shared" si="415"/>
        <v>-</v>
      </c>
      <c r="AC329" s="2" t="s">
        <v>28</v>
      </c>
      <c r="AD329" s="2" t="str">
        <f t="shared" si="416"/>
        <v>_</v>
      </c>
      <c r="AE329" s="2" t="s">
        <v>17</v>
      </c>
      <c r="AF329" s="2" t="str">
        <f t="shared" si="417"/>
        <v>_</v>
      </c>
      <c r="AG329" s="2" t="s">
        <v>386</v>
      </c>
      <c r="AH329" s="2" t="str">
        <f t="shared" si="418"/>
        <v>_</v>
      </c>
      <c r="AI329" s="2" t="s">
        <v>387</v>
      </c>
    </row>
    <row r="330" spans="2:35" x14ac:dyDescent="0.25">
      <c r="B330" s="2" t="str">
        <f t="shared" si="414"/>
        <v>@dasharray-raceway_case_rough_gap</v>
      </c>
      <c r="C330" s="155" t="s">
        <v>389</v>
      </c>
      <c r="D330" s="155" t="s">
        <v>389</v>
      </c>
      <c r="E330" s="155"/>
      <c r="F330" s="155" t="s">
        <v>389</v>
      </c>
      <c r="G330" s="155" t="s">
        <v>389</v>
      </c>
      <c r="H330" s="155"/>
      <c r="I330" s="155" t="s">
        <v>96</v>
      </c>
      <c r="J330" s="155" t="s">
        <v>96</v>
      </c>
      <c r="K330" s="155"/>
      <c r="L330" s="155" t="s">
        <v>96</v>
      </c>
      <c r="M330" s="155" t="s">
        <v>96</v>
      </c>
      <c r="N330" s="156"/>
      <c r="U330" s="155" t="s">
        <v>389</v>
      </c>
      <c r="V330" s="155" t="s">
        <v>389</v>
      </c>
      <c r="W330" s="155"/>
      <c r="X330" s="155" t="s">
        <v>389</v>
      </c>
      <c r="Y330" s="155" t="s">
        <v>389</v>
      </c>
      <c r="AA330" s="2" t="s">
        <v>385</v>
      </c>
      <c r="AB330" s="2" t="str">
        <f t="shared" si="415"/>
        <v>-</v>
      </c>
      <c r="AC330" s="2" t="s">
        <v>28</v>
      </c>
      <c r="AD330" s="2" t="str">
        <f t="shared" si="416"/>
        <v>_</v>
      </c>
      <c r="AE330" s="2" t="s">
        <v>17</v>
      </c>
      <c r="AF330" s="2" t="str">
        <f t="shared" si="417"/>
        <v>_</v>
      </c>
      <c r="AG330" s="2" t="s">
        <v>386</v>
      </c>
      <c r="AH330" s="2" t="str">
        <f t="shared" si="418"/>
        <v>_</v>
      </c>
      <c r="AI330" s="2" t="s">
        <v>388</v>
      </c>
    </row>
    <row r="331" spans="2:35" x14ac:dyDescent="0.25">
      <c r="B331" s="2"/>
      <c r="C331" s="153"/>
      <c r="D331" s="154"/>
      <c r="E331" s="154"/>
      <c r="F331" s="153"/>
      <c r="G331" s="154"/>
      <c r="H331" s="154"/>
      <c r="I331" s="154"/>
      <c r="J331" s="154"/>
      <c r="K331" s="154"/>
      <c r="L331" s="153"/>
      <c r="M331" s="154"/>
      <c r="U331" s="153"/>
      <c r="V331" s="154"/>
      <c r="W331" s="154"/>
      <c r="X331" s="153"/>
      <c r="Y331" s="154"/>
      <c r="AA331" s="2"/>
      <c r="AB331" s="2"/>
      <c r="AC331" s="2"/>
      <c r="AD331" s="2"/>
      <c r="AE331" s="2"/>
      <c r="AF331" s="2"/>
      <c r="AG331" s="2"/>
      <c r="AH331" s="2"/>
      <c r="AI331" s="2"/>
    </row>
    <row r="332" spans="2:35" x14ac:dyDescent="0.25">
      <c r="B332" s="2"/>
      <c r="C332" s="154"/>
      <c r="D332" s="154"/>
      <c r="E332" s="154"/>
      <c r="F332" s="154"/>
      <c r="G332" s="154"/>
      <c r="H332" s="154"/>
      <c r="I332" s="154"/>
      <c r="J332" s="154"/>
      <c r="K332" s="154"/>
      <c r="L332" s="154"/>
      <c r="M332" s="154"/>
      <c r="U332" s="154"/>
      <c r="V332" s="154"/>
      <c r="W332" s="154"/>
      <c r="X332" s="154"/>
      <c r="Y332" s="154"/>
      <c r="AB332" s="28" t="str">
        <f t="shared" si="356"/>
        <v/>
      </c>
      <c r="AD332" s="28" t="str">
        <f t="shared" si="363"/>
        <v/>
      </c>
      <c r="AF332" s="28" t="str">
        <f t="shared" si="364"/>
        <v/>
      </c>
      <c r="AH332" s="28" t="str">
        <f t="shared" si="374"/>
        <v/>
      </c>
    </row>
    <row r="333" spans="2:35" x14ac:dyDescent="0.25">
      <c r="B333" s="2" t="str">
        <f t="shared" ref="B333:B338" si="419">_xlfn.CONCAT("@",AA333,AB333,AC333,AD333,AE333,AF333,AG333,AH333,AI333)</f>
        <v>@color-driveway_case_unpaved_farzoom</v>
      </c>
      <c r="C333" s="115" t="s">
        <v>227</v>
      </c>
      <c r="D333" s="116" t="s">
        <v>229</v>
      </c>
      <c r="F333" s="116" t="s">
        <v>229</v>
      </c>
      <c r="G333" s="115" t="s">
        <v>227</v>
      </c>
      <c r="I333" s="132" t="str">
        <f t="shared" ref="I333:J336" si="420">C333</f>
        <v>"#b99346"</v>
      </c>
      <c r="J333" s="127" t="str">
        <f t="shared" si="420"/>
        <v>"#644507"</v>
      </c>
      <c r="L333" s="116" t="s">
        <v>229</v>
      </c>
      <c r="M333" s="115" t="s">
        <v>227</v>
      </c>
      <c r="U333" s="115" t="s">
        <v>227</v>
      </c>
      <c r="V333" s="116" t="s">
        <v>229</v>
      </c>
      <c r="X333" s="116" t="s">
        <v>229</v>
      </c>
      <c r="Y333" s="115" t="s">
        <v>227</v>
      </c>
      <c r="AA333" s="2" t="s">
        <v>6</v>
      </c>
      <c r="AB333" s="2" t="str">
        <f t="shared" si="356"/>
        <v>-</v>
      </c>
      <c r="AC333" s="2" t="s">
        <v>29</v>
      </c>
      <c r="AD333" s="2" t="str">
        <f t="shared" si="363"/>
        <v>_</v>
      </c>
      <c r="AE333" s="2" t="s">
        <v>17</v>
      </c>
      <c r="AF333" s="2" t="str">
        <f t="shared" si="364"/>
        <v>_</v>
      </c>
      <c r="AG333" s="2" t="s">
        <v>21</v>
      </c>
      <c r="AH333" s="2" t="str">
        <f t="shared" si="374"/>
        <v>_</v>
      </c>
      <c r="AI333" s="28" t="s">
        <v>20</v>
      </c>
    </row>
    <row r="334" spans="2:35" x14ac:dyDescent="0.25">
      <c r="B334" s="2" t="str">
        <f t="shared" si="419"/>
        <v>@color-driveway_case_unpaved_default</v>
      </c>
      <c r="C334" s="116" t="s">
        <v>229</v>
      </c>
      <c r="D334" s="116" t="s">
        <v>229</v>
      </c>
      <c r="F334" s="48" t="s">
        <v>214</v>
      </c>
      <c r="G334" s="48" t="s">
        <v>214</v>
      </c>
      <c r="I334" s="127" t="str">
        <f t="shared" si="420"/>
        <v>"#644507"</v>
      </c>
      <c r="J334" s="127" t="str">
        <f t="shared" si="420"/>
        <v>"#644507"</v>
      </c>
      <c r="L334" s="48" t="s">
        <v>214</v>
      </c>
      <c r="M334" s="48" t="s">
        <v>214</v>
      </c>
      <c r="U334" s="116" t="s">
        <v>229</v>
      </c>
      <c r="V334" s="116" t="s">
        <v>229</v>
      </c>
      <c r="X334" s="48" t="s">
        <v>214</v>
      </c>
      <c r="Y334" s="48" t="s">
        <v>214</v>
      </c>
      <c r="AA334" s="2" t="s">
        <v>6</v>
      </c>
      <c r="AB334" s="2" t="str">
        <f t="shared" si="356"/>
        <v>-</v>
      </c>
      <c r="AC334" s="2" t="s">
        <v>29</v>
      </c>
      <c r="AD334" s="2" t="str">
        <f t="shared" si="363"/>
        <v>_</v>
      </c>
      <c r="AE334" s="2" t="s">
        <v>17</v>
      </c>
      <c r="AF334" s="2" t="str">
        <f t="shared" si="364"/>
        <v>_</v>
      </c>
      <c r="AG334" s="2" t="s">
        <v>21</v>
      </c>
      <c r="AH334" s="2" t="str">
        <f t="shared" si="374"/>
        <v>_</v>
      </c>
      <c r="AI334" s="2" t="s">
        <v>262</v>
      </c>
    </row>
    <row r="335" spans="2:35" x14ac:dyDescent="0.25">
      <c r="B335" s="2" t="str">
        <f t="shared" si="419"/>
        <v>@color-driveway_case_paved_or_uk_farzoom</v>
      </c>
      <c r="C335" s="118" t="s">
        <v>228</v>
      </c>
      <c r="D335" s="48" t="s">
        <v>214</v>
      </c>
      <c r="F335" s="118" t="s">
        <v>228</v>
      </c>
      <c r="G335" s="118" t="s">
        <v>228</v>
      </c>
      <c r="I335" s="133" t="str">
        <f t="shared" si="420"/>
        <v>"#808080"</v>
      </c>
      <c r="J335" s="37" t="str">
        <f t="shared" si="420"/>
        <v>"#000000"</v>
      </c>
      <c r="L335" s="118" t="s">
        <v>228</v>
      </c>
      <c r="M335" s="118" t="s">
        <v>228</v>
      </c>
      <c r="U335" s="118" t="s">
        <v>228</v>
      </c>
      <c r="V335" s="48" t="s">
        <v>214</v>
      </c>
      <c r="X335" s="118" t="s">
        <v>228</v>
      </c>
      <c r="Y335" s="118" t="s">
        <v>228</v>
      </c>
      <c r="AA335" s="2" t="s">
        <v>6</v>
      </c>
      <c r="AB335" s="2" t="str">
        <f t="shared" si="356"/>
        <v>-</v>
      </c>
      <c r="AC335" s="2" t="s">
        <v>29</v>
      </c>
      <c r="AD335" s="2" t="str">
        <f t="shared" si="363"/>
        <v>_</v>
      </c>
      <c r="AE335" s="2" t="s">
        <v>17</v>
      </c>
      <c r="AF335" s="2" t="str">
        <f t="shared" si="364"/>
        <v>_</v>
      </c>
      <c r="AG335" s="2" t="s">
        <v>24</v>
      </c>
      <c r="AH335" s="2" t="str">
        <f t="shared" si="374"/>
        <v>_</v>
      </c>
      <c r="AI335" s="28" t="s">
        <v>20</v>
      </c>
    </row>
    <row r="336" spans="2:35" x14ac:dyDescent="0.25">
      <c r="B336" s="2" t="str">
        <f t="shared" si="419"/>
        <v>@color-driveway_case_paved_or_uk_default</v>
      </c>
      <c r="C336" s="119" t="s">
        <v>218</v>
      </c>
      <c r="D336" s="48" t="s">
        <v>214</v>
      </c>
      <c r="F336" s="48" t="s">
        <v>214</v>
      </c>
      <c r="G336" s="48" t="s">
        <v>214</v>
      </c>
      <c r="I336" s="134" t="str">
        <f t="shared" si="420"/>
        <v>"#404040"</v>
      </c>
      <c r="J336" s="37" t="str">
        <f t="shared" si="420"/>
        <v>"#000000"</v>
      </c>
      <c r="L336" s="48" t="s">
        <v>214</v>
      </c>
      <c r="M336" s="48" t="s">
        <v>214</v>
      </c>
      <c r="Q336" s="7"/>
      <c r="U336" s="119" t="s">
        <v>218</v>
      </c>
      <c r="V336" s="48" t="s">
        <v>214</v>
      </c>
      <c r="X336" s="48" t="s">
        <v>214</v>
      </c>
      <c r="Y336" s="48" t="s">
        <v>214</v>
      </c>
      <c r="AA336" s="2" t="s">
        <v>6</v>
      </c>
      <c r="AB336" s="2" t="str">
        <f t="shared" si="356"/>
        <v>-</v>
      </c>
      <c r="AC336" s="2" t="s">
        <v>29</v>
      </c>
      <c r="AD336" s="2" t="str">
        <f t="shared" si="363"/>
        <v>_</v>
      </c>
      <c r="AE336" s="2" t="s">
        <v>17</v>
      </c>
      <c r="AF336" s="2" t="str">
        <f t="shared" si="364"/>
        <v>_</v>
      </c>
      <c r="AG336" s="2" t="s">
        <v>24</v>
      </c>
      <c r="AH336" s="2" t="str">
        <f t="shared" si="374"/>
        <v>_</v>
      </c>
      <c r="AI336" s="2" t="s">
        <v>262</v>
      </c>
    </row>
    <row r="337" spans="2:35" x14ac:dyDescent="0.25">
      <c r="B337" s="2" t="str">
        <f t="shared" si="419"/>
        <v>@color-driveway_line_unpaved</v>
      </c>
      <c r="C337" s="120" t="s">
        <v>221</v>
      </c>
      <c r="D337" s="38" t="str">
        <f t="shared" ref="D337:D338" si="421">C337</f>
        <v>"#eddfca"</v>
      </c>
      <c r="F337" s="120" t="s">
        <v>221</v>
      </c>
      <c r="G337" s="38" t="str">
        <f t="shared" ref="G337:G338" si="422">F337</f>
        <v>"#eddfca"</v>
      </c>
      <c r="I337" s="120" t="s">
        <v>221</v>
      </c>
      <c r="J337" s="38" t="str">
        <f t="shared" ref="J337:J338" si="423">I337</f>
        <v>"#eddfca"</v>
      </c>
      <c r="L337" s="120" t="s">
        <v>221</v>
      </c>
      <c r="M337" s="38" t="str">
        <f t="shared" ref="M337:M338" si="424">L337</f>
        <v>"#eddfca"</v>
      </c>
      <c r="U337" s="120" t="s">
        <v>221</v>
      </c>
      <c r="V337" s="38" t="str">
        <f t="shared" ref="V337:V338" si="425">U337</f>
        <v>"#eddfca"</v>
      </c>
      <c r="X337" s="120" t="s">
        <v>221</v>
      </c>
      <c r="Y337" s="38" t="str">
        <f t="shared" ref="Y337:Y338" si="426">X337</f>
        <v>"#eddfca"</v>
      </c>
      <c r="AA337" s="2" t="s">
        <v>6</v>
      </c>
      <c r="AB337" s="2" t="str">
        <f t="shared" si="356"/>
        <v>-</v>
      </c>
      <c r="AC337" s="2" t="s">
        <v>29</v>
      </c>
      <c r="AD337" s="2" t="str">
        <f t="shared" si="363"/>
        <v>_</v>
      </c>
      <c r="AE337" s="2" t="s">
        <v>13</v>
      </c>
      <c r="AF337" s="2" t="str">
        <f t="shared" si="364"/>
        <v>_</v>
      </c>
      <c r="AG337" s="2" t="s">
        <v>21</v>
      </c>
      <c r="AH337" s="2" t="str">
        <f t="shared" si="374"/>
        <v/>
      </c>
      <c r="AI337" s="2"/>
    </row>
    <row r="338" spans="2:35" x14ac:dyDescent="0.25">
      <c r="B338" s="2" t="str">
        <f t="shared" si="419"/>
        <v>@color-driveway_line_paved_or_uk</v>
      </c>
      <c r="C338" s="47" t="s">
        <v>222</v>
      </c>
      <c r="D338" s="38" t="str">
        <f t="shared" si="421"/>
        <v>"#ffffff"</v>
      </c>
      <c r="F338" s="47" t="s">
        <v>222</v>
      </c>
      <c r="G338" s="38" t="str">
        <f t="shared" si="422"/>
        <v>"#ffffff"</v>
      </c>
      <c r="I338" s="47" t="s">
        <v>222</v>
      </c>
      <c r="J338" s="38" t="str">
        <f t="shared" si="423"/>
        <v>"#ffffff"</v>
      </c>
      <c r="L338" s="47" t="s">
        <v>222</v>
      </c>
      <c r="M338" s="38" t="str">
        <f t="shared" si="424"/>
        <v>"#ffffff"</v>
      </c>
      <c r="U338" s="47" t="s">
        <v>222</v>
      </c>
      <c r="V338" s="38" t="str">
        <f t="shared" si="425"/>
        <v>"#ffffff"</v>
      </c>
      <c r="X338" s="47" t="s">
        <v>222</v>
      </c>
      <c r="Y338" s="38" t="str">
        <f t="shared" si="426"/>
        <v>"#ffffff"</v>
      </c>
      <c r="AA338" s="2" t="s">
        <v>6</v>
      </c>
      <c r="AB338" s="2" t="str">
        <f t="shared" si="356"/>
        <v>-</v>
      </c>
      <c r="AC338" s="2" t="s">
        <v>29</v>
      </c>
      <c r="AD338" s="2" t="str">
        <f t="shared" si="363"/>
        <v>_</v>
      </c>
      <c r="AE338" s="2" t="s">
        <v>13</v>
      </c>
      <c r="AF338" s="2" t="str">
        <f t="shared" si="364"/>
        <v>_</v>
      </c>
      <c r="AG338" s="2" t="s">
        <v>24</v>
      </c>
      <c r="AH338" s="2" t="str">
        <f t="shared" si="374"/>
        <v/>
      </c>
      <c r="AI338" s="2"/>
    </row>
    <row r="339" spans="2:35" x14ac:dyDescent="0.25">
      <c r="B339" s="2"/>
      <c r="C339" s="153"/>
      <c r="D339" s="154"/>
      <c r="E339" s="154"/>
      <c r="F339" s="153"/>
      <c r="G339" s="154"/>
      <c r="H339" s="154"/>
      <c r="I339" s="154"/>
      <c r="J339" s="154"/>
      <c r="K339" s="154"/>
      <c r="L339" s="153"/>
      <c r="M339" s="154"/>
      <c r="U339" s="153"/>
      <c r="V339" s="154"/>
      <c r="W339" s="154"/>
      <c r="X339" s="153"/>
      <c r="Y339" s="154"/>
      <c r="AA339" s="2"/>
      <c r="AB339" s="2"/>
      <c r="AC339" s="2"/>
      <c r="AD339" s="2"/>
      <c r="AE339" s="2"/>
      <c r="AF339" s="2"/>
      <c r="AG339" s="2"/>
      <c r="AH339" s="2"/>
      <c r="AI339" s="2"/>
    </row>
    <row r="340" spans="2:35" x14ac:dyDescent="0.25">
      <c r="B340" s="2" t="str">
        <f t="shared" ref="B340:B343" si="427">_xlfn.CONCAT("@",AA340,AB340,AC340,AD340,AE340,AF340,AG340,AH340,AI340)</f>
        <v>@dasharray-driveway_case_medium_dash</v>
      </c>
      <c r="C340" s="155" t="s">
        <v>341</v>
      </c>
      <c r="D340" s="155" t="s">
        <v>341</v>
      </c>
      <c r="E340" s="155"/>
      <c r="F340" s="155" t="s">
        <v>341</v>
      </c>
      <c r="G340" s="155" t="s">
        <v>341</v>
      </c>
      <c r="H340" s="155"/>
      <c r="I340" s="155" t="s">
        <v>92</v>
      </c>
      <c r="J340" s="155" t="s">
        <v>92</v>
      </c>
      <c r="K340" s="155"/>
      <c r="L340" s="155" t="s">
        <v>92</v>
      </c>
      <c r="M340" s="155" t="s">
        <v>92</v>
      </c>
      <c r="N340" s="156"/>
      <c r="U340" s="155" t="s">
        <v>341</v>
      </c>
      <c r="V340" s="155" t="s">
        <v>341</v>
      </c>
      <c r="W340" s="155"/>
      <c r="X340" s="155" t="s">
        <v>341</v>
      </c>
      <c r="Y340" s="155" t="s">
        <v>341</v>
      </c>
      <c r="AA340" s="2" t="s">
        <v>385</v>
      </c>
      <c r="AB340" s="2" t="str">
        <f t="shared" ref="AB340:AB343" si="428">IF(NOT(ISBLANK(AC340)),"-","")</f>
        <v>-</v>
      </c>
      <c r="AC340" s="2" t="s">
        <v>29</v>
      </c>
      <c r="AD340" s="2" t="str">
        <f t="shared" ref="AD340:AD343" si="429">IF(NOT(ISBLANK(AE340)),"_","")</f>
        <v>_</v>
      </c>
      <c r="AE340" s="2" t="s">
        <v>17</v>
      </c>
      <c r="AF340" s="2" t="str">
        <f t="shared" ref="AF340:AF343" si="430">IF(NOT(ISBLANK(AG340)),"_","")</f>
        <v>_</v>
      </c>
      <c r="AG340" s="2" t="s">
        <v>79</v>
      </c>
      <c r="AH340" s="2" t="str">
        <f t="shared" ref="AH340:AH343" si="431">IF(NOT(ISBLANK(AI340)),"_","")</f>
        <v>_</v>
      </c>
      <c r="AI340" s="2" t="s">
        <v>387</v>
      </c>
    </row>
    <row r="341" spans="2:35" x14ac:dyDescent="0.25">
      <c r="B341" s="2" t="str">
        <f t="shared" si="427"/>
        <v>@dasharray-driveway_case_medium_gap</v>
      </c>
      <c r="C341" s="155" t="s">
        <v>389</v>
      </c>
      <c r="D341" s="155" t="s">
        <v>389</v>
      </c>
      <c r="E341" s="155"/>
      <c r="F341" s="155" t="s">
        <v>389</v>
      </c>
      <c r="G341" s="155" t="s">
        <v>389</v>
      </c>
      <c r="H341" s="155"/>
      <c r="I341" s="155" t="s">
        <v>96</v>
      </c>
      <c r="J341" s="155" t="s">
        <v>96</v>
      </c>
      <c r="K341" s="155"/>
      <c r="L341" s="155" t="s">
        <v>96</v>
      </c>
      <c r="M341" s="155" t="s">
        <v>96</v>
      </c>
      <c r="N341" s="156"/>
      <c r="U341" s="155" t="s">
        <v>389</v>
      </c>
      <c r="V341" s="155" t="s">
        <v>389</v>
      </c>
      <c r="W341" s="155"/>
      <c r="X341" s="155" t="s">
        <v>389</v>
      </c>
      <c r="Y341" s="155" t="s">
        <v>389</v>
      </c>
      <c r="AA341" s="2" t="s">
        <v>385</v>
      </c>
      <c r="AB341" s="2" t="str">
        <f t="shared" si="428"/>
        <v>-</v>
      </c>
      <c r="AC341" s="2" t="s">
        <v>29</v>
      </c>
      <c r="AD341" s="2" t="str">
        <f t="shared" si="429"/>
        <v>_</v>
      </c>
      <c r="AE341" s="2" t="s">
        <v>17</v>
      </c>
      <c r="AF341" s="2" t="str">
        <f t="shared" si="430"/>
        <v>_</v>
      </c>
      <c r="AG341" s="2" t="s">
        <v>79</v>
      </c>
      <c r="AH341" s="2" t="str">
        <f t="shared" si="431"/>
        <v>_</v>
      </c>
      <c r="AI341" s="2" t="s">
        <v>388</v>
      </c>
    </row>
    <row r="342" spans="2:35" x14ac:dyDescent="0.25">
      <c r="B342" s="2" t="str">
        <f t="shared" si="427"/>
        <v>@dasharray-driveway_case_rough_dash</v>
      </c>
      <c r="C342" s="155" t="s">
        <v>341</v>
      </c>
      <c r="D342" s="155" t="s">
        <v>341</v>
      </c>
      <c r="E342" s="155"/>
      <c r="F342" s="155" t="s">
        <v>341</v>
      </c>
      <c r="G342" s="155" t="s">
        <v>341</v>
      </c>
      <c r="H342" s="155"/>
      <c r="I342" s="155" t="s">
        <v>97</v>
      </c>
      <c r="J342" s="155" t="s">
        <v>97</v>
      </c>
      <c r="K342" s="155"/>
      <c r="L342" s="155" t="s">
        <v>97</v>
      </c>
      <c r="M342" s="155" t="s">
        <v>97</v>
      </c>
      <c r="N342" s="156"/>
      <c r="U342" s="155" t="s">
        <v>341</v>
      </c>
      <c r="V342" s="155" t="s">
        <v>341</v>
      </c>
      <c r="W342" s="155"/>
      <c r="X342" s="155" t="s">
        <v>341</v>
      </c>
      <c r="Y342" s="155" t="s">
        <v>341</v>
      </c>
      <c r="AA342" s="2" t="s">
        <v>385</v>
      </c>
      <c r="AB342" s="2" t="str">
        <f t="shared" si="428"/>
        <v>-</v>
      </c>
      <c r="AC342" s="2" t="s">
        <v>29</v>
      </c>
      <c r="AD342" s="2" t="str">
        <f t="shared" si="429"/>
        <v>_</v>
      </c>
      <c r="AE342" s="2" t="s">
        <v>17</v>
      </c>
      <c r="AF342" s="2" t="str">
        <f t="shared" si="430"/>
        <v>_</v>
      </c>
      <c r="AG342" s="2" t="s">
        <v>386</v>
      </c>
      <c r="AH342" s="2" t="str">
        <f t="shared" si="431"/>
        <v>_</v>
      </c>
      <c r="AI342" s="2" t="s">
        <v>387</v>
      </c>
    </row>
    <row r="343" spans="2:35" x14ac:dyDescent="0.25">
      <c r="B343" s="2" t="str">
        <f t="shared" si="427"/>
        <v>@dasharray-driveway_case_rough_gap</v>
      </c>
      <c r="C343" s="155" t="s">
        <v>389</v>
      </c>
      <c r="D343" s="155" t="s">
        <v>389</v>
      </c>
      <c r="E343" s="155"/>
      <c r="F343" s="155" t="s">
        <v>389</v>
      </c>
      <c r="G343" s="155" t="s">
        <v>389</v>
      </c>
      <c r="H343" s="155"/>
      <c r="I343" s="155" t="s">
        <v>96</v>
      </c>
      <c r="J343" s="155" t="s">
        <v>96</v>
      </c>
      <c r="K343" s="155"/>
      <c r="L343" s="155" t="s">
        <v>96</v>
      </c>
      <c r="M343" s="155" t="s">
        <v>96</v>
      </c>
      <c r="N343" s="156"/>
      <c r="U343" s="155" t="s">
        <v>389</v>
      </c>
      <c r="V343" s="155" t="s">
        <v>389</v>
      </c>
      <c r="W343" s="155"/>
      <c r="X343" s="155" t="s">
        <v>389</v>
      </c>
      <c r="Y343" s="155" t="s">
        <v>389</v>
      </c>
      <c r="AA343" s="2" t="s">
        <v>385</v>
      </c>
      <c r="AB343" s="2" t="str">
        <f t="shared" si="428"/>
        <v>-</v>
      </c>
      <c r="AC343" s="2" t="s">
        <v>29</v>
      </c>
      <c r="AD343" s="2" t="str">
        <f t="shared" si="429"/>
        <v>_</v>
      </c>
      <c r="AE343" s="2" t="s">
        <v>17</v>
      </c>
      <c r="AF343" s="2" t="str">
        <f t="shared" si="430"/>
        <v>_</v>
      </c>
      <c r="AG343" s="2" t="s">
        <v>386</v>
      </c>
      <c r="AH343" s="2" t="str">
        <f t="shared" si="431"/>
        <v>_</v>
      </c>
      <c r="AI343" s="2" t="s">
        <v>388</v>
      </c>
    </row>
    <row r="344" spans="2:35" x14ac:dyDescent="0.25">
      <c r="B344" s="2"/>
      <c r="C344" s="153"/>
      <c r="D344" s="154"/>
      <c r="E344" s="154"/>
      <c r="F344" s="153"/>
      <c r="G344" s="154"/>
      <c r="H344" s="154"/>
      <c r="I344" s="153"/>
      <c r="J344" s="154"/>
      <c r="K344" s="154"/>
      <c r="L344" s="153"/>
      <c r="M344" s="154"/>
      <c r="U344" s="153"/>
      <c r="V344" s="154"/>
      <c r="W344" s="154"/>
      <c r="X344" s="153"/>
      <c r="Y344" s="154"/>
      <c r="AA344" s="2"/>
      <c r="AB344" s="2"/>
      <c r="AC344" s="2"/>
      <c r="AD344" s="2"/>
      <c r="AE344" s="2"/>
      <c r="AF344" s="2"/>
      <c r="AG344" s="2"/>
      <c r="AH344" s="2"/>
      <c r="AI344" s="2"/>
    </row>
    <row r="345" spans="2:35" x14ac:dyDescent="0.25">
      <c r="B345" s="2"/>
      <c r="C345" s="154"/>
      <c r="D345" s="154"/>
      <c r="E345" s="154"/>
      <c r="F345" s="154"/>
      <c r="G345" s="154"/>
      <c r="H345" s="154"/>
      <c r="I345" s="154"/>
      <c r="J345" s="154"/>
      <c r="K345" s="154"/>
      <c r="L345" s="154"/>
      <c r="M345" s="154"/>
      <c r="U345" s="154"/>
      <c r="V345" s="154"/>
      <c r="W345" s="154"/>
      <c r="X345" s="154"/>
      <c r="Y345" s="154"/>
      <c r="AB345" s="28" t="str">
        <f t="shared" ref="AB345:AB364" si="432">IF(NOT(ISBLANK(AC345)),"-","")</f>
        <v/>
      </c>
      <c r="AD345" s="28" t="str">
        <f t="shared" ref="AD345:AD364" si="433">IF(NOT(ISBLANK(AE345)),"_","")</f>
        <v/>
      </c>
      <c r="AF345" s="28" t="str">
        <f t="shared" ref="AF345:AF364" si="434">IF(NOT(ISBLANK(AG345)),"_","")</f>
        <v/>
      </c>
      <c r="AH345" s="28" t="str">
        <f t="shared" si="374"/>
        <v/>
      </c>
    </row>
    <row r="346" spans="2:35" x14ac:dyDescent="0.25">
      <c r="B346" s="2" t="str">
        <f t="shared" ref="B346:B351" si="435">_xlfn.CONCAT("@",AA346,AB346,AC346,AD346,AE346,AF346,AG346,AH346,AI346)</f>
        <v>@color-busway_case_unpaved_farzoom</v>
      </c>
      <c r="C346" s="115" t="s">
        <v>227</v>
      </c>
      <c r="D346" s="116" t="s">
        <v>229</v>
      </c>
      <c r="F346" s="116" t="s">
        <v>229</v>
      </c>
      <c r="G346" s="115" t="s">
        <v>227</v>
      </c>
      <c r="I346" s="132" t="str">
        <f t="shared" ref="I346:I349" si="436">C346</f>
        <v>"#b99346"</v>
      </c>
      <c r="J346" s="127" t="str">
        <f t="shared" ref="J346:J349" si="437">D346</f>
        <v>"#644507"</v>
      </c>
      <c r="L346" s="116" t="s">
        <v>229</v>
      </c>
      <c r="M346" s="115" t="s">
        <v>227</v>
      </c>
      <c r="U346" s="115" t="s">
        <v>227</v>
      </c>
      <c r="V346" s="116" t="s">
        <v>229</v>
      </c>
      <c r="X346" s="116" t="s">
        <v>229</v>
      </c>
      <c r="Y346" s="115" t="s">
        <v>227</v>
      </c>
      <c r="AA346" s="2" t="s">
        <v>6</v>
      </c>
      <c r="AB346" s="2" t="str">
        <f t="shared" si="432"/>
        <v>-</v>
      </c>
      <c r="AC346" s="2" t="s">
        <v>370</v>
      </c>
      <c r="AD346" s="2" t="str">
        <f t="shared" si="433"/>
        <v>_</v>
      </c>
      <c r="AE346" s="2" t="s">
        <v>17</v>
      </c>
      <c r="AF346" s="2" t="str">
        <f t="shared" si="434"/>
        <v>_</v>
      </c>
      <c r="AG346" s="2" t="s">
        <v>21</v>
      </c>
      <c r="AH346" s="2" t="str">
        <f t="shared" ref="AH346:AH358" si="438">IF(NOT(ISBLANK(AI346)),"_","")</f>
        <v>_</v>
      </c>
      <c r="AI346" s="28" t="s">
        <v>20</v>
      </c>
    </row>
    <row r="347" spans="2:35" x14ac:dyDescent="0.25">
      <c r="B347" s="2" t="str">
        <f t="shared" si="435"/>
        <v>@color-busway_case_unpaved_default</v>
      </c>
      <c r="C347" s="116" t="s">
        <v>229</v>
      </c>
      <c r="D347" s="116" t="s">
        <v>229</v>
      </c>
      <c r="F347" s="48" t="s">
        <v>214</v>
      </c>
      <c r="G347" s="48" t="s">
        <v>214</v>
      </c>
      <c r="I347" s="127" t="str">
        <f t="shared" si="436"/>
        <v>"#644507"</v>
      </c>
      <c r="J347" s="127" t="str">
        <f t="shared" si="437"/>
        <v>"#644507"</v>
      </c>
      <c r="L347" s="48" t="s">
        <v>214</v>
      </c>
      <c r="M347" s="48" t="s">
        <v>214</v>
      </c>
      <c r="U347" s="116" t="s">
        <v>229</v>
      </c>
      <c r="V347" s="116" t="s">
        <v>229</v>
      </c>
      <c r="X347" s="48" t="s">
        <v>214</v>
      </c>
      <c r="Y347" s="48" t="s">
        <v>214</v>
      </c>
      <c r="AA347" s="2" t="s">
        <v>6</v>
      </c>
      <c r="AB347" s="2" t="str">
        <f t="shared" si="432"/>
        <v>-</v>
      </c>
      <c r="AC347" s="2" t="s">
        <v>370</v>
      </c>
      <c r="AD347" s="2" t="str">
        <f t="shared" si="433"/>
        <v>_</v>
      </c>
      <c r="AE347" s="2" t="s">
        <v>17</v>
      </c>
      <c r="AF347" s="2" t="str">
        <f t="shared" si="434"/>
        <v>_</v>
      </c>
      <c r="AG347" s="2" t="s">
        <v>21</v>
      </c>
      <c r="AH347" s="2" t="str">
        <f t="shared" si="438"/>
        <v>_</v>
      </c>
      <c r="AI347" s="2" t="s">
        <v>262</v>
      </c>
    </row>
    <row r="348" spans="2:35" x14ac:dyDescent="0.25">
      <c r="B348" s="2" t="str">
        <f t="shared" si="435"/>
        <v>@color-busway_case_paved_or_uk_farzoom</v>
      </c>
      <c r="C348" s="118" t="s">
        <v>228</v>
      </c>
      <c r="D348" s="48" t="s">
        <v>214</v>
      </c>
      <c r="F348" s="118" t="s">
        <v>228</v>
      </c>
      <c r="G348" s="118" t="s">
        <v>228</v>
      </c>
      <c r="I348" s="133" t="str">
        <f t="shared" si="436"/>
        <v>"#808080"</v>
      </c>
      <c r="J348" s="37" t="str">
        <f t="shared" si="437"/>
        <v>"#000000"</v>
      </c>
      <c r="L348" s="118" t="s">
        <v>228</v>
      </c>
      <c r="M348" s="118" t="s">
        <v>228</v>
      </c>
      <c r="U348" s="118" t="s">
        <v>228</v>
      </c>
      <c r="V348" s="48" t="s">
        <v>214</v>
      </c>
      <c r="X348" s="118" t="s">
        <v>228</v>
      </c>
      <c r="Y348" s="118" t="s">
        <v>228</v>
      </c>
      <c r="AA348" s="2" t="s">
        <v>6</v>
      </c>
      <c r="AB348" s="2" t="str">
        <f t="shared" si="432"/>
        <v>-</v>
      </c>
      <c r="AC348" s="2" t="s">
        <v>370</v>
      </c>
      <c r="AD348" s="2" t="str">
        <f t="shared" si="433"/>
        <v>_</v>
      </c>
      <c r="AE348" s="2" t="s">
        <v>17</v>
      </c>
      <c r="AF348" s="2" t="str">
        <f t="shared" si="434"/>
        <v>_</v>
      </c>
      <c r="AG348" s="2" t="s">
        <v>24</v>
      </c>
      <c r="AH348" s="2" t="str">
        <f t="shared" si="438"/>
        <v>_</v>
      </c>
      <c r="AI348" s="28" t="s">
        <v>20</v>
      </c>
    </row>
    <row r="349" spans="2:35" x14ac:dyDescent="0.25">
      <c r="B349" s="2" t="str">
        <f t="shared" si="435"/>
        <v>@color-busway_case_paved_or_uk_default</v>
      </c>
      <c r="C349" s="119" t="s">
        <v>218</v>
      </c>
      <c r="D349" s="48" t="s">
        <v>214</v>
      </c>
      <c r="F349" s="48" t="s">
        <v>214</v>
      </c>
      <c r="G349" s="48" t="s">
        <v>214</v>
      </c>
      <c r="I349" s="134" t="str">
        <f t="shared" si="436"/>
        <v>"#404040"</v>
      </c>
      <c r="J349" s="37" t="str">
        <f t="shared" si="437"/>
        <v>"#000000"</v>
      </c>
      <c r="L349" s="48" t="s">
        <v>214</v>
      </c>
      <c r="M349" s="48" t="s">
        <v>214</v>
      </c>
      <c r="Q349" s="7"/>
      <c r="U349" s="119" t="s">
        <v>218</v>
      </c>
      <c r="V349" s="48" t="s">
        <v>214</v>
      </c>
      <c r="X349" s="48" t="s">
        <v>214</v>
      </c>
      <c r="Y349" s="48" t="s">
        <v>214</v>
      </c>
      <c r="AA349" s="2" t="s">
        <v>6</v>
      </c>
      <c r="AB349" s="2" t="str">
        <f t="shared" si="432"/>
        <v>-</v>
      </c>
      <c r="AC349" s="2" t="s">
        <v>370</v>
      </c>
      <c r="AD349" s="2" t="str">
        <f t="shared" si="433"/>
        <v>_</v>
      </c>
      <c r="AE349" s="2" t="s">
        <v>17</v>
      </c>
      <c r="AF349" s="2" t="str">
        <f t="shared" si="434"/>
        <v>_</v>
      </c>
      <c r="AG349" s="2" t="s">
        <v>24</v>
      </c>
      <c r="AH349" s="2" t="str">
        <f t="shared" si="438"/>
        <v>_</v>
      </c>
      <c r="AI349" s="2" t="s">
        <v>262</v>
      </c>
    </row>
    <row r="350" spans="2:35" x14ac:dyDescent="0.25">
      <c r="B350" s="2" t="str">
        <f t="shared" si="435"/>
        <v>@color-busway_line_unpaved</v>
      </c>
      <c r="C350" s="120" t="s">
        <v>221</v>
      </c>
      <c r="D350" s="38" t="str">
        <f t="shared" ref="D350:D351" si="439">C350</f>
        <v>"#eddfca"</v>
      </c>
      <c r="F350" s="120" t="s">
        <v>221</v>
      </c>
      <c r="G350" s="38" t="str">
        <f t="shared" ref="G350:G351" si="440">F350</f>
        <v>"#eddfca"</v>
      </c>
      <c r="I350" s="120" t="s">
        <v>221</v>
      </c>
      <c r="J350" s="38" t="str">
        <f t="shared" ref="J350:J351" si="441">I350</f>
        <v>"#eddfca"</v>
      </c>
      <c r="L350" s="120" t="s">
        <v>221</v>
      </c>
      <c r="M350" s="38" t="str">
        <f t="shared" ref="M350:M351" si="442">L350</f>
        <v>"#eddfca"</v>
      </c>
      <c r="U350" s="120" t="s">
        <v>221</v>
      </c>
      <c r="V350" s="38" t="str">
        <f t="shared" ref="V350:V351" si="443">U350</f>
        <v>"#eddfca"</v>
      </c>
      <c r="X350" s="120" t="s">
        <v>221</v>
      </c>
      <c r="Y350" s="38" t="str">
        <f t="shared" ref="Y350:Y351" si="444">X350</f>
        <v>"#eddfca"</v>
      </c>
      <c r="AA350" s="2" t="s">
        <v>6</v>
      </c>
      <c r="AB350" s="2" t="str">
        <f t="shared" si="432"/>
        <v>-</v>
      </c>
      <c r="AC350" s="2" t="s">
        <v>370</v>
      </c>
      <c r="AD350" s="2" t="str">
        <f t="shared" si="433"/>
        <v>_</v>
      </c>
      <c r="AE350" s="2" t="s">
        <v>13</v>
      </c>
      <c r="AF350" s="2" t="str">
        <f t="shared" si="434"/>
        <v>_</v>
      </c>
      <c r="AG350" s="2" t="s">
        <v>21</v>
      </c>
      <c r="AH350" s="2" t="str">
        <f t="shared" si="438"/>
        <v/>
      </c>
      <c r="AI350" s="2"/>
    </row>
    <row r="351" spans="2:35" x14ac:dyDescent="0.25">
      <c r="B351" s="2" t="str">
        <f t="shared" si="435"/>
        <v>@color-busway_line_paved_or_uk</v>
      </c>
      <c r="C351" s="47" t="s">
        <v>222</v>
      </c>
      <c r="D351" s="38" t="str">
        <f t="shared" si="439"/>
        <v>"#ffffff"</v>
      </c>
      <c r="F351" s="47" t="s">
        <v>222</v>
      </c>
      <c r="G351" s="38" t="str">
        <f t="shared" si="440"/>
        <v>"#ffffff"</v>
      </c>
      <c r="I351" s="47" t="s">
        <v>222</v>
      </c>
      <c r="J351" s="38" t="str">
        <f t="shared" si="441"/>
        <v>"#ffffff"</v>
      </c>
      <c r="L351" s="47" t="s">
        <v>222</v>
      </c>
      <c r="M351" s="38" t="str">
        <f t="shared" si="442"/>
        <v>"#ffffff"</v>
      </c>
      <c r="U351" s="47" t="s">
        <v>222</v>
      </c>
      <c r="V351" s="38" t="str">
        <f t="shared" si="443"/>
        <v>"#ffffff"</v>
      </c>
      <c r="X351" s="47" t="s">
        <v>222</v>
      </c>
      <c r="Y351" s="38" t="str">
        <f t="shared" si="444"/>
        <v>"#ffffff"</v>
      </c>
      <c r="AA351" s="2" t="s">
        <v>6</v>
      </c>
      <c r="AB351" s="2" t="str">
        <f t="shared" si="432"/>
        <v>-</v>
      </c>
      <c r="AC351" s="2" t="s">
        <v>370</v>
      </c>
      <c r="AD351" s="2" t="str">
        <f t="shared" si="433"/>
        <v>_</v>
      </c>
      <c r="AE351" s="2" t="s">
        <v>13</v>
      </c>
      <c r="AF351" s="2" t="str">
        <f t="shared" si="434"/>
        <v>_</v>
      </c>
      <c r="AG351" s="2" t="s">
        <v>24</v>
      </c>
      <c r="AH351" s="2" t="str">
        <f t="shared" si="438"/>
        <v/>
      </c>
      <c r="AI351" s="2"/>
    </row>
    <row r="352" spans="2:35" x14ac:dyDescent="0.25">
      <c r="B352" s="2"/>
      <c r="C352" s="153"/>
      <c r="D352" s="154"/>
      <c r="E352" s="154"/>
      <c r="F352" s="153"/>
      <c r="G352" s="154"/>
      <c r="H352" s="154"/>
      <c r="I352" s="154"/>
      <c r="J352" s="154"/>
      <c r="K352" s="154"/>
      <c r="L352" s="153"/>
      <c r="M352" s="154"/>
      <c r="U352" s="153"/>
      <c r="V352" s="154"/>
      <c r="W352" s="154"/>
      <c r="X352" s="153"/>
      <c r="Y352" s="154"/>
      <c r="AA352" s="2"/>
      <c r="AB352" s="2"/>
      <c r="AC352" s="2"/>
      <c r="AD352" s="2"/>
      <c r="AE352" s="2"/>
      <c r="AF352" s="2"/>
      <c r="AG352" s="2"/>
      <c r="AH352" s="2"/>
      <c r="AI352" s="2"/>
    </row>
    <row r="353" spans="2:35" x14ac:dyDescent="0.25">
      <c r="B353" s="2" t="str">
        <f t="shared" ref="B353:B356" si="445">_xlfn.CONCAT("@",AA353,AB353,AC353,AD353,AE353,AF353,AG353,AH353,AI353)</f>
        <v>@dasharray-busway_case_medium_dash</v>
      </c>
      <c r="C353" s="155" t="s">
        <v>341</v>
      </c>
      <c r="D353" s="155" t="s">
        <v>341</v>
      </c>
      <c r="E353" s="155"/>
      <c r="F353" s="155" t="s">
        <v>341</v>
      </c>
      <c r="G353" s="155" t="s">
        <v>341</v>
      </c>
      <c r="H353" s="155"/>
      <c r="I353" s="155" t="s">
        <v>92</v>
      </c>
      <c r="J353" s="155" t="s">
        <v>92</v>
      </c>
      <c r="K353" s="155"/>
      <c r="L353" s="155" t="s">
        <v>92</v>
      </c>
      <c r="M353" s="155" t="s">
        <v>92</v>
      </c>
      <c r="N353" s="156"/>
      <c r="U353" s="155" t="s">
        <v>341</v>
      </c>
      <c r="V353" s="155" t="s">
        <v>341</v>
      </c>
      <c r="W353" s="155"/>
      <c r="X353" s="155" t="s">
        <v>341</v>
      </c>
      <c r="Y353" s="155" t="s">
        <v>341</v>
      </c>
      <c r="AA353" s="2" t="s">
        <v>385</v>
      </c>
      <c r="AB353" s="2" t="str">
        <f t="shared" ref="AB353:AB356" si="446">IF(NOT(ISBLANK(AC353)),"-","")</f>
        <v>-</v>
      </c>
      <c r="AC353" s="2" t="s">
        <v>370</v>
      </c>
      <c r="AD353" s="2" t="str">
        <f t="shared" ref="AD353:AD356" si="447">IF(NOT(ISBLANK(AE353)),"_","")</f>
        <v>_</v>
      </c>
      <c r="AE353" s="2" t="s">
        <v>17</v>
      </c>
      <c r="AF353" s="2" t="str">
        <f t="shared" ref="AF353:AF356" si="448">IF(NOT(ISBLANK(AG353)),"_","")</f>
        <v>_</v>
      </c>
      <c r="AG353" s="2" t="s">
        <v>79</v>
      </c>
      <c r="AH353" s="2" t="str">
        <f t="shared" ref="AH353:AH356" si="449">IF(NOT(ISBLANK(AI353)),"_","")</f>
        <v>_</v>
      </c>
      <c r="AI353" s="2" t="s">
        <v>387</v>
      </c>
    </row>
    <row r="354" spans="2:35" x14ac:dyDescent="0.25">
      <c r="B354" s="2" t="str">
        <f t="shared" si="445"/>
        <v>@dasharray-busway_case_medium_gap</v>
      </c>
      <c r="C354" s="155" t="s">
        <v>389</v>
      </c>
      <c r="D354" s="155" t="s">
        <v>389</v>
      </c>
      <c r="E354" s="155"/>
      <c r="F354" s="155" t="s">
        <v>389</v>
      </c>
      <c r="G354" s="155" t="s">
        <v>389</v>
      </c>
      <c r="H354" s="155"/>
      <c r="I354" s="155" t="s">
        <v>96</v>
      </c>
      <c r="J354" s="155" t="s">
        <v>96</v>
      </c>
      <c r="K354" s="155"/>
      <c r="L354" s="155" t="s">
        <v>96</v>
      </c>
      <c r="M354" s="155" t="s">
        <v>96</v>
      </c>
      <c r="N354" s="156"/>
      <c r="U354" s="155" t="s">
        <v>389</v>
      </c>
      <c r="V354" s="155" t="s">
        <v>389</v>
      </c>
      <c r="W354" s="155"/>
      <c r="X354" s="155" t="s">
        <v>389</v>
      </c>
      <c r="Y354" s="155" t="s">
        <v>389</v>
      </c>
      <c r="AA354" s="2" t="s">
        <v>385</v>
      </c>
      <c r="AB354" s="2" t="str">
        <f t="shared" si="446"/>
        <v>-</v>
      </c>
      <c r="AC354" s="2" t="s">
        <v>370</v>
      </c>
      <c r="AD354" s="2" t="str">
        <f t="shared" si="447"/>
        <v>_</v>
      </c>
      <c r="AE354" s="2" t="s">
        <v>17</v>
      </c>
      <c r="AF354" s="2" t="str">
        <f t="shared" si="448"/>
        <v>_</v>
      </c>
      <c r="AG354" s="2" t="s">
        <v>79</v>
      </c>
      <c r="AH354" s="2" t="str">
        <f t="shared" si="449"/>
        <v>_</v>
      </c>
      <c r="AI354" s="2" t="s">
        <v>388</v>
      </c>
    </row>
    <row r="355" spans="2:35" x14ac:dyDescent="0.25">
      <c r="B355" s="2" t="str">
        <f t="shared" si="445"/>
        <v>@dasharray-busway_case_rough_dash</v>
      </c>
      <c r="C355" s="155" t="s">
        <v>341</v>
      </c>
      <c r="D355" s="155" t="s">
        <v>341</v>
      </c>
      <c r="E355" s="155"/>
      <c r="F355" s="155" t="s">
        <v>341</v>
      </c>
      <c r="G355" s="155" t="s">
        <v>341</v>
      </c>
      <c r="H355" s="155"/>
      <c r="I355" s="155" t="s">
        <v>97</v>
      </c>
      <c r="J355" s="155" t="s">
        <v>97</v>
      </c>
      <c r="K355" s="155"/>
      <c r="L355" s="155" t="s">
        <v>97</v>
      </c>
      <c r="M355" s="155" t="s">
        <v>97</v>
      </c>
      <c r="N355" s="156"/>
      <c r="U355" s="155" t="s">
        <v>341</v>
      </c>
      <c r="V355" s="155" t="s">
        <v>341</v>
      </c>
      <c r="W355" s="155"/>
      <c r="X355" s="155" t="s">
        <v>341</v>
      </c>
      <c r="Y355" s="155" t="s">
        <v>341</v>
      </c>
      <c r="AA355" s="2" t="s">
        <v>385</v>
      </c>
      <c r="AB355" s="2" t="str">
        <f t="shared" si="446"/>
        <v>-</v>
      </c>
      <c r="AC355" s="2" t="s">
        <v>370</v>
      </c>
      <c r="AD355" s="2" t="str">
        <f t="shared" si="447"/>
        <v>_</v>
      </c>
      <c r="AE355" s="2" t="s">
        <v>17</v>
      </c>
      <c r="AF355" s="2" t="str">
        <f t="shared" si="448"/>
        <v>_</v>
      </c>
      <c r="AG355" s="2" t="s">
        <v>386</v>
      </c>
      <c r="AH355" s="2" t="str">
        <f t="shared" si="449"/>
        <v>_</v>
      </c>
      <c r="AI355" s="2" t="s">
        <v>387</v>
      </c>
    </row>
    <row r="356" spans="2:35" x14ac:dyDescent="0.25">
      <c r="B356" s="2" t="str">
        <f t="shared" si="445"/>
        <v>@dasharray-busway_case_rough_gap</v>
      </c>
      <c r="C356" s="155" t="s">
        <v>389</v>
      </c>
      <c r="D356" s="155" t="s">
        <v>389</v>
      </c>
      <c r="E356" s="155"/>
      <c r="F356" s="155" t="s">
        <v>389</v>
      </c>
      <c r="G356" s="155" t="s">
        <v>389</v>
      </c>
      <c r="H356" s="155"/>
      <c r="I356" s="155" t="s">
        <v>96</v>
      </c>
      <c r="J356" s="155" t="s">
        <v>96</v>
      </c>
      <c r="K356" s="155"/>
      <c r="L356" s="155" t="s">
        <v>96</v>
      </c>
      <c r="M356" s="155" t="s">
        <v>96</v>
      </c>
      <c r="N356" s="156"/>
      <c r="U356" s="155" t="s">
        <v>389</v>
      </c>
      <c r="V356" s="155" t="s">
        <v>389</v>
      </c>
      <c r="W356" s="155"/>
      <c r="X356" s="155" t="s">
        <v>389</v>
      </c>
      <c r="Y356" s="155" t="s">
        <v>389</v>
      </c>
      <c r="AA356" s="2" t="s">
        <v>385</v>
      </c>
      <c r="AB356" s="2" t="str">
        <f t="shared" si="446"/>
        <v>-</v>
      </c>
      <c r="AC356" s="2" t="s">
        <v>370</v>
      </c>
      <c r="AD356" s="2" t="str">
        <f t="shared" si="447"/>
        <v>_</v>
      </c>
      <c r="AE356" s="2" t="s">
        <v>17</v>
      </c>
      <c r="AF356" s="2" t="str">
        <f t="shared" si="448"/>
        <v>_</v>
      </c>
      <c r="AG356" s="2" t="s">
        <v>386</v>
      </c>
      <c r="AH356" s="2" t="str">
        <f t="shared" si="449"/>
        <v>_</v>
      </c>
      <c r="AI356" s="2" t="s">
        <v>388</v>
      </c>
    </row>
    <row r="357" spans="2:35" x14ac:dyDescent="0.25">
      <c r="B357" s="158"/>
      <c r="C357" s="153"/>
      <c r="D357" s="154"/>
      <c r="E357" s="154"/>
      <c r="F357" s="153"/>
      <c r="G357" s="154"/>
      <c r="H357" s="154"/>
      <c r="I357" s="153"/>
      <c r="J357" s="154"/>
      <c r="K357" s="154"/>
      <c r="L357" s="153"/>
      <c r="M357" s="154"/>
      <c r="N357" s="154"/>
      <c r="O357" s="154"/>
      <c r="U357" s="153"/>
      <c r="V357" s="154"/>
      <c r="W357" s="154"/>
      <c r="X357" s="153"/>
      <c r="Y357" s="154"/>
      <c r="AA357" s="2"/>
      <c r="AB357" s="2"/>
      <c r="AC357" s="2"/>
      <c r="AD357" s="2"/>
      <c r="AE357" s="2"/>
      <c r="AF357" s="2"/>
      <c r="AG357" s="2"/>
      <c r="AH357" s="2"/>
      <c r="AI357" s="2"/>
    </row>
    <row r="358" spans="2:35" x14ac:dyDescent="0.25">
      <c r="B358" s="158"/>
      <c r="C358" s="154"/>
      <c r="D358" s="154"/>
      <c r="E358" s="154"/>
      <c r="F358" s="154"/>
      <c r="G358" s="154"/>
      <c r="H358" s="154"/>
      <c r="I358" s="154"/>
      <c r="J358" s="154"/>
      <c r="K358" s="154"/>
      <c r="L358" s="154"/>
      <c r="M358" s="154"/>
      <c r="N358" s="154"/>
      <c r="O358" s="154"/>
      <c r="U358" s="154"/>
      <c r="V358" s="154"/>
      <c r="W358" s="154"/>
      <c r="X358" s="154"/>
      <c r="Y358" s="154"/>
      <c r="AB358" s="28" t="str">
        <f t="shared" ref="AB358" si="450">IF(NOT(ISBLANK(AC358)),"-","")</f>
        <v/>
      </c>
      <c r="AD358" s="28" t="str">
        <f t="shared" ref="AD358" si="451">IF(NOT(ISBLANK(AE358)),"_","")</f>
        <v/>
      </c>
      <c r="AF358" s="28" t="str">
        <f t="shared" ref="AF358" si="452">IF(NOT(ISBLANK(AG358)),"_","")</f>
        <v/>
      </c>
      <c r="AH358" s="28" t="str">
        <f t="shared" si="438"/>
        <v/>
      </c>
    </row>
    <row r="359" spans="2:35" x14ac:dyDescent="0.25">
      <c r="B359" s="2" t="str">
        <f t="shared" ref="B359:B364" si="453">_xlfn.CONCAT("@",AA359,AB359,AC359,AD359,AE359,AF359,AG359,AH359,AI359)</f>
        <v>@color-service_case_unpaved_farzoom</v>
      </c>
      <c r="C359" s="115" t="s">
        <v>227</v>
      </c>
      <c r="D359" s="116" t="s">
        <v>229</v>
      </c>
      <c r="F359" s="116" t="s">
        <v>229</v>
      </c>
      <c r="G359" s="115" t="s">
        <v>227</v>
      </c>
      <c r="I359" s="132" t="str">
        <f t="shared" ref="I359:J362" si="454">C359</f>
        <v>"#b99346"</v>
      </c>
      <c r="J359" s="127" t="str">
        <f t="shared" si="454"/>
        <v>"#644507"</v>
      </c>
      <c r="L359" s="116" t="s">
        <v>229</v>
      </c>
      <c r="M359" s="115" t="s">
        <v>227</v>
      </c>
      <c r="U359" s="115" t="s">
        <v>227</v>
      </c>
      <c r="V359" s="116" t="s">
        <v>229</v>
      </c>
      <c r="X359" s="116" t="s">
        <v>229</v>
      </c>
      <c r="Y359" s="115" t="s">
        <v>227</v>
      </c>
      <c r="AA359" s="2" t="s">
        <v>6</v>
      </c>
      <c r="AB359" s="2" t="str">
        <f t="shared" si="432"/>
        <v>-</v>
      </c>
      <c r="AC359" s="2" t="s">
        <v>30</v>
      </c>
      <c r="AD359" s="2" t="str">
        <f t="shared" si="433"/>
        <v>_</v>
      </c>
      <c r="AE359" s="2" t="s">
        <v>17</v>
      </c>
      <c r="AF359" s="2" t="str">
        <f t="shared" si="434"/>
        <v>_</v>
      </c>
      <c r="AG359" s="2" t="s">
        <v>21</v>
      </c>
      <c r="AH359" s="2" t="str">
        <f t="shared" si="374"/>
        <v>_</v>
      </c>
      <c r="AI359" s="28" t="s">
        <v>20</v>
      </c>
    </row>
    <row r="360" spans="2:35" x14ac:dyDescent="0.25">
      <c r="B360" s="2" t="str">
        <f t="shared" si="453"/>
        <v>@color-service_case_unpaved_default</v>
      </c>
      <c r="C360" s="116" t="s">
        <v>229</v>
      </c>
      <c r="D360" s="116" t="s">
        <v>229</v>
      </c>
      <c r="F360" s="48" t="s">
        <v>214</v>
      </c>
      <c r="G360" s="48" t="s">
        <v>214</v>
      </c>
      <c r="I360" s="127" t="str">
        <f t="shared" si="454"/>
        <v>"#644507"</v>
      </c>
      <c r="J360" s="127" t="str">
        <f t="shared" si="454"/>
        <v>"#644507"</v>
      </c>
      <c r="L360" s="48" t="s">
        <v>214</v>
      </c>
      <c r="M360" s="48" t="s">
        <v>214</v>
      </c>
      <c r="U360" s="116" t="s">
        <v>229</v>
      </c>
      <c r="V360" s="116" t="s">
        <v>229</v>
      </c>
      <c r="X360" s="48" t="s">
        <v>214</v>
      </c>
      <c r="Y360" s="48" t="s">
        <v>214</v>
      </c>
      <c r="AA360" s="2" t="s">
        <v>6</v>
      </c>
      <c r="AB360" s="2" t="str">
        <f t="shared" si="432"/>
        <v>-</v>
      </c>
      <c r="AC360" s="2" t="s">
        <v>30</v>
      </c>
      <c r="AD360" s="2" t="str">
        <f t="shared" si="433"/>
        <v>_</v>
      </c>
      <c r="AE360" s="2" t="s">
        <v>17</v>
      </c>
      <c r="AF360" s="2" t="str">
        <f t="shared" si="434"/>
        <v>_</v>
      </c>
      <c r="AG360" s="2" t="s">
        <v>21</v>
      </c>
      <c r="AH360" s="2" t="str">
        <f t="shared" si="374"/>
        <v>_</v>
      </c>
      <c r="AI360" s="2" t="s">
        <v>262</v>
      </c>
    </row>
    <row r="361" spans="2:35" x14ac:dyDescent="0.25">
      <c r="B361" s="2" t="str">
        <f t="shared" si="453"/>
        <v>@color-service_case_paved_or_uk_farzoom</v>
      </c>
      <c r="C361" s="118" t="s">
        <v>228</v>
      </c>
      <c r="D361" s="48" t="s">
        <v>214</v>
      </c>
      <c r="F361" s="48" t="s">
        <v>214</v>
      </c>
      <c r="G361" s="48" t="s">
        <v>214</v>
      </c>
      <c r="I361" s="133" t="str">
        <f t="shared" si="454"/>
        <v>"#808080"</v>
      </c>
      <c r="J361" s="37" t="str">
        <f t="shared" si="454"/>
        <v>"#000000"</v>
      </c>
      <c r="L361" s="48" t="s">
        <v>214</v>
      </c>
      <c r="M361" s="48" t="s">
        <v>214</v>
      </c>
      <c r="U361" s="118" t="s">
        <v>228</v>
      </c>
      <c r="V361" s="48" t="s">
        <v>214</v>
      </c>
      <c r="X361" s="48" t="s">
        <v>214</v>
      </c>
      <c r="Y361" s="48" t="s">
        <v>214</v>
      </c>
      <c r="AA361" s="2" t="s">
        <v>6</v>
      </c>
      <c r="AB361" s="2" t="str">
        <f t="shared" si="432"/>
        <v>-</v>
      </c>
      <c r="AC361" s="2" t="s">
        <v>30</v>
      </c>
      <c r="AD361" s="2" t="str">
        <f t="shared" si="433"/>
        <v>_</v>
      </c>
      <c r="AE361" s="2" t="s">
        <v>17</v>
      </c>
      <c r="AF361" s="2" t="str">
        <f t="shared" si="434"/>
        <v>_</v>
      </c>
      <c r="AG361" s="2" t="s">
        <v>24</v>
      </c>
      <c r="AH361" s="2" t="str">
        <f t="shared" si="374"/>
        <v>_</v>
      </c>
      <c r="AI361" s="28" t="s">
        <v>20</v>
      </c>
    </row>
    <row r="362" spans="2:35" x14ac:dyDescent="0.25">
      <c r="B362" s="2" t="str">
        <f t="shared" si="453"/>
        <v>@color-service_case_paved_or_uk_default</v>
      </c>
      <c r="C362" s="119" t="s">
        <v>218</v>
      </c>
      <c r="D362" s="48" t="s">
        <v>214</v>
      </c>
      <c r="F362" s="48" t="s">
        <v>214</v>
      </c>
      <c r="G362" s="48" t="s">
        <v>214</v>
      </c>
      <c r="I362" s="134" t="str">
        <f t="shared" si="454"/>
        <v>"#404040"</v>
      </c>
      <c r="J362" s="37" t="str">
        <f t="shared" si="454"/>
        <v>"#000000"</v>
      </c>
      <c r="L362" s="48" t="s">
        <v>214</v>
      </c>
      <c r="M362" s="48" t="s">
        <v>214</v>
      </c>
      <c r="Q362" s="7"/>
      <c r="U362" s="119" t="s">
        <v>218</v>
      </c>
      <c r="V362" s="48" t="s">
        <v>214</v>
      </c>
      <c r="X362" s="48" t="s">
        <v>214</v>
      </c>
      <c r="Y362" s="48" t="s">
        <v>214</v>
      </c>
      <c r="AA362" s="2" t="s">
        <v>6</v>
      </c>
      <c r="AB362" s="2" t="str">
        <f t="shared" si="432"/>
        <v>-</v>
      </c>
      <c r="AC362" s="2" t="s">
        <v>30</v>
      </c>
      <c r="AD362" s="2" t="str">
        <f t="shared" si="433"/>
        <v>_</v>
      </c>
      <c r="AE362" s="2" t="s">
        <v>17</v>
      </c>
      <c r="AF362" s="2" t="str">
        <f t="shared" si="434"/>
        <v>_</v>
      </c>
      <c r="AG362" s="2" t="s">
        <v>24</v>
      </c>
      <c r="AH362" s="2" t="str">
        <f t="shared" si="374"/>
        <v>_</v>
      </c>
      <c r="AI362" s="2" t="s">
        <v>262</v>
      </c>
    </row>
    <row r="363" spans="2:35" x14ac:dyDescent="0.25">
      <c r="B363" s="2" t="str">
        <f t="shared" si="453"/>
        <v>@color-service_line_unpaved</v>
      </c>
      <c r="C363" s="120" t="s">
        <v>221</v>
      </c>
      <c r="D363" s="38" t="str">
        <f t="shared" ref="D363:D364" si="455">C363</f>
        <v>"#eddfca"</v>
      </c>
      <c r="F363" s="120" t="s">
        <v>221</v>
      </c>
      <c r="G363" s="38" t="str">
        <f t="shared" ref="G363:G364" si="456">F363</f>
        <v>"#eddfca"</v>
      </c>
      <c r="I363" s="121" t="str">
        <f>C363</f>
        <v>"#eddfca"</v>
      </c>
      <c r="J363" s="38" t="str">
        <f t="shared" ref="J363:J364" si="457">C363</f>
        <v>"#eddfca"</v>
      </c>
      <c r="L363" s="120" t="s">
        <v>221</v>
      </c>
      <c r="M363" s="38" t="str">
        <f t="shared" ref="M363:M364" si="458">L363</f>
        <v>"#eddfca"</v>
      </c>
      <c r="U363" s="120" t="s">
        <v>221</v>
      </c>
      <c r="V363" s="38" t="str">
        <f t="shared" ref="V363:V364" si="459">U363</f>
        <v>"#eddfca"</v>
      </c>
      <c r="X363" s="120" t="s">
        <v>221</v>
      </c>
      <c r="Y363" s="38" t="str">
        <f t="shared" ref="Y363:Y364" si="460">X363</f>
        <v>"#eddfca"</v>
      </c>
      <c r="AA363" s="2" t="s">
        <v>6</v>
      </c>
      <c r="AB363" s="2" t="str">
        <f t="shared" si="432"/>
        <v>-</v>
      </c>
      <c r="AC363" s="2" t="s">
        <v>30</v>
      </c>
      <c r="AD363" s="2" t="str">
        <f t="shared" si="433"/>
        <v>_</v>
      </c>
      <c r="AE363" s="2" t="s">
        <v>13</v>
      </c>
      <c r="AF363" s="2" t="str">
        <f t="shared" si="434"/>
        <v>_</v>
      </c>
      <c r="AG363" s="2" t="s">
        <v>21</v>
      </c>
      <c r="AH363" s="2" t="str">
        <f t="shared" si="374"/>
        <v/>
      </c>
      <c r="AI363" s="2"/>
    </row>
    <row r="364" spans="2:35" x14ac:dyDescent="0.25">
      <c r="B364" s="2" t="str">
        <f t="shared" si="453"/>
        <v>@color-service_line_paved_or_uk</v>
      </c>
      <c r="C364" s="47" t="s">
        <v>222</v>
      </c>
      <c r="D364" s="38" t="str">
        <f t="shared" si="455"/>
        <v>"#ffffff"</v>
      </c>
      <c r="F364" s="47" t="s">
        <v>222</v>
      </c>
      <c r="G364" s="38" t="str">
        <f t="shared" si="456"/>
        <v>"#ffffff"</v>
      </c>
      <c r="I364" s="38" t="str">
        <f>C364</f>
        <v>"#ffffff"</v>
      </c>
      <c r="J364" s="38" t="str">
        <f t="shared" si="457"/>
        <v>"#ffffff"</v>
      </c>
      <c r="L364" s="47" t="s">
        <v>222</v>
      </c>
      <c r="M364" s="38" t="str">
        <f t="shared" si="458"/>
        <v>"#ffffff"</v>
      </c>
      <c r="U364" s="47" t="s">
        <v>222</v>
      </c>
      <c r="V364" s="38" t="str">
        <f t="shared" si="459"/>
        <v>"#ffffff"</v>
      </c>
      <c r="X364" s="47" t="s">
        <v>222</v>
      </c>
      <c r="Y364" s="38" t="str">
        <f t="shared" si="460"/>
        <v>"#ffffff"</v>
      </c>
      <c r="AA364" s="2" t="s">
        <v>6</v>
      </c>
      <c r="AB364" s="2" t="str">
        <f t="shared" si="432"/>
        <v>-</v>
      </c>
      <c r="AC364" s="2" t="s">
        <v>30</v>
      </c>
      <c r="AD364" s="2" t="str">
        <f t="shared" si="433"/>
        <v>_</v>
      </c>
      <c r="AE364" s="2" t="s">
        <v>13</v>
      </c>
      <c r="AF364" s="2" t="str">
        <f t="shared" si="434"/>
        <v>_</v>
      </c>
      <c r="AG364" s="2" t="s">
        <v>24</v>
      </c>
      <c r="AH364" s="2" t="str">
        <f t="shared" si="374"/>
        <v/>
      </c>
      <c r="AI364" s="2"/>
    </row>
    <row r="365" spans="2:35" x14ac:dyDescent="0.25">
      <c r="B365" s="2"/>
      <c r="C365" s="153"/>
      <c r="D365" s="154"/>
      <c r="E365" s="154"/>
      <c r="F365" s="153"/>
      <c r="G365" s="154"/>
      <c r="H365" s="154"/>
      <c r="I365" s="154"/>
      <c r="J365" s="154"/>
      <c r="K365" s="154"/>
      <c r="L365" s="153"/>
      <c r="M365" s="154"/>
      <c r="U365" s="153"/>
      <c r="V365" s="154"/>
      <c r="W365" s="154"/>
      <c r="X365" s="153"/>
      <c r="Y365" s="154"/>
      <c r="AA365" s="2"/>
      <c r="AB365" s="2"/>
      <c r="AC365" s="2"/>
      <c r="AD365" s="2"/>
      <c r="AE365" s="2"/>
      <c r="AF365" s="2"/>
      <c r="AG365" s="2"/>
      <c r="AH365" s="2"/>
      <c r="AI365" s="2"/>
    </row>
    <row r="366" spans="2:35" x14ac:dyDescent="0.25">
      <c r="B366" s="2" t="str">
        <f t="shared" ref="B366:B367" si="461">_xlfn.CONCAT("@",AA366,AB366,AC366,AD366,AE366,AF366,AG366,AH366,AI366)</f>
        <v>@dasharray-service_case_medium_dash</v>
      </c>
      <c r="C366" s="155" t="s">
        <v>341</v>
      </c>
      <c r="D366" s="155" t="s">
        <v>341</v>
      </c>
      <c r="E366" s="155"/>
      <c r="F366" s="155" t="s">
        <v>341</v>
      </c>
      <c r="G366" s="155" t="s">
        <v>341</v>
      </c>
      <c r="H366" s="155"/>
      <c r="I366" s="155" t="s">
        <v>92</v>
      </c>
      <c r="J366" s="155" t="s">
        <v>92</v>
      </c>
      <c r="K366" s="155"/>
      <c r="L366" s="155" t="s">
        <v>92</v>
      </c>
      <c r="M366" s="155" t="s">
        <v>92</v>
      </c>
      <c r="N366" s="156"/>
      <c r="U366" s="155" t="s">
        <v>341</v>
      </c>
      <c r="V366" s="155" t="s">
        <v>341</v>
      </c>
      <c r="W366" s="155"/>
      <c r="X366" s="155" t="s">
        <v>341</v>
      </c>
      <c r="Y366" s="155" t="s">
        <v>341</v>
      </c>
      <c r="AA366" s="2" t="s">
        <v>385</v>
      </c>
      <c r="AB366" s="2" t="str">
        <f t="shared" ref="AB366:AB367" si="462">IF(NOT(ISBLANK(AC366)),"-","")</f>
        <v>-</v>
      </c>
      <c r="AC366" s="2" t="s">
        <v>30</v>
      </c>
      <c r="AD366" s="2" t="str">
        <f t="shared" ref="AD366:AD367" si="463">IF(NOT(ISBLANK(AE366)),"_","")</f>
        <v>_</v>
      </c>
      <c r="AE366" s="2" t="s">
        <v>17</v>
      </c>
      <c r="AF366" s="2" t="str">
        <f t="shared" ref="AF366:AF367" si="464">IF(NOT(ISBLANK(AG366)),"_","")</f>
        <v>_</v>
      </c>
      <c r="AG366" s="2" t="s">
        <v>79</v>
      </c>
      <c r="AH366" s="2" t="str">
        <f t="shared" ref="AH366:AH367" si="465">IF(NOT(ISBLANK(AI366)),"_","")</f>
        <v>_</v>
      </c>
      <c r="AI366" s="2" t="s">
        <v>387</v>
      </c>
    </row>
    <row r="367" spans="2:35" x14ac:dyDescent="0.25">
      <c r="B367" s="2" t="str">
        <f t="shared" si="461"/>
        <v>@dasharray-service_case_medium_gap</v>
      </c>
      <c r="C367" s="155" t="s">
        <v>389</v>
      </c>
      <c r="D367" s="155" t="s">
        <v>389</v>
      </c>
      <c r="E367" s="155"/>
      <c r="F367" s="155" t="s">
        <v>389</v>
      </c>
      <c r="G367" s="155" t="s">
        <v>389</v>
      </c>
      <c r="H367" s="155"/>
      <c r="I367" s="155" t="s">
        <v>96</v>
      </c>
      <c r="J367" s="155" t="s">
        <v>96</v>
      </c>
      <c r="K367" s="155"/>
      <c r="L367" s="155" t="s">
        <v>96</v>
      </c>
      <c r="M367" s="155" t="s">
        <v>96</v>
      </c>
      <c r="N367" s="156"/>
      <c r="U367" s="155" t="s">
        <v>389</v>
      </c>
      <c r="V367" s="155" t="s">
        <v>389</v>
      </c>
      <c r="W367" s="155"/>
      <c r="X367" s="155" t="s">
        <v>389</v>
      </c>
      <c r="Y367" s="155" t="s">
        <v>389</v>
      </c>
      <c r="AA367" s="2" t="s">
        <v>385</v>
      </c>
      <c r="AB367" s="2" t="str">
        <f t="shared" si="462"/>
        <v>-</v>
      </c>
      <c r="AC367" s="2" t="s">
        <v>30</v>
      </c>
      <c r="AD367" s="2" t="str">
        <f t="shared" si="463"/>
        <v>_</v>
      </c>
      <c r="AE367" s="2" t="s">
        <v>17</v>
      </c>
      <c r="AF367" s="2" t="str">
        <f t="shared" si="464"/>
        <v>_</v>
      </c>
      <c r="AG367" s="2" t="s">
        <v>79</v>
      </c>
      <c r="AH367" s="2" t="str">
        <f t="shared" si="465"/>
        <v>_</v>
      </c>
      <c r="AI367" s="2" t="s">
        <v>388</v>
      </c>
    </row>
    <row r="368" spans="2:35" x14ac:dyDescent="0.25">
      <c r="B368" s="2" t="str">
        <f t="shared" ref="B368" si="466">_xlfn.CONCAT("@",AA368,AB368,AC368,AD368,AE368,AF368,AG368,AH368,AI368)</f>
        <v>@dasharray-service_case_rough_dash</v>
      </c>
      <c r="C368" s="155" t="s">
        <v>341</v>
      </c>
      <c r="D368" s="155" t="s">
        <v>341</v>
      </c>
      <c r="E368" s="155"/>
      <c r="F368" s="155" t="s">
        <v>341</v>
      </c>
      <c r="G368" s="155" t="s">
        <v>341</v>
      </c>
      <c r="H368" s="155"/>
      <c r="I368" s="155" t="s">
        <v>97</v>
      </c>
      <c r="J368" s="155" t="s">
        <v>97</v>
      </c>
      <c r="K368" s="155"/>
      <c r="L368" s="155" t="s">
        <v>97</v>
      </c>
      <c r="M368" s="155" t="s">
        <v>97</v>
      </c>
      <c r="N368" s="156"/>
      <c r="U368" s="155" t="s">
        <v>341</v>
      </c>
      <c r="V368" s="155" t="s">
        <v>341</v>
      </c>
      <c r="W368" s="155"/>
      <c r="X368" s="155" t="s">
        <v>341</v>
      </c>
      <c r="Y368" s="155" t="s">
        <v>341</v>
      </c>
      <c r="AA368" s="2" t="s">
        <v>385</v>
      </c>
      <c r="AB368" s="2" t="str">
        <f t="shared" ref="AB368" si="467">IF(NOT(ISBLANK(AC368)),"-","")</f>
        <v>-</v>
      </c>
      <c r="AC368" s="2" t="s">
        <v>30</v>
      </c>
      <c r="AD368" s="2" t="str">
        <f t="shared" ref="AD368" si="468">IF(NOT(ISBLANK(AE368)),"_","")</f>
        <v>_</v>
      </c>
      <c r="AE368" s="2" t="s">
        <v>17</v>
      </c>
      <c r="AF368" s="2" t="str">
        <f t="shared" ref="AF368" si="469">IF(NOT(ISBLANK(AG368)),"_","")</f>
        <v>_</v>
      </c>
      <c r="AG368" s="2" t="s">
        <v>386</v>
      </c>
      <c r="AH368" s="2" t="str">
        <f t="shared" ref="AH368" si="470">IF(NOT(ISBLANK(AI368)),"_","")</f>
        <v>_</v>
      </c>
      <c r="AI368" s="2" t="s">
        <v>387</v>
      </c>
    </row>
    <row r="369" spans="1:35" x14ac:dyDescent="0.25">
      <c r="B369" s="2" t="str">
        <f t="shared" ref="B369" si="471">_xlfn.CONCAT("@",AA369,AB369,AC369,AD369,AE369,AF369,AG369,AH369,AI369)</f>
        <v>@dasharray-service_case_rough_gap</v>
      </c>
      <c r="C369" s="155" t="s">
        <v>389</v>
      </c>
      <c r="D369" s="155" t="s">
        <v>389</v>
      </c>
      <c r="E369" s="155"/>
      <c r="F369" s="155" t="s">
        <v>389</v>
      </c>
      <c r="G369" s="155" t="s">
        <v>389</v>
      </c>
      <c r="H369" s="155"/>
      <c r="I369" s="155" t="s">
        <v>96</v>
      </c>
      <c r="J369" s="155" t="s">
        <v>96</v>
      </c>
      <c r="K369" s="155"/>
      <c r="L369" s="155" t="s">
        <v>96</v>
      </c>
      <c r="M369" s="155" t="s">
        <v>96</v>
      </c>
      <c r="N369" s="156"/>
      <c r="U369" s="155" t="s">
        <v>389</v>
      </c>
      <c r="V369" s="155" t="s">
        <v>389</v>
      </c>
      <c r="W369" s="155"/>
      <c r="X369" s="155" t="s">
        <v>389</v>
      </c>
      <c r="Y369" s="155" t="s">
        <v>389</v>
      </c>
      <c r="AA369" s="2" t="s">
        <v>385</v>
      </c>
      <c r="AB369" s="2" t="str">
        <f t="shared" ref="AB369" si="472">IF(NOT(ISBLANK(AC369)),"-","")</f>
        <v>-</v>
      </c>
      <c r="AC369" s="2" t="s">
        <v>30</v>
      </c>
      <c r="AD369" s="2" t="str">
        <f t="shared" ref="AD369" si="473">IF(NOT(ISBLANK(AE369)),"_","")</f>
        <v>_</v>
      </c>
      <c r="AE369" s="2" t="s">
        <v>17</v>
      </c>
      <c r="AF369" s="2" t="str">
        <f t="shared" ref="AF369" si="474">IF(NOT(ISBLANK(AG369)),"_","")</f>
        <v>_</v>
      </c>
      <c r="AG369" s="2" t="s">
        <v>386</v>
      </c>
      <c r="AH369" s="2" t="str">
        <f t="shared" ref="AH369" si="475">IF(NOT(ISBLANK(AI369)),"_","")</f>
        <v>_</v>
      </c>
      <c r="AI369" s="2" t="s">
        <v>388</v>
      </c>
    </row>
    <row r="370" spans="1:35" x14ac:dyDescent="0.25">
      <c r="B370" s="2"/>
      <c r="C370" s="157" t="s">
        <v>390</v>
      </c>
      <c r="D370" s="155"/>
      <c r="E370" s="155"/>
      <c r="F370" s="155"/>
      <c r="G370" s="155"/>
      <c r="H370" s="155"/>
      <c r="I370" s="155"/>
      <c r="J370" s="155"/>
      <c r="K370" s="155"/>
      <c r="L370" s="155"/>
      <c r="M370" s="155"/>
      <c r="N370" s="156"/>
      <c r="U370" s="157" t="s">
        <v>390</v>
      </c>
      <c r="V370" s="155"/>
      <c r="W370" s="155"/>
      <c r="X370" s="155"/>
      <c r="Y370" s="155"/>
      <c r="AA370" s="2"/>
      <c r="AB370" s="2"/>
      <c r="AC370" s="2"/>
      <c r="AD370" s="2"/>
      <c r="AE370" s="2"/>
      <c r="AF370" s="2"/>
      <c r="AG370" s="2"/>
      <c r="AH370" s="2"/>
      <c r="AI370" s="2"/>
    </row>
    <row r="371" spans="1:35" x14ac:dyDescent="0.25">
      <c r="B371" s="2"/>
      <c r="C371" s="154"/>
      <c r="D371" s="154"/>
      <c r="E371" s="154"/>
      <c r="F371" s="154"/>
      <c r="G371" s="154"/>
      <c r="H371" s="154"/>
      <c r="I371" s="154"/>
      <c r="J371" s="154"/>
      <c r="K371" s="154"/>
      <c r="L371" s="154"/>
      <c r="M371" s="154"/>
      <c r="U371" s="154"/>
      <c r="V371" s="154"/>
      <c r="W371" s="154"/>
      <c r="X371" s="154"/>
      <c r="Y371" s="154"/>
      <c r="AB371" s="28" t="str">
        <f t="shared" si="356"/>
        <v/>
      </c>
      <c r="AD371" s="28" t="str">
        <f t="shared" si="363"/>
        <v/>
      </c>
      <c r="AF371" s="28" t="str">
        <f t="shared" si="364"/>
        <v/>
      </c>
      <c r="AH371" s="28" t="str">
        <f t="shared" si="374"/>
        <v/>
      </c>
    </row>
    <row r="372" spans="1:35" x14ac:dyDescent="0.25">
      <c r="B372" s="2" t="str">
        <f t="shared" ref="B372:B377" si="476">_xlfn.CONCAT("@",AA372,AB372,AC372,AD372,AE372,AF372,AG372,AH372,AI372)</f>
        <v>@color-minor_case_unpaved_farzoom</v>
      </c>
      <c r="C372" s="115" t="s">
        <v>227</v>
      </c>
      <c r="D372" s="116" t="s">
        <v>229</v>
      </c>
      <c r="F372" s="116" t="s">
        <v>229</v>
      </c>
      <c r="G372" s="115" t="s">
        <v>227</v>
      </c>
      <c r="I372" s="132" t="str">
        <f t="shared" ref="I372:J375" si="477">C372</f>
        <v>"#b99346"</v>
      </c>
      <c r="J372" s="127" t="str">
        <f t="shared" si="477"/>
        <v>"#644507"</v>
      </c>
      <c r="L372" s="116" t="s">
        <v>229</v>
      </c>
      <c r="M372" s="115" t="s">
        <v>227</v>
      </c>
      <c r="U372" s="115" t="s">
        <v>227</v>
      </c>
      <c r="V372" s="116" t="s">
        <v>229</v>
      </c>
      <c r="X372" s="116" t="s">
        <v>229</v>
      </c>
      <c r="Y372" s="115" t="s">
        <v>227</v>
      </c>
      <c r="AA372" s="2" t="s">
        <v>6</v>
      </c>
      <c r="AB372" s="2" t="str">
        <f t="shared" ref="AB372" si="478">IF(NOT(ISBLANK(AC372)),"-","")</f>
        <v>-</v>
      </c>
      <c r="AC372" s="2" t="s">
        <v>31</v>
      </c>
      <c r="AD372" s="2" t="str">
        <f t="shared" ref="AD372" si="479">IF(NOT(ISBLANK(AE372)),"_","")</f>
        <v>_</v>
      </c>
      <c r="AE372" s="2" t="s">
        <v>17</v>
      </c>
      <c r="AF372" s="2" t="str">
        <f t="shared" ref="AF372" si="480">IF(NOT(ISBLANK(AG372)),"_","")</f>
        <v>_</v>
      </c>
      <c r="AG372" s="2" t="s">
        <v>21</v>
      </c>
      <c r="AH372" s="2" t="str">
        <f t="shared" si="374"/>
        <v>_</v>
      </c>
      <c r="AI372" s="28" t="s">
        <v>20</v>
      </c>
    </row>
    <row r="373" spans="1:35" x14ac:dyDescent="0.25">
      <c r="B373" s="2" t="str">
        <f t="shared" si="476"/>
        <v>@color-minor_case_unpaved_default</v>
      </c>
      <c r="C373" s="116" t="s">
        <v>229</v>
      </c>
      <c r="D373" s="116" t="s">
        <v>229</v>
      </c>
      <c r="F373" s="48" t="s">
        <v>214</v>
      </c>
      <c r="G373" s="48" t="s">
        <v>214</v>
      </c>
      <c r="I373" s="127" t="str">
        <f t="shared" si="477"/>
        <v>"#644507"</v>
      </c>
      <c r="J373" s="127" t="str">
        <f t="shared" si="477"/>
        <v>"#644507"</v>
      </c>
      <c r="L373" s="48" t="s">
        <v>214</v>
      </c>
      <c r="M373" s="48" t="s">
        <v>214</v>
      </c>
      <c r="U373" s="116" t="s">
        <v>229</v>
      </c>
      <c r="V373" s="116" t="s">
        <v>229</v>
      </c>
      <c r="X373" s="48" t="s">
        <v>214</v>
      </c>
      <c r="Y373" s="48" t="s">
        <v>214</v>
      </c>
      <c r="AA373" s="2" t="s">
        <v>6</v>
      </c>
      <c r="AB373" s="2" t="str">
        <f t="shared" si="356"/>
        <v>-</v>
      </c>
      <c r="AC373" s="2" t="s">
        <v>31</v>
      </c>
      <c r="AD373" s="2" t="str">
        <f t="shared" si="363"/>
        <v>_</v>
      </c>
      <c r="AE373" s="2" t="s">
        <v>17</v>
      </c>
      <c r="AF373" s="2" t="str">
        <f t="shared" si="364"/>
        <v>_</v>
      </c>
      <c r="AG373" s="2" t="s">
        <v>21</v>
      </c>
      <c r="AH373" s="2" t="str">
        <f t="shared" si="374"/>
        <v>_</v>
      </c>
      <c r="AI373" s="28" t="s">
        <v>262</v>
      </c>
    </row>
    <row r="374" spans="1:35" x14ac:dyDescent="0.25">
      <c r="B374" s="2" t="str">
        <f t="shared" si="476"/>
        <v>@color-minor_case_paved_or_uk_farzoom</v>
      </c>
      <c r="C374" s="118" t="s">
        <v>228</v>
      </c>
      <c r="D374" s="48" t="s">
        <v>214</v>
      </c>
      <c r="F374" s="118" t="s">
        <v>228</v>
      </c>
      <c r="G374" s="118" t="s">
        <v>228</v>
      </c>
      <c r="I374" s="133" t="str">
        <f t="shared" si="477"/>
        <v>"#808080"</v>
      </c>
      <c r="J374" s="37" t="str">
        <f t="shared" si="477"/>
        <v>"#000000"</v>
      </c>
      <c r="L374" s="118" t="s">
        <v>228</v>
      </c>
      <c r="M374" s="118" t="s">
        <v>228</v>
      </c>
      <c r="U374" s="118" t="s">
        <v>228</v>
      </c>
      <c r="V374" s="48" t="s">
        <v>214</v>
      </c>
      <c r="X374" s="118" t="s">
        <v>228</v>
      </c>
      <c r="Y374" s="118" t="s">
        <v>228</v>
      </c>
      <c r="AA374" s="2" t="s">
        <v>6</v>
      </c>
      <c r="AB374" s="2" t="str">
        <f t="shared" ref="AB374" si="481">IF(NOT(ISBLANK(AC374)),"-","")</f>
        <v>-</v>
      </c>
      <c r="AC374" s="2" t="s">
        <v>31</v>
      </c>
      <c r="AD374" s="2" t="str">
        <f t="shared" ref="AD374" si="482">IF(NOT(ISBLANK(AE374)),"_","")</f>
        <v>_</v>
      </c>
      <c r="AE374" s="2" t="s">
        <v>17</v>
      </c>
      <c r="AF374" s="2" t="str">
        <f t="shared" ref="AF374" si="483">IF(NOT(ISBLANK(AG374)),"_","")</f>
        <v>_</v>
      </c>
      <c r="AG374" s="2" t="s">
        <v>24</v>
      </c>
      <c r="AH374" s="2" t="str">
        <f t="shared" si="374"/>
        <v>_</v>
      </c>
      <c r="AI374" s="28" t="s">
        <v>20</v>
      </c>
    </row>
    <row r="375" spans="1:35" x14ac:dyDescent="0.25">
      <c r="B375" s="2" t="str">
        <f t="shared" si="476"/>
        <v>@color-minor_case_paved_or_uk_default</v>
      </c>
      <c r="C375" s="119" t="s">
        <v>218</v>
      </c>
      <c r="D375" s="48" t="s">
        <v>214</v>
      </c>
      <c r="F375" s="48" t="s">
        <v>214</v>
      </c>
      <c r="G375" s="48" t="s">
        <v>214</v>
      </c>
      <c r="I375" s="134" t="str">
        <f t="shared" si="477"/>
        <v>"#404040"</v>
      </c>
      <c r="J375" s="37" t="str">
        <f t="shared" si="477"/>
        <v>"#000000"</v>
      </c>
      <c r="L375" s="48" t="s">
        <v>214</v>
      </c>
      <c r="M375" s="48" t="s">
        <v>214</v>
      </c>
      <c r="U375" s="119" t="s">
        <v>218</v>
      </c>
      <c r="V375" s="48" t="s">
        <v>214</v>
      </c>
      <c r="X375" s="48" t="s">
        <v>214</v>
      </c>
      <c r="Y375" s="48" t="s">
        <v>214</v>
      </c>
      <c r="AA375" s="2" t="s">
        <v>6</v>
      </c>
      <c r="AB375" s="2" t="str">
        <f t="shared" si="356"/>
        <v>-</v>
      </c>
      <c r="AC375" s="2" t="s">
        <v>31</v>
      </c>
      <c r="AD375" s="2" t="str">
        <f t="shared" si="363"/>
        <v>_</v>
      </c>
      <c r="AE375" s="2" t="s">
        <v>17</v>
      </c>
      <c r="AF375" s="2" t="str">
        <f t="shared" si="364"/>
        <v>_</v>
      </c>
      <c r="AG375" s="2" t="s">
        <v>24</v>
      </c>
      <c r="AH375" s="2" t="str">
        <f t="shared" si="374"/>
        <v>_</v>
      </c>
      <c r="AI375" s="28" t="s">
        <v>262</v>
      </c>
    </row>
    <row r="376" spans="1:35" x14ac:dyDescent="0.25">
      <c r="B376" s="2" t="str">
        <f t="shared" si="476"/>
        <v>@color-minor_line_unpaved</v>
      </c>
      <c r="C376" s="120" t="s">
        <v>221</v>
      </c>
      <c r="D376" s="38" t="str">
        <f t="shared" ref="D376:D377" si="484">C376</f>
        <v>"#eddfca"</v>
      </c>
      <c r="F376" s="120" t="s">
        <v>221</v>
      </c>
      <c r="G376" s="38" t="str">
        <f t="shared" ref="G376:G377" si="485">F376</f>
        <v>"#eddfca"</v>
      </c>
      <c r="I376" s="121" t="str">
        <f>C376</f>
        <v>"#eddfca"</v>
      </c>
      <c r="J376" s="38" t="str">
        <f t="shared" ref="J376:J377" si="486">C376</f>
        <v>"#eddfca"</v>
      </c>
      <c r="L376" s="120" t="s">
        <v>221</v>
      </c>
      <c r="M376" s="38" t="str">
        <f t="shared" ref="M376:M377" si="487">L376</f>
        <v>"#eddfca"</v>
      </c>
      <c r="U376" s="120" t="s">
        <v>221</v>
      </c>
      <c r="V376" s="38" t="str">
        <f t="shared" ref="V376:V377" si="488">U376</f>
        <v>"#eddfca"</v>
      </c>
      <c r="X376" s="120" t="s">
        <v>221</v>
      </c>
      <c r="Y376" s="38" t="str">
        <f t="shared" ref="Y376:Y377" si="489">X376</f>
        <v>"#eddfca"</v>
      </c>
      <c r="AA376" s="2" t="s">
        <v>6</v>
      </c>
      <c r="AB376" s="2" t="str">
        <f t="shared" si="356"/>
        <v>-</v>
      </c>
      <c r="AC376" s="2" t="s">
        <v>31</v>
      </c>
      <c r="AD376" s="2" t="str">
        <f t="shared" si="363"/>
        <v>_</v>
      </c>
      <c r="AE376" s="2" t="s">
        <v>13</v>
      </c>
      <c r="AF376" s="2" t="str">
        <f t="shared" si="364"/>
        <v>_</v>
      </c>
      <c r="AG376" s="2" t="s">
        <v>21</v>
      </c>
      <c r="AH376" s="2" t="str">
        <f t="shared" si="374"/>
        <v/>
      </c>
      <c r="AI376" s="2"/>
    </row>
    <row r="377" spans="1:35" x14ac:dyDescent="0.25">
      <c r="B377" s="2" t="str">
        <f t="shared" si="476"/>
        <v>@color-minor_line_paved_or_uk</v>
      </c>
      <c r="C377" s="47" t="s">
        <v>222</v>
      </c>
      <c r="D377" s="38" t="str">
        <f t="shared" si="484"/>
        <v>"#ffffff"</v>
      </c>
      <c r="F377" s="47" t="s">
        <v>222</v>
      </c>
      <c r="G377" s="38" t="str">
        <f t="shared" si="485"/>
        <v>"#ffffff"</v>
      </c>
      <c r="I377" s="38" t="str">
        <f>C377</f>
        <v>"#ffffff"</v>
      </c>
      <c r="J377" s="38" t="str">
        <f t="shared" si="486"/>
        <v>"#ffffff"</v>
      </c>
      <c r="L377" s="47" t="s">
        <v>222</v>
      </c>
      <c r="M377" s="38" t="str">
        <f t="shared" si="487"/>
        <v>"#ffffff"</v>
      </c>
      <c r="U377" s="47" t="s">
        <v>222</v>
      </c>
      <c r="V377" s="38" t="str">
        <f t="shared" si="488"/>
        <v>"#ffffff"</v>
      </c>
      <c r="X377" s="47" t="s">
        <v>222</v>
      </c>
      <c r="Y377" s="38" t="str">
        <f t="shared" si="489"/>
        <v>"#ffffff"</v>
      </c>
      <c r="AA377" s="2" t="s">
        <v>6</v>
      </c>
      <c r="AB377" s="2" t="str">
        <f t="shared" si="356"/>
        <v>-</v>
      </c>
      <c r="AC377" s="2" t="s">
        <v>31</v>
      </c>
      <c r="AD377" s="2" t="str">
        <f t="shared" si="363"/>
        <v>_</v>
      </c>
      <c r="AE377" s="2" t="s">
        <v>13</v>
      </c>
      <c r="AF377" s="2" t="str">
        <f t="shared" si="364"/>
        <v>_</v>
      </c>
      <c r="AG377" s="2" t="s">
        <v>24</v>
      </c>
      <c r="AH377" s="2" t="str">
        <f t="shared" si="374"/>
        <v/>
      </c>
      <c r="AI377" s="2"/>
    </row>
    <row r="378" spans="1:35" x14ac:dyDescent="0.25">
      <c r="B378" s="2"/>
      <c r="C378" s="153"/>
      <c r="D378" s="154"/>
      <c r="E378" s="154"/>
      <c r="F378" s="153"/>
      <c r="G378" s="154"/>
      <c r="H378" s="154"/>
      <c r="I378" s="154"/>
      <c r="J378" s="154"/>
      <c r="K378" s="154"/>
      <c r="L378" s="153"/>
      <c r="M378" s="154"/>
      <c r="U378" s="153"/>
      <c r="V378" s="154"/>
      <c r="W378" s="154"/>
      <c r="X378" s="153"/>
      <c r="Y378" s="154"/>
      <c r="AA378" s="2"/>
      <c r="AB378" s="2"/>
      <c r="AC378" s="2"/>
      <c r="AD378" s="2"/>
      <c r="AE378" s="2"/>
      <c r="AF378" s="2"/>
      <c r="AG378" s="2"/>
      <c r="AH378" s="2"/>
      <c r="AI378" s="2"/>
    </row>
    <row r="379" spans="1:35" x14ac:dyDescent="0.25">
      <c r="B379" s="2" t="str">
        <f t="shared" ref="B379:B382" si="490">_xlfn.CONCAT("@",AA379,AB379,AC379,AD379,AE379,AF379,AG379,AH379,AI379)</f>
        <v>@dasharray-minor_case_medium_dash</v>
      </c>
      <c r="C379" s="155" t="s">
        <v>341</v>
      </c>
      <c r="D379" s="155" t="s">
        <v>341</v>
      </c>
      <c r="E379" s="155"/>
      <c r="F379" s="155" t="s">
        <v>341</v>
      </c>
      <c r="G379" s="155" t="s">
        <v>341</v>
      </c>
      <c r="H379" s="155"/>
      <c r="I379" s="155" t="s">
        <v>92</v>
      </c>
      <c r="J379" s="155" t="s">
        <v>92</v>
      </c>
      <c r="K379" s="155"/>
      <c r="L379" s="155" t="s">
        <v>92</v>
      </c>
      <c r="M379" s="155" t="s">
        <v>92</v>
      </c>
      <c r="N379" s="156"/>
      <c r="U379" s="155" t="s">
        <v>341</v>
      </c>
      <c r="V379" s="155" t="s">
        <v>341</v>
      </c>
      <c r="W379" s="155"/>
      <c r="X379" s="155" t="s">
        <v>341</v>
      </c>
      <c r="Y379" s="155" t="s">
        <v>341</v>
      </c>
      <c r="AA379" s="2" t="s">
        <v>385</v>
      </c>
      <c r="AB379" s="2" t="str">
        <f t="shared" ref="AB379:AB382" si="491">IF(NOT(ISBLANK(AC379)),"-","")</f>
        <v>-</v>
      </c>
      <c r="AC379" s="2" t="s">
        <v>31</v>
      </c>
      <c r="AD379" s="2" t="str">
        <f t="shared" ref="AD379:AD382" si="492">IF(NOT(ISBLANK(AE379)),"_","")</f>
        <v>_</v>
      </c>
      <c r="AE379" s="2" t="s">
        <v>17</v>
      </c>
      <c r="AF379" s="2" t="str">
        <f t="shared" ref="AF379:AF382" si="493">IF(NOT(ISBLANK(AG379)),"_","")</f>
        <v>_</v>
      </c>
      <c r="AG379" s="2" t="s">
        <v>79</v>
      </c>
      <c r="AH379" s="2" t="str">
        <f t="shared" ref="AH379:AH382" si="494">IF(NOT(ISBLANK(AI379)),"_","")</f>
        <v>_</v>
      </c>
      <c r="AI379" s="2" t="s">
        <v>387</v>
      </c>
    </row>
    <row r="380" spans="1:35" x14ac:dyDescent="0.25">
      <c r="B380" s="2" t="str">
        <f t="shared" si="490"/>
        <v>@dasharray-minor_case_medium_gap</v>
      </c>
      <c r="C380" s="155" t="s">
        <v>389</v>
      </c>
      <c r="D380" s="155" t="s">
        <v>389</v>
      </c>
      <c r="E380" s="155"/>
      <c r="F380" s="155" t="s">
        <v>389</v>
      </c>
      <c r="G380" s="155" t="s">
        <v>389</v>
      </c>
      <c r="H380" s="155"/>
      <c r="I380" s="155" t="s">
        <v>96</v>
      </c>
      <c r="J380" s="155" t="s">
        <v>96</v>
      </c>
      <c r="K380" s="155"/>
      <c r="L380" s="155" t="s">
        <v>96</v>
      </c>
      <c r="M380" s="155" t="s">
        <v>96</v>
      </c>
      <c r="N380" s="156"/>
      <c r="U380" s="155" t="s">
        <v>389</v>
      </c>
      <c r="V380" s="155" t="s">
        <v>389</v>
      </c>
      <c r="W380" s="155"/>
      <c r="X380" s="155" t="s">
        <v>389</v>
      </c>
      <c r="Y380" s="155" t="s">
        <v>389</v>
      </c>
      <c r="AA380" s="2" t="s">
        <v>385</v>
      </c>
      <c r="AB380" s="2" t="str">
        <f t="shared" si="491"/>
        <v>-</v>
      </c>
      <c r="AC380" s="2" t="s">
        <v>31</v>
      </c>
      <c r="AD380" s="2" t="str">
        <f t="shared" si="492"/>
        <v>_</v>
      </c>
      <c r="AE380" s="2" t="s">
        <v>17</v>
      </c>
      <c r="AF380" s="2" t="str">
        <f t="shared" si="493"/>
        <v>_</v>
      </c>
      <c r="AG380" s="2" t="s">
        <v>79</v>
      </c>
      <c r="AH380" s="2" t="str">
        <f t="shared" si="494"/>
        <v>_</v>
      </c>
      <c r="AI380" s="2" t="s">
        <v>388</v>
      </c>
    </row>
    <row r="381" spans="1:35" x14ac:dyDescent="0.25">
      <c r="B381" s="2" t="str">
        <f t="shared" si="490"/>
        <v>@dasharray-minor_case_rough_dash</v>
      </c>
      <c r="C381" s="155" t="s">
        <v>341</v>
      </c>
      <c r="D381" s="155" t="s">
        <v>341</v>
      </c>
      <c r="E381" s="155"/>
      <c r="F381" s="155" t="s">
        <v>341</v>
      </c>
      <c r="G381" s="155" t="s">
        <v>341</v>
      </c>
      <c r="H381" s="155"/>
      <c r="I381" s="155" t="s">
        <v>97</v>
      </c>
      <c r="J381" s="155" t="s">
        <v>97</v>
      </c>
      <c r="K381" s="155"/>
      <c r="L381" s="155" t="s">
        <v>97</v>
      </c>
      <c r="M381" s="155" t="s">
        <v>97</v>
      </c>
      <c r="N381" s="156"/>
      <c r="U381" s="155" t="s">
        <v>341</v>
      </c>
      <c r="V381" s="155" t="s">
        <v>341</v>
      </c>
      <c r="W381" s="155"/>
      <c r="X381" s="155" t="s">
        <v>341</v>
      </c>
      <c r="Y381" s="155" t="s">
        <v>341</v>
      </c>
      <c r="AA381" s="2" t="s">
        <v>385</v>
      </c>
      <c r="AB381" s="2" t="str">
        <f t="shared" si="491"/>
        <v>-</v>
      </c>
      <c r="AC381" s="2" t="s">
        <v>31</v>
      </c>
      <c r="AD381" s="2" t="str">
        <f t="shared" si="492"/>
        <v>_</v>
      </c>
      <c r="AE381" s="2" t="s">
        <v>17</v>
      </c>
      <c r="AF381" s="2" t="str">
        <f t="shared" si="493"/>
        <v>_</v>
      </c>
      <c r="AG381" s="2" t="s">
        <v>386</v>
      </c>
      <c r="AH381" s="2" t="str">
        <f t="shared" si="494"/>
        <v>_</v>
      </c>
      <c r="AI381" s="2" t="s">
        <v>387</v>
      </c>
    </row>
    <row r="382" spans="1:35" x14ac:dyDescent="0.25">
      <c r="B382" s="2" t="str">
        <f t="shared" si="490"/>
        <v>@dasharray-minor_case_rough_gap</v>
      </c>
      <c r="C382" s="155" t="s">
        <v>389</v>
      </c>
      <c r="D382" s="155" t="s">
        <v>389</v>
      </c>
      <c r="E382" s="155"/>
      <c r="F382" s="155" t="s">
        <v>389</v>
      </c>
      <c r="G382" s="155" t="s">
        <v>389</v>
      </c>
      <c r="H382" s="155"/>
      <c r="I382" s="155" t="s">
        <v>96</v>
      </c>
      <c r="J382" s="155" t="s">
        <v>96</v>
      </c>
      <c r="K382" s="155"/>
      <c r="L382" s="155" t="s">
        <v>96</v>
      </c>
      <c r="M382" s="155" t="s">
        <v>96</v>
      </c>
      <c r="N382" s="156"/>
      <c r="U382" s="155" t="s">
        <v>389</v>
      </c>
      <c r="V382" s="155" t="s">
        <v>389</v>
      </c>
      <c r="W382" s="155"/>
      <c r="X382" s="155" t="s">
        <v>389</v>
      </c>
      <c r="Y382" s="155" t="s">
        <v>389</v>
      </c>
      <c r="AA382" s="2" t="s">
        <v>385</v>
      </c>
      <c r="AB382" s="2" t="str">
        <f t="shared" si="491"/>
        <v>-</v>
      </c>
      <c r="AC382" s="2" t="s">
        <v>31</v>
      </c>
      <c r="AD382" s="2" t="str">
        <f t="shared" si="492"/>
        <v>_</v>
      </c>
      <c r="AE382" s="2" t="s">
        <v>17</v>
      </c>
      <c r="AF382" s="2" t="str">
        <f t="shared" si="493"/>
        <v>_</v>
      </c>
      <c r="AG382" s="2" t="s">
        <v>386</v>
      </c>
      <c r="AH382" s="2" t="str">
        <f t="shared" si="494"/>
        <v>_</v>
      </c>
      <c r="AI382" s="2" t="s">
        <v>388</v>
      </c>
    </row>
    <row r="383" spans="1:35" x14ac:dyDescent="0.25">
      <c r="B383" s="2"/>
      <c r="AB383" s="28" t="str">
        <f t="shared" si="356"/>
        <v/>
      </c>
      <c r="AD383" s="28" t="str">
        <f t="shared" si="363"/>
        <v/>
      </c>
      <c r="AF383" s="28" t="str">
        <f t="shared" si="364"/>
        <v/>
      </c>
      <c r="AH383" s="28" t="str">
        <f t="shared" si="374"/>
        <v/>
      </c>
    </row>
    <row r="384" spans="1:35" s="2" customFormat="1" x14ac:dyDescent="0.25">
      <c r="A384" s="3" t="s">
        <v>224</v>
      </c>
      <c r="B384" s="3"/>
      <c r="C384" s="27"/>
      <c r="D384" s="6"/>
      <c r="E384" s="7"/>
      <c r="F384" s="6"/>
      <c r="G384" s="6"/>
      <c r="H384" s="7"/>
      <c r="I384" s="6"/>
      <c r="J384" s="6"/>
      <c r="K384" s="7"/>
      <c r="L384" s="6"/>
      <c r="M384" s="6"/>
      <c r="N384" s="7"/>
      <c r="O384" s="6"/>
      <c r="P384" s="6"/>
      <c r="Q384" s="7"/>
      <c r="R384" s="6"/>
      <c r="S384" s="6"/>
      <c r="T384" s="7"/>
      <c r="U384" s="6"/>
      <c r="V384" s="6"/>
      <c r="W384" s="7"/>
      <c r="X384" s="6"/>
      <c r="Y384" s="6"/>
      <c r="AA384" s="4"/>
      <c r="AB384" s="4" t="str">
        <f t="shared" si="356"/>
        <v/>
      </c>
      <c r="AC384" s="4"/>
      <c r="AD384" s="4" t="str">
        <f t="shared" si="363"/>
        <v/>
      </c>
      <c r="AE384" s="4"/>
      <c r="AF384" s="4" t="str">
        <f t="shared" si="364"/>
        <v/>
      </c>
      <c r="AG384" s="4"/>
      <c r="AH384" s="4" t="str">
        <f t="shared" si="374"/>
        <v/>
      </c>
      <c r="AI384" s="4"/>
    </row>
    <row r="385" spans="2:35" x14ac:dyDescent="0.25">
      <c r="B385" s="2" t="str">
        <f t="shared" ref="B385:B415" si="495">_xlfn.CONCAT("@",AA385,AB385,AC385,AD385,AE385,AF385,AG385,AH385,AI385)</f>
        <v>@color-motorway_link_line</v>
      </c>
      <c r="C385" s="111" t="s">
        <v>213</v>
      </c>
      <c r="D385" s="112" t="s">
        <v>215</v>
      </c>
      <c r="F385" s="110" t="s">
        <v>215</v>
      </c>
      <c r="G385" s="110" t="s">
        <v>215</v>
      </c>
      <c r="I385" s="111" t="s">
        <v>213</v>
      </c>
      <c r="J385" s="112" t="s">
        <v>215</v>
      </c>
      <c r="L385" s="110" t="s">
        <v>215</v>
      </c>
      <c r="M385" s="110" t="s">
        <v>215</v>
      </c>
      <c r="O385" s="111" t="s">
        <v>213</v>
      </c>
      <c r="P385" s="112" t="s">
        <v>215</v>
      </c>
      <c r="R385" s="110" t="s">
        <v>215</v>
      </c>
      <c r="S385" s="110" t="s">
        <v>215</v>
      </c>
      <c r="U385" s="111" t="s">
        <v>213</v>
      </c>
      <c r="V385" s="112" t="s">
        <v>215</v>
      </c>
      <c r="X385" s="110" t="s">
        <v>215</v>
      </c>
      <c r="Y385" s="110" t="s">
        <v>215</v>
      </c>
      <c r="AA385" s="2" t="s">
        <v>6</v>
      </c>
      <c r="AB385" s="2" t="str">
        <f t="shared" si="356"/>
        <v>-</v>
      </c>
      <c r="AC385" s="2" t="s">
        <v>33</v>
      </c>
      <c r="AD385" s="2" t="str">
        <f t="shared" si="363"/>
        <v>_</v>
      </c>
      <c r="AE385" s="2" t="s">
        <v>13</v>
      </c>
      <c r="AF385" s="2" t="str">
        <f t="shared" si="364"/>
        <v/>
      </c>
      <c r="AG385" s="2"/>
      <c r="AH385" s="2" t="str">
        <f t="shared" si="374"/>
        <v/>
      </c>
      <c r="AI385" s="2"/>
    </row>
    <row r="386" spans="2:35" x14ac:dyDescent="0.25">
      <c r="B386" s="2" t="str">
        <f t="shared" si="495"/>
        <v>@color-motorway_link_case</v>
      </c>
      <c r="C386" s="108" t="s">
        <v>212</v>
      </c>
      <c r="D386" s="37" t="s">
        <v>214</v>
      </c>
      <c r="F386" s="48" t="s">
        <v>214</v>
      </c>
      <c r="G386" s="48" t="s">
        <v>214</v>
      </c>
      <c r="I386" s="108" t="s">
        <v>212</v>
      </c>
      <c r="J386" s="37" t="s">
        <v>214</v>
      </c>
      <c r="L386" s="48" t="s">
        <v>214</v>
      </c>
      <c r="M386" s="48" t="s">
        <v>214</v>
      </c>
      <c r="O386" s="108" t="s">
        <v>212</v>
      </c>
      <c r="P386" s="37" t="s">
        <v>214</v>
      </c>
      <c r="R386" s="48" t="s">
        <v>214</v>
      </c>
      <c r="S386" s="48" t="s">
        <v>214</v>
      </c>
      <c r="U386" s="108" t="s">
        <v>212</v>
      </c>
      <c r="V386" s="37" t="s">
        <v>214</v>
      </c>
      <c r="X386" s="48" t="s">
        <v>214</v>
      </c>
      <c r="Y386" s="48" t="s">
        <v>214</v>
      </c>
      <c r="AA386" s="2" t="s">
        <v>6</v>
      </c>
      <c r="AB386" s="2" t="str">
        <f t="shared" si="356"/>
        <v>-</v>
      </c>
      <c r="AC386" s="2" t="s">
        <v>33</v>
      </c>
      <c r="AD386" s="2" t="str">
        <f t="shared" si="363"/>
        <v>_</v>
      </c>
      <c r="AE386" s="2" t="s">
        <v>17</v>
      </c>
      <c r="AF386" s="2" t="str">
        <f t="shared" si="364"/>
        <v/>
      </c>
      <c r="AG386" s="2"/>
      <c r="AH386" s="2" t="str">
        <f t="shared" si="374"/>
        <v/>
      </c>
      <c r="AI386" s="2"/>
    </row>
    <row r="387" spans="2:35" x14ac:dyDescent="0.25">
      <c r="B387" s="2"/>
      <c r="AB387" s="28" t="str">
        <f t="shared" ref="AB387" si="496">IF(NOT(ISBLANK(AC387)),"-","")</f>
        <v/>
      </c>
      <c r="AD387" s="28" t="str">
        <f t="shared" ref="AD387" si="497">IF(NOT(ISBLANK(AE387)),"_","")</f>
        <v/>
      </c>
      <c r="AF387" s="28" t="str">
        <f t="shared" ref="AF387" si="498">IF(NOT(ISBLANK(AG387)),"_","")</f>
        <v/>
      </c>
      <c r="AH387" s="28" t="str">
        <f t="shared" ref="AH387" si="499">IF(NOT(ISBLANK(AI387)),"_","")</f>
        <v/>
      </c>
    </row>
    <row r="388" spans="2:35" x14ac:dyDescent="0.25">
      <c r="B388" s="2" t="str">
        <f t="shared" si="495"/>
        <v>@color-trunk_primary_secondary_tertiary_link_line_bicycle_no</v>
      </c>
      <c r="C388" s="122" t="s">
        <v>231</v>
      </c>
      <c r="D388" s="110" t="s">
        <v>215</v>
      </c>
      <c r="F388" s="122" t="s">
        <v>231</v>
      </c>
      <c r="G388" s="110" t="s">
        <v>215</v>
      </c>
      <c r="I388" s="123" t="str">
        <f>C388</f>
        <v>"#ffcc8a"</v>
      </c>
      <c r="J388" s="112" t="str">
        <f>D388</f>
        <v>"#d6771e"</v>
      </c>
      <c r="L388" s="122" t="s">
        <v>231</v>
      </c>
      <c r="M388" s="110" t="s">
        <v>215</v>
      </c>
      <c r="U388" s="122" t="s">
        <v>231</v>
      </c>
      <c r="V388" s="110" t="s">
        <v>215</v>
      </c>
      <c r="X388" s="122" t="s">
        <v>231</v>
      </c>
      <c r="Y388" s="110" t="s">
        <v>215</v>
      </c>
      <c r="AA388" s="2" t="s">
        <v>6</v>
      </c>
      <c r="AB388" s="2" t="str">
        <f t="shared" si="356"/>
        <v>-</v>
      </c>
      <c r="AC388" s="2" t="s">
        <v>32</v>
      </c>
      <c r="AD388" s="2" t="str">
        <f t="shared" si="363"/>
        <v>_</v>
      </c>
      <c r="AE388" s="2" t="s">
        <v>13</v>
      </c>
      <c r="AF388" s="2" t="str">
        <f t="shared" si="364"/>
        <v>_</v>
      </c>
      <c r="AG388" s="2" t="s">
        <v>23</v>
      </c>
      <c r="AH388" s="2" t="str">
        <f t="shared" si="374"/>
        <v/>
      </c>
      <c r="AI388" s="2"/>
    </row>
    <row r="389" spans="2:35" x14ac:dyDescent="0.25">
      <c r="B389" s="2" t="str">
        <f t="shared" si="495"/>
        <v>@color-trunk_primary_secondary_tertiary_link_line_unpaved</v>
      </c>
      <c r="C389" s="121" t="s">
        <v>221</v>
      </c>
      <c r="D389" s="121" t="str">
        <f>C389</f>
        <v>"#eddfca"</v>
      </c>
      <c r="F389" s="121" t="s">
        <v>221</v>
      </c>
      <c r="G389" s="121" t="str">
        <f>F389</f>
        <v>"#eddfca"</v>
      </c>
      <c r="I389" s="121" t="s">
        <v>221</v>
      </c>
      <c r="J389" s="121" t="str">
        <f>I389</f>
        <v>"#eddfca"</v>
      </c>
      <c r="L389" s="121" t="s">
        <v>221</v>
      </c>
      <c r="M389" s="121" t="str">
        <f>L389</f>
        <v>"#eddfca"</v>
      </c>
      <c r="U389" s="121" t="s">
        <v>221</v>
      </c>
      <c r="V389" s="121" t="str">
        <f>U389</f>
        <v>"#eddfca"</v>
      </c>
      <c r="X389" s="121" t="s">
        <v>221</v>
      </c>
      <c r="Y389" s="121" t="str">
        <f>X389</f>
        <v>"#eddfca"</v>
      </c>
      <c r="AA389" s="2" t="s">
        <v>6</v>
      </c>
      <c r="AB389" s="2" t="str">
        <f t="shared" si="356"/>
        <v>-</v>
      </c>
      <c r="AC389" s="2" t="s">
        <v>32</v>
      </c>
      <c r="AD389" s="2" t="str">
        <f t="shared" si="363"/>
        <v>_</v>
      </c>
      <c r="AE389" s="2" t="s">
        <v>13</v>
      </c>
      <c r="AF389" s="2" t="str">
        <f t="shared" si="364"/>
        <v>_</v>
      </c>
      <c r="AG389" s="2" t="s">
        <v>21</v>
      </c>
      <c r="AH389" s="2" t="str">
        <f t="shared" si="374"/>
        <v/>
      </c>
      <c r="AI389" s="2"/>
    </row>
    <row r="390" spans="2:35" x14ac:dyDescent="0.25">
      <c r="B390" s="2" t="str">
        <f t="shared" si="495"/>
        <v>@color-trunk_primary_secondary_tertiary_link_line_paved_or_uk</v>
      </c>
      <c r="C390" s="47" t="s">
        <v>222</v>
      </c>
      <c r="D390" s="38" t="str">
        <f>C390</f>
        <v>"#ffffff"</v>
      </c>
      <c r="F390" s="47" t="s">
        <v>222</v>
      </c>
      <c r="G390" s="38" t="str">
        <f>F390</f>
        <v>"#ffffff"</v>
      </c>
      <c r="I390" s="47" t="s">
        <v>222</v>
      </c>
      <c r="J390" s="38" t="str">
        <f>I390</f>
        <v>"#ffffff"</v>
      </c>
      <c r="L390" s="47" t="s">
        <v>222</v>
      </c>
      <c r="M390" s="38" t="str">
        <f>L390</f>
        <v>"#ffffff"</v>
      </c>
      <c r="U390" s="47" t="s">
        <v>222</v>
      </c>
      <c r="V390" s="38" t="str">
        <f>U390</f>
        <v>"#ffffff"</v>
      </c>
      <c r="X390" s="47" t="s">
        <v>222</v>
      </c>
      <c r="Y390" s="38" t="str">
        <f>X390</f>
        <v>"#ffffff"</v>
      </c>
      <c r="AA390" s="2" t="s">
        <v>6</v>
      </c>
      <c r="AB390" s="2" t="str">
        <f t="shared" si="356"/>
        <v>-</v>
      </c>
      <c r="AC390" s="2" t="s">
        <v>32</v>
      </c>
      <c r="AD390" s="2" t="str">
        <f t="shared" si="363"/>
        <v>_</v>
      </c>
      <c r="AE390" s="2" t="s">
        <v>13</v>
      </c>
      <c r="AF390" s="2" t="str">
        <f t="shared" si="364"/>
        <v>_</v>
      </c>
      <c r="AG390" s="2" t="s">
        <v>24</v>
      </c>
      <c r="AH390" s="2" t="str">
        <f t="shared" si="374"/>
        <v/>
      </c>
      <c r="AI390" s="2"/>
    </row>
    <row r="391" spans="2:35" x14ac:dyDescent="0.25">
      <c r="B391" s="2" t="str">
        <f t="shared" si="495"/>
        <v>@color-trunk_primary_secondary_tertiary_link_case_bicycle_no_farzoom</v>
      </c>
      <c r="C391" s="113" t="s">
        <v>226</v>
      </c>
      <c r="D391" s="48" t="s">
        <v>214</v>
      </c>
      <c r="F391" s="113" t="s">
        <v>226</v>
      </c>
      <c r="G391" s="113" t="s">
        <v>226</v>
      </c>
      <c r="I391" s="114" t="str">
        <f>C391</f>
        <v>"#bd430f"</v>
      </c>
      <c r="J391" s="37" t="str">
        <f>D391</f>
        <v>"#000000"</v>
      </c>
      <c r="L391" s="113" t="s">
        <v>226</v>
      </c>
      <c r="M391" s="113" t="s">
        <v>226</v>
      </c>
      <c r="U391" s="113" t="s">
        <v>226</v>
      </c>
      <c r="V391" s="48" t="s">
        <v>214</v>
      </c>
      <c r="X391" s="113" t="s">
        <v>226</v>
      </c>
      <c r="Y391" s="113" t="s">
        <v>226</v>
      </c>
      <c r="AA391" s="2" t="s">
        <v>6</v>
      </c>
      <c r="AB391" s="2" t="str">
        <f t="shared" ref="AB391" si="500">IF(NOT(ISBLANK(AC391)),"-","")</f>
        <v>-</v>
      </c>
      <c r="AC391" s="2" t="s">
        <v>32</v>
      </c>
      <c r="AD391" s="2" t="str">
        <f t="shared" ref="AD391" si="501">IF(NOT(ISBLANK(AE391)),"_","")</f>
        <v>_</v>
      </c>
      <c r="AE391" s="2" t="s">
        <v>17</v>
      </c>
      <c r="AF391" s="2" t="str">
        <f t="shared" ref="AF391" si="502">IF(NOT(ISBLANK(AG391)),"_","")</f>
        <v>_</v>
      </c>
      <c r="AG391" s="2" t="s">
        <v>23</v>
      </c>
      <c r="AH391" s="2" t="str">
        <f t="shared" si="374"/>
        <v>_</v>
      </c>
      <c r="AI391" s="2" t="s">
        <v>20</v>
      </c>
    </row>
    <row r="392" spans="2:35" x14ac:dyDescent="0.25">
      <c r="B392" s="2" t="str">
        <f t="shared" ref="B392:B396" si="503">_xlfn.CONCAT("@",AA392,AB392,AC392,AD392,AE392,AF392,AG392,AH392,AI392)</f>
        <v>@color-trunk_primary_secondary_tertiary_link_case_bicycle_no_default</v>
      </c>
      <c r="C392" s="113" t="s">
        <v>226</v>
      </c>
      <c r="D392" s="48" t="s">
        <v>214</v>
      </c>
      <c r="F392" s="48" t="s">
        <v>214</v>
      </c>
      <c r="G392" s="48" t="s">
        <v>214</v>
      </c>
      <c r="I392" s="114" t="str">
        <f>C392</f>
        <v>"#bd430f"</v>
      </c>
      <c r="J392" s="37" t="str">
        <f>D392</f>
        <v>"#000000"</v>
      </c>
      <c r="L392" s="48" t="s">
        <v>214</v>
      </c>
      <c r="M392" s="48" t="s">
        <v>214</v>
      </c>
      <c r="U392" s="113" t="s">
        <v>226</v>
      </c>
      <c r="V392" s="48" t="s">
        <v>214</v>
      </c>
      <c r="X392" s="48" t="s">
        <v>214</v>
      </c>
      <c r="Y392" s="48" t="s">
        <v>214</v>
      </c>
      <c r="AA392" s="2" t="s">
        <v>6</v>
      </c>
      <c r="AB392" s="2" t="str">
        <f t="shared" ref="AB392:AB396" si="504">IF(NOT(ISBLANK(AC392)),"-","")</f>
        <v>-</v>
      </c>
      <c r="AC392" s="2" t="s">
        <v>32</v>
      </c>
      <c r="AD392" s="2" t="str">
        <f t="shared" ref="AD392:AD396" si="505">IF(NOT(ISBLANK(AE392)),"_","")</f>
        <v>_</v>
      </c>
      <c r="AE392" s="2" t="s">
        <v>17</v>
      </c>
      <c r="AF392" s="2" t="str">
        <f t="shared" ref="AF392:AF396" si="506">IF(NOT(ISBLANK(AG392)),"_","")</f>
        <v>_</v>
      </c>
      <c r="AG392" s="2" t="s">
        <v>23</v>
      </c>
      <c r="AH392" s="2" t="str">
        <f t="shared" ref="AH392:AH396" si="507">IF(NOT(ISBLANK(AI392)),"_","")</f>
        <v>_</v>
      </c>
      <c r="AI392" s="2" t="s">
        <v>262</v>
      </c>
    </row>
    <row r="393" spans="2:35" x14ac:dyDescent="0.25">
      <c r="B393" s="2" t="str">
        <f t="shared" ref="B393" si="508">_xlfn.CONCAT("@",AA393,AB393,AC393,AD393,AE393,AF393,AG393,AH393,AI393)</f>
        <v>@color-trunk_primary_secondary_tertiary_link_case_unpaved_farzoom</v>
      </c>
      <c r="C393" s="115" t="s">
        <v>227</v>
      </c>
      <c r="D393" s="116" t="s">
        <v>229</v>
      </c>
      <c r="F393" s="116" t="s">
        <v>229</v>
      </c>
      <c r="G393" s="115" t="s">
        <v>227</v>
      </c>
      <c r="I393" s="115" t="s">
        <v>227</v>
      </c>
      <c r="J393" s="116" t="s">
        <v>229</v>
      </c>
      <c r="L393" s="116" t="s">
        <v>229</v>
      </c>
      <c r="M393" s="115" t="s">
        <v>227</v>
      </c>
      <c r="U393" s="115" t="s">
        <v>227</v>
      </c>
      <c r="V393" s="116" t="s">
        <v>229</v>
      </c>
      <c r="X393" s="116" t="s">
        <v>229</v>
      </c>
      <c r="Y393" s="115" t="s">
        <v>227</v>
      </c>
      <c r="AA393" s="2" t="s">
        <v>6</v>
      </c>
      <c r="AB393" s="2" t="str">
        <f t="shared" ref="AB393" si="509">IF(NOT(ISBLANK(AC393)),"-","")</f>
        <v>-</v>
      </c>
      <c r="AC393" s="2" t="s">
        <v>32</v>
      </c>
      <c r="AD393" s="2" t="str">
        <f t="shared" ref="AD393" si="510">IF(NOT(ISBLANK(AE393)),"_","")</f>
        <v>_</v>
      </c>
      <c r="AE393" s="2" t="s">
        <v>17</v>
      </c>
      <c r="AF393" s="2" t="str">
        <f t="shared" ref="AF393" si="511">IF(NOT(ISBLANK(AG393)),"_","")</f>
        <v>_</v>
      </c>
      <c r="AG393" s="2" t="s">
        <v>21</v>
      </c>
      <c r="AH393" s="2" t="str">
        <f t="shared" ref="AH393" si="512">IF(NOT(ISBLANK(AI393)),"_","")</f>
        <v>_</v>
      </c>
      <c r="AI393" s="2" t="s">
        <v>20</v>
      </c>
    </row>
    <row r="394" spans="2:35" x14ac:dyDescent="0.25">
      <c r="B394" s="2" t="str">
        <f t="shared" si="503"/>
        <v>@color-trunk_primary_secondary_tertiary_link_case_unpaved_default</v>
      </c>
      <c r="C394" s="116" t="s">
        <v>229</v>
      </c>
      <c r="D394" s="116" t="s">
        <v>229</v>
      </c>
      <c r="F394" s="48" t="s">
        <v>214</v>
      </c>
      <c r="G394" s="48" t="s">
        <v>214</v>
      </c>
      <c r="I394" s="116" t="s">
        <v>229</v>
      </c>
      <c r="J394" s="116" t="s">
        <v>229</v>
      </c>
      <c r="L394" s="48" t="s">
        <v>214</v>
      </c>
      <c r="M394" s="48" t="s">
        <v>214</v>
      </c>
      <c r="U394" s="116" t="s">
        <v>229</v>
      </c>
      <c r="V394" s="116" t="s">
        <v>229</v>
      </c>
      <c r="X394" s="48" t="s">
        <v>214</v>
      </c>
      <c r="Y394" s="48" t="s">
        <v>214</v>
      </c>
      <c r="AA394" s="2" t="s">
        <v>6</v>
      </c>
      <c r="AB394" s="2" t="str">
        <f t="shared" si="504"/>
        <v>-</v>
      </c>
      <c r="AC394" s="2" t="s">
        <v>32</v>
      </c>
      <c r="AD394" s="2" t="str">
        <f t="shared" si="505"/>
        <v>_</v>
      </c>
      <c r="AE394" s="2" t="s">
        <v>17</v>
      </c>
      <c r="AF394" s="2" t="str">
        <f t="shared" si="506"/>
        <v>_</v>
      </c>
      <c r="AG394" s="2" t="s">
        <v>21</v>
      </c>
      <c r="AH394" s="2" t="str">
        <f t="shared" si="507"/>
        <v>_</v>
      </c>
      <c r="AI394" s="2" t="s">
        <v>262</v>
      </c>
    </row>
    <row r="395" spans="2:35" x14ac:dyDescent="0.25">
      <c r="B395" s="2" t="str">
        <f t="shared" ref="B395" si="513">_xlfn.CONCAT("@",AA395,AB395,AC395,AD395,AE395,AF395,AG395,AH395,AI395)</f>
        <v>@color-trunk_primary_secondary_tertiary_link_case_paved_or_uk_farzoom</v>
      </c>
      <c r="C395" s="118" t="s">
        <v>228</v>
      </c>
      <c r="D395" s="48" t="s">
        <v>214</v>
      </c>
      <c r="F395" s="118" t="s">
        <v>228</v>
      </c>
      <c r="G395" s="118" t="s">
        <v>228</v>
      </c>
      <c r="I395" s="118" t="s">
        <v>228</v>
      </c>
      <c r="J395" s="48" t="s">
        <v>214</v>
      </c>
      <c r="L395" s="118" t="s">
        <v>228</v>
      </c>
      <c r="M395" s="118" t="s">
        <v>228</v>
      </c>
      <c r="U395" s="118" t="s">
        <v>228</v>
      </c>
      <c r="V395" s="48" t="s">
        <v>214</v>
      </c>
      <c r="X395" s="118" t="s">
        <v>228</v>
      </c>
      <c r="Y395" s="118" t="s">
        <v>228</v>
      </c>
      <c r="AA395" s="2" t="s">
        <v>6</v>
      </c>
      <c r="AB395" s="2" t="str">
        <f t="shared" ref="AB395" si="514">IF(NOT(ISBLANK(AC395)),"-","")</f>
        <v>-</v>
      </c>
      <c r="AC395" s="2" t="s">
        <v>32</v>
      </c>
      <c r="AD395" s="2" t="str">
        <f t="shared" ref="AD395" si="515">IF(NOT(ISBLANK(AE395)),"_","")</f>
        <v>_</v>
      </c>
      <c r="AE395" s="2" t="s">
        <v>17</v>
      </c>
      <c r="AF395" s="2" t="str">
        <f t="shared" ref="AF395" si="516">IF(NOT(ISBLANK(AG395)),"_","")</f>
        <v>_</v>
      </c>
      <c r="AG395" s="2" t="s">
        <v>24</v>
      </c>
      <c r="AH395" s="2" t="str">
        <f t="shared" ref="AH395" si="517">IF(NOT(ISBLANK(AI395)),"_","")</f>
        <v>_</v>
      </c>
      <c r="AI395" s="2" t="s">
        <v>20</v>
      </c>
    </row>
    <row r="396" spans="2:35" x14ac:dyDescent="0.25">
      <c r="B396" s="2" t="str">
        <f t="shared" si="503"/>
        <v>@color-trunk_primary_secondary_tertiary_link_case_paved_or_uk_default</v>
      </c>
      <c r="C396" s="124" t="s">
        <v>230</v>
      </c>
      <c r="D396" s="48" t="s">
        <v>214</v>
      </c>
      <c r="F396" s="48" t="s">
        <v>214</v>
      </c>
      <c r="G396" s="48" t="s">
        <v>214</v>
      </c>
      <c r="I396" s="124" t="s">
        <v>230</v>
      </c>
      <c r="J396" s="48" t="s">
        <v>214</v>
      </c>
      <c r="L396" s="48" t="s">
        <v>214</v>
      </c>
      <c r="M396" s="48" t="s">
        <v>214</v>
      </c>
      <c r="U396" s="124" t="s">
        <v>230</v>
      </c>
      <c r="V396" s="48" t="s">
        <v>214</v>
      </c>
      <c r="X396" s="48" t="s">
        <v>214</v>
      </c>
      <c r="Y396" s="48" t="s">
        <v>214</v>
      </c>
      <c r="AA396" s="2" t="s">
        <v>6</v>
      </c>
      <c r="AB396" s="2" t="str">
        <f t="shared" si="504"/>
        <v>-</v>
      </c>
      <c r="AC396" s="2" t="s">
        <v>32</v>
      </c>
      <c r="AD396" s="2" t="str">
        <f t="shared" si="505"/>
        <v>_</v>
      </c>
      <c r="AE396" s="2" t="s">
        <v>17</v>
      </c>
      <c r="AF396" s="2" t="str">
        <f t="shared" si="506"/>
        <v>_</v>
      </c>
      <c r="AG396" s="2" t="s">
        <v>24</v>
      </c>
      <c r="AH396" s="2" t="str">
        <f t="shared" si="507"/>
        <v>_</v>
      </c>
      <c r="AI396" s="2" t="s">
        <v>262</v>
      </c>
    </row>
    <row r="397" spans="2:35" x14ac:dyDescent="0.25">
      <c r="B397" s="2" t="str">
        <f t="shared" si="495"/>
        <v>@</v>
      </c>
    </row>
    <row r="398" spans="2:35" x14ac:dyDescent="0.25">
      <c r="B398" s="2" t="str">
        <f t="shared" si="495"/>
        <v>@</v>
      </c>
    </row>
    <row r="399" spans="2:35" x14ac:dyDescent="0.25">
      <c r="B399" s="2" t="str">
        <f t="shared" si="495"/>
        <v>@</v>
      </c>
    </row>
    <row r="400" spans="2:35" x14ac:dyDescent="0.25">
      <c r="B400" s="2" t="str">
        <f t="shared" si="495"/>
        <v>@</v>
      </c>
    </row>
    <row r="401" spans="2:2" x14ac:dyDescent="0.25">
      <c r="B401" s="2" t="str">
        <f t="shared" si="495"/>
        <v>@</v>
      </c>
    </row>
    <row r="402" spans="2:2" x14ac:dyDescent="0.25">
      <c r="B402" s="2" t="str">
        <f t="shared" si="495"/>
        <v>@</v>
      </c>
    </row>
    <row r="403" spans="2:2" x14ac:dyDescent="0.25">
      <c r="B403" s="2" t="str">
        <f t="shared" si="495"/>
        <v>@</v>
      </c>
    </row>
    <row r="404" spans="2:2" x14ac:dyDescent="0.25">
      <c r="B404" s="2" t="str">
        <f t="shared" si="495"/>
        <v>@</v>
      </c>
    </row>
    <row r="405" spans="2:2" x14ac:dyDescent="0.25">
      <c r="B405" s="2" t="str">
        <f t="shared" si="495"/>
        <v>@</v>
      </c>
    </row>
    <row r="406" spans="2:2" x14ac:dyDescent="0.25">
      <c r="B406" s="2" t="str">
        <f t="shared" si="495"/>
        <v>@</v>
      </c>
    </row>
    <row r="407" spans="2:2" x14ac:dyDescent="0.25">
      <c r="B407" s="2" t="str">
        <f t="shared" si="495"/>
        <v>@</v>
      </c>
    </row>
    <row r="408" spans="2:2" x14ac:dyDescent="0.25">
      <c r="B408" s="2" t="str">
        <f t="shared" si="495"/>
        <v>@</v>
      </c>
    </row>
    <row r="409" spans="2:2" x14ac:dyDescent="0.25">
      <c r="B409" s="2" t="str">
        <f t="shared" si="495"/>
        <v>@</v>
      </c>
    </row>
    <row r="410" spans="2:2" x14ac:dyDescent="0.25">
      <c r="B410" s="2" t="str">
        <f t="shared" si="495"/>
        <v>@</v>
      </c>
    </row>
    <row r="411" spans="2:2" x14ac:dyDescent="0.25">
      <c r="B411" s="2" t="str">
        <f t="shared" si="495"/>
        <v>@</v>
      </c>
    </row>
    <row r="412" spans="2:2" x14ac:dyDescent="0.25">
      <c r="B412" s="2" t="str">
        <f t="shared" si="495"/>
        <v>@</v>
      </c>
    </row>
    <row r="413" spans="2:2" x14ac:dyDescent="0.25">
      <c r="B413" s="2" t="str">
        <f t="shared" si="495"/>
        <v>@</v>
      </c>
    </row>
    <row r="414" spans="2:2" x14ac:dyDescent="0.25">
      <c r="B414" s="2" t="str">
        <f t="shared" si="495"/>
        <v>@</v>
      </c>
    </row>
    <row r="415" spans="2:2" x14ac:dyDescent="0.25">
      <c r="B415" s="2" t="str">
        <f t="shared" si="495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0 C73 M69:T69 M70:T70 M71:T71 M73:T73 M74:T74 M75:T75 M77:T77 M78:T78 M79:T79 M81:T81 M82:T82 M83:T83 D73:E73 E69 E70 E71 E72 D81:E84 E74 E75 E76 E77 E78 E79 E80 H73 H69:L69 H70:L70 H71:L71 H72:L72 H81:L83 H74:L74 H75:L75 H76 H77 H78:L78 H79:L79 H80 J73:K73 J77:K77 H84 J84:K84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2025-12-28T13:44:20Z</dcterms:modified>
</cp:coreProperties>
</file>