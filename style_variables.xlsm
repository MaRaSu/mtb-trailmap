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AC51D3CF-0791-4F98-ABAC-74B1B5EA3D74}" xr6:coauthVersionLast="47" xr6:coauthVersionMax="47" xr10:uidLastSave="{00000000-0000-0000-0000-000000000000}"/>
  <bookViews>
    <workbookView xWindow="-120" yWindow="-120" windowWidth="57840" windowHeight="31920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3" i="5" l="1"/>
  <c r="AD33" i="5"/>
  <c r="AB33" i="5"/>
  <c r="B33" i="5"/>
  <c r="AF32" i="5"/>
  <c r="B32" i="5" s="1"/>
  <c r="AD32" i="5"/>
  <c r="AB32" i="5"/>
  <c r="AF31" i="5"/>
  <c r="AD31" i="5"/>
  <c r="AB31" i="5"/>
  <c r="B31" i="5"/>
  <c r="AF30" i="5"/>
  <c r="AD30" i="5"/>
  <c r="AB30" i="5"/>
  <c r="AF29" i="5"/>
  <c r="AD29" i="5"/>
  <c r="AB29" i="5"/>
  <c r="B29" i="5"/>
  <c r="AF28" i="5"/>
  <c r="AD28" i="5"/>
  <c r="AB28" i="5"/>
  <c r="AF27" i="5"/>
  <c r="AD27" i="5"/>
  <c r="AB27" i="5"/>
  <c r="B27" i="5"/>
  <c r="AF26" i="5"/>
  <c r="AD26" i="5"/>
  <c r="AB26" i="5"/>
  <c r="B26" i="5"/>
  <c r="AF25" i="5"/>
  <c r="AD25" i="5"/>
  <c r="AB25" i="5"/>
  <c r="B25" i="5"/>
  <c r="AF24" i="5"/>
  <c r="AD24" i="5"/>
  <c r="AB24" i="5"/>
  <c r="AF23" i="5"/>
  <c r="AD23" i="5"/>
  <c r="B23" i="5" s="1"/>
  <c r="AB23" i="5"/>
  <c r="AF22" i="5"/>
  <c r="AD22" i="5"/>
  <c r="AB22" i="5"/>
  <c r="B22" i="5" s="1"/>
  <c r="AF21" i="5"/>
  <c r="AD21" i="5"/>
  <c r="AB21" i="5"/>
  <c r="AF20" i="5"/>
  <c r="AD20" i="5"/>
  <c r="AB20" i="5"/>
  <c r="AF19" i="5"/>
  <c r="AD19" i="5"/>
  <c r="AB19" i="5"/>
  <c r="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B15" i="5"/>
  <c r="AF14" i="5"/>
  <c r="AD14" i="5"/>
  <c r="AB14" i="5"/>
  <c r="B14" i="5"/>
  <c r="AF13" i="5"/>
  <c r="AD13" i="5"/>
  <c r="AB13" i="5"/>
  <c r="AF12" i="5"/>
  <c r="AD12" i="5"/>
  <c r="AB12" i="5"/>
  <c r="AF11" i="5"/>
  <c r="AD11" i="5"/>
  <c r="AB11" i="5"/>
  <c r="AF67" i="5"/>
  <c r="AD67" i="5"/>
  <c r="AB67" i="5"/>
  <c r="B67" i="5" s="1"/>
  <c r="AF92" i="5"/>
  <c r="AD92" i="5"/>
  <c r="AB92" i="5"/>
  <c r="G138" i="5"/>
  <c r="G137" i="5"/>
  <c r="G129" i="5"/>
  <c r="G128" i="5"/>
  <c r="G120" i="5"/>
  <c r="G119" i="5"/>
  <c r="G110" i="5"/>
  <c r="G109" i="5"/>
  <c r="D138" i="5"/>
  <c r="D137" i="5"/>
  <c r="D129" i="5"/>
  <c r="D128" i="5"/>
  <c r="D120" i="5"/>
  <c r="D119" i="5"/>
  <c r="D110" i="5"/>
  <c r="D109" i="5"/>
  <c r="AF102" i="5"/>
  <c r="AD102" i="5"/>
  <c r="AB102" i="5"/>
  <c r="V102" i="5"/>
  <c r="U102" i="5"/>
  <c r="J102" i="5"/>
  <c r="I102" i="5"/>
  <c r="AF53" i="5"/>
  <c r="AD53" i="5"/>
  <c r="AB53" i="5"/>
  <c r="AF51" i="5"/>
  <c r="AD51" i="5"/>
  <c r="AB51" i="5"/>
  <c r="AF94" i="5"/>
  <c r="AD94" i="5"/>
  <c r="AB94" i="5"/>
  <c r="AF65" i="5"/>
  <c r="AD65" i="5"/>
  <c r="AB65" i="5"/>
  <c r="AF64" i="5"/>
  <c r="AD64" i="5"/>
  <c r="AB64" i="5"/>
  <c r="AF63" i="5"/>
  <c r="AD63" i="5"/>
  <c r="AB63" i="5"/>
  <c r="AF62" i="5"/>
  <c r="AD62" i="5"/>
  <c r="AB62" i="5"/>
  <c r="AF61" i="5"/>
  <c r="AD61" i="5"/>
  <c r="AB61" i="5"/>
  <c r="AF93" i="5"/>
  <c r="AD93" i="5"/>
  <c r="AB93" i="5"/>
  <c r="AF91" i="5"/>
  <c r="AD91" i="5"/>
  <c r="AB91" i="5"/>
  <c r="V131" i="5"/>
  <c r="V122" i="5"/>
  <c r="V108" i="5"/>
  <c r="V107" i="5"/>
  <c r="V113" i="5"/>
  <c r="V118" i="5"/>
  <c r="J108" i="5"/>
  <c r="I108" i="5"/>
  <c r="J118" i="5"/>
  <c r="J127" i="5"/>
  <c r="V127" i="5" s="1"/>
  <c r="J136" i="5"/>
  <c r="V136" i="5" s="1"/>
  <c r="J131" i="5"/>
  <c r="J122" i="5"/>
  <c r="U99" i="5"/>
  <c r="U98" i="5"/>
  <c r="U97" i="5"/>
  <c r="U107" i="5"/>
  <c r="U108" i="5"/>
  <c r="AF105" i="5"/>
  <c r="AD105" i="5"/>
  <c r="AB105" i="5"/>
  <c r="AF103" i="5"/>
  <c r="AD103" i="5"/>
  <c r="AB103" i="5"/>
  <c r="J113" i="5"/>
  <c r="J99" i="5"/>
  <c r="I99" i="5"/>
  <c r="I98" i="5"/>
  <c r="I97" i="5"/>
  <c r="J110" i="5"/>
  <c r="J109" i="5"/>
  <c r="J120" i="5"/>
  <c r="J119" i="5"/>
  <c r="J128" i="5"/>
  <c r="J129" i="5"/>
  <c r="J137" i="5"/>
  <c r="J138" i="5"/>
  <c r="AF144" i="5"/>
  <c r="AD144" i="5"/>
  <c r="AB144" i="5"/>
  <c r="V144" i="5"/>
  <c r="AF141" i="5"/>
  <c r="AD141" i="5"/>
  <c r="AB141" i="5"/>
  <c r="AF155" i="5"/>
  <c r="AD155" i="5"/>
  <c r="AB155" i="5"/>
  <c r="J155" i="5"/>
  <c r="I155" i="5"/>
  <c r="D155" i="5"/>
  <c r="AF154" i="5"/>
  <c r="AD154" i="5"/>
  <c r="AB154" i="5"/>
  <c r="J154" i="5"/>
  <c r="I154" i="5"/>
  <c r="D154" i="5"/>
  <c r="AF153" i="5"/>
  <c r="AD153" i="5"/>
  <c r="AB153" i="5"/>
  <c r="V153" i="5"/>
  <c r="AF152" i="5"/>
  <c r="AD152" i="5"/>
  <c r="AB152" i="5"/>
  <c r="B152" i="5" s="1"/>
  <c r="J152" i="5"/>
  <c r="I152" i="5"/>
  <c r="AF151" i="5"/>
  <c r="AD151" i="5"/>
  <c r="AB151" i="5"/>
  <c r="J151" i="5"/>
  <c r="I151" i="5"/>
  <c r="AF150" i="5"/>
  <c r="AD150" i="5"/>
  <c r="AB150" i="5"/>
  <c r="B150" i="5" s="1"/>
  <c r="J150" i="5"/>
  <c r="I150" i="5"/>
  <c r="AF149" i="5"/>
  <c r="AD149" i="5"/>
  <c r="AB149" i="5"/>
  <c r="J149" i="5"/>
  <c r="I149" i="5"/>
  <c r="AF148" i="5"/>
  <c r="AD148" i="5"/>
  <c r="AB148" i="5"/>
  <c r="AF147" i="5"/>
  <c r="AD147" i="5"/>
  <c r="AB147" i="5"/>
  <c r="V162" i="5"/>
  <c r="V170" i="5"/>
  <c r="AF170" i="5"/>
  <c r="AD170" i="5"/>
  <c r="AB170" i="5"/>
  <c r="AF162" i="5"/>
  <c r="AD162" i="5"/>
  <c r="AB162" i="5"/>
  <c r="AF164" i="5"/>
  <c r="AD164" i="5"/>
  <c r="AB164" i="5"/>
  <c r="J164" i="5"/>
  <c r="I164" i="5"/>
  <c r="D164" i="5"/>
  <c r="AF163" i="5"/>
  <c r="AD163" i="5"/>
  <c r="AB163" i="5"/>
  <c r="J163" i="5"/>
  <c r="I163" i="5"/>
  <c r="D163" i="5"/>
  <c r="AF161" i="5"/>
  <c r="AD161" i="5"/>
  <c r="AB161" i="5"/>
  <c r="J161" i="5"/>
  <c r="I161" i="5"/>
  <c r="B161" i="5"/>
  <c r="AF160" i="5"/>
  <c r="AD160" i="5"/>
  <c r="AB160" i="5"/>
  <c r="J160" i="5"/>
  <c r="I160" i="5"/>
  <c r="AF159" i="5"/>
  <c r="AD159" i="5"/>
  <c r="AB159" i="5"/>
  <c r="J159" i="5"/>
  <c r="I159" i="5"/>
  <c r="AF158" i="5"/>
  <c r="AD158" i="5"/>
  <c r="AB158" i="5"/>
  <c r="J158" i="5"/>
  <c r="I158" i="5"/>
  <c r="AF157" i="5"/>
  <c r="AD157" i="5"/>
  <c r="AB157" i="5"/>
  <c r="AF156" i="5"/>
  <c r="AD156" i="5"/>
  <c r="AB156" i="5"/>
  <c r="J169" i="5"/>
  <c r="J168" i="5"/>
  <c r="I169" i="5"/>
  <c r="I168" i="5"/>
  <c r="J167" i="5"/>
  <c r="J166" i="5"/>
  <c r="I167" i="5"/>
  <c r="I166" i="5"/>
  <c r="AF168" i="5"/>
  <c r="AD168" i="5"/>
  <c r="AB168" i="5"/>
  <c r="AF166" i="5"/>
  <c r="AD166" i="5"/>
  <c r="AB166" i="5"/>
  <c r="AF169" i="5"/>
  <c r="AD169" i="5"/>
  <c r="AB169" i="5"/>
  <c r="AF167" i="5"/>
  <c r="AD167" i="5"/>
  <c r="AB167" i="5"/>
  <c r="J143" i="5"/>
  <c r="J142" i="5"/>
  <c r="I142" i="5"/>
  <c r="I143" i="5"/>
  <c r="AF143" i="5"/>
  <c r="AD143" i="5"/>
  <c r="AB143" i="5"/>
  <c r="AF142" i="5"/>
  <c r="AD142" i="5"/>
  <c r="AB142" i="5"/>
  <c r="B142" i="5" s="1"/>
  <c r="J172" i="5"/>
  <c r="J171" i="5"/>
  <c r="J146" i="5"/>
  <c r="D172" i="5"/>
  <c r="D171" i="5"/>
  <c r="D146" i="5"/>
  <c r="J145" i="5"/>
  <c r="D145" i="5"/>
  <c r="U131" i="5"/>
  <c r="U122" i="5"/>
  <c r="U113" i="5"/>
  <c r="U136" i="5"/>
  <c r="U127" i="5"/>
  <c r="U118" i="5"/>
  <c r="AF118" i="5"/>
  <c r="AD118" i="5"/>
  <c r="AB118" i="5"/>
  <c r="I118" i="5"/>
  <c r="AF127" i="5"/>
  <c r="AD127" i="5"/>
  <c r="AB127" i="5"/>
  <c r="I127" i="5"/>
  <c r="I136" i="5"/>
  <c r="AF136" i="5"/>
  <c r="AD136" i="5"/>
  <c r="AB136" i="5"/>
  <c r="AF116" i="5"/>
  <c r="AD116" i="5"/>
  <c r="AB116" i="5"/>
  <c r="AF114" i="5"/>
  <c r="AD114" i="5"/>
  <c r="AB114" i="5"/>
  <c r="B114" i="5" s="1"/>
  <c r="AF113" i="5"/>
  <c r="AD113" i="5"/>
  <c r="AB113" i="5"/>
  <c r="I113" i="5"/>
  <c r="AF129" i="5"/>
  <c r="AD129" i="5"/>
  <c r="AB129" i="5"/>
  <c r="AF128" i="5"/>
  <c r="AD128" i="5"/>
  <c r="AB128" i="5"/>
  <c r="AF126" i="5"/>
  <c r="AD126" i="5"/>
  <c r="AB126" i="5"/>
  <c r="AF125" i="5"/>
  <c r="AD125" i="5"/>
  <c r="AB125" i="5"/>
  <c r="AF124" i="5"/>
  <c r="AD124" i="5"/>
  <c r="AB124" i="5"/>
  <c r="AF123" i="5"/>
  <c r="AD123" i="5"/>
  <c r="AB123" i="5"/>
  <c r="AF122" i="5"/>
  <c r="AD122" i="5"/>
  <c r="AB122" i="5"/>
  <c r="I122" i="5"/>
  <c r="AF121" i="5"/>
  <c r="AF134" i="5"/>
  <c r="AD134" i="5"/>
  <c r="AB134" i="5"/>
  <c r="AF132" i="5"/>
  <c r="AD132" i="5"/>
  <c r="AB132" i="5"/>
  <c r="I131" i="5"/>
  <c r="AF131" i="5"/>
  <c r="AD131" i="5"/>
  <c r="AB131" i="5"/>
  <c r="AF138" i="5"/>
  <c r="AF137" i="5"/>
  <c r="AF135" i="5"/>
  <c r="AF133" i="5"/>
  <c r="AF130" i="5"/>
  <c r="AD138" i="5"/>
  <c r="AB138" i="5"/>
  <c r="AD137" i="5"/>
  <c r="AB137" i="5"/>
  <c r="AD135" i="5"/>
  <c r="AB135" i="5"/>
  <c r="AD133" i="5"/>
  <c r="AB133" i="5"/>
  <c r="I39" i="5"/>
  <c r="AF47" i="5"/>
  <c r="AD47" i="5"/>
  <c r="AB47" i="5"/>
  <c r="AF46" i="5"/>
  <c r="AD46" i="5"/>
  <c r="AB46" i="5"/>
  <c r="AF45" i="5"/>
  <c r="AD45" i="5"/>
  <c r="AB45" i="5"/>
  <c r="J43" i="5"/>
  <c r="J42" i="5"/>
  <c r="J41" i="5"/>
  <c r="J40" i="5"/>
  <c r="J39" i="5"/>
  <c r="J38" i="5"/>
  <c r="J37" i="5"/>
  <c r="J36" i="5"/>
  <c r="I41" i="5"/>
  <c r="I43" i="5"/>
  <c r="I42" i="5"/>
  <c r="I40" i="5"/>
  <c r="I38" i="5"/>
  <c r="I37" i="5"/>
  <c r="I36" i="5"/>
  <c r="AF180" i="5"/>
  <c r="AF179" i="5"/>
  <c r="AF178" i="5"/>
  <c r="AF177" i="5"/>
  <c r="AF176" i="5"/>
  <c r="AF175" i="5"/>
  <c r="AF174" i="5"/>
  <c r="AF173" i="5"/>
  <c r="AF172" i="5"/>
  <c r="AF171" i="5"/>
  <c r="AF165" i="5"/>
  <c r="AF146" i="5"/>
  <c r="AF145" i="5"/>
  <c r="AF140" i="5"/>
  <c r="AF139" i="5"/>
  <c r="AF120" i="5"/>
  <c r="AF119" i="5"/>
  <c r="AD180" i="5"/>
  <c r="AD179" i="5"/>
  <c r="AD178" i="5"/>
  <c r="AD177" i="5"/>
  <c r="AD176" i="5"/>
  <c r="AD175" i="5"/>
  <c r="AD174" i="5"/>
  <c r="AD173" i="5"/>
  <c r="AD172" i="5"/>
  <c r="AD171" i="5"/>
  <c r="AD165" i="5"/>
  <c r="AD146" i="5"/>
  <c r="AD145" i="5"/>
  <c r="AD140" i="5"/>
  <c r="AD139" i="5"/>
  <c r="AD120" i="5"/>
  <c r="AD119" i="5"/>
  <c r="AB180" i="5"/>
  <c r="AB179" i="5"/>
  <c r="AB178" i="5"/>
  <c r="AB177" i="5"/>
  <c r="AB176" i="5"/>
  <c r="AB175" i="5"/>
  <c r="AB174" i="5"/>
  <c r="AB173" i="5"/>
  <c r="AB172" i="5"/>
  <c r="AB171" i="5"/>
  <c r="AB165" i="5"/>
  <c r="AB146" i="5"/>
  <c r="AB145" i="5"/>
  <c r="AB140" i="5"/>
  <c r="AB139" i="5"/>
  <c r="AB120" i="5"/>
  <c r="I172" i="5"/>
  <c r="I171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I146" i="5"/>
  <c r="I145" i="5"/>
  <c r="AF117" i="5"/>
  <c r="AF115" i="5"/>
  <c r="AD117" i="5"/>
  <c r="AD115" i="5"/>
  <c r="AB119" i="5"/>
  <c r="AB117" i="5"/>
  <c r="AB115" i="5"/>
  <c r="AF112" i="5"/>
  <c r="AF111" i="5"/>
  <c r="AF110" i="5"/>
  <c r="AF109" i="5"/>
  <c r="AF108" i="5"/>
  <c r="AF107" i="5"/>
  <c r="AF106" i="5"/>
  <c r="AF104" i="5"/>
  <c r="AF101" i="5"/>
  <c r="AF100" i="5"/>
  <c r="AF99" i="5"/>
  <c r="AF98" i="5"/>
  <c r="AF97" i="5"/>
  <c r="AF96" i="5"/>
  <c r="AF95" i="5"/>
  <c r="AF90" i="5"/>
  <c r="AF89" i="5"/>
  <c r="AF88" i="5"/>
  <c r="AF87" i="5"/>
  <c r="AF86" i="5"/>
  <c r="AF85" i="5"/>
  <c r="AF84" i="5"/>
  <c r="AF83" i="5"/>
  <c r="AF82" i="5"/>
  <c r="AF81" i="5"/>
  <c r="AF80" i="5"/>
  <c r="AF79" i="5"/>
  <c r="AF78" i="5"/>
  <c r="AF77" i="5"/>
  <c r="AF76" i="5"/>
  <c r="AF75" i="5"/>
  <c r="AF74" i="5"/>
  <c r="AF73" i="5"/>
  <c r="AF72" i="5"/>
  <c r="AF71" i="5"/>
  <c r="AF70" i="5"/>
  <c r="AF69" i="5"/>
  <c r="AF68" i="5"/>
  <c r="AF66" i="5"/>
  <c r="AF60" i="5"/>
  <c r="AF59" i="5"/>
  <c r="AF58" i="5"/>
  <c r="AF57" i="5"/>
  <c r="AF56" i="5"/>
  <c r="AF55" i="5"/>
  <c r="AF54" i="5"/>
  <c r="AF52" i="5"/>
  <c r="AF50" i="5"/>
  <c r="AF44" i="5"/>
  <c r="AF43" i="5"/>
  <c r="AF42" i="5"/>
  <c r="AF41" i="5"/>
  <c r="AF40" i="5"/>
  <c r="AF39" i="5"/>
  <c r="AF38" i="5"/>
  <c r="AF37" i="5"/>
  <c r="AF36" i="5"/>
  <c r="AD112" i="5"/>
  <c r="AD111" i="5"/>
  <c r="AD110" i="5"/>
  <c r="AD109" i="5"/>
  <c r="AD108" i="5"/>
  <c r="AD107" i="5"/>
  <c r="AD106" i="5"/>
  <c r="AD104" i="5"/>
  <c r="AD101" i="5"/>
  <c r="AD100" i="5"/>
  <c r="AD99" i="5"/>
  <c r="AD98" i="5"/>
  <c r="AD97" i="5"/>
  <c r="AD96" i="5"/>
  <c r="AD95" i="5"/>
  <c r="AD90" i="5"/>
  <c r="AD89" i="5"/>
  <c r="AD88" i="5"/>
  <c r="AD87" i="5"/>
  <c r="AD86" i="5"/>
  <c r="AD85" i="5"/>
  <c r="AD84" i="5"/>
  <c r="AD83" i="5"/>
  <c r="AD82" i="5"/>
  <c r="AD81" i="5"/>
  <c r="AD80" i="5"/>
  <c r="AD79" i="5"/>
  <c r="AD78" i="5"/>
  <c r="AD77" i="5"/>
  <c r="AD76" i="5"/>
  <c r="AD75" i="5"/>
  <c r="AD74" i="5"/>
  <c r="AD73" i="5"/>
  <c r="AD72" i="5"/>
  <c r="AD71" i="5"/>
  <c r="AD70" i="5"/>
  <c r="AD69" i="5"/>
  <c r="AD68" i="5"/>
  <c r="AD66" i="5"/>
  <c r="AD60" i="5"/>
  <c r="AD59" i="5"/>
  <c r="AD58" i="5"/>
  <c r="AD57" i="5"/>
  <c r="AD56" i="5"/>
  <c r="AD55" i="5"/>
  <c r="AD54" i="5"/>
  <c r="AD52" i="5"/>
  <c r="AD50" i="5"/>
  <c r="AD44" i="5"/>
  <c r="AD43" i="5"/>
  <c r="AD42" i="5"/>
  <c r="AD41" i="5"/>
  <c r="AD40" i="5"/>
  <c r="AD39" i="5"/>
  <c r="AD38" i="5"/>
  <c r="AD37" i="5"/>
  <c r="AB112" i="5"/>
  <c r="AB111" i="5"/>
  <c r="AB110" i="5"/>
  <c r="AB109" i="5"/>
  <c r="AB108" i="5"/>
  <c r="AB107" i="5"/>
  <c r="AB106" i="5"/>
  <c r="AB104" i="5"/>
  <c r="AB101" i="5"/>
  <c r="AB100" i="5"/>
  <c r="AB99" i="5"/>
  <c r="AB98" i="5"/>
  <c r="AB97" i="5"/>
  <c r="AB96" i="5"/>
  <c r="AB95" i="5"/>
  <c r="AB90" i="5"/>
  <c r="AB89" i="5"/>
  <c r="AB88" i="5"/>
  <c r="AB87" i="5"/>
  <c r="AB86" i="5"/>
  <c r="AB85" i="5"/>
  <c r="AB84" i="5"/>
  <c r="AB83" i="5"/>
  <c r="AB82" i="5"/>
  <c r="AB81" i="5"/>
  <c r="AB80" i="5"/>
  <c r="AB79" i="5"/>
  <c r="AB78" i="5"/>
  <c r="AB77" i="5"/>
  <c r="AB76" i="5"/>
  <c r="AB75" i="5"/>
  <c r="AB74" i="5"/>
  <c r="AB73" i="5"/>
  <c r="AB72" i="5"/>
  <c r="AB71" i="5"/>
  <c r="AB70" i="5"/>
  <c r="AB69" i="5"/>
  <c r="AB68" i="5"/>
  <c r="AB66" i="5"/>
  <c r="AB60" i="5"/>
  <c r="AB59" i="5"/>
  <c r="AB58" i="5"/>
  <c r="AB57" i="5"/>
  <c r="AB56" i="5"/>
  <c r="AB55" i="5"/>
  <c r="AB54" i="5"/>
  <c r="AB52" i="5"/>
  <c r="AB50" i="5"/>
  <c r="AB44" i="5"/>
  <c r="AB43" i="5"/>
  <c r="AB42" i="5"/>
  <c r="AB41" i="5"/>
  <c r="AB40" i="5"/>
  <c r="AB39" i="5"/>
  <c r="AB38" i="5"/>
  <c r="AB37" i="5"/>
  <c r="AB36" i="5"/>
  <c r="D60" i="5"/>
  <c r="D66" i="5"/>
  <c r="D59" i="5"/>
  <c r="D58" i="5"/>
  <c r="D57" i="5"/>
  <c r="D54" i="5"/>
  <c r="D52" i="5"/>
  <c r="AD36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7" i="5" l="1"/>
  <c r="B30" i="5"/>
  <c r="B28" i="5"/>
  <c r="B118" i="5"/>
  <c r="B13" i="5"/>
  <c r="B24" i="5"/>
  <c r="B21" i="5"/>
  <c r="B105" i="5"/>
  <c r="B12" i="5"/>
  <c r="B20" i="5"/>
  <c r="B18" i="5"/>
  <c r="B16" i="5"/>
  <c r="B116" i="5"/>
  <c r="B11" i="5"/>
  <c r="B122" i="5"/>
  <c r="B102" i="5"/>
  <c r="B63" i="5"/>
  <c r="B148" i="5"/>
  <c r="B92" i="5"/>
  <c r="B65" i="5"/>
  <c r="B144" i="5"/>
  <c r="B51" i="5"/>
  <c r="B125" i="5"/>
  <c r="B53" i="5"/>
  <c r="B126" i="5"/>
  <c r="B162" i="5"/>
  <c r="B155" i="5"/>
  <c r="B170" i="5"/>
  <c r="B94" i="5"/>
  <c r="B64" i="5"/>
  <c r="B164" i="5"/>
  <c r="B93" i="5"/>
  <c r="B91" i="5"/>
  <c r="B159" i="5"/>
  <c r="B103" i="5"/>
  <c r="B153" i="5"/>
  <c r="B168" i="5"/>
  <c r="B141" i="5"/>
  <c r="B167" i="5"/>
  <c r="B158" i="5"/>
  <c r="B143" i="5"/>
  <c r="B149" i="5"/>
  <c r="B47" i="5"/>
  <c r="B157" i="5"/>
  <c r="B154" i="5"/>
  <c r="B151" i="5"/>
  <c r="B163" i="5"/>
  <c r="B128" i="5"/>
  <c r="B160" i="5"/>
  <c r="B136" i="5"/>
  <c r="B169" i="5"/>
  <c r="B166" i="5"/>
  <c r="B138" i="5"/>
  <c r="B137" i="5"/>
  <c r="B135" i="5"/>
  <c r="B133" i="5"/>
  <c r="B117" i="5"/>
  <c r="B129" i="5"/>
  <c r="B127" i="5"/>
  <c r="B113" i="5"/>
  <c r="B124" i="5"/>
  <c r="B115" i="5"/>
  <c r="B123" i="5"/>
  <c r="B134" i="5"/>
  <c r="B131" i="5"/>
  <c r="B132" i="5"/>
  <c r="B45" i="5"/>
  <c r="B180" i="5"/>
  <c r="B179" i="5"/>
  <c r="B178" i="5"/>
  <c r="B177" i="5"/>
  <c r="B176" i="5"/>
  <c r="B175" i="5"/>
  <c r="B172" i="5"/>
  <c r="B171" i="5"/>
  <c r="B146" i="5"/>
  <c r="B145" i="5"/>
  <c r="B43" i="5"/>
  <c r="B119" i="5"/>
  <c r="B72" i="5"/>
  <c r="B108" i="5"/>
  <c r="B87" i="5"/>
  <c r="B80" i="5"/>
  <c r="B60" i="5"/>
  <c r="B109" i="5"/>
  <c r="B82" i="5"/>
  <c r="B58" i="5"/>
  <c r="B106" i="5"/>
  <c r="B74" i="5"/>
  <c r="B52" i="5"/>
  <c r="B104" i="5"/>
  <c r="B110" i="5"/>
  <c r="B57" i="5"/>
  <c r="B107" i="5"/>
  <c r="B120" i="5"/>
  <c r="B46" i="5"/>
  <c r="B89" i="5"/>
  <c r="B70" i="5"/>
  <c r="B88" i="5"/>
  <c r="B78" i="5"/>
  <c r="B73" i="5"/>
  <c r="B40" i="5"/>
  <c r="B59" i="5"/>
  <c r="B75" i="5"/>
  <c r="B99" i="5"/>
  <c r="B79" i="5"/>
  <c r="B77" i="5"/>
  <c r="B76" i="5"/>
  <c r="B98" i="5"/>
  <c r="B71" i="5"/>
  <c r="B85" i="5"/>
  <c r="B84" i="5"/>
  <c r="B83" i="5"/>
  <c r="B81" i="5"/>
  <c r="B54" i="5"/>
  <c r="B97" i="5"/>
  <c r="B90" i="5"/>
  <c r="B86" i="5"/>
  <c r="B66" i="5"/>
  <c r="B37" i="5"/>
  <c r="B39" i="5"/>
  <c r="B36" i="5"/>
  <c r="B42" i="5"/>
  <c r="B38" i="5"/>
  <c r="B41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<sst xmlns="http://schemas.openxmlformats.org/spreadsheetml/2006/main" count="1756" uniqueCount="305">
  <si>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</si>
  <si>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</si>
  <si>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</si>
  <si>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</si>
  <si>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</si>
  <si>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</si>
  <si>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</si>
  <si>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</si>
  <si>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</si>
  <si>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</si>
  <si>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</si>
  <si>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</si>
  <si>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</si>
  <si>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</si>
  <si>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</si>
  <si>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</si>
  <si>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</si>
  <si>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</si>
  <si>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</si>
  <si>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</si>
  <si>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</si>
  <si>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</si>
  <si>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</si>
  <si>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</si>
  <si>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</si>
  <si>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</si>
  <si>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</si>
  <si>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</si>
  <si>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</si>
  <si>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</si>
  <si>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</si>
  <si>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</si>
  <si>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</si>
  <si>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</si>
  <si>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</si>
  <si>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</si>
  <si>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</si>
  <si>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</si>
  <si>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</si>
  <si>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</si>
  <si>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mtb:scales</t>
  </si>
  <si>
    <t>cycleways and footways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</si>
  <si>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</si>
  <si>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</si>
  <si>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</si>
  <si>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</si>
  <si>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</si>
  <si>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</si>
  <si>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</si>
  <si>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</si>
  <si>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</si>
  <si>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</si>
  <si>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</si>
  <si>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</si>
  <si>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</si>
  <si>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</si>
  <si>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</si>
  <si>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</si>
  <si>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</si>
  <si>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</si>
  <si>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</si>
  <si>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</si>
  <si>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</si>
  <si>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</si>
  <si>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</si>
  <si>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</si>
  <si>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</si>
  <si>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</si>
  <si>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</si>
  <si>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</si>
  <si>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</si>
  <si>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</si>
  <si>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</si>
  <si>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</si>
  <si>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</si>
  <si>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</si>
  <si>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</si>
  <si>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</si>
  <si>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</si>
  <si>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</si>
  <si>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</si>
  <si>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</si>
  <si>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</si>
  <si>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</si>
  <si>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</si>
  <si>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</si>
  <si>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</si>
  <si>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</si>
  <si>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</si>
  <si>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</si>
  <si>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</si>
  <si>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</si>
  <si>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</si>
  <si>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</si>
  <si>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</si>
  <si>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</si>
  <si>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</si>
  <si>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</si>
  <si>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</si>
  <si>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</si>
  <si>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</si>
  <si>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</si>
  <si>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</si>
  <si>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</si>
  <si>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</si>
  <si>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</si>
  <si>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</si>
  <si>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</si>
  <si>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</si>
  <si>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</si>
  <si>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</si>
  <si>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</si>
  <si>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</si>
  <si>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</si>
  <si>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</si>
  <si>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</si>
  <si>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</si>
  <si>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</si>
  <si>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</si>
  <si>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</si>
  <si>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</si>
  <si>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</si>
  <si>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</si>
  <si>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</si>
  <si>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</si>
  <si>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</si>
  <si>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</si>
  <si>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</si>
  <si>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</si>
  <si>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</si>
  <si>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</si>
  <si>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</si>
  <si>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</si>
  <si>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</si>
  <si>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</si>
  <si>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</si>
  <si>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</si>
  <si>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</si>
  <si>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</si>
  <si>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</si>
  <si>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</si>
  <si>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</si>
  <si>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</si>
  <si>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</si>
  <si>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</si>
  <si>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</si>
  <si>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</si>
  <si>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</si>
  <si>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</si>
  <si>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</si>
  <si>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</si>
  <si>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</si>
  <si>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</si>
  <si>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</si>
  <si>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</si>
  <si>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</si>
  <si>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</si>
  <si>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</si>
  <si>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</si>
  <si>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</si>
  <si>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</si>
  <si>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</si>
  <si>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</si>
  <si>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</si>
  <si>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</si>
  <si>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</si>
  <si>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</si>
  <si>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</si>
  <si>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</si>
  <si>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</si>
  <si>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</si>
  <si>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</si>
  <si>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</si>
  <si>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</si>
  <si>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</si>
  <si>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</si>
  <si>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</si>
  <si>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</si>
  <si>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</si>
  <si>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</si>
  <si>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</si>
  <si>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</si>
  <si>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</si>
  <si>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</si>
  <si>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</si>
  <si>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</si>
  <si>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</si>
  <si>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</si>
  <si>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</si>
  <si>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</si>
  <si>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</si>
  <si>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</si>
  <si>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</si>
  <si>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</si>
  <si>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</si>
  <si>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</si>
  <si>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</si>
  <si>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</si>
  <si>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</si>
  <si>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</si>
  <si>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</si>
  <si>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</si>
  <si>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</si>
  <si>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</si>
  <si>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</si>
  <si>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</si>
  <si>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</si>
  <si>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</si>
  <si>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</si>
  <si>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</si>
  <si>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</si>
  <si>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</si>
  <si>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</si>
  <si>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</si>
  <si>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</si>
  <si>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</si>
  <si>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</si>
  <si>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</si>
  <si>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</si>
  <si>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</si>
  <si>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</si>
  <si>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</si>
  <si>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</si>
  <si>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</si>
  <si>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</si>
  <si>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</si>
  <si>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</si>
  <si>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</si>
  <si>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</si>
  <si>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</si>
  <si>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</si>
  <si>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</si>
  <si>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</si>
  <si>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</si>
  <si>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paved_or_uk_farzoom</t>
  </si>
  <si>
    <t>unpaved_farzoom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</si>
  <si>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</si>
  <si>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</si>
  <si>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</si>
  <si>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</si>
  <si>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</si>
  <si>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</si>
  <si>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</si>
  <si>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</si>
  <si>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</si>
  <si>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</si>
  <si>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</si>
  <si>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</si>
  <si>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</si>
  <si>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</si>
  <si>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</si>
  <si>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</si>
  <si>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</si>
  <si>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</si>
  <si>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</si>
  <si>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</si>
  <si>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</si>
  <si>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</si>
  <si>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</si>
  <si>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</si>
  <si>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</si>
  <si>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</si>
  <si>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</si>
  <si>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</si>
  <si>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</si>
  <si>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</si>
  <si>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</si>
  <si>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</si>
  <si>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</si>
  <si>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</si>
  <si>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unpaved_default</t>
  </si>
  <si>
    <t>paved_or_uk_default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</si>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</sst>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9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65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24" borderId="0" xfId="0" applyFill="1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0" fontId="0" fillId="17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54" borderId="0" xfId="0" applyFill="1"/>
    <xf numFmtId="0" fontId="0" fillId="24" borderId="0" xfId="0" applyFill="1"/>
    <xf numFmtId="0" fontId="0" fillId="20" borderId="0" xfId="0" applyFill="1"/>
    <xf numFmtId="0" fontId="0" fillId="21" borderId="0" xfId="0" applyFill="1"/>
    <xf numFmtId="0" fontId="1" fillId="2" borderId="0" xfId="0" applyFont="1" applyFill="1"/>
    <xf numFmtId="0" fontId="1" fillId="10" borderId="0" xfId="0" applyFont="1" applyFill="1"/>
    <xf numFmtId="0" fontId="1" fillId="3" borderId="0" xfId="0" applyFont="1" applyFill="1"/>
    <xf numFmtId="0" fontId="1" fillId="11" borderId="0" xfId="0" applyFont="1" applyFill="1"/>
    <xf numFmtId="0" fontId="1" fillId="4" borderId="0" xfId="0" applyFont="1" applyFill="1"/>
    <xf numFmtId="0" fontId="1" fillId="12" borderId="0" xfId="0" applyFont="1" applyFill="1"/>
    <xf numFmtId="0" fontId="1" fillId="5" borderId="0" xfId="0" applyFont="1" applyFill="1"/>
    <xf numFmtId="0" fontId="1" fillId="13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14" borderId="0" xfId="0" applyFont="1" applyFill="1"/>
    <xf numFmtId="0" fontId="1" fillId="8" borderId="0" xfId="0" applyFont="1" applyFill="1"/>
    <xf numFmtId="0" fontId="1" fillId="15" borderId="0" xfId="0" applyFont="1" applyFill="1"/>
    <xf numFmtId="0" fontId="1" fillId="9" borderId="0" xfId="0" applyFont="1" applyFill="1"/>
    <xf numFmtId="0" fontId="1" fillId="16" borderId="0" xfId="0" applyFont="1" applyFill="1"/>
    <xf numFmtId="0" fontId="1" fillId="17" borderId="0" xfId="0" applyFont="1" applyFill="1"/>
    <xf numFmtId="0" fontId="1" fillId="31" borderId="0" xfId="0" applyFont="1" applyFill="1"/>
    <xf numFmtId="0" fontId="1" fillId="32" borderId="0" xfId="0" applyFont="1" applyFill="1"/>
    <xf numFmtId="0" fontId="1" fillId="33" borderId="0" xfId="0" applyFont="1" applyFill="1"/>
    <xf numFmtId="0" fontId="1" fillId="34" borderId="0" xfId="0" applyFont="1" applyFill="1"/>
    <xf numFmtId="0" fontId="1" fillId="35" borderId="0" xfId="0" applyFont="1" applyFill="1"/>
    <xf numFmtId="0" fontId="1" fillId="54" borderId="0" xfId="0" applyFont="1" applyFill="1"/>
    <xf numFmtId="0" fontId="1" fillId="53" borderId="0" xfId="0" applyFont="1" applyFill="1"/>
    <xf numFmtId="0" fontId="1" fillId="18" borderId="0" xfId="0" applyFont="1" applyFill="1"/>
    <xf numFmtId="0" fontId="1" fillId="19" borderId="0" xfId="0" applyFont="1" applyFill="1"/>
    <xf numFmtId="0" fontId="1" fillId="37" borderId="0" xfId="0" applyFont="1" applyFill="1"/>
    <xf numFmtId="0" fontId="1" fillId="39" borderId="0" xfId="0" applyFont="1" applyFill="1"/>
    <xf numFmtId="0" fontId="1" fillId="38" borderId="0" xfId="0" applyFont="1" applyFill="1"/>
    <xf numFmtId="0" fontId="1" fillId="40" borderId="0" xfId="0" applyFont="1" applyFill="1"/>
    <xf numFmtId="0" fontId="1" fillId="41" borderId="0" xfId="0" applyFont="1" applyFill="1"/>
    <xf numFmtId="0" fontId="1" fillId="42" borderId="0" xfId="0" applyFont="1" applyFill="1"/>
    <xf numFmtId="0" fontId="1" fillId="43" borderId="0" xfId="0" applyFont="1" applyFill="1"/>
    <xf numFmtId="0" fontId="1" fillId="44" borderId="0" xfId="0" applyFont="1" applyFill="1"/>
    <xf numFmtId="0" fontId="1" fillId="45" borderId="0" xfId="0" applyFont="1" applyFill="1"/>
    <xf numFmtId="0" fontId="1" fillId="47" borderId="0" xfId="0" applyFont="1" applyFill="1"/>
    <xf numFmtId="0" fontId="1" fillId="46" borderId="0" xfId="0" applyFont="1" applyFill="1"/>
    <xf numFmtId="0" fontId="1" fillId="48" borderId="0" xfId="0" applyFont="1" applyFill="1"/>
    <xf numFmtId="0" fontId="1" fillId="49" borderId="0" xfId="0" applyFont="1" applyFill="1"/>
    <xf numFmtId="0" fontId="1" fillId="50" borderId="0" xfId="0" applyFont="1" applyFill="1"/>
    <xf numFmtId="0" fontId="1" fillId="52" borderId="0" xfId="0" applyFont="1" applyFill="1"/>
    <xf numFmtId="0" fontId="1" fillId="51" borderId="0" xfId="0" applyFont="1" applyFill="1"/>
    <xf numFmtId="0" fontId="1" fillId="22" borderId="0" xfId="0" applyFont="1" applyFill="1"/>
    <xf numFmtId="0" fontId="1" fillId="23" borderId="0" xfId="0" applyFont="1" applyFill="1"/>
    <xf numFmtId="0" fontId="1" fillId="24" borderId="0" xfId="0" applyFont="1" applyFill="1"/>
    <xf numFmtId="0" fontId="1" fillId="20" borderId="0" xfId="0" applyFont="1" applyFill="1"/>
    <xf numFmtId="0" fontId="1" fillId="21" borderId="0" xfId="0" applyFont="1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1" fillId="0" borderId="0" xfId="0" applyFont="1"/>
    <xf numFmtId="0" fontId="1" fillId="27" borderId="0" xfId="0" applyFont="1" applyFill="1"/>
    <xf numFmtId="0" fontId="1" fillId="28" borderId="0" xfId="0" applyFont="1" applyFill="1"/>
    <xf numFmtId="0" fontId="1" fillId="26" borderId="0" xfId="0" applyFont="1" applyFill="1"/>
    <xf numFmtId="0" fontId="1" fillId="29" borderId="0" xfId="0" applyFont="1" applyFill="1"/>
    <xf numFmtId="0" fontId="1" fillId="30" borderId="0" xfId="0" applyFont="1" applyFill="1"/>
    <xf numFmtId="0" fontId="1" fillId="25" borderId="0" xfId="0" applyFont="1" applyFill="1"/>
    <xf numFmtId="0" fontId="0" fillId="2" borderId="0" xfId="0" applyFill="1"/>
    <xf numFmtId="0" fontId="0" fillId="3" borderId="0" xfId="0" applyFill="1"/>
    <xf numFmtId="0" fontId="0" fillId="6" borderId="0" xfId="0" applyFill="1"/>
    <xf numFmtId="0" fontId="0" fillId="4" borderId="0" xfId="0" applyFill="1"/>
    <xf numFmtId="0" fontId="0" fillId="7" borderId="0" xfId="0" applyFill="1"/>
    <xf numFmtId="0" fontId="0" fillId="9" borderId="0" xfId="0" applyFill="1"/>
    <xf numFmtId="0" fontId="0" fillId="8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5" borderId="0" xfId="0" applyFill="1"/>
    <xf numFmtId="0" fontId="0" fillId="23" borderId="0" xfId="0" applyFill="1"/>
    <xf numFmtId="0" fontId="0" fillId="55" borderId="0" xfId="0" applyFill="1"/>
    <xf numFmtId="0" fontId="1" fillId="57" borderId="0" xfId="0" applyFont="1" applyFill="1"/>
    <xf numFmtId="0" fontId="1" fillId="56" borderId="0" xfId="0" applyFont="1" applyFill="1"/>
    <xf numFmtId="0" fontId="1" fillId="58" borderId="0" xfId="0" applyFont="1" applyFill="1"/>
    <xf numFmtId="0" fontId="1" fillId="59" borderId="0" xfId="0" applyFont="1" applyFill="1"/>
    <xf numFmtId="0" fontId="1" fillId="55" borderId="0" xfId="0" applyFont="1" applyFill="1"/>
    <xf numFmtId="0" fontId="0" fillId="60" borderId="0" xfId="0" applyFill="1"/>
    <xf numFmtId="0" fontId="1" fillId="60" borderId="0" xfId="0" applyFont="1" applyFill="1"/>
    <xf numFmtId="0" fontId="0" fillId="0" borderId="4" xfId="0" applyBorder="1"/>
    <xf numFmtId="0" fontId="1" fillId="61" borderId="0" xfId="0" applyFont="1" applyFill="1"/>
    <xf numFmtId="0" fontId="0" fillId="61" borderId="0" xfId="0" applyFill="1"/>
    <xf numFmtId="0" fontId="1" fillId="62" borderId="0" xfId="0" applyFont="1" applyFill="1"/>
    <xf numFmtId="0" fontId="0" fillId="62" borderId="0" xfId="0" applyFill="1"/>
    <xf numFmtId="0" fontId="0" fillId="58" borderId="0" xfId="0" applyFill="1"/>
    <xf numFmtId="0" fontId="1" fillId="63" borderId="0" xfId="0" applyFont="1" applyFill="1"/>
    <xf numFmtId="0" fontId="0" fillId="63" borderId="0" xfId="0" applyFill="1"/>
    <xf numFmtId="0" fontId="0" fillId="56" borderId="0" xfId="0" applyFill="1"/>
    <xf numFmtId="0" fontId="0" fillId="57" borderId="0" xfId="0" applyFill="1"/>
    <xf numFmtId="0" fontId="0" fillId="26" borderId="0" xfId="0" applyFill="1"/>
    <xf numFmtId="0" fontId="0" fillId="22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1" fillId="68" borderId="0" xfId="0" applyFont="1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1" fillId="77" borderId="0" xfId="0" applyFont="1" applyFill="1"/>
    <xf numFmtId="0" fontId="0" fillId="78" borderId="0" xfId="0" applyFill="1"/>
    <xf numFmtId="0" fontId="1" fillId="79" borderId="0" xfId="0" applyFont="1" applyFill="1"/>
    <xf numFmtId="0" fontId="1" fillId="80" borderId="0" xfId="0" applyFont="1" applyFill="1"/>
    <xf numFmtId="0" fontId="1" fillId="81" borderId="0" xfId="0" applyFont="1" applyFill="1"/>
    <xf numFmtId="0" fontId="1" fillId="74" borderId="0" xfId="0" applyFont="1" applyFill="1"/>
    <xf numFmtId="0" fontId="0" fillId="82" borderId="0" xfId="0" applyFill="1"/>
    <xf numFmtId="0" fontId="1" fillId="83" borderId="0" xfId="0" applyFont="1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K581"/>
  <sheetViews>
    <sheetView tabSelected="1" topLeftCell="A3" zoomScale="85" zoomScaleNormal="85" workbookViewId="0">
      <pane ySplit="4" topLeftCell="A7" activePane="bottomLeft" state="frozen"/>
      <selection activeCell="A3" sqref="A3"/>
      <selection pane="bottomLeft" activeCell="AU35" sqref="AU35"/>
    </sheetView>
  </sheetViews>
  <sheetFormatPr defaultRowHeight="13.5" x14ac:dyDescent="0.25"/>
  <cols>
    <col min="1" max="1" width="2.7109375" style="29" customWidth="1"/>
    <col min="2" max="2" width="40.7109375" style="29" customWidth="1"/>
    <col min="3" max="4" width="15.7109375" style="29" customWidth="1"/>
    <col min="5" max="5" width="1.7109375" style="29" customWidth="1"/>
    <col min="6" max="7" width="15.7109375" style="29" customWidth="1"/>
    <col min="8" max="8" width="3.7109375" style="29" customWidth="1"/>
    <col min="9" max="9" width="15.7109375" customWidth="1"/>
    <col min="10" max="10" width="15.7109375" style="29" customWidth="1"/>
    <col min="11" max="11" width="1.7109375" style="29" customWidth="1"/>
    <col min="12" max="13" width="15.7109375" style="29" customWidth="1"/>
    <col min="14" max="14" width="3.7109375" style="29" customWidth="1"/>
    <col min="15" max="16" width="15.7109375" style="29" customWidth="1"/>
    <col min="17" max="17" width="1.7109375" style="29" customWidth="1"/>
    <col min="18" max="19" width="15.7109375" style="29" customWidth="1"/>
    <col min="20" max="20" width="3.7109375" style="29" customWidth="1"/>
    <col min="21" max="22" width="15.7109375" style="29" customWidth="1"/>
    <col min="23" max="23" width="1.7109375" style="29" customWidth="1"/>
    <col min="24" max="25" width="15.7109375" style="29" customWidth="1"/>
    <col min="26" max="26" width="3.7109375" style="29" customWidth="1"/>
    <col min="27" max="27" width="12.7109375" style="29" customWidth="1"/>
    <col min="28" max="28" width="2.7109375" style="29" customWidth="1"/>
    <col min="29" max="29" width="12.7109375" style="29" customWidth="1"/>
    <col min="30" max="30" width="2.7109375" style="29" customWidth="1"/>
    <col min="31" max="31" width="12.7109375" style="29" customWidth="1"/>
    <col min="32" max="32" width="2.7109375" style="29" customWidth="1"/>
    <col min="33" max="33" width="12.7109375" style="29" customWidth="1"/>
    <col min="34" max="16384" width="9.140625" style="29"/>
  </cols>
  <sheetData>
    <row r="1" spans="1:33" x14ac:dyDescent="0.25">
      <c r="A1" s="29" t="s">
        <v>219</v>
      </c>
    </row>
    <row r="3" spans="1:33" s="27" customFormat="1" x14ac:dyDescent="0.25">
      <c r="B3" s="27" t="s">
        <v>0</v>
      </c>
      <c r="C3" s="27" t="s">
        <v>107</v>
      </c>
      <c r="I3" s="90" t="s">
        <v>158</v>
      </c>
      <c r="O3" s="27" t="s">
        <v>163</v>
      </c>
      <c r="U3" s="27" t="s">
        <v>168</v>
      </c>
    </row>
    <row r="4" spans="1:33" s="27" customFormat="1" x14ac:dyDescent="0.25">
      <c r="C4" s="27" t="s">
        <v>224</v>
      </c>
      <c r="F4" s="27" t="s">
        <v>225</v>
      </c>
      <c r="I4" s="90"/>
    </row>
    <row r="5" spans="1:33" s="27" customFormat="1" x14ac:dyDescent="0.25">
      <c r="C5" s="27" t="s">
        <v>153</v>
      </c>
      <c r="D5" s="27" t="s">
        <v>11</v>
      </c>
      <c r="F5" s="27" t="s">
        <v>153</v>
      </c>
      <c r="G5" s="27" t="s">
        <v>11</v>
      </c>
      <c r="I5" s="90" t="s">
        <v>153</v>
      </c>
      <c r="J5" s="27" t="s">
        <v>11</v>
      </c>
      <c r="L5" s="27" t="s">
        <v>153</v>
      </c>
      <c r="M5" s="27" t="s">
        <v>11</v>
      </c>
      <c r="O5" s="27" t="s">
        <v>153</v>
      </c>
      <c r="P5" s="27" t="s">
        <v>11</v>
      </c>
      <c r="R5" s="27" t="s">
        <v>153</v>
      </c>
      <c r="S5" s="27" t="s">
        <v>11</v>
      </c>
      <c r="U5" s="27" t="s">
        <v>153</v>
      </c>
      <c r="V5" s="27" t="s">
        <v>11</v>
      </c>
      <c r="X5" s="27" t="s">
        <v>153</v>
      </c>
      <c r="Y5" s="27" t="s">
        <v>11</v>
      </c>
    </row>
    <row r="6" spans="1:33" s="27" customFormat="1" x14ac:dyDescent="0.25">
      <c r="C6" s="27" t="s">
        <v>154</v>
      </c>
      <c r="D6" s="27" t="s">
        <v>156</v>
      </c>
      <c r="F6" s="27" t="s">
        <v>155</v>
      </c>
      <c r="G6" s="27" t="s">
        <v>157</v>
      </c>
      <c r="I6" s="90" t="s">
        <v>159</v>
      </c>
      <c r="J6" s="27" t="s">
        <v>161</v>
      </c>
      <c r="L6" s="27" t="s">
        <v>160</v>
      </c>
      <c r="M6" s="27" t="s">
        <v>162</v>
      </c>
      <c r="O6" s="27" t="s">
        <v>164</v>
      </c>
      <c r="P6" s="27" t="s">
        <v>166</v>
      </c>
      <c r="R6" s="27" t="s">
        <v>165</v>
      </c>
      <c r="S6" s="27" t="s">
        <v>167</v>
      </c>
      <c r="U6" s="27" t="s">
        <v>169</v>
      </c>
      <c r="V6" s="27" t="s">
        <v>171</v>
      </c>
      <c r="X6" s="27" t="s">
        <v>170</v>
      </c>
      <c r="Y6" s="27" t="s">
        <v>172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</row>
    <row r="7" spans="1:33" s="6" customFormat="1" x14ac:dyDescent="0.25">
      <c r="A7" s="28" t="s">
        <v>275</v>
      </c>
      <c r="B7" s="28"/>
      <c r="C7" s="28"/>
      <c r="D7" s="28"/>
      <c r="F7" s="28"/>
      <c r="G7" s="28"/>
      <c r="I7" s="4"/>
      <c r="J7" s="28"/>
      <c r="L7" s="28"/>
      <c r="M7" s="28"/>
      <c r="O7" s="28"/>
      <c r="P7" s="28"/>
      <c r="R7" s="28"/>
      <c r="S7" s="28"/>
      <c r="U7" s="28"/>
      <c r="V7" s="28"/>
      <c r="X7" s="28"/>
      <c r="Y7" s="28"/>
      <c r="AA7" s="28"/>
      <c r="AB7" s="28"/>
      <c r="AC7" s="28"/>
      <c r="AD7" s="28"/>
      <c r="AE7" s="28"/>
      <c r="AF7" s="28"/>
      <c r="AG7" s="28"/>
    </row>
    <row r="8" spans="1:33" x14ac:dyDescent="0.25">
      <c r="B8" s="8" t="s">
        <v>274</v>
      </c>
      <c r="C8" s="29" t="s">
        <v>273</v>
      </c>
      <c r="D8" s="29" t="s">
        <v>273</v>
      </c>
      <c r="F8" s="29" t="s">
        <v>276</v>
      </c>
      <c r="G8" s="29" t="s">
        <v>276</v>
      </c>
      <c r="I8" s="29" t="s">
        <v>273</v>
      </c>
      <c r="J8" s="29" t="s">
        <v>273</v>
      </c>
      <c r="L8" s="29" t="s">
        <v>276</v>
      </c>
      <c r="M8" s="29" t="s">
        <v>276</v>
      </c>
      <c r="O8" s="29" t="s">
        <v>273</v>
      </c>
      <c r="P8" s="29" t="s">
        <v>273</v>
      </c>
      <c r="R8" s="29" t="s">
        <v>276</v>
      </c>
      <c r="S8" s="29" t="s">
        <v>276</v>
      </c>
      <c r="U8" s="29" t="s">
        <v>273</v>
      </c>
      <c r="V8" s="29" t="s">
        <v>273</v>
      </c>
      <c r="X8" s="29" t="s">
        <v>276</v>
      </c>
      <c r="Y8" s="29" t="s">
        <v>276</v>
      </c>
      <c r="AA8" s="2"/>
      <c r="AB8" s="2"/>
      <c r="AC8" s="2"/>
      <c r="AD8" s="2"/>
      <c r="AE8" s="2"/>
      <c r="AF8" s="2"/>
      <c r="AG8" s="2"/>
    </row>
    <row r="9" spans="1:33" s="27" customFormat="1" x14ac:dyDescent="0.25">
      <c r="I9" s="90"/>
      <c r="AA9" s="1"/>
      <c r="AB9" s="1"/>
      <c r="AC9" s="1"/>
      <c r="AD9" s="1"/>
      <c r="AE9" s="1"/>
      <c r="AF9" s="1"/>
      <c r="AG9" s="1"/>
    </row>
    <row r="10" spans="1:33" s="6" customFormat="1" x14ac:dyDescent="0.25">
      <c r="A10" s="28" t="s">
        <v>297</v>
      </c>
      <c r="B10" s="28"/>
      <c r="C10" s="28"/>
      <c r="D10" s="28"/>
      <c r="F10" s="28"/>
      <c r="G10" s="28"/>
      <c r="I10" s="4"/>
      <c r="J10" s="28"/>
      <c r="L10" s="28"/>
      <c r="M10" s="28"/>
      <c r="O10" s="28"/>
      <c r="P10" s="28"/>
      <c r="R10" s="28"/>
      <c r="S10" s="28"/>
      <c r="U10" s="28"/>
      <c r="V10" s="28"/>
      <c r="X10" s="28"/>
      <c r="Y10" s="28"/>
      <c r="AA10" s="28"/>
      <c r="AB10" s="28"/>
      <c r="AC10" s="28"/>
      <c r="AD10" s="28"/>
      <c r="AE10" s="28"/>
      <c r="AF10" s="28"/>
      <c r="AG10" s="28"/>
    </row>
    <row r="11" spans="1:33" x14ac:dyDescent="0.25">
      <c r="B11" s="2" t="str">
        <f>_xlfn.CONCAT("@",AA11,AB11,AC11,AD11,AE11,AF11,AG11)</f>
        <v>@color-label_parking_default</v>
      </c>
      <c r="C11" s="112" t="s">
        <v>217</v>
      </c>
      <c r="E11"/>
      <c r="F11" s="89" t="s">
        <v>227</v>
      </c>
      <c r="H11"/>
      <c r="I11" s="112" t="s">
        <v>217</v>
      </c>
      <c r="K11"/>
      <c r="L11" s="89" t="s">
        <v>227</v>
      </c>
      <c r="N11"/>
      <c r="O11" s="112" t="s">
        <v>217</v>
      </c>
      <c r="Q11"/>
      <c r="R11" s="89" t="s">
        <v>227</v>
      </c>
      <c r="T11"/>
      <c r="U11" s="112" t="s">
        <v>217</v>
      </c>
      <c r="W11"/>
      <c r="X11" s="89" t="s">
        <v>227</v>
      </c>
      <c r="AA11" s="2" t="s">
        <v>6</v>
      </c>
      <c r="AB11" s="2" t="str">
        <f t="shared" ref="AB11" si="0">IF(NOT(ISBLANK(AC11)),"-","")</f>
        <v>-</v>
      </c>
      <c r="AC11" s="2" t="s">
        <v>280</v>
      </c>
      <c r="AD11" s="2" t="str">
        <f t="shared" ref="AD11" si="1">IF(NOT(ISBLANK(AE11)),"_","")</f>
        <v>_</v>
      </c>
      <c r="AE11" s="2" t="s">
        <v>281</v>
      </c>
      <c r="AF11" s="2" t="str">
        <f t="shared" ref="AF11" si="2">IF(NOT(ISBLANK(AG11)),"_","")</f>
        <v>_</v>
      </c>
      <c r="AG11" s="2" t="s">
        <v>269</v>
      </c>
    </row>
    <row r="12" spans="1:33" x14ac:dyDescent="0.25">
      <c r="B12" s="2" t="str">
        <f>_xlfn.CONCAT("@",AA12,AB12,AC12,AD12,AE12,AF12,AG12)</f>
        <v>@color-label_parking_yes</v>
      </c>
      <c r="C12" s="89" t="s">
        <v>227</v>
      </c>
      <c r="E12"/>
      <c r="F12" s="112" t="s">
        <v>217</v>
      </c>
      <c r="H12"/>
      <c r="I12" s="89" t="s">
        <v>227</v>
      </c>
      <c r="K12"/>
      <c r="L12" s="112" t="s">
        <v>217</v>
      </c>
      <c r="N12"/>
      <c r="O12" s="89" t="s">
        <v>227</v>
      </c>
      <c r="Q12"/>
      <c r="R12" s="112" t="s">
        <v>217</v>
      </c>
      <c r="T12"/>
      <c r="U12" s="89" t="s">
        <v>227</v>
      </c>
      <c r="W12"/>
      <c r="X12" s="112" t="s">
        <v>217</v>
      </c>
      <c r="AA12" s="2" t="s">
        <v>6</v>
      </c>
      <c r="AB12" s="2" t="str">
        <f t="shared" ref="AB12" si="3">IF(NOT(ISBLANK(AC12)),"-","")</f>
        <v>-</v>
      </c>
      <c r="AC12" s="2" t="s">
        <v>280</v>
      </c>
      <c r="AD12" s="2" t="str">
        <f t="shared" ref="AD12" si="4">IF(NOT(ISBLANK(AE12)),"_","")</f>
        <v>_</v>
      </c>
      <c r="AE12" s="2" t="s">
        <v>281</v>
      </c>
      <c r="AF12" s="2" t="str">
        <f t="shared" ref="AF12" si="5">IF(NOT(ISBLANK(AG12)),"_","")</f>
        <v>_</v>
      </c>
      <c r="AG12" s="2" t="s">
        <v>282</v>
      </c>
    </row>
    <row r="13" spans="1:33" x14ac:dyDescent="0.25">
      <c r="B13" s="2" t="str">
        <f>_xlfn.CONCAT("@",AA13,AB13,AC13,AD13,AE13,AF13,AG13)</f>
        <v>@color-label_parking_no</v>
      </c>
      <c r="C13" s="155" t="s">
        <v>283</v>
      </c>
      <c r="E13"/>
      <c r="F13" s="155" t="s">
        <v>283</v>
      </c>
      <c r="H13"/>
      <c r="I13" s="155" t="s">
        <v>283</v>
      </c>
      <c r="K13"/>
      <c r="L13" s="155" t="s">
        <v>283</v>
      </c>
      <c r="N13"/>
      <c r="O13" s="155" t="s">
        <v>283</v>
      </c>
      <c r="Q13"/>
      <c r="R13" s="155" t="s">
        <v>283</v>
      </c>
      <c r="T13"/>
      <c r="U13" s="155" t="s">
        <v>283</v>
      </c>
      <c r="W13"/>
      <c r="X13" s="155" t="s">
        <v>283</v>
      </c>
      <c r="AA13" s="2" t="s">
        <v>6</v>
      </c>
      <c r="AB13" s="2" t="str">
        <f t="shared" ref="AB13:AB14" si="6">IF(NOT(ISBLANK(AC13)),"-","")</f>
        <v>-</v>
      </c>
      <c r="AC13" s="2" t="s">
        <v>280</v>
      </c>
      <c r="AD13" s="2" t="str">
        <f t="shared" ref="AD13:AD14" si="7">IF(NOT(ISBLANK(AE13)),"_","")</f>
        <v>_</v>
      </c>
      <c r="AE13" s="2" t="s">
        <v>281</v>
      </c>
      <c r="AF13" s="2" t="str">
        <f t="shared" ref="AF13:AF14" si="8">IF(NOT(ISBLANK(AG13)),"_","")</f>
        <v>_</v>
      </c>
      <c r="AG13" s="2" t="s">
        <v>44</v>
      </c>
    </row>
    <row r="14" spans="1:33" x14ac:dyDescent="0.25">
      <c r="B14" s="2" t="str">
        <f t="shared" ref="B14" si="9">_xlfn.CONCAT("@",AA14,AB14,AC14,AD14,AE14,AF14,AG14)</f>
        <v>@color-label_place_other</v>
      </c>
      <c r="C14" s="157" t="s">
        <v>287</v>
      </c>
      <c r="F14" s="158" t="s">
        <v>288</v>
      </c>
      <c r="AA14" s="2" t="s">
        <v>6</v>
      </c>
      <c r="AB14" s="2" t="str">
        <f t="shared" si="6"/>
        <v>-</v>
      </c>
      <c r="AC14" s="2" t="s">
        <v>280</v>
      </c>
      <c r="AD14" s="2" t="str">
        <f t="shared" si="7"/>
        <v>_</v>
      </c>
      <c r="AE14" s="2" t="s">
        <v>285</v>
      </c>
      <c r="AF14" s="2" t="str">
        <f t="shared" si="8"/>
        <v>_</v>
      </c>
      <c r="AG14" s="2" t="s">
        <v>286</v>
      </c>
    </row>
    <row r="15" spans="1:33" x14ac:dyDescent="0.25">
      <c r="B15" s="2" t="str">
        <f t="shared" ref="B15:B16" si="10">_xlfn.CONCAT("@",AA15,AB15,AC15,AD15,AE15,AF15,AG15)</f>
        <v>@color-label_halo_place_other</v>
      </c>
      <c r="C15" s="159" t="s">
        <v>290</v>
      </c>
      <c r="F15" s="160" t="s">
        <v>291</v>
      </c>
      <c r="AA15" s="2" t="s">
        <v>6</v>
      </c>
      <c r="AB15" s="2" t="str">
        <f t="shared" ref="AB15:AB16" si="11">IF(NOT(ISBLANK(AC15)),"-","")</f>
        <v>-</v>
      </c>
      <c r="AC15" s="2" t="s">
        <v>289</v>
      </c>
      <c r="AD15" s="2" t="str">
        <f t="shared" ref="AD15:AD16" si="12">IF(NOT(ISBLANK(AE15)),"_","")</f>
        <v>_</v>
      </c>
      <c r="AE15" s="2" t="s">
        <v>285</v>
      </c>
      <c r="AF15" s="2" t="str">
        <f t="shared" ref="AF15:AF16" si="13">IF(NOT(ISBLANK(AG15)),"_","")</f>
        <v>_</v>
      </c>
      <c r="AG15" s="2" t="s">
        <v>286</v>
      </c>
    </row>
    <row r="16" spans="1:33" x14ac:dyDescent="0.25">
      <c r="B16" s="2" t="str">
        <f t="shared" si="10"/>
        <v>@color-label_place_suburb_hamlet</v>
      </c>
      <c r="C16" s="157" t="s">
        <v>287</v>
      </c>
      <c r="F16" s="158" t="s">
        <v>288</v>
      </c>
      <c r="AA16" s="2" t="s">
        <v>6</v>
      </c>
      <c r="AB16" s="2" t="str">
        <f t="shared" si="11"/>
        <v>-</v>
      </c>
      <c r="AC16" s="2" t="s">
        <v>280</v>
      </c>
      <c r="AD16" s="2" t="str">
        <f t="shared" si="12"/>
        <v>_</v>
      </c>
      <c r="AE16" s="2" t="s">
        <v>285</v>
      </c>
      <c r="AF16" s="2" t="str">
        <f t="shared" si="13"/>
        <v>_</v>
      </c>
      <c r="AG16" s="2" t="s">
        <v>292</v>
      </c>
    </row>
    <row r="17" spans="2:33" x14ac:dyDescent="0.25">
      <c r="B17" s="2" t="str">
        <f t="shared" ref="B17:B18" si="14">_xlfn.CONCAT("@",AA17,AB17,AC17,AD17,AE17,AF17,AG17)</f>
        <v>@color-label_halo_place_suburb_hamlet</v>
      </c>
      <c r="C17" s="159" t="s">
        <v>290</v>
      </c>
      <c r="F17" s="160" t="s">
        <v>291</v>
      </c>
      <c r="AA17" s="2" t="s">
        <v>6</v>
      </c>
      <c r="AB17" s="2" t="str">
        <f t="shared" ref="AB17:AB18" si="15">IF(NOT(ISBLANK(AC17)),"-","")</f>
        <v>-</v>
      </c>
      <c r="AC17" s="2" t="s">
        <v>289</v>
      </c>
      <c r="AD17" s="2" t="str">
        <f t="shared" ref="AD17:AD18" si="16">IF(NOT(ISBLANK(AE17)),"_","")</f>
        <v>_</v>
      </c>
      <c r="AE17" s="2" t="s">
        <v>285</v>
      </c>
      <c r="AF17" s="2" t="str">
        <f t="shared" ref="AF17:AF18" si="17">IF(NOT(ISBLANK(AG17)),"_","")</f>
        <v>_</v>
      </c>
      <c r="AG17" s="2" t="s">
        <v>292</v>
      </c>
    </row>
    <row r="18" spans="2:33" x14ac:dyDescent="0.25">
      <c r="B18" s="2" t="str">
        <f t="shared" si="14"/>
        <v>@color-label_place_village</v>
      </c>
      <c r="C18" s="157" t="s">
        <v>287</v>
      </c>
      <c r="F18" s="158" t="s">
        <v>288</v>
      </c>
      <c r="AA18" s="2" t="s">
        <v>6</v>
      </c>
      <c r="AB18" s="2" t="str">
        <f t="shared" si="15"/>
        <v>-</v>
      </c>
      <c r="AC18" s="2" t="s">
        <v>280</v>
      </c>
      <c r="AD18" s="2" t="str">
        <f t="shared" si="16"/>
        <v>_</v>
      </c>
      <c r="AE18" s="2" t="s">
        <v>285</v>
      </c>
      <c r="AF18" s="2" t="str">
        <f t="shared" si="17"/>
        <v>_</v>
      </c>
      <c r="AG18" s="2" t="s">
        <v>293</v>
      </c>
    </row>
    <row r="19" spans="2:33" x14ac:dyDescent="0.25">
      <c r="B19" s="2" t="str">
        <f t="shared" ref="B19:B20" si="18">_xlfn.CONCAT("@",AA19,AB19,AC19,AD19,AE19,AF19,AG19)</f>
        <v>@color-label_halo_place_village</v>
      </c>
      <c r="C19" s="159" t="s">
        <v>290</v>
      </c>
      <c r="F19" s="160" t="s">
        <v>291</v>
      </c>
      <c r="AA19" s="2" t="s">
        <v>6</v>
      </c>
      <c r="AB19" s="2" t="str">
        <f t="shared" ref="AB19:AB20" si="19">IF(NOT(ISBLANK(AC19)),"-","")</f>
        <v>-</v>
      </c>
      <c r="AC19" s="2" t="s">
        <v>289</v>
      </c>
      <c r="AD19" s="2" t="str">
        <f t="shared" ref="AD19:AD20" si="20">IF(NOT(ISBLANK(AE19)),"_","")</f>
        <v>_</v>
      </c>
      <c r="AE19" s="2" t="s">
        <v>285</v>
      </c>
      <c r="AF19" s="2" t="str">
        <f t="shared" ref="AF19:AF20" si="21">IF(NOT(ISBLANK(AG19)),"_","")</f>
        <v>_</v>
      </c>
      <c r="AG19" s="2" t="s">
        <v>293</v>
      </c>
    </row>
    <row r="20" spans="2:33" x14ac:dyDescent="0.25">
      <c r="B20" s="2" t="str">
        <f t="shared" si="18"/>
        <v>@color-label_place_town</v>
      </c>
      <c r="C20" s="157" t="s">
        <v>287</v>
      </c>
      <c r="F20" s="158" t="s">
        <v>288</v>
      </c>
      <c r="AA20" s="2" t="s">
        <v>6</v>
      </c>
      <c r="AB20" s="2" t="str">
        <f t="shared" si="19"/>
        <v>-</v>
      </c>
      <c r="AC20" s="2" t="s">
        <v>280</v>
      </c>
      <c r="AD20" s="2" t="str">
        <f t="shared" si="20"/>
        <v>_</v>
      </c>
      <c r="AE20" s="2" t="s">
        <v>285</v>
      </c>
      <c r="AF20" s="2" t="str">
        <f t="shared" si="21"/>
        <v>_</v>
      </c>
      <c r="AG20" s="2" t="s">
        <v>294</v>
      </c>
    </row>
    <row r="21" spans="2:33" x14ac:dyDescent="0.25">
      <c r="B21" s="2" t="str">
        <f t="shared" ref="B21:B22" si="22">_xlfn.CONCAT("@",AA21,AB21,AC21,AD21,AE21,AF21,AG21)</f>
        <v>@color-label_halo_place_town</v>
      </c>
      <c r="C21" s="159" t="s">
        <v>290</v>
      </c>
      <c r="F21" s="160" t="s">
        <v>291</v>
      </c>
      <c r="AA21" s="2" t="s">
        <v>6</v>
      </c>
      <c r="AB21" s="2" t="str">
        <f t="shared" ref="AB21:AB22" si="23">IF(NOT(ISBLANK(AC21)),"-","")</f>
        <v>-</v>
      </c>
      <c r="AC21" s="2" t="s">
        <v>289</v>
      </c>
      <c r="AD21" s="2" t="str">
        <f t="shared" ref="AD21:AD22" si="24">IF(NOT(ISBLANK(AE21)),"_","")</f>
        <v>_</v>
      </c>
      <c r="AE21" s="2" t="s">
        <v>285</v>
      </c>
      <c r="AF21" s="2" t="str">
        <f t="shared" ref="AF21:AF22" si="25">IF(NOT(ISBLANK(AG21)),"_","")</f>
        <v>_</v>
      </c>
      <c r="AG21" s="2" t="s">
        <v>294</v>
      </c>
    </row>
    <row r="22" spans="2:33" x14ac:dyDescent="0.25">
      <c r="B22" s="2" t="str">
        <f t="shared" si="22"/>
        <v>@color-label_place_city</v>
      </c>
      <c r="C22" s="157" t="s">
        <v>287</v>
      </c>
      <c r="F22" s="158" t="s">
        <v>288</v>
      </c>
      <c r="AA22" s="2" t="s">
        <v>6</v>
      </c>
      <c r="AB22" s="2" t="str">
        <f t="shared" si="23"/>
        <v>-</v>
      </c>
      <c r="AC22" s="2" t="s">
        <v>280</v>
      </c>
      <c r="AD22" s="2" t="str">
        <f t="shared" si="24"/>
        <v>_</v>
      </c>
      <c r="AE22" s="2" t="s">
        <v>285</v>
      </c>
      <c r="AF22" s="2" t="str">
        <f t="shared" si="25"/>
        <v>_</v>
      </c>
      <c r="AG22" s="2" t="s">
        <v>295</v>
      </c>
    </row>
    <row r="23" spans="2:33" x14ac:dyDescent="0.25">
      <c r="B23" s="2" t="str">
        <f t="shared" ref="B23:B24" si="26">_xlfn.CONCAT("@",AA23,AB23,AC23,AD23,AE23,AF23,AG23)</f>
        <v>@color-label_halo_place_city</v>
      </c>
      <c r="C23" s="159" t="s">
        <v>290</v>
      </c>
      <c r="F23" s="160" t="s">
        <v>291</v>
      </c>
      <c r="AA23" s="2" t="s">
        <v>6</v>
      </c>
      <c r="AB23" s="2" t="str">
        <f t="shared" ref="AB23:AB24" si="27">IF(NOT(ISBLANK(AC23)),"-","")</f>
        <v>-</v>
      </c>
      <c r="AC23" s="2" t="s">
        <v>289</v>
      </c>
      <c r="AD23" s="2" t="str">
        <f t="shared" ref="AD23:AD24" si="28">IF(NOT(ISBLANK(AE23)),"_","")</f>
        <v>_</v>
      </c>
      <c r="AE23" s="2" t="s">
        <v>285</v>
      </c>
      <c r="AF23" s="2" t="str">
        <f t="shared" ref="AF23:AF24" si="29">IF(NOT(ISBLANK(AG23)),"_","")</f>
        <v>_</v>
      </c>
      <c r="AG23" s="2" t="s">
        <v>295</v>
      </c>
    </row>
    <row r="24" spans="2:33" x14ac:dyDescent="0.25">
      <c r="B24" s="2" t="str">
        <f t="shared" si="26"/>
        <v>@color-label_place_capital</v>
      </c>
      <c r="C24" s="157" t="s">
        <v>287</v>
      </c>
      <c r="F24" s="158" t="s">
        <v>288</v>
      </c>
      <c r="AA24" s="2" t="s">
        <v>6</v>
      </c>
      <c r="AB24" s="2" t="str">
        <f t="shared" si="27"/>
        <v>-</v>
      </c>
      <c r="AC24" s="2" t="s">
        <v>280</v>
      </c>
      <c r="AD24" s="2" t="str">
        <f t="shared" si="28"/>
        <v>_</v>
      </c>
      <c r="AE24" s="2" t="s">
        <v>285</v>
      </c>
      <c r="AF24" s="2" t="str">
        <f t="shared" si="29"/>
        <v>_</v>
      </c>
      <c r="AG24" s="2" t="s">
        <v>296</v>
      </c>
    </row>
    <row r="25" spans="2:33" x14ac:dyDescent="0.25">
      <c r="B25" s="2" t="str">
        <f t="shared" ref="B25:B26" si="30">_xlfn.CONCAT("@",AA25,AB25,AC25,AD25,AE25,AF25,AG25)</f>
        <v>@color-label_halo_place_capital</v>
      </c>
      <c r="C25" s="159" t="s">
        <v>290</v>
      </c>
      <c r="F25" s="160" t="s">
        <v>291</v>
      </c>
      <c r="AA25" s="2" t="s">
        <v>6</v>
      </c>
      <c r="AB25" s="2" t="str">
        <f t="shared" ref="AB25:AB26" si="31">IF(NOT(ISBLANK(AC25)),"-","")</f>
        <v>-</v>
      </c>
      <c r="AC25" s="2" t="s">
        <v>289</v>
      </c>
      <c r="AD25" s="2" t="str">
        <f t="shared" ref="AD25:AD26" si="32">IF(NOT(ISBLANK(AE25)),"_","")</f>
        <v>_</v>
      </c>
      <c r="AE25" s="2" t="s">
        <v>285</v>
      </c>
      <c r="AF25" s="2" t="str">
        <f t="shared" ref="AF25:AF26" si="33">IF(NOT(ISBLANK(AG25)),"_","")</f>
        <v>_</v>
      </c>
      <c r="AG25" s="2" t="s">
        <v>296</v>
      </c>
    </row>
    <row r="26" spans="2:33" x14ac:dyDescent="0.25">
      <c r="B26" s="2" t="str">
        <f t="shared" si="30"/>
        <v>@color-label_highway_path</v>
      </c>
      <c r="C26" s="161" t="s">
        <v>299</v>
      </c>
      <c r="F26" s="162" t="s">
        <v>300</v>
      </c>
      <c r="AA26" s="2" t="s">
        <v>6</v>
      </c>
      <c r="AB26" s="2" t="str">
        <f t="shared" si="31"/>
        <v>-</v>
      </c>
      <c r="AC26" s="2" t="s">
        <v>280</v>
      </c>
      <c r="AD26" s="2" t="str">
        <f t="shared" si="32"/>
        <v>_</v>
      </c>
      <c r="AE26" s="2" t="s">
        <v>298</v>
      </c>
      <c r="AF26" s="2" t="str">
        <f t="shared" si="33"/>
        <v>_</v>
      </c>
      <c r="AG26" s="2" t="s">
        <v>74</v>
      </c>
    </row>
    <row r="27" spans="2:33" x14ac:dyDescent="0.25">
      <c r="B27" s="2" t="str">
        <f t="shared" ref="B27:B28" si="34">_xlfn.CONCAT("@",AA27,AB27,AC27,AD27,AE27,AF27,AG27)</f>
        <v>@color-label_halo_highway_path</v>
      </c>
      <c r="C27" s="89" t="s">
        <v>227</v>
      </c>
      <c r="F27" s="112" t="s">
        <v>217</v>
      </c>
      <c r="AA27" s="2" t="s">
        <v>6</v>
      </c>
      <c r="AB27" s="2" t="str">
        <f t="shared" ref="AB27:AB28" si="35">IF(NOT(ISBLANK(AC27)),"-","")</f>
        <v>-</v>
      </c>
      <c r="AC27" s="2" t="s">
        <v>289</v>
      </c>
      <c r="AD27" s="2" t="str">
        <f t="shared" ref="AD27:AD28" si="36">IF(NOT(ISBLANK(AE27)),"_","")</f>
        <v>_</v>
      </c>
      <c r="AE27" s="2" t="s">
        <v>298</v>
      </c>
      <c r="AF27" s="2" t="str">
        <f t="shared" ref="AF27:AF28" si="37">IF(NOT(ISBLANK(AG27)),"_","")</f>
        <v>_</v>
      </c>
      <c r="AG27" s="2" t="s">
        <v>74</v>
      </c>
    </row>
    <row r="28" spans="2:33" x14ac:dyDescent="0.25">
      <c r="B28" s="2" t="str">
        <f t="shared" si="34"/>
        <v>@color-label_highway_minor</v>
      </c>
      <c r="C28" s="161" t="s">
        <v>299</v>
      </c>
      <c r="F28" s="162" t="s">
        <v>300</v>
      </c>
      <c r="AA28" s="2" t="s">
        <v>6</v>
      </c>
      <c r="AB28" s="2" t="str">
        <f t="shared" si="35"/>
        <v>-</v>
      </c>
      <c r="AC28" s="2" t="s">
        <v>280</v>
      </c>
      <c r="AD28" s="2" t="str">
        <f t="shared" si="36"/>
        <v>_</v>
      </c>
      <c r="AE28" s="2" t="s">
        <v>298</v>
      </c>
      <c r="AF28" s="2" t="str">
        <f t="shared" si="37"/>
        <v>_</v>
      </c>
      <c r="AG28" s="2" t="s">
        <v>32</v>
      </c>
    </row>
    <row r="29" spans="2:33" x14ac:dyDescent="0.25">
      <c r="B29" s="2" t="str">
        <f t="shared" ref="B29:B30" si="38">_xlfn.CONCAT("@",AA29,AB29,AC29,AD29,AE29,AF29,AG29)</f>
        <v>@color-label_halo_highway_minor</v>
      </c>
      <c r="C29" s="89" t="s">
        <v>227</v>
      </c>
      <c r="F29" s="112" t="s">
        <v>217</v>
      </c>
      <c r="AA29" s="2" t="s">
        <v>6</v>
      </c>
      <c r="AB29" s="2" t="str">
        <f t="shared" ref="AB29:AB30" si="39">IF(NOT(ISBLANK(AC29)),"-","")</f>
        <v>-</v>
      </c>
      <c r="AC29" s="2" t="s">
        <v>289</v>
      </c>
      <c r="AD29" s="2" t="str">
        <f t="shared" ref="AD29:AD30" si="40">IF(NOT(ISBLANK(AE29)),"_","")</f>
        <v>_</v>
      </c>
      <c r="AE29" s="2" t="s">
        <v>298</v>
      </c>
      <c r="AF29" s="2" t="str">
        <f t="shared" ref="AF29:AF30" si="41">IF(NOT(ISBLANK(AG29)),"_","")</f>
        <v>_</v>
      </c>
      <c r="AG29" s="2" t="s">
        <v>32</v>
      </c>
    </row>
    <row r="30" spans="2:33" x14ac:dyDescent="0.25">
      <c r="B30" s="2" t="str">
        <f t="shared" si="38"/>
        <v>@color-label_highway_trunk_primary_secondary_tertiary</v>
      </c>
      <c r="C30" s="161" t="s">
        <v>299</v>
      </c>
      <c r="F30" s="162" t="s">
        <v>300</v>
      </c>
      <c r="AA30" s="2" t="s">
        <v>6</v>
      </c>
      <c r="AB30" s="2" t="str">
        <f t="shared" si="39"/>
        <v>-</v>
      </c>
      <c r="AC30" s="2" t="s">
        <v>280</v>
      </c>
      <c r="AD30" s="2" t="str">
        <f t="shared" si="40"/>
        <v>_</v>
      </c>
      <c r="AE30" s="2" t="s">
        <v>298</v>
      </c>
      <c r="AF30" s="2" t="str">
        <f t="shared" si="41"/>
        <v>_</v>
      </c>
      <c r="AG30" s="2" t="s">
        <v>301</v>
      </c>
    </row>
    <row r="31" spans="2:33" x14ac:dyDescent="0.25">
      <c r="B31" s="2" t="str">
        <f t="shared" ref="B31:B33" si="42">_xlfn.CONCAT("@",AA31,AB31,AC31,AD31,AE31,AF31,AG31)</f>
        <v>@color-label_halo_highway_trunk_primary_secondary_tertiary</v>
      </c>
      <c r="C31" s="89" t="s">
        <v>227</v>
      </c>
      <c r="F31" s="112" t="s">
        <v>217</v>
      </c>
      <c r="AA31" s="2" t="s">
        <v>6</v>
      </c>
      <c r="AB31" s="2" t="str">
        <f t="shared" ref="AB31:AB33" si="43">IF(NOT(ISBLANK(AC31)),"-","")</f>
        <v>-</v>
      </c>
      <c r="AC31" s="2" t="s">
        <v>289</v>
      </c>
      <c r="AD31" s="2" t="str">
        <f t="shared" ref="AD31:AD33" si="44">IF(NOT(ISBLANK(AE31)),"_","")</f>
        <v>_</v>
      </c>
      <c r="AE31" s="2" t="s">
        <v>298</v>
      </c>
      <c r="AF31" s="2" t="str">
        <f t="shared" ref="AF31:AF33" si="45">IF(NOT(ISBLANK(AG31)),"_","")</f>
        <v>_</v>
      </c>
      <c r="AG31" s="2" t="s">
        <v>301</v>
      </c>
    </row>
    <row r="32" spans="2:33" x14ac:dyDescent="0.25">
      <c r="B32" s="2" t="str">
        <f t="shared" si="42"/>
        <v>@color-label_peak</v>
      </c>
      <c r="C32" s="163" t="s">
        <v>303</v>
      </c>
      <c r="F32" s="164" t="s">
        <v>304</v>
      </c>
      <c r="AA32" s="2" t="s">
        <v>6</v>
      </c>
      <c r="AB32" s="2" t="str">
        <f t="shared" si="43"/>
        <v>-</v>
      </c>
      <c r="AC32" s="2" t="s">
        <v>280</v>
      </c>
      <c r="AD32" s="2" t="str">
        <f t="shared" si="44"/>
        <v>_</v>
      </c>
      <c r="AE32" s="2" t="s">
        <v>302</v>
      </c>
      <c r="AF32" s="2" t="str">
        <f t="shared" si="45"/>
        <v/>
      </c>
      <c r="AG32" s="2"/>
    </row>
    <row r="33" spans="1:33" x14ac:dyDescent="0.25">
      <c r="B33" s="2" t="str">
        <f t="shared" si="42"/>
        <v>@color-label_halo_peak</v>
      </c>
      <c r="C33" s="89" t="s">
        <v>227</v>
      </c>
      <c r="F33" s="112" t="s">
        <v>217</v>
      </c>
      <c r="AA33" s="2" t="s">
        <v>6</v>
      </c>
      <c r="AB33" s="2" t="str">
        <f t="shared" si="43"/>
        <v>-</v>
      </c>
      <c r="AC33" s="2" t="s">
        <v>289</v>
      </c>
      <c r="AD33" s="2" t="str">
        <f t="shared" si="44"/>
        <v>_</v>
      </c>
      <c r="AE33" s="2" t="s">
        <v>302</v>
      </c>
      <c r="AF33" s="2" t="str">
        <f t="shared" si="45"/>
        <v/>
      </c>
      <c r="AG33" s="2"/>
    </row>
    <row r="34" spans="1:33" x14ac:dyDescent="0.25">
      <c r="AA34" s="2"/>
      <c r="AB34" s="2"/>
      <c r="AC34" s="2"/>
      <c r="AD34" s="2"/>
      <c r="AE34" s="2"/>
      <c r="AF34" s="2"/>
      <c r="AG34" s="2"/>
    </row>
    <row r="35" spans="1:33" s="6" customFormat="1" x14ac:dyDescent="0.25">
      <c r="A35" s="28" t="s">
        <v>40</v>
      </c>
      <c r="B35" s="28"/>
      <c r="C35" s="28"/>
      <c r="D35" s="28"/>
      <c r="F35" s="28"/>
      <c r="G35" s="28"/>
      <c r="I35" s="4"/>
      <c r="J35" s="28"/>
      <c r="L35" s="28"/>
      <c r="M35" s="28"/>
      <c r="O35" s="28"/>
      <c r="P35" s="28"/>
      <c r="R35" s="28"/>
      <c r="S35" s="28"/>
      <c r="U35" s="28"/>
      <c r="V35" s="28"/>
      <c r="X35" s="28"/>
      <c r="Y35" s="28"/>
      <c r="AA35" s="28"/>
      <c r="AB35" s="28"/>
      <c r="AC35" s="28"/>
      <c r="AD35" s="28"/>
      <c r="AE35" s="28"/>
      <c r="AF35" s="28"/>
      <c r="AG35" s="28"/>
    </row>
    <row r="36" spans="1:33" x14ac:dyDescent="0.25">
      <c r="B36" s="2" t="str">
        <f>_xlfn.CONCAT("@",AA36,AB36,AC36,AD36,AE36,AF36,AG36)</f>
        <v>@color-mtb:scale_0-</v>
      </c>
      <c r="C36" s="40" t="s">
        <v>173</v>
      </c>
      <c r="D36" s="41" t="s">
        <v>181</v>
      </c>
      <c r="E36"/>
      <c r="G36"/>
      <c r="H36"/>
      <c r="I36" s="97" t="str">
        <f t="shared" ref="I36:J43" si="46">C36</f>
        <v>"#0ac5a0"</v>
      </c>
      <c r="J36" s="104" t="str">
        <f t="shared" si="46"/>
        <v>"#00c7b0"</v>
      </c>
      <c r="K36"/>
      <c r="L36"/>
      <c r="M36"/>
      <c r="N36"/>
      <c r="O36"/>
      <c r="P36"/>
      <c r="Q36"/>
      <c r="R36"/>
      <c r="S36"/>
      <c r="T36"/>
      <c r="U36" s="121"/>
      <c r="V36" s="121"/>
      <c r="W36"/>
      <c r="X36" s="121"/>
      <c r="Y36" s="121"/>
      <c r="AA36" s="2" t="s">
        <v>6</v>
      </c>
      <c r="AB36" s="2" t="str">
        <f t="shared" ref="AB36:AB112" si="47">IF(NOT(ISBLANK(AC36)),"-","")</f>
        <v>-</v>
      </c>
      <c r="AC36" s="2" t="s">
        <v>7</v>
      </c>
      <c r="AD36" s="2" t="str">
        <f t="shared" ref="AD36:AD115" si="48">IF(NOT(ISBLANK(AE36)),"_","")</f>
        <v>_</v>
      </c>
      <c r="AE36" s="2" t="s">
        <v>9</v>
      </c>
      <c r="AF36" s="2" t="str">
        <f t="shared" ref="AF36:AF115" si="49">IF(NOT(ISBLANK(AG36)),"_","")</f>
        <v/>
      </c>
      <c r="AG36" s="2"/>
    </row>
    <row r="37" spans="1:33" x14ac:dyDescent="0.25">
      <c r="B37" s="2" t="str">
        <f t="shared" ref="B37:B47" si="50">_xlfn.CONCAT("@",AA37,AB37,AC37,AD37,AE37,AF37,AG37)</f>
        <v>@color-mtb:scale_0</v>
      </c>
      <c r="C37" s="42" t="s">
        <v>174</v>
      </c>
      <c r="D37" s="43" t="s">
        <v>182</v>
      </c>
      <c r="E37"/>
      <c r="G37"/>
      <c r="H37"/>
      <c r="I37" s="98" t="str">
        <f t="shared" si="46"/>
        <v>"#75e009"</v>
      </c>
      <c r="J37" s="105" t="str">
        <f t="shared" si="46"/>
        <v>"#66cc00"</v>
      </c>
      <c r="K37"/>
      <c r="L37"/>
      <c r="M37"/>
      <c r="N37"/>
      <c r="O37"/>
      <c r="P37"/>
      <c r="Q37"/>
      <c r="R37"/>
      <c r="S37"/>
      <c r="T37"/>
      <c r="U37" s="121"/>
      <c r="V37" s="121"/>
      <c r="W37"/>
      <c r="X37" s="121"/>
      <c r="Y37" s="121"/>
      <c r="AA37" s="2" t="s">
        <v>6</v>
      </c>
      <c r="AB37" s="2" t="str">
        <f t="shared" si="47"/>
        <v>-</v>
      </c>
      <c r="AC37" s="2" t="s">
        <v>7</v>
      </c>
      <c r="AD37" s="2" t="str">
        <f t="shared" si="48"/>
        <v>_</v>
      </c>
      <c r="AE37" s="2">
        <v>0</v>
      </c>
      <c r="AF37" s="2" t="str">
        <f t="shared" si="49"/>
        <v/>
      </c>
    </row>
    <row r="38" spans="1:33" x14ac:dyDescent="0.25">
      <c r="B38" s="2" t="str">
        <f t="shared" si="50"/>
        <v>@color-mtb:scale_1</v>
      </c>
      <c r="C38" s="44" t="s">
        <v>175</v>
      </c>
      <c r="D38" s="45" t="s">
        <v>183</v>
      </c>
      <c r="E38"/>
      <c r="G38"/>
      <c r="H38"/>
      <c r="I38" s="100" t="str">
        <f t="shared" si="46"/>
        <v>"#d7dc00"</v>
      </c>
      <c r="J38" s="106" t="str">
        <f t="shared" si="46"/>
        <v>"#c5c900"</v>
      </c>
      <c r="K38"/>
      <c r="L38"/>
      <c r="M38"/>
      <c r="N38"/>
      <c r="O38"/>
      <c r="P38"/>
      <c r="Q38"/>
      <c r="R38"/>
      <c r="S38"/>
      <c r="T38"/>
      <c r="U38" s="121"/>
      <c r="V38" s="121"/>
      <c r="W38"/>
      <c r="X38" s="121"/>
      <c r="Y38" s="121"/>
      <c r="AA38" s="2" t="s">
        <v>6</v>
      </c>
      <c r="AB38" s="2" t="str">
        <f t="shared" si="47"/>
        <v>-</v>
      </c>
      <c r="AC38" s="2" t="s">
        <v>7</v>
      </c>
      <c r="AD38" s="2" t="str">
        <f t="shared" si="48"/>
        <v>_</v>
      </c>
      <c r="AE38" s="2">
        <v>1</v>
      </c>
      <c r="AF38" s="2" t="str">
        <f t="shared" si="49"/>
        <v/>
      </c>
    </row>
    <row r="39" spans="1:33" x14ac:dyDescent="0.25">
      <c r="B39" s="2" t="str">
        <f t="shared" si="50"/>
        <v>@color-mtb:scale_2</v>
      </c>
      <c r="C39" s="46" t="s">
        <v>176</v>
      </c>
      <c r="D39" s="47" t="s">
        <v>184</v>
      </c>
      <c r="E39"/>
      <c r="G39"/>
      <c r="H39"/>
      <c r="I39" s="111" t="str">
        <f t="shared" si="46"/>
        <v>"#feb13e"</v>
      </c>
      <c r="J39" s="107" t="str">
        <f t="shared" si="46"/>
        <v>"#f09000"</v>
      </c>
      <c r="K39"/>
      <c r="L39"/>
      <c r="M39"/>
      <c r="N39"/>
      <c r="O39"/>
      <c r="P39"/>
      <c r="Q39"/>
      <c r="R39"/>
      <c r="S39"/>
      <c r="T39"/>
      <c r="U39" s="121"/>
      <c r="V39" s="121"/>
      <c r="W39"/>
      <c r="X39" s="121"/>
      <c r="Y39" s="121"/>
      <c r="AA39" s="2" t="s">
        <v>6</v>
      </c>
      <c r="AB39" s="2" t="str">
        <f t="shared" si="47"/>
        <v>-</v>
      </c>
      <c r="AC39" s="2" t="s">
        <v>7</v>
      </c>
      <c r="AD39" s="2" t="str">
        <f t="shared" si="48"/>
        <v>_</v>
      </c>
      <c r="AE39" s="2">
        <v>2</v>
      </c>
      <c r="AF39" s="2" t="str">
        <f t="shared" si="49"/>
        <v/>
      </c>
    </row>
    <row r="40" spans="1:33" x14ac:dyDescent="0.25">
      <c r="B40" s="2" t="str">
        <f t="shared" si="50"/>
        <v>@color-mtb:scale_3</v>
      </c>
      <c r="C40" s="48" t="s">
        <v>177</v>
      </c>
      <c r="D40" s="48" t="s">
        <v>177</v>
      </c>
      <c r="E40"/>
      <c r="G40"/>
      <c r="H40"/>
      <c r="I40" s="99" t="str">
        <f t="shared" si="46"/>
        <v>"#ff4f5e"</v>
      </c>
      <c r="J40" s="99" t="str">
        <f t="shared" si="46"/>
        <v>"#ff4f5e"</v>
      </c>
      <c r="K40"/>
      <c r="L40"/>
      <c r="M40"/>
      <c r="N40"/>
      <c r="O40"/>
      <c r="P40"/>
      <c r="Q40"/>
      <c r="R40"/>
      <c r="S40"/>
      <c r="T40"/>
      <c r="U40" s="121"/>
      <c r="V40" s="121"/>
      <c r="W40"/>
      <c r="X40" s="121"/>
      <c r="Y40" s="121"/>
      <c r="AA40" s="2" t="s">
        <v>6</v>
      </c>
      <c r="AB40" s="2" t="str">
        <f t="shared" si="47"/>
        <v>-</v>
      </c>
      <c r="AC40" s="2" t="s">
        <v>7</v>
      </c>
      <c r="AD40" s="2" t="str">
        <f t="shared" si="48"/>
        <v>_</v>
      </c>
      <c r="AE40" s="2">
        <v>3</v>
      </c>
      <c r="AF40" s="2" t="str">
        <f t="shared" si="49"/>
        <v/>
      </c>
    </row>
    <row r="41" spans="1:33" x14ac:dyDescent="0.25">
      <c r="B41" s="2" t="str">
        <f t="shared" si="50"/>
        <v>@color-mtb:scale_4</v>
      </c>
      <c r="C41" s="49" t="s">
        <v>178</v>
      </c>
      <c r="D41" s="50" t="s">
        <v>185</v>
      </c>
      <c r="E41"/>
      <c r="G41"/>
      <c r="H41"/>
      <c r="I41" s="101" t="str">
        <f t="shared" si="46"/>
        <v>"#e50bdd"</v>
      </c>
      <c r="J41" s="108" t="str">
        <f t="shared" si="46"/>
        <v>"#d600ce"</v>
      </c>
      <c r="K41"/>
      <c r="L41"/>
      <c r="M41"/>
      <c r="N41"/>
      <c r="O41"/>
      <c r="P41"/>
      <c r="Q41"/>
      <c r="R41"/>
      <c r="S41"/>
      <c r="T41"/>
      <c r="U41" s="121"/>
      <c r="V41" s="121"/>
      <c r="W41"/>
      <c r="X41" s="121"/>
      <c r="Y41" s="121"/>
      <c r="AA41" s="2" t="s">
        <v>6</v>
      </c>
      <c r="AB41" s="2" t="str">
        <f t="shared" si="47"/>
        <v>-</v>
      </c>
      <c r="AC41" s="2" t="s">
        <v>7</v>
      </c>
      <c r="AD41" s="2" t="str">
        <f t="shared" si="48"/>
        <v>_</v>
      </c>
      <c r="AE41" s="2">
        <v>4</v>
      </c>
      <c r="AF41" s="2" t="str">
        <f t="shared" si="49"/>
        <v/>
      </c>
    </row>
    <row r="42" spans="1:33" x14ac:dyDescent="0.25">
      <c r="B42" s="2" t="str">
        <f t="shared" si="50"/>
        <v>@color-mtb:scale_5</v>
      </c>
      <c r="C42" s="51" t="s">
        <v>179</v>
      </c>
      <c r="D42" s="52" t="s">
        <v>186</v>
      </c>
      <c r="E42"/>
      <c r="G42"/>
      <c r="H42"/>
      <c r="I42" s="103" t="str">
        <f t="shared" si="46"/>
        <v>"#9600c8"</v>
      </c>
      <c r="J42" s="109" t="str">
        <f t="shared" si="46"/>
        <v>"#7a3391"</v>
      </c>
      <c r="K42"/>
      <c r="L42"/>
      <c r="M42"/>
      <c r="N42"/>
      <c r="O42"/>
      <c r="P42"/>
      <c r="Q42"/>
      <c r="R42"/>
      <c r="S42"/>
      <c r="T42"/>
      <c r="U42" s="121"/>
      <c r="V42" s="121"/>
      <c r="W42"/>
      <c r="X42" s="121"/>
      <c r="Y42" s="121"/>
      <c r="AA42" s="2" t="s">
        <v>6</v>
      </c>
      <c r="AB42" s="2" t="str">
        <f t="shared" si="47"/>
        <v>-</v>
      </c>
      <c r="AC42" s="2" t="s">
        <v>7</v>
      </c>
      <c r="AD42" s="2" t="str">
        <f t="shared" si="48"/>
        <v>_</v>
      </c>
      <c r="AE42" s="2">
        <v>5</v>
      </c>
      <c r="AF42" s="2" t="str">
        <f t="shared" si="49"/>
        <v/>
      </c>
    </row>
    <row r="43" spans="1:33" x14ac:dyDescent="0.25">
      <c r="B43" s="2" t="str">
        <f t="shared" si="50"/>
        <v>@color-mtb:scale_6</v>
      </c>
      <c r="C43" s="53" t="s">
        <v>180</v>
      </c>
      <c r="D43" s="54" t="s">
        <v>187</v>
      </c>
      <c r="E43"/>
      <c r="G43"/>
      <c r="H43"/>
      <c r="I43" s="102" t="str">
        <f t="shared" si="46"/>
        <v>"#8100ac"</v>
      </c>
      <c r="J43" s="110" t="str">
        <f t="shared" si="46"/>
        <v>"#593266"</v>
      </c>
      <c r="K43"/>
      <c r="L43"/>
      <c r="M43"/>
      <c r="N43"/>
      <c r="O43"/>
      <c r="P43"/>
      <c r="Q43"/>
      <c r="R43"/>
      <c r="S43"/>
      <c r="T43"/>
      <c r="U43" s="121"/>
      <c r="V43" s="121"/>
      <c r="W43"/>
      <c r="X43" s="121"/>
      <c r="Y43" s="121"/>
      <c r="AA43" s="2" t="s">
        <v>6</v>
      </c>
      <c r="AB43" s="2" t="str">
        <f t="shared" si="47"/>
        <v>-</v>
      </c>
      <c r="AC43" s="2" t="s">
        <v>7</v>
      </c>
      <c r="AD43" s="2" t="str">
        <f t="shared" si="48"/>
        <v>_</v>
      </c>
      <c r="AE43" s="2">
        <v>6</v>
      </c>
      <c r="AF43" s="2" t="str">
        <f t="shared" si="49"/>
        <v/>
      </c>
    </row>
    <row r="44" spans="1:33" x14ac:dyDescent="0.25">
      <c r="B44" s="2"/>
      <c r="C44"/>
      <c r="D44"/>
      <c r="E44"/>
      <c r="F44"/>
      <c r="G44"/>
      <c r="H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AA44" s="2"/>
      <c r="AB44" s="2" t="str">
        <f t="shared" si="47"/>
        <v/>
      </c>
      <c r="AC44" s="2"/>
      <c r="AD44" s="2" t="str">
        <f t="shared" si="48"/>
        <v/>
      </c>
      <c r="AE44" s="2"/>
      <c r="AF44" s="29" t="str">
        <f t="shared" si="49"/>
        <v/>
      </c>
    </row>
    <row r="45" spans="1:33" x14ac:dyDescent="0.25">
      <c r="B45" s="2" t="str">
        <f t="shared" si="50"/>
        <v>@color-mtb:winter_1</v>
      </c>
      <c r="C45" s="121"/>
      <c r="D45" s="121"/>
      <c r="E45"/>
      <c r="F45" s="121"/>
      <c r="G45" s="121"/>
      <c r="H45"/>
      <c r="I45" s="121"/>
      <c r="J45" s="121"/>
      <c r="K45"/>
      <c r="L45" s="121"/>
      <c r="M45" s="121"/>
      <c r="N45"/>
      <c r="O45" s="121"/>
      <c r="P45" s="121"/>
      <c r="Q45"/>
      <c r="R45" s="121"/>
      <c r="S45" s="121"/>
      <c r="T45"/>
      <c r="U45" s="42" t="s">
        <v>174</v>
      </c>
      <c r="V45" s="43" t="s">
        <v>182</v>
      </c>
      <c r="W45"/>
      <c r="X45"/>
      <c r="Y45"/>
      <c r="AA45" s="2" t="s">
        <v>6</v>
      </c>
      <c r="AB45" s="2" t="str">
        <f t="shared" ref="AB45" si="51">IF(NOT(ISBLANK(AC45)),"-","")</f>
        <v>-</v>
      </c>
      <c r="AC45" s="2" t="s">
        <v>230</v>
      </c>
      <c r="AD45" s="2" t="str">
        <f t="shared" ref="AD45" si="52">IF(NOT(ISBLANK(AE45)),"_","")</f>
        <v>_</v>
      </c>
      <c r="AE45" s="2">
        <v>1</v>
      </c>
      <c r="AF45" s="2" t="str">
        <f t="shared" ref="AF45" si="53">IF(NOT(ISBLANK(AG45)),"_","")</f>
        <v/>
      </c>
    </row>
    <row r="46" spans="1:33" x14ac:dyDescent="0.25">
      <c r="B46" s="2" t="str">
        <f t="shared" si="50"/>
        <v>@color-mtb:winter_2</v>
      </c>
      <c r="C46" s="121"/>
      <c r="D46" s="121"/>
      <c r="E46"/>
      <c r="F46" s="121"/>
      <c r="G46" s="121"/>
      <c r="H46"/>
      <c r="I46" s="121"/>
      <c r="J46" s="121"/>
      <c r="K46"/>
      <c r="L46" s="121"/>
      <c r="M46" s="121"/>
      <c r="N46"/>
      <c r="O46" s="121"/>
      <c r="P46" s="121"/>
      <c r="Q46"/>
      <c r="R46" s="121"/>
      <c r="S46" s="121"/>
      <c r="T46"/>
      <c r="U46" s="44" t="s">
        <v>175</v>
      </c>
      <c r="V46" s="45" t="s">
        <v>183</v>
      </c>
      <c r="W46"/>
      <c r="X46"/>
      <c r="Y46"/>
      <c r="AA46" s="2" t="s">
        <v>6</v>
      </c>
      <c r="AB46" s="2" t="str">
        <f t="shared" ref="AB46:AB47" si="54">IF(NOT(ISBLANK(AC46)),"-","")</f>
        <v>-</v>
      </c>
      <c r="AC46" s="2" t="s">
        <v>230</v>
      </c>
      <c r="AD46" s="2" t="str">
        <f t="shared" ref="AD46:AD47" si="55">IF(NOT(ISBLANK(AE46)),"_","")</f>
        <v>_</v>
      </c>
      <c r="AE46" s="2">
        <v>2</v>
      </c>
      <c r="AF46" s="2" t="str">
        <f t="shared" ref="AF46:AF47" si="56">IF(NOT(ISBLANK(AG46)),"_","")</f>
        <v/>
      </c>
    </row>
    <row r="47" spans="1:33" x14ac:dyDescent="0.25">
      <c r="B47" s="2" t="str">
        <f t="shared" si="50"/>
        <v>@color-mtb:winter_3</v>
      </c>
      <c r="C47" s="121"/>
      <c r="D47" s="121"/>
      <c r="E47"/>
      <c r="F47" s="121"/>
      <c r="G47" s="121"/>
      <c r="H47"/>
      <c r="I47" s="121"/>
      <c r="J47" s="121"/>
      <c r="K47"/>
      <c r="L47" s="121"/>
      <c r="M47" s="121"/>
      <c r="N47"/>
      <c r="O47" s="121"/>
      <c r="P47" s="121"/>
      <c r="Q47"/>
      <c r="R47" s="121"/>
      <c r="S47" s="121"/>
      <c r="T47"/>
      <c r="U47" s="46" t="s">
        <v>176</v>
      </c>
      <c r="V47" s="47" t="s">
        <v>184</v>
      </c>
      <c r="W47"/>
      <c r="X47"/>
      <c r="Y47"/>
      <c r="AA47" s="2" t="s">
        <v>6</v>
      </c>
      <c r="AB47" s="2" t="str">
        <f t="shared" si="54"/>
        <v>-</v>
      </c>
      <c r="AC47" s="2" t="s">
        <v>230</v>
      </c>
      <c r="AD47" s="2" t="str">
        <f t="shared" si="55"/>
        <v>_</v>
      </c>
      <c r="AE47" s="2">
        <v>3</v>
      </c>
      <c r="AF47" s="2" t="str">
        <f t="shared" si="56"/>
        <v/>
      </c>
    </row>
    <row r="48" spans="1:33" x14ac:dyDescent="0.25">
      <c r="B48" s="2"/>
      <c r="C48"/>
      <c r="D48"/>
      <c r="E48"/>
      <c r="F48"/>
      <c r="G48"/>
      <c r="H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AA48" s="2"/>
      <c r="AB48" s="2"/>
      <c r="AC48" s="2"/>
      <c r="AD48" s="2"/>
      <c r="AE48" s="2"/>
    </row>
    <row r="49" spans="1:37" x14ac:dyDescent="0.25">
      <c r="B49" s="2"/>
      <c r="C49"/>
      <c r="D49"/>
      <c r="E49"/>
      <c r="F49"/>
      <c r="G49"/>
      <c r="H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AA49" s="2"/>
      <c r="AB49" s="2"/>
      <c r="AC49" s="2"/>
      <c r="AD49" s="2"/>
      <c r="AE49" s="2"/>
    </row>
    <row r="50" spans="1:37" s="2" customFormat="1" x14ac:dyDescent="0.25">
      <c r="A50" s="4" t="s">
        <v>41</v>
      </c>
      <c r="B50" s="4"/>
      <c r="C50" s="4"/>
      <c r="D50" s="5"/>
      <c r="F50" s="5"/>
      <c r="G50" s="5"/>
      <c r="I50" s="5"/>
      <c r="J50" s="5"/>
      <c r="L50" s="5"/>
      <c r="M50" s="5"/>
      <c r="O50" s="5"/>
      <c r="P50" s="5"/>
      <c r="R50" s="5"/>
      <c r="S50" s="5"/>
      <c r="U50" s="5"/>
      <c r="V50" s="5"/>
      <c r="X50" s="5"/>
      <c r="Y50" s="5"/>
      <c r="AA50" s="5"/>
      <c r="AB50" s="5" t="str">
        <f t="shared" si="47"/>
        <v/>
      </c>
      <c r="AC50" s="5"/>
      <c r="AD50" s="5" t="str">
        <f t="shared" si="48"/>
        <v/>
      </c>
      <c r="AE50" s="5"/>
      <c r="AF50" s="5" t="str">
        <f t="shared" si="49"/>
        <v/>
      </c>
      <c r="AG50" s="5"/>
    </row>
    <row r="51" spans="1:37" x14ac:dyDescent="0.25">
      <c r="B51" s="2" t="str">
        <f t="shared" ref="B51" si="57">_xlfn.CONCAT("@",AA51,AB51,AC51,AD51,AE51,AF51,AG51)</f>
        <v>@color-cycleway_case</v>
      </c>
      <c r="C51" s="95" t="s">
        <v>227</v>
      </c>
      <c r="D51" s="95" t="s">
        <v>227</v>
      </c>
      <c r="E51"/>
      <c r="F51" s="82" t="s">
        <v>217</v>
      </c>
      <c r="G51"/>
      <c r="H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AA51" s="2" t="s">
        <v>6</v>
      </c>
      <c r="AB51" s="2" t="str">
        <f t="shared" ref="AB51" si="58">IF(NOT(ISBLANK(AC51)),"-","")</f>
        <v>-</v>
      </c>
      <c r="AC51" s="2" t="s">
        <v>12</v>
      </c>
      <c r="AD51" s="2" t="str">
        <f t="shared" ref="AD51" si="59">IF(NOT(ISBLANK(AE51)),"_","")</f>
        <v>_</v>
      </c>
      <c r="AE51" s="2" t="s">
        <v>17</v>
      </c>
      <c r="AF51" s="2" t="str">
        <f t="shared" ref="AF51" si="60">IF(NOT(ISBLANK(AG51)),"_","")</f>
        <v/>
      </c>
    </row>
    <row r="52" spans="1:37" x14ac:dyDescent="0.25">
      <c r="B52" s="2" t="str">
        <f t="shared" ref="B52:B54" si="61">_xlfn.CONCAT("@",AA52,AB52,AC52,AD52,AE52,AF52,AG52)</f>
        <v>@color-cycleway_line</v>
      </c>
      <c r="C52" s="55" t="s">
        <v>188</v>
      </c>
      <c r="D52" s="30" t="str">
        <f>C52</f>
        <v>"#3046d7"</v>
      </c>
      <c r="E52"/>
      <c r="F52"/>
      <c r="G52"/>
      <c r="H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AA52" s="2" t="s">
        <v>6</v>
      </c>
      <c r="AB52" s="2" t="str">
        <f t="shared" si="47"/>
        <v>-</v>
      </c>
      <c r="AC52" s="2" t="s">
        <v>12</v>
      </c>
      <c r="AD52" s="2" t="str">
        <f t="shared" si="48"/>
        <v>_</v>
      </c>
      <c r="AE52" s="2" t="s">
        <v>13</v>
      </c>
      <c r="AF52" s="2" t="str">
        <f t="shared" si="49"/>
        <v/>
      </c>
    </row>
    <row r="53" spans="1:37" x14ac:dyDescent="0.25">
      <c r="B53" s="2" t="str">
        <f t="shared" ref="B53" si="62">_xlfn.CONCAT("@",AA53,AB53,AC53,AD53,AE53,AF53,AG53)</f>
        <v>@color-footway_case</v>
      </c>
      <c r="C53" s="95" t="s">
        <v>227</v>
      </c>
      <c r="D53" s="95" t="s">
        <v>227</v>
      </c>
      <c r="E53"/>
      <c r="F53" s="82" t="s">
        <v>217</v>
      </c>
      <c r="G53"/>
      <c r="H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AA53" s="2" t="s">
        <v>6</v>
      </c>
      <c r="AB53" s="2" t="str">
        <f t="shared" ref="AB53" si="63">IF(NOT(ISBLANK(AC53)),"-","")</f>
        <v>-</v>
      </c>
      <c r="AC53" s="2" t="s">
        <v>35</v>
      </c>
      <c r="AD53" s="2" t="str">
        <f t="shared" ref="AD53" si="64">IF(NOT(ISBLANK(AE53)),"_","")</f>
        <v>_</v>
      </c>
      <c r="AE53" s="2" t="s">
        <v>17</v>
      </c>
      <c r="AF53" s="2" t="str">
        <f t="shared" ref="AF53" si="65">IF(NOT(ISBLANK(AG53)),"_","")</f>
        <v/>
      </c>
      <c r="AG53" s="2"/>
    </row>
    <row r="54" spans="1:37" x14ac:dyDescent="0.25">
      <c r="B54" s="2" t="str">
        <f t="shared" si="61"/>
        <v>@color-footway_line</v>
      </c>
      <c r="C54" s="56" t="s">
        <v>189</v>
      </c>
      <c r="D54" s="31" t="str">
        <f>C54</f>
        <v>"#a43820"</v>
      </c>
      <c r="E54"/>
      <c r="F54"/>
      <c r="G54"/>
      <c r="H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AA54" s="2" t="s">
        <v>6</v>
      </c>
      <c r="AB54" s="2" t="str">
        <f t="shared" si="47"/>
        <v>-</v>
      </c>
      <c r="AC54" s="2" t="s">
        <v>35</v>
      </c>
      <c r="AD54" s="2" t="str">
        <f t="shared" si="48"/>
        <v>_</v>
      </c>
      <c r="AE54" s="2" t="s">
        <v>13</v>
      </c>
      <c r="AF54" s="2" t="str">
        <f t="shared" si="49"/>
        <v/>
      </c>
      <c r="AG54" s="2"/>
    </row>
    <row r="55" spans="1:37" x14ac:dyDescent="0.25">
      <c r="C55"/>
      <c r="D55"/>
      <c r="E55"/>
      <c r="F55"/>
      <c r="G55"/>
      <c r="H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AA55" s="2"/>
      <c r="AB55" s="2" t="str">
        <f t="shared" si="47"/>
        <v/>
      </c>
      <c r="AC55" s="2"/>
      <c r="AD55" s="2" t="str">
        <f t="shared" si="48"/>
        <v/>
      </c>
      <c r="AE55" s="2"/>
      <c r="AF55" s="29" t="str">
        <f t="shared" si="49"/>
        <v/>
      </c>
    </row>
    <row r="56" spans="1:37" s="2" customFormat="1" x14ac:dyDescent="0.25">
      <c r="A56" s="4" t="s">
        <v>42</v>
      </c>
      <c r="B56" s="4"/>
      <c r="C56" s="4"/>
      <c r="D56" s="5"/>
      <c r="F56" s="5"/>
      <c r="G56" s="5"/>
      <c r="I56" s="5"/>
      <c r="J56" s="5"/>
      <c r="L56" s="5"/>
      <c r="M56" s="5"/>
      <c r="O56" s="5"/>
      <c r="P56" s="5"/>
      <c r="R56" s="5"/>
      <c r="S56" s="5"/>
      <c r="U56" s="5"/>
      <c r="V56" s="5"/>
      <c r="X56" s="5"/>
      <c r="Y56" s="5"/>
      <c r="AA56" s="5"/>
      <c r="AB56" s="5" t="str">
        <f t="shared" si="47"/>
        <v/>
      </c>
      <c r="AC56" s="5"/>
      <c r="AD56" s="5" t="str">
        <f t="shared" si="48"/>
        <v/>
      </c>
      <c r="AE56" s="5"/>
      <c r="AF56" s="5" t="str">
        <f t="shared" si="49"/>
        <v/>
      </c>
      <c r="AG56" s="5"/>
    </row>
    <row r="57" spans="1:37" x14ac:dyDescent="0.25">
      <c r="B57" s="2" t="str">
        <f t="shared" ref="B57:B60" si="66">_xlfn.CONCAT("@",AA57,AB57,AC57,AD57,AE57,AF57,AG57)</f>
        <v>@color-obstacle_vegetation</v>
      </c>
      <c r="C57" s="57" t="s">
        <v>190</v>
      </c>
      <c r="D57" s="32" t="str">
        <f>C57</f>
        <v>"#4a9100"</v>
      </c>
      <c r="E57"/>
      <c r="F57"/>
      <c r="G57"/>
      <c r="H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AA57" s="2" t="s">
        <v>6</v>
      </c>
      <c r="AB57" s="2" t="str">
        <f t="shared" si="47"/>
        <v>-</v>
      </c>
      <c r="AC57" s="2" t="s">
        <v>36</v>
      </c>
      <c r="AD57" s="2" t="str">
        <f t="shared" si="48"/>
        <v>_</v>
      </c>
      <c r="AE57" s="2" t="s">
        <v>37</v>
      </c>
      <c r="AF57" s="2" t="str">
        <f t="shared" si="49"/>
        <v/>
      </c>
      <c r="AG57" s="2"/>
      <c r="AH57" s="2"/>
      <c r="AI57" s="2"/>
      <c r="AJ57" s="2"/>
      <c r="AK57" s="2"/>
    </row>
    <row r="58" spans="1:37" x14ac:dyDescent="0.25">
      <c r="B58" s="2" t="str">
        <f t="shared" si="66"/>
        <v>@color-surface_mud</v>
      </c>
      <c r="C58" s="58" t="s">
        <v>191</v>
      </c>
      <c r="D58" s="33" t="str">
        <f>C58</f>
        <v>"#0e84ed"</v>
      </c>
      <c r="E58"/>
      <c r="F58"/>
      <c r="G58"/>
      <c r="H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AA58" s="2" t="s">
        <v>6</v>
      </c>
      <c r="AB58" s="2" t="str">
        <f t="shared" si="47"/>
        <v>-</v>
      </c>
      <c r="AC58" s="2" t="s">
        <v>38</v>
      </c>
      <c r="AD58" s="2" t="str">
        <f t="shared" si="48"/>
        <v>_</v>
      </c>
      <c r="AE58" s="2" t="s">
        <v>39</v>
      </c>
      <c r="AF58" s="2" t="str">
        <f t="shared" si="49"/>
        <v/>
      </c>
      <c r="AG58" s="2"/>
    </row>
    <row r="59" spans="1:37" x14ac:dyDescent="0.25">
      <c r="B59" s="2" t="str">
        <f t="shared" si="66"/>
        <v>@color-access_no</v>
      </c>
      <c r="C59" s="59" t="s">
        <v>192</v>
      </c>
      <c r="D59" s="34" t="str">
        <f>C59</f>
        <v>"#ff003d"</v>
      </c>
      <c r="E59"/>
      <c r="F59"/>
      <c r="G59"/>
      <c r="H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AA59" s="2" t="s">
        <v>6</v>
      </c>
      <c r="AB59" s="2" t="str">
        <f t="shared" si="47"/>
        <v>-</v>
      </c>
      <c r="AC59" s="2" t="s">
        <v>43</v>
      </c>
      <c r="AD59" s="2" t="str">
        <f t="shared" si="48"/>
        <v>_</v>
      </c>
      <c r="AE59" s="2" t="s">
        <v>44</v>
      </c>
      <c r="AF59" s="2" t="str">
        <f t="shared" si="49"/>
        <v/>
      </c>
      <c r="AG59" s="2"/>
    </row>
    <row r="60" spans="1:37" x14ac:dyDescent="0.25">
      <c r="B60" s="2" t="str">
        <f t="shared" si="66"/>
        <v>@color-access_discouraged</v>
      </c>
      <c r="C60" s="60" t="s">
        <v>193</v>
      </c>
      <c r="D60" s="35" t="str">
        <f>C60</f>
        <v>"#ff6a00"</v>
      </c>
      <c r="E60"/>
      <c r="F60"/>
      <c r="G60"/>
      <c r="H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AA60" s="2" t="s">
        <v>6</v>
      </c>
      <c r="AB60" s="2" t="str">
        <f t="shared" si="47"/>
        <v>-</v>
      </c>
      <c r="AC60" s="2" t="s">
        <v>43</v>
      </c>
      <c r="AD60" s="2" t="str">
        <f t="shared" si="48"/>
        <v>_</v>
      </c>
      <c r="AE60" s="2" t="s">
        <v>45</v>
      </c>
      <c r="AF60" s="2" t="str">
        <f t="shared" si="49"/>
        <v/>
      </c>
      <c r="AG60" s="2"/>
    </row>
    <row r="61" spans="1:37" x14ac:dyDescent="0.25">
      <c r="C61"/>
      <c r="D61"/>
      <c r="E61"/>
      <c r="F61"/>
      <c r="G61"/>
      <c r="H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AB61" s="29" t="str">
        <f t="shared" ref="AB61:AB63" si="67">IF(NOT(ISBLANK(AC61)),"-","")</f>
        <v/>
      </c>
      <c r="AD61" s="29" t="str">
        <f t="shared" ref="AD61:AD63" si="68">IF(NOT(ISBLANK(AE61)),"_","")</f>
        <v/>
      </c>
      <c r="AF61" s="29" t="str">
        <f t="shared" ref="AF61:AF63" si="69">IF(NOT(ISBLANK(AG61)),"_","")</f>
        <v/>
      </c>
    </row>
    <row r="62" spans="1:37" s="2" customFormat="1" x14ac:dyDescent="0.25">
      <c r="A62" s="4" t="s">
        <v>277</v>
      </c>
      <c r="B62" s="4"/>
      <c r="C62" s="4"/>
      <c r="D62" s="5"/>
      <c r="F62" s="5"/>
      <c r="G62" s="5"/>
      <c r="I62" s="5"/>
      <c r="J62" s="5"/>
      <c r="L62" s="5"/>
      <c r="M62" s="5"/>
      <c r="O62" s="5"/>
      <c r="P62" s="5"/>
      <c r="R62" s="5"/>
      <c r="S62" s="5"/>
      <c r="U62" s="5"/>
      <c r="V62" s="5"/>
      <c r="X62" s="5"/>
      <c r="Y62" s="5"/>
      <c r="AA62" s="5"/>
      <c r="AB62" s="5" t="str">
        <f t="shared" si="67"/>
        <v/>
      </c>
      <c r="AC62" s="5"/>
      <c r="AD62" s="5" t="str">
        <f t="shared" si="68"/>
        <v/>
      </c>
      <c r="AE62" s="5"/>
      <c r="AF62" s="5" t="str">
        <f t="shared" si="69"/>
        <v/>
      </c>
      <c r="AG62" s="5"/>
    </row>
    <row r="63" spans="1:37" x14ac:dyDescent="0.25">
      <c r="B63" s="2" t="str">
        <f t="shared" ref="B63" si="70">_xlfn.CONCAT("@",AA63,AB63,AC63,AD63,AE63,AF63,AG63)</f>
        <v>@color-building_area_residential</v>
      </c>
      <c r="C63" s="150" t="s">
        <v>264</v>
      </c>
      <c r="D63"/>
      <c r="E63"/>
      <c r="F63" s="151" t="s">
        <v>254</v>
      </c>
      <c r="G63"/>
      <c r="H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AA63" s="2" t="s">
        <v>6</v>
      </c>
      <c r="AB63" s="2" t="str">
        <f t="shared" si="67"/>
        <v>-</v>
      </c>
      <c r="AC63" s="2" t="s">
        <v>260</v>
      </c>
      <c r="AD63" s="2" t="str">
        <f t="shared" si="68"/>
        <v>_</v>
      </c>
      <c r="AE63" s="2" t="s">
        <v>266</v>
      </c>
      <c r="AF63" s="2" t="str">
        <f t="shared" si="69"/>
        <v>_</v>
      </c>
      <c r="AG63" s="2" t="s">
        <v>67</v>
      </c>
    </row>
    <row r="64" spans="1:37" x14ac:dyDescent="0.25">
      <c r="B64" s="2" t="str">
        <f t="shared" ref="B64" si="71">_xlfn.CONCAT("@",AA64,AB64,AC64,AD64,AE64,AF64,AG64)</f>
        <v>@color-building_area_generic</v>
      </c>
      <c r="C64" s="149" t="s">
        <v>263</v>
      </c>
      <c r="D64"/>
      <c r="E64"/>
      <c r="F64" s="148" t="s">
        <v>261</v>
      </c>
      <c r="G64"/>
      <c r="H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AA64" s="2" t="s">
        <v>6</v>
      </c>
      <c r="AB64" s="2" t="str">
        <f t="shared" ref="AB64" si="72">IF(NOT(ISBLANK(AC64)),"-","")</f>
        <v>-</v>
      </c>
      <c r="AC64" s="2" t="s">
        <v>260</v>
      </c>
      <c r="AD64" s="2" t="str">
        <f t="shared" ref="AD64" si="73">IF(NOT(ISBLANK(AE64)),"_","")</f>
        <v>_</v>
      </c>
      <c r="AE64" s="2" t="s">
        <v>266</v>
      </c>
      <c r="AF64" s="2" t="str">
        <f t="shared" ref="AF64" si="74">IF(NOT(ISBLANK(AG64)),"_","")</f>
        <v>_</v>
      </c>
      <c r="AG64" s="2" t="s">
        <v>262</v>
      </c>
    </row>
    <row r="65" spans="1:33" x14ac:dyDescent="0.25">
      <c r="B65" s="2" t="str">
        <f t="shared" ref="B65" si="75">_xlfn.CONCAT("@",AA65,AB65,AC65,AD65,AE65,AF65,AG65)</f>
        <v>@color-building_line_top</v>
      </c>
      <c r="C65" s="149" t="s">
        <v>263</v>
      </c>
      <c r="D65"/>
      <c r="E65"/>
      <c r="F65" s="148" t="s">
        <v>261</v>
      </c>
      <c r="G65"/>
      <c r="H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AA65" s="2" t="s">
        <v>6</v>
      </c>
      <c r="AB65" s="2" t="str">
        <f t="shared" ref="AB65" si="76">IF(NOT(ISBLANK(AC65)),"-","")</f>
        <v>-</v>
      </c>
      <c r="AC65" s="2" t="s">
        <v>260</v>
      </c>
      <c r="AD65" s="2" t="str">
        <f t="shared" ref="AD65" si="77">IF(NOT(ISBLANK(AE65)),"_","")</f>
        <v>_</v>
      </c>
      <c r="AE65" s="2" t="s">
        <v>13</v>
      </c>
      <c r="AF65" s="2" t="str">
        <f t="shared" ref="AF65" si="78">IF(NOT(ISBLANK(AG65)),"_","")</f>
        <v>_</v>
      </c>
      <c r="AG65" s="2" t="s">
        <v>265</v>
      </c>
    </row>
    <row r="66" spans="1:33" x14ac:dyDescent="0.25">
      <c r="B66" s="2" t="str">
        <f>_xlfn.CONCAT("@",AA66,AB66,AC66,AD66,AE66,AF66,AG66)</f>
        <v>@color-contours_line</v>
      </c>
      <c r="C66" s="61" t="s">
        <v>194</v>
      </c>
      <c r="D66" s="36" t="str">
        <f>C66</f>
        <v>"#916f4c"</v>
      </c>
      <c r="E66"/>
      <c r="F66" s="154" t="s">
        <v>278</v>
      </c>
      <c r="G66" s="154" t="s">
        <v>278</v>
      </c>
      <c r="H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AA66" s="2" t="s">
        <v>6</v>
      </c>
      <c r="AB66" s="2" t="str">
        <f>IF(NOT(ISBLANK(AC66)),"-","")</f>
        <v>-</v>
      </c>
      <c r="AC66" s="2" t="s">
        <v>70</v>
      </c>
      <c r="AD66" s="2" t="str">
        <f>IF(NOT(ISBLANK(AE66)),"_","")</f>
        <v>_</v>
      </c>
      <c r="AE66" s="2" t="s">
        <v>13</v>
      </c>
      <c r="AF66" s="2" t="str">
        <f>IF(NOT(ISBLANK(AG66)),"_","")</f>
        <v/>
      </c>
      <c r="AG66" s="2"/>
    </row>
    <row r="67" spans="1:33" x14ac:dyDescent="0.25">
      <c r="B67" s="2" t="str">
        <f>_xlfn.CONCAT("@",AA67,AB67,AC67,AD67,AE67,AF67,AG67)</f>
        <v>@color-cliff_line</v>
      </c>
      <c r="C67" s="82" t="s">
        <v>217</v>
      </c>
      <c r="D67" s="82" t="s">
        <v>217</v>
      </c>
      <c r="E67"/>
      <c r="F67" s="95" t="s">
        <v>227</v>
      </c>
      <c r="G67" s="95" t="s">
        <v>227</v>
      </c>
      <c r="H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AA67" s="2" t="s">
        <v>6</v>
      </c>
      <c r="AB67" s="2" t="str">
        <f>IF(NOT(ISBLANK(AC67)),"-","")</f>
        <v>-</v>
      </c>
      <c r="AC67" s="2" t="s">
        <v>279</v>
      </c>
      <c r="AD67" s="2" t="str">
        <f>IF(NOT(ISBLANK(AE67)),"_","")</f>
        <v>_</v>
      </c>
      <c r="AE67" s="2" t="s">
        <v>13</v>
      </c>
      <c r="AF67" s="2" t="str">
        <f>IF(NOT(ISBLANK(AG67)),"_","")</f>
        <v/>
      </c>
      <c r="AG67" s="2"/>
    </row>
    <row r="68" spans="1:33" x14ac:dyDescent="0.25">
      <c r="C68"/>
      <c r="D68"/>
      <c r="E68"/>
      <c r="F68"/>
      <c r="G68"/>
      <c r="H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AB68" s="29" t="str">
        <f t="shared" si="47"/>
        <v/>
      </c>
      <c r="AD68" s="29" t="str">
        <f t="shared" si="48"/>
        <v/>
      </c>
      <c r="AF68" s="29" t="str">
        <f t="shared" si="49"/>
        <v/>
      </c>
    </row>
    <row r="69" spans="1:33" s="2" customFormat="1" x14ac:dyDescent="0.25">
      <c r="A69" s="4" t="s">
        <v>259</v>
      </c>
      <c r="B69" s="4"/>
      <c r="C69" s="4"/>
      <c r="D69" s="5"/>
      <c r="F69" s="5"/>
      <c r="G69" s="5"/>
      <c r="I69" s="5"/>
      <c r="J69" s="5"/>
      <c r="L69" s="5"/>
      <c r="M69" s="5"/>
      <c r="O69" s="5"/>
      <c r="P69" s="5"/>
      <c r="R69" s="5"/>
      <c r="S69" s="5"/>
      <c r="U69" s="5"/>
      <c r="V69" s="5"/>
      <c r="X69" s="5"/>
      <c r="Y69" s="5"/>
      <c r="AA69" s="5"/>
      <c r="AB69" s="5" t="str">
        <f t="shared" si="47"/>
        <v/>
      </c>
      <c r="AC69" s="5"/>
      <c r="AD69" s="5" t="str">
        <f t="shared" si="48"/>
        <v/>
      </c>
      <c r="AE69" s="5"/>
      <c r="AF69" s="5" t="str">
        <f t="shared" si="49"/>
        <v/>
      </c>
      <c r="AG69" s="5"/>
    </row>
    <row r="70" spans="1:33" x14ac:dyDescent="0.25">
      <c r="B70" s="2" t="str">
        <f t="shared" ref="B70:B90" si="79">_xlfn.CONCAT("@",AA70,AB70,AC70,AD70,AE70,AF70,AG70)</f>
        <v>@color-background</v>
      </c>
      <c r="C70" s="62" t="s">
        <v>195</v>
      </c>
      <c r="D70"/>
      <c r="E70"/>
      <c r="F70" s="82" t="s">
        <v>217</v>
      </c>
      <c r="G70"/>
      <c r="H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AA70" s="2" t="s">
        <v>6</v>
      </c>
      <c r="AB70" s="2" t="str">
        <f t="shared" si="47"/>
        <v>-</v>
      </c>
      <c r="AC70" s="2" t="s">
        <v>69</v>
      </c>
      <c r="AD70" s="2" t="str">
        <f t="shared" si="48"/>
        <v/>
      </c>
      <c r="AE70" s="2"/>
      <c r="AF70" s="2" t="str">
        <f t="shared" si="49"/>
        <v/>
      </c>
      <c r="AG70" s="2"/>
    </row>
    <row r="71" spans="1:33" x14ac:dyDescent="0.25">
      <c r="B71" s="2" t="str">
        <f t="shared" si="79"/>
        <v>@color-water</v>
      </c>
      <c r="C71" s="63" t="s">
        <v>196</v>
      </c>
      <c r="D71" s="64" t="s">
        <v>197</v>
      </c>
      <c r="E71"/>
      <c r="F71" s="133" t="s">
        <v>242</v>
      </c>
      <c r="G71"/>
      <c r="H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AA71" s="2" t="s">
        <v>6</v>
      </c>
      <c r="AB71" s="2" t="str">
        <f t="shared" si="47"/>
        <v>-</v>
      </c>
      <c r="AC71" s="2" t="s">
        <v>14</v>
      </c>
      <c r="AD71" s="2" t="str">
        <f t="shared" si="48"/>
        <v/>
      </c>
      <c r="AE71" s="2"/>
      <c r="AF71" s="2" t="str">
        <f t="shared" si="49"/>
        <v/>
      </c>
      <c r="AG71" s="2"/>
    </row>
    <row r="72" spans="1:33" x14ac:dyDescent="0.25">
      <c r="B72" s="2" t="str">
        <f t="shared" si="79"/>
        <v>@color-landcover_field</v>
      </c>
      <c r="C72" s="65" t="s">
        <v>198</v>
      </c>
      <c r="D72" s="66" t="s">
        <v>199</v>
      </c>
      <c r="E72"/>
      <c r="F72" s="136" t="s">
        <v>245</v>
      </c>
      <c r="G72"/>
      <c r="H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AA72" s="2" t="s">
        <v>6</v>
      </c>
      <c r="AB72" s="2" t="str">
        <f t="shared" si="47"/>
        <v>-</v>
      </c>
      <c r="AC72" s="2" t="s">
        <v>54</v>
      </c>
      <c r="AD72" s="2" t="str">
        <f t="shared" si="48"/>
        <v>_</v>
      </c>
      <c r="AE72" s="2" t="s">
        <v>49</v>
      </c>
      <c r="AF72" s="2" t="str">
        <f t="shared" si="49"/>
        <v/>
      </c>
      <c r="AG72" s="2"/>
    </row>
    <row r="73" spans="1:33" x14ac:dyDescent="0.25">
      <c r="B73" s="2" t="str">
        <f t="shared" si="79"/>
        <v>@color-landcover_meadow</v>
      </c>
      <c r="C73" s="67" t="s">
        <v>200</v>
      </c>
      <c r="D73" s="68" t="s">
        <v>201</v>
      </c>
      <c r="E73"/>
      <c r="F73" s="135" t="s">
        <v>244</v>
      </c>
      <c r="G73"/>
      <c r="H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AA73" s="2" t="s">
        <v>6</v>
      </c>
      <c r="AB73" s="2" t="str">
        <f t="shared" si="47"/>
        <v>-</v>
      </c>
      <c r="AC73" s="2" t="s">
        <v>54</v>
      </c>
      <c r="AD73" s="2" t="str">
        <f t="shared" si="48"/>
        <v>_</v>
      </c>
      <c r="AE73" s="2" t="s">
        <v>50</v>
      </c>
      <c r="AF73" s="2" t="str">
        <f t="shared" si="49"/>
        <v/>
      </c>
      <c r="AG73" s="2"/>
    </row>
    <row r="74" spans="1:33" x14ac:dyDescent="0.25">
      <c r="B74" s="2" t="str">
        <f t="shared" si="79"/>
        <v>@color-landcover_bare_rock</v>
      </c>
      <c r="C74" s="69" t="s">
        <v>202</v>
      </c>
      <c r="D74"/>
      <c r="E74"/>
      <c r="F74" s="138" t="s">
        <v>249</v>
      </c>
      <c r="G74"/>
      <c r="H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AA74" s="2" t="s">
        <v>6</v>
      </c>
      <c r="AB74" s="2" t="str">
        <f t="shared" si="47"/>
        <v>-</v>
      </c>
      <c r="AC74" s="2" t="s">
        <v>54</v>
      </c>
      <c r="AD74" s="2" t="str">
        <f t="shared" si="48"/>
        <v>_</v>
      </c>
      <c r="AE74" s="2" t="s">
        <v>51</v>
      </c>
      <c r="AF74" s="2" t="str">
        <f t="shared" si="49"/>
        <v/>
      </c>
      <c r="AG74" s="2"/>
    </row>
    <row r="75" spans="1:33" x14ac:dyDescent="0.25">
      <c r="B75" s="2" t="str">
        <f t="shared" si="79"/>
        <v>@color-landcover_sand</v>
      </c>
      <c r="C75" s="70" t="s">
        <v>203</v>
      </c>
      <c r="D75"/>
      <c r="E75"/>
      <c r="F75" s="139" t="s">
        <v>250</v>
      </c>
      <c r="G75"/>
      <c r="H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AA75" s="2" t="s">
        <v>6</v>
      </c>
      <c r="AB75" s="2" t="str">
        <f t="shared" si="47"/>
        <v>-</v>
      </c>
      <c r="AC75" s="2" t="s">
        <v>54</v>
      </c>
      <c r="AD75" s="2" t="str">
        <f t="shared" si="48"/>
        <v>_</v>
      </c>
      <c r="AE75" s="2" t="s">
        <v>52</v>
      </c>
      <c r="AF75" s="2" t="str">
        <f t="shared" si="49"/>
        <v/>
      </c>
      <c r="AG75" s="2"/>
    </row>
    <row r="76" spans="1:33" x14ac:dyDescent="0.25">
      <c r="B76" s="2" t="str">
        <f t="shared" si="79"/>
        <v>@color-landcover_allotments</v>
      </c>
      <c r="C76" s="71" t="s">
        <v>204</v>
      </c>
      <c r="D76"/>
      <c r="E76"/>
      <c r="F76" s="140" t="s">
        <v>251</v>
      </c>
      <c r="G76"/>
      <c r="H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AA76" s="2" t="s">
        <v>6</v>
      </c>
      <c r="AB76" s="2" t="str">
        <f t="shared" si="47"/>
        <v>-</v>
      </c>
      <c r="AC76" s="2" t="s">
        <v>54</v>
      </c>
      <c r="AD76" s="2" t="str">
        <f t="shared" si="48"/>
        <v>_</v>
      </c>
      <c r="AE76" s="2" t="s">
        <v>53</v>
      </c>
      <c r="AF76" s="2" t="str">
        <f t="shared" si="49"/>
        <v/>
      </c>
      <c r="AG76" s="2"/>
    </row>
    <row r="77" spans="1:33" x14ac:dyDescent="0.25">
      <c r="B77" s="2" t="str">
        <f t="shared" si="79"/>
        <v>@color-landcover_heath_fell</v>
      </c>
      <c r="C77" s="72" t="s">
        <v>205</v>
      </c>
      <c r="D77"/>
      <c r="E77"/>
      <c r="F77" s="141" t="s">
        <v>252</v>
      </c>
      <c r="G77"/>
      <c r="H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AA77" s="2" t="s">
        <v>6</v>
      </c>
      <c r="AB77" s="2" t="str">
        <f t="shared" si="47"/>
        <v>-</v>
      </c>
      <c r="AC77" s="2" t="s">
        <v>54</v>
      </c>
      <c r="AD77" s="2" t="str">
        <f t="shared" si="48"/>
        <v>_</v>
      </c>
      <c r="AE77" s="2" t="s">
        <v>55</v>
      </c>
      <c r="AF77" s="2" t="str">
        <f t="shared" si="49"/>
        <v/>
      </c>
      <c r="AG77" s="2"/>
    </row>
    <row r="78" spans="1:33" x14ac:dyDescent="0.25">
      <c r="B78" s="2" t="str">
        <f t="shared" si="79"/>
        <v>@color-landcover_grass</v>
      </c>
      <c r="C78" s="73" t="s">
        <v>206</v>
      </c>
      <c r="D78"/>
      <c r="E78"/>
      <c r="F78" s="156" t="s">
        <v>284</v>
      </c>
      <c r="G78"/>
      <c r="H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AA78" s="2" t="s">
        <v>6</v>
      </c>
      <c r="AB78" s="2" t="str">
        <f t="shared" si="47"/>
        <v>-</v>
      </c>
      <c r="AC78" s="2" t="s">
        <v>54</v>
      </c>
      <c r="AD78" s="2" t="str">
        <f t="shared" si="48"/>
        <v>_</v>
      </c>
      <c r="AE78" s="2" t="s">
        <v>56</v>
      </c>
      <c r="AF78" s="2" t="str">
        <f t="shared" si="49"/>
        <v/>
      </c>
      <c r="AG78" s="2"/>
    </row>
    <row r="79" spans="1:33" x14ac:dyDescent="0.25">
      <c r="B79" s="2" t="str">
        <f t="shared" si="79"/>
        <v>@color-landcover_quarry</v>
      </c>
      <c r="C79" s="74" t="s">
        <v>207</v>
      </c>
      <c r="D79"/>
      <c r="E79"/>
      <c r="F79" s="142" t="s">
        <v>253</v>
      </c>
      <c r="G79"/>
      <c r="H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AA79" s="2" t="s">
        <v>6</v>
      </c>
      <c r="AB79" s="2" t="str">
        <f t="shared" si="47"/>
        <v>-</v>
      </c>
      <c r="AC79" s="2" t="s">
        <v>54</v>
      </c>
      <c r="AD79" s="2" t="str">
        <f t="shared" si="48"/>
        <v>_</v>
      </c>
      <c r="AE79" s="2" t="s">
        <v>57</v>
      </c>
      <c r="AF79" s="2" t="str">
        <f t="shared" si="49"/>
        <v/>
      </c>
      <c r="AG79" s="2"/>
    </row>
    <row r="80" spans="1:33" x14ac:dyDescent="0.25">
      <c r="B80" s="2" t="str">
        <f t="shared" si="79"/>
        <v>@color-landcover_storage</v>
      </c>
      <c r="C80" s="75" t="s">
        <v>208</v>
      </c>
      <c r="D80"/>
      <c r="E80"/>
      <c r="F80" s="152" t="s">
        <v>267</v>
      </c>
      <c r="G80"/>
      <c r="H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AA80" s="2" t="s">
        <v>6</v>
      </c>
      <c r="AB80" s="2" t="str">
        <f t="shared" si="47"/>
        <v>-</v>
      </c>
      <c r="AC80" s="2" t="s">
        <v>54</v>
      </c>
      <c r="AD80" s="2" t="str">
        <f t="shared" si="48"/>
        <v>_</v>
      </c>
      <c r="AE80" s="2" t="s">
        <v>58</v>
      </c>
      <c r="AF80" s="2" t="str">
        <f t="shared" si="49"/>
        <v/>
      </c>
      <c r="AG80" s="2"/>
    </row>
    <row r="81" spans="1:33" x14ac:dyDescent="0.25">
      <c r="B81" s="2" t="str">
        <f t="shared" si="79"/>
        <v>@color-landcover_wood</v>
      </c>
      <c r="C81" s="76" t="s">
        <v>209</v>
      </c>
      <c r="D81"/>
      <c r="E81"/>
      <c r="F81" s="134" t="s">
        <v>243</v>
      </c>
      <c r="G81"/>
      <c r="H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AA81" s="2" t="s">
        <v>6</v>
      </c>
      <c r="AB81" s="2" t="str">
        <f t="shared" si="47"/>
        <v>-</v>
      </c>
      <c r="AC81" s="2" t="s">
        <v>54</v>
      </c>
      <c r="AD81" s="2" t="str">
        <f t="shared" si="48"/>
        <v>_</v>
      </c>
      <c r="AE81" s="2" t="s">
        <v>59</v>
      </c>
      <c r="AF81" s="2" t="str">
        <f t="shared" si="49"/>
        <v/>
      </c>
      <c r="AG81" s="2"/>
    </row>
    <row r="82" spans="1:33" x14ac:dyDescent="0.25">
      <c r="B82" s="2" t="str">
        <f t="shared" si="79"/>
        <v>@color-landcover_parking_area</v>
      </c>
      <c r="C82" s="77" t="s">
        <v>210</v>
      </c>
      <c r="D82"/>
      <c r="E82"/>
      <c r="F82" s="143" t="s">
        <v>254</v>
      </c>
      <c r="G82"/>
      <c r="H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AA82" s="2" t="s">
        <v>6</v>
      </c>
      <c r="AB82" s="2" t="str">
        <f t="shared" si="47"/>
        <v>-</v>
      </c>
      <c r="AC82" s="2" t="s">
        <v>54</v>
      </c>
      <c r="AD82" s="2" t="str">
        <f t="shared" si="48"/>
        <v>_</v>
      </c>
      <c r="AE82" s="2" t="s">
        <v>60</v>
      </c>
      <c r="AF82" s="2" t="str">
        <f t="shared" si="49"/>
        <v/>
      </c>
      <c r="AG82" s="2"/>
    </row>
    <row r="83" spans="1:33" x14ac:dyDescent="0.25">
      <c r="B83" s="2" t="str">
        <f t="shared" si="79"/>
        <v>@color-landcover_railway</v>
      </c>
      <c r="C83" s="78" t="s">
        <v>211</v>
      </c>
      <c r="D83"/>
      <c r="E83"/>
      <c r="F83" s="144" t="s">
        <v>255</v>
      </c>
      <c r="G83"/>
      <c r="H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AA83" s="2" t="s">
        <v>6</v>
      </c>
      <c r="AB83" s="2" t="str">
        <f t="shared" si="47"/>
        <v>-</v>
      </c>
      <c r="AC83" s="2" t="s">
        <v>54</v>
      </c>
      <c r="AD83" s="2" t="str">
        <f t="shared" si="48"/>
        <v>_</v>
      </c>
      <c r="AE83" s="2" t="s">
        <v>61</v>
      </c>
      <c r="AF83" s="2" t="str">
        <f t="shared" si="49"/>
        <v/>
      </c>
      <c r="AG83" s="2"/>
    </row>
    <row r="84" spans="1:33" x14ac:dyDescent="0.25">
      <c r="B84" s="2" t="str">
        <f t="shared" si="79"/>
        <v>@color-landcover_school</v>
      </c>
      <c r="C84" s="80" t="s">
        <v>213</v>
      </c>
      <c r="D84"/>
      <c r="E84"/>
      <c r="F84" s="152" t="s">
        <v>267</v>
      </c>
      <c r="G84"/>
      <c r="H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AA84" s="2" t="s">
        <v>6</v>
      </c>
      <c r="AB84" s="2" t="str">
        <f t="shared" si="47"/>
        <v>-</v>
      </c>
      <c r="AC84" s="2" t="s">
        <v>54</v>
      </c>
      <c r="AD84" s="2" t="str">
        <f t="shared" si="48"/>
        <v>_</v>
      </c>
      <c r="AE84" s="2" t="s">
        <v>62</v>
      </c>
      <c r="AF84" s="2" t="str">
        <f t="shared" si="49"/>
        <v/>
      </c>
      <c r="AG84" s="2"/>
    </row>
    <row r="85" spans="1:33" x14ac:dyDescent="0.25">
      <c r="B85" s="2" t="str">
        <f t="shared" si="79"/>
        <v>@color-landcover_cemetery</v>
      </c>
      <c r="C85" s="79" t="s">
        <v>212</v>
      </c>
      <c r="D85"/>
      <c r="E85"/>
      <c r="F85" s="145" t="s">
        <v>256</v>
      </c>
      <c r="G85"/>
      <c r="H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AA85" s="2" t="s">
        <v>6</v>
      </c>
      <c r="AB85" s="2" t="str">
        <f t="shared" si="47"/>
        <v>-</v>
      </c>
      <c r="AC85" s="2" t="s">
        <v>54</v>
      </c>
      <c r="AD85" s="2" t="str">
        <f t="shared" si="48"/>
        <v>_</v>
      </c>
      <c r="AE85" s="2" t="s">
        <v>64</v>
      </c>
      <c r="AF85" s="2" t="str">
        <f t="shared" si="49"/>
        <v/>
      </c>
      <c r="AG85" s="2"/>
    </row>
    <row r="86" spans="1:33" x14ac:dyDescent="0.25">
      <c r="B86" s="2" t="str">
        <f t="shared" si="79"/>
        <v>@color-landcover_hospital</v>
      </c>
      <c r="C86" s="80" t="s">
        <v>213</v>
      </c>
      <c r="D86"/>
      <c r="E86"/>
      <c r="F86" s="152" t="s">
        <v>267</v>
      </c>
      <c r="G86"/>
      <c r="H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AA86" s="2" t="s">
        <v>6</v>
      </c>
      <c r="AB86" s="2" t="str">
        <f t="shared" si="47"/>
        <v>-</v>
      </c>
      <c r="AC86" s="2" t="s">
        <v>54</v>
      </c>
      <c r="AD86" s="2" t="str">
        <f t="shared" si="48"/>
        <v>_</v>
      </c>
      <c r="AE86" s="2" t="s">
        <v>63</v>
      </c>
      <c r="AF86" s="2" t="str">
        <f t="shared" si="49"/>
        <v/>
      </c>
      <c r="AG86" s="2"/>
    </row>
    <row r="87" spans="1:33" x14ac:dyDescent="0.25">
      <c r="B87" s="2" t="str">
        <f t="shared" si="79"/>
        <v>@color-landcover_industrial</v>
      </c>
      <c r="C87" s="80" t="s">
        <v>213</v>
      </c>
      <c r="D87"/>
      <c r="E87"/>
      <c r="F87" s="152" t="s">
        <v>267</v>
      </c>
      <c r="G87"/>
      <c r="H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AA87" s="2" t="s">
        <v>6</v>
      </c>
      <c r="AB87" s="2" t="str">
        <f t="shared" si="47"/>
        <v>-</v>
      </c>
      <c r="AC87" s="2" t="s">
        <v>54</v>
      </c>
      <c r="AD87" s="2" t="str">
        <f t="shared" si="48"/>
        <v>_</v>
      </c>
      <c r="AE87" s="2" t="s">
        <v>65</v>
      </c>
      <c r="AF87" s="2" t="str">
        <f t="shared" si="49"/>
        <v/>
      </c>
      <c r="AG87" s="2"/>
    </row>
    <row r="88" spans="1:33" x14ac:dyDescent="0.25">
      <c r="B88" s="2" t="str">
        <f t="shared" si="79"/>
        <v>@color-landcover_commercial</v>
      </c>
      <c r="C88" s="80" t="s">
        <v>213</v>
      </c>
      <c r="D88"/>
      <c r="E88"/>
      <c r="F88" s="152" t="s">
        <v>267</v>
      </c>
      <c r="G88"/>
      <c r="H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AA88" s="2" t="s">
        <v>6</v>
      </c>
      <c r="AB88" s="2" t="str">
        <f t="shared" si="47"/>
        <v>-</v>
      </c>
      <c r="AC88" s="2" t="s">
        <v>54</v>
      </c>
      <c r="AD88" s="2" t="str">
        <f t="shared" si="48"/>
        <v>_</v>
      </c>
      <c r="AE88" s="2" t="s">
        <v>66</v>
      </c>
      <c r="AF88" s="2" t="str">
        <f t="shared" si="49"/>
        <v/>
      </c>
      <c r="AG88" s="2"/>
    </row>
    <row r="89" spans="1:33" x14ac:dyDescent="0.25">
      <c r="B89" s="2" t="str">
        <f t="shared" si="79"/>
        <v>@color-landcover_residential</v>
      </c>
      <c r="C89" s="80" t="s">
        <v>213</v>
      </c>
      <c r="D89"/>
      <c r="E89"/>
      <c r="F89" s="152" t="s">
        <v>267</v>
      </c>
      <c r="G89"/>
      <c r="H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AA89" s="2" t="s">
        <v>6</v>
      </c>
      <c r="AB89" s="2" t="str">
        <f t="shared" si="47"/>
        <v>-</v>
      </c>
      <c r="AC89" s="2" t="s">
        <v>54</v>
      </c>
      <c r="AD89" s="2" t="str">
        <f t="shared" si="48"/>
        <v>_</v>
      </c>
      <c r="AE89" s="2" t="s">
        <v>67</v>
      </c>
      <c r="AF89" s="2" t="str">
        <f t="shared" si="49"/>
        <v/>
      </c>
      <c r="AG89" s="2"/>
    </row>
    <row r="90" spans="1:33" x14ac:dyDescent="0.25">
      <c r="B90" s="2" t="str">
        <f t="shared" si="79"/>
        <v>@color-landcover_built-up</v>
      </c>
      <c r="C90" s="80" t="s">
        <v>213</v>
      </c>
      <c r="D90"/>
      <c r="E90"/>
      <c r="F90" s="152" t="s">
        <v>267</v>
      </c>
      <c r="G90"/>
      <c r="H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AA90" s="2" t="s">
        <v>6</v>
      </c>
      <c r="AB90" s="2" t="str">
        <f t="shared" si="47"/>
        <v>-</v>
      </c>
      <c r="AC90" s="2" t="s">
        <v>54</v>
      </c>
      <c r="AD90" s="2" t="str">
        <f t="shared" si="48"/>
        <v>_</v>
      </c>
      <c r="AE90" s="2" t="s">
        <v>68</v>
      </c>
      <c r="AF90" s="2" t="str">
        <f t="shared" si="49"/>
        <v/>
      </c>
      <c r="AG90" s="2"/>
    </row>
    <row r="91" spans="1:33" x14ac:dyDescent="0.25">
      <c r="B91" s="2" t="str">
        <f t="shared" ref="B91:B94" si="80">_xlfn.CONCAT("@",AA91,AB91,AC91,AD91,AE91,AF91,AG91)</f>
        <v>@color-landcover_ice_shelf</v>
      </c>
      <c r="C91" s="62" t="s">
        <v>195</v>
      </c>
      <c r="D91"/>
      <c r="E91"/>
      <c r="F91" s="146" t="s">
        <v>257</v>
      </c>
      <c r="G91"/>
      <c r="H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AA91" s="2" t="s">
        <v>6</v>
      </c>
      <c r="AB91" s="2" t="str">
        <f t="shared" ref="AB91:AB94" si="81">IF(NOT(ISBLANK(AC91)),"-","")</f>
        <v>-</v>
      </c>
      <c r="AC91" s="2" t="s">
        <v>54</v>
      </c>
      <c r="AD91" s="2" t="str">
        <f t="shared" ref="AD91:AD94" si="82">IF(NOT(ISBLANK(AE91)),"_","")</f>
        <v>_</v>
      </c>
      <c r="AE91" s="2" t="s">
        <v>246</v>
      </c>
      <c r="AF91" s="2" t="str">
        <f t="shared" ref="AF91:AF94" si="83">IF(NOT(ISBLANK(AG91)),"_","")</f>
        <v/>
      </c>
      <c r="AG91" s="2"/>
    </row>
    <row r="92" spans="1:33" x14ac:dyDescent="0.25">
      <c r="B92" s="2" t="str">
        <f t="shared" ref="B92" si="84">_xlfn.CONCAT("@",AA92,AB92,AC92,AD92,AE92,AF92,AG92)</f>
        <v>@color-landcover_glacier</v>
      </c>
      <c r="C92" s="62" t="s">
        <v>195</v>
      </c>
      <c r="D92"/>
      <c r="E92"/>
      <c r="F92" s="146" t="s">
        <v>257</v>
      </c>
      <c r="G92"/>
      <c r="H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AA92" s="2" t="s">
        <v>6</v>
      </c>
      <c r="AB92" s="2" t="str">
        <f t="shared" ref="AB92" si="85">IF(NOT(ISBLANK(AC92)),"-","")</f>
        <v>-</v>
      </c>
      <c r="AC92" s="2" t="s">
        <v>54</v>
      </c>
      <c r="AD92" s="2" t="str">
        <f t="shared" ref="AD92" si="86">IF(NOT(ISBLANK(AE92)),"_","")</f>
        <v>_</v>
      </c>
      <c r="AE92" s="2" t="s">
        <v>272</v>
      </c>
      <c r="AF92" s="2" t="str">
        <f t="shared" ref="AF92" si="87">IF(NOT(ISBLANK(AG92)),"_","")</f>
        <v/>
      </c>
      <c r="AG92" s="2"/>
    </row>
    <row r="93" spans="1:33" x14ac:dyDescent="0.25">
      <c r="B93" s="2" t="str">
        <f t="shared" si="80"/>
        <v>@color-landcover_sport_play</v>
      </c>
      <c r="C93" s="137" t="s">
        <v>248</v>
      </c>
      <c r="D93"/>
      <c r="E93"/>
      <c r="F93" s="147" t="s">
        <v>258</v>
      </c>
      <c r="G93"/>
      <c r="H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AA93" s="2" t="s">
        <v>6</v>
      </c>
      <c r="AB93" s="2" t="str">
        <f t="shared" si="81"/>
        <v>-</v>
      </c>
      <c r="AC93" s="2" t="s">
        <v>54</v>
      </c>
      <c r="AD93" s="2" t="str">
        <f t="shared" si="82"/>
        <v>_</v>
      </c>
      <c r="AE93" s="2" t="s">
        <v>247</v>
      </c>
      <c r="AF93" s="2" t="str">
        <f t="shared" si="83"/>
        <v/>
      </c>
      <c r="AG93" s="2"/>
    </row>
    <row r="94" spans="1:33" x14ac:dyDescent="0.25">
      <c r="B94" s="2" t="str">
        <f t="shared" si="80"/>
        <v>@color-landcover_line_generic</v>
      </c>
      <c r="C94" s="153" t="s">
        <v>268</v>
      </c>
      <c r="D94"/>
      <c r="E94"/>
      <c r="F94" s="152" t="s">
        <v>267</v>
      </c>
      <c r="G94"/>
      <c r="H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AA94" s="2" t="s">
        <v>6</v>
      </c>
      <c r="AB94" s="2" t="str">
        <f t="shared" si="81"/>
        <v>-</v>
      </c>
      <c r="AC94" s="2" t="s">
        <v>54</v>
      </c>
      <c r="AD94" s="2" t="str">
        <f t="shared" si="82"/>
        <v>_</v>
      </c>
      <c r="AE94" s="2" t="s">
        <v>13</v>
      </c>
      <c r="AF94" s="2" t="str">
        <f t="shared" si="83"/>
        <v>_</v>
      </c>
      <c r="AG94" s="2" t="s">
        <v>262</v>
      </c>
    </row>
    <row r="95" spans="1:33" x14ac:dyDescent="0.25">
      <c r="C95"/>
      <c r="D95"/>
      <c r="E95"/>
      <c r="F95"/>
      <c r="G95"/>
      <c r="H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AB95" s="29" t="str">
        <f t="shared" si="47"/>
        <v/>
      </c>
      <c r="AD95" s="29" t="str">
        <f t="shared" si="48"/>
        <v/>
      </c>
      <c r="AF95" s="29" t="str">
        <f t="shared" si="49"/>
        <v/>
      </c>
    </row>
    <row r="96" spans="1:33" s="2" customFormat="1" x14ac:dyDescent="0.25">
      <c r="A96" s="4" t="s">
        <v>46</v>
      </c>
      <c r="B96" s="4"/>
      <c r="C96" s="4"/>
      <c r="D96" s="5"/>
      <c r="F96" s="5"/>
      <c r="G96" s="5"/>
      <c r="I96" s="5"/>
      <c r="J96" s="5"/>
      <c r="L96" s="5"/>
      <c r="M96" s="5"/>
      <c r="O96" s="5"/>
      <c r="P96" s="5"/>
      <c r="R96" s="5"/>
      <c r="S96" s="5"/>
      <c r="U96" s="5"/>
      <c r="V96" s="5"/>
      <c r="X96" s="5"/>
      <c r="Y96" s="5"/>
      <c r="AA96" s="5"/>
      <c r="AB96" s="5" t="str">
        <f t="shared" si="47"/>
        <v/>
      </c>
      <c r="AC96" s="5"/>
      <c r="AD96" s="5" t="str">
        <f t="shared" si="48"/>
        <v/>
      </c>
      <c r="AE96" s="5"/>
      <c r="AF96" s="5" t="str">
        <f t="shared" si="49"/>
        <v/>
      </c>
      <c r="AG96" s="5"/>
    </row>
    <row r="97" spans="1:33" x14ac:dyDescent="0.25">
      <c r="B97" s="2" t="str">
        <f t="shared" ref="B97:B99" si="88">_xlfn.CONCAT("@",AA97,AB97,AC97,AD97,AE97,AF97,AG97)</f>
        <v>@color-motorway_case_farzoom</v>
      </c>
      <c r="C97" s="81" t="s">
        <v>214</v>
      </c>
      <c r="D97" s="82" t="s">
        <v>217</v>
      </c>
      <c r="E97"/>
      <c r="F97" s="82" t="s">
        <v>217</v>
      </c>
      <c r="G97" s="82" t="s">
        <v>217</v>
      </c>
      <c r="H97"/>
      <c r="I97" s="132" t="str">
        <f>C97</f>
        <v>"#bf440f"</v>
      </c>
      <c r="J97" s="82" t="s">
        <v>217</v>
      </c>
      <c r="K97"/>
      <c r="L97"/>
      <c r="M97"/>
      <c r="N97"/>
      <c r="O97"/>
      <c r="P97"/>
      <c r="Q97"/>
      <c r="R97"/>
      <c r="S97"/>
      <c r="T97"/>
      <c r="U97" s="132" t="str">
        <f>C97</f>
        <v>"#bf440f"</v>
      </c>
      <c r="V97"/>
      <c r="W97"/>
      <c r="X97"/>
      <c r="Y97"/>
      <c r="AA97" s="2" t="s">
        <v>6</v>
      </c>
      <c r="AB97" s="2" t="str">
        <f t="shared" si="47"/>
        <v>-</v>
      </c>
      <c r="AC97" s="2" t="s">
        <v>16</v>
      </c>
      <c r="AD97" s="2" t="str">
        <f t="shared" si="48"/>
        <v>_</v>
      </c>
      <c r="AE97" s="2" t="s">
        <v>17</v>
      </c>
      <c r="AF97" s="2" t="str">
        <f t="shared" si="49"/>
        <v>_</v>
      </c>
      <c r="AG97" s="2" t="s">
        <v>21</v>
      </c>
    </row>
    <row r="98" spans="1:33" x14ac:dyDescent="0.25">
      <c r="B98" s="2" t="str">
        <f t="shared" si="88"/>
        <v>@color-motorway_case_default</v>
      </c>
      <c r="C98" s="83" t="s">
        <v>215</v>
      </c>
      <c r="D98" s="82" t="s">
        <v>217</v>
      </c>
      <c r="E98"/>
      <c r="F98" s="82" t="s">
        <v>217</v>
      </c>
      <c r="G98" s="82" t="s">
        <v>217</v>
      </c>
      <c r="H98"/>
      <c r="I98" s="37" t="str">
        <f>C98</f>
        <v>"#a15412"</v>
      </c>
      <c r="J98" s="82" t="s">
        <v>217</v>
      </c>
      <c r="K98"/>
      <c r="L98"/>
      <c r="M98"/>
      <c r="N98"/>
      <c r="O98"/>
      <c r="P98"/>
      <c r="Q98"/>
      <c r="R98"/>
      <c r="S98"/>
      <c r="T98"/>
      <c r="U98" s="37" t="str">
        <f>C98</f>
        <v>"#a15412"</v>
      </c>
      <c r="V98"/>
      <c r="W98"/>
      <c r="X98"/>
      <c r="Y98"/>
      <c r="AA98" s="2" t="s">
        <v>6</v>
      </c>
      <c r="AB98" s="2" t="str">
        <f t="shared" si="47"/>
        <v>-</v>
      </c>
      <c r="AC98" s="2" t="s">
        <v>16</v>
      </c>
      <c r="AD98" s="2" t="str">
        <f t="shared" si="48"/>
        <v>_</v>
      </c>
      <c r="AE98" s="2" t="s">
        <v>17</v>
      </c>
      <c r="AF98" s="2" t="str">
        <f t="shared" si="49"/>
        <v>_</v>
      </c>
      <c r="AG98" s="2" t="s">
        <v>269</v>
      </c>
    </row>
    <row r="99" spans="1:33" x14ac:dyDescent="0.25">
      <c r="B99" s="2" t="str">
        <f t="shared" si="88"/>
        <v>@color-motorway_line_default</v>
      </c>
      <c r="C99" s="84" t="s">
        <v>216</v>
      </c>
      <c r="D99" s="85" t="s">
        <v>218</v>
      </c>
      <c r="E99"/>
      <c r="F99" s="85" t="s">
        <v>218</v>
      </c>
      <c r="G99" s="85" t="s">
        <v>218</v>
      </c>
      <c r="H99"/>
      <c r="I99" s="38" t="str">
        <f>C99</f>
        <v>"#ffcc88"</v>
      </c>
      <c r="J99" s="39" t="str">
        <f>D99</f>
        <v>"#d6771e"</v>
      </c>
      <c r="K99"/>
      <c r="L99"/>
      <c r="M99"/>
      <c r="N99"/>
      <c r="O99"/>
      <c r="P99"/>
      <c r="Q99"/>
      <c r="R99"/>
      <c r="S99"/>
      <c r="T99"/>
      <c r="U99" s="38" t="str">
        <f>C99</f>
        <v>"#ffcc88"</v>
      </c>
      <c r="V99"/>
      <c r="W99"/>
      <c r="X99"/>
      <c r="Y99"/>
      <c r="AA99" s="2" t="s">
        <v>6</v>
      </c>
      <c r="AB99" s="2" t="str">
        <f t="shared" si="47"/>
        <v>-</v>
      </c>
      <c r="AC99" s="2" t="s">
        <v>16</v>
      </c>
      <c r="AD99" s="2" t="str">
        <f t="shared" si="48"/>
        <v>_</v>
      </c>
      <c r="AE99" s="2" t="s">
        <v>13</v>
      </c>
      <c r="AF99" s="2" t="str">
        <f t="shared" si="49"/>
        <v>_</v>
      </c>
      <c r="AG99" s="2" t="s">
        <v>269</v>
      </c>
    </row>
    <row r="100" spans="1:33" x14ac:dyDescent="0.25">
      <c r="C100"/>
      <c r="D100"/>
      <c r="E100"/>
      <c r="F100"/>
      <c r="G100"/>
      <c r="H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AB100" s="29" t="str">
        <f t="shared" si="47"/>
        <v/>
      </c>
      <c r="AD100" s="29" t="str">
        <f t="shared" si="48"/>
        <v/>
      </c>
      <c r="AF100" s="29" t="str">
        <f t="shared" si="49"/>
        <v/>
      </c>
    </row>
    <row r="101" spans="1:33" s="2" customFormat="1" x14ac:dyDescent="0.25">
      <c r="A101" s="4" t="s">
        <v>48</v>
      </c>
      <c r="B101" s="4"/>
      <c r="C101" s="4"/>
      <c r="D101" s="5"/>
      <c r="F101" s="5"/>
      <c r="G101" s="5"/>
      <c r="I101" s="5"/>
      <c r="J101" s="5"/>
      <c r="L101" s="5"/>
      <c r="M101" s="5"/>
      <c r="O101" s="5"/>
      <c r="P101" s="5"/>
      <c r="R101" s="5"/>
      <c r="S101" s="5"/>
      <c r="U101" s="5"/>
      <c r="V101" s="5"/>
      <c r="X101" s="5"/>
      <c r="Y101" s="5"/>
      <c r="AA101" s="5"/>
      <c r="AB101" s="5" t="str">
        <f t="shared" si="47"/>
        <v/>
      </c>
      <c r="AC101" s="5"/>
      <c r="AD101" s="5" t="str">
        <f t="shared" si="48"/>
        <v/>
      </c>
      <c r="AE101" s="5"/>
      <c r="AF101" s="5" t="str">
        <f t="shared" si="49"/>
        <v/>
      </c>
      <c r="AG101" s="5"/>
    </row>
    <row r="102" spans="1:33" x14ac:dyDescent="0.25">
      <c r="B102" s="2" t="str">
        <f t="shared" ref="B102" si="89">_xlfn.CONCAT("@",AA102,AB102,AC102,AD102,AE102,AF102,AG102)</f>
        <v>@color-trunk_case_bicycle_no</v>
      </c>
      <c r="C102" s="118" t="s">
        <v>231</v>
      </c>
      <c r="D102" s="82" t="s">
        <v>217</v>
      </c>
      <c r="E102"/>
      <c r="F102" s="82" t="s">
        <v>217</v>
      </c>
      <c r="G102" s="82" t="s">
        <v>217</v>
      </c>
      <c r="H102"/>
      <c r="I102" s="113" t="str">
        <f>C102</f>
        <v>"#bd430f"</v>
      </c>
      <c r="J102" s="112" t="str">
        <f>D102</f>
        <v>"#000000"</v>
      </c>
      <c r="K102"/>
      <c r="L102"/>
      <c r="M102"/>
      <c r="N102"/>
      <c r="O102"/>
      <c r="P102"/>
      <c r="Q102"/>
      <c r="R102"/>
      <c r="S102"/>
      <c r="T102"/>
      <c r="U102" s="113" t="str">
        <f>C102</f>
        <v>"#bd430f"</v>
      </c>
      <c r="V102" s="112" t="str">
        <f>D102</f>
        <v>"#000000"</v>
      </c>
      <c r="W102"/>
      <c r="X102"/>
      <c r="Y102"/>
      <c r="AA102" s="29" t="s">
        <v>6</v>
      </c>
      <c r="AB102" s="2" t="str">
        <f t="shared" si="47"/>
        <v>-</v>
      </c>
      <c r="AC102" s="2" t="s">
        <v>19</v>
      </c>
      <c r="AD102" s="2" t="str">
        <f t="shared" ref="AD102" si="90">IF(NOT(ISBLANK(AE102)),"_","")</f>
        <v>_</v>
      </c>
      <c r="AE102" s="29" t="s">
        <v>17</v>
      </c>
      <c r="AF102" s="2" t="str">
        <f t="shared" ref="AF102" si="91">IF(NOT(ISBLANK(AG102)),"_","")</f>
        <v>_</v>
      </c>
      <c r="AG102" s="29" t="s">
        <v>24</v>
      </c>
    </row>
    <row r="103" spans="1:33" x14ac:dyDescent="0.25">
      <c r="B103" s="2" t="str">
        <f>_xlfn.CONCAT("@",AA103,AB103,AC103,AD103,AE103,AF103,AG103)</f>
        <v>@color-trunk_case_unpaved_farzoom</v>
      </c>
      <c r="C103" s="115" t="s">
        <v>232</v>
      </c>
      <c r="D103" s="116" t="s">
        <v>236</v>
      </c>
      <c r="E103"/>
      <c r="F103" s="82" t="s">
        <v>217</v>
      </c>
      <c r="G103" s="82" t="s">
        <v>217</v>
      </c>
      <c r="H103"/>
      <c r="I103" s="115" t="s">
        <v>232</v>
      </c>
      <c r="J103" s="116" t="s">
        <v>236</v>
      </c>
      <c r="K103"/>
      <c r="L103"/>
      <c r="M103"/>
      <c r="N103"/>
      <c r="O103"/>
      <c r="P103"/>
      <c r="Q103"/>
      <c r="R103"/>
      <c r="S103"/>
      <c r="T103"/>
      <c r="U103" s="121"/>
      <c r="V103" s="121"/>
      <c r="W103"/>
      <c r="X103" s="121"/>
      <c r="Y103" s="121"/>
      <c r="AA103" s="29" t="s">
        <v>6</v>
      </c>
      <c r="AB103" s="2" t="str">
        <f>IF(NOT(ISBLANK(AC103)),"-","")</f>
        <v>-</v>
      </c>
      <c r="AC103" s="2" t="s">
        <v>19</v>
      </c>
      <c r="AD103" s="2" t="str">
        <f>IF(NOT(ISBLANK(AE103)),"_","")</f>
        <v>_</v>
      </c>
      <c r="AE103" s="29" t="s">
        <v>17</v>
      </c>
      <c r="AF103" s="2" t="str">
        <f>IF(NOT(ISBLANK(AG103)),"_","")</f>
        <v>_</v>
      </c>
      <c r="AG103" s="29" t="s">
        <v>235</v>
      </c>
    </row>
    <row r="104" spans="1:33" x14ac:dyDescent="0.25">
      <c r="B104" s="2" t="str">
        <f t="shared" ref="B104:B199" si="92">_xlfn.CONCAT("@",AA104,AB104,AC104,AD104,AE104,AF104,AG104)</f>
        <v>@color-trunk_case_unpaved_default</v>
      </c>
      <c r="C104" s="96" t="s">
        <v>220</v>
      </c>
      <c r="D104" s="82" t="s">
        <v>217</v>
      </c>
      <c r="E104"/>
      <c r="F104" s="82" t="s">
        <v>217</v>
      </c>
      <c r="G104" s="82" t="s">
        <v>217</v>
      </c>
      <c r="I104" s="96" t="s">
        <v>220</v>
      </c>
      <c r="J104" s="82" t="s">
        <v>217</v>
      </c>
      <c r="L104"/>
      <c r="M104"/>
      <c r="O104"/>
      <c r="P104"/>
      <c r="R104"/>
      <c r="S104"/>
      <c r="U104" s="121"/>
      <c r="V104" s="121"/>
      <c r="W104"/>
      <c r="X104" s="121"/>
      <c r="Y104" s="121"/>
      <c r="AA104" s="29" t="s">
        <v>6</v>
      </c>
      <c r="AB104" s="29" t="str">
        <f t="shared" si="47"/>
        <v>-</v>
      </c>
      <c r="AC104" s="2" t="s">
        <v>19</v>
      </c>
      <c r="AD104" s="29" t="str">
        <f t="shared" si="48"/>
        <v>_</v>
      </c>
      <c r="AE104" s="29" t="s">
        <v>17</v>
      </c>
      <c r="AF104" s="29" t="str">
        <f t="shared" si="49"/>
        <v>_</v>
      </c>
      <c r="AG104" s="29" t="s">
        <v>270</v>
      </c>
    </row>
    <row r="105" spans="1:33" x14ac:dyDescent="0.25">
      <c r="B105" s="2" t="str">
        <f t="shared" ref="B105" si="93">_xlfn.CONCAT("@",AA105,AB105,AC105,AD105,AE105,AF105,AG105)</f>
        <v>@color-trunk_case_paved_or_uk_farzoom</v>
      </c>
      <c r="C105" s="114" t="s">
        <v>233</v>
      </c>
      <c r="D105" s="82" t="s">
        <v>217</v>
      </c>
      <c r="E105"/>
      <c r="F105" s="82" t="s">
        <v>217</v>
      </c>
      <c r="G105" s="82" t="s">
        <v>217</v>
      </c>
      <c r="H105"/>
      <c r="I105" s="114" t="s">
        <v>233</v>
      </c>
      <c r="J105" s="82" t="s">
        <v>217</v>
      </c>
      <c r="K105"/>
      <c r="L105"/>
      <c r="M105"/>
      <c r="N105"/>
      <c r="O105"/>
      <c r="P105"/>
      <c r="Q105"/>
      <c r="R105"/>
      <c r="S105"/>
      <c r="T105"/>
      <c r="U105" s="121"/>
      <c r="V105" s="121"/>
      <c r="W105"/>
      <c r="X105" s="121"/>
      <c r="Y105" s="121"/>
      <c r="AA105" s="2" t="s">
        <v>6</v>
      </c>
      <c r="AB105" s="2" t="str">
        <f t="shared" si="47"/>
        <v>-</v>
      </c>
      <c r="AC105" s="2" t="s">
        <v>19</v>
      </c>
      <c r="AD105" s="2" t="str">
        <f t="shared" si="48"/>
        <v>_</v>
      </c>
      <c r="AE105" s="2" t="s">
        <v>17</v>
      </c>
      <c r="AF105" s="2" t="str">
        <f t="shared" si="49"/>
        <v>_</v>
      </c>
      <c r="AG105" s="2" t="s">
        <v>234</v>
      </c>
    </row>
    <row r="106" spans="1:33" x14ac:dyDescent="0.25">
      <c r="B106" s="2" t="str">
        <f t="shared" si="92"/>
        <v>@color-trunk_case_paved_or_uk_default</v>
      </c>
      <c r="C106" s="93" t="s">
        <v>221</v>
      </c>
      <c r="D106" s="82" t="s">
        <v>217</v>
      </c>
      <c r="E106"/>
      <c r="F106" s="82" t="s">
        <v>217</v>
      </c>
      <c r="G106" s="82" t="s">
        <v>217</v>
      </c>
      <c r="H106"/>
      <c r="I106" s="93" t="s">
        <v>221</v>
      </c>
      <c r="J106" s="82" t="s">
        <v>217</v>
      </c>
      <c r="K106"/>
      <c r="L106"/>
      <c r="M106"/>
      <c r="N106"/>
      <c r="O106"/>
      <c r="P106"/>
      <c r="Q106"/>
      <c r="R106"/>
      <c r="S106"/>
      <c r="T106"/>
      <c r="U106" s="121"/>
      <c r="V106" s="121"/>
      <c r="W106"/>
      <c r="X106" s="121"/>
      <c r="Y106" s="121"/>
      <c r="AA106" s="2" t="s">
        <v>6</v>
      </c>
      <c r="AB106" s="2" t="str">
        <f t="shared" si="47"/>
        <v>-</v>
      </c>
      <c r="AC106" s="2" t="s">
        <v>19</v>
      </c>
      <c r="AD106" s="2" t="str">
        <f t="shared" si="48"/>
        <v>_</v>
      </c>
      <c r="AE106" s="2" t="s">
        <v>17</v>
      </c>
      <c r="AF106" s="2" t="str">
        <f t="shared" si="49"/>
        <v>_</v>
      </c>
      <c r="AG106" s="2" t="s">
        <v>271</v>
      </c>
    </row>
    <row r="107" spans="1:33" x14ac:dyDescent="0.25">
      <c r="B107" s="2" t="str">
        <f t="shared" si="92"/>
        <v>@color-trunk_line_default</v>
      </c>
      <c r="C107" s="91" t="s">
        <v>222</v>
      </c>
      <c r="D107" s="92" t="s">
        <v>223</v>
      </c>
      <c r="E107"/>
      <c r="F107" s="91" t="s">
        <v>222</v>
      </c>
      <c r="G107" s="92" t="s">
        <v>223</v>
      </c>
      <c r="H107"/>
      <c r="I107" s="121"/>
      <c r="J107" s="121"/>
      <c r="K107"/>
      <c r="L107" s="121"/>
      <c r="M107" s="121"/>
      <c r="N107"/>
      <c r="O107"/>
      <c r="P107"/>
      <c r="Q107"/>
      <c r="R107"/>
      <c r="S107"/>
      <c r="T107"/>
      <c r="U107" s="86" t="str">
        <f>C107</f>
        <v>"#ffeeaa"</v>
      </c>
      <c r="V107" s="87" t="str">
        <f>D107</f>
        <v>"#ffc72e"</v>
      </c>
      <c r="W107"/>
      <c r="X107"/>
      <c r="Y107"/>
      <c r="AA107" s="2" t="s">
        <v>6</v>
      </c>
      <c r="AB107" s="2" t="str">
        <f t="shared" si="47"/>
        <v>-</v>
      </c>
      <c r="AC107" s="2" t="s">
        <v>19</v>
      </c>
      <c r="AD107" s="2" t="str">
        <f t="shared" si="48"/>
        <v>_</v>
      </c>
      <c r="AE107" s="2" t="s">
        <v>13</v>
      </c>
      <c r="AF107" s="2" t="str">
        <f t="shared" si="49"/>
        <v>_</v>
      </c>
      <c r="AG107" s="2" t="s">
        <v>269</v>
      </c>
    </row>
    <row r="108" spans="1:33" x14ac:dyDescent="0.25">
      <c r="B108" s="2" t="str">
        <f t="shared" si="92"/>
        <v>@color-trunk_line_bicycle_no</v>
      </c>
      <c r="C108" s="84" t="s">
        <v>216</v>
      </c>
      <c r="D108" s="85" t="s">
        <v>218</v>
      </c>
      <c r="E108"/>
      <c r="F108" s="84" t="s">
        <v>216</v>
      </c>
      <c r="G108" s="85" t="s">
        <v>218</v>
      </c>
      <c r="H108"/>
      <c r="I108" s="38" t="str">
        <f>C108</f>
        <v>"#ffcc88"</v>
      </c>
      <c r="J108" s="39" t="str">
        <f>D108</f>
        <v>"#d6771e"</v>
      </c>
      <c r="K108"/>
      <c r="L108"/>
      <c r="M108"/>
      <c r="N108"/>
      <c r="O108"/>
      <c r="P108"/>
      <c r="Q108"/>
      <c r="R108"/>
      <c r="S108"/>
      <c r="T108"/>
      <c r="U108" s="38" t="str">
        <f>C108</f>
        <v>"#ffcc88"</v>
      </c>
      <c r="V108" s="39" t="str">
        <f>D108</f>
        <v>"#d6771e"</v>
      </c>
      <c r="W108"/>
      <c r="X108"/>
      <c r="Y108"/>
      <c r="AA108" s="2" t="s">
        <v>6</v>
      </c>
      <c r="AB108" s="2" t="str">
        <f t="shared" si="47"/>
        <v>-</v>
      </c>
      <c r="AC108" s="2" t="s">
        <v>19</v>
      </c>
      <c r="AD108" s="2" t="str">
        <f t="shared" si="48"/>
        <v>_</v>
      </c>
      <c r="AE108" s="2" t="s">
        <v>13</v>
      </c>
      <c r="AF108" s="2" t="str">
        <f t="shared" si="49"/>
        <v>_</v>
      </c>
      <c r="AG108" s="2" t="s">
        <v>24</v>
      </c>
    </row>
    <row r="109" spans="1:33" x14ac:dyDescent="0.25">
      <c r="B109" s="2" t="str">
        <f t="shared" si="92"/>
        <v>@color-trunk_line_unpaved_default</v>
      </c>
      <c r="C109" s="94" t="s">
        <v>226</v>
      </c>
      <c r="D109" s="88" t="str">
        <f>C109</f>
        <v>"#eddfca"</v>
      </c>
      <c r="E109"/>
      <c r="F109" s="94" t="s">
        <v>226</v>
      </c>
      <c r="G109" s="88" t="str">
        <f>F109</f>
        <v>"#eddfca"</v>
      </c>
      <c r="H109"/>
      <c r="I109" s="94" t="s">
        <v>226</v>
      </c>
      <c r="J109" s="88" t="str">
        <f>I109</f>
        <v>"#eddfca"</v>
      </c>
      <c r="K109"/>
      <c r="L109"/>
      <c r="M109"/>
      <c r="N109"/>
      <c r="O109"/>
      <c r="P109"/>
      <c r="Q109"/>
      <c r="R109"/>
      <c r="S109"/>
      <c r="T109"/>
      <c r="U109" s="121"/>
      <c r="V109" s="121"/>
      <c r="W109"/>
      <c r="X109" s="121"/>
      <c r="Y109" s="121"/>
      <c r="AA109" s="2" t="s">
        <v>6</v>
      </c>
      <c r="AB109" s="2" t="str">
        <f t="shared" si="47"/>
        <v>-</v>
      </c>
      <c r="AC109" s="2" t="s">
        <v>19</v>
      </c>
      <c r="AD109" s="2" t="str">
        <f t="shared" si="48"/>
        <v>_</v>
      </c>
      <c r="AE109" s="2" t="s">
        <v>13</v>
      </c>
      <c r="AF109" s="2" t="str">
        <f t="shared" si="49"/>
        <v>_</v>
      </c>
      <c r="AG109" s="2" t="s">
        <v>270</v>
      </c>
    </row>
    <row r="110" spans="1:33" x14ac:dyDescent="0.25">
      <c r="B110" s="2" t="str">
        <f t="shared" si="92"/>
        <v>@color-trunk_line_paved_or_uk_default</v>
      </c>
      <c r="C110" s="95" t="s">
        <v>227</v>
      </c>
      <c r="D110" s="89" t="str">
        <f>C110</f>
        <v>"#ffffff"</v>
      </c>
      <c r="E110"/>
      <c r="F110" s="95" t="s">
        <v>227</v>
      </c>
      <c r="G110" s="89" t="str">
        <f>F110</f>
        <v>"#ffffff"</v>
      </c>
      <c r="H110"/>
      <c r="I110" s="95" t="s">
        <v>227</v>
      </c>
      <c r="J110" s="89" t="str">
        <f>I110</f>
        <v>"#ffffff"</v>
      </c>
      <c r="K110"/>
      <c r="L110"/>
      <c r="M110"/>
      <c r="N110"/>
      <c r="O110"/>
      <c r="P110"/>
      <c r="Q110"/>
      <c r="R110"/>
      <c r="S110"/>
      <c r="T110"/>
      <c r="U110" s="121"/>
      <c r="V110" s="121"/>
      <c r="W110"/>
      <c r="X110" s="121"/>
      <c r="Y110" s="121"/>
      <c r="AA110" s="29" t="s">
        <v>6</v>
      </c>
      <c r="AB110" s="29" t="str">
        <f t="shared" si="47"/>
        <v>-</v>
      </c>
      <c r="AC110" s="29" t="s">
        <v>19</v>
      </c>
      <c r="AD110" s="29" t="str">
        <f t="shared" si="48"/>
        <v>_</v>
      </c>
      <c r="AE110" s="29" t="s">
        <v>13</v>
      </c>
      <c r="AF110" s="29" t="str">
        <f t="shared" si="49"/>
        <v>_</v>
      </c>
      <c r="AG110" s="29" t="s">
        <v>271</v>
      </c>
    </row>
    <row r="111" spans="1:33" x14ac:dyDescent="0.25">
      <c r="B111" s="2"/>
      <c r="C111"/>
      <c r="D111"/>
      <c r="E111"/>
      <c r="F111"/>
      <c r="G111"/>
      <c r="H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AB111" s="29" t="str">
        <f t="shared" si="47"/>
        <v/>
      </c>
      <c r="AD111" s="29" t="str">
        <f t="shared" si="48"/>
        <v/>
      </c>
      <c r="AF111" s="29" t="str">
        <f t="shared" si="49"/>
        <v/>
      </c>
    </row>
    <row r="112" spans="1:33" s="2" customFormat="1" x14ac:dyDescent="0.25">
      <c r="A112" s="4" t="s">
        <v>47</v>
      </c>
      <c r="B112" s="4"/>
      <c r="C112" s="4"/>
      <c r="D112" s="5"/>
      <c r="F112" s="5"/>
      <c r="G112" s="5"/>
      <c r="I112" s="5"/>
      <c r="J112" s="5"/>
      <c r="L112" s="5"/>
      <c r="M112" s="5"/>
      <c r="O112" s="5"/>
      <c r="P112" s="5"/>
      <c r="R112" s="5"/>
      <c r="S112" s="5"/>
      <c r="U112" s="5"/>
      <c r="V112" s="5"/>
      <c r="X112" s="5"/>
      <c r="Y112" s="5"/>
      <c r="AA112" s="5"/>
      <c r="AB112" s="5" t="str">
        <f t="shared" si="47"/>
        <v/>
      </c>
      <c r="AC112" s="5"/>
      <c r="AD112" s="5" t="str">
        <f t="shared" si="48"/>
        <v/>
      </c>
      <c r="AE112" s="5"/>
      <c r="AF112" s="5" t="str">
        <f t="shared" si="49"/>
        <v/>
      </c>
      <c r="AG112" s="5"/>
    </row>
    <row r="113" spans="2:33" x14ac:dyDescent="0.25">
      <c r="B113" s="2" t="str">
        <f t="shared" si="92"/>
        <v>@color-primary_case_bicycle_no</v>
      </c>
      <c r="C113" s="118" t="s">
        <v>231</v>
      </c>
      <c r="D113" s="82" t="s">
        <v>217</v>
      </c>
      <c r="E113"/>
      <c r="F113" s="82" t="s">
        <v>217</v>
      </c>
      <c r="G113" s="82" t="s">
        <v>217</v>
      </c>
      <c r="H113"/>
      <c r="I113" s="113" t="str">
        <f>C113</f>
        <v>"#bd430f"</v>
      </c>
      <c r="J113" s="112" t="str">
        <f>D113</f>
        <v>"#000000"</v>
      </c>
      <c r="K113"/>
      <c r="L113"/>
      <c r="M113"/>
      <c r="N113"/>
      <c r="O113"/>
      <c r="P113"/>
      <c r="Q113"/>
      <c r="R113"/>
      <c r="S113"/>
      <c r="T113"/>
      <c r="U113" s="113" t="str">
        <f>C113</f>
        <v>"#bd430f"</v>
      </c>
      <c r="V113" s="112" t="str">
        <f>D113</f>
        <v>"#000000"</v>
      </c>
      <c r="W113"/>
      <c r="X113"/>
      <c r="Y113"/>
      <c r="AA113" s="29" t="s">
        <v>6</v>
      </c>
      <c r="AB113" s="2" t="str">
        <f t="shared" ref="AB113:AB180" si="94">IF(NOT(ISBLANK(AC113)),"-","")</f>
        <v>-</v>
      </c>
      <c r="AC113" s="2" t="s">
        <v>26</v>
      </c>
      <c r="AD113" s="2" t="str">
        <f t="shared" si="48"/>
        <v>_</v>
      </c>
      <c r="AE113" s="29" t="s">
        <v>17</v>
      </c>
      <c r="AF113" s="2" t="str">
        <f t="shared" si="49"/>
        <v>_</v>
      </c>
      <c r="AG113" s="29" t="s">
        <v>24</v>
      </c>
    </row>
    <row r="114" spans="2:33" x14ac:dyDescent="0.25">
      <c r="B114" s="2" t="str">
        <f>_xlfn.CONCAT("@",AA114,AB114,AC114,AD114,AE114,AF114,AG114)</f>
        <v>@color-primary_case_unpaved_farzoom</v>
      </c>
      <c r="C114" s="115" t="s">
        <v>232</v>
      </c>
      <c r="D114" s="116" t="s">
        <v>236</v>
      </c>
      <c r="E114"/>
      <c r="F114" s="82" t="s">
        <v>217</v>
      </c>
      <c r="G114" s="82" t="s">
        <v>217</v>
      </c>
      <c r="H114"/>
      <c r="I114" s="115" t="s">
        <v>232</v>
      </c>
      <c r="J114" s="116" t="s">
        <v>236</v>
      </c>
      <c r="K114"/>
      <c r="L114"/>
      <c r="M114"/>
      <c r="N114"/>
      <c r="O114"/>
      <c r="P114"/>
      <c r="Q114"/>
      <c r="R114"/>
      <c r="S114"/>
      <c r="T114"/>
      <c r="U114" s="121"/>
      <c r="V114" s="121"/>
      <c r="W114"/>
      <c r="X114" s="121"/>
      <c r="Y114" s="121"/>
      <c r="AA114" s="29" t="s">
        <v>6</v>
      </c>
      <c r="AB114" s="2" t="str">
        <f>IF(NOT(ISBLANK(AC114)),"-","")</f>
        <v>-</v>
      </c>
      <c r="AC114" s="2" t="s">
        <v>26</v>
      </c>
      <c r="AD114" s="2" t="str">
        <f>IF(NOT(ISBLANK(AE114)),"_","")</f>
        <v>_</v>
      </c>
      <c r="AE114" s="29" t="s">
        <v>17</v>
      </c>
      <c r="AF114" s="2" t="str">
        <f>IF(NOT(ISBLANK(AG114)),"_","")</f>
        <v>_</v>
      </c>
      <c r="AG114" s="29" t="s">
        <v>235</v>
      </c>
    </row>
    <row r="115" spans="2:33" x14ac:dyDescent="0.25">
      <c r="B115" s="2" t="str">
        <f t="shared" si="92"/>
        <v>@color-primary_case_unpaved_default</v>
      </c>
      <c r="C115" s="96" t="s">
        <v>220</v>
      </c>
      <c r="D115" s="116" t="s">
        <v>236</v>
      </c>
      <c r="E115"/>
      <c r="F115" s="82" t="s">
        <v>217</v>
      </c>
      <c r="G115" s="82" t="s">
        <v>217</v>
      </c>
      <c r="H115"/>
      <c r="I115" s="96" t="s">
        <v>220</v>
      </c>
      <c r="J115" s="116" t="s">
        <v>236</v>
      </c>
      <c r="K115"/>
      <c r="L115"/>
      <c r="M115"/>
      <c r="N115"/>
      <c r="O115"/>
      <c r="P115"/>
      <c r="Q115"/>
      <c r="R115"/>
      <c r="S115"/>
      <c r="T115"/>
      <c r="U115" s="121"/>
      <c r="V115" s="121"/>
      <c r="W115"/>
      <c r="X115" s="121"/>
      <c r="Y115" s="121"/>
      <c r="AA115" s="29" t="s">
        <v>6</v>
      </c>
      <c r="AB115" s="2" t="str">
        <f t="shared" si="94"/>
        <v>-</v>
      </c>
      <c r="AC115" s="2" t="s">
        <v>26</v>
      </c>
      <c r="AD115" s="2" t="str">
        <f t="shared" si="48"/>
        <v>_</v>
      </c>
      <c r="AE115" s="29" t="s">
        <v>17</v>
      </c>
      <c r="AF115" s="2" t="str">
        <f t="shared" si="49"/>
        <v>_</v>
      </c>
      <c r="AG115" s="29" t="s">
        <v>270</v>
      </c>
    </row>
    <row r="116" spans="2:33" x14ac:dyDescent="0.25">
      <c r="B116" s="2" t="str">
        <f t="shared" si="92"/>
        <v>@color-primary_case_paved_or_uk_farzoom</v>
      </c>
      <c r="C116" s="114" t="s">
        <v>233</v>
      </c>
      <c r="D116" s="82" t="s">
        <v>217</v>
      </c>
      <c r="E116"/>
      <c r="F116" s="82" t="s">
        <v>217</v>
      </c>
      <c r="G116" s="82" t="s">
        <v>217</v>
      </c>
      <c r="H116"/>
      <c r="I116" s="114" t="s">
        <v>233</v>
      </c>
      <c r="J116" s="82" t="s">
        <v>217</v>
      </c>
      <c r="K116"/>
      <c r="L116"/>
      <c r="M116"/>
      <c r="N116"/>
      <c r="O116"/>
      <c r="P116"/>
      <c r="Q116"/>
      <c r="R116"/>
      <c r="S116"/>
      <c r="T116"/>
      <c r="U116" s="121"/>
      <c r="V116" s="121"/>
      <c r="W116"/>
      <c r="X116" s="121"/>
      <c r="Y116" s="121"/>
      <c r="AA116" s="2" t="s">
        <v>6</v>
      </c>
      <c r="AB116" s="2" t="str">
        <f t="shared" si="94"/>
        <v>-</v>
      </c>
      <c r="AC116" s="2" t="s">
        <v>26</v>
      </c>
      <c r="AD116" s="2" t="str">
        <f t="shared" ref="AD116" si="95">IF(NOT(ISBLANK(AE116)),"_","")</f>
        <v>_</v>
      </c>
      <c r="AE116" s="2" t="s">
        <v>17</v>
      </c>
      <c r="AF116" s="2" t="str">
        <f t="shared" ref="AF116" si="96">IF(NOT(ISBLANK(AG116)),"_","")</f>
        <v>_</v>
      </c>
      <c r="AG116" s="2" t="s">
        <v>234</v>
      </c>
    </row>
    <row r="117" spans="2:33" x14ac:dyDescent="0.25">
      <c r="B117" s="2" t="str">
        <f t="shared" si="92"/>
        <v>@color-primary_case_paved_or_uk_default</v>
      </c>
      <c r="C117" s="93" t="s">
        <v>221</v>
      </c>
      <c r="D117" s="82" t="s">
        <v>217</v>
      </c>
      <c r="E117"/>
      <c r="F117" s="82" t="s">
        <v>217</v>
      </c>
      <c r="G117" s="82" t="s">
        <v>217</v>
      </c>
      <c r="H117"/>
      <c r="I117" s="93" t="s">
        <v>221</v>
      </c>
      <c r="J117" s="82" t="s">
        <v>217</v>
      </c>
      <c r="K117"/>
      <c r="L117"/>
      <c r="M117"/>
      <c r="N117"/>
      <c r="O117"/>
      <c r="P117"/>
      <c r="Q117"/>
      <c r="R117"/>
      <c r="S117"/>
      <c r="T117"/>
      <c r="U117" s="121"/>
      <c r="V117" s="121"/>
      <c r="W117"/>
      <c r="X117" s="121"/>
      <c r="Y117" s="121"/>
      <c r="AA117" s="2" t="s">
        <v>6</v>
      </c>
      <c r="AB117" s="2" t="str">
        <f t="shared" si="94"/>
        <v>-</v>
      </c>
      <c r="AC117" s="29" t="s">
        <v>26</v>
      </c>
      <c r="AD117" s="2" t="str">
        <f t="shared" ref="AD117:AD180" si="97">IF(NOT(ISBLANK(AE117)),"_","")</f>
        <v>_</v>
      </c>
      <c r="AE117" s="2" t="s">
        <v>17</v>
      </c>
      <c r="AF117" s="2" t="str">
        <f t="shared" ref="AF117:AF180" si="98">IF(NOT(ISBLANK(AG117)),"_","")</f>
        <v>_</v>
      </c>
      <c r="AG117" s="2" t="s">
        <v>271</v>
      </c>
    </row>
    <row r="118" spans="2:33" x14ac:dyDescent="0.25">
      <c r="B118" s="2" t="str">
        <f t="shared" si="92"/>
        <v>@color-primary_line_bicycle_no</v>
      </c>
      <c r="C118" s="120" t="s">
        <v>238</v>
      </c>
      <c r="D118" s="85" t="s">
        <v>218</v>
      </c>
      <c r="E118"/>
      <c r="F118" s="120" t="s">
        <v>238</v>
      </c>
      <c r="G118" s="85" t="s">
        <v>218</v>
      </c>
      <c r="H118"/>
      <c r="I118" s="119" t="str">
        <f>C118</f>
        <v>"#ffcc8a"</v>
      </c>
      <c r="J118" s="39" t="str">
        <f>D118</f>
        <v>"#d6771e"</v>
      </c>
      <c r="K118"/>
      <c r="L118"/>
      <c r="M118"/>
      <c r="N118"/>
      <c r="O118"/>
      <c r="P118"/>
      <c r="Q118"/>
      <c r="R118"/>
      <c r="S118"/>
      <c r="T118"/>
      <c r="U118" s="119" t="str">
        <f>C118</f>
        <v>"#ffcc8a"</v>
      </c>
      <c r="V118" s="39" t="str">
        <f>D118</f>
        <v>"#d6771e"</v>
      </c>
      <c r="W118"/>
      <c r="X118"/>
      <c r="Y118"/>
      <c r="AA118" s="29" t="s">
        <v>6</v>
      </c>
      <c r="AB118" s="2" t="str">
        <f t="shared" si="94"/>
        <v>-</v>
      </c>
      <c r="AC118" s="29" t="s">
        <v>26</v>
      </c>
      <c r="AD118" s="2" t="str">
        <f t="shared" si="97"/>
        <v>_</v>
      </c>
      <c r="AE118" s="29" t="s">
        <v>13</v>
      </c>
      <c r="AF118" s="2" t="str">
        <f t="shared" si="98"/>
        <v>_</v>
      </c>
      <c r="AG118" s="29" t="s">
        <v>24</v>
      </c>
    </row>
    <row r="119" spans="2:33" x14ac:dyDescent="0.25">
      <c r="B119" s="2" t="str">
        <f t="shared" si="92"/>
        <v>@color-primary_line_unpaved_default</v>
      </c>
      <c r="C119" s="94" t="s">
        <v>226</v>
      </c>
      <c r="D119" s="88" t="str">
        <f>C119</f>
        <v>"#eddfca"</v>
      </c>
      <c r="E119"/>
      <c r="F119" s="94" t="s">
        <v>226</v>
      </c>
      <c r="G119" s="88" t="str">
        <f>F119</f>
        <v>"#eddfca"</v>
      </c>
      <c r="H119"/>
      <c r="I119" s="94" t="s">
        <v>226</v>
      </c>
      <c r="J119" s="88" t="str">
        <f>I119</f>
        <v>"#eddfca"</v>
      </c>
      <c r="K119"/>
      <c r="L119"/>
      <c r="M119"/>
      <c r="N119"/>
      <c r="O119"/>
      <c r="P119"/>
      <c r="Q119"/>
      <c r="R119"/>
      <c r="S119"/>
      <c r="T119"/>
      <c r="U119" s="121"/>
      <c r="V119" s="121"/>
      <c r="W119"/>
      <c r="X119" s="121"/>
      <c r="Y119" s="121"/>
      <c r="AA119" s="2" t="s">
        <v>6</v>
      </c>
      <c r="AB119" s="2" t="str">
        <f t="shared" si="94"/>
        <v>-</v>
      </c>
      <c r="AC119" s="2" t="s">
        <v>26</v>
      </c>
      <c r="AD119" s="2" t="str">
        <f t="shared" si="97"/>
        <v>_</v>
      </c>
      <c r="AE119" s="2" t="s">
        <v>13</v>
      </c>
      <c r="AF119" s="2" t="str">
        <f t="shared" si="98"/>
        <v>_</v>
      </c>
      <c r="AG119" s="2" t="s">
        <v>270</v>
      </c>
    </row>
    <row r="120" spans="2:33" x14ac:dyDescent="0.25">
      <c r="B120" s="2" t="str">
        <f t="shared" si="92"/>
        <v>@color-primary_line_paved_or_uk_default</v>
      </c>
      <c r="C120" s="95" t="s">
        <v>227</v>
      </c>
      <c r="D120" s="89" t="str">
        <f>C120</f>
        <v>"#ffffff"</v>
      </c>
      <c r="E120"/>
      <c r="F120" s="95" t="s">
        <v>227</v>
      </c>
      <c r="G120" s="89" t="str">
        <f>F120</f>
        <v>"#ffffff"</v>
      </c>
      <c r="H120"/>
      <c r="I120" s="95" t="s">
        <v>227</v>
      </c>
      <c r="J120" s="89" t="str">
        <f>I120</f>
        <v>"#ffffff"</v>
      </c>
      <c r="K120"/>
      <c r="L120"/>
      <c r="M120"/>
      <c r="N120"/>
      <c r="O120"/>
      <c r="P120"/>
      <c r="Q120"/>
      <c r="R120"/>
      <c r="S120"/>
      <c r="T120"/>
      <c r="U120" s="121"/>
      <c r="V120" s="121"/>
      <c r="W120"/>
      <c r="X120" s="121"/>
      <c r="Y120" s="121"/>
      <c r="AA120" s="2" t="s">
        <v>6</v>
      </c>
      <c r="AB120" s="2" t="str">
        <f t="shared" si="94"/>
        <v>-</v>
      </c>
      <c r="AC120" s="2" t="s">
        <v>26</v>
      </c>
      <c r="AD120" s="2" t="str">
        <f t="shared" si="97"/>
        <v>_</v>
      </c>
      <c r="AE120" s="2" t="s">
        <v>13</v>
      </c>
      <c r="AF120" s="2" t="str">
        <f t="shared" si="98"/>
        <v>_</v>
      </c>
      <c r="AG120" s="2" t="s">
        <v>271</v>
      </c>
    </row>
    <row r="121" spans="2:33" x14ac:dyDescent="0.25">
      <c r="B121" s="2"/>
      <c r="C121" s="90"/>
      <c r="D121" s="90"/>
      <c r="E121"/>
      <c r="F121"/>
      <c r="G121"/>
      <c r="H121"/>
      <c r="I121" s="90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AB121" s="2"/>
      <c r="AD121" s="2"/>
      <c r="AF121" s="2" t="str">
        <f t="shared" ref="AF121:AF129" si="99">IF(NOT(ISBLANK(AG121)),"_","")</f>
        <v/>
      </c>
    </row>
    <row r="122" spans="2:33" x14ac:dyDescent="0.25">
      <c r="B122" s="2" t="str">
        <f t="shared" ref="B122:B129" si="100">_xlfn.CONCAT("@",AA122,AB122,AC122,AD122,AE122,AF122,AG122)</f>
        <v>@color-secondary_case_bicycle_no</v>
      </c>
      <c r="C122" s="118" t="s">
        <v>231</v>
      </c>
      <c r="D122" s="82" t="s">
        <v>217</v>
      </c>
      <c r="E122"/>
      <c r="F122" s="82" t="s">
        <v>217</v>
      </c>
      <c r="G122" s="82" t="s">
        <v>217</v>
      </c>
      <c r="H122"/>
      <c r="I122" s="113" t="str">
        <f>C122</f>
        <v>"#bd430f"</v>
      </c>
      <c r="J122" s="112" t="str">
        <f>D122</f>
        <v>"#000000"</v>
      </c>
      <c r="K122"/>
      <c r="L122"/>
      <c r="M122"/>
      <c r="N122"/>
      <c r="O122"/>
      <c r="P122"/>
      <c r="Q122"/>
      <c r="R122"/>
      <c r="S122"/>
      <c r="T122"/>
      <c r="U122" s="113" t="str">
        <f>C122</f>
        <v>"#bd430f"</v>
      </c>
      <c r="V122" s="112" t="str">
        <f>D122</f>
        <v>"#000000"</v>
      </c>
      <c r="W122"/>
      <c r="X122"/>
      <c r="Y122"/>
      <c r="AA122" s="29" t="s">
        <v>6</v>
      </c>
      <c r="AB122" s="2" t="str">
        <f t="shared" ref="AB122:AB129" si="101">IF(NOT(ISBLANK(AC122)),"-","")</f>
        <v>-</v>
      </c>
      <c r="AC122" s="2" t="s">
        <v>28</v>
      </c>
      <c r="AD122" s="2" t="str">
        <f t="shared" ref="AD122:AD129" si="102">IF(NOT(ISBLANK(AE122)),"_","")</f>
        <v>_</v>
      </c>
      <c r="AE122" s="29" t="s">
        <v>17</v>
      </c>
      <c r="AF122" s="2" t="str">
        <f t="shared" si="99"/>
        <v>_</v>
      </c>
      <c r="AG122" s="29" t="s">
        <v>24</v>
      </c>
    </row>
    <row r="123" spans="2:33" x14ac:dyDescent="0.25">
      <c r="B123" s="2" t="str">
        <f>_xlfn.CONCAT("@",AA123,AB123,AC123,AD123,AE123,AF123,AG123)</f>
        <v>@color-secondary_case_unpaved_farzoom</v>
      </c>
      <c r="C123" s="115" t="s">
        <v>232</v>
      </c>
      <c r="D123" s="116" t="s">
        <v>236</v>
      </c>
      <c r="E123"/>
      <c r="F123" s="82" t="s">
        <v>217</v>
      </c>
      <c r="G123" s="82" t="s">
        <v>217</v>
      </c>
      <c r="H123"/>
      <c r="I123" s="115" t="s">
        <v>232</v>
      </c>
      <c r="J123" s="116" t="s">
        <v>236</v>
      </c>
      <c r="K123"/>
      <c r="L123"/>
      <c r="M123"/>
      <c r="N123"/>
      <c r="O123"/>
      <c r="P123"/>
      <c r="Q123"/>
      <c r="R123"/>
      <c r="S123"/>
      <c r="T123"/>
      <c r="U123" s="121"/>
      <c r="V123" s="121"/>
      <c r="W123"/>
      <c r="X123" s="121"/>
      <c r="Y123" s="121"/>
      <c r="AA123" s="29" t="s">
        <v>6</v>
      </c>
      <c r="AB123" s="2" t="str">
        <f>IF(NOT(ISBLANK(AC123)),"-","")</f>
        <v>-</v>
      </c>
      <c r="AC123" s="2" t="s">
        <v>28</v>
      </c>
      <c r="AD123" s="2" t="str">
        <f>IF(NOT(ISBLANK(AE123)),"_","")</f>
        <v>_</v>
      </c>
      <c r="AE123" s="29" t="s">
        <v>17</v>
      </c>
      <c r="AF123" s="2" t="str">
        <f>IF(NOT(ISBLANK(AG123)),"_","")</f>
        <v>_</v>
      </c>
      <c r="AG123" s="29" t="s">
        <v>235</v>
      </c>
    </row>
    <row r="124" spans="2:33" x14ac:dyDescent="0.25">
      <c r="B124" s="2" t="str">
        <f t="shared" si="100"/>
        <v>@color-secondary_case_unpaved_default</v>
      </c>
      <c r="C124" s="116" t="s">
        <v>236</v>
      </c>
      <c r="D124" s="116" t="s">
        <v>236</v>
      </c>
      <c r="E124"/>
      <c r="F124" s="82" t="s">
        <v>217</v>
      </c>
      <c r="G124" s="82" t="s">
        <v>217</v>
      </c>
      <c r="H124"/>
      <c r="I124" s="116" t="s">
        <v>236</v>
      </c>
      <c r="J124" s="116" t="s">
        <v>236</v>
      </c>
      <c r="K124"/>
      <c r="L124"/>
      <c r="M124"/>
      <c r="N124"/>
      <c r="O124"/>
      <c r="P124"/>
      <c r="Q124"/>
      <c r="R124"/>
      <c r="S124"/>
      <c r="T124"/>
      <c r="U124" s="121"/>
      <c r="V124" s="121"/>
      <c r="W124"/>
      <c r="X124" s="121"/>
      <c r="Y124" s="121"/>
      <c r="AA124" s="29" t="s">
        <v>6</v>
      </c>
      <c r="AB124" s="2" t="str">
        <f t="shared" si="101"/>
        <v>-</v>
      </c>
      <c r="AC124" s="2" t="s">
        <v>28</v>
      </c>
      <c r="AD124" s="2" t="str">
        <f t="shared" si="102"/>
        <v>_</v>
      </c>
      <c r="AE124" s="29" t="s">
        <v>17</v>
      </c>
      <c r="AF124" s="2" t="str">
        <f t="shared" si="99"/>
        <v>_</v>
      </c>
      <c r="AG124" s="29" t="s">
        <v>270</v>
      </c>
    </row>
    <row r="125" spans="2:33" x14ac:dyDescent="0.25">
      <c r="B125" s="2" t="str">
        <f t="shared" si="100"/>
        <v>@color-secondary_case_paved_or_uk_farzoom</v>
      </c>
      <c r="C125" s="114" t="s">
        <v>233</v>
      </c>
      <c r="D125" s="82" t="s">
        <v>217</v>
      </c>
      <c r="E125"/>
      <c r="F125" s="82" t="s">
        <v>217</v>
      </c>
      <c r="G125" s="82" t="s">
        <v>217</v>
      </c>
      <c r="H125"/>
      <c r="I125" s="114" t="s">
        <v>233</v>
      </c>
      <c r="J125" s="82" t="s">
        <v>217</v>
      </c>
      <c r="K125"/>
      <c r="L125"/>
      <c r="M125"/>
      <c r="N125"/>
      <c r="O125"/>
      <c r="P125"/>
      <c r="Q125"/>
      <c r="R125"/>
      <c r="S125"/>
      <c r="T125"/>
      <c r="U125" s="121"/>
      <c r="V125" s="121"/>
      <c r="W125"/>
      <c r="X125" s="121"/>
      <c r="Y125" s="121"/>
      <c r="AA125" s="2" t="s">
        <v>6</v>
      </c>
      <c r="AB125" s="2" t="str">
        <f t="shared" si="101"/>
        <v>-</v>
      </c>
      <c r="AC125" s="2" t="s">
        <v>28</v>
      </c>
      <c r="AD125" s="2" t="str">
        <f t="shared" si="102"/>
        <v>_</v>
      </c>
      <c r="AE125" s="2" t="s">
        <v>17</v>
      </c>
      <c r="AF125" s="2" t="str">
        <f t="shared" si="99"/>
        <v>_</v>
      </c>
      <c r="AG125" s="2" t="s">
        <v>234</v>
      </c>
    </row>
    <row r="126" spans="2:33" x14ac:dyDescent="0.25">
      <c r="B126" s="2" t="str">
        <f t="shared" si="100"/>
        <v>@color-secondary_case_paved_or_uk_default</v>
      </c>
      <c r="C126" s="117" t="s">
        <v>237</v>
      </c>
      <c r="D126" s="82" t="s">
        <v>217</v>
      </c>
      <c r="E126"/>
      <c r="F126" s="82" t="s">
        <v>217</v>
      </c>
      <c r="G126" s="82" t="s">
        <v>217</v>
      </c>
      <c r="H126"/>
      <c r="I126" s="117" t="s">
        <v>237</v>
      </c>
      <c r="J126" s="82" t="s">
        <v>217</v>
      </c>
      <c r="K126"/>
      <c r="L126"/>
      <c r="M126"/>
      <c r="N126"/>
      <c r="O126"/>
      <c r="P126"/>
      <c r="Q126"/>
      <c r="R126"/>
      <c r="S126"/>
      <c r="T126"/>
      <c r="U126" s="121"/>
      <c r="V126" s="121"/>
      <c r="W126"/>
      <c r="X126" s="121"/>
      <c r="Y126" s="121"/>
      <c r="AA126" s="2" t="s">
        <v>6</v>
      </c>
      <c r="AB126" s="2" t="str">
        <f t="shared" si="101"/>
        <v>-</v>
      </c>
      <c r="AC126" s="2" t="s">
        <v>28</v>
      </c>
      <c r="AD126" s="2" t="str">
        <f t="shared" si="102"/>
        <v>_</v>
      </c>
      <c r="AE126" s="2" t="s">
        <v>17</v>
      </c>
      <c r="AF126" s="2" t="str">
        <f t="shared" si="99"/>
        <v>_</v>
      </c>
      <c r="AG126" s="2" t="s">
        <v>271</v>
      </c>
    </row>
    <row r="127" spans="2:33" x14ac:dyDescent="0.25">
      <c r="B127" s="2" t="str">
        <f t="shared" si="100"/>
        <v>@color-secondary_line_bicycle_no</v>
      </c>
      <c r="C127" s="120" t="s">
        <v>238</v>
      </c>
      <c r="D127" s="85" t="s">
        <v>218</v>
      </c>
      <c r="E127"/>
      <c r="F127" s="120" t="s">
        <v>238</v>
      </c>
      <c r="G127" s="85" t="s">
        <v>218</v>
      </c>
      <c r="H127"/>
      <c r="I127" s="119" t="str">
        <f>C127</f>
        <v>"#ffcc8a"</v>
      </c>
      <c r="J127" s="39" t="str">
        <f>D127</f>
        <v>"#d6771e"</v>
      </c>
      <c r="K127"/>
      <c r="L127"/>
      <c r="M127"/>
      <c r="N127"/>
      <c r="O127"/>
      <c r="P127"/>
      <c r="Q127"/>
      <c r="R127"/>
      <c r="S127"/>
      <c r="T127"/>
      <c r="U127" s="119" t="str">
        <f>C127</f>
        <v>"#ffcc8a"</v>
      </c>
      <c r="V127" s="39" t="str">
        <f>J127</f>
        <v>"#d6771e"</v>
      </c>
      <c r="W127"/>
      <c r="X127"/>
      <c r="Y127"/>
      <c r="AA127" s="29" t="s">
        <v>6</v>
      </c>
      <c r="AB127" s="2" t="str">
        <f t="shared" si="101"/>
        <v>-</v>
      </c>
      <c r="AC127" s="2" t="s">
        <v>28</v>
      </c>
      <c r="AD127" s="2" t="str">
        <f t="shared" si="102"/>
        <v>_</v>
      </c>
      <c r="AE127" s="29" t="s">
        <v>13</v>
      </c>
      <c r="AF127" s="2" t="str">
        <f t="shared" si="99"/>
        <v>_</v>
      </c>
      <c r="AG127" s="29" t="s">
        <v>24</v>
      </c>
    </row>
    <row r="128" spans="2:33" x14ac:dyDescent="0.25">
      <c r="B128" s="2" t="str">
        <f t="shared" si="100"/>
        <v>@color-secondary_line_unpaved_default</v>
      </c>
      <c r="C128" s="94" t="s">
        <v>226</v>
      </c>
      <c r="D128" s="88" t="str">
        <f>C128</f>
        <v>"#eddfca"</v>
      </c>
      <c r="E128"/>
      <c r="F128" s="94" t="s">
        <v>226</v>
      </c>
      <c r="G128" s="88" t="str">
        <f>F128</f>
        <v>"#eddfca"</v>
      </c>
      <c r="H128"/>
      <c r="I128" s="94" t="s">
        <v>226</v>
      </c>
      <c r="J128" s="88" t="str">
        <f>I128</f>
        <v>"#eddfca"</v>
      </c>
      <c r="K128"/>
      <c r="L128"/>
      <c r="M128"/>
      <c r="N128"/>
      <c r="O128"/>
      <c r="P128"/>
      <c r="Q128"/>
      <c r="R128"/>
      <c r="S128"/>
      <c r="T128"/>
      <c r="U128" s="121"/>
      <c r="V128" s="121"/>
      <c r="W128"/>
      <c r="X128" s="121"/>
      <c r="Y128" s="121"/>
      <c r="AA128" s="2" t="s">
        <v>6</v>
      </c>
      <c r="AB128" s="2" t="str">
        <f t="shared" si="101"/>
        <v>-</v>
      </c>
      <c r="AC128" s="2" t="s">
        <v>28</v>
      </c>
      <c r="AD128" s="2" t="str">
        <f t="shared" si="102"/>
        <v>_</v>
      </c>
      <c r="AE128" s="2" t="s">
        <v>13</v>
      </c>
      <c r="AF128" s="2" t="str">
        <f t="shared" si="99"/>
        <v>_</v>
      </c>
      <c r="AG128" s="2" t="s">
        <v>270</v>
      </c>
    </row>
    <row r="129" spans="1:33" x14ac:dyDescent="0.25">
      <c r="B129" s="2" t="str">
        <f t="shared" si="100"/>
        <v>@color-secondary_line_paved_or_uk_default</v>
      </c>
      <c r="C129" s="95" t="s">
        <v>227</v>
      </c>
      <c r="D129" s="89" t="str">
        <f>C129</f>
        <v>"#ffffff"</v>
      </c>
      <c r="E129"/>
      <c r="F129" s="95" t="s">
        <v>227</v>
      </c>
      <c r="G129" s="89" t="str">
        <f>F129</f>
        <v>"#ffffff"</v>
      </c>
      <c r="H129"/>
      <c r="I129" s="95" t="s">
        <v>227</v>
      </c>
      <c r="J129" s="89" t="str">
        <f>I129</f>
        <v>"#ffffff"</v>
      </c>
      <c r="K129"/>
      <c r="L129"/>
      <c r="M129"/>
      <c r="N129"/>
      <c r="O129"/>
      <c r="P129"/>
      <c r="Q129"/>
      <c r="R129"/>
      <c r="S129"/>
      <c r="T129"/>
      <c r="U129" s="121"/>
      <c r="V129" s="121"/>
      <c r="W129"/>
      <c r="X129" s="121"/>
      <c r="Y129" s="121"/>
      <c r="AA129" s="2" t="s">
        <v>6</v>
      </c>
      <c r="AB129" s="2" t="str">
        <f t="shared" si="101"/>
        <v>-</v>
      </c>
      <c r="AC129" s="2" t="s">
        <v>28</v>
      </c>
      <c r="AD129" s="2" t="str">
        <f t="shared" si="102"/>
        <v>_</v>
      </c>
      <c r="AE129" s="2" t="s">
        <v>13</v>
      </c>
      <c r="AF129" s="2" t="str">
        <f t="shared" si="99"/>
        <v>_</v>
      </c>
      <c r="AG129" s="2" t="s">
        <v>271</v>
      </c>
    </row>
    <row r="130" spans="1:33" x14ac:dyDescent="0.25">
      <c r="B130" s="2"/>
      <c r="C130" s="90"/>
      <c r="D130" s="90"/>
      <c r="E130"/>
      <c r="F130"/>
      <c r="G130"/>
      <c r="H130"/>
      <c r="I130" s="9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AB130" s="2"/>
      <c r="AD130" s="2"/>
      <c r="AF130" s="2" t="str">
        <f t="shared" si="98"/>
        <v/>
      </c>
    </row>
    <row r="131" spans="1:33" x14ac:dyDescent="0.25">
      <c r="B131" s="2" t="str">
        <f t="shared" si="92"/>
        <v>@color-tertiary_case_bicycle_no</v>
      </c>
      <c r="C131" s="118" t="s">
        <v>231</v>
      </c>
      <c r="D131" s="82" t="s">
        <v>217</v>
      </c>
      <c r="E131"/>
      <c r="F131" s="82" t="s">
        <v>217</v>
      </c>
      <c r="G131" s="82" t="s">
        <v>217</v>
      </c>
      <c r="H131"/>
      <c r="I131" s="113" t="str">
        <f>C131</f>
        <v>"#bd430f"</v>
      </c>
      <c r="J131" s="112" t="str">
        <f>D131</f>
        <v>"#000000"</v>
      </c>
      <c r="K131"/>
      <c r="L131"/>
      <c r="M131"/>
      <c r="N131"/>
      <c r="O131"/>
      <c r="P131"/>
      <c r="Q131"/>
      <c r="R131"/>
      <c r="S131"/>
      <c r="T131"/>
      <c r="U131" s="113" t="str">
        <f>C131</f>
        <v>"#bd430f"</v>
      </c>
      <c r="V131" s="112" t="str">
        <f>D131</f>
        <v>"#000000"</v>
      </c>
      <c r="W131"/>
      <c r="X131"/>
      <c r="Y131"/>
      <c r="AA131" s="29" t="s">
        <v>6</v>
      </c>
      <c r="AB131" s="2" t="str">
        <f t="shared" ref="AB131:AB132" si="103">IF(NOT(ISBLANK(AC131)),"-","")</f>
        <v>-</v>
      </c>
      <c r="AC131" s="2" t="s">
        <v>27</v>
      </c>
      <c r="AD131" s="2" t="str">
        <f t="shared" ref="AD131:AD132" si="104">IF(NOT(ISBLANK(AE131)),"_","")</f>
        <v>_</v>
      </c>
      <c r="AE131" s="29" t="s">
        <v>17</v>
      </c>
      <c r="AF131" s="2" t="str">
        <f t="shared" ref="AF131:AF132" si="105">IF(NOT(ISBLANK(AG131)),"_","")</f>
        <v>_</v>
      </c>
      <c r="AG131" s="29" t="s">
        <v>24</v>
      </c>
    </row>
    <row r="132" spans="1:33" x14ac:dyDescent="0.25">
      <c r="B132" s="2" t="str">
        <f t="shared" ref="B132" si="106">_xlfn.CONCAT("@",AA132,AB132,AC132,AD132,AE132,AF132,AG132)</f>
        <v>@color-tertiary_case_unpaved_farzoom</v>
      </c>
      <c r="C132" s="115" t="s">
        <v>232</v>
      </c>
      <c r="D132" s="116" t="s">
        <v>236</v>
      </c>
      <c r="E132"/>
      <c r="F132" s="82" t="s">
        <v>217</v>
      </c>
      <c r="G132" s="82" t="s">
        <v>217</v>
      </c>
      <c r="H132"/>
      <c r="I132" s="115" t="s">
        <v>232</v>
      </c>
      <c r="J132" s="116" t="s">
        <v>236</v>
      </c>
      <c r="K132"/>
      <c r="L132"/>
      <c r="M132"/>
      <c r="N132"/>
      <c r="O132"/>
      <c r="P132"/>
      <c r="Q132"/>
      <c r="R132"/>
      <c r="S132"/>
      <c r="T132"/>
      <c r="U132" s="121"/>
      <c r="V132" s="121"/>
      <c r="W132"/>
      <c r="X132" s="121"/>
      <c r="Y132" s="121"/>
      <c r="AA132" s="29" t="s">
        <v>6</v>
      </c>
      <c r="AB132" s="2" t="str">
        <f t="shared" si="103"/>
        <v>-</v>
      </c>
      <c r="AC132" s="2" t="s">
        <v>27</v>
      </c>
      <c r="AD132" s="2" t="str">
        <f t="shared" si="104"/>
        <v>_</v>
      </c>
      <c r="AE132" s="29" t="s">
        <v>17</v>
      </c>
      <c r="AF132" s="2" t="str">
        <f t="shared" si="105"/>
        <v>_</v>
      </c>
      <c r="AG132" s="29" t="s">
        <v>235</v>
      </c>
    </row>
    <row r="133" spans="1:33" x14ac:dyDescent="0.25">
      <c r="B133" s="2" t="str">
        <f t="shared" si="92"/>
        <v>@color-tertiary_case_unpaved_default</v>
      </c>
      <c r="C133" s="116" t="s">
        <v>236</v>
      </c>
      <c r="D133" s="116" t="s">
        <v>236</v>
      </c>
      <c r="E133"/>
      <c r="F133" s="82" t="s">
        <v>217</v>
      </c>
      <c r="G133" s="82" t="s">
        <v>217</v>
      </c>
      <c r="H133"/>
      <c r="I133" s="116" t="s">
        <v>236</v>
      </c>
      <c r="J133" s="116" t="s">
        <v>236</v>
      </c>
      <c r="K133"/>
      <c r="L133"/>
      <c r="M133"/>
      <c r="N133"/>
      <c r="O133"/>
      <c r="P133"/>
      <c r="Q133"/>
      <c r="R133"/>
      <c r="S133"/>
      <c r="T133"/>
      <c r="U133" s="121"/>
      <c r="V133" s="121"/>
      <c r="W133"/>
      <c r="X133" s="121"/>
      <c r="Y133" s="121"/>
      <c r="AA133" s="29" t="s">
        <v>6</v>
      </c>
      <c r="AB133" s="2" t="str">
        <f t="shared" ref="AB133:AB138" si="107">IF(NOT(ISBLANK(AC133)),"-","")</f>
        <v>-</v>
      </c>
      <c r="AC133" s="2" t="s">
        <v>27</v>
      </c>
      <c r="AD133" s="2" t="str">
        <f t="shared" ref="AD133:AD138" si="108">IF(NOT(ISBLANK(AE133)),"_","")</f>
        <v>_</v>
      </c>
      <c r="AE133" s="29" t="s">
        <v>17</v>
      </c>
      <c r="AF133" s="2" t="str">
        <f t="shared" si="98"/>
        <v>_</v>
      </c>
      <c r="AG133" s="29" t="s">
        <v>270</v>
      </c>
    </row>
    <row r="134" spans="1:33" x14ac:dyDescent="0.25">
      <c r="B134" s="2" t="str">
        <f t="shared" ref="B134" si="109">_xlfn.CONCAT("@",AA134,AB134,AC134,AD134,AE134,AF134,AG134)</f>
        <v>@color-tertiary_case_paved_or_uk_farzoom</v>
      </c>
      <c r="C134" s="114" t="s">
        <v>233</v>
      </c>
      <c r="D134" s="82" t="s">
        <v>217</v>
      </c>
      <c r="E134"/>
      <c r="F134" s="82" t="s">
        <v>217</v>
      </c>
      <c r="G134" s="82" t="s">
        <v>217</v>
      </c>
      <c r="H134"/>
      <c r="I134" s="114" t="s">
        <v>233</v>
      </c>
      <c r="J134" s="82" t="s">
        <v>217</v>
      </c>
      <c r="K134"/>
      <c r="L134"/>
      <c r="M134"/>
      <c r="N134"/>
      <c r="O134"/>
      <c r="P134"/>
      <c r="Q134"/>
      <c r="R134"/>
      <c r="S134"/>
      <c r="T134"/>
      <c r="U134" s="121"/>
      <c r="V134" s="121"/>
      <c r="W134"/>
      <c r="X134" s="121"/>
      <c r="Y134" s="121"/>
      <c r="AA134" s="2" t="s">
        <v>6</v>
      </c>
      <c r="AB134" s="2" t="str">
        <f t="shared" ref="AB134" si="110">IF(NOT(ISBLANK(AC134)),"-","")</f>
        <v>-</v>
      </c>
      <c r="AC134" s="2" t="s">
        <v>27</v>
      </c>
      <c r="AD134" s="2" t="str">
        <f t="shared" ref="AD134" si="111">IF(NOT(ISBLANK(AE134)),"_","")</f>
        <v>_</v>
      </c>
      <c r="AE134" s="2" t="s">
        <v>17</v>
      </c>
      <c r="AF134" s="2" t="str">
        <f t="shared" ref="AF134" si="112">IF(NOT(ISBLANK(AG134)),"_","")</f>
        <v>_</v>
      </c>
      <c r="AG134" s="2" t="s">
        <v>234</v>
      </c>
    </row>
    <row r="135" spans="1:33" x14ac:dyDescent="0.25">
      <c r="B135" s="2" t="str">
        <f t="shared" si="92"/>
        <v>@color-tertiary_case_paved_or_uk_default</v>
      </c>
      <c r="C135" s="117" t="s">
        <v>237</v>
      </c>
      <c r="D135" s="82" t="s">
        <v>217</v>
      </c>
      <c r="E135"/>
      <c r="F135" s="82" t="s">
        <v>217</v>
      </c>
      <c r="G135" s="82" t="s">
        <v>217</v>
      </c>
      <c r="H135"/>
      <c r="I135" s="117" t="s">
        <v>237</v>
      </c>
      <c r="J135" s="82" t="s">
        <v>217</v>
      </c>
      <c r="K135"/>
      <c r="L135"/>
      <c r="M135"/>
      <c r="N135"/>
      <c r="O135"/>
      <c r="P135"/>
      <c r="Q135"/>
      <c r="R135"/>
      <c r="S135"/>
      <c r="T135"/>
      <c r="U135" s="121"/>
      <c r="V135" s="121"/>
      <c r="W135"/>
      <c r="X135" s="121"/>
      <c r="Y135" s="121"/>
      <c r="AA135" s="2" t="s">
        <v>6</v>
      </c>
      <c r="AB135" s="2" t="str">
        <f t="shared" si="107"/>
        <v>-</v>
      </c>
      <c r="AC135" s="2" t="s">
        <v>27</v>
      </c>
      <c r="AD135" s="2" t="str">
        <f t="shared" si="108"/>
        <v>_</v>
      </c>
      <c r="AE135" s="2" t="s">
        <v>17</v>
      </c>
      <c r="AF135" s="2" t="str">
        <f t="shared" si="98"/>
        <v>_</v>
      </c>
      <c r="AG135" s="2" t="s">
        <v>271</v>
      </c>
    </row>
    <row r="136" spans="1:33" x14ac:dyDescent="0.25">
      <c r="B136" s="2" t="str">
        <f t="shared" ref="B136" si="113">_xlfn.CONCAT("@",AA136,AB136,AC136,AD136,AE136,AF136,AG136)</f>
        <v>@color-tertiary_line_bicycle_no</v>
      </c>
      <c r="C136" s="120" t="s">
        <v>238</v>
      </c>
      <c r="D136" s="85" t="s">
        <v>218</v>
      </c>
      <c r="E136"/>
      <c r="F136" s="120" t="s">
        <v>238</v>
      </c>
      <c r="G136" s="85" t="s">
        <v>218</v>
      </c>
      <c r="H136"/>
      <c r="I136" s="119" t="str">
        <f>C136</f>
        <v>"#ffcc8a"</v>
      </c>
      <c r="J136" s="39" t="str">
        <f>D136</f>
        <v>"#d6771e"</v>
      </c>
      <c r="K136"/>
      <c r="L136"/>
      <c r="M136"/>
      <c r="N136"/>
      <c r="O136"/>
      <c r="P136"/>
      <c r="Q136"/>
      <c r="R136"/>
      <c r="S136"/>
      <c r="T136"/>
      <c r="U136" s="119" t="str">
        <f>C136</f>
        <v>"#ffcc8a"</v>
      </c>
      <c r="V136" s="39" t="str">
        <f>J136</f>
        <v>"#d6771e"</v>
      </c>
      <c r="W136"/>
      <c r="X136"/>
      <c r="Y136"/>
      <c r="AA136" s="29" t="s">
        <v>6</v>
      </c>
      <c r="AB136" s="2" t="str">
        <f t="shared" si="107"/>
        <v>-</v>
      </c>
      <c r="AC136" s="2" t="s">
        <v>27</v>
      </c>
      <c r="AD136" s="2" t="str">
        <f t="shared" si="108"/>
        <v>_</v>
      </c>
      <c r="AE136" s="29" t="s">
        <v>13</v>
      </c>
      <c r="AF136" s="2" t="str">
        <f t="shared" si="98"/>
        <v>_</v>
      </c>
      <c r="AG136" s="29" t="s">
        <v>24</v>
      </c>
    </row>
    <row r="137" spans="1:33" x14ac:dyDescent="0.25">
      <c r="B137" s="2" t="str">
        <f t="shared" si="92"/>
        <v>@color-tertiary_line_unpaved_default</v>
      </c>
      <c r="C137" s="94" t="s">
        <v>226</v>
      </c>
      <c r="D137" s="88" t="str">
        <f>C137</f>
        <v>"#eddfca"</v>
      </c>
      <c r="E137"/>
      <c r="F137" s="94" t="s">
        <v>226</v>
      </c>
      <c r="G137" s="88" t="str">
        <f>F137</f>
        <v>"#eddfca"</v>
      </c>
      <c r="H137"/>
      <c r="I137" s="94" t="s">
        <v>226</v>
      </c>
      <c r="J137" s="88" t="str">
        <f>I137</f>
        <v>"#eddfca"</v>
      </c>
      <c r="K137"/>
      <c r="L137"/>
      <c r="M137"/>
      <c r="N137"/>
      <c r="O137"/>
      <c r="P137"/>
      <c r="Q137"/>
      <c r="R137"/>
      <c r="S137"/>
      <c r="T137"/>
      <c r="U137" s="121"/>
      <c r="V137" s="121"/>
      <c r="W137"/>
      <c r="X137" s="121"/>
      <c r="Y137" s="121"/>
      <c r="AA137" s="2" t="s">
        <v>6</v>
      </c>
      <c r="AB137" s="2" t="str">
        <f t="shared" si="107"/>
        <v>-</v>
      </c>
      <c r="AC137" s="2" t="s">
        <v>27</v>
      </c>
      <c r="AD137" s="2" t="str">
        <f t="shared" si="108"/>
        <v>_</v>
      </c>
      <c r="AE137" s="2" t="s">
        <v>13</v>
      </c>
      <c r="AF137" s="2" t="str">
        <f t="shared" si="98"/>
        <v>_</v>
      </c>
      <c r="AG137" s="2" t="s">
        <v>270</v>
      </c>
    </row>
    <row r="138" spans="1:33" x14ac:dyDescent="0.25">
      <c r="B138" s="2" t="str">
        <f t="shared" si="92"/>
        <v>@color-tertiary_line_paved_or_uk_default</v>
      </c>
      <c r="C138" s="95" t="s">
        <v>227</v>
      </c>
      <c r="D138" s="89" t="str">
        <f>C138</f>
        <v>"#ffffff"</v>
      </c>
      <c r="E138"/>
      <c r="F138" s="95" t="s">
        <v>227</v>
      </c>
      <c r="G138" s="89" t="str">
        <f>F138</f>
        <v>"#ffffff"</v>
      </c>
      <c r="H138"/>
      <c r="I138" s="95" t="s">
        <v>227</v>
      </c>
      <c r="J138" s="89" t="str">
        <f>I138</f>
        <v>"#ffffff"</v>
      </c>
      <c r="K138"/>
      <c r="L138"/>
      <c r="M138"/>
      <c r="N138"/>
      <c r="O138"/>
      <c r="P138"/>
      <c r="Q138"/>
      <c r="R138"/>
      <c r="S138"/>
      <c r="T138"/>
      <c r="U138" s="121"/>
      <c r="V138" s="121"/>
      <c r="W138"/>
      <c r="X138" s="121"/>
      <c r="Y138" s="121"/>
      <c r="AA138" s="2" t="s">
        <v>6</v>
      </c>
      <c r="AB138" s="2" t="str">
        <f t="shared" si="107"/>
        <v>-</v>
      </c>
      <c r="AC138" s="2" t="s">
        <v>27</v>
      </c>
      <c r="AD138" s="2" t="str">
        <f t="shared" si="108"/>
        <v>_</v>
      </c>
      <c r="AE138" s="2" t="s">
        <v>13</v>
      </c>
      <c r="AF138" s="2" t="str">
        <f t="shared" si="98"/>
        <v>_</v>
      </c>
      <c r="AG138" s="2" t="s">
        <v>271</v>
      </c>
    </row>
    <row r="139" spans="1:33" x14ac:dyDescent="0.25">
      <c r="B139" s="2"/>
      <c r="C139"/>
      <c r="D139"/>
      <c r="E139"/>
      <c r="F139"/>
      <c r="G139"/>
      <c r="H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AB139" s="29" t="str">
        <f t="shared" si="94"/>
        <v/>
      </c>
      <c r="AD139" s="29" t="str">
        <f t="shared" si="97"/>
        <v/>
      </c>
      <c r="AF139" s="29" t="str">
        <f t="shared" si="98"/>
        <v/>
      </c>
    </row>
    <row r="140" spans="1:33" s="2" customFormat="1" x14ac:dyDescent="0.25">
      <c r="A140" s="4" t="s">
        <v>228</v>
      </c>
      <c r="B140" s="4"/>
      <c r="C140" s="4"/>
      <c r="D140" s="5"/>
      <c r="F140" s="5"/>
      <c r="G140" s="5"/>
      <c r="I140" s="5"/>
      <c r="J140" s="5"/>
      <c r="L140" s="5"/>
      <c r="M140" s="5"/>
      <c r="O140" s="5"/>
      <c r="P140" s="5"/>
      <c r="R140" s="5"/>
      <c r="S140" s="5"/>
      <c r="U140" s="5"/>
      <c r="V140" s="5"/>
      <c r="X140" s="5"/>
      <c r="Y140" s="5"/>
      <c r="AA140" s="5"/>
      <c r="AB140" s="5" t="str">
        <f t="shared" si="94"/>
        <v/>
      </c>
      <c r="AC140" s="5"/>
      <c r="AD140" s="5" t="str">
        <f t="shared" si="97"/>
        <v/>
      </c>
      <c r="AE140" s="5"/>
      <c r="AF140" s="5" t="str">
        <f t="shared" si="98"/>
        <v/>
      </c>
      <c r="AG140" s="5"/>
    </row>
    <row r="141" spans="1:33" x14ac:dyDescent="0.25">
      <c r="B141" s="2" t="str">
        <f t="shared" ref="B141" si="114">_xlfn.CONCAT("@",AA141,AB141,AC141,AD141,AE141,AF141,AG141)</f>
        <v>@color-raceway_case</v>
      </c>
      <c r="C141" s="121"/>
      <c r="D141" s="121"/>
      <c r="E141"/>
      <c r="F141" s="121"/>
      <c r="G141" s="121"/>
      <c r="H141"/>
      <c r="I141" s="121"/>
      <c r="J141" s="121"/>
      <c r="K141"/>
      <c r="L141" s="121"/>
      <c r="M141" s="121"/>
      <c r="N141"/>
      <c r="O141"/>
      <c r="P141"/>
      <c r="Q141"/>
      <c r="R141"/>
      <c r="S141"/>
      <c r="T141"/>
      <c r="U141" s="82" t="s">
        <v>217</v>
      </c>
      <c r="V141" s="82" t="s">
        <v>217</v>
      </c>
      <c r="W141"/>
      <c r="X141"/>
      <c r="Y141"/>
      <c r="AA141" s="2" t="s">
        <v>6</v>
      </c>
      <c r="AB141" s="2" t="str">
        <f t="shared" ref="AB141" si="115">IF(NOT(ISBLANK(AC141)),"-","")</f>
        <v>-</v>
      </c>
      <c r="AC141" s="2" t="s">
        <v>29</v>
      </c>
      <c r="AD141" s="2" t="str">
        <f t="shared" ref="AD141" si="116">IF(NOT(ISBLANK(AE141)),"_","")</f>
        <v>_</v>
      </c>
      <c r="AE141" s="2" t="s">
        <v>17</v>
      </c>
      <c r="AF141" s="2" t="str">
        <f t="shared" ref="AF141" si="117">IF(NOT(ISBLANK(AG141)),"_","")</f>
        <v/>
      </c>
      <c r="AG141" s="2"/>
    </row>
    <row r="142" spans="1:33" x14ac:dyDescent="0.25">
      <c r="B142" s="2" t="str">
        <f t="shared" ref="B142:B144" si="118">_xlfn.CONCAT("@",AA142,AB142,AC142,AD142,AE142,AF142,AG142)</f>
        <v>@color-raceway_case_unpaved</v>
      </c>
      <c r="C142" s="122" t="s">
        <v>239</v>
      </c>
      <c r="D142" s="116" t="s">
        <v>236</v>
      </c>
      <c r="E142"/>
      <c r="F142" s="82" t="s">
        <v>217</v>
      </c>
      <c r="G142"/>
      <c r="H142"/>
      <c r="I142" s="123" t="str">
        <f>C142</f>
        <v>"#af9564"</v>
      </c>
      <c r="J142" s="126" t="str">
        <f>D142</f>
        <v>"#644507"</v>
      </c>
      <c r="K142"/>
      <c r="L142"/>
      <c r="M142"/>
      <c r="N142"/>
      <c r="O142"/>
      <c r="P142"/>
      <c r="Q142"/>
      <c r="R142"/>
      <c r="S142"/>
      <c r="T142"/>
      <c r="U142" s="121"/>
      <c r="V142" s="121"/>
      <c r="W142"/>
      <c r="X142" s="121"/>
      <c r="Y142" s="121"/>
      <c r="AA142" s="2" t="s">
        <v>6</v>
      </c>
      <c r="AB142" s="2" t="str">
        <f t="shared" ref="AB142:AB144" si="119">IF(NOT(ISBLANK(AC142)),"-","")</f>
        <v>-</v>
      </c>
      <c r="AC142" s="2" t="s">
        <v>29</v>
      </c>
      <c r="AD142" s="2" t="str">
        <f t="shared" ref="AD142:AD144" si="120">IF(NOT(ISBLANK(AE142)),"_","")</f>
        <v>_</v>
      </c>
      <c r="AE142" s="2" t="s">
        <v>17</v>
      </c>
      <c r="AF142" s="2" t="str">
        <f t="shared" ref="AF142:AF144" si="121">IF(NOT(ISBLANK(AG142)),"_","")</f>
        <v>_</v>
      </c>
      <c r="AG142" s="2" t="s">
        <v>22</v>
      </c>
    </row>
    <row r="143" spans="1:33" x14ac:dyDescent="0.25">
      <c r="B143" s="2" t="str">
        <f t="shared" si="118"/>
        <v>@color-raceway_case_paved_or_uk</v>
      </c>
      <c r="C143" s="124" t="s">
        <v>240</v>
      </c>
      <c r="D143" s="127" t="s">
        <v>241</v>
      </c>
      <c r="E143"/>
      <c r="F143" s="82" t="s">
        <v>217</v>
      </c>
      <c r="G143"/>
      <c r="H143"/>
      <c r="I143" s="125" t="str">
        <f>C143</f>
        <v>"#a8a6a4"</v>
      </c>
      <c r="J143" s="128" t="str">
        <f>D143</f>
        <v>"#4a4a4a"</v>
      </c>
      <c r="K143"/>
      <c r="L143"/>
      <c r="M143"/>
      <c r="N143"/>
      <c r="O143"/>
      <c r="P143"/>
      <c r="Q143"/>
      <c r="R143"/>
      <c r="S143"/>
      <c r="T143"/>
      <c r="U143" s="121"/>
      <c r="V143" s="121"/>
      <c r="W143"/>
      <c r="X143" s="121"/>
      <c r="Y143" s="121"/>
      <c r="AA143" s="2" t="s">
        <v>6</v>
      </c>
      <c r="AB143" s="2" t="str">
        <f t="shared" si="119"/>
        <v>-</v>
      </c>
      <c r="AC143" s="2" t="s">
        <v>29</v>
      </c>
      <c r="AD143" s="2" t="str">
        <f t="shared" si="120"/>
        <v>_</v>
      </c>
      <c r="AE143" s="2" t="s">
        <v>17</v>
      </c>
      <c r="AF143" s="2" t="str">
        <f t="shared" si="121"/>
        <v>_</v>
      </c>
      <c r="AG143" s="2" t="s">
        <v>25</v>
      </c>
    </row>
    <row r="144" spans="1:33" x14ac:dyDescent="0.25">
      <c r="B144" s="2" t="str">
        <f t="shared" si="118"/>
        <v>@color-raceway_line_default</v>
      </c>
      <c r="C144" s="121"/>
      <c r="D144" s="121"/>
      <c r="E144"/>
      <c r="F144" s="121"/>
      <c r="G144" s="121"/>
      <c r="H144"/>
      <c r="I144" s="121"/>
      <c r="J144" s="121"/>
      <c r="K144"/>
      <c r="L144" s="121"/>
      <c r="M144" s="121"/>
      <c r="N144"/>
      <c r="O144"/>
      <c r="P144"/>
      <c r="Q144"/>
      <c r="R144"/>
      <c r="S144"/>
      <c r="T144"/>
      <c r="U144" s="95" t="s">
        <v>227</v>
      </c>
      <c r="V144" s="89" t="str">
        <f>U144</f>
        <v>"#ffffff"</v>
      </c>
      <c r="W144"/>
      <c r="X144"/>
      <c r="Y144"/>
      <c r="AA144" s="2" t="s">
        <v>6</v>
      </c>
      <c r="AB144" s="2" t="str">
        <f t="shared" si="119"/>
        <v>-</v>
      </c>
      <c r="AC144" s="2" t="s">
        <v>29</v>
      </c>
      <c r="AD144" s="2" t="str">
        <f t="shared" si="120"/>
        <v>_</v>
      </c>
      <c r="AE144" s="2" t="s">
        <v>13</v>
      </c>
      <c r="AF144" s="2" t="str">
        <f t="shared" si="121"/>
        <v>_</v>
      </c>
      <c r="AG144" s="2" t="s">
        <v>269</v>
      </c>
    </row>
    <row r="145" spans="2:33" x14ac:dyDescent="0.25">
      <c r="B145" s="2" t="str">
        <f t="shared" si="92"/>
        <v>@color-raceway_line_unpaved</v>
      </c>
      <c r="C145" s="94" t="s">
        <v>226</v>
      </c>
      <c r="D145" s="88" t="str">
        <f>C145</f>
        <v>"#eddfca"</v>
      </c>
      <c r="E145"/>
      <c r="F145"/>
      <c r="G145"/>
      <c r="H145"/>
      <c r="I145" s="88" t="str">
        <f>C145</f>
        <v>"#eddfca"</v>
      </c>
      <c r="J145" s="88" t="str">
        <f>C145</f>
        <v>"#eddfca"</v>
      </c>
      <c r="K145"/>
      <c r="L145"/>
      <c r="M145"/>
      <c r="N145"/>
      <c r="O145"/>
      <c r="P145"/>
      <c r="Q145"/>
      <c r="R145"/>
      <c r="S145"/>
      <c r="T145"/>
      <c r="U145" s="121"/>
      <c r="V145" s="121"/>
      <c r="W145"/>
      <c r="X145" s="121"/>
      <c r="Y145" s="121"/>
      <c r="AA145" s="2" t="s">
        <v>6</v>
      </c>
      <c r="AB145" s="2" t="str">
        <f t="shared" si="94"/>
        <v>-</v>
      </c>
      <c r="AC145" s="2" t="s">
        <v>29</v>
      </c>
      <c r="AD145" s="2" t="str">
        <f t="shared" si="97"/>
        <v>_</v>
      </c>
      <c r="AE145" s="2" t="s">
        <v>13</v>
      </c>
      <c r="AF145" s="2" t="str">
        <f t="shared" si="98"/>
        <v>_</v>
      </c>
      <c r="AG145" s="2" t="s">
        <v>22</v>
      </c>
    </row>
    <row r="146" spans="2:33" x14ac:dyDescent="0.25">
      <c r="B146" s="2" t="str">
        <f t="shared" si="92"/>
        <v>@color-raceway_line_paved_or_uk</v>
      </c>
      <c r="C146" s="90" t="s">
        <v>227</v>
      </c>
      <c r="D146" s="89" t="str">
        <f>C146</f>
        <v>"#ffffff"</v>
      </c>
      <c r="E146"/>
      <c r="F146"/>
      <c r="G146"/>
      <c r="H146"/>
      <c r="I146" s="89" t="str">
        <f>C146</f>
        <v>"#ffffff"</v>
      </c>
      <c r="J146" s="89" t="str">
        <f>C146</f>
        <v>"#ffffff"</v>
      </c>
      <c r="K146"/>
      <c r="L146"/>
      <c r="M146"/>
      <c r="N146"/>
      <c r="O146"/>
      <c r="P146"/>
      <c r="Q146"/>
      <c r="R146"/>
      <c r="S146"/>
      <c r="T146"/>
      <c r="U146" s="121"/>
      <c r="V146" s="121"/>
      <c r="W146"/>
      <c r="X146" s="121"/>
      <c r="Y146" s="121"/>
      <c r="AA146" s="2" t="s">
        <v>6</v>
      </c>
      <c r="AB146" s="2" t="str">
        <f t="shared" si="94"/>
        <v>-</v>
      </c>
      <c r="AC146" s="2" t="s">
        <v>29</v>
      </c>
      <c r="AD146" s="2" t="str">
        <f t="shared" si="97"/>
        <v>_</v>
      </c>
      <c r="AE146" s="2" t="s">
        <v>13</v>
      </c>
      <c r="AF146" s="2" t="str">
        <f t="shared" si="98"/>
        <v>_</v>
      </c>
      <c r="AG146" s="2" t="s">
        <v>25</v>
      </c>
    </row>
    <row r="147" spans="2:33" x14ac:dyDescent="0.25">
      <c r="B147" s="2"/>
      <c r="C147"/>
      <c r="D147"/>
      <c r="E147"/>
      <c r="F147"/>
      <c r="G147"/>
      <c r="H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AB147" s="29" t="str">
        <f t="shared" si="94"/>
        <v/>
      </c>
      <c r="AD147" s="29" t="str">
        <f t="shared" si="97"/>
        <v/>
      </c>
      <c r="AF147" s="29" t="str">
        <f t="shared" si="98"/>
        <v/>
      </c>
    </row>
    <row r="148" spans="2:33" x14ac:dyDescent="0.25">
      <c r="B148" s="2" t="str">
        <f t="shared" ref="B148:B155" si="122">_xlfn.CONCAT("@",AA148,AB148,AC148,AD148,AE148,AF148,AG148)</f>
        <v>@color-driveway_case</v>
      </c>
      <c r="C148" s="121"/>
      <c r="D148" s="121"/>
      <c r="E148"/>
      <c r="F148" s="121"/>
      <c r="G148" s="121"/>
      <c r="H148"/>
      <c r="I148" s="121"/>
      <c r="J148" s="121"/>
      <c r="K148"/>
      <c r="L148" s="121"/>
      <c r="M148" s="121"/>
      <c r="N148"/>
      <c r="O148"/>
      <c r="P148"/>
      <c r="Q148"/>
      <c r="R148"/>
      <c r="S148"/>
      <c r="T148"/>
      <c r="U148" s="82" t="s">
        <v>217</v>
      </c>
      <c r="V148" s="82" t="s">
        <v>217</v>
      </c>
      <c r="W148"/>
      <c r="X148"/>
      <c r="Y148"/>
      <c r="AA148" s="2" t="s">
        <v>6</v>
      </c>
      <c r="AB148" s="2" t="str">
        <f t="shared" si="94"/>
        <v>-</v>
      </c>
      <c r="AC148" s="2" t="s">
        <v>30</v>
      </c>
      <c r="AD148" s="2" t="str">
        <f t="shared" si="97"/>
        <v>_</v>
      </c>
      <c r="AE148" s="2" t="s">
        <v>17</v>
      </c>
      <c r="AF148" s="2" t="str">
        <f t="shared" si="98"/>
        <v/>
      </c>
      <c r="AG148" s="2"/>
    </row>
    <row r="149" spans="2:33" x14ac:dyDescent="0.25">
      <c r="B149" s="2" t="str">
        <f t="shared" si="122"/>
        <v>@color-driveway_case_unpaved_farzoom</v>
      </c>
      <c r="C149" s="115" t="s">
        <v>232</v>
      </c>
      <c r="D149" s="116" t="s">
        <v>236</v>
      </c>
      <c r="E149"/>
      <c r="F149" s="82" t="s">
        <v>217</v>
      </c>
      <c r="G149"/>
      <c r="H149"/>
      <c r="I149" s="129" t="str">
        <f t="shared" ref="I149:J152" si="123">C149</f>
        <v>"#b99346"</v>
      </c>
      <c r="J149" s="126" t="str">
        <f t="shared" si="123"/>
        <v>"#644507"</v>
      </c>
      <c r="K149"/>
      <c r="L149"/>
      <c r="M149"/>
      <c r="N149"/>
      <c r="O149"/>
      <c r="P149"/>
      <c r="Q149"/>
      <c r="R149"/>
      <c r="S149"/>
      <c r="T149"/>
      <c r="U149" s="121"/>
      <c r="V149" s="121"/>
      <c r="W149"/>
      <c r="X149" s="121"/>
      <c r="Y149" s="121"/>
      <c r="AA149" s="2" t="s">
        <v>6</v>
      </c>
      <c r="AB149" s="2" t="str">
        <f t="shared" si="94"/>
        <v>-</v>
      </c>
      <c r="AC149" s="2" t="s">
        <v>30</v>
      </c>
      <c r="AD149" s="2" t="str">
        <f t="shared" si="97"/>
        <v>_</v>
      </c>
      <c r="AE149" s="2" t="s">
        <v>17</v>
      </c>
      <c r="AF149" s="2" t="str">
        <f t="shared" si="98"/>
        <v>_</v>
      </c>
      <c r="AG149" s="2" t="s">
        <v>235</v>
      </c>
    </row>
    <row r="150" spans="2:33" x14ac:dyDescent="0.25">
      <c r="B150" s="2" t="str">
        <f t="shared" si="122"/>
        <v>@color-driveway_case_unpaved</v>
      </c>
      <c r="C150" s="116" t="s">
        <v>236</v>
      </c>
      <c r="D150" s="116" t="s">
        <v>236</v>
      </c>
      <c r="E150"/>
      <c r="F150" s="82" t="s">
        <v>217</v>
      </c>
      <c r="G150"/>
      <c r="H150"/>
      <c r="I150" s="126" t="str">
        <f t="shared" si="123"/>
        <v>"#644507"</v>
      </c>
      <c r="J150" s="126" t="str">
        <f t="shared" si="123"/>
        <v>"#644507"</v>
      </c>
      <c r="K150"/>
      <c r="L150"/>
      <c r="M150"/>
      <c r="N150"/>
      <c r="O150"/>
      <c r="P150"/>
      <c r="Q150"/>
      <c r="R150"/>
      <c r="S150"/>
      <c r="T150"/>
      <c r="U150" s="121"/>
      <c r="V150" s="121"/>
      <c r="W150"/>
      <c r="X150" s="121"/>
      <c r="Y150" s="121"/>
      <c r="AA150" s="2" t="s">
        <v>6</v>
      </c>
      <c r="AB150" s="2" t="str">
        <f t="shared" si="94"/>
        <v>-</v>
      </c>
      <c r="AC150" s="2" t="s">
        <v>30</v>
      </c>
      <c r="AD150" s="2" t="str">
        <f t="shared" si="97"/>
        <v>_</v>
      </c>
      <c r="AE150" s="2" t="s">
        <v>17</v>
      </c>
      <c r="AF150" s="2" t="str">
        <f t="shared" si="98"/>
        <v>_</v>
      </c>
      <c r="AG150" s="2" t="s">
        <v>22</v>
      </c>
    </row>
    <row r="151" spans="2:33" x14ac:dyDescent="0.25">
      <c r="B151" s="2" t="str">
        <f t="shared" si="122"/>
        <v>@color-driveway_case_paved_or_uk_farzoom</v>
      </c>
      <c r="C151" s="114" t="s">
        <v>233</v>
      </c>
      <c r="D151" s="82" t="s">
        <v>217</v>
      </c>
      <c r="E151"/>
      <c r="F151" s="82" t="s">
        <v>217</v>
      </c>
      <c r="G151"/>
      <c r="H151"/>
      <c r="I151" s="130" t="str">
        <f t="shared" si="123"/>
        <v>"#808080"</v>
      </c>
      <c r="J151" s="112" t="str">
        <f t="shared" si="123"/>
        <v>"#000000"</v>
      </c>
      <c r="K151"/>
      <c r="L151"/>
      <c r="M151"/>
      <c r="N151"/>
      <c r="O151"/>
      <c r="P151"/>
      <c r="Q151"/>
      <c r="R151"/>
      <c r="S151"/>
      <c r="T151"/>
      <c r="U151" s="121"/>
      <c r="V151" s="121"/>
      <c r="W151"/>
      <c r="X151" s="121"/>
      <c r="Y151" s="121"/>
      <c r="AA151" s="2" t="s">
        <v>6</v>
      </c>
      <c r="AB151" s="2" t="str">
        <f t="shared" si="94"/>
        <v>-</v>
      </c>
      <c r="AC151" s="2" t="s">
        <v>30</v>
      </c>
      <c r="AD151" s="2" t="str">
        <f t="shared" si="97"/>
        <v>_</v>
      </c>
      <c r="AE151" s="2" t="s">
        <v>17</v>
      </c>
      <c r="AF151" s="2" t="str">
        <f t="shared" si="98"/>
        <v>_</v>
      </c>
      <c r="AG151" s="2" t="s">
        <v>234</v>
      </c>
    </row>
    <row r="152" spans="2:33" x14ac:dyDescent="0.25">
      <c r="B152" s="2" t="str">
        <f t="shared" si="122"/>
        <v>@color-driveway_case_paved_or_uk</v>
      </c>
      <c r="C152" s="93" t="s">
        <v>221</v>
      </c>
      <c r="D152" s="82" t="s">
        <v>217</v>
      </c>
      <c r="E152"/>
      <c r="F152" s="82" t="s">
        <v>217</v>
      </c>
      <c r="G152"/>
      <c r="H152"/>
      <c r="I152" s="131" t="str">
        <f t="shared" si="123"/>
        <v>"#404040"</v>
      </c>
      <c r="J152" s="112" t="str">
        <f t="shared" si="123"/>
        <v>"#000000"</v>
      </c>
      <c r="K152"/>
      <c r="L152"/>
      <c r="M152"/>
      <c r="N152"/>
      <c r="O152"/>
      <c r="P152"/>
      <c r="Q152" s="2"/>
      <c r="R152"/>
      <c r="S152"/>
      <c r="T152"/>
      <c r="U152" s="121"/>
      <c r="V152" s="121"/>
      <c r="W152"/>
      <c r="X152" s="121"/>
      <c r="Y152" s="121"/>
      <c r="AA152" s="2" t="s">
        <v>6</v>
      </c>
      <c r="AB152" s="2" t="str">
        <f t="shared" si="94"/>
        <v>-</v>
      </c>
      <c r="AC152" s="2" t="s">
        <v>30</v>
      </c>
      <c r="AD152" s="2" t="str">
        <f t="shared" si="97"/>
        <v>_</v>
      </c>
      <c r="AE152" s="2" t="s">
        <v>17</v>
      </c>
      <c r="AF152" s="2" t="str">
        <f t="shared" si="98"/>
        <v>_</v>
      </c>
      <c r="AG152" s="2" t="s">
        <v>25</v>
      </c>
    </row>
    <row r="153" spans="2:33" x14ac:dyDescent="0.25">
      <c r="B153" s="2" t="str">
        <f t="shared" si="122"/>
        <v>@color-driveway_line_default</v>
      </c>
      <c r="C153" s="121"/>
      <c r="D153" s="121"/>
      <c r="E153"/>
      <c r="F153" s="121"/>
      <c r="G153" s="121"/>
      <c r="H153"/>
      <c r="I153" s="121"/>
      <c r="J153" s="121"/>
      <c r="K153"/>
      <c r="L153" s="121"/>
      <c r="M153" s="121"/>
      <c r="N153"/>
      <c r="O153"/>
      <c r="P153"/>
      <c r="Q153"/>
      <c r="R153"/>
      <c r="S153"/>
      <c r="T153"/>
      <c r="U153" s="95" t="s">
        <v>227</v>
      </c>
      <c r="V153" s="89" t="str">
        <f>U153</f>
        <v>"#ffffff"</v>
      </c>
      <c r="W153"/>
      <c r="X153"/>
      <c r="Y153"/>
      <c r="AA153" s="2" t="s">
        <v>6</v>
      </c>
      <c r="AB153" s="2" t="str">
        <f t="shared" si="94"/>
        <v>-</v>
      </c>
      <c r="AC153" s="2" t="s">
        <v>30</v>
      </c>
      <c r="AD153" s="2" t="str">
        <f t="shared" si="97"/>
        <v>_</v>
      </c>
      <c r="AE153" s="2" t="s">
        <v>13</v>
      </c>
      <c r="AF153" s="2" t="str">
        <f t="shared" si="98"/>
        <v>_</v>
      </c>
      <c r="AG153" s="2" t="s">
        <v>269</v>
      </c>
    </row>
    <row r="154" spans="2:33" x14ac:dyDescent="0.25">
      <c r="B154" s="2" t="str">
        <f t="shared" si="122"/>
        <v>@color-driveway_line_unpaved</v>
      </c>
      <c r="C154" s="94" t="s">
        <v>226</v>
      </c>
      <c r="D154" s="89" t="str">
        <f t="shared" ref="D154:D155" si="124">C154</f>
        <v>"#eddfca"</v>
      </c>
      <c r="E154"/>
      <c r="F154"/>
      <c r="G154"/>
      <c r="H154"/>
      <c r="I154" s="88" t="str">
        <f>C154</f>
        <v>"#eddfca"</v>
      </c>
      <c r="J154" s="89" t="str">
        <f t="shared" ref="J154:J155" si="125">C154</f>
        <v>"#eddfca"</v>
      </c>
      <c r="K154"/>
      <c r="L154"/>
      <c r="M154"/>
      <c r="N154"/>
      <c r="O154"/>
      <c r="P154"/>
      <c r="Q154"/>
      <c r="R154"/>
      <c r="S154"/>
      <c r="T154"/>
      <c r="U154" s="121"/>
      <c r="V154" s="121"/>
      <c r="W154"/>
      <c r="X154" s="121"/>
      <c r="Y154" s="121"/>
      <c r="AA154" s="2" t="s">
        <v>6</v>
      </c>
      <c r="AB154" s="2" t="str">
        <f t="shared" si="94"/>
        <v>-</v>
      </c>
      <c r="AC154" s="2" t="s">
        <v>30</v>
      </c>
      <c r="AD154" s="2" t="str">
        <f t="shared" si="97"/>
        <v>_</v>
      </c>
      <c r="AE154" s="2" t="s">
        <v>13</v>
      </c>
      <c r="AF154" s="2" t="str">
        <f t="shared" si="98"/>
        <v>_</v>
      </c>
      <c r="AG154" s="2" t="s">
        <v>22</v>
      </c>
    </row>
    <row r="155" spans="2:33" x14ac:dyDescent="0.25">
      <c r="B155" s="2" t="str">
        <f t="shared" si="122"/>
        <v>@color-driveway_line_paved_or_uk</v>
      </c>
      <c r="C155" s="95" t="s">
        <v>227</v>
      </c>
      <c r="D155" s="89" t="str">
        <f t="shared" si="124"/>
        <v>"#ffffff"</v>
      </c>
      <c r="E155"/>
      <c r="F155"/>
      <c r="G155"/>
      <c r="H155"/>
      <c r="I155" s="89" t="str">
        <f>C155</f>
        <v>"#ffffff"</v>
      </c>
      <c r="J155" s="89" t="str">
        <f t="shared" si="125"/>
        <v>"#ffffff"</v>
      </c>
      <c r="K155"/>
      <c r="L155"/>
      <c r="M155"/>
      <c r="N155"/>
      <c r="O155"/>
      <c r="P155"/>
      <c r="Q155"/>
      <c r="R155"/>
      <c r="S155"/>
      <c r="T155"/>
      <c r="U155" s="121"/>
      <c r="V155" s="121"/>
      <c r="W155"/>
      <c r="X155" s="121"/>
      <c r="Y155" s="121"/>
      <c r="AA155" s="2" t="s">
        <v>6</v>
      </c>
      <c r="AB155" s="2" t="str">
        <f t="shared" si="94"/>
        <v>-</v>
      </c>
      <c r="AC155" s="2" t="s">
        <v>30</v>
      </c>
      <c r="AD155" s="2" t="str">
        <f t="shared" si="97"/>
        <v>_</v>
      </c>
      <c r="AE155" s="2" t="s">
        <v>13</v>
      </c>
      <c r="AF155" s="2" t="str">
        <f t="shared" si="98"/>
        <v>_</v>
      </c>
      <c r="AG155" s="2" t="s">
        <v>25</v>
      </c>
    </row>
    <row r="156" spans="2:33" x14ac:dyDescent="0.25">
      <c r="B156" s="2"/>
      <c r="C156"/>
      <c r="D156"/>
      <c r="E156"/>
      <c r="F156"/>
      <c r="G156"/>
      <c r="H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AB156" s="29" t="str">
        <f t="shared" ref="AB156:AB164" si="126">IF(NOT(ISBLANK(AC156)),"-","")</f>
        <v/>
      </c>
      <c r="AD156" s="29" t="str">
        <f t="shared" ref="AD156:AD164" si="127">IF(NOT(ISBLANK(AE156)),"_","")</f>
        <v/>
      </c>
      <c r="AF156" s="29" t="str">
        <f t="shared" ref="AF156:AF164" si="128">IF(NOT(ISBLANK(AG156)),"_","")</f>
        <v/>
      </c>
    </row>
    <row r="157" spans="2:33" x14ac:dyDescent="0.25">
      <c r="B157" s="2" t="str">
        <f t="shared" ref="B157:B164" si="129">_xlfn.CONCAT("@",AA157,AB157,AC157,AD157,AE157,AF157,AG157)</f>
        <v>@color-service_case</v>
      </c>
      <c r="C157" s="121"/>
      <c r="D157" s="121"/>
      <c r="E157"/>
      <c r="F157" s="121"/>
      <c r="G157" s="121"/>
      <c r="H157"/>
      <c r="I157" s="121"/>
      <c r="J157" s="121"/>
      <c r="K157"/>
      <c r="L157" s="121"/>
      <c r="M157" s="121"/>
      <c r="N157"/>
      <c r="O157"/>
      <c r="P157"/>
      <c r="Q157"/>
      <c r="R157"/>
      <c r="S157"/>
      <c r="T157"/>
      <c r="U157" s="82" t="s">
        <v>217</v>
      </c>
      <c r="V157" s="82" t="s">
        <v>217</v>
      </c>
      <c r="W157"/>
      <c r="X157"/>
      <c r="Y157"/>
      <c r="AA157" s="2" t="s">
        <v>6</v>
      </c>
      <c r="AB157" s="2" t="str">
        <f t="shared" si="126"/>
        <v>-</v>
      </c>
      <c r="AC157" s="2" t="s">
        <v>31</v>
      </c>
      <c r="AD157" s="2" t="str">
        <f t="shared" si="127"/>
        <v>_</v>
      </c>
      <c r="AE157" s="2" t="s">
        <v>17</v>
      </c>
      <c r="AF157" s="2" t="str">
        <f t="shared" si="128"/>
        <v/>
      </c>
      <c r="AG157" s="2"/>
    </row>
    <row r="158" spans="2:33" x14ac:dyDescent="0.25">
      <c r="B158" s="2" t="str">
        <f t="shared" si="129"/>
        <v>@color-service_case_unpaved_farzoom</v>
      </c>
      <c r="C158" s="115" t="s">
        <v>232</v>
      </c>
      <c r="D158" s="116" t="s">
        <v>236</v>
      </c>
      <c r="E158"/>
      <c r="F158" s="82" t="s">
        <v>217</v>
      </c>
      <c r="G158"/>
      <c r="H158"/>
      <c r="I158" s="129" t="str">
        <f t="shared" ref="I158:J161" si="130">C158</f>
        <v>"#b99346"</v>
      </c>
      <c r="J158" s="126" t="str">
        <f t="shared" si="130"/>
        <v>"#644507"</v>
      </c>
      <c r="K158"/>
      <c r="L158"/>
      <c r="M158"/>
      <c r="N158"/>
      <c r="O158"/>
      <c r="P158"/>
      <c r="Q158"/>
      <c r="R158"/>
      <c r="S158"/>
      <c r="T158"/>
      <c r="U158" s="121"/>
      <c r="V158" s="121"/>
      <c r="W158"/>
      <c r="X158" s="121"/>
      <c r="Y158" s="121"/>
      <c r="AA158" s="2" t="s">
        <v>6</v>
      </c>
      <c r="AB158" s="2" t="str">
        <f t="shared" si="126"/>
        <v>-</v>
      </c>
      <c r="AC158" s="2" t="s">
        <v>31</v>
      </c>
      <c r="AD158" s="2" t="str">
        <f t="shared" si="127"/>
        <v>_</v>
      </c>
      <c r="AE158" s="2" t="s">
        <v>17</v>
      </c>
      <c r="AF158" s="2" t="str">
        <f t="shared" si="128"/>
        <v>_</v>
      </c>
      <c r="AG158" s="2" t="s">
        <v>235</v>
      </c>
    </row>
    <row r="159" spans="2:33" x14ac:dyDescent="0.25">
      <c r="B159" s="2" t="str">
        <f t="shared" si="129"/>
        <v>@color-service_case_unpaved</v>
      </c>
      <c r="C159" s="116" t="s">
        <v>236</v>
      </c>
      <c r="D159" s="116" t="s">
        <v>236</v>
      </c>
      <c r="E159"/>
      <c r="F159" s="82" t="s">
        <v>217</v>
      </c>
      <c r="G159"/>
      <c r="H159"/>
      <c r="I159" s="126" t="str">
        <f t="shared" si="130"/>
        <v>"#644507"</v>
      </c>
      <c r="J159" s="126" t="str">
        <f t="shared" si="130"/>
        <v>"#644507"</v>
      </c>
      <c r="K159"/>
      <c r="L159"/>
      <c r="M159"/>
      <c r="N159"/>
      <c r="O159"/>
      <c r="P159"/>
      <c r="Q159"/>
      <c r="R159"/>
      <c r="S159"/>
      <c r="T159"/>
      <c r="U159" s="121"/>
      <c r="V159" s="121"/>
      <c r="W159"/>
      <c r="X159" s="121"/>
      <c r="Y159" s="121"/>
      <c r="AA159" s="2" t="s">
        <v>6</v>
      </c>
      <c r="AB159" s="2" t="str">
        <f t="shared" si="126"/>
        <v>-</v>
      </c>
      <c r="AC159" s="2" t="s">
        <v>31</v>
      </c>
      <c r="AD159" s="2" t="str">
        <f t="shared" si="127"/>
        <v>_</v>
      </c>
      <c r="AE159" s="2" t="s">
        <v>17</v>
      </c>
      <c r="AF159" s="2" t="str">
        <f t="shared" si="128"/>
        <v>_</v>
      </c>
      <c r="AG159" s="2" t="s">
        <v>22</v>
      </c>
    </row>
    <row r="160" spans="2:33" x14ac:dyDescent="0.25">
      <c r="B160" s="2" t="str">
        <f t="shared" si="129"/>
        <v>@color-service_case_paved_or_uk_farzoom</v>
      </c>
      <c r="C160" s="114" t="s">
        <v>233</v>
      </c>
      <c r="D160" s="82" t="s">
        <v>217</v>
      </c>
      <c r="E160"/>
      <c r="F160" s="82" t="s">
        <v>217</v>
      </c>
      <c r="G160"/>
      <c r="H160"/>
      <c r="I160" s="130" t="str">
        <f t="shared" si="130"/>
        <v>"#808080"</v>
      </c>
      <c r="J160" s="112" t="str">
        <f t="shared" si="130"/>
        <v>"#000000"</v>
      </c>
      <c r="K160"/>
      <c r="L160"/>
      <c r="M160"/>
      <c r="N160"/>
      <c r="O160"/>
      <c r="P160"/>
      <c r="Q160"/>
      <c r="R160"/>
      <c r="S160"/>
      <c r="T160"/>
      <c r="U160" s="121"/>
      <c r="V160" s="121"/>
      <c r="W160"/>
      <c r="X160" s="121"/>
      <c r="Y160" s="121"/>
      <c r="AA160" s="2" t="s">
        <v>6</v>
      </c>
      <c r="AB160" s="2" t="str">
        <f t="shared" si="126"/>
        <v>-</v>
      </c>
      <c r="AC160" s="2" t="s">
        <v>31</v>
      </c>
      <c r="AD160" s="2" t="str">
        <f t="shared" si="127"/>
        <v>_</v>
      </c>
      <c r="AE160" s="2" t="s">
        <v>17</v>
      </c>
      <c r="AF160" s="2" t="str">
        <f t="shared" si="128"/>
        <v>_</v>
      </c>
      <c r="AG160" s="2" t="s">
        <v>234</v>
      </c>
    </row>
    <row r="161" spans="1:33" x14ac:dyDescent="0.25">
      <c r="B161" s="2" t="str">
        <f t="shared" si="129"/>
        <v>@color-service_case_paved_or_uk</v>
      </c>
      <c r="C161" s="93" t="s">
        <v>221</v>
      </c>
      <c r="D161" s="82" t="s">
        <v>217</v>
      </c>
      <c r="E161"/>
      <c r="F161" s="82" t="s">
        <v>217</v>
      </c>
      <c r="G161"/>
      <c r="H161"/>
      <c r="I161" s="131" t="str">
        <f t="shared" si="130"/>
        <v>"#404040"</v>
      </c>
      <c r="J161" s="112" t="str">
        <f t="shared" si="130"/>
        <v>"#000000"</v>
      </c>
      <c r="K161"/>
      <c r="L161"/>
      <c r="M161"/>
      <c r="N161"/>
      <c r="O161"/>
      <c r="P161"/>
      <c r="Q161" s="2"/>
      <c r="R161"/>
      <c r="S161"/>
      <c r="T161"/>
      <c r="U161" s="121"/>
      <c r="V161" s="121"/>
      <c r="W161"/>
      <c r="X161" s="121"/>
      <c r="Y161" s="121"/>
      <c r="AA161" s="2" t="s">
        <v>6</v>
      </c>
      <c r="AB161" s="2" t="str">
        <f t="shared" si="126"/>
        <v>-</v>
      </c>
      <c r="AC161" s="2" t="s">
        <v>31</v>
      </c>
      <c r="AD161" s="2" t="str">
        <f t="shared" si="127"/>
        <v>_</v>
      </c>
      <c r="AE161" s="2" t="s">
        <v>17</v>
      </c>
      <c r="AF161" s="2" t="str">
        <f t="shared" si="128"/>
        <v>_</v>
      </c>
      <c r="AG161" s="2" t="s">
        <v>25</v>
      </c>
    </row>
    <row r="162" spans="1:33" x14ac:dyDescent="0.25">
      <c r="B162" s="2" t="str">
        <f t="shared" ref="B162" si="131">_xlfn.CONCAT("@",AA162,AB162,AC162,AD162,AE162,AF162,AG162)</f>
        <v>@color-service_line_default</v>
      </c>
      <c r="C162" s="121"/>
      <c r="D162" s="121"/>
      <c r="E162"/>
      <c r="F162" s="121"/>
      <c r="G162" s="121"/>
      <c r="H162"/>
      <c r="I162" s="121"/>
      <c r="J162" s="121"/>
      <c r="K162"/>
      <c r="L162" s="121"/>
      <c r="M162" s="121"/>
      <c r="N162"/>
      <c r="O162"/>
      <c r="P162"/>
      <c r="Q162"/>
      <c r="R162"/>
      <c r="S162"/>
      <c r="T162"/>
      <c r="U162" s="95" t="s">
        <v>227</v>
      </c>
      <c r="V162" s="89" t="str">
        <f>U162</f>
        <v>"#ffffff"</v>
      </c>
      <c r="W162"/>
      <c r="X162"/>
      <c r="Y162"/>
      <c r="AA162" s="2" t="s">
        <v>6</v>
      </c>
      <c r="AB162" s="2" t="str">
        <f t="shared" ref="AB162" si="132">IF(NOT(ISBLANK(AC162)),"-","")</f>
        <v>-</v>
      </c>
      <c r="AC162" s="2" t="s">
        <v>31</v>
      </c>
      <c r="AD162" s="2" t="str">
        <f t="shared" ref="AD162" si="133">IF(NOT(ISBLANK(AE162)),"_","")</f>
        <v>_</v>
      </c>
      <c r="AE162" s="2" t="s">
        <v>13</v>
      </c>
      <c r="AF162" s="2" t="str">
        <f t="shared" ref="AF162" si="134">IF(NOT(ISBLANK(AG162)),"_","")</f>
        <v>_</v>
      </c>
      <c r="AG162" s="2" t="s">
        <v>269</v>
      </c>
    </row>
    <row r="163" spans="1:33" x14ac:dyDescent="0.25">
      <c r="B163" s="2" t="str">
        <f t="shared" si="129"/>
        <v>@color-service_line_unpaved</v>
      </c>
      <c r="C163" s="94" t="s">
        <v>226</v>
      </c>
      <c r="D163" s="89" t="str">
        <f t="shared" ref="D163:D164" si="135">C163</f>
        <v>"#eddfca"</v>
      </c>
      <c r="E163"/>
      <c r="F163"/>
      <c r="G163"/>
      <c r="H163"/>
      <c r="I163" s="88" t="str">
        <f>C163</f>
        <v>"#eddfca"</v>
      </c>
      <c r="J163" s="89" t="str">
        <f t="shared" ref="J163:J164" si="136">C163</f>
        <v>"#eddfca"</v>
      </c>
      <c r="K163"/>
      <c r="L163"/>
      <c r="M163"/>
      <c r="N163"/>
      <c r="O163"/>
      <c r="P163"/>
      <c r="Q163"/>
      <c r="R163"/>
      <c r="S163"/>
      <c r="T163"/>
      <c r="U163" s="121"/>
      <c r="V163" s="121"/>
      <c r="W163"/>
      <c r="X163" s="121"/>
      <c r="Y163" s="121"/>
      <c r="AA163" s="2" t="s">
        <v>6</v>
      </c>
      <c r="AB163" s="2" t="str">
        <f t="shared" si="126"/>
        <v>-</v>
      </c>
      <c r="AC163" s="2" t="s">
        <v>31</v>
      </c>
      <c r="AD163" s="2" t="str">
        <f t="shared" si="127"/>
        <v>_</v>
      </c>
      <c r="AE163" s="2" t="s">
        <v>13</v>
      </c>
      <c r="AF163" s="2" t="str">
        <f t="shared" si="128"/>
        <v>_</v>
      </c>
      <c r="AG163" s="2" t="s">
        <v>22</v>
      </c>
    </row>
    <row r="164" spans="1:33" x14ac:dyDescent="0.25">
      <c r="B164" s="2" t="str">
        <f t="shared" si="129"/>
        <v>@color-service_line_paved_or_uk</v>
      </c>
      <c r="C164" s="95" t="s">
        <v>227</v>
      </c>
      <c r="D164" s="89" t="str">
        <f t="shared" si="135"/>
        <v>"#ffffff"</v>
      </c>
      <c r="E164"/>
      <c r="F164"/>
      <c r="G164"/>
      <c r="H164"/>
      <c r="I164" s="89" t="str">
        <f>C164</f>
        <v>"#ffffff"</v>
      </c>
      <c r="J164" s="89" t="str">
        <f t="shared" si="136"/>
        <v>"#ffffff"</v>
      </c>
      <c r="K164"/>
      <c r="L164"/>
      <c r="M164"/>
      <c r="N164"/>
      <c r="O164"/>
      <c r="P164"/>
      <c r="Q164"/>
      <c r="R164"/>
      <c r="S164"/>
      <c r="T164"/>
      <c r="U164" s="121"/>
      <c r="V164" s="121"/>
      <c r="W164"/>
      <c r="X164" s="121"/>
      <c r="Y164" s="121"/>
      <c r="AA164" s="2" t="s">
        <v>6</v>
      </c>
      <c r="AB164" s="2" t="str">
        <f t="shared" si="126"/>
        <v>-</v>
      </c>
      <c r="AC164" s="2" t="s">
        <v>31</v>
      </c>
      <c r="AD164" s="2" t="str">
        <f t="shared" si="127"/>
        <v>_</v>
      </c>
      <c r="AE164" s="2" t="s">
        <v>13</v>
      </c>
      <c r="AF164" s="2" t="str">
        <f t="shared" si="128"/>
        <v>_</v>
      </c>
      <c r="AG164" s="2" t="s">
        <v>25</v>
      </c>
    </row>
    <row r="165" spans="1:33" x14ac:dyDescent="0.25">
      <c r="B165" s="2"/>
      <c r="C165"/>
      <c r="D165"/>
      <c r="E165"/>
      <c r="F165"/>
      <c r="G165"/>
      <c r="H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AB165" s="29" t="str">
        <f t="shared" si="94"/>
        <v/>
      </c>
      <c r="AD165" s="29" t="str">
        <f t="shared" si="97"/>
        <v/>
      </c>
      <c r="AF165" s="29" t="str">
        <f t="shared" si="98"/>
        <v/>
      </c>
    </row>
    <row r="166" spans="1:33" x14ac:dyDescent="0.25">
      <c r="B166" s="2" t="str">
        <f t="shared" ref="B166" si="137">_xlfn.CONCAT("@",AA166,AB166,AC166,AD166,AE166,AF166,AG166)</f>
        <v>@color-minor_case_unpaved_farzoom</v>
      </c>
      <c r="C166" s="115" t="s">
        <v>232</v>
      </c>
      <c r="D166" s="116" t="s">
        <v>236</v>
      </c>
      <c r="E166"/>
      <c r="F166" s="82" t="s">
        <v>217</v>
      </c>
      <c r="G166"/>
      <c r="H166"/>
      <c r="I166" s="129" t="str">
        <f t="shared" ref="I166:J169" si="138">C166</f>
        <v>"#b99346"</v>
      </c>
      <c r="J166" s="126" t="str">
        <f t="shared" si="138"/>
        <v>"#644507"</v>
      </c>
      <c r="K166"/>
      <c r="L166"/>
      <c r="M166"/>
      <c r="N166"/>
      <c r="O166"/>
      <c r="P166"/>
      <c r="Q166"/>
      <c r="R166"/>
      <c r="S166"/>
      <c r="T166"/>
      <c r="U166" s="121"/>
      <c r="V166" s="121"/>
      <c r="W166"/>
      <c r="X166" s="121"/>
      <c r="Y166" s="121"/>
      <c r="AA166" s="2" t="s">
        <v>6</v>
      </c>
      <c r="AB166" s="2" t="str">
        <f t="shared" ref="AB166" si="139">IF(NOT(ISBLANK(AC166)),"-","")</f>
        <v>-</v>
      </c>
      <c r="AC166" s="2" t="s">
        <v>32</v>
      </c>
      <c r="AD166" s="2" t="str">
        <f t="shared" ref="AD166" si="140">IF(NOT(ISBLANK(AE166)),"_","")</f>
        <v>_</v>
      </c>
      <c r="AE166" s="2" t="s">
        <v>17</v>
      </c>
      <c r="AF166" s="2" t="str">
        <f t="shared" ref="AF166" si="141">IF(NOT(ISBLANK(AG166)),"_","")</f>
        <v>_</v>
      </c>
      <c r="AG166" s="2" t="s">
        <v>235</v>
      </c>
    </row>
    <row r="167" spans="1:33" x14ac:dyDescent="0.25">
      <c r="B167" s="2" t="str">
        <f t="shared" ref="B167:B170" si="142">_xlfn.CONCAT("@",AA167,AB167,AC167,AD167,AE167,AF167,AG167)</f>
        <v>@color-minor_case_unpaved_default</v>
      </c>
      <c r="C167" s="116" t="s">
        <v>236</v>
      </c>
      <c r="D167" s="116" t="s">
        <v>236</v>
      </c>
      <c r="E167"/>
      <c r="F167" s="82" t="s">
        <v>217</v>
      </c>
      <c r="G167"/>
      <c r="H167"/>
      <c r="I167" s="126" t="str">
        <f t="shared" si="138"/>
        <v>"#644507"</v>
      </c>
      <c r="J167" s="126" t="str">
        <f t="shared" si="138"/>
        <v>"#644507"</v>
      </c>
      <c r="K167"/>
      <c r="L167"/>
      <c r="M167"/>
      <c r="N167"/>
      <c r="O167"/>
      <c r="P167"/>
      <c r="Q167"/>
      <c r="R167"/>
      <c r="S167"/>
      <c r="T167"/>
      <c r="U167" s="121"/>
      <c r="V167" s="121"/>
      <c r="W167"/>
      <c r="X167" s="121"/>
      <c r="Y167" s="121"/>
      <c r="AA167" s="2" t="s">
        <v>6</v>
      </c>
      <c r="AB167" s="2" t="str">
        <f t="shared" si="94"/>
        <v>-</v>
      </c>
      <c r="AC167" s="2" t="s">
        <v>32</v>
      </c>
      <c r="AD167" s="2" t="str">
        <f t="shared" si="97"/>
        <v>_</v>
      </c>
      <c r="AE167" s="2" t="s">
        <v>17</v>
      </c>
      <c r="AF167" s="2" t="str">
        <f t="shared" si="98"/>
        <v>_</v>
      </c>
      <c r="AG167" s="2" t="s">
        <v>270</v>
      </c>
    </row>
    <row r="168" spans="1:33" x14ac:dyDescent="0.25">
      <c r="B168" s="2" t="str">
        <f t="shared" ref="B168" si="143">_xlfn.CONCAT("@",AA168,AB168,AC168,AD168,AE168,AF168,AG168)</f>
        <v>@color-minor_case_paved_or_uk_farzoom</v>
      </c>
      <c r="C168" s="114" t="s">
        <v>233</v>
      </c>
      <c r="D168" s="82" t="s">
        <v>217</v>
      </c>
      <c r="E168"/>
      <c r="F168" s="82" t="s">
        <v>217</v>
      </c>
      <c r="G168"/>
      <c r="H168"/>
      <c r="I168" s="130" t="str">
        <f t="shared" si="138"/>
        <v>"#808080"</v>
      </c>
      <c r="J168" s="112" t="str">
        <f t="shared" si="138"/>
        <v>"#000000"</v>
      </c>
      <c r="K168"/>
      <c r="L168"/>
      <c r="M168"/>
      <c r="N168"/>
      <c r="O168"/>
      <c r="P168"/>
      <c r="Q168"/>
      <c r="R168"/>
      <c r="S168"/>
      <c r="T168"/>
      <c r="U168" s="121"/>
      <c r="V168" s="121"/>
      <c r="W168"/>
      <c r="X168" s="121"/>
      <c r="Y168" s="121"/>
      <c r="AA168" s="2" t="s">
        <v>6</v>
      </c>
      <c r="AB168" s="2" t="str">
        <f t="shared" ref="AB168" si="144">IF(NOT(ISBLANK(AC168)),"-","")</f>
        <v>-</v>
      </c>
      <c r="AC168" s="2" t="s">
        <v>32</v>
      </c>
      <c r="AD168" s="2" t="str">
        <f t="shared" ref="AD168" si="145">IF(NOT(ISBLANK(AE168)),"_","")</f>
        <v>_</v>
      </c>
      <c r="AE168" s="2" t="s">
        <v>17</v>
      </c>
      <c r="AF168" s="2" t="str">
        <f t="shared" ref="AF168" si="146">IF(NOT(ISBLANK(AG168)),"_","")</f>
        <v>_</v>
      </c>
      <c r="AG168" s="2" t="s">
        <v>234</v>
      </c>
    </row>
    <row r="169" spans="1:33" x14ac:dyDescent="0.25">
      <c r="B169" s="2" t="str">
        <f t="shared" si="142"/>
        <v>@color-minor_case_paved_or_uk_default</v>
      </c>
      <c r="C169" s="93" t="s">
        <v>221</v>
      </c>
      <c r="D169" s="82" t="s">
        <v>217</v>
      </c>
      <c r="E169"/>
      <c r="F169" s="82" t="s">
        <v>217</v>
      </c>
      <c r="G169"/>
      <c r="H169"/>
      <c r="I169" s="131" t="str">
        <f t="shared" si="138"/>
        <v>"#404040"</v>
      </c>
      <c r="J169" s="112" t="str">
        <f t="shared" si="138"/>
        <v>"#000000"</v>
      </c>
      <c r="K169"/>
      <c r="L169"/>
      <c r="M169"/>
      <c r="N169"/>
      <c r="O169"/>
      <c r="P169"/>
      <c r="Q169"/>
      <c r="R169"/>
      <c r="S169"/>
      <c r="T169"/>
      <c r="U169" s="121"/>
      <c r="V169" s="121"/>
      <c r="W169"/>
      <c r="X169" s="121"/>
      <c r="Y169" s="121"/>
      <c r="AA169" s="2" t="s">
        <v>6</v>
      </c>
      <c r="AB169" s="2" t="str">
        <f t="shared" si="94"/>
        <v>-</v>
      </c>
      <c r="AC169" s="2" t="s">
        <v>32</v>
      </c>
      <c r="AD169" s="2" t="str">
        <f t="shared" si="97"/>
        <v>_</v>
      </c>
      <c r="AE169" s="2" t="s">
        <v>17</v>
      </c>
      <c r="AF169" s="2" t="str">
        <f t="shared" si="98"/>
        <v>_</v>
      </c>
      <c r="AG169" s="2" t="s">
        <v>271</v>
      </c>
    </row>
    <row r="170" spans="1:33" x14ac:dyDescent="0.25">
      <c r="B170" s="2" t="str">
        <f t="shared" si="142"/>
        <v>@color-minor_line_default</v>
      </c>
      <c r="C170" s="121"/>
      <c r="D170" s="121"/>
      <c r="E170"/>
      <c r="F170" s="121"/>
      <c r="G170" s="121"/>
      <c r="H170"/>
      <c r="I170" s="121"/>
      <c r="J170" s="121"/>
      <c r="K170"/>
      <c r="L170" s="121"/>
      <c r="M170" s="121"/>
      <c r="N170"/>
      <c r="O170"/>
      <c r="P170"/>
      <c r="Q170"/>
      <c r="R170"/>
      <c r="S170"/>
      <c r="T170"/>
      <c r="U170" s="95" t="s">
        <v>227</v>
      </c>
      <c r="V170" s="89" t="str">
        <f>U170</f>
        <v>"#ffffff"</v>
      </c>
      <c r="W170"/>
      <c r="X170"/>
      <c r="Y170"/>
      <c r="AA170" s="2" t="s">
        <v>6</v>
      </c>
      <c r="AB170" s="2" t="str">
        <f t="shared" ref="AB170" si="147">IF(NOT(ISBLANK(AC170)),"-","")</f>
        <v>-</v>
      </c>
      <c r="AC170" s="2" t="s">
        <v>32</v>
      </c>
      <c r="AD170" s="2" t="str">
        <f t="shared" ref="AD170" si="148">IF(NOT(ISBLANK(AE170)),"_","")</f>
        <v>_</v>
      </c>
      <c r="AE170" s="2" t="s">
        <v>13</v>
      </c>
      <c r="AF170" s="2" t="str">
        <f t="shared" ref="AF170" si="149">IF(NOT(ISBLANK(AG170)),"_","")</f>
        <v>_</v>
      </c>
      <c r="AG170" s="2" t="s">
        <v>269</v>
      </c>
    </row>
    <row r="171" spans="1:33" x14ac:dyDescent="0.25">
      <c r="B171" s="2" t="str">
        <f t="shared" si="92"/>
        <v>@color-minor_line_unpaved</v>
      </c>
      <c r="C171" s="94" t="s">
        <v>226</v>
      </c>
      <c r="D171" s="89" t="str">
        <f t="shared" ref="D171:D172" si="150">C171</f>
        <v>"#eddfca"</v>
      </c>
      <c r="E171"/>
      <c r="F171"/>
      <c r="G171"/>
      <c r="H171"/>
      <c r="I171" s="88" t="str">
        <f>C171</f>
        <v>"#eddfca"</v>
      </c>
      <c r="J171" s="89" t="str">
        <f t="shared" ref="J171:J172" si="151">C171</f>
        <v>"#eddfca"</v>
      </c>
      <c r="K171"/>
      <c r="L171"/>
      <c r="M171"/>
      <c r="N171"/>
      <c r="O171"/>
      <c r="P171"/>
      <c r="Q171"/>
      <c r="R171"/>
      <c r="S171"/>
      <c r="T171"/>
      <c r="U171" s="121"/>
      <c r="V171" s="121"/>
      <c r="W171"/>
      <c r="X171" s="121"/>
      <c r="Y171" s="121"/>
      <c r="AA171" s="2" t="s">
        <v>6</v>
      </c>
      <c r="AB171" s="2" t="str">
        <f t="shared" si="94"/>
        <v>-</v>
      </c>
      <c r="AC171" s="2" t="s">
        <v>32</v>
      </c>
      <c r="AD171" s="2" t="str">
        <f t="shared" si="97"/>
        <v>_</v>
      </c>
      <c r="AE171" s="2" t="s">
        <v>13</v>
      </c>
      <c r="AF171" s="2" t="str">
        <f t="shared" si="98"/>
        <v>_</v>
      </c>
      <c r="AG171" s="2" t="s">
        <v>22</v>
      </c>
    </row>
    <row r="172" spans="1:33" x14ac:dyDescent="0.25">
      <c r="B172" s="2" t="str">
        <f t="shared" si="92"/>
        <v>@color-minor_line_paved_or_uk</v>
      </c>
      <c r="C172" s="95" t="s">
        <v>227</v>
      </c>
      <c r="D172" s="89" t="str">
        <f t="shared" si="150"/>
        <v>"#ffffff"</v>
      </c>
      <c r="E172"/>
      <c r="F172"/>
      <c r="G172"/>
      <c r="H172"/>
      <c r="I172" s="89" t="str">
        <f>C172</f>
        <v>"#ffffff"</v>
      </c>
      <c r="J172" s="89" t="str">
        <f t="shared" si="151"/>
        <v>"#ffffff"</v>
      </c>
      <c r="K172"/>
      <c r="L172"/>
      <c r="M172"/>
      <c r="N172"/>
      <c r="O172"/>
      <c r="P172"/>
      <c r="Q172"/>
      <c r="R172"/>
      <c r="S172"/>
      <c r="T172"/>
      <c r="U172" s="121"/>
      <c r="V172" s="121"/>
      <c r="W172"/>
      <c r="X172" s="121"/>
      <c r="Y172" s="121"/>
      <c r="AA172" s="2" t="s">
        <v>6</v>
      </c>
      <c r="AB172" s="2" t="str">
        <f t="shared" si="94"/>
        <v>-</v>
      </c>
      <c r="AC172" s="2" t="s">
        <v>32</v>
      </c>
      <c r="AD172" s="2" t="str">
        <f t="shared" si="97"/>
        <v>_</v>
      </c>
      <c r="AE172" s="2" t="s">
        <v>13</v>
      </c>
      <c r="AF172" s="2" t="str">
        <f t="shared" si="98"/>
        <v>_</v>
      </c>
      <c r="AG172" s="2" t="s">
        <v>25</v>
      </c>
    </row>
    <row r="173" spans="1:33" x14ac:dyDescent="0.25">
      <c r="B173" s="2"/>
      <c r="C173"/>
      <c r="D173"/>
      <c r="E173"/>
      <c r="F173"/>
      <c r="G173"/>
      <c r="H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AB173" s="29" t="str">
        <f t="shared" si="94"/>
        <v/>
      </c>
      <c r="AD173" s="29" t="str">
        <f t="shared" si="97"/>
        <v/>
      </c>
      <c r="AF173" s="29" t="str">
        <f t="shared" si="98"/>
        <v/>
      </c>
    </row>
    <row r="174" spans="1:33" s="2" customFormat="1" x14ac:dyDescent="0.25">
      <c r="A174" s="4" t="s">
        <v>229</v>
      </c>
      <c r="B174" s="4"/>
      <c r="C174" s="4"/>
      <c r="D174" s="5"/>
      <c r="F174" s="5"/>
      <c r="G174" s="5"/>
      <c r="I174" s="5"/>
      <c r="J174" s="5"/>
      <c r="L174" s="5"/>
      <c r="M174" s="5"/>
      <c r="O174" s="5"/>
      <c r="P174" s="5"/>
      <c r="R174" s="5"/>
      <c r="S174" s="5"/>
      <c r="U174" s="5"/>
      <c r="V174" s="5"/>
      <c r="X174" s="5"/>
      <c r="Y174" s="5"/>
      <c r="AA174" s="5"/>
      <c r="AB174" s="5" t="str">
        <f t="shared" si="94"/>
        <v/>
      </c>
      <c r="AC174" s="5"/>
      <c r="AD174" s="5" t="str">
        <f t="shared" si="97"/>
        <v/>
      </c>
      <c r="AE174" s="5"/>
      <c r="AF174" s="5" t="str">
        <f t="shared" si="98"/>
        <v/>
      </c>
      <c r="AG174" s="5"/>
    </row>
    <row r="175" spans="1:33" x14ac:dyDescent="0.25">
      <c r="B175" s="2" t="str">
        <f t="shared" si="92"/>
        <v>@color-motorway_link_line</v>
      </c>
      <c r="C175" s="38" t="s">
        <v>216</v>
      </c>
      <c r="D175" s="39" t="s">
        <v>218</v>
      </c>
      <c r="E175"/>
      <c r="F175"/>
      <c r="G175"/>
      <c r="H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AA175" s="2" t="s">
        <v>6</v>
      </c>
      <c r="AB175" s="2" t="str">
        <f t="shared" si="94"/>
        <v>-</v>
      </c>
      <c r="AC175" s="2" t="s">
        <v>34</v>
      </c>
      <c r="AD175" s="2" t="str">
        <f t="shared" si="97"/>
        <v>_</v>
      </c>
      <c r="AE175" s="2" t="s">
        <v>13</v>
      </c>
      <c r="AF175" s="2" t="str">
        <f t="shared" si="98"/>
        <v/>
      </c>
      <c r="AG175" s="2"/>
    </row>
    <row r="176" spans="1:33" x14ac:dyDescent="0.25">
      <c r="B176" s="2" t="str">
        <f t="shared" si="92"/>
        <v>@color-motorway_link_case</v>
      </c>
      <c r="C176" s="37" t="s">
        <v>215</v>
      </c>
      <c r="D176" s="3" t="s">
        <v>18</v>
      </c>
      <c r="E176"/>
      <c r="F176" s="82" t="s">
        <v>217</v>
      </c>
      <c r="G176"/>
      <c r="H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AA176" s="2" t="s">
        <v>6</v>
      </c>
      <c r="AB176" s="2" t="str">
        <f t="shared" si="94"/>
        <v>-</v>
      </c>
      <c r="AC176" s="2" t="s">
        <v>34</v>
      </c>
      <c r="AD176" s="2" t="str">
        <f t="shared" si="97"/>
        <v>_</v>
      </c>
      <c r="AE176" s="2" t="s">
        <v>17</v>
      </c>
      <c r="AF176" s="2" t="str">
        <f t="shared" si="98"/>
        <v/>
      </c>
      <c r="AG176" s="2"/>
    </row>
    <row r="177" spans="2:33" x14ac:dyDescent="0.25">
      <c r="B177" s="2" t="str">
        <f t="shared" si="92"/>
        <v>@color-trunk_primary_secondary_tertiary_link_line</v>
      </c>
      <c r="C177" s="86" t="s">
        <v>222</v>
      </c>
      <c r="D177" s="39" t="s">
        <v>218</v>
      </c>
      <c r="E177"/>
      <c r="F177"/>
      <c r="G177"/>
      <c r="H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AA177" s="2" t="s">
        <v>6</v>
      </c>
      <c r="AB177" s="2" t="str">
        <f t="shared" si="94"/>
        <v>-</v>
      </c>
      <c r="AC177" s="2" t="s">
        <v>33</v>
      </c>
      <c r="AD177" s="2" t="str">
        <f t="shared" si="97"/>
        <v>_</v>
      </c>
      <c r="AE177" s="2" t="s">
        <v>13</v>
      </c>
      <c r="AF177" s="2" t="str">
        <f t="shared" si="98"/>
        <v/>
      </c>
      <c r="AG177" s="2"/>
    </row>
    <row r="178" spans="2:33" x14ac:dyDescent="0.25">
      <c r="B178" s="2" t="str">
        <f t="shared" si="92"/>
        <v>@color-trunk_primary_secondary_tertiary_link_line_bicycle_no</v>
      </c>
      <c r="C178" s="38" t="s">
        <v>216</v>
      </c>
      <c r="D178" s="87" t="s">
        <v>223</v>
      </c>
      <c r="E178"/>
      <c r="F178"/>
      <c r="G178"/>
      <c r="H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AA178" s="2" t="s">
        <v>6</v>
      </c>
      <c r="AB178" s="2" t="str">
        <f t="shared" si="94"/>
        <v>-</v>
      </c>
      <c r="AC178" s="2" t="s">
        <v>33</v>
      </c>
      <c r="AD178" s="2" t="str">
        <f t="shared" si="97"/>
        <v>_</v>
      </c>
      <c r="AE178" s="2" t="s">
        <v>13</v>
      </c>
      <c r="AF178" s="2" t="str">
        <f t="shared" si="98"/>
        <v>_</v>
      </c>
      <c r="AG178" s="2" t="s">
        <v>24</v>
      </c>
    </row>
    <row r="179" spans="2:33" x14ac:dyDescent="0.25">
      <c r="B179" s="2" t="str">
        <f t="shared" si="92"/>
        <v>@color-trunk_primary_secondary_tertiary_link_line_unpaved</v>
      </c>
      <c r="C179"/>
      <c r="D179"/>
      <c r="E179"/>
      <c r="F179"/>
      <c r="G179"/>
      <c r="H179"/>
      <c r="I179" s="88" t="s">
        <v>226</v>
      </c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AA179" s="2" t="s">
        <v>6</v>
      </c>
      <c r="AB179" s="2" t="str">
        <f t="shared" si="94"/>
        <v>-</v>
      </c>
      <c r="AC179" s="2" t="s">
        <v>33</v>
      </c>
      <c r="AD179" s="2" t="str">
        <f t="shared" si="97"/>
        <v>_</v>
      </c>
      <c r="AE179" s="2" t="s">
        <v>13</v>
      </c>
      <c r="AF179" s="2" t="str">
        <f t="shared" si="98"/>
        <v>_</v>
      </c>
      <c r="AG179" s="2" t="s">
        <v>22</v>
      </c>
    </row>
    <row r="180" spans="2:33" x14ac:dyDescent="0.25">
      <c r="B180" s="2" t="str">
        <f t="shared" si="92"/>
        <v>@color-trunk_primary_secondary_tertiary_link_line_paved_or_uk</v>
      </c>
      <c r="C180"/>
      <c r="D180"/>
      <c r="E180"/>
      <c r="F180"/>
      <c r="G180"/>
      <c r="H180"/>
      <c r="I180" s="89" t="s">
        <v>227</v>
      </c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AA180" s="2" t="s">
        <v>6</v>
      </c>
      <c r="AB180" s="2" t="str">
        <f t="shared" si="94"/>
        <v>-</v>
      </c>
      <c r="AC180" s="2" t="s">
        <v>33</v>
      </c>
      <c r="AD180" s="2" t="str">
        <f t="shared" si="97"/>
        <v>_</v>
      </c>
      <c r="AE180" s="2" t="s">
        <v>13</v>
      </c>
      <c r="AF180" s="2" t="str">
        <f t="shared" si="98"/>
        <v>_</v>
      </c>
      <c r="AG180" s="2" t="s">
        <v>25</v>
      </c>
    </row>
    <row r="181" spans="2:33" x14ac:dyDescent="0.25">
      <c r="B181" s="2" t="str">
        <f t="shared" si="92"/>
        <v>@</v>
      </c>
      <c r="C181"/>
      <c r="D181"/>
      <c r="E181"/>
      <c r="F181"/>
      <c r="G181"/>
      <c r="H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</row>
    <row r="182" spans="2:33" x14ac:dyDescent="0.25">
      <c r="B182" s="2" t="str">
        <f t="shared" si="92"/>
        <v>@</v>
      </c>
      <c r="C182"/>
      <c r="D182"/>
      <c r="E182"/>
      <c r="F182"/>
      <c r="G182"/>
      <c r="H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</row>
    <row r="183" spans="2:33" x14ac:dyDescent="0.25">
      <c r="B183" s="2" t="str">
        <f t="shared" si="92"/>
        <v>@</v>
      </c>
      <c r="C183"/>
      <c r="D183"/>
      <c r="E183"/>
      <c r="F183"/>
      <c r="G183"/>
      <c r="H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</row>
    <row r="184" spans="2:33" x14ac:dyDescent="0.25">
      <c r="B184" s="2" t="str">
        <f t="shared" si="92"/>
        <v>@</v>
      </c>
      <c r="C184"/>
      <c r="D184"/>
      <c r="E184"/>
      <c r="F184"/>
      <c r="G184"/>
      <c r="H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</row>
    <row r="185" spans="2:33" x14ac:dyDescent="0.25">
      <c r="B185" s="2" t="str">
        <f t="shared" si="92"/>
        <v>@</v>
      </c>
      <c r="C185"/>
      <c r="D185"/>
      <c r="E185"/>
      <c r="F185"/>
      <c r="G185"/>
      <c r="H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</row>
    <row r="186" spans="2:33" x14ac:dyDescent="0.25">
      <c r="B186" s="2" t="str">
        <f t="shared" si="92"/>
        <v>@</v>
      </c>
      <c r="C186"/>
      <c r="D186"/>
      <c r="E186"/>
      <c r="F186"/>
      <c r="G186"/>
      <c r="H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</row>
    <row r="187" spans="2:33" x14ac:dyDescent="0.25">
      <c r="B187" s="2" t="str">
        <f t="shared" si="92"/>
        <v>@</v>
      </c>
      <c r="C187"/>
      <c r="D187"/>
      <c r="E187"/>
      <c r="F187"/>
      <c r="G187"/>
      <c r="H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</row>
    <row r="188" spans="2:33" x14ac:dyDescent="0.25">
      <c r="B188" s="2" t="str">
        <f t="shared" si="92"/>
        <v>@</v>
      </c>
      <c r="C188"/>
      <c r="D188"/>
      <c r="E188"/>
      <c r="F188"/>
      <c r="G188"/>
      <c r="H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</row>
    <row r="189" spans="2:33" x14ac:dyDescent="0.25">
      <c r="B189" s="2" t="str">
        <f t="shared" si="92"/>
        <v>@</v>
      </c>
      <c r="C189"/>
      <c r="D189"/>
      <c r="E189"/>
      <c r="F189"/>
      <c r="G189"/>
      <c r="H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</row>
    <row r="190" spans="2:33" x14ac:dyDescent="0.25">
      <c r="B190" s="2" t="str">
        <f t="shared" si="92"/>
        <v>@</v>
      </c>
      <c r="C190"/>
      <c r="D190"/>
      <c r="E190"/>
      <c r="F190"/>
      <c r="G190"/>
      <c r="H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</row>
    <row r="191" spans="2:33" x14ac:dyDescent="0.25">
      <c r="B191" s="2" t="str">
        <f t="shared" si="92"/>
        <v>@</v>
      </c>
      <c r="C191"/>
      <c r="D191"/>
      <c r="E191"/>
      <c r="F191"/>
      <c r="G191"/>
      <c r="H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</row>
    <row r="192" spans="2:33" x14ac:dyDescent="0.25">
      <c r="B192" s="2" t="str">
        <f t="shared" si="92"/>
        <v>@</v>
      </c>
      <c r="C192"/>
      <c r="D192"/>
      <c r="E192"/>
      <c r="F192"/>
      <c r="G192"/>
      <c r="H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</row>
    <row r="193" spans="2:25" x14ac:dyDescent="0.25">
      <c r="B193" s="2" t="str">
        <f t="shared" si="92"/>
        <v>@</v>
      </c>
      <c r="C193"/>
      <c r="D193"/>
      <c r="E193"/>
      <c r="F193"/>
      <c r="G193"/>
      <c r="H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</row>
    <row r="194" spans="2:25" x14ac:dyDescent="0.25">
      <c r="B194" s="2" t="str">
        <f t="shared" si="92"/>
        <v>@</v>
      </c>
      <c r="C194"/>
      <c r="D194"/>
      <c r="E194"/>
      <c r="F194"/>
      <c r="G194"/>
      <c r="H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</row>
    <row r="195" spans="2:25" x14ac:dyDescent="0.25">
      <c r="B195" s="2" t="str">
        <f t="shared" si="92"/>
        <v>@</v>
      </c>
      <c r="C195"/>
      <c r="D195"/>
      <c r="E195"/>
      <c r="F195"/>
      <c r="G195"/>
      <c r="H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</row>
    <row r="196" spans="2:25" x14ac:dyDescent="0.25">
      <c r="B196" s="2" t="str">
        <f t="shared" si="92"/>
        <v>@</v>
      </c>
      <c r="C196"/>
      <c r="D196"/>
      <c r="E196"/>
      <c r="F196"/>
      <c r="G196"/>
      <c r="H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</row>
    <row r="197" spans="2:25" x14ac:dyDescent="0.25">
      <c r="B197" s="2" t="str">
        <f t="shared" si="92"/>
        <v>@</v>
      </c>
      <c r="C197"/>
      <c r="D197"/>
      <c r="E197"/>
      <c r="F197"/>
      <c r="G197"/>
      <c r="H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</row>
    <row r="198" spans="2:25" x14ac:dyDescent="0.25">
      <c r="B198" s="2" t="str">
        <f t="shared" si="92"/>
        <v>@</v>
      </c>
      <c r="C198"/>
      <c r="D198"/>
      <c r="E198"/>
      <c r="F198"/>
      <c r="G198"/>
      <c r="H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</row>
    <row r="199" spans="2:25" x14ac:dyDescent="0.25">
      <c r="B199" s="2" t="str">
        <f t="shared" si="92"/>
        <v>@</v>
      </c>
      <c r="C199"/>
      <c r="D199"/>
      <c r="E199"/>
      <c r="F199"/>
      <c r="G199"/>
      <c r="H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</row>
    <row r="200" spans="2:25" x14ac:dyDescent="0.25">
      <c r="C200"/>
      <c r="D200"/>
      <c r="E200"/>
      <c r="F200"/>
      <c r="G200"/>
      <c r="H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</row>
    <row r="201" spans="2:25" x14ac:dyDescent="0.25">
      <c r="C201"/>
      <c r="D201"/>
      <c r="E201"/>
      <c r="F201"/>
      <c r="G201"/>
      <c r="H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</row>
    <row r="202" spans="2:25" x14ac:dyDescent="0.25">
      <c r="C202"/>
      <c r="D202"/>
      <c r="E202"/>
      <c r="F202"/>
      <c r="G202"/>
      <c r="H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</row>
    <row r="203" spans="2:25" x14ac:dyDescent="0.25">
      <c r="C203"/>
      <c r="D203"/>
      <c r="E203"/>
      <c r="F203"/>
      <c r="G203"/>
      <c r="H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</row>
    <row r="204" spans="2:25" x14ac:dyDescent="0.25">
      <c r="C204"/>
      <c r="D204"/>
      <c r="E204"/>
      <c r="F204"/>
      <c r="G204"/>
      <c r="H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</row>
    <row r="205" spans="2:25" x14ac:dyDescent="0.25">
      <c r="C205"/>
      <c r="D205"/>
      <c r="E205"/>
      <c r="F205"/>
      <c r="G205"/>
      <c r="H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</row>
    <row r="206" spans="2:25" x14ac:dyDescent="0.25">
      <c r="C206"/>
      <c r="D206"/>
      <c r="E206"/>
      <c r="F206"/>
      <c r="G206"/>
      <c r="H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</row>
    <row r="207" spans="2:25" x14ac:dyDescent="0.25">
      <c r="C207"/>
      <c r="D207"/>
      <c r="E207"/>
      <c r="F207"/>
      <c r="G207"/>
      <c r="H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</row>
    <row r="208" spans="2:25" x14ac:dyDescent="0.25">
      <c r="C208"/>
      <c r="D208"/>
      <c r="E208"/>
      <c r="F208"/>
      <c r="G208"/>
      <c r="H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</row>
    <row r="209" spans="3:25" x14ac:dyDescent="0.25">
      <c r="C209"/>
      <c r="D209"/>
      <c r="E209"/>
      <c r="F209"/>
      <c r="G209"/>
      <c r="H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</row>
    <row r="210" spans="3:25" x14ac:dyDescent="0.25">
      <c r="C210"/>
      <c r="D210"/>
      <c r="E210"/>
      <c r="F210"/>
      <c r="G210"/>
      <c r="H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</row>
    <row r="211" spans="3:25" x14ac:dyDescent="0.25">
      <c r="C211"/>
      <c r="D211"/>
      <c r="E211"/>
      <c r="F211"/>
      <c r="G211"/>
      <c r="H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</row>
    <row r="212" spans="3:25" x14ac:dyDescent="0.25">
      <c r="C212"/>
      <c r="D212"/>
      <c r="E212"/>
      <c r="F212"/>
      <c r="G212"/>
      <c r="H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</row>
    <row r="213" spans="3:25" x14ac:dyDescent="0.25">
      <c r="C213"/>
      <c r="D213"/>
      <c r="E213"/>
      <c r="F213"/>
      <c r="G213"/>
      <c r="H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</row>
    <row r="214" spans="3:25" x14ac:dyDescent="0.25">
      <c r="C214"/>
      <c r="D214"/>
      <c r="E214"/>
      <c r="F214"/>
      <c r="G214"/>
      <c r="H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</row>
    <row r="215" spans="3:25" x14ac:dyDescent="0.25">
      <c r="C215"/>
      <c r="D215"/>
      <c r="E215"/>
      <c r="F215"/>
      <c r="G215"/>
      <c r="H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</row>
    <row r="216" spans="3:25" x14ac:dyDescent="0.25">
      <c r="C216"/>
      <c r="D216"/>
      <c r="E216"/>
      <c r="F216"/>
      <c r="G216"/>
      <c r="H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</row>
    <row r="217" spans="3:25" x14ac:dyDescent="0.25">
      <c r="C217"/>
      <c r="D217"/>
      <c r="E217"/>
      <c r="F217"/>
      <c r="G217"/>
      <c r="H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</row>
    <row r="218" spans="3:25" x14ac:dyDescent="0.25">
      <c r="C218"/>
      <c r="D218"/>
      <c r="E218"/>
      <c r="F218"/>
      <c r="G218"/>
      <c r="H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</row>
    <row r="219" spans="3:25" x14ac:dyDescent="0.25">
      <c r="C219"/>
      <c r="D219"/>
      <c r="E219"/>
      <c r="F219"/>
      <c r="G219"/>
      <c r="H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</row>
    <row r="220" spans="3:25" x14ac:dyDescent="0.25">
      <c r="C220"/>
      <c r="D220"/>
      <c r="E220"/>
      <c r="F220"/>
      <c r="G220"/>
      <c r="H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</row>
    <row r="221" spans="3:25" x14ac:dyDescent="0.25">
      <c r="C221"/>
      <c r="D221"/>
      <c r="E221"/>
      <c r="F221"/>
      <c r="G221"/>
      <c r="H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</row>
    <row r="222" spans="3:25" x14ac:dyDescent="0.25">
      <c r="C222"/>
      <c r="D222"/>
      <c r="E222"/>
      <c r="F222"/>
      <c r="G222"/>
      <c r="H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</row>
    <row r="223" spans="3:25" x14ac:dyDescent="0.25">
      <c r="C223"/>
      <c r="D223"/>
      <c r="E223"/>
      <c r="F223"/>
      <c r="G223"/>
      <c r="H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</row>
    <row r="224" spans="3:25" x14ac:dyDescent="0.25">
      <c r="C224"/>
      <c r="D224"/>
      <c r="E224"/>
      <c r="F224"/>
      <c r="G224"/>
      <c r="H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</row>
    <row r="225" spans="3:25" x14ac:dyDescent="0.25">
      <c r="C225"/>
      <c r="D225"/>
      <c r="E225"/>
      <c r="F225"/>
      <c r="G225"/>
      <c r="H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</row>
    <row r="226" spans="3:25" x14ac:dyDescent="0.25">
      <c r="C226"/>
      <c r="D226"/>
      <c r="E226"/>
      <c r="F226"/>
      <c r="G226"/>
      <c r="H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</row>
    <row r="227" spans="3:25" x14ac:dyDescent="0.25">
      <c r="C227"/>
      <c r="D227"/>
      <c r="E227"/>
      <c r="F227"/>
      <c r="G227"/>
      <c r="H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</row>
    <row r="228" spans="3:25" x14ac:dyDescent="0.25">
      <c r="C228"/>
      <c r="D228"/>
      <c r="E228"/>
      <c r="F228"/>
      <c r="G228"/>
      <c r="H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</row>
    <row r="229" spans="3:25" x14ac:dyDescent="0.25">
      <c r="C229"/>
      <c r="D229"/>
      <c r="E229"/>
      <c r="F229"/>
      <c r="G229"/>
      <c r="H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</row>
    <row r="230" spans="3:25" x14ac:dyDescent="0.25">
      <c r="C230"/>
      <c r="D230"/>
      <c r="E230"/>
      <c r="F230"/>
      <c r="G230"/>
      <c r="H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</row>
    <row r="231" spans="3:25" x14ac:dyDescent="0.25">
      <c r="C231"/>
      <c r="D231"/>
      <c r="E231"/>
      <c r="F231"/>
      <c r="G231"/>
      <c r="H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</row>
    <row r="232" spans="3:25" x14ac:dyDescent="0.25">
      <c r="C232"/>
      <c r="D232"/>
      <c r="E232"/>
      <c r="F232"/>
      <c r="G232"/>
      <c r="H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</row>
    <row r="233" spans="3:25" x14ac:dyDescent="0.25">
      <c r="C233"/>
      <c r="D233"/>
      <c r="E233"/>
      <c r="F233"/>
      <c r="G233"/>
      <c r="H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</row>
    <row r="234" spans="3:25" x14ac:dyDescent="0.25">
      <c r="C234"/>
      <c r="D234"/>
      <c r="E234"/>
      <c r="F234"/>
      <c r="G234"/>
      <c r="H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</row>
    <row r="235" spans="3:25" x14ac:dyDescent="0.25">
      <c r="C235"/>
      <c r="D235"/>
      <c r="E235"/>
      <c r="F235"/>
      <c r="G235"/>
      <c r="H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</row>
    <row r="236" spans="3:25" x14ac:dyDescent="0.25">
      <c r="C236"/>
      <c r="D236"/>
      <c r="E236"/>
      <c r="F236"/>
      <c r="G236"/>
      <c r="H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</row>
    <row r="237" spans="3:25" x14ac:dyDescent="0.25">
      <c r="C237"/>
      <c r="D237"/>
      <c r="E237"/>
      <c r="F237"/>
      <c r="G237"/>
      <c r="H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</row>
    <row r="238" spans="3:25" x14ac:dyDescent="0.25">
      <c r="C238"/>
      <c r="D238"/>
      <c r="E238"/>
      <c r="F238"/>
      <c r="G238"/>
      <c r="H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</row>
    <row r="239" spans="3:25" x14ac:dyDescent="0.25">
      <c r="C239"/>
      <c r="D239"/>
      <c r="E239"/>
      <c r="F239"/>
      <c r="G239"/>
      <c r="H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</row>
    <row r="240" spans="3:25" x14ac:dyDescent="0.25">
      <c r="C240"/>
      <c r="D240"/>
      <c r="E240"/>
      <c r="F240"/>
      <c r="G240"/>
      <c r="H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</row>
    <row r="241" spans="3:25" x14ac:dyDescent="0.25">
      <c r="C241"/>
      <c r="D241"/>
      <c r="E241"/>
      <c r="F241"/>
      <c r="G241"/>
      <c r="H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</row>
    <row r="242" spans="3:25" x14ac:dyDescent="0.25">
      <c r="C242"/>
      <c r="D242"/>
      <c r="E242"/>
      <c r="F242"/>
      <c r="G242"/>
      <c r="H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</row>
    <row r="243" spans="3:25" x14ac:dyDescent="0.25">
      <c r="C243"/>
      <c r="D243"/>
      <c r="E243"/>
      <c r="F243"/>
      <c r="G243"/>
      <c r="H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</row>
    <row r="244" spans="3:25" x14ac:dyDescent="0.25">
      <c r="C244"/>
      <c r="D244"/>
      <c r="E244"/>
      <c r="F244"/>
      <c r="G244"/>
      <c r="H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</row>
    <row r="245" spans="3:25" x14ac:dyDescent="0.25">
      <c r="C245"/>
      <c r="D245"/>
      <c r="E245"/>
      <c r="F245"/>
      <c r="G245"/>
      <c r="H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</row>
    <row r="246" spans="3:25" x14ac:dyDescent="0.25">
      <c r="C246"/>
      <c r="D246"/>
      <c r="E246"/>
      <c r="F246"/>
      <c r="G246"/>
      <c r="H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</row>
    <row r="247" spans="3:25" x14ac:dyDescent="0.25">
      <c r="C247"/>
      <c r="D247"/>
      <c r="E247"/>
      <c r="F247"/>
      <c r="G247"/>
      <c r="H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</row>
    <row r="248" spans="3:25" x14ac:dyDescent="0.25">
      <c r="C248"/>
      <c r="D248"/>
      <c r="E248"/>
      <c r="F248"/>
      <c r="G248"/>
      <c r="H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</row>
    <row r="249" spans="3:25" x14ac:dyDescent="0.25">
      <c r="C249"/>
      <c r="D249"/>
      <c r="E249"/>
      <c r="F249"/>
      <c r="G249"/>
      <c r="H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</row>
    <row r="250" spans="3:25" x14ac:dyDescent="0.25">
      <c r="C250"/>
      <c r="D250"/>
      <c r="E250"/>
      <c r="F250"/>
      <c r="G250"/>
      <c r="H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</row>
    <row r="251" spans="3:25" x14ac:dyDescent="0.25">
      <c r="C251"/>
      <c r="D251"/>
      <c r="E251"/>
      <c r="F251"/>
      <c r="G251"/>
      <c r="H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</row>
    <row r="252" spans="3:25" x14ac:dyDescent="0.25">
      <c r="C252"/>
      <c r="D252"/>
      <c r="E252"/>
      <c r="F252"/>
      <c r="G252"/>
      <c r="H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</row>
    <row r="253" spans="3:25" x14ac:dyDescent="0.25">
      <c r="C253"/>
      <c r="D253"/>
      <c r="E253"/>
      <c r="F253"/>
      <c r="G253"/>
      <c r="H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</row>
    <row r="254" spans="3:25" x14ac:dyDescent="0.25">
      <c r="C254"/>
      <c r="D254"/>
      <c r="E254"/>
      <c r="F254"/>
      <c r="G254"/>
      <c r="H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</row>
    <row r="255" spans="3:25" x14ac:dyDescent="0.25">
      <c r="C255"/>
      <c r="D255"/>
      <c r="E255"/>
      <c r="F255"/>
      <c r="G255"/>
      <c r="H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</row>
    <row r="256" spans="3:25" x14ac:dyDescent="0.25">
      <c r="C256"/>
      <c r="D256"/>
      <c r="E256"/>
      <c r="F256"/>
      <c r="G256"/>
      <c r="H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</row>
    <row r="257" spans="3:25" x14ac:dyDescent="0.25">
      <c r="C257"/>
      <c r="D257"/>
      <c r="E257"/>
      <c r="F257"/>
      <c r="G257"/>
      <c r="H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</row>
    <row r="258" spans="3:25" x14ac:dyDescent="0.25">
      <c r="C258"/>
      <c r="D258"/>
      <c r="E258"/>
      <c r="F258"/>
      <c r="G258"/>
      <c r="H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</row>
    <row r="259" spans="3:25" x14ac:dyDescent="0.25">
      <c r="C259"/>
      <c r="D259"/>
      <c r="E259"/>
      <c r="F259"/>
      <c r="G259"/>
      <c r="H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</row>
    <row r="260" spans="3:25" x14ac:dyDescent="0.25">
      <c r="C260"/>
      <c r="D260"/>
      <c r="E260"/>
      <c r="F260"/>
      <c r="G260"/>
      <c r="H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</row>
    <row r="261" spans="3:25" x14ac:dyDescent="0.25">
      <c r="C261"/>
      <c r="D261"/>
      <c r="E261"/>
      <c r="F261"/>
      <c r="G261"/>
      <c r="H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</row>
    <row r="262" spans="3:25" x14ac:dyDescent="0.25">
      <c r="C262"/>
      <c r="D262"/>
      <c r="E262"/>
      <c r="F262"/>
      <c r="G262"/>
      <c r="H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</row>
    <row r="263" spans="3:25" x14ac:dyDescent="0.25">
      <c r="C263"/>
      <c r="D263"/>
      <c r="E263"/>
      <c r="F263"/>
      <c r="G263"/>
      <c r="H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</row>
    <row r="264" spans="3:25" x14ac:dyDescent="0.25">
      <c r="C264"/>
      <c r="D264"/>
      <c r="E264"/>
      <c r="F264"/>
      <c r="G264"/>
      <c r="H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</row>
    <row r="265" spans="3:25" x14ac:dyDescent="0.25">
      <c r="C265"/>
      <c r="D265"/>
      <c r="E265"/>
      <c r="F265"/>
      <c r="G265"/>
      <c r="H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</row>
    <row r="266" spans="3:25" x14ac:dyDescent="0.25">
      <c r="C266"/>
      <c r="D266"/>
      <c r="E266"/>
      <c r="F266"/>
      <c r="G266"/>
      <c r="H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</row>
    <row r="267" spans="3:25" x14ac:dyDescent="0.25">
      <c r="C267"/>
      <c r="D267"/>
      <c r="E267"/>
      <c r="F267"/>
      <c r="G267"/>
      <c r="H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</row>
    <row r="268" spans="3:25" x14ac:dyDescent="0.25">
      <c r="C268"/>
      <c r="D268"/>
      <c r="E268"/>
      <c r="F268"/>
      <c r="G268"/>
      <c r="H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</row>
    <row r="269" spans="3:25" x14ac:dyDescent="0.25">
      <c r="C269"/>
      <c r="D269"/>
      <c r="E269"/>
      <c r="F269"/>
      <c r="G269"/>
      <c r="H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</row>
    <row r="270" spans="3:25" x14ac:dyDescent="0.25">
      <c r="C270"/>
      <c r="D270"/>
      <c r="E270"/>
      <c r="F270"/>
      <c r="G270"/>
      <c r="H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</row>
    <row r="271" spans="3:25" x14ac:dyDescent="0.25">
      <c r="C271"/>
      <c r="D271"/>
      <c r="E271"/>
      <c r="F271"/>
      <c r="G271"/>
      <c r="H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</row>
    <row r="272" spans="3:25" x14ac:dyDescent="0.25">
      <c r="C272"/>
      <c r="D272"/>
      <c r="E272"/>
      <c r="F272"/>
      <c r="G272"/>
      <c r="H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</row>
    <row r="273" spans="3:25" x14ac:dyDescent="0.25">
      <c r="C273"/>
      <c r="D273"/>
      <c r="E273"/>
      <c r="F273"/>
      <c r="G273"/>
      <c r="H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</row>
    <row r="274" spans="3:25" x14ac:dyDescent="0.25">
      <c r="C274"/>
      <c r="D274"/>
      <c r="E274"/>
      <c r="F274"/>
      <c r="G274"/>
      <c r="H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</row>
    <row r="275" spans="3:25" x14ac:dyDescent="0.25">
      <c r="C275"/>
      <c r="D275"/>
      <c r="E275"/>
      <c r="F275"/>
      <c r="G275"/>
      <c r="H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</row>
    <row r="276" spans="3:25" x14ac:dyDescent="0.25">
      <c r="C276"/>
      <c r="D276"/>
      <c r="E276"/>
      <c r="F276"/>
      <c r="G276"/>
      <c r="H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</row>
    <row r="277" spans="3:25" x14ac:dyDescent="0.25">
      <c r="C277"/>
      <c r="D277"/>
      <c r="E277"/>
      <c r="F277"/>
      <c r="G277"/>
      <c r="H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</row>
    <row r="278" spans="3:25" x14ac:dyDescent="0.25">
      <c r="C278"/>
      <c r="D278"/>
      <c r="E278"/>
      <c r="F278"/>
      <c r="G278"/>
      <c r="H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</row>
    <row r="279" spans="3:25" x14ac:dyDescent="0.25">
      <c r="C279"/>
      <c r="D279"/>
      <c r="E279"/>
      <c r="F279"/>
      <c r="G279"/>
      <c r="H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</row>
    <row r="280" spans="3:25" x14ac:dyDescent="0.25">
      <c r="C280"/>
      <c r="D280"/>
      <c r="E280"/>
      <c r="F280"/>
      <c r="G280"/>
      <c r="H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</row>
    <row r="281" spans="3:25" x14ac:dyDescent="0.25">
      <c r="C281"/>
      <c r="D281"/>
      <c r="E281"/>
      <c r="F281"/>
      <c r="G281"/>
      <c r="H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</row>
    <row r="282" spans="3:25" x14ac:dyDescent="0.25">
      <c r="C282"/>
      <c r="D282"/>
      <c r="E282"/>
      <c r="F282"/>
      <c r="G282"/>
      <c r="H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</row>
    <row r="283" spans="3:25" x14ac:dyDescent="0.25">
      <c r="C283"/>
      <c r="D283"/>
      <c r="E283"/>
      <c r="F283"/>
      <c r="G283"/>
      <c r="H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</row>
    <row r="284" spans="3:25" x14ac:dyDescent="0.25">
      <c r="C284"/>
      <c r="D284"/>
      <c r="E284"/>
      <c r="F284"/>
      <c r="G284"/>
      <c r="H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</row>
    <row r="285" spans="3:25" x14ac:dyDescent="0.25">
      <c r="C285"/>
      <c r="D285"/>
      <c r="E285"/>
      <c r="F285"/>
      <c r="G285"/>
      <c r="H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</row>
    <row r="286" spans="3:25" x14ac:dyDescent="0.25">
      <c r="C286"/>
      <c r="D286"/>
      <c r="E286"/>
      <c r="F286"/>
      <c r="G286"/>
      <c r="H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</row>
    <row r="287" spans="3:25" x14ac:dyDescent="0.25">
      <c r="C287"/>
      <c r="D287"/>
      <c r="E287"/>
      <c r="F287"/>
      <c r="G287"/>
      <c r="H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</row>
    <row r="288" spans="3:25" x14ac:dyDescent="0.25">
      <c r="C288"/>
      <c r="D288"/>
      <c r="E288"/>
      <c r="F288"/>
      <c r="G288"/>
      <c r="H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</row>
    <row r="289" spans="3:25" x14ac:dyDescent="0.25">
      <c r="C289"/>
      <c r="D289"/>
      <c r="E289"/>
      <c r="F289"/>
      <c r="G289"/>
      <c r="H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</row>
    <row r="290" spans="3:25" x14ac:dyDescent="0.25">
      <c r="C290"/>
      <c r="D290"/>
      <c r="E290"/>
      <c r="F290"/>
      <c r="G290"/>
      <c r="H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</row>
    <row r="291" spans="3:25" x14ac:dyDescent="0.25">
      <c r="C291"/>
      <c r="D291"/>
      <c r="E291"/>
      <c r="F291"/>
      <c r="G291"/>
      <c r="H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</row>
    <row r="292" spans="3:25" x14ac:dyDescent="0.25">
      <c r="C292"/>
      <c r="D292"/>
      <c r="E292"/>
      <c r="F292"/>
      <c r="G292"/>
      <c r="H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</row>
    <row r="293" spans="3:25" x14ac:dyDescent="0.25">
      <c r="C293"/>
      <c r="D293"/>
      <c r="E293"/>
      <c r="F293"/>
      <c r="G293"/>
      <c r="H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</row>
    <row r="294" spans="3:25" x14ac:dyDescent="0.25">
      <c r="C294"/>
      <c r="D294"/>
      <c r="E294"/>
      <c r="F294"/>
      <c r="G294"/>
      <c r="H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</row>
    <row r="295" spans="3:25" x14ac:dyDescent="0.25">
      <c r="C295"/>
      <c r="D295"/>
      <c r="E295"/>
      <c r="F295"/>
      <c r="G295"/>
      <c r="H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</row>
    <row r="296" spans="3:25" x14ac:dyDescent="0.25">
      <c r="C296"/>
      <c r="D296"/>
      <c r="E296"/>
      <c r="F296"/>
      <c r="G296"/>
      <c r="H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</row>
    <row r="297" spans="3:25" x14ac:dyDescent="0.25">
      <c r="C297"/>
      <c r="D297"/>
      <c r="E297"/>
      <c r="F297"/>
      <c r="G297"/>
      <c r="H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</row>
    <row r="298" spans="3:25" x14ac:dyDescent="0.25">
      <c r="C298"/>
      <c r="D298"/>
      <c r="E298"/>
      <c r="F298"/>
      <c r="G298"/>
      <c r="H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</row>
    <row r="299" spans="3:25" x14ac:dyDescent="0.25">
      <c r="C299"/>
      <c r="D299"/>
      <c r="E299"/>
      <c r="F299"/>
      <c r="G299"/>
      <c r="H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</row>
    <row r="300" spans="3:25" x14ac:dyDescent="0.25">
      <c r="C300"/>
      <c r="D300"/>
      <c r="E300"/>
      <c r="F300"/>
      <c r="G300"/>
      <c r="H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</row>
    <row r="301" spans="3:25" x14ac:dyDescent="0.25">
      <c r="C301"/>
      <c r="D301"/>
      <c r="E301"/>
      <c r="F301"/>
      <c r="G301"/>
      <c r="H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</row>
    <row r="302" spans="3:25" x14ac:dyDescent="0.25">
      <c r="C302"/>
      <c r="D302"/>
      <c r="E302"/>
      <c r="F302"/>
      <c r="G302"/>
      <c r="H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</row>
    <row r="303" spans="3:25" x14ac:dyDescent="0.25">
      <c r="C303"/>
      <c r="D303"/>
      <c r="E303"/>
      <c r="F303"/>
      <c r="G303"/>
      <c r="H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</row>
    <row r="304" spans="3:25" x14ac:dyDescent="0.25">
      <c r="C304"/>
      <c r="D304"/>
      <c r="E304"/>
      <c r="F304"/>
      <c r="G304"/>
      <c r="H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</row>
    <row r="305" spans="3:25" x14ac:dyDescent="0.25">
      <c r="C305"/>
      <c r="D305"/>
      <c r="E305"/>
      <c r="F305"/>
      <c r="G305"/>
      <c r="H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</row>
    <row r="306" spans="3:25" x14ac:dyDescent="0.25">
      <c r="C306"/>
      <c r="D306"/>
      <c r="E306"/>
      <c r="F306"/>
      <c r="G306"/>
      <c r="H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</row>
    <row r="307" spans="3:25" x14ac:dyDescent="0.25">
      <c r="C307"/>
      <c r="D307"/>
      <c r="E307"/>
      <c r="F307"/>
      <c r="G307"/>
      <c r="H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</row>
    <row r="308" spans="3:25" x14ac:dyDescent="0.25">
      <c r="C308"/>
      <c r="D308"/>
      <c r="E308"/>
      <c r="F308"/>
      <c r="G308"/>
      <c r="H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</row>
    <row r="309" spans="3:25" x14ac:dyDescent="0.25">
      <c r="C309"/>
      <c r="D309"/>
      <c r="E309"/>
      <c r="F309"/>
      <c r="G309"/>
      <c r="H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</row>
    <row r="310" spans="3:25" x14ac:dyDescent="0.25">
      <c r="C310"/>
      <c r="D310"/>
      <c r="E310"/>
      <c r="F310"/>
      <c r="G310"/>
      <c r="H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</row>
    <row r="311" spans="3:25" x14ac:dyDescent="0.25">
      <c r="C311"/>
      <c r="D311"/>
      <c r="E311"/>
      <c r="F311"/>
      <c r="G311"/>
      <c r="H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</row>
    <row r="312" spans="3:25" x14ac:dyDescent="0.25">
      <c r="C312"/>
      <c r="D312"/>
      <c r="E312"/>
      <c r="F312"/>
      <c r="G312"/>
      <c r="H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</row>
    <row r="313" spans="3:25" x14ac:dyDescent="0.25">
      <c r="C313"/>
      <c r="D313"/>
      <c r="E313"/>
      <c r="F313"/>
      <c r="G313"/>
      <c r="H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</row>
    <row r="314" spans="3:25" x14ac:dyDescent="0.25">
      <c r="C314"/>
      <c r="D314"/>
      <c r="E314"/>
      <c r="F314"/>
      <c r="G314"/>
      <c r="H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</row>
    <row r="315" spans="3:25" x14ac:dyDescent="0.25">
      <c r="C315"/>
      <c r="D315"/>
      <c r="E315"/>
      <c r="F315"/>
      <c r="G315"/>
      <c r="H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</row>
    <row r="316" spans="3:25" x14ac:dyDescent="0.25">
      <c r="C316"/>
      <c r="D316"/>
      <c r="E316"/>
      <c r="F316"/>
      <c r="G316"/>
      <c r="H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</row>
    <row r="317" spans="3:25" x14ac:dyDescent="0.25">
      <c r="C317"/>
      <c r="D317"/>
      <c r="E317"/>
      <c r="F317"/>
      <c r="G317"/>
      <c r="H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</row>
    <row r="318" spans="3:25" x14ac:dyDescent="0.25">
      <c r="C318"/>
      <c r="D318"/>
      <c r="E318"/>
      <c r="F318"/>
      <c r="G318"/>
      <c r="H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</row>
    <row r="319" spans="3:25" x14ac:dyDescent="0.25">
      <c r="C319"/>
      <c r="D319"/>
      <c r="E319"/>
      <c r="F319"/>
      <c r="G319"/>
      <c r="H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</row>
    <row r="320" spans="3:25" x14ac:dyDescent="0.25">
      <c r="C320"/>
      <c r="D320"/>
      <c r="E320"/>
      <c r="F320"/>
      <c r="G320"/>
      <c r="H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</row>
    <row r="321" spans="3:25" x14ac:dyDescent="0.25">
      <c r="C321"/>
      <c r="D321"/>
      <c r="E321"/>
      <c r="F321"/>
      <c r="G321"/>
      <c r="H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</row>
    <row r="322" spans="3:25" x14ac:dyDescent="0.25">
      <c r="C322"/>
      <c r="D322"/>
      <c r="E322"/>
      <c r="F322"/>
      <c r="G322"/>
      <c r="H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</row>
    <row r="323" spans="3:25" x14ac:dyDescent="0.25">
      <c r="C323"/>
      <c r="D323"/>
      <c r="E323"/>
      <c r="F323"/>
      <c r="G323"/>
      <c r="H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</row>
    <row r="324" spans="3:25" x14ac:dyDescent="0.25">
      <c r="C324"/>
      <c r="D324"/>
      <c r="E324"/>
      <c r="F324"/>
      <c r="G324"/>
      <c r="H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</row>
    <row r="325" spans="3:25" x14ac:dyDescent="0.25">
      <c r="C325"/>
      <c r="D325"/>
      <c r="E325"/>
      <c r="F325"/>
      <c r="G325"/>
      <c r="H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</row>
    <row r="326" spans="3:25" x14ac:dyDescent="0.25">
      <c r="C326"/>
      <c r="D326"/>
      <c r="E326"/>
      <c r="F326"/>
      <c r="G326"/>
      <c r="H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</row>
    <row r="327" spans="3:25" x14ac:dyDescent="0.25">
      <c r="C327"/>
      <c r="D327"/>
      <c r="E327"/>
      <c r="F327"/>
      <c r="G327"/>
      <c r="H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</row>
    <row r="328" spans="3:25" x14ac:dyDescent="0.25">
      <c r="C328"/>
      <c r="D328"/>
      <c r="E328"/>
      <c r="F328"/>
      <c r="G328"/>
      <c r="H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</row>
    <row r="329" spans="3:25" x14ac:dyDescent="0.25">
      <c r="C329"/>
      <c r="D329"/>
      <c r="E329"/>
      <c r="F329"/>
      <c r="G329"/>
      <c r="H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</row>
    <row r="330" spans="3:25" x14ac:dyDescent="0.25">
      <c r="C330"/>
      <c r="D330"/>
      <c r="E330"/>
      <c r="F330"/>
      <c r="G330"/>
      <c r="H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</row>
    <row r="331" spans="3:25" x14ac:dyDescent="0.25">
      <c r="C331"/>
      <c r="D331"/>
      <c r="E331"/>
      <c r="F331"/>
      <c r="G331"/>
      <c r="H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</row>
    <row r="332" spans="3:25" x14ac:dyDescent="0.25">
      <c r="C332"/>
      <c r="D332"/>
      <c r="E332"/>
      <c r="F332"/>
      <c r="G332"/>
      <c r="H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</row>
    <row r="333" spans="3:25" x14ac:dyDescent="0.25">
      <c r="C333"/>
      <c r="D333"/>
      <c r="E333"/>
      <c r="F333"/>
      <c r="G333"/>
      <c r="H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</row>
    <row r="334" spans="3:25" x14ac:dyDescent="0.25">
      <c r="C334"/>
      <c r="D334"/>
      <c r="E334"/>
      <c r="F334"/>
      <c r="G334"/>
      <c r="H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</row>
    <row r="335" spans="3:25" x14ac:dyDescent="0.25">
      <c r="C335"/>
      <c r="D335"/>
      <c r="E335"/>
      <c r="F335"/>
      <c r="G335"/>
      <c r="H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</row>
    <row r="336" spans="3:25" x14ac:dyDescent="0.25">
      <c r="C336"/>
      <c r="D336"/>
      <c r="E336"/>
      <c r="F336"/>
      <c r="G336"/>
      <c r="H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</row>
    <row r="337" spans="3:25" x14ac:dyDescent="0.25">
      <c r="C337"/>
      <c r="D337"/>
      <c r="E337"/>
      <c r="F337"/>
      <c r="G337"/>
      <c r="H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</row>
    <row r="338" spans="3:25" x14ac:dyDescent="0.25">
      <c r="C338"/>
      <c r="D338"/>
      <c r="E338"/>
      <c r="F338"/>
      <c r="G338"/>
      <c r="H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</row>
    <row r="339" spans="3:25" x14ac:dyDescent="0.25">
      <c r="C339"/>
      <c r="D339"/>
      <c r="E339"/>
      <c r="F339"/>
      <c r="G339"/>
      <c r="H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</row>
    <row r="340" spans="3:25" x14ac:dyDescent="0.25">
      <c r="C340"/>
      <c r="D340"/>
      <c r="E340"/>
      <c r="F340"/>
      <c r="G340"/>
      <c r="H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</row>
    <row r="341" spans="3:25" x14ac:dyDescent="0.25">
      <c r="C341"/>
      <c r="D341"/>
      <c r="E341"/>
      <c r="F341"/>
      <c r="G341"/>
      <c r="H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</row>
    <row r="342" spans="3:25" x14ac:dyDescent="0.25">
      <c r="C342"/>
      <c r="D342"/>
      <c r="E342"/>
      <c r="F342"/>
      <c r="G342"/>
      <c r="H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</row>
    <row r="343" spans="3:25" x14ac:dyDescent="0.25">
      <c r="C343"/>
      <c r="D343"/>
      <c r="E343"/>
      <c r="F343"/>
      <c r="G343"/>
      <c r="H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</row>
    <row r="344" spans="3:25" x14ac:dyDescent="0.25">
      <c r="C344"/>
      <c r="D344"/>
      <c r="E344"/>
      <c r="F344"/>
      <c r="G344"/>
      <c r="H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</row>
    <row r="345" spans="3:25" x14ac:dyDescent="0.25">
      <c r="C345"/>
      <c r="D345"/>
      <c r="E345"/>
      <c r="F345"/>
      <c r="G345"/>
      <c r="H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</row>
    <row r="346" spans="3:25" x14ac:dyDescent="0.25">
      <c r="C346"/>
      <c r="D346"/>
      <c r="E346"/>
      <c r="F346"/>
      <c r="G346"/>
      <c r="H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</row>
    <row r="347" spans="3:25" x14ac:dyDescent="0.25">
      <c r="C347"/>
      <c r="D347"/>
      <c r="E347"/>
      <c r="F347"/>
      <c r="G347"/>
      <c r="H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</row>
    <row r="348" spans="3:25" x14ac:dyDescent="0.25">
      <c r="C348"/>
      <c r="D348"/>
      <c r="E348"/>
      <c r="F348"/>
      <c r="G348"/>
      <c r="H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</row>
    <row r="349" spans="3:25" x14ac:dyDescent="0.25">
      <c r="C349"/>
      <c r="D349"/>
      <c r="E349"/>
      <c r="F349"/>
      <c r="G349"/>
      <c r="H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</row>
    <row r="350" spans="3:25" x14ac:dyDescent="0.25">
      <c r="C350"/>
      <c r="D350"/>
      <c r="E350"/>
      <c r="F350"/>
      <c r="G350"/>
      <c r="H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</row>
    <row r="351" spans="3:25" x14ac:dyDescent="0.25">
      <c r="C351"/>
      <c r="D351"/>
      <c r="E351"/>
      <c r="F351"/>
      <c r="G351"/>
      <c r="H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</row>
    <row r="352" spans="3:25" x14ac:dyDescent="0.25">
      <c r="C352"/>
      <c r="D352"/>
      <c r="E352"/>
      <c r="F352"/>
      <c r="G352"/>
      <c r="H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</row>
    <row r="353" spans="3:25" x14ac:dyDescent="0.25">
      <c r="C353"/>
      <c r="D353"/>
      <c r="E353"/>
      <c r="F353"/>
      <c r="G353"/>
      <c r="H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</row>
    <row r="354" spans="3:25" x14ac:dyDescent="0.25">
      <c r="C354"/>
      <c r="D354"/>
      <c r="E354"/>
      <c r="F354"/>
      <c r="G354"/>
      <c r="H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</row>
    <row r="355" spans="3:25" x14ac:dyDescent="0.25">
      <c r="C355"/>
      <c r="D355"/>
      <c r="E355"/>
      <c r="F355"/>
      <c r="G355"/>
      <c r="H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</row>
    <row r="356" spans="3:25" x14ac:dyDescent="0.25">
      <c r="C356"/>
      <c r="D356"/>
      <c r="E356"/>
      <c r="F356"/>
      <c r="G356"/>
      <c r="H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</row>
    <row r="357" spans="3:25" x14ac:dyDescent="0.25">
      <c r="C357"/>
      <c r="D357"/>
      <c r="E357"/>
      <c r="F357"/>
      <c r="G357"/>
      <c r="H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</row>
    <row r="358" spans="3:25" x14ac:dyDescent="0.25">
      <c r="C358"/>
      <c r="D358"/>
      <c r="E358"/>
      <c r="F358"/>
      <c r="G358"/>
      <c r="H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</row>
    <row r="359" spans="3:25" x14ac:dyDescent="0.25">
      <c r="C359"/>
      <c r="D359"/>
      <c r="E359"/>
      <c r="F359"/>
      <c r="G359"/>
      <c r="H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</row>
    <row r="360" spans="3:25" x14ac:dyDescent="0.25">
      <c r="C360"/>
      <c r="D360"/>
      <c r="E360"/>
      <c r="F360"/>
      <c r="G360"/>
      <c r="H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</row>
    <row r="361" spans="3:25" x14ac:dyDescent="0.25">
      <c r="C361"/>
      <c r="D361"/>
      <c r="E361"/>
      <c r="F361"/>
      <c r="G361"/>
      <c r="H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</row>
    <row r="362" spans="3:25" x14ac:dyDescent="0.25">
      <c r="C362"/>
      <c r="D362"/>
      <c r="E362"/>
      <c r="F362"/>
      <c r="G362"/>
      <c r="H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</row>
    <row r="363" spans="3:25" x14ac:dyDescent="0.25">
      <c r="C363"/>
      <c r="D363"/>
      <c r="E363"/>
      <c r="F363"/>
      <c r="G363"/>
      <c r="H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</row>
    <row r="364" spans="3:25" x14ac:dyDescent="0.25">
      <c r="C364"/>
      <c r="D364"/>
      <c r="E364"/>
      <c r="F364"/>
      <c r="G364"/>
      <c r="H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</row>
    <row r="365" spans="3:25" x14ac:dyDescent="0.25">
      <c r="C365"/>
      <c r="D365"/>
      <c r="E365"/>
      <c r="F365"/>
      <c r="G365"/>
      <c r="H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</row>
    <row r="366" spans="3:25" x14ac:dyDescent="0.25">
      <c r="C366"/>
      <c r="D366"/>
      <c r="E366"/>
      <c r="F366"/>
      <c r="G366"/>
      <c r="H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</row>
    <row r="367" spans="3:25" x14ac:dyDescent="0.25">
      <c r="C367"/>
      <c r="D367"/>
      <c r="E367"/>
      <c r="F367"/>
      <c r="G367"/>
      <c r="H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</row>
    <row r="368" spans="3:25" x14ac:dyDescent="0.25">
      <c r="C368"/>
      <c r="D368"/>
      <c r="E368"/>
      <c r="F368"/>
      <c r="G368"/>
      <c r="H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</row>
    <row r="369" spans="3:25" x14ac:dyDescent="0.25">
      <c r="C369"/>
      <c r="D369"/>
      <c r="E369"/>
      <c r="F369"/>
      <c r="G369"/>
      <c r="H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</row>
    <row r="370" spans="3:25" x14ac:dyDescent="0.25">
      <c r="C370"/>
      <c r="D370"/>
      <c r="E370"/>
      <c r="F370"/>
      <c r="G370"/>
      <c r="H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</row>
    <row r="371" spans="3:25" x14ac:dyDescent="0.25">
      <c r="C371"/>
      <c r="D371"/>
      <c r="E371"/>
      <c r="F371"/>
      <c r="G371"/>
      <c r="H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</row>
    <row r="372" spans="3:25" x14ac:dyDescent="0.25">
      <c r="C372"/>
      <c r="D372"/>
      <c r="E372"/>
      <c r="F372"/>
      <c r="G372"/>
      <c r="H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</row>
    <row r="373" spans="3:25" x14ac:dyDescent="0.25">
      <c r="C373"/>
      <c r="D373"/>
      <c r="E373"/>
      <c r="F373"/>
      <c r="G373"/>
      <c r="H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</row>
    <row r="374" spans="3:25" x14ac:dyDescent="0.25">
      <c r="C374"/>
      <c r="D374"/>
      <c r="E374"/>
      <c r="F374"/>
      <c r="G374"/>
      <c r="H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</row>
    <row r="375" spans="3:25" x14ac:dyDescent="0.25">
      <c r="C375"/>
      <c r="D375"/>
      <c r="E375"/>
      <c r="F375"/>
      <c r="G375"/>
      <c r="H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</row>
    <row r="376" spans="3:25" x14ac:dyDescent="0.25">
      <c r="C376"/>
      <c r="D376"/>
      <c r="E376"/>
      <c r="F376"/>
      <c r="G376"/>
      <c r="H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</row>
    <row r="377" spans="3:25" x14ac:dyDescent="0.25">
      <c r="C377"/>
      <c r="D377"/>
      <c r="E377"/>
      <c r="F377"/>
      <c r="G377"/>
      <c r="H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</row>
    <row r="378" spans="3:25" x14ac:dyDescent="0.25">
      <c r="C378"/>
      <c r="D378"/>
      <c r="E378"/>
      <c r="F378"/>
      <c r="G378"/>
      <c r="H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</row>
    <row r="379" spans="3:25" x14ac:dyDescent="0.25">
      <c r="C379"/>
      <c r="D379"/>
      <c r="E379"/>
      <c r="F379"/>
      <c r="G379"/>
      <c r="H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</row>
    <row r="380" spans="3:25" x14ac:dyDescent="0.25">
      <c r="C380"/>
      <c r="D380"/>
      <c r="E380"/>
      <c r="F380"/>
      <c r="G380"/>
      <c r="H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</row>
    <row r="381" spans="3:25" x14ac:dyDescent="0.25">
      <c r="C381"/>
      <c r="D381"/>
      <c r="E381"/>
      <c r="F381"/>
      <c r="G381"/>
      <c r="H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</row>
    <row r="382" spans="3:25" x14ac:dyDescent="0.25">
      <c r="C382"/>
      <c r="D382"/>
      <c r="E382"/>
      <c r="F382"/>
      <c r="G382"/>
      <c r="H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</row>
    <row r="383" spans="3:25" x14ac:dyDescent="0.25">
      <c r="C383"/>
      <c r="D383"/>
      <c r="E383"/>
      <c r="F383"/>
      <c r="G383"/>
      <c r="H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</row>
    <row r="384" spans="3:25" x14ac:dyDescent="0.25">
      <c r="C384"/>
      <c r="D384"/>
      <c r="E384"/>
      <c r="F384"/>
      <c r="G384"/>
      <c r="H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</row>
    <row r="385" spans="3:25" x14ac:dyDescent="0.25">
      <c r="C385"/>
      <c r="D385"/>
      <c r="E385"/>
      <c r="F385"/>
      <c r="G385"/>
      <c r="H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</row>
    <row r="386" spans="3:25" x14ac:dyDescent="0.25">
      <c r="C386"/>
      <c r="D386"/>
      <c r="E386"/>
      <c r="F386"/>
      <c r="G386"/>
      <c r="H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</row>
    <row r="387" spans="3:25" x14ac:dyDescent="0.25">
      <c r="C387"/>
      <c r="D387"/>
      <c r="E387"/>
      <c r="F387"/>
      <c r="G387"/>
      <c r="H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</row>
    <row r="388" spans="3:25" x14ac:dyDescent="0.25">
      <c r="C388"/>
      <c r="D388"/>
      <c r="E388"/>
      <c r="F388"/>
      <c r="G388"/>
      <c r="H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</row>
    <row r="389" spans="3:25" x14ac:dyDescent="0.25">
      <c r="C389"/>
      <c r="D389"/>
      <c r="E389"/>
      <c r="F389"/>
      <c r="G389"/>
      <c r="H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</row>
    <row r="390" spans="3:25" x14ac:dyDescent="0.25">
      <c r="C390"/>
      <c r="D390"/>
      <c r="E390"/>
      <c r="F390"/>
      <c r="G390"/>
      <c r="H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</row>
    <row r="391" spans="3:25" x14ac:dyDescent="0.25">
      <c r="C391"/>
      <c r="D391"/>
      <c r="E391"/>
      <c r="F391"/>
      <c r="G391"/>
      <c r="H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</row>
    <row r="392" spans="3:25" x14ac:dyDescent="0.25">
      <c r="C392"/>
      <c r="D392"/>
      <c r="E392"/>
      <c r="F392"/>
      <c r="G392"/>
      <c r="H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</row>
    <row r="393" spans="3:25" x14ac:dyDescent="0.25">
      <c r="C393"/>
      <c r="D393"/>
      <c r="E393"/>
      <c r="F393"/>
      <c r="G393"/>
      <c r="H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</row>
    <row r="394" spans="3:25" x14ac:dyDescent="0.25">
      <c r="C394"/>
      <c r="D394"/>
      <c r="E394"/>
      <c r="F394"/>
      <c r="G394"/>
      <c r="H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</row>
    <row r="395" spans="3:25" x14ac:dyDescent="0.25">
      <c r="C395"/>
      <c r="D395"/>
      <c r="E395"/>
      <c r="F395"/>
      <c r="G395"/>
      <c r="H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</row>
    <row r="396" spans="3:25" x14ac:dyDescent="0.25">
      <c r="C396"/>
      <c r="D396"/>
      <c r="E396"/>
      <c r="F396"/>
      <c r="G396"/>
      <c r="H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</row>
    <row r="397" spans="3:25" x14ac:dyDescent="0.25">
      <c r="C397"/>
      <c r="D397"/>
      <c r="E397"/>
      <c r="F397"/>
      <c r="G397"/>
      <c r="H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</row>
    <row r="398" spans="3:25" x14ac:dyDescent="0.25">
      <c r="C398"/>
      <c r="D398"/>
      <c r="E398"/>
      <c r="F398"/>
      <c r="G398"/>
      <c r="H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</row>
    <row r="399" spans="3:25" x14ac:dyDescent="0.25">
      <c r="C399"/>
      <c r="D399"/>
      <c r="E399"/>
      <c r="F399"/>
      <c r="G399"/>
      <c r="H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</row>
    <row r="400" spans="3:25" x14ac:dyDescent="0.25">
      <c r="C400"/>
      <c r="D400"/>
      <c r="E400"/>
      <c r="F400"/>
      <c r="G400"/>
      <c r="H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</row>
    <row r="401" spans="3:25" x14ac:dyDescent="0.25">
      <c r="C401"/>
      <c r="D401"/>
      <c r="E401"/>
      <c r="F401"/>
      <c r="G401"/>
      <c r="H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</row>
    <row r="402" spans="3:25" x14ac:dyDescent="0.25">
      <c r="C402"/>
      <c r="D402"/>
      <c r="E402"/>
      <c r="F402"/>
      <c r="G402"/>
      <c r="H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</row>
    <row r="403" spans="3:25" x14ac:dyDescent="0.25">
      <c r="C403"/>
      <c r="D403"/>
      <c r="E403"/>
      <c r="F403"/>
      <c r="G403"/>
      <c r="H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</row>
    <row r="404" spans="3:25" x14ac:dyDescent="0.25">
      <c r="C404"/>
      <c r="D404"/>
      <c r="E404"/>
      <c r="F404"/>
      <c r="G404"/>
      <c r="H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</row>
    <row r="405" spans="3:25" x14ac:dyDescent="0.25">
      <c r="C405"/>
      <c r="D405"/>
      <c r="E405"/>
      <c r="F405"/>
      <c r="G405"/>
      <c r="H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</row>
    <row r="406" spans="3:25" x14ac:dyDescent="0.25">
      <c r="C406"/>
      <c r="D406"/>
      <c r="E406"/>
      <c r="F406"/>
      <c r="G406"/>
      <c r="H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</row>
    <row r="407" spans="3:25" x14ac:dyDescent="0.25">
      <c r="C407"/>
      <c r="D407"/>
      <c r="E407"/>
      <c r="F407"/>
      <c r="G407"/>
      <c r="H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</row>
    <row r="408" spans="3:25" x14ac:dyDescent="0.25">
      <c r="C408"/>
      <c r="D408"/>
      <c r="E408"/>
      <c r="F408"/>
      <c r="G408"/>
      <c r="H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</row>
    <row r="409" spans="3:25" x14ac:dyDescent="0.25">
      <c r="C409"/>
      <c r="D409"/>
      <c r="E409"/>
      <c r="F409"/>
      <c r="G409"/>
      <c r="H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</row>
    <row r="410" spans="3:25" x14ac:dyDescent="0.25">
      <c r="C410"/>
      <c r="D410"/>
      <c r="E410"/>
      <c r="F410"/>
      <c r="G410"/>
      <c r="H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</row>
    <row r="411" spans="3:25" x14ac:dyDescent="0.25">
      <c r="C411"/>
      <c r="D411"/>
      <c r="E411"/>
      <c r="F411"/>
      <c r="G411"/>
      <c r="H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</row>
    <row r="412" spans="3:25" x14ac:dyDescent="0.25">
      <c r="C412"/>
      <c r="D412"/>
      <c r="E412"/>
      <c r="F412"/>
      <c r="G412"/>
      <c r="H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</row>
    <row r="413" spans="3:25" x14ac:dyDescent="0.25">
      <c r="C413"/>
      <c r="D413"/>
      <c r="E413"/>
      <c r="F413"/>
      <c r="G413"/>
      <c r="H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</row>
    <row r="414" spans="3:25" x14ac:dyDescent="0.25">
      <c r="C414"/>
      <c r="D414"/>
      <c r="E414"/>
      <c r="F414"/>
      <c r="G414"/>
      <c r="H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</row>
    <row r="415" spans="3:25" x14ac:dyDescent="0.25">
      <c r="C415"/>
      <c r="D415"/>
      <c r="E415"/>
      <c r="F415"/>
      <c r="G415"/>
      <c r="H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</row>
    <row r="416" spans="3:25" x14ac:dyDescent="0.25">
      <c r="C416"/>
      <c r="D416"/>
      <c r="E416"/>
      <c r="F416"/>
      <c r="G416"/>
      <c r="H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</row>
    <row r="417" spans="3:25" x14ac:dyDescent="0.25">
      <c r="C417"/>
      <c r="D417"/>
      <c r="E417"/>
      <c r="F417"/>
      <c r="G417"/>
      <c r="H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</row>
    <row r="418" spans="3:25" x14ac:dyDescent="0.25">
      <c r="C418"/>
      <c r="D418"/>
      <c r="E418"/>
      <c r="F418"/>
      <c r="G418"/>
      <c r="H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</row>
    <row r="419" spans="3:25" x14ac:dyDescent="0.25">
      <c r="C419"/>
      <c r="D419"/>
      <c r="E419"/>
      <c r="F419"/>
      <c r="G419"/>
      <c r="H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</row>
    <row r="420" spans="3:25" x14ac:dyDescent="0.25">
      <c r="C420"/>
      <c r="D420"/>
      <c r="E420"/>
      <c r="F420"/>
      <c r="G420"/>
      <c r="H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</row>
    <row r="421" spans="3:25" x14ac:dyDescent="0.25">
      <c r="C421"/>
      <c r="D421"/>
      <c r="E421"/>
      <c r="F421"/>
      <c r="G421"/>
      <c r="H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</row>
    <row r="422" spans="3:25" x14ac:dyDescent="0.25">
      <c r="C422"/>
      <c r="D422"/>
      <c r="E422"/>
      <c r="F422"/>
      <c r="G422"/>
      <c r="H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</row>
    <row r="423" spans="3:25" x14ac:dyDescent="0.25">
      <c r="C423"/>
      <c r="D423"/>
      <c r="E423"/>
      <c r="F423"/>
      <c r="G423"/>
      <c r="H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</row>
    <row r="424" spans="3:25" x14ac:dyDescent="0.25">
      <c r="C424"/>
      <c r="D424"/>
      <c r="E424"/>
      <c r="F424"/>
      <c r="G424"/>
      <c r="H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</row>
    <row r="425" spans="3:25" x14ac:dyDescent="0.25">
      <c r="C425"/>
      <c r="D425"/>
      <c r="E425"/>
      <c r="F425"/>
      <c r="G425"/>
      <c r="H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</row>
    <row r="426" spans="3:25" x14ac:dyDescent="0.25">
      <c r="C426"/>
      <c r="D426"/>
      <c r="E426"/>
      <c r="F426"/>
      <c r="G426"/>
      <c r="H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</row>
    <row r="427" spans="3:25" x14ac:dyDescent="0.25">
      <c r="C427"/>
      <c r="D427"/>
      <c r="E427"/>
      <c r="F427"/>
      <c r="G427"/>
      <c r="H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</row>
    <row r="428" spans="3:25" x14ac:dyDescent="0.25">
      <c r="C428"/>
      <c r="D428"/>
      <c r="E428"/>
      <c r="F428"/>
      <c r="G428"/>
      <c r="H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</row>
    <row r="429" spans="3:25" x14ac:dyDescent="0.25">
      <c r="C429"/>
      <c r="D429"/>
      <c r="E429"/>
      <c r="F429"/>
      <c r="G429"/>
      <c r="H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</row>
    <row r="430" spans="3:25" x14ac:dyDescent="0.25">
      <c r="C430"/>
      <c r="D430"/>
      <c r="E430"/>
      <c r="F430"/>
      <c r="G430"/>
      <c r="H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</row>
    <row r="431" spans="3:25" x14ac:dyDescent="0.25">
      <c r="C431"/>
      <c r="D431"/>
      <c r="E431"/>
      <c r="F431"/>
      <c r="G431"/>
      <c r="H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</row>
    <row r="432" spans="3:25" x14ac:dyDescent="0.25">
      <c r="C432"/>
      <c r="D432"/>
      <c r="E432"/>
      <c r="F432"/>
      <c r="G432"/>
      <c r="H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</row>
    <row r="433" spans="3:25" x14ac:dyDescent="0.25">
      <c r="C433"/>
      <c r="D433"/>
      <c r="E433"/>
      <c r="F433"/>
      <c r="G433"/>
      <c r="H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</row>
    <row r="434" spans="3:25" x14ac:dyDescent="0.25">
      <c r="C434"/>
      <c r="D434"/>
      <c r="E434"/>
      <c r="F434"/>
      <c r="G434"/>
      <c r="H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</row>
    <row r="435" spans="3:25" x14ac:dyDescent="0.25">
      <c r="C435"/>
      <c r="D435"/>
      <c r="E435"/>
      <c r="F435"/>
      <c r="G435"/>
      <c r="H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</row>
    <row r="436" spans="3:25" x14ac:dyDescent="0.25">
      <c r="C436"/>
      <c r="D436"/>
      <c r="E436"/>
      <c r="F436"/>
      <c r="G436"/>
      <c r="H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</row>
    <row r="437" spans="3:25" x14ac:dyDescent="0.25">
      <c r="C437"/>
      <c r="D437"/>
      <c r="E437"/>
      <c r="F437"/>
      <c r="G437"/>
      <c r="H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</row>
    <row r="438" spans="3:25" x14ac:dyDescent="0.25">
      <c r="C438"/>
      <c r="D438"/>
      <c r="E438"/>
      <c r="F438"/>
      <c r="G438"/>
      <c r="H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</row>
    <row r="439" spans="3:25" x14ac:dyDescent="0.25">
      <c r="C439"/>
      <c r="D439"/>
      <c r="E439"/>
      <c r="F439"/>
      <c r="G439"/>
      <c r="H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</row>
    <row r="440" spans="3:25" x14ac:dyDescent="0.25">
      <c r="C440"/>
      <c r="D440"/>
      <c r="E440"/>
      <c r="F440"/>
      <c r="G440"/>
      <c r="H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</row>
    <row r="441" spans="3:25" x14ac:dyDescent="0.25">
      <c r="C441"/>
      <c r="D441"/>
      <c r="E441"/>
      <c r="F441"/>
      <c r="G441"/>
      <c r="H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</row>
    <row r="442" spans="3:25" x14ac:dyDescent="0.25">
      <c r="C442"/>
      <c r="D442"/>
      <c r="E442"/>
      <c r="F442"/>
      <c r="G442"/>
      <c r="H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</row>
    <row r="443" spans="3:25" x14ac:dyDescent="0.25">
      <c r="C443"/>
      <c r="D443"/>
      <c r="E443"/>
      <c r="F443"/>
      <c r="G443"/>
      <c r="H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</row>
    <row r="444" spans="3:25" x14ac:dyDescent="0.25">
      <c r="C444"/>
      <c r="D444"/>
      <c r="E444"/>
      <c r="F444"/>
      <c r="G444"/>
      <c r="H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</row>
    <row r="445" spans="3:25" x14ac:dyDescent="0.25">
      <c r="C445"/>
      <c r="D445"/>
      <c r="E445"/>
      <c r="F445"/>
      <c r="G445"/>
      <c r="H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</row>
    <row r="446" spans="3:25" x14ac:dyDescent="0.25">
      <c r="C446"/>
      <c r="D446"/>
      <c r="E446"/>
      <c r="F446"/>
      <c r="G446"/>
      <c r="H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</row>
    <row r="447" spans="3:25" x14ac:dyDescent="0.25">
      <c r="C447"/>
      <c r="D447"/>
      <c r="E447"/>
      <c r="F447"/>
      <c r="G447"/>
      <c r="H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</row>
    <row r="448" spans="3:25" x14ac:dyDescent="0.25">
      <c r="C448"/>
      <c r="D448"/>
      <c r="E448"/>
      <c r="F448"/>
      <c r="G448"/>
      <c r="H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</row>
    <row r="449" spans="3:25" x14ac:dyDescent="0.25">
      <c r="C449"/>
      <c r="D449"/>
      <c r="E449"/>
      <c r="F449"/>
      <c r="G449"/>
      <c r="H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</row>
    <row r="450" spans="3:25" x14ac:dyDescent="0.25">
      <c r="C450"/>
      <c r="D450"/>
      <c r="E450"/>
      <c r="F450"/>
      <c r="G450"/>
      <c r="H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</row>
    <row r="451" spans="3:25" x14ac:dyDescent="0.25">
      <c r="C451"/>
      <c r="D451"/>
      <c r="E451"/>
      <c r="F451"/>
      <c r="G451"/>
      <c r="H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</row>
    <row r="452" spans="3:25" x14ac:dyDescent="0.25">
      <c r="C452"/>
      <c r="D452"/>
      <c r="E452"/>
      <c r="F452"/>
      <c r="G452"/>
      <c r="H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</row>
    <row r="453" spans="3:25" x14ac:dyDescent="0.25">
      <c r="C453"/>
      <c r="D453"/>
      <c r="E453"/>
      <c r="F453"/>
      <c r="G453"/>
      <c r="H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</row>
    <row r="454" spans="3:25" x14ac:dyDescent="0.25">
      <c r="C454"/>
      <c r="D454"/>
      <c r="E454"/>
      <c r="F454"/>
      <c r="G454"/>
      <c r="H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</row>
    <row r="455" spans="3:25" x14ac:dyDescent="0.25">
      <c r="C455"/>
      <c r="D455"/>
      <c r="E455"/>
      <c r="F455"/>
      <c r="G455"/>
      <c r="H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</row>
    <row r="456" spans="3:25" x14ac:dyDescent="0.25">
      <c r="C456"/>
      <c r="D456"/>
      <c r="E456"/>
      <c r="F456"/>
      <c r="G456"/>
      <c r="H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</row>
    <row r="457" spans="3:25" x14ac:dyDescent="0.25">
      <c r="C457"/>
      <c r="D457"/>
      <c r="E457"/>
      <c r="F457"/>
      <c r="G457"/>
      <c r="H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</row>
    <row r="458" spans="3:25" x14ac:dyDescent="0.25">
      <c r="C458"/>
      <c r="D458"/>
      <c r="E458"/>
      <c r="F458"/>
      <c r="G458"/>
      <c r="H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</row>
    <row r="459" spans="3:25" x14ac:dyDescent="0.25">
      <c r="C459"/>
      <c r="D459"/>
      <c r="E459"/>
      <c r="F459"/>
      <c r="G459"/>
      <c r="H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</row>
    <row r="460" spans="3:25" x14ac:dyDescent="0.25">
      <c r="C460"/>
      <c r="D460"/>
      <c r="E460"/>
      <c r="F460"/>
      <c r="G460"/>
      <c r="H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</row>
    <row r="461" spans="3:25" x14ac:dyDescent="0.25">
      <c r="C461"/>
      <c r="D461"/>
      <c r="E461"/>
      <c r="F461"/>
      <c r="G461"/>
      <c r="H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</row>
    <row r="462" spans="3:25" x14ac:dyDescent="0.25">
      <c r="C462"/>
      <c r="D462"/>
      <c r="E462"/>
      <c r="F462"/>
      <c r="G462"/>
      <c r="H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</row>
    <row r="463" spans="3:25" x14ac:dyDescent="0.25">
      <c r="C463"/>
      <c r="D463"/>
      <c r="E463"/>
      <c r="F463"/>
      <c r="G463"/>
      <c r="H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</row>
    <row r="464" spans="3:25" x14ac:dyDescent="0.25">
      <c r="C464"/>
      <c r="D464"/>
      <c r="E464"/>
      <c r="F464"/>
      <c r="G464"/>
      <c r="H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</row>
    <row r="465" spans="3:25" x14ac:dyDescent="0.25">
      <c r="C465"/>
      <c r="D465"/>
      <c r="E465"/>
      <c r="F465"/>
      <c r="G465"/>
      <c r="H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</row>
    <row r="466" spans="3:25" x14ac:dyDescent="0.25">
      <c r="C466"/>
      <c r="D466"/>
      <c r="E466"/>
      <c r="F466"/>
      <c r="G466"/>
      <c r="H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</row>
    <row r="467" spans="3:25" x14ac:dyDescent="0.25">
      <c r="C467"/>
      <c r="D467"/>
      <c r="E467"/>
      <c r="F467"/>
      <c r="G467"/>
      <c r="H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</row>
    <row r="468" spans="3:25" x14ac:dyDescent="0.25">
      <c r="C468"/>
      <c r="D468"/>
      <c r="E468"/>
      <c r="F468"/>
      <c r="G468"/>
      <c r="H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</row>
    <row r="469" spans="3:25" x14ac:dyDescent="0.25">
      <c r="C469"/>
      <c r="D469"/>
      <c r="E469"/>
      <c r="F469"/>
      <c r="G469"/>
      <c r="H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</row>
    <row r="470" spans="3:25" x14ac:dyDescent="0.25">
      <c r="C470"/>
      <c r="D470"/>
      <c r="E470"/>
      <c r="F470"/>
      <c r="G470"/>
      <c r="H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</row>
    <row r="471" spans="3:25" x14ac:dyDescent="0.25">
      <c r="C471"/>
      <c r="D471"/>
      <c r="E471"/>
      <c r="F471"/>
      <c r="G471"/>
      <c r="H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</row>
    <row r="472" spans="3:25" x14ac:dyDescent="0.25">
      <c r="C472"/>
      <c r="D472"/>
      <c r="E472"/>
      <c r="F472"/>
      <c r="G472"/>
      <c r="H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</row>
    <row r="473" spans="3:25" x14ac:dyDescent="0.25">
      <c r="C473"/>
      <c r="D473"/>
      <c r="E473"/>
      <c r="F473"/>
      <c r="G473"/>
      <c r="H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</row>
    <row r="474" spans="3:25" x14ac:dyDescent="0.25">
      <c r="C474"/>
      <c r="D474"/>
      <c r="E474"/>
      <c r="F474"/>
      <c r="G474"/>
      <c r="H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</row>
    <row r="475" spans="3:25" x14ac:dyDescent="0.25">
      <c r="C475"/>
      <c r="D475"/>
      <c r="E475"/>
      <c r="F475"/>
      <c r="G475"/>
      <c r="H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</row>
    <row r="476" spans="3:25" x14ac:dyDescent="0.25">
      <c r="C476"/>
      <c r="D476"/>
      <c r="E476"/>
      <c r="F476"/>
      <c r="G476"/>
      <c r="H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</row>
    <row r="477" spans="3:25" x14ac:dyDescent="0.25">
      <c r="C477"/>
      <c r="D477"/>
      <c r="E477"/>
      <c r="F477"/>
      <c r="G477"/>
      <c r="H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</row>
    <row r="478" spans="3:25" x14ac:dyDescent="0.25">
      <c r="C478"/>
      <c r="D478"/>
      <c r="E478"/>
      <c r="F478"/>
      <c r="G478"/>
      <c r="H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</row>
    <row r="479" spans="3:25" x14ac:dyDescent="0.25">
      <c r="C479"/>
      <c r="D479"/>
      <c r="E479"/>
      <c r="F479"/>
      <c r="G479"/>
      <c r="H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</row>
    <row r="480" spans="3:25" x14ac:dyDescent="0.25">
      <c r="C480"/>
      <c r="D480"/>
      <c r="E480"/>
      <c r="F480"/>
      <c r="G480"/>
      <c r="H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</row>
    <row r="481" spans="3:25" x14ac:dyDescent="0.25">
      <c r="C481"/>
      <c r="D481"/>
      <c r="E481"/>
      <c r="F481"/>
      <c r="G481"/>
      <c r="H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</row>
    <row r="482" spans="3:25" x14ac:dyDescent="0.25">
      <c r="C482"/>
      <c r="D482"/>
      <c r="E482"/>
      <c r="F482"/>
      <c r="G482"/>
      <c r="H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</row>
    <row r="483" spans="3:25" x14ac:dyDescent="0.25">
      <c r="C483"/>
      <c r="D483"/>
      <c r="E483"/>
      <c r="F483"/>
      <c r="G483"/>
      <c r="H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</row>
    <row r="484" spans="3:25" x14ac:dyDescent="0.25">
      <c r="C484"/>
      <c r="D484"/>
      <c r="E484"/>
      <c r="F484"/>
      <c r="G484"/>
      <c r="H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</row>
    <row r="485" spans="3:25" x14ac:dyDescent="0.25">
      <c r="C485"/>
      <c r="D485"/>
      <c r="E485"/>
      <c r="F485"/>
      <c r="G485"/>
      <c r="H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</row>
    <row r="486" spans="3:25" x14ac:dyDescent="0.25">
      <c r="C486"/>
      <c r="D486"/>
      <c r="E486"/>
      <c r="F486"/>
      <c r="G486"/>
      <c r="H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</row>
    <row r="487" spans="3:25" x14ac:dyDescent="0.25">
      <c r="C487"/>
      <c r="D487"/>
      <c r="E487"/>
      <c r="F487"/>
      <c r="G487"/>
      <c r="H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</row>
    <row r="488" spans="3:25" x14ac:dyDescent="0.25">
      <c r="C488"/>
      <c r="D488"/>
      <c r="E488"/>
      <c r="F488"/>
      <c r="G488"/>
      <c r="H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</row>
    <row r="489" spans="3:25" x14ac:dyDescent="0.25">
      <c r="C489"/>
      <c r="D489"/>
      <c r="E489"/>
      <c r="F489"/>
      <c r="G489"/>
      <c r="H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</row>
    <row r="490" spans="3:25" x14ac:dyDescent="0.25">
      <c r="C490"/>
      <c r="D490"/>
      <c r="E490"/>
      <c r="F490"/>
      <c r="G490"/>
      <c r="H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</row>
    <row r="491" spans="3:25" x14ac:dyDescent="0.25">
      <c r="C491"/>
      <c r="D491"/>
      <c r="E491"/>
      <c r="F491"/>
      <c r="G491"/>
      <c r="H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</row>
    <row r="492" spans="3:25" x14ac:dyDescent="0.25">
      <c r="C492"/>
      <c r="D492"/>
      <c r="E492"/>
      <c r="F492"/>
      <c r="G492"/>
      <c r="H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</row>
    <row r="493" spans="3:25" x14ac:dyDescent="0.25">
      <c r="C493"/>
      <c r="D493"/>
      <c r="E493"/>
      <c r="F493"/>
      <c r="G493"/>
      <c r="H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</row>
    <row r="494" spans="3:25" x14ac:dyDescent="0.25">
      <c r="C494"/>
      <c r="D494"/>
      <c r="E494"/>
      <c r="F494"/>
      <c r="G494"/>
      <c r="H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</row>
    <row r="495" spans="3:25" x14ac:dyDescent="0.25">
      <c r="C495"/>
      <c r="D495"/>
      <c r="E495"/>
      <c r="F495"/>
      <c r="G495"/>
      <c r="H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</row>
    <row r="496" spans="3:25" x14ac:dyDescent="0.25">
      <c r="C496"/>
      <c r="D496"/>
      <c r="E496"/>
      <c r="F496"/>
      <c r="G496"/>
      <c r="H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</row>
    <row r="497" spans="3:25" x14ac:dyDescent="0.25">
      <c r="C497"/>
      <c r="D497"/>
      <c r="E497"/>
      <c r="F497"/>
      <c r="G497"/>
      <c r="H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</row>
    <row r="498" spans="3:25" x14ac:dyDescent="0.25">
      <c r="C498"/>
      <c r="D498"/>
      <c r="E498"/>
      <c r="F498"/>
      <c r="G498"/>
      <c r="H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</row>
    <row r="499" spans="3:25" x14ac:dyDescent="0.25">
      <c r="C499"/>
      <c r="D499"/>
      <c r="E499"/>
      <c r="F499"/>
      <c r="G499"/>
      <c r="H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</row>
    <row r="500" spans="3:25" x14ac:dyDescent="0.25">
      <c r="C500"/>
      <c r="D500"/>
      <c r="E500"/>
      <c r="F500"/>
      <c r="G500"/>
      <c r="H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</row>
    <row r="501" spans="3:25" x14ac:dyDescent="0.25">
      <c r="C501"/>
      <c r="D501"/>
      <c r="E501"/>
      <c r="F501"/>
      <c r="G501"/>
      <c r="H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</row>
    <row r="502" spans="3:25" x14ac:dyDescent="0.25">
      <c r="C502"/>
      <c r="D502"/>
      <c r="E502"/>
      <c r="F502"/>
      <c r="G502"/>
      <c r="H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</row>
    <row r="503" spans="3:25" x14ac:dyDescent="0.25">
      <c r="C503"/>
      <c r="D503"/>
      <c r="E503"/>
      <c r="F503"/>
      <c r="G503"/>
      <c r="H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</row>
    <row r="504" spans="3:25" x14ac:dyDescent="0.25">
      <c r="C504"/>
      <c r="D504"/>
      <c r="E504"/>
      <c r="F504"/>
      <c r="G504"/>
      <c r="H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</row>
    <row r="505" spans="3:25" x14ac:dyDescent="0.25">
      <c r="C505"/>
      <c r="D505"/>
      <c r="E505"/>
      <c r="F505"/>
      <c r="G505"/>
      <c r="H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</row>
    <row r="506" spans="3:25" x14ac:dyDescent="0.25">
      <c r="C506"/>
      <c r="D506"/>
      <c r="E506"/>
      <c r="F506"/>
      <c r="G506"/>
      <c r="H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</row>
    <row r="507" spans="3:25" x14ac:dyDescent="0.25">
      <c r="C507"/>
      <c r="D507"/>
      <c r="E507"/>
      <c r="F507"/>
      <c r="G507"/>
      <c r="H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</row>
    <row r="508" spans="3:25" x14ac:dyDescent="0.25">
      <c r="C508"/>
      <c r="D508"/>
      <c r="E508"/>
      <c r="F508"/>
      <c r="G508"/>
      <c r="H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</row>
    <row r="509" spans="3:25" x14ac:dyDescent="0.25">
      <c r="C509"/>
      <c r="D509"/>
      <c r="E509"/>
      <c r="F509"/>
      <c r="G509"/>
      <c r="H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</row>
    <row r="510" spans="3:25" x14ac:dyDescent="0.25">
      <c r="C510"/>
      <c r="D510"/>
      <c r="E510"/>
      <c r="F510"/>
      <c r="G510"/>
      <c r="H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</row>
    <row r="511" spans="3:25" x14ac:dyDescent="0.25">
      <c r="C511"/>
      <c r="D511"/>
      <c r="E511"/>
      <c r="F511"/>
      <c r="G511"/>
      <c r="H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</row>
    <row r="512" spans="3:25" x14ac:dyDescent="0.25">
      <c r="C512"/>
      <c r="D512"/>
      <c r="E512"/>
      <c r="F512"/>
      <c r="G512"/>
      <c r="H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</row>
    <row r="513" spans="3:25" x14ac:dyDescent="0.25">
      <c r="C513"/>
      <c r="D513"/>
      <c r="E513"/>
      <c r="F513"/>
      <c r="G513"/>
      <c r="H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</row>
    <row r="514" spans="3:25" x14ac:dyDescent="0.25">
      <c r="C514"/>
      <c r="D514"/>
      <c r="E514"/>
      <c r="F514"/>
      <c r="G514"/>
      <c r="H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</row>
    <row r="515" spans="3:25" x14ac:dyDescent="0.25">
      <c r="C515"/>
      <c r="D515"/>
      <c r="E515"/>
      <c r="F515"/>
      <c r="G515"/>
      <c r="H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</row>
    <row r="516" spans="3:25" x14ac:dyDescent="0.25">
      <c r="C516"/>
      <c r="D516"/>
      <c r="E516"/>
      <c r="F516"/>
      <c r="G516"/>
      <c r="H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</row>
    <row r="517" spans="3:25" x14ac:dyDescent="0.25">
      <c r="C517"/>
      <c r="D517"/>
      <c r="E517"/>
      <c r="F517"/>
      <c r="G517"/>
      <c r="H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</row>
    <row r="518" spans="3:25" x14ac:dyDescent="0.25">
      <c r="C518"/>
      <c r="D518"/>
      <c r="E518"/>
      <c r="F518"/>
      <c r="G518"/>
      <c r="H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</row>
    <row r="519" spans="3:25" x14ac:dyDescent="0.25">
      <c r="C519"/>
      <c r="D519"/>
      <c r="E519"/>
      <c r="F519"/>
      <c r="G519"/>
      <c r="H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</row>
    <row r="520" spans="3:25" x14ac:dyDescent="0.25">
      <c r="C520"/>
      <c r="D520"/>
      <c r="E520"/>
      <c r="F520"/>
      <c r="G520"/>
      <c r="H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</row>
    <row r="521" spans="3:25" x14ac:dyDescent="0.25">
      <c r="C521"/>
      <c r="D521"/>
      <c r="E521"/>
      <c r="F521"/>
      <c r="G521"/>
      <c r="H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</row>
    <row r="522" spans="3:25" x14ac:dyDescent="0.25">
      <c r="C522"/>
      <c r="D522"/>
      <c r="E522"/>
      <c r="F522"/>
      <c r="G522"/>
      <c r="H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</row>
    <row r="523" spans="3:25" x14ac:dyDescent="0.25">
      <c r="C523"/>
      <c r="D523"/>
      <c r="E523"/>
      <c r="F523"/>
      <c r="G523"/>
      <c r="H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</row>
    <row r="524" spans="3:25" x14ac:dyDescent="0.25">
      <c r="C524"/>
      <c r="D524"/>
      <c r="E524"/>
      <c r="F524"/>
      <c r="G524"/>
      <c r="H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</row>
    <row r="525" spans="3:25" x14ac:dyDescent="0.25">
      <c r="C525"/>
      <c r="D525"/>
      <c r="E525"/>
      <c r="F525"/>
      <c r="G525"/>
      <c r="H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</row>
    <row r="526" spans="3:25" x14ac:dyDescent="0.25">
      <c r="C526"/>
      <c r="D526"/>
      <c r="E526"/>
      <c r="F526"/>
      <c r="G526"/>
      <c r="H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</row>
    <row r="527" spans="3:25" x14ac:dyDescent="0.25">
      <c r="C527"/>
      <c r="D527"/>
      <c r="E527"/>
      <c r="F527"/>
      <c r="G527"/>
      <c r="H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</row>
    <row r="528" spans="3:25" x14ac:dyDescent="0.25">
      <c r="C528"/>
      <c r="D528"/>
      <c r="E528"/>
      <c r="F528"/>
      <c r="G528"/>
      <c r="H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</row>
    <row r="529" spans="3:25" x14ac:dyDescent="0.25">
      <c r="C529"/>
      <c r="D529"/>
      <c r="E529"/>
      <c r="F529"/>
      <c r="G529"/>
      <c r="H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</row>
    <row r="530" spans="3:25" x14ac:dyDescent="0.25">
      <c r="C530"/>
      <c r="D530"/>
      <c r="E530"/>
      <c r="F530"/>
      <c r="G530"/>
      <c r="H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</row>
    <row r="531" spans="3:25" x14ac:dyDescent="0.25">
      <c r="C531"/>
      <c r="D531"/>
      <c r="E531"/>
      <c r="F531"/>
      <c r="G531"/>
      <c r="H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</row>
    <row r="532" spans="3:25" x14ac:dyDescent="0.25">
      <c r="C532"/>
      <c r="D532"/>
      <c r="E532"/>
      <c r="F532"/>
      <c r="G532"/>
      <c r="H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</row>
    <row r="533" spans="3:25" x14ac:dyDescent="0.25">
      <c r="C533"/>
      <c r="D533"/>
      <c r="E533"/>
      <c r="F533"/>
      <c r="G533"/>
      <c r="H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</row>
    <row r="534" spans="3:25" x14ac:dyDescent="0.25">
      <c r="C534"/>
      <c r="D534"/>
      <c r="E534"/>
      <c r="F534"/>
      <c r="G534"/>
      <c r="H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</row>
    <row r="535" spans="3:25" x14ac:dyDescent="0.25">
      <c r="C535"/>
      <c r="D535"/>
      <c r="E535"/>
      <c r="F535"/>
      <c r="G535"/>
      <c r="H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</row>
    <row r="536" spans="3:25" x14ac:dyDescent="0.25">
      <c r="C536"/>
      <c r="D536"/>
      <c r="E536"/>
      <c r="F536"/>
      <c r="G536"/>
      <c r="H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</row>
    <row r="537" spans="3:25" x14ac:dyDescent="0.25">
      <c r="C537"/>
      <c r="D537"/>
      <c r="E537"/>
      <c r="F537"/>
      <c r="G537"/>
      <c r="H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</row>
    <row r="538" spans="3:25" x14ac:dyDescent="0.25">
      <c r="C538"/>
      <c r="D538"/>
      <c r="E538"/>
      <c r="F538"/>
      <c r="G538"/>
      <c r="H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</row>
    <row r="539" spans="3:25" x14ac:dyDescent="0.25">
      <c r="C539"/>
      <c r="D539"/>
      <c r="E539"/>
      <c r="F539"/>
      <c r="G539"/>
      <c r="H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</row>
    <row r="540" spans="3:25" x14ac:dyDescent="0.25">
      <c r="C540"/>
      <c r="D540"/>
      <c r="E540"/>
      <c r="F540"/>
      <c r="G540"/>
      <c r="H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</row>
    <row r="541" spans="3:25" x14ac:dyDescent="0.25">
      <c r="C541"/>
      <c r="D541"/>
      <c r="E541"/>
      <c r="F541"/>
      <c r="G541"/>
      <c r="H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</row>
    <row r="542" spans="3:25" x14ac:dyDescent="0.25">
      <c r="C542"/>
      <c r="D542"/>
      <c r="E542"/>
      <c r="F542"/>
      <c r="G542"/>
      <c r="H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</row>
    <row r="543" spans="3:25" x14ac:dyDescent="0.25">
      <c r="C543"/>
      <c r="D543"/>
      <c r="E543"/>
      <c r="F543"/>
      <c r="G543"/>
      <c r="H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</row>
    <row r="544" spans="3:25" x14ac:dyDescent="0.25">
      <c r="C544"/>
      <c r="D544"/>
      <c r="E544"/>
      <c r="F544"/>
      <c r="G544"/>
      <c r="H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</row>
    <row r="545" spans="3:25" x14ac:dyDescent="0.25">
      <c r="C545"/>
      <c r="D545"/>
      <c r="E545"/>
      <c r="F545"/>
      <c r="G545"/>
      <c r="H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</row>
    <row r="546" spans="3:25" x14ac:dyDescent="0.25">
      <c r="C546"/>
      <c r="D546"/>
      <c r="E546"/>
      <c r="F546"/>
      <c r="G546"/>
      <c r="H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</row>
    <row r="547" spans="3:25" x14ac:dyDescent="0.25">
      <c r="C547"/>
      <c r="D547"/>
      <c r="E547"/>
      <c r="F547"/>
      <c r="G547"/>
      <c r="H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</row>
    <row r="548" spans="3:25" x14ac:dyDescent="0.25">
      <c r="C548"/>
      <c r="D548"/>
      <c r="E548"/>
      <c r="F548"/>
      <c r="G548"/>
      <c r="H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</row>
    <row r="549" spans="3:25" x14ac:dyDescent="0.25">
      <c r="C549"/>
      <c r="D549"/>
      <c r="E549"/>
      <c r="F549"/>
      <c r="G549"/>
      <c r="H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</row>
    <row r="550" spans="3:25" x14ac:dyDescent="0.25">
      <c r="C550"/>
      <c r="D550"/>
      <c r="E550"/>
      <c r="F550"/>
      <c r="G550"/>
      <c r="H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</row>
    <row r="551" spans="3:25" x14ac:dyDescent="0.25">
      <c r="C551"/>
      <c r="D551"/>
      <c r="E551"/>
      <c r="F551"/>
      <c r="G551"/>
      <c r="H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</row>
    <row r="552" spans="3:25" x14ac:dyDescent="0.25">
      <c r="C552"/>
      <c r="D552"/>
      <c r="E552"/>
      <c r="F552"/>
      <c r="G552"/>
      <c r="H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</row>
    <row r="553" spans="3:25" x14ac:dyDescent="0.25">
      <c r="C553"/>
      <c r="D553"/>
      <c r="E553"/>
      <c r="F553"/>
      <c r="G553"/>
      <c r="H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</row>
    <row r="554" spans="3:25" x14ac:dyDescent="0.25">
      <c r="C554"/>
      <c r="D554"/>
      <c r="E554"/>
      <c r="F554"/>
      <c r="G554"/>
      <c r="H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</row>
    <row r="555" spans="3:25" x14ac:dyDescent="0.25">
      <c r="C555"/>
      <c r="D555"/>
      <c r="E555"/>
      <c r="F555"/>
      <c r="G555"/>
      <c r="H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</row>
    <row r="556" spans="3:25" x14ac:dyDescent="0.25">
      <c r="C556"/>
      <c r="D556"/>
      <c r="E556"/>
      <c r="F556"/>
      <c r="G556"/>
      <c r="H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</row>
    <row r="557" spans="3:25" x14ac:dyDescent="0.25">
      <c r="C557"/>
      <c r="D557"/>
      <c r="E557"/>
      <c r="F557"/>
      <c r="G557"/>
      <c r="H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</row>
    <row r="558" spans="3:25" x14ac:dyDescent="0.25">
      <c r="C558"/>
      <c r="D558"/>
      <c r="E558"/>
      <c r="F558"/>
      <c r="G558"/>
      <c r="H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</row>
    <row r="559" spans="3:25" x14ac:dyDescent="0.25">
      <c r="C559"/>
      <c r="D559"/>
      <c r="E559"/>
      <c r="F559"/>
      <c r="G559"/>
      <c r="H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</row>
    <row r="560" spans="3:25" x14ac:dyDescent="0.25">
      <c r="C560"/>
      <c r="D560"/>
      <c r="E560"/>
      <c r="F560"/>
      <c r="G560"/>
      <c r="H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</row>
    <row r="561" spans="3:25" x14ac:dyDescent="0.25">
      <c r="C561"/>
      <c r="D561"/>
      <c r="E561"/>
      <c r="F561"/>
      <c r="G561"/>
      <c r="H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</row>
    <row r="562" spans="3:25" x14ac:dyDescent="0.25">
      <c r="C562"/>
      <c r="D562"/>
      <c r="E562"/>
      <c r="F562"/>
      <c r="G562"/>
      <c r="H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</row>
    <row r="563" spans="3:25" x14ac:dyDescent="0.25">
      <c r="C563"/>
      <c r="D563"/>
      <c r="E563"/>
      <c r="F563"/>
      <c r="G563"/>
      <c r="H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</row>
    <row r="564" spans="3:25" x14ac:dyDescent="0.25">
      <c r="C564"/>
      <c r="D564"/>
      <c r="E564"/>
      <c r="F564"/>
      <c r="G564"/>
      <c r="H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</row>
    <row r="565" spans="3:25" x14ac:dyDescent="0.25">
      <c r="C565"/>
      <c r="D565"/>
      <c r="E565"/>
      <c r="F565"/>
      <c r="G565"/>
      <c r="H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</row>
    <row r="566" spans="3:25" x14ac:dyDescent="0.25">
      <c r="C566"/>
      <c r="D566"/>
      <c r="E566"/>
      <c r="F566"/>
      <c r="G566"/>
      <c r="H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</row>
    <row r="567" spans="3:25" x14ac:dyDescent="0.25">
      <c r="C567"/>
      <c r="D567"/>
      <c r="E567"/>
      <c r="F567"/>
      <c r="G567"/>
      <c r="H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</row>
    <row r="568" spans="3:25" x14ac:dyDescent="0.25">
      <c r="C568"/>
      <c r="D568"/>
      <c r="E568"/>
      <c r="F568"/>
      <c r="G568"/>
      <c r="H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</row>
    <row r="569" spans="3:25" x14ac:dyDescent="0.25">
      <c r="C569"/>
      <c r="D569"/>
      <c r="E569"/>
      <c r="F569"/>
      <c r="G569"/>
      <c r="H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</row>
    <row r="570" spans="3:25" x14ac:dyDescent="0.25">
      <c r="C570"/>
      <c r="D570"/>
      <c r="E570"/>
      <c r="F570"/>
      <c r="G570"/>
      <c r="H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</row>
    <row r="571" spans="3:25" x14ac:dyDescent="0.25">
      <c r="C571"/>
      <c r="D571"/>
      <c r="E571"/>
      <c r="F571"/>
      <c r="G571"/>
      <c r="H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</row>
    <row r="572" spans="3:25" x14ac:dyDescent="0.25">
      <c r="C572"/>
      <c r="D572"/>
      <c r="E572"/>
      <c r="F572"/>
      <c r="G572"/>
      <c r="H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</row>
    <row r="573" spans="3:25" x14ac:dyDescent="0.25">
      <c r="C573"/>
      <c r="D573"/>
      <c r="E573"/>
      <c r="F573"/>
      <c r="G573"/>
      <c r="H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</row>
    <row r="574" spans="3:25" x14ac:dyDescent="0.25">
      <c r="C574"/>
      <c r="D574"/>
      <c r="E574"/>
      <c r="F574"/>
      <c r="G574"/>
      <c r="H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</row>
    <row r="575" spans="3:25" x14ac:dyDescent="0.25">
      <c r="C575"/>
      <c r="D575"/>
      <c r="E575"/>
      <c r="F575"/>
      <c r="G575"/>
      <c r="H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</row>
    <row r="576" spans="3:25" x14ac:dyDescent="0.25">
      <c r="C576"/>
      <c r="D576"/>
      <c r="E576"/>
      <c r="F576"/>
      <c r="G576"/>
      <c r="H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</row>
    <row r="577" spans="3:25" x14ac:dyDescent="0.25">
      <c r="C577"/>
      <c r="D577"/>
      <c r="E577"/>
      <c r="F577"/>
      <c r="G577"/>
      <c r="H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</row>
    <row r="578" spans="3:25" x14ac:dyDescent="0.25">
      <c r="C578"/>
      <c r="D578"/>
      <c r="E578"/>
      <c r="F578"/>
      <c r="G578"/>
      <c r="H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</row>
    <row r="579" spans="3:25" x14ac:dyDescent="0.25">
      <c r="C579"/>
      <c r="D579"/>
      <c r="E579"/>
      <c r="F579"/>
      <c r="G579"/>
      <c r="H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</row>
    <row r="580" spans="3:25" x14ac:dyDescent="0.25">
      <c r="C580"/>
      <c r="D580"/>
      <c r="E580"/>
      <c r="F580"/>
      <c r="G580"/>
      <c r="H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</row>
    <row r="581" spans="3:25" x14ac:dyDescent="0.25">
      <c r="C581"/>
      <c r="D581"/>
      <c r="E581"/>
      <c r="F581"/>
      <c r="G581"/>
      <c r="H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workbookViewId="0"/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8" customWidth="1"/>
    <col min="5" max="5" width="35.7109375" style="8" customWidth="1"/>
    <col min="6" max="6" width="8.7109375" style="2" customWidth="1"/>
    <col min="7" max="7" width="8.7109375" style="8" customWidth="1"/>
    <col min="8" max="8" width="35.7109375" style="2" customWidth="1"/>
    <col min="9" max="9" width="8.7109375" style="2" customWidth="1"/>
    <col min="10" max="10" width="8.7109375" style="8" customWidth="1"/>
    <col min="11" max="11" width="35.7109375" style="2" customWidth="1"/>
    <col min="12" max="12" width="8.7109375" style="2" customWidth="1"/>
    <col min="13" max="13" width="8.7109375" style="8" customWidth="1"/>
    <col min="14" max="14" width="35.7109375" style="2" customWidth="1"/>
    <col min="15" max="15" width="8.7109375" style="2" customWidth="1"/>
    <col min="16" max="16" width="8.7109375" style="8" customWidth="1"/>
    <col min="17" max="17" width="35.7109375" style="2" customWidth="1"/>
    <col min="18" max="18" width="8.7109375" style="2" customWidth="1"/>
    <col min="19" max="19" width="8.7109375" style="8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143</v>
      </c>
    </row>
    <row r="3" spans="1:29" x14ac:dyDescent="0.25">
      <c r="B3" s="10" t="s">
        <v>107</v>
      </c>
      <c r="C3" s="1"/>
      <c r="D3" s="6"/>
      <c r="E3" s="9" t="s">
        <v>108</v>
      </c>
      <c r="F3" s="1"/>
      <c r="G3" s="11"/>
      <c r="H3" s="10" t="s">
        <v>23</v>
      </c>
      <c r="I3" s="1"/>
      <c r="J3" s="6"/>
      <c r="K3" s="9" t="s">
        <v>109</v>
      </c>
      <c r="L3" s="1"/>
      <c r="M3" s="11"/>
      <c r="N3" s="10" t="s">
        <v>110</v>
      </c>
      <c r="O3" s="1"/>
      <c r="P3" s="6"/>
      <c r="Q3" s="9" t="s">
        <v>111</v>
      </c>
      <c r="R3" s="1"/>
      <c r="S3" s="1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10" t="s">
        <v>0</v>
      </c>
      <c r="C4" s="1" t="s">
        <v>1</v>
      </c>
      <c r="D4" s="6" t="s">
        <v>15</v>
      </c>
      <c r="E4" s="9"/>
      <c r="F4" s="1" t="s">
        <v>1</v>
      </c>
      <c r="G4" s="11" t="s">
        <v>15</v>
      </c>
      <c r="H4" s="10" t="s">
        <v>0</v>
      </c>
      <c r="I4" s="1" t="s">
        <v>1</v>
      </c>
      <c r="J4" s="6" t="s">
        <v>15</v>
      </c>
      <c r="K4" s="9" t="s">
        <v>0</v>
      </c>
      <c r="L4" s="1" t="s">
        <v>1</v>
      </c>
      <c r="M4" s="11" t="s">
        <v>15</v>
      </c>
      <c r="N4" s="10" t="s">
        <v>0</v>
      </c>
      <c r="O4" s="1" t="s">
        <v>1</v>
      </c>
      <c r="P4" s="6" t="s">
        <v>15</v>
      </c>
      <c r="Q4" s="9" t="s">
        <v>0</v>
      </c>
      <c r="R4" s="1" t="s">
        <v>1</v>
      </c>
      <c r="S4" s="11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76</v>
      </c>
      <c r="AB4" s="1"/>
      <c r="AC4" s="1" t="s">
        <v>72</v>
      </c>
    </row>
    <row r="5" spans="1:29" x14ac:dyDescent="0.25">
      <c r="A5" s="4" t="s">
        <v>120</v>
      </c>
      <c r="B5" s="12"/>
      <c r="C5" s="4"/>
      <c r="D5" s="7"/>
      <c r="E5" s="14"/>
      <c r="F5" s="4"/>
      <c r="G5" s="13"/>
      <c r="H5" s="12"/>
      <c r="I5" s="4"/>
      <c r="J5" s="7"/>
      <c r="K5" s="14"/>
      <c r="L5" s="4"/>
      <c r="M5" s="13"/>
      <c r="N5" s="12"/>
      <c r="O5" s="4"/>
      <c r="P5" s="7"/>
      <c r="Q5" s="14"/>
      <c r="R5" s="4"/>
      <c r="S5" s="13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x14ac:dyDescent="0.25">
      <c r="B6" s="15" t="str">
        <f>_xlfn.CONCAT("@",U6,V6,W6,X6,Y6,Z6,AA6,AB6,AC6,"-(",B$3,")")</f>
        <v>@case_width-path_narrow-z11-(mtb)</v>
      </c>
      <c r="C6" s="8" t="str">
        <f>D6</f>
        <v>1.0</v>
      </c>
      <c r="D6" s="6" t="s">
        <v>83</v>
      </c>
      <c r="E6" s="16" t="str">
        <f>_xlfn.CONCAT("@",U6,V6,W6,X6,Y6,Z6,AA6,AB6,AC6,"-(",E$3,")")</f>
        <v>@case_width-path_narrow-z11-(mtb-hc)</v>
      </c>
      <c r="F6" s="8" t="str">
        <f t="shared" ref="F6:F18" si="0">G6</f>
        <v>2.0</v>
      </c>
      <c r="G6" s="11" t="s">
        <v>88</v>
      </c>
      <c r="H6" s="15" t="str">
        <f>_xlfn.CONCAT("@",U6,V6,W6,X6,Y6,Z6,AA6,AB6,AC6,"-(",H$3,")")</f>
        <v>@case_width-path_narrow-z11-(gr)</v>
      </c>
      <c r="I6" s="8" t="str">
        <f>J6</f>
        <v>0.5</v>
      </c>
      <c r="J6" s="6" t="s">
        <v>98</v>
      </c>
      <c r="K6" s="16" t="str">
        <f>_xlfn.CONCAT("@",U6,V6,W6,X6,Y6,Z6,AA6,AB6,AC6,"-(",K$3,")")</f>
        <v>@case_width-path_narrow-z11-(gr-hc)</v>
      </c>
      <c r="L6" s="8">
        <f>M6</f>
        <v>0</v>
      </c>
      <c r="M6" s="11"/>
      <c r="N6" s="19" t="str">
        <f>_xlfn.CONCAT("@",U6,V6,W6,X6,Y6,Z6,AA6,AB6,AC6,"-(",N$3,")")</f>
        <v>@case_width-path_narrow-z11-(wnt)</v>
      </c>
      <c r="O6" s="20" t="str">
        <f t="shared" ref="O6:O20" si="1">P6</f>
        <v>0.5</v>
      </c>
      <c r="P6" s="18" t="s">
        <v>98</v>
      </c>
      <c r="Q6" s="21" t="str">
        <f>_xlfn.CONCAT("@",U6,V6,W6,X6,Y6,Z6,AA6,AB6,AC6,"-(",Q$3,")")</f>
        <v>@case_width-path_narrow-z11-(wnt-hc)</v>
      </c>
      <c r="R6" s="20">
        <f>S6</f>
        <v>0</v>
      </c>
      <c r="S6" s="22"/>
      <c r="U6" s="1" t="s">
        <v>81</v>
      </c>
      <c r="V6" s="2" t="str">
        <f t="shared" ref="V6:V20" si="2">IF(NOT(ISBLANK(W6)),"-","")</f>
        <v>-</v>
      </c>
      <c r="W6" s="1" t="s">
        <v>74</v>
      </c>
      <c r="X6" s="2" t="str">
        <f>IF(NOT(ISBLANK(Y6)),"_","")</f>
        <v>_</v>
      </c>
      <c r="Y6" s="1" t="s">
        <v>75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73</v>
      </c>
    </row>
    <row r="7" spans="1:29" x14ac:dyDescent="0.25">
      <c r="B7" s="15" t="str">
        <f t="shared" ref="B7:B17" si="5">_xlfn.CONCAT("@",U7,V7,W7,X7,Y7,Z7,AA7,AB7,AC7,"-(",B$3,")")</f>
        <v>@case_width-path_narrow-z12-(mtb)</v>
      </c>
      <c r="C7" s="8" t="str">
        <f t="shared" ref="C7:C17" si="6">D7</f>
        <v>1.1</v>
      </c>
      <c r="D7" s="6" t="s">
        <v>113</v>
      </c>
      <c r="E7" s="16" t="str">
        <f t="shared" ref="E7:E17" si="7">_xlfn.CONCAT("@",U7,V7,W7,X7,Y7,Z7,AA7,AB7,AC7,"-(",E$3,")")</f>
        <v>@case_width-path_narrow-z12-(mtb-hc)</v>
      </c>
      <c r="F7" s="8" t="str">
        <f t="shared" si="0"/>
        <v>2.2</v>
      </c>
      <c r="G7" s="11" t="s">
        <v>115</v>
      </c>
      <c r="H7" s="15" t="str">
        <f t="shared" ref="H7:H17" si="8">_xlfn.CONCAT("@",U7,V7,W7,X7,Y7,Z7,AA7,AB7,AC7,"-(",H$3,")")</f>
        <v>@case_width-path_narrow-z12-(gr)</v>
      </c>
      <c r="I7" s="8" t="str">
        <f t="shared" ref="I7:I18" si="9">J7</f>
        <v>0.7</v>
      </c>
      <c r="J7" s="6" t="s">
        <v>118</v>
      </c>
      <c r="K7" s="16" t="str">
        <f t="shared" ref="K7:K20" si="10">_xlfn.CONCAT("@",U7,V7,W7,X7,Y7,Z7,AA7,AB7,AC7,"-(",K$3,")")</f>
        <v>@case_width-path_narrow-z12-(gr-hc)</v>
      </c>
      <c r="L7" s="8">
        <f t="shared" ref="L7:L18" si="11">M7</f>
        <v>0</v>
      </c>
      <c r="M7" s="11"/>
      <c r="N7" s="19" t="str">
        <f t="shared" ref="N7:N20" si="12">_xlfn.CONCAT("@",U7,V7,W7,X7,Y7,Z7,AA7,AB7,AC7,"-(",N$3,")")</f>
        <v>@case_width-path_narrow-z12-(wnt)</v>
      </c>
      <c r="O7" s="20" t="str">
        <f t="shared" si="1"/>
        <v>0.6</v>
      </c>
      <c r="P7" s="18" t="s">
        <v>125</v>
      </c>
      <c r="Q7" s="21" t="str">
        <f t="shared" ref="Q7:Q20" si="13">_xlfn.CONCAT("@",U7,V7,W7,X7,Y7,Z7,AA7,AB7,AC7,"-(",Q$3,")")</f>
        <v>@case_width-path_narrow-z12-(wnt-hc)</v>
      </c>
      <c r="R7" s="20">
        <f t="shared" ref="R7:R19" si="14">S7</f>
        <v>0</v>
      </c>
      <c r="S7" s="22"/>
      <c r="U7" s="1" t="s">
        <v>81</v>
      </c>
      <c r="V7" s="2" t="str">
        <f t="shared" si="2"/>
        <v>-</v>
      </c>
      <c r="W7" s="1" t="s">
        <v>74</v>
      </c>
      <c r="X7" s="2" t="str">
        <f t="shared" ref="X7:X19" si="15">IF(NOT(ISBLANK(Y7)),"_","")</f>
        <v>_</v>
      </c>
      <c r="Y7" s="1" t="s">
        <v>75</v>
      </c>
      <c r="Z7" s="2" t="str">
        <f t="shared" si="3"/>
        <v/>
      </c>
      <c r="AB7" s="2" t="str">
        <f t="shared" si="4"/>
        <v>-</v>
      </c>
      <c r="AC7" s="1" t="s">
        <v>112</v>
      </c>
    </row>
    <row r="8" spans="1:29" x14ac:dyDescent="0.25">
      <c r="B8" s="15" t="str">
        <f t="shared" si="5"/>
        <v>@case_width-path_narrow-z14-(mtb)</v>
      </c>
      <c r="C8" s="8" t="str">
        <f t="shared" si="6"/>
        <v>1.3</v>
      </c>
      <c r="D8" s="6" t="s">
        <v>84</v>
      </c>
      <c r="E8" s="16" t="str">
        <f t="shared" si="7"/>
        <v>@case_width-path_narrow-z14-(mtb-hc)</v>
      </c>
      <c r="F8" s="8" t="str">
        <f t="shared" si="0"/>
        <v>2.5</v>
      </c>
      <c r="G8" s="11" t="s">
        <v>93</v>
      </c>
      <c r="H8" s="15" t="str">
        <f t="shared" si="8"/>
        <v>@case_width-path_narrow-z14-(gr)</v>
      </c>
      <c r="I8" s="8" t="str">
        <f t="shared" si="9"/>
        <v>1.0</v>
      </c>
      <c r="J8" s="6" t="s">
        <v>83</v>
      </c>
      <c r="K8" s="16" t="str">
        <f t="shared" si="10"/>
        <v>@case_width-path_narrow-z14-(gr-hc)</v>
      </c>
      <c r="L8" s="8">
        <f t="shared" si="11"/>
        <v>0</v>
      </c>
      <c r="M8" s="11"/>
      <c r="N8" s="19" t="str">
        <f t="shared" si="12"/>
        <v>@case_width-path_narrow-z14-(wnt)</v>
      </c>
      <c r="O8" s="20" t="str">
        <f t="shared" si="1"/>
        <v>1.0</v>
      </c>
      <c r="P8" s="18" t="s">
        <v>83</v>
      </c>
      <c r="Q8" s="21" t="str">
        <f t="shared" si="13"/>
        <v>@case_width-path_narrow-z14-(wnt-hc)</v>
      </c>
      <c r="R8" s="20">
        <f t="shared" si="14"/>
        <v>0</v>
      </c>
      <c r="S8" s="22"/>
      <c r="U8" s="1" t="s">
        <v>81</v>
      </c>
      <c r="V8" s="2" t="str">
        <f t="shared" si="2"/>
        <v>-</v>
      </c>
      <c r="W8" s="1" t="s">
        <v>74</v>
      </c>
      <c r="X8" s="2" t="str">
        <f t="shared" si="15"/>
        <v>_</v>
      </c>
      <c r="Y8" s="1" t="s">
        <v>75</v>
      </c>
      <c r="Z8" s="2" t="str">
        <f t="shared" si="3"/>
        <v/>
      </c>
      <c r="AB8" s="2" t="str">
        <f t="shared" si="4"/>
        <v>-</v>
      </c>
      <c r="AC8" s="1" t="s">
        <v>77</v>
      </c>
    </row>
    <row r="9" spans="1:29" x14ac:dyDescent="0.25">
      <c r="B9" s="15" t="str">
        <f t="shared" si="5"/>
        <v>@case_width-path_narrow-z16-(mtb)</v>
      </c>
      <c r="C9" s="8" t="str">
        <f t="shared" si="6"/>
        <v>3.5</v>
      </c>
      <c r="D9" s="6" t="s">
        <v>85</v>
      </c>
      <c r="E9" s="16" t="str">
        <f t="shared" si="7"/>
        <v>@case_width-path_narrow-z16-(mtb-hc)</v>
      </c>
      <c r="F9" s="8" t="str">
        <f t="shared" si="0"/>
        <v>3.0</v>
      </c>
      <c r="G9" s="11" t="s">
        <v>91</v>
      </c>
      <c r="H9" s="15" t="str">
        <f t="shared" si="8"/>
        <v>@case_width-path_narrow-z16-(gr)</v>
      </c>
      <c r="I9" s="8" t="str">
        <f t="shared" si="9"/>
        <v>1.0</v>
      </c>
      <c r="J9" s="6" t="s">
        <v>83</v>
      </c>
      <c r="K9" s="16" t="str">
        <f t="shared" si="10"/>
        <v>@case_width-path_narrow-z16-(gr-hc)</v>
      </c>
      <c r="L9" s="8">
        <f t="shared" si="11"/>
        <v>0</v>
      </c>
      <c r="M9" s="11"/>
      <c r="N9" s="19" t="str">
        <f t="shared" si="12"/>
        <v>@case_width-path_narrow-z16-(wnt)</v>
      </c>
      <c r="O9" s="20" t="str">
        <f t="shared" si="1"/>
        <v>1.8</v>
      </c>
      <c r="P9" s="18" t="s">
        <v>126</v>
      </c>
      <c r="Q9" s="21" t="str">
        <f t="shared" si="13"/>
        <v>@case_width-path_narrow-z16-(wnt-hc)</v>
      </c>
      <c r="R9" s="20">
        <f t="shared" si="14"/>
        <v>0</v>
      </c>
      <c r="S9" s="22"/>
      <c r="U9" s="1" t="s">
        <v>81</v>
      </c>
      <c r="V9" s="2" t="str">
        <f t="shared" si="2"/>
        <v>-</v>
      </c>
      <c r="W9" s="1" t="s">
        <v>74</v>
      </c>
      <c r="X9" s="2" t="str">
        <f t="shared" si="15"/>
        <v>_</v>
      </c>
      <c r="Y9" s="1" t="s">
        <v>75</v>
      </c>
      <c r="Z9" s="2" t="str">
        <f t="shared" si="3"/>
        <v/>
      </c>
      <c r="AB9" s="2" t="str">
        <f t="shared" si="4"/>
        <v>-</v>
      </c>
      <c r="AC9" s="1" t="s">
        <v>78</v>
      </c>
    </row>
    <row r="10" spans="1:29" x14ac:dyDescent="0.25">
      <c r="B10" s="15" t="str">
        <f t="shared" si="5"/>
        <v>@case_width-path_narrow-z18-(mtb)</v>
      </c>
      <c r="C10" s="8" t="str">
        <f t="shared" si="6"/>
        <v>5.0</v>
      </c>
      <c r="D10" s="6" t="s">
        <v>86</v>
      </c>
      <c r="E10" s="16" t="str">
        <f t="shared" si="7"/>
        <v>@case_width-path_narrow-z18-(mtb-hc)</v>
      </c>
      <c r="F10" s="8" t="str">
        <f t="shared" si="0"/>
        <v>7.5</v>
      </c>
      <c r="G10" s="11" t="s">
        <v>94</v>
      </c>
      <c r="H10" s="15" t="str">
        <f t="shared" si="8"/>
        <v>@case_width-path_narrow-z18-(gr)</v>
      </c>
      <c r="I10" s="8" t="str">
        <f t="shared" si="9"/>
        <v>1.5</v>
      </c>
      <c r="J10" s="6" t="s">
        <v>87</v>
      </c>
      <c r="K10" s="16" t="str">
        <f t="shared" si="10"/>
        <v>@case_width-path_narrow-z18-(gr-hc)</v>
      </c>
      <c r="L10" s="8">
        <f t="shared" si="11"/>
        <v>0</v>
      </c>
      <c r="M10" s="11"/>
      <c r="N10" s="19" t="str">
        <f t="shared" si="12"/>
        <v>@case_width-path_narrow-z18-(wnt)</v>
      </c>
      <c r="O10" s="20" t="str">
        <f t="shared" si="1"/>
        <v>2.4</v>
      </c>
      <c r="P10" s="18" t="s">
        <v>102</v>
      </c>
      <c r="Q10" s="21" t="str">
        <f t="shared" si="13"/>
        <v>@case_width-path_narrow-z18-(wnt-hc)</v>
      </c>
      <c r="R10" s="20">
        <f t="shared" si="14"/>
        <v>0</v>
      </c>
      <c r="S10" s="22"/>
      <c r="U10" s="1" t="s">
        <v>81</v>
      </c>
      <c r="V10" s="2" t="str">
        <f t="shared" si="2"/>
        <v>-</v>
      </c>
      <c r="W10" s="1" t="s">
        <v>74</v>
      </c>
      <c r="X10" s="2" t="str">
        <f t="shared" si="15"/>
        <v>_</v>
      </c>
      <c r="Y10" s="1" t="s">
        <v>75</v>
      </c>
      <c r="Z10" s="2" t="str">
        <f t="shared" si="3"/>
        <v/>
      </c>
      <c r="AB10" s="2" t="str">
        <f t="shared" si="4"/>
        <v>-</v>
      </c>
      <c r="AC10" s="1" t="s">
        <v>79</v>
      </c>
    </row>
    <row r="11" spans="1:29" x14ac:dyDescent="0.25">
      <c r="B11" s="15" t="str">
        <f t="shared" si="5"/>
        <v>@case_width-path_medium-z11-(mtb)</v>
      </c>
      <c r="C11" s="8" t="str">
        <f t="shared" si="6"/>
        <v>1.5</v>
      </c>
      <c r="D11" s="6" t="s">
        <v>87</v>
      </c>
      <c r="E11" s="16" t="str">
        <f t="shared" si="7"/>
        <v>@case_width-path_medium-z11-(mtb-hc)</v>
      </c>
      <c r="F11" s="8" t="str">
        <f t="shared" si="0"/>
        <v>3.0</v>
      </c>
      <c r="G11" s="11" t="s">
        <v>91</v>
      </c>
      <c r="H11" s="15" t="str">
        <f t="shared" si="8"/>
        <v>@case_width-path_medium-z11-(gr)</v>
      </c>
      <c r="I11" s="8" t="str">
        <f t="shared" si="9"/>
        <v>0.8</v>
      </c>
      <c r="J11" s="6" t="s">
        <v>99</v>
      </c>
      <c r="K11" s="16" t="str">
        <f t="shared" si="10"/>
        <v>@case_width-path_medium-z11-(gr-hc)</v>
      </c>
      <c r="L11" s="8">
        <f t="shared" si="11"/>
        <v>0</v>
      </c>
      <c r="M11" s="11"/>
      <c r="N11" s="15" t="str">
        <f t="shared" si="12"/>
        <v>@case_width-path_medium-z11-(wnt)</v>
      </c>
      <c r="O11" s="8" t="str">
        <f t="shared" si="1"/>
        <v>0.5</v>
      </c>
      <c r="P11" s="6" t="s">
        <v>98</v>
      </c>
      <c r="Q11" s="16" t="str">
        <f t="shared" si="13"/>
        <v>@case_width-path_medium-z11-(wnt-hc)</v>
      </c>
      <c r="R11" s="8">
        <f t="shared" si="14"/>
        <v>0</v>
      </c>
      <c r="S11" s="11"/>
      <c r="U11" s="1" t="s">
        <v>81</v>
      </c>
      <c r="V11" s="2" t="str">
        <f t="shared" si="2"/>
        <v>-</v>
      </c>
      <c r="W11" s="1" t="s">
        <v>74</v>
      </c>
      <c r="X11" s="2" t="str">
        <f t="shared" si="15"/>
        <v>_</v>
      </c>
      <c r="Y11" s="1" t="s">
        <v>82</v>
      </c>
      <c r="Z11" s="2" t="str">
        <f t="shared" si="3"/>
        <v/>
      </c>
      <c r="AB11" s="2" t="str">
        <f t="shared" si="4"/>
        <v>-</v>
      </c>
      <c r="AC11" s="1" t="s">
        <v>73</v>
      </c>
    </row>
    <row r="12" spans="1:29" x14ac:dyDescent="0.25">
      <c r="B12" s="15" t="str">
        <f t="shared" si="5"/>
        <v>@case_width-path_medium-z12-(mtb)</v>
      </c>
      <c r="C12" s="8" t="str">
        <f t="shared" si="6"/>
        <v>1.7</v>
      </c>
      <c r="D12" s="6" t="s">
        <v>114</v>
      </c>
      <c r="E12" s="16" t="str">
        <f t="shared" si="7"/>
        <v>@case_width-path_medium-z12-(mtb-hc)</v>
      </c>
      <c r="F12" s="8" t="str">
        <f t="shared" si="0"/>
        <v>3.4</v>
      </c>
      <c r="G12" s="11" t="s">
        <v>117</v>
      </c>
      <c r="H12" s="15" t="str">
        <f t="shared" si="8"/>
        <v>@case_width-path_medium-z12-(gr)</v>
      </c>
      <c r="I12" s="8" t="str">
        <f t="shared" si="9"/>
        <v>0.9</v>
      </c>
      <c r="J12" s="6" t="s">
        <v>119</v>
      </c>
      <c r="K12" s="16" t="str">
        <f t="shared" si="10"/>
        <v>@case_width-path_medium-z12-(gr-hc)</v>
      </c>
      <c r="L12" s="8">
        <f t="shared" si="11"/>
        <v>0</v>
      </c>
      <c r="M12" s="11"/>
      <c r="N12" s="15" t="str">
        <f t="shared" si="12"/>
        <v>@case_width-path_medium-z12-(wnt)</v>
      </c>
      <c r="O12" s="8" t="str">
        <f t="shared" si="1"/>
        <v>0.6</v>
      </c>
      <c r="P12" s="6" t="s">
        <v>125</v>
      </c>
      <c r="Q12" s="16" t="str">
        <f t="shared" si="13"/>
        <v>@case_width-path_medium-z12-(wnt-hc)</v>
      </c>
      <c r="R12" s="8">
        <f t="shared" si="14"/>
        <v>0</v>
      </c>
      <c r="S12" s="11"/>
      <c r="U12" s="1" t="s">
        <v>81</v>
      </c>
      <c r="V12" s="2" t="str">
        <f t="shared" si="2"/>
        <v>-</v>
      </c>
      <c r="W12" s="1" t="s">
        <v>74</v>
      </c>
      <c r="X12" s="2" t="str">
        <f t="shared" si="15"/>
        <v>_</v>
      </c>
      <c r="Y12" s="1" t="s">
        <v>82</v>
      </c>
      <c r="Z12" s="2" t="str">
        <f t="shared" si="3"/>
        <v/>
      </c>
      <c r="AB12" s="2" t="str">
        <f t="shared" si="4"/>
        <v>-</v>
      </c>
      <c r="AC12" s="1" t="s">
        <v>112</v>
      </c>
    </row>
    <row r="13" spans="1:29" x14ac:dyDescent="0.25">
      <c r="B13" s="15" t="str">
        <f t="shared" si="5"/>
        <v>@case_width-path_medium-z14-(mtb)</v>
      </c>
      <c r="C13" s="8" t="str">
        <f t="shared" si="6"/>
        <v>2.0</v>
      </c>
      <c r="D13" s="6" t="s">
        <v>88</v>
      </c>
      <c r="E13" s="16" t="str">
        <f t="shared" si="7"/>
        <v>@case_width-path_medium-z14-(mtb-hc)</v>
      </c>
      <c r="F13" s="8" t="str">
        <f t="shared" si="0"/>
        <v>4.0</v>
      </c>
      <c r="G13" s="11" t="s">
        <v>95</v>
      </c>
      <c r="H13" s="15" t="str">
        <f t="shared" si="8"/>
        <v>@case_width-path_medium-z14-(gr)</v>
      </c>
      <c r="I13" s="8" t="str">
        <f t="shared" si="9"/>
        <v>1.2</v>
      </c>
      <c r="J13" s="6" t="s">
        <v>100</v>
      </c>
      <c r="K13" s="16" t="str">
        <f t="shared" si="10"/>
        <v>@case_width-path_medium-z14-(gr-hc)</v>
      </c>
      <c r="L13" s="8">
        <f t="shared" si="11"/>
        <v>0</v>
      </c>
      <c r="M13" s="11"/>
      <c r="N13" s="15" t="str">
        <f t="shared" si="12"/>
        <v>@case_width-path_medium-z14-(wnt)</v>
      </c>
      <c r="O13" s="8" t="str">
        <f t="shared" si="1"/>
        <v>1.0</v>
      </c>
      <c r="P13" s="6" t="s">
        <v>83</v>
      </c>
      <c r="Q13" s="16" t="str">
        <f t="shared" si="13"/>
        <v>@case_width-path_medium-z14-(wnt-hc)</v>
      </c>
      <c r="R13" s="8">
        <f t="shared" si="14"/>
        <v>0</v>
      </c>
      <c r="S13" s="11"/>
      <c r="U13" s="1" t="s">
        <v>81</v>
      </c>
      <c r="V13" s="2" t="str">
        <f t="shared" si="2"/>
        <v>-</v>
      </c>
      <c r="W13" s="1" t="s">
        <v>74</v>
      </c>
      <c r="X13" s="2" t="str">
        <f t="shared" si="15"/>
        <v>_</v>
      </c>
      <c r="Y13" s="1" t="s">
        <v>82</v>
      </c>
      <c r="Z13" s="2" t="str">
        <f t="shared" si="3"/>
        <v/>
      </c>
      <c r="AB13" s="2" t="str">
        <f t="shared" si="4"/>
        <v>-</v>
      </c>
      <c r="AC13" s="1" t="s">
        <v>77</v>
      </c>
    </row>
    <row r="14" spans="1:29" x14ac:dyDescent="0.25">
      <c r="B14" s="15" t="str">
        <f t="shared" si="5"/>
        <v>@case_width-path_medium-z16-(mtb)</v>
      </c>
      <c r="C14" s="8" t="str">
        <f t="shared" si="6"/>
        <v>6.0</v>
      </c>
      <c r="D14" s="6" t="s">
        <v>89</v>
      </c>
      <c r="E14" s="16" t="str">
        <f t="shared" si="7"/>
        <v>@case_width-path_medium-z16-(mtb-hc)</v>
      </c>
      <c r="F14" s="8" t="str">
        <f t="shared" si="0"/>
        <v>6.0</v>
      </c>
      <c r="G14" s="11" t="s">
        <v>89</v>
      </c>
      <c r="H14" s="15" t="str">
        <f t="shared" si="8"/>
        <v>@case_width-path_medium-z16-(gr)</v>
      </c>
      <c r="I14" s="8" t="str">
        <f t="shared" si="9"/>
        <v>1.6</v>
      </c>
      <c r="J14" s="6" t="s">
        <v>101</v>
      </c>
      <c r="K14" s="16" t="str">
        <f t="shared" si="10"/>
        <v>@case_width-path_medium-z16-(gr-hc)</v>
      </c>
      <c r="L14" s="8">
        <f t="shared" si="11"/>
        <v>0</v>
      </c>
      <c r="M14" s="11"/>
      <c r="N14" s="15" t="str">
        <f t="shared" si="12"/>
        <v>@case_width-path_medium-z16-(wnt)</v>
      </c>
      <c r="O14" s="8" t="str">
        <f t="shared" si="1"/>
        <v>1.8</v>
      </c>
      <c r="P14" s="6" t="s">
        <v>126</v>
      </c>
      <c r="Q14" s="16" t="str">
        <f t="shared" si="13"/>
        <v>@case_width-path_medium-z16-(wnt-hc)</v>
      </c>
      <c r="R14" s="8">
        <f t="shared" si="14"/>
        <v>0</v>
      </c>
      <c r="S14" s="11"/>
      <c r="U14" s="1" t="s">
        <v>81</v>
      </c>
      <c r="V14" s="2" t="str">
        <f t="shared" si="2"/>
        <v>-</v>
      </c>
      <c r="W14" s="1" t="s">
        <v>74</v>
      </c>
      <c r="X14" s="2" t="str">
        <f t="shared" si="15"/>
        <v>_</v>
      </c>
      <c r="Y14" s="1" t="s">
        <v>82</v>
      </c>
      <c r="Z14" s="2" t="str">
        <f t="shared" si="3"/>
        <v/>
      </c>
      <c r="AB14" s="2" t="str">
        <f t="shared" si="4"/>
        <v>-</v>
      </c>
      <c r="AC14" s="1" t="s">
        <v>78</v>
      </c>
    </row>
    <row r="15" spans="1:29" x14ac:dyDescent="0.25">
      <c r="B15" s="15" t="str">
        <f t="shared" si="5"/>
        <v>@case_width-path_medium-z18-(mtb)</v>
      </c>
      <c r="C15" s="8" t="str">
        <f t="shared" si="6"/>
        <v>9.0</v>
      </c>
      <c r="D15" s="6" t="s">
        <v>90</v>
      </c>
      <c r="E15" s="16" t="str">
        <f t="shared" si="7"/>
        <v>@case_width-path_medium-z18-(mtb-hc)</v>
      </c>
      <c r="F15" s="8" t="str">
        <f t="shared" si="0"/>
        <v>13.5</v>
      </c>
      <c r="G15" s="11" t="s">
        <v>96</v>
      </c>
      <c r="H15" s="15" t="str">
        <f t="shared" si="8"/>
        <v>@case_width-path_medium-z18-(gr)</v>
      </c>
      <c r="I15" s="8" t="str">
        <f t="shared" si="9"/>
        <v>2.4</v>
      </c>
      <c r="J15" s="6" t="s">
        <v>102</v>
      </c>
      <c r="K15" s="16" t="str">
        <f t="shared" si="10"/>
        <v>@case_width-path_medium-z18-(gr-hc)</v>
      </c>
      <c r="L15" s="8">
        <f t="shared" si="11"/>
        <v>0</v>
      </c>
      <c r="M15" s="11"/>
      <c r="N15" s="15" t="str">
        <f t="shared" si="12"/>
        <v>@case_width-path_medium-z18-(wnt)</v>
      </c>
      <c r="O15" s="8" t="str">
        <f t="shared" si="1"/>
        <v>2.4</v>
      </c>
      <c r="P15" s="6" t="s">
        <v>102</v>
      </c>
      <c r="Q15" s="16" t="str">
        <f t="shared" si="13"/>
        <v>@case_width-path_medium-z18-(wnt-hc)</v>
      </c>
      <c r="R15" s="8">
        <f t="shared" si="14"/>
        <v>0</v>
      </c>
      <c r="S15" s="11"/>
      <c r="U15" s="1" t="s">
        <v>81</v>
      </c>
      <c r="V15" s="2" t="str">
        <f t="shared" si="2"/>
        <v>-</v>
      </c>
      <c r="W15" s="1" t="s">
        <v>74</v>
      </c>
      <c r="X15" s="2" t="str">
        <f t="shared" si="15"/>
        <v>_</v>
      </c>
      <c r="Y15" s="1" t="s">
        <v>82</v>
      </c>
      <c r="Z15" s="2" t="str">
        <f t="shared" si="3"/>
        <v/>
      </c>
      <c r="AB15" s="2" t="str">
        <f t="shared" si="4"/>
        <v>-</v>
      </c>
      <c r="AC15" s="1" t="s">
        <v>79</v>
      </c>
    </row>
    <row r="16" spans="1:29" x14ac:dyDescent="0.25">
      <c r="B16" s="15" t="str">
        <f t="shared" si="5"/>
        <v>@case_width-path_wide-z11-(mtb)</v>
      </c>
      <c r="C16" s="8" t="str">
        <f t="shared" si="6"/>
        <v>2.0</v>
      </c>
      <c r="D16" s="6" t="s">
        <v>88</v>
      </c>
      <c r="E16" s="16" t="str">
        <f t="shared" si="7"/>
        <v>@case_width-path_wide-z11-(mtb-hc)</v>
      </c>
      <c r="F16" s="8" t="str">
        <f t="shared" si="0"/>
        <v>4.0</v>
      </c>
      <c r="G16" s="11" t="s">
        <v>95</v>
      </c>
      <c r="H16" s="15" t="str">
        <f t="shared" si="8"/>
        <v>@case_width-path_wide-z11-(gr)</v>
      </c>
      <c r="I16" s="8" t="str">
        <f t="shared" si="9"/>
        <v>1.5</v>
      </c>
      <c r="J16" s="6" t="s">
        <v>87</v>
      </c>
      <c r="K16" s="16" t="str">
        <f t="shared" si="10"/>
        <v>@case_width-path_wide-z11-(gr-hc)</v>
      </c>
      <c r="L16" s="8">
        <f t="shared" si="11"/>
        <v>0</v>
      </c>
      <c r="M16" s="11"/>
      <c r="N16" s="19" t="str">
        <f t="shared" si="12"/>
        <v>@case_width-path_wide-z11-(wnt)</v>
      </c>
      <c r="O16" s="20" t="str">
        <f t="shared" si="1"/>
        <v>0.5</v>
      </c>
      <c r="P16" s="18" t="s">
        <v>98</v>
      </c>
      <c r="Q16" s="21" t="str">
        <f t="shared" si="13"/>
        <v>@case_width-path_wide-z11-(wnt-hc)</v>
      </c>
      <c r="R16" s="20">
        <f t="shared" si="14"/>
        <v>0</v>
      </c>
      <c r="S16" s="22"/>
      <c r="U16" s="1" t="s">
        <v>81</v>
      </c>
      <c r="V16" s="2" t="str">
        <f t="shared" si="2"/>
        <v>-</v>
      </c>
      <c r="W16" s="1" t="s">
        <v>74</v>
      </c>
      <c r="X16" s="2" t="str">
        <f t="shared" si="15"/>
        <v>_</v>
      </c>
      <c r="Y16" s="1" t="s">
        <v>80</v>
      </c>
      <c r="Z16" s="2" t="str">
        <f t="shared" si="3"/>
        <v/>
      </c>
      <c r="AB16" s="2" t="str">
        <f t="shared" si="4"/>
        <v>-</v>
      </c>
      <c r="AC16" s="1" t="s">
        <v>73</v>
      </c>
    </row>
    <row r="17" spans="1:29" x14ac:dyDescent="0.25">
      <c r="B17" s="15" t="str">
        <f t="shared" si="5"/>
        <v>@case_width-path_wide-z12-(mtb)</v>
      </c>
      <c r="C17" s="8" t="str">
        <f t="shared" si="6"/>
        <v>2.4</v>
      </c>
      <c r="D17" s="6" t="s">
        <v>102</v>
      </c>
      <c r="E17" s="16" t="str">
        <f t="shared" si="7"/>
        <v>@case_width-path_wide-z12-(mtb-hc)</v>
      </c>
      <c r="F17" s="8" t="str">
        <f t="shared" si="0"/>
        <v>4.8</v>
      </c>
      <c r="G17" s="11" t="s">
        <v>116</v>
      </c>
      <c r="H17" s="15" t="str">
        <f t="shared" si="8"/>
        <v>@case_width-path_wide-z12-(gr)</v>
      </c>
      <c r="I17" s="8" t="str">
        <f t="shared" si="9"/>
        <v>1.5</v>
      </c>
      <c r="J17" s="6" t="s">
        <v>87</v>
      </c>
      <c r="K17" s="16" t="str">
        <f t="shared" si="10"/>
        <v>@case_width-path_wide-z12-(gr-hc)</v>
      </c>
      <c r="L17" s="8">
        <f t="shared" si="11"/>
        <v>0</v>
      </c>
      <c r="M17" s="11"/>
      <c r="N17" s="19" t="str">
        <f t="shared" si="12"/>
        <v>@case_width-path_wide-z12-(wnt)</v>
      </c>
      <c r="O17" s="20" t="str">
        <f t="shared" si="1"/>
        <v>0.6</v>
      </c>
      <c r="P17" s="18" t="s">
        <v>125</v>
      </c>
      <c r="Q17" s="21" t="str">
        <f t="shared" si="13"/>
        <v>@case_width-path_wide-z12-(wnt-hc)</v>
      </c>
      <c r="R17" s="20">
        <f t="shared" si="14"/>
        <v>0</v>
      </c>
      <c r="S17" s="22"/>
      <c r="U17" s="1" t="s">
        <v>81</v>
      </c>
      <c r="V17" s="2" t="str">
        <f t="shared" si="2"/>
        <v>-</v>
      </c>
      <c r="W17" s="1" t="s">
        <v>74</v>
      </c>
      <c r="X17" s="2" t="str">
        <f t="shared" si="15"/>
        <v>_</v>
      </c>
      <c r="Y17" s="1" t="s">
        <v>80</v>
      </c>
      <c r="Z17" s="2" t="str">
        <f t="shared" si="3"/>
        <v/>
      </c>
      <c r="AB17" s="2" t="str">
        <f t="shared" si="4"/>
        <v>-</v>
      </c>
      <c r="AC17" s="1" t="s">
        <v>112</v>
      </c>
    </row>
    <row r="18" spans="1:29" x14ac:dyDescent="0.25">
      <c r="B18" s="15" t="str">
        <f>_xlfn.CONCAT("@",U18,V18,W18,X18,Y18,Z18,AA18,AB18,AC18,"-(",B$3,")")</f>
        <v>@case_width-path_wide-z14-(mtb)</v>
      </c>
      <c r="C18" s="8" t="str">
        <f>D18</f>
        <v>3.0</v>
      </c>
      <c r="D18" s="6" t="s">
        <v>91</v>
      </c>
      <c r="E18" s="16" t="str">
        <f>_xlfn.CONCAT("@",U18,V18,W18,X18,Y18,Z18,AA18,AB18,AC18,"-(",E$3,")")</f>
        <v>@case_width-path_wide-z14-(mtb-hc)</v>
      </c>
      <c r="F18" s="8" t="str">
        <f t="shared" si="0"/>
        <v>6.0</v>
      </c>
      <c r="G18" s="11" t="s">
        <v>89</v>
      </c>
      <c r="H18" s="15" t="str">
        <f>_xlfn.CONCAT("@",U18,V18,W18,X18,Y18,Z18,AA18,AB18,AC18,"-(",H$3,")")</f>
        <v>@case_width-path_wide-z14-(gr)</v>
      </c>
      <c r="I18" s="8" t="str">
        <f t="shared" si="9"/>
        <v>1.6</v>
      </c>
      <c r="J18" s="6" t="s">
        <v>101</v>
      </c>
      <c r="K18" s="16" t="str">
        <f t="shared" si="10"/>
        <v>@case_width-path_wide-z14-(gr-hc)</v>
      </c>
      <c r="L18" s="8">
        <f t="shared" si="11"/>
        <v>0</v>
      </c>
      <c r="M18" s="11"/>
      <c r="N18" s="19" t="str">
        <f t="shared" si="12"/>
        <v>@case_width-path_wide-z14-(wnt)</v>
      </c>
      <c r="O18" s="20" t="str">
        <f t="shared" si="1"/>
        <v>1.0</v>
      </c>
      <c r="P18" s="18" t="s">
        <v>83</v>
      </c>
      <c r="Q18" s="21" t="str">
        <f t="shared" si="13"/>
        <v>@case_width-path_wide-z14-(wnt-hc)</v>
      </c>
      <c r="R18" s="20">
        <f t="shared" si="14"/>
        <v>0</v>
      </c>
      <c r="S18" s="22"/>
      <c r="U18" s="1" t="s">
        <v>81</v>
      </c>
      <c r="V18" s="2" t="str">
        <f t="shared" si="2"/>
        <v>-</v>
      </c>
      <c r="W18" s="1" t="s">
        <v>74</v>
      </c>
      <c r="X18" s="2" t="str">
        <f t="shared" si="15"/>
        <v>_</v>
      </c>
      <c r="Y18" s="1" t="s">
        <v>80</v>
      </c>
      <c r="Z18" s="2" t="str">
        <f t="shared" si="3"/>
        <v/>
      </c>
      <c r="AB18" s="2" t="str">
        <f t="shared" si="4"/>
        <v>-</v>
      </c>
      <c r="AC18" s="1" t="s">
        <v>77</v>
      </c>
    </row>
    <row r="19" spans="1:29" x14ac:dyDescent="0.25">
      <c r="B19" s="15" t="str">
        <f>_xlfn.CONCAT("@",U19,V19,W19,X19,Y19,Z19,AA19,AB19,AC19,"-(",B$3,")")</f>
        <v>@case_width-path_wide-z16-(mtb)</v>
      </c>
      <c r="C19" s="8" t="str">
        <f t="shared" ref="C19:C20" si="16">D19</f>
        <v>9.0</v>
      </c>
      <c r="D19" s="6" t="s">
        <v>90</v>
      </c>
      <c r="E19" s="16" t="str">
        <f>_xlfn.CONCAT("@",U19,V19,W19,X19,Y19,Z19,AA19,AB19,AC19,"-(",E$3,")")</f>
        <v>@case_width-path_wide-z16-(mtb-hc)</v>
      </c>
      <c r="F19" s="8" t="str">
        <f>G19</f>
        <v>9.0</v>
      </c>
      <c r="G19" s="11" t="s">
        <v>90</v>
      </c>
      <c r="H19" s="15" t="str">
        <f>_xlfn.CONCAT("@",U19,V19,W19,X19,Y19,Z19,AA19,AB19,AC19,"-(",H$3,")")</f>
        <v>@case_width-path_wide-z16-(gr)</v>
      </c>
      <c r="I19" s="8" t="str">
        <f t="shared" ref="I19:I20" si="17">J19</f>
        <v>2.4</v>
      </c>
      <c r="J19" s="6" t="s">
        <v>102</v>
      </c>
      <c r="K19" s="16" t="str">
        <f t="shared" si="10"/>
        <v>@case_width-path_wide-z16-(gr-hc)</v>
      </c>
      <c r="L19" s="8">
        <f t="shared" ref="L19:L20" si="18">M19</f>
        <v>0</v>
      </c>
      <c r="M19" s="11"/>
      <c r="N19" s="19" t="str">
        <f t="shared" si="12"/>
        <v>@case_width-path_wide-z16-(wnt)</v>
      </c>
      <c r="O19" s="20" t="str">
        <f t="shared" si="1"/>
        <v>1.8</v>
      </c>
      <c r="P19" s="18" t="s">
        <v>126</v>
      </c>
      <c r="Q19" s="21" t="str">
        <f t="shared" si="13"/>
        <v>@case_width-path_wide-z16-(wnt-hc)</v>
      </c>
      <c r="R19" s="20">
        <f t="shared" si="14"/>
        <v>0</v>
      </c>
      <c r="S19" s="22"/>
      <c r="U19" s="1" t="s">
        <v>81</v>
      </c>
      <c r="V19" s="2" t="str">
        <f t="shared" si="2"/>
        <v>-</v>
      </c>
      <c r="W19" s="1" t="s">
        <v>74</v>
      </c>
      <c r="X19" s="2" t="str">
        <f t="shared" si="15"/>
        <v>_</v>
      </c>
      <c r="Y19" s="1" t="s">
        <v>80</v>
      </c>
      <c r="Z19" s="2" t="str">
        <f t="shared" si="3"/>
        <v/>
      </c>
      <c r="AB19" s="2" t="str">
        <f t="shared" si="4"/>
        <v>-</v>
      </c>
      <c r="AC19" s="1" t="s">
        <v>78</v>
      </c>
    </row>
    <row r="20" spans="1:29" x14ac:dyDescent="0.25">
      <c r="B20" s="15" t="str">
        <f>_xlfn.CONCAT("@",U20,V20,W20,X20,Y20,Z20,AA20,AB20,AC20,"-(",B$3,")")</f>
        <v>@case_width-path_wide-z18-(mtb)</v>
      </c>
      <c r="C20" s="8" t="str">
        <f t="shared" si="16"/>
        <v>15.0</v>
      </c>
      <c r="D20" s="6" t="s">
        <v>92</v>
      </c>
      <c r="E20" s="16" t="str">
        <f>_xlfn.CONCAT("@",U20,V20,W20,X20,Y20,Z20,AA20,AB20,AC20,"-(",E$3,")")</f>
        <v>@case_width-path_wide-z18-(mtb-hc)</v>
      </c>
      <c r="F20" s="8" t="str">
        <f>G20</f>
        <v>22.5</v>
      </c>
      <c r="G20" s="11" t="s">
        <v>97</v>
      </c>
      <c r="H20" s="15" t="str">
        <f>_xlfn.CONCAT("@",U20,V20,W20,X20,Y20,Z20,AA20,AB20,AC20,"-(",H$3,")")</f>
        <v>@case_width-path_wide-z18-(gr)</v>
      </c>
      <c r="I20" s="8" t="str">
        <f t="shared" si="17"/>
        <v>3.6</v>
      </c>
      <c r="J20" s="6" t="s">
        <v>103</v>
      </c>
      <c r="K20" s="16" t="str">
        <f t="shared" si="10"/>
        <v>@case_width-path_wide-z18-(gr-hc)</v>
      </c>
      <c r="L20" s="8">
        <f t="shared" si="18"/>
        <v>0</v>
      </c>
      <c r="M20" s="11"/>
      <c r="N20" s="19" t="str">
        <f t="shared" si="12"/>
        <v>@case_width-path_wide-z18-(wnt)</v>
      </c>
      <c r="O20" s="20" t="str">
        <f t="shared" si="1"/>
        <v>2.4</v>
      </c>
      <c r="P20" s="18" t="s">
        <v>102</v>
      </c>
      <c r="Q20" s="21" t="str">
        <f t="shared" si="13"/>
        <v>@case_width-path_wide-z18-(wnt-hc)</v>
      </c>
      <c r="R20" s="20">
        <f t="shared" ref="R20" si="19">S20</f>
        <v>0</v>
      </c>
      <c r="S20" s="22"/>
      <c r="U20" s="1" t="s">
        <v>81</v>
      </c>
      <c r="V20" s="2" t="str">
        <f t="shared" si="2"/>
        <v>-</v>
      </c>
      <c r="W20" s="1" t="s">
        <v>74</v>
      </c>
      <c r="X20" s="2" t="str">
        <f t="shared" ref="X20" si="20">IF(NOT(ISBLANK(Y20)),"_","")</f>
        <v>_</v>
      </c>
      <c r="Y20" s="1" t="s">
        <v>80</v>
      </c>
      <c r="Z20" s="2" t="str">
        <f t="shared" si="3"/>
        <v/>
      </c>
      <c r="AB20" s="2" t="str">
        <f t="shared" si="4"/>
        <v>-</v>
      </c>
      <c r="AC20" s="1" t="s">
        <v>79</v>
      </c>
    </row>
    <row r="21" spans="1:29" x14ac:dyDescent="0.25">
      <c r="A21" s="4" t="s">
        <v>121</v>
      </c>
      <c r="B21" s="12"/>
      <c r="C21" s="4"/>
      <c r="D21" s="7"/>
      <c r="E21" s="14"/>
      <c r="F21" s="4"/>
      <c r="G21" s="13"/>
      <c r="H21" s="12"/>
      <c r="I21" s="4"/>
      <c r="J21" s="7"/>
      <c r="K21" s="14"/>
      <c r="L21" s="4"/>
      <c r="M21" s="13"/>
      <c r="N21" s="12"/>
      <c r="O21" s="4"/>
      <c r="P21" s="7"/>
      <c r="Q21" s="14"/>
      <c r="R21" s="4"/>
      <c r="S21" s="13"/>
      <c r="T21" s="5"/>
      <c r="U21" s="4"/>
      <c r="V21" s="5"/>
      <c r="W21" s="4"/>
      <c r="X21" s="5"/>
      <c r="Y21" s="4"/>
      <c r="Z21" s="5"/>
      <c r="AA21" s="5"/>
      <c r="AB21" s="5"/>
      <c r="AC21" s="4"/>
    </row>
    <row r="22" spans="1:29" x14ac:dyDescent="0.25">
      <c r="B22" s="15" t="str">
        <f>_xlfn.CONCAT("@",U22,V22,W22,X22,Y22,Z22,AA22,AB22,AC22,"-(",B$3,")")</f>
        <v>@line_width-path_narrow-z11-(mtb)</v>
      </c>
      <c r="C22" s="8" t="str">
        <f>D22</f>
        <v>0.3</v>
      </c>
      <c r="D22" s="6" t="s">
        <v>127</v>
      </c>
      <c r="E22" s="16" t="str">
        <f>_xlfn.CONCAT("@",U22,V22,W22,X22,Y22,Z22,AA22,AB22,AC22,"-(",E$3,")")</f>
        <v>@line_width-path_narrow-z11-(mtb-hc)</v>
      </c>
      <c r="F22" s="8" t="str">
        <f t="shared" ref="F22:F34" si="21">G22</f>
        <v>0.5</v>
      </c>
      <c r="G22" s="11" t="s">
        <v>98</v>
      </c>
      <c r="H22" s="15" t="str">
        <f>_xlfn.CONCAT("@",U22,V22,W22,X22,Y22,Z22,AA22,AB22,AC22,"-(",H$3,")")</f>
        <v>@line_width-path_narrow-z11-(gr)</v>
      </c>
      <c r="I22" s="8" t="str">
        <f>J22</f>
        <v>0.3</v>
      </c>
      <c r="J22" s="6" t="s">
        <v>127</v>
      </c>
      <c r="K22" s="16" t="str">
        <f>_xlfn.CONCAT("@",U22,V22,W22,X22,Y22,Z22,AA22,AB22,AC22,"-(",K$3,")")</f>
        <v>@line_width-path_narrow-z11-(gr-hc)</v>
      </c>
      <c r="L22" s="8">
        <f>M22</f>
        <v>0</v>
      </c>
      <c r="M22" s="11"/>
      <c r="N22" s="19" t="str">
        <f>_xlfn.CONCAT("@",U22,V22,W22,X22,Y22,Z22,AA22,AB22,AC22,"-(",N$3,")")</f>
        <v>@line_width-path_narrow-z11-(wnt)</v>
      </c>
      <c r="O22" s="20" t="str">
        <f t="shared" ref="O22:O36" si="22">P22</f>
        <v>0.5</v>
      </c>
      <c r="P22" s="18" t="s">
        <v>98</v>
      </c>
      <c r="Q22" s="21" t="str">
        <f>_xlfn.CONCAT("@",U22,V22,W22,X22,Y22,Z22,AA22,AB22,AC22,"-(",Q$3,")")</f>
        <v>@line_width-path_narrow-z11-(wnt-hc)</v>
      </c>
      <c r="R22" s="20" t="str">
        <f>S22</f>
        <v>0.5</v>
      </c>
      <c r="S22" s="26" t="str">
        <f t="shared" ref="S22:S26" si="23">G22</f>
        <v>0.5</v>
      </c>
      <c r="U22" s="1" t="s">
        <v>122</v>
      </c>
      <c r="V22" s="2" t="str">
        <f t="shared" ref="V22:V36" si="24">IF(NOT(ISBLANK(W22)),"-","")</f>
        <v>-</v>
      </c>
      <c r="W22" s="1" t="s">
        <v>74</v>
      </c>
      <c r="X22" s="2" t="str">
        <f>IF(NOT(ISBLANK(Y22)),"_","")</f>
        <v>_</v>
      </c>
      <c r="Y22" s="1" t="s">
        <v>75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73</v>
      </c>
    </row>
    <row r="23" spans="1:29" x14ac:dyDescent="0.25">
      <c r="B23" s="15" t="str">
        <f t="shared" ref="B23:B33" si="27">_xlfn.CONCAT("@",U23,V23,W23,X23,Y23,Z23,AA23,AB23,AC23,"-(",B$3,")")</f>
        <v>@line_width-path_narrow-z12-(mtb)</v>
      </c>
      <c r="C23" s="8" t="str">
        <f t="shared" ref="C23:C33" si="28">D23</f>
        <v>0.4</v>
      </c>
      <c r="D23" s="6" t="s">
        <v>123</v>
      </c>
      <c r="E23" s="16" t="str">
        <f t="shared" ref="E23:E33" si="29">_xlfn.CONCAT("@",U23,V23,W23,X23,Y23,Z23,AA23,AB23,AC23,"-(",E$3,")")</f>
        <v>@line_width-path_narrow-z12-(mtb-hc)</v>
      </c>
      <c r="F23" s="8" t="str">
        <f t="shared" si="21"/>
        <v>0.6</v>
      </c>
      <c r="G23" s="11" t="s">
        <v>125</v>
      </c>
      <c r="H23" s="15" t="str">
        <f t="shared" ref="H23:H33" si="30">_xlfn.CONCAT("@",U23,V23,W23,X23,Y23,Z23,AA23,AB23,AC23,"-(",H$3,")")</f>
        <v>@line_width-path_narrow-z12-(gr)</v>
      </c>
      <c r="I23" s="8" t="str">
        <f t="shared" ref="I23:I36" si="31">J23</f>
        <v>0.4</v>
      </c>
      <c r="J23" s="6" t="s">
        <v>123</v>
      </c>
      <c r="K23" s="16" t="str">
        <f t="shared" ref="K23:K36" si="32">_xlfn.CONCAT("@",U23,V23,W23,X23,Y23,Z23,AA23,AB23,AC23,"-(",K$3,")")</f>
        <v>@line_width-path_narrow-z12-(gr-hc)</v>
      </c>
      <c r="L23" s="8">
        <f t="shared" ref="L23:L36" si="33">M23</f>
        <v>0</v>
      </c>
      <c r="M23" s="11"/>
      <c r="N23" s="19" t="str">
        <f t="shared" ref="N23:N36" si="34">_xlfn.CONCAT("@",U23,V23,W23,X23,Y23,Z23,AA23,AB23,AC23,"-(",N$3,")")</f>
        <v>@line_width-path_narrow-z12-(wnt)</v>
      </c>
      <c r="O23" s="20" t="str">
        <f t="shared" si="22"/>
        <v>0.6</v>
      </c>
      <c r="P23" s="18" t="s">
        <v>125</v>
      </c>
      <c r="Q23" s="21" t="str">
        <f t="shared" ref="Q23:Q36" si="35">_xlfn.CONCAT("@",U23,V23,W23,X23,Y23,Z23,AA23,AB23,AC23,"-(",Q$3,")")</f>
        <v>@line_width-path_narrow-z12-(wnt-hc)</v>
      </c>
      <c r="R23" s="20" t="str">
        <f t="shared" ref="R23:R36" si="36">S23</f>
        <v>0.6</v>
      </c>
      <c r="S23" s="26" t="str">
        <f t="shared" si="23"/>
        <v>0.6</v>
      </c>
      <c r="U23" s="1" t="s">
        <v>122</v>
      </c>
      <c r="V23" s="2" t="str">
        <f t="shared" si="24"/>
        <v>-</v>
      </c>
      <c r="W23" s="1" t="s">
        <v>74</v>
      </c>
      <c r="X23" s="2" t="str">
        <f t="shared" ref="X23:X36" si="37">IF(NOT(ISBLANK(Y23)),"_","")</f>
        <v>_</v>
      </c>
      <c r="Y23" s="1" t="s">
        <v>75</v>
      </c>
      <c r="Z23" s="2" t="str">
        <f t="shared" si="25"/>
        <v/>
      </c>
      <c r="AB23" s="2" t="str">
        <f t="shared" si="26"/>
        <v>-</v>
      </c>
      <c r="AC23" s="1" t="s">
        <v>112</v>
      </c>
    </row>
    <row r="24" spans="1:29" x14ac:dyDescent="0.25">
      <c r="B24" s="15" t="str">
        <f t="shared" si="27"/>
        <v>@line_width-path_narrow-z14-(mtb)</v>
      </c>
      <c r="C24" s="8" t="str">
        <f t="shared" si="28"/>
        <v>0.7</v>
      </c>
      <c r="D24" s="6" t="s">
        <v>118</v>
      </c>
      <c r="E24" s="16" t="str">
        <f t="shared" si="29"/>
        <v>@line_width-path_narrow-z14-(mtb-hc)</v>
      </c>
      <c r="F24" s="8" t="str">
        <f t="shared" si="21"/>
        <v>1.2</v>
      </c>
      <c r="G24" s="11" t="s">
        <v>100</v>
      </c>
      <c r="H24" s="15" t="str">
        <f t="shared" si="30"/>
        <v>@line_width-path_narrow-z14-(gr)</v>
      </c>
      <c r="I24" s="8" t="str">
        <f t="shared" si="31"/>
        <v>0.5</v>
      </c>
      <c r="J24" s="6" t="s">
        <v>98</v>
      </c>
      <c r="K24" s="16" t="str">
        <f t="shared" si="32"/>
        <v>@line_width-path_narrow-z14-(gr-hc)</v>
      </c>
      <c r="L24" s="8">
        <f t="shared" si="33"/>
        <v>0</v>
      </c>
      <c r="M24" s="11"/>
      <c r="N24" s="19" t="str">
        <f t="shared" si="34"/>
        <v>@line_width-path_narrow-z14-(wnt)</v>
      </c>
      <c r="O24" s="20" t="str">
        <f t="shared" si="22"/>
        <v>1.0</v>
      </c>
      <c r="P24" s="18" t="s">
        <v>83</v>
      </c>
      <c r="Q24" s="21" t="str">
        <f t="shared" si="35"/>
        <v>@line_width-path_narrow-z14-(wnt-hc)</v>
      </c>
      <c r="R24" s="20" t="str">
        <f t="shared" si="36"/>
        <v>1.2</v>
      </c>
      <c r="S24" s="26" t="str">
        <f t="shared" si="23"/>
        <v>1.2</v>
      </c>
      <c r="U24" s="1" t="s">
        <v>122</v>
      </c>
      <c r="V24" s="2" t="str">
        <f t="shared" si="24"/>
        <v>-</v>
      </c>
      <c r="W24" s="1" t="s">
        <v>74</v>
      </c>
      <c r="X24" s="2" t="str">
        <f t="shared" si="37"/>
        <v>_</v>
      </c>
      <c r="Y24" s="1" t="s">
        <v>75</v>
      </c>
      <c r="Z24" s="2" t="str">
        <f t="shared" si="25"/>
        <v/>
      </c>
      <c r="AB24" s="2" t="str">
        <f t="shared" si="26"/>
        <v>-</v>
      </c>
      <c r="AC24" s="1" t="s">
        <v>77</v>
      </c>
    </row>
    <row r="25" spans="1:29" x14ac:dyDescent="0.25">
      <c r="B25" s="15" t="str">
        <f t="shared" si="27"/>
        <v>@line_width-path_narrow-z16-(mtb)</v>
      </c>
      <c r="C25" s="8" t="str">
        <f t="shared" si="28"/>
        <v>1.2</v>
      </c>
      <c r="D25" s="6" t="s">
        <v>100</v>
      </c>
      <c r="E25" s="16" t="str">
        <f t="shared" si="29"/>
        <v>@line_width-path_narrow-z16-(mtb-hc)</v>
      </c>
      <c r="F25" s="8" t="str">
        <f t="shared" si="21"/>
        <v>1.5</v>
      </c>
      <c r="G25" s="11" t="s">
        <v>87</v>
      </c>
      <c r="H25" s="15" t="str">
        <f t="shared" si="30"/>
        <v>@line_width-path_narrow-z16-(gr)</v>
      </c>
      <c r="I25" s="8" t="str">
        <f t="shared" si="31"/>
        <v>1.0</v>
      </c>
      <c r="J25" s="6" t="s">
        <v>83</v>
      </c>
      <c r="K25" s="16" t="str">
        <f t="shared" si="32"/>
        <v>@line_width-path_narrow-z16-(gr-hc)</v>
      </c>
      <c r="L25" s="8">
        <f t="shared" si="33"/>
        <v>0</v>
      </c>
      <c r="M25" s="11"/>
      <c r="N25" s="19" t="str">
        <f t="shared" si="34"/>
        <v>@line_width-path_narrow-z16-(wnt)</v>
      </c>
      <c r="O25" s="20" t="str">
        <f t="shared" si="22"/>
        <v>1.8</v>
      </c>
      <c r="P25" s="18" t="s">
        <v>126</v>
      </c>
      <c r="Q25" s="21" t="str">
        <f t="shared" si="35"/>
        <v>@line_width-path_narrow-z16-(wnt-hc)</v>
      </c>
      <c r="R25" s="20" t="str">
        <f t="shared" si="36"/>
        <v>1.5</v>
      </c>
      <c r="S25" s="26" t="str">
        <f t="shared" si="23"/>
        <v>1.5</v>
      </c>
      <c r="U25" s="1" t="s">
        <v>122</v>
      </c>
      <c r="V25" s="2" t="str">
        <f t="shared" si="24"/>
        <v>-</v>
      </c>
      <c r="W25" s="1" t="s">
        <v>74</v>
      </c>
      <c r="X25" s="2" t="str">
        <f t="shared" si="37"/>
        <v>_</v>
      </c>
      <c r="Y25" s="1" t="s">
        <v>75</v>
      </c>
      <c r="Z25" s="2" t="str">
        <f t="shared" si="25"/>
        <v/>
      </c>
      <c r="AB25" s="2" t="str">
        <f t="shared" si="26"/>
        <v>-</v>
      </c>
      <c r="AC25" s="1" t="s">
        <v>78</v>
      </c>
    </row>
    <row r="26" spans="1:29" x14ac:dyDescent="0.25">
      <c r="B26" s="15" t="str">
        <f t="shared" si="27"/>
        <v>@line_width-path_narrow-z18-(mtb)</v>
      </c>
      <c r="C26" s="8" t="str">
        <f t="shared" si="28"/>
        <v>2.3</v>
      </c>
      <c r="D26" s="6" t="s">
        <v>124</v>
      </c>
      <c r="E26" s="16" t="str">
        <f t="shared" si="29"/>
        <v>@line_width-path_narrow-z18-(mtb-hc)</v>
      </c>
      <c r="F26" s="8" t="str">
        <f t="shared" si="21"/>
        <v>3.0</v>
      </c>
      <c r="G26" s="11" t="s">
        <v>91</v>
      </c>
      <c r="H26" s="15" t="str">
        <f t="shared" si="30"/>
        <v>@line_width-path_narrow-z18-(gr)</v>
      </c>
      <c r="I26" s="8" t="str">
        <f t="shared" si="31"/>
        <v>1.0</v>
      </c>
      <c r="J26" s="6" t="s">
        <v>83</v>
      </c>
      <c r="K26" s="16" t="str">
        <f t="shared" si="32"/>
        <v>@line_width-path_narrow-z18-(gr-hc)</v>
      </c>
      <c r="L26" s="8">
        <f t="shared" si="33"/>
        <v>0</v>
      </c>
      <c r="M26" s="11"/>
      <c r="N26" s="19" t="str">
        <f t="shared" si="34"/>
        <v>@line_width-path_narrow-z18-(wnt)</v>
      </c>
      <c r="O26" s="20" t="str">
        <f t="shared" si="22"/>
        <v>2.4</v>
      </c>
      <c r="P26" s="18" t="s">
        <v>102</v>
      </c>
      <c r="Q26" s="21" t="str">
        <f t="shared" si="35"/>
        <v>@line_width-path_narrow-z18-(wnt-hc)</v>
      </c>
      <c r="R26" s="20" t="str">
        <f t="shared" si="36"/>
        <v>3.0</v>
      </c>
      <c r="S26" s="26" t="str">
        <f t="shared" si="23"/>
        <v>3.0</v>
      </c>
      <c r="U26" s="1" t="s">
        <v>122</v>
      </c>
      <c r="V26" s="2" t="str">
        <f t="shared" si="24"/>
        <v>-</v>
      </c>
      <c r="W26" s="1" t="s">
        <v>74</v>
      </c>
      <c r="X26" s="2" t="str">
        <f t="shared" si="37"/>
        <v>_</v>
      </c>
      <c r="Y26" s="1" t="s">
        <v>75</v>
      </c>
      <c r="Z26" s="2" t="str">
        <f t="shared" si="25"/>
        <v/>
      </c>
      <c r="AB26" s="2" t="str">
        <f t="shared" si="26"/>
        <v>-</v>
      </c>
      <c r="AC26" s="1" t="s">
        <v>79</v>
      </c>
    </row>
    <row r="27" spans="1:29" x14ac:dyDescent="0.25">
      <c r="B27" s="15" t="str">
        <f t="shared" si="27"/>
        <v>@line_width-path_medium-z11-(mtb)</v>
      </c>
      <c r="C27" s="8" t="str">
        <f t="shared" si="28"/>
        <v>0.5</v>
      </c>
      <c r="D27" s="6" t="s">
        <v>98</v>
      </c>
      <c r="E27" s="16" t="str">
        <f t="shared" si="29"/>
        <v>@line_width-path_medium-z11-(mtb-hc)</v>
      </c>
      <c r="F27" s="8" t="str">
        <f t="shared" si="21"/>
        <v>0.7</v>
      </c>
      <c r="G27" s="11" t="s">
        <v>118</v>
      </c>
      <c r="H27" s="15" t="str">
        <f t="shared" si="30"/>
        <v>@line_width-path_medium-z11-(gr)</v>
      </c>
      <c r="I27" s="8" t="str">
        <f t="shared" si="31"/>
        <v>0.5</v>
      </c>
      <c r="J27" s="6" t="s">
        <v>98</v>
      </c>
      <c r="K27" s="16" t="str">
        <f t="shared" si="32"/>
        <v>@line_width-path_medium-z11-(gr-hc)</v>
      </c>
      <c r="L27" s="8">
        <f t="shared" si="33"/>
        <v>0</v>
      </c>
      <c r="M27" s="11"/>
      <c r="N27" s="15" t="str">
        <f t="shared" si="34"/>
        <v>@line_width-path_medium-z11-(wnt)</v>
      </c>
      <c r="O27" s="8" t="str">
        <f t="shared" si="22"/>
        <v>0.5</v>
      </c>
      <c r="P27" s="8" t="str">
        <f t="shared" ref="P27:P31" si="38">D27</f>
        <v>0.5</v>
      </c>
      <c r="Q27" s="16" t="str">
        <f t="shared" si="35"/>
        <v>@line_width-path_medium-z11-(wnt-hc)</v>
      </c>
      <c r="R27" s="8" t="str">
        <f t="shared" si="36"/>
        <v>0.7</v>
      </c>
      <c r="S27" s="17" t="str">
        <f t="shared" ref="S27:S36" si="39">G27</f>
        <v>0.7</v>
      </c>
      <c r="U27" s="1" t="s">
        <v>122</v>
      </c>
      <c r="V27" s="2" t="str">
        <f t="shared" si="24"/>
        <v>-</v>
      </c>
      <c r="W27" s="1" t="s">
        <v>74</v>
      </c>
      <c r="X27" s="2" t="str">
        <f t="shared" si="37"/>
        <v>_</v>
      </c>
      <c r="Y27" s="1" t="s">
        <v>82</v>
      </c>
      <c r="Z27" s="2" t="str">
        <f t="shared" si="25"/>
        <v/>
      </c>
      <c r="AB27" s="2" t="str">
        <f t="shared" si="26"/>
        <v>-</v>
      </c>
      <c r="AC27" s="1" t="s">
        <v>73</v>
      </c>
    </row>
    <row r="28" spans="1:29" x14ac:dyDescent="0.25">
      <c r="B28" s="15" t="str">
        <f t="shared" si="27"/>
        <v>@line_width-path_medium-z12-(mtb)</v>
      </c>
      <c r="C28" s="8" t="str">
        <f t="shared" si="28"/>
        <v>0.6</v>
      </c>
      <c r="D28" s="6" t="s">
        <v>125</v>
      </c>
      <c r="E28" s="16" t="str">
        <f t="shared" si="29"/>
        <v>@line_width-path_medium-z12-(mtb-hc)</v>
      </c>
      <c r="F28" s="8" t="str">
        <f t="shared" si="21"/>
        <v>0.9</v>
      </c>
      <c r="G28" s="11" t="s">
        <v>119</v>
      </c>
      <c r="H28" s="15" t="str">
        <f t="shared" si="30"/>
        <v>@line_width-path_medium-z12-(gr)</v>
      </c>
      <c r="I28" s="8" t="str">
        <f t="shared" si="31"/>
        <v>0.6</v>
      </c>
      <c r="J28" s="6" t="s">
        <v>125</v>
      </c>
      <c r="K28" s="16" t="str">
        <f t="shared" si="32"/>
        <v>@line_width-path_medium-z12-(gr-hc)</v>
      </c>
      <c r="L28" s="8">
        <f t="shared" si="33"/>
        <v>0</v>
      </c>
      <c r="M28" s="11"/>
      <c r="N28" s="15" t="str">
        <f t="shared" si="34"/>
        <v>@line_width-path_medium-z12-(wnt)</v>
      </c>
      <c r="O28" s="8" t="str">
        <f t="shared" si="22"/>
        <v>0.6</v>
      </c>
      <c r="P28" s="8" t="str">
        <f t="shared" si="38"/>
        <v>0.6</v>
      </c>
      <c r="Q28" s="16" t="str">
        <f t="shared" si="35"/>
        <v>@line_width-path_medium-z12-(wnt-hc)</v>
      </c>
      <c r="R28" s="8" t="str">
        <f t="shared" si="36"/>
        <v>0.9</v>
      </c>
      <c r="S28" s="17" t="str">
        <f t="shared" si="39"/>
        <v>0.9</v>
      </c>
      <c r="U28" s="1" t="s">
        <v>122</v>
      </c>
      <c r="V28" s="2" t="str">
        <f t="shared" si="24"/>
        <v>-</v>
      </c>
      <c r="W28" s="1" t="s">
        <v>74</v>
      </c>
      <c r="X28" s="2" t="str">
        <f t="shared" si="37"/>
        <v>_</v>
      </c>
      <c r="Y28" s="1" t="s">
        <v>82</v>
      </c>
      <c r="Z28" s="2" t="str">
        <f t="shared" si="25"/>
        <v/>
      </c>
      <c r="AB28" s="2" t="str">
        <f t="shared" si="26"/>
        <v>-</v>
      </c>
      <c r="AC28" s="1" t="s">
        <v>112</v>
      </c>
    </row>
    <row r="29" spans="1:29" x14ac:dyDescent="0.25">
      <c r="B29" s="15" t="str">
        <f t="shared" si="27"/>
        <v>@line_width-path_medium-z14-(mtb)</v>
      </c>
      <c r="C29" s="8" t="str">
        <f t="shared" si="28"/>
        <v>1.0</v>
      </c>
      <c r="D29" s="6" t="s">
        <v>83</v>
      </c>
      <c r="E29" s="16" t="str">
        <f t="shared" si="29"/>
        <v>@line_width-path_medium-z14-(mtb-hc)</v>
      </c>
      <c r="F29" s="8" t="str">
        <f t="shared" si="21"/>
        <v>1.5</v>
      </c>
      <c r="G29" s="11" t="s">
        <v>87</v>
      </c>
      <c r="H29" s="15" t="str">
        <f t="shared" si="30"/>
        <v>@line_width-path_medium-z14-(gr)</v>
      </c>
      <c r="I29" s="8" t="str">
        <f t="shared" si="31"/>
        <v>0.8</v>
      </c>
      <c r="J29" s="6" t="s">
        <v>99</v>
      </c>
      <c r="K29" s="16" t="str">
        <f t="shared" si="32"/>
        <v>@line_width-path_medium-z14-(gr-hc)</v>
      </c>
      <c r="L29" s="8">
        <f t="shared" si="33"/>
        <v>0</v>
      </c>
      <c r="M29" s="11"/>
      <c r="N29" s="15" t="str">
        <f t="shared" si="34"/>
        <v>@line_width-path_medium-z14-(wnt)</v>
      </c>
      <c r="O29" s="8" t="str">
        <f t="shared" si="22"/>
        <v>1.0</v>
      </c>
      <c r="P29" s="8" t="str">
        <f t="shared" si="38"/>
        <v>1.0</v>
      </c>
      <c r="Q29" s="16" t="str">
        <f t="shared" si="35"/>
        <v>@line_width-path_medium-z14-(wnt-hc)</v>
      </c>
      <c r="R29" s="8" t="str">
        <f t="shared" si="36"/>
        <v>1.5</v>
      </c>
      <c r="S29" s="17" t="str">
        <f t="shared" si="39"/>
        <v>1.5</v>
      </c>
      <c r="U29" s="1" t="s">
        <v>122</v>
      </c>
      <c r="V29" s="2" t="str">
        <f t="shared" si="24"/>
        <v>-</v>
      </c>
      <c r="W29" s="1" t="s">
        <v>74</v>
      </c>
      <c r="X29" s="2" t="str">
        <f t="shared" si="37"/>
        <v>_</v>
      </c>
      <c r="Y29" s="1" t="s">
        <v>82</v>
      </c>
      <c r="Z29" s="2" t="str">
        <f t="shared" si="25"/>
        <v/>
      </c>
      <c r="AB29" s="2" t="str">
        <f t="shared" si="26"/>
        <v>-</v>
      </c>
      <c r="AC29" s="1" t="s">
        <v>77</v>
      </c>
    </row>
    <row r="30" spans="1:29" x14ac:dyDescent="0.25">
      <c r="B30" s="15" t="str">
        <f t="shared" si="27"/>
        <v>@line_width-path_medium-z16-(mtb)</v>
      </c>
      <c r="C30" s="8" t="str">
        <f t="shared" si="28"/>
        <v>1.8</v>
      </c>
      <c r="D30" s="6" t="s">
        <v>126</v>
      </c>
      <c r="E30" s="16" t="str">
        <f t="shared" si="29"/>
        <v>@line_width-path_medium-z16-(mtb-hc)</v>
      </c>
      <c r="F30" s="8" t="str">
        <f t="shared" si="21"/>
        <v>2.7</v>
      </c>
      <c r="G30" s="11" t="s">
        <v>129</v>
      </c>
      <c r="H30" s="15" t="str">
        <f t="shared" si="30"/>
        <v>@line_width-path_medium-z16-(gr)</v>
      </c>
      <c r="I30" s="8" t="str">
        <f t="shared" si="31"/>
        <v>1.2</v>
      </c>
      <c r="J30" s="6" t="s">
        <v>100</v>
      </c>
      <c r="K30" s="16" t="str">
        <f t="shared" si="32"/>
        <v>@line_width-path_medium-z16-(gr-hc)</v>
      </c>
      <c r="L30" s="8">
        <f t="shared" si="33"/>
        <v>0</v>
      </c>
      <c r="M30" s="11"/>
      <c r="N30" s="15" t="str">
        <f t="shared" si="34"/>
        <v>@line_width-path_medium-z16-(wnt)</v>
      </c>
      <c r="O30" s="8" t="str">
        <f t="shared" si="22"/>
        <v>1.8</v>
      </c>
      <c r="P30" s="8" t="str">
        <f t="shared" si="38"/>
        <v>1.8</v>
      </c>
      <c r="Q30" s="16" t="str">
        <f t="shared" si="35"/>
        <v>@line_width-path_medium-z16-(wnt-hc)</v>
      </c>
      <c r="R30" s="8" t="str">
        <f t="shared" si="36"/>
        <v>2.7</v>
      </c>
      <c r="S30" s="17" t="str">
        <f t="shared" si="39"/>
        <v>2.7</v>
      </c>
      <c r="U30" s="1" t="s">
        <v>122</v>
      </c>
      <c r="V30" s="2" t="str">
        <f t="shared" si="24"/>
        <v>-</v>
      </c>
      <c r="W30" s="1" t="s">
        <v>74</v>
      </c>
      <c r="X30" s="2" t="str">
        <f t="shared" si="37"/>
        <v>_</v>
      </c>
      <c r="Y30" s="1" t="s">
        <v>82</v>
      </c>
      <c r="Z30" s="2" t="str">
        <f t="shared" si="25"/>
        <v/>
      </c>
      <c r="AB30" s="2" t="str">
        <f t="shared" si="26"/>
        <v>-</v>
      </c>
      <c r="AC30" s="1" t="s">
        <v>78</v>
      </c>
    </row>
    <row r="31" spans="1:29" x14ac:dyDescent="0.25">
      <c r="B31" s="15" t="str">
        <f t="shared" si="27"/>
        <v>@line_width-path_medium-z18-(mtb)</v>
      </c>
      <c r="C31" s="8" t="str">
        <f t="shared" si="28"/>
        <v>3.5</v>
      </c>
      <c r="D31" s="6" t="s">
        <v>85</v>
      </c>
      <c r="E31" s="16" t="str">
        <f t="shared" si="29"/>
        <v>@line_width-path_medium-z18-(mtb-hc)</v>
      </c>
      <c r="F31" s="8" t="str">
        <f t="shared" si="21"/>
        <v>5.2</v>
      </c>
      <c r="G31" s="11" t="s">
        <v>130</v>
      </c>
      <c r="H31" s="15" t="str">
        <f t="shared" si="30"/>
        <v>@line_width-path_medium-z18-(gr)</v>
      </c>
      <c r="I31" s="8" t="str">
        <f t="shared" si="31"/>
        <v>1.6</v>
      </c>
      <c r="J31" s="6" t="s">
        <v>101</v>
      </c>
      <c r="K31" s="16" t="str">
        <f t="shared" si="32"/>
        <v>@line_width-path_medium-z18-(gr-hc)</v>
      </c>
      <c r="L31" s="8">
        <f t="shared" si="33"/>
        <v>0</v>
      </c>
      <c r="M31" s="11"/>
      <c r="N31" s="15" t="str">
        <f t="shared" si="34"/>
        <v>@line_width-path_medium-z18-(wnt)</v>
      </c>
      <c r="O31" s="8" t="str">
        <f t="shared" si="22"/>
        <v>3.5</v>
      </c>
      <c r="P31" s="8" t="str">
        <f t="shared" si="38"/>
        <v>3.5</v>
      </c>
      <c r="Q31" s="16" t="str">
        <f t="shared" si="35"/>
        <v>@line_width-path_medium-z18-(wnt-hc)</v>
      </c>
      <c r="R31" s="8" t="str">
        <f t="shared" si="36"/>
        <v>5.2</v>
      </c>
      <c r="S31" s="17" t="str">
        <f t="shared" si="39"/>
        <v>5.2</v>
      </c>
      <c r="U31" s="1" t="s">
        <v>122</v>
      </c>
      <c r="V31" s="2" t="str">
        <f t="shared" si="24"/>
        <v>-</v>
      </c>
      <c r="W31" s="1" t="s">
        <v>74</v>
      </c>
      <c r="X31" s="2" t="str">
        <f t="shared" si="37"/>
        <v>_</v>
      </c>
      <c r="Y31" s="1" t="s">
        <v>82</v>
      </c>
      <c r="Z31" s="2" t="str">
        <f t="shared" si="25"/>
        <v/>
      </c>
      <c r="AB31" s="2" t="str">
        <f t="shared" si="26"/>
        <v>-</v>
      </c>
      <c r="AC31" s="1" t="s">
        <v>79</v>
      </c>
    </row>
    <row r="32" spans="1:29" x14ac:dyDescent="0.25">
      <c r="B32" s="15" t="str">
        <f t="shared" si="27"/>
        <v>@line_width-path_wide-z11-(mtb)</v>
      </c>
      <c r="C32" s="8" t="str">
        <f t="shared" si="28"/>
        <v>0.7</v>
      </c>
      <c r="D32" s="6" t="s">
        <v>118</v>
      </c>
      <c r="E32" s="16" t="str">
        <f t="shared" si="29"/>
        <v>@line_width-path_wide-z11-(mtb-hc)</v>
      </c>
      <c r="F32" s="8" t="str">
        <f t="shared" si="21"/>
        <v>1.5</v>
      </c>
      <c r="G32" s="11" t="s">
        <v>87</v>
      </c>
      <c r="H32" s="15" t="str">
        <f t="shared" si="30"/>
        <v>@line_width-path_wide-z11-(gr)</v>
      </c>
      <c r="I32" s="8" t="str">
        <f t="shared" si="31"/>
        <v>1.0</v>
      </c>
      <c r="J32" s="6" t="s">
        <v>83</v>
      </c>
      <c r="K32" s="16" t="str">
        <f t="shared" si="32"/>
        <v>@line_width-path_wide-z11-(gr-hc)</v>
      </c>
      <c r="L32" s="8">
        <f t="shared" si="33"/>
        <v>0</v>
      </c>
      <c r="M32" s="11"/>
      <c r="N32" s="19" t="str">
        <f t="shared" si="34"/>
        <v>@line_width-path_wide-z11-(wnt)</v>
      </c>
      <c r="O32" s="20" t="str">
        <f t="shared" si="22"/>
        <v>0.5</v>
      </c>
      <c r="P32" s="18" t="s">
        <v>98</v>
      </c>
      <c r="Q32" s="21" t="str">
        <f t="shared" si="35"/>
        <v>@line_width-path_wide-z11-(wnt-hc)</v>
      </c>
      <c r="R32" s="20" t="str">
        <f t="shared" si="36"/>
        <v>1.5</v>
      </c>
      <c r="S32" s="26" t="str">
        <f t="shared" si="39"/>
        <v>1.5</v>
      </c>
      <c r="U32" s="1" t="s">
        <v>122</v>
      </c>
      <c r="V32" s="2" t="str">
        <f t="shared" si="24"/>
        <v>-</v>
      </c>
      <c r="W32" s="1" t="s">
        <v>74</v>
      </c>
      <c r="X32" s="2" t="str">
        <f t="shared" si="37"/>
        <v>_</v>
      </c>
      <c r="Y32" s="1" t="s">
        <v>80</v>
      </c>
      <c r="Z32" s="2" t="str">
        <f t="shared" si="25"/>
        <v/>
      </c>
      <c r="AB32" s="2" t="str">
        <f t="shared" si="26"/>
        <v>-</v>
      </c>
      <c r="AC32" s="1" t="s">
        <v>73</v>
      </c>
    </row>
    <row r="33" spans="1:29" x14ac:dyDescent="0.25">
      <c r="B33" s="15" t="str">
        <f t="shared" si="27"/>
        <v>@line_width-path_wide-z12-(mtb)</v>
      </c>
      <c r="C33" s="8" t="str">
        <f t="shared" si="28"/>
        <v>1.0</v>
      </c>
      <c r="D33" s="6" t="s">
        <v>83</v>
      </c>
      <c r="E33" s="16" t="str">
        <f t="shared" si="29"/>
        <v>@line_width-path_wide-z12-(mtb-hc)</v>
      </c>
      <c r="F33" s="8" t="str">
        <f t="shared" si="21"/>
        <v>1.8</v>
      </c>
      <c r="G33" s="11" t="s">
        <v>126</v>
      </c>
      <c r="H33" s="15" t="str">
        <f t="shared" si="30"/>
        <v>@line_width-path_wide-z12-(gr)</v>
      </c>
      <c r="I33" s="8" t="str">
        <f t="shared" si="31"/>
        <v>1.2</v>
      </c>
      <c r="J33" s="6" t="s">
        <v>100</v>
      </c>
      <c r="K33" s="16" t="str">
        <f t="shared" si="32"/>
        <v>@line_width-path_wide-z12-(gr-hc)</v>
      </c>
      <c r="L33" s="8">
        <f t="shared" si="33"/>
        <v>0</v>
      </c>
      <c r="M33" s="11"/>
      <c r="N33" s="19" t="str">
        <f t="shared" si="34"/>
        <v>@line_width-path_wide-z12-(wnt)</v>
      </c>
      <c r="O33" s="20" t="str">
        <f t="shared" si="22"/>
        <v>0.6</v>
      </c>
      <c r="P33" s="18" t="s">
        <v>125</v>
      </c>
      <c r="Q33" s="21" t="str">
        <f t="shared" si="35"/>
        <v>@line_width-path_wide-z12-(wnt-hc)</v>
      </c>
      <c r="R33" s="20" t="str">
        <f t="shared" si="36"/>
        <v>1.8</v>
      </c>
      <c r="S33" s="26" t="str">
        <f t="shared" si="39"/>
        <v>1.8</v>
      </c>
      <c r="U33" s="1" t="s">
        <v>122</v>
      </c>
      <c r="V33" s="2" t="str">
        <f t="shared" si="24"/>
        <v>-</v>
      </c>
      <c r="W33" s="1" t="s">
        <v>74</v>
      </c>
      <c r="X33" s="2" t="str">
        <f t="shared" si="37"/>
        <v>_</v>
      </c>
      <c r="Y33" s="1" t="s">
        <v>80</v>
      </c>
      <c r="Z33" s="2" t="str">
        <f t="shared" si="25"/>
        <v/>
      </c>
      <c r="AB33" s="2" t="str">
        <f t="shared" si="26"/>
        <v>-</v>
      </c>
      <c r="AC33" s="1" t="s">
        <v>112</v>
      </c>
    </row>
    <row r="34" spans="1:29" x14ac:dyDescent="0.25">
      <c r="B34" s="15" t="str">
        <f>_xlfn.CONCAT("@",U34,V34,W34,X34,Y34,Z34,AA34,AB34,AC34,"-(",B$3,")")</f>
        <v>@line_width-path_wide-z14-(mtb)</v>
      </c>
      <c r="C34" s="8" t="str">
        <f>D34</f>
        <v>1.7</v>
      </c>
      <c r="D34" s="6" t="s">
        <v>114</v>
      </c>
      <c r="E34" s="16" t="str">
        <f>_xlfn.CONCAT("@",U34,V34,W34,X34,Y34,Z34,AA34,AB34,AC34,"-(",E$3,")")</f>
        <v>@line_width-path_wide-z14-(mtb-hc)</v>
      </c>
      <c r="F34" s="8" t="str">
        <f t="shared" si="21"/>
        <v>2.7</v>
      </c>
      <c r="G34" s="11" t="s">
        <v>129</v>
      </c>
      <c r="H34" s="15" t="str">
        <f>_xlfn.CONCAT("@",U34,V34,W34,X34,Y34,Z34,AA34,AB34,AC34,"-(",H$3,")")</f>
        <v>@line_width-path_wide-z14-(gr)</v>
      </c>
      <c r="I34" s="8" t="str">
        <f t="shared" si="31"/>
        <v>1.5</v>
      </c>
      <c r="J34" s="6" t="s">
        <v>87</v>
      </c>
      <c r="K34" s="16" t="str">
        <f t="shared" si="32"/>
        <v>@line_width-path_wide-z14-(gr-hc)</v>
      </c>
      <c r="L34" s="8">
        <f t="shared" si="33"/>
        <v>0</v>
      </c>
      <c r="M34" s="11"/>
      <c r="N34" s="19" t="str">
        <f t="shared" si="34"/>
        <v>@line_width-path_wide-z14-(wnt)</v>
      </c>
      <c r="O34" s="20" t="str">
        <f t="shared" si="22"/>
        <v>1.0</v>
      </c>
      <c r="P34" s="18" t="s">
        <v>83</v>
      </c>
      <c r="Q34" s="21" t="str">
        <f t="shared" si="35"/>
        <v>@line_width-path_wide-z14-(wnt-hc)</v>
      </c>
      <c r="R34" s="20" t="str">
        <f t="shared" si="36"/>
        <v>2.7</v>
      </c>
      <c r="S34" s="26" t="str">
        <f t="shared" si="39"/>
        <v>2.7</v>
      </c>
      <c r="U34" s="1" t="s">
        <v>122</v>
      </c>
      <c r="V34" s="2" t="str">
        <f t="shared" si="24"/>
        <v>-</v>
      </c>
      <c r="W34" s="1" t="s">
        <v>74</v>
      </c>
      <c r="X34" s="2" t="str">
        <f t="shared" si="37"/>
        <v>_</v>
      </c>
      <c r="Y34" s="1" t="s">
        <v>80</v>
      </c>
      <c r="Z34" s="2" t="str">
        <f t="shared" si="25"/>
        <v/>
      </c>
      <c r="AB34" s="2" t="str">
        <f t="shared" si="26"/>
        <v>-</v>
      </c>
      <c r="AC34" s="1" t="s">
        <v>77</v>
      </c>
    </row>
    <row r="35" spans="1:29" x14ac:dyDescent="0.25">
      <c r="B35" s="15" t="str">
        <f>_xlfn.CONCAT("@",U35,V35,W35,X35,Y35,Z35,AA35,AB35,AC35,"-(",B$3,")")</f>
        <v>@line_width-path_wide-z16-(mtb)</v>
      </c>
      <c r="C35" s="8" t="str">
        <f t="shared" ref="C35:C36" si="40">D35</f>
        <v>3.1</v>
      </c>
      <c r="D35" s="6" t="s">
        <v>128</v>
      </c>
      <c r="E35" s="16" t="str">
        <f>_xlfn.CONCAT("@",U35,V35,W35,X35,Y35,Z35,AA35,AB35,AC35,"-(",E$3,")")</f>
        <v>@line_width-path_wide-z16-(mtb-hc)</v>
      </c>
      <c r="F35" s="8" t="str">
        <f>G35</f>
        <v>4.5</v>
      </c>
      <c r="G35" s="11" t="s">
        <v>131</v>
      </c>
      <c r="H35" s="15" t="str">
        <f>_xlfn.CONCAT("@",U35,V35,W35,X35,Y35,Z35,AA35,AB35,AC35,"-(",H$3,")")</f>
        <v>@line_width-path_wide-z16-(gr)</v>
      </c>
      <c r="I35" s="8" t="str">
        <f t="shared" si="31"/>
        <v>1.6</v>
      </c>
      <c r="J35" s="6" t="s">
        <v>101</v>
      </c>
      <c r="K35" s="16" t="str">
        <f t="shared" si="32"/>
        <v>@line_width-path_wide-z16-(gr-hc)</v>
      </c>
      <c r="L35" s="8">
        <f t="shared" si="33"/>
        <v>0</v>
      </c>
      <c r="M35" s="11"/>
      <c r="N35" s="19" t="str">
        <f t="shared" si="34"/>
        <v>@line_width-path_wide-z16-(wnt)</v>
      </c>
      <c r="O35" s="20" t="str">
        <f t="shared" si="22"/>
        <v>1.8</v>
      </c>
      <c r="P35" s="18" t="s">
        <v>126</v>
      </c>
      <c r="Q35" s="21" t="str">
        <f t="shared" si="35"/>
        <v>@line_width-path_wide-z16-(wnt-hc)</v>
      </c>
      <c r="R35" s="20" t="str">
        <f t="shared" si="36"/>
        <v>4.5</v>
      </c>
      <c r="S35" s="26" t="str">
        <f t="shared" si="39"/>
        <v>4.5</v>
      </c>
      <c r="U35" s="1" t="s">
        <v>122</v>
      </c>
      <c r="V35" s="2" t="str">
        <f t="shared" si="24"/>
        <v>-</v>
      </c>
      <c r="W35" s="1" t="s">
        <v>74</v>
      </c>
      <c r="X35" s="2" t="str">
        <f t="shared" si="37"/>
        <v>_</v>
      </c>
      <c r="Y35" s="1" t="s">
        <v>80</v>
      </c>
      <c r="Z35" s="2" t="str">
        <f t="shared" si="25"/>
        <v/>
      </c>
      <c r="AB35" s="2" t="str">
        <f t="shared" si="26"/>
        <v>-</v>
      </c>
      <c r="AC35" s="1" t="s">
        <v>78</v>
      </c>
    </row>
    <row r="36" spans="1:29" x14ac:dyDescent="0.25">
      <c r="B36" s="15" t="str">
        <f>_xlfn.CONCAT("@",U36,V36,W36,X36,Y36,Z36,AA36,AB36,AC36,"-(",B$3,")")</f>
        <v>@line_width-path_wide-z18-(mtb)</v>
      </c>
      <c r="C36" s="8" t="str">
        <f t="shared" si="40"/>
        <v>6.0</v>
      </c>
      <c r="D36" s="6" t="s">
        <v>89</v>
      </c>
      <c r="E36" s="16" t="str">
        <f>_xlfn.CONCAT("@",U36,V36,W36,X36,Y36,Z36,AA36,AB36,AC36,"-(",E$3,")")</f>
        <v>@line_width-path_wide-z18-(mtb-hc)</v>
      </c>
      <c r="F36" s="8" t="str">
        <f>G36</f>
        <v>8.2</v>
      </c>
      <c r="G36" s="11" t="s">
        <v>132</v>
      </c>
      <c r="H36" s="15" t="str">
        <f>_xlfn.CONCAT("@",U36,V36,W36,X36,Y36,Z36,AA36,AB36,AC36,"-(",H$3,")")</f>
        <v>@line_width-path_wide-z18-(gr)</v>
      </c>
      <c r="I36" s="8" t="str">
        <f t="shared" si="31"/>
        <v>2.4</v>
      </c>
      <c r="J36" s="6" t="s">
        <v>102</v>
      </c>
      <c r="K36" s="16" t="str">
        <f t="shared" si="32"/>
        <v>@line_width-path_wide-z18-(gr-hc)</v>
      </c>
      <c r="L36" s="8">
        <f t="shared" si="33"/>
        <v>0</v>
      </c>
      <c r="M36" s="11"/>
      <c r="N36" s="19" t="str">
        <f t="shared" si="34"/>
        <v>@line_width-path_wide-z18-(wnt)</v>
      </c>
      <c r="O36" s="20" t="str">
        <f t="shared" si="22"/>
        <v>2.4</v>
      </c>
      <c r="P36" s="18" t="s">
        <v>102</v>
      </c>
      <c r="Q36" s="21" t="str">
        <f t="shared" si="35"/>
        <v>@line_width-path_wide-z18-(wnt-hc)</v>
      </c>
      <c r="R36" s="20" t="str">
        <f t="shared" si="36"/>
        <v>8.2</v>
      </c>
      <c r="S36" s="26" t="str">
        <f t="shared" si="39"/>
        <v>8.2</v>
      </c>
      <c r="U36" s="1" t="s">
        <v>122</v>
      </c>
      <c r="V36" s="2" t="str">
        <f t="shared" si="24"/>
        <v>-</v>
      </c>
      <c r="W36" s="1" t="s">
        <v>74</v>
      </c>
      <c r="X36" s="2" t="str">
        <f t="shared" si="37"/>
        <v>_</v>
      </c>
      <c r="Y36" s="1" t="s">
        <v>80</v>
      </c>
      <c r="Z36" s="2" t="str">
        <f t="shared" si="25"/>
        <v/>
      </c>
      <c r="AB36" s="2" t="str">
        <f t="shared" si="26"/>
        <v>-</v>
      </c>
      <c r="AC36" s="1" t="s">
        <v>79</v>
      </c>
    </row>
    <row r="37" spans="1:29" x14ac:dyDescent="0.25">
      <c r="A37" s="4" t="s">
        <v>133</v>
      </c>
      <c r="B37" s="12"/>
      <c r="C37" s="4"/>
      <c r="D37" s="7"/>
      <c r="E37" s="14"/>
      <c r="F37" s="4"/>
      <c r="G37" s="13"/>
      <c r="H37" s="12"/>
      <c r="I37" s="4"/>
      <c r="J37" s="7"/>
      <c r="K37" s="14"/>
      <c r="L37" s="4"/>
      <c r="M37" s="13"/>
      <c r="N37" s="12"/>
      <c r="O37" s="4"/>
      <c r="P37" s="7"/>
      <c r="Q37" s="14"/>
      <c r="R37" s="4"/>
      <c r="S37" s="13"/>
      <c r="T37" s="5"/>
      <c r="U37" s="4"/>
      <c r="V37" s="5"/>
      <c r="W37" s="4"/>
      <c r="X37" s="5"/>
      <c r="Y37" s="4"/>
      <c r="Z37" s="5"/>
      <c r="AA37" s="5"/>
      <c r="AB37" s="5"/>
      <c r="AC37" s="4"/>
    </row>
    <row r="38" spans="1:29" x14ac:dyDescent="0.25">
      <c r="B38" s="15" t="str">
        <f>_xlfn.CONCAT("@",U38,V38,W38,X38,Y38,Z38,AA38,AB38,AC38,"-(",B$3,")")</f>
        <v>@case_width-track-z10-(mtb)</v>
      </c>
      <c r="C38" s="8" t="str">
        <f>D38</f>
        <v>2.0</v>
      </c>
      <c r="D38" s="6" t="s">
        <v>88</v>
      </c>
      <c r="E38" s="16" t="str">
        <f>_xlfn.CONCAT("@",U38,V38,W38,X38,Y38,Z38,AA38,AB38,AC38,"-(",E$3,")")</f>
        <v>@case_width-track-z10-(mtb-hc)</v>
      </c>
      <c r="F38" s="8" t="str">
        <f t="shared" ref="F38:F43" si="41">G38</f>
        <v>4.0</v>
      </c>
      <c r="G38" s="11" t="s">
        <v>95</v>
      </c>
      <c r="H38" s="15" t="str">
        <f>_xlfn.CONCAT("@",U38,V38,W38,X38,Y38,Z38,AA38,AB38,AC38,"-(",H$3,")")</f>
        <v>@case_width-track-z10-(gr)</v>
      </c>
      <c r="I38" s="8" t="str">
        <f>J38</f>
        <v>2.0</v>
      </c>
      <c r="J38" s="6" t="s">
        <v>88</v>
      </c>
      <c r="K38" s="16" t="str">
        <f>_xlfn.CONCAT("@",U38,V38,W38,X38,Y38,Z38,AA38,AB38,AC38,"-(",K$3,")")</f>
        <v>@case_width-track-z10-(gr-hc)</v>
      </c>
      <c r="L38" s="8">
        <f>M38</f>
        <v>0</v>
      </c>
      <c r="M38" s="11"/>
      <c r="N38" s="15" t="str">
        <f>_xlfn.CONCAT("@",U38,V38,W38,X38,Y38,Z38,AA38,AB38,AC38,"-(",N$3,")")</f>
        <v>@case_width-track-z10-(wnt)</v>
      </c>
      <c r="O38" s="8" t="str">
        <f t="shared" ref="O38:O43" si="42">P38</f>
        <v>2.0</v>
      </c>
      <c r="P38" s="8" t="str">
        <f>D38</f>
        <v>2.0</v>
      </c>
      <c r="Q38" s="16" t="str">
        <f>_xlfn.CONCAT("@",U38,V38,W38,X38,Y38,Z38,AA38,AB38,AC38,"-(",Q$3,")")</f>
        <v>@case_width-track-z10-(wnt-hc)</v>
      </c>
      <c r="R38" s="8" t="str">
        <f>S38</f>
        <v>4.0</v>
      </c>
      <c r="S38" s="17" t="str">
        <f>G38</f>
        <v>4.0</v>
      </c>
      <c r="U38" s="1" t="s">
        <v>81</v>
      </c>
      <c r="V38" s="2" t="str">
        <f t="shared" ref="V38" si="43">IF(NOT(ISBLANK(W38)),"-","")</f>
        <v>-</v>
      </c>
      <c r="W38" s="1" t="s">
        <v>105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106</v>
      </c>
    </row>
    <row r="39" spans="1:29" x14ac:dyDescent="0.25">
      <c r="B39" s="15" t="str">
        <f>_xlfn.CONCAT("@",U39,V39,W39,X39,Y39,Z39,AA39,AB39,AC39,"-(",B$3,")")</f>
        <v>@case_width-track-z11-(mtb)</v>
      </c>
      <c r="C39" s="8" t="str">
        <f>D39</f>
        <v>3.0</v>
      </c>
      <c r="D39" s="6" t="s">
        <v>91</v>
      </c>
      <c r="E39" s="16" t="str">
        <f>_xlfn.CONCAT("@",U39,V39,W39,X39,Y39,Z39,AA39,AB39,AC39,"-(",E$3,")")</f>
        <v>@case_width-track-z11-(mtb-hc)</v>
      </c>
      <c r="F39" s="8" t="str">
        <f t="shared" si="41"/>
        <v>4.0</v>
      </c>
      <c r="G39" s="11" t="s">
        <v>95</v>
      </c>
      <c r="H39" s="15" t="str">
        <f>_xlfn.CONCAT("@",U39,V39,W39,X39,Y39,Z39,AA39,AB39,AC39,"-(",H$3,")")</f>
        <v>@case_width-track-z11-(gr)</v>
      </c>
      <c r="I39" s="8" t="str">
        <f>J39</f>
        <v>3.0</v>
      </c>
      <c r="J39" s="6" t="s">
        <v>91</v>
      </c>
      <c r="K39" s="16" t="str">
        <f>_xlfn.CONCAT("@",U39,V39,W39,X39,Y39,Z39,AA39,AB39,AC39,"-(",K$3,")")</f>
        <v>@case_width-track-z11-(gr-hc)</v>
      </c>
      <c r="L39" s="8">
        <f>M39</f>
        <v>0</v>
      </c>
      <c r="M39" s="11"/>
      <c r="N39" s="15" t="str">
        <f>_xlfn.CONCAT("@",U39,V39,W39,X39,Y39,Z39,AA39,AB39,AC39,"-(",N$3,")")</f>
        <v>@case_width-track-z11-(wnt)</v>
      </c>
      <c r="O39" s="8" t="str">
        <f t="shared" si="42"/>
        <v>3.0</v>
      </c>
      <c r="P39" s="8" t="str">
        <f t="shared" ref="P39:P43" si="46">D39</f>
        <v>3.0</v>
      </c>
      <c r="Q39" s="16" t="str">
        <f>_xlfn.CONCAT("@",U39,V39,W39,X39,Y39,Z39,AA39,AB39,AC39,"-(",Q$3,")")</f>
        <v>@case_width-track-z11-(wnt-hc)</v>
      </c>
      <c r="R39" s="8" t="str">
        <f>S39</f>
        <v>4.0</v>
      </c>
      <c r="S39" s="17" t="str">
        <f t="shared" ref="S39:S43" si="47">G39</f>
        <v>4.0</v>
      </c>
      <c r="U39" s="1" t="s">
        <v>81</v>
      </c>
      <c r="V39" s="2" t="str">
        <f t="shared" ref="V39:V43" si="48">IF(NOT(ISBLANK(W39)),"-","")</f>
        <v>-</v>
      </c>
      <c r="W39" s="1" t="s">
        <v>105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73</v>
      </c>
    </row>
    <row r="40" spans="1:29" x14ac:dyDescent="0.25">
      <c r="B40" s="15" t="str">
        <f t="shared" ref="B40:B43" si="51">_xlfn.CONCAT("@",U40,V40,W40,X40,Y40,Z40,AA40,AB40,AC40,"-(",B$3,")")</f>
        <v>@case_width-track-z12-(mtb)</v>
      </c>
      <c r="C40" s="8" t="str">
        <f t="shared" ref="C40:C43" si="52">D40</f>
        <v>3.2</v>
      </c>
      <c r="D40" s="6" t="s">
        <v>134</v>
      </c>
      <c r="E40" s="16" t="str">
        <f t="shared" ref="E40:E43" si="53">_xlfn.CONCAT("@",U40,V40,W40,X40,Y40,Z40,AA40,AB40,AC40,"-(",E$3,")")</f>
        <v>@case_width-track-z12-(mtb-hc)</v>
      </c>
      <c r="F40" s="8" t="str">
        <f t="shared" si="41"/>
        <v>4.4</v>
      </c>
      <c r="G40" s="11" t="s">
        <v>135</v>
      </c>
      <c r="H40" s="15" t="str">
        <f t="shared" ref="H40:H43" si="54">_xlfn.CONCAT("@",U40,V40,W40,X40,Y40,Z40,AA40,AB40,AC40,"-(",H$3,")")</f>
        <v>@case_width-track-z12-(gr)</v>
      </c>
      <c r="I40" s="8" t="str">
        <f t="shared" ref="I40:I43" si="55">J40</f>
        <v>3.2</v>
      </c>
      <c r="J40" s="6" t="s">
        <v>134</v>
      </c>
      <c r="K40" s="16" t="str">
        <f t="shared" ref="K40:K43" si="56">_xlfn.CONCAT("@",U40,V40,W40,X40,Y40,Z40,AA40,AB40,AC40,"-(",K$3,")")</f>
        <v>@case_width-track-z12-(gr-hc)</v>
      </c>
      <c r="L40" s="8">
        <f t="shared" ref="L40:L43" si="57">M40</f>
        <v>0</v>
      </c>
      <c r="M40" s="11"/>
      <c r="N40" s="15" t="str">
        <f t="shared" ref="N40:N43" si="58">_xlfn.CONCAT("@",U40,V40,W40,X40,Y40,Z40,AA40,AB40,AC40,"-(",N$3,")")</f>
        <v>@case_width-track-z12-(wnt)</v>
      </c>
      <c r="O40" s="8" t="str">
        <f t="shared" si="42"/>
        <v>3.2</v>
      </c>
      <c r="P40" s="8" t="str">
        <f t="shared" si="46"/>
        <v>3.2</v>
      </c>
      <c r="Q40" s="16" t="str">
        <f t="shared" ref="Q40:Q43" si="59">_xlfn.CONCAT("@",U40,V40,W40,X40,Y40,Z40,AA40,AB40,AC40,"-(",Q$3,")")</f>
        <v>@case_width-track-z12-(wnt-hc)</v>
      </c>
      <c r="R40" s="8" t="str">
        <f t="shared" ref="R40:R43" si="60">S40</f>
        <v>4.4</v>
      </c>
      <c r="S40" s="17" t="str">
        <f t="shared" si="47"/>
        <v>4.4</v>
      </c>
      <c r="U40" s="1" t="s">
        <v>81</v>
      </c>
      <c r="V40" s="2" t="str">
        <f t="shared" si="48"/>
        <v>-</v>
      </c>
      <c r="W40" s="1" t="s">
        <v>105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112</v>
      </c>
    </row>
    <row r="41" spans="1:29" x14ac:dyDescent="0.25">
      <c r="B41" s="15" t="str">
        <f t="shared" si="51"/>
        <v>@case_width-track-z14-(mtb)</v>
      </c>
      <c r="C41" s="8" t="str">
        <f t="shared" si="52"/>
        <v>4.0</v>
      </c>
      <c r="D41" s="6" t="s">
        <v>95</v>
      </c>
      <c r="E41" s="16" t="str">
        <f t="shared" si="53"/>
        <v>@case_width-track-z14-(mtb-hc)</v>
      </c>
      <c r="F41" s="8" t="str">
        <f t="shared" si="41"/>
        <v>6.0</v>
      </c>
      <c r="G41" s="11" t="s">
        <v>89</v>
      </c>
      <c r="H41" s="15" t="str">
        <f t="shared" si="54"/>
        <v>@case_width-track-z14-(gr)</v>
      </c>
      <c r="I41" s="8" t="str">
        <f t="shared" si="55"/>
        <v>4.0</v>
      </c>
      <c r="J41" s="6" t="s">
        <v>95</v>
      </c>
      <c r="K41" s="16" t="str">
        <f t="shared" si="56"/>
        <v>@case_width-track-z14-(gr-hc)</v>
      </c>
      <c r="L41" s="8">
        <f t="shared" si="57"/>
        <v>0</v>
      </c>
      <c r="M41" s="11"/>
      <c r="N41" s="15" t="str">
        <f t="shared" si="58"/>
        <v>@case_width-track-z14-(wnt)</v>
      </c>
      <c r="O41" s="8" t="str">
        <f t="shared" si="42"/>
        <v>4.0</v>
      </c>
      <c r="P41" s="8" t="str">
        <f t="shared" si="46"/>
        <v>4.0</v>
      </c>
      <c r="Q41" s="16" t="str">
        <f t="shared" si="59"/>
        <v>@case_width-track-z14-(wnt-hc)</v>
      </c>
      <c r="R41" s="8" t="str">
        <f t="shared" si="60"/>
        <v>6.0</v>
      </c>
      <c r="S41" s="17" t="str">
        <f t="shared" si="47"/>
        <v>6.0</v>
      </c>
      <c r="U41" s="1" t="s">
        <v>81</v>
      </c>
      <c r="V41" s="2" t="str">
        <f t="shared" si="48"/>
        <v>-</v>
      </c>
      <c r="W41" s="1" t="s">
        <v>105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77</v>
      </c>
    </row>
    <row r="42" spans="1:29" x14ac:dyDescent="0.25">
      <c r="B42" s="15" t="str">
        <f t="shared" si="51"/>
        <v>@case_width-track-z16-(mtb)</v>
      </c>
      <c r="C42" s="8" t="str">
        <f t="shared" si="52"/>
        <v>9.0</v>
      </c>
      <c r="D42" s="6" t="s">
        <v>90</v>
      </c>
      <c r="E42" s="16" t="str">
        <f t="shared" si="53"/>
        <v>@case_width-track-z16-(mtb-hc)</v>
      </c>
      <c r="F42" s="8" t="str">
        <f t="shared" si="41"/>
        <v>13.5</v>
      </c>
      <c r="G42" s="11" t="s">
        <v>96</v>
      </c>
      <c r="H42" s="15" t="str">
        <f t="shared" si="54"/>
        <v>@case_width-track-z16-(gr)</v>
      </c>
      <c r="I42" s="8" t="str">
        <f t="shared" si="55"/>
        <v>9.0</v>
      </c>
      <c r="J42" s="6" t="s">
        <v>90</v>
      </c>
      <c r="K42" s="16" t="str">
        <f t="shared" si="56"/>
        <v>@case_width-track-z16-(gr-hc)</v>
      </c>
      <c r="L42" s="8">
        <f t="shared" si="57"/>
        <v>0</v>
      </c>
      <c r="M42" s="11"/>
      <c r="N42" s="15" t="str">
        <f t="shared" si="58"/>
        <v>@case_width-track-z16-(wnt)</v>
      </c>
      <c r="O42" s="8" t="str">
        <f t="shared" si="42"/>
        <v>9.0</v>
      </c>
      <c r="P42" s="8" t="str">
        <f t="shared" si="46"/>
        <v>9.0</v>
      </c>
      <c r="Q42" s="16" t="str">
        <f t="shared" si="59"/>
        <v>@case_width-track-z16-(wnt-hc)</v>
      </c>
      <c r="R42" s="8" t="str">
        <f t="shared" si="60"/>
        <v>13.5</v>
      </c>
      <c r="S42" s="17" t="str">
        <f t="shared" si="47"/>
        <v>13.5</v>
      </c>
      <c r="U42" s="1" t="s">
        <v>81</v>
      </c>
      <c r="V42" s="2" t="str">
        <f t="shared" si="48"/>
        <v>-</v>
      </c>
      <c r="W42" s="1" t="s">
        <v>105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78</v>
      </c>
    </row>
    <row r="43" spans="1:29" x14ac:dyDescent="0.25">
      <c r="B43" s="15" t="str">
        <f t="shared" si="51"/>
        <v>@case_width-track-z18-(mtb)</v>
      </c>
      <c r="C43" s="8" t="str">
        <f t="shared" si="52"/>
        <v>15.0</v>
      </c>
      <c r="D43" s="6" t="s">
        <v>92</v>
      </c>
      <c r="E43" s="16" t="str">
        <f t="shared" si="53"/>
        <v>@case_width-track-z18-(mtb-hc)</v>
      </c>
      <c r="F43" s="8" t="str">
        <f t="shared" si="41"/>
        <v>22.5</v>
      </c>
      <c r="G43" s="11" t="s">
        <v>97</v>
      </c>
      <c r="H43" s="15" t="str">
        <f t="shared" si="54"/>
        <v>@case_width-track-z18-(gr)</v>
      </c>
      <c r="I43" s="8" t="str">
        <f t="shared" si="55"/>
        <v>15.0</v>
      </c>
      <c r="J43" s="6" t="s">
        <v>92</v>
      </c>
      <c r="K43" s="16" t="str">
        <f t="shared" si="56"/>
        <v>@case_width-track-z18-(gr-hc)</v>
      </c>
      <c r="L43" s="8">
        <f t="shared" si="57"/>
        <v>0</v>
      </c>
      <c r="M43" s="11"/>
      <c r="N43" s="15" t="str">
        <f t="shared" si="58"/>
        <v>@case_width-track-z18-(wnt)</v>
      </c>
      <c r="O43" s="8" t="str">
        <f t="shared" si="42"/>
        <v>15.0</v>
      </c>
      <c r="P43" s="8" t="str">
        <f t="shared" si="46"/>
        <v>15.0</v>
      </c>
      <c r="Q43" s="16" t="str">
        <f t="shared" si="59"/>
        <v>@case_width-track-z18-(wnt-hc)</v>
      </c>
      <c r="R43" s="8" t="str">
        <f t="shared" si="60"/>
        <v>22.5</v>
      </c>
      <c r="S43" s="17" t="str">
        <f t="shared" si="47"/>
        <v>22.5</v>
      </c>
      <c r="U43" s="1" t="s">
        <v>81</v>
      </c>
      <c r="V43" s="2" t="str">
        <f t="shared" si="48"/>
        <v>-</v>
      </c>
      <c r="W43" s="1" t="s">
        <v>105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79</v>
      </c>
    </row>
    <row r="44" spans="1:29" x14ac:dyDescent="0.25">
      <c r="A44" s="4" t="s">
        <v>136</v>
      </c>
      <c r="B44" s="12"/>
      <c r="C44" s="4"/>
      <c r="D44" s="7"/>
      <c r="E44" s="14"/>
      <c r="F44" s="4"/>
      <c r="G44" s="13"/>
      <c r="H44" s="12"/>
      <c r="I44" s="4"/>
      <c r="J44" s="7"/>
      <c r="K44" s="14"/>
      <c r="L44" s="4"/>
      <c r="M44" s="13"/>
      <c r="N44" s="12"/>
      <c r="O44" s="4"/>
      <c r="P44" s="7"/>
      <c r="Q44" s="14"/>
      <c r="R44" s="4"/>
      <c r="S44" s="13"/>
      <c r="T44" s="5"/>
      <c r="U44" s="4"/>
      <c r="V44" s="5"/>
      <c r="W44" s="4"/>
      <c r="X44" s="5"/>
      <c r="Y44" s="4"/>
      <c r="Z44" s="5"/>
      <c r="AA44" s="5"/>
      <c r="AB44" s="5"/>
      <c r="AC44" s="4"/>
    </row>
    <row r="45" spans="1:29" x14ac:dyDescent="0.25">
      <c r="B45" s="15" t="str">
        <f>_xlfn.CONCAT("@",U45,V45,W45,X45,Y45,Z45,AA45,AB45,AC45,"-(",B$3,")")</f>
        <v>@line_width-track-z10-(mtb)</v>
      </c>
      <c r="C45" s="8" t="str">
        <f>D45</f>
        <v>0.5</v>
      </c>
      <c r="D45" s="6" t="s">
        <v>98</v>
      </c>
      <c r="E45" s="16" t="str">
        <f>_xlfn.CONCAT("@",U45,V45,W45,X45,Y45,Z45,AA45,AB45,AC45,"-(",E$3,")")</f>
        <v>@line_width-track-z10-(mtb-hc)</v>
      </c>
      <c r="F45" s="8" t="str">
        <f t="shared" ref="F45:F71" si="62">G45</f>
        <v>1.3</v>
      </c>
      <c r="G45" s="11" t="s">
        <v>84</v>
      </c>
      <c r="H45" s="15" t="str">
        <f>_xlfn.CONCAT("@",U45,V45,W45,X45,Y45,Z45,AA45,AB45,AC45,"-(",H$3,")")</f>
        <v>@line_width-track-z10-(gr)</v>
      </c>
      <c r="I45" s="8" t="str">
        <f>J45</f>
        <v>0.8</v>
      </c>
      <c r="J45" s="6" t="s">
        <v>99</v>
      </c>
      <c r="K45" s="16" t="str">
        <f>_xlfn.CONCAT("@",U45,V45,W45,X45,Y45,Z45,AA45,AB45,AC45,"-(",K$3,")")</f>
        <v>@line_width-track-z10-(gr-hc)</v>
      </c>
      <c r="L45" s="8">
        <f>M45</f>
        <v>0</v>
      </c>
      <c r="M45" s="11"/>
      <c r="N45" s="23" t="str">
        <f>_xlfn.CONCAT("@",U45,V45,W45,X45,Y45,Z45,AA45,AB45,AC45,"-(",N$3,")")</f>
        <v>@line_width-track-z10-(wnt)</v>
      </c>
      <c r="O45" s="24" t="str">
        <f t="shared" ref="O45:O71" si="63">P45</f>
        <v>0.5</v>
      </c>
      <c r="P45" s="8" t="str">
        <f t="shared" ref="P45:P50" si="64">D45</f>
        <v>0.5</v>
      </c>
      <c r="Q45" s="25" t="str">
        <f>_xlfn.CONCAT("@",U45,V45,W45,X45,Y45,Z45,AA45,AB45,AC45,"-(",Q$3,")")</f>
        <v>@line_width-track-z10-(wnt-hc)</v>
      </c>
      <c r="R45" s="24" t="str">
        <f>S45</f>
        <v>1.3</v>
      </c>
      <c r="S45" s="17" t="str">
        <f t="shared" ref="S45:S50" si="65">G45</f>
        <v>1.3</v>
      </c>
      <c r="U45" s="1" t="s">
        <v>122</v>
      </c>
      <c r="V45" s="2" t="str">
        <f t="shared" ref="V45" si="66">IF(NOT(ISBLANK(W45)),"-","")</f>
        <v>-</v>
      </c>
      <c r="W45" s="1" t="s">
        <v>105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106</v>
      </c>
    </row>
    <row r="46" spans="1:29" x14ac:dyDescent="0.25">
      <c r="B46" s="15" t="str">
        <f t="shared" ref="B46:B50" si="69">_xlfn.CONCAT("@",U46,V46,W46,X46,Y46,Z46,AA46,AB46,AC46,"-(",B$3,")")</f>
        <v>@line_width-track-z11-(mtb)</v>
      </c>
      <c r="C46" s="8" t="str">
        <f t="shared" ref="C46:C50" si="70">D46</f>
        <v>0.6</v>
      </c>
      <c r="D46" s="6" t="s">
        <v>125</v>
      </c>
      <c r="E46" s="16" t="str">
        <f t="shared" ref="E46:E50" si="71">_xlfn.CONCAT("@",U46,V46,W46,X46,Y46,Z46,AA46,AB46,AC46,"-(",E$3,")")</f>
        <v>@line_width-track-z11-(mtb-hc)</v>
      </c>
      <c r="F46" s="8" t="str">
        <f t="shared" si="62"/>
        <v>1.5</v>
      </c>
      <c r="G46" s="11" t="s">
        <v>87</v>
      </c>
      <c r="H46" s="15" t="str">
        <f t="shared" ref="H46:H50" si="72">_xlfn.CONCAT("@",U46,V46,W46,X46,Y46,Z46,AA46,AB46,AC46,"-(",H$3,")")</f>
        <v>@line_width-track-z11-(gr)</v>
      </c>
      <c r="I46" s="8" t="str">
        <f t="shared" ref="I46:I50" si="73">J46</f>
        <v>0.9</v>
      </c>
      <c r="J46" s="6" t="s">
        <v>119</v>
      </c>
      <c r="K46" s="16" t="str">
        <f t="shared" ref="K46:K50" si="74">_xlfn.CONCAT("@",U46,V46,W46,X46,Y46,Z46,AA46,AB46,AC46,"-(",K$3,")")</f>
        <v>@line_width-track-z11-(gr-hc)</v>
      </c>
      <c r="L46" s="8">
        <f t="shared" ref="L46:L50" si="75">M46</f>
        <v>0</v>
      </c>
      <c r="M46" s="11"/>
      <c r="N46" s="23" t="str">
        <f t="shared" ref="N46:N50" si="76">_xlfn.CONCAT("@",U46,V46,W46,X46,Y46,Z46,AA46,AB46,AC46,"-(",N$3,")")</f>
        <v>@line_width-track-z11-(wnt)</v>
      </c>
      <c r="O46" s="24" t="str">
        <f t="shared" si="63"/>
        <v>0.6</v>
      </c>
      <c r="P46" s="8" t="str">
        <f t="shared" si="64"/>
        <v>0.6</v>
      </c>
      <c r="Q46" s="25" t="str">
        <f t="shared" ref="Q46:Q50" si="77">_xlfn.CONCAT("@",U46,V46,W46,X46,Y46,Z46,AA46,AB46,AC46,"-(",Q$3,")")</f>
        <v>@line_width-track-z11-(wnt-hc)</v>
      </c>
      <c r="R46" s="24" t="str">
        <f t="shared" ref="R46:R50" si="78">S46</f>
        <v>1.5</v>
      </c>
      <c r="S46" s="17" t="str">
        <f t="shared" si="65"/>
        <v>1.5</v>
      </c>
      <c r="U46" s="1" t="s">
        <v>122</v>
      </c>
      <c r="V46" s="2" t="str">
        <f t="shared" ref="V46:V50" si="79">IF(NOT(ISBLANK(W46)),"-","")</f>
        <v>-</v>
      </c>
      <c r="W46" s="1" t="s">
        <v>105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73</v>
      </c>
    </row>
    <row r="47" spans="1:29" x14ac:dyDescent="0.25">
      <c r="B47" s="15" t="str">
        <f t="shared" si="69"/>
        <v>@line_width-track-z12-(mtb)</v>
      </c>
      <c r="C47" s="8" t="str">
        <f t="shared" si="70"/>
        <v>0.9</v>
      </c>
      <c r="D47" s="6" t="s">
        <v>119</v>
      </c>
      <c r="E47" s="16" t="str">
        <f t="shared" si="71"/>
        <v>@line_width-track-z12-(mtb-hc)</v>
      </c>
      <c r="F47" s="8" t="str">
        <f t="shared" si="62"/>
        <v>1.7</v>
      </c>
      <c r="G47" s="11" t="s">
        <v>114</v>
      </c>
      <c r="H47" s="15" t="str">
        <f t="shared" si="72"/>
        <v>@line_width-track-z12-(gr)</v>
      </c>
      <c r="I47" s="8" t="str">
        <f t="shared" si="73"/>
        <v>1.2</v>
      </c>
      <c r="J47" s="6" t="s">
        <v>100</v>
      </c>
      <c r="K47" s="16" t="str">
        <f t="shared" si="74"/>
        <v>@line_width-track-z12-(gr-hc)</v>
      </c>
      <c r="L47" s="8">
        <f t="shared" si="75"/>
        <v>0</v>
      </c>
      <c r="M47" s="11"/>
      <c r="N47" s="23" t="str">
        <f t="shared" si="76"/>
        <v>@line_width-track-z12-(wnt)</v>
      </c>
      <c r="O47" s="24" t="str">
        <f t="shared" si="63"/>
        <v>0.9</v>
      </c>
      <c r="P47" s="8" t="str">
        <f t="shared" si="64"/>
        <v>0.9</v>
      </c>
      <c r="Q47" s="25" t="str">
        <f t="shared" si="77"/>
        <v>@line_width-track-z12-(wnt-hc)</v>
      </c>
      <c r="R47" s="24" t="str">
        <f t="shared" si="78"/>
        <v>1.7</v>
      </c>
      <c r="S47" s="17" t="str">
        <f t="shared" si="65"/>
        <v>1.7</v>
      </c>
      <c r="U47" s="1" t="s">
        <v>122</v>
      </c>
      <c r="V47" s="2" t="str">
        <f t="shared" si="79"/>
        <v>-</v>
      </c>
      <c r="W47" s="1" t="s">
        <v>105</v>
      </c>
      <c r="Y47" s="1"/>
      <c r="Z47" s="2" t="str">
        <f t="shared" si="80"/>
        <v/>
      </c>
      <c r="AB47" s="2" t="str">
        <f t="shared" si="81"/>
        <v>-</v>
      </c>
      <c r="AC47" s="1" t="s">
        <v>112</v>
      </c>
    </row>
    <row r="48" spans="1:29" x14ac:dyDescent="0.25">
      <c r="B48" s="15" t="str">
        <f t="shared" si="69"/>
        <v>@line_width-track-z14-(mtb)</v>
      </c>
      <c r="C48" s="8" t="str">
        <f t="shared" si="70"/>
        <v>1.3</v>
      </c>
      <c r="D48" s="6" t="s">
        <v>84</v>
      </c>
      <c r="E48" s="16" t="str">
        <f t="shared" si="71"/>
        <v>@line_width-track-z14-(mtb-hc)</v>
      </c>
      <c r="F48" s="8" t="str">
        <f t="shared" si="62"/>
        <v>2.0</v>
      </c>
      <c r="G48" s="11" t="s">
        <v>88</v>
      </c>
      <c r="H48" s="15" t="str">
        <f t="shared" si="72"/>
        <v>@line_width-track-z14-(gr)</v>
      </c>
      <c r="I48" s="8" t="str">
        <f t="shared" si="73"/>
        <v>1.6</v>
      </c>
      <c r="J48" s="6" t="s">
        <v>101</v>
      </c>
      <c r="K48" s="16" t="str">
        <f t="shared" si="74"/>
        <v>@line_width-track-z14-(gr-hc)</v>
      </c>
      <c r="L48" s="8">
        <f t="shared" si="75"/>
        <v>0</v>
      </c>
      <c r="M48" s="11"/>
      <c r="N48" s="23" t="str">
        <f t="shared" si="76"/>
        <v>@line_width-track-z14-(wnt)</v>
      </c>
      <c r="O48" s="24" t="str">
        <f t="shared" si="63"/>
        <v>1.3</v>
      </c>
      <c r="P48" s="8" t="str">
        <f t="shared" si="64"/>
        <v>1.3</v>
      </c>
      <c r="Q48" s="25" t="str">
        <f t="shared" si="77"/>
        <v>@line_width-track-z14-(wnt-hc)</v>
      </c>
      <c r="R48" s="24" t="str">
        <f t="shared" si="78"/>
        <v>2.0</v>
      </c>
      <c r="S48" s="17" t="str">
        <f t="shared" si="65"/>
        <v>2.0</v>
      </c>
      <c r="U48" s="1" t="s">
        <v>122</v>
      </c>
      <c r="V48" s="2" t="str">
        <f t="shared" si="79"/>
        <v>-</v>
      </c>
      <c r="W48" s="1" t="s">
        <v>105</v>
      </c>
      <c r="Y48" s="1"/>
      <c r="Z48" s="2" t="str">
        <f t="shared" si="80"/>
        <v/>
      </c>
      <c r="AB48" s="2" t="str">
        <f t="shared" si="81"/>
        <v>-</v>
      </c>
      <c r="AC48" s="1" t="s">
        <v>77</v>
      </c>
    </row>
    <row r="49" spans="1:29" x14ac:dyDescent="0.25">
      <c r="B49" s="15" t="str">
        <f t="shared" si="69"/>
        <v>@line_width-track-z16-(mtb)</v>
      </c>
      <c r="C49" s="8" t="str">
        <f t="shared" si="70"/>
        <v>3.5</v>
      </c>
      <c r="D49" s="6" t="s">
        <v>85</v>
      </c>
      <c r="E49" s="16" t="str">
        <f t="shared" si="71"/>
        <v>@line_width-track-z16-(mtb-hc)</v>
      </c>
      <c r="F49" s="8" t="str">
        <f t="shared" si="62"/>
        <v>5.2</v>
      </c>
      <c r="G49" s="11" t="s">
        <v>130</v>
      </c>
      <c r="H49" s="15" t="str">
        <f t="shared" si="72"/>
        <v>@line_width-track-z16-(gr)</v>
      </c>
      <c r="I49" s="8" t="str">
        <f t="shared" si="73"/>
        <v>4.0</v>
      </c>
      <c r="J49" s="6" t="s">
        <v>95</v>
      </c>
      <c r="K49" s="16" t="str">
        <f t="shared" si="74"/>
        <v>@line_width-track-z16-(gr-hc)</v>
      </c>
      <c r="L49" s="8">
        <f t="shared" si="75"/>
        <v>0</v>
      </c>
      <c r="M49" s="11"/>
      <c r="N49" s="23" t="str">
        <f t="shared" si="76"/>
        <v>@line_width-track-z16-(wnt)</v>
      </c>
      <c r="O49" s="24" t="str">
        <f t="shared" si="63"/>
        <v>3.5</v>
      </c>
      <c r="P49" s="8" t="str">
        <f t="shared" si="64"/>
        <v>3.5</v>
      </c>
      <c r="Q49" s="25" t="str">
        <f t="shared" si="77"/>
        <v>@line_width-track-z16-(wnt-hc)</v>
      </c>
      <c r="R49" s="24" t="str">
        <f t="shared" si="78"/>
        <v>5.2</v>
      </c>
      <c r="S49" s="17" t="str">
        <f t="shared" si="65"/>
        <v>5.2</v>
      </c>
      <c r="U49" s="1" t="s">
        <v>122</v>
      </c>
      <c r="V49" s="2" t="str">
        <f t="shared" si="79"/>
        <v>-</v>
      </c>
      <c r="W49" s="1" t="s">
        <v>105</v>
      </c>
      <c r="Y49" s="1"/>
      <c r="Z49" s="2" t="str">
        <f t="shared" si="80"/>
        <v/>
      </c>
      <c r="AB49" s="2" t="str">
        <f t="shared" si="81"/>
        <v>-</v>
      </c>
      <c r="AC49" s="1" t="s">
        <v>78</v>
      </c>
    </row>
    <row r="50" spans="1:29" x14ac:dyDescent="0.25">
      <c r="B50" s="15" t="str">
        <f t="shared" si="69"/>
        <v>@line_width-track-z18-(mtb)</v>
      </c>
      <c r="C50" s="8" t="str">
        <f t="shared" si="70"/>
        <v>7.0</v>
      </c>
      <c r="D50" s="6" t="s">
        <v>137</v>
      </c>
      <c r="E50" s="16" t="str">
        <f t="shared" si="71"/>
        <v>@line_width-track-z18-(mtb-hc)</v>
      </c>
      <c r="F50" s="8" t="str">
        <f t="shared" si="62"/>
        <v>10.5</v>
      </c>
      <c r="G50" s="11" t="s">
        <v>138</v>
      </c>
      <c r="H50" s="15" t="str">
        <f t="shared" si="72"/>
        <v>@line_width-track-z18-(gr)</v>
      </c>
      <c r="I50" s="8" t="str">
        <f t="shared" si="73"/>
        <v>5.0</v>
      </c>
      <c r="J50" s="6" t="s">
        <v>86</v>
      </c>
      <c r="K50" s="16" t="str">
        <f t="shared" si="74"/>
        <v>@line_width-track-z18-(gr-hc)</v>
      </c>
      <c r="L50" s="8">
        <f t="shared" si="75"/>
        <v>0</v>
      </c>
      <c r="M50" s="11"/>
      <c r="N50" s="23" t="str">
        <f t="shared" si="76"/>
        <v>@line_width-track-z18-(wnt)</v>
      </c>
      <c r="O50" s="24" t="str">
        <f t="shared" si="63"/>
        <v>7.0</v>
      </c>
      <c r="P50" s="8" t="str">
        <f t="shared" si="64"/>
        <v>7.0</v>
      </c>
      <c r="Q50" s="25" t="str">
        <f t="shared" si="77"/>
        <v>@line_width-track-z18-(wnt-hc)</v>
      </c>
      <c r="R50" s="24" t="str">
        <f t="shared" si="78"/>
        <v>10.5</v>
      </c>
      <c r="S50" s="17" t="str">
        <f t="shared" si="65"/>
        <v>10.5</v>
      </c>
      <c r="U50" s="1" t="s">
        <v>122</v>
      </c>
      <c r="V50" s="2" t="str">
        <f t="shared" si="79"/>
        <v>-</v>
      </c>
      <c r="W50" s="1" t="s">
        <v>105</v>
      </c>
      <c r="Y50" s="1"/>
      <c r="Z50" s="2" t="str">
        <f t="shared" si="80"/>
        <v/>
      </c>
      <c r="AB50" s="2" t="str">
        <f t="shared" si="81"/>
        <v>-</v>
      </c>
      <c r="AC50" s="1" t="s">
        <v>79</v>
      </c>
    </row>
    <row r="51" spans="1:29" x14ac:dyDescent="0.25">
      <c r="A51" s="4" t="s">
        <v>139</v>
      </c>
      <c r="B51" s="12"/>
      <c r="C51" s="4"/>
      <c r="D51" s="7"/>
      <c r="E51" s="14"/>
      <c r="F51" s="4"/>
      <c r="G51" s="13"/>
      <c r="H51" s="12"/>
      <c r="I51" s="4"/>
      <c r="J51" s="7"/>
      <c r="K51" s="14"/>
      <c r="L51" s="4"/>
      <c r="M51" s="13"/>
      <c r="N51" s="12"/>
      <c r="O51" s="4"/>
      <c r="P51" s="7"/>
      <c r="Q51" s="14"/>
      <c r="R51" s="4"/>
      <c r="S51" s="13"/>
      <c r="T51" s="5"/>
      <c r="U51" s="4"/>
      <c r="V51" s="5"/>
      <c r="W51" s="4"/>
      <c r="X51" s="5"/>
      <c r="Y51" s="4"/>
      <c r="Z51" s="5"/>
      <c r="AA51" s="5"/>
      <c r="AB51" s="5"/>
      <c r="AC51" s="4"/>
    </row>
    <row r="52" spans="1:29" x14ac:dyDescent="0.25">
      <c r="B52" s="15" t="str">
        <f>_xlfn.CONCAT("@",U52,V52,W52,X52,Y52,Z52,AA52,AB52,AC52,"-(",B$3,")")</f>
        <v>@case_width-motorway-z5-(mtb)</v>
      </c>
      <c r="C52" s="8" t="str">
        <f>D52</f>
        <v>1.0</v>
      </c>
      <c r="D52" s="6" t="s">
        <v>83</v>
      </c>
      <c r="E52" s="16" t="str">
        <f>_xlfn.CONCAT("@",U52,V52,W52,X52,Y52,Z52,AA52,AB52,AC52,"-(",E$3,")")</f>
        <v>@case_width-motorway-z5-(mtb-hc)</v>
      </c>
      <c r="F52" s="8" t="str">
        <f t="shared" si="62"/>
        <v>1.0</v>
      </c>
      <c r="G52" s="11" t="s">
        <v>83</v>
      </c>
      <c r="H52" s="15" t="str">
        <f>_xlfn.CONCAT("@",U52,V52,W52,X52,Y52,Z52,AA52,AB52,AC52,"-(",H$3,")")</f>
        <v>@case_width-motorway-z5-(gr)</v>
      </c>
      <c r="I52" s="8" t="str">
        <f>J52</f>
        <v>1.0</v>
      </c>
      <c r="J52" s="8" t="str">
        <f>D52</f>
        <v>1.0</v>
      </c>
      <c r="K52" s="16" t="str">
        <f>_xlfn.CONCAT("@",U52,V52,W52,X52,Y52,Z52,AA52,AB52,AC52,"-(",K$3,")")</f>
        <v>@case_width-motorway-z5-(gr-hc)</v>
      </c>
      <c r="L52" s="8" t="str">
        <f>M52</f>
        <v>1.0</v>
      </c>
      <c r="M52" s="17" t="str">
        <f>G52</f>
        <v>1.0</v>
      </c>
      <c r="N52" s="23" t="str">
        <f>_xlfn.CONCAT("@",U52,V52,W52,X52,Y52,Z52,AA52,AB52,AC52,"-(",N$3,")")</f>
        <v>@case_width-motorway-z5-(wnt)</v>
      </c>
      <c r="O52" s="24" t="str">
        <f t="shared" si="63"/>
        <v>1.0</v>
      </c>
      <c r="P52" s="8" t="str">
        <f t="shared" ref="P52:P61" si="82">D52</f>
        <v>1.0</v>
      </c>
      <c r="Q52" s="25" t="str">
        <f>_xlfn.CONCAT("@",U52,V52,W52,X52,Y52,Z52,AA52,AB52,AC52,"-(",Q$3,")")</f>
        <v>@case_width-motorway-z5-(wnt-hc)</v>
      </c>
      <c r="R52" s="24" t="str">
        <f>S52</f>
        <v>1.0</v>
      </c>
      <c r="S52" s="17" t="str">
        <f t="shared" ref="S52:S61" si="83">G52</f>
        <v>1.0</v>
      </c>
      <c r="U52" s="1" t="s">
        <v>81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140</v>
      </c>
    </row>
    <row r="53" spans="1:29" x14ac:dyDescent="0.25">
      <c r="B53" s="15" t="str">
        <f t="shared" ref="B53:B55" si="87">_xlfn.CONCAT("@",U53,V53,W53,X53,Y53,Z53,AA53,AB53,AC53,"-(",B$3,")")</f>
        <v>@case_width-motorway-z6-(mtb)</v>
      </c>
      <c r="C53" s="8" t="str">
        <f t="shared" ref="C53:C55" si="88">D53</f>
        <v>2.4</v>
      </c>
      <c r="D53" s="6" t="s">
        <v>102</v>
      </c>
      <c r="E53" s="16" t="str">
        <f t="shared" ref="E53:E55" si="89">_xlfn.CONCAT("@",U53,V53,W53,X53,Y53,Z53,AA53,AB53,AC53,"-(",E$3,")")</f>
        <v>@case_width-motorway-z6-(mtb-hc)</v>
      </c>
      <c r="F53" s="8" t="str">
        <f t="shared" si="62"/>
        <v>2.4</v>
      </c>
      <c r="G53" s="11" t="s">
        <v>102</v>
      </c>
      <c r="H53" s="15" t="str">
        <f t="shared" ref="H53:H55" si="90">_xlfn.CONCAT("@",U53,V53,W53,X53,Y53,Z53,AA53,AB53,AC53,"-(",H$3,")")</f>
        <v>@case_width-motorway-z6-(gr)</v>
      </c>
      <c r="I53" s="8" t="str">
        <f t="shared" ref="I53:I55" si="91">J53</f>
        <v>2.4</v>
      </c>
      <c r="J53" s="8" t="str">
        <f t="shared" ref="J53:J55" si="92">D53</f>
        <v>2.4</v>
      </c>
      <c r="K53" s="16" t="str">
        <f t="shared" ref="K53:K55" si="93">_xlfn.CONCAT("@",U53,V53,W53,X53,Y53,Z53,AA53,AB53,AC53,"-(",K$3,")")</f>
        <v>@case_width-motorway-z6-(gr-hc)</v>
      </c>
      <c r="L53" s="8" t="str">
        <f t="shared" ref="L53:L55" si="94">M53</f>
        <v>2.4</v>
      </c>
      <c r="M53" s="17" t="str">
        <f t="shared" ref="M53:M55" si="95">G53</f>
        <v>2.4</v>
      </c>
      <c r="N53" s="23" t="str">
        <f t="shared" ref="N53:N55" si="96">_xlfn.CONCAT("@",U53,V53,W53,X53,Y53,Z53,AA53,AB53,AC53,"-(",N$3,")")</f>
        <v>@case_width-motorway-z6-(wnt)</v>
      </c>
      <c r="O53" s="24" t="str">
        <f t="shared" si="63"/>
        <v>2.4</v>
      </c>
      <c r="P53" s="8" t="str">
        <f t="shared" si="82"/>
        <v>2.4</v>
      </c>
      <c r="Q53" s="25" t="str">
        <f t="shared" ref="Q53:Q55" si="97">_xlfn.CONCAT("@",U53,V53,W53,X53,Y53,Z53,AA53,AB53,AC53,"-(",Q$3,")")</f>
        <v>@case_width-motorway-z6-(wnt-hc)</v>
      </c>
      <c r="R53" s="24" t="str">
        <f t="shared" ref="R53:R55" si="98">S53</f>
        <v>2.4</v>
      </c>
      <c r="S53" s="17" t="str">
        <f t="shared" si="83"/>
        <v>2.4</v>
      </c>
      <c r="U53" s="1" t="s">
        <v>81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141</v>
      </c>
    </row>
    <row r="54" spans="1:29" x14ac:dyDescent="0.25">
      <c r="B54" s="15" t="str">
        <f t="shared" si="87"/>
        <v>@case_width-motorway-z10-(mtb)</v>
      </c>
      <c r="C54" s="8" t="str">
        <f t="shared" si="88"/>
        <v>4.5</v>
      </c>
      <c r="D54" s="6" t="s">
        <v>131</v>
      </c>
      <c r="E54" s="16" t="str">
        <f t="shared" si="89"/>
        <v>@case_width-motorway-z10-(mtb-hc)</v>
      </c>
      <c r="F54" s="8" t="str">
        <f t="shared" si="62"/>
        <v>4.5</v>
      </c>
      <c r="G54" s="11" t="s">
        <v>131</v>
      </c>
      <c r="H54" s="15" t="str">
        <f t="shared" si="90"/>
        <v>@case_width-motorway-z10-(gr)</v>
      </c>
      <c r="I54" s="8" t="str">
        <f t="shared" si="91"/>
        <v>4.5</v>
      </c>
      <c r="J54" s="8" t="str">
        <f t="shared" si="92"/>
        <v>4.5</v>
      </c>
      <c r="K54" s="16" t="str">
        <f t="shared" si="93"/>
        <v>@case_width-motorway-z10-(gr-hc)</v>
      </c>
      <c r="L54" s="8" t="str">
        <f t="shared" si="94"/>
        <v>4.5</v>
      </c>
      <c r="M54" s="17" t="str">
        <f t="shared" si="95"/>
        <v>4.5</v>
      </c>
      <c r="N54" s="23" t="str">
        <f t="shared" si="96"/>
        <v>@case_width-motorway-z10-(wnt)</v>
      </c>
      <c r="O54" s="24" t="str">
        <f t="shared" si="63"/>
        <v>4.5</v>
      </c>
      <c r="P54" s="8" t="str">
        <f t="shared" si="82"/>
        <v>4.5</v>
      </c>
      <c r="Q54" s="25" t="str">
        <f t="shared" si="97"/>
        <v>@case_width-motorway-z10-(wnt-hc)</v>
      </c>
      <c r="R54" s="24" t="str">
        <f t="shared" si="98"/>
        <v>4.5</v>
      </c>
      <c r="S54" s="17" t="str">
        <f t="shared" si="83"/>
        <v>4.5</v>
      </c>
      <c r="U54" s="1" t="s">
        <v>81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106</v>
      </c>
    </row>
    <row r="55" spans="1:29" x14ac:dyDescent="0.25">
      <c r="B55" s="15" t="str">
        <f t="shared" si="87"/>
        <v>@case_width-motorway-z20-(mtb)</v>
      </c>
      <c r="C55" s="8" t="str">
        <f t="shared" si="88"/>
        <v>22.0</v>
      </c>
      <c r="D55" s="6" t="s">
        <v>144</v>
      </c>
      <c r="E55" s="16" t="str">
        <f t="shared" si="89"/>
        <v>@case_width-motorway-z20-(mtb-hc)</v>
      </c>
      <c r="F55" s="8" t="str">
        <f t="shared" si="62"/>
        <v>36.0</v>
      </c>
      <c r="G55" s="11" t="s">
        <v>145</v>
      </c>
      <c r="H55" s="15" t="str">
        <f t="shared" si="90"/>
        <v>@case_width-motorway-z20-(gr)</v>
      </c>
      <c r="I55" s="8" t="str">
        <f t="shared" si="91"/>
        <v>22.0</v>
      </c>
      <c r="J55" s="8" t="str">
        <f t="shared" si="92"/>
        <v>22.0</v>
      </c>
      <c r="K55" s="16" t="str">
        <f t="shared" si="93"/>
        <v>@case_width-motorway-z20-(gr-hc)</v>
      </c>
      <c r="L55" s="8" t="str">
        <f t="shared" si="94"/>
        <v>36.0</v>
      </c>
      <c r="M55" s="17" t="str">
        <f t="shared" si="95"/>
        <v>36.0</v>
      </c>
      <c r="N55" s="23" t="str">
        <f t="shared" si="96"/>
        <v>@case_width-motorway-z20-(wnt)</v>
      </c>
      <c r="O55" s="24" t="str">
        <f t="shared" si="63"/>
        <v>22.0</v>
      </c>
      <c r="P55" s="8" t="str">
        <f t="shared" si="82"/>
        <v>22.0</v>
      </c>
      <c r="Q55" s="25" t="str">
        <f t="shared" si="97"/>
        <v>@case_width-motorway-z20-(wnt-hc)</v>
      </c>
      <c r="R55" s="24" t="str">
        <f t="shared" si="98"/>
        <v>36.0</v>
      </c>
      <c r="S55" s="17" t="str">
        <f t="shared" si="83"/>
        <v>36.0</v>
      </c>
      <c r="U55" s="1" t="s">
        <v>81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142</v>
      </c>
    </row>
    <row r="56" spans="1:29" x14ac:dyDescent="0.25">
      <c r="A56" s="4" t="s">
        <v>146</v>
      </c>
      <c r="B56" s="12"/>
      <c r="C56" s="4"/>
      <c r="D56" s="7"/>
      <c r="E56" s="14"/>
      <c r="F56" s="4"/>
      <c r="G56" s="13"/>
      <c r="H56" s="12"/>
      <c r="I56" s="4"/>
      <c r="J56" s="7"/>
      <c r="K56" s="14"/>
      <c r="L56" s="4"/>
      <c r="M56" s="13"/>
      <c r="N56" s="12"/>
      <c r="O56" s="4"/>
      <c r="P56" s="7"/>
      <c r="Q56" s="14"/>
      <c r="R56" s="4"/>
      <c r="S56" s="13"/>
      <c r="T56" s="5"/>
      <c r="U56" s="4"/>
      <c r="V56" s="5"/>
      <c r="W56" s="4"/>
      <c r="X56" s="5"/>
      <c r="Y56" s="4"/>
      <c r="Z56" s="5"/>
      <c r="AA56" s="5"/>
      <c r="AB56" s="5"/>
      <c r="AC56" s="4"/>
    </row>
    <row r="57" spans="1:29" x14ac:dyDescent="0.25">
      <c r="B57" s="15" t="str">
        <f>_xlfn.CONCAT("@",U57,V57,W57,X57,Y57,Z57,AA57,AB57,AC57,"-(",B$3,")")</f>
        <v>@line_width-motorway-z7-(mtb)</v>
      </c>
      <c r="C57" s="8" t="str">
        <f>D57</f>
        <v>0.5</v>
      </c>
      <c r="D57" s="6" t="s">
        <v>98</v>
      </c>
      <c r="E57" s="16" t="str">
        <f>_xlfn.CONCAT("@",U57,V57,W57,X57,Y57,Z57,AA57,AB57,AC57,"-(",E$3,")")</f>
        <v>@line_width-motorway-z7-(mtb-hc)</v>
      </c>
      <c r="F57" s="8" t="str">
        <f t="shared" si="62"/>
        <v>0.5</v>
      </c>
      <c r="G57" s="11" t="s">
        <v>98</v>
      </c>
      <c r="H57" s="15" t="str">
        <f>_xlfn.CONCAT("@",U57,V57,W57,X57,Y57,Z57,AA57,AB57,AC57,"-(",H$3,")")</f>
        <v>@line_width-motorway-z7-(gr)</v>
      </c>
      <c r="I57" s="8" t="str">
        <f>J57</f>
        <v>0.5</v>
      </c>
      <c r="J57" s="8" t="str">
        <f t="shared" ref="J57:J61" si="102">D57</f>
        <v>0.5</v>
      </c>
      <c r="K57" s="16" t="str">
        <f>_xlfn.CONCAT("@",U57,V57,W57,X57,Y57,Z57,AA57,AB57,AC57,"-(",K$3,")")</f>
        <v>@line_width-motorway-z7-(gr-hc)</v>
      </c>
      <c r="L57" s="8" t="str">
        <f>M57</f>
        <v>0.5</v>
      </c>
      <c r="M57" s="17" t="str">
        <f t="shared" ref="M57:M61" si="103">G57</f>
        <v>0.5</v>
      </c>
      <c r="N57" s="23" t="str">
        <f>_xlfn.CONCAT("@",U57,V57,W57,X57,Y57,Z57,AA57,AB57,AC57,"-(",N$3,")")</f>
        <v>@line_width-motorway-z7-(wnt)</v>
      </c>
      <c r="O57" s="24" t="str">
        <f t="shared" si="63"/>
        <v>0.5</v>
      </c>
      <c r="P57" s="8" t="str">
        <f t="shared" si="82"/>
        <v>0.5</v>
      </c>
      <c r="Q57" s="25" t="str">
        <f>_xlfn.CONCAT("@",U57,V57,W57,X57,Y57,Z57,AA57,AB57,AC57,"-(",Q$3,")")</f>
        <v>@line_width-motorway-z7-(wnt-hc)</v>
      </c>
      <c r="R57" s="24" t="str">
        <f>S57</f>
        <v>0.5</v>
      </c>
      <c r="S57" s="17" t="str">
        <f t="shared" si="83"/>
        <v>0.5</v>
      </c>
      <c r="U57" s="1" t="s">
        <v>122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147</v>
      </c>
    </row>
    <row r="58" spans="1:29" x14ac:dyDescent="0.25">
      <c r="B58" s="15" t="str">
        <f t="shared" ref="B58:B60" si="107">_xlfn.CONCAT("@",U58,V58,W58,X58,Y58,Z58,AA58,AB58,AC58,"-(",B$3,")")</f>
        <v>@line_width-motorway-z10-(mtb)</v>
      </c>
      <c r="C58" s="8" t="str">
        <f t="shared" ref="C58:C61" si="108">D58</f>
        <v>1.5</v>
      </c>
      <c r="D58" s="6" t="s">
        <v>87</v>
      </c>
      <c r="E58" s="16" t="str">
        <f t="shared" ref="E58:E60" si="109">_xlfn.CONCAT("@",U58,V58,W58,X58,Y58,Z58,AA58,AB58,AC58,"-(",E$3,")")</f>
        <v>@line_width-motorway-z10-(mtb-hc)</v>
      </c>
      <c r="F58" s="8" t="str">
        <f t="shared" si="62"/>
        <v>2.5</v>
      </c>
      <c r="G58" s="11" t="s">
        <v>93</v>
      </c>
      <c r="H58" s="15" t="str">
        <f t="shared" ref="H58:H60" si="110">_xlfn.CONCAT("@",U58,V58,W58,X58,Y58,Z58,AA58,AB58,AC58,"-(",H$3,")")</f>
        <v>@line_width-motorway-z10-(gr)</v>
      </c>
      <c r="I58" s="8" t="str">
        <f t="shared" ref="I58:I61" si="111">J58</f>
        <v>1.5</v>
      </c>
      <c r="J58" s="8" t="str">
        <f t="shared" si="102"/>
        <v>1.5</v>
      </c>
      <c r="K58" s="16" t="str">
        <f t="shared" ref="K58:K60" si="112">_xlfn.CONCAT("@",U58,V58,W58,X58,Y58,Z58,AA58,AB58,AC58,"-(",K$3,")")</f>
        <v>@line_width-motorway-z10-(gr-hc)</v>
      </c>
      <c r="L58" s="8" t="str">
        <f t="shared" ref="L58:L61" si="113">M58</f>
        <v>2.5</v>
      </c>
      <c r="M58" s="17" t="str">
        <f t="shared" si="103"/>
        <v>2.5</v>
      </c>
      <c r="N58" s="23" t="str">
        <f t="shared" ref="N58:N60" si="114">_xlfn.CONCAT("@",U58,V58,W58,X58,Y58,Z58,AA58,AB58,AC58,"-(",N$3,")")</f>
        <v>@line_width-motorway-z10-(wnt)</v>
      </c>
      <c r="O58" s="24" t="str">
        <f t="shared" si="63"/>
        <v>1.5</v>
      </c>
      <c r="P58" s="8" t="str">
        <f t="shared" si="82"/>
        <v>1.5</v>
      </c>
      <c r="Q58" s="25" t="str">
        <f t="shared" ref="Q58:Q60" si="115">_xlfn.CONCAT("@",U58,V58,W58,X58,Y58,Z58,AA58,AB58,AC58,"-(",Q$3,")")</f>
        <v>@line_width-motorway-z10-(wnt-hc)</v>
      </c>
      <c r="R58" s="24" t="str">
        <f t="shared" ref="R58:R61" si="116">S58</f>
        <v>2.5</v>
      </c>
      <c r="S58" s="17" t="str">
        <f t="shared" si="83"/>
        <v>2.5</v>
      </c>
      <c r="U58" s="1" t="s">
        <v>122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106</v>
      </c>
    </row>
    <row r="59" spans="1:29" x14ac:dyDescent="0.25">
      <c r="B59" s="15" t="str">
        <f t="shared" si="107"/>
        <v>@line_width-motorway-z12-(mtb)</v>
      </c>
      <c r="C59" s="8" t="str">
        <f t="shared" si="108"/>
        <v>3.0</v>
      </c>
      <c r="D59" s="6" t="s">
        <v>91</v>
      </c>
      <c r="E59" s="16" t="str">
        <f t="shared" si="109"/>
        <v>@line_width-motorway-z12-(mtb-hc)</v>
      </c>
      <c r="F59" s="8" t="str">
        <f t="shared" si="62"/>
        <v>4.5</v>
      </c>
      <c r="G59" s="11" t="s">
        <v>131</v>
      </c>
      <c r="H59" s="15" t="str">
        <f t="shared" si="110"/>
        <v>@line_width-motorway-z12-(gr)</v>
      </c>
      <c r="I59" s="8" t="str">
        <f t="shared" si="111"/>
        <v>3.0</v>
      </c>
      <c r="J59" s="8" t="str">
        <f t="shared" si="102"/>
        <v>3.0</v>
      </c>
      <c r="K59" s="16" t="str">
        <f t="shared" si="112"/>
        <v>@line_width-motorway-z12-(gr-hc)</v>
      </c>
      <c r="L59" s="8" t="str">
        <f t="shared" si="113"/>
        <v>4.5</v>
      </c>
      <c r="M59" s="17" t="str">
        <f t="shared" si="103"/>
        <v>4.5</v>
      </c>
      <c r="N59" s="23" t="str">
        <f t="shared" si="114"/>
        <v>@line_width-motorway-z12-(wnt)</v>
      </c>
      <c r="O59" s="24" t="str">
        <f t="shared" si="63"/>
        <v>3.0</v>
      </c>
      <c r="P59" s="8" t="str">
        <f t="shared" si="82"/>
        <v>3.0</v>
      </c>
      <c r="Q59" s="25" t="str">
        <f t="shared" si="115"/>
        <v>@line_width-motorway-z12-(wnt-hc)</v>
      </c>
      <c r="R59" s="24" t="str">
        <f t="shared" si="116"/>
        <v>4.5</v>
      </c>
      <c r="S59" s="17" t="str">
        <f t="shared" si="83"/>
        <v>4.5</v>
      </c>
      <c r="U59" s="1" t="s">
        <v>122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112</v>
      </c>
    </row>
    <row r="60" spans="1:29" x14ac:dyDescent="0.25">
      <c r="B60" s="15" t="str">
        <f t="shared" si="107"/>
        <v>@line_width-motorway-z14-(mtb)</v>
      </c>
      <c r="C60" s="8" t="str">
        <f t="shared" si="108"/>
        <v>4.0</v>
      </c>
      <c r="D60" s="6" t="s">
        <v>95</v>
      </c>
      <c r="E60" s="16" t="str">
        <f t="shared" si="109"/>
        <v>@line_width-motorway-z14-(mtb-hc)</v>
      </c>
      <c r="F60" s="8" t="str">
        <f t="shared" si="62"/>
        <v>7.0</v>
      </c>
      <c r="G60" s="11" t="s">
        <v>137</v>
      </c>
      <c r="H60" s="15" t="str">
        <f t="shared" si="110"/>
        <v>@line_width-motorway-z14-(gr)</v>
      </c>
      <c r="I60" s="8" t="str">
        <f t="shared" si="111"/>
        <v>4.0</v>
      </c>
      <c r="J60" s="8" t="str">
        <f t="shared" si="102"/>
        <v>4.0</v>
      </c>
      <c r="K60" s="16" t="str">
        <f t="shared" si="112"/>
        <v>@line_width-motorway-z14-(gr-hc)</v>
      </c>
      <c r="L60" s="8" t="str">
        <f t="shared" si="113"/>
        <v>7.0</v>
      </c>
      <c r="M60" s="17" t="str">
        <f t="shared" si="103"/>
        <v>7.0</v>
      </c>
      <c r="N60" s="23" t="str">
        <f t="shared" si="114"/>
        <v>@line_width-motorway-z14-(wnt)</v>
      </c>
      <c r="O60" s="24" t="str">
        <f t="shared" si="63"/>
        <v>4.0</v>
      </c>
      <c r="P60" s="8" t="str">
        <f t="shared" si="82"/>
        <v>4.0</v>
      </c>
      <c r="Q60" s="25" t="str">
        <f t="shared" si="115"/>
        <v>@line_width-motorway-z14-(wnt-hc)</v>
      </c>
      <c r="R60" s="24" t="str">
        <f t="shared" si="116"/>
        <v>7.0</v>
      </c>
      <c r="S60" s="17" t="str">
        <f t="shared" si="83"/>
        <v>7.0</v>
      </c>
      <c r="U60" s="1" t="s">
        <v>122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77</v>
      </c>
    </row>
    <row r="61" spans="1:29" x14ac:dyDescent="0.25">
      <c r="B61" s="15" t="str">
        <f t="shared" ref="B61" si="117">_xlfn.CONCAT("@",U61,V61,W61,X61,Y61,Z61,AA61,AB61,AC61,"-(",B$3,")")</f>
        <v>@line_width-motorway-z20-(mtb)</v>
      </c>
      <c r="C61" s="8" t="str">
        <f t="shared" si="108"/>
        <v>18.0</v>
      </c>
      <c r="D61" s="6" t="s">
        <v>148</v>
      </c>
      <c r="E61" s="16" t="str">
        <f t="shared" ref="E61" si="118">_xlfn.CONCAT("@",U61,V61,W61,X61,Y61,Z61,AA61,AB61,AC61,"-(",E$3,")")</f>
        <v>@line_width-motorway-z20-(mtb-hc)</v>
      </c>
      <c r="F61" s="8" t="str">
        <f t="shared" si="62"/>
        <v>24.0</v>
      </c>
      <c r="G61" s="11" t="s">
        <v>149</v>
      </c>
      <c r="H61" s="15" t="str">
        <f t="shared" ref="H61" si="119">_xlfn.CONCAT("@",U61,V61,W61,X61,Y61,Z61,AA61,AB61,AC61,"-(",H$3,")")</f>
        <v>@line_width-motorway-z20-(gr)</v>
      </c>
      <c r="I61" s="8" t="str">
        <f t="shared" si="111"/>
        <v>18.0</v>
      </c>
      <c r="J61" s="8" t="str">
        <f t="shared" si="102"/>
        <v>18.0</v>
      </c>
      <c r="K61" s="16" t="str">
        <f t="shared" ref="K61" si="120">_xlfn.CONCAT("@",U61,V61,W61,X61,Y61,Z61,AA61,AB61,AC61,"-(",K$3,")")</f>
        <v>@line_width-motorway-z20-(gr-hc)</v>
      </c>
      <c r="L61" s="8" t="str">
        <f t="shared" si="113"/>
        <v>24.0</v>
      </c>
      <c r="M61" s="17" t="str">
        <f t="shared" si="103"/>
        <v>24.0</v>
      </c>
      <c r="N61" s="23" t="str">
        <f t="shared" ref="N61" si="121">_xlfn.CONCAT("@",U61,V61,W61,X61,Y61,Z61,AA61,AB61,AC61,"-(",N$3,")")</f>
        <v>@line_width-motorway-z20-(wnt)</v>
      </c>
      <c r="O61" s="24" t="str">
        <f t="shared" si="63"/>
        <v>18.0</v>
      </c>
      <c r="P61" s="8" t="str">
        <f t="shared" si="82"/>
        <v>18.0</v>
      </c>
      <c r="Q61" s="25" t="str">
        <f t="shared" ref="Q61" si="122">_xlfn.CONCAT("@",U61,V61,W61,X61,Y61,Z61,AA61,AB61,AC61,"-(",Q$3,")")</f>
        <v>@line_width-motorway-z20-(wnt-hc)</v>
      </c>
      <c r="R61" s="24" t="str">
        <f t="shared" si="116"/>
        <v>24.0</v>
      </c>
      <c r="S61" s="17" t="str">
        <f t="shared" si="83"/>
        <v>24.0</v>
      </c>
      <c r="U61" s="1" t="s">
        <v>122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142</v>
      </c>
    </row>
    <row r="62" spans="1:29" x14ac:dyDescent="0.25">
      <c r="A62" s="4" t="s">
        <v>150</v>
      </c>
      <c r="B62" s="12"/>
      <c r="C62" s="4"/>
      <c r="D62" s="7"/>
      <c r="E62" s="14"/>
      <c r="F62" s="4"/>
      <c r="G62" s="13"/>
      <c r="H62" s="12"/>
      <c r="I62" s="4"/>
      <c r="J62" s="7"/>
      <c r="K62" s="14"/>
      <c r="L62" s="4"/>
      <c r="M62" s="13"/>
      <c r="N62" s="12"/>
      <c r="O62" s="4"/>
      <c r="P62" s="7"/>
      <c r="Q62" s="14"/>
      <c r="R62" s="4"/>
      <c r="S62" s="13"/>
      <c r="T62" s="5"/>
      <c r="U62" s="4"/>
      <c r="V62" s="5"/>
      <c r="W62" s="4"/>
      <c r="X62" s="5"/>
      <c r="Y62" s="4"/>
      <c r="Z62" s="5"/>
      <c r="AA62" s="5"/>
      <c r="AB62" s="5"/>
      <c r="AC62" s="4"/>
    </row>
    <row r="63" spans="1:29" x14ac:dyDescent="0.25">
      <c r="B63" s="15" t="str">
        <f>_xlfn.CONCAT("@",U63,V63,W63,X63,Y63,Z63,AA63,AB63,AC63,"-(",B$3,")")</f>
        <v>@case_width-trunk-z6-(mtb)</v>
      </c>
      <c r="C63" s="8" t="str">
        <f>D63</f>
        <v>2.5</v>
      </c>
      <c r="D63" s="6" t="s">
        <v>93</v>
      </c>
      <c r="E63" s="16" t="str">
        <f>_xlfn.CONCAT("@",U63,V63,W63,X63,Y63,Z63,AA63,AB63,AC63,"-(",E$3,")")</f>
        <v>@case_width-trunk-z6-(mtb-hc)</v>
      </c>
      <c r="F63" s="8" t="str">
        <f t="shared" si="62"/>
        <v>2.5</v>
      </c>
      <c r="G63" s="17" t="str">
        <f>D63</f>
        <v>2.5</v>
      </c>
      <c r="H63" s="15" t="str">
        <f>_xlfn.CONCAT("@",U63,V63,W63,X63,Y63,Z63,AA63,AB63,AC63,"-(",H$3,")")</f>
        <v>@case_width-trunk-z6-(gr)</v>
      </c>
      <c r="I63" s="8" t="str">
        <f>J63</f>
        <v>2.5</v>
      </c>
      <c r="J63" s="8" t="str">
        <f>D63</f>
        <v>2.5</v>
      </c>
      <c r="K63" s="16" t="str">
        <f>_xlfn.CONCAT("@",U63,V63,W63,X63,Y63,Z63,AA63,AB63,AC63,"-(",K$3,")")</f>
        <v>@case_width-trunk-z6-(gr-hc)</v>
      </c>
      <c r="L63" s="8" t="str">
        <f>M63</f>
        <v>2.5</v>
      </c>
      <c r="M63" s="17" t="str">
        <f>G63</f>
        <v>2.5</v>
      </c>
      <c r="N63" s="23" t="str">
        <f>_xlfn.CONCAT("@",U63,V63,W63,X63,Y63,Z63,AA63,AB63,AC63,"-(",N$3,")")</f>
        <v>@case_width-trunk-z6-(wnt)</v>
      </c>
      <c r="O63" s="24" t="str">
        <f t="shared" si="63"/>
        <v>2.5</v>
      </c>
      <c r="P63" s="8" t="str">
        <f t="shared" ref="P63:P65" si="126">D63</f>
        <v>2.5</v>
      </c>
      <c r="Q63" s="25" t="str">
        <f>_xlfn.CONCAT("@",U63,V63,W63,X63,Y63,Z63,AA63,AB63,AC63,"-(",Q$3,")")</f>
        <v>@case_width-trunk-z6-(wnt-hc)</v>
      </c>
      <c r="R63" s="24" t="str">
        <f>S63</f>
        <v>2.5</v>
      </c>
      <c r="S63" s="17" t="str">
        <f t="shared" ref="S63:S65" si="127">G63</f>
        <v>2.5</v>
      </c>
      <c r="U63" s="1" t="s">
        <v>81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141</v>
      </c>
    </row>
    <row r="64" spans="1:29" x14ac:dyDescent="0.25">
      <c r="B64" s="15" t="str">
        <f t="shared" ref="B64:B65" si="131">_xlfn.CONCAT("@",U64,V64,W64,X64,Y64,Z64,AA64,AB64,AC64,"-(",B$3,")")</f>
        <v>@case_width-trunk-z10-(mtb)</v>
      </c>
      <c r="C64" s="8" t="str">
        <f t="shared" ref="C64:C65" si="132">D64</f>
        <v>4.0</v>
      </c>
      <c r="D64" s="6" t="s">
        <v>95</v>
      </c>
      <c r="E64" s="16" t="str">
        <f t="shared" ref="E64:E65" si="133">_xlfn.CONCAT("@",U64,V64,W64,X64,Y64,Z64,AA64,AB64,AC64,"-(",E$3,")")</f>
        <v>@case_width-trunk-z10-(mtb-hc)</v>
      </c>
      <c r="F64" s="8" t="str">
        <f t="shared" si="62"/>
        <v>4.0</v>
      </c>
      <c r="G64" s="17" t="str">
        <f t="shared" ref="G64:G65" si="134">D64</f>
        <v>4.0</v>
      </c>
      <c r="H64" s="15" t="str">
        <f t="shared" ref="H64:H65" si="135">_xlfn.CONCAT("@",U64,V64,W64,X64,Y64,Z64,AA64,AB64,AC64,"-(",H$3,")")</f>
        <v>@case_width-trunk-z10-(gr)</v>
      </c>
      <c r="I64" s="8" t="str">
        <f t="shared" ref="I64:I65" si="136">J64</f>
        <v>4.0</v>
      </c>
      <c r="J64" s="8" t="str">
        <f t="shared" ref="J64:J65" si="137">D64</f>
        <v>4.0</v>
      </c>
      <c r="K64" s="16" t="str">
        <f t="shared" ref="K64:K65" si="138">_xlfn.CONCAT("@",U64,V64,W64,X64,Y64,Z64,AA64,AB64,AC64,"-(",K$3,")")</f>
        <v>@case_width-trunk-z10-(gr-hc)</v>
      </c>
      <c r="L64" s="8" t="str">
        <f t="shared" ref="L64:L65" si="139">M64</f>
        <v>4.0</v>
      </c>
      <c r="M64" s="17" t="str">
        <f t="shared" ref="M64:M65" si="140">G64</f>
        <v>4.0</v>
      </c>
      <c r="N64" s="23" t="str">
        <f t="shared" ref="N64:N65" si="141">_xlfn.CONCAT("@",U64,V64,W64,X64,Y64,Z64,AA64,AB64,AC64,"-(",N$3,")")</f>
        <v>@case_width-trunk-z10-(wnt)</v>
      </c>
      <c r="O64" s="24" t="str">
        <f t="shared" si="63"/>
        <v>4.0</v>
      </c>
      <c r="P64" s="8" t="str">
        <f t="shared" si="126"/>
        <v>4.0</v>
      </c>
      <c r="Q64" s="25" t="str">
        <f t="shared" ref="Q64:Q65" si="142">_xlfn.CONCAT("@",U64,V64,W64,X64,Y64,Z64,AA64,AB64,AC64,"-(",Q$3,")")</f>
        <v>@case_width-trunk-z10-(wnt-hc)</v>
      </c>
      <c r="R64" s="24" t="str">
        <f t="shared" ref="R64:R65" si="143">S64</f>
        <v>4.0</v>
      </c>
      <c r="S64" s="17" t="str">
        <f t="shared" si="127"/>
        <v>4.0</v>
      </c>
      <c r="U64" s="1" t="s">
        <v>81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106</v>
      </c>
    </row>
    <row r="65" spans="1:29" x14ac:dyDescent="0.25">
      <c r="B65" s="15" t="str">
        <f t="shared" si="131"/>
        <v>@case_width-trunk-z20-(mtb)</v>
      </c>
      <c r="C65" s="8" t="str">
        <f t="shared" si="132"/>
        <v>22.0</v>
      </c>
      <c r="D65" s="6" t="s">
        <v>144</v>
      </c>
      <c r="E65" s="16" t="str">
        <f t="shared" si="133"/>
        <v>@case_width-trunk-z20-(mtb-hc)</v>
      </c>
      <c r="F65" s="8" t="str">
        <f t="shared" si="62"/>
        <v>22.0</v>
      </c>
      <c r="G65" s="17" t="str">
        <f t="shared" si="134"/>
        <v>22.0</v>
      </c>
      <c r="H65" s="15" t="str">
        <f t="shared" si="135"/>
        <v>@case_width-trunk-z20-(gr)</v>
      </c>
      <c r="I65" s="8" t="str">
        <f t="shared" si="136"/>
        <v>22.0</v>
      </c>
      <c r="J65" s="8" t="str">
        <f t="shared" si="137"/>
        <v>22.0</v>
      </c>
      <c r="K65" s="16" t="str">
        <f t="shared" si="138"/>
        <v>@case_width-trunk-z20-(gr-hc)</v>
      </c>
      <c r="L65" s="8" t="str">
        <f t="shared" si="139"/>
        <v>22.0</v>
      </c>
      <c r="M65" s="17" t="str">
        <f t="shared" si="140"/>
        <v>22.0</v>
      </c>
      <c r="N65" s="23" t="str">
        <f t="shared" si="141"/>
        <v>@case_width-trunk-z20-(wnt)</v>
      </c>
      <c r="O65" s="24" t="str">
        <f t="shared" si="63"/>
        <v>22.0</v>
      </c>
      <c r="P65" s="8" t="str">
        <f t="shared" si="126"/>
        <v>22.0</v>
      </c>
      <c r="Q65" s="25" t="str">
        <f t="shared" si="142"/>
        <v>@case_width-trunk-z20-(wnt-hc)</v>
      </c>
      <c r="R65" s="24" t="str">
        <f t="shared" si="143"/>
        <v>22.0</v>
      </c>
      <c r="S65" s="17" t="str">
        <f t="shared" si="127"/>
        <v>22.0</v>
      </c>
      <c r="U65" s="1" t="s">
        <v>81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142</v>
      </c>
    </row>
    <row r="66" spans="1:29" x14ac:dyDescent="0.25">
      <c r="A66" s="4" t="s">
        <v>151</v>
      </c>
      <c r="B66" s="12"/>
      <c r="C66" s="4"/>
      <c r="D66" s="7"/>
      <c r="E66" s="14"/>
      <c r="F66" s="4"/>
      <c r="G66" s="13"/>
      <c r="H66" s="12"/>
      <c r="I66" s="4"/>
      <c r="J66" s="7"/>
      <c r="K66" s="14"/>
      <c r="L66" s="4"/>
      <c r="M66" s="13"/>
      <c r="N66" s="12"/>
      <c r="O66" s="4"/>
      <c r="P66" s="7"/>
      <c r="Q66" s="14"/>
      <c r="R66" s="4"/>
      <c r="S66" s="13"/>
      <c r="T66" s="5"/>
      <c r="U66" s="4"/>
      <c r="V66" s="5"/>
      <c r="W66" s="4"/>
      <c r="X66" s="5"/>
      <c r="Y66" s="4"/>
      <c r="Z66" s="5"/>
      <c r="AA66" s="5"/>
      <c r="AB66" s="5"/>
      <c r="AC66" s="4"/>
    </row>
    <row r="67" spans="1:29" x14ac:dyDescent="0.25">
      <c r="B67" s="15" t="str">
        <f>_xlfn.CONCAT("@",U67,V67,W67,X67,Y67,Z67,AA67,AB67,AC67,"-(",B$3,")")</f>
        <v>@line_width-trunk-z7-(mtb)</v>
      </c>
      <c r="C67" s="8" t="str">
        <f>D67</f>
        <v>0.5</v>
      </c>
      <c r="D67" s="6" t="s">
        <v>98</v>
      </c>
      <c r="E67" s="16" t="str">
        <f>_xlfn.CONCAT("@",U67,V67,W67,X67,Y67,Z67,AA67,AB67,AC67,"-(",E$3,")")</f>
        <v>@line_width-trunk-z7-(mtb-hc)</v>
      </c>
      <c r="F67" s="8" t="str">
        <f t="shared" si="62"/>
        <v>0.5</v>
      </c>
      <c r="G67" s="17" t="str">
        <f t="shared" ref="G67:G71" si="144">D67</f>
        <v>0.5</v>
      </c>
      <c r="H67" s="15" t="str">
        <f>_xlfn.CONCAT("@",U67,V67,W67,X67,Y67,Z67,AA67,AB67,AC67,"-(",H$3,")")</f>
        <v>@line_width-trunk-z7-(gr)</v>
      </c>
      <c r="I67" s="8" t="str">
        <f>J67</f>
        <v>0.5</v>
      </c>
      <c r="J67" s="8" t="str">
        <f t="shared" ref="J67:J71" si="145">D67</f>
        <v>0.5</v>
      </c>
      <c r="K67" s="16" t="str">
        <f>_xlfn.CONCAT("@",U67,V67,W67,X67,Y67,Z67,AA67,AB67,AC67,"-(",K$3,")")</f>
        <v>@line_width-trunk-z7-(gr-hc)</v>
      </c>
      <c r="L67" s="8" t="str">
        <f>M67</f>
        <v>0.5</v>
      </c>
      <c r="M67" s="17" t="str">
        <f t="shared" ref="M67:M71" si="146">G67</f>
        <v>0.5</v>
      </c>
      <c r="N67" s="23" t="str">
        <f>_xlfn.CONCAT("@",U67,V67,W67,X67,Y67,Z67,AA67,AB67,AC67,"-(",N$3,")")</f>
        <v>@line_width-trunk-z7-(wnt)</v>
      </c>
      <c r="O67" s="24" t="str">
        <f t="shared" si="63"/>
        <v>0.5</v>
      </c>
      <c r="P67" s="8" t="str">
        <f t="shared" ref="P67:P71" si="147">D67</f>
        <v>0.5</v>
      </c>
      <c r="Q67" s="25" t="str">
        <f>_xlfn.CONCAT("@",U67,V67,W67,X67,Y67,Z67,AA67,AB67,AC67,"-(",Q$3,")")</f>
        <v>@line_width-trunk-z7-(wnt-hc)</v>
      </c>
      <c r="R67" s="24" t="str">
        <f>S67</f>
        <v>0.5</v>
      </c>
      <c r="S67" s="17" t="str">
        <f t="shared" ref="S67:S71" si="148">G67</f>
        <v>0.5</v>
      </c>
      <c r="U67" s="1" t="s">
        <v>122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147</v>
      </c>
    </row>
    <row r="68" spans="1:29" x14ac:dyDescent="0.25">
      <c r="B68" s="15" t="str">
        <f t="shared" ref="B68:B71" si="152">_xlfn.CONCAT("@",U68,V68,W68,X68,Y68,Z68,AA68,AB68,AC68,"-(",B$3,")")</f>
        <v>@line_width-trunk-z10-(mtb)</v>
      </c>
      <c r="C68" s="8" t="str">
        <f t="shared" ref="C68:C71" si="153">D68</f>
        <v>2.0</v>
      </c>
      <c r="D68" s="6" t="s">
        <v>88</v>
      </c>
      <c r="E68" s="16" t="str">
        <f t="shared" ref="E68:E71" si="154">_xlfn.CONCAT("@",U68,V68,W68,X68,Y68,Z68,AA68,AB68,AC68,"-(",E$3,")")</f>
        <v>@line_width-trunk-z10-(mtb-hc)</v>
      </c>
      <c r="F68" s="8" t="str">
        <f t="shared" si="62"/>
        <v>2.0</v>
      </c>
      <c r="G68" s="17" t="str">
        <f t="shared" si="144"/>
        <v>2.0</v>
      </c>
      <c r="H68" s="15" t="str">
        <f t="shared" ref="H68:H71" si="155">_xlfn.CONCAT("@",U68,V68,W68,X68,Y68,Z68,AA68,AB68,AC68,"-(",H$3,")")</f>
        <v>@line_width-trunk-z10-(gr)</v>
      </c>
      <c r="I68" s="8" t="str">
        <f t="shared" ref="I68:I71" si="156">J68</f>
        <v>2.0</v>
      </c>
      <c r="J68" s="8" t="str">
        <f t="shared" si="145"/>
        <v>2.0</v>
      </c>
      <c r="K68" s="16" t="str">
        <f t="shared" ref="K68:K71" si="157">_xlfn.CONCAT("@",U68,V68,W68,X68,Y68,Z68,AA68,AB68,AC68,"-(",K$3,")")</f>
        <v>@line_width-trunk-z10-(gr-hc)</v>
      </c>
      <c r="L68" s="8" t="str">
        <f t="shared" ref="L68:L71" si="158">M68</f>
        <v>2.0</v>
      </c>
      <c r="M68" s="17" t="str">
        <f t="shared" si="146"/>
        <v>2.0</v>
      </c>
      <c r="N68" s="23" t="str">
        <f t="shared" ref="N68:N71" si="159">_xlfn.CONCAT("@",U68,V68,W68,X68,Y68,Z68,AA68,AB68,AC68,"-(",N$3,")")</f>
        <v>@line_width-trunk-z10-(wnt)</v>
      </c>
      <c r="O68" s="24" t="str">
        <f t="shared" si="63"/>
        <v>2.0</v>
      </c>
      <c r="P68" s="8" t="str">
        <f t="shared" si="147"/>
        <v>2.0</v>
      </c>
      <c r="Q68" s="25" t="str">
        <f t="shared" ref="Q68:Q71" si="160">_xlfn.CONCAT("@",U68,V68,W68,X68,Y68,Z68,AA68,AB68,AC68,"-(",Q$3,")")</f>
        <v>@line_width-trunk-z10-(wnt-hc)</v>
      </c>
      <c r="R68" s="24" t="str">
        <f t="shared" ref="R68:R71" si="161">S68</f>
        <v>2.0</v>
      </c>
      <c r="S68" s="17" t="str">
        <f t="shared" si="148"/>
        <v>2.0</v>
      </c>
      <c r="U68" s="1" t="s">
        <v>122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106</v>
      </c>
    </row>
    <row r="69" spans="1:29" x14ac:dyDescent="0.25">
      <c r="B69" s="15" t="str">
        <f t="shared" si="152"/>
        <v>@line_width-trunk-z12-(mtb)</v>
      </c>
      <c r="C69" s="8" t="str">
        <f t="shared" si="153"/>
        <v>3.4</v>
      </c>
      <c r="D69" s="6" t="s">
        <v>117</v>
      </c>
      <c r="E69" s="16" t="str">
        <f t="shared" si="154"/>
        <v>@line_width-trunk-z12-(mtb-hc)</v>
      </c>
      <c r="F69" s="8" t="str">
        <f t="shared" si="62"/>
        <v>3.4</v>
      </c>
      <c r="G69" s="17" t="str">
        <f t="shared" si="144"/>
        <v>3.4</v>
      </c>
      <c r="H69" s="15" t="str">
        <f t="shared" si="155"/>
        <v>@line_width-trunk-z12-(gr)</v>
      </c>
      <c r="I69" s="8" t="str">
        <f t="shared" si="156"/>
        <v>3.4</v>
      </c>
      <c r="J69" s="8" t="str">
        <f t="shared" si="145"/>
        <v>3.4</v>
      </c>
      <c r="K69" s="16" t="str">
        <f t="shared" si="157"/>
        <v>@line_width-trunk-z12-(gr-hc)</v>
      </c>
      <c r="L69" s="8" t="str">
        <f t="shared" si="158"/>
        <v>3.4</v>
      </c>
      <c r="M69" s="17" t="str">
        <f t="shared" si="146"/>
        <v>3.4</v>
      </c>
      <c r="N69" s="23" t="str">
        <f t="shared" si="159"/>
        <v>@line_width-trunk-z12-(wnt)</v>
      </c>
      <c r="O69" s="24" t="str">
        <f t="shared" si="63"/>
        <v>3.4</v>
      </c>
      <c r="P69" s="8" t="str">
        <f t="shared" si="147"/>
        <v>3.4</v>
      </c>
      <c r="Q69" s="25" t="str">
        <f t="shared" si="160"/>
        <v>@line_width-trunk-z12-(wnt-hc)</v>
      </c>
      <c r="R69" s="24" t="str">
        <f t="shared" si="161"/>
        <v>3.4</v>
      </c>
      <c r="S69" s="17" t="str">
        <f t="shared" si="148"/>
        <v>3.4</v>
      </c>
      <c r="U69" s="1" t="s">
        <v>122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112</v>
      </c>
    </row>
    <row r="70" spans="1:29" x14ac:dyDescent="0.25">
      <c r="B70" s="15" t="str">
        <f t="shared" si="152"/>
        <v>@line_width-trunk-z14-(mtb)</v>
      </c>
      <c r="C70" s="8" t="str">
        <f t="shared" si="153"/>
        <v>4.6</v>
      </c>
      <c r="D70" s="6" t="s">
        <v>152</v>
      </c>
      <c r="E70" s="16" t="str">
        <f t="shared" si="154"/>
        <v>@line_width-trunk-z14-(mtb-hc)</v>
      </c>
      <c r="F70" s="8" t="str">
        <f t="shared" si="62"/>
        <v>4.6</v>
      </c>
      <c r="G70" s="17" t="str">
        <f t="shared" si="144"/>
        <v>4.6</v>
      </c>
      <c r="H70" s="15" t="str">
        <f t="shared" si="155"/>
        <v>@line_width-trunk-z14-(gr)</v>
      </c>
      <c r="I70" s="8" t="str">
        <f t="shared" si="156"/>
        <v>4.6</v>
      </c>
      <c r="J70" s="8" t="str">
        <f t="shared" si="145"/>
        <v>4.6</v>
      </c>
      <c r="K70" s="16" t="str">
        <f t="shared" si="157"/>
        <v>@line_width-trunk-z14-(gr-hc)</v>
      </c>
      <c r="L70" s="8" t="str">
        <f t="shared" si="158"/>
        <v>4.6</v>
      </c>
      <c r="M70" s="17" t="str">
        <f t="shared" si="146"/>
        <v>4.6</v>
      </c>
      <c r="N70" s="23" t="str">
        <f t="shared" si="159"/>
        <v>@line_width-trunk-z14-(wnt)</v>
      </c>
      <c r="O70" s="24" t="str">
        <f t="shared" si="63"/>
        <v>4.6</v>
      </c>
      <c r="P70" s="8" t="str">
        <f t="shared" si="147"/>
        <v>4.6</v>
      </c>
      <c r="Q70" s="25" t="str">
        <f t="shared" si="160"/>
        <v>@line_width-trunk-z14-(wnt-hc)</v>
      </c>
      <c r="R70" s="24" t="str">
        <f t="shared" si="161"/>
        <v>4.6</v>
      </c>
      <c r="S70" s="17" t="str">
        <f t="shared" si="148"/>
        <v>4.6</v>
      </c>
      <c r="U70" s="1" t="s">
        <v>122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77</v>
      </c>
    </row>
    <row r="71" spans="1:29" x14ac:dyDescent="0.25">
      <c r="B71" s="15" t="str">
        <f t="shared" si="152"/>
        <v>@line_width-trunk-z20-(mtb)</v>
      </c>
      <c r="C71" s="8" t="str">
        <f t="shared" si="153"/>
        <v>18.0</v>
      </c>
      <c r="D71" s="6" t="s">
        <v>148</v>
      </c>
      <c r="E71" s="16" t="str">
        <f t="shared" si="154"/>
        <v>@line_width-trunk-z20-(mtb-hc)</v>
      </c>
      <c r="F71" s="8" t="str">
        <f t="shared" si="62"/>
        <v>18.0</v>
      </c>
      <c r="G71" s="17" t="str">
        <f t="shared" si="144"/>
        <v>18.0</v>
      </c>
      <c r="H71" s="15" t="str">
        <f t="shared" si="155"/>
        <v>@line_width-trunk-z20-(gr)</v>
      </c>
      <c r="I71" s="8" t="str">
        <f t="shared" si="156"/>
        <v>18.0</v>
      </c>
      <c r="J71" s="8" t="str">
        <f t="shared" si="145"/>
        <v>18.0</v>
      </c>
      <c r="K71" s="16" t="str">
        <f t="shared" si="157"/>
        <v>@line_width-trunk-z20-(gr-hc)</v>
      </c>
      <c r="L71" s="8" t="str">
        <f t="shared" si="158"/>
        <v>18.0</v>
      </c>
      <c r="M71" s="17" t="str">
        <f t="shared" si="146"/>
        <v>18.0</v>
      </c>
      <c r="N71" s="23" t="str">
        <f t="shared" si="159"/>
        <v>@line_width-trunk-z20-(wnt)</v>
      </c>
      <c r="O71" s="24" t="str">
        <f t="shared" si="63"/>
        <v>18.0</v>
      </c>
      <c r="P71" s="8" t="str">
        <f t="shared" si="147"/>
        <v>18.0</v>
      </c>
      <c r="Q71" s="25" t="str">
        <f t="shared" si="160"/>
        <v>@line_width-trunk-z20-(wnt-hc)</v>
      </c>
      <c r="R71" s="24" t="str">
        <f t="shared" si="161"/>
        <v>18.0</v>
      </c>
      <c r="S71" s="17" t="str">
        <f t="shared" si="148"/>
        <v>18.0</v>
      </c>
      <c r="U71" s="1" t="s">
        <v>122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142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8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6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76</v>
      </c>
      <c r="M2" s="1"/>
      <c r="N2" s="1" t="s">
        <v>72</v>
      </c>
      <c r="O2" s="1"/>
      <c r="P2" s="1" t="s">
        <v>4</v>
      </c>
      <c r="Q2" s="1"/>
      <c r="R2" s="1" t="s">
        <v>5</v>
      </c>
    </row>
    <row r="3" spans="1:18" x14ac:dyDescent="0.25">
      <c r="A3" s="4" t="s">
        <v>71</v>
      </c>
      <c r="B3" s="4"/>
      <c r="C3" s="4"/>
      <c r="D3" s="7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</row>
    <row r="4" spans="1:18" x14ac:dyDescent="0.25">
      <c r="B4" s="1" t="str">
        <f>_xlfn.CONCAT("@",F4,G4,H4,I4,J4,K4,L4,M4,N4,O4,"(",P4,Q4,R4,")")</f>
        <v>@case_width-path_narrow-z11-(def)</v>
      </c>
      <c r="C4" s="6" t="str">
        <f>D4</f>
        <v>1.0</v>
      </c>
      <c r="D4" s="8" t="s">
        <v>83</v>
      </c>
      <c r="F4" s="2" t="s">
        <v>81</v>
      </c>
      <c r="G4" s="2" t="str">
        <f t="shared" ref="G4" si="0">IF(NOT(ISBLANK(H4)),"-","")</f>
        <v>-</v>
      </c>
      <c r="H4" s="2" t="s">
        <v>74</v>
      </c>
      <c r="I4" s="2" t="str">
        <f>IF(NOT(ISBLANK(J4)),"_","")</f>
        <v>_</v>
      </c>
      <c r="J4" s="2" t="s">
        <v>75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73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6" t="str">
        <f t="shared" ref="C5:C28" si="4">D5</f>
        <v>1.3</v>
      </c>
      <c r="D5" s="8" t="s">
        <v>84</v>
      </c>
      <c r="F5" s="2" t="s">
        <v>81</v>
      </c>
      <c r="G5" s="2" t="str">
        <f t="shared" ref="G5:G6" si="5">IF(NOT(ISBLANK(H5)),"-","")</f>
        <v>-</v>
      </c>
      <c r="H5" s="2" t="s">
        <v>74</v>
      </c>
      <c r="I5" s="2" t="str">
        <f t="shared" ref="I5:I28" si="6">IF(NOT(ISBLANK(J5)),"_","")</f>
        <v>_</v>
      </c>
      <c r="J5" s="2" t="s">
        <v>75</v>
      </c>
      <c r="K5" s="2" t="str">
        <f t="shared" si="1"/>
        <v/>
      </c>
      <c r="M5" s="2" t="str">
        <f t="shared" si="2"/>
        <v>-</v>
      </c>
      <c r="N5" s="2" t="s">
        <v>77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6" t="str">
        <f t="shared" si="4"/>
        <v>3.5</v>
      </c>
      <c r="D6" s="8" t="s">
        <v>85</v>
      </c>
      <c r="F6" s="2" t="s">
        <v>81</v>
      </c>
      <c r="G6" s="2" t="str">
        <f t="shared" si="5"/>
        <v>-</v>
      </c>
      <c r="H6" s="2" t="s">
        <v>74</v>
      </c>
      <c r="I6" s="2" t="str">
        <f t="shared" si="6"/>
        <v>_</v>
      </c>
      <c r="J6" s="2" t="s">
        <v>75</v>
      </c>
      <c r="K6" s="2" t="str">
        <f t="shared" si="1"/>
        <v/>
      </c>
      <c r="M6" s="2" t="str">
        <f t="shared" si="2"/>
        <v>-</v>
      </c>
      <c r="N6" s="2" t="s">
        <v>78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6" t="str">
        <f t="shared" si="4"/>
        <v>5.0</v>
      </c>
      <c r="D7" s="8" t="s">
        <v>86</v>
      </c>
      <c r="F7" s="2" t="s">
        <v>81</v>
      </c>
      <c r="G7" s="2" t="str">
        <f t="shared" ref="G7:G19" si="7">IF(NOT(ISBLANK(H7)),"-","")</f>
        <v>-</v>
      </c>
      <c r="H7" s="2" t="s">
        <v>74</v>
      </c>
      <c r="I7" s="2" t="str">
        <f t="shared" si="6"/>
        <v>_</v>
      </c>
      <c r="J7" s="2" t="s">
        <v>75</v>
      </c>
      <c r="K7" s="2" t="str">
        <f t="shared" si="1"/>
        <v/>
      </c>
      <c r="M7" s="2" t="str">
        <f t="shared" si="2"/>
        <v>-</v>
      </c>
      <c r="N7" s="2" t="s">
        <v>79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6" t="str">
        <f t="shared" si="4"/>
        <v>1.5</v>
      </c>
      <c r="D8" s="8" t="s">
        <v>87</v>
      </c>
      <c r="F8" s="2" t="s">
        <v>81</v>
      </c>
      <c r="G8" s="2" t="str">
        <f t="shared" si="7"/>
        <v>-</v>
      </c>
      <c r="H8" s="2" t="s">
        <v>74</v>
      </c>
      <c r="I8" s="2" t="str">
        <f t="shared" si="6"/>
        <v>_</v>
      </c>
      <c r="J8" s="2" t="s">
        <v>82</v>
      </c>
      <c r="K8" s="2" t="str">
        <f t="shared" si="1"/>
        <v/>
      </c>
      <c r="M8" s="2" t="str">
        <f t="shared" si="2"/>
        <v>-</v>
      </c>
      <c r="N8" s="2" t="s">
        <v>73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6" t="str">
        <f t="shared" si="4"/>
        <v>2.0</v>
      </c>
      <c r="D9" s="8" t="s">
        <v>88</v>
      </c>
      <c r="F9" s="2" t="s">
        <v>81</v>
      </c>
      <c r="G9" s="2" t="str">
        <f t="shared" si="7"/>
        <v>-</v>
      </c>
      <c r="H9" s="2" t="s">
        <v>74</v>
      </c>
      <c r="I9" s="2" t="str">
        <f t="shared" si="6"/>
        <v>_</v>
      </c>
      <c r="J9" s="2" t="s">
        <v>82</v>
      </c>
      <c r="K9" s="2" t="str">
        <f t="shared" si="1"/>
        <v/>
      </c>
      <c r="M9" s="2" t="str">
        <f t="shared" si="2"/>
        <v>-</v>
      </c>
      <c r="N9" s="2" t="s">
        <v>77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6" t="str">
        <f t="shared" si="4"/>
        <v>6.0</v>
      </c>
      <c r="D10" s="8" t="s">
        <v>89</v>
      </c>
      <c r="F10" s="2" t="s">
        <v>81</v>
      </c>
      <c r="G10" s="2" t="str">
        <f t="shared" si="7"/>
        <v>-</v>
      </c>
      <c r="H10" s="2" t="s">
        <v>74</v>
      </c>
      <c r="I10" s="2" t="str">
        <f t="shared" si="6"/>
        <v>_</v>
      </c>
      <c r="J10" s="2" t="s">
        <v>82</v>
      </c>
      <c r="K10" s="2" t="str">
        <f t="shared" si="1"/>
        <v/>
      </c>
      <c r="M10" s="2" t="str">
        <f t="shared" si="2"/>
        <v>-</v>
      </c>
      <c r="N10" s="2" t="s">
        <v>78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6" t="str">
        <f t="shared" si="4"/>
        <v>9.0</v>
      </c>
      <c r="D11" s="8" t="s">
        <v>90</v>
      </c>
      <c r="F11" s="2" t="s">
        <v>81</v>
      </c>
      <c r="G11" s="2" t="str">
        <f t="shared" si="7"/>
        <v>-</v>
      </c>
      <c r="H11" s="2" t="s">
        <v>74</v>
      </c>
      <c r="I11" s="2" t="str">
        <f t="shared" si="6"/>
        <v>_</v>
      </c>
      <c r="J11" s="2" t="s">
        <v>82</v>
      </c>
      <c r="K11" s="2" t="str">
        <f t="shared" si="1"/>
        <v/>
      </c>
      <c r="M11" s="2" t="str">
        <f t="shared" si="2"/>
        <v>-</v>
      </c>
      <c r="N11" s="2" t="s">
        <v>79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6" t="str">
        <f t="shared" si="4"/>
        <v>2.0</v>
      </c>
      <c r="D12" s="8" t="s">
        <v>88</v>
      </c>
      <c r="F12" s="2" t="s">
        <v>81</v>
      </c>
      <c r="G12" s="2" t="str">
        <f t="shared" si="7"/>
        <v>-</v>
      </c>
      <c r="H12" s="2" t="s">
        <v>74</v>
      </c>
      <c r="I12" s="2" t="str">
        <f t="shared" si="6"/>
        <v>_</v>
      </c>
      <c r="J12" s="2" t="s">
        <v>80</v>
      </c>
      <c r="K12" s="2" t="str">
        <f t="shared" si="1"/>
        <v/>
      </c>
      <c r="M12" s="2" t="str">
        <f t="shared" si="2"/>
        <v>-</v>
      </c>
      <c r="N12" s="2" t="s">
        <v>73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6" t="str">
        <f t="shared" si="4"/>
        <v>3.0</v>
      </c>
      <c r="D13" s="8" t="s">
        <v>91</v>
      </c>
      <c r="F13" s="2" t="s">
        <v>81</v>
      </c>
      <c r="G13" s="2" t="str">
        <f t="shared" si="7"/>
        <v>-</v>
      </c>
      <c r="H13" s="2" t="s">
        <v>74</v>
      </c>
      <c r="I13" s="2" t="str">
        <f t="shared" si="6"/>
        <v>_</v>
      </c>
      <c r="J13" s="2" t="s">
        <v>80</v>
      </c>
      <c r="K13" s="2" t="str">
        <f t="shared" si="1"/>
        <v/>
      </c>
      <c r="M13" s="2" t="str">
        <f t="shared" si="2"/>
        <v>-</v>
      </c>
      <c r="N13" s="2" t="s">
        <v>77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6" t="str">
        <f t="shared" si="4"/>
        <v>9.0</v>
      </c>
      <c r="D14" s="8" t="s">
        <v>90</v>
      </c>
      <c r="F14" s="2" t="s">
        <v>81</v>
      </c>
      <c r="G14" s="2" t="str">
        <f t="shared" si="7"/>
        <v>-</v>
      </c>
      <c r="H14" s="2" t="s">
        <v>74</v>
      </c>
      <c r="I14" s="2" t="str">
        <f t="shared" si="6"/>
        <v>_</v>
      </c>
      <c r="J14" s="2" t="s">
        <v>80</v>
      </c>
      <c r="K14" s="2" t="str">
        <f t="shared" si="1"/>
        <v/>
      </c>
      <c r="M14" s="2" t="str">
        <f t="shared" si="2"/>
        <v>-</v>
      </c>
      <c r="N14" s="2" t="s">
        <v>78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6" t="str">
        <f t="shared" si="4"/>
        <v>15.0</v>
      </c>
      <c r="D15" s="8" t="s">
        <v>92</v>
      </c>
      <c r="F15" s="2" t="s">
        <v>81</v>
      </c>
      <c r="G15" s="2" t="str">
        <f t="shared" si="7"/>
        <v>-</v>
      </c>
      <c r="H15" s="2" t="s">
        <v>74</v>
      </c>
      <c r="I15" s="2" t="str">
        <f t="shared" si="6"/>
        <v>_</v>
      </c>
      <c r="J15" s="2" t="s">
        <v>80</v>
      </c>
      <c r="K15" s="2" t="str">
        <f t="shared" si="1"/>
        <v/>
      </c>
      <c r="M15" s="2" t="str">
        <f t="shared" si="2"/>
        <v>-</v>
      </c>
      <c r="N15" s="2" t="s">
        <v>79</v>
      </c>
      <c r="O15" s="2" t="str">
        <f t="shared" si="2"/>
        <v>-</v>
      </c>
      <c r="P15" s="2" t="s">
        <v>10</v>
      </c>
    </row>
    <row r="16" spans="1:18" x14ac:dyDescent="0.25">
      <c r="B16" s="1"/>
      <c r="C16" s="6"/>
    </row>
    <row r="17" spans="2:18" x14ac:dyDescent="0.25">
      <c r="B17" s="1" t="str">
        <f>_xlfn.CONCAT("@",F17,G17,H17,I17,J17,K17,L17,M17,N17,O17,"(",P17,Q17,R17,")")</f>
        <v>@case_width-path_narrow-z11-(def-hc)</v>
      </c>
      <c r="C17" s="6" t="str">
        <f>D17</f>
        <v>2.0</v>
      </c>
      <c r="D17" s="8" t="s">
        <v>88</v>
      </c>
      <c r="F17" s="2" t="s">
        <v>81</v>
      </c>
      <c r="G17" s="2" t="str">
        <f t="shared" si="7"/>
        <v>-</v>
      </c>
      <c r="H17" s="2" t="s">
        <v>74</v>
      </c>
      <c r="I17" s="2" t="str">
        <f t="shared" si="6"/>
        <v>_</v>
      </c>
      <c r="J17" s="2" t="s">
        <v>75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73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6" t="str">
        <f t="shared" si="4"/>
        <v>2.5</v>
      </c>
      <c r="D18" s="8" t="s">
        <v>93</v>
      </c>
      <c r="F18" s="2" t="s">
        <v>81</v>
      </c>
      <c r="G18" s="2" t="str">
        <f t="shared" si="7"/>
        <v>-</v>
      </c>
      <c r="H18" s="2" t="s">
        <v>74</v>
      </c>
      <c r="I18" s="2" t="str">
        <f t="shared" si="6"/>
        <v>_</v>
      </c>
      <c r="J18" s="2" t="s">
        <v>75</v>
      </c>
      <c r="K18" s="2" t="str">
        <f t="shared" si="1"/>
        <v/>
      </c>
      <c r="M18" s="2" t="str">
        <f t="shared" si="9"/>
        <v>-</v>
      </c>
      <c r="N18" s="2" t="s">
        <v>77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6" t="str">
        <f t="shared" si="4"/>
        <v>3.0</v>
      </c>
      <c r="D19" s="8" t="s">
        <v>91</v>
      </c>
      <c r="F19" s="2" t="s">
        <v>81</v>
      </c>
      <c r="G19" s="2" t="str">
        <f t="shared" si="7"/>
        <v>-</v>
      </c>
      <c r="H19" s="2" t="s">
        <v>74</v>
      </c>
      <c r="I19" s="2" t="str">
        <f t="shared" si="6"/>
        <v>_</v>
      </c>
      <c r="J19" s="2" t="s">
        <v>75</v>
      </c>
      <c r="K19" s="2" t="str">
        <f t="shared" si="1"/>
        <v/>
      </c>
      <c r="M19" s="2" t="str">
        <f t="shared" si="9"/>
        <v>-</v>
      </c>
      <c r="N19" s="2" t="s">
        <v>78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6" t="str">
        <f t="shared" si="4"/>
        <v>7.5</v>
      </c>
      <c r="D20" s="8" t="s">
        <v>94</v>
      </c>
      <c r="F20" s="2" t="s">
        <v>81</v>
      </c>
      <c r="G20" s="2" t="str">
        <f t="shared" ref="G20:G28" si="13">IF(NOT(ISBLANK(H20)),"-","")</f>
        <v>-</v>
      </c>
      <c r="H20" s="2" t="s">
        <v>74</v>
      </c>
      <c r="I20" s="2" t="str">
        <f t="shared" si="6"/>
        <v>_</v>
      </c>
      <c r="J20" s="2" t="s">
        <v>75</v>
      </c>
      <c r="K20" s="2" t="str">
        <f t="shared" si="1"/>
        <v/>
      </c>
      <c r="M20" s="2" t="str">
        <f t="shared" si="9"/>
        <v>-</v>
      </c>
      <c r="N20" s="2" t="s">
        <v>79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6" t="str">
        <f t="shared" si="4"/>
        <v>3.0</v>
      </c>
      <c r="D21" s="8" t="s">
        <v>91</v>
      </c>
      <c r="F21" s="2" t="s">
        <v>81</v>
      </c>
      <c r="G21" s="2" t="str">
        <f t="shared" si="13"/>
        <v>-</v>
      </c>
      <c r="H21" s="2" t="s">
        <v>74</v>
      </c>
      <c r="I21" s="2" t="str">
        <f t="shared" si="6"/>
        <v>_</v>
      </c>
      <c r="J21" s="2" t="s">
        <v>82</v>
      </c>
      <c r="K21" s="2" t="str">
        <f t="shared" si="1"/>
        <v/>
      </c>
      <c r="M21" s="2" t="str">
        <f t="shared" si="9"/>
        <v>-</v>
      </c>
      <c r="N21" s="2" t="s">
        <v>73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6" t="str">
        <f t="shared" si="4"/>
        <v>4.0</v>
      </c>
      <c r="D22" s="8" t="s">
        <v>95</v>
      </c>
      <c r="F22" s="2" t="s">
        <v>81</v>
      </c>
      <c r="G22" s="2" t="str">
        <f t="shared" si="13"/>
        <v>-</v>
      </c>
      <c r="H22" s="2" t="s">
        <v>74</v>
      </c>
      <c r="I22" s="2" t="str">
        <f t="shared" si="6"/>
        <v>_</v>
      </c>
      <c r="J22" s="2" t="s">
        <v>82</v>
      </c>
      <c r="K22" s="2" t="str">
        <f t="shared" si="1"/>
        <v/>
      </c>
      <c r="M22" s="2" t="str">
        <f t="shared" si="9"/>
        <v>-</v>
      </c>
      <c r="N22" s="2" t="s">
        <v>77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6" t="str">
        <f t="shared" si="4"/>
        <v>6.0</v>
      </c>
      <c r="D23" s="8" t="s">
        <v>89</v>
      </c>
      <c r="F23" s="2" t="s">
        <v>81</v>
      </c>
      <c r="G23" s="2" t="str">
        <f t="shared" si="13"/>
        <v>-</v>
      </c>
      <c r="H23" s="2" t="s">
        <v>74</v>
      </c>
      <c r="I23" s="2" t="str">
        <f t="shared" si="6"/>
        <v>_</v>
      </c>
      <c r="J23" s="2" t="s">
        <v>82</v>
      </c>
      <c r="K23" s="2" t="str">
        <f t="shared" si="1"/>
        <v/>
      </c>
      <c r="M23" s="2" t="str">
        <f t="shared" si="9"/>
        <v>-</v>
      </c>
      <c r="N23" s="2" t="s">
        <v>78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6" t="str">
        <f t="shared" si="4"/>
        <v>13.5</v>
      </c>
      <c r="D24" s="8" t="s">
        <v>96</v>
      </c>
      <c r="F24" s="2" t="s">
        <v>81</v>
      </c>
      <c r="G24" s="2" t="str">
        <f t="shared" si="13"/>
        <v>-</v>
      </c>
      <c r="H24" s="2" t="s">
        <v>74</v>
      </c>
      <c r="I24" s="2" t="str">
        <f t="shared" si="6"/>
        <v>_</v>
      </c>
      <c r="J24" s="2" t="s">
        <v>82</v>
      </c>
      <c r="K24" s="2" t="str">
        <f t="shared" si="1"/>
        <v/>
      </c>
      <c r="M24" s="2" t="str">
        <f t="shared" si="9"/>
        <v>-</v>
      </c>
      <c r="N24" s="2" t="s">
        <v>79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6" t="str">
        <f t="shared" si="4"/>
        <v>4.0</v>
      </c>
      <c r="D25" s="8" t="s">
        <v>95</v>
      </c>
      <c r="F25" s="2" t="s">
        <v>81</v>
      </c>
      <c r="G25" s="2" t="str">
        <f t="shared" si="13"/>
        <v>-</v>
      </c>
      <c r="H25" s="2" t="s">
        <v>74</v>
      </c>
      <c r="I25" s="2" t="str">
        <f t="shared" si="6"/>
        <v>_</v>
      </c>
      <c r="J25" s="2" t="s">
        <v>80</v>
      </c>
      <c r="K25" s="2" t="str">
        <f t="shared" si="1"/>
        <v/>
      </c>
      <c r="M25" s="2" t="str">
        <f t="shared" si="9"/>
        <v>-</v>
      </c>
      <c r="N25" s="2" t="s">
        <v>73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6" t="str">
        <f t="shared" si="4"/>
        <v>6.0</v>
      </c>
      <c r="D26" s="8" t="s">
        <v>89</v>
      </c>
      <c r="F26" s="2" t="s">
        <v>81</v>
      </c>
      <c r="G26" s="2" t="str">
        <f t="shared" si="13"/>
        <v>-</v>
      </c>
      <c r="H26" s="2" t="s">
        <v>74</v>
      </c>
      <c r="I26" s="2" t="str">
        <f t="shared" si="6"/>
        <v>_</v>
      </c>
      <c r="J26" s="2" t="s">
        <v>80</v>
      </c>
      <c r="K26" s="2" t="str">
        <f t="shared" si="1"/>
        <v/>
      </c>
      <c r="M26" s="2" t="str">
        <f t="shared" si="9"/>
        <v>-</v>
      </c>
      <c r="N26" s="2" t="s">
        <v>77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6" t="str">
        <f t="shared" si="4"/>
        <v>9.0</v>
      </c>
      <c r="D27" s="8" t="s">
        <v>90</v>
      </c>
      <c r="F27" s="2" t="s">
        <v>81</v>
      </c>
      <c r="G27" s="2" t="str">
        <f t="shared" si="13"/>
        <v>-</v>
      </c>
      <c r="H27" s="2" t="s">
        <v>74</v>
      </c>
      <c r="I27" s="2" t="str">
        <f t="shared" si="6"/>
        <v>_</v>
      </c>
      <c r="J27" s="2" t="s">
        <v>80</v>
      </c>
      <c r="K27" s="2" t="str">
        <f t="shared" si="1"/>
        <v/>
      </c>
      <c r="M27" s="2" t="str">
        <f t="shared" si="9"/>
        <v>-</v>
      </c>
      <c r="N27" s="2" t="s">
        <v>78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6" t="str">
        <f t="shared" si="4"/>
        <v>22.5</v>
      </c>
      <c r="D28" s="8" t="s">
        <v>97</v>
      </c>
      <c r="F28" s="2" t="s">
        <v>81</v>
      </c>
      <c r="G28" s="2" t="str">
        <f t="shared" si="13"/>
        <v>-</v>
      </c>
      <c r="H28" s="2" t="s">
        <v>74</v>
      </c>
      <c r="I28" s="2" t="str">
        <f t="shared" si="6"/>
        <v>_</v>
      </c>
      <c r="J28" s="2" t="s">
        <v>80</v>
      </c>
      <c r="K28" s="2" t="str">
        <f t="shared" si="1"/>
        <v/>
      </c>
      <c r="M28" s="2" t="str">
        <f t="shared" si="9"/>
        <v>-</v>
      </c>
      <c r="N28" s="2" t="s">
        <v>79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6" t="str">
        <f>D30</f>
        <v>0.5</v>
      </c>
      <c r="D30" s="8" t="s">
        <v>98</v>
      </c>
      <c r="F30" s="2" t="s">
        <v>81</v>
      </c>
      <c r="G30" s="2" t="str">
        <f t="shared" ref="G30:G41" si="14">IF(NOT(ISBLANK(H30)),"-","")</f>
        <v>-</v>
      </c>
      <c r="H30" s="2" t="s">
        <v>74</v>
      </c>
      <c r="I30" s="2" t="str">
        <f>IF(NOT(ISBLANK(J30)),"_","")</f>
        <v>_</v>
      </c>
      <c r="J30" s="2" t="s">
        <v>75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73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6" t="str">
        <f t="shared" ref="C31:C41" si="19">D31</f>
        <v>1.0</v>
      </c>
      <c r="D31" s="8" t="s">
        <v>83</v>
      </c>
      <c r="F31" s="2" t="s">
        <v>81</v>
      </c>
      <c r="G31" s="2" t="str">
        <f t="shared" si="14"/>
        <v>-</v>
      </c>
      <c r="H31" s="2" t="s">
        <v>74</v>
      </c>
      <c r="I31" s="2" t="str">
        <f t="shared" ref="I31:I41" si="20">IF(NOT(ISBLANK(J31)),"_","")</f>
        <v>_</v>
      </c>
      <c r="J31" s="2" t="s">
        <v>75</v>
      </c>
      <c r="K31" s="2" t="str">
        <f t="shared" si="1"/>
        <v/>
      </c>
      <c r="M31" s="2" t="str">
        <f t="shared" si="15"/>
        <v>-</v>
      </c>
      <c r="N31" s="2" t="s">
        <v>77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6" t="str">
        <f t="shared" si="19"/>
        <v>1.0</v>
      </c>
      <c r="D32" s="8" t="s">
        <v>83</v>
      </c>
      <c r="F32" s="2" t="s">
        <v>81</v>
      </c>
      <c r="G32" s="2" t="str">
        <f t="shared" si="14"/>
        <v>-</v>
      </c>
      <c r="H32" s="2" t="s">
        <v>74</v>
      </c>
      <c r="I32" s="2" t="str">
        <f t="shared" si="20"/>
        <v>_</v>
      </c>
      <c r="J32" s="2" t="s">
        <v>75</v>
      </c>
      <c r="K32" s="2" t="str">
        <f t="shared" si="1"/>
        <v/>
      </c>
      <c r="M32" s="2" t="str">
        <f t="shared" si="15"/>
        <v>-</v>
      </c>
      <c r="N32" s="2" t="s">
        <v>78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6" t="str">
        <f t="shared" si="19"/>
        <v>1.5</v>
      </c>
      <c r="D33" s="8" t="s">
        <v>87</v>
      </c>
      <c r="F33" s="2" t="s">
        <v>81</v>
      </c>
      <c r="G33" s="2" t="str">
        <f t="shared" si="14"/>
        <v>-</v>
      </c>
      <c r="H33" s="2" t="s">
        <v>74</v>
      </c>
      <c r="I33" s="2" t="str">
        <f t="shared" si="20"/>
        <v>_</v>
      </c>
      <c r="J33" s="2" t="s">
        <v>75</v>
      </c>
      <c r="K33" s="2" t="str">
        <f t="shared" si="1"/>
        <v/>
      </c>
      <c r="M33" s="2" t="str">
        <f t="shared" si="15"/>
        <v>-</v>
      </c>
      <c r="N33" s="2" t="s">
        <v>79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6" t="str">
        <f t="shared" si="19"/>
        <v>0.8</v>
      </c>
      <c r="D34" s="8" t="s">
        <v>99</v>
      </c>
      <c r="F34" s="2" t="s">
        <v>81</v>
      </c>
      <c r="G34" s="2" t="str">
        <f t="shared" si="14"/>
        <v>-</v>
      </c>
      <c r="H34" s="2" t="s">
        <v>74</v>
      </c>
      <c r="I34" s="2" t="str">
        <f t="shared" si="20"/>
        <v>_</v>
      </c>
      <c r="J34" s="2" t="s">
        <v>82</v>
      </c>
      <c r="K34" s="2" t="str">
        <f t="shared" si="1"/>
        <v/>
      </c>
      <c r="M34" s="2" t="str">
        <f t="shared" si="15"/>
        <v>-</v>
      </c>
      <c r="N34" s="2" t="s">
        <v>73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6" t="str">
        <f t="shared" si="19"/>
        <v>1.2</v>
      </c>
      <c r="D35" s="8" t="s">
        <v>100</v>
      </c>
      <c r="F35" s="2" t="s">
        <v>81</v>
      </c>
      <c r="G35" s="2" t="str">
        <f t="shared" si="14"/>
        <v>-</v>
      </c>
      <c r="H35" s="2" t="s">
        <v>74</v>
      </c>
      <c r="I35" s="2" t="str">
        <f t="shared" si="20"/>
        <v>_</v>
      </c>
      <c r="J35" s="2" t="s">
        <v>82</v>
      </c>
      <c r="K35" s="2" t="str">
        <f t="shared" si="1"/>
        <v/>
      </c>
      <c r="M35" s="2" t="str">
        <f t="shared" si="15"/>
        <v>-</v>
      </c>
      <c r="N35" s="2" t="s">
        <v>77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6" t="str">
        <f t="shared" si="19"/>
        <v>1.6</v>
      </c>
      <c r="D36" s="8" t="s">
        <v>101</v>
      </c>
      <c r="F36" s="2" t="s">
        <v>81</v>
      </c>
      <c r="G36" s="2" t="str">
        <f t="shared" si="14"/>
        <v>-</v>
      </c>
      <c r="H36" s="2" t="s">
        <v>74</v>
      </c>
      <c r="I36" s="2" t="str">
        <f t="shared" si="20"/>
        <v>_</v>
      </c>
      <c r="J36" s="2" t="s">
        <v>82</v>
      </c>
      <c r="K36" s="2" t="str">
        <f t="shared" si="1"/>
        <v/>
      </c>
      <c r="M36" s="2" t="str">
        <f t="shared" si="15"/>
        <v>-</v>
      </c>
      <c r="N36" s="2" t="s">
        <v>78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6" t="str">
        <f t="shared" si="19"/>
        <v>2.4</v>
      </c>
      <c r="D37" s="8" t="s">
        <v>102</v>
      </c>
      <c r="F37" s="2" t="s">
        <v>81</v>
      </c>
      <c r="G37" s="2" t="str">
        <f t="shared" si="14"/>
        <v>-</v>
      </c>
      <c r="H37" s="2" t="s">
        <v>74</v>
      </c>
      <c r="I37" s="2" t="str">
        <f t="shared" si="20"/>
        <v>_</v>
      </c>
      <c r="J37" s="2" t="s">
        <v>82</v>
      </c>
      <c r="K37" s="2" t="str">
        <f t="shared" si="1"/>
        <v/>
      </c>
      <c r="M37" s="2" t="str">
        <f t="shared" si="15"/>
        <v>-</v>
      </c>
      <c r="N37" s="2" t="s">
        <v>79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6" t="str">
        <f t="shared" si="19"/>
        <v>1.5</v>
      </c>
      <c r="D38" s="8" t="s">
        <v>87</v>
      </c>
      <c r="F38" s="2" t="s">
        <v>81</v>
      </c>
      <c r="G38" s="2" t="str">
        <f t="shared" si="14"/>
        <v>-</v>
      </c>
      <c r="H38" s="2" t="s">
        <v>74</v>
      </c>
      <c r="I38" s="2" t="str">
        <f t="shared" si="20"/>
        <v>_</v>
      </c>
      <c r="J38" s="2" t="s">
        <v>80</v>
      </c>
      <c r="K38" s="2" t="str">
        <f t="shared" si="1"/>
        <v/>
      </c>
      <c r="M38" s="2" t="str">
        <f t="shared" si="15"/>
        <v>-</v>
      </c>
      <c r="N38" s="2" t="s">
        <v>73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6" t="str">
        <f t="shared" si="19"/>
        <v>1.6</v>
      </c>
      <c r="D39" s="8" t="s">
        <v>101</v>
      </c>
      <c r="F39" s="2" t="s">
        <v>81</v>
      </c>
      <c r="G39" s="2" t="str">
        <f t="shared" si="14"/>
        <v>-</v>
      </c>
      <c r="H39" s="2" t="s">
        <v>74</v>
      </c>
      <c r="I39" s="2" t="str">
        <f t="shared" si="20"/>
        <v>_</v>
      </c>
      <c r="J39" s="2" t="s">
        <v>80</v>
      </c>
      <c r="K39" s="2" t="str">
        <f t="shared" si="1"/>
        <v/>
      </c>
      <c r="M39" s="2" t="str">
        <f t="shared" si="15"/>
        <v>-</v>
      </c>
      <c r="N39" s="2" t="s">
        <v>77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6" t="str">
        <f t="shared" si="19"/>
        <v>2.4</v>
      </c>
      <c r="D40" s="8" t="s">
        <v>102</v>
      </c>
      <c r="F40" s="2" t="s">
        <v>81</v>
      </c>
      <c r="G40" s="2" t="str">
        <f t="shared" si="14"/>
        <v>-</v>
      </c>
      <c r="H40" s="2" t="s">
        <v>74</v>
      </c>
      <c r="I40" s="2" t="str">
        <f t="shared" si="20"/>
        <v>_</v>
      </c>
      <c r="J40" s="2" t="s">
        <v>80</v>
      </c>
      <c r="K40" s="2" t="str">
        <f t="shared" si="1"/>
        <v/>
      </c>
      <c r="M40" s="2" t="str">
        <f t="shared" si="15"/>
        <v>-</v>
      </c>
      <c r="N40" s="2" t="s">
        <v>78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6" t="str">
        <f t="shared" si="19"/>
        <v>3.6</v>
      </c>
      <c r="D41" s="8" t="s">
        <v>103</v>
      </c>
      <c r="F41" s="2" t="s">
        <v>81</v>
      </c>
      <c r="G41" s="2" t="str">
        <f t="shared" si="14"/>
        <v>-</v>
      </c>
      <c r="H41" s="2" t="s">
        <v>74</v>
      </c>
      <c r="I41" s="2" t="str">
        <f t="shared" si="20"/>
        <v>_</v>
      </c>
      <c r="J41" s="2" t="s">
        <v>80</v>
      </c>
      <c r="K41" s="2" t="str">
        <f t="shared" si="1"/>
        <v/>
      </c>
      <c r="M41" s="2" t="str">
        <f t="shared" si="15"/>
        <v>-</v>
      </c>
      <c r="N41" s="2" t="s">
        <v>79</v>
      </c>
      <c r="O41" s="2" t="str">
        <f t="shared" si="16"/>
        <v>-</v>
      </c>
      <c r="P41" s="2" t="s">
        <v>23</v>
      </c>
    </row>
    <row r="43" spans="1:18" x14ac:dyDescent="0.25">
      <c r="A43" s="4" t="s">
        <v>104</v>
      </c>
      <c r="B43" s="4"/>
      <c r="C43" s="4"/>
      <c r="D43" s="7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</row>
    <row r="44" spans="1:18" x14ac:dyDescent="0.25">
      <c r="B44" s="1" t="str">
        <f>_xlfn.CONCAT("@",F44,G44,H44,I44,J44,K44,L44,M44,N44,O44,"(",P44,Q44,R44,")")</f>
        <v>@case_width-track-z10-(def)</v>
      </c>
      <c r="C44" s="6" t="str">
        <f>D44</f>
        <v>2.0</v>
      </c>
      <c r="D44" s="8" t="s">
        <v>88</v>
      </c>
      <c r="F44" s="2" t="s">
        <v>81</v>
      </c>
      <c r="G44" s="2" t="str">
        <f t="shared" ref="G44" si="21">IF(NOT(ISBLANK(H44)),"-","")</f>
        <v>-</v>
      </c>
      <c r="H44" s="2" t="s">
        <v>105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106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6" t="str">
        <f>D45</f>
        <v>3.0</v>
      </c>
      <c r="D45" s="8" t="s">
        <v>91</v>
      </c>
      <c r="F45" s="2" t="s">
        <v>81</v>
      </c>
      <c r="G45" s="2" t="str">
        <f t="shared" ref="G45:G50" si="26">IF(NOT(ISBLANK(H45)),"-","")</f>
        <v>-</v>
      </c>
      <c r="H45" s="2" t="s">
        <v>105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73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6" t="str">
        <f t="shared" ref="C46:C48" si="31">D46</f>
        <v>4.0</v>
      </c>
      <c r="D46" s="8" t="s">
        <v>95</v>
      </c>
      <c r="F46" s="2" t="s">
        <v>81</v>
      </c>
      <c r="G46" s="2" t="str">
        <f t="shared" si="26"/>
        <v>-</v>
      </c>
      <c r="H46" s="2" t="s">
        <v>105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77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6" t="str">
        <f t="shared" si="31"/>
        <v>9.0</v>
      </c>
      <c r="D47" s="8" t="s">
        <v>90</v>
      </c>
      <c r="F47" s="2" t="s">
        <v>81</v>
      </c>
      <c r="G47" s="2" t="str">
        <f t="shared" si="26"/>
        <v>-</v>
      </c>
      <c r="H47" s="2" t="s">
        <v>105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78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6" t="str">
        <f t="shared" si="31"/>
        <v>15.0</v>
      </c>
      <c r="D48" s="8" t="s">
        <v>92</v>
      </c>
      <c r="F48" s="2" t="s">
        <v>81</v>
      </c>
      <c r="G48" s="2" t="str">
        <f t="shared" si="26"/>
        <v>-</v>
      </c>
      <c r="H48" s="2" t="s">
        <v>105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79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6"/>
    </row>
    <row r="50" spans="2:18" x14ac:dyDescent="0.25">
      <c r="B50" s="1" t="str">
        <f>_xlfn.CONCAT("@",F50,G50,H50,I50,J50,K50,L50,M50,N50,O50,"(",P50,Q50,R50,")")</f>
        <v>@case_width-track-z10-(def-hc)</v>
      </c>
      <c r="C50" s="6" t="str">
        <f>D50</f>
        <v>4.0</v>
      </c>
      <c r="D50" s="8" t="s">
        <v>95</v>
      </c>
      <c r="F50" s="2" t="s">
        <v>81</v>
      </c>
      <c r="G50" s="2" t="str">
        <f t="shared" si="26"/>
        <v>-</v>
      </c>
      <c r="H50" s="2" t="s">
        <v>105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106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6" t="str">
        <f>D51</f>
        <v>4.0</v>
      </c>
      <c r="D51" s="8" t="s">
        <v>95</v>
      </c>
      <c r="F51" s="2" t="s">
        <v>81</v>
      </c>
      <c r="G51" s="2" t="str">
        <f t="shared" ref="G51:G54" si="33">IF(NOT(ISBLANK(H51)),"-","")</f>
        <v>-</v>
      </c>
      <c r="H51" s="2" t="s">
        <v>105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73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6" t="str">
        <f t="shared" ref="C52:C54" si="38">D52</f>
        <v>6.0</v>
      </c>
      <c r="D52" s="8" t="s">
        <v>89</v>
      </c>
      <c r="F52" s="2" t="s">
        <v>81</v>
      </c>
      <c r="G52" s="2" t="str">
        <f t="shared" si="33"/>
        <v>-</v>
      </c>
      <c r="H52" s="2" t="s">
        <v>105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77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6" t="str">
        <f t="shared" si="38"/>
        <v>13.5</v>
      </c>
      <c r="D53" s="8" t="s">
        <v>96</v>
      </c>
      <c r="F53" s="2" t="s">
        <v>81</v>
      </c>
      <c r="G53" s="2" t="str">
        <f t="shared" si="33"/>
        <v>-</v>
      </c>
      <c r="H53" s="2" t="s">
        <v>105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78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6" t="str">
        <f t="shared" si="38"/>
        <v>22.5</v>
      </c>
      <c r="D54" s="8" t="s">
        <v>97</v>
      </c>
      <c r="F54" s="2" t="s">
        <v>81</v>
      </c>
      <c r="G54" s="2" t="str">
        <f t="shared" si="33"/>
        <v>-</v>
      </c>
      <c r="H54" s="2" t="s">
        <v>105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79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6" t="str">
        <f>D56</f>
        <v>2.0</v>
      </c>
      <c r="D56" s="8" t="s">
        <v>88</v>
      </c>
      <c r="F56" s="2" t="s">
        <v>81</v>
      </c>
      <c r="G56" s="2" t="str">
        <f t="shared" ref="G56:G60" si="40">IF(NOT(ISBLANK(H56)),"-","")</f>
        <v>-</v>
      </c>
      <c r="H56" s="2" t="s">
        <v>105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106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6" t="str">
        <f>D57</f>
        <v>3.0</v>
      </c>
      <c r="D57" s="8" t="s">
        <v>91</v>
      </c>
      <c r="F57" s="2" t="s">
        <v>81</v>
      </c>
      <c r="G57" s="2" t="str">
        <f t="shared" si="40"/>
        <v>-</v>
      </c>
      <c r="H57" s="2" t="s">
        <v>105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73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6" t="str">
        <f t="shared" ref="C58:C60" si="45">D58</f>
        <v>4.0</v>
      </c>
      <c r="D58" s="8" t="s">
        <v>95</v>
      </c>
      <c r="F58" s="2" t="s">
        <v>81</v>
      </c>
      <c r="G58" s="2" t="str">
        <f t="shared" si="40"/>
        <v>-</v>
      </c>
      <c r="H58" s="2" t="s">
        <v>105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77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6" t="str">
        <f t="shared" si="45"/>
        <v>9.0</v>
      </c>
      <c r="D59" s="8" t="s">
        <v>90</v>
      </c>
      <c r="F59" s="2" t="s">
        <v>81</v>
      </c>
      <c r="G59" s="2" t="str">
        <f t="shared" si="40"/>
        <v>-</v>
      </c>
      <c r="H59" s="2" t="s">
        <v>105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78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6" t="str">
        <f t="shared" si="45"/>
        <v>15.0</v>
      </c>
      <c r="D60" s="8" t="s">
        <v>92</v>
      </c>
      <c r="F60" s="2" t="s">
        <v>81</v>
      </c>
      <c r="G60" s="2" t="str">
        <f t="shared" si="40"/>
        <v>-</v>
      </c>
      <c r="H60" s="2" t="s">
        <v>105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79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6" t="str">
        <f>D62</f>
        <v>2.0</v>
      </c>
      <c r="D62" s="8" t="s">
        <v>88</v>
      </c>
      <c r="F62" s="2" t="s">
        <v>81</v>
      </c>
      <c r="G62" s="2" t="str">
        <f t="shared" ref="G62:G66" si="47">IF(NOT(ISBLANK(H62)),"-","")</f>
        <v>-</v>
      </c>
      <c r="H62" s="2" t="s">
        <v>105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106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6" t="str">
        <f>D63</f>
        <v>3.0</v>
      </c>
      <c r="D63" s="8" t="s">
        <v>91</v>
      </c>
      <c r="F63" s="2" t="s">
        <v>81</v>
      </c>
      <c r="G63" s="2" t="str">
        <f t="shared" si="47"/>
        <v>-</v>
      </c>
      <c r="H63" s="2" t="s">
        <v>105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73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6" t="str">
        <f t="shared" ref="C64:C66" si="53">D64</f>
        <v>4.0</v>
      </c>
      <c r="D64" s="8" t="s">
        <v>95</v>
      </c>
      <c r="F64" s="2" t="s">
        <v>81</v>
      </c>
      <c r="G64" s="2" t="str">
        <f t="shared" si="47"/>
        <v>-</v>
      </c>
      <c r="H64" s="2" t="s">
        <v>105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77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6" t="str">
        <f t="shared" si="53"/>
        <v>9.0</v>
      </c>
      <c r="D65" s="8" t="s">
        <v>90</v>
      </c>
      <c r="F65" s="2" t="s">
        <v>81</v>
      </c>
      <c r="G65" s="2" t="str">
        <f t="shared" si="47"/>
        <v>-</v>
      </c>
      <c r="H65" s="2" t="s">
        <v>105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78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6" t="str">
        <f t="shared" si="53"/>
        <v>15.0</v>
      </c>
      <c r="D66" s="8" t="s">
        <v>92</v>
      </c>
      <c r="F66" s="2" t="s">
        <v>81</v>
      </c>
      <c r="G66" s="2" t="str">
        <f t="shared" si="47"/>
        <v>-</v>
      </c>
      <c r="H66" s="2" t="s">
        <v>105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79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2025-12-21T07:23:20Z</dcterms:modified>
</cp:coreProperties>
</file>