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3F7290E1-9A0A-449E-B708-B34EC4C93D8D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9" i="5" l="1"/>
  <c r="AD39" i="5"/>
  <c r="AB39" i="5"/>
  <c r="AF40" i="5"/>
  <c r="AD40" i="5"/>
  <c r="AB40" i="5"/>
  <c r="B40" i="5"/>
  <c r="AF38" i="5"/>
  <c r="AD38" i="5"/>
  <c r="AB38" i="5"/>
  <c r="AF169" i="5"/>
  <c r="AD169" i="5"/>
  <c r="AB169" i="5"/>
  <c r="V169" i="5"/>
  <c r="U169" i="5"/>
  <c r="J169" i="5"/>
  <c r="I169" i="5"/>
  <c r="AF159" i="5"/>
  <c r="AD159" i="5"/>
  <c r="AB159" i="5"/>
  <c r="V159" i="5"/>
  <c r="U159" i="5"/>
  <c r="J159" i="5"/>
  <c r="I159" i="5"/>
  <c r="B159" i="5"/>
  <c r="AF149" i="5"/>
  <c r="AD149" i="5"/>
  <c r="AB149" i="5"/>
  <c r="V149" i="5"/>
  <c r="U149" i="5"/>
  <c r="J149" i="5"/>
  <c r="I149" i="5"/>
  <c r="AF137" i="5"/>
  <c r="AD137" i="5"/>
  <c r="AB137" i="5"/>
  <c r="V137" i="5"/>
  <c r="U137" i="5"/>
  <c r="J137" i="5"/>
  <c r="I137" i="5"/>
  <c r="B137" i="5"/>
  <c r="AF35" i="5"/>
  <c r="AD35" i="5"/>
  <c r="AB35" i="5"/>
  <c r="B35" i="5" s="1"/>
  <c r="AF34" i="5"/>
  <c r="AD34" i="5"/>
  <c r="AB34" i="5"/>
  <c r="AF33" i="5"/>
  <c r="AD33" i="5"/>
  <c r="AB33" i="5"/>
  <c r="AF32" i="5"/>
  <c r="AD32" i="5"/>
  <c r="AB32" i="5"/>
  <c r="AF31" i="5"/>
  <c r="AD31" i="5"/>
  <c r="AB31" i="5"/>
  <c r="B31" i="5" s="1"/>
  <c r="AF30" i="5"/>
  <c r="AD30" i="5"/>
  <c r="AB30" i="5"/>
  <c r="AF29" i="5"/>
  <c r="AD29" i="5"/>
  <c r="AB29" i="5"/>
  <c r="AF28" i="5"/>
  <c r="AD28" i="5"/>
  <c r="AB28" i="5"/>
  <c r="AF27" i="5"/>
  <c r="AD27" i="5"/>
  <c r="AB27" i="5"/>
  <c r="B27" i="5" s="1"/>
  <c r="AF26" i="5"/>
  <c r="AD26" i="5"/>
  <c r="AB26" i="5"/>
  <c r="AF37" i="5"/>
  <c r="AD37" i="5"/>
  <c r="AB37" i="5"/>
  <c r="AF36" i="5"/>
  <c r="AD36" i="5"/>
  <c r="AB36" i="5"/>
  <c r="AF59" i="5"/>
  <c r="AD59" i="5"/>
  <c r="AB59" i="5"/>
  <c r="AF80" i="5"/>
  <c r="AD80" i="5"/>
  <c r="AB80" i="5"/>
  <c r="AF76" i="5"/>
  <c r="AD76" i="5"/>
  <c r="AB76" i="5"/>
  <c r="AF72" i="5"/>
  <c r="AD72" i="5"/>
  <c r="AB72" i="5"/>
  <c r="AF68" i="5"/>
  <c r="AD68" i="5"/>
  <c r="AB68" i="5"/>
  <c r="AF79" i="5"/>
  <c r="AD79" i="5"/>
  <c r="AB79" i="5"/>
  <c r="B79" i="5"/>
  <c r="AF78" i="5"/>
  <c r="AD78" i="5"/>
  <c r="AB78" i="5"/>
  <c r="AF77" i="5"/>
  <c r="AD77" i="5"/>
  <c r="AB77" i="5"/>
  <c r="B77" i="5" s="1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67" i="5"/>
  <c r="AD67" i="5"/>
  <c r="AB67" i="5"/>
  <c r="AF66" i="5"/>
  <c r="AD66" i="5"/>
  <c r="AB66" i="5"/>
  <c r="AF65" i="5"/>
  <c r="AD65" i="5"/>
  <c r="AB65" i="5"/>
  <c r="AF48" i="5"/>
  <c r="AD48" i="5"/>
  <c r="AB48" i="5"/>
  <c r="B48" i="5" s="1"/>
  <c r="AF47" i="5"/>
  <c r="AD47" i="5"/>
  <c r="AB47" i="5"/>
  <c r="AF46" i="5"/>
  <c r="AD46" i="5"/>
  <c r="AB46" i="5"/>
  <c r="AF45" i="5"/>
  <c r="AD45" i="5"/>
  <c r="AB45" i="5"/>
  <c r="AF44" i="5"/>
  <c r="AD44" i="5"/>
  <c r="AB44" i="5"/>
  <c r="AF43" i="5"/>
  <c r="AD43" i="5"/>
  <c r="AB43" i="5"/>
  <c r="AF42" i="5"/>
  <c r="AD42" i="5"/>
  <c r="AB42" i="5"/>
  <c r="AF41" i="5"/>
  <c r="AD41" i="5"/>
  <c r="AB41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B19" i="5" s="1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F101" i="5"/>
  <c r="AD101" i="5"/>
  <c r="AB101" i="5"/>
  <c r="AF126" i="5"/>
  <c r="AD126" i="5"/>
  <c r="AB126" i="5"/>
  <c r="G176" i="5"/>
  <c r="G175" i="5"/>
  <c r="G166" i="5"/>
  <c r="G165" i="5"/>
  <c r="G156" i="5"/>
  <c r="G155" i="5"/>
  <c r="G145" i="5"/>
  <c r="G144" i="5"/>
  <c r="D176" i="5"/>
  <c r="D175" i="5"/>
  <c r="D166" i="5"/>
  <c r="D165" i="5"/>
  <c r="D156" i="5"/>
  <c r="D155" i="5"/>
  <c r="D145" i="5"/>
  <c r="D144" i="5"/>
  <c r="AF136" i="5"/>
  <c r="AD136" i="5"/>
  <c r="AB136" i="5"/>
  <c r="V136" i="5"/>
  <c r="U136" i="5"/>
  <c r="J136" i="5"/>
  <c r="I136" i="5"/>
  <c r="AF87" i="5"/>
  <c r="AD87" i="5"/>
  <c r="AB87" i="5"/>
  <c r="AF85" i="5"/>
  <c r="AD85" i="5"/>
  <c r="AB85" i="5"/>
  <c r="AF128" i="5"/>
  <c r="AD128" i="5"/>
  <c r="AB128" i="5"/>
  <c r="AF99" i="5"/>
  <c r="AD99" i="5"/>
  <c r="AB99" i="5"/>
  <c r="AF98" i="5"/>
  <c r="AD98" i="5"/>
  <c r="AB98" i="5"/>
  <c r="AF97" i="5"/>
  <c r="AD97" i="5"/>
  <c r="AB97" i="5"/>
  <c r="AF96" i="5"/>
  <c r="AD96" i="5"/>
  <c r="AB96" i="5"/>
  <c r="AF95" i="5"/>
  <c r="AD95" i="5"/>
  <c r="AB95" i="5"/>
  <c r="AF127" i="5"/>
  <c r="AD127" i="5"/>
  <c r="AB127" i="5"/>
  <c r="AF125" i="5"/>
  <c r="AD125" i="5"/>
  <c r="AB125" i="5"/>
  <c r="V168" i="5"/>
  <c r="V158" i="5"/>
  <c r="V143" i="5"/>
  <c r="V142" i="5"/>
  <c r="V148" i="5"/>
  <c r="V154" i="5"/>
  <c r="J143" i="5"/>
  <c r="I143" i="5"/>
  <c r="J154" i="5"/>
  <c r="J164" i="5"/>
  <c r="V164" i="5" s="1"/>
  <c r="J174" i="5"/>
  <c r="V174" i="5" s="1"/>
  <c r="J168" i="5"/>
  <c r="J158" i="5"/>
  <c r="U133" i="5"/>
  <c r="U132" i="5"/>
  <c r="U131" i="5"/>
  <c r="U142" i="5"/>
  <c r="U143" i="5"/>
  <c r="AF140" i="5"/>
  <c r="AD140" i="5"/>
  <c r="AB140" i="5"/>
  <c r="AF138" i="5"/>
  <c r="AD138" i="5"/>
  <c r="AB138" i="5"/>
  <c r="J148" i="5"/>
  <c r="J133" i="5"/>
  <c r="I133" i="5"/>
  <c r="I132" i="5"/>
  <c r="I131" i="5"/>
  <c r="J145" i="5"/>
  <c r="J144" i="5"/>
  <c r="J156" i="5"/>
  <c r="J155" i="5"/>
  <c r="J165" i="5"/>
  <c r="J166" i="5"/>
  <c r="J175" i="5"/>
  <c r="J176" i="5"/>
  <c r="AF182" i="5"/>
  <c r="AD182" i="5"/>
  <c r="AB182" i="5"/>
  <c r="V182" i="5"/>
  <c r="AF179" i="5"/>
  <c r="AD179" i="5"/>
  <c r="AB179" i="5"/>
  <c r="AF193" i="5"/>
  <c r="AD193" i="5"/>
  <c r="AB193" i="5"/>
  <c r="J193" i="5"/>
  <c r="I193" i="5"/>
  <c r="D193" i="5"/>
  <c r="AF192" i="5"/>
  <c r="AD192" i="5"/>
  <c r="AB192" i="5"/>
  <c r="J192" i="5"/>
  <c r="I192" i="5"/>
  <c r="D192" i="5"/>
  <c r="AF191" i="5"/>
  <c r="AD191" i="5"/>
  <c r="AB191" i="5"/>
  <c r="V191" i="5"/>
  <c r="AF190" i="5"/>
  <c r="AD190" i="5"/>
  <c r="AB190" i="5"/>
  <c r="J190" i="5"/>
  <c r="I190" i="5"/>
  <c r="AF189" i="5"/>
  <c r="AD189" i="5"/>
  <c r="AB189" i="5"/>
  <c r="J189" i="5"/>
  <c r="I189" i="5"/>
  <c r="AF188" i="5"/>
  <c r="AD188" i="5"/>
  <c r="AB188" i="5"/>
  <c r="J188" i="5"/>
  <c r="I188" i="5"/>
  <c r="AF187" i="5"/>
  <c r="AD187" i="5"/>
  <c r="AB187" i="5"/>
  <c r="J187" i="5"/>
  <c r="I187" i="5"/>
  <c r="AF186" i="5"/>
  <c r="AD186" i="5"/>
  <c r="AB186" i="5"/>
  <c r="AF185" i="5"/>
  <c r="AD185" i="5"/>
  <c r="AB185" i="5"/>
  <c r="V200" i="5"/>
  <c r="V208" i="5"/>
  <c r="AF208" i="5"/>
  <c r="AD208" i="5"/>
  <c r="AB208" i="5"/>
  <c r="AF200" i="5"/>
  <c r="AD200" i="5"/>
  <c r="AB200" i="5"/>
  <c r="AF202" i="5"/>
  <c r="AD202" i="5"/>
  <c r="AB202" i="5"/>
  <c r="J202" i="5"/>
  <c r="I202" i="5"/>
  <c r="D202" i="5"/>
  <c r="AF201" i="5"/>
  <c r="AD201" i="5"/>
  <c r="AB201" i="5"/>
  <c r="J201" i="5"/>
  <c r="I201" i="5"/>
  <c r="D201" i="5"/>
  <c r="AF199" i="5"/>
  <c r="AD199" i="5"/>
  <c r="AB199" i="5"/>
  <c r="B199" i="5" s="1"/>
  <c r="J199" i="5"/>
  <c r="I199" i="5"/>
  <c r="AF198" i="5"/>
  <c r="AD198" i="5"/>
  <c r="AB198" i="5"/>
  <c r="J198" i="5"/>
  <c r="I198" i="5"/>
  <c r="AF197" i="5"/>
  <c r="AD197" i="5"/>
  <c r="AB197" i="5"/>
  <c r="J197" i="5"/>
  <c r="I197" i="5"/>
  <c r="AF196" i="5"/>
  <c r="AD196" i="5"/>
  <c r="AB196" i="5"/>
  <c r="J196" i="5"/>
  <c r="I196" i="5"/>
  <c r="AF195" i="5"/>
  <c r="AD195" i="5"/>
  <c r="AB195" i="5"/>
  <c r="AF194" i="5"/>
  <c r="AD194" i="5"/>
  <c r="AB194" i="5"/>
  <c r="J207" i="5"/>
  <c r="J206" i="5"/>
  <c r="I207" i="5"/>
  <c r="I206" i="5"/>
  <c r="J205" i="5"/>
  <c r="J204" i="5"/>
  <c r="I205" i="5"/>
  <c r="I204" i="5"/>
  <c r="AF206" i="5"/>
  <c r="AD206" i="5"/>
  <c r="AB206" i="5"/>
  <c r="AF204" i="5"/>
  <c r="AD204" i="5"/>
  <c r="AB204" i="5"/>
  <c r="AF207" i="5"/>
  <c r="AD207" i="5"/>
  <c r="AB207" i="5"/>
  <c r="AF205" i="5"/>
  <c r="AD205" i="5"/>
  <c r="AB205" i="5"/>
  <c r="J181" i="5"/>
  <c r="J180" i="5"/>
  <c r="I180" i="5"/>
  <c r="I181" i="5"/>
  <c r="AF181" i="5"/>
  <c r="AD181" i="5"/>
  <c r="AB181" i="5"/>
  <c r="AF180" i="5"/>
  <c r="AD180" i="5"/>
  <c r="AB180" i="5"/>
  <c r="J210" i="5"/>
  <c r="J209" i="5"/>
  <c r="J184" i="5"/>
  <c r="D210" i="5"/>
  <c r="D209" i="5"/>
  <c r="D184" i="5"/>
  <c r="J183" i="5"/>
  <c r="D183" i="5"/>
  <c r="U168" i="5"/>
  <c r="U158" i="5"/>
  <c r="U148" i="5"/>
  <c r="U174" i="5"/>
  <c r="U164" i="5"/>
  <c r="U154" i="5"/>
  <c r="AF154" i="5"/>
  <c r="AD154" i="5"/>
  <c r="AB154" i="5"/>
  <c r="I154" i="5"/>
  <c r="AF164" i="5"/>
  <c r="AD164" i="5"/>
  <c r="AB164" i="5"/>
  <c r="I164" i="5"/>
  <c r="I174" i="5"/>
  <c r="AF174" i="5"/>
  <c r="AD174" i="5"/>
  <c r="AB174" i="5"/>
  <c r="AF152" i="5"/>
  <c r="AD152" i="5"/>
  <c r="AB152" i="5"/>
  <c r="AF150" i="5"/>
  <c r="AD150" i="5"/>
  <c r="AB150" i="5"/>
  <c r="AF148" i="5"/>
  <c r="AD148" i="5"/>
  <c r="AB148" i="5"/>
  <c r="I148" i="5"/>
  <c r="AF166" i="5"/>
  <c r="AD166" i="5"/>
  <c r="AB166" i="5"/>
  <c r="AF165" i="5"/>
  <c r="AD165" i="5"/>
  <c r="AB165" i="5"/>
  <c r="AF163" i="5"/>
  <c r="AD163" i="5"/>
  <c r="AB163" i="5"/>
  <c r="AF162" i="5"/>
  <c r="AD162" i="5"/>
  <c r="AB162" i="5"/>
  <c r="AF161" i="5"/>
  <c r="AD161" i="5"/>
  <c r="AB161" i="5"/>
  <c r="AF160" i="5"/>
  <c r="AD160" i="5"/>
  <c r="AB160" i="5"/>
  <c r="AF158" i="5"/>
  <c r="AD158" i="5"/>
  <c r="AB158" i="5"/>
  <c r="I158" i="5"/>
  <c r="AF157" i="5"/>
  <c r="AF172" i="5"/>
  <c r="AD172" i="5"/>
  <c r="AB172" i="5"/>
  <c r="AF170" i="5"/>
  <c r="AD170" i="5"/>
  <c r="AB170" i="5"/>
  <c r="I168" i="5"/>
  <c r="AF168" i="5"/>
  <c r="AD168" i="5"/>
  <c r="AB168" i="5"/>
  <c r="AF176" i="5"/>
  <c r="AF175" i="5"/>
  <c r="AF173" i="5"/>
  <c r="AF171" i="5"/>
  <c r="AF167" i="5"/>
  <c r="AD176" i="5"/>
  <c r="AB176" i="5"/>
  <c r="AD175" i="5"/>
  <c r="AB175" i="5"/>
  <c r="AD173" i="5"/>
  <c r="AB173" i="5"/>
  <c r="AD171" i="5"/>
  <c r="AB171" i="5"/>
  <c r="I54" i="5"/>
  <c r="AF63" i="5"/>
  <c r="AD63" i="5"/>
  <c r="AB63" i="5"/>
  <c r="AF62" i="5"/>
  <c r="AD62" i="5"/>
  <c r="AB62" i="5"/>
  <c r="AF61" i="5"/>
  <c r="AD61" i="5"/>
  <c r="AB61" i="5"/>
  <c r="J58" i="5"/>
  <c r="J57" i="5"/>
  <c r="J56" i="5"/>
  <c r="J55" i="5"/>
  <c r="J54" i="5"/>
  <c r="J53" i="5"/>
  <c r="J52" i="5"/>
  <c r="J51" i="5"/>
  <c r="I56" i="5"/>
  <c r="I58" i="5"/>
  <c r="I57" i="5"/>
  <c r="I55" i="5"/>
  <c r="I53" i="5"/>
  <c r="I52" i="5"/>
  <c r="I51" i="5"/>
  <c r="AF218" i="5"/>
  <c r="AF217" i="5"/>
  <c r="AF216" i="5"/>
  <c r="AF215" i="5"/>
  <c r="AF214" i="5"/>
  <c r="AF213" i="5"/>
  <c r="AF212" i="5"/>
  <c r="AF211" i="5"/>
  <c r="AF210" i="5"/>
  <c r="AF209" i="5"/>
  <c r="AF203" i="5"/>
  <c r="AF184" i="5"/>
  <c r="AF183" i="5"/>
  <c r="AF178" i="5"/>
  <c r="AF177" i="5"/>
  <c r="AF156" i="5"/>
  <c r="AF155" i="5"/>
  <c r="AD218" i="5"/>
  <c r="AD217" i="5"/>
  <c r="AD216" i="5"/>
  <c r="AD215" i="5"/>
  <c r="AD214" i="5"/>
  <c r="AD213" i="5"/>
  <c r="AD212" i="5"/>
  <c r="AD211" i="5"/>
  <c r="AD210" i="5"/>
  <c r="AD209" i="5"/>
  <c r="AD203" i="5"/>
  <c r="AD184" i="5"/>
  <c r="AD183" i="5"/>
  <c r="AD178" i="5"/>
  <c r="AD177" i="5"/>
  <c r="AD156" i="5"/>
  <c r="AD155" i="5"/>
  <c r="AB218" i="5"/>
  <c r="AB217" i="5"/>
  <c r="AB216" i="5"/>
  <c r="AB215" i="5"/>
  <c r="AB214" i="5"/>
  <c r="AB213" i="5"/>
  <c r="AB212" i="5"/>
  <c r="AB211" i="5"/>
  <c r="AB210" i="5"/>
  <c r="AB209" i="5"/>
  <c r="AB203" i="5"/>
  <c r="AB184" i="5"/>
  <c r="AB183" i="5"/>
  <c r="AB178" i="5"/>
  <c r="AB177" i="5"/>
  <c r="AB156" i="5"/>
  <c r="I210" i="5"/>
  <c r="I209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I184" i="5"/>
  <c r="I183" i="5"/>
  <c r="AF153" i="5"/>
  <c r="AF151" i="5"/>
  <c r="AD153" i="5"/>
  <c r="AD151" i="5"/>
  <c r="AB155" i="5"/>
  <c r="AB153" i="5"/>
  <c r="AB151" i="5"/>
  <c r="AF147" i="5"/>
  <c r="AF146" i="5"/>
  <c r="AF145" i="5"/>
  <c r="AF144" i="5"/>
  <c r="AF143" i="5"/>
  <c r="AF142" i="5"/>
  <c r="AF141" i="5"/>
  <c r="AF139" i="5"/>
  <c r="AF135" i="5"/>
  <c r="AF134" i="5"/>
  <c r="AF133" i="5"/>
  <c r="AF132" i="5"/>
  <c r="AF131" i="5"/>
  <c r="AF130" i="5"/>
  <c r="AF129" i="5"/>
  <c r="AF124" i="5"/>
  <c r="AF123" i="5"/>
  <c r="AF122" i="5"/>
  <c r="AF121" i="5"/>
  <c r="AF120" i="5"/>
  <c r="AF119" i="5"/>
  <c r="AF118" i="5"/>
  <c r="AF117" i="5"/>
  <c r="AF116" i="5"/>
  <c r="AF115" i="5"/>
  <c r="AF114" i="5"/>
  <c r="AF113" i="5"/>
  <c r="AF112" i="5"/>
  <c r="AF111" i="5"/>
  <c r="AF110" i="5"/>
  <c r="AF109" i="5"/>
  <c r="AF108" i="5"/>
  <c r="AF107" i="5"/>
  <c r="AF106" i="5"/>
  <c r="AF105" i="5"/>
  <c r="AF104" i="5"/>
  <c r="AF103" i="5"/>
  <c r="AF102" i="5"/>
  <c r="AF100" i="5"/>
  <c r="AF94" i="5"/>
  <c r="AF93" i="5"/>
  <c r="AF92" i="5"/>
  <c r="AF91" i="5"/>
  <c r="AF90" i="5"/>
  <c r="AF89" i="5"/>
  <c r="AF88" i="5"/>
  <c r="AF86" i="5"/>
  <c r="AF84" i="5"/>
  <c r="AF60" i="5"/>
  <c r="AF58" i="5"/>
  <c r="AF57" i="5"/>
  <c r="AF56" i="5"/>
  <c r="AF55" i="5"/>
  <c r="AF54" i="5"/>
  <c r="AF53" i="5"/>
  <c r="AF52" i="5"/>
  <c r="AF51" i="5"/>
  <c r="AD147" i="5"/>
  <c r="AD146" i="5"/>
  <c r="AD145" i="5"/>
  <c r="AD144" i="5"/>
  <c r="AD143" i="5"/>
  <c r="AD142" i="5"/>
  <c r="AD141" i="5"/>
  <c r="AD139" i="5"/>
  <c r="AD135" i="5"/>
  <c r="AD134" i="5"/>
  <c r="AD133" i="5"/>
  <c r="AD132" i="5"/>
  <c r="AD131" i="5"/>
  <c r="AD130" i="5"/>
  <c r="AD129" i="5"/>
  <c r="AD124" i="5"/>
  <c r="AD123" i="5"/>
  <c r="AD122" i="5"/>
  <c r="AD121" i="5"/>
  <c r="AD120" i="5"/>
  <c r="AD119" i="5"/>
  <c r="AD118" i="5"/>
  <c r="AD117" i="5"/>
  <c r="AD116" i="5"/>
  <c r="AD115" i="5"/>
  <c r="AD114" i="5"/>
  <c r="AD113" i="5"/>
  <c r="AD112" i="5"/>
  <c r="AD111" i="5"/>
  <c r="AD110" i="5"/>
  <c r="AD109" i="5"/>
  <c r="AD108" i="5"/>
  <c r="AD107" i="5"/>
  <c r="AD106" i="5"/>
  <c r="AD105" i="5"/>
  <c r="AD104" i="5"/>
  <c r="AD103" i="5"/>
  <c r="AD102" i="5"/>
  <c r="AD100" i="5"/>
  <c r="AD94" i="5"/>
  <c r="AD93" i="5"/>
  <c r="AD92" i="5"/>
  <c r="AD91" i="5"/>
  <c r="AD90" i="5"/>
  <c r="AD89" i="5"/>
  <c r="AD88" i="5"/>
  <c r="AD86" i="5"/>
  <c r="AD84" i="5"/>
  <c r="AD60" i="5"/>
  <c r="AD58" i="5"/>
  <c r="AD57" i="5"/>
  <c r="AD56" i="5"/>
  <c r="AD55" i="5"/>
  <c r="AD54" i="5"/>
  <c r="AD53" i="5"/>
  <c r="AD52" i="5"/>
  <c r="AB147" i="5"/>
  <c r="AB146" i="5"/>
  <c r="AB145" i="5"/>
  <c r="AB144" i="5"/>
  <c r="AB143" i="5"/>
  <c r="AB142" i="5"/>
  <c r="AB141" i="5"/>
  <c r="AB139" i="5"/>
  <c r="AB135" i="5"/>
  <c r="AB134" i="5"/>
  <c r="AB133" i="5"/>
  <c r="AB132" i="5"/>
  <c r="AB131" i="5"/>
  <c r="AB130" i="5"/>
  <c r="AB129" i="5"/>
  <c r="AB124" i="5"/>
  <c r="AB123" i="5"/>
  <c r="AB122" i="5"/>
  <c r="AB121" i="5"/>
  <c r="AB120" i="5"/>
  <c r="AB119" i="5"/>
  <c r="AB118" i="5"/>
  <c r="AB117" i="5"/>
  <c r="AB116" i="5"/>
  <c r="AB115" i="5"/>
  <c r="AB114" i="5"/>
  <c r="AB113" i="5"/>
  <c r="AB112" i="5"/>
  <c r="AB111" i="5"/>
  <c r="AB110" i="5"/>
  <c r="AB109" i="5"/>
  <c r="AB108" i="5"/>
  <c r="AB107" i="5"/>
  <c r="AB106" i="5"/>
  <c r="AB105" i="5"/>
  <c r="AB104" i="5"/>
  <c r="AB103" i="5"/>
  <c r="AB102" i="5"/>
  <c r="AB100" i="5"/>
  <c r="AB94" i="5"/>
  <c r="AB93" i="5"/>
  <c r="AB92" i="5"/>
  <c r="AB91" i="5"/>
  <c r="AB90" i="5"/>
  <c r="AB89" i="5"/>
  <c r="AB88" i="5"/>
  <c r="AB86" i="5"/>
  <c r="AB84" i="5"/>
  <c r="AB60" i="5"/>
  <c r="AB58" i="5"/>
  <c r="AB57" i="5"/>
  <c r="AB56" i="5"/>
  <c r="AB55" i="5"/>
  <c r="AB54" i="5"/>
  <c r="AB53" i="5"/>
  <c r="AB52" i="5"/>
  <c r="AB51" i="5"/>
  <c r="D94" i="5"/>
  <c r="D100" i="5"/>
  <c r="D93" i="5"/>
  <c r="D92" i="5"/>
  <c r="D91" i="5"/>
  <c r="D88" i="5"/>
  <c r="D86" i="5"/>
  <c r="AD51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69" i="5" l="1"/>
  <c r="B150" i="5"/>
  <c r="B39" i="5"/>
  <c r="B38" i="5"/>
  <c r="B37" i="5"/>
  <c r="B34" i="5"/>
  <c r="B26" i="5"/>
  <c r="B190" i="5"/>
  <c r="B29" i="5"/>
  <c r="B80" i="5"/>
  <c r="B149" i="5"/>
  <c r="B44" i="5"/>
  <c r="B70" i="5"/>
  <c r="B33" i="5"/>
  <c r="B67" i="5"/>
  <c r="B15" i="5"/>
  <c r="B188" i="5"/>
  <c r="B32" i="5"/>
  <c r="B28" i="5"/>
  <c r="B30" i="5"/>
  <c r="B74" i="5"/>
  <c r="B36" i="5"/>
  <c r="B59" i="5"/>
  <c r="B76" i="5"/>
  <c r="B72" i="5"/>
  <c r="B78" i="5"/>
  <c r="B71" i="5"/>
  <c r="B42" i="5"/>
  <c r="B75" i="5"/>
  <c r="B41" i="5"/>
  <c r="B68" i="5"/>
  <c r="B66" i="5"/>
  <c r="B69" i="5"/>
  <c r="B73" i="5"/>
  <c r="B14" i="5"/>
  <c r="B101" i="5"/>
  <c r="B25" i="5"/>
  <c r="B65" i="5"/>
  <c r="B46" i="5"/>
  <c r="B180" i="5"/>
  <c r="B23" i="5"/>
  <c r="B22" i="5"/>
  <c r="B47" i="5"/>
  <c r="B17" i="5"/>
  <c r="B45" i="5"/>
  <c r="B43" i="5"/>
  <c r="B154" i="5"/>
  <c r="B13" i="5"/>
  <c r="B24" i="5"/>
  <c r="B21" i="5"/>
  <c r="B140" i="5"/>
  <c r="B12" i="5"/>
  <c r="B20" i="5"/>
  <c r="B18" i="5"/>
  <c r="B16" i="5"/>
  <c r="B152" i="5"/>
  <c r="B11" i="5"/>
  <c r="B158" i="5"/>
  <c r="B136" i="5"/>
  <c r="B97" i="5"/>
  <c r="B186" i="5"/>
  <c r="B126" i="5"/>
  <c r="B99" i="5"/>
  <c r="B182" i="5"/>
  <c r="B85" i="5"/>
  <c r="B162" i="5"/>
  <c r="B87" i="5"/>
  <c r="B163" i="5"/>
  <c r="B200" i="5"/>
  <c r="B193" i="5"/>
  <c r="B208" i="5"/>
  <c r="B128" i="5"/>
  <c r="B98" i="5"/>
  <c r="B202" i="5"/>
  <c r="B127" i="5"/>
  <c r="B125" i="5"/>
  <c r="B197" i="5"/>
  <c r="B138" i="5"/>
  <c r="B191" i="5"/>
  <c r="B206" i="5"/>
  <c r="B179" i="5"/>
  <c r="B205" i="5"/>
  <c r="B196" i="5"/>
  <c r="B181" i="5"/>
  <c r="B187" i="5"/>
  <c r="B63" i="5"/>
  <c r="B195" i="5"/>
  <c r="B192" i="5"/>
  <c r="B189" i="5"/>
  <c r="B201" i="5"/>
  <c r="B165" i="5"/>
  <c r="B198" i="5"/>
  <c r="B174" i="5"/>
  <c r="B207" i="5"/>
  <c r="B204" i="5"/>
  <c r="B176" i="5"/>
  <c r="B175" i="5"/>
  <c r="B173" i="5"/>
  <c r="B171" i="5"/>
  <c r="B153" i="5"/>
  <c r="B166" i="5"/>
  <c r="B164" i="5"/>
  <c r="B148" i="5"/>
  <c r="B161" i="5"/>
  <c r="B151" i="5"/>
  <c r="B160" i="5"/>
  <c r="B172" i="5"/>
  <c r="B168" i="5"/>
  <c r="B170" i="5"/>
  <c r="B61" i="5"/>
  <c r="B218" i="5"/>
  <c r="B217" i="5"/>
  <c r="B216" i="5"/>
  <c r="B215" i="5"/>
  <c r="B214" i="5"/>
  <c r="B213" i="5"/>
  <c r="B210" i="5"/>
  <c r="B209" i="5"/>
  <c r="B184" i="5"/>
  <c r="B183" i="5"/>
  <c r="B58" i="5"/>
  <c r="B155" i="5"/>
  <c r="B106" i="5"/>
  <c r="B143" i="5"/>
  <c r="B121" i="5"/>
  <c r="B114" i="5"/>
  <c r="B94" i="5"/>
  <c r="B144" i="5"/>
  <c r="B116" i="5"/>
  <c r="B92" i="5"/>
  <c r="B141" i="5"/>
  <c r="B108" i="5"/>
  <c r="B86" i="5"/>
  <c r="B139" i="5"/>
  <c r="B145" i="5"/>
  <c r="B91" i="5"/>
  <c r="B142" i="5"/>
  <c r="B156" i="5"/>
  <c r="B62" i="5"/>
  <c r="B123" i="5"/>
  <c r="B104" i="5"/>
  <c r="B122" i="5"/>
  <c r="B112" i="5"/>
  <c r="B107" i="5"/>
  <c r="B55" i="5"/>
  <c r="B93" i="5"/>
  <c r="B109" i="5"/>
  <c r="B133" i="5"/>
  <c r="B113" i="5"/>
  <c r="B111" i="5"/>
  <c r="B110" i="5"/>
  <c r="B132" i="5"/>
  <c r="B105" i="5"/>
  <c r="B119" i="5"/>
  <c r="B118" i="5"/>
  <c r="B117" i="5"/>
  <c r="B115" i="5"/>
  <c r="B88" i="5"/>
  <c r="B131" i="5"/>
  <c r="B124" i="5"/>
  <c r="B120" i="5"/>
  <c r="B100" i="5"/>
  <c r="B52" i="5"/>
  <c r="B54" i="5"/>
  <c r="B51" i="5"/>
  <c r="B57" i="5"/>
  <c r="B53" i="5"/>
  <c r="B56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<sst xmlns="http://schemas.openxmlformats.org/spreadsheetml/2006/main" count="2072" uniqueCount="332">
  <si>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</si>
  <si>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</si>
  <si>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</si>
  <si>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</si>
  <si>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</si>
  <si>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</si>
  <si>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</si>
  <si>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</si>
  <si>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</si>
  <si>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</si>
  <si>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</si>
  <si>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</si>
  <si>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</si>
  <si>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</si>
  <si>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</si>
  <si>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</si>
  <si>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</si>
  <si>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</si>
  <si>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</si>
  <si>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</si>
  <si>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</si>
  <si>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</si>
  <si>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</si>
  <si>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</si>
  <si>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</si>
  <si>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</si>
  <si>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</si>
  <si>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</si>
  <si>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</si>
  <si>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</si>
  <si>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</si>
  <si>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</si>
  <si>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</si>
  <si>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</si>
  <si>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</si>
  <si>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</si>
  <si>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</si>
  <si>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</si>
  <si>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</si>
  <si>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</si>
  <si>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</si>
  <si>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</si>
  <si>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</si>
  <si>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</si>
  <si>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</si>
  <si>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</si>
  <si>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</si>
  <si>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</si>
  <si>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</si>
  <si>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</si>
  <si>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</si>
  <si>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</si>
  <si>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</si>
  <si>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</si>
  <si>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</si>
  <si>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</si>
  <si>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</si>
  <si>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</si>
  <si>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</si>
  <si>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</si>
  <si>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</si>
  <si>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</si>
  <si>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</si>
  <si>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</si>
  <si>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</si>
  <si>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</si>
  <si>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</si>
  <si>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</si>
  <si>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</si>
  <si>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</si>
  <si>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</si>
  <si>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</si>
  <si>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</si>
  <si>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</si>
  <si>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</si>
  <si>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</si>
  <si>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</si>
  <si>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</si>
  <si>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</si>
  <si>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</si>
  <si>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</si>
  <si>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</si>
  <si>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</si>
  <si>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</si>
  <si>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</si>
  <si>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</si>
  <si>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</si>
  <si>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</si>
  <si>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</si>
  <si>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</si>
  <si>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</si>
  <si>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</si>
  <si>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</si>
  <si>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</si>
  <si>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</si>
  <si>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</si>
  <si>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</si>
  <si>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</si>
  <si>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</si>
  <si>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</si>
  <si>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</si>
  <si>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</si>
  <si>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</si>
  <si>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</si>
  <si>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</si>
  <si>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</si>
  <si>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</si>
  <si>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</si>
  <si>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</si>
  <si>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</si>
  <si>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</si>
  <si>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</si>
  <si>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</si>
  <si>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</si>
  <si>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</si>
  <si>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</si>
  <si>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</si>
  <si>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</si>
  <si>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</si>
  <si>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</si>
  <si>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</si>
  <si>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</si>
  <si>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</si>
  <si>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</si>
  <si>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</si>
  <si>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</si>
  <si>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</si>
  <si>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</si>
  <si>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</si>
  <si>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</si>
  <si>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</si>
  <si>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</si>
  <si>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</si>
  <si>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</si>
  <si>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</si>
  <si>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</si>
  <si>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</si>
  <si>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</si>
  <si>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</si>
  <si>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</si>
  <si>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</si>
  <si>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</si>
  <si>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</si>
  <si>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</si>
  <si>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</si>
  <si>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</si>
  <si>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</si>
  <si>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</si>
  <si>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</si>
  <si>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</si>
  <si>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</si>
  <si>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</si>
  <si>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</si>
  <si>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</si>
  <si>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</si>
  <si>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</si>
  <si>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</si>
  <si>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</si>
  <si>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</si>
  <si>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</si>
  <si>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</si>
  <si>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</si>
  <si>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</si>
  <si>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</si>
  <si>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</si>
  <si>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</si>
  <si>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</si>
  <si>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</si>
  <si>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</si>
  <si>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</si>
  <si>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</si>
  <si>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</si>
  <si>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</si>
  <si>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</si>
  <si>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</si>
  <si>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</si>
  <si>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</si>
  <si>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</si>
  <si>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</si>
  <si>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</si>
  <si>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</si>
  <si>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</si>
  <si>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</si>
  <si>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</si>
  <si>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</si>
  <si>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</si>
  <si>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</si>
  <si>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</si>
  <si>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</si>
  <si>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</si>
  <si>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</si>
  <si>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</si>
  <si>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</si>
  <si>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</si>
  <si>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</si>
  <si>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</si>
  <si>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</si>
  <si>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</si>
  <si>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</si>
  <si>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</si>
  <si>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</si>
  <si>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</si>
  <si>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</si>
  <si>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</si>
  <si>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</si>
  <si>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</si>
  <si>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</si>
  <si>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</si>
  <si>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</si>
  <si>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</si>
  <si>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</si>
  <si>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</si>
  <si>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</si>
  <si>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</si>
  <si>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</si>
  <si>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</si>
  <si>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</si>
  <si>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</si>
  <si>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</si>
  <si>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</si>
  <si>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</si>
  <si>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</si>
  <si>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</si>
  <si>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</si>
  <si>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</si>
  <si>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</si>
  <si>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</si>
  <si>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</si>
  <si>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</si>
  <si>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</si>
  <si>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</si>
  <si>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</si>
  <si>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</si>
  <si>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</si>
  <si>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</si>
  <si>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</si>
  <si>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</si>
  <si>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</si>
  <si>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</si>
  <si>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</si>
  <si>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</si>
  <si>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</si>
  <si>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</si>
  <si>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</si>
  <si>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</si>
  <si>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</si>
  <si>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</si>
  <si>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</si>
  <si>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</si>
  <si>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</si>
  <si>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</si>
  <si>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</si>
  <si>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</si>
  <si>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</si>
  <si>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</si>
  <si>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</si>
  <si>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</si>
  <si>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</si>
  <si>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</si>
  <si>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</si>
  <si>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</si>
  <si>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</si>
  <si>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</si>
  <si>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</si>
  <si>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</si>
  <si>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</si>
  <si>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</si>
  <si>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</si>
  <si>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</si>
  <si>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</si>
  <si>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</si>
  <si>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</si>
  <si>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</si>
  <si>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</si>
  <si>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</si>
  <si>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</si>
  <si>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</si>
  <si>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</si>
  <si>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</si>
  <si>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</si>
  <si>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</si>
  <si>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</si>
  <si>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</si>
  <si>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</si>
  <si>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</si>
  <si>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</si>
  <si>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</si>
  <si>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</si>
  <si>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</si>
  <si>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</si>
  <si>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</si>
  <si>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</si>
  <si>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</si>
  <si>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</si>
  <si>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</si>
  <si>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</si>
  <si>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</si>
  <si>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</si>
  <si>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</si>
  <si>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</si>
  <si>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</si>
  <si>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</si>
  <si>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</si>
  <si>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</si>
  <si>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</si>
  <si>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1</t>
  </si>
  <si>
    <t>2</t>
  </si>
  <si>
    <t>widest</t>
  </si>
  <si>
    <t>4</t>
  </si>
  <si>
    <t>6</t>
  </si>
  <si>
    <t>3</t>
  </si>
  <si>
    <t>9</t>
  </si>
  <si>
    <t>5</t>
  </si>
  <si>
    <t>15</t>
  </si>
  <si>
    <t>null</t>
  </si>
  <si>
    <t>protected_area</t>
  </si>
  <si>
    <t>"#666666"</t>
  </si>
  <si>
    <t>"#999999"</t>
  </si>
  <si>
    <t>state</t>
  </si>
  <si>
    <t>"#663333"</t>
  </si>
  <si>
    <t>"#cc9999"</t>
  </si>
  <si>
    <t>country_other</t>
  </si>
  <si>
    <t>"#323243"</t>
  </si>
  <si>
    <t>"#bcbccd"</t>
  </si>
  <si>
    <t>country_minor</t>
  </si>
  <si>
    <t>country_medium</t>
  </si>
  <si>
    <t>country_major</t>
  </si>
  <si>
    <t>bicycle_no_farzoom</t>
  </si>
  <si>
    <t>bicycle_no_default</t>
  </si>
  <si>
    <t>poi-level_123_and_additions_farzoom</t>
  </si>
  <si>
    <t>poi-level_123_and_additions_default</t>
  </si>
  <si>
    <t>poi-level_123_and_additions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</si>
</sst>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01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237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B41" sqref="B41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2.7109375" style="28" customWidth="1"/>
    <col min="34" max="16384" width="9.140625" style="28"/>
  </cols>
  <sheetData>
    <row r="1" spans="1:33" x14ac:dyDescent="0.25">
      <c r="A1" s="28" t="s">
        <v>219</v>
      </c>
    </row>
    <row r="3" spans="1:33" s="26" customFormat="1" x14ac:dyDescent="0.25">
      <c r="B3" s="26" t="s">
        <v>0</v>
      </c>
      <c r="C3" s="26" t="s">
        <v>107</v>
      </c>
      <c r="I3" s="26" t="s">
        <v>158</v>
      </c>
      <c r="O3" s="26" t="s">
        <v>163</v>
      </c>
      <c r="U3" s="26" t="s">
        <v>168</v>
      </c>
    </row>
    <row r="4" spans="1:33" s="26" customFormat="1" x14ac:dyDescent="0.25">
      <c r="C4" s="26" t="s">
        <v>224</v>
      </c>
      <c r="F4" s="26" t="s">
        <v>225</v>
      </c>
    </row>
    <row r="5" spans="1:33" s="26" customFormat="1" x14ac:dyDescent="0.25">
      <c r="C5" s="26" t="s">
        <v>153</v>
      </c>
      <c r="D5" s="26" t="s">
        <v>11</v>
      </c>
      <c r="F5" s="26" t="s">
        <v>153</v>
      </c>
      <c r="G5" s="26" t="s">
        <v>11</v>
      </c>
      <c r="I5" s="26" t="s">
        <v>153</v>
      </c>
      <c r="J5" s="26" t="s">
        <v>11</v>
      </c>
      <c r="L5" s="26" t="s">
        <v>153</v>
      </c>
      <c r="M5" s="26" t="s">
        <v>11</v>
      </c>
      <c r="O5" s="26" t="s">
        <v>153</v>
      </c>
      <c r="P5" s="26" t="s">
        <v>11</v>
      </c>
      <c r="R5" s="26" t="s">
        <v>153</v>
      </c>
      <c r="S5" s="26" t="s">
        <v>11</v>
      </c>
      <c r="U5" s="26" t="s">
        <v>153</v>
      </c>
      <c r="V5" s="26" t="s">
        <v>11</v>
      </c>
      <c r="X5" s="26" t="s">
        <v>153</v>
      </c>
      <c r="Y5" s="26" t="s">
        <v>11</v>
      </c>
    </row>
    <row r="6" spans="1:33" s="26" customFormat="1" x14ac:dyDescent="0.25">
      <c r="C6" s="26" t="s">
        <v>154</v>
      </c>
      <c r="D6" s="26" t="s">
        <v>156</v>
      </c>
      <c r="F6" s="26" t="s">
        <v>155</v>
      </c>
      <c r="G6" s="26" t="s">
        <v>157</v>
      </c>
      <c r="I6" s="26" t="s">
        <v>159</v>
      </c>
      <c r="J6" s="26" t="s">
        <v>161</v>
      </c>
      <c r="L6" s="26" t="s">
        <v>160</v>
      </c>
      <c r="M6" s="26" t="s">
        <v>162</v>
      </c>
      <c r="O6" s="26" t="s">
        <v>164</v>
      </c>
      <c r="P6" s="26" t="s">
        <v>166</v>
      </c>
      <c r="R6" s="26" t="s">
        <v>165</v>
      </c>
      <c r="S6" s="26" t="s">
        <v>167</v>
      </c>
      <c r="U6" s="26" t="s">
        <v>169</v>
      </c>
      <c r="V6" s="26" t="s">
        <v>171</v>
      </c>
      <c r="X6" s="26" t="s">
        <v>170</v>
      </c>
      <c r="Y6" s="26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5" customFormat="1" x14ac:dyDescent="0.25">
      <c r="A7" s="27" t="s">
        <v>275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</row>
    <row r="8" spans="1:33" x14ac:dyDescent="0.25">
      <c r="B8" s="7" t="s">
        <v>274</v>
      </c>
      <c r="C8" s="28" t="s">
        <v>273</v>
      </c>
      <c r="D8" s="28" t="s">
        <v>273</v>
      </c>
      <c r="F8" s="28" t="s">
        <v>276</v>
      </c>
      <c r="G8" s="28" t="s">
        <v>276</v>
      </c>
      <c r="I8" s="28" t="s">
        <v>273</v>
      </c>
      <c r="J8" s="28" t="s">
        <v>273</v>
      </c>
      <c r="L8" s="28" t="s">
        <v>276</v>
      </c>
      <c r="M8" s="28" t="s">
        <v>276</v>
      </c>
      <c r="O8" s="28" t="s">
        <v>273</v>
      </c>
      <c r="P8" s="28" t="s">
        <v>273</v>
      </c>
      <c r="R8" s="28" t="s">
        <v>276</v>
      </c>
      <c r="S8" s="28" t="s">
        <v>276</v>
      </c>
      <c r="U8" s="28" t="s">
        <v>273</v>
      </c>
      <c r="V8" s="28" t="s">
        <v>273</v>
      </c>
      <c r="X8" s="28" t="s">
        <v>276</v>
      </c>
      <c r="Y8" s="28" t="s">
        <v>276</v>
      </c>
      <c r="AA8" s="2"/>
      <c r="AB8" s="2"/>
      <c r="AC8" s="2"/>
      <c r="AD8" s="2"/>
      <c r="AE8" s="2"/>
      <c r="AF8" s="2"/>
      <c r="AG8" s="2"/>
    </row>
    <row r="9" spans="1:33" s="26" customFormat="1" x14ac:dyDescent="0.25">
      <c r="AA9" s="1"/>
      <c r="AB9" s="1"/>
      <c r="AC9" s="1"/>
      <c r="AD9" s="1"/>
      <c r="AE9" s="1"/>
      <c r="AF9" s="1"/>
      <c r="AG9" s="1"/>
    </row>
    <row r="10" spans="1:33" s="5" customFormat="1" x14ac:dyDescent="0.25">
      <c r="A10" s="27" t="s">
        <v>297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</row>
    <row r="11" spans="1:33" x14ac:dyDescent="0.25">
      <c r="B11" s="2" t="str">
        <f>_xlfn.CONCAT("@",AA11,AB11,AC11,AD11,AE11,AF11,AG11)</f>
        <v>@color-label_parking_default</v>
      </c>
      <c r="C11" s="37" t="s">
        <v>217</v>
      </c>
      <c r="F11" s="38" t="s">
        <v>227</v>
      </c>
      <c r="I11" s="37" t="s">
        <v>217</v>
      </c>
      <c r="L11" s="38" t="s">
        <v>227</v>
      </c>
      <c r="O11" s="37" t="s">
        <v>217</v>
      </c>
      <c r="R11" s="38" t="s">
        <v>227</v>
      </c>
      <c r="U11" s="37" t="s">
        <v>217</v>
      </c>
      <c r="X11" s="38" t="s">
        <v>227</v>
      </c>
      <c r="AA11" s="2" t="s">
        <v>6</v>
      </c>
      <c r="AB11" s="2" t="str">
        <f t="shared" ref="AB11" si="0">IF(NOT(ISBLANK(AC11)),"-","")</f>
        <v>-</v>
      </c>
      <c r="AC11" s="2" t="s">
        <v>280</v>
      </c>
      <c r="AD11" s="2" t="str">
        <f t="shared" ref="AD11" si="1">IF(NOT(ISBLANK(AE11)),"_","")</f>
        <v>_</v>
      </c>
      <c r="AE11" s="2" t="s">
        <v>281</v>
      </c>
      <c r="AF11" s="2" t="str">
        <f t="shared" ref="AF11" si="2">IF(NOT(ISBLANK(AG11)),"_","")</f>
        <v>_</v>
      </c>
      <c r="AG11" s="2" t="s">
        <v>269</v>
      </c>
    </row>
    <row r="12" spans="1:33" x14ac:dyDescent="0.25">
      <c r="B12" s="2" t="str">
        <f>_xlfn.CONCAT("@",AA12,AB12,AC12,AD12,AE12,AF12,AG12)</f>
        <v>@color-label_parking_yes</v>
      </c>
      <c r="C12" s="38" t="s">
        <v>227</v>
      </c>
      <c r="F12" s="37" t="s">
        <v>217</v>
      </c>
      <c r="I12" s="38" t="s">
        <v>227</v>
      </c>
      <c r="L12" s="37" t="s">
        <v>217</v>
      </c>
      <c r="O12" s="38" t="s">
        <v>227</v>
      </c>
      <c r="R12" s="37" t="s">
        <v>217</v>
      </c>
      <c r="U12" s="38" t="s">
        <v>227</v>
      </c>
      <c r="X12" s="37" t="s">
        <v>217</v>
      </c>
      <c r="AA12" s="2" t="s">
        <v>6</v>
      </c>
      <c r="AB12" s="2" t="str">
        <f t="shared" ref="AB12" si="3">IF(NOT(ISBLANK(AC12)),"-","")</f>
        <v>-</v>
      </c>
      <c r="AC12" s="2" t="s">
        <v>280</v>
      </c>
      <c r="AD12" s="2" t="str">
        <f t="shared" ref="AD12" si="4">IF(NOT(ISBLANK(AE12)),"_","")</f>
        <v>_</v>
      </c>
      <c r="AE12" s="2" t="s">
        <v>281</v>
      </c>
      <c r="AF12" s="2" t="str">
        <f t="shared" ref="AF12" si="5">IF(NOT(ISBLANK(AG12)),"_","")</f>
        <v>_</v>
      </c>
      <c r="AG12" s="2" t="s">
        <v>282</v>
      </c>
    </row>
    <row r="13" spans="1:33" x14ac:dyDescent="0.25">
      <c r="B13" s="2" t="str">
        <f>_xlfn.CONCAT("@",AA13,AB13,AC13,AD13,AE13,AF13,AG13)</f>
        <v>@color-label_parking_no</v>
      </c>
      <c r="C13" s="39" t="s">
        <v>283</v>
      </c>
      <c r="F13" s="39" t="s">
        <v>283</v>
      </c>
      <c r="I13" s="39" t="s">
        <v>283</v>
      </c>
      <c r="L13" s="39" t="s">
        <v>283</v>
      </c>
      <c r="O13" s="39" t="s">
        <v>283</v>
      </c>
      <c r="R13" s="39" t="s">
        <v>283</v>
      </c>
      <c r="U13" s="39" t="s">
        <v>283</v>
      </c>
      <c r="X13" s="39" t="s">
        <v>283</v>
      </c>
      <c r="AA13" s="2" t="s">
        <v>6</v>
      </c>
      <c r="AB13" s="2" t="str">
        <f t="shared" ref="AB13:AB14" si="6">IF(NOT(ISBLANK(AC13)),"-","")</f>
        <v>-</v>
      </c>
      <c r="AC13" s="2" t="s">
        <v>280</v>
      </c>
      <c r="AD13" s="2" t="str">
        <f t="shared" ref="AD13:AD14" si="7">IF(NOT(ISBLANK(AE13)),"_","")</f>
        <v>_</v>
      </c>
      <c r="AE13" s="2" t="s">
        <v>281</v>
      </c>
      <c r="AF13" s="2" t="str">
        <f t="shared" ref="AF13:AF14" si="8">IF(NOT(ISBLANK(AG13)),"_","")</f>
        <v>_</v>
      </c>
      <c r="AG13" s="2" t="s">
        <v>44</v>
      </c>
    </row>
    <row r="14" spans="1:33" x14ac:dyDescent="0.25">
      <c r="B14" s="2" t="str">
        <f t="shared" ref="B14" si="9">_xlfn.CONCAT("@",AA14,AB14,AC14,AD14,AE14,AF14,AG14)</f>
        <v>@color-label_place_other</v>
      </c>
      <c r="C14" s="29" t="s">
        <v>287</v>
      </c>
      <c r="F14" s="30" t="s">
        <v>288</v>
      </c>
      <c r="AA14" s="2" t="s">
        <v>6</v>
      </c>
      <c r="AB14" s="2" t="str">
        <f t="shared" si="6"/>
        <v>-</v>
      </c>
      <c r="AC14" s="2" t="s">
        <v>280</v>
      </c>
      <c r="AD14" s="2" t="str">
        <f t="shared" si="7"/>
        <v>_</v>
      </c>
      <c r="AE14" s="2" t="s">
        <v>285</v>
      </c>
      <c r="AF14" s="2" t="str">
        <f t="shared" si="8"/>
        <v>_</v>
      </c>
      <c r="AG14" s="2" t="s">
        <v>286</v>
      </c>
    </row>
    <row r="15" spans="1:33" x14ac:dyDescent="0.25">
      <c r="B15" s="2" t="str">
        <f t="shared" ref="B15:B16" si="10">_xlfn.CONCAT("@",AA15,AB15,AC15,AD15,AE15,AF15,AG15)</f>
        <v>@color-label_halo_place_other</v>
      </c>
      <c r="C15" s="31" t="s">
        <v>290</v>
      </c>
      <c r="F15" s="32" t="s">
        <v>291</v>
      </c>
      <c r="AA15" s="2" t="s">
        <v>6</v>
      </c>
      <c r="AB15" s="2" t="str">
        <f t="shared" ref="AB15:AB16" si="11">IF(NOT(ISBLANK(AC15)),"-","")</f>
        <v>-</v>
      </c>
      <c r="AC15" s="2" t="s">
        <v>289</v>
      </c>
      <c r="AD15" s="2" t="str">
        <f t="shared" ref="AD15:AD16" si="12">IF(NOT(ISBLANK(AE15)),"_","")</f>
        <v>_</v>
      </c>
      <c r="AE15" s="2" t="s">
        <v>285</v>
      </c>
      <c r="AF15" s="2" t="str">
        <f t="shared" ref="AF15:AF16" si="13">IF(NOT(ISBLANK(AG15)),"_","")</f>
        <v>_</v>
      </c>
      <c r="AG15" s="2" t="s">
        <v>286</v>
      </c>
    </row>
    <row r="16" spans="1:33" x14ac:dyDescent="0.25">
      <c r="B16" s="2" t="str">
        <f t="shared" si="10"/>
        <v>@color-label_place_suburb_hamlet</v>
      </c>
      <c r="C16" s="29" t="s">
        <v>287</v>
      </c>
      <c r="F16" s="30" t="s">
        <v>288</v>
      </c>
      <c r="AA16" s="2" t="s">
        <v>6</v>
      </c>
      <c r="AB16" s="2" t="str">
        <f t="shared" si="11"/>
        <v>-</v>
      </c>
      <c r="AC16" s="2" t="s">
        <v>280</v>
      </c>
      <c r="AD16" s="2" t="str">
        <f t="shared" si="12"/>
        <v>_</v>
      </c>
      <c r="AE16" s="2" t="s">
        <v>285</v>
      </c>
      <c r="AF16" s="2" t="str">
        <f t="shared" si="13"/>
        <v>_</v>
      </c>
      <c r="AG16" s="2" t="s">
        <v>292</v>
      </c>
    </row>
    <row r="17" spans="2:33" x14ac:dyDescent="0.25">
      <c r="B17" s="2" t="str">
        <f t="shared" ref="B17:B18" si="14">_xlfn.CONCAT("@",AA17,AB17,AC17,AD17,AE17,AF17,AG17)</f>
        <v>@color-label_halo_place_suburb_hamlet</v>
      </c>
      <c r="C17" s="31" t="s">
        <v>290</v>
      </c>
      <c r="F17" s="32" t="s">
        <v>291</v>
      </c>
      <c r="AA17" s="2" t="s">
        <v>6</v>
      </c>
      <c r="AB17" s="2" t="str">
        <f t="shared" ref="AB17:AB18" si="15">IF(NOT(ISBLANK(AC17)),"-","")</f>
        <v>-</v>
      </c>
      <c r="AC17" s="2" t="s">
        <v>289</v>
      </c>
      <c r="AD17" s="2" t="str">
        <f t="shared" ref="AD17:AD18" si="16">IF(NOT(ISBLANK(AE17)),"_","")</f>
        <v>_</v>
      </c>
      <c r="AE17" s="2" t="s">
        <v>285</v>
      </c>
      <c r="AF17" s="2" t="str">
        <f t="shared" ref="AF17:AF18" si="17">IF(NOT(ISBLANK(AG17)),"_","")</f>
        <v>_</v>
      </c>
      <c r="AG17" s="2" t="s">
        <v>292</v>
      </c>
    </row>
    <row r="18" spans="2:33" x14ac:dyDescent="0.25">
      <c r="B18" s="2" t="str">
        <f t="shared" si="14"/>
        <v>@color-label_place_village</v>
      </c>
      <c r="C18" s="29" t="s">
        <v>287</v>
      </c>
      <c r="F18" s="30" t="s">
        <v>288</v>
      </c>
      <c r="AA18" s="2" t="s">
        <v>6</v>
      </c>
      <c r="AB18" s="2" t="str">
        <f t="shared" si="15"/>
        <v>-</v>
      </c>
      <c r="AC18" s="2" t="s">
        <v>280</v>
      </c>
      <c r="AD18" s="2" t="str">
        <f t="shared" si="16"/>
        <v>_</v>
      </c>
      <c r="AE18" s="2" t="s">
        <v>285</v>
      </c>
      <c r="AF18" s="2" t="str">
        <f t="shared" si="17"/>
        <v>_</v>
      </c>
      <c r="AG18" s="2" t="s">
        <v>293</v>
      </c>
    </row>
    <row r="19" spans="2:33" x14ac:dyDescent="0.25">
      <c r="B19" s="2" t="str">
        <f t="shared" ref="B19:B20" si="18">_xlfn.CONCAT("@",AA19,AB19,AC19,AD19,AE19,AF19,AG19)</f>
        <v>@color-label_halo_place_village</v>
      </c>
      <c r="C19" s="31" t="s">
        <v>290</v>
      </c>
      <c r="F19" s="32" t="s">
        <v>291</v>
      </c>
      <c r="AA19" s="2" t="s">
        <v>6</v>
      </c>
      <c r="AB19" s="2" t="str">
        <f t="shared" ref="AB19:AB20" si="19">IF(NOT(ISBLANK(AC19)),"-","")</f>
        <v>-</v>
      </c>
      <c r="AC19" s="2" t="s">
        <v>289</v>
      </c>
      <c r="AD19" s="2" t="str">
        <f t="shared" ref="AD19:AD20" si="20">IF(NOT(ISBLANK(AE19)),"_","")</f>
        <v>_</v>
      </c>
      <c r="AE19" s="2" t="s">
        <v>285</v>
      </c>
      <c r="AF19" s="2" t="str">
        <f t="shared" ref="AF19:AF20" si="21">IF(NOT(ISBLANK(AG19)),"_","")</f>
        <v>_</v>
      </c>
      <c r="AG19" s="2" t="s">
        <v>293</v>
      </c>
    </row>
    <row r="20" spans="2:33" x14ac:dyDescent="0.25">
      <c r="B20" s="2" t="str">
        <f t="shared" si="18"/>
        <v>@color-label_place_town</v>
      </c>
      <c r="C20" s="29" t="s">
        <v>287</v>
      </c>
      <c r="F20" s="30" t="s">
        <v>288</v>
      </c>
      <c r="AA20" s="2" t="s">
        <v>6</v>
      </c>
      <c r="AB20" s="2" t="str">
        <f t="shared" si="19"/>
        <v>-</v>
      </c>
      <c r="AC20" s="2" t="s">
        <v>280</v>
      </c>
      <c r="AD20" s="2" t="str">
        <f t="shared" si="20"/>
        <v>_</v>
      </c>
      <c r="AE20" s="2" t="s">
        <v>285</v>
      </c>
      <c r="AF20" s="2" t="str">
        <f t="shared" si="21"/>
        <v>_</v>
      </c>
      <c r="AG20" s="2" t="s">
        <v>294</v>
      </c>
    </row>
    <row r="21" spans="2:33" x14ac:dyDescent="0.25">
      <c r="B21" s="2" t="str">
        <f t="shared" ref="B21:B22" si="22">_xlfn.CONCAT("@",AA21,AB21,AC21,AD21,AE21,AF21,AG21)</f>
        <v>@color-label_halo_place_town</v>
      </c>
      <c r="C21" s="31" t="s">
        <v>290</v>
      </c>
      <c r="F21" s="32" t="s">
        <v>291</v>
      </c>
      <c r="AA21" s="2" t="s">
        <v>6</v>
      </c>
      <c r="AB21" s="2" t="str">
        <f t="shared" ref="AB21:AB22" si="23">IF(NOT(ISBLANK(AC21)),"-","")</f>
        <v>-</v>
      </c>
      <c r="AC21" s="2" t="s">
        <v>289</v>
      </c>
      <c r="AD21" s="2" t="str">
        <f t="shared" ref="AD21:AD22" si="24">IF(NOT(ISBLANK(AE21)),"_","")</f>
        <v>_</v>
      </c>
      <c r="AE21" s="2" t="s">
        <v>285</v>
      </c>
      <c r="AF21" s="2" t="str">
        <f t="shared" ref="AF21:AF22" si="25">IF(NOT(ISBLANK(AG21)),"_","")</f>
        <v>_</v>
      </c>
      <c r="AG21" s="2" t="s">
        <v>294</v>
      </c>
    </row>
    <row r="22" spans="2:33" x14ac:dyDescent="0.25">
      <c r="B22" s="2" t="str">
        <f t="shared" si="22"/>
        <v>@color-label_place_city</v>
      </c>
      <c r="C22" s="29" t="s">
        <v>287</v>
      </c>
      <c r="F22" s="30" t="s">
        <v>288</v>
      </c>
      <c r="AA22" s="2" t="s">
        <v>6</v>
      </c>
      <c r="AB22" s="2" t="str">
        <f t="shared" si="23"/>
        <v>-</v>
      </c>
      <c r="AC22" s="2" t="s">
        <v>280</v>
      </c>
      <c r="AD22" s="2" t="str">
        <f t="shared" si="24"/>
        <v>_</v>
      </c>
      <c r="AE22" s="2" t="s">
        <v>285</v>
      </c>
      <c r="AF22" s="2" t="str">
        <f t="shared" si="25"/>
        <v>_</v>
      </c>
      <c r="AG22" s="2" t="s">
        <v>295</v>
      </c>
    </row>
    <row r="23" spans="2:33" x14ac:dyDescent="0.25">
      <c r="B23" s="2" t="str">
        <f t="shared" ref="B23:B24" si="26">_xlfn.CONCAT("@",AA23,AB23,AC23,AD23,AE23,AF23,AG23)</f>
        <v>@color-label_halo_place_city</v>
      </c>
      <c r="C23" s="31" t="s">
        <v>290</v>
      </c>
      <c r="F23" s="32" t="s">
        <v>291</v>
      </c>
      <c r="AA23" s="2" t="s">
        <v>6</v>
      </c>
      <c r="AB23" s="2" t="str">
        <f t="shared" ref="AB23:AB24" si="27">IF(NOT(ISBLANK(AC23)),"-","")</f>
        <v>-</v>
      </c>
      <c r="AC23" s="2" t="s">
        <v>289</v>
      </c>
      <c r="AD23" s="2" t="str">
        <f t="shared" ref="AD23:AD24" si="28">IF(NOT(ISBLANK(AE23)),"_","")</f>
        <v>_</v>
      </c>
      <c r="AE23" s="2" t="s">
        <v>285</v>
      </c>
      <c r="AF23" s="2" t="str">
        <f t="shared" ref="AF23:AF24" si="29">IF(NOT(ISBLANK(AG23)),"_","")</f>
        <v>_</v>
      </c>
      <c r="AG23" s="2" t="s">
        <v>295</v>
      </c>
    </row>
    <row r="24" spans="2:33" x14ac:dyDescent="0.25">
      <c r="B24" s="2" t="str">
        <f t="shared" si="26"/>
        <v>@color-label_place_capital</v>
      </c>
      <c r="C24" s="29" t="s">
        <v>287</v>
      </c>
      <c r="F24" s="30" t="s">
        <v>288</v>
      </c>
      <c r="AA24" s="2" t="s">
        <v>6</v>
      </c>
      <c r="AB24" s="2" t="str">
        <f t="shared" si="27"/>
        <v>-</v>
      </c>
      <c r="AC24" s="2" t="s">
        <v>280</v>
      </c>
      <c r="AD24" s="2" t="str">
        <f t="shared" si="28"/>
        <v>_</v>
      </c>
      <c r="AE24" s="2" t="s">
        <v>285</v>
      </c>
      <c r="AF24" s="2" t="str">
        <f t="shared" si="29"/>
        <v>_</v>
      </c>
      <c r="AG24" s="2" t="s">
        <v>296</v>
      </c>
    </row>
    <row r="25" spans="2:33" x14ac:dyDescent="0.25">
      <c r="B25" s="2" t="str">
        <f t="shared" ref="B25:B41" si="30">_xlfn.CONCAT("@",AA25,AB25,AC25,AD25,AE25,AF25,AG25)</f>
        <v>@color-label_halo_place_capital</v>
      </c>
      <c r="C25" s="31" t="s">
        <v>290</v>
      </c>
      <c r="F25" s="32" t="s">
        <v>291</v>
      </c>
      <c r="AA25" s="2" t="s">
        <v>6</v>
      </c>
      <c r="AB25" s="2" t="str">
        <f t="shared" ref="AB25:AB41" si="31">IF(NOT(ISBLANK(AC25)),"-","")</f>
        <v>-</v>
      </c>
      <c r="AC25" s="2" t="s">
        <v>289</v>
      </c>
      <c r="AD25" s="2" t="str">
        <f t="shared" ref="AD25:AD41" si="32">IF(NOT(ISBLANK(AE25)),"_","")</f>
        <v>_</v>
      </c>
      <c r="AE25" s="2" t="s">
        <v>285</v>
      </c>
      <c r="AF25" s="2" t="str">
        <f t="shared" ref="AF25:AF41" si="33">IF(NOT(ISBLANK(AG25)),"_","")</f>
        <v>_</v>
      </c>
      <c r="AG25" s="2" t="s">
        <v>296</v>
      </c>
    </row>
    <row r="26" spans="2:33" x14ac:dyDescent="0.25">
      <c r="B26" s="2" t="str">
        <f t="shared" si="30"/>
        <v>@color-label_place_state</v>
      </c>
      <c r="C26" s="166" t="s">
        <v>319</v>
      </c>
      <c r="F26" s="167" t="s">
        <v>320</v>
      </c>
      <c r="AA26" s="2" t="s">
        <v>6</v>
      </c>
      <c r="AB26" s="2" t="str">
        <f t="shared" si="31"/>
        <v>-</v>
      </c>
      <c r="AC26" s="2" t="s">
        <v>280</v>
      </c>
      <c r="AD26" s="2" t="str">
        <f t="shared" si="32"/>
        <v>_</v>
      </c>
      <c r="AE26" s="2" t="s">
        <v>285</v>
      </c>
      <c r="AF26" s="2" t="str">
        <f t="shared" si="33"/>
        <v>_</v>
      </c>
      <c r="AG26" s="2" t="s">
        <v>318</v>
      </c>
    </row>
    <row r="27" spans="2:33" x14ac:dyDescent="0.25">
      <c r="B27" s="2" t="str">
        <f t="shared" ref="B27:B28" si="34">_xlfn.CONCAT("@",AA27,AB27,AC27,AD27,AE27,AF27,AG27)</f>
        <v>@color-label_halo_place_state</v>
      </c>
      <c r="C27" s="31" t="s">
        <v>290</v>
      </c>
      <c r="F27" s="32" t="s">
        <v>291</v>
      </c>
      <c r="AA27" s="2" t="s">
        <v>6</v>
      </c>
      <c r="AB27" s="2" t="str">
        <f t="shared" ref="AB27:AB28" si="35">IF(NOT(ISBLANK(AC27)),"-","")</f>
        <v>-</v>
      </c>
      <c r="AC27" s="2" t="s">
        <v>289</v>
      </c>
      <c r="AD27" s="2" t="str">
        <f t="shared" ref="AD27:AD28" si="36">IF(NOT(ISBLANK(AE27)),"_","")</f>
        <v>_</v>
      </c>
      <c r="AE27" s="2" t="s">
        <v>285</v>
      </c>
      <c r="AF27" s="2" t="str">
        <f t="shared" ref="AF27:AF28" si="37">IF(NOT(ISBLANK(AG27)),"_","")</f>
        <v>_</v>
      </c>
      <c r="AG27" s="2" t="s">
        <v>318</v>
      </c>
    </row>
    <row r="28" spans="2:33" x14ac:dyDescent="0.25">
      <c r="B28" s="2" t="str">
        <f t="shared" si="34"/>
        <v>@color-label_place_country_other</v>
      </c>
      <c r="C28" s="168" t="s">
        <v>322</v>
      </c>
      <c r="F28" s="169" t="s">
        <v>323</v>
      </c>
      <c r="AA28" s="2" t="s">
        <v>6</v>
      </c>
      <c r="AB28" s="2" t="str">
        <f t="shared" si="35"/>
        <v>-</v>
      </c>
      <c r="AC28" s="2" t="s">
        <v>280</v>
      </c>
      <c r="AD28" s="2" t="str">
        <f t="shared" si="36"/>
        <v>_</v>
      </c>
      <c r="AE28" s="2" t="s">
        <v>285</v>
      </c>
      <c r="AF28" s="2" t="str">
        <f t="shared" si="37"/>
        <v>_</v>
      </c>
      <c r="AG28" s="2" t="s">
        <v>321</v>
      </c>
    </row>
    <row r="29" spans="2:33" x14ac:dyDescent="0.25">
      <c r="B29" s="2" t="str">
        <f t="shared" ref="B29:B30" si="38">_xlfn.CONCAT("@",AA29,AB29,AC29,AD29,AE29,AF29,AG29)</f>
        <v>@color-label_halo_place_country_other</v>
      </c>
      <c r="C29" s="31" t="s">
        <v>290</v>
      </c>
      <c r="F29" s="32" t="s">
        <v>291</v>
      </c>
      <c r="AA29" s="2" t="s">
        <v>6</v>
      </c>
      <c r="AB29" s="2" t="str">
        <f t="shared" ref="AB29:AB30" si="39">IF(NOT(ISBLANK(AC29)),"-","")</f>
        <v>-</v>
      </c>
      <c r="AC29" s="2" t="s">
        <v>289</v>
      </c>
      <c r="AD29" s="2" t="str">
        <f t="shared" ref="AD29:AD30" si="40">IF(NOT(ISBLANK(AE29)),"_","")</f>
        <v>_</v>
      </c>
      <c r="AE29" s="2" t="s">
        <v>285</v>
      </c>
      <c r="AF29" s="2" t="str">
        <f t="shared" ref="AF29:AF30" si="41">IF(NOT(ISBLANK(AG29)),"_","")</f>
        <v>_</v>
      </c>
      <c r="AG29" s="2" t="s">
        <v>321</v>
      </c>
    </row>
    <row r="30" spans="2:33" x14ac:dyDescent="0.25">
      <c r="B30" s="2" t="str">
        <f t="shared" si="38"/>
        <v>@color-label_place_country_minor</v>
      </c>
      <c r="C30" s="168" t="s">
        <v>322</v>
      </c>
      <c r="F30" s="169" t="s">
        <v>323</v>
      </c>
      <c r="AA30" s="2" t="s">
        <v>6</v>
      </c>
      <c r="AB30" s="2" t="str">
        <f t="shared" si="39"/>
        <v>-</v>
      </c>
      <c r="AC30" s="2" t="s">
        <v>280</v>
      </c>
      <c r="AD30" s="2" t="str">
        <f t="shared" si="40"/>
        <v>_</v>
      </c>
      <c r="AE30" s="2" t="s">
        <v>285</v>
      </c>
      <c r="AF30" s="2" t="str">
        <f t="shared" si="41"/>
        <v>_</v>
      </c>
      <c r="AG30" s="2" t="s">
        <v>324</v>
      </c>
    </row>
    <row r="31" spans="2:33" x14ac:dyDescent="0.25">
      <c r="B31" s="2" t="str">
        <f t="shared" ref="B31:B32" si="42">_xlfn.CONCAT("@",AA31,AB31,AC31,AD31,AE31,AF31,AG31)</f>
        <v>@color-label_halo_place_country_minor</v>
      </c>
      <c r="C31" s="31" t="s">
        <v>290</v>
      </c>
      <c r="F31" s="32" t="s">
        <v>291</v>
      </c>
      <c r="AA31" s="2" t="s">
        <v>6</v>
      </c>
      <c r="AB31" s="2" t="str">
        <f t="shared" ref="AB31:AB32" si="43">IF(NOT(ISBLANK(AC31)),"-","")</f>
        <v>-</v>
      </c>
      <c r="AC31" s="2" t="s">
        <v>289</v>
      </c>
      <c r="AD31" s="2" t="str">
        <f t="shared" ref="AD31:AD32" si="44">IF(NOT(ISBLANK(AE31)),"_","")</f>
        <v>_</v>
      </c>
      <c r="AE31" s="2" t="s">
        <v>285</v>
      </c>
      <c r="AF31" s="2" t="str">
        <f t="shared" ref="AF31:AF32" si="45">IF(NOT(ISBLANK(AG31)),"_","")</f>
        <v>_</v>
      </c>
      <c r="AG31" s="2" t="s">
        <v>324</v>
      </c>
    </row>
    <row r="32" spans="2:33" x14ac:dyDescent="0.25">
      <c r="B32" s="2" t="str">
        <f t="shared" si="42"/>
        <v>@color-label_place_country_medium</v>
      </c>
      <c r="C32" s="168" t="s">
        <v>322</v>
      </c>
      <c r="F32" s="169" t="s">
        <v>323</v>
      </c>
      <c r="AA32" s="2" t="s">
        <v>6</v>
      </c>
      <c r="AB32" s="2" t="str">
        <f t="shared" si="43"/>
        <v>-</v>
      </c>
      <c r="AC32" s="2" t="s">
        <v>280</v>
      </c>
      <c r="AD32" s="2" t="str">
        <f t="shared" si="44"/>
        <v>_</v>
      </c>
      <c r="AE32" s="2" t="s">
        <v>285</v>
      </c>
      <c r="AF32" s="2" t="str">
        <f t="shared" si="45"/>
        <v>_</v>
      </c>
      <c r="AG32" s="2" t="s">
        <v>325</v>
      </c>
    </row>
    <row r="33" spans="2:33" x14ac:dyDescent="0.25">
      <c r="B33" s="2" t="str">
        <f t="shared" ref="B33:B34" si="46">_xlfn.CONCAT("@",AA33,AB33,AC33,AD33,AE33,AF33,AG33)</f>
        <v>@color-label_halo_place_country_medium</v>
      </c>
      <c r="C33" s="31" t="s">
        <v>290</v>
      </c>
      <c r="F33" s="32" t="s">
        <v>291</v>
      </c>
      <c r="AA33" s="2" t="s">
        <v>6</v>
      </c>
      <c r="AB33" s="2" t="str">
        <f t="shared" ref="AB33:AB34" si="47">IF(NOT(ISBLANK(AC33)),"-","")</f>
        <v>-</v>
      </c>
      <c r="AC33" s="2" t="s">
        <v>289</v>
      </c>
      <c r="AD33" s="2" t="str">
        <f t="shared" ref="AD33:AD34" si="48">IF(NOT(ISBLANK(AE33)),"_","")</f>
        <v>_</v>
      </c>
      <c r="AE33" s="2" t="s">
        <v>285</v>
      </c>
      <c r="AF33" s="2" t="str">
        <f t="shared" ref="AF33:AF34" si="49">IF(NOT(ISBLANK(AG33)),"_","")</f>
        <v>_</v>
      </c>
      <c r="AG33" s="2" t="s">
        <v>325</v>
      </c>
    </row>
    <row r="34" spans="2:33" x14ac:dyDescent="0.25">
      <c r="B34" s="2" t="str">
        <f t="shared" si="46"/>
        <v>@color-label_place_country_major</v>
      </c>
      <c r="C34" s="168" t="s">
        <v>322</v>
      </c>
      <c r="F34" s="169" t="s">
        <v>323</v>
      </c>
      <c r="AA34" s="2" t="s">
        <v>6</v>
      </c>
      <c r="AB34" s="2" t="str">
        <f t="shared" si="47"/>
        <v>-</v>
      </c>
      <c r="AC34" s="2" t="s">
        <v>280</v>
      </c>
      <c r="AD34" s="2" t="str">
        <f t="shared" si="48"/>
        <v>_</v>
      </c>
      <c r="AE34" s="2" t="s">
        <v>285</v>
      </c>
      <c r="AF34" s="2" t="str">
        <f t="shared" si="49"/>
        <v>_</v>
      </c>
      <c r="AG34" s="2" t="s">
        <v>326</v>
      </c>
    </row>
    <row r="35" spans="2:33" x14ac:dyDescent="0.25">
      <c r="B35" s="2" t="str">
        <f t="shared" ref="B35" si="50">_xlfn.CONCAT("@",AA35,AB35,AC35,AD35,AE35,AF35,AG35)</f>
        <v>@color-label_halo_place_country_major</v>
      </c>
      <c r="C35" s="31" t="s">
        <v>290</v>
      </c>
      <c r="F35" s="32" t="s">
        <v>291</v>
      </c>
      <c r="AA35" s="2" t="s">
        <v>6</v>
      </c>
      <c r="AB35" s="2" t="str">
        <f t="shared" ref="AB35" si="51">IF(NOT(ISBLANK(AC35)),"-","")</f>
        <v>-</v>
      </c>
      <c r="AC35" s="2" t="s">
        <v>289</v>
      </c>
      <c r="AD35" s="2" t="str">
        <f t="shared" ref="AD35" si="52">IF(NOT(ISBLANK(AE35)),"_","")</f>
        <v>_</v>
      </c>
      <c r="AE35" s="2" t="s">
        <v>285</v>
      </c>
      <c r="AF35" s="2" t="str">
        <f t="shared" ref="AF35" si="53">IF(NOT(ISBLANK(AG35)),"_","")</f>
        <v>_</v>
      </c>
      <c r="AG35" s="2" t="s">
        <v>326</v>
      </c>
    </row>
    <row r="36" spans="2:33" x14ac:dyDescent="0.25">
      <c r="B36" s="2" t="str">
        <f t="shared" si="30"/>
        <v>@color-label_place_protected_area</v>
      </c>
      <c r="C36" s="164" t="s">
        <v>316</v>
      </c>
      <c r="F36" s="165" t="s">
        <v>317</v>
      </c>
      <c r="AA36" s="2" t="s">
        <v>6</v>
      </c>
      <c r="AB36" s="2" t="str">
        <f t="shared" si="31"/>
        <v>-</v>
      </c>
      <c r="AC36" s="2" t="s">
        <v>280</v>
      </c>
      <c r="AD36" s="2" t="str">
        <f t="shared" si="32"/>
        <v>_</v>
      </c>
      <c r="AE36" s="2" t="s">
        <v>285</v>
      </c>
      <c r="AF36" s="2" t="str">
        <f t="shared" si="33"/>
        <v>_</v>
      </c>
      <c r="AG36" s="2" t="s">
        <v>315</v>
      </c>
    </row>
    <row r="37" spans="2:33" x14ac:dyDescent="0.25">
      <c r="B37" s="2" t="str">
        <f t="shared" ref="B37:B38" si="54">_xlfn.CONCAT("@",AA37,AB37,AC37,AD37,AE37,AF37,AG37)</f>
        <v>@color-label_halo_place_protected_area</v>
      </c>
      <c r="C37" s="38" t="s">
        <v>227</v>
      </c>
      <c r="F37" s="37" t="s">
        <v>217</v>
      </c>
      <c r="AA37" s="2" t="s">
        <v>6</v>
      </c>
      <c r="AB37" s="2" t="str">
        <f t="shared" ref="AB37:AB38" si="55">IF(NOT(ISBLANK(AC37)),"-","")</f>
        <v>-</v>
      </c>
      <c r="AC37" s="2" t="s">
        <v>289</v>
      </c>
      <c r="AD37" s="2" t="str">
        <f t="shared" ref="AD37:AD38" si="56">IF(NOT(ISBLANK(AE37)),"_","")</f>
        <v>_</v>
      </c>
      <c r="AE37" s="2" t="s">
        <v>285</v>
      </c>
      <c r="AF37" s="2" t="str">
        <f t="shared" ref="AF37:AF38" si="57">IF(NOT(ISBLANK(AG37)),"_","")</f>
        <v>_</v>
      </c>
      <c r="AG37" s="2" t="s">
        <v>315</v>
      </c>
    </row>
    <row r="38" spans="2:33" x14ac:dyDescent="0.25">
      <c r="B38" s="2" t="str">
        <f t="shared" si="54"/>
        <v>@color-label_place_poi-level_123_and_additions_farzoom</v>
      </c>
      <c r="C38" s="164" t="s">
        <v>316</v>
      </c>
      <c r="F38" s="165" t="s">
        <v>317</v>
      </c>
      <c r="AA38" s="2" t="s">
        <v>6</v>
      </c>
      <c r="AB38" s="2" t="str">
        <f t="shared" si="55"/>
        <v>-</v>
      </c>
      <c r="AC38" s="2" t="s">
        <v>280</v>
      </c>
      <c r="AD38" s="2" t="str">
        <f t="shared" si="56"/>
        <v>_</v>
      </c>
      <c r="AE38" s="2" t="s">
        <v>285</v>
      </c>
      <c r="AF38" s="2" t="str">
        <f t="shared" si="57"/>
        <v>_</v>
      </c>
      <c r="AG38" s="2" t="s">
        <v>329</v>
      </c>
    </row>
    <row r="39" spans="2:33" x14ac:dyDescent="0.25">
      <c r="B39" s="2" t="str">
        <f t="shared" ref="B39" si="58">_xlfn.CONCAT("@",AA39,AB39,AC39,AD39,AE39,AF39,AG39)</f>
        <v>@color-label_place_poi-level_123_and_additions_default</v>
      </c>
      <c r="C39" s="35" t="s">
        <v>303</v>
      </c>
      <c r="F39" s="36" t="s">
        <v>304</v>
      </c>
      <c r="AA39" s="2" t="s">
        <v>6</v>
      </c>
      <c r="AB39" s="2" t="str">
        <f t="shared" ref="AB39" si="59">IF(NOT(ISBLANK(AC39)),"-","")</f>
        <v>-</v>
      </c>
      <c r="AC39" s="2" t="s">
        <v>280</v>
      </c>
      <c r="AD39" s="2" t="str">
        <f t="shared" ref="AD39" si="60">IF(NOT(ISBLANK(AE39)),"_","")</f>
        <v>_</v>
      </c>
      <c r="AE39" s="2" t="s">
        <v>285</v>
      </c>
      <c r="AF39" s="2" t="str">
        <f t="shared" ref="AF39" si="61">IF(NOT(ISBLANK(AG39)),"_","")</f>
        <v>_</v>
      </c>
      <c r="AG39" s="2" t="s">
        <v>330</v>
      </c>
    </row>
    <row r="40" spans="2:33" x14ac:dyDescent="0.25">
      <c r="B40" s="2" t="str">
        <f t="shared" ref="B40" si="62">_xlfn.CONCAT("@",AA40,AB40,AC40,AD40,AE40,AF40,AG40)</f>
        <v>@color-label_halo_place_poi-level_123_and_additions</v>
      </c>
      <c r="C40" s="38" t="s">
        <v>227</v>
      </c>
      <c r="F40" s="37" t="s">
        <v>217</v>
      </c>
      <c r="AA40" s="2" t="s">
        <v>6</v>
      </c>
      <c r="AB40" s="2" t="str">
        <f t="shared" ref="AB40" si="63">IF(NOT(ISBLANK(AC40)),"-","")</f>
        <v>-</v>
      </c>
      <c r="AC40" s="2" t="s">
        <v>289</v>
      </c>
      <c r="AD40" s="2" t="str">
        <f t="shared" ref="AD40" si="64">IF(NOT(ISBLANK(AE40)),"_","")</f>
        <v>_</v>
      </c>
      <c r="AE40" s="2" t="s">
        <v>285</v>
      </c>
      <c r="AF40" s="2" t="str">
        <f t="shared" ref="AF40" si="65">IF(NOT(ISBLANK(AG40)),"_","")</f>
        <v>_</v>
      </c>
      <c r="AG40" s="2" t="s">
        <v>331</v>
      </c>
    </row>
    <row r="41" spans="2:33" x14ac:dyDescent="0.25">
      <c r="B41" s="2" t="str">
        <f t="shared" si="30"/>
        <v>@color-label_highway_path</v>
      </c>
      <c r="C41" s="33" t="s">
        <v>299</v>
      </c>
      <c r="F41" s="34" t="s">
        <v>300</v>
      </c>
      <c r="AA41" s="2" t="s">
        <v>6</v>
      </c>
      <c r="AB41" s="2" t="str">
        <f t="shared" si="31"/>
        <v>-</v>
      </c>
      <c r="AC41" s="2" t="s">
        <v>280</v>
      </c>
      <c r="AD41" s="2" t="str">
        <f t="shared" si="32"/>
        <v>_</v>
      </c>
      <c r="AE41" s="2" t="s">
        <v>298</v>
      </c>
      <c r="AF41" s="2" t="str">
        <f t="shared" si="33"/>
        <v>_</v>
      </c>
      <c r="AG41" s="2" t="s">
        <v>74</v>
      </c>
    </row>
    <row r="42" spans="2:33" x14ac:dyDescent="0.25">
      <c r="B42" s="2" t="str">
        <f t="shared" ref="B42:B43" si="66">_xlfn.CONCAT("@",AA42,AB42,AC42,AD42,AE42,AF42,AG42)</f>
        <v>@color-label_halo_highway_path</v>
      </c>
      <c r="C42" s="38" t="s">
        <v>227</v>
      </c>
      <c r="F42" s="37" t="s">
        <v>217</v>
      </c>
      <c r="AA42" s="2" t="s">
        <v>6</v>
      </c>
      <c r="AB42" s="2" t="str">
        <f t="shared" ref="AB42:AB43" si="67">IF(NOT(ISBLANK(AC42)),"-","")</f>
        <v>-</v>
      </c>
      <c r="AC42" s="2" t="s">
        <v>289</v>
      </c>
      <c r="AD42" s="2" t="str">
        <f t="shared" ref="AD42:AD43" si="68">IF(NOT(ISBLANK(AE42)),"_","")</f>
        <v>_</v>
      </c>
      <c r="AE42" s="2" t="s">
        <v>298</v>
      </c>
      <c r="AF42" s="2" t="str">
        <f t="shared" ref="AF42:AF43" si="69">IF(NOT(ISBLANK(AG42)),"_","")</f>
        <v>_</v>
      </c>
      <c r="AG42" s="2" t="s">
        <v>74</v>
      </c>
    </row>
    <row r="43" spans="2:33" x14ac:dyDescent="0.25">
      <c r="B43" s="2" t="str">
        <f t="shared" si="66"/>
        <v>@color-label_highway_minor</v>
      </c>
      <c r="C43" s="33" t="s">
        <v>299</v>
      </c>
      <c r="F43" s="34" t="s">
        <v>300</v>
      </c>
      <c r="AA43" s="2" t="s">
        <v>6</v>
      </c>
      <c r="AB43" s="2" t="str">
        <f t="shared" si="67"/>
        <v>-</v>
      </c>
      <c r="AC43" s="2" t="s">
        <v>280</v>
      </c>
      <c r="AD43" s="2" t="str">
        <f t="shared" si="68"/>
        <v>_</v>
      </c>
      <c r="AE43" s="2" t="s">
        <v>298</v>
      </c>
      <c r="AF43" s="2" t="str">
        <f t="shared" si="69"/>
        <v>_</v>
      </c>
      <c r="AG43" s="2" t="s">
        <v>32</v>
      </c>
    </row>
    <row r="44" spans="2:33" x14ac:dyDescent="0.25">
      <c r="B44" s="2" t="str">
        <f t="shared" ref="B44:B45" si="70">_xlfn.CONCAT("@",AA44,AB44,AC44,AD44,AE44,AF44,AG44)</f>
        <v>@color-label_halo_highway_minor</v>
      </c>
      <c r="C44" s="38" t="s">
        <v>227</v>
      </c>
      <c r="F44" s="37" t="s">
        <v>217</v>
      </c>
      <c r="AA44" s="2" t="s">
        <v>6</v>
      </c>
      <c r="AB44" s="2" t="str">
        <f t="shared" ref="AB44:AB45" si="71">IF(NOT(ISBLANK(AC44)),"-","")</f>
        <v>-</v>
      </c>
      <c r="AC44" s="2" t="s">
        <v>289</v>
      </c>
      <c r="AD44" s="2" t="str">
        <f t="shared" ref="AD44:AD45" si="72">IF(NOT(ISBLANK(AE44)),"_","")</f>
        <v>_</v>
      </c>
      <c r="AE44" s="2" t="s">
        <v>298</v>
      </c>
      <c r="AF44" s="2" t="str">
        <f t="shared" ref="AF44:AF45" si="73">IF(NOT(ISBLANK(AG44)),"_","")</f>
        <v>_</v>
      </c>
      <c r="AG44" s="2" t="s">
        <v>32</v>
      </c>
    </row>
    <row r="45" spans="2:33" x14ac:dyDescent="0.25">
      <c r="B45" s="2" t="str">
        <f t="shared" si="70"/>
        <v>@color-label_highway_trunk_primary_secondary_tertiary</v>
      </c>
      <c r="C45" s="33" t="s">
        <v>299</v>
      </c>
      <c r="F45" s="34" t="s">
        <v>300</v>
      </c>
      <c r="AA45" s="2" t="s">
        <v>6</v>
      </c>
      <c r="AB45" s="2" t="str">
        <f t="shared" si="71"/>
        <v>-</v>
      </c>
      <c r="AC45" s="2" t="s">
        <v>280</v>
      </c>
      <c r="AD45" s="2" t="str">
        <f t="shared" si="72"/>
        <v>_</v>
      </c>
      <c r="AE45" s="2" t="s">
        <v>298</v>
      </c>
      <c r="AF45" s="2" t="str">
        <f t="shared" si="73"/>
        <v>_</v>
      </c>
      <c r="AG45" s="2" t="s">
        <v>301</v>
      </c>
    </row>
    <row r="46" spans="2:33" x14ac:dyDescent="0.25">
      <c r="B46" s="2" t="str">
        <f t="shared" ref="B46:B48" si="74">_xlfn.CONCAT("@",AA46,AB46,AC46,AD46,AE46,AF46,AG46)</f>
        <v>@color-label_halo_highway_trunk_primary_secondary_tertiary</v>
      </c>
      <c r="C46" s="38" t="s">
        <v>227</v>
      </c>
      <c r="F46" s="37" t="s">
        <v>217</v>
      </c>
      <c r="AA46" s="2" t="s">
        <v>6</v>
      </c>
      <c r="AB46" s="2" t="str">
        <f t="shared" ref="AB46:AB48" si="75">IF(NOT(ISBLANK(AC46)),"-","")</f>
        <v>-</v>
      </c>
      <c r="AC46" s="2" t="s">
        <v>289</v>
      </c>
      <c r="AD46" s="2" t="str">
        <f t="shared" ref="AD46:AD48" si="76">IF(NOT(ISBLANK(AE46)),"_","")</f>
        <v>_</v>
      </c>
      <c r="AE46" s="2" t="s">
        <v>298</v>
      </c>
      <c r="AF46" s="2" t="str">
        <f t="shared" ref="AF46:AF48" si="77">IF(NOT(ISBLANK(AG46)),"_","")</f>
        <v>_</v>
      </c>
      <c r="AG46" s="2" t="s">
        <v>301</v>
      </c>
    </row>
    <row r="47" spans="2:33" x14ac:dyDescent="0.25">
      <c r="B47" s="2" t="str">
        <f t="shared" si="74"/>
        <v>@color-label_peak</v>
      </c>
      <c r="C47" s="35" t="s">
        <v>303</v>
      </c>
      <c r="F47" s="36" t="s">
        <v>304</v>
      </c>
      <c r="AA47" s="2" t="s">
        <v>6</v>
      </c>
      <c r="AB47" s="2" t="str">
        <f t="shared" si="75"/>
        <v>-</v>
      </c>
      <c r="AC47" s="2" t="s">
        <v>280</v>
      </c>
      <c r="AD47" s="2" t="str">
        <f t="shared" si="76"/>
        <v>_</v>
      </c>
      <c r="AE47" s="2" t="s">
        <v>302</v>
      </c>
      <c r="AF47" s="2" t="str">
        <f t="shared" si="77"/>
        <v/>
      </c>
      <c r="AG47" s="2"/>
    </row>
    <row r="48" spans="2:33" x14ac:dyDescent="0.25">
      <c r="B48" s="2" t="str">
        <f t="shared" si="74"/>
        <v>@color-label_halo_peak</v>
      </c>
      <c r="C48" s="38" t="s">
        <v>227</v>
      </c>
      <c r="F48" s="37" t="s">
        <v>217</v>
      </c>
      <c r="AA48" s="2" t="s">
        <v>6</v>
      </c>
      <c r="AB48" s="2" t="str">
        <f t="shared" si="75"/>
        <v>-</v>
      </c>
      <c r="AC48" s="2" t="s">
        <v>289</v>
      </c>
      <c r="AD48" s="2" t="str">
        <f t="shared" si="76"/>
        <v>_</v>
      </c>
      <c r="AE48" s="2" t="s">
        <v>302</v>
      </c>
      <c r="AF48" s="2" t="str">
        <f t="shared" si="77"/>
        <v/>
      </c>
      <c r="AG48" s="2"/>
    </row>
    <row r="49" spans="1:33" x14ac:dyDescent="0.25">
      <c r="AA49" s="2"/>
      <c r="AB49" s="2"/>
      <c r="AC49" s="2"/>
      <c r="AD49" s="2"/>
      <c r="AE49" s="2"/>
      <c r="AF49" s="2"/>
      <c r="AG49" s="2"/>
    </row>
    <row r="50" spans="1:33" s="5" customFormat="1" x14ac:dyDescent="0.25">
      <c r="A50" s="27" t="s">
        <v>40</v>
      </c>
      <c r="B50" s="27"/>
      <c r="C50" s="27"/>
      <c r="D50" s="27"/>
      <c r="F50" s="27"/>
      <c r="G50" s="27"/>
      <c r="I50" s="27"/>
      <c r="J50" s="27"/>
      <c r="L50" s="27"/>
      <c r="M50" s="27"/>
      <c r="O50" s="27"/>
      <c r="P50" s="27"/>
      <c r="R50" s="27"/>
      <c r="S50" s="27"/>
      <c r="U50" s="27"/>
      <c r="V50" s="27"/>
      <c r="X50" s="27"/>
      <c r="Y50" s="27"/>
      <c r="AA50" s="27"/>
      <c r="AB50" s="27"/>
      <c r="AC50" s="27"/>
      <c r="AD50" s="27"/>
      <c r="AE50" s="27"/>
      <c r="AF50" s="27"/>
      <c r="AG50" s="27"/>
    </row>
    <row r="51" spans="1:33" x14ac:dyDescent="0.25">
      <c r="B51" s="2" t="str">
        <f>_xlfn.CONCAT("@",AA51,AB51,AC51,AD51,AE51,AF51,AG51)</f>
        <v>@color-mtb:scale_0-</v>
      </c>
      <c r="C51" s="40" t="s">
        <v>173</v>
      </c>
      <c r="D51" s="41" t="s">
        <v>181</v>
      </c>
      <c r="F51" s="40" t="s">
        <v>173</v>
      </c>
      <c r="G51" s="41" t="s">
        <v>181</v>
      </c>
      <c r="I51" s="42" t="str">
        <f t="shared" ref="I51:J58" si="78">C51</f>
        <v>"#0ac5a0"</v>
      </c>
      <c r="J51" s="43" t="str">
        <f t="shared" si="78"/>
        <v>"#00c7b0"</v>
      </c>
      <c r="U51" s="44"/>
      <c r="V51" s="44"/>
      <c r="X51" s="44"/>
      <c r="Y51" s="44"/>
      <c r="AA51" s="2" t="s">
        <v>6</v>
      </c>
      <c r="AB51" s="2" t="str">
        <f t="shared" ref="AB51:AB147" si="79">IF(NOT(ISBLANK(AC51)),"-","")</f>
        <v>-</v>
      </c>
      <c r="AC51" s="2" t="s">
        <v>7</v>
      </c>
      <c r="AD51" s="2" t="str">
        <f t="shared" ref="AD51:AD151" si="80">IF(NOT(ISBLANK(AE51)),"_","")</f>
        <v>_</v>
      </c>
      <c r="AE51" s="2" t="s">
        <v>9</v>
      </c>
      <c r="AF51" s="2" t="str">
        <f t="shared" ref="AF51:AF151" si="81">IF(NOT(ISBLANK(AG51)),"_","")</f>
        <v/>
      </c>
      <c r="AG51" s="2"/>
    </row>
    <row r="52" spans="1:33" x14ac:dyDescent="0.25">
      <c r="B52" s="2" t="str">
        <f t="shared" ref="B52:B65" si="82">_xlfn.CONCAT("@",AA52,AB52,AC52,AD52,AE52,AF52,AG52)</f>
        <v>@color-mtb:scale_0</v>
      </c>
      <c r="C52" s="45" t="s">
        <v>174</v>
      </c>
      <c r="D52" s="46" t="s">
        <v>182</v>
      </c>
      <c r="F52" s="45" t="s">
        <v>174</v>
      </c>
      <c r="G52" s="46" t="s">
        <v>182</v>
      </c>
      <c r="I52" s="47" t="str">
        <f t="shared" si="78"/>
        <v>"#75e009"</v>
      </c>
      <c r="J52" s="48" t="str">
        <f t="shared" si="78"/>
        <v>"#66cc00"</v>
      </c>
      <c r="U52" s="44"/>
      <c r="V52" s="44"/>
      <c r="X52" s="44"/>
      <c r="Y52" s="44"/>
      <c r="AA52" s="2" t="s">
        <v>6</v>
      </c>
      <c r="AB52" s="2" t="str">
        <f t="shared" si="79"/>
        <v>-</v>
      </c>
      <c r="AC52" s="2" t="s">
        <v>7</v>
      </c>
      <c r="AD52" s="2" t="str">
        <f t="shared" si="80"/>
        <v>_</v>
      </c>
      <c r="AE52" s="2">
        <v>0</v>
      </c>
      <c r="AF52" s="2" t="str">
        <f t="shared" si="81"/>
        <v/>
      </c>
    </row>
    <row r="53" spans="1:33" x14ac:dyDescent="0.25">
      <c r="B53" s="2" t="str">
        <f t="shared" si="82"/>
        <v>@color-mtb:scale_1</v>
      </c>
      <c r="C53" s="49" t="s">
        <v>175</v>
      </c>
      <c r="D53" s="50" t="s">
        <v>183</v>
      </c>
      <c r="F53" s="49" t="s">
        <v>175</v>
      </c>
      <c r="G53" s="50" t="s">
        <v>183</v>
      </c>
      <c r="I53" s="51" t="str">
        <f t="shared" si="78"/>
        <v>"#d7dc00"</v>
      </c>
      <c r="J53" s="52" t="str">
        <f t="shared" si="78"/>
        <v>"#c5c900"</v>
      </c>
      <c r="U53" s="44"/>
      <c r="V53" s="44"/>
      <c r="X53" s="44"/>
      <c r="Y53" s="44"/>
      <c r="AA53" s="2" t="s">
        <v>6</v>
      </c>
      <c r="AB53" s="2" t="str">
        <f t="shared" si="79"/>
        <v>-</v>
      </c>
      <c r="AC53" s="2" t="s">
        <v>7</v>
      </c>
      <c r="AD53" s="2" t="str">
        <f t="shared" si="80"/>
        <v>_</v>
      </c>
      <c r="AE53" s="2">
        <v>1</v>
      </c>
      <c r="AF53" s="2" t="str">
        <f t="shared" si="81"/>
        <v/>
      </c>
    </row>
    <row r="54" spans="1:33" x14ac:dyDescent="0.25">
      <c r="B54" s="2" t="str">
        <f t="shared" si="82"/>
        <v>@color-mtb:scale_2</v>
      </c>
      <c r="C54" s="53" t="s">
        <v>176</v>
      </c>
      <c r="D54" s="54" t="s">
        <v>184</v>
      </c>
      <c r="F54" s="53" t="s">
        <v>176</v>
      </c>
      <c r="G54" s="54" t="s">
        <v>184</v>
      </c>
      <c r="I54" s="55" t="str">
        <f t="shared" si="78"/>
        <v>"#feb13e"</v>
      </c>
      <c r="J54" s="56" t="str">
        <f t="shared" si="78"/>
        <v>"#f09000"</v>
      </c>
      <c r="U54" s="44"/>
      <c r="V54" s="44"/>
      <c r="X54" s="44"/>
      <c r="Y54" s="44"/>
      <c r="AA54" s="2" t="s">
        <v>6</v>
      </c>
      <c r="AB54" s="2" t="str">
        <f t="shared" si="79"/>
        <v>-</v>
      </c>
      <c r="AC54" s="2" t="s">
        <v>7</v>
      </c>
      <c r="AD54" s="2" t="str">
        <f t="shared" si="80"/>
        <v>_</v>
      </c>
      <c r="AE54" s="2">
        <v>2</v>
      </c>
      <c r="AF54" s="2" t="str">
        <f t="shared" si="81"/>
        <v/>
      </c>
    </row>
    <row r="55" spans="1:33" x14ac:dyDescent="0.25">
      <c r="B55" s="2" t="str">
        <f t="shared" si="82"/>
        <v>@color-mtb:scale_3</v>
      </c>
      <c r="C55" s="57" t="s">
        <v>177</v>
      </c>
      <c r="D55" s="57" t="s">
        <v>177</v>
      </c>
      <c r="F55" s="57" t="s">
        <v>177</v>
      </c>
      <c r="G55" s="57" t="s">
        <v>177</v>
      </c>
      <c r="I55" s="58" t="str">
        <f t="shared" si="78"/>
        <v>"#ff4f5e"</v>
      </c>
      <c r="J55" s="58" t="str">
        <f t="shared" si="78"/>
        <v>"#ff4f5e"</v>
      </c>
      <c r="U55" s="44"/>
      <c r="V55" s="44"/>
      <c r="X55" s="44"/>
      <c r="Y55" s="44"/>
      <c r="AA55" s="2" t="s">
        <v>6</v>
      </c>
      <c r="AB55" s="2" t="str">
        <f t="shared" si="79"/>
        <v>-</v>
      </c>
      <c r="AC55" s="2" t="s">
        <v>7</v>
      </c>
      <c r="AD55" s="2" t="str">
        <f t="shared" si="80"/>
        <v>_</v>
      </c>
      <c r="AE55" s="2">
        <v>3</v>
      </c>
      <c r="AF55" s="2" t="str">
        <f t="shared" si="81"/>
        <v/>
      </c>
    </row>
    <row r="56" spans="1:33" x14ac:dyDescent="0.25">
      <c r="B56" s="2" t="str">
        <f t="shared" si="82"/>
        <v>@color-mtb:scale_4</v>
      </c>
      <c r="C56" s="59" t="s">
        <v>178</v>
      </c>
      <c r="D56" s="60" t="s">
        <v>185</v>
      </c>
      <c r="F56" s="59" t="s">
        <v>178</v>
      </c>
      <c r="G56" s="60" t="s">
        <v>185</v>
      </c>
      <c r="I56" s="61" t="str">
        <f t="shared" si="78"/>
        <v>"#e50bdd"</v>
      </c>
      <c r="J56" s="62" t="str">
        <f t="shared" si="78"/>
        <v>"#d600ce"</v>
      </c>
      <c r="U56" s="44"/>
      <c r="V56" s="44"/>
      <c r="X56" s="44"/>
      <c r="Y56" s="44"/>
      <c r="AA56" s="2" t="s">
        <v>6</v>
      </c>
      <c r="AB56" s="2" t="str">
        <f t="shared" si="79"/>
        <v>-</v>
      </c>
      <c r="AC56" s="2" t="s">
        <v>7</v>
      </c>
      <c r="AD56" s="2" t="str">
        <f t="shared" si="80"/>
        <v>_</v>
      </c>
      <c r="AE56" s="2">
        <v>4</v>
      </c>
      <c r="AF56" s="2" t="str">
        <f t="shared" si="81"/>
        <v/>
      </c>
    </row>
    <row r="57" spans="1:33" x14ac:dyDescent="0.25">
      <c r="B57" s="2" t="str">
        <f t="shared" si="82"/>
        <v>@color-mtb:scale_5</v>
      </c>
      <c r="C57" s="63" t="s">
        <v>179</v>
      </c>
      <c r="D57" s="64" t="s">
        <v>186</v>
      </c>
      <c r="F57" s="63" t="s">
        <v>179</v>
      </c>
      <c r="G57" s="64" t="s">
        <v>186</v>
      </c>
      <c r="I57" s="65" t="str">
        <f t="shared" si="78"/>
        <v>"#9600c8"</v>
      </c>
      <c r="J57" s="66" t="str">
        <f t="shared" si="78"/>
        <v>"#7a3391"</v>
      </c>
      <c r="U57" s="44"/>
      <c r="V57" s="44"/>
      <c r="X57" s="44"/>
      <c r="Y57" s="44"/>
      <c r="AA57" s="2" t="s">
        <v>6</v>
      </c>
      <c r="AB57" s="2" t="str">
        <f t="shared" si="79"/>
        <v>-</v>
      </c>
      <c r="AC57" s="2" t="s">
        <v>7</v>
      </c>
      <c r="AD57" s="2" t="str">
        <f t="shared" si="80"/>
        <v>_</v>
      </c>
      <c r="AE57" s="2">
        <v>5</v>
      </c>
      <c r="AF57" s="2" t="str">
        <f t="shared" si="81"/>
        <v/>
      </c>
    </row>
    <row r="58" spans="1:33" x14ac:dyDescent="0.25">
      <c r="B58" s="2" t="str">
        <f t="shared" si="82"/>
        <v>@color-mtb:scale_6</v>
      </c>
      <c r="C58" s="67" t="s">
        <v>180</v>
      </c>
      <c r="D58" s="68" t="s">
        <v>187</v>
      </c>
      <c r="F58" s="67" t="s">
        <v>180</v>
      </c>
      <c r="G58" s="68" t="s">
        <v>187</v>
      </c>
      <c r="I58" s="69" t="str">
        <f t="shared" si="78"/>
        <v>"#8100ac"</v>
      </c>
      <c r="J58" s="70" t="str">
        <f t="shared" si="78"/>
        <v>"#593266"</v>
      </c>
      <c r="U58" s="44"/>
      <c r="V58" s="44"/>
      <c r="X58" s="44"/>
      <c r="Y58" s="44"/>
      <c r="AA58" s="2" t="s">
        <v>6</v>
      </c>
      <c r="AB58" s="2" t="str">
        <f t="shared" si="79"/>
        <v>-</v>
      </c>
      <c r="AC58" s="2" t="s">
        <v>7</v>
      </c>
      <c r="AD58" s="2" t="str">
        <f t="shared" si="80"/>
        <v>_</v>
      </c>
      <c r="AE58" s="2">
        <v>6</v>
      </c>
      <c r="AF58" s="2" t="str">
        <f t="shared" si="81"/>
        <v/>
      </c>
    </row>
    <row r="59" spans="1:33" x14ac:dyDescent="0.25">
      <c r="B59" s="2" t="str">
        <f t="shared" ref="B59" si="83">_xlfn.CONCAT("@",AA59,AB59,AC59,AD59,AE59,AF59,AG59)</f>
        <v>@color-mtb:scale_null</v>
      </c>
      <c r="C59" s="38" t="s">
        <v>227</v>
      </c>
      <c r="D59" s="38" t="s">
        <v>227</v>
      </c>
      <c r="F59" s="31" t="s">
        <v>290</v>
      </c>
      <c r="G59" s="31" t="s">
        <v>290</v>
      </c>
      <c r="I59" s="38" t="s">
        <v>227</v>
      </c>
      <c r="J59" s="38" t="s">
        <v>227</v>
      </c>
      <c r="L59" s="31" t="s">
        <v>290</v>
      </c>
      <c r="M59" s="31" t="s">
        <v>290</v>
      </c>
      <c r="U59" s="44"/>
      <c r="V59" s="44"/>
      <c r="X59" s="44"/>
      <c r="Y59" s="44"/>
      <c r="AA59" s="2" t="s">
        <v>6</v>
      </c>
      <c r="AB59" s="2" t="str">
        <f t="shared" ref="AB59" si="84">IF(NOT(ISBLANK(AC59)),"-","")</f>
        <v>-</v>
      </c>
      <c r="AC59" s="2" t="s">
        <v>7</v>
      </c>
      <c r="AD59" s="2" t="str">
        <f t="shared" ref="AD59" si="85">IF(NOT(ISBLANK(AE59)),"_","")</f>
        <v>_</v>
      </c>
      <c r="AE59" s="2" t="s">
        <v>314</v>
      </c>
      <c r="AF59" s="2" t="str">
        <f t="shared" ref="AF59" si="86">IF(NOT(ISBLANK(AG59)),"_","")</f>
        <v/>
      </c>
    </row>
    <row r="60" spans="1:33" x14ac:dyDescent="0.25">
      <c r="B60" s="2"/>
      <c r="AA60" s="2"/>
      <c r="AB60" s="2" t="str">
        <f t="shared" si="79"/>
        <v/>
      </c>
      <c r="AC60" s="2"/>
      <c r="AD60" s="2" t="str">
        <f t="shared" si="80"/>
        <v/>
      </c>
      <c r="AE60" s="2"/>
      <c r="AF60" s="28" t="str">
        <f t="shared" si="81"/>
        <v/>
      </c>
    </row>
    <row r="61" spans="1:33" x14ac:dyDescent="0.25">
      <c r="B61" s="2" t="str">
        <f t="shared" si="82"/>
        <v>@color-mtb:winter_1</v>
      </c>
      <c r="C61" s="44"/>
      <c r="D61" s="44"/>
      <c r="F61" s="44"/>
      <c r="G61" s="44"/>
      <c r="I61" s="44"/>
      <c r="J61" s="44"/>
      <c r="L61" s="44"/>
      <c r="M61" s="44"/>
      <c r="O61" s="44"/>
      <c r="P61" s="44"/>
      <c r="R61" s="44"/>
      <c r="S61" s="44"/>
      <c r="U61" s="45" t="s">
        <v>174</v>
      </c>
      <c r="V61" s="46" t="s">
        <v>182</v>
      </c>
      <c r="AA61" s="2" t="s">
        <v>6</v>
      </c>
      <c r="AB61" s="2" t="str">
        <f t="shared" ref="AB61" si="87">IF(NOT(ISBLANK(AC61)),"-","")</f>
        <v>-</v>
      </c>
      <c r="AC61" s="2" t="s">
        <v>230</v>
      </c>
      <c r="AD61" s="2" t="str">
        <f t="shared" ref="AD61" si="88">IF(NOT(ISBLANK(AE61)),"_","")</f>
        <v>_</v>
      </c>
      <c r="AE61" s="2">
        <v>1</v>
      </c>
      <c r="AF61" s="2" t="str">
        <f t="shared" ref="AF61" si="89">IF(NOT(ISBLANK(AG61)),"_","")</f>
        <v/>
      </c>
    </row>
    <row r="62" spans="1:33" x14ac:dyDescent="0.25">
      <c r="B62" s="2" t="str">
        <f t="shared" si="82"/>
        <v>@color-mtb:winter_2</v>
      </c>
      <c r="C62" s="44"/>
      <c r="D62" s="44"/>
      <c r="F62" s="44"/>
      <c r="G62" s="44"/>
      <c r="I62" s="44"/>
      <c r="J62" s="44"/>
      <c r="L62" s="44"/>
      <c r="M62" s="44"/>
      <c r="O62" s="44"/>
      <c r="P62" s="44"/>
      <c r="R62" s="44"/>
      <c r="S62" s="44"/>
      <c r="U62" s="49" t="s">
        <v>175</v>
      </c>
      <c r="V62" s="50" t="s">
        <v>183</v>
      </c>
      <c r="AA62" s="2" t="s">
        <v>6</v>
      </c>
      <c r="AB62" s="2" t="str">
        <f t="shared" ref="AB62:AB63" si="90">IF(NOT(ISBLANK(AC62)),"-","")</f>
        <v>-</v>
      </c>
      <c r="AC62" s="2" t="s">
        <v>230</v>
      </c>
      <c r="AD62" s="2" t="str">
        <f t="shared" ref="AD62:AD65" si="91">IF(NOT(ISBLANK(AE62)),"_","")</f>
        <v>_</v>
      </c>
      <c r="AE62" s="2">
        <v>2</v>
      </c>
      <c r="AF62" s="2" t="str">
        <f t="shared" ref="AF62:AF65" si="92">IF(NOT(ISBLANK(AG62)),"_","")</f>
        <v/>
      </c>
    </row>
    <row r="63" spans="1:33" x14ac:dyDescent="0.25">
      <c r="B63" s="2" t="str">
        <f t="shared" si="82"/>
        <v>@color-mtb:winter_3</v>
      </c>
      <c r="C63" s="44"/>
      <c r="D63" s="44"/>
      <c r="F63" s="44"/>
      <c r="G63" s="44"/>
      <c r="I63" s="44"/>
      <c r="J63" s="44"/>
      <c r="L63" s="44"/>
      <c r="M63" s="44"/>
      <c r="O63" s="44"/>
      <c r="P63" s="44"/>
      <c r="R63" s="44"/>
      <c r="S63" s="44"/>
      <c r="U63" s="53" t="s">
        <v>176</v>
      </c>
      <c r="V63" s="54" t="s">
        <v>184</v>
      </c>
      <c r="AA63" s="2" t="s">
        <v>6</v>
      </c>
      <c r="AB63" s="2" t="str">
        <f t="shared" si="90"/>
        <v>-</v>
      </c>
      <c r="AC63" s="2" t="s">
        <v>230</v>
      </c>
      <c r="AD63" s="2" t="str">
        <f t="shared" si="91"/>
        <v>_</v>
      </c>
      <c r="AE63" s="2">
        <v>3</v>
      </c>
      <c r="AF63" s="2" t="str">
        <f t="shared" si="92"/>
        <v/>
      </c>
    </row>
    <row r="64" spans="1:33" x14ac:dyDescent="0.25">
      <c r="B64" s="2"/>
      <c r="AA64" s="2"/>
      <c r="AB64" s="2"/>
      <c r="AC64" s="2"/>
      <c r="AD64" s="2"/>
      <c r="AE64" s="2"/>
    </row>
    <row r="65" spans="2:33" x14ac:dyDescent="0.25">
      <c r="B65" s="2" t="str">
        <f t="shared" si="82"/>
        <v>@case_width-path_narrow_z11</v>
      </c>
      <c r="C65" s="28" t="s">
        <v>305</v>
      </c>
      <c r="D65" s="28" t="s">
        <v>306</v>
      </c>
      <c r="F65" s="28" t="s">
        <v>305</v>
      </c>
      <c r="G65" s="28" t="s">
        <v>306</v>
      </c>
      <c r="I65" s="28" t="s">
        <v>98</v>
      </c>
      <c r="L65" s="28" t="s">
        <v>98</v>
      </c>
      <c r="AA65" s="2" t="s">
        <v>81</v>
      </c>
      <c r="AB65" s="2" t="str">
        <f t="shared" ref="AB65" si="93">IF(NOT(ISBLANK(AC65)),"-","")</f>
        <v>-</v>
      </c>
      <c r="AC65" s="2" t="s">
        <v>74</v>
      </c>
      <c r="AD65" s="2" t="str">
        <f t="shared" si="91"/>
        <v>_</v>
      </c>
      <c r="AE65" s="2" t="s">
        <v>75</v>
      </c>
      <c r="AF65" s="2" t="str">
        <f t="shared" si="92"/>
        <v>_</v>
      </c>
      <c r="AG65" s="28" t="s">
        <v>73</v>
      </c>
    </row>
    <row r="66" spans="2:33" x14ac:dyDescent="0.25">
      <c r="B66" s="2" t="str">
        <f t="shared" ref="B66" si="94">_xlfn.CONCAT("@",AA66,AB66,AC66,AD66,AE66,AF66,AG66)</f>
        <v>@case_width-path_medium_z11</v>
      </c>
      <c r="C66" s="28" t="s">
        <v>87</v>
      </c>
      <c r="D66" s="28" t="s">
        <v>310</v>
      </c>
      <c r="F66" s="28" t="s">
        <v>87</v>
      </c>
      <c r="G66" s="28" t="s">
        <v>310</v>
      </c>
      <c r="I66" s="28" t="s">
        <v>99</v>
      </c>
      <c r="L66" s="28" t="s">
        <v>99</v>
      </c>
      <c r="AA66" s="2" t="s">
        <v>81</v>
      </c>
      <c r="AB66" s="2" t="str">
        <f t="shared" ref="AB66" si="95">IF(NOT(ISBLANK(AC66)),"-","")</f>
        <v>-</v>
      </c>
      <c r="AC66" s="2" t="s">
        <v>74</v>
      </c>
      <c r="AD66" s="2" t="str">
        <f t="shared" ref="AD66" si="96">IF(NOT(ISBLANK(AE66)),"_","")</f>
        <v>_</v>
      </c>
      <c r="AE66" s="2" t="s">
        <v>82</v>
      </c>
      <c r="AF66" s="2" t="str">
        <f t="shared" ref="AF66" si="97">IF(NOT(ISBLANK(AG66)),"_","")</f>
        <v>_</v>
      </c>
      <c r="AG66" s="28" t="s">
        <v>73</v>
      </c>
    </row>
    <row r="67" spans="2:33" x14ac:dyDescent="0.25">
      <c r="B67" s="2" t="str">
        <f t="shared" ref="B67:B70" si="98">_xlfn.CONCAT("@",AA67,AB67,AC67,AD67,AE67,AF67,AG67)</f>
        <v>@case_width-path_wide_z11</v>
      </c>
      <c r="C67" s="28" t="s">
        <v>306</v>
      </c>
      <c r="D67" s="28" t="s">
        <v>308</v>
      </c>
      <c r="F67" s="28" t="s">
        <v>306</v>
      </c>
      <c r="G67" s="28" t="s">
        <v>308</v>
      </c>
      <c r="I67" s="28" t="s">
        <v>87</v>
      </c>
      <c r="L67" s="28" t="s">
        <v>87</v>
      </c>
      <c r="AA67" s="2" t="s">
        <v>81</v>
      </c>
      <c r="AB67" s="2" t="str">
        <f t="shared" ref="AB67:AB70" si="99">IF(NOT(ISBLANK(AC67)),"-","")</f>
        <v>-</v>
      </c>
      <c r="AC67" s="2" t="s">
        <v>74</v>
      </c>
      <c r="AD67" s="2" t="str">
        <f t="shared" ref="AD67:AD70" si="100">IF(NOT(ISBLANK(AE67)),"_","")</f>
        <v>_</v>
      </c>
      <c r="AE67" s="2" t="s">
        <v>80</v>
      </c>
      <c r="AF67" s="2" t="str">
        <f t="shared" ref="AF67:AF70" si="101">IF(NOT(ISBLANK(AG67)),"_","")</f>
        <v>_</v>
      </c>
      <c r="AG67" s="28" t="s">
        <v>73</v>
      </c>
    </row>
    <row r="68" spans="2:33" x14ac:dyDescent="0.25">
      <c r="B68" s="2" t="str">
        <f t="shared" ref="B68" si="102">_xlfn.CONCAT("@",AA68,AB68,AC68,AD68,AE68,AF68,AG68)</f>
        <v>@case_width-path_widest_z11</v>
      </c>
      <c r="C68" s="28" t="s">
        <v>306</v>
      </c>
      <c r="D68" s="28" t="s">
        <v>308</v>
      </c>
      <c r="F68" s="28" t="s">
        <v>306</v>
      </c>
      <c r="G68" s="28" t="s">
        <v>308</v>
      </c>
      <c r="I68" s="28" t="s">
        <v>87</v>
      </c>
      <c r="L68" s="28" t="s">
        <v>87</v>
      </c>
      <c r="AA68" s="2" t="s">
        <v>81</v>
      </c>
      <c r="AB68" s="2" t="str">
        <f t="shared" ref="AB68" si="103">IF(NOT(ISBLANK(AC68)),"-","")</f>
        <v>-</v>
      </c>
      <c r="AC68" s="2" t="s">
        <v>74</v>
      </c>
      <c r="AD68" s="2" t="str">
        <f t="shared" ref="AD68" si="104">IF(NOT(ISBLANK(AE68)),"_","")</f>
        <v>_</v>
      </c>
      <c r="AE68" s="2" t="s">
        <v>307</v>
      </c>
      <c r="AF68" s="2" t="str">
        <f t="shared" ref="AF68" si="105">IF(NOT(ISBLANK(AG68)),"_","")</f>
        <v>_</v>
      </c>
      <c r="AG68" s="28" t="s">
        <v>73</v>
      </c>
    </row>
    <row r="69" spans="2:33" x14ac:dyDescent="0.25">
      <c r="B69" s="2" t="str">
        <f t="shared" si="98"/>
        <v>@case_width-path_narrow_z14</v>
      </c>
      <c r="C69" s="28" t="s">
        <v>84</v>
      </c>
      <c r="D69" s="28" t="s">
        <v>93</v>
      </c>
      <c r="F69" s="28" t="s">
        <v>84</v>
      </c>
      <c r="G69" s="28" t="s">
        <v>93</v>
      </c>
      <c r="I69" s="28" t="s">
        <v>305</v>
      </c>
      <c r="L69" s="28" t="s">
        <v>305</v>
      </c>
      <c r="AA69" s="2" t="s">
        <v>81</v>
      </c>
      <c r="AB69" s="2" t="str">
        <f t="shared" si="99"/>
        <v>-</v>
      </c>
      <c r="AC69" s="2" t="s">
        <v>74</v>
      </c>
      <c r="AD69" s="2" t="str">
        <f t="shared" si="100"/>
        <v>_</v>
      </c>
      <c r="AE69" s="2" t="s">
        <v>75</v>
      </c>
      <c r="AF69" s="2" t="str">
        <f t="shared" si="101"/>
        <v>_</v>
      </c>
      <c r="AG69" s="28" t="s">
        <v>77</v>
      </c>
    </row>
    <row r="70" spans="2:33" x14ac:dyDescent="0.25">
      <c r="B70" s="2" t="str">
        <f t="shared" si="98"/>
        <v>@case_width-path_medium_z14</v>
      </c>
      <c r="C70" s="28" t="s">
        <v>306</v>
      </c>
      <c r="D70" s="28" t="s">
        <v>308</v>
      </c>
      <c r="F70" s="28" t="s">
        <v>306</v>
      </c>
      <c r="G70" s="28" t="s">
        <v>308</v>
      </c>
      <c r="I70" s="28" t="s">
        <v>100</v>
      </c>
      <c r="L70" s="28" t="s">
        <v>100</v>
      </c>
      <c r="AA70" s="2" t="s">
        <v>81</v>
      </c>
      <c r="AB70" s="2" t="str">
        <f t="shared" si="99"/>
        <v>-</v>
      </c>
      <c r="AC70" s="2" t="s">
        <v>74</v>
      </c>
      <c r="AD70" s="2" t="str">
        <f t="shared" si="100"/>
        <v>_</v>
      </c>
      <c r="AE70" s="2" t="s">
        <v>82</v>
      </c>
      <c r="AF70" s="2" t="str">
        <f t="shared" si="101"/>
        <v>_</v>
      </c>
      <c r="AG70" s="28" t="s">
        <v>77</v>
      </c>
    </row>
    <row r="71" spans="2:33" x14ac:dyDescent="0.25">
      <c r="B71" s="2" t="str">
        <f t="shared" ref="B71:B74" si="106">_xlfn.CONCAT("@",AA71,AB71,AC71,AD71,AE71,AF71,AG71)</f>
        <v>@case_width-path_wide_z14</v>
      </c>
      <c r="C71" s="28" t="s">
        <v>310</v>
      </c>
      <c r="D71" s="28" t="s">
        <v>309</v>
      </c>
      <c r="F71" s="28" t="s">
        <v>310</v>
      </c>
      <c r="G71" s="28" t="s">
        <v>309</v>
      </c>
      <c r="I71" s="28" t="s">
        <v>101</v>
      </c>
      <c r="L71" s="28" t="s">
        <v>101</v>
      </c>
      <c r="AA71" s="2" t="s">
        <v>81</v>
      </c>
      <c r="AB71" s="2" t="str">
        <f t="shared" ref="AB71:AB74" si="107">IF(NOT(ISBLANK(AC71)),"-","")</f>
        <v>-</v>
      </c>
      <c r="AC71" s="2" t="s">
        <v>74</v>
      </c>
      <c r="AD71" s="2" t="str">
        <f t="shared" ref="AD71:AD74" si="108">IF(NOT(ISBLANK(AE71)),"_","")</f>
        <v>_</v>
      </c>
      <c r="AE71" s="2" t="s">
        <v>80</v>
      </c>
      <c r="AF71" s="2" t="str">
        <f t="shared" ref="AF71:AF74" si="109">IF(NOT(ISBLANK(AG71)),"_","")</f>
        <v>_</v>
      </c>
      <c r="AG71" s="28" t="s">
        <v>77</v>
      </c>
    </row>
    <row r="72" spans="2:33" x14ac:dyDescent="0.25">
      <c r="B72" s="2" t="str">
        <f t="shared" ref="B72" si="110">_xlfn.CONCAT("@",AA72,AB72,AC72,AD72,AE72,AF72,AG72)</f>
        <v>@case_width-path_widest_z14</v>
      </c>
      <c r="C72" s="28" t="s">
        <v>310</v>
      </c>
      <c r="D72" s="28" t="s">
        <v>309</v>
      </c>
      <c r="F72" s="28" t="s">
        <v>310</v>
      </c>
      <c r="G72" s="28" t="s">
        <v>309</v>
      </c>
      <c r="I72" s="28" t="s">
        <v>101</v>
      </c>
      <c r="L72" s="28" t="s">
        <v>101</v>
      </c>
      <c r="AA72" s="2" t="s">
        <v>81</v>
      </c>
      <c r="AB72" s="2" t="str">
        <f t="shared" ref="AB72" si="111">IF(NOT(ISBLANK(AC72)),"-","")</f>
        <v>-</v>
      </c>
      <c r="AC72" s="2" t="s">
        <v>74</v>
      </c>
      <c r="AD72" s="2" t="str">
        <f t="shared" ref="AD72" si="112">IF(NOT(ISBLANK(AE72)),"_","")</f>
        <v>_</v>
      </c>
      <c r="AE72" s="2" t="s">
        <v>307</v>
      </c>
      <c r="AF72" s="2" t="str">
        <f t="shared" ref="AF72" si="113">IF(NOT(ISBLANK(AG72)),"_","")</f>
        <v>_</v>
      </c>
      <c r="AG72" s="28" t="s">
        <v>77</v>
      </c>
    </row>
    <row r="73" spans="2:33" x14ac:dyDescent="0.25">
      <c r="B73" s="2" t="str">
        <f t="shared" si="106"/>
        <v>@case_width-path_narrow_z16</v>
      </c>
      <c r="C73" s="28" t="s">
        <v>310</v>
      </c>
      <c r="D73" s="28" t="s">
        <v>310</v>
      </c>
      <c r="F73" s="28" t="s">
        <v>310</v>
      </c>
      <c r="G73" s="28" t="s">
        <v>310</v>
      </c>
      <c r="I73" s="28" t="s">
        <v>305</v>
      </c>
      <c r="L73" s="28" t="s">
        <v>305</v>
      </c>
      <c r="AA73" s="2" t="s">
        <v>81</v>
      </c>
      <c r="AB73" s="2" t="str">
        <f t="shared" si="107"/>
        <v>-</v>
      </c>
      <c r="AC73" s="2" t="s">
        <v>74</v>
      </c>
      <c r="AD73" s="2" t="str">
        <f t="shared" si="108"/>
        <v>_</v>
      </c>
      <c r="AE73" s="2" t="s">
        <v>75</v>
      </c>
      <c r="AF73" s="2" t="str">
        <f t="shared" si="109"/>
        <v>_</v>
      </c>
      <c r="AG73" s="28" t="s">
        <v>78</v>
      </c>
    </row>
    <row r="74" spans="2:33" x14ac:dyDescent="0.25">
      <c r="B74" s="2" t="str">
        <f t="shared" si="106"/>
        <v>@case_width-path_medium_z16</v>
      </c>
      <c r="C74" s="28" t="s">
        <v>309</v>
      </c>
      <c r="D74" s="28" t="s">
        <v>309</v>
      </c>
      <c r="F74" s="28" t="s">
        <v>309</v>
      </c>
      <c r="G74" s="28" t="s">
        <v>309</v>
      </c>
      <c r="I74" s="28" t="s">
        <v>101</v>
      </c>
      <c r="L74" s="28" t="s">
        <v>101</v>
      </c>
      <c r="AA74" s="2" t="s">
        <v>81</v>
      </c>
      <c r="AB74" s="2" t="str">
        <f t="shared" si="107"/>
        <v>-</v>
      </c>
      <c r="AC74" s="2" t="s">
        <v>74</v>
      </c>
      <c r="AD74" s="2" t="str">
        <f t="shared" si="108"/>
        <v>_</v>
      </c>
      <c r="AE74" s="2" t="s">
        <v>82</v>
      </c>
      <c r="AF74" s="2" t="str">
        <f t="shared" si="109"/>
        <v>_</v>
      </c>
      <c r="AG74" s="28" t="s">
        <v>78</v>
      </c>
    </row>
    <row r="75" spans="2:33" x14ac:dyDescent="0.25">
      <c r="B75" s="2" t="str">
        <f t="shared" ref="B75:B78" si="114">_xlfn.CONCAT("@",AA75,AB75,AC75,AD75,AE75,AF75,AG75)</f>
        <v>@case_width-path_wide_z16</v>
      </c>
      <c r="C75" s="28" t="s">
        <v>311</v>
      </c>
      <c r="D75" s="28" t="s">
        <v>311</v>
      </c>
      <c r="F75" s="28" t="s">
        <v>311</v>
      </c>
      <c r="G75" s="28" t="s">
        <v>311</v>
      </c>
      <c r="I75" s="28" t="s">
        <v>102</v>
      </c>
      <c r="L75" s="28" t="s">
        <v>102</v>
      </c>
      <c r="AA75" s="2" t="s">
        <v>81</v>
      </c>
      <c r="AB75" s="2" t="str">
        <f t="shared" ref="AB75:AB78" si="115">IF(NOT(ISBLANK(AC75)),"-","")</f>
        <v>-</v>
      </c>
      <c r="AC75" s="2" t="s">
        <v>74</v>
      </c>
      <c r="AD75" s="2" t="str">
        <f t="shared" ref="AD75:AD78" si="116">IF(NOT(ISBLANK(AE75)),"_","")</f>
        <v>_</v>
      </c>
      <c r="AE75" s="2" t="s">
        <v>80</v>
      </c>
      <c r="AF75" s="2" t="str">
        <f t="shared" ref="AF75:AF78" si="117">IF(NOT(ISBLANK(AG75)),"_","")</f>
        <v>_</v>
      </c>
      <c r="AG75" s="28" t="s">
        <v>78</v>
      </c>
    </row>
    <row r="76" spans="2:33" x14ac:dyDescent="0.25">
      <c r="B76" s="2" t="str">
        <f t="shared" ref="B76" si="118">_xlfn.CONCAT("@",AA76,AB76,AC76,AD76,AE76,AF76,AG76)</f>
        <v>@case_width-path_widest_z16</v>
      </c>
      <c r="C76" s="28" t="s">
        <v>311</v>
      </c>
      <c r="D76" s="28" t="s">
        <v>311</v>
      </c>
      <c r="F76" s="28" t="s">
        <v>311</v>
      </c>
      <c r="G76" s="28" t="s">
        <v>311</v>
      </c>
      <c r="I76" s="28" t="s">
        <v>102</v>
      </c>
      <c r="L76" s="28" t="s">
        <v>102</v>
      </c>
      <c r="AA76" s="2" t="s">
        <v>81</v>
      </c>
      <c r="AB76" s="2" t="str">
        <f t="shared" ref="AB76" si="119">IF(NOT(ISBLANK(AC76)),"-","")</f>
        <v>-</v>
      </c>
      <c r="AC76" s="2" t="s">
        <v>74</v>
      </c>
      <c r="AD76" s="2" t="str">
        <f t="shared" ref="AD76" si="120">IF(NOT(ISBLANK(AE76)),"_","")</f>
        <v>_</v>
      </c>
      <c r="AE76" s="2" t="s">
        <v>307</v>
      </c>
      <c r="AF76" s="2" t="str">
        <f t="shared" ref="AF76" si="121">IF(NOT(ISBLANK(AG76)),"_","")</f>
        <v>_</v>
      </c>
      <c r="AG76" s="28" t="s">
        <v>78</v>
      </c>
    </row>
    <row r="77" spans="2:33" x14ac:dyDescent="0.25">
      <c r="B77" s="2" t="str">
        <f t="shared" si="114"/>
        <v>@case_width-path_narrow_z18</v>
      </c>
      <c r="C77" s="28" t="s">
        <v>312</v>
      </c>
      <c r="D77" s="28" t="s">
        <v>94</v>
      </c>
      <c r="F77" s="28" t="s">
        <v>312</v>
      </c>
      <c r="G77" s="28" t="s">
        <v>94</v>
      </c>
      <c r="I77" s="28" t="s">
        <v>87</v>
      </c>
      <c r="L77" s="28" t="s">
        <v>87</v>
      </c>
      <c r="AA77" s="2" t="s">
        <v>81</v>
      </c>
      <c r="AB77" s="2" t="str">
        <f t="shared" si="115"/>
        <v>-</v>
      </c>
      <c r="AC77" s="2" t="s">
        <v>74</v>
      </c>
      <c r="AD77" s="2" t="str">
        <f t="shared" si="116"/>
        <v>_</v>
      </c>
      <c r="AE77" s="2" t="s">
        <v>75</v>
      </c>
      <c r="AF77" s="2" t="str">
        <f t="shared" si="117"/>
        <v>_</v>
      </c>
      <c r="AG77" s="28" t="s">
        <v>79</v>
      </c>
    </row>
    <row r="78" spans="2:33" x14ac:dyDescent="0.25">
      <c r="B78" s="2" t="str">
        <f t="shared" si="114"/>
        <v>@case_width-path_medium_z18</v>
      </c>
      <c r="C78" s="28" t="s">
        <v>311</v>
      </c>
      <c r="D78" s="28" t="s">
        <v>96</v>
      </c>
      <c r="F78" s="28" t="s">
        <v>311</v>
      </c>
      <c r="G78" s="28" t="s">
        <v>96</v>
      </c>
      <c r="I78" s="28" t="s">
        <v>102</v>
      </c>
      <c r="L78" s="28" t="s">
        <v>102</v>
      </c>
      <c r="AA78" s="2" t="s">
        <v>81</v>
      </c>
      <c r="AB78" s="2" t="str">
        <f t="shared" si="115"/>
        <v>-</v>
      </c>
      <c r="AC78" s="2" t="s">
        <v>74</v>
      </c>
      <c r="AD78" s="2" t="str">
        <f t="shared" si="116"/>
        <v>_</v>
      </c>
      <c r="AE78" s="2" t="s">
        <v>82</v>
      </c>
      <c r="AF78" s="2" t="str">
        <f t="shared" si="117"/>
        <v>_</v>
      </c>
      <c r="AG78" s="28" t="s">
        <v>79</v>
      </c>
    </row>
    <row r="79" spans="2:33" x14ac:dyDescent="0.25">
      <c r="B79" s="2" t="str">
        <f t="shared" ref="B79" si="122">_xlfn.CONCAT("@",AA79,AB79,AC79,AD79,AE79,AF79,AG79)</f>
        <v>@case_width-path_wide_z18</v>
      </c>
      <c r="C79" s="28" t="s">
        <v>313</v>
      </c>
      <c r="D79" s="28" t="s">
        <v>97</v>
      </c>
      <c r="F79" s="28" t="s">
        <v>313</v>
      </c>
      <c r="G79" s="28" t="s">
        <v>97</v>
      </c>
      <c r="I79" s="28" t="s">
        <v>103</v>
      </c>
      <c r="L79" s="28" t="s">
        <v>103</v>
      </c>
      <c r="AA79" s="2" t="s">
        <v>81</v>
      </c>
      <c r="AB79" s="2" t="str">
        <f t="shared" ref="AB79" si="123">IF(NOT(ISBLANK(AC79)),"-","")</f>
        <v>-</v>
      </c>
      <c r="AC79" s="2" t="s">
        <v>74</v>
      </c>
      <c r="AD79" s="2" t="str">
        <f t="shared" ref="AD79" si="124">IF(NOT(ISBLANK(AE79)),"_","")</f>
        <v>_</v>
      </c>
      <c r="AE79" s="2" t="s">
        <v>80</v>
      </c>
      <c r="AF79" s="2" t="str">
        <f t="shared" ref="AF79" si="125">IF(NOT(ISBLANK(AG79)),"_","")</f>
        <v>_</v>
      </c>
      <c r="AG79" s="28" t="s">
        <v>79</v>
      </c>
    </row>
    <row r="80" spans="2:33" x14ac:dyDescent="0.25">
      <c r="B80" s="2" t="str">
        <f t="shared" ref="B80" si="126">_xlfn.CONCAT("@",AA80,AB80,AC80,AD80,AE80,AF80,AG80)</f>
        <v>@case_width-path_widest_z18</v>
      </c>
      <c r="C80" s="28" t="s">
        <v>313</v>
      </c>
      <c r="D80" s="28" t="s">
        <v>97</v>
      </c>
      <c r="F80" s="28" t="s">
        <v>313</v>
      </c>
      <c r="G80" s="28" t="s">
        <v>97</v>
      </c>
      <c r="I80" s="28" t="s">
        <v>103</v>
      </c>
      <c r="L80" s="28" t="s">
        <v>103</v>
      </c>
      <c r="AA80" s="2" t="s">
        <v>81</v>
      </c>
      <c r="AB80" s="2" t="str">
        <f t="shared" ref="AB80" si="127">IF(NOT(ISBLANK(AC80)),"-","")</f>
        <v>-</v>
      </c>
      <c r="AC80" s="2" t="s">
        <v>74</v>
      </c>
      <c r="AD80" s="2" t="str">
        <f t="shared" ref="AD80" si="128">IF(NOT(ISBLANK(AE80)),"_","")</f>
        <v>_</v>
      </c>
      <c r="AE80" s="2" t="s">
        <v>307</v>
      </c>
      <c r="AF80" s="2" t="str">
        <f t="shared" ref="AF80" si="129">IF(NOT(ISBLANK(AG80)),"_","")</f>
        <v>_</v>
      </c>
      <c r="AG80" s="28" t="s">
        <v>79</v>
      </c>
    </row>
    <row r="81" spans="1:37" x14ac:dyDescent="0.25">
      <c r="B81" s="2"/>
      <c r="AA81" s="2"/>
      <c r="AB81" s="2"/>
      <c r="AC81" s="2"/>
      <c r="AD81" s="2"/>
      <c r="AE81" s="2"/>
    </row>
    <row r="82" spans="1:37" x14ac:dyDescent="0.25">
      <c r="B82" s="2"/>
      <c r="AA82" s="2"/>
      <c r="AB82" s="2"/>
      <c r="AC82" s="2"/>
      <c r="AD82" s="2"/>
      <c r="AE82" s="2"/>
    </row>
    <row r="83" spans="1:37" x14ac:dyDescent="0.25">
      <c r="B83" s="2"/>
      <c r="AA83" s="2"/>
      <c r="AB83" s="2"/>
      <c r="AC83" s="2"/>
      <c r="AD83" s="2"/>
      <c r="AE83" s="2"/>
    </row>
    <row r="84" spans="1:37" s="2" customFormat="1" x14ac:dyDescent="0.25">
      <c r="A84" s="3" t="s">
        <v>41</v>
      </c>
      <c r="B84" s="3"/>
      <c r="C84" s="27"/>
      <c r="D84" s="6"/>
      <c r="E84" s="7"/>
      <c r="F84" s="6"/>
      <c r="G84" s="6"/>
      <c r="H84" s="7"/>
      <c r="I84" s="6"/>
      <c r="J84" s="6"/>
      <c r="K84" s="7"/>
      <c r="L84" s="6"/>
      <c r="M84" s="6"/>
      <c r="N84" s="7"/>
      <c r="O84" s="6"/>
      <c r="P84" s="6"/>
      <c r="Q84" s="7"/>
      <c r="R84" s="6"/>
      <c r="S84" s="6"/>
      <c r="T84" s="7"/>
      <c r="U84" s="6"/>
      <c r="V84" s="6"/>
      <c r="W84" s="7"/>
      <c r="X84" s="6"/>
      <c r="Y84" s="6"/>
      <c r="AA84" s="4"/>
      <c r="AB84" s="4" t="str">
        <f t="shared" si="79"/>
        <v/>
      </c>
      <c r="AC84" s="4"/>
      <c r="AD84" s="4" t="str">
        <f t="shared" si="80"/>
        <v/>
      </c>
      <c r="AE84" s="4"/>
      <c r="AF84" s="4" t="str">
        <f t="shared" si="81"/>
        <v/>
      </c>
      <c r="AG84" s="4"/>
    </row>
    <row r="85" spans="1:37" x14ac:dyDescent="0.25">
      <c r="B85" s="2" t="str">
        <f t="shared" ref="B85" si="130">_xlfn.CONCAT("@",AA85,AB85,AC85,AD85,AE85,AF85,AG85)</f>
        <v>@color-cycleway_case</v>
      </c>
      <c r="C85" s="71" t="s">
        <v>227</v>
      </c>
      <c r="D85" s="71" t="s">
        <v>227</v>
      </c>
      <c r="F85" s="72" t="s">
        <v>217</v>
      </c>
      <c r="AA85" s="2" t="s">
        <v>6</v>
      </c>
      <c r="AB85" s="2" t="str">
        <f t="shared" ref="AB85" si="131">IF(NOT(ISBLANK(AC85)),"-","")</f>
        <v>-</v>
      </c>
      <c r="AC85" s="2" t="s">
        <v>12</v>
      </c>
      <c r="AD85" s="2" t="str">
        <f t="shared" ref="AD85" si="132">IF(NOT(ISBLANK(AE85)),"_","")</f>
        <v>_</v>
      </c>
      <c r="AE85" s="2" t="s">
        <v>17</v>
      </c>
      <c r="AF85" s="2" t="str">
        <f t="shared" ref="AF85" si="133">IF(NOT(ISBLANK(AG85)),"_","")</f>
        <v/>
      </c>
    </row>
    <row r="86" spans="1:37" x14ac:dyDescent="0.25">
      <c r="B86" s="2" t="str">
        <f t="shared" ref="B86:B88" si="134">_xlfn.CONCAT("@",AA86,AB86,AC86,AD86,AE86,AF86,AG86)</f>
        <v>@color-cycleway_line</v>
      </c>
      <c r="C86" s="73" t="s">
        <v>188</v>
      </c>
      <c r="D86" s="74" t="str">
        <f>C86</f>
        <v>"#3046d7"</v>
      </c>
      <c r="AA86" s="2" t="s">
        <v>6</v>
      </c>
      <c r="AB86" s="2" t="str">
        <f t="shared" si="79"/>
        <v>-</v>
      </c>
      <c r="AC86" s="2" t="s">
        <v>12</v>
      </c>
      <c r="AD86" s="2" t="str">
        <f t="shared" si="80"/>
        <v>_</v>
      </c>
      <c r="AE86" s="2" t="s">
        <v>13</v>
      </c>
      <c r="AF86" s="2" t="str">
        <f t="shared" si="81"/>
        <v/>
      </c>
    </row>
    <row r="87" spans="1:37" x14ac:dyDescent="0.25">
      <c r="B87" s="2" t="str">
        <f t="shared" ref="B87" si="135">_xlfn.CONCAT("@",AA87,AB87,AC87,AD87,AE87,AF87,AG87)</f>
        <v>@color-footway_case</v>
      </c>
      <c r="C87" s="71" t="s">
        <v>227</v>
      </c>
      <c r="D87" s="71" t="s">
        <v>227</v>
      </c>
      <c r="F87" s="72" t="s">
        <v>217</v>
      </c>
      <c r="AA87" s="2" t="s">
        <v>6</v>
      </c>
      <c r="AB87" s="2" t="str">
        <f t="shared" ref="AB87" si="136">IF(NOT(ISBLANK(AC87)),"-","")</f>
        <v>-</v>
      </c>
      <c r="AC87" s="2" t="s">
        <v>35</v>
      </c>
      <c r="AD87" s="2" t="str">
        <f t="shared" ref="AD87" si="137">IF(NOT(ISBLANK(AE87)),"_","")</f>
        <v>_</v>
      </c>
      <c r="AE87" s="2" t="s">
        <v>17</v>
      </c>
      <c r="AF87" s="2" t="str">
        <f t="shared" ref="AF87" si="138">IF(NOT(ISBLANK(AG87)),"_","")</f>
        <v/>
      </c>
      <c r="AG87" s="2"/>
    </row>
    <row r="88" spans="1:37" x14ac:dyDescent="0.25">
      <c r="B88" s="2" t="str">
        <f t="shared" si="134"/>
        <v>@color-footway_line</v>
      </c>
      <c r="C88" s="75" t="s">
        <v>189</v>
      </c>
      <c r="D88" s="76" t="str">
        <f>C88</f>
        <v>"#a43820"</v>
      </c>
      <c r="AA88" s="2" t="s">
        <v>6</v>
      </c>
      <c r="AB88" s="2" t="str">
        <f t="shared" si="79"/>
        <v>-</v>
      </c>
      <c r="AC88" s="2" t="s">
        <v>35</v>
      </c>
      <c r="AD88" s="2" t="str">
        <f t="shared" si="80"/>
        <v>_</v>
      </c>
      <c r="AE88" s="2" t="s">
        <v>13</v>
      </c>
      <c r="AF88" s="2" t="str">
        <f t="shared" si="81"/>
        <v/>
      </c>
      <c r="AG88" s="2"/>
    </row>
    <row r="89" spans="1:37" x14ac:dyDescent="0.25">
      <c r="AA89" s="2"/>
      <c r="AB89" s="2" t="str">
        <f t="shared" si="79"/>
        <v/>
      </c>
      <c r="AC89" s="2"/>
      <c r="AD89" s="2" t="str">
        <f t="shared" si="80"/>
        <v/>
      </c>
      <c r="AE89" s="2"/>
      <c r="AF89" s="28" t="str">
        <f t="shared" si="81"/>
        <v/>
      </c>
    </row>
    <row r="90" spans="1:37" s="2" customFormat="1" x14ac:dyDescent="0.25">
      <c r="A90" s="3" t="s">
        <v>42</v>
      </c>
      <c r="B90" s="3"/>
      <c r="C90" s="27"/>
      <c r="D90" s="6"/>
      <c r="E90" s="7"/>
      <c r="F90" s="6"/>
      <c r="G90" s="6"/>
      <c r="H90" s="7"/>
      <c r="I90" s="6"/>
      <c r="J90" s="6"/>
      <c r="K90" s="7"/>
      <c r="L90" s="6"/>
      <c r="M90" s="6"/>
      <c r="N90" s="7"/>
      <c r="O90" s="6"/>
      <c r="P90" s="6"/>
      <c r="Q90" s="7"/>
      <c r="R90" s="6"/>
      <c r="S90" s="6"/>
      <c r="T90" s="7"/>
      <c r="U90" s="6"/>
      <c r="V90" s="6"/>
      <c r="W90" s="7"/>
      <c r="X90" s="6"/>
      <c r="Y90" s="6"/>
      <c r="AA90" s="4"/>
      <c r="AB90" s="4" t="str">
        <f t="shared" si="79"/>
        <v/>
      </c>
      <c r="AC90" s="4"/>
      <c r="AD90" s="4" t="str">
        <f t="shared" si="80"/>
        <v/>
      </c>
      <c r="AE90" s="4"/>
      <c r="AF90" s="4" t="str">
        <f t="shared" si="81"/>
        <v/>
      </c>
      <c r="AG90" s="4"/>
    </row>
    <row r="91" spans="1:37" x14ac:dyDescent="0.25">
      <c r="B91" s="2" t="str">
        <f t="shared" ref="B91:B94" si="139">_xlfn.CONCAT("@",AA91,AB91,AC91,AD91,AE91,AF91,AG91)</f>
        <v>@color-obstacle_vegetation</v>
      </c>
      <c r="C91" s="77" t="s">
        <v>190</v>
      </c>
      <c r="D91" s="78" t="str">
        <f>C91</f>
        <v>"#4a9100"</v>
      </c>
      <c r="AA91" s="2" t="s">
        <v>6</v>
      </c>
      <c r="AB91" s="2" t="str">
        <f t="shared" si="79"/>
        <v>-</v>
      </c>
      <c r="AC91" s="2" t="s">
        <v>36</v>
      </c>
      <c r="AD91" s="2" t="str">
        <f t="shared" si="80"/>
        <v>_</v>
      </c>
      <c r="AE91" s="2" t="s">
        <v>37</v>
      </c>
      <c r="AF91" s="2" t="str">
        <f t="shared" si="81"/>
        <v/>
      </c>
      <c r="AG91" s="2"/>
      <c r="AH91" s="2"/>
      <c r="AI91" s="2"/>
      <c r="AJ91" s="2"/>
      <c r="AK91" s="2"/>
    </row>
    <row r="92" spans="1:37" x14ac:dyDescent="0.25">
      <c r="B92" s="2" t="str">
        <f t="shared" si="139"/>
        <v>@color-surface_mud</v>
      </c>
      <c r="C92" s="79" t="s">
        <v>191</v>
      </c>
      <c r="D92" s="80" t="str">
        <f>C92</f>
        <v>"#0e84ed"</v>
      </c>
      <c r="AA92" s="2" t="s">
        <v>6</v>
      </c>
      <c r="AB92" s="2" t="str">
        <f t="shared" si="79"/>
        <v>-</v>
      </c>
      <c r="AC92" s="2" t="s">
        <v>38</v>
      </c>
      <c r="AD92" s="2" t="str">
        <f t="shared" si="80"/>
        <v>_</v>
      </c>
      <c r="AE92" s="2" t="s">
        <v>39</v>
      </c>
      <c r="AF92" s="2" t="str">
        <f t="shared" si="81"/>
        <v/>
      </c>
      <c r="AG92" s="2"/>
    </row>
    <row r="93" spans="1:37" x14ac:dyDescent="0.25">
      <c r="B93" s="2" t="str">
        <f t="shared" si="139"/>
        <v>@color-access_no</v>
      </c>
      <c r="C93" s="81" t="s">
        <v>192</v>
      </c>
      <c r="D93" s="82" t="str">
        <f>C93</f>
        <v>"#ff003d"</v>
      </c>
      <c r="AA93" s="2" t="s">
        <v>6</v>
      </c>
      <c r="AB93" s="2" t="str">
        <f t="shared" si="79"/>
        <v>-</v>
      </c>
      <c r="AC93" s="2" t="s">
        <v>43</v>
      </c>
      <c r="AD93" s="2" t="str">
        <f t="shared" si="80"/>
        <v>_</v>
      </c>
      <c r="AE93" s="2" t="s">
        <v>44</v>
      </c>
      <c r="AF93" s="2" t="str">
        <f t="shared" si="81"/>
        <v/>
      </c>
      <c r="AG93" s="2"/>
    </row>
    <row r="94" spans="1:37" x14ac:dyDescent="0.25">
      <c r="B94" s="2" t="str">
        <f t="shared" si="139"/>
        <v>@color-access_discouraged</v>
      </c>
      <c r="C94" s="83" t="s">
        <v>193</v>
      </c>
      <c r="D94" s="84" t="str">
        <f>C94</f>
        <v>"#ff6a00"</v>
      </c>
      <c r="AA94" s="2" t="s">
        <v>6</v>
      </c>
      <c r="AB94" s="2" t="str">
        <f t="shared" si="79"/>
        <v>-</v>
      </c>
      <c r="AC94" s="2" t="s">
        <v>43</v>
      </c>
      <c r="AD94" s="2" t="str">
        <f t="shared" si="80"/>
        <v>_</v>
      </c>
      <c r="AE94" s="2" t="s">
        <v>45</v>
      </c>
      <c r="AF94" s="2" t="str">
        <f t="shared" si="81"/>
        <v/>
      </c>
      <c r="AG94" s="2"/>
    </row>
    <row r="95" spans="1:37" x14ac:dyDescent="0.25">
      <c r="AB95" s="28" t="str">
        <f t="shared" ref="AB95:AB97" si="140">IF(NOT(ISBLANK(AC95)),"-","")</f>
        <v/>
      </c>
      <c r="AD95" s="28" t="str">
        <f t="shared" ref="AD95:AD97" si="141">IF(NOT(ISBLANK(AE95)),"_","")</f>
        <v/>
      </c>
      <c r="AF95" s="28" t="str">
        <f t="shared" ref="AF95:AF97" si="142">IF(NOT(ISBLANK(AG95)),"_","")</f>
        <v/>
      </c>
    </row>
    <row r="96" spans="1:37" s="2" customFormat="1" x14ac:dyDescent="0.25">
      <c r="A96" s="3" t="s">
        <v>277</v>
      </c>
      <c r="B96" s="3"/>
      <c r="C96" s="27"/>
      <c r="D96" s="6"/>
      <c r="E96" s="7"/>
      <c r="F96" s="6"/>
      <c r="G96" s="6"/>
      <c r="H96" s="7"/>
      <c r="I96" s="6"/>
      <c r="J96" s="6"/>
      <c r="K96" s="7"/>
      <c r="L96" s="6"/>
      <c r="M96" s="6"/>
      <c r="N96" s="7"/>
      <c r="O96" s="6"/>
      <c r="P96" s="6"/>
      <c r="Q96" s="7"/>
      <c r="R96" s="6"/>
      <c r="S96" s="6"/>
      <c r="T96" s="7"/>
      <c r="U96" s="6"/>
      <c r="V96" s="6"/>
      <c r="W96" s="7"/>
      <c r="X96" s="6"/>
      <c r="Y96" s="6"/>
      <c r="AA96" s="4"/>
      <c r="AB96" s="4" t="str">
        <f t="shared" si="140"/>
        <v/>
      </c>
      <c r="AC96" s="4"/>
      <c r="AD96" s="4" t="str">
        <f t="shared" si="141"/>
        <v/>
      </c>
      <c r="AE96" s="4"/>
      <c r="AF96" s="4" t="str">
        <f t="shared" si="142"/>
        <v/>
      </c>
      <c r="AG96" s="4"/>
    </row>
    <row r="97" spans="1:33" x14ac:dyDescent="0.25">
      <c r="B97" s="2" t="str">
        <f t="shared" ref="B97" si="143">_xlfn.CONCAT("@",AA97,AB97,AC97,AD97,AE97,AF97,AG97)</f>
        <v>@color-building_area_residential</v>
      </c>
      <c r="C97" s="85" t="s">
        <v>264</v>
      </c>
      <c r="F97" s="86" t="s">
        <v>254</v>
      </c>
      <c r="AA97" s="2" t="s">
        <v>6</v>
      </c>
      <c r="AB97" s="2" t="str">
        <f t="shared" si="140"/>
        <v>-</v>
      </c>
      <c r="AC97" s="2" t="s">
        <v>260</v>
      </c>
      <c r="AD97" s="2" t="str">
        <f t="shared" si="141"/>
        <v>_</v>
      </c>
      <c r="AE97" s="2" t="s">
        <v>266</v>
      </c>
      <c r="AF97" s="2" t="str">
        <f t="shared" si="142"/>
        <v>_</v>
      </c>
      <c r="AG97" s="2" t="s">
        <v>67</v>
      </c>
    </row>
    <row r="98" spans="1:33" x14ac:dyDescent="0.25">
      <c r="B98" s="2" t="str">
        <f t="shared" ref="B98" si="144">_xlfn.CONCAT("@",AA98,AB98,AC98,AD98,AE98,AF98,AG98)</f>
        <v>@color-building_area_generic</v>
      </c>
      <c r="C98" s="87" t="s">
        <v>263</v>
      </c>
      <c r="F98" s="88" t="s">
        <v>261</v>
      </c>
      <c r="AA98" s="2" t="s">
        <v>6</v>
      </c>
      <c r="AB98" s="2" t="str">
        <f t="shared" ref="AB98" si="145">IF(NOT(ISBLANK(AC98)),"-","")</f>
        <v>-</v>
      </c>
      <c r="AC98" s="2" t="s">
        <v>260</v>
      </c>
      <c r="AD98" s="2" t="str">
        <f t="shared" ref="AD98" si="146">IF(NOT(ISBLANK(AE98)),"_","")</f>
        <v>_</v>
      </c>
      <c r="AE98" s="2" t="s">
        <v>266</v>
      </c>
      <c r="AF98" s="2" t="str">
        <f t="shared" ref="AF98" si="147">IF(NOT(ISBLANK(AG98)),"_","")</f>
        <v>_</v>
      </c>
      <c r="AG98" s="2" t="s">
        <v>262</v>
      </c>
    </row>
    <row r="99" spans="1:33" x14ac:dyDescent="0.25">
      <c r="B99" s="2" t="str">
        <f t="shared" ref="B99" si="148">_xlfn.CONCAT("@",AA99,AB99,AC99,AD99,AE99,AF99,AG99)</f>
        <v>@color-building_line_top</v>
      </c>
      <c r="C99" s="87" t="s">
        <v>263</v>
      </c>
      <c r="F99" s="88" t="s">
        <v>261</v>
      </c>
      <c r="AA99" s="2" t="s">
        <v>6</v>
      </c>
      <c r="AB99" s="2" t="str">
        <f t="shared" ref="AB99" si="149">IF(NOT(ISBLANK(AC99)),"-","")</f>
        <v>-</v>
      </c>
      <c r="AC99" s="2" t="s">
        <v>260</v>
      </c>
      <c r="AD99" s="2" t="str">
        <f t="shared" ref="AD99" si="150">IF(NOT(ISBLANK(AE99)),"_","")</f>
        <v>_</v>
      </c>
      <c r="AE99" s="2" t="s">
        <v>13</v>
      </c>
      <c r="AF99" s="2" t="str">
        <f t="shared" ref="AF99" si="151">IF(NOT(ISBLANK(AG99)),"_","")</f>
        <v>_</v>
      </c>
      <c r="AG99" s="2" t="s">
        <v>265</v>
      </c>
    </row>
    <row r="100" spans="1:33" x14ac:dyDescent="0.25">
      <c r="B100" s="2" t="str">
        <f>_xlfn.CONCAT("@",AA100,AB100,AC100,AD100,AE100,AF100,AG100)</f>
        <v>@color-contours_line</v>
      </c>
      <c r="C100" s="89" t="s">
        <v>194</v>
      </c>
      <c r="D100" s="90" t="str">
        <f>C100</f>
        <v>"#916f4c"</v>
      </c>
      <c r="F100" s="91" t="s">
        <v>278</v>
      </c>
      <c r="G100" s="91" t="s">
        <v>278</v>
      </c>
      <c r="AA100" s="2" t="s">
        <v>6</v>
      </c>
      <c r="AB100" s="2" t="str">
        <f>IF(NOT(ISBLANK(AC100)),"-","")</f>
        <v>-</v>
      </c>
      <c r="AC100" s="2" t="s">
        <v>70</v>
      </c>
      <c r="AD100" s="2" t="str">
        <f>IF(NOT(ISBLANK(AE100)),"_","")</f>
        <v>_</v>
      </c>
      <c r="AE100" s="2" t="s">
        <v>13</v>
      </c>
      <c r="AF100" s="2" t="str">
        <f>IF(NOT(ISBLANK(AG100)),"_","")</f>
        <v/>
      </c>
      <c r="AG100" s="2"/>
    </row>
    <row r="101" spans="1:33" x14ac:dyDescent="0.25">
      <c r="B101" s="2" t="str">
        <f>_xlfn.CONCAT("@",AA101,AB101,AC101,AD101,AE101,AF101,AG101)</f>
        <v>@color-cliff_line</v>
      </c>
      <c r="C101" s="72" t="s">
        <v>217</v>
      </c>
      <c r="D101" s="72" t="s">
        <v>217</v>
      </c>
      <c r="F101" s="71" t="s">
        <v>227</v>
      </c>
      <c r="G101" s="71" t="s">
        <v>227</v>
      </c>
      <c r="AA101" s="2" t="s">
        <v>6</v>
      </c>
      <c r="AB101" s="2" t="str">
        <f>IF(NOT(ISBLANK(AC101)),"-","")</f>
        <v>-</v>
      </c>
      <c r="AC101" s="2" t="s">
        <v>279</v>
      </c>
      <c r="AD101" s="2" t="str">
        <f>IF(NOT(ISBLANK(AE101)),"_","")</f>
        <v>_</v>
      </c>
      <c r="AE101" s="2" t="s">
        <v>13</v>
      </c>
      <c r="AF101" s="2" t="str">
        <f>IF(NOT(ISBLANK(AG101)),"_","")</f>
        <v/>
      </c>
      <c r="AG101" s="2"/>
    </row>
    <row r="102" spans="1:33" x14ac:dyDescent="0.25">
      <c r="AB102" s="28" t="str">
        <f t="shared" si="79"/>
        <v/>
      </c>
      <c r="AD102" s="28" t="str">
        <f t="shared" si="80"/>
        <v/>
      </c>
      <c r="AF102" s="28" t="str">
        <f t="shared" si="81"/>
        <v/>
      </c>
    </row>
    <row r="103" spans="1:33" s="2" customFormat="1" x14ac:dyDescent="0.25">
      <c r="A103" s="3" t="s">
        <v>259</v>
      </c>
      <c r="B103" s="3"/>
      <c r="C103" s="27"/>
      <c r="D103" s="6"/>
      <c r="E103" s="7"/>
      <c r="F103" s="6"/>
      <c r="G103" s="6"/>
      <c r="H103" s="7"/>
      <c r="I103" s="6"/>
      <c r="J103" s="6"/>
      <c r="K103" s="7"/>
      <c r="L103" s="6"/>
      <c r="M103" s="6"/>
      <c r="N103" s="7"/>
      <c r="O103" s="6"/>
      <c r="P103" s="6"/>
      <c r="Q103" s="7"/>
      <c r="R103" s="6"/>
      <c r="S103" s="6"/>
      <c r="T103" s="7"/>
      <c r="U103" s="6"/>
      <c r="V103" s="6"/>
      <c r="W103" s="7"/>
      <c r="X103" s="6"/>
      <c r="Y103" s="6"/>
      <c r="AA103" s="4"/>
      <c r="AB103" s="4" t="str">
        <f t="shared" si="79"/>
        <v/>
      </c>
      <c r="AC103" s="4"/>
      <c r="AD103" s="4" t="str">
        <f t="shared" si="80"/>
        <v/>
      </c>
      <c r="AE103" s="4"/>
      <c r="AF103" s="4" t="str">
        <f t="shared" si="81"/>
        <v/>
      </c>
      <c r="AG103" s="4"/>
    </row>
    <row r="104" spans="1:33" x14ac:dyDescent="0.25">
      <c r="B104" s="2" t="str">
        <f t="shared" ref="B104:B124" si="152">_xlfn.CONCAT("@",AA104,AB104,AC104,AD104,AE104,AF104,AG104)</f>
        <v>@color-background</v>
      </c>
      <c r="C104" s="92" t="s">
        <v>195</v>
      </c>
      <c r="D104" s="38" t="s">
        <v>227</v>
      </c>
      <c r="F104" s="72" t="s">
        <v>217</v>
      </c>
      <c r="G104" s="72" t="s">
        <v>217</v>
      </c>
      <c r="AA104" s="2" t="s">
        <v>6</v>
      </c>
      <c r="AB104" s="2" t="str">
        <f t="shared" si="79"/>
        <v>-</v>
      </c>
      <c r="AC104" s="2" t="s">
        <v>69</v>
      </c>
      <c r="AD104" s="2" t="str">
        <f t="shared" si="80"/>
        <v/>
      </c>
      <c r="AE104" s="2"/>
      <c r="AF104" s="2" t="str">
        <f t="shared" si="81"/>
        <v/>
      </c>
      <c r="AG104" s="2"/>
    </row>
    <row r="105" spans="1:33" x14ac:dyDescent="0.25">
      <c r="B105" s="2" t="str">
        <f t="shared" si="152"/>
        <v>@color-water</v>
      </c>
      <c r="C105" s="93" t="s">
        <v>196</v>
      </c>
      <c r="D105" s="94" t="s">
        <v>197</v>
      </c>
      <c r="F105" s="95" t="s">
        <v>242</v>
      </c>
      <c r="AA105" s="2" t="s">
        <v>6</v>
      </c>
      <c r="AB105" s="2" t="str">
        <f t="shared" si="79"/>
        <v>-</v>
      </c>
      <c r="AC105" s="2" t="s">
        <v>14</v>
      </c>
      <c r="AD105" s="2" t="str">
        <f t="shared" si="80"/>
        <v/>
      </c>
      <c r="AE105" s="2"/>
      <c r="AF105" s="2" t="str">
        <f t="shared" si="81"/>
        <v/>
      </c>
      <c r="AG105" s="2"/>
    </row>
    <row r="106" spans="1:33" x14ac:dyDescent="0.25">
      <c r="B106" s="2" t="str">
        <f t="shared" si="152"/>
        <v>@color-landcover_field</v>
      </c>
      <c r="C106" s="96" t="s">
        <v>198</v>
      </c>
      <c r="D106" s="97" t="s">
        <v>199</v>
      </c>
      <c r="F106" s="98" t="s">
        <v>245</v>
      </c>
      <c r="AA106" s="2" t="s">
        <v>6</v>
      </c>
      <c r="AB106" s="2" t="str">
        <f t="shared" si="79"/>
        <v>-</v>
      </c>
      <c r="AC106" s="2" t="s">
        <v>54</v>
      </c>
      <c r="AD106" s="2" t="str">
        <f t="shared" si="80"/>
        <v>_</v>
      </c>
      <c r="AE106" s="2" t="s">
        <v>49</v>
      </c>
      <c r="AF106" s="2" t="str">
        <f t="shared" si="81"/>
        <v/>
      </c>
      <c r="AG106" s="2"/>
    </row>
    <row r="107" spans="1:33" x14ac:dyDescent="0.25">
      <c r="B107" s="2" t="str">
        <f t="shared" si="152"/>
        <v>@color-landcover_meadow</v>
      </c>
      <c r="C107" s="99" t="s">
        <v>200</v>
      </c>
      <c r="D107" s="100" t="s">
        <v>201</v>
      </c>
      <c r="F107" s="101" t="s">
        <v>244</v>
      </c>
      <c r="AA107" s="2" t="s">
        <v>6</v>
      </c>
      <c r="AB107" s="2" t="str">
        <f t="shared" si="79"/>
        <v>-</v>
      </c>
      <c r="AC107" s="2" t="s">
        <v>54</v>
      </c>
      <c r="AD107" s="2" t="str">
        <f t="shared" si="80"/>
        <v>_</v>
      </c>
      <c r="AE107" s="2" t="s">
        <v>50</v>
      </c>
      <c r="AF107" s="2" t="str">
        <f t="shared" si="81"/>
        <v/>
      </c>
      <c r="AG107" s="2"/>
    </row>
    <row r="108" spans="1:33" x14ac:dyDescent="0.25">
      <c r="B108" s="2" t="str">
        <f t="shared" si="152"/>
        <v>@color-landcover_bare_rock</v>
      </c>
      <c r="C108" s="102" t="s">
        <v>202</v>
      </c>
      <c r="F108" s="103" t="s">
        <v>249</v>
      </c>
      <c r="AA108" s="2" t="s">
        <v>6</v>
      </c>
      <c r="AB108" s="2" t="str">
        <f t="shared" si="79"/>
        <v>-</v>
      </c>
      <c r="AC108" s="2" t="s">
        <v>54</v>
      </c>
      <c r="AD108" s="2" t="str">
        <f t="shared" si="80"/>
        <v>_</v>
      </c>
      <c r="AE108" s="2" t="s">
        <v>51</v>
      </c>
      <c r="AF108" s="2" t="str">
        <f t="shared" si="81"/>
        <v/>
      </c>
      <c r="AG108" s="2"/>
    </row>
    <row r="109" spans="1:33" x14ac:dyDescent="0.25">
      <c r="B109" s="2" t="str">
        <f t="shared" si="152"/>
        <v>@color-landcover_sand</v>
      </c>
      <c r="C109" s="104" t="s">
        <v>203</v>
      </c>
      <c r="F109" s="105" t="s">
        <v>250</v>
      </c>
      <c r="AA109" s="2" t="s">
        <v>6</v>
      </c>
      <c r="AB109" s="2" t="str">
        <f t="shared" si="79"/>
        <v>-</v>
      </c>
      <c r="AC109" s="2" t="s">
        <v>54</v>
      </c>
      <c r="AD109" s="2" t="str">
        <f t="shared" si="80"/>
        <v>_</v>
      </c>
      <c r="AE109" s="2" t="s">
        <v>52</v>
      </c>
      <c r="AF109" s="2" t="str">
        <f t="shared" si="81"/>
        <v/>
      </c>
      <c r="AG109" s="2"/>
    </row>
    <row r="110" spans="1:33" x14ac:dyDescent="0.25">
      <c r="B110" s="2" t="str">
        <f t="shared" si="152"/>
        <v>@color-landcover_allotments</v>
      </c>
      <c r="C110" s="106" t="s">
        <v>204</v>
      </c>
      <c r="F110" s="107" t="s">
        <v>251</v>
      </c>
      <c r="AA110" s="2" t="s">
        <v>6</v>
      </c>
      <c r="AB110" s="2" t="str">
        <f t="shared" si="79"/>
        <v>-</v>
      </c>
      <c r="AC110" s="2" t="s">
        <v>54</v>
      </c>
      <c r="AD110" s="2" t="str">
        <f t="shared" si="80"/>
        <v>_</v>
      </c>
      <c r="AE110" s="2" t="s">
        <v>53</v>
      </c>
      <c r="AF110" s="2" t="str">
        <f t="shared" si="81"/>
        <v/>
      </c>
      <c r="AG110" s="2"/>
    </row>
    <row r="111" spans="1:33" x14ac:dyDescent="0.25">
      <c r="B111" s="2" t="str">
        <f t="shared" si="152"/>
        <v>@color-landcover_heath_fell</v>
      </c>
      <c r="C111" s="108" t="s">
        <v>205</v>
      </c>
      <c r="F111" s="109" t="s">
        <v>252</v>
      </c>
      <c r="AA111" s="2" t="s">
        <v>6</v>
      </c>
      <c r="AB111" s="2" t="str">
        <f t="shared" si="79"/>
        <v>-</v>
      </c>
      <c r="AC111" s="2" t="s">
        <v>54</v>
      </c>
      <c r="AD111" s="2" t="str">
        <f t="shared" si="80"/>
        <v>_</v>
      </c>
      <c r="AE111" s="2" t="s">
        <v>55</v>
      </c>
      <c r="AF111" s="2" t="str">
        <f t="shared" si="81"/>
        <v/>
      </c>
      <c r="AG111" s="2"/>
    </row>
    <row r="112" spans="1:33" x14ac:dyDescent="0.25">
      <c r="B112" s="2" t="str">
        <f t="shared" si="152"/>
        <v>@color-landcover_grass</v>
      </c>
      <c r="C112" s="110" t="s">
        <v>206</v>
      </c>
      <c r="F112" s="111" t="s">
        <v>284</v>
      </c>
      <c r="AA112" s="2" t="s">
        <v>6</v>
      </c>
      <c r="AB112" s="2" t="str">
        <f t="shared" si="79"/>
        <v>-</v>
      </c>
      <c r="AC112" s="2" t="s">
        <v>54</v>
      </c>
      <c r="AD112" s="2" t="str">
        <f t="shared" si="80"/>
        <v>_</v>
      </c>
      <c r="AE112" s="2" t="s">
        <v>56</v>
      </c>
      <c r="AF112" s="2" t="str">
        <f t="shared" si="81"/>
        <v/>
      </c>
      <c r="AG112" s="2"/>
    </row>
    <row r="113" spans="2:33" x14ac:dyDescent="0.25">
      <c r="B113" s="2" t="str">
        <f t="shared" si="152"/>
        <v>@color-landcover_quarry</v>
      </c>
      <c r="C113" s="112" t="s">
        <v>207</v>
      </c>
      <c r="F113" s="113" t="s">
        <v>253</v>
      </c>
      <c r="AA113" s="2" t="s">
        <v>6</v>
      </c>
      <c r="AB113" s="2" t="str">
        <f t="shared" si="79"/>
        <v>-</v>
      </c>
      <c r="AC113" s="2" t="s">
        <v>54</v>
      </c>
      <c r="AD113" s="2" t="str">
        <f t="shared" si="80"/>
        <v>_</v>
      </c>
      <c r="AE113" s="2" t="s">
        <v>57</v>
      </c>
      <c r="AF113" s="2" t="str">
        <f t="shared" si="81"/>
        <v/>
      </c>
      <c r="AG113" s="2"/>
    </row>
    <row r="114" spans="2:33" x14ac:dyDescent="0.25">
      <c r="B114" s="2" t="str">
        <f t="shared" si="152"/>
        <v>@color-landcover_storage</v>
      </c>
      <c r="C114" s="114" t="s">
        <v>208</v>
      </c>
      <c r="F114" s="115" t="s">
        <v>267</v>
      </c>
      <c r="AA114" s="2" t="s">
        <v>6</v>
      </c>
      <c r="AB114" s="2" t="str">
        <f t="shared" si="79"/>
        <v>-</v>
      </c>
      <c r="AC114" s="2" t="s">
        <v>54</v>
      </c>
      <c r="AD114" s="2" t="str">
        <f t="shared" si="80"/>
        <v>_</v>
      </c>
      <c r="AE114" s="2" t="s">
        <v>58</v>
      </c>
      <c r="AF114" s="2" t="str">
        <f t="shared" si="81"/>
        <v/>
      </c>
      <c r="AG114" s="2"/>
    </row>
    <row r="115" spans="2:33" x14ac:dyDescent="0.25">
      <c r="B115" s="2" t="str">
        <f t="shared" si="152"/>
        <v>@color-landcover_wood</v>
      </c>
      <c r="C115" s="116" t="s">
        <v>209</v>
      </c>
      <c r="F115" s="117" t="s">
        <v>243</v>
      </c>
      <c r="AA115" s="2" t="s">
        <v>6</v>
      </c>
      <c r="AB115" s="2" t="str">
        <f t="shared" si="79"/>
        <v>-</v>
      </c>
      <c r="AC115" s="2" t="s">
        <v>54</v>
      </c>
      <c r="AD115" s="2" t="str">
        <f t="shared" si="80"/>
        <v>_</v>
      </c>
      <c r="AE115" s="2" t="s">
        <v>59</v>
      </c>
      <c r="AF115" s="2" t="str">
        <f t="shared" si="81"/>
        <v/>
      </c>
      <c r="AG115" s="2"/>
    </row>
    <row r="116" spans="2:33" x14ac:dyDescent="0.25">
      <c r="B116" s="2" t="str">
        <f t="shared" si="152"/>
        <v>@color-landcover_parking_area</v>
      </c>
      <c r="C116" s="118" t="s">
        <v>210</v>
      </c>
      <c r="F116" s="119" t="s">
        <v>254</v>
      </c>
      <c r="AA116" s="2" t="s">
        <v>6</v>
      </c>
      <c r="AB116" s="2" t="str">
        <f t="shared" si="79"/>
        <v>-</v>
      </c>
      <c r="AC116" s="2" t="s">
        <v>54</v>
      </c>
      <c r="AD116" s="2" t="str">
        <f t="shared" si="80"/>
        <v>_</v>
      </c>
      <c r="AE116" s="2" t="s">
        <v>60</v>
      </c>
      <c r="AF116" s="2" t="str">
        <f t="shared" si="81"/>
        <v/>
      </c>
      <c r="AG116" s="2"/>
    </row>
    <row r="117" spans="2:33" x14ac:dyDescent="0.25">
      <c r="B117" s="2" t="str">
        <f t="shared" si="152"/>
        <v>@color-landcover_railway</v>
      </c>
      <c r="C117" s="120" t="s">
        <v>211</v>
      </c>
      <c r="F117" s="121" t="s">
        <v>255</v>
      </c>
      <c r="AA117" s="2" t="s">
        <v>6</v>
      </c>
      <c r="AB117" s="2" t="str">
        <f t="shared" si="79"/>
        <v>-</v>
      </c>
      <c r="AC117" s="2" t="s">
        <v>54</v>
      </c>
      <c r="AD117" s="2" t="str">
        <f t="shared" si="80"/>
        <v>_</v>
      </c>
      <c r="AE117" s="2" t="s">
        <v>61</v>
      </c>
      <c r="AF117" s="2" t="str">
        <f t="shared" si="81"/>
        <v/>
      </c>
      <c r="AG117" s="2"/>
    </row>
    <row r="118" spans="2:33" x14ac:dyDescent="0.25">
      <c r="B118" s="2" t="str">
        <f t="shared" si="152"/>
        <v>@color-landcover_school</v>
      </c>
      <c r="C118" s="122" t="s">
        <v>213</v>
      </c>
      <c r="F118" s="115" t="s">
        <v>267</v>
      </c>
      <c r="AA118" s="2" t="s">
        <v>6</v>
      </c>
      <c r="AB118" s="2" t="str">
        <f t="shared" si="79"/>
        <v>-</v>
      </c>
      <c r="AC118" s="2" t="s">
        <v>54</v>
      </c>
      <c r="AD118" s="2" t="str">
        <f t="shared" si="80"/>
        <v>_</v>
      </c>
      <c r="AE118" s="2" t="s">
        <v>62</v>
      </c>
      <c r="AF118" s="2" t="str">
        <f t="shared" si="81"/>
        <v/>
      </c>
      <c r="AG118" s="2"/>
    </row>
    <row r="119" spans="2:33" x14ac:dyDescent="0.25">
      <c r="B119" s="2" t="str">
        <f t="shared" si="152"/>
        <v>@color-landcover_cemetery</v>
      </c>
      <c r="C119" s="123" t="s">
        <v>212</v>
      </c>
      <c r="F119" s="124" t="s">
        <v>256</v>
      </c>
      <c r="AA119" s="2" t="s">
        <v>6</v>
      </c>
      <c r="AB119" s="2" t="str">
        <f t="shared" si="79"/>
        <v>-</v>
      </c>
      <c r="AC119" s="2" t="s">
        <v>54</v>
      </c>
      <c r="AD119" s="2" t="str">
        <f t="shared" si="80"/>
        <v>_</v>
      </c>
      <c r="AE119" s="2" t="s">
        <v>64</v>
      </c>
      <c r="AF119" s="2" t="str">
        <f t="shared" si="81"/>
        <v/>
      </c>
      <c r="AG119" s="2"/>
    </row>
    <row r="120" spans="2:33" x14ac:dyDescent="0.25">
      <c r="B120" s="2" t="str">
        <f t="shared" si="152"/>
        <v>@color-landcover_hospital</v>
      </c>
      <c r="C120" s="122" t="s">
        <v>213</v>
      </c>
      <c r="F120" s="115" t="s">
        <v>267</v>
      </c>
      <c r="AA120" s="2" t="s">
        <v>6</v>
      </c>
      <c r="AB120" s="2" t="str">
        <f t="shared" si="79"/>
        <v>-</v>
      </c>
      <c r="AC120" s="2" t="s">
        <v>54</v>
      </c>
      <c r="AD120" s="2" t="str">
        <f t="shared" si="80"/>
        <v>_</v>
      </c>
      <c r="AE120" s="2" t="s">
        <v>63</v>
      </c>
      <c r="AF120" s="2" t="str">
        <f t="shared" si="81"/>
        <v/>
      </c>
      <c r="AG120" s="2"/>
    </row>
    <row r="121" spans="2:33" x14ac:dyDescent="0.25">
      <c r="B121" s="2" t="str">
        <f t="shared" si="152"/>
        <v>@color-landcover_industrial</v>
      </c>
      <c r="C121" s="122" t="s">
        <v>213</v>
      </c>
      <c r="F121" s="115" t="s">
        <v>267</v>
      </c>
      <c r="AA121" s="2" t="s">
        <v>6</v>
      </c>
      <c r="AB121" s="2" t="str">
        <f t="shared" si="79"/>
        <v>-</v>
      </c>
      <c r="AC121" s="2" t="s">
        <v>54</v>
      </c>
      <c r="AD121" s="2" t="str">
        <f t="shared" si="80"/>
        <v>_</v>
      </c>
      <c r="AE121" s="2" t="s">
        <v>65</v>
      </c>
      <c r="AF121" s="2" t="str">
        <f t="shared" si="81"/>
        <v/>
      </c>
      <c r="AG121" s="2"/>
    </row>
    <row r="122" spans="2:33" x14ac:dyDescent="0.25">
      <c r="B122" s="2" t="str">
        <f t="shared" si="152"/>
        <v>@color-landcover_commercial</v>
      </c>
      <c r="C122" s="122" t="s">
        <v>213</v>
      </c>
      <c r="F122" s="115" t="s">
        <v>267</v>
      </c>
      <c r="AA122" s="2" t="s">
        <v>6</v>
      </c>
      <c r="AB122" s="2" t="str">
        <f t="shared" si="79"/>
        <v>-</v>
      </c>
      <c r="AC122" s="2" t="s">
        <v>54</v>
      </c>
      <c r="AD122" s="2" t="str">
        <f t="shared" si="80"/>
        <v>_</v>
      </c>
      <c r="AE122" s="2" t="s">
        <v>66</v>
      </c>
      <c r="AF122" s="2" t="str">
        <f t="shared" si="81"/>
        <v/>
      </c>
      <c r="AG122" s="2"/>
    </row>
    <row r="123" spans="2:33" x14ac:dyDescent="0.25">
      <c r="B123" s="2" t="str">
        <f t="shared" si="152"/>
        <v>@color-landcover_residential</v>
      </c>
      <c r="C123" s="122" t="s">
        <v>213</v>
      </c>
      <c r="F123" s="115" t="s">
        <v>267</v>
      </c>
      <c r="AA123" s="2" t="s">
        <v>6</v>
      </c>
      <c r="AB123" s="2" t="str">
        <f t="shared" si="79"/>
        <v>-</v>
      </c>
      <c r="AC123" s="2" t="s">
        <v>54</v>
      </c>
      <c r="AD123" s="2" t="str">
        <f t="shared" si="80"/>
        <v>_</v>
      </c>
      <c r="AE123" s="2" t="s">
        <v>67</v>
      </c>
      <c r="AF123" s="2" t="str">
        <f t="shared" si="81"/>
        <v/>
      </c>
      <c r="AG123" s="2"/>
    </row>
    <row r="124" spans="2:33" x14ac:dyDescent="0.25">
      <c r="B124" s="2" t="str">
        <f t="shared" si="152"/>
        <v>@color-landcover_built-up</v>
      </c>
      <c r="C124" s="122" t="s">
        <v>213</v>
      </c>
      <c r="F124" s="115" t="s">
        <v>267</v>
      </c>
      <c r="AA124" s="2" t="s">
        <v>6</v>
      </c>
      <c r="AB124" s="2" t="str">
        <f t="shared" si="79"/>
        <v>-</v>
      </c>
      <c r="AC124" s="2" t="s">
        <v>54</v>
      </c>
      <c r="AD124" s="2" t="str">
        <f t="shared" si="80"/>
        <v>_</v>
      </c>
      <c r="AE124" s="2" t="s">
        <v>68</v>
      </c>
      <c r="AF124" s="2" t="str">
        <f t="shared" si="81"/>
        <v/>
      </c>
      <c r="AG124" s="2"/>
    </row>
    <row r="125" spans="2:33" x14ac:dyDescent="0.25">
      <c r="B125" s="2" t="str">
        <f t="shared" ref="B125:B128" si="153">_xlfn.CONCAT("@",AA125,AB125,AC125,AD125,AE125,AF125,AG125)</f>
        <v>@color-landcover_ice_shelf</v>
      </c>
      <c r="C125" s="92" t="s">
        <v>195</v>
      </c>
      <c r="F125" s="125" t="s">
        <v>257</v>
      </c>
      <c r="AA125" s="2" t="s">
        <v>6</v>
      </c>
      <c r="AB125" s="2" t="str">
        <f t="shared" ref="AB125:AB128" si="154">IF(NOT(ISBLANK(AC125)),"-","")</f>
        <v>-</v>
      </c>
      <c r="AC125" s="2" t="s">
        <v>54</v>
      </c>
      <c r="AD125" s="2" t="str">
        <f t="shared" ref="AD125:AD128" si="155">IF(NOT(ISBLANK(AE125)),"_","")</f>
        <v>_</v>
      </c>
      <c r="AE125" s="2" t="s">
        <v>246</v>
      </c>
      <c r="AF125" s="2" t="str">
        <f t="shared" ref="AF125:AF128" si="156">IF(NOT(ISBLANK(AG125)),"_","")</f>
        <v/>
      </c>
      <c r="AG125" s="2"/>
    </row>
    <row r="126" spans="2:33" x14ac:dyDescent="0.25">
      <c r="B126" s="2" t="str">
        <f t="shared" ref="B126" si="157">_xlfn.CONCAT("@",AA126,AB126,AC126,AD126,AE126,AF126,AG126)</f>
        <v>@color-landcover_glacier</v>
      </c>
      <c r="C126" s="92" t="s">
        <v>195</v>
      </c>
      <c r="F126" s="125" t="s">
        <v>257</v>
      </c>
      <c r="AA126" s="2" t="s">
        <v>6</v>
      </c>
      <c r="AB126" s="2" t="str">
        <f t="shared" ref="AB126" si="158">IF(NOT(ISBLANK(AC126)),"-","")</f>
        <v>-</v>
      </c>
      <c r="AC126" s="2" t="s">
        <v>54</v>
      </c>
      <c r="AD126" s="2" t="str">
        <f t="shared" ref="AD126" si="159">IF(NOT(ISBLANK(AE126)),"_","")</f>
        <v>_</v>
      </c>
      <c r="AE126" s="2" t="s">
        <v>272</v>
      </c>
      <c r="AF126" s="2" t="str">
        <f t="shared" ref="AF126" si="160">IF(NOT(ISBLANK(AG126)),"_","")</f>
        <v/>
      </c>
      <c r="AG126" s="2"/>
    </row>
    <row r="127" spans="2:33" x14ac:dyDescent="0.25">
      <c r="B127" s="2" t="str">
        <f t="shared" si="153"/>
        <v>@color-landcover_sport_play</v>
      </c>
      <c r="C127" s="126" t="s">
        <v>248</v>
      </c>
      <c r="F127" s="127" t="s">
        <v>258</v>
      </c>
      <c r="AA127" s="2" t="s">
        <v>6</v>
      </c>
      <c r="AB127" s="2" t="str">
        <f t="shared" si="154"/>
        <v>-</v>
      </c>
      <c r="AC127" s="2" t="s">
        <v>54</v>
      </c>
      <c r="AD127" s="2" t="str">
        <f t="shared" si="155"/>
        <v>_</v>
      </c>
      <c r="AE127" s="2" t="s">
        <v>247</v>
      </c>
      <c r="AF127" s="2" t="str">
        <f t="shared" si="156"/>
        <v/>
      </c>
      <c r="AG127" s="2"/>
    </row>
    <row r="128" spans="2:33" x14ac:dyDescent="0.25">
      <c r="B128" s="2" t="str">
        <f t="shared" si="153"/>
        <v>@color-landcover_line_generic</v>
      </c>
      <c r="C128" s="128" t="s">
        <v>268</v>
      </c>
      <c r="F128" s="115" t="s">
        <v>267</v>
      </c>
      <c r="AA128" s="2" t="s">
        <v>6</v>
      </c>
      <c r="AB128" s="2" t="str">
        <f t="shared" si="154"/>
        <v>-</v>
      </c>
      <c r="AC128" s="2" t="s">
        <v>54</v>
      </c>
      <c r="AD128" s="2" t="str">
        <f t="shared" si="155"/>
        <v>_</v>
      </c>
      <c r="AE128" s="2" t="s">
        <v>13</v>
      </c>
      <c r="AF128" s="2" t="str">
        <f t="shared" si="156"/>
        <v>_</v>
      </c>
      <c r="AG128" s="2" t="s">
        <v>262</v>
      </c>
    </row>
    <row r="129" spans="1:33" x14ac:dyDescent="0.25">
      <c r="AB129" s="28" t="str">
        <f t="shared" si="79"/>
        <v/>
      </c>
      <c r="AD129" s="28" t="str">
        <f t="shared" si="80"/>
        <v/>
      </c>
      <c r="AF129" s="28" t="str">
        <f t="shared" si="81"/>
        <v/>
      </c>
    </row>
    <row r="130" spans="1:33" s="2" customFormat="1" x14ac:dyDescent="0.25">
      <c r="A130" s="3" t="s">
        <v>46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si="79"/>
        <v/>
      </c>
      <c r="AC130" s="4"/>
      <c r="AD130" s="4" t="str">
        <f t="shared" si="80"/>
        <v/>
      </c>
      <c r="AE130" s="4"/>
      <c r="AF130" s="4" t="str">
        <f t="shared" si="81"/>
        <v/>
      </c>
      <c r="AG130" s="4"/>
    </row>
    <row r="131" spans="1:33" x14ac:dyDescent="0.25">
      <c r="B131" s="2" t="str">
        <f t="shared" ref="B131:B133" si="161">_xlfn.CONCAT("@",AA131,AB131,AC131,AD131,AE131,AF131,AG131)</f>
        <v>@color-motorway_case_farzoom</v>
      </c>
      <c r="C131" s="129" t="s">
        <v>214</v>
      </c>
      <c r="D131" s="72" t="s">
        <v>217</v>
      </c>
      <c r="F131" s="129" t="s">
        <v>214</v>
      </c>
      <c r="G131" s="129" t="s">
        <v>214</v>
      </c>
      <c r="I131" s="130" t="str">
        <f>C131</f>
        <v>"#bf440f"</v>
      </c>
      <c r="J131" s="72" t="s">
        <v>217</v>
      </c>
      <c r="U131" s="130" t="str">
        <f>C131</f>
        <v>"#bf440f"</v>
      </c>
      <c r="AA131" s="2" t="s">
        <v>6</v>
      </c>
      <c r="AB131" s="2" t="str">
        <f t="shared" si="79"/>
        <v>-</v>
      </c>
      <c r="AC131" s="2" t="s">
        <v>16</v>
      </c>
      <c r="AD131" s="2" t="str">
        <f t="shared" si="80"/>
        <v>_</v>
      </c>
      <c r="AE131" s="2" t="s">
        <v>17</v>
      </c>
      <c r="AF131" s="2" t="str">
        <f t="shared" si="81"/>
        <v>_</v>
      </c>
      <c r="AG131" s="2" t="s">
        <v>21</v>
      </c>
    </row>
    <row r="132" spans="1:33" x14ac:dyDescent="0.25">
      <c r="B132" s="2" t="str">
        <f t="shared" si="161"/>
        <v>@color-motorway_case_default</v>
      </c>
      <c r="C132" s="131" t="s">
        <v>215</v>
      </c>
      <c r="D132" s="72" t="s">
        <v>217</v>
      </c>
      <c r="F132" s="72" t="s">
        <v>217</v>
      </c>
      <c r="G132" s="72" t="s">
        <v>217</v>
      </c>
      <c r="I132" s="132" t="str">
        <f>C132</f>
        <v>"#a15412"</v>
      </c>
      <c r="J132" s="72" t="s">
        <v>217</v>
      </c>
      <c r="U132" s="132" t="str">
        <f>C132</f>
        <v>"#a15412"</v>
      </c>
      <c r="AA132" s="2" t="s">
        <v>6</v>
      </c>
      <c r="AB132" s="2" t="str">
        <f t="shared" si="79"/>
        <v>-</v>
      </c>
      <c r="AC132" s="2" t="s">
        <v>16</v>
      </c>
      <c r="AD132" s="2" t="str">
        <f t="shared" si="80"/>
        <v>_</v>
      </c>
      <c r="AE132" s="2" t="s">
        <v>17</v>
      </c>
      <c r="AF132" s="2" t="str">
        <f t="shared" si="81"/>
        <v>_</v>
      </c>
      <c r="AG132" s="2" t="s">
        <v>269</v>
      </c>
    </row>
    <row r="133" spans="1:33" x14ac:dyDescent="0.25">
      <c r="B133" s="2" t="str">
        <f t="shared" si="161"/>
        <v>@color-motorway_line_default</v>
      </c>
      <c r="C133" s="133" t="s">
        <v>216</v>
      </c>
      <c r="D133" s="134" t="s">
        <v>218</v>
      </c>
      <c r="F133" s="134" t="s">
        <v>218</v>
      </c>
      <c r="G133" s="134" t="s">
        <v>218</v>
      </c>
      <c r="I133" s="135" t="str">
        <f>C133</f>
        <v>"#ffcc88"</v>
      </c>
      <c r="J133" s="136" t="str">
        <f>D133</f>
        <v>"#d6771e"</v>
      </c>
      <c r="U133" s="135" t="str">
        <f>C133</f>
        <v>"#ffcc88"</v>
      </c>
      <c r="AA133" s="2" t="s">
        <v>6</v>
      </c>
      <c r="AB133" s="2" t="str">
        <f t="shared" si="79"/>
        <v>-</v>
      </c>
      <c r="AC133" s="2" t="s">
        <v>16</v>
      </c>
      <c r="AD133" s="2" t="str">
        <f t="shared" si="80"/>
        <v>_</v>
      </c>
      <c r="AE133" s="2" t="s">
        <v>13</v>
      </c>
      <c r="AF133" s="2" t="str">
        <f t="shared" si="81"/>
        <v>_</v>
      </c>
      <c r="AG133" s="2" t="s">
        <v>269</v>
      </c>
    </row>
    <row r="134" spans="1:33" x14ac:dyDescent="0.25">
      <c r="AB134" s="28" t="str">
        <f t="shared" si="79"/>
        <v/>
      </c>
      <c r="AD134" s="28" t="str">
        <f t="shared" si="80"/>
        <v/>
      </c>
      <c r="AF134" s="28" t="str">
        <f t="shared" si="81"/>
        <v/>
      </c>
    </row>
    <row r="135" spans="1:33" s="2" customFormat="1" x14ac:dyDescent="0.25">
      <c r="A135" s="3" t="s">
        <v>48</v>
      </c>
      <c r="B135" s="3"/>
      <c r="C135" s="27"/>
      <c r="D135" s="6"/>
      <c r="E135" s="7"/>
      <c r="F135" s="6"/>
      <c r="G135" s="6"/>
      <c r="H135" s="7"/>
      <c r="I135" s="6"/>
      <c r="J135" s="6"/>
      <c r="K135" s="7"/>
      <c r="L135" s="6"/>
      <c r="M135" s="6"/>
      <c r="N135" s="7"/>
      <c r="O135" s="6"/>
      <c r="P135" s="6"/>
      <c r="Q135" s="7"/>
      <c r="R135" s="6"/>
      <c r="S135" s="6"/>
      <c r="T135" s="7"/>
      <c r="U135" s="6"/>
      <c r="V135" s="6"/>
      <c r="W135" s="7"/>
      <c r="X135" s="6"/>
      <c r="Y135" s="6"/>
      <c r="AA135" s="4"/>
      <c r="AB135" s="4" t="str">
        <f t="shared" si="79"/>
        <v/>
      </c>
      <c r="AC135" s="4"/>
      <c r="AD135" s="4" t="str">
        <f t="shared" si="80"/>
        <v/>
      </c>
      <c r="AE135" s="4"/>
      <c r="AF135" s="4" t="str">
        <f t="shared" si="81"/>
        <v/>
      </c>
      <c r="AG135" s="4"/>
    </row>
    <row r="136" spans="1:33" x14ac:dyDescent="0.25">
      <c r="B136" s="2" t="str">
        <f t="shared" ref="B136" si="162">_xlfn.CONCAT("@",AA136,AB136,AC136,AD136,AE136,AF136,AG136)</f>
        <v>@color-trunk_case_bicycle_no_default</v>
      </c>
      <c r="C136" s="137" t="s">
        <v>231</v>
      </c>
      <c r="D136" s="72" t="s">
        <v>217</v>
      </c>
      <c r="F136" s="72" t="s">
        <v>217</v>
      </c>
      <c r="G136" s="72" t="s">
        <v>217</v>
      </c>
      <c r="I136" s="138" t="str">
        <f>C136</f>
        <v>"#bd430f"</v>
      </c>
      <c r="J136" s="37" t="str">
        <f>D136</f>
        <v>"#000000"</v>
      </c>
      <c r="U136" s="138" t="str">
        <f>C136</f>
        <v>"#bd430f"</v>
      </c>
      <c r="V136" s="37" t="str">
        <f>D136</f>
        <v>"#000000"</v>
      </c>
      <c r="AA136" s="28" t="s">
        <v>6</v>
      </c>
      <c r="AB136" s="2" t="str">
        <f t="shared" si="79"/>
        <v>-</v>
      </c>
      <c r="AC136" s="2" t="s">
        <v>19</v>
      </c>
      <c r="AD136" s="2" t="str">
        <f t="shared" ref="AD136" si="163">IF(NOT(ISBLANK(AE136)),"_","")</f>
        <v>_</v>
      </c>
      <c r="AE136" s="28" t="s">
        <v>17</v>
      </c>
      <c r="AF136" s="2" t="str">
        <f t="shared" ref="AF136" si="164">IF(NOT(ISBLANK(AG136)),"_","")</f>
        <v>_</v>
      </c>
      <c r="AG136" s="28" t="s">
        <v>328</v>
      </c>
    </row>
    <row r="137" spans="1:33" x14ac:dyDescent="0.25">
      <c r="B137" s="2" t="str">
        <f t="shared" ref="B137" si="165">_xlfn.CONCAT("@",AA137,AB137,AC137,AD137,AE137,AF137,AG137)</f>
        <v>@color-trunk_case_bicycle_no_farzoom</v>
      </c>
      <c r="C137" s="137" t="s">
        <v>231</v>
      </c>
      <c r="D137" s="72" t="s">
        <v>217</v>
      </c>
      <c r="F137" s="137" t="s">
        <v>231</v>
      </c>
      <c r="G137" s="137" t="s">
        <v>231</v>
      </c>
      <c r="I137" s="138" t="str">
        <f>C137</f>
        <v>"#bd430f"</v>
      </c>
      <c r="J137" s="37" t="str">
        <f>D137</f>
        <v>"#000000"</v>
      </c>
      <c r="U137" s="138" t="str">
        <f>C137</f>
        <v>"#bd430f"</v>
      </c>
      <c r="V137" s="37" t="str">
        <f>D137</f>
        <v>"#000000"</v>
      </c>
      <c r="AA137" s="28" t="s">
        <v>6</v>
      </c>
      <c r="AB137" s="2" t="str">
        <f t="shared" ref="AB137" si="166">IF(NOT(ISBLANK(AC137)),"-","")</f>
        <v>-</v>
      </c>
      <c r="AC137" s="2" t="s">
        <v>19</v>
      </c>
      <c r="AD137" s="2" t="str">
        <f t="shared" ref="AD137" si="167">IF(NOT(ISBLANK(AE137)),"_","")</f>
        <v>_</v>
      </c>
      <c r="AE137" s="28" t="s">
        <v>17</v>
      </c>
      <c r="AF137" s="2" t="str">
        <f t="shared" ref="AF137" si="168">IF(NOT(ISBLANK(AG137)),"_","")</f>
        <v>_</v>
      </c>
      <c r="AG137" s="28" t="s">
        <v>327</v>
      </c>
    </row>
    <row r="138" spans="1:33" x14ac:dyDescent="0.25">
      <c r="B138" s="2" t="str">
        <f>_xlfn.CONCAT("@",AA138,AB138,AC138,AD138,AE138,AF138,AG138)</f>
        <v>@color-trunk_case_unpaved_farzoom</v>
      </c>
      <c r="C138" s="139" t="s">
        <v>232</v>
      </c>
      <c r="D138" s="140" t="s">
        <v>236</v>
      </c>
      <c r="F138" s="140" t="s">
        <v>236</v>
      </c>
      <c r="G138" s="139" t="s">
        <v>232</v>
      </c>
      <c r="I138" s="139" t="s">
        <v>232</v>
      </c>
      <c r="J138" s="140" t="s">
        <v>236</v>
      </c>
      <c r="U138" s="44"/>
      <c r="V138" s="44"/>
      <c r="X138" s="44"/>
      <c r="Y138" s="44"/>
      <c r="AA138" s="28" t="s">
        <v>6</v>
      </c>
      <c r="AB138" s="2" t="str">
        <f>IF(NOT(ISBLANK(AC138)),"-","")</f>
        <v>-</v>
      </c>
      <c r="AC138" s="2" t="s">
        <v>19</v>
      </c>
      <c r="AD138" s="2" t="str">
        <f>IF(NOT(ISBLANK(AE138)),"_","")</f>
        <v>_</v>
      </c>
      <c r="AE138" s="28" t="s">
        <v>17</v>
      </c>
      <c r="AF138" s="2" t="str">
        <f>IF(NOT(ISBLANK(AG138)),"_","")</f>
        <v>_</v>
      </c>
      <c r="AG138" s="28" t="s">
        <v>235</v>
      </c>
    </row>
    <row r="139" spans="1:33" x14ac:dyDescent="0.25">
      <c r="B139" s="2" t="str">
        <f t="shared" ref="B139:B237" si="169">_xlfn.CONCAT("@",AA139,AB139,AC139,AD139,AE139,AF139,AG139)</f>
        <v>@color-trunk_case_unpaved_default</v>
      </c>
      <c r="C139" s="141" t="s">
        <v>220</v>
      </c>
      <c r="D139" s="72" t="s">
        <v>217</v>
      </c>
      <c r="F139" s="72" t="s">
        <v>217</v>
      </c>
      <c r="G139" s="72" t="s">
        <v>217</v>
      </c>
      <c r="I139" s="141" t="s">
        <v>220</v>
      </c>
      <c r="J139" s="72" t="s">
        <v>217</v>
      </c>
      <c r="U139" s="44"/>
      <c r="V139" s="44"/>
      <c r="X139" s="44"/>
      <c r="Y139" s="44"/>
      <c r="AA139" s="28" t="s">
        <v>6</v>
      </c>
      <c r="AB139" s="28" t="str">
        <f t="shared" si="79"/>
        <v>-</v>
      </c>
      <c r="AC139" s="2" t="s">
        <v>19</v>
      </c>
      <c r="AD139" s="28" t="str">
        <f t="shared" si="80"/>
        <v>_</v>
      </c>
      <c r="AE139" s="28" t="s">
        <v>17</v>
      </c>
      <c r="AF139" s="28" t="str">
        <f t="shared" si="81"/>
        <v>_</v>
      </c>
      <c r="AG139" s="28" t="s">
        <v>270</v>
      </c>
    </row>
    <row r="140" spans="1:33" x14ac:dyDescent="0.25">
      <c r="B140" s="2" t="str">
        <f t="shared" ref="B140" si="170">_xlfn.CONCAT("@",AA140,AB140,AC140,AD140,AE140,AF140,AG140)</f>
        <v>@color-trunk_case_paved_or_uk_farzoom</v>
      </c>
      <c r="C140" s="142" t="s">
        <v>233</v>
      </c>
      <c r="D140" s="72" t="s">
        <v>217</v>
      </c>
      <c r="F140" s="142" t="s">
        <v>233</v>
      </c>
      <c r="G140" s="142" t="s">
        <v>233</v>
      </c>
      <c r="I140" s="142" t="s">
        <v>233</v>
      </c>
      <c r="J140" s="72" t="s">
        <v>217</v>
      </c>
      <c r="U140" s="44"/>
      <c r="V140" s="44"/>
      <c r="X140" s="44"/>
      <c r="Y140" s="44"/>
      <c r="AA140" s="2" t="s">
        <v>6</v>
      </c>
      <c r="AB140" s="2" t="str">
        <f t="shared" si="79"/>
        <v>-</v>
      </c>
      <c r="AC140" s="2" t="s">
        <v>19</v>
      </c>
      <c r="AD140" s="2" t="str">
        <f t="shared" si="80"/>
        <v>_</v>
      </c>
      <c r="AE140" s="2" t="s">
        <v>17</v>
      </c>
      <c r="AF140" s="2" t="str">
        <f t="shared" si="81"/>
        <v>_</v>
      </c>
      <c r="AG140" s="2" t="s">
        <v>234</v>
      </c>
    </row>
    <row r="141" spans="1:33" x14ac:dyDescent="0.25">
      <c r="B141" s="2" t="str">
        <f t="shared" si="169"/>
        <v>@color-trunk_case_paved_or_uk_default</v>
      </c>
      <c r="C141" s="143" t="s">
        <v>221</v>
      </c>
      <c r="D141" s="72" t="s">
        <v>217</v>
      </c>
      <c r="F141" s="72" t="s">
        <v>217</v>
      </c>
      <c r="G141" s="72" t="s">
        <v>217</v>
      </c>
      <c r="I141" s="143" t="s">
        <v>221</v>
      </c>
      <c r="J141" s="72" t="s">
        <v>217</v>
      </c>
      <c r="U141" s="44"/>
      <c r="V141" s="44"/>
      <c r="X141" s="44"/>
      <c r="Y141" s="44"/>
      <c r="AA141" s="2" t="s">
        <v>6</v>
      </c>
      <c r="AB141" s="2" t="str">
        <f t="shared" si="79"/>
        <v>-</v>
      </c>
      <c r="AC141" s="2" t="s">
        <v>19</v>
      </c>
      <c r="AD141" s="2" t="str">
        <f t="shared" si="80"/>
        <v>_</v>
      </c>
      <c r="AE141" s="2" t="s">
        <v>17</v>
      </c>
      <c r="AF141" s="2" t="str">
        <f t="shared" si="81"/>
        <v>_</v>
      </c>
      <c r="AG141" s="2" t="s">
        <v>271</v>
      </c>
    </row>
    <row r="142" spans="1:33" x14ac:dyDescent="0.25">
      <c r="B142" s="2" t="str">
        <f t="shared" si="169"/>
        <v>@color-trunk_line_default</v>
      </c>
      <c r="C142" s="144" t="s">
        <v>222</v>
      </c>
      <c r="D142" s="145" t="s">
        <v>223</v>
      </c>
      <c r="F142" s="144" t="s">
        <v>222</v>
      </c>
      <c r="G142" s="145" t="s">
        <v>223</v>
      </c>
      <c r="I142" s="44"/>
      <c r="J142" s="44"/>
      <c r="L142" s="44"/>
      <c r="M142" s="44"/>
      <c r="U142" s="146" t="str">
        <f>C142</f>
        <v>"#ffeeaa"</v>
      </c>
      <c r="V142" s="147" t="str">
        <f>D142</f>
        <v>"#ffc72e"</v>
      </c>
      <c r="AA142" s="2" t="s">
        <v>6</v>
      </c>
      <c r="AB142" s="2" t="str">
        <f t="shared" si="79"/>
        <v>-</v>
      </c>
      <c r="AC142" s="2" t="s">
        <v>19</v>
      </c>
      <c r="AD142" s="2" t="str">
        <f t="shared" si="80"/>
        <v>_</v>
      </c>
      <c r="AE142" s="2" t="s">
        <v>13</v>
      </c>
      <c r="AF142" s="2" t="str">
        <f t="shared" si="81"/>
        <v>_</v>
      </c>
      <c r="AG142" s="2" t="s">
        <v>269</v>
      </c>
    </row>
    <row r="143" spans="1:33" x14ac:dyDescent="0.25">
      <c r="B143" s="2" t="str">
        <f t="shared" si="169"/>
        <v>@color-trunk_line_bicycle_no</v>
      </c>
      <c r="C143" s="133" t="s">
        <v>216</v>
      </c>
      <c r="D143" s="134" t="s">
        <v>218</v>
      </c>
      <c r="F143" s="133" t="s">
        <v>216</v>
      </c>
      <c r="G143" s="134" t="s">
        <v>218</v>
      </c>
      <c r="I143" s="135" t="str">
        <f>C143</f>
        <v>"#ffcc88"</v>
      </c>
      <c r="J143" s="136" t="str">
        <f>D143</f>
        <v>"#d6771e"</v>
      </c>
      <c r="U143" s="135" t="str">
        <f>C143</f>
        <v>"#ffcc88"</v>
      </c>
      <c r="V143" s="136" t="str">
        <f>D143</f>
        <v>"#d6771e"</v>
      </c>
      <c r="AA143" s="2" t="s">
        <v>6</v>
      </c>
      <c r="AB143" s="2" t="str">
        <f t="shared" si="79"/>
        <v>-</v>
      </c>
      <c r="AC143" s="2" t="s">
        <v>19</v>
      </c>
      <c r="AD143" s="2" t="str">
        <f t="shared" si="80"/>
        <v>_</v>
      </c>
      <c r="AE143" s="2" t="s">
        <v>13</v>
      </c>
      <c r="AF143" s="2" t="str">
        <f t="shared" si="81"/>
        <v>_</v>
      </c>
      <c r="AG143" s="2" t="s">
        <v>24</v>
      </c>
    </row>
    <row r="144" spans="1:33" x14ac:dyDescent="0.25">
      <c r="B144" s="2" t="str">
        <f t="shared" si="169"/>
        <v>@color-trunk_line_unpaved_default</v>
      </c>
      <c r="C144" s="148" t="s">
        <v>226</v>
      </c>
      <c r="D144" s="149" t="str">
        <f>C144</f>
        <v>"#eddfca"</v>
      </c>
      <c r="F144" s="148" t="s">
        <v>226</v>
      </c>
      <c r="G144" s="149" t="str">
        <f>F144</f>
        <v>"#eddfca"</v>
      </c>
      <c r="I144" s="148" t="s">
        <v>226</v>
      </c>
      <c r="J144" s="149" t="str">
        <f>I144</f>
        <v>"#eddfca"</v>
      </c>
      <c r="U144" s="44"/>
      <c r="V144" s="44"/>
      <c r="X144" s="44"/>
      <c r="Y144" s="44"/>
      <c r="AA144" s="2" t="s">
        <v>6</v>
      </c>
      <c r="AB144" s="2" t="str">
        <f t="shared" si="79"/>
        <v>-</v>
      </c>
      <c r="AC144" s="2" t="s">
        <v>19</v>
      </c>
      <c r="AD144" s="2" t="str">
        <f t="shared" si="80"/>
        <v>_</v>
      </c>
      <c r="AE144" s="2" t="s">
        <v>13</v>
      </c>
      <c r="AF144" s="2" t="str">
        <f t="shared" si="81"/>
        <v>_</v>
      </c>
      <c r="AG144" s="2" t="s">
        <v>270</v>
      </c>
    </row>
    <row r="145" spans="1:33" x14ac:dyDescent="0.25">
      <c r="B145" s="2" t="str">
        <f t="shared" si="169"/>
        <v>@color-trunk_line_paved_or_uk_default</v>
      </c>
      <c r="C145" s="71" t="s">
        <v>227</v>
      </c>
      <c r="D145" s="38" t="str">
        <f>C145</f>
        <v>"#ffffff"</v>
      </c>
      <c r="F145" s="71" t="s">
        <v>227</v>
      </c>
      <c r="G145" s="38" t="str">
        <f>F145</f>
        <v>"#ffffff"</v>
      </c>
      <c r="I145" s="71" t="s">
        <v>227</v>
      </c>
      <c r="J145" s="38" t="str">
        <f>I145</f>
        <v>"#ffffff"</v>
      </c>
      <c r="U145" s="44"/>
      <c r="V145" s="44"/>
      <c r="X145" s="44"/>
      <c r="Y145" s="44"/>
      <c r="AA145" s="28" t="s">
        <v>6</v>
      </c>
      <c r="AB145" s="28" t="str">
        <f t="shared" si="79"/>
        <v>-</v>
      </c>
      <c r="AC145" s="28" t="s">
        <v>19</v>
      </c>
      <c r="AD145" s="28" t="str">
        <f t="shared" si="80"/>
        <v>_</v>
      </c>
      <c r="AE145" s="28" t="s">
        <v>13</v>
      </c>
      <c r="AF145" s="28" t="str">
        <f t="shared" si="81"/>
        <v>_</v>
      </c>
      <c r="AG145" s="28" t="s">
        <v>271</v>
      </c>
    </row>
    <row r="146" spans="1:33" x14ac:dyDescent="0.25">
      <c r="B146" s="2"/>
      <c r="AB146" s="28" t="str">
        <f t="shared" si="79"/>
        <v/>
      </c>
      <c r="AD146" s="28" t="str">
        <f t="shared" si="80"/>
        <v/>
      </c>
      <c r="AF146" s="28" t="str">
        <f t="shared" si="81"/>
        <v/>
      </c>
    </row>
    <row r="147" spans="1:33" s="2" customFormat="1" x14ac:dyDescent="0.25">
      <c r="A147" s="3" t="s">
        <v>47</v>
      </c>
      <c r="B147" s="3"/>
      <c r="C147" s="27"/>
      <c r="D147" s="6"/>
      <c r="E147" s="7"/>
      <c r="F147" s="6"/>
      <c r="G147" s="6"/>
      <c r="H147" s="7"/>
      <c r="I147" s="6"/>
      <c r="J147" s="6"/>
      <c r="K147" s="7"/>
      <c r="L147" s="6"/>
      <c r="M147" s="6"/>
      <c r="N147" s="7"/>
      <c r="O147" s="6"/>
      <c r="P147" s="6"/>
      <c r="Q147" s="7"/>
      <c r="R147" s="6"/>
      <c r="S147" s="6"/>
      <c r="T147" s="7"/>
      <c r="U147" s="6"/>
      <c r="V147" s="6"/>
      <c r="W147" s="7"/>
      <c r="X147" s="6"/>
      <c r="Y147" s="6"/>
      <c r="AA147" s="4"/>
      <c r="AB147" s="4" t="str">
        <f t="shared" si="79"/>
        <v/>
      </c>
      <c r="AC147" s="4"/>
      <c r="AD147" s="4" t="str">
        <f t="shared" si="80"/>
        <v/>
      </c>
      <c r="AE147" s="4"/>
      <c r="AF147" s="4" t="str">
        <f t="shared" si="81"/>
        <v/>
      </c>
      <c r="AG147" s="4"/>
    </row>
    <row r="148" spans="1:33" x14ac:dyDescent="0.25">
      <c r="B148" s="2" t="str">
        <f t="shared" si="169"/>
        <v>@color-primary_case_bicycle_no_default</v>
      </c>
      <c r="C148" s="137" t="s">
        <v>231</v>
      </c>
      <c r="D148" s="72" t="s">
        <v>217</v>
      </c>
      <c r="F148" s="72" t="s">
        <v>217</v>
      </c>
      <c r="G148" s="72" t="s">
        <v>217</v>
      </c>
      <c r="I148" s="138" t="str">
        <f>C148</f>
        <v>"#bd430f"</v>
      </c>
      <c r="J148" s="37" t="str">
        <f>D148</f>
        <v>"#000000"</v>
      </c>
      <c r="U148" s="138" t="str">
        <f>C148</f>
        <v>"#bd430f"</v>
      </c>
      <c r="V148" s="37" t="str">
        <f>D148</f>
        <v>"#000000"</v>
      </c>
      <c r="AA148" s="28" t="s">
        <v>6</v>
      </c>
      <c r="AB148" s="2" t="str">
        <f t="shared" ref="AB148:AB218" si="171">IF(NOT(ISBLANK(AC148)),"-","")</f>
        <v>-</v>
      </c>
      <c r="AC148" s="2" t="s">
        <v>26</v>
      </c>
      <c r="AD148" s="2" t="str">
        <f t="shared" si="80"/>
        <v>_</v>
      </c>
      <c r="AE148" s="28" t="s">
        <v>17</v>
      </c>
      <c r="AF148" s="2" t="str">
        <f t="shared" si="81"/>
        <v>_</v>
      </c>
      <c r="AG148" s="28" t="s">
        <v>328</v>
      </c>
    </row>
    <row r="149" spans="1:33" x14ac:dyDescent="0.25">
      <c r="B149" s="2" t="str">
        <f t="shared" ref="B149" si="172">_xlfn.CONCAT("@",AA149,AB149,AC149,AD149,AE149,AF149,AG149)</f>
        <v>@color-primary_case_bicycle_no_farzoom</v>
      </c>
      <c r="C149" s="137" t="s">
        <v>231</v>
      </c>
      <c r="D149" s="72" t="s">
        <v>217</v>
      </c>
      <c r="F149" s="137" t="s">
        <v>231</v>
      </c>
      <c r="G149" s="137" t="s">
        <v>231</v>
      </c>
      <c r="I149" s="138" t="str">
        <f>C149</f>
        <v>"#bd430f"</v>
      </c>
      <c r="J149" s="37" t="str">
        <f>D149</f>
        <v>"#000000"</v>
      </c>
      <c r="U149" s="138" t="str">
        <f>C149</f>
        <v>"#bd430f"</v>
      </c>
      <c r="V149" s="37" t="str">
        <f>D149</f>
        <v>"#000000"</v>
      </c>
      <c r="AA149" s="28" t="s">
        <v>6</v>
      </c>
      <c r="AB149" s="2" t="str">
        <f t="shared" ref="AB149" si="173">IF(NOT(ISBLANK(AC149)),"-","")</f>
        <v>-</v>
      </c>
      <c r="AC149" s="2" t="s">
        <v>26</v>
      </c>
      <c r="AD149" s="2" t="str">
        <f t="shared" ref="AD149" si="174">IF(NOT(ISBLANK(AE149)),"_","")</f>
        <v>_</v>
      </c>
      <c r="AE149" s="28" t="s">
        <v>17</v>
      </c>
      <c r="AF149" s="2" t="str">
        <f t="shared" ref="AF149" si="175">IF(NOT(ISBLANK(AG149)),"_","")</f>
        <v>_</v>
      </c>
      <c r="AG149" s="28" t="s">
        <v>327</v>
      </c>
    </row>
    <row r="150" spans="1:33" x14ac:dyDescent="0.25">
      <c r="B150" s="2" t="str">
        <f>_xlfn.CONCAT("@",AA150,AB150,AC150,AD150,AE150,AF150,AG150)</f>
        <v>@color-primary_case_unpaved_farzoom</v>
      </c>
      <c r="C150" s="139" t="s">
        <v>232</v>
      </c>
      <c r="D150" s="140" t="s">
        <v>236</v>
      </c>
      <c r="F150" s="140" t="s">
        <v>236</v>
      </c>
      <c r="G150" s="139" t="s">
        <v>232</v>
      </c>
      <c r="I150" s="139" t="s">
        <v>232</v>
      </c>
      <c r="J150" s="140" t="s">
        <v>236</v>
      </c>
      <c r="U150" s="44"/>
      <c r="V150" s="44"/>
      <c r="X150" s="44"/>
      <c r="Y150" s="44"/>
      <c r="AA150" s="28" t="s">
        <v>6</v>
      </c>
      <c r="AB150" s="2" t="str">
        <f>IF(NOT(ISBLANK(AC150)),"-","")</f>
        <v>-</v>
      </c>
      <c r="AC150" s="2" t="s">
        <v>26</v>
      </c>
      <c r="AD150" s="2" t="str">
        <f>IF(NOT(ISBLANK(AE150)),"_","")</f>
        <v>_</v>
      </c>
      <c r="AE150" s="28" t="s">
        <v>17</v>
      </c>
      <c r="AF150" s="2" t="str">
        <f>IF(NOT(ISBLANK(AG150)),"_","")</f>
        <v>_</v>
      </c>
      <c r="AG150" s="28" t="s">
        <v>235</v>
      </c>
    </row>
    <row r="151" spans="1:33" x14ac:dyDescent="0.25">
      <c r="B151" s="2" t="str">
        <f t="shared" si="169"/>
        <v>@color-primary_case_unpaved_default</v>
      </c>
      <c r="C151" s="141" t="s">
        <v>220</v>
      </c>
      <c r="D151" s="140" t="s">
        <v>236</v>
      </c>
      <c r="F151" s="72" t="s">
        <v>217</v>
      </c>
      <c r="G151" s="72" t="s">
        <v>217</v>
      </c>
      <c r="I151" s="141" t="s">
        <v>220</v>
      </c>
      <c r="J151" s="140" t="s">
        <v>236</v>
      </c>
      <c r="U151" s="44"/>
      <c r="V151" s="44"/>
      <c r="X151" s="44"/>
      <c r="Y151" s="44"/>
      <c r="AA151" s="28" t="s">
        <v>6</v>
      </c>
      <c r="AB151" s="2" t="str">
        <f t="shared" si="171"/>
        <v>-</v>
      </c>
      <c r="AC151" s="2" t="s">
        <v>26</v>
      </c>
      <c r="AD151" s="2" t="str">
        <f t="shared" si="80"/>
        <v>_</v>
      </c>
      <c r="AE151" s="28" t="s">
        <v>17</v>
      </c>
      <c r="AF151" s="2" t="str">
        <f t="shared" si="81"/>
        <v>_</v>
      </c>
      <c r="AG151" s="28" t="s">
        <v>270</v>
      </c>
    </row>
    <row r="152" spans="1:33" x14ac:dyDescent="0.25">
      <c r="B152" s="2" t="str">
        <f t="shared" si="169"/>
        <v>@color-primary_case_paved_or_uk_farzoom</v>
      </c>
      <c r="C152" s="142" t="s">
        <v>233</v>
      </c>
      <c r="D152" s="72" t="s">
        <v>217</v>
      </c>
      <c r="F152" s="142" t="s">
        <v>233</v>
      </c>
      <c r="G152" s="142" t="s">
        <v>233</v>
      </c>
      <c r="I152" s="142" t="s">
        <v>233</v>
      </c>
      <c r="J152" s="72" t="s">
        <v>217</v>
      </c>
      <c r="U152" s="44"/>
      <c r="V152" s="44"/>
      <c r="X152" s="44"/>
      <c r="Y152" s="44"/>
      <c r="AA152" s="2" t="s">
        <v>6</v>
      </c>
      <c r="AB152" s="2" t="str">
        <f t="shared" si="171"/>
        <v>-</v>
      </c>
      <c r="AC152" s="2" t="s">
        <v>26</v>
      </c>
      <c r="AD152" s="2" t="str">
        <f t="shared" ref="AD152" si="176">IF(NOT(ISBLANK(AE152)),"_","")</f>
        <v>_</v>
      </c>
      <c r="AE152" s="2" t="s">
        <v>17</v>
      </c>
      <c r="AF152" s="2" t="str">
        <f t="shared" ref="AF152" si="177">IF(NOT(ISBLANK(AG152)),"_","")</f>
        <v>_</v>
      </c>
      <c r="AG152" s="2" t="s">
        <v>234</v>
      </c>
    </row>
    <row r="153" spans="1:33" x14ac:dyDescent="0.25">
      <c r="B153" s="2" t="str">
        <f t="shared" si="169"/>
        <v>@color-primary_case_paved_or_uk_default</v>
      </c>
      <c r="C153" s="143" t="s">
        <v>221</v>
      </c>
      <c r="D153" s="72" t="s">
        <v>217</v>
      </c>
      <c r="F153" s="72" t="s">
        <v>217</v>
      </c>
      <c r="G153" s="72" t="s">
        <v>217</v>
      </c>
      <c r="I153" s="143" t="s">
        <v>221</v>
      </c>
      <c r="J153" s="72" t="s">
        <v>217</v>
      </c>
      <c r="U153" s="44"/>
      <c r="V153" s="44"/>
      <c r="X153" s="44"/>
      <c r="Y153" s="44"/>
      <c r="AA153" s="2" t="s">
        <v>6</v>
      </c>
      <c r="AB153" s="2" t="str">
        <f t="shared" si="171"/>
        <v>-</v>
      </c>
      <c r="AC153" s="28" t="s">
        <v>26</v>
      </c>
      <c r="AD153" s="2" t="str">
        <f t="shared" ref="AD153:AD218" si="178">IF(NOT(ISBLANK(AE153)),"_","")</f>
        <v>_</v>
      </c>
      <c r="AE153" s="2" t="s">
        <v>17</v>
      </c>
      <c r="AF153" s="2" t="str">
        <f t="shared" ref="AF153:AF218" si="179">IF(NOT(ISBLANK(AG153)),"_","")</f>
        <v>_</v>
      </c>
      <c r="AG153" s="2" t="s">
        <v>271</v>
      </c>
    </row>
    <row r="154" spans="1:33" x14ac:dyDescent="0.25">
      <c r="B154" s="2" t="str">
        <f t="shared" si="169"/>
        <v>@color-primary_line_bicycle_no</v>
      </c>
      <c r="C154" s="150" t="s">
        <v>238</v>
      </c>
      <c r="D154" s="134" t="s">
        <v>218</v>
      </c>
      <c r="F154" s="150" t="s">
        <v>238</v>
      </c>
      <c r="G154" s="134" t="s">
        <v>218</v>
      </c>
      <c r="I154" s="151" t="str">
        <f>C154</f>
        <v>"#ffcc8a"</v>
      </c>
      <c r="J154" s="136" t="str">
        <f>D154</f>
        <v>"#d6771e"</v>
      </c>
      <c r="U154" s="151" t="str">
        <f>C154</f>
        <v>"#ffcc8a"</v>
      </c>
      <c r="V154" s="136" t="str">
        <f>D154</f>
        <v>"#d6771e"</v>
      </c>
      <c r="AA154" s="28" t="s">
        <v>6</v>
      </c>
      <c r="AB154" s="2" t="str">
        <f t="shared" si="171"/>
        <v>-</v>
      </c>
      <c r="AC154" s="28" t="s">
        <v>26</v>
      </c>
      <c r="AD154" s="2" t="str">
        <f t="shared" si="178"/>
        <v>_</v>
      </c>
      <c r="AE154" s="28" t="s">
        <v>13</v>
      </c>
      <c r="AF154" s="2" t="str">
        <f t="shared" si="179"/>
        <v>_</v>
      </c>
      <c r="AG154" s="28" t="s">
        <v>24</v>
      </c>
    </row>
    <row r="155" spans="1:33" x14ac:dyDescent="0.25">
      <c r="B155" s="2" t="str">
        <f t="shared" si="169"/>
        <v>@color-primary_line_unpaved_default</v>
      </c>
      <c r="C155" s="148" t="s">
        <v>226</v>
      </c>
      <c r="D155" s="149" t="str">
        <f>C155</f>
        <v>"#eddfca"</v>
      </c>
      <c r="F155" s="148" t="s">
        <v>226</v>
      </c>
      <c r="G155" s="149" t="str">
        <f>F155</f>
        <v>"#eddfca"</v>
      </c>
      <c r="I155" s="148" t="s">
        <v>226</v>
      </c>
      <c r="J155" s="149" t="str">
        <f>I155</f>
        <v>"#eddfca"</v>
      </c>
      <c r="U155" s="44"/>
      <c r="V155" s="44"/>
      <c r="X155" s="44"/>
      <c r="Y155" s="44"/>
      <c r="AA155" s="2" t="s">
        <v>6</v>
      </c>
      <c r="AB155" s="2" t="str">
        <f t="shared" si="171"/>
        <v>-</v>
      </c>
      <c r="AC155" s="2" t="s">
        <v>26</v>
      </c>
      <c r="AD155" s="2" t="str">
        <f t="shared" si="178"/>
        <v>_</v>
      </c>
      <c r="AE155" s="2" t="s">
        <v>13</v>
      </c>
      <c r="AF155" s="2" t="str">
        <f t="shared" si="179"/>
        <v>_</v>
      </c>
      <c r="AG155" s="2" t="s">
        <v>270</v>
      </c>
    </row>
    <row r="156" spans="1:33" x14ac:dyDescent="0.25">
      <c r="B156" s="2" t="str">
        <f t="shared" si="169"/>
        <v>@color-primary_line_paved_or_uk_default</v>
      </c>
      <c r="C156" s="71" t="s">
        <v>227</v>
      </c>
      <c r="D156" s="38" t="str">
        <f>C156</f>
        <v>"#ffffff"</v>
      </c>
      <c r="F156" s="71" t="s">
        <v>227</v>
      </c>
      <c r="G156" s="38" t="str">
        <f>F156</f>
        <v>"#ffffff"</v>
      </c>
      <c r="I156" s="71" t="s">
        <v>227</v>
      </c>
      <c r="J156" s="38" t="str">
        <f>I156</f>
        <v>"#ffffff"</v>
      </c>
      <c r="U156" s="44"/>
      <c r="V156" s="44"/>
      <c r="X156" s="44"/>
      <c r="Y156" s="44"/>
      <c r="AA156" s="2" t="s">
        <v>6</v>
      </c>
      <c r="AB156" s="2" t="str">
        <f t="shared" si="171"/>
        <v>-</v>
      </c>
      <c r="AC156" s="2" t="s">
        <v>26</v>
      </c>
      <c r="AD156" s="2" t="str">
        <f t="shared" si="178"/>
        <v>_</v>
      </c>
      <c r="AE156" s="2" t="s">
        <v>13</v>
      </c>
      <c r="AF156" s="2" t="str">
        <f t="shared" si="179"/>
        <v>_</v>
      </c>
      <c r="AG156" s="2" t="s">
        <v>271</v>
      </c>
    </row>
    <row r="157" spans="1:33" x14ac:dyDescent="0.25">
      <c r="B157" s="2"/>
      <c r="C157" s="26"/>
      <c r="D157" s="26"/>
      <c r="I157" s="26"/>
      <c r="AB157" s="2"/>
      <c r="AD157" s="2"/>
      <c r="AF157" s="2" t="str">
        <f t="shared" ref="AF157:AF166" si="180">IF(NOT(ISBLANK(AG157)),"_","")</f>
        <v/>
      </c>
    </row>
    <row r="158" spans="1:33" x14ac:dyDescent="0.25">
      <c r="B158" s="2" t="str">
        <f t="shared" ref="B158:B166" si="181">_xlfn.CONCAT("@",AA158,AB158,AC158,AD158,AE158,AF158,AG158)</f>
        <v>@color-secondary_case_bicycle_no_default</v>
      </c>
      <c r="C158" s="137" t="s">
        <v>231</v>
      </c>
      <c r="D158" s="72" t="s">
        <v>217</v>
      </c>
      <c r="F158" s="72" t="s">
        <v>217</v>
      </c>
      <c r="G158" s="72" t="s">
        <v>217</v>
      </c>
      <c r="I158" s="138" t="str">
        <f>C158</f>
        <v>"#bd430f"</v>
      </c>
      <c r="J158" s="37" t="str">
        <f>D158</f>
        <v>"#000000"</v>
      </c>
      <c r="U158" s="138" t="str">
        <f>C158</f>
        <v>"#bd430f"</v>
      </c>
      <c r="V158" s="37" t="str">
        <f>D158</f>
        <v>"#000000"</v>
      </c>
      <c r="AA158" s="28" t="s">
        <v>6</v>
      </c>
      <c r="AB158" s="2" t="str">
        <f t="shared" ref="AB158:AB166" si="182">IF(NOT(ISBLANK(AC158)),"-","")</f>
        <v>-</v>
      </c>
      <c r="AC158" s="2" t="s">
        <v>28</v>
      </c>
      <c r="AD158" s="2" t="str">
        <f t="shared" ref="AD158:AD166" si="183">IF(NOT(ISBLANK(AE158)),"_","")</f>
        <v>_</v>
      </c>
      <c r="AE158" s="28" t="s">
        <v>17</v>
      </c>
      <c r="AF158" s="2" t="str">
        <f t="shared" si="180"/>
        <v>_</v>
      </c>
      <c r="AG158" s="28" t="s">
        <v>328</v>
      </c>
    </row>
    <row r="159" spans="1:33" x14ac:dyDescent="0.25">
      <c r="B159" s="2" t="str">
        <f t="shared" ref="B159" si="184">_xlfn.CONCAT("@",AA159,AB159,AC159,AD159,AE159,AF159,AG159)</f>
        <v>@color-secondary_case_bicycle_no_farzoom</v>
      </c>
      <c r="C159" s="137" t="s">
        <v>231</v>
      </c>
      <c r="D159" s="72" t="s">
        <v>217</v>
      </c>
      <c r="F159" s="137" t="s">
        <v>231</v>
      </c>
      <c r="G159" s="137" t="s">
        <v>231</v>
      </c>
      <c r="I159" s="138" t="str">
        <f>C159</f>
        <v>"#bd430f"</v>
      </c>
      <c r="J159" s="37" t="str">
        <f>D159</f>
        <v>"#000000"</v>
      </c>
      <c r="U159" s="138" t="str">
        <f>C159</f>
        <v>"#bd430f"</v>
      </c>
      <c r="V159" s="37" t="str">
        <f>D159</f>
        <v>"#000000"</v>
      </c>
      <c r="AA159" s="28" t="s">
        <v>6</v>
      </c>
      <c r="AB159" s="2" t="str">
        <f t="shared" ref="AB159" si="185">IF(NOT(ISBLANK(AC159)),"-","")</f>
        <v>-</v>
      </c>
      <c r="AC159" s="2" t="s">
        <v>28</v>
      </c>
      <c r="AD159" s="2" t="str">
        <f t="shared" ref="AD159" si="186">IF(NOT(ISBLANK(AE159)),"_","")</f>
        <v>_</v>
      </c>
      <c r="AE159" s="28" t="s">
        <v>17</v>
      </c>
      <c r="AF159" s="2" t="str">
        <f t="shared" ref="AF159" si="187">IF(NOT(ISBLANK(AG159)),"_","")</f>
        <v>_</v>
      </c>
      <c r="AG159" s="28" t="s">
        <v>327</v>
      </c>
    </row>
    <row r="160" spans="1:33" x14ac:dyDescent="0.25">
      <c r="B160" s="2" t="str">
        <f>_xlfn.CONCAT("@",AA160,AB160,AC160,AD160,AE160,AF160,AG160)</f>
        <v>@color-secondary_case_unpaved_farzoom</v>
      </c>
      <c r="C160" s="139" t="s">
        <v>232</v>
      </c>
      <c r="D160" s="140" t="s">
        <v>236</v>
      </c>
      <c r="F160" s="140" t="s">
        <v>236</v>
      </c>
      <c r="G160" s="139" t="s">
        <v>232</v>
      </c>
      <c r="I160" s="139" t="s">
        <v>232</v>
      </c>
      <c r="J160" s="140" t="s">
        <v>236</v>
      </c>
      <c r="U160" s="44"/>
      <c r="V160" s="44"/>
      <c r="X160" s="44"/>
      <c r="Y160" s="44"/>
      <c r="AA160" s="28" t="s">
        <v>6</v>
      </c>
      <c r="AB160" s="2" t="str">
        <f>IF(NOT(ISBLANK(AC160)),"-","")</f>
        <v>-</v>
      </c>
      <c r="AC160" s="2" t="s">
        <v>28</v>
      </c>
      <c r="AD160" s="2" t="str">
        <f>IF(NOT(ISBLANK(AE160)),"_","")</f>
        <v>_</v>
      </c>
      <c r="AE160" s="28" t="s">
        <v>17</v>
      </c>
      <c r="AF160" s="2" t="str">
        <f>IF(NOT(ISBLANK(AG160)),"_","")</f>
        <v>_</v>
      </c>
      <c r="AG160" s="28" t="s">
        <v>235</v>
      </c>
    </row>
    <row r="161" spans="2:33" x14ac:dyDescent="0.25">
      <c r="B161" s="2" t="str">
        <f t="shared" si="181"/>
        <v>@color-secondary_case_unpaved_default</v>
      </c>
      <c r="C161" s="140" t="s">
        <v>236</v>
      </c>
      <c r="D161" s="140" t="s">
        <v>236</v>
      </c>
      <c r="F161" s="72" t="s">
        <v>217</v>
      </c>
      <c r="G161" s="72" t="s">
        <v>217</v>
      </c>
      <c r="I161" s="140" t="s">
        <v>236</v>
      </c>
      <c r="J161" s="140" t="s">
        <v>236</v>
      </c>
      <c r="U161" s="44"/>
      <c r="V161" s="44"/>
      <c r="X161" s="44"/>
      <c r="Y161" s="44"/>
      <c r="AA161" s="28" t="s">
        <v>6</v>
      </c>
      <c r="AB161" s="2" t="str">
        <f t="shared" si="182"/>
        <v>-</v>
      </c>
      <c r="AC161" s="2" t="s">
        <v>28</v>
      </c>
      <c r="AD161" s="2" t="str">
        <f t="shared" si="183"/>
        <v>_</v>
      </c>
      <c r="AE161" s="28" t="s">
        <v>17</v>
      </c>
      <c r="AF161" s="2" t="str">
        <f t="shared" si="180"/>
        <v>_</v>
      </c>
      <c r="AG161" s="28" t="s">
        <v>270</v>
      </c>
    </row>
    <row r="162" spans="2:33" x14ac:dyDescent="0.25">
      <c r="B162" s="2" t="str">
        <f t="shared" si="181"/>
        <v>@color-secondary_case_paved_or_uk_farzoom</v>
      </c>
      <c r="C162" s="142" t="s">
        <v>233</v>
      </c>
      <c r="D162" s="72" t="s">
        <v>217</v>
      </c>
      <c r="F162" s="142" t="s">
        <v>233</v>
      </c>
      <c r="G162" s="142" t="s">
        <v>233</v>
      </c>
      <c r="I162" s="142" t="s">
        <v>233</v>
      </c>
      <c r="J162" s="72" t="s">
        <v>217</v>
      </c>
      <c r="U162" s="44"/>
      <c r="V162" s="44"/>
      <c r="X162" s="44"/>
      <c r="Y162" s="44"/>
      <c r="AA162" s="2" t="s">
        <v>6</v>
      </c>
      <c r="AB162" s="2" t="str">
        <f t="shared" si="182"/>
        <v>-</v>
      </c>
      <c r="AC162" s="2" t="s">
        <v>28</v>
      </c>
      <c r="AD162" s="2" t="str">
        <f t="shared" si="183"/>
        <v>_</v>
      </c>
      <c r="AE162" s="2" t="s">
        <v>17</v>
      </c>
      <c r="AF162" s="2" t="str">
        <f t="shared" si="180"/>
        <v>_</v>
      </c>
      <c r="AG162" s="2" t="s">
        <v>234</v>
      </c>
    </row>
    <row r="163" spans="2:33" x14ac:dyDescent="0.25">
      <c r="B163" s="2" t="str">
        <f t="shared" si="181"/>
        <v>@color-secondary_case_paved_or_uk_default</v>
      </c>
      <c r="C163" s="152" t="s">
        <v>237</v>
      </c>
      <c r="D163" s="72" t="s">
        <v>217</v>
      </c>
      <c r="F163" s="72" t="s">
        <v>217</v>
      </c>
      <c r="G163" s="72" t="s">
        <v>217</v>
      </c>
      <c r="I163" s="152" t="s">
        <v>237</v>
      </c>
      <c r="J163" s="72" t="s">
        <v>217</v>
      </c>
      <c r="U163" s="44"/>
      <c r="V163" s="44"/>
      <c r="X163" s="44"/>
      <c r="Y163" s="44"/>
      <c r="AA163" s="2" t="s">
        <v>6</v>
      </c>
      <c r="AB163" s="2" t="str">
        <f t="shared" si="182"/>
        <v>-</v>
      </c>
      <c r="AC163" s="2" t="s">
        <v>28</v>
      </c>
      <c r="AD163" s="2" t="str">
        <f t="shared" si="183"/>
        <v>_</v>
      </c>
      <c r="AE163" s="2" t="s">
        <v>17</v>
      </c>
      <c r="AF163" s="2" t="str">
        <f t="shared" si="180"/>
        <v>_</v>
      </c>
      <c r="AG163" s="2" t="s">
        <v>271</v>
      </c>
    </row>
    <row r="164" spans="2:33" x14ac:dyDescent="0.25">
      <c r="B164" s="2" t="str">
        <f t="shared" si="181"/>
        <v>@color-secondary_line_bicycle_no</v>
      </c>
      <c r="C164" s="150" t="s">
        <v>238</v>
      </c>
      <c r="D164" s="134" t="s">
        <v>218</v>
      </c>
      <c r="F164" s="150" t="s">
        <v>238</v>
      </c>
      <c r="G164" s="134" t="s">
        <v>218</v>
      </c>
      <c r="I164" s="151" t="str">
        <f>C164</f>
        <v>"#ffcc8a"</v>
      </c>
      <c r="J164" s="136" t="str">
        <f>D164</f>
        <v>"#d6771e"</v>
      </c>
      <c r="U164" s="151" t="str">
        <f>C164</f>
        <v>"#ffcc8a"</v>
      </c>
      <c r="V164" s="136" t="str">
        <f>J164</f>
        <v>"#d6771e"</v>
      </c>
      <c r="AA164" s="28" t="s">
        <v>6</v>
      </c>
      <c r="AB164" s="2" t="str">
        <f t="shared" si="182"/>
        <v>-</v>
      </c>
      <c r="AC164" s="2" t="s">
        <v>28</v>
      </c>
      <c r="AD164" s="2" t="str">
        <f t="shared" si="183"/>
        <v>_</v>
      </c>
      <c r="AE164" s="28" t="s">
        <v>13</v>
      </c>
      <c r="AF164" s="2" t="str">
        <f t="shared" si="180"/>
        <v>_</v>
      </c>
      <c r="AG164" s="28" t="s">
        <v>24</v>
      </c>
    </row>
    <row r="165" spans="2:33" x14ac:dyDescent="0.25">
      <c r="B165" s="2" t="str">
        <f t="shared" si="181"/>
        <v>@color-secondary_line_unpaved_default</v>
      </c>
      <c r="C165" s="148" t="s">
        <v>226</v>
      </c>
      <c r="D165" s="149" t="str">
        <f>C165</f>
        <v>"#eddfca"</v>
      </c>
      <c r="F165" s="148" t="s">
        <v>226</v>
      </c>
      <c r="G165" s="149" t="str">
        <f>F165</f>
        <v>"#eddfca"</v>
      </c>
      <c r="I165" s="148" t="s">
        <v>226</v>
      </c>
      <c r="J165" s="149" t="str">
        <f>I165</f>
        <v>"#eddfca"</v>
      </c>
      <c r="U165" s="44"/>
      <c r="V165" s="44"/>
      <c r="X165" s="44"/>
      <c r="Y165" s="44"/>
      <c r="AA165" s="2" t="s">
        <v>6</v>
      </c>
      <c r="AB165" s="2" t="str">
        <f t="shared" si="182"/>
        <v>-</v>
      </c>
      <c r="AC165" s="2" t="s">
        <v>28</v>
      </c>
      <c r="AD165" s="2" t="str">
        <f t="shared" si="183"/>
        <v>_</v>
      </c>
      <c r="AE165" s="2" t="s">
        <v>13</v>
      </c>
      <c r="AF165" s="2" t="str">
        <f t="shared" si="180"/>
        <v>_</v>
      </c>
      <c r="AG165" s="2" t="s">
        <v>270</v>
      </c>
    </row>
    <row r="166" spans="2:33" x14ac:dyDescent="0.25">
      <c r="B166" s="2" t="str">
        <f t="shared" si="181"/>
        <v>@color-secondary_line_paved_or_uk_default</v>
      </c>
      <c r="C166" s="71" t="s">
        <v>227</v>
      </c>
      <c r="D166" s="38" t="str">
        <f>C166</f>
        <v>"#ffffff"</v>
      </c>
      <c r="F166" s="71" t="s">
        <v>227</v>
      </c>
      <c r="G166" s="38" t="str">
        <f>F166</f>
        <v>"#ffffff"</v>
      </c>
      <c r="I166" s="71" t="s">
        <v>227</v>
      </c>
      <c r="J166" s="38" t="str">
        <f>I166</f>
        <v>"#ffffff"</v>
      </c>
      <c r="U166" s="44"/>
      <c r="V166" s="44"/>
      <c r="X166" s="44"/>
      <c r="Y166" s="44"/>
      <c r="AA166" s="2" t="s">
        <v>6</v>
      </c>
      <c r="AB166" s="2" t="str">
        <f t="shared" si="182"/>
        <v>-</v>
      </c>
      <c r="AC166" s="2" t="s">
        <v>28</v>
      </c>
      <c r="AD166" s="2" t="str">
        <f t="shared" si="183"/>
        <v>_</v>
      </c>
      <c r="AE166" s="2" t="s">
        <v>13</v>
      </c>
      <c r="AF166" s="2" t="str">
        <f t="shared" si="180"/>
        <v>_</v>
      </c>
      <c r="AG166" s="2" t="s">
        <v>271</v>
      </c>
    </row>
    <row r="167" spans="2:33" x14ac:dyDescent="0.25">
      <c r="B167" s="2"/>
      <c r="C167" s="26"/>
      <c r="D167" s="26"/>
      <c r="I167" s="26"/>
      <c r="AB167" s="2"/>
      <c r="AD167" s="2"/>
      <c r="AF167" s="2" t="str">
        <f t="shared" si="179"/>
        <v/>
      </c>
    </row>
    <row r="168" spans="2:33" x14ac:dyDescent="0.25">
      <c r="B168" s="2" t="str">
        <f t="shared" si="169"/>
        <v>@color-tertiary_case_bicycle_no_default</v>
      </c>
      <c r="C168" s="137" t="s">
        <v>231</v>
      </c>
      <c r="D168" s="72" t="s">
        <v>217</v>
      </c>
      <c r="F168" s="72" t="s">
        <v>217</v>
      </c>
      <c r="G168" s="72" t="s">
        <v>217</v>
      </c>
      <c r="I168" s="138" t="str">
        <f>C168</f>
        <v>"#bd430f"</v>
      </c>
      <c r="J168" s="37" t="str">
        <f>D168</f>
        <v>"#000000"</v>
      </c>
      <c r="U168" s="138" t="str">
        <f>C168</f>
        <v>"#bd430f"</v>
      </c>
      <c r="V168" s="37" t="str">
        <f>D168</f>
        <v>"#000000"</v>
      </c>
      <c r="AA168" s="28" t="s">
        <v>6</v>
      </c>
      <c r="AB168" s="2" t="str">
        <f t="shared" ref="AB168:AB170" si="188">IF(NOT(ISBLANK(AC168)),"-","")</f>
        <v>-</v>
      </c>
      <c r="AC168" s="2" t="s">
        <v>27</v>
      </c>
      <c r="AD168" s="2" t="str">
        <f t="shared" ref="AD168:AD170" si="189">IF(NOT(ISBLANK(AE168)),"_","")</f>
        <v>_</v>
      </c>
      <c r="AE168" s="28" t="s">
        <v>17</v>
      </c>
      <c r="AF168" s="2" t="str">
        <f t="shared" ref="AF168:AF170" si="190">IF(NOT(ISBLANK(AG168)),"_","")</f>
        <v>_</v>
      </c>
      <c r="AG168" s="28" t="s">
        <v>328</v>
      </c>
    </row>
    <row r="169" spans="2:33" x14ac:dyDescent="0.25">
      <c r="B169" s="2" t="str">
        <f t="shared" ref="B169" si="191">_xlfn.CONCAT("@",AA169,AB169,AC169,AD169,AE169,AF169,AG169)</f>
        <v>@color-tertiary_case_bicycle_no_farzoom</v>
      </c>
      <c r="C169" s="137" t="s">
        <v>231</v>
      </c>
      <c r="D169" s="72" t="s">
        <v>217</v>
      </c>
      <c r="F169" s="137" t="s">
        <v>231</v>
      </c>
      <c r="G169" s="137" t="s">
        <v>231</v>
      </c>
      <c r="I169" s="138" t="str">
        <f>C169</f>
        <v>"#bd430f"</v>
      </c>
      <c r="J169" s="37" t="str">
        <f>D169</f>
        <v>"#000000"</v>
      </c>
      <c r="U169" s="138" t="str">
        <f>C169</f>
        <v>"#bd430f"</v>
      </c>
      <c r="V169" s="37" t="str">
        <f>D169</f>
        <v>"#000000"</v>
      </c>
      <c r="AA169" s="28" t="s">
        <v>6</v>
      </c>
      <c r="AB169" s="2" t="str">
        <f t="shared" ref="AB169" si="192">IF(NOT(ISBLANK(AC169)),"-","")</f>
        <v>-</v>
      </c>
      <c r="AC169" s="2" t="s">
        <v>27</v>
      </c>
      <c r="AD169" s="2" t="str">
        <f t="shared" ref="AD169" si="193">IF(NOT(ISBLANK(AE169)),"_","")</f>
        <v>_</v>
      </c>
      <c r="AE169" s="28" t="s">
        <v>17</v>
      </c>
      <c r="AF169" s="2" t="str">
        <f t="shared" ref="AF169" si="194">IF(NOT(ISBLANK(AG169)),"_","")</f>
        <v>_</v>
      </c>
      <c r="AG169" s="28" t="s">
        <v>327</v>
      </c>
    </row>
    <row r="170" spans="2:33" x14ac:dyDescent="0.25">
      <c r="B170" s="2" t="str">
        <f t="shared" ref="B170" si="195">_xlfn.CONCAT("@",AA170,AB170,AC170,AD170,AE170,AF170,AG170)</f>
        <v>@color-tertiary_case_unpaved_farzoom</v>
      </c>
      <c r="C170" s="139" t="s">
        <v>232</v>
      </c>
      <c r="D170" s="140" t="s">
        <v>236</v>
      </c>
      <c r="F170" s="140" t="s">
        <v>236</v>
      </c>
      <c r="G170" s="139" t="s">
        <v>232</v>
      </c>
      <c r="I170" s="139" t="s">
        <v>232</v>
      </c>
      <c r="J170" s="140" t="s">
        <v>236</v>
      </c>
      <c r="U170" s="44"/>
      <c r="V170" s="44"/>
      <c r="X170" s="44"/>
      <c r="Y170" s="44"/>
      <c r="AA170" s="28" t="s">
        <v>6</v>
      </c>
      <c r="AB170" s="2" t="str">
        <f t="shared" si="188"/>
        <v>-</v>
      </c>
      <c r="AC170" s="2" t="s">
        <v>27</v>
      </c>
      <c r="AD170" s="2" t="str">
        <f t="shared" si="189"/>
        <v>_</v>
      </c>
      <c r="AE170" s="28" t="s">
        <v>17</v>
      </c>
      <c r="AF170" s="2" t="str">
        <f t="shared" si="190"/>
        <v>_</v>
      </c>
      <c r="AG170" s="28" t="s">
        <v>235</v>
      </c>
    </row>
    <row r="171" spans="2:33" x14ac:dyDescent="0.25">
      <c r="B171" s="2" t="str">
        <f t="shared" si="169"/>
        <v>@color-tertiary_case_unpaved_default</v>
      </c>
      <c r="C171" s="140" t="s">
        <v>236</v>
      </c>
      <c r="D171" s="140" t="s">
        <v>236</v>
      </c>
      <c r="F171" s="72" t="s">
        <v>217</v>
      </c>
      <c r="G171" s="72" t="s">
        <v>217</v>
      </c>
      <c r="I171" s="140" t="s">
        <v>236</v>
      </c>
      <c r="J171" s="140" t="s">
        <v>236</v>
      </c>
      <c r="U171" s="44"/>
      <c r="V171" s="44"/>
      <c r="X171" s="44"/>
      <c r="Y171" s="44"/>
      <c r="AA171" s="28" t="s">
        <v>6</v>
      </c>
      <c r="AB171" s="2" t="str">
        <f t="shared" ref="AB171:AB176" si="196">IF(NOT(ISBLANK(AC171)),"-","")</f>
        <v>-</v>
      </c>
      <c r="AC171" s="2" t="s">
        <v>27</v>
      </c>
      <c r="AD171" s="2" t="str">
        <f t="shared" ref="AD171:AD176" si="197">IF(NOT(ISBLANK(AE171)),"_","")</f>
        <v>_</v>
      </c>
      <c r="AE171" s="28" t="s">
        <v>17</v>
      </c>
      <c r="AF171" s="2" t="str">
        <f t="shared" si="179"/>
        <v>_</v>
      </c>
      <c r="AG171" s="28" t="s">
        <v>270</v>
      </c>
    </row>
    <row r="172" spans="2:33" x14ac:dyDescent="0.25">
      <c r="B172" s="2" t="str">
        <f t="shared" ref="B172" si="198">_xlfn.CONCAT("@",AA172,AB172,AC172,AD172,AE172,AF172,AG172)</f>
        <v>@color-tertiary_case_paved_or_uk_farzoom</v>
      </c>
      <c r="C172" s="142" t="s">
        <v>233</v>
      </c>
      <c r="D172" s="72" t="s">
        <v>217</v>
      </c>
      <c r="F172" s="142" t="s">
        <v>233</v>
      </c>
      <c r="G172" s="142" t="s">
        <v>233</v>
      </c>
      <c r="I172" s="142" t="s">
        <v>233</v>
      </c>
      <c r="J172" s="72" t="s">
        <v>217</v>
      </c>
      <c r="U172" s="44"/>
      <c r="V172" s="44"/>
      <c r="X172" s="44"/>
      <c r="Y172" s="44"/>
      <c r="AA172" s="2" t="s">
        <v>6</v>
      </c>
      <c r="AB172" s="2" t="str">
        <f t="shared" ref="AB172" si="199">IF(NOT(ISBLANK(AC172)),"-","")</f>
        <v>-</v>
      </c>
      <c r="AC172" s="2" t="s">
        <v>27</v>
      </c>
      <c r="AD172" s="2" t="str">
        <f t="shared" ref="AD172" si="200">IF(NOT(ISBLANK(AE172)),"_","")</f>
        <v>_</v>
      </c>
      <c r="AE172" s="2" t="s">
        <v>17</v>
      </c>
      <c r="AF172" s="2" t="str">
        <f t="shared" ref="AF172" si="201">IF(NOT(ISBLANK(AG172)),"_","")</f>
        <v>_</v>
      </c>
      <c r="AG172" s="2" t="s">
        <v>234</v>
      </c>
    </row>
    <row r="173" spans="2:33" x14ac:dyDescent="0.25">
      <c r="B173" s="2" t="str">
        <f t="shared" si="169"/>
        <v>@color-tertiary_case_paved_or_uk_default</v>
      </c>
      <c r="C173" s="152" t="s">
        <v>237</v>
      </c>
      <c r="D173" s="72" t="s">
        <v>217</v>
      </c>
      <c r="F173" s="72" t="s">
        <v>217</v>
      </c>
      <c r="G173" s="72" t="s">
        <v>217</v>
      </c>
      <c r="I173" s="152" t="s">
        <v>237</v>
      </c>
      <c r="J173" s="72" t="s">
        <v>217</v>
      </c>
      <c r="U173" s="44"/>
      <c r="V173" s="44"/>
      <c r="X173" s="44"/>
      <c r="Y173" s="44"/>
      <c r="AA173" s="2" t="s">
        <v>6</v>
      </c>
      <c r="AB173" s="2" t="str">
        <f t="shared" si="196"/>
        <v>-</v>
      </c>
      <c r="AC173" s="2" t="s">
        <v>27</v>
      </c>
      <c r="AD173" s="2" t="str">
        <f t="shared" si="197"/>
        <v>_</v>
      </c>
      <c r="AE173" s="2" t="s">
        <v>17</v>
      </c>
      <c r="AF173" s="2" t="str">
        <f t="shared" si="179"/>
        <v>_</v>
      </c>
      <c r="AG173" s="2" t="s">
        <v>271</v>
      </c>
    </row>
    <row r="174" spans="2:33" x14ac:dyDescent="0.25">
      <c r="B174" s="2" t="str">
        <f t="shared" ref="B174" si="202">_xlfn.CONCAT("@",AA174,AB174,AC174,AD174,AE174,AF174,AG174)</f>
        <v>@color-tertiary_line_bicycle_no</v>
      </c>
      <c r="C174" s="150" t="s">
        <v>238</v>
      </c>
      <c r="D174" s="134" t="s">
        <v>218</v>
      </c>
      <c r="F174" s="150" t="s">
        <v>238</v>
      </c>
      <c r="G174" s="134" t="s">
        <v>218</v>
      </c>
      <c r="I174" s="151" t="str">
        <f>C174</f>
        <v>"#ffcc8a"</v>
      </c>
      <c r="J174" s="136" t="str">
        <f>D174</f>
        <v>"#d6771e"</v>
      </c>
      <c r="U174" s="151" t="str">
        <f>C174</f>
        <v>"#ffcc8a"</v>
      </c>
      <c r="V174" s="136" t="str">
        <f>J174</f>
        <v>"#d6771e"</v>
      </c>
      <c r="AA174" s="28" t="s">
        <v>6</v>
      </c>
      <c r="AB174" s="2" t="str">
        <f t="shared" si="196"/>
        <v>-</v>
      </c>
      <c r="AC174" s="2" t="s">
        <v>27</v>
      </c>
      <c r="AD174" s="2" t="str">
        <f t="shared" si="197"/>
        <v>_</v>
      </c>
      <c r="AE174" s="28" t="s">
        <v>13</v>
      </c>
      <c r="AF174" s="2" t="str">
        <f t="shared" si="179"/>
        <v>_</v>
      </c>
      <c r="AG174" s="28" t="s">
        <v>24</v>
      </c>
    </row>
    <row r="175" spans="2:33" x14ac:dyDescent="0.25">
      <c r="B175" s="2" t="str">
        <f t="shared" si="169"/>
        <v>@color-tertiary_line_unpaved_default</v>
      </c>
      <c r="C175" s="148" t="s">
        <v>226</v>
      </c>
      <c r="D175" s="149" t="str">
        <f>C175</f>
        <v>"#eddfca"</v>
      </c>
      <c r="F175" s="148" t="s">
        <v>226</v>
      </c>
      <c r="G175" s="149" t="str">
        <f>F175</f>
        <v>"#eddfca"</v>
      </c>
      <c r="I175" s="148" t="s">
        <v>226</v>
      </c>
      <c r="J175" s="149" t="str">
        <f>I175</f>
        <v>"#eddfca"</v>
      </c>
      <c r="U175" s="44"/>
      <c r="V175" s="44"/>
      <c r="X175" s="44"/>
      <c r="Y175" s="44"/>
      <c r="AA175" s="2" t="s">
        <v>6</v>
      </c>
      <c r="AB175" s="2" t="str">
        <f t="shared" si="196"/>
        <v>-</v>
      </c>
      <c r="AC175" s="2" t="s">
        <v>27</v>
      </c>
      <c r="AD175" s="2" t="str">
        <f t="shared" si="197"/>
        <v>_</v>
      </c>
      <c r="AE175" s="2" t="s">
        <v>13</v>
      </c>
      <c r="AF175" s="2" t="str">
        <f t="shared" si="179"/>
        <v>_</v>
      </c>
      <c r="AG175" s="2" t="s">
        <v>270</v>
      </c>
    </row>
    <row r="176" spans="2:33" x14ac:dyDescent="0.25">
      <c r="B176" s="2" t="str">
        <f t="shared" si="169"/>
        <v>@color-tertiary_line_paved_or_uk_default</v>
      </c>
      <c r="C176" s="71" t="s">
        <v>227</v>
      </c>
      <c r="D176" s="38" t="str">
        <f>C176</f>
        <v>"#ffffff"</v>
      </c>
      <c r="F176" s="71" t="s">
        <v>227</v>
      </c>
      <c r="G176" s="38" t="str">
        <f>F176</f>
        <v>"#ffffff"</v>
      </c>
      <c r="I176" s="71" t="s">
        <v>227</v>
      </c>
      <c r="J176" s="38" t="str">
        <f>I176</f>
        <v>"#ffffff"</v>
      </c>
      <c r="U176" s="44"/>
      <c r="V176" s="44"/>
      <c r="X176" s="44"/>
      <c r="Y176" s="44"/>
      <c r="AA176" s="2" t="s">
        <v>6</v>
      </c>
      <c r="AB176" s="2" t="str">
        <f t="shared" si="196"/>
        <v>-</v>
      </c>
      <c r="AC176" s="2" t="s">
        <v>27</v>
      </c>
      <c r="AD176" s="2" t="str">
        <f t="shared" si="197"/>
        <v>_</v>
      </c>
      <c r="AE176" s="2" t="s">
        <v>13</v>
      </c>
      <c r="AF176" s="2" t="str">
        <f t="shared" si="179"/>
        <v>_</v>
      </c>
      <c r="AG176" s="2" t="s">
        <v>271</v>
      </c>
    </row>
    <row r="177" spans="1:33" x14ac:dyDescent="0.25">
      <c r="B177" s="2"/>
      <c r="AB177" s="28" t="str">
        <f t="shared" si="171"/>
        <v/>
      </c>
      <c r="AD177" s="28" t="str">
        <f t="shared" si="178"/>
        <v/>
      </c>
      <c r="AF177" s="28" t="str">
        <f t="shared" si="179"/>
        <v/>
      </c>
    </row>
    <row r="178" spans="1:33" s="2" customFormat="1" x14ac:dyDescent="0.25">
      <c r="A178" s="3" t="s">
        <v>228</v>
      </c>
      <c r="B178" s="3"/>
      <c r="C178" s="27"/>
      <c r="D178" s="6"/>
      <c r="E178" s="7"/>
      <c r="F178" s="6"/>
      <c r="G178" s="6"/>
      <c r="H178" s="7"/>
      <c r="I178" s="6"/>
      <c r="J178" s="6"/>
      <c r="K178" s="7"/>
      <c r="L178" s="6"/>
      <c r="M178" s="6"/>
      <c r="N178" s="7"/>
      <c r="O178" s="6"/>
      <c r="P178" s="6"/>
      <c r="Q178" s="7"/>
      <c r="R178" s="6"/>
      <c r="S178" s="6"/>
      <c r="T178" s="7"/>
      <c r="U178" s="6"/>
      <c r="V178" s="6"/>
      <c r="W178" s="7"/>
      <c r="X178" s="6"/>
      <c r="Y178" s="6"/>
      <c r="AA178" s="4"/>
      <c r="AB178" s="4" t="str">
        <f t="shared" si="171"/>
        <v/>
      </c>
      <c r="AC178" s="4"/>
      <c r="AD178" s="4" t="str">
        <f t="shared" si="178"/>
        <v/>
      </c>
      <c r="AE178" s="4"/>
      <c r="AF178" s="4" t="str">
        <f t="shared" si="179"/>
        <v/>
      </c>
      <c r="AG178" s="4"/>
    </row>
    <row r="179" spans="1:33" x14ac:dyDescent="0.25">
      <c r="B179" s="2" t="str">
        <f t="shared" ref="B179" si="203">_xlfn.CONCAT("@",AA179,AB179,AC179,AD179,AE179,AF179,AG179)</f>
        <v>@color-raceway_case</v>
      </c>
      <c r="C179" s="44"/>
      <c r="D179" s="44"/>
      <c r="F179" s="44"/>
      <c r="G179" s="44"/>
      <c r="I179" s="44"/>
      <c r="J179" s="44"/>
      <c r="L179" s="44"/>
      <c r="M179" s="44"/>
      <c r="U179" s="72" t="s">
        <v>217</v>
      </c>
      <c r="V179" s="72" t="s">
        <v>217</v>
      </c>
      <c r="AA179" s="2" t="s">
        <v>6</v>
      </c>
      <c r="AB179" s="2" t="str">
        <f t="shared" ref="AB179" si="204">IF(NOT(ISBLANK(AC179)),"-","")</f>
        <v>-</v>
      </c>
      <c r="AC179" s="2" t="s">
        <v>29</v>
      </c>
      <c r="AD179" s="2" t="str">
        <f t="shared" ref="AD179" si="205">IF(NOT(ISBLANK(AE179)),"_","")</f>
        <v>_</v>
      </c>
      <c r="AE179" s="2" t="s">
        <v>17</v>
      </c>
      <c r="AF179" s="2" t="str">
        <f t="shared" ref="AF179" si="206">IF(NOT(ISBLANK(AG179)),"_","")</f>
        <v/>
      </c>
      <c r="AG179" s="2"/>
    </row>
    <row r="180" spans="1:33" x14ac:dyDescent="0.25">
      <c r="B180" s="2" t="str">
        <f t="shared" ref="B180:B182" si="207">_xlfn.CONCAT("@",AA180,AB180,AC180,AD180,AE180,AF180,AG180)</f>
        <v>@color-raceway_case_unpaved</v>
      </c>
      <c r="C180" s="153" t="s">
        <v>239</v>
      </c>
      <c r="D180" s="140" t="s">
        <v>236</v>
      </c>
      <c r="F180" s="72" t="s">
        <v>217</v>
      </c>
      <c r="I180" s="154" t="str">
        <f>C180</f>
        <v>"#af9564"</v>
      </c>
      <c r="J180" s="155" t="str">
        <f>D180</f>
        <v>"#644507"</v>
      </c>
      <c r="U180" s="44"/>
      <c r="V180" s="44"/>
      <c r="X180" s="44"/>
      <c r="Y180" s="44"/>
      <c r="AA180" s="2" t="s">
        <v>6</v>
      </c>
      <c r="AB180" s="2" t="str">
        <f t="shared" ref="AB180:AB182" si="208">IF(NOT(ISBLANK(AC180)),"-","")</f>
        <v>-</v>
      </c>
      <c r="AC180" s="2" t="s">
        <v>29</v>
      </c>
      <c r="AD180" s="2" t="str">
        <f t="shared" ref="AD180:AD182" si="209">IF(NOT(ISBLANK(AE180)),"_","")</f>
        <v>_</v>
      </c>
      <c r="AE180" s="2" t="s">
        <v>17</v>
      </c>
      <c r="AF180" s="2" t="str">
        <f t="shared" ref="AF180:AF182" si="210">IF(NOT(ISBLANK(AG180)),"_","")</f>
        <v>_</v>
      </c>
      <c r="AG180" s="2" t="s">
        <v>22</v>
      </c>
    </row>
    <row r="181" spans="1:33" x14ac:dyDescent="0.25">
      <c r="B181" s="2" t="str">
        <f t="shared" si="207"/>
        <v>@color-raceway_case_paved_or_uk</v>
      </c>
      <c r="C181" s="156" t="s">
        <v>240</v>
      </c>
      <c r="D181" s="157" t="s">
        <v>241</v>
      </c>
      <c r="F181" s="72" t="s">
        <v>217</v>
      </c>
      <c r="I181" s="158" t="str">
        <f>C181</f>
        <v>"#a8a6a4"</v>
      </c>
      <c r="J181" s="159" t="str">
        <f>D181</f>
        <v>"#4a4a4a"</v>
      </c>
      <c r="U181" s="44"/>
      <c r="V181" s="44"/>
      <c r="X181" s="44"/>
      <c r="Y181" s="44"/>
      <c r="AA181" s="2" t="s">
        <v>6</v>
      </c>
      <c r="AB181" s="2" t="str">
        <f t="shared" si="208"/>
        <v>-</v>
      </c>
      <c r="AC181" s="2" t="s">
        <v>29</v>
      </c>
      <c r="AD181" s="2" t="str">
        <f t="shared" si="209"/>
        <v>_</v>
      </c>
      <c r="AE181" s="2" t="s">
        <v>17</v>
      </c>
      <c r="AF181" s="2" t="str">
        <f t="shared" si="210"/>
        <v>_</v>
      </c>
      <c r="AG181" s="2" t="s">
        <v>25</v>
      </c>
    </row>
    <row r="182" spans="1:33" x14ac:dyDescent="0.25">
      <c r="B182" s="2" t="str">
        <f t="shared" si="207"/>
        <v>@color-raceway_line_default</v>
      </c>
      <c r="C182" s="44"/>
      <c r="D182" s="44"/>
      <c r="F182" s="44"/>
      <c r="G182" s="44"/>
      <c r="I182" s="44"/>
      <c r="J182" s="44"/>
      <c r="L182" s="44"/>
      <c r="M182" s="44"/>
      <c r="U182" s="71" t="s">
        <v>227</v>
      </c>
      <c r="V182" s="38" t="str">
        <f>U182</f>
        <v>"#ffffff"</v>
      </c>
      <c r="AA182" s="2" t="s">
        <v>6</v>
      </c>
      <c r="AB182" s="2" t="str">
        <f t="shared" si="208"/>
        <v>-</v>
      </c>
      <c r="AC182" s="2" t="s">
        <v>29</v>
      </c>
      <c r="AD182" s="2" t="str">
        <f t="shared" si="209"/>
        <v>_</v>
      </c>
      <c r="AE182" s="2" t="s">
        <v>13</v>
      </c>
      <c r="AF182" s="2" t="str">
        <f t="shared" si="210"/>
        <v>_</v>
      </c>
      <c r="AG182" s="2" t="s">
        <v>269</v>
      </c>
    </row>
    <row r="183" spans="1:33" x14ac:dyDescent="0.25">
      <c r="B183" s="2" t="str">
        <f t="shared" si="169"/>
        <v>@color-raceway_line_unpaved</v>
      </c>
      <c r="C183" s="148" t="s">
        <v>226</v>
      </c>
      <c r="D183" s="149" t="str">
        <f>C183</f>
        <v>"#eddfca"</v>
      </c>
      <c r="I183" s="149" t="str">
        <f>C183</f>
        <v>"#eddfca"</v>
      </c>
      <c r="J183" s="149" t="str">
        <f>C183</f>
        <v>"#eddfca"</v>
      </c>
      <c r="U183" s="44"/>
      <c r="V183" s="44"/>
      <c r="X183" s="44"/>
      <c r="Y183" s="44"/>
      <c r="AA183" s="2" t="s">
        <v>6</v>
      </c>
      <c r="AB183" s="2" t="str">
        <f t="shared" si="171"/>
        <v>-</v>
      </c>
      <c r="AC183" s="2" t="s">
        <v>29</v>
      </c>
      <c r="AD183" s="2" t="str">
        <f t="shared" si="178"/>
        <v>_</v>
      </c>
      <c r="AE183" s="2" t="s">
        <v>13</v>
      </c>
      <c r="AF183" s="2" t="str">
        <f t="shared" si="179"/>
        <v>_</v>
      </c>
      <c r="AG183" s="2" t="s">
        <v>22</v>
      </c>
    </row>
    <row r="184" spans="1:33" x14ac:dyDescent="0.25">
      <c r="B184" s="2" t="str">
        <f t="shared" si="169"/>
        <v>@color-raceway_line_paved_or_uk</v>
      </c>
      <c r="C184" s="26" t="s">
        <v>227</v>
      </c>
      <c r="D184" s="38" t="str">
        <f>C184</f>
        <v>"#ffffff"</v>
      </c>
      <c r="I184" s="38" t="str">
        <f>C184</f>
        <v>"#ffffff"</v>
      </c>
      <c r="J184" s="38" t="str">
        <f>C184</f>
        <v>"#ffffff"</v>
      </c>
      <c r="U184" s="44"/>
      <c r="V184" s="44"/>
      <c r="X184" s="44"/>
      <c r="Y184" s="44"/>
      <c r="AA184" s="2" t="s">
        <v>6</v>
      </c>
      <c r="AB184" s="2" t="str">
        <f t="shared" si="171"/>
        <v>-</v>
      </c>
      <c r="AC184" s="2" t="s">
        <v>29</v>
      </c>
      <c r="AD184" s="2" t="str">
        <f t="shared" si="178"/>
        <v>_</v>
      </c>
      <c r="AE184" s="2" t="s">
        <v>13</v>
      </c>
      <c r="AF184" s="2" t="str">
        <f t="shared" si="179"/>
        <v>_</v>
      </c>
      <c r="AG184" s="2" t="s">
        <v>25</v>
      </c>
    </row>
    <row r="185" spans="1:33" x14ac:dyDescent="0.25">
      <c r="B185" s="2"/>
      <c r="AB185" s="28" t="str">
        <f t="shared" si="171"/>
        <v/>
      </c>
      <c r="AD185" s="28" t="str">
        <f t="shared" si="178"/>
        <v/>
      </c>
      <c r="AF185" s="28" t="str">
        <f t="shared" si="179"/>
        <v/>
      </c>
    </row>
    <row r="186" spans="1:33" x14ac:dyDescent="0.25">
      <c r="B186" s="2" t="str">
        <f t="shared" ref="B186:B193" si="211">_xlfn.CONCAT("@",AA186,AB186,AC186,AD186,AE186,AF186,AG186)</f>
        <v>@color-driveway_case</v>
      </c>
      <c r="C186" s="44"/>
      <c r="D186" s="44"/>
      <c r="F186" s="44"/>
      <c r="G186" s="44"/>
      <c r="I186" s="44"/>
      <c r="J186" s="44"/>
      <c r="L186" s="44"/>
      <c r="M186" s="44"/>
      <c r="U186" s="72" t="s">
        <v>217</v>
      </c>
      <c r="V186" s="72" t="s">
        <v>217</v>
      </c>
      <c r="AA186" s="2" t="s">
        <v>6</v>
      </c>
      <c r="AB186" s="2" t="str">
        <f t="shared" si="171"/>
        <v>-</v>
      </c>
      <c r="AC186" s="2" t="s">
        <v>30</v>
      </c>
      <c r="AD186" s="2" t="str">
        <f t="shared" si="178"/>
        <v>_</v>
      </c>
      <c r="AE186" s="2" t="s">
        <v>17</v>
      </c>
      <c r="AF186" s="2" t="str">
        <f t="shared" si="179"/>
        <v/>
      </c>
      <c r="AG186" s="2"/>
    </row>
    <row r="187" spans="1:33" x14ac:dyDescent="0.25">
      <c r="B187" s="2" t="str">
        <f t="shared" si="211"/>
        <v>@color-driveway_case_unpaved_farzoom</v>
      </c>
      <c r="C187" s="139" t="s">
        <v>232</v>
      </c>
      <c r="D187" s="140" t="s">
        <v>236</v>
      </c>
      <c r="F187" s="140" t="s">
        <v>236</v>
      </c>
      <c r="G187" s="139" t="s">
        <v>232</v>
      </c>
      <c r="I187" s="160" t="str">
        <f t="shared" ref="I187:J190" si="212">C187</f>
        <v>"#b99346"</v>
      </c>
      <c r="J187" s="155" t="str">
        <f t="shared" si="212"/>
        <v>"#644507"</v>
      </c>
      <c r="U187" s="44"/>
      <c r="V187" s="44"/>
      <c r="X187" s="44"/>
      <c r="Y187" s="44"/>
      <c r="AA187" s="2" t="s">
        <v>6</v>
      </c>
      <c r="AB187" s="2" t="str">
        <f t="shared" si="171"/>
        <v>-</v>
      </c>
      <c r="AC187" s="2" t="s">
        <v>30</v>
      </c>
      <c r="AD187" s="2" t="str">
        <f t="shared" si="178"/>
        <v>_</v>
      </c>
      <c r="AE187" s="2" t="s">
        <v>17</v>
      </c>
      <c r="AF187" s="2" t="str">
        <f t="shared" si="179"/>
        <v>_</v>
      </c>
      <c r="AG187" s="2" t="s">
        <v>235</v>
      </c>
    </row>
    <row r="188" spans="1:33" x14ac:dyDescent="0.25">
      <c r="B188" s="2" t="str">
        <f t="shared" si="211"/>
        <v>@color-driveway_case_unpaved</v>
      </c>
      <c r="C188" s="140" t="s">
        <v>236</v>
      </c>
      <c r="D188" s="140" t="s">
        <v>236</v>
      </c>
      <c r="F188" s="72" t="s">
        <v>217</v>
      </c>
      <c r="I188" s="155" t="str">
        <f t="shared" si="212"/>
        <v>"#644507"</v>
      </c>
      <c r="J188" s="155" t="str">
        <f t="shared" si="212"/>
        <v>"#644507"</v>
      </c>
      <c r="U188" s="44"/>
      <c r="V188" s="44"/>
      <c r="X188" s="44"/>
      <c r="Y188" s="44"/>
      <c r="AA188" s="2" t="s">
        <v>6</v>
      </c>
      <c r="AB188" s="2" t="str">
        <f t="shared" si="171"/>
        <v>-</v>
      </c>
      <c r="AC188" s="2" t="s">
        <v>30</v>
      </c>
      <c r="AD188" s="2" t="str">
        <f t="shared" si="178"/>
        <v>_</v>
      </c>
      <c r="AE188" s="2" t="s">
        <v>17</v>
      </c>
      <c r="AF188" s="2" t="str">
        <f t="shared" si="179"/>
        <v>_</v>
      </c>
      <c r="AG188" s="2" t="s">
        <v>22</v>
      </c>
    </row>
    <row r="189" spans="1:33" x14ac:dyDescent="0.25">
      <c r="B189" s="2" t="str">
        <f t="shared" si="211"/>
        <v>@color-driveway_case_paved_or_uk_farzoom</v>
      </c>
      <c r="C189" s="142" t="s">
        <v>233</v>
      </c>
      <c r="D189" s="72" t="s">
        <v>217</v>
      </c>
      <c r="F189" s="142" t="s">
        <v>233</v>
      </c>
      <c r="G189" s="142" t="s">
        <v>233</v>
      </c>
      <c r="I189" s="161" t="str">
        <f t="shared" si="212"/>
        <v>"#808080"</v>
      </c>
      <c r="J189" s="37" t="str">
        <f t="shared" si="212"/>
        <v>"#000000"</v>
      </c>
      <c r="U189" s="44"/>
      <c r="V189" s="44"/>
      <c r="X189" s="44"/>
      <c r="Y189" s="44"/>
      <c r="AA189" s="2" t="s">
        <v>6</v>
      </c>
      <c r="AB189" s="2" t="str">
        <f t="shared" si="171"/>
        <v>-</v>
      </c>
      <c r="AC189" s="2" t="s">
        <v>30</v>
      </c>
      <c r="AD189" s="2" t="str">
        <f t="shared" si="178"/>
        <v>_</v>
      </c>
      <c r="AE189" s="2" t="s">
        <v>17</v>
      </c>
      <c r="AF189" s="2" t="str">
        <f t="shared" si="179"/>
        <v>_</v>
      </c>
      <c r="AG189" s="2" t="s">
        <v>234</v>
      </c>
    </row>
    <row r="190" spans="1:33" x14ac:dyDescent="0.25">
      <c r="B190" s="2" t="str">
        <f t="shared" si="211"/>
        <v>@color-driveway_case_paved_or_uk</v>
      </c>
      <c r="C190" s="143" t="s">
        <v>221</v>
      </c>
      <c r="D190" s="72" t="s">
        <v>217</v>
      </c>
      <c r="F190" s="72" t="s">
        <v>217</v>
      </c>
      <c r="I190" s="162" t="str">
        <f t="shared" si="212"/>
        <v>"#404040"</v>
      </c>
      <c r="J190" s="37" t="str">
        <f t="shared" si="212"/>
        <v>"#000000"</v>
      </c>
      <c r="Q190" s="7"/>
      <c r="U190" s="44"/>
      <c r="V190" s="44"/>
      <c r="X190" s="44"/>
      <c r="Y190" s="44"/>
      <c r="AA190" s="2" t="s">
        <v>6</v>
      </c>
      <c r="AB190" s="2" t="str">
        <f t="shared" si="171"/>
        <v>-</v>
      </c>
      <c r="AC190" s="2" t="s">
        <v>30</v>
      </c>
      <c r="AD190" s="2" t="str">
        <f t="shared" si="178"/>
        <v>_</v>
      </c>
      <c r="AE190" s="2" t="s">
        <v>17</v>
      </c>
      <c r="AF190" s="2" t="str">
        <f t="shared" si="179"/>
        <v>_</v>
      </c>
      <c r="AG190" s="2" t="s">
        <v>25</v>
      </c>
    </row>
    <row r="191" spans="1:33" x14ac:dyDescent="0.25">
      <c r="B191" s="2" t="str">
        <f t="shared" si="211"/>
        <v>@color-driveway_line_default</v>
      </c>
      <c r="C191" s="44"/>
      <c r="D191" s="44"/>
      <c r="F191" s="44"/>
      <c r="G191" s="44"/>
      <c r="I191" s="44"/>
      <c r="J191" s="44"/>
      <c r="L191" s="44"/>
      <c r="M191" s="44"/>
      <c r="U191" s="71" t="s">
        <v>227</v>
      </c>
      <c r="V191" s="38" t="str">
        <f>U191</f>
        <v>"#ffffff"</v>
      </c>
      <c r="AA191" s="2" t="s">
        <v>6</v>
      </c>
      <c r="AB191" s="2" t="str">
        <f t="shared" si="171"/>
        <v>-</v>
      </c>
      <c r="AC191" s="2" t="s">
        <v>30</v>
      </c>
      <c r="AD191" s="2" t="str">
        <f t="shared" si="178"/>
        <v>_</v>
      </c>
      <c r="AE191" s="2" t="s">
        <v>13</v>
      </c>
      <c r="AF191" s="2" t="str">
        <f t="shared" si="179"/>
        <v>_</v>
      </c>
      <c r="AG191" s="2" t="s">
        <v>269</v>
      </c>
    </row>
    <row r="192" spans="1:33" x14ac:dyDescent="0.25">
      <c r="B192" s="2" t="str">
        <f t="shared" si="211"/>
        <v>@color-driveway_line_unpaved</v>
      </c>
      <c r="C192" s="148" t="s">
        <v>226</v>
      </c>
      <c r="D192" s="38" t="str">
        <f t="shared" ref="D192:D193" si="213">C192</f>
        <v>"#eddfca"</v>
      </c>
      <c r="I192" s="149" t="str">
        <f>C192</f>
        <v>"#eddfca"</v>
      </c>
      <c r="J192" s="38" t="str">
        <f t="shared" ref="J192:J193" si="214">C192</f>
        <v>"#eddfca"</v>
      </c>
      <c r="U192" s="44"/>
      <c r="V192" s="44"/>
      <c r="X192" s="44"/>
      <c r="Y192" s="44"/>
      <c r="AA192" s="2" t="s">
        <v>6</v>
      </c>
      <c r="AB192" s="2" t="str">
        <f t="shared" si="171"/>
        <v>-</v>
      </c>
      <c r="AC192" s="2" t="s">
        <v>30</v>
      </c>
      <c r="AD192" s="2" t="str">
        <f t="shared" si="178"/>
        <v>_</v>
      </c>
      <c r="AE192" s="2" t="s">
        <v>13</v>
      </c>
      <c r="AF192" s="2" t="str">
        <f t="shared" si="179"/>
        <v>_</v>
      </c>
      <c r="AG192" s="2" t="s">
        <v>22</v>
      </c>
    </row>
    <row r="193" spans="2:33" x14ac:dyDescent="0.25">
      <c r="B193" s="2" t="str">
        <f t="shared" si="211"/>
        <v>@color-driveway_line_paved_or_uk</v>
      </c>
      <c r="C193" s="71" t="s">
        <v>227</v>
      </c>
      <c r="D193" s="38" t="str">
        <f t="shared" si="213"/>
        <v>"#ffffff"</v>
      </c>
      <c r="I193" s="38" t="str">
        <f>C193</f>
        <v>"#ffffff"</v>
      </c>
      <c r="J193" s="38" t="str">
        <f t="shared" si="214"/>
        <v>"#ffffff"</v>
      </c>
      <c r="U193" s="44"/>
      <c r="V193" s="44"/>
      <c r="X193" s="44"/>
      <c r="Y193" s="44"/>
      <c r="AA193" s="2" t="s">
        <v>6</v>
      </c>
      <c r="AB193" s="2" t="str">
        <f t="shared" si="171"/>
        <v>-</v>
      </c>
      <c r="AC193" s="2" t="s">
        <v>30</v>
      </c>
      <c r="AD193" s="2" t="str">
        <f t="shared" si="178"/>
        <v>_</v>
      </c>
      <c r="AE193" s="2" t="s">
        <v>13</v>
      </c>
      <c r="AF193" s="2" t="str">
        <f t="shared" si="179"/>
        <v>_</v>
      </c>
      <c r="AG193" s="2" t="s">
        <v>25</v>
      </c>
    </row>
    <row r="194" spans="2:33" x14ac:dyDescent="0.25">
      <c r="B194" s="2"/>
      <c r="AB194" s="28" t="str">
        <f t="shared" ref="AB194:AB202" si="215">IF(NOT(ISBLANK(AC194)),"-","")</f>
        <v/>
      </c>
      <c r="AD194" s="28" t="str">
        <f t="shared" ref="AD194:AD202" si="216">IF(NOT(ISBLANK(AE194)),"_","")</f>
        <v/>
      </c>
      <c r="AF194" s="28" t="str">
        <f t="shared" ref="AF194:AF202" si="217">IF(NOT(ISBLANK(AG194)),"_","")</f>
        <v/>
      </c>
    </row>
    <row r="195" spans="2:33" x14ac:dyDescent="0.25">
      <c r="B195" s="2" t="str">
        <f t="shared" ref="B195:B202" si="218">_xlfn.CONCAT("@",AA195,AB195,AC195,AD195,AE195,AF195,AG195)</f>
        <v>@color-service_case</v>
      </c>
      <c r="C195" s="44"/>
      <c r="D195" s="44"/>
      <c r="F195" s="44"/>
      <c r="G195" s="44"/>
      <c r="I195" s="44"/>
      <c r="J195" s="44"/>
      <c r="L195" s="44"/>
      <c r="M195" s="44"/>
      <c r="U195" s="72" t="s">
        <v>217</v>
      </c>
      <c r="V195" s="72" t="s">
        <v>217</v>
      </c>
      <c r="AA195" s="2" t="s">
        <v>6</v>
      </c>
      <c r="AB195" s="2" t="str">
        <f t="shared" si="215"/>
        <v>-</v>
      </c>
      <c r="AC195" s="2" t="s">
        <v>31</v>
      </c>
      <c r="AD195" s="2" t="str">
        <f t="shared" si="216"/>
        <v>_</v>
      </c>
      <c r="AE195" s="2" t="s">
        <v>17</v>
      </c>
      <c r="AF195" s="2" t="str">
        <f t="shared" si="217"/>
        <v/>
      </c>
      <c r="AG195" s="2"/>
    </row>
    <row r="196" spans="2:33" x14ac:dyDescent="0.25">
      <c r="B196" s="2" t="str">
        <f t="shared" si="218"/>
        <v>@color-service_case_unpaved_farzoom</v>
      </c>
      <c r="C196" s="139" t="s">
        <v>232</v>
      </c>
      <c r="D196" s="140" t="s">
        <v>236</v>
      </c>
      <c r="F196" s="140" t="s">
        <v>236</v>
      </c>
      <c r="G196" s="139" t="s">
        <v>232</v>
      </c>
      <c r="I196" s="160" t="str">
        <f t="shared" ref="I196:J199" si="219">C196</f>
        <v>"#b99346"</v>
      </c>
      <c r="J196" s="155" t="str">
        <f t="shared" si="219"/>
        <v>"#644507"</v>
      </c>
      <c r="U196" s="44"/>
      <c r="V196" s="44"/>
      <c r="X196" s="44"/>
      <c r="Y196" s="44"/>
      <c r="AA196" s="2" t="s">
        <v>6</v>
      </c>
      <c r="AB196" s="2" t="str">
        <f t="shared" si="215"/>
        <v>-</v>
      </c>
      <c r="AC196" s="2" t="s">
        <v>31</v>
      </c>
      <c r="AD196" s="2" t="str">
        <f t="shared" si="216"/>
        <v>_</v>
      </c>
      <c r="AE196" s="2" t="s">
        <v>17</v>
      </c>
      <c r="AF196" s="2" t="str">
        <f t="shared" si="217"/>
        <v>_</v>
      </c>
      <c r="AG196" s="2" t="s">
        <v>235</v>
      </c>
    </row>
    <row r="197" spans="2:33" x14ac:dyDescent="0.25">
      <c r="B197" s="2" t="str">
        <f t="shared" si="218"/>
        <v>@color-service_case_unpaved</v>
      </c>
      <c r="C197" s="140" t="s">
        <v>236</v>
      </c>
      <c r="D197" s="140" t="s">
        <v>236</v>
      </c>
      <c r="F197" s="72" t="s">
        <v>217</v>
      </c>
      <c r="I197" s="155" t="str">
        <f t="shared" si="219"/>
        <v>"#644507"</v>
      </c>
      <c r="J197" s="155" t="str">
        <f t="shared" si="219"/>
        <v>"#644507"</v>
      </c>
      <c r="U197" s="44"/>
      <c r="V197" s="44"/>
      <c r="X197" s="44"/>
      <c r="Y197" s="44"/>
      <c r="AA197" s="2" t="s">
        <v>6</v>
      </c>
      <c r="AB197" s="2" t="str">
        <f t="shared" si="215"/>
        <v>-</v>
      </c>
      <c r="AC197" s="2" t="s">
        <v>31</v>
      </c>
      <c r="AD197" s="2" t="str">
        <f t="shared" si="216"/>
        <v>_</v>
      </c>
      <c r="AE197" s="2" t="s">
        <v>17</v>
      </c>
      <c r="AF197" s="2" t="str">
        <f t="shared" si="217"/>
        <v>_</v>
      </c>
      <c r="AG197" s="2" t="s">
        <v>22</v>
      </c>
    </row>
    <row r="198" spans="2:33" x14ac:dyDescent="0.25">
      <c r="B198" s="2" t="str">
        <f t="shared" si="218"/>
        <v>@color-service_case_paved_or_uk_farzoom</v>
      </c>
      <c r="C198" s="142" t="s">
        <v>233</v>
      </c>
      <c r="D198" s="72" t="s">
        <v>217</v>
      </c>
      <c r="F198" s="72" t="s">
        <v>217</v>
      </c>
      <c r="I198" s="161" t="str">
        <f t="shared" si="219"/>
        <v>"#808080"</v>
      </c>
      <c r="J198" s="37" t="str">
        <f t="shared" si="219"/>
        <v>"#000000"</v>
      </c>
      <c r="U198" s="44"/>
      <c r="V198" s="44"/>
      <c r="X198" s="44"/>
      <c r="Y198" s="44"/>
      <c r="AA198" s="2" t="s">
        <v>6</v>
      </c>
      <c r="AB198" s="2" t="str">
        <f t="shared" si="215"/>
        <v>-</v>
      </c>
      <c r="AC198" s="2" t="s">
        <v>31</v>
      </c>
      <c r="AD198" s="2" t="str">
        <f t="shared" si="216"/>
        <v>_</v>
      </c>
      <c r="AE198" s="2" t="s">
        <v>17</v>
      </c>
      <c r="AF198" s="2" t="str">
        <f t="shared" si="217"/>
        <v>_</v>
      </c>
      <c r="AG198" s="2" t="s">
        <v>234</v>
      </c>
    </row>
    <row r="199" spans="2:33" x14ac:dyDescent="0.25">
      <c r="B199" s="2" t="str">
        <f t="shared" si="218"/>
        <v>@color-service_case_paved_or_uk</v>
      </c>
      <c r="C199" s="143" t="s">
        <v>221</v>
      </c>
      <c r="D199" s="72" t="s">
        <v>217</v>
      </c>
      <c r="F199" s="72" t="s">
        <v>217</v>
      </c>
      <c r="I199" s="162" t="str">
        <f t="shared" si="219"/>
        <v>"#404040"</v>
      </c>
      <c r="J199" s="37" t="str">
        <f t="shared" si="219"/>
        <v>"#000000"</v>
      </c>
      <c r="Q199" s="7"/>
      <c r="U199" s="44"/>
      <c r="V199" s="44"/>
      <c r="X199" s="44"/>
      <c r="Y199" s="44"/>
      <c r="AA199" s="2" t="s">
        <v>6</v>
      </c>
      <c r="AB199" s="2" t="str">
        <f t="shared" si="215"/>
        <v>-</v>
      </c>
      <c r="AC199" s="2" t="s">
        <v>31</v>
      </c>
      <c r="AD199" s="2" t="str">
        <f t="shared" si="216"/>
        <v>_</v>
      </c>
      <c r="AE199" s="2" t="s">
        <v>17</v>
      </c>
      <c r="AF199" s="2" t="str">
        <f t="shared" si="217"/>
        <v>_</v>
      </c>
      <c r="AG199" s="2" t="s">
        <v>25</v>
      </c>
    </row>
    <row r="200" spans="2:33" x14ac:dyDescent="0.25">
      <c r="B200" s="2" t="str">
        <f t="shared" ref="B200" si="220">_xlfn.CONCAT("@",AA200,AB200,AC200,AD200,AE200,AF200,AG200)</f>
        <v>@color-service_line_default</v>
      </c>
      <c r="C200" s="44"/>
      <c r="D200" s="44"/>
      <c r="F200" s="44"/>
      <c r="G200" s="44"/>
      <c r="I200" s="44"/>
      <c r="J200" s="44"/>
      <c r="L200" s="44"/>
      <c r="M200" s="44"/>
      <c r="U200" s="71" t="s">
        <v>227</v>
      </c>
      <c r="V200" s="38" t="str">
        <f>U200</f>
        <v>"#ffffff"</v>
      </c>
      <c r="AA200" s="2" t="s">
        <v>6</v>
      </c>
      <c r="AB200" s="2" t="str">
        <f t="shared" ref="AB200" si="221">IF(NOT(ISBLANK(AC200)),"-","")</f>
        <v>-</v>
      </c>
      <c r="AC200" s="2" t="s">
        <v>31</v>
      </c>
      <c r="AD200" s="2" t="str">
        <f t="shared" ref="AD200" si="222">IF(NOT(ISBLANK(AE200)),"_","")</f>
        <v>_</v>
      </c>
      <c r="AE200" s="2" t="s">
        <v>13</v>
      </c>
      <c r="AF200" s="2" t="str">
        <f t="shared" ref="AF200" si="223">IF(NOT(ISBLANK(AG200)),"_","")</f>
        <v>_</v>
      </c>
      <c r="AG200" s="2" t="s">
        <v>269</v>
      </c>
    </row>
    <row r="201" spans="2:33" x14ac:dyDescent="0.25">
      <c r="B201" s="2" t="str">
        <f t="shared" si="218"/>
        <v>@color-service_line_unpaved</v>
      </c>
      <c r="C201" s="148" t="s">
        <v>226</v>
      </c>
      <c r="D201" s="38" t="str">
        <f t="shared" ref="D201:D202" si="224">C201</f>
        <v>"#eddfca"</v>
      </c>
      <c r="I201" s="149" t="str">
        <f>C201</f>
        <v>"#eddfca"</v>
      </c>
      <c r="J201" s="38" t="str">
        <f t="shared" ref="J201:J202" si="225">C201</f>
        <v>"#eddfca"</v>
      </c>
      <c r="U201" s="44"/>
      <c r="V201" s="44"/>
      <c r="X201" s="44"/>
      <c r="Y201" s="44"/>
      <c r="AA201" s="2" t="s">
        <v>6</v>
      </c>
      <c r="AB201" s="2" t="str">
        <f t="shared" si="215"/>
        <v>-</v>
      </c>
      <c r="AC201" s="2" t="s">
        <v>31</v>
      </c>
      <c r="AD201" s="2" t="str">
        <f t="shared" si="216"/>
        <v>_</v>
      </c>
      <c r="AE201" s="2" t="s">
        <v>13</v>
      </c>
      <c r="AF201" s="2" t="str">
        <f t="shared" si="217"/>
        <v>_</v>
      </c>
      <c r="AG201" s="2" t="s">
        <v>22</v>
      </c>
    </row>
    <row r="202" spans="2:33" x14ac:dyDescent="0.25">
      <c r="B202" s="2" t="str">
        <f t="shared" si="218"/>
        <v>@color-service_line_paved_or_uk</v>
      </c>
      <c r="C202" s="71" t="s">
        <v>227</v>
      </c>
      <c r="D202" s="38" t="str">
        <f t="shared" si="224"/>
        <v>"#ffffff"</v>
      </c>
      <c r="I202" s="38" t="str">
        <f>C202</f>
        <v>"#ffffff"</v>
      </c>
      <c r="J202" s="38" t="str">
        <f t="shared" si="225"/>
        <v>"#ffffff"</v>
      </c>
      <c r="U202" s="44"/>
      <c r="V202" s="44"/>
      <c r="X202" s="44"/>
      <c r="Y202" s="44"/>
      <c r="AA202" s="2" t="s">
        <v>6</v>
      </c>
      <c r="AB202" s="2" t="str">
        <f t="shared" si="215"/>
        <v>-</v>
      </c>
      <c r="AC202" s="2" t="s">
        <v>31</v>
      </c>
      <c r="AD202" s="2" t="str">
        <f t="shared" si="216"/>
        <v>_</v>
      </c>
      <c r="AE202" s="2" t="s">
        <v>13</v>
      </c>
      <c r="AF202" s="2" t="str">
        <f t="shared" si="217"/>
        <v>_</v>
      </c>
      <c r="AG202" s="2" t="s">
        <v>25</v>
      </c>
    </row>
    <row r="203" spans="2:33" x14ac:dyDescent="0.25">
      <c r="B203" s="2"/>
      <c r="AB203" s="28" t="str">
        <f t="shared" si="171"/>
        <v/>
      </c>
      <c r="AD203" s="28" t="str">
        <f t="shared" si="178"/>
        <v/>
      </c>
      <c r="AF203" s="28" t="str">
        <f t="shared" si="179"/>
        <v/>
      </c>
    </row>
    <row r="204" spans="2:33" x14ac:dyDescent="0.25">
      <c r="B204" s="2" t="str">
        <f t="shared" ref="B204" si="226">_xlfn.CONCAT("@",AA204,AB204,AC204,AD204,AE204,AF204,AG204)</f>
        <v>@color-minor_case_unpaved_farzoom</v>
      </c>
      <c r="C204" s="139" t="s">
        <v>232</v>
      </c>
      <c r="D204" s="140" t="s">
        <v>236</v>
      </c>
      <c r="F204" s="140" t="s">
        <v>236</v>
      </c>
      <c r="G204" s="139" t="s">
        <v>232</v>
      </c>
      <c r="I204" s="160" t="str">
        <f t="shared" ref="I204:J207" si="227">C204</f>
        <v>"#b99346"</v>
      </c>
      <c r="J204" s="155" t="str">
        <f t="shared" si="227"/>
        <v>"#644507"</v>
      </c>
      <c r="U204" s="44"/>
      <c r="V204" s="44"/>
      <c r="X204" s="44"/>
      <c r="Y204" s="44"/>
      <c r="AA204" s="2" t="s">
        <v>6</v>
      </c>
      <c r="AB204" s="2" t="str">
        <f t="shared" ref="AB204" si="228">IF(NOT(ISBLANK(AC204)),"-","")</f>
        <v>-</v>
      </c>
      <c r="AC204" s="2" t="s">
        <v>32</v>
      </c>
      <c r="AD204" s="2" t="str">
        <f t="shared" ref="AD204" si="229">IF(NOT(ISBLANK(AE204)),"_","")</f>
        <v>_</v>
      </c>
      <c r="AE204" s="2" t="s">
        <v>17</v>
      </c>
      <c r="AF204" s="2" t="str">
        <f t="shared" ref="AF204" si="230">IF(NOT(ISBLANK(AG204)),"_","")</f>
        <v>_</v>
      </c>
      <c r="AG204" s="2" t="s">
        <v>235</v>
      </c>
    </row>
    <row r="205" spans="2:33" x14ac:dyDescent="0.25">
      <c r="B205" s="2" t="str">
        <f t="shared" ref="B205:B208" si="231">_xlfn.CONCAT("@",AA205,AB205,AC205,AD205,AE205,AF205,AG205)</f>
        <v>@color-minor_case_unpaved_default</v>
      </c>
      <c r="C205" s="140" t="s">
        <v>236</v>
      </c>
      <c r="D205" s="140" t="s">
        <v>236</v>
      </c>
      <c r="F205" s="72" t="s">
        <v>217</v>
      </c>
      <c r="I205" s="155" t="str">
        <f t="shared" si="227"/>
        <v>"#644507"</v>
      </c>
      <c r="J205" s="155" t="str">
        <f t="shared" si="227"/>
        <v>"#644507"</v>
      </c>
      <c r="U205" s="44"/>
      <c r="V205" s="44"/>
      <c r="X205" s="44"/>
      <c r="Y205" s="44"/>
      <c r="AA205" s="2" t="s">
        <v>6</v>
      </c>
      <c r="AB205" s="2" t="str">
        <f t="shared" si="171"/>
        <v>-</v>
      </c>
      <c r="AC205" s="2" t="s">
        <v>32</v>
      </c>
      <c r="AD205" s="2" t="str">
        <f t="shared" si="178"/>
        <v>_</v>
      </c>
      <c r="AE205" s="2" t="s">
        <v>17</v>
      </c>
      <c r="AF205" s="2" t="str">
        <f t="shared" si="179"/>
        <v>_</v>
      </c>
      <c r="AG205" s="2" t="s">
        <v>270</v>
      </c>
    </row>
    <row r="206" spans="2:33" x14ac:dyDescent="0.25">
      <c r="B206" s="2" t="str">
        <f t="shared" ref="B206" si="232">_xlfn.CONCAT("@",AA206,AB206,AC206,AD206,AE206,AF206,AG206)</f>
        <v>@color-minor_case_paved_or_uk_farzoom</v>
      </c>
      <c r="C206" s="142" t="s">
        <v>233</v>
      </c>
      <c r="D206" s="72" t="s">
        <v>217</v>
      </c>
      <c r="F206" s="142" t="s">
        <v>233</v>
      </c>
      <c r="G206" s="142" t="s">
        <v>233</v>
      </c>
      <c r="I206" s="161" t="str">
        <f t="shared" si="227"/>
        <v>"#808080"</v>
      </c>
      <c r="J206" s="37" t="str">
        <f t="shared" si="227"/>
        <v>"#000000"</v>
      </c>
      <c r="U206" s="44"/>
      <c r="V206" s="44"/>
      <c r="X206" s="44"/>
      <c r="Y206" s="44"/>
      <c r="AA206" s="2" t="s">
        <v>6</v>
      </c>
      <c r="AB206" s="2" t="str">
        <f t="shared" ref="AB206" si="233">IF(NOT(ISBLANK(AC206)),"-","")</f>
        <v>-</v>
      </c>
      <c r="AC206" s="2" t="s">
        <v>32</v>
      </c>
      <c r="AD206" s="2" t="str">
        <f t="shared" ref="AD206" si="234">IF(NOT(ISBLANK(AE206)),"_","")</f>
        <v>_</v>
      </c>
      <c r="AE206" s="2" t="s">
        <v>17</v>
      </c>
      <c r="AF206" s="2" t="str">
        <f t="shared" ref="AF206" si="235">IF(NOT(ISBLANK(AG206)),"_","")</f>
        <v>_</v>
      </c>
      <c r="AG206" s="2" t="s">
        <v>234</v>
      </c>
    </row>
    <row r="207" spans="2:33" x14ac:dyDescent="0.25">
      <c r="B207" s="2" t="str">
        <f t="shared" si="231"/>
        <v>@color-minor_case_paved_or_uk_default</v>
      </c>
      <c r="C207" s="143" t="s">
        <v>221</v>
      </c>
      <c r="D207" s="72" t="s">
        <v>217</v>
      </c>
      <c r="F207" s="72" t="s">
        <v>217</v>
      </c>
      <c r="I207" s="162" t="str">
        <f t="shared" si="227"/>
        <v>"#404040"</v>
      </c>
      <c r="J207" s="37" t="str">
        <f t="shared" si="227"/>
        <v>"#000000"</v>
      </c>
      <c r="U207" s="44"/>
      <c r="V207" s="44"/>
      <c r="X207" s="44"/>
      <c r="Y207" s="44"/>
      <c r="AA207" s="2" t="s">
        <v>6</v>
      </c>
      <c r="AB207" s="2" t="str">
        <f t="shared" si="171"/>
        <v>-</v>
      </c>
      <c r="AC207" s="2" t="s">
        <v>32</v>
      </c>
      <c r="AD207" s="2" t="str">
        <f t="shared" si="178"/>
        <v>_</v>
      </c>
      <c r="AE207" s="2" t="s">
        <v>17</v>
      </c>
      <c r="AF207" s="2" t="str">
        <f t="shared" si="179"/>
        <v>_</v>
      </c>
      <c r="AG207" s="2" t="s">
        <v>271</v>
      </c>
    </row>
    <row r="208" spans="2:33" x14ac:dyDescent="0.25">
      <c r="B208" s="2" t="str">
        <f t="shared" si="231"/>
        <v>@color-minor_line_default</v>
      </c>
      <c r="C208" s="44"/>
      <c r="D208" s="44"/>
      <c r="F208" s="44"/>
      <c r="G208" s="44"/>
      <c r="I208" s="44"/>
      <c r="J208" s="44"/>
      <c r="L208" s="44"/>
      <c r="M208" s="44"/>
      <c r="U208" s="71" t="s">
        <v>227</v>
      </c>
      <c r="V208" s="38" t="str">
        <f>U208</f>
        <v>"#ffffff"</v>
      </c>
      <c r="AA208" s="2" t="s">
        <v>6</v>
      </c>
      <c r="AB208" s="2" t="str">
        <f t="shared" ref="AB208" si="236">IF(NOT(ISBLANK(AC208)),"-","")</f>
        <v>-</v>
      </c>
      <c r="AC208" s="2" t="s">
        <v>32</v>
      </c>
      <c r="AD208" s="2" t="str">
        <f t="shared" ref="AD208" si="237">IF(NOT(ISBLANK(AE208)),"_","")</f>
        <v>_</v>
      </c>
      <c r="AE208" s="2" t="s">
        <v>13</v>
      </c>
      <c r="AF208" s="2" t="str">
        <f t="shared" ref="AF208" si="238">IF(NOT(ISBLANK(AG208)),"_","")</f>
        <v>_</v>
      </c>
      <c r="AG208" s="2" t="s">
        <v>269</v>
      </c>
    </row>
    <row r="209" spans="1:33" x14ac:dyDescent="0.25">
      <c r="B209" s="2" t="str">
        <f t="shared" si="169"/>
        <v>@color-minor_line_unpaved</v>
      </c>
      <c r="C209" s="148" t="s">
        <v>226</v>
      </c>
      <c r="D209" s="38" t="str">
        <f t="shared" ref="D209:D210" si="239">C209</f>
        <v>"#eddfca"</v>
      </c>
      <c r="I209" s="149" t="str">
        <f>C209</f>
        <v>"#eddfca"</v>
      </c>
      <c r="J209" s="38" t="str">
        <f t="shared" ref="J209:J210" si="240">C209</f>
        <v>"#eddfca"</v>
      </c>
      <c r="U209" s="44"/>
      <c r="V209" s="44"/>
      <c r="X209" s="44"/>
      <c r="Y209" s="44"/>
      <c r="AA209" s="2" t="s">
        <v>6</v>
      </c>
      <c r="AB209" s="2" t="str">
        <f t="shared" si="171"/>
        <v>-</v>
      </c>
      <c r="AC209" s="2" t="s">
        <v>32</v>
      </c>
      <c r="AD209" s="2" t="str">
        <f t="shared" si="178"/>
        <v>_</v>
      </c>
      <c r="AE209" s="2" t="s">
        <v>13</v>
      </c>
      <c r="AF209" s="2" t="str">
        <f t="shared" si="179"/>
        <v>_</v>
      </c>
      <c r="AG209" s="2" t="s">
        <v>22</v>
      </c>
    </row>
    <row r="210" spans="1:33" x14ac:dyDescent="0.25">
      <c r="B210" s="2" t="str">
        <f t="shared" si="169"/>
        <v>@color-minor_line_paved_or_uk</v>
      </c>
      <c r="C210" s="71" t="s">
        <v>227</v>
      </c>
      <c r="D210" s="38" t="str">
        <f t="shared" si="239"/>
        <v>"#ffffff"</v>
      </c>
      <c r="I210" s="38" t="str">
        <f>C210</f>
        <v>"#ffffff"</v>
      </c>
      <c r="J210" s="38" t="str">
        <f t="shared" si="240"/>
        <v>"#ffffff"</v>
      </c>
      <c r="U210" s="44"/>
      <c r="V210" s="44"/>
      <c r="X210" s="44"/>
      <c r="Y210" s="44"/>
      <c r="AA210" s="2" t="s">
        <v>6</v>
      </c>
      <c r="AB210" s="2" t="str">
        <f t="shared" si="171"/>
        <v>-</v>
      </c>
      <c r="AC210" s="2" t="s">
        <v>32</v>
      </c>
      <c r="AD210" s="2" t="str">
        <f t="shared" si="178"/>
        <v>_</v>
      </c>
      <c r="AE210" s="2" t="s">
        <v>13</v>
      </c>
      <c r="AF210" s="2" t="str">
        <f t="shared" si="179"/>
        <v>_</v>
      </c>
      <c r="AG210" s="2" t="s">
        <v>25</v>
      </c>
    </row>
    <row r="211" spans="1:33" x14ac:dyDescent="0.25">
      <c r="B211" s="2"/>
      <c r="AB211" s="28" t="str">
        <f t="shared" si="171"/>
        <v/>
      </c>
      <c r="AD211" s="28" t="str">
        <f t="shared" si="178"/>
        <v/>
      </c>
      <c r="AF211" s="28" t="str">
        <f t="shared" si="179"/>
        <v/>
      </c>
    </row>
    <row r="212" spans="1:33" s="2" customFormat="1" x14ac:dyDescent="0.25">
      <c r="A212" s="3" t="s">
        <v>229</v>
      </c>
      <c r="B212" s="3"/>
      <c r="C212" s="27"/>
      <c r="D212" s="6"/>
      <c r="E212" s="7"/>
      <c r="F212" s="6"/>
      <c r="G212" s="6"/>
      <c r="H212" s="7"/>
      <c r="I212" s="6"/>
      <c r="J212" s="6"/>
      <c r="K212" s="7"/>
      <c r="L212" s="6"/>
      <c r="M212" s="6"/>
      <c r="N212" s="7"/>
      <c r="O212" s="6"/>
      <c r="P212" s="6"/>
      <c r="Q212" s="7"/>
      <c r="R212" s="6"/>
      <c r="S212" s="6"/>
      <c r="T212" s="7"/>
      <c r="U212" s="6"/>
      <c r="V212" s="6"/>
      <c r="W212" s="7"/>
      <c r="X212" s="6"/>
      <c r="Y212" s="6"/>
      <c r="AA212" s="4"/>
      <c r="AB212" s="4" t="str">
        <f t="shared" si="171"/>
        <v/>
      </c>
      <c r="AC212" s="4"/>
      <c r="AD212" s="4" t="str">
        <f t="shared" si="178"/>
        <v/>
      </c>
      <c r="AE212" s="4"/>
      <c r="AF212" s="4" t="str">
        <f t="shared" si="179"/>
        <v/>
      </c>
      <c r="AG212" s="4"/>
    </row>
    <row r="213" spans="1:33" x14ac:dyDescent="0.25">
      <c r="B213" s="2" t="str">
        <f t="shared" si="169"/>
        <v>@color-motorway_link_line</v>
      </c>
      <c r="C213" s="135" t="s">
        <v>216</v>
      </c>
      <c r="D213" s="136" t="s">
        <v>218</v>
      </c>
      <c r="AA213" s="2" t="s">
        <v>6</v>
      </c>
      <c r="AB213" s="2" t="str">
        <f t="shared" si="171"/>
        <v>-</v>
      </c>
      <c r="AC213" s="2" t="s">
        <v>34</v>
      </c>
      <c r="AD213" s="2" t="str">
        <f t="shared" si="178"/>
        <v>_</v>
      </c>
      <c r="AE213" s="2" t="s">
        <v>13</v>
      </c>
      <c r="AF213" s="2" t="str">
        <f t="shared" si="179"/>
        <v/>
      </c>
      <c r="AG213" s="2"/>
    </row>
    <row r="214" spans="1:33" x14ac:dyDescent="0.25">
      <c r="B214" s="2" t="str">
        <f t="shared" si="169"/>
        <v>@color-motorway_link_case</v>
      </c>
      <c r="C214" s="132" t="s">
        <v>215</v>
      </c>
      <c r="D214" s="163" t="s">
        <v>18</v>
      </c>
      <c r="F214" s="72" t="s">
        <v>217</v>
      </c>
      <c r="AA214" s="2" t="s">
        <v>6</v>
      </c>
      <c r="AB214" s="2" t="str">
        <f t="shared" si="171"/>
        <v>-</v>
      </c>
      <c r="AC214" s="2" t="s">
        <v>34</v>
      </c>
      <c r="AD214" s="2" t="str">
        <f t="shared" si="178"/>
        <v>_</v>
      </c>
      <c r="AE214" s="2" t="s">
        <v>17</v>
      </c>
      <c r="AF214" s="2" t="str">
        <f t="shared" si="179"/>
        <v/>
      </c>
      <c r="AG214" s="2"/>
    </row>
    <row r="215" spans="1:33" x14ac:dyDescent="0.25">
      <c r="B215" s="2" t="str">
        <f t="shared" si="169"/>
        <v>@color-trunk_primary_secondary_tertiary_link_line</v>
      </c>
      <c r="C215" s="146" t="s">
        <v>222</v>
      </c>
      <c r="D215" s="136" t="s">
        <v>218</v>
      </c>
      <c r="AA215" s="2" t="s">
        <v>6</v>
      </c>
      <c r="AB215" s="2" t="str">
        <f t="shared" si="171"/>
        <v>-</v>
      </c>
      <c r="AC215" s="2" t="s">
        <v>33</v>
      </c>
      <c r="AD215" s="2" t="str">
        <f t="shared" si="178"/>
        <v>_</v>
      </c>
      <c r="AE215" s="2" t="s">
        <v>13</v>
      </c>
      <c r="AF215" s="2" t="str">
        <f t="shared" si="179"/>
        <v/>
      </c>
      <c r="AG215" s="2"/>
    </row>
    <row r="216" spans="1:33" x14ac:dyDescent="0.25">
      <c r="B216" s="2" t="str">
        <f t="shared" si="169"/>
        <v>@color-trunk_primary_secondary_tertiary_link_line_bicycle_no</v>
      </c>
      <c r="C216" s="135" t="s">
        <v>216</v>
      </c>
      <c r="D216" s="147" t="s">
        <v>223</v>
      </c>
      <c r="AA216" s="2" t="s">
        <v>6</v>
      </c>
      <c r="AB216" s="2" t="str">
        <f t="shared" si="171"/>
        <v>-</v>
      </c>
      <c r="AC216" s="2" t="s">
        <v>33</v>
      </c>
      <c r="AD216" s="2" t="str">
        <f t="shared" si="178"/>
        <v>_</v>
      </c>
      <c r="AE216" s="2" t="s">
        <v>13</v>
      </c>
      <c r="AF216" s="2" t="str">
        <f t="shared" si="179"/>
        <v>_</v>
      </c>
      <c r="AG216" s="2" t="s">
        <v>24</v>
      </c>
    </row>
    <row r="217" spans="1:33" x14ac:dyDescent="0.25">
      <c r="B217" s="2" t="str">
        <f t="shared" si="169"/>
        <v>@color-trunk_primary_secondary_tertiary_link_line_unpaved</v>
      </c>
      <c r="I217" s="149" t="s">
        <v>226</v>
      </c>
      <c r="AA217" s="2" t="s">
        <v>6</v>
      </c>
      <c r="AB217" s="2" t="str">
        <f t="shared" si="171"/>
        <v>-</v>
      </c>
      <c r="AC217" s="2" t="s">
        <v>33</v>
      </c>
      <c r="AD217" s="2" t="str">
        <f t="shared" si="178"/>
        <v>_</v>
      </c>
      <c r="AE217" s="2" t="s">
        <v>13</v>
      </c>
      <c r="AF217" s="2" t="str">
        <f t="shared" si="179"/>
        <v>_</v>
      </c>
      <c r="AG217" s="2" t="s">
        <v>22</v>
      </c>
    </row>
    <row r="218" spans="1:33" x14ac:dyDescent="0.25">
      <c r="B218" s="2" t="str">
        <f t="shared" si="169"/>
        <v>@color-trunk_primary_secondary_tertiary_link_line_paved_or_uk</v>
      </c>
      <c r="I218" s="38" t="s">
        <v>227</v>
      </c>
      <c r="AA218" s="2" t="s">
        <v>6</v>
      </c>
      <c r="AB218" s="2" t="str">
        <f t="shared" si="171"/>
        <v>-</v>
      </c>
      <c r="AC218" s="2" t="s">
        <v>33</v>
      </c>
      <c r="AD218" s="2" t="str">
        <f t="shared" si="178"/>
        <v>_</v>
      </c>
      <c r="AE218" s="2" t="s">
        <v>13</v>
      </c>
      <c r="AF218" s="2" t="str">
        <f t="shared" si="179"/>
        <v>_</v>
      </c>
      <c r="AG218" s="2" t="s">
        <v>25</v>
      </c>
    </row>
    <row r="219" spans="1:33" x14ac:dyDescent="0.25">
      <c r="B219" s="2" t="str">
        <f t="shared" si="169"/>
        <v>@</v>
      </c>
    </row>
    <row r="220" spans="1:33" x14ac:dyDescent="0.25">
      <c r="B220" s="2" t="str">
        <f t="shared" si="169"/>
        <v>@</v>
      </c>
    </row>
    <row r="221" spans="1:33" x14ac:dyDescent="0.25">
      <c r="B221" s="2" t="str">
        <f t="shared" si="169"/>
        <v>@</v>
      </c>
    </row>
    <row r="222" spans="1:33" x14ac:dyDescent="0.25">
      <c r="B222" s="2" t="str">
        <f t="shared" si="169"/>
        <v>@</v>
      </c>
    </row>
    <row r="223" spans="1:33" x14ac:dyDescent="0.25">
      <c r="B223" s="2" t="str">
        <f t="shared" si="169"/>
        <v>@</v>
      </c>
    </row>
    <row r="224" spans="1:33" x14ac:dyDescent="0.25">
      <c r="B224" s="2" t="str">
        <f t="shared" si="169"/>
        <v>@</v>
      </c>
    </row>
    <row r="225" spans="2:2" x14ac:dyDescent="0.25">
      <c r="B225" s="2" t="str">
        <f t="shared" si="169"/>
        <v>@</v>
      </c>
    </row>
    <row r="226" spans="2:2" x14ac:dyDescent="0.25">
      <c r="B226" s="2" t="str">
        <f t="shared" si="169"/>
        <v>@</v>
      </c>
    </row>
    <row r="227" spans="2:2" x14ac:dyDescent="0.25">
      <c r="B227" s="2" t="str">
        <f t="shared" si="169"/>
        <v>@</v>
      </c>
    </row>
    <row r="228" spans="2:2" x14ac:dyDescent="0.25">
      <c r="B228" s="2" t="str">
        <f t="shared" si="169"/>
        <v>@</v>
      </c>
    </row>
    <row r="229" spans="2:2" x14ac:dyDescent="0.25">
      <c r="B229" s="2" t="str">
        <f t="shared" si="169"/>
        <v>@</v>
      </c>
    </row>
    <row r="230" spans="2:2" x14ac:dyDescent="0.25">
      <c r="B230" s="2" t="str">
        <f t="shared" si="169"/>
        <v>@</v>
      </c>
    </row>
    <row r="231" spans="2:2" x14ac:dyDescent="0.25">
      <c r="B231" s="2" t="str">
        <f t="shared" si="169"/>
        <v>@</v>
      </c>
    </row>
    <row r="232" spans="2:2" x14ac:dyDescent="0.25">
      <c r="B232" s="2" t="str">
        <f t="shared" si="169"/>
        <v>@</v>
      </c>
    </row>
    <row r="233" spans="2:2" x14ac:dyDescent="0.25">
      <c r="B233" s="2" t="str">
        <f t="shared" si="169"/>
        <v>@</v>
      </c>
    </row>
    <row r="234" spans="2:2" x14ac:dyDescent="0.25">
      <c r="B234" s="2" t="str">
        <f t="shared" si="169"/>
        <v>@</v>
      </c>
    </row>
    <row r="235" spans="2:2" x14ac:dyDescent="0.25">
      <c r="B235" s="2" t="str">
        <f t="shared" si="169"/>
        <v>@</v>
      </c>
    </row>
    <row r="236" spans="2:2" x14ac:dyDescent="0.25">
      <c r="B236" s="2" t="str">
        <f t="shared" si="169"/>
        <v>@</v>
      </c>
    </row>
    <row r="237" spans="2:2" x14ac:dyDescent="0.25">
      <c r="B237" s="2" t="str">
        <f t="shared" si="169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5:C66 C67:C80 M65:Y65 M66:Y66 M67:Y67 M69:Y69 M70:Y70 M71:Y71 M73:Y73 M74:Y74 M75:Y75 M77:Y77 M78:Y78 M79:Y79 D65:L8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9" t="s">
        <v>107</v>
      </c>
      <c r="C3" s="1"/>
      <c r="D3" s="5"/>
      <c r="E3" s="8" t="s">
        <v>108</v>
      </c>
      <c r="F3" s="1"/>
      <c r="G3" s="10"/>
      <c r="H3" s="9" t="s">
        <v>23</v>
      </c>
      <c r="I3" s="1"/>
      <c r="J3" s="5"/>
      <c r="K3" s="8" t="s">
        <v>109</v>
      </c>
      <c r="L3" s="1"/>
      <c r="M3" s="10"/>
      <c r="N3" s="9" t="s">
        <v>110</v>
      </c>
      <c r="O3" s="1"/>
      <c r="P3" s="5"/>
      <c r="Q3" s="8" t="s">
        <v>111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3" t="s">
        <v>120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83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88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98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98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113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115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118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125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84</v>
      </c>
      <c r="E8" s="15" t="str">
        <f t="shared" si="7"/>
        <v>@case_width-path_narrow-z14-(mtb-hc)</v>
      </c>
      <c r="F8" s="7" t="str">
        <f t="shared" si="0"/>
        <v>2.5</v>
      </c>
      <c r="G8" s="10" t="s">
        <v>93</v>
      </c>
      <c r="H8" s="14" t="str">
        <f t="shared" si="8"/>
        <v>@case_width-path_narrow-z14-(gr)</v>
      </c>
      <c r="I8" s="7" t="str">
        <f t="shared" si="9"/>
        <v>1.0</v>
      </c>
      <c r="J8" s="5" t="s">
        <v>83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83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85</v>
      </c>
      <c r="E9" s="15" t="str">
        <f t="shared" si="7"/>
        <v>@case_width-path_narrow-z16-(mtb-hc)</v>
      </c>
      <c r="F9" s="7" t="str">
        <f t="shared" si="0"/>
        <v>3.0</v>
      </c>
      <c r="G9" s="10" t="s">
        <v>91</v>
      </c>
      <c r="H9" s="14" t="str">
        <f t="shared" si="8"/>
        <v>@case_width-path_narrow-z16-(gr)</v>
      </c>
      <c r="I9" s="7" t="str">
        <f t="shared" si="9"/>
        <v>1.0</v>
      </c>
      <c r="J9" s="5" t="s">
        <v>83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126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86</v>
      </c>
      <c r="E10" s="15" t="str">
        <f t="shared" si="7"/>
        <v>@case_width-path_narrow-z18-(mtb-hc)</v>
      </c>
      <c r="F10" s="7" t="str">
        <f t="shared" si="0"/>
        <v>7.5</v>
      </c>
      <c r="G10" s="10" t="s">
        <v>94</v>
      </c>
      <c r="H10" s="14" t="str">
        <f t="shared" si="8"/>
        <v>@case_width-path_narrow-z18-(gr)</v>
      </c>
      <c r="I10" s="7" t="str">
        <f t="shared" si="9"/>
        <v>1.5</v>
      </c>
      <c r="J10" s="5" t="s">
        <v>87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102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87</v>
      </c>
      <c r="E11" s="15" t="str">
        <f t="shared" si="7"/>
        <v>@case_width-path_medium-z11-(mtb-hc)</v>
      </c>
      <c r="F11" s="7" t="str">
        <f t="shared" si="0"/>
        <v>3.0</v>
      </c>
      <c r="G11" s="10" t="s">
        <v>91</v>
      </c>
      <c r="H11" s="14" t="str">
        <f t="shared" si="8"/>
        <v>@case_width-path_medium-z11-(gr)</v>
      </c>
      <c r="I11" s="7" t="str">
        <f t="shared" si="9"/>
        <v>0.8</v>
      </c>
      <c r="J11" s="5" t="s">
        <v>99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98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114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117</v>
      </c>
      <c r="H12" s="14" t="str">
        <f t="shared" si="8"/>
        <v>@case_width-path_medium-z12-(gr)</v>
      </c>
      <c r="I12" s="7" t="str">
        <f t="shared" si="9"/>
        <v>0.9</v>
      </c>
      <c r="J12" s="5" t="s">
        <v>119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125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88</v>
      </c>
      <c r="E13" s="15" t="str">
        <f t="shared" si="7"/>
        <v>@case_width-path_medium-z14-(mtb-hc)</v>
      </c>
      <c r="F13" s="7" t="str">
        <f t="shared" si="0"/>
        <v>4.0</v>
      </c>
      <c r="G13" s="10" t="s">
        <v>95</v>
      </c>
      <c r="H13" s="14" t="str">
        <f t="shared" si="8"/>
        <v>@case_width-path_medium-z14-(gr)</v>
      </c>
      <c r="I13" s="7" t="str">
        <f t="shared" si="9"/>
        <v>1.2</v>
      </c>
      <c r="J13" s="5" t="s">
        <v>100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83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89</v>
      </c>
      <c r="E14" s="15" t="str">
        <f t="shared" si="7"/>
        <v>@case_width-path_medium-z16-(mtb-hc)</v>
      </c>
      <c r="F14" s="7" t="str">
        <f t="shared" si="0"/>
        <v>6.0</v>
      </c>
      <c r="G14" s="10" t="s">
        <v>89</v>
      </c>
      <c r="H14" s="14" t="str">
        <f t="shared" si="8"/>
        <v>@case_width-path_medium-z16-(gr)</v>
      </c>
      <c r="I14" s="7" t="str">
        <f t="shared" si="9"/>
        <v>1.6</v>
      </c>
      <c r="J14" s="5" t="s">
        <v>101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126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90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96</v>
      </c>
      <c r="H15" s="14" t="str">
        <f t="shared" si="8"/>
        <v>@case_width-path_medium-z18-(gr)</v>
      </c>
      <c r="I15" s="7" t="str">
        <f t="shared" si="9"/>
        <v>2.4</v>
      </c>
      <c r="J15" s="5" t="s">
        <v>102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102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88</v>
      </c>
      <c r="E16" s="15" t="str">
        <f t="shared" si="7"/>
        <v>@case_width-path_wide-z11-(mtb-hc)</v>
      </c>
      <c r="F16" s="7" t="str">
        <f t="shared" si="0"/>
        <v>4.0</v>
      </c>
      <c r="G16" s="10" t="s">
        <v>95</v>
      </c>
      <c r="H16" s="14" t="str">
        <f t="shared" si="8"/>
        <v>@case_width-path_wide-z11-(gr)</v>
      </c>
      <c r="I16" s="7" t="str">
        <f t="shared" si="9"/>
        <v>1.5</v>
      </c>
      <c r="J16" s="5" t="s">
        <v>87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98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102</v>
      </c>
      <c r="E17" s="15" t="str">
        <f t="shared" si="7"/>
        <v>@case_width-path_wide-z12-(mtb-hc)</v>
      </c>
      <c r="F17" s="7" t="str">
        <f t="shared" si="0"/>
        <v>4.8</v>
      </c>
      <c r="G17" s="10" t="s">
        <v>116</v>
      </c>
      <c r="H17" s="14" t="str">
        <f t="shared" si="8"/>
        <v>@case_width-path_wide-z12-(gr)</v>
      </c>
      <c r="I17" s="7" t="str">
        <f t="shared" si="9"/>
        <v>1.5</v>
      </c>
      <c r="J17" s="5" t="s">
        <v>87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125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91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89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101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83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90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90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102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126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92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97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103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102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3" t="s">
        <v>121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127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98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127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98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123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125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123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125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118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100</v>
      </c>
      <c r="H24" s="14" t="str">
        <f t="shared" si="30"/>
        <v>@line_width-path_narrow-z14-(gr)</v>
      </c>
      <c r="I24" s="7" t="str">
        <f t="shared" si="31"/>
        <v>0.5</v>
      </c>
      <c r="J24" s="5" t="s">
        <v>98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83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100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87</v>
      </c>
      <c r="H25" s="14" t="str">
        <f t="shared" si="30"/>
        <v>@line_width-path_narrow-z16-(gr)</v>
      </c>
      <c r="I25" s="7" t="str">
        <f t="shared" si="31"/>
        <v>1.0</v>
      </c>
      <c r="J25" s="5" t="s">
        <v>83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126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124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91</v>
      </c>
      <c r="H26" s="14" t="str">
        <f t="shared" si="30"/>
        <v>@line_width-path_narrow-z18-(gr)</v>
      </c>
      <c r="I26" s="7" t="str">
        <f t="shared" si="31"/>
        <v>1.0</v>
      </c>
      <c r="J26" s="5" t="s">
        <v>83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102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98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118</v>
      </c>
      <c r="H27" s="14" t="str">
        <f t="shared" si="30"/>
        <v>@line_width-path_medium-z11-(gr)</v>
      </c>
      <c r="I27" s="7" t="str">
        <f t="shared" si="31"/>
        <v>0.5</v>
      </c>
      <c r="J27" s="5" t="s">
        <v>98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125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119</v>
      </c>
      <c r="H28" s="14" t="str">
        <f t="shared" si="30"/>
        <v>@line_width-path_medium-z12-(gr)</v>
      </c>
      <c r="I28" s="7" t="str">
        <f t="shared" si="31"/>
        <v>0.6</v>
      </c>
      <c r="J28" s="5" t="s">
        <v>125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83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87</v>
      </c>
      <c r="H29" s="14" t="str">
        <f t="shared" si="30"/>
        <v>@line_width-path_medium-z14-(gr)</v>
      </c>
      <c r="I29" s="7" t="str">
        <f t="shared" si="31"/>
        <v>0.8</v>
      </c>
      <c r="J29" s="5" t="s">
        <v>99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126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129</v>
      </c>
      <c r="H30" s="14" t="str">
        <f t="shared" si="30"/>
        <v>@line_width-path_medium-z16-(gr)</v>
      </c>
      <c r="I30" s="7" t="str">
        <f t="shared" si="31"/>
        <v>1.2</v>
      </c>
      <c r="J30" s="5" t="s">
        <v>100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85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130</v>
      </c>
      <c r="H31" s="14" t="str">
        <f t="shared" si="30"/>
        <v>@line_width-path_medium-z18-(gr)</v>
      </c>
      <c r="I31" s="7" t="str">
        <f t="shared" si="31"/>
        <v>1.6</v>
      </c>
      <c r="J31" s="5" t="s">
        <v>101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118</v>
      </c>
      <c r="E32" s="15" t="str">
        <f t="shared" si="29"/>
        <v>@line_width-path_wide-z11-(mtb-hc)</v>
      </c>
      <c r="F32" s="7" t="str">
        <f t="shared" si="21"/>
        <v>1.5</v>
      </c>
      <c r="G32" s="10" t="s">
        <v>87</v>
      </c>
      <c r="H32" s="14" t="str">
        <f t="shared" si="30"/>
        <v>@line_width-path_wide-z11-(gr)</v>
      </c>
      <c r="I32" s="7" t="str">
        <f t="shared" si="31"/>
        <v>1.0</v>
      </c>
      <c r="J32" s="5" t="s">
        <v>83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98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83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126</v>
      </c>
      <c r="H33" s="14" t="str">
        <f t="shared" si="30"/>
        <v>@line_width-path_wide-z12-(gr)</v>
      </c>
      <c r="I33" s="7" t="str">
        <f t="shared" si="31"/>
        <v>1.2</v>
      </c>
      <c r="J33" s="5" t="s">
        <v>100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125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114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129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87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83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128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131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101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126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89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132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102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102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3" t="s">
        <v>133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88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95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88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91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95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91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134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135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134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95</v>
      </c>
      <c r="E41" s="15" t="str">
        <f t="shared" si="53"/>
        <v>@case_width-track-z14-(mtb-hc)</v>
      </c>
      <c r="F41" s="7" t="str">
        <f t="shared" si="41"/>
        <v>6.0</v>
      </c>
      <c r="G41" s="10" t="s">
        <v>89</v>
      </c>
      <c r="H41" s="14" t="str">
        <f t="shared" si="54"/>
        <v>@case_width-track-z14-(gr)</v>
      </c>
      <c r="I41" s="7" t="str">
        <f t="shared" si="55"/>
        <v>4.0</v>
      </c>
      <c r="J41" s="5" t="s">
        <v>95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90</v>
      </c>
      <c r="E42" s="15" t="str">
        <f t="shared" si="53"/>
        <v>@case_width-track-z16-(mtb-hc)</v>
      </c>
      <c r="F42" s="7" t="str">
        <f t="shared" si="41"/>
        <v>13.5</v>
      </c>
      <c r="G42" s="10" t="s">
        <v>96</v>
      </c>
      <c r="H42" s="14" t="str">
        <f t="shared" si="54"/>
        <v>@case_width-track-z16-(gr)</v>
      </c>
      <c r="I42" s="7" t="str">
        <f t="shared" si="55"/>
        <v>9.0</v>
      </c>
      <c r="J42" s="5" t="s">
        <v>90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92</v>
      </c>
      <c r="E43" s="15" t="str">
        <f t="shared" si="53"/>
        <v>@case_width-track-z18-(mtb-hc)</v>
      </c>
      <c r="F43" s="7" t="str">
        <f t="shared" si="41"/>
        <v>22.5</v>
      </c>
      <c r="G43" s="10" t="s">
        <v>97</v>
      </c>
      <c r="H43" s="14" t="str">
        <f t="shared" si="54"/>
        <v>@case_width-track-z18-(gr)</v>
      </c>
      <c r="I43" s="7" t="str">
        <f t="shared" si="55"/>
        <v>15.0</v>
      </c>
      <c r="J43" s="5" t="s">
        <v>92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3" t="s">
        <v>136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98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84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99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125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87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119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119</v>
      </c>
      <c r="E47" s="15" t="str">
        <f t="shared" si="71"/>
        <v>@line_width-track-z12-(mtb-hc)</v>
      </c>
      <c r="F47" s="7" t="str">
        <f t="shared" si="62"/>
        <v>1.7</v>
      </c>
      <c r="G47" s="10" t="s">
        <v>114</v>
      </c>
      <c r="H47" s="14" t="str">
        <f t="shared" si="72"/>
        <v>@line_width-track-z12-(gr)</v>
      </c>
      <c r="I47" s="7" t="str">
        <f t="shared" si="73"/>
        <v>1.2</v>
      </c>
      <c r="J47" s="5" t="s">
        <v>100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84</v>
      </c>
      <c r="E48" s="15" t="str">
        <f t="shared" si="71"/>
        <v>@line_width-track-z14-(mtb-hc)</v>
      </c>
      <c r="F48" s="7" t="str">
        <f t="shared" si="62"/>
        <v>2.0</v>
      </c>
      <c r="G48" s="10" t="s">
        <v>88</v>
      </c>
      <c r="H48" s="14" t="str">
        <f t="shared" si="72"/>
        <v>@line_width-track-z14-(gr)</v>
      </c>
      <c r="I48" s="7" t="str">
        <f t="shared" si="73"/>
        <v>1.6</v>
      </c>
      <c r="J48" s="5" t="s">
        <v>101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85</v>
      </c>
      <c r="E49" s="15" t="str">
        <f t="shared" si="71"/>
        <v>@line_width-track-z16-(mtb-hc)</v>
      </c>
      <c r="F49" s="7" t="str">
        <f t="shared" si="62"/>
        <v>5.2</v>
      </c>
      <c r="G49" s="10" t="s">
        <v>130</v>
      </c>
      <c r="H49" s="14" t="str">
        <f t="shared" si="72"/>
        <v>@line_width-track-z16-(gr)</v>
      </c>
      <c r="I49" s="7" t="str">
        <f t="shared" si="73"/>
        <v>4.0</v>
      </c>
      <c r="J49" s="5" t="s">
        <v>95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137</v>
      </c>
      <c r="E50" s="15" t="str">
        <f t="shared" si="71"/>
        <v>@line_width-track-z18-(mtb-hc)</v>
      </c>
      <c r="F50" s="7" t="str">
        <f t="shared" si="62"/>
        <v>10.5</v>
      </c>
      <c r="G50" s="10" t="s">
        <v>138</v>
      </c>
      <c r="H50" s="14" t="str">
        <f t="shared" si="72"/>
        <v>@line_width-track-z18-(gr)</v>
      </c>
      <c r="I50" s="7" t="str">
        <f t="shared" si="73"/>
        <v>5.0</v>
      </c>
      <c r="J50" s="5" t="s">
        <v>86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3" t="s">
        <v>139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83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83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102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102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131</v>
      </c>
      <c r="E54" s="15" t="str">
        <f t="shared" si="89"/>
        <v>@case_width-motorway-z10-(mtb-hc)</v>
      </c>
      <c r="F54" s="7" t="str">
        <f t="shared" si="62"/>
        <v>4.5</v>
      </c>
      <c r="G54" s="10" t="s">
        <v>131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144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145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3" t="s">
        <v>146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98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98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87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93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91</v>
      </c>
      <c r="E59" s="15" t="str">
        <f t="shared" si="109"/>
        <v>@line_width-motorway-z12-(mtb-hc)</v>
      </c>
      <c r="F59" s="7" t="str">
        <f t="shared" si="62"/>
        <v>4.5</v>
      </c>
      <c r="G59" s="10" t="s">
        <v>131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95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137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148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149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3" t="s">
        <v>150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93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95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144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3" t="s">
        <v>151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98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88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117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152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148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71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3" t="s">
        <v>104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2025-12-22T14:38:11Z</dcterms:modified>
</cp:coreProperties>
</file>