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1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E:\GitHub\mtb-trailmap\"/>
    </mc:Choice>
  </mc:AlternateContent>
  <xr:revisionPtr revIDLastSave="0" documentId="13_ncr:1_{AB0741EB-D444-4218-A543-9467A542925C}" xr6:coauthVersionLast="47" xr6:coauthVersionMax="47" xr10:uidLastSave="{00000000-0000-0000-0000-000000000000}"/>
  <bookViews>
    <workbookView xWindow="-120" yWindow="-15" windowWidth="38610" windowHeight="31815" xr2:uid="{874F13CA-3A0E-4951-A5BA-F0D36D053368}"/>
  </bookViews>
  <sheets>
    <sheet name="style_variables" sheetId="5" r:id="rId1"/>
    <sheet name="style_variables_linetypes" sheetId="3" r:id="rId2"/>
    <sheet name="#OLD style_variables_linetypes" sheetId="2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312" i="5" l="1"/>
  <c r="AF312" i="5"/>
  <c r="AD312" i="5"/>
  <c r="AB312" i="5"/>
  <c r="B312" i="5"/>
  <c r="AH311" i="5"/>
  <c r="AF311" i="5"/>
  <c r="AD311" i="5"/>
  <c r="AB311" i="5"/>
  <c r="AH310" i="5"/>
  <c r="AF310" i="5"/>
  <c r="AD310" i="5"/>
  <c r="AB310" i="5"/>
  <c r="B310" i="5" s="1"/>
  <c r="AH309" i="5"/>
  <c r="AF309" i="5"/>
  <c r="AD309" i="5"/>
  <c r="AB309" i="5"/>
  <c r="B309" i="5"/>
  <c r="AH331" i="5"/>
  <c r="AF331" i="5"/>
  <c r="AD331" i="5"/>
  <c r="AB331" i="5"/>
  <c r="B331" i="5"/>
  <c r="AH330" i="5"/>
  <c r="AF330" i="5"/>
  <c r="AD330" i="5"/>
  <c r="AB330" i="5"/>
  <c r="B330" i="5"/>
  <c r="AH333" i="5"/>
  <c r="AF333" i="5"/>
  <c r="AD333" i="5"/>
  <c r="AB333" i="5"/>
  <c r="B333" i="5"/>
  <c r="AH332" i="5"/>
  <c r="AF332" i="5"/>
  <c r="AD332" i="5"/>
  <c r="AB332" i="5"/>
  <c r="B332" i="5"/>
  <c r="AB11" i="5"/>
  <c r="AD11" i="5"/>
  <c r="AB12" i="5"/>
  <c r="AD12" i="5"/>
  <c r="AB13" i="5"/>
  <c r="AD13" i="5"/>
  <c r="AB14" i="5"/>
  <c r="AD14" i="5"/>
  <c r="AB15" i="5"/>
  <c r="AD15" i="5"/>
  <c r="AB16" i="5"/>
  <c r="AD16" i="5"/>
  <c r="AB17" i="5"/>
  <c r="AD17" i="5"/>
  <c r="AB18" i="5"/>
  <c r="AD18" i="5"/>
  <c r="AB19" i="5"/>
  <c r="AD19" i="5"/>
  <c r="AB20" i="5"/>
  <c r="AD20" i="5"/>
  <c r="AB21" i="5"/>
  <c r="AD21" i="5"/>
  <c r="AB22" i="5"/>
  <c r="AD22" i="5"/>
  <c r="AB23" i="5"/>
  <c r="AD23" i="5"/>
  <c r="AB24" i="5"/>
  <c r="AD24" i="5"/>
  <c r="AB25" i="5"/>
  <c r="AD25" i="5"/>
  <c r="AB26" i="5"/>
  <c r="AD26" i="5"/>
  <c r="AB27" i="5"/>
  <c r="AD27" i="5"/>
  <c r="AB28" i="5"/>
  <c r="AD28" i="5"/>
  <c r="AB29" i="5"/>
  <c r="AD29" i="5"/>
  <c r="AB30" i="5"/>
  <c r="AD30" i="5"/>
  <c r="AB31" i="5"/>
  <c r="AD31" i="5"/>
  <c r="AB32" i="5"/>
  <c r="AD32" i="5"/>
  <c r="AB33" i="5"/>
  <c r="AD33" i="5"/>
  <c r="AB34" i="5"/>
  <c r="AD34" i="5"/>
  <c r="AB35" i="5"/>
  <c r="AD35" i="5"/>
  <c r="AB36" i="5"/>
  <c r="AD36" i="5"/>
  <c r="AB37" i="5"/>
  <c r="AD37" i="5"/>
  <c r="AB38" i="5"/>
  <c r="AD38" i="5"/>
  <c r="AB39" i="5"/>
  <c r="AD39" i="5"/>
  <c r="AB40" i="5"/>
  <c r="AD40" i="5"/>
  <c r="AB42" i="5"/>
  <c r="AD42" i="5"/>
  <c r="AB43" i="5"/>
  <c r="AD43" i="5"/>
  <c r="AB44" i="5"/>
  <c r="AD44" i="5"/>
  <c r="AB46" i="5"/>
  <c r="AD46" i="5"/>
  <c r="AB47" i="5"/>
  <c r="AD47" i="5"/>
  <c r="AB48" i="5"/>
  <c r="AD48" i="5"/>
  <c r="AB49" i="5"/>
  <c r="AD49" i="5"/>
  <c r="AB50" i="5"/>
  <c r="AD50" i="5"/>
  <c r="AB51" i="5"/>
  <c r="AD51" i="5"/>
  <c r="AH242" i="5"/>
  <c r="AF242" i="5"/>
  <c r="AD242" i="5"/>
  <c r="AB242" i="5"/>
  <c r="B242" i="5"/>
  <c r="AH241" i="5"/>
  <c r="AF241" i="5"/>
  <c r="AD241" i="5"/>
  <c r="AB241" i="5"/>
  <c r="B241" i="5" s="1"/>
  <c r="AH237" i="5"/>
  <c r="AF237" i="5"/>
  <c r="AD237" i="5"/>
  <c r="AB237" i="5"/>
  <c r="B237" i="5"/>
  <c r="AH236" i="5"/>
  <c r="AF236" i="5"/>
  <c r="AD236" i="5"/>
  <c r="AB236" i="5"/>
  <c r="B236" i="5" s="1"/>
  <c r="AH235" i="5"/>
  <c r="AF235" i="5"/>
  <c r="AD235" i="5"/>
  <c r="AB235" i="5"/>
  <c r="B235" i="5"/>
  <c r="AH234" i="5"/>
  <c r="AF234" i="5"/>
  <c r="AD234" i="5"/>
  <c r="AB234" i="5"/>
  <c r="AH244" i="5"/>
  <c r="AF244" i="5"/>
  <c r="AD244" i="5"/>
  <c r="AB244" i="5"/>
  <c r="AH243" i="5"/>
  <c r="AF243" i="5"/>
  <c r="AD243" i="5"/>
  <c r="AB243" i="5"/>
  <c r="AH240" i="5"/>
  <c r="AF240" i="5"/>
  <c r="AD240" i="5"/>
  <c r="AB240" i="5"/>
  <c r="B240" i="5"/>
  <c r="AH238" i="5"/>
  <c r="AF238" i="5"/>
  <c r="AD238" i="5"/>
  <c r="AB238" i="5"/>
  <c r="AH233" i="5"/>
  <c r="AF233" i="5"/>
  <c r="AD233" i="5"/>
  <c r="AB233" i="5"/>
  <c r="AH232" i="5"/>
  <c r="AF232" i="5"/>
  <c r="AD232" i="5"/>
  <c r="AB232" i="5"/>
  <c r="M349" i="5"/>
  <c r="M348" i="5"/>
  <c r="M341" i="5"/>
  <c r="M340" i="5"/>
  <c r="M328" i="5"/>
  <c r="M327" i="5"/>
  <c r="M320" i="5"/>
  <c r="M319" i="5"/>
  <c r="M307" i="5"/>
  <c r="M306" i="5"/>
  <c r="M299" i="5"/>
  <c r="M298" i="5"/>
  <c r="M291" i="5"/>
  <c r="M290" i="5"/>
  <c r="M281" i="5"/>
  <c r="M280" i="5"/>
  <c r="M271" i="5"/>
  <c r="M270" i="5"/>
  <c r="M260" i="5"/>
  <c r="M259" i="5"/>
  <c r="AH322" i="5"/>
  <c r="AF322" i="5"/>
  <c r="AD322" i="5"/>
  <c r="AB322" i="5"/>
  <c r="AH320" i="5"/>
  <c r="AF320" i="5"/>
  <c r="AD320" i="5"/>
  <c r="AB320" i="5"/>
  <c r="J320" i="5"/>
  <c r="G320" i="5"/>
  <c r="D320" i="5"/>
  <c r="B320" i="5"/>
  <c r="AH319" i="5"/>
  <c r="AF319" i="5"/>
  <c r="AD319" i="5"/>
  <c r="AB319" i="5"/>
  <c r="J319" i="5"/>
  <c r="G319" i="5"/>
  <c r="D319" i="5"/>
  <c r="B319" i="5"/>
  <c r="AH318" i="5"/>
  <c r="AF318" i="5"/>
  <c r="AD318" i="5"/>
  <c r="AB318" i="5"/>
  <c r="J318" i="5"/>
  <c r="I318" i="5"/>
  <c r="AH317" i="5"/>
  <c r="AF317" i="5"/>
  <c r="AD317" i="5"/>
  <c r="AB317" i="5"/>
  <c r="B317" i="5" s="1"/>
  <c r="J317" i="5"/>
  <c r="I317" i="5"/>
  <c r="AH316" i="5"/>
  <c r="AF316" i="5"/>
  <c r="AD316" i="5"/>
  <c r="AB316" i="5"/>
  <c r="J316" i="5"/>
  <c r="I316" i="5"/>
  <c r="AH315" i="5"/>
  <c r="AF315" i="5"/>
  <c r="AD315" i="5"/>
  <c r="AB315" i="5"/>
  <c r="J315" i="5"/>
  <c r="I315" i="5"/>
  <c r="G328" i="5"/>
  <c r="G327" i="5"/>
  <c r="G341" i="5"/>
  <c r="G340" i="5"/>
  <c r="G307" i="5"/>
  <c r="G306" i="5"/>
  <c r="G299" i="5"/>
  <c r="G298" i="5"/>
  <c r="J307" i="5"/>
  <c r="J306" i="5"/>
  <c r="J350" i="5"/>
  <c r="I350" i="5"/>
  <c r="AH354" i="5"/>
  <c r="AF354" i="5"/>
  <c r="AD354" i="5"/>
  <c r="AB354" i="5"/>
  <c r="AH352" i="5"/>
  <c r="AF352" i="5"/>
  <c r="AD352" i="5"/>
  <c r="AB352" i="5"/>
  <c r="AH350" i="5"/>
  <c r="AF350" i="5"/>
  <c r="AD350" i="5"/>
  <c r="AB350" i="5"/>
  <c r="B350" i="5" s="1"/>
  <c r="J351" i="5"/>
  <c r="I351" i="5"/>
  <c r="J349" i="5"/>
  <c r="G349" i="5"/>
  <c r="D349" i="5"/>
  <c r="J348" i="5"/>
  <c r="G348" i="5"/>
  <c r="D348" i="5"/>
  <c r="J347" i="5"/>
  <c r="I347" i="5"/>
  <c r="AH346" i="5"/>
  <c r="AF346" i="5"/>
  <c r="AD346" i="5"/>
  <c r="AB346" i="5"/>
  <c r="AH355" i="5"/>
  <c r="AF355" i="5"/>
  <c r="AD355" i="5"/>
  <c r="AB355" i="5"/>
  <c r="AH353" i="5"/>
  <c r="AF353" i="5"/>
  <c r="AD353" i="5"/>
  <c r="AB353" i="5"/>
  <c r="AH351" i="5"/>
  <c r="AF351" i="5"/>
  <c r="AD351" i="5"/>
  <c r="AB351" i="5"/>
  <c r="AH296" i="5"/>
  <c r="AF296" i="5"/>
  <c r="AD296" i="5"/>
  <c r="AB296" i="5"/>
  <c r="J296" i="5"/>
  <c r="I296" i="5"/>
  <c r="AH294" i="5"/>
  <c r="AF294" i="5"/>
  <c r="AD294" i="5"/>
  <c r="AB294" i="5"/>
  <c r="J294" i="5"/>
  <c r="I294" i="5"/>
  <c r="M61" i="5"/>
  <c r="L61" i="5"/>
  <c r="M60" i="5"/>
  <c r="L60" i="5"/>
  <c r="M59" i="5"/>
  <c r="L59" i="5"/>
  <c r="M58" i="5"/>
  <c r="L58" i="5"/>
  <c r="M57" i="5"/>
  <c r="L57" i="5"/>
  <c r="M56" i="5"/>
  <c r="L56" i="5"/>
  <c r="M55" i="5"/>
  <c r="L55" i="5"/>
  <c r="M54" i="5"/>
  <c r="L54" i="5"/>
  <c r="AH167" i="5"/>
  <c r="AF167" i="5"/>
  <c r="AD167" i="5"/>
  <c r="AB167" i="5"/>
  <c r="B167" i="5"/>
  <c r="AH166" i="5"/>
  <c r="AF166" i="5"/>
  <c r="AD166" i="5"/>
  <c r="AB166" i="5"/>
  <c r="AH165" i="5"/>
  <c r="AF165" i="5"/>
  <c r="AD165" i="5"/>
  <c r="AB165" i="5"/>
  <c r="AH164" i="5"/>
  <c r="AF164" i="5"/>
  <c r="AD164" i="5"/>
  <c r="AB164" i="5"/>
  <c r="B164" i="5" s="1"/>
  <c r="AH162" i="5"/>
  <c r="AF162" i="5"/>
  <c r="AD162" i="5"/>
  <c r="AB162" i="5"/>
  <c r="B162" i="5" s="1"/>
  <c r="AH161" i="5"/>
  <c r="AF161" i="5"/>
  <c r="AD161" i="5"/>
  <c r="AB161" i="5"/>
  <c r="AH160" i="5"/>
  <c r="AF160" i="5"/>
  <c r="AD160" i="5"/>
  <c r="AB160" i="5"/>
  <c r="AH159" i="5"/>
  <c r="AF159" i="5"/>
  <c r="AD159" i="5"/>
  <c r="AB159" i="5"/>
  <c r="AH157" i="5"/>
  <c r="AF157" i="5"/>
  <c r="AD157" i="5"/>
  <c r="AB157" i="5"/>
  <c r="AH156" i="5"/>
  <c r="AF156" i="5"/>
  <c r="AD156" i="5"/>
  <c r="AB156" i="5"/>
  <c r="AH155" i="5"/>
  <c r="AF155" i="5"/>
  <c r="AD155" i="5"/>
  <c r="AB155" i="5"/>
  <c r="B155" i="5"/>
  <c r="AH154" i="5"/>
  <c r="AF154" i="5"/>
  <c r="AD154" i="5"/>
  <c r="AB154" i="5"/>
  <c r="AH128" i="5"/>
  <c r="AF128" i="5"/>
  <c r="AD128" i="5"/>
  <c r="AB128" i="5"/>
  <c r="AH127" i="5"/>
  <c r="AF127" i="5"/>
  <c r="AD127" i="5"/>
  <c r="AB127" i="5"/>
  <c r="AH126" i="5"/>
  <c r="AF126" i="5"/>
  <c r="AD126" i="5"/>
  <c r="AB126" i="5"/>
  <c r="AH125" i="5"/>
  <c r="AF125" i="5"/>
  <c r="AD125" i="5"/>
  <c r="AB125" i="5"/>
  <c r="AH124" i="5"/>
  <c r="AF124" i="5"/>
  <c r="AD124" i="5"/>
  <c r="AB124" i="5"/>
  <c r="AH103" i="5"/>
  <c r="AF103" i="5"/>
  <c r="AD103" i="5"/>
  <c r="AB103" i="5"/>
  <c r="B103" i="5" s="1"/>
  <c r="AH102" i="5"/>
  <c r="AF102" i="5"/>
  <c r="AD102" i="5"/>
  <c r="AB102" i="5"/>
  <c r="AH101" i="5"/>
  <c r="AF101" i="5"/>
  <c r="AD101" i="5"/>
  <c r="AB101" i="5"/>
  <c r="B101" i="5" s="1"/>
  <c r="AH100" i="5"/>
  <c r="AF100" i="5"/>
  <c r="AD100" i="5"/>
  <c r="AB100" i="5"/>
  <c r="AH104" i="5"/>
  <c r="AF104" i="5"/>
  <c r="AD104" i="5"/>
  <c r="AB104" i="5"/>
  <c r="AH152" i="5"/>
  <c r="AF152" i="5"/>
  <c r="AD152" i="5"/>
  <c r="AB152" i="5"/>
  <c r="AH151" i="5"/>
  <c r="AF151" i="5"/>
  <c r="AD151" i="5"/>
  <c r="AB151" i="5"/>
  <c r="B151" i="5"/>
  <c r="AH150" i="5"/>
  <c r="AF150" i="5"/>
  <c r="AD150" i="5"/>
  <c r="AB150" i="5"/>
  <c r="AH149" i="5"/>
  <c r="AF149" i="5"/>
  <c r="AD149" i="5"/>
  <c r="AB149" i="5"/>
  <c r="M179" i="5"/>
  <c r="J179" i="5"/>
  <c r="M173" i="5"/>
  <c r="J173" i="5"/>
  <c r="M172" i="5"/>
  <c r="J172" i="5"/>
  <c r="M171" i="5"/>
  <c r="J171" i="5"/>
  <c r="M170" i="5"/>
  <c r="J170" i="5"/>
  <c r="M142" i="5"/>
  <c r="M141" i="5"/>
  <c r="J142" i="5"/>
  <c r="J141" i="5"/>
  <c r="AH147" i="5"/>
  <c r="AF147" i="5"/>
  <c r="AD147" i="5"/>
  <c r="AB147" i="5"/>
  <c r="AH146" i="5"/>
  <c r="AF146" i="5"/>
  <c r="AD146" i="5"/>
  <c r="AB146" i="5"/>
  <c r="AH145" i="5"/>
  <c r="AF145" i="5"/>
  <c r="AD145" i="5"/>
  <c r="AB145" i="5"/>
  <c r="AH86" i="5"/>
  <c r="AF86" i="5"/>
  <c r="AD86" i="5"/>
  <c r="AB86" i="5"/>
  <c r="AH85" i="5"/>
  <c r="AF85" i="5"/>
  <c r="AD85" i="5"/>
  <c r="AB85" i="5"/>
  <c r="AH98" i="5"/>
  <c r="AF98" i="5"/>
  <c r="AD98" i="5"/>
  <c r="AB98" i="5"/>
  <c r="AH97" i="5"/>
  <c r="AF97" i="5"/>
  <c r="AD97" i="5"/>
  <c r="AB97" i="5"/>
  <c r="AH96" i="5"/>
  <c r="AF96" i="5"/>
  <c r="AD96" i="5"/>
  <c r="AB96" i="5"/>
  <c r="AH95" i="5"/>
  <c r="AF95" i="5"/>
  <c r="AD95" i="5"/>
  <c r="AB95" i="5"/>
  <c r="AH92" i="5"/>
  <c r="AF92" i="5"/>
  <c r="AD92" i="5"/>
  <c r="AB92" i="5"/>
  <c r="AH91" i="5"/>
  <c r="AF91" i="5"/>
  <c r="AD91" i="5"/>
  <c r="AB91" i="5"/>
  <c r="AH90" i="5"/>
  <c r="AF90" i="5"/>
  <c r="AD90" i="5"/>
  <c r="AB90" i="5"/>
  <c r="AH89" i="5"/>
  <c r="AF89" i="5"/>
  <c r="AD89" i="5"/>
  <c r="AB89" i="5"/>
  <c r="AH88" i="5"/>
  <c r="AF88" i="5"/>
  <c r="AD88" i="5"/>
  <c r="AB88" i="5"/>
  <c r="B88" i="5" s="1"/>
  <c r="AH94" i="5"/>
  <c r="AF94" i="5"/>
  <c r="AD94" i="5"/>
  <c r="AB94" i="5"/>
  <c r="AH134" i="5"/>
  <c r="AF134" i="5"/>
  <c r="AD134" i="5"/>
  <c r="AB134" i="5"/>
  <c r="AH138" i="5"/>
  <c r="AF138" i="5"/>
  <c r="AD138" i="5"/>
  <c r="AB138" i="5"/>
  <c r="AH137" i="5"/>
  <c r="AF137" i="5"/>
  <c r="AD137" i="5"/>
  <c r="AB137" i="5"/>
  <c r="AH136" i="5"/>
  <c r="AF136" i="5"/>
  <c r="AD136" i="5"/>
  <c r="AB136" i="5"/>
  <c r="B136" i="5" s="1"/>
  <c r="AH135" i="5"/>
  <c r="AF135" i="5"/>
  <c r="AD135" i="5"/>
  <c r="AB135" i="5"/>
  <c r="AH144" i="5"/>
  <c r="AF144" i="5"/>
  <c r="AD144" i="5"/>
  <c r="AB144" i="5"/>
  <c r="AH203" i="5"/>
  <c r="AF203" i="5"/>
  <c r="AD203" i="5"/>
  <c r="AB203" i="5"/>
  <c r="AH202" i="5"/>
  <c r="AF202" i="5"/>
  <c r="AD202" i="5"/>
  <c r="AB202" i="5"/>
  <c r="AH200" i="5"/>
  <c r="AF200" i="5"/>
  <c r="AD200" i="5"/>
  <c r="AB200" i="5"/>
  <c r="AH199" i="5"/>
  <c r="AF199" i="5"/>
  <c r="AD199" i="5"/>
  <c r="AB199" i="5"/>
  <c r="AH198" i="5"/>
  <c r="AF198" i="5"/>
  <c r="AD198" i="5"/>
  <c r="AB198" i="5"/>
  <c r="AH196" i="5"/>
  <c r="AF196" i="5"/>
  <c r="AD196" i="5"/>
  <c r="AB196" i="5"/>
  <c r="AH195" i="5"/>
  <c r="AF195" i="5"/>
  <c r="AD195" i="5"/>
  <c r="AB195" i="5"/>
  <c r="AH194" i="5"/>
  <c r="AF194" i="5"/>
  <c r="AD194" i="5"/>
  <c r="AB194" i="5"/>
  <c r="AH193" i="5"/>
  <c r="AF193" i="5"/>
  <c r="AD193" i="5"/>
  <c r="AB193" i="5"/>
  <c r="AH191" i="5"/>
  <c r="AH190" i="5"/>
  <c r="AH189" i="5"/>
  <c r="AH188" i="5"/>
  <c r="AH187" i="5"/>
  <c r="AH186" i="5"/>
  <c r="AH185" i="5"/>
  <c r="AH184" i="5"/>
  <c r="AH183" i="5"/>
  <c r="AH182" i="5"/>
  <c r="AF191" i="5"/>
  <c r="AF190" i="5"/>
  <c r="AF189" i="5"/>
  <c r="AF188" i="5"/>
  <c r="AF187" i="5"/>
  <c r="AF186" i="5"/>
  <c r="AF185" i="5"/>
  <c r="AF184" i="5"/>
  <c r="AD191" i="5"/>
  <c r="AD190" i="5"/>
  <c r="AD189" i="5"/>
  <c r="AD188" i="5"/>
  <c r="AB191" i="5"/>
  <c r="AB190" i="5"/>
  <c r="AB189" i="5"/>
  <c r="AB188" i="5"/>
  <c r="AD184" i="5"/>
  <c r="AB184" i="5"/>
  <c r="AD185" i="5"/>
  <c r="AB185" i="5"/>
  <c r="AF183" i="5"/>
  <c r="AD183" i="5"/>
  <c r="AB183" i="5"/>
  <c r="AF182" i="5"/>
  <c r="AD182" i="5"/>
  <c r="AB182" i="5"/>
  <c r="AH181" i="5"/>
  <c r="AF181" i="5"/>
  <c r="AD181" i="5"/>
  <c r="AB181" i="5"/>
  <c r="AH180" i="5"/>
  <c r="AF180" i="5"/>
  <c r="AD180" i="5"/>
  <c r="AB180" i="5"/>
  <c r="G141" i="5"/>
  <c r="G142" i="5"/>
  <c r="G173" i="5"/>
  <c r="G172" i="5"/>
  <c r="G171" i="5"/>
  <c r="G170" i="5"/>
  <c r="G179" i="5"/>
  <c r="AH122" i="5"/>
  <c r="AF122" i="5"/>
  <c r="AD122" i="5"/>
  <c r="AB122" i="5"/>
  <c r="AH121" i="5"/>
  <c r="AF121" i="5"/>
  <c r="AD121" i="5"/>
  <c r="AB121" i="5"/>
  <c r="AH120" i="5"/>
  <c r="AF120" i="5"/>
  <c r="AD120" i="5"/>
  <c r="AB120" i="5"/>
  <c r="AH119" i="5"/>
  <c r="AF119" i="5"/>
  <c r="AD119" i="5"/>
  <c r="AB119" i="5"/>
  <c r="AH118" i="5"/>
  <c r="AF118" i="5"/>
  <c r="AD118" i="5"/>
  <c r="AB118" i="5"/>
  <c r="AH117" i="5"/>
  <c r="AF117" i="5"/>
  <c r="AD117" i="5"/>
  <c r="AB117" i="5"/>
  <c r="AH116" i="5"/>
  <c r="AF116" i="5"/>
  <c r="AD116" i="5"/>
  <c r="AB116" i="5"/>
  <c r="AH115" i="5"/>
  <c r="AF115" i="5"/>
  <c r="AD115" i="5"/>
  <c r="AB115" i="5"/>
  <c r="AH114" i="5"/>
  <c r="AF114" i="5"/>
  <c r="AD114" i="5"/>
  <c r="AB114" i="5"/>
  <c r="AH113" i="5"/>
  <c r="AF113" i="5"/>
  <c r="AD113" i="5"/>
  <c r="AB113" i="5"/>
  <c r="AH112" i="5"/>
  <c r="AF112" i="5"/>
  <c r="AD112" i="5"/>
  <c r="AB112" i="5"/>
  <c r="AH111" i="5"/>
  <c r="AF111" i="5"/>
  <c r="AD111" i="5"/>
  <c r="AB111" i="5"/>
  <c r="AH110" i="5"/>
  <c r="AF110" i="5"/>
  <c r="AD110" i="5"/>
  <c r="AB110" i="5"/>
  <c r="AH109" i="5"/>
  <c r="AF109" i="5"/>
  <c r="AD109" i="5"/>
  <c r="AB109" i="5"/>
  <c r="AH108" i="5"/>
  <c r="AF108" i="5"/>
  <c r="AD108" i="5"/>
  <c r="AB108" i="5"/>
  <c r="AH107" i="5"/>
  <c r="AF107" i="5"/>
  <c r="AD107" i="5"/>
  <c r="AB107" i="5"/>
  <c r="AH291" i="5"/>
  <c r="AH290" i="5"/>
  <c r="AH289" i="5"/>
  <c r="AH288" i="5"/>
  <c r="AH287" i="5"/>
  <c r="AH286" i="5"/>
  <c r="AH285" i="5"/>
  <c r="AH284" i="5"/>
  <c r="AH283" i="5"/>
  <c r="AH281" i="5"/>
  <c r="AH280" i="5"/>
  <c r="AH278" i="5"/>
  <c r="AH277" i="5"/>
  <c r="AH276" i="5"/>
  <c r="AH275" i="5"/>
  <c r="AH274" i="5"/>
  <c r="AH273" i="5"/>
  <c r="AH271" i="5"/>
  <c r="AH270" i="5"/>
  <c r="AH268" i="5"/>
  <c r="AH267" i="5"/>
  <c r="AH266" i="5"/>
  <c r="AH265" i="5"/>
  <c r="AH264" i="5"/>
  <c r="AH263" i="5"/>
  <c r="AH28" i="5"/>
  <c r="B374" i="5"/>
  <c r="B373" i="5"/>
  <c r="B372" i="5"/>
  <c r="B371" i="5"/>
  <c r="B370" i="5"/>
  <c r="B369" i="5"/>
  <c r="B368" i="5"/>
  <c r="B367" i="5"/>
  <c r="B366" i="5"/>
  <c r="B365" i="5"/>
  <c r="B364" i="5"/>
  <c r="B363" i="5"/>
  <c r="B362" i="5"/>
  <c r="B361" i="5"/>
  <c r="B360" i="5"/>
  <c r="B359" i="5"/>
  <c r="B358" i="5"/>
  <c r="B357" i="5"/>
  <c r="B356" i="5"/>
  <c r="AH349" i="5"/>
  <c r="AH348" i="5"/>
  <c r="AH347" i="5"/>
  <c r="AH345" i="5"/>
  <c r="AH344" i="5"/>
  <c r="AH343" i="5"/>
  <c r="AH342" i="5"/>
  <c r="AH341" i="5"/>
  <c r="AH340" i="5"/>
  <c r="AH339" i="5"/>
  <c r="AH338" i="5"/>
  <c r="AH337" i="5"/>
  <c r="AH336" i="5"/>
  <c r="AH335" i="5"/>
  <c r="AH328" i="5"/>
  <c r="AH327" i="5"/>
  <c r="AH326" i="5"/>
  <c r="AH325" i="5"/>
  <c r="AH324" i="5"/>
  <c r="AH323" i="5"/>
  <c r="AH314" i="5"/>
  <c r="AH307" i="5"/>
  <c r="AH306" i="5"/>
  <c r="AH305" i="5"/>
  <c r="AH304" i="5"/>
  <c r="AH303" i="5"/>
  <c r="AH302" i="5"/>
  <c r="AH301" i="5"/>
  <c r="AH299" i="5"/>
  <c r="AH298" i="5"/>
  <c r="AH297" i="5"/>
  <c r="AH295" i="5"/>
  <c r="AH293" i="5"/>
  <c r="AH292" i="5"/>
  <c r="AH282" i="5"/>
  <c r="AH279" i="5"/>
  <c r="AH272" i="5"/>
  <c r="AH269" i="5"/>
  <c r="AH262" i="5"/>
  <c r="AH261" i="5"/>
  <c r="AH260" i="5"/>
  <c r="AH259" i="5"/>
  <c r="AH258" i="5"/>
  <c r="AH257" i="5"/>
  <c r="AH256" i="5"/>
  <c r="AH255" i="5"/>
  <c r="AH254" i="5"/>
  <c r="AH253" i="5"/>
  <c r="AH252" i="5"/>
  <c r="AH251" i="5"/>
  <c r="AH250" i="5"/>
  <c r="AH249" i="5"/>
  <c r="AH248" i="5"/>
  <c r="AH247" i="5"/>
  <c r="AH246" i="5"/>
  <c r="AH239" i="5"/>
  <c r="AH231" i="5"/>
  <c r="AH230" i="5"/>
  <c r="AH229" i="5"/>
  <c r="AH228" i="5"/>
  <c r="AH227" i="5"/>
  <c r="AH226" i="5"/>
  <c r="AH225" i="5"/>
  <c r="AH224" i="5"/>
  <c r="AH223" i="5"/>
  <c r="AH222" i="5"/>
  <c r="AH221" i="5"/>
  <c r="AH220" i="5"/>
  <c r="AH219" i="5"/>
  <c r="AH218" i="5"/>
  <c r="AH217" i="5"/>
  <c r="AH216" i="5"/>
  <c r="AH215" i="5"/>
  <c r="AH214" i="5"/>
  <c r="AH213" i="5"/>
  <c r="AH212" i="5"/>
  <c r="AH211" i="5"/>
  <c r="AH210" i="5"/>
  <c r="AH209" i="5"/>
  <c r="AH208" i="5"/>
  <c r="AH207" i="5"/>
  <c r="AH206" i="5"/>
  <c r="AH179" i="5"/>
  <c r="AH178" i="5"/>
  <c r="AH177" i="5"/>
  <c r="AH176" i="5"/>
  <c r="AH175" i="5"/>
  <c r="AH174" i="5"/>
  <c r="AH173" i="5"/>
  <c r="AH172" i="5"/>
  <c r="AH171" i="5"/>
  <c r="AH170" i="5"/>
  <c r="AH169" i="5"/>
  <c r="AH143" i="5"/>
  <c r="AH142" i="5"/>
  <c r="AH132" i="5"/>
  <c r="AH141" i="5"/>
  <c r="AH131" i="5"/>
  <c r="AH130" i="5"/>
  <c r="AH83" i="5"/>
  <c r="AH82" i="5"/>
  <c r="AH81" i="5"/>
  <c r="AH80" i="5"/>
  <c r="AH79" i="5"/>
  <c r="AH78" i="5"/>
  <c r="AH77" i="5"/>
  <c r="AH76" i="5"/>
  <c r="AH75" i="5"/>
  <c r="AH74" i="5"/>
  <c r="AH73" i="5"/>
  <c r="AH72" i="5"/>
  <c r="AH71" i="5"/>
  <c r="AH70" i="5"/>
  <c r="AH69" i="5"/>
  <c r="AH68" i="5"/>
  <c r="AH66" i="5"/>
  <c r="AH65" i="5"/>
  <c r="AH64" i="5"/>
  <c r="AH63" i="5"/>
  <c r="AH62" i="5"/>
  <c r="AH61" i="5"/>
  <c r="AH60" i="5"/>
  <c r="AH59" i="5"/>
  <c r="AH58" i="5"/>
  <c r="AH57" i="5"/>
  <c r="AH56" i="5"/>
  <c r="AH55" i="5"/>
  <c r="AH54" i="5"/>
  <c r="AH51" i="5"/>
  <c r="AH50" i="5"/>
  <c r="AH49" i="5"/>
  <c r="AH48" i="5"/>
  <c r="AH47" i="5"/>
  <c r="AH46" i="5"/>
  <c r="AH44" i="5"/>
  <c r="AH43" i="5"/>
  <c r="AH42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F42" i="5"/>
  <c r="AF44" i="5"/>
  <c r="AF39" i="5"/>
  <c r="AF40" i="5"/>
  <c r="AF38" i="5"/>
  <c r="AF284" i="5"/>
  <c r="AD284" i="5"/>
  <c r="AB284" i="5"/>
  <c r="V284" i="5"/>
  <c r="U284" i="5"/>
  <c r="J284" i="5"/>
  <c r="I284" i="5"/>
  <c r="AF274" i="5"/>
  <c r="AD274" i="5"/>
  <c r="AB274" i="5"/>
  <c r="V274" i="5"/>
  <c r="U274" i="5"/>
  <c r="J274" i="5"/>
  <c r="I274" i="5"/>
  <c r="AF264" i="5"/>
  <c r="AD264" i="5"/>
  <c r="AB264" i="5"/>
  <c r="V264" i="5"/>
  <c r="U264" i="5"/>
  <c r="J264" i="5"/>
  <c r="I264" i="5"/>
  <c r="AF253" i="5"/>
  <c r="AD253" i="5"/>
  <c r="AB253" i="5"/>
  <c r="V253" i="5"/>
  <c r="U253" i="5"/>
  <c r="J253" i="5"/>
  <c r="I253" i="5"/>
  <c r="AF35" i="5"/>
  <c r="AF34" i="5"/>
  <c r="AF33" i="5"/>
  <c r="AF32" i="5"/>
  <c r="AF31" i="5"/>
  <c r="AF30" i="5"/>
  <c r="AF29" i="5"/>
  <c r="AF28" i="5"/>
  <c r="AF27" i="5"/>
  <c r="AF26" i="5"/>
  <c r="AF37" i="5"/>
  <c r="AF36" i="5"/>
  <c r="AF62" i="5"/>
  <c r="AD62" i="5"/>
  <c r="AB62" i="5"/>
  <c r="AF83" i="5"/>
  <c r="AD83" i="5"/>
  <c r="AB83" i="5"/>
  <c r="AF79" i="5"/>
  <c r="AD79" i="5"/>
  <c r="AB79" i="5"/>
  <c r="AF75" i="5"/>
  <c r="AD75" i="5"/>
  <c r="AB75" i="5"/>
  <c r="AF71" i="5"/>
  <c r="AD71" i="5"/>
  <c r="AB71" i="5"/>
  <c r="AF82" i="5"/>
  <c r="AD82" i="5"/>
  <c r="AB82" i="5"/>
  <c r="AF81" i="5"/>
  <c r="AD81" i="5"/>
  <c r="AB81" i="5"/>
  <c r="AF80" i="5"/>
  <c r="AD80" i="5"/>
  <c r="AB80" i="5"/>
  <c r="AF78" i="5"/>
  <c r="AD78" i="5"/>
  <c r="AB78" i="5"/>
  <c r="AF77" i="5"/>
  <c r="AD77" i="5"/>
  <c r="AB77" i="5"/>
  <c r="AF76" i="5"/>
  <c r="AD76" i="5"/>
  <c r="AB76" i="5"/>
  <c r="AF74" i="5"/>
  <c r="AD74" i="5"/>
  <c r="AB74" i="5"/>
  <c r="AF73" i="5"/>
  <c r="AD73" i="5"/>
  <c r="AB73" i="5"/>
  <c r="AF72" i="5"/>
  <c r="AD72" i="5"/>
  <c r="AB72" i="5"/>
  <c r="AF70" i="5"/>
  <c r="AD70" i="5"/>
  <c r="AB70" i="5"/>
  <c r="AF69" i="5"/>
  <c r="AD69" i="5"/>
  <c r="AB69" i="5"/>
  <c r="AF68" i="5"/>
  <c r="AD68" i="5"/>
  <c r="AB68" i="5"/>
  <c r="AF51" i="5"/>
  <c r="AF50" i="5"/>
  <c r="AF49" i="5"/>
  <c r="AF48" i="5"/>
  <c r="AF47" i="5"/>
  <c r="AF46" i="5"/>
  <c r="AF43" i="5"/>
  <c r="AF25" i="5"/>
  <c r="AF24" i="5"/>
  <c r="AF23" i="5"/>
  <c r="AF22" i="5"/>
  <c r="AF21" i="5"/>
  <c r="AF20" i="5"/>
  <c r="AF19" i="5"/>
  <c r="AF18" i="5"/>
  <c r="AF17" i="5"/>
  <c r="AF16" i="5"/>
  <c r="AF15" i="5"/>
  <c r="AF14" i="5"/>
  <c r="AF13" i="5"/>
  <c r="AF12" i="5"/>
  <c r="AF11" i="5"/>
  <c r="AD186" i="5"/>
  <c r="AB186" i="5"/>
  <c r="AF229" i="5"/>
  <c r="AD229" i="5"/>
  <c r="AB229" i="5"/>
  <c r="G291" i="5"/>
  <c r="G290" i="5"/>
  <c r="G281" i="5"/>
  <c r="G280" i="5"/>
  <c r="G271" i="5"/>
  <c r="G270" i="5"/>
  <c r="G260" i="5"/>
  <c r="G259" i="5"/>
  <c r="D291" i="5"/>
  <c r="D290" i="5"/>
  <c r="D281" i="5"/>
  <c r="D280" i="5"/>
  <c r="D271" i="5"/>
  <c r="D270" i="5"/>
  <c r="D260" i="5"/>
  <c r="D259" i="5"/>
  <c r="AF252" i="5"/>
  <c r="AD252" i="5"/>
  <c r="AB252" i="5"/>
  <c r="V252" i="5"/>
  <c r="U252" i="5"/>
  <c r="J252" i="5"/>
  <c r="I252" i="5"/>
  <c r="AF132" i="5"/>
  <c r="AD132" i="5"/>
  <c r="AB132" i="5"/>
  <c r="AF131" i="5"/>
  <c r="AD131" i="5"/>
  <c r="AB131" i="5"/>
  <c r="AF231" i="5"/>
  <c r="AD231" i="5"/>
  <c r="AB231" i="5"/>
  <c r="AF178" i="5"/>
  <c r="AD178" i="5"/>
  <c r="AB178" i="5"/>
  <c r="AF177" i="5"/>
  <c r="AD177" i="5"/>
  <c r="AB177" i="5"/>
  <c r="AF176" i="5"/>
  <c r="AD176" i="5"/>
  <c r="AB176" i="5"/>
  <c r="AF175" i="5"/>
  <c r="AD175" i="5"/>
  <c r="AB175" i="5"/>
  <c r="AF174" i="5"/>
  <c r="AD174" i="5"/>
  <c r="AB174" i="5"/>
  <c r="AF230" i="5"/>
  <c r="AD230" i="5"/>
  <c r="AB230" i="5"/>
  <c r="AF228" i="5"/>
  <c r="AD228" i="5"/>
  <c r="AB228" i="5"/>
  <c r="V283" i="5"/>
  <c r="V273" i="5"/>
  <c r="V258" i="5"/>
  <c r="V263" i="5"/>
  <c r="V269" i="5"/>
  <c r="J258" i="5"/>
  <c r="I258" i="5"/>
  <c r="J269" i="5"/>
  <c r="J279" i="5"/>
  <c r="V279" i="5" s="1"/>
  <c r="J289" i="5"/>
  <c r="V289" i="5" s="1"/>
  <c r="J283" i="5"/>
  <c r="J273" i="5"/>
  <c r="U249" i="5"/>
  <c r="U248" i="5"/>
  <c r="U247" i="5"/>
  <c r="U258" i="5"/>
  <c r="AF256" i="5"/>
  <c r="AD256" i="5"/>
  <c r="AB256" i="5"/>
  <c r="AF254" i="5"/>
  <c r="AD254" i="5"/>
  <c r="AB254" i="5"/>
  <c r="J263" i="5"/>
  <c r="J249" i="5"/>
  <c r="I249" i="5"/>
  <c r="I248" i="5"/>
  <c r="I247" i="5"/>
  <c r="J260" i="5"/>
  <c r="J259" i="5"/>
  <c r="J271" i="5"/>
  <c r="J270" i="5"/>
  <c r="J280" i="5"/>
  <c r="J281" i="5"/>
  <c r="J290" i="5"/>
  <c r="J291" i="5"/>
  <c r="AF307" i="5"/>
  <c r="AD307" i="5"/>
  <c r="AB307" i="5"/>
  <c r="D307" i="5"/>
  <c r="AF306" i="5"/>
  <c r="AD306" i="5"/>
  <c r="AB306" i="5"/>
  <c r="D306" i="5"/>
  <c r="AF305" i="5"/>
  <c r="AD305" i="5"/>
  <c r="AB305" i="5"/>
  <c r="J305" i="5"/>
  <c r="I305" i="5"/>
  <c r="AF304" i="5"/>
  <c r="AD304" i="5"/>
  <c r="AB304" i="5"/>
  <c r="J304" i="5"/>
  <c r="I304" i="5"/>
  <c r="AF303" i="5"/>
  <c r="AD303" i="5"/>
  <c r="AB303" i="5"/>
  <c r="J303" i="5"/>
  <c r="I303" i="5"/>
  <c r="AF302" i="5"/>
  <c r="AD302" i="5"/>
  <c r="AB302" i="5"/>
  <c r="J302" i="5"/>
  <c r="I302" i="5"/>
  <c r="AF301" i="5"/>
  <c r="AD301" i="5"/>
  <c r="AB301" i="5"/>
  <c r="AF328" i="5"/>
  <c r="AD328" i="5"/>
  <c r="AB328" i="5"/>
  <c r="J328" i="5"/>
  <c r="I328" i="5"/>
  <c r="D328" i="5"/>
  <c r="AF327" i="5"/>
  <c r="AD327" i="5"/>
  <c r="AB327" i="5"/>
  <c r="J327" i="5"/>
  <c r="I327" i="5"/>
  <c r="D327" i="5"/>
  <c r="AF326" i="5"/>
  <c r="AD326" i="5"/>
  <c r="AB326" i="5"/>
  <c r="J326" i="5"/>
  <c r="I326" i="5"/>
  <c r="AF325" i="5"/>
  <c r="AD325" i="5"/>
  <c r="AB325" i="5"/>
  <c r="J325" i="5"/>
  <c r="I325" i="5"/>
  <c r="AF324" i="5"/>
  <c r="AD324" i="5"/>
  <c r="AB324" i="5"/>
  <c r="J324" i="5"/>
  <c r="I324" i="5"/>
  <c r="AF323" i="5"/>
  <c r="AD323" i="5"/>
  <c r="AB323" i="5"/>
  <c r="J323" i="5"/>
  <c r="I323" i="5"/>
  <c r="AF314" i="5"/>
  <c r="AD314" i="5"/>
  <c r="AB314" i="5"/>
  <c r="J339" i="5"/>
  <c r="J338" i="5"/>
  <c r="I339" i="5"/>
  <c r="I338" i="5"/>
  <c r="J337" i="5"/>
  <c r="J336" i="5"/>
  <c r="I337" i="5"/>
  <c r="I336" i="5"/>
  <c r="AF338" i="5"/>
  <c r="AD338" i="5"/>
  <c r="AB338" i="5"/>
  <c r="AF336" i="5"/>
  <c r="AD336" i="5"/>
  <c r="AB336" i="5"/>
  <c r="AF339" i="5"/>
  <c r="AD339" i="5"/>
  <c r="AB339" i="5"/>
  <c r="AF337" i="5"/>
  <c r="AD337" i="5"/>
  <c r="AB337" i="5"/>
  <c r="J297" i="5"/>
  <c r="J295" i="5"/>
  <c r="I295" i="5"/>
  <c r="I297" i="5"/>
  <c r="AF297" i="5"/>
  <c r="AD297" i="5"/>
  <c r="AB297" i="5"/>
  <c r="AF295" i="5"/>
  <c r="AD295" i="5"/>
  <c r="AB295" i="5"/>
  <c r="J341" i="5"/>
  <c r="J340" i="5"/>
  <c r="J299" i="5"/>
  <c r="D341" i="5"/>
  <c r="D340" i="5"/>
  <c r="D299" i="5"/>
  <c r="J298" i="5"/>
  <c r="D298" i="5"/>
  <c r="U283" i="5"/>
  <c r="U273" i="5"/>
  <c r="U263" i="5"/>
  <c r="U289" i="5"/>
  <c r="U279" i="5"/>
  <c r="U269" i="5"/>
  <c r="AF269" i="5"/>
  <c r="AD269" i="5"/>
  <c r="AB269" i="5"/>
  <c r="I269" i="5"/>
  <c r="AF279" i="5"/>
  <c r="AD279" i="5"/>
  <c r="AB279" i="5"/>
  <c r="I279" i="5"/>
  <c r="I289" i="5"/>
  <c r="AF289" i="5"/>
  <c r="AD289" i="5"/>
  <c r="AB289" i="5"/>
  <c r="AF267" i="5"/>
  <c r="AD267" i="5"/>
  <c r="AB267" i="5"/>
  <c r="AF265" i="5"/>
  <c r="AD265" i="5"/>
  <c r="AB265" i="5"/>
  <c r="AF263" i="5"/>
  <c r="AD263" i="5"/>
  <c r="AB263" i="5"/>
  <c r="I263" i="5"/>
  <c r="AF281" i="5"/>
  <c r="AD281" i="5"/>
  <c r="AB281" i="5"/>
  <c r="AF280" i="5"/>
  <c r="AD280" i="5"/>
  <c r="AB280" i="5"/>
  <c r="AF278" i="5"/>
  <c r="AD278" i="5"/>
  <c r="AB278" i="5"/>
  <c r="AF277" i="5"/>
  <c r="AD277" i="5"/>
  <c r="AB277" i="5"/>
  <c r="AF276" i="5"/>
  <c r="AD276" i="5"/>
  <c r="AB276" i="5"/>
  <c r="AF275" i="5"/>
  <c r="AD275" i="5"/>
  <c r="AB275" i="5"/>
  <c r="AF273" i="5"/>
  <c r="AD273" i="5"/>
  <c r="AB273" i="5"/>
  <c r="I273" i="5"/>
  <c r="AF272" i="5"/>
  <c r="AF287" i="5"/>
  <c r="AD287" i="5"/>
  <c r="AB287" i="5"/>
  <c r="AF285" i="5"/>
  <c r="AD285" i="5"/>
  <c r="AB285" i="5"/>
  <c r="I283" i="5"/>
  <c r="AF283" i="5"/>
  <c r="AD283" i="5"/>
  <c r="AB283" i="5"/>
  <c r="AF291" i="5"/>
  <c r="AF290" i="5"/>
  <c r="AF288" i="5"/>
  <c r="AF286" i="5"/>
  <c r="AF282" i="5"/>
  <c r="AD291" i="5"/>
  <c r="AB291" i="5"/>
  <c r="AD290" i="5"/>
  <c r="AB290" i="5"/>
  <c r="AD288" i="5"/>
  <c r="AB288" i="5"/>
  <c r="AD286" i="5"/>
  <c r="AB286" i="5"/>
  <c r="I57" i="5"/>
  <c r="AF66" i="5"/>
  <c r="AD66" i="5"/>
  <c r="AB66" i="5"/>
  <c r="AF65" i="5"/>
  <c r="AD65" i="5"/>
  <c r="AB65" i="5"/>
  <c r="AF64" i="5"/>
  <c r="AD64" i="5"/>
  <c r="AB64" i="5"/>
  <c r="J61" i="5"/>
  <c r="J60" i="5"/>
  <c r="J59" i="5"/>
  <c r="J58" i="5"/>
  <c r="J57" i="5"/>
  <c r="J56" i="5"/>
  <c r="J55" i="5"/>
  <c r="J54" i="5"/>
  <c r="I59" i="5"/>
  <c r="I61" i="5"/>
  <c r="I60" i="5"/>
  <c r="I58" i="5"/>
  <c r="I56" i="5"/>
  <c r="I55" i="5"/>
  <c r="I54" i="5"/>
  <c r="AF349" i="5"/>
  <c r="AF348" i="5"/>
  <c r="AF347" i="5"/>
  <c r="AF345" i="5"/>
  <c r="AF344" i="5"/>
  <c r="AF343" i="5"/>
  <c r="AF342" i="5"/>
  <c r="AF341" i="5"/>
  <c r="AF340" i="5"/>
  <c r="AF335" i="5"/>
  <c r="AF299" i="5"/>
  <c r="AF298" i="5"/>
  <c r="AF293" i="5"/>
  <c r="AF292" i="5"/>
  <c r="AF271" i="5"/>
  <c r="AF270" i="5"/>
  <c r="AD349" i="5"/>
  <c r="AD348" i="5"/>
  <c r="AD347" i="5"/>
  <c r="AD345" i="5"/>
  <c r="AD344" i="5"/>
  <c r="AD343" i="5"/>
  <c r="AD342" i="5"/>
  <c r="AD341" i="5"/>
  <c r="AD340" i="5"/>
  <c r="AD335" i="5"/>
  <c r="AD299" i="5"/>
  <c r="AD298" i="5"/>
  <c r="AD293" i="5"/>
  <c r="AD292" i="5"/>
  <c r="AD271" i="5"/>
  <c r="AD270" i="5"/>
  <c r="AB349" i="5"/>
  <c r="AB348" i="5"/>
  <c r="AB347" i="5"/>
  <c r="AB345" i="5"/>
  <c r="AB344" i="5"/>
  <c r="AB343" i="5"/>
  <c r="AB342" i="5"/>
  <c r="AB341" i="5"/>
  <c r="AB340" i="5"/>
  <c r="AB335" i="5"/>
  <c r="AB299" i="5"/>
  <c r="AB298" i="5"/>
  <c r="AB293" i="5"/>
  <c r="AB292" i="5"/>
  <c r="AB271" i="5"/>
  <c r="I341" i="5"/>
  <c r="I340" i="5"/>
  <c r="I299" i="5"/>
  <c r="I298" i="5"/>
  <c r="AF268" i="5"/>
  <c r="AF266" i="5"/>
  <c r="AD268" i="5"/>
  <c r="AD266" i="5"/>
  <c r="AB270" i="5"/>
  <c r="AB268" i="5"/>
  <c r="AB266" i="5"/>
  <c r="AF262" i="5"/>
  <c r="AF261" i="5"/>
  <c r="AF260" i="5"/>
  <c r="AF259" i="5"/>
  <c r="AF258" i="5"/>
  <c r="AF257" i="5"/>
  <c r="AF255" i="5"/>
  <c r="AF251" i="5"/>
  <c r="AF250" i="5"/>
  <c r="AF249" i="5"/>
  <c r="AF248" i="5"/>
  <c r="AF247" i="5"/>
  <c r="AF246" i="5"/>
  <c r="AF239" i="5"/>
  <c r="AF227" i="5"/>
  <c r="AF226" i="5"/>
  <c r="AF225" i="5"/>
  <c r="AF224" i="5"/>
  <c r="AF223" i="5"/>
  <c r="AF222" i="5"/>
  <c r="AF221" i="5"/>
  <c r="AF220" i="5"/>
  <c r="AF219" i="5"/>
  <c r="AF218" i="5"/>
  <c r="AF217" i="5"/>
  <c r="AF216" i="5"/>
  <c r="AF215" i="5"/>
  <c r="AF214" i="5"/>
  <c r="AF213" i="5"/>
  <c r="AF212" i="5"/>
  <c r="AF211" i="5"/>
  <c r="AF210" i="5"/>
  <c r="AF209" i="5"/>
  <c r="AF208" i="5"/>
  <c r="AF207" i="5"/>
  <c r="AF206" i="5"/>
  <c r="AF179" i="5"/>
  <c r="AF173" i="5"/>
  <c r="AF172" i="5"/>
  <c r="AF171" i="5"/>
  <c r="AF170" i="5"/>
  <c r="AF169" i="5"/>
  <c r="AF143" i="5"/>
  <c r="AF142" i="5"/>
  <c r="AF141" i="5"/>
  <c r="AF130" i="5"/>
  <c r="AF63" i="5"/>
  <c r="AF61" i="5"/>
  <c r="AF60" i="5"/>
  <c r="AF59" i="5"/>
  <c r="AF58" i="5"/>
  <c r="AF57" i="5"/>
  <c r="AF56" i="5"/>
  <c r="AF55" i="5"/>
  <c r="AF54" i="5"/>
  <c r="AD262" i="5"/>
  <c r="AD261" i="5"/>
  <c r="AD260" i="5"/>
  <c r="AD259" i="5"/>
  <c r="AD258" i="5"/>
  <c r="AD257" i="5"/>
  <c r="AD255" i="5"/>
  <c r="AD251" i="5"/>
  <c r="AD250" i="5"/>
  <c r="AD249" i="5"/>
  <c r="AD248" i="5"/>
  <c r="AD247" i="5"/>
  <c r="AD246" i="5"/>
  <c r="AD239" i="5"/>
  <c r="AD227" i="5"/>
  <c r="AD226" i="5"/>
  <c r="AD225" i="5"/>
  <c r="AD224" i="5"/>
  <c r="AD223" i="5"/>
  <c r="AD222" i="5"/>
  <c r="AD221" i="5"/>
  <c r="AD220" i="5"/>
  <c r="AD219" i="5"/>
  <c r="AD218" i="5"/>
  <c r="AD217" i="5"/>
  <c r="AD216" i="5"/>
  <c r="AD215" i="5"/>
  <c r="AD214" i="5"/>
  <c r="AD213" i="5"/>
  <c r="AD212" i="5"/>
  <c r="AD211" i="5"/>
  <c r="AD210" i="5"/>
  <c r="AD209" i="5"/>
  <c r="AD208" i="5"/>
  <c r="AD207" i="5"/>
  <c r="AD206" i="5"/>
  <c r="AD187" i="5"/>
  <c r="AD179" i="5"/>
  <c r="AD173" i="5"/>
  <c r="AD172" i="5"/>
  <c r="AD171" i="5"/>
  <c r="AD170" i="5"/>
  <c r="AD169" i="5"/>
  <c r="AD143" i="5"/>
  <c r="AD142" i="5"/>
  <c r="AD141" i="5"/>
  <c r="AD130" i="5"/>
  <c r="AD63" i="5"/>
  <c r="AD61" i="5"/>
  <c r="AD60" i="5"/>
  <c r="AD59" i="5"/>
  <c r="AD58" i="5"/>
  <c r="AD57" i="5"/>
  <c r="AD56" i="5"/>
  <c r="AD55" i="5"/>
  <c r="AB262" i="5"/>
  <c r="AB261" i="5"/>
  <c r="AB260" i="5"/>
  <c r="AB259" i="5"/>
  <c r="AB258" i="5"/>
  <c r="AB257" i="5"/>
  <c r="AB255" i="5"/>
  <c r="AB251" i="5"/>
  <c r="AB250" i="5"/>
  <c r="AB249" i="5"/>
  <c r="AB248" i="5"/>
  <c r="AB247" i="5"/>
  <c r="AB246" i="5"/>
  <c r="AB239" i="5"/>
  <c r="AB227" i="5"/>
  <c r="AB226" i="5"/>
  <c r="AB225" i="5"/>
  <c r="AB224" i="5"/>
  <c r="AB223" i="5"/>
  <c r="AB222" i="5"/>
  <c r="AB221" i="5"/>
  <c r="AB220" i="5"/>
  <c r="AB219" i="5"/>
  <c r="AB218" i="5"/>
  <c r="AB217" i="5"/>
  <c r="AB216" i="5"/>
  <c r="AB215" i="5"/>
  <c r="AB214" i="5"/>
  <c r="AB213" i="5"/>
  <c r="AB212" i="5"/>
  <c r="AB211" i="5"/>
  <c r="AB210" i="5"/>
  <c r="AB209" i="5"/>
  <c r="AB208" i="5"/>
  <c r="AB207" i="5"/>
  <c r="AB206" i="5"/>
  <c r="AB187" i="5"/>
  <c r="AB179" i="5"/>
  <c r="AB173" i="5"/>
  <c r="AB172" i="5"/>
  <c r="AB171" i="5"/>
  <c r="AB170" i="5"/>
  <c r="AB169" i="5"/>
  <c r="AB143" i="5"/>
  <c r="AB142" i="5"/>
  <c r="AB141" i="5"/>
  <c r="AB130" i="5"/>
  <c r="AB63" i="5"/>
  <c r="AB61" i="5"/>
  <c r="AB60" i="5"/>
  <c r="AB59" i="5"/>
  <c r="AB58" i="5"/>
  <c r="AB57" i="5"/>
  <c r="AB56" i="5"/>
  <c r="AB55" i="5"/>
  <c r="AB54" i="5"/>
  <c r="D173" i="5"/>
  <c r="D179" i="5"/>
  <c r="D172" i="5"/>
  <c r="D171" i="5"/>
  <c r="D170" i="5"/>
  <c r="D142" i="5"/>
  <c r="D141" i="5"/>
  <c r="AD54" i="5"/>
  <c r="G71" i="3"/>
  <c r="G70" i="3"/>
  <c r="G69" i="3"/>
  <c r="S69" i="3" s="1"/>
  <c r="R69" i="3" s="1"/>
  <c r="G68" i="3"/>
  <c r="G67" i="3"/>
  <c r="AB71" i="3"/>
  <c r="Z71" i="3"/>
  <c r="V71" i="3"/>
  <c r="S71" i="3"/>
  <c r="R71" i="3" s="1"/>
  <c r="P71" i="3"/>
  <c r="O71" i="3" s="1"/>
  <c r="M71" i="3"/>
  <c r="L71" i="3" s="1"/>
  <c r="J71" i="3"/>
  <c r="I71" i="3" s="1"/>
  <c r="F71" i="3"/>
  <c r="C71" i="3"/>
  <c r="AB70" i="3"/>
  <c r="Z70" i="3"/>
  <c r="V70" i="3"/>
  <c r="S70" i="3"/>
  <c r="R70" i="3" s="1"/>
  <c r="P70" i="3"/>
  <c r="O70" i="3" s="1"/>
  <c r="M70" i="3"/>
  <c r="L70" i="3" s="1"/>
  <c r="K70" i="3"/>
  <c r="J70" i="3"/>
  <c r="I70" i="3" s="1"/>
  <c r="H70" i="3"/>
  <c r="F70" i="3"/>
  <c r="E70" i="3"/>
  <c r="C70" i="3"/>
  <c r="B70" i="3"/>
  <c r="AB69" i="3"/>
  <c r="Z69" i="3"/>
  <c r="V69" i="3"/>
  <c r="P69" i="3"/>
  <c r="O69" i="3" s="1"/>
  <c r="M69" i="3"/>
  <c r="L69" i="3" s="1"/>
  <c r="J69" i="3"/>
  <c r="I69" i="3" s="1"/>
  <c r="F69" i="3"/>
  <c r="C69" i="3"/>
  <c r="AB68" i="3"/>
  <c r="Z68" i="3"/>
  <c r="V68" i="3"/>
  <c r="S68" i="3"/>
  <c r="R68" i="3" s="1"/>
  <c r="P68" i="3"/>
  <c r="O68" i="3" s="1"/>
  <c r="M68" i="3"/>
  <c r="L68" i="3" s="1"/>
  <c r="J68" i="3"/>
  <c r="I68" i="3"/>
  <c r="F68" i="3"/>
  <c r="C68" i="3"/>
  <c r="B68" i="3"/>
  <c r="AB67" i="3"/>
  <c r="Z67" i="3"/>
  <c r="V67" i="3"/>
  <c r="S67" i="3"/>
  <c r="R67" i="3" s="1"/>
  <c r="Q67" i="3"/>
  <c r="P67" i="3"/>
  <c r="O67" i="3"/>
  <c r="N67" i="3"/>
  <c r="M67" i="3"/>
  <c r="L67" i="3" s="1"/>
  <c r="K67" i="3"/>
  <c r="J67" i="3"/>
  <c r="I67" i="3"/>
  <c r="H67" i="3"/>
  <c r="F67" i="3"/>
  <c r="E67" i="3"/>
  <c r="C67" i="3"/>
  <c r="B67" i="3"/>
  <c r="J65" i="3"/>
  <c r="I65" i="3" s="1"/>
  <c r="J64" i="3"/>
  <c r="I64" i="3" s="1"/>
  <c r="J63" i="3"/>
  <c r="G65" i="3"/>
  <c r="M65" i="3" s="1"/>
  <c r="L65" i="3" s="1"/>
  <c r="G64" i="3"/>
  <c r="M64" i="3" s="1"/>
  <c r="L64" i="3" s="1"/>
  <c r="G63" i="3"/>
  <c r="M63" i="3" s="1"/>
  <c r="L63" i="3" s="1"/>
  <c r="AB65" i="3"/>
  <c r="Z65" i="3"/>
  <c r="V65" i="3"/>
  <c r="Q65" i="3"/>
  <c r="P65" i="3"/>
  <c r="O65" i="3" s="1"/>
  <c r="N65" i="3"/>
  <c r="K65" i="3"/>
  <c r="H65" i="3"/>
  <c r="E65" i="3"/>
  <c r="C65" i="3"/>
  <c r="B65" i="3"/>
  <c r="AB64" i="3"/>
  <c r="B64" i="3" s="1"/>
  <c r="Z64" i="3"/>
  <c r="V64" i="3"/>
  <c r="P64" i="3"/>
  <c r="O64" i="3" s="1"/>
  <c r="C64" i="3"/>
  <c r="AB63" i="3"/>
  <c r="Z63" i="3"/>
  <c r="V63" i="3"/>
  <c r="Q63" i="3" s="1"/>
  <c r="P63" i="3"/>
  <c r="O63" i="3"/>
  <c r="N63" i="3"/>
  <c r="K63" i="3"/>
  <c r="I63" i="3"/>
  <c r="H63" i="3"/>
  <c r="E63" i="3"/>
  <c r="C63" i="3"/>
  <c r="B63" i="3"/>
  <c r="S61" i="3"/>
  <c r="R61" i="3" s="1"/>
  <c r="S60" i="3"/>
  <c r="R60" i="3" s="1"/>
  <c r="S59" i="3"/>
  <c r="R59" i="3" s="1"/>
  <c r="S58" i="3"/>
  <c r="R58" i="3" s="1"/>
  <c r="S57" i="3"/>
  <c r="R57" i="3" s="1"/>
  <c r="P61" i="3"/>
  <c r="O61" i="3" s="1"/>
  <c r="P60" i="3"/>
  <c r="O60" i="3" s="1"/>
  <c r="P59" i="3"/>
  <c r="O59" i="3" s="1"/>
  <c r="P58" i="3"/>
  <c r="O58" i="3" s="1"/>
  <c r="P57" i="3"/>
  <c r="M61" i="3"/>
  <c r="L61" i="3" s="1"/>
  <c r="M60" i="3"/>
  <c r="L60" i="3" s="1"/>
  <c r="M59" i="3"/>
  <c r="L59" i="3" s="1"/>
  <c r="M58" i="3"/>
  <c r="L58" i="3" s="1"/>
  <c r="M57" i="3"/>
  <c r="J61" i="3"/>
  <c r="I61" i="3" s="1"/>
  <c r="J60" i="3"/>
  <c r="I60" i="3" s="1"/>
  <c r="J59" i="3"/>
  <c r="I59" i="3" s="1"/>
  <c r="J58" i="3"/>
  <c r="I58" i="3" s="1"/>
  <c r="J57" i="3"/>
  <c r="AB61" i="3"/>
  <c r="Z61" i="3"/>
  <c r="V61" i="3"/>
  <c r="F61" i="3"/>
  <c r="C61" i="3"/>
  <c r="S55" i="3"/>
  <c r="R55" i="3" s="1"/>
  <c r="S54" i="3"/>
  <c r="R54" i="3" s="1"/>
  <c r="S53" i="3"/>
  <c r="R53" i="3" s="1"/>
  <c r="S52" i="3"/>
  <c r="R52" i="3" s="1"/>
  <c r="P55" i="3"/>
  <c r="O55" i="3" s="1"/>
  <c r="P54" i="3"/>
  <c r="O54" i="3" s="1"/>
  <c r="P53" i="3"/>
  <c r="O53" i="3" s="1"/>
  <c r="P52" i="3"/>
  <c r="O52" i="3" s="1"/>
  <c r="AB60" i="3"/>
  <c r="Z60" i="3"/>
  <c r="V60" i="3"/>
  <c r="H60" i="3"/>
  <c r="F60" i="3"/>
  <c r="E60" i="3"/>
  <c r="C60" i="3"/>
  <c r="B60" i="3"/>
  <c r="AB59" i="3"/>
  <c r="Z59" i="3"/>
  <c r="V59" i="3"/>
  <c r="Q59" i="3"/>
  <c r="N59" i="3"/>
  <c r="K59" i="3"/>
  <c r="H59" i="3"/>
  <c r="F59" i="3"/>
  <c r="E59" i="3"/>
  <c r="C59" i="3"/>
  <c r="B59" i="3"/>
  <c r="AB58" i="3"/>
  <c r="Z58" i="3"/>
  <c r="V58" i="3"/>
  <c r="Q58" i="3"/>
  <c r="N58" i="3"/>
  <c r="K58" i="3"/>
  <c r="H58" i="3"/>
  <c r="F58" i="3"/>
  <c r="E58" i="3"/>
  <c r="C58" i="3"/>
  <c r="B58" i="3"/>
  <c r="AB57" i="3"/>
  <c r="Z57" i="3"/>
  <c r="V57" i="3"/>
  <c r="Q57" i="3"/>
  <c r="O57" i="3"/>
  <c r="N57" i="3"/>
  <c r="L57" i="3"/>
  <c r="K57" i="3"/>
  <c r="I57" i="3"/>
  <c r="H57" i="3"/>
  <c r="F57" i="3"/>
  <c r="E57" i="3"/>
  <c r="C57" i="3"/>
  <c r="B57" i="3"/>
  <c r="M55" i="3"/>
  <c r="L55" i="3" s="1"/>
  <c r="M54" i="3"/>
  <c r="L54" i="3" s="1"/>
  <c r="M53" i="3"/>
  <c r="L53" i="3" s="1"/>
  <c r="M52" i="3"/>
  <c r="L52" i="3" s="1"/>
  <c r="J55" i="3"/>
  <c r="I55" i="3" s="1"/>
  <c r="J54" i="3"/>
  <c r="I54" i="3" s="1"/>
  <c r="J53" i="3"/>
  <c r="I53" i="3" s="1"/>
  <c r="J52" i="3"/>
  <c r="I52" i="3" s="1"/>
  <c r="S26" i="3"/>
  <c r="R26" i="3" s="1"/>
  <c r="S25" i="3"/>
  <c r="R25" i="3" s="1"/>
  <c r="S24" i="3"/>
  <c r="R24" i="3" s="1"/>
  <c r="S23" i="3"/>
  <c r="R23" i="3" s="1"/>
  <c r="S22" i="3"/>
  <c r="S36" i="3"/>
  <c r="R36" i="3" s="1"/>
  <c r="S35" i="3"/>
  <c r="R35" i="3" s="1"/>
  <c r="S34" i="3"/>
  <c r="R34" i="3" s="1"/>
  <c r="S33" i="3"/>
  <c r="R33" i="3" s="1"/>
  <c r="S32" i="3"/>
  <c r="R32" i="3" s="1"/>
  <c r="S31" i="3"/>
  <c r="R31" i="3" s="1"/>
  <c r="S30" i="3"/>
  <c r="R30" i="3" s="1"/>
  <c r="S29" i="3"/>
  <c r="R29" i="3" s="1"/>
  <c r="S28" i="3"/>
  <c r="R28" i="3" s="1"/>
  <c r="S27" i="3"/>
  <c r="R27" i="3" s="1"/>
  <c r="P31" i="3"/>
  <c r="O31" i="3" s="1"/>
  <c r="P30" i="3"/>
  <c r="O30" i="3" s="1"/>
  <c r="P29" i="3"/>
  <c r="O29" i="3" s="1"/>
  <c r="P28" i="3"/>
  <c r="O28" i="3" s="1"/>
  <c r="P27" i="3"/>
  <c r="O27" i="3" s="1"/>
  <c r="S50" i="3"/>
  <c r="R50" i="3" s="1"/>
  <c r="S49" i="3"/>
  <c r="R49" i="3" s="1"/>
  <c r="S48" i="3"/>
  <c r="R48" i="3" s="1"/>
  <c r="S47" i="3"/>
  <c r="R47" i="3" s="1"/>
  <c r="S46" i="3"/>
  <c r="R46" i="3" s="1"/>
  <c r="S45" i="3"/>
  <c r="P50" i="3"/>
  <c r="O50" i="3" s="1"/>
  <c r="P49" i="3"/>
  <c r="O49" i="3" s="1"/>
  <c r="P48" i="3"/>
  <c r="O48" i="3" s="1"/>
  <c r="P47" i="3"/>
  <c r="O47" i="3" s="1"/>
  <c r="P46" i="3"/>
  <c r="O46" i="3" s="1"/>
  <c r="P45" i="3"/>
  <c r="O45" i="3" s="1"/>
  <c r="S43" i="3"/>
  <c r="R43" i="3" s="1"/>
  <c r="S42" i="3"/>
  <c r="R42" i="3" s="1"/>
  <c r="S41" i="3"/>
  <c r="R41" i="3" s="1"/>
  <c r="S40" i="3"/>
  <c r="R40" i="3" s="1"/>
  <c r="S39" i="3"/>
  <c r="R39" i="3" s="1"/>
  <c r="S38" i="3"/>
  <c r="R38" i="3" s="1"/>
  <c r="P43" i="3"/>
  <c r="O43" i="3" s="1"/>
  <c r="P42" i="3"/>
  <c r="O42" i="3" s="1"/>
  <c r="P41" i="3"/>
  <c r="O41" i="3" s="1"/>
  <c r="P40" i="3"/>
  <c r="O40" i="3" s="1"/>
  <c r="P39" i="3"/>
  <c r="O39" i="3" s="1"/>
  <c r="P38" i="3"/>
  <c r="O38" i="3" s="1"/>
  <c r="AB55" i="3"/>
  <c r="Z55" i="3"/>
  <c r="V55" i="3"/>
  <c r="F55" i="3"/>
  <c r="C55" i="3"/>
  <c r="AB54" i="3"/>
  <c r="Z54" i="3"/>
  <c r="V54" i="3"/>
  <c r="N54" i="3"/>
  <c r="K54" i="3"/>
  <c r="H54" i="3"/>
  <c r="F54" i="3"/>
  <c r="E54" i="3"/>
  <c r="C54" i="3"/>
  <c r="B54" i="3"/>
  <c r="AB53" i="3"/>
  <c r="Z53" i="3"/>
  <c r="V53" i="3"/>
  <c r="H53" i="3"/>
  <c r="F53" i="3"/>
  <c r="E53" i="3"/>
  <c r="C53" i="3"/>
  <c r="B53" i="3"/>
  <c r="F52" i="3"/>
  <c r="C52" i="3"/>
  <c r="AB52" i="3"/>
  <c r="Z52" i="3"/>
  <c r="V52" i="3"/>
  <c r="AB50" i="3"/>
  <c r="Z50" i="3"/>
  <c r="V50" i="3"/>
  <c r="Q50" i="3"/>
  <c r="N50" i="3"/>
  <c r="L50" i="3"/>
  <c r="K50" i="3"/>
  <c r="I50" i="3"/>
  <c r="H50" i="3"/>
  <c r="F50" i="3"/>
  <c r="E50" i="3"/>
  <c r="C50" i="3"/>
  <c r="B50" i="3"/>
  <c r="AB49" i="3"/>
  <c r="Z49" i="3"/>
  <c r="V49" i="3"/>
  <c r="L49" i="3"/>
  <c r="I49" i="3"/>
  <c r="F49" i="3"/>
  <c r="C49" i="3"/>
  <c r="AB48" i="3"/>
  <c r="Z48" i="3"/>
  <c r="V48" i="3"/>
  <c r="Q48" i="3" s="1"/>
  <c r="N48" i="3"/>
  <c r="L48" i="3"/>
  <c r="K48" i="3"/>
  <c r="I48" i="3"/>
  <c r="H48" i="3"/>
  <c r="F48" i="3"/>
  <c r="E48" i="3"/>
  <c r="C48" i="3"/>
  <c r="B48" i="3"/>
  <c r="AB47" i="3"/>
  <c r="Z47" i="3"/>
  <c r="V47" i="3"/>
  <c r="N47" i="3"/>
  <c r="L47" i="3"/>
  <c r="K47" i="3"/>
  <c r="I47" i="3"/>
  <c r="H47" i="3"/>
  <c r="F47" i="3"/>
  <c r="C47" i="3"/>
  <c r="AB46" i="3"/>
  <c r="Z46" i="3"/>
  <c r="V46" i="3"/>
  <c r="Q46" i="3"/>
  <c r="N46" i="3"/>
  <c r="L46" i="3"/>
  <c r="K46" i="3"/>
  <c r="I46" i="3"/>
  <c r="H46" i="3"/>
  <c r="F46" i="3"/>
  <c r="E46" i="3"/>
  <c r="C46" i="3"/>
  <c r="B46" i="3"/>
  <c r="AB45" i="3"/>
  <c r="Z45" i="3"/>
  <c r="V45" i="3"/>
  <c r="R45" i="3"/>
  <c r="L45" i="3"/>
  <c r="I45" i="3"/>
  <c r="F45" i="3"/>
  <c r="E45" i="3"/>
  <c r="C45" i="3"/>
  <c r="B45" i="3"/>
  <c r="AB38" i="3"/>
  <c r="Z38" i="3"/>
  <c r="X38" i="3"/>
  <c r="V38" i="3"/>
  <c r="L38" i="3"/>
  <c r="I38" i="3"/>
  <c r="F38" i="3"/>
  <c r="C38" i="3"/>
  <c r="AB43" i="3"/>
  <c r="Z43" i="3"/>
  <c r="X43" i="3"/>
  <c r="V43" i="3"/>
  <c r="L43" i="3"/>
  <c r="I43" i="3"/>
  <c r="H43" i="3"/>
  <c r="F43" i="3"/>
  <c r="C43" i="3"/>
  <c r="B43" i="3"/>
  <c r="AB42" i="3"/>
  <c r="Z42" i="3"/>
  <c r="X42" i="3"/>
  <c r="V42" i="3"/>
  <c r="L42" i="3"/>
  <c r="I42" i="3"/>
  <c r="F42" i="3"/>
  <c r="E42" i="3"/>
  <c r="C42" i="3"/>
  <c r="AB41" i="3"/>
  <c r="Z41" i="3"/>
  <c r="X41" i="3"/>
  <c r="E41" i="3" s="1"/>
  <c r="V41" i="3"/>
  <c r="L41" i="3"/>
  <c r="I41" i="3"/>
  <c r="F41" i="3"/>
  <c r="C41" i="3"/>
  <c r="AB40" i="3"/>
  <c r="Z40" i="3"/>
  <c r="X40" i="3"/>
  <c r="V40" i="3"/>
  <c r="L40" i="3"/>
  <c r="I40" i="3"/>
  <c r="F40" i="3"/>
  <c r="C40" i="3"/>
  <c r="AB39" i="3"/>
  <c r="Z39" i="3"/>
  <c r="X39" i="3"/>
  <c r="V39" i="3"/>
  <c r="L39" i="3"/>
  <c r="I39" i="3"/>
  <c r="H39" i="3"/>
  <c r="F39" i="3"/>
  <c r="E39" i="3"/>
  <c r="C39" i="3"/>
  <c r="B39" i="3"/>
  <c r="O20" i="3"/>
  <c r="O19" i="3"/>
  <c r="O18" i="3"/>
  <c r="O17" i="3"/>
  <c r="O16" i="3"/>
  <c r="O15" i="3"/>
  <c r="O14" i="3"/>
  <c r="O13" i="3"/>
  <c r="O12" i="3"/>
  <c r="O11" i="3"/>
  <c r="O10" i="3"/>
  <c r="O9" i="3"/>
  <c r="O8" i="3"/>
  <c r="O7" i="3"/>
  <c r="O6" i="3"/>
  <c r="O36" i="3"/>
  <c r="O35" i="3"/>
  <c r="O34" i="3"/>
  <c r="O33" i="3"/>
  <c r="O32" i="3"/>
  <c r="O26" i="3"/>
  <c r="O25" i="3"/>
  <c r="O24" i="3"/>
  <c r="O23" i="3"/>
  <c r="O22" i="3"/>
  <c r="AB36" i="3"/>
  <c r="Z36" i="3"/>
  <c r="X36" i="3"/>
  <c r="V36" i="3"/>
  <c r="L36" i="3"/>
  <c r="I36" i="3"/>
  <c r="F36" i="3"/>
  <c r="C36" i="3"/>
  <c r="AB35" i="3"/>
  <c r="Z35" i="3"/>
  <c r="X35" i="3"/>
  <c r="V35" i="3"/>
  <c r="L35" i="3"/>
  <c r="I35" i="3"/>
  <c r="F35" i="3"/>
  <c r="C35" i="3"/>
  <c r="AB34" i="3"/>
  <c r="Z34" i="3"/>
  <c r="X34" i="3"/>
  <c r="V34" i="3"/>
  <c r="L34" i="3"/>
  <c r="I34" i="3"/>
  <c r="F34" i="3"/>
  <c r="C34" i="3"/>
  <c r="AB33" i="3"/>
  <c r="Z33" i="3"/>
  <c r="X33" i="3"/>
  <c r="V33" i="3"/>
  <c r="L33" i="3"/>
  <c r="I33" i="3"/>
  <c r="F33" i="3"/>
  <c r="C33" i="3"/>
  <c r="AB32" i="3"/>
  <c r="Z32" i="3"/>
  <c r="X32" i="3"/>
  <c r="V32" i="3"/>
  <c r="N32" i="3"/>
  <c r="L32" i="3"/>
  <c r="I32" i="3"/>
  <c r="H32" i="3"/>
  <c r="F32" i="3"/>
  <c r="E32" i="3"/>
  <c r="C32" i="3"/>
  <c r="B32" i="3"/>
  <c r="AB31" i="3"/>
  <c r="Z31" i="3"/>
  <c r="X31" i="3"/>
  <c r="V31" i="3"/>
  <c r="Q31" i="3"/>
  <c r="N31" i="3"/>
  <c r="L31" i="3"/>
  <c r="K31" i="3"/>
  <c r="I31" i="3"/>
  <c r="H31" i="3"/>
  <c r="F31" i="3"/>
  <c r="E31" i="3"/>
  <c r="C31" i="3"/>
  <c r="B31" i="3"/>
  <c r="AB30" i="3"/>
  <c r="Z30" i="3"/>
  <c r="X30" i="3"/>
  <c r="V30" i="3"/>
  <c r="L30" i="3"/>
  <c r="I30" i="3"/>
  <c r="F30" i="3"/>
  <c r="C30" i="3"/>
  <c r="AB29" i="3"/>
  <c r="Z29" i="3"/>
  <c r="X29" i="3"/>
  <c r="V29" i="3"/>
  <c r="Q29" i="3" s="1"/>
  <c r="N29" i="3"/>
  <c r="L29" i="3"/>
  <c r="K29" i="3"/>
  <c r="I29" i="3"/>
  <c r="H29" i="3"/>
  <c r="F29" i="3"/>
  <c r="E29" i="3"/>
  <c r="C29" i="3"/>
  <c r="B29" i="3"/>
  <c r="AB28" i="3"/>
  <c r="Z28" i="3"/>
  <c r="X28" i="3"/>
  <c r="V28" i="3"/>
  <c r="L28" i="3"/>
  <c r="I28" i="3"/>
  <c r="F28" i="3"/>
  <c r="C28" i="3"/>
  <c r="AB27" i="3"/>
  <c r="Z27" i="3"/>
  <c r="X27" i="3"/>
  <c r="V27" i="3"/>
  <c r="L27" i="3"/>
  <c r="I27" i="3"/>
  <c r="F27" i="3"/>
  <c r="C27" i="3"/>
  <c r="AB26" i="3"/>
  <c r="Z26" i="3"/>
  <c r="X26" i="3"/>
  <c r="V26" i="3"/>
  <c r="L26" i="3"/>
  <c r="K26" i="3"/>
  <c r="I26" i="3"/>
  <c r="H26" i="3"/>
  <c r="F26" i="3"/>
  <c r="E26" i="3"/>
  <c r="C26" i="3"/>
  <c r="B26" i="3"/>
  <c r="AB25" i="3"/>
  <c r="Z25" i="3"/>
  <c r="X25" i="3"/>
  <c r="V25" i="3"/>
  <c r="L25" i="3"/>
  <c r="K25" i="3"/>
  <c r="I25" i="3"/>
  <c r="H25" i="3"/>
  <c r="F25" i="3"/>
  <c r="E25" i="3"/>
  <c r="C25" i="3"/>
  <c r="B25" i="3"/>
  <c r="AB24" i="3"/>
  <c r="Z24" i="3"/>
  <c r="X24" i="3"/>
  <c r="V24" i="3"/>
  <c r="L24" i="3"/>
  <c r="K24" i="3"/>
  <c r="I24" i="3"/>
  <c r="H24" i="3"/>
  <c r="F24" i="3"/>
  <c r="E24" i="3"/>
  <c r="C24" i="3"/>
  <c r="AB23" i="3"/>
  <c r="Z23" i="3"/>
  <c r="X23" i="3"/>
  <c r="V23" i="3"/>
  <c r="Q23" i="3" s="1"/>
  <c r="N23" i="3"/>
  <c r="L23" i="3"/>
  <c r="K23" i="3"/>
  <c r="I23" i="3"/>
  <c r="H23" i="3"/>
  <c r="F23" i="3"/>
  <c r="E23" i="3"/>
  <c r="C23" i="3"/>
  <c r="B23" i="3"/>
  <c r="AB22" i="3"/>
  <c r="Z22" i="3"/>
  <c r="X22" i="3"/>
  <c r="V22" i="3"/>
  <c r="R22" i="3"/>
  <c r="L22" i="3"/>
  <c r="I22" i="3"/>
  <c r="F22" i="3"/>
  <c r="C22" i="3"/>
  <c r="AB20" i="3"/>
  <c r="AB19" i="3"/>
  <c r="AB18" i="3"/>
  <c r="AB17" i="3"/>
  <c r="AB16" i="3"/>
  <c r="AB15" i="3"/>
  <c r="AB14" i="3"/>
  <c r="AB13" i="3"/>
  <c r="AB12" i="3"/>
  <c r="AB11" i="3"/>
  <c r="AB10" i="3"/>
  <c r="AB9" i="3"/>
  <c r="AB8" i="3"/>
  <c r="AB7" i="3"/>
  <c r="Z20" i="3"/>
  <c r="Z19" i="3"/>
  <c r="Z18" i="3"/>
  <c r="Z17" i="3"/>
  <c r="Z16" i="3"/>
  <c r="Z15" i="3"/>
  <c r="Z14" i="3"/>
  <c r="Z13" i="3"/>
  <c r="Z12" i="3"/>
  <c r="Z11" i="3"/>
  <c r="Z10" i="3"/>
  <c r="Z9" i="3"/>
  <c r="Z8" i="3"/>
  <c r="Z7" i="3"/>
  <c r="V17" i="3"/>
  <c r="V16" i="3"/>
  <c r="V15" i="3"/>
  <c r="V14" i="3"/>
  <c r="V13" i="3"/>
  <c r="V12" i="3"/>
  <c r="V11" i="3"/>
  <c r="V10" i="3"/>
  <c r="V9" i="3"/>
  <c r="V8" i="3"/>
  <c r="V7" i="3"/>
  <c r="V6" i="3"/>
  <c r="X19" i="3"/>
  <c r="X18" i="3"/>
  <c r="X17" i="3"/>
  <c r="X16" i="3"/>
  <c r="X15" i="3"/>
  <c r="X14" i="3"/>
  <c r="X13" i="3"/>
  <c r="X12" i="3"/>
  <c r="X11" i="3"/>
  <c r="X10" i="3"/>
  <c r="X9" i="3"/>
  <c r="X8" i="3"/>
  <c r="X7" i="3"/>
  <c r="C18" i="3"/>
  <c r="C17" i="3"/>
  <c r="C16" i="3"/>
  <c r="C15" i="3"/>
  <c r="C14" i="3"/>
  <c r="C13" i="3"/>
  <c r="C12" i="3"/>
  <c r="C11" i="3"/>
  <c r="C10" i="3"/>
  <c r="C9" i="3"/>
  <c r="C8" i="3"/>
  <c r="C7" i="3"/>
  <c r="F18" i="3"/>
  <c r="F17" i="3"/>
  <c r="F16" i="3"/>
  <c r="F15" i="3"/>
  <c r="F14" i="3"/>
  <c r="F13" i="3"/>
  <c r="F12" i="3"/>
  <c r="F11" i="3"/>
  <c r="F10" i="3"/>
  <c r="F9" i="3"/>
  <c r="F8" i="3"/>
  <c r="F7" i="3"/>
  <c r="F6" i="3"/>
  <c r="I18" i="3"/>
  <c r="I17" i="3"/>
  <c r="I16" i="3"/>
  <c r="I15" i="3"/>
  <c r="I14" i="3"/>
  <c r="I13" i="3"/>
  <c r="I12" i="3"/>
  <c r="I11" i="3"/>
  <c r="I10" i="3"/>
  <c r="I9" i="3"/>
  <c r="I8" i="3"/>
  <c r="I7" i="3"/>
  <c r="L18" i="3"/>
  <c r="L17" i="3"/>
  <c r="L16" i="3"/>
  <c r="L15" i="3"/>
  <c r="L14" i="3"/>
  <c r="L13" i="3"/>
  <c r="L12" i="3"/>
  <c r="L11" i="3"/>
  <c r="L10" i="3"/>
  <c r="L9" i="3"/>
  <c r="L8" i="3"/>
  <c r="L7" i="3"/>
  <c r="R19" i="3"/>
  <c r="R18" i="3"/>
  <c r="R17" i="3"/>
  <c r="R16" i="3"/>
  <c r="R15" i="3"/>
  <c r="R14" i="3"/>
  <c r="R13" i="3"/>
  <c r="R12" i="3"/>
  <c r="R11" i="3"/>
  <c r="R10" i="3"/>
  <c r="R9" i="3"/>
  <c r="R8" i="3"/>
  <c r="R7" i="3"/>
  <c r="R20" i="3"/>
  <c r="R6" i="3"/>
  <c r="L20" i="3"/>
  <c r="L19" i="3"/>
  <c r="L6" i="3"/>
  <c r="I20" i="3"/>
  <c r="I19" i="3"/>
  <c r="I6" i="3"/>
  <c r="F20" i="3"/>
  <c r="F19" i="3"/>
  <c r="X20" i="3"/>
  <c r="V20" i="3"/>
  <c r="C20" i="3"/>
  <c r="V19" i="3"/>
  <c r="C19" i="3"/>
  <c r="V18" i="3"/>
  <c r="AB6" i="3"/>
  <c r="Z6" i="3"/>
  <c r="X6" i="3"/>
  <c r="C6" i="3"/>
  <c r="Q66" i="2"/>
  <c r="O66" i="2"/>
  <c r="M66" i="2"/>
  <c r="K66" i="2"/>
  <c r="I66" i="2"/>
  <c r="G66" i="2"/>
  <c r="C66" i="2"/>
  <c r="B66" i="2"/>
  <c r="Q65" i="2"/>
  <c r="O65" i="2"/>
  <c r="M65" i="2"/>
  <c r="K65" i="2"/>
  <c r="I65" i="2"/>
  <c r="G65" i="2"/>
  <c r="C65" i="2"/>
  <c r="B65" i="2"/>
  <c r="Q64" i="2"/>
  <c r="O64" i="2"/>
  <c r="M64" i="2"/>
  <c r="K64" i="2"/>
  <c r="I64" i="2"/>
  <c r="G64" i="2"/>
  <c r="C64" i="2"/>
  <c r="B64" i="2"/>
  <c r="Q63" i="2"/>
  <c r="B63" i="2" s="1"/>
  <c r="O63" i="2"/>
  <c r="M63" i="2"/>
  <c r="K63" i="2"/>
  <c r="I63" i="2"/>
  <c r="G63" i="2"/>
  <c r="C63" i="2"/>
  <c r="Q62" i="2"/>
  <c r="O62" i="2"/>
  <c r="M62" i="2"/>
  <c r="K62" i="2"/>
  <c r="I62" i="2"/>
  <c r="G62" i="2"/>
  <c r="C62" i="2"/>
  <c r="B62" i="2"/>
  <c r="Q60" i="2"/>
  <c r="O60" i="2"/>
  <c r="M60" i="2"/>
  <c r="K60" i="2"/>
  <c r="I60" i="2"/>
  <c r="G60" i="2"/>
  <c r="B60" i="2" s="1"/>
  <c r="C60" i="2"/>
  <c r="Q59" i="2"/>
  <c r="O59" i="2"/>
  <c r="M59" i="2"/>
  <c r="K59" i="2"/>
  <c r="I59" i="2"/>
  <c r="G59" i="2"/>
  <c r="B59" i="2" s="1"/>
  <c r="C59" i="2"/>
  <c r="Q58" i="2"/>
  <c r="O58" i="2"/>
  <c r="M58" i="2"/>
  <c r="K58" i="2"/>
  <c r="I58" i="2"/>
  <c r="G58" i="2"/>
  <c r="C58" i="2"/>
  <c r="B58" i="2"/>
  <c r="Q57" i="2"/>
  <c r="O57" i="2"/>
  <c r="M57" i="2"/>
  <c r="K57" i="2"/>
  <c r="I57" i="2"/>
  <c r="G57" i="2"/>
  <c r="C57" i="2"/>
  <c r="Q56" i="2"/>
  <c r="O56" i="2"/>
  <c r="B56" i="2" s="1"/>
  <c r="M56" i="2"/>
  <c r="K56" i="2"/>
  <c r="I56" i="2"/>
  <c r="G56" i="2"/>
  <c r="C56" i="2"/>
  <c r="Q54" i="2"/>
  <c r="O54" i="2"/>
  <c r="M54" i="2"/>
  <c r="K54" i="2"/>
  <c r="I54" i="2"/>
  <c r="G54" i="2"/>
  <c r="C54" i="2"/>
  <c r="B54" i="2"/>
  <c r="Q53" i="2"/>
  <c r="O53" i="2"/>
  <c r="M53" i="2"/>
  <c r="K53" i="2"/>
  <c r="I53" i="2"/>
  <c r="G53" i="2"/>
  <c r="C53" i="2"/>
  <c r="B53" i="2"/>
  <c r="Q52" i="2"/>
  <c r="O52" i="2"/>
  <c r="M52" i="2"/>
  <c r="K52" i="2"/>
  <c r="I52" i="2"/>
  <c r="B52" i="2" s="1"/>
  <c r="G52" i="2"/>
  <c r="C52" i="2"/>
  <c r="Q51" i="2"/>
  <c r="O51" i="2"/>
  <c r="B51" i="2" s="1"/>
  <c r="M51" i="2"/>
  <c r="K51" i="2"/>
  <c r="I51" i="2"/>
  <c r="G51" i="2"/>
  <c r="C51" i="2"/>
  <c r="Q50" i="2"/>
  <c r="O50" i="2"/>
  <c r="M50" i="2"/>
  <c r="K50" i="2"/>
  <c r="I50" i="2"/>
  <c r="G50" i="2"/>
  <c r="C50" i="2"/>
  <c r="B50" i="2"/>
  <c r="Q44" i="2"/>
  <c r="O44" i="2"/>
  <c r="M44" i="2"/>
  <c r="K44" i="2"/>
  <c r="I44" i="2"/>
  <c r="G44" i="2"/>
  <c r="C44" i="2"/>
  <c r="Q48" i="2"/>
  <c r="O48" i="2"/>
  <c r="M48" i="2"/>
  <c r="K48" i="2"/>
  <c r="I48" i="2"/>
  <c r="G48" i="2"/>
  <c r="C48" i="2"/>
  <c r="Q47" i="2"/>
  <c r="O47" i="2"/>
  <c r="M47" i="2"/>
  <c r="K47" i="2"/>
  <c r="I47" i="2"/>
  <c r="G47" i="2"/>
  <c r="C47" i="2"/>
  <c r="Q46" i="2"/>
  <c r="O46" i="2"/>
  <c r="M46" i="2"/>
  <c r="K46" i="2"/>
  <c r="I46" i="2"/>
  <c r="G46" i="2"/>
  <c r="C46" i="2"/>
  <c r="Q45" i="2"/>
  <c r="O45" i="2"/>
  <c r="M45" i="2"/>
  <c r="K45" i="2"/>
  <c r="I45" i="2"/>
  <c r="G45" i="2"/>
  <c r="C45" i="2"/>
  <c r="O41" i="2"/>
  <c r="O40" i="2"/>
  <c r="O39" i="2"/>
  <c r="O38" i="2"/>
  <c r="O37" i="2"/>
  <c r="O36" i="2"/>
  <c r="O35" i="2"/>
  <c r="O34" i="2"/>
  <c r="O33" i="2"/>
  <c r="O15" i="2"/>
  <c r="O14" i="2"/>
  <c r="O13" i="2"/>
  <c r="O12" i="2"/>
  <c r="O11" i="2"/>
  <c r="O10" i="2"/>
  <c r="O9" i="2"/>
  <c r="O8" i="2"/>
  <c r="M41" i="2"/>
  <c r="K41" i="2"/>
  <c r="I41" i="2"/>
  <c r="G41" i="2"/>
  <c r="C41" i="2"/>
  <c r="M40" i="2"/>
  <c r="K40" i="2"/>
  <c r="I40" i="2"/>
  <c r="G40" i="2"/>
  <c r="C40" i="2"/>
  <c r="M39" i="2"/>
  <c r="K39" i="2"/>
  <c r="I39" i="2"/>
  <c r="G39" i="2"/>
  <c r="C39" i="2"/>
  <c r="M38" i="2"/>
  <c r="K38" i="2"/>
  <c r="I38" i="2"/>
  <c r="G38" i="2"/>
  <c r="C38" i="2"/>
  <c r="M37" i="2"/>
  <c r="K37" i="2"/>
  <c r="I37" i="2"/>
  <c r="G37" i="2"/>
  <c r="C37" i="2"/>
  <c r="B37" i="2"/>
  <c r="M36" i="2"/>
  <c r="K36" i="2"/>
  <c r="I36" i="2"/>
  <c r="G36" i="2"/>
  <c r="C36" i="2"/>
  <c r="B36" i="2"/>
  <c r="M35" i="2"/>
  <c r="K35" i="2"/>
  <c r="I35" i="2"/>
  <c r="G35" i="2"/>
  <c r="C35" i="2"/>
  <c r="B35" i="2"/>
  <c r="M34" i="2"/>
  <c r="K34" i="2"/>
  <c r="I34" i="2"/>
  <c r="B34" i="2" s="1"/>
  <c r="G34" i="2"/>
  <c r="C34" i="2"/>
  <c r="Q33" i="2"/>
  <c r="M33" i="2"/>
  <c r="K33" i="2"/>
  <c r="I33" i="2"/>
  <c r="G33" i="2"/>
  <c r="C33" i="2"/>
  <c r="Q32" i="2"/>
  <c r="O32" i="2"/>
  <c r="M32" i="2"/>
  <c r="K32" i="2"/>
  <c r="I32" i="2"/>
  <c r="G32" i="2"/>
  <c r="B32" i="2" s="1"/>
  <c r="C32" i="2"/>
  <c r="Q31" i="2"/>
  <c r="O31" i="2"/>
  <c r="M31" i="2"/>
  <c r="K31" i="2"/>
  <c r="I31" i="2"/>
  <c r="G31" i="2"/>
  <c r="C31" i="2"/>
  <c r="B31" i="2"/>
  <c r="Q30" i="2"/>
  <c r="O30" i="2"/>
  <c r="M30" i="2"/>
  <c r="K30" i="2"/>
  <c r="I30" i="2"/>
  <c r="G30" i="2"/>
  <c r="B30" i="2" s="1"/>
  <c r="C30" i="2"/>
  <c r="K28" i="2"/>
  <c r="K27" i="2"/>
  <c r="K26" i="2"/>
  <c r="K25" i="2"/>
  <c r="K24" i="2"/>
  <c r="K23" i="2"/>
  <c r="K22" i="2"/>
  <c r="K21" i="2"/>
  <c r="K20" i="2"/>
  <c r="K19" i="2"/>
  <c r="K18" i="2"/>
  <c r="K17" i="2"/>
  <c r="K15" i="2"/>
  <c r="K14" i="2"/>
  <c r="K13" i="2"/>
  <c r="K12" i="2"/>
  <c r="K11" i="2"/>
  <c r="K10" i="2"/>
  <c r="K9" i="2"/>
  <c r="K8" i="2"/>
  <c r="K7" i="2"/>
  <c r="K6" i="2"/>
  <c r="K5" i="2"/>
  <c r="K4" i="2"/>
  <c r="I28" i="2"/>
  <c r="I27" i="2"/>
  <c r="I26" i="2"/>
  <c r="I25" i="2"/>
  <c r="I24" i="2"/>
  <c r="I23" i="2"/>
  <c r="I22" i="2"/>
  <c r="I21" i="2"/>
  <c r="I20" i="2"/>
  <c r="I19" i="2"/>
  <c r="I18" i="2"/>
  <c r="I17" i="2"/>
  <c r="I15" i="2"/>
  <c r="I14" i="2"/>
  <c r="I13" i="2"/>
  <c r="I12" i="2"/>
  <c r="I11" i="2"/>
  <c r="I10" i="2"/>
  <c r="I9" i="2"/>
  <c r="I8" i="2"/>
  <c r="I7" i="2"/>
  <c r="I6" i="2"/>
  <c r="I5" i="2"/>
  <c r="I4" i="2"/>
  <c r="O28" i="2"/>
  <c r="O27" i="2"/>
  <c r="O26" i="2"/>
  <c r="O25" i="2"/>
  <c r="O24" i="2"/>
  <c r="O23" i="2"/>
  <c r="O22" i="2"/>
  <c r="O21" i="2"/>
  <c r="Q28" i="2"/>
  <c r="Q27" i="2"/>
  <c r="Q26" i="2"/>
  <c r="Q25" i="2"/>
  <c r="Q24" i="2"/>
  <c r="Q23" i="2"/>
  <c r="Q22" i="2"/>
  <c r="Q21" i="2"/>
  <c r="M28" i="2"/>
  <c r="G28" i="2"/>
  <c r="C28" i="2"/>
  <c r="M27" i="2"/>
  <c r="G27" i="2"/>
  <c r="C27" i="2"/>
  <c r="M26" i="2"/>
  <c r="G26" i="2"/>
  <c r="C26" i="2"/>
  <c r="M25" i="2"/>
  <c r="G25" i="2"/>
  <c r="C25" i="2"/>
  <c r="M24" i="2"/>
  <c r="G24" i="2"/>
  <c r="C24" i="2"/>
  <c r="M23" i="2"/>
  <c r="G23" i="2"/>
  <c r="C23" i="2"/>
  <c r="M22" i="2"/>
  <c r="G22" i="2"/>
  <c r="C22" i="2"/>
  <c r="M21" i="2"/>
  <c r="G21" i="2"/>
  <c r="C21" i="2"/>
  <c r="Q20" i="2"/>
  <c r="O20" i="2"/>
  <c r="M20" i="2"/>
  <c r="G20" i="2"/>
  <c r="C20" i="2"/>
  <c r="Q19" i="2"/>
  <c r="O19" i="2"/>
  <c r="M19" i="2"/>
  <c r="G19" i="2"/>
  <c r="C19" i="2"/>
  <c r="Q18" i="2"/>
  <c r="O18" i="2"/>
  <c r="M18" i="2"/>
  <c r="G18" i="2"/>
  <c r="C18" i="2"/>
  <c r="Q17" i="2"/>
  <c r="O17" i="2"/>
  <c r="M17" i="2"/>
  <c r="G17" i="2"/>
  <c r="C17" i="2"/>
  <c r="C15" i="2"/>
  <c r="C14" i="2"/>
  <c r="C13" i="2"/>
  <c r="C12" i="2"/>
  <c r="C11" i="2"/>
  <c r="C10" i="2"/>
  <c r="C9" i="2"/>
  <c r="C8" i="2"/>
  <c r="C7" i="2"/>
  <c r="C6" i="2"/>
  <c r="C5" i="2"/>
  <c r="C4" i="2"/>
  <c r="M15" i="2"/>
  <c r="M14" i="2"/>
  <c r="M13" i="2"/>
  <c r="M12" i="2"/>
  <c r="M11" i="2"/>
  <c r="M10" i="2"/>
  <c r="M9" i="2"/>
  <c r="M8" i="2"/>
  <c r="G15" i="2"/>
  <c r="G14" i="2"/>
  <c r="G13" i="2"/>
  <c r="G12" i="2"/>
  <c r="G11" i="2"/>
  <c r="G10" i="2"/>
  <c r="G9" i="2"/>
  <c r="G8" i="2"/>
  <c r="G7" i="2"/>
  <c r="G6" i="2"/>
  <c r="G5" i="2"/>
  <c r="Q7" i="2"/>
  <c r="Q6" i="2"/>
  <c r="Q5" i="2"/>
  <c r="Q4" i="2"/>
  <c r="O7" i="2"/>
  <c r="O6" i="2"/>
  <c r="O5" i="2"/>
  <c r="O4" i="2"/>
  <c r="M7" i="2"/>
  <c r="M6" i="2"/>
  <c r="M5" i="2"/>
  <c r="M4" i="2"/>
  <c r="G4" i="2"/>
  <c r="B311" i="5" l="1"/>
  <c r="B316" i="5"/>
  <c r="B243" i="5"/>
  <c r="B92" i="5"/>
  <c r="B91" i="5"/>
  <c r="B238" i="5"/>
  <c r="B234" i="5"/>
  <c r="B244" i="5"/>
  <c r="B296" i="5"/>
  <c r="B128" i="5"/>
  <c r="B126" i="5"/>
  <c r="B239" i="5"/>
  <c r="B354" i="5"/>
  <c r="B318" i="5"/>
  <c r="B315" i="5"/>
  <c r="B160" i="5"/>
  <c r="B152" i="5"/>
  <c r="B121" i="5"/>
  <c r="B355" i="5"/>
  <c r="B154" i="5"/>
  <c r="B352" i="5"/>
  <c r="B159" i="5"/>
  <c r="B351" i="5"/>
  <c r="B98" i="5"/>
  <c r="B127" i="5"/>
  <c r="B353" i="5"/>
  <c r="B124" i="5"/>
  <c r="B157" i="5"/>
  <c r="B294" i="5"/>
  <c r="B166" i="5"/>
  <c r="B165" i="5"/>
  <c r="B125" i="5"/>
  <c r="B161" i="5"/>
  <c r="B89" i="5"/>
  <c r="B156" i="5"/>
  <c r="B85" i="5"/>
  <c r="B147" i="5"/>
  <c r="B102" i="5"/>
  <c r="B104" i="5"/>
  <c r="B100" i="5"/>
  <c r="B191" i="5"/>
  <c r="B190" i="5"/>
  <c r="B146" i="5"/>
  <c r="B145" i="5"/>
  <c r="B95" i="5"/>
  <c r="B138" i="5"/>
  <c r="B149" i="5"/>
  <c r="B150" i="5"/>
  <c r="B94" i="5"/>
  <c r="B86" i="5"/>
  <c r="B96" i="5"/>
  <c r="B97" i="5"/>
  <c r="B134" i="5"/>
  <c r="B90" i="5"/>
  <c r="B202" i="5"/>
  <c r="B137" i="5"/>
  <c r="B135" i="5"/>
  <c r="B184" i="5"/>
  <c r="B144" i="5"/>
  <c r="B198" i="5"/>
  <c r="B270" i="5"/>
  <c r="B118" i="5"/>
  <c r="B42" i="5"/>
  <c r="B199" i="5"/>
  <c r="B183" i="5"/>
  <c r="B120" i="5"/>
  <c r="B203" i="5"/>
  <c r="B196" i="5"/>
  <c r="B194" i="5"/>
  <c r="B185" i="5"/>
  <c r="B195" i="5"/>
  <c r="B200" i="5"/>
  <c r="B181" i="5"/>
  <c r="B39" i="5"/>
  <c r="B40" i="5"/>
  <c r="B38" i="5"/>
  <c r="B14" i="5"/>
  <c r="B13" i="5"/>
  <c r="B12" i="5"/>
  <c r="B229" i="5"/>
  <c r="B180" i="5"/>
  <c r="B193" i="5"/>
  <c r="B188" i="5"/>
  <c r="B189" i="5"/>
  <c r="B21" i="5"/>
  <c r="B20" i="5"/>
  <c r="B19" i="5"/>
  <c r="B18" i="5"/>
  <c r="B17" i="5"/>
  <c r="B16" i="5"/>
  <c r="B15" i="5"/>
  <c r="B271" i="5"/>
  <c r="B186" i="5"/>
  <c r="B274" i="5"/>
  <c r="B264" i="5"/>
  <c r="B110" i="5"/>
  <c r="B108" i="5"/>
  <c r="B43" i="5"/>
  <c r="B228" i="5"/>
  <c r="B349" i="5"/>
  <c r="B348" i="5"/>
  <c r="B347" i="5"/>
  <c r="B345" i="5"/>
  <c r="B344" i="5"/>
  <c r="B340" i="5"/>
  <c r="B299" i="5"/>
  <c r="B298" i="5"/>
  <c r="B117" i="5"/>
  <c r="B46" i="5"/>
  <c r="B122" i="5"/>
  <c r="B119" i="5"/>
  <c r="B116" i="5"/>
  <c r="B111" i="5"/>
  <c r="B113" i="5"/>
  <c r="B47" i="5"/>
  <c r="B115" i="5"/>
  <c r="B112" i="5"/>
  <c r="B74" i="5"/>
  <c r="B73" i="5"/>
  <c r="B72" i="5"/>
  <c r="B182" i="5"/>
  <c r="B76" i="5"/>
  <c r="B77" i="5"/>
  <c r="B263" i="5"/>
  <c r="B281" i="5"/>
  <c r="B280" i="5"/>
  <c r="B278" i="5"/>
  <c r="B276" i="5"/>
  <c r="B275" i="5"/>
  <c r="B273" i="5"/>
  <c r="B283" i="5"/>
  <c r="B114" i="5"/>
  <c r="B11" i="5"/>
  <c r="B78" i="5"/>
  <c r="B341" i="5"/>
  <c r="B82" i="5"/>
  <c r="B81" i="5"/>
  <c r="B80" i="5"/>
  <c r="B231" i="5"/>
  <c r="B285" i="5"/>
  <c r="B326" i="5"/>
  <c r="B324" i="5"/>
  <c r="B297" i="5"/>
  <c r="B295" i="5"/>
  <c r="B109" i="5"/>
  <c r="B107" i="5"/>
  <c r="B230" i="5"/>
  <c r="B269" i="5"/>
  <c r="B279" i="5"/>
  <c r="B59" i="5"/>
  <c r="B58" i="5"/>
  <c r="B57" i="5"/>
  <c r="B56" i="5"/>
  <c r="B55" i="5"/>
  <c r="B284" i="5"/>
  <c r="B48" i="5"/>
  <c r="B328" i="5"/>
  <c r="B327" i="5"/>
  <c r="B210" i="5"/>
  <c r="B209" i="5"/>
  <c r="B208" i="5"/>
  <c r="B207" i="5"/>
  <c r="B179" i="5"/>
  <c r="B173" i="5"/>
  <c r="B172" i="5"/>
  <c r="B171" i="5"/>
  <c r="B170" i="5"/>
  <c r="B142" i="5"/>
  <c r="B141" i="5"/>
  <c r="B61" i="5"/>
  <c r="B60" i="5"/>
  <c r="B178" i="5"/>
  <c r="B83" i="5"/>
  <c r="B75" i="5"/>
  <c r="B70" i="5"/>
  <c r="B54" i="5"/>
  <c r="B37" i="5"/>
  <c r="B36" i="5"/>
  <c r="B34" i="5"/>
  <c r="B33" i="5"/>
  <c r="B32" i="5"/>
  <c r="B31" i="5"/>
  <c r="B30" i="5"/>
  <c r="B27" i="5"/>
  <c r="B26" i="5"/>
  <c r="B44" i="5"/>
  <c r="B69" i="5"/>
  <c r="B68" i="5"/>
  <c r="B51" i="5"/>
  <c r="B50" i="5"/>
  <c r="B49" i="5"/>
  <c r="B25" i="5"/>
  <c r="B24" i="5"/>
  <c r="B23" i="5"/>
  <c r="B22" i="5"/>
  <c r="B307" i="5"/>
  <c r="B306" i="5"/>
  <c r="B305" i="5"/>
  <c r="B303" i="5"/>
  <c r="B277" i="5"/>
  <c r="B66" i="5"/>
  <c r="B65" i="5"/>
  <c r="B64" i="5"/>
  <c r="B258" i="5"/>
  <c r="B249" i="5"/>
  <c r="B248" i="5"/>
  <c r="B247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176" i="5"/>
  <c r="B62" i="5"/>
  <c r="B132" i="5"/>
  <c r="B71" i="5"/>
  <c r="B177" i="5"/>
  <c r="B131" i="5"/>
  <c r="B79" i="5"/>
  <c r="B29" i="5"/>
  <c r="B252" i="5"/>
  <c r="B289" i="5"/>
  <c r="B267" i="5"/>
  <c r="B265" i="5"/>
  <c r="B287" i="5"/>
  <c r="B291" i="5"/>
  <c r="B290" i="5"/>
  <c r="B288" i="5"/>
  <c r="B286" i="5"/>
  <c r="B268" i="5"/>
  <c r="B266" i="5"/>
  <c r="B339" i="5"/>
  <c r="B338" i="5"/>
  <c r="B337" i="5"/>
  <c r="B336" i="5"/>
  <c r="B304" i="5"/>
  <c r="B302" i="5"/>
  <c r="B323" i="5"/>
  <c r="B325" i="5"/>
  <c r="B260" i="5"/>
  <c r="B259" i="5"/>
  <c r="B257" i="5"/>
  <c r="B256" i="5"/>
  <c r="B255" i="5"/>
  <c r="B254" i="5"/>
  <c r="B253" i="5"/>
  <c r="B35" i="5"/>
  <c r="B28" i="5"/>
  <c r="K71" i="3"/>
  <c r="E71" i="3"/>
  <c r="Q71" i="3"/>
  <c r="H71" i="3"/>
  <c r="N71" i="3"/>
  <c r="B71" i="3"/>
  <c r="N70" i="3"/>
  <c r="Q70" i="3"/>
  <c r="B69" i="3"/>
  <c r="N69" i="3"/>
  <c r="K69" i="3"/>
  <c r="E69" i="3"/>
  <c r="Q69" i="3"/>
  <c r="H69" i="3"/>
  <c r="N68" i="3"/>
  <c r="H68" i="3"/>
  <c r="K68" i="3"/>
  <c r="E68" i="3"/>
  <c r="Q68" i="3"/>
  <c r="K60" i="3"/>
  <c r="H55" i="3"/>
  <c r="E55" i="3"/>
  <c r="B55" i="3"/>
  <c r="K55" i="3"/>
  <c r="F65" i="3"/>
  <c r="S65" i="3"/>
  <c r="R65" i="3" s="1"/>
  <c r="S64" i="3"/>
  <c r="R64" i="3" s="1"/>
  <c r="F64" i="3"/>
  <c r="S63" i="3"/>
  <c r="R63" i="3" s="1"/>
  <c r="F63" i="3"/>
  <c r="Q64" i="3"/>
  <c r="E64" i="3"/>
  <c r="N64" i="3"/>
  <c r="H64" i="3"/>
  <c r="K64" i="3"/>
  <c r="H45" i="3"/>
  <c r="E47" i="3"/>
  <c r="B47" i="3"/>
  <c r="H61" i="3"/>
  <c r="B61" i="3"/>
  <c r="K61" i="3"/>
  <c r="E61" i="3"/>
  <c r="N61" i="3"/>
  <c r="Q61" i="3"/>
  <c r="Q54" i="3"/>
  <c r="Q60" i="3"/>
  <c r="N60" i="3"/>
  <c r="E40" i="3"/>
  <c r="B40" i="3"/>
  <c r="Q47" i="3"/>
  <c r="K52" i="3"/>
  <c r="N52" i="3"/>
  <c r="E52" i="3"/>
  <c r="Q52" i="3"/>
  <c r="H52" i="3"/>
  <c r="B52" i="3"/>
  <c r="Q49" i="3"/>
  <c r="N49" i="3"/>
  <c r="K49" i="3"/>
  <c r="H49" i="3"/>
  <c r="E49" i="3"/>
  <c r="B49" i="3"/>
  <c r="Q39" i="3"/>
  <c r="K39" i="3"/>
  <c r="N39" i="3"/>
  <c r="Q55" i="3"/>
  <c r="N55" i="3"/>
  <c r="Q53" i="3"/>
  <c r="K53" i="3"/>
  <c r="N53" i="3"/>
  <c r="N45" i="3"/>
  <c r="Q45" i="3"/>
  <c r="K45" i="3"/>
  <c r="K38" i="3"/>
  <c r="N38" i="3"/>
  <c r="E38" i="3"/>
  <c r="Q38" i="3"/>
  <c r="H38" i="3"/>
  <c r="B38" i="3"/>
  <c r="Q40" i="3"/>
  <c r="K40" i="3"/>
  <c r="H40" i="3"/>
  <c r="N40" i="3"/>
  <c r="K36" i="3"/>
  <c r="H36" i="3"/>
  <c r="B36" i="3"/>
  <c r="E36" i="3"/>
  <c r="Q43" i="3"/>
  <c r="E43" i="3"/>
  <c r="K43" i="3"/>
  <c r="N43" i="3"/>
  <c r="B42" i="3"/>
  <c r="K42" i="3"/>
  <c r="Q41" i="3"/>
  <c r="Q42" i="3"/>
  <c r="H42" i="3"/>
  <c r="N42" i="3"/>
  <c r="H41" i="3"/>
  <c r="K41" i="3"/>
  <c r="N41" i="3"/>
  <c r="B41" i="3"/>
  <c r="Q33" i="3"/>
  <c r="N33" i="3"/>
  <c r="K33" i="3"/>
  <c r="H33" i="3"/>
  <c r="E33" i="3"/>
  <c r="B33" i="3"/>
  <c r="Q26" i="3"/>
  <c r="N26" i="3"/>
  <c r="Q22" i="3"/>
  <c r="N22" i="3"/>
  <c r="K22" i="3"/>
  <c r="H22" i="3"/>
  <c r="E22" i="3"/>
  <c r="B22" i="3"/>
  <c r="K32" i="3"/>
  <c r="Q32" i="3"/>
  <c r="H28" i="3"/>
  <c r="E28" i="3"/>
  <c r="B28" i="3"/>
  <c r="Q36" i="3"/>
  <c r="N36" i="3"/>
  <c r="N35" i="3"/>
  <c r="B35" i="3"/>
  <c r="Q35" i="3"/>
  <c r="E35" i="3"/>
  <c r="K35" i="3"/>
  <c r="H35" i="3"/>
  <c r="Q34" i="3"/>
  <c r="N34" i="3"/>
  <c r="K34" i="3"/>
  <c r="H34" i="3"/>
  <c r="E34" i="3"/>
  <c r="B34" i="3"/>
  <c r="Q25" i="3"/>
  <c r="N25" i="3"/>
  <c r="B24" i="3"/>
  <c r="N24" i="3"/>
  <c r="Q24" i="3"/>
  <c r="N6" i="3"/>
  <c r="N30" i="3"/>
  <c r="B30" i="3"/>
  <c r="K30" i="3"/>
  <c r="Q30" i="3"/>
  <c r="H30" i="3"/>
  <c r="E30" i="3"/>
  <c r="K13" i="3"/>
  <c r="Q13" i="3"/>
  <c r="Q12" i="3"/>
  <c r="N12" i="3"/>
  <c r="H12" i="3"/>
  <c r="E12" i="3"/>
  <c r="K12" i="3"/>
  <c r="B12" i="3"/>
  <c r="Q11" i="3"/>
  <c r="K11" i="3"/>
  <c r="K10" i="3"/>
  <c r="Q10" i="3"/>
  <c r="Q9" i="3"/>
  <c r="K9" i="3"/>
  <c r="K8" i="3"/>
  <c r="Q8" i="3"/>
  <c r="N7" i="3"/>
  <c r="H7" i="3"/>
  <c r="K7" i="3"/>
  <c r="Q7" i="3"/>
  <c r="B7" i="3"/>
  <c r="E7" i="3"/>
  <c r="N17" i="3"/>
  <c r="H17" i="3"/>
  <c r="Q17" i="3"/>
  <c r="B17" i="3"/>
  <c r="K17" i="3"/>
  <c r="E17" i="3"/>
  <c r="Q16" i="3"/>
  <c r="K16" i="3"/>
  <c r="Q15" i="3"/>
  <c r="K15" i="3"/>
  <c r="Q14" i="3"/>
  <c r="K14" i="3"/>
  <c r="Q20" i="3"/>
  <c r="K20" i="3"/>
  <c r="K19" i="3"/>
  <c r="Q19" i="3"/>
  <c r="K18" i="3"/>
  <c r="Q18" i="3"/>
  <c r="Q6" i="3"/>
  <c r="K6" i="3"/>
  <c r="N28" i="3"/>
  <c r="Q28" i="3"/>
  <c r="K28" i="3"/>
  <c r="Q27" i="3"/>
  <c r="N27" i="3"/>
  <c r="K27" i="3"/>
  <c r="H27" i="3"/>
  <c r="E27" i="3"/>
  <c r="B27" i="3"/>
  <c r="H20" i="3"/>
  <c r="N20" i="3"/>
  <c r="H19" i="3"/>
  <c r="N19" i="3"/>
  <c r="H18" i="3"/>
  <c r="N18" i="3"/>
  <c r="N16" i="3"/>
  <c r="B16" i="3"/>
  <c r="H16" i="3"/>
  <c r="E16" i="3"/>
  <c r="B15" i="3"/>
  <c r="H15" i="3"/>
  <c r="N15" i="3"/>
  <c r="E15" i="3"/>
  <c r="H14" i="3"/>
  <c r="B14" i="3"/>
  <c r="N14" i="3"/>
  <c r="E14" i="3"/>
  <c r="N13" i="3"/>
  <c r="E13" i="3"/>
  <c r="H13" i="3"/>
  <c r="B13" i="3"/>
  <c r="H11" i="3"/>
  <c r="B11" i="3"/>
  <c r="E11" i="3"/>
  <c r="N11" i="3"/>
  <c r="H10" i="3"/>
  <c r="B10" i="3"/>
  <c r="N10" i="3"/>
  <c r="E10" i="3"/>
  <c r="N9" i="3"/>
  <c r="H9" i="3"/>
  <c r="B9" i="3"/>
  <c r="E9" i="3"/>
  <c r="N8" i="3"/>
  <c r="H8" i="3"/>
  <c r="E8" i="3"/>
  <c r="B8" i="3"/>
  <c r="H6" i="3"/>
  <c r="B20" i="3"/>
  <c r="E20" i="3"/>
  <c r="B19" i="3"/>
  <c r="E19" i="3"/>
  <c r="B18" i="3"/>
  <c r="E18" i="3"/>
  <c r="B6" i="3"/>
  <c r="E6" i="3"/>
  <c r="B57" i="2"/>
  <c r="B44" i="2"/>
  <c r="B46" i="2"/>
  <c r="B45" i="2"/>
  <c r="B7" i="2"/>
  <c r="B38" i="2"/>
  <c r="B24" i="2"/>
  <c r="B48" i="2"/>
  <c r="B47" i="2"/>
  <c r="B39" i="2"/>
  <c r="B33" i="2"/>
  <c r="B26" i="2"/>
  <c r="B25" i="2"/>
  <c r="B21" i="2"/>
  <c r="B41" i="2"/>
  <c r="B40" i="2"/>
  <c r="B28" i="2"/>
  <c r="B27" i="2"/>
  <c r="B12" i="2"/>
  <c r="B18" i="2"/>
  <c r="B14" i="2"/>
  <c r="B13" i="2"/>
  <c r="B15" i="2"/>
  <c r="B22" i="2"/>
  <c r="B20" i="2"/>
  <c r="B23" i="2"/>
  <c r="B19" i="2"/>
  <c r="B8" i="2"/>
  <c r="B17" i="2"/>
  <c r="B11" i="2"/>
  <c r="B9" i="2"/>
  <c r="B10" i="2"/>
  <c r="B6" i="2"/>
  <c r="B5" i="2"/>
  <c r="B4" i="2"/>
</calcChain>
</file>

<file path=xl/sharedStrings.xml><?xml version="1.0" encoding="utf-8"?>
<sst xmlns="http://schemas.openxmlformats.org/spreadsheetml/2006/main" count="4412" uniqueCount="392">
  <si>
    <t>name</t>
  </si>
  <si>
    <t>value</t>
  </si>
  <si>
    <t>property</t>
  </si>
  <si>
    <t>category</t>
  </si>
  <si>
    <t>maptype</t>
  </si>
  <si>
    <t>high contrast</t>
  </si>
  <si>
    <t>color</t>
  </si>
  <si>
    <t>mtb:scale</t>
  </si>
  <si>
    <t>prop. detail</t>
  </si>
  <si>
    <t>0-</t>
  </si>
  <si>
    <t>def</t>
  </si>
  <si>
    <t>hc</t>
  </si>
  <si>
    <t>cycleway</t>
  </si>
  <si>
    <t>line</t>
  </si>
  <si>
    <t>water</t>
  </si>
  <si>
    <t>input</t>
  </si>
  <si>
    <t>motorway</t>
  </si>
  <si>
    <t>case</t>
  </si>
  <si>
    <t>trunk</t>
  </si>
  <si>
    <t>prop.detail2</t>
  </si>
  <si>
    <t>farzoom</t>
  </si>
  <si>
    <t>unpaved</t>
  </si>
  <si>
    <t>gr</t>
  </si>
  <si>
    <t>bicycle_no</t>
  </si>
  <si>
    <t>paved_or_uk</t>
  </si>
  <si>
    <t>primary</t>
  </si>
  <si>
    <t>tertiary</t>
  </si>
  <si>
    <t>secondary</t>
  </si>
  <si>
    <t>raceway</t>
  </si>
  <si>
    <t>driveway</t>
  </si>
  <si>
    <t>service</t>
  </si>
  <si>
    <t>minor</t>
  </si>
  <si>
    <t>trunk_primary_secondary_tertiary_link</t>
  </si>
  <si>
    <t>motorway_link</t>
  </si>
  <si>
    <t>footway</t>
  </si>
  <si>
    <t>obstacle</t>
  </si>
  <si>
    <t>vegetation</t>
  </si>
  <si>
    <t>surface</t>
  </si>
  <si>
    <t>mud</t>
  </si>
  <si>
    <t>marker lines</t>
  </si>
  <si>
    <t>access</t>
  </si>
  <si>
    <t>no</t>
  </si>
  <si>
    <t>discouraged</t>
  </si>
  <si>
    <t>roads: motorway</t>
  </si>
  <si>
    <t>roads: major</t>
  </si>
  <si>
    <t>roads: trunk</t>
  </si>
  <si>
    <t>field</t>
  </si>
  <si>
    <t>meadow</t>
  </si>
  <si>
    <t>bare_rock</t>
  </si>
  <si>
    <t>sand</t>
  </si>
  <si>
    <t>allotments</t>
  </si>
  <si>
    <t>landcover</t>
  </si>
  <si>
    <t>heath_fell</t>
  </si>
  <si>
    <t>grass</t>
  </si>
  <si>
    <t>quarry</t>
  </si>
  <si>
    <t>storage</t>
  </si>
  <si>
    <t>wood</t>
  </si>
  <si>
    <t>parking_area</t>
  </si>
  <si>
    <t>railway</t>
  </si>
  <si>
    <t>school</t>
  </si>
  <si>
    <t>hospital</t>
  </si>
  <si>
    <t>cemetery</t>
  </si>
  <si>
    <t>industrial</t>
  </si>
  <si>
    <t>commercial</t>
  </si>
  <si>
    <t>residential</t>
  </si>
  <si>
    <t>built-up</t>
  </si>
  <si>
    <t>background</t>
  </si>
  <si>
    <t>contours</t>
  </si>
  <si>
    <t>paths</t>
  </si>
  <si>
    <t>zoom</t>
  </si>
  <si>
    <t>z11</t>
  </si>
  <si>
    <t>path</t>
  </si>
  <si>
    <t>narrow</t>
  </si>
  <si>
    <t>prop. detail2</t>
  </si>
  <si>
    <t>z14</t>
  </si>
  <si>
    <t>z16</t>
  </si>
  <si>
    <t>z18</t>
  </si>
  <si>
    <t>wide</t>
  </si>
  <si>
    <t>case_width</t>
  </si>
  <si>
    <t>medium</t>
  </si>
  <si>
    <t>1.0</t>
  </si>
  <si>
    <t>1.3</t>
  </si>
  <si>
    <t>3.5</t>
  </si>
  <si>
    <t>5.0</t>
  </si>
  <si>
    <t>1.5</t>
  </si>
  <si>
    <t>2.0</t>
  </si>
  <si>
    <t>6.0</t>
  </si>
  <si>
    <t>9.0</t>
  </si>
  <si>
    <t>3.0</t>
  </si>
  <si>
    <t>15.0</t>
  </si>
  <si>
    <t>2.5</t>
  </si>
  <si>
    <t>7.5</t>
  </si>
  <si>
    <t>4.0</t>
  </si>
  <si>
    <t>13.5</t>
  </si>
  <si>
    <t>22.5</t>
  </si>
  <si>
    <t>0.5</t>
  </si>
  <si>
    <t>0.8</t>
  </si>
  <si>
    <t>1.2</t>
  </si>
  <si>
    <t>1.6</t>
  </si>
  <si>
    <t>2.4</t>
  </si>
  <si>
    <t>3.6</t>
  </si>
  <si>
    <t>tracks</t>
  </si>
  <si>
    <t>track</t>
  </si>
  <si>
    <t>z10</t>
  </si>
  <si>
    <t>mtb</t>
  </si>
  <si>
    <t>mtb-hc</t>
  </si>
  <si>
    <t>gr-hc</t>
  </si>
  <si>
    <t>wnt</t>
  </si>
  <si>
    <t>wnt-hc</t>
  </si>
  <si>
    <t>z12</t>
  </si>
  <si>
    <t>1.1</t>
  </si>
  <si>
    <t>1.7</t>
  </si>
  <si>
    <t>2.2</t>
  </si>
  <si>
    <t>4.8</t>
  </si>
  <si>
    <t>3.4</t>
  </si>
  <si>
    <t>0.7</t>
  </si>
  <si>
    <t>0.9</t>
  </si>
  <si>
    <t>path cases</t>
  </si>
  <si>
    <t>path lines</t>
  </si>
  <si>
    <t>line_width</t>
  </si>
  <si>
    <t>0.4</t>
  </si>
  <si>
    <t>2.3</t>
  </si>
  <si>
    <t>0.6</t>
  </si>
  <si>
    <t>1.8</t>
  </si>
  <si>
    <t>0.3</t>
  </si>
  <si>
    <t>3.1</t>
  </si>
  <si>
    <t>2.7</t>
  </si>
  <si>
    <t>5.2</t>
  </si>
  <si>
    <t>4.5</t>
  </si>
  <si>
    <t>8.2</t>
  </si>
  <si>
    <t>track cases</t>
  </si>
  <si>
    <t>3.2</t>
  </si>
  <si>
    <t>4.4</t>
  </si>
  <si>
    <t>track lines</t>
  </si>
  <si>
    <t>7.0</t>
  </si>
  <si>
    <t>10.5</t>
  </si>
  <si>
    <t>motorway cases</t>
  </si>
  <si>
    <t>z5</t>
  </si>
  <si>
    <t>z6</t>
  </si>
  <si>
    <t>z20</t>
  </si>
  <si>
    <t>CELLS WITH MANUAL INPUT BOLDED, ALL ELSE USE FORMULAS</t>
  </si>
  <si>
    <t>22.0</t>
  </si>
  <si>
    <t>36.0</t>
  </si>
  <si>
    <t>motorway lines</t>
  </si>
  <si>
    <t>z7</t>
  </si>
  <si>
    <t>18.0</t>
  </si>
  <si>
    <t>24.0</t>
  </si>
  <si>
    <t>trunk cases</t>
  </si>
  <si>
    <t>trunk lines</t>
  </si>
  <si>
    <t>4.6</t>
  </si>
  <si>
    <t>regular</t>
  </si>
  <si>
    <t>mtb_light</t>
  </si>
  <si>
    <t>mtb_dark</t>
  </si>
  <si>
    <t>mtb_hc_light</t>
  </si>
  <si>
    <t>mtb_hc_dark</t>
  </si>
  <si>
    <t>gravel</t>
  </si>
  <si>
    <t>gravel_light</t>
  </si>
  <si>
    <t>gravel_dark</t>
  </si>
  <si>
    <t>gravel_hc_light</t>
  </si>
  <si>
    <t>gravel_hc_dark</t>
  </si>
  <si>
    <t>road</t>
  </si>
  <si>
    <t>road_light</t>
  </si>
  <si>
    <t>road_dark</t>
  </si>
  <si>
    <t>road_hc_light</t>
  </si>
  <si>
    <t>road_hc_dark</t>
  </si>
  <si>
    <t>winter</t>
  </si>
  <si>
    <t>winter_light</t>
  </si>
  <si>
    <t>winter_dark</t>
  </si>
  <si>
    <t>winter_hc_light</t>
  </si>
  <si>
    <t>winter_hc_dark</t>
  </si>
  <si>
    <t>"#0ac5a0"</t>
  </si>
  <si>
    <t>"#75e009"</t>
  </si>
  <si>
    <t>"#d7dc00"</t>
  </si>
  <si>
    <t>"#feb13e"</t>
  </si>
  <si>
    <t>"#ff4f5e"</t>
  </si>
  <si>
    <t>"#e50bdd"</t>
  </si>
  <si>
    <t>"#9600c8"</t>
  </si>
  <si>
    <t>"#8100ac"</t>
  </si>
  <si>
    <t>"#00c7b0"</t>
  </si>
  <si>
    <t>"#66cc00"</t>
  </si>
  <si>
    <t>"#c5c900"</t>
  </si>
  <si>
    <t>"#f09000"</t>
  </si>
  <si>
    <t>"#d600ce"</t>
  </si>
  <si>
    <t>"#7a3391"</t>
  </si>
  <si>
    <t>"#593266"</t>
  </si>
  <si>
    <t>"#3046d7"</t>
  </si>
  <si>
    <t>"#a43820"</t>
  </si>
  <si>
    <t>"#4a9100"</t>
  </si>
  <si>
    <t>"#0e84ed"</t>
  </si>
  <si>
    <t>"#ff003d"</t>
  </si>
  <si>
    <t>"#ff6a00"</t>
  </si>
  <si>
    <t>"#916f4c"</t>
  </si>
  <si>
    <t>"#f7f4f0"</t>
  </si>
  <si>
    <t>"#bfd9f2"</t>
  </si>
  <si>
    <t>"#8aa0b5"</t>
  </si>
  <si>
    <t>"#f7eeb7"</t>
  </si>
  <si>
    <t>"#f5e9a4"</t>
  </si>
  <si>
    <t>"#edf2bb"</t>
  </si>
  <si>
    <t>"#e6eda1"</t>
  </si>
  <si>
    <t>"#d6d6d6"</t>
  </si>
  <si>
    <t>"#f5eebc"</t>
  </si>
  <si>
    <t>"#dee7c5"</t>
  </si>
  <si>
    <t>"#f2f5e9"</t>
  </si>
  <si>
    <t>"#e5f4d5"</t>
  </si>
  <si>
    <t>"#d7d3ce"</t>
  </si>
  <si>
    <t>"#ebe2dd"</t>
  </si>
  <si>
    <t>"#e9eddf"</t>
  </si>
  <si>
    <t>"#e6e6e6"</t>
  </si>
  <si>
    <t>"#eae6e1"</t>
  </si>
  <si>
    <t>"#e0e4dd"</t>
  </si>
  <si>
    <t>"#ebe0d6"</t>
  </si>
  <si>
    <t>"#bf440f"</t>
  </si>
  <si>
    <t>"#a15412"</t>
  </si>
  <si>
    <t>"#ffcc88"</t>
  </si>
  <si>
    <t>"#000000"</t>
  </si>
  <si>
    <t>"#d6771e"</t>
  </si>
  <si>
    <r>
      <t xml:space="preserve">Direct input values </t>
    </r>
    <r>
      <rPr>
        <b/>
        <sz val="10"/>
        <color theme="1"/>
        <rFont val="Aptos"/>
        <family val="2"/>
      </rPr>
      <t>bolded</t>
    </r>
    <r>
      <rPr>
        <sz val="10"/>
        <color theme="1"/>
        <rFont val="Aptos"/>
        <family val="2"/>
      </rPr>
      <t>. Non-bolded values obtained via formula from another cell.</t>
    </r>
  </si>
  <si>
    <t>"#634507"</t>
  </si>
  <si>
    <t>"#404040"</t>
  </si>
  <si>
    <t>light</t>
  </si>
  <si>
    <t>dark</t>
  </si>
  <si>
    <t>"#eddfca"</t>
  </si>
  <si>
    <t>"#ffffff"</t>
  </si>
  <si>
    <t>roads: minor</t>
  </si>
  <si>
    <t>roads: link</t>
  </si>
  <si>
    <t>mtb:winter</t>
  </si>
  <si>
    <t>"#bd430f"</t>
  </si>
  <si>
    <t>"#b99346"</t>
  </si>
  <si>
    <t>"#808080"</t>
  </si>
  <si>
    <t>"#644507"</t>
  </si>
  <si>
    <t>"#595959"</t>
  </si>
  <si>
    <t>"#ffcc8a"</t>
  </si>
  <si>
    <t>"#af9564"</t>
  </si>
  <si>
    <t>"#a8a6a4"</t>
  </si>
  <si>
    <t>"#4a4a4a"</t>
  </si>
  <si>
    <t>"#4f5c68"</t>
  </si>
  <si>
    <t>"#0E1009"</t>
  </si>
  <si>
    <t>"#373B13"</t>
  </si>
  <si>
    <t>"#1F1C08"</t>
  </si>
  <si>
    <t>ice_shelf</t>
  </si>
  <si>
    <t>sport_play</t>
  </si>
  <si>
    <t>"#cadfb3"</t>
  </si>
  <si>
    <t>"#181818"</t>
  </si>
  <si>
    <t>"#242217"</t>
  </si>
  <si>
    <t>"#2B3215"</t>
  </si>
  <si>
    <t>"#33332E"</t>
  </si>
  <si>
    <t>"#383633"</t>
  </si>
  <si>
    <t>"#474747"</t>
  </si>
  <si>
    <t>"#3B3936"</t>
  </si>
  <si>
    <t>"#3D403B"</t>
  </si>
  <si>
    <t>"#171717"</t>
  </si>
  <si>
    <t>"#363D2E"</t>
  </si>
  <si>
    <t>landcovers</t>
  </si>
  <si>
    <t>building</t>
  </si>
  <si>
    <t>"#303030"</t>
  </si>
  <si>
    <t>generic</t>
  </si>
  <si>
    <t>"#bcbab8"</t>
  </si>
  <si>
    <t>"#a8a6a3"</t>
  </si>
  <si>
    <t>top</t>
  </si>
  <si>
    <t>area</t>
  </si>
  <si>
    <t>"#24211f"</t>
  </si>
  <si>
    <t>"#e0d0c2"</t>
  </si>
  <si>
    <t>default</t>
  </si>
  <si>
    <t>glacier</t>
  </si>
  <si>
    <t>sprite</t>
  </si>
  <si>
    <t>@sprite</t>
  </si>
  <si>
    <t>linked elements</t>
  </si>
  <si>
    <t>sprite_dark</t>
  </si>
  <si>
    <t>constructs and natural features</t>
  </si>
  <si>
    <t>"#5f472f"</t>
  </si>
  <si>
    <t>cliff</t>
  </si>
  <si>
    <t>label</t>
  </si>
  <si>
    <t>parking</t>
  </si>
  <si>
    <t>yes</t>
  </si>
  <si>
    <t>"#ff003c"</t>
  </si>
  <si>
    <t>"#1d201b"</t>
  </si>
  <si>
    <t>place</t>
  </si>
  <si>
    <t>other</t>
  </si>
  <si>
    <t>"#262626"</t>
  </si>
  <si>
    <t>"#d9d9d9"</t>
  </si>
  <si>
    <t>label_halo</t>
  </si>
  <si>
    <t>"#cccccc"</t>
  </si>
  <si>
    <t>"#333333"</t>
  </si>
  <si>
    <t>suburb_hamlet</t>
  </si>
  <si>
    <t>village</t>
  </si>
  <si>
    <t>town</t>
  </si>
  <si>
    <t>city</t>
  </si>
  <si>
    <t>capital</t>
  </si>
  <si>
    <t>text</t>
  </si>
  <si>
    <t>highway</t>
  </si>
  <si>
    <t>"#3c322a"</t>
  </si>
  <si>
    <t>"#d5cbc3"</t>
  </si>
  <si>
    <t>trunk_primary_secondary_tertiary</t>
  </si>
  <si>
    <t>peak</t>
  </si>
  <si>
    <t>"#212121"</t>
  </si>
  <si>
    <t>"#dedede"</t>
  </si>
  <si>
    <t>widest</t>
  </si>
  <si>
    <t>null</t>
  </si>
  <si>
    <t>protected_area</t>
  </si>
  <si>
    <t>"#666666"</t>
  </si>
  <si>
    <t>"#999999"</t>
  </si>
  <si>
    <t>state</t>
  </si>
  <si>
    <t>"#663333"</t>
  </si>
  <si>
    <t>"#cc9999"</t>
  </si>
  <si>
    <t>"#323243"</t>
  </si>
  <si>
    <t>"#bcbccd"</t>
  </si>
  <si>
    <t>poi-level_123_and_additions_farzoom</t>
  </si>
  <si>
    <t>poi-level_123_and_additions_default</t>
  </si>
  <si>
    <t>poi-level_123_and_additions</t>
  </si>
  <si>
    <t>textsize</t>
  </si>
  <si>
    <t>prop.detail3</t>
  </si>
  <si>
    <t>major</t>
  </si>
  <si>
    <t>country</t>
  </si>
  <si>
    <t>5.5</t>
  </si>
  <si>
    <t>water_contours</t>
  </si>
  <si>
    <t>"#6aa6e2"</t>
  </si>
  <si>
    <t>"#263340"</t>
  </si>
  <si>
    <t>over6000</t>
  </si>
  <si>
    <t>"#72abe3"</t>
  </si>
  <si>
    <t>"#7fb2e6"</t>
  </si>
  <si>
    <t>"#95bfea"</t>
  </si>
  <si>
    <t>"#a1c7ec"</t>
  </si>
  <si>
    <t>"#afcfef"</t>
  </si>
  <si>
    <t>"#bbd6f2"</t>
  </si>
  <si>
    <t>water_shipping_lane</t>
  </si>
  <si>
    <t>ditch</t>
  </si>
  <si>
    <t>stream</t>
  </si>
  <si>
    <t>8.0</t>
  </si>
  <si>
    <t>14.0</t>
  </si>
  <si>
    <t>canal</t>
  </si>
  <si>
    <t>z13</t>
  </si>
  <si>
    <t>river</t>
  </si>
  <si>
    <t>12.0</t>
  </si>
  <si>
    <t>path and track cases</t>
  </si>
  <si>
    <t>path and track lines</t>
  </si>
  <si>
    <t>cycleway and footway lines</t>
  </si>
  <si>
    <t>cycleway and footway cases</t>
  </si>
  <si>
    <t>z15</t>
  </si>
  <si>
    <t>13.0</t>
  </si>
  <si>
    <t>16.0</t>
  </si>
  <si>
    <t>8.5</t>
  </si>
  <si>
    <t>10.0</t>
  </si>
  <si>
    <t>railings</t>
  </si>
  <si>
    <t>floor</t>
  </si>
  <si>
    <t>3.7</t>
  </si>
  <si>
    <t>9.5</t>
  </si>
  <si>
    <t>19.0</t>
  </si>
  <si>
    <t>12.5</t>
  </si>
  <si>
    <t>21.0</t>
  </si>
  <si>
    <t>path_track_footway_cycleway</t>
  </si>
  <si>
    <t>2.8</t>
  </si>
  <si>
    <t>3.3</t>
  </si>
  <si>
    <t>4.2</t>
  </si>
  <si>
    <t>1.4</t>
  </si>
  <si>
    <t>2.9</t>
  </si>
  <si>
    <t>line_offset</t>
  </si>
  <si>
    <t>left</t>
  </si>
  <si>
    <t>-11.0</t>
  </si>
  <si>
    <t>-7.0</t>
  </si>
  <si>
    <t>-3.0</t>
  </si>
  <si>
    <t>-4.0</t>
  </si>
  <si>
    <t>-8.0</t>
  </si>
  <si>
    <t>-16.0</t>
  </si>
  <si>
    <t>-1.5</t>
  </si>
  <si>
    <t>-2.0</t>
  </si>
  <si>
    <t>right</t>
  </si>
  <si>
    <t>11.0</t>
  </si>
  <si>
    <t>"#4d4d4d"</t>
  </si>
  <si>
    <t>"#f5e9a3"</t>
  </si>
  <si>
    <t>"#e5eda1"</t>
  </si>
  <si>
    <t>busway</t>
  </si>
  <si>
    <t>fill opacities</t>
  </si>
  <si>
    <t>fill-opacity</t>
  </si>
  <si>
    <t>scrub</t>
  </si>
  <si>
    <t>full</t>
  </si>
  <si>
    <t>mid</t>
  </si>
  <si>
    <t>0.25</t>
  </si>
  <si>
    <t>0.15</t>
  </si>
  <si>
    <t>wetland</t>
  </si>
  <si>
    <t>portected_area</t>
  </si>
  <si>
    <t>outline-inner</t>
  </si>
  <si>
    <t>0.2</t>
  </si>
  <si>
    <t>0.1</t>
  </si>
  <si>
    <t>outline-outer</t>
  </si>
  <si>
    <t>clearcut</t>
  </si>
  <si>
    <t>landuse</t>
  </si>
  <si>
    <t>dasharray</t>
  </si>
  <si>
    <t>rough</t>
  </si>
  <si>
    <t>dash</t>
  </si>
  <si>
    <t>gap</t>
  </si>
  <si>
    <t>0.0</t>
  </si>
  <si>
    <t>// Zero gaps for dasharrays used to make lines continuous in styles that don't distinguish between surface roughness. Avoids having to create separate layers.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</si>
</sst>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0"/>
      <color theme="1"/>
      <name val="Aptos"/>
      <family val="2"/>
    </font>
    <font>
      <b/>
      <sz val="10"/>
      <color theme="1"/>
      <name val="Aptos"/>
      <family val="2"/>
    </font>
    <font>
      <b/>
      <sz val="10"/>
      <color theme="0" tint="-0.249977111117893"/>
      <name val="Aptos"/>
      <family val="2"/>
    </font>
    <font>
      <sz val="10"/>
      <color theme="0" tint="-0.249977111117893"/>
      <name val="Aptos"/>
      <family val="2"/>
    </font>
    <font>
      <sz val="10"/>
      <name val="Aptos"/>
      <family val="2"/>
    </font>
    <font>
      <sz val="10"/>
      <color theme="1" tint="0.499984740745262"/>
      <name val="Aptos"/>
      <family val="2"/>
    </font>
  </fonts>
  <fills count="110">
    <fill>
      <patternFill patternType="none"/>
    </fill>
    <fill>
      <patternFill patternType="gray125"/>
    </fill>
    <fill>
      <patternFill patternType="solid">
        <fgColor rgb="FF0AC5A0"/>
        <bgColor indexed="64"/>
      </patternFill>
    </fill>
    <fill>
      <patternFill patternType="solid">
        <fgColor rgb="FF75E009"/>
        <bgColor indexed="64"/>
      </patternFill>
    </fill>
    <fill>
      <patternFill patternType="solid">
        <fgColor rgb="FFD7DC00"/>
        <bgColor indexed="64"/>
      </patternFill>
    </fill>
    <fill>
      <patternFill patternType="solid">
        <fgColor rgb="FFFEB13E"/>
        <bgColor indexed="64"/>
      </patternFill>
    </fill>
    <fill>
      <patternFill patternType="solid">
        <fgColor rgb="FFFF4F5E"/>
        <bgColor indexed="64"/>
      </patternFill>
    </fill>
    <fill>
      <patternFill patternType="solid">
        <fgColor rgb="FFE50BDD"/>
        <bgColor indexed="64"/>
      </patternFill>
    </fill>
    <fill>
      <patternFill patternType="solid">
        <fgColor rgb="FF9600C8"/>
        <bgColor indexed="64"/>
      </patternFill>
    </fill>
    <fill>
      <patternFill patternType="solid">
        <fgColor rgb="FF8100AC"/>
        <bgColor indexed="64"/>
      </patternFill>
    </fill>
    <fill>
      <patternFill patternType="solid">
        <fgColor rgb="FF00C7B0"/>
        <bgColor indexed="64"/>
      </patternFill>
    </fill>
    <fill>
      <patternFill patternType="solid">
        <fgColor rgb="FF66CC00"/>
        <bgColor indexed="64"/>
      </patternFill>
    </fill>
    <fill>
      <patternFill patternType="solid">
        <fgColor rgb="FFC5C900"/>
        <bgColor indexed="64"/>
      </patternFill>
    </fill>
    <fill>
      <patternFill patternType="solid">
        <fgColor rgb="FFF09000"/>
        <bgColor indexed="64"/>
      </patternFill>
    </fill>
    <fill>
      <patternFill patternType="solid">
        <fgColor rgb="FFD600CE"/>
        <bgColor indexed="64"/>
      </patternFill>
    </fill>
    <fill>
      <patternFill patternType="solid">
        <fgColor rgb="FF7A3391"/>
        <bgColor indexed="64"/>
      </patternFill>
    </fill>
    <fill>
      <patternFill patternType="solid">
        <fgColor rgb="FF593266"/>
        <bgColor indexed="64"/>
      </patternFill>
    </fill>
    <fill>
      <patternFill patternType="solid">
        <fgColor rgb="FF3046D7"/>
        <bgColor indexed="64"/>
      </patternFill>
    </fill>
    <fill>
      <patternFill patternType="solid">
        <fgColor rgb="FFBFD9F2"/>
        <bgColor indexed="64"/>
      </patternFill>
    </fill>
    <fill>
      <patternFill patternType="solid">
        <fgColor rgb="FF8AA0B5"/>
        <bgColor indexed="64"/>
      </patternFill>
    </fill>
    <fill>
      <patternFill patternType="solid">
        <fgColor rgb="FFFFCC88"/>
        <bgColor indexed="64"/>
      </patternFill>
    </fill>
    <fill>
      <patternFill patternType="solid">
        <fgColor rgb="FFD6771E"/>
        <bgColor indexed="64"/>
      </patternFill>
    </fill>
    <fill>
      <patternFill patternType="solid">
        <fgColor rgb="FFBF440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A15412"/>
        <bgColor indexed="64"/>
      </patternFill>
    </fill>
    <fill>
      <patternFill patternType="solid">
        <fgColor rgb="FF634507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DDFC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A43820"/>
        <bgColor indexed="64"/>
      </patternFill>
    </fill>
    <fill>
      <patternFill patternType="solid">
        <fgColor rgb="FF4A9100"/>
        <bgColor indexed="64"/>
      </patternFill>
    </fill>
    <fill>
      <patternFill patternType="solid">
        <fgColor rgb="FF0E84ED"/>
        <bgColor indexed="64"/>
      </patternFill>
    </fill>
    <fill>
      <patternFill patternType="solid">
        <fgColor rgb="FFFF003D"/>
        <bgColor indexed="64"/>
      </patternFill>
    </fill>
    <fill>
      <patternFill patternType="solid">
        <fgColor rgb="FFFF6A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7EEB7"/>
        <bgColor indexed="64"/>
      </patternFill>
    </fill>
    <fill>
      <patternFill patternType="solid">
        <fgColor rgb="FFEDF2BB"/>
        <bgColor indexed="64"/>
      </patternFill>
    </fill>
    <fill>
      <patternFill patternType="solid">
        <fgColor rgb="FFF5E9A4"/>
        <bgColor indexed="64"/>
      </patternFill>
    </fill>
    <fill>
      <patternFill patternType="solid">
        <fgColor rgb="FFE6EDA1"/>
        <bgColor indexed="64"/>
      </patternFill>
    </fill>
    <fill>
      <patternFill patternType="solid">
        <fgColor rgb="FFD6D6D6"/>
        <bgColor indexed="64"/>
      </patternFill>
    </fill>
    <fill>
      <patternFill patternType="solid">
        <fgColor rgb="FFF5EEBC"/>
        <bgColor indexed="64"/>
      </patternFill>
    </fill>
    <fill>
      <patternFill patternType="solid">
        <fgColor rgb="FFDEE7C5"/>
        <bgColor indexed="64"/>
      </patternFill>
    </fill>
    <fill>
      <patternFill patternType="solid">
        <fgColor rgb="FFF2F5E9"/>
        <bgColor indexed="64"/>
      </patternFill>
    </fill>
    <fill>
      <patternFill patternType="solid">
        <fgColor rgb="FFE5F4D5"/>
        <bgColor indexed="64"/>
      </patternFill>
    </fill>
    <fill>
      <patternFill patternType="solid">
        <fgColor rgb="FFEBE2DD"/>
        <bgColor indexed="64"/>
      </patternFill>
    </fill>
    <fill>
      <patternFill patternType="solid">
        <fgColor rgb="FFD7D3CE"/>
        <bgColor indexed="64"/>
      </patternFill>
    </fill>
    <fill>
      <patternFill patternType="solid">
        <fgColor rgb="FFE9EDDF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EAE6E1"/>
        <bgColor indexed="64"/>
      </patternFill>
    </fill>
    <fill>
      <patternFill patternType="solid">
        <fgColor rgb="FFEBE0D6"/>
        <bgColor indexed="64"/>
      </patternFill>
    </fill>
    <fill>
      <patternFill patternType="solid">
        <fgColor rgb="FFE0E4DD"/>
        <bgColor indexed="64"/>
      </patternFill>
    </fill>
    <fill>
      <patternFill patternType="solid">
        <fgColor rgb="FFF7F4F0"/>
        <bgColor indexed="64"/>
      </patternFill>
    </fill>
    <fill>
      <patternFill patternType="solid">
        <fgColor rgb="FF916F4C"/>
        <bgColor indexed="64"/>
      </patternFill>
    </fill>
    <fill>
      <patternFill patternType="solid">
        <fgColor rgb="FFBD430F"/>
        <bgColor indexed="64"/>
      </patternFill>
    </fill>
    <fill>
      <patternFill patternType="solid">
        <fgColor rgb="FFB99346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44507"/>
        <bgColor indexed="64"/>
      </patternFill>
    </fill>
    <fill>
      <patternFill patternType="solid">
        <fgColor rgb="FF595959"/>
        <bgColor indexed="64"/>
      </patternFill>
    </fill>
    <fill>
      <patternFill patternType="solid">
        <fgColor rgb="FFFFCC8A"/>
        <bgColor indexed="64"/>
      </patternFill>
    </fill>
    <fill>
      <patternFill patternType="solid">
        <fgColor rgb="FFAF9564"/>
        <bgColor indexed="64"/>
      </patternFill>
    </fill>
    <fill>
      <patternFill patternType="solid">
        <fgColor rgb="FFA8A6A4"/>
        <bgColor indexed="64"/>
      </patternFill>
    </fill>
    <fill>
      <patternFill patternType="solid">
        <fgColor rgb="FF4A4A4A"/>
        <bgColor indexed="64"/>
      </patternFill>
    </fill>
    <fill>
      <patternFill patternType="solid">
        <fgColor rgb="FF4F5C68"/>
        <bgColor indexed="64"/>
      </patternFill>
    </fill>
    <fill>
      <patternFill patternType="solid">
        <fgColor rgb="FF0E1009"/>
        <bgColor indexed="64"/>
      </patternFill>
    </fill>
    <fill>
      <patternFill patternType="solid">
        <fgColor rgb="FF373B13"/>
        <bgColor indexed="64"/>
      </patternFill>
    </fill>
    <fill>
      <patternFill patternType="solid">
        <fgColor rgb="FF1F1C08"/>
        <bgColor indexed="64"/>
      </patternFill>
    </fill>
    <fill>
      <patternFill patternType="solid">
        <fgColor rgb="FFCADFB3"/>
        <bgColor indexed="64"/>
      </patternFill>
    </fill>
    <fill>
      <patternFill patternType="solid">
        <fgColor rgb="FF181818"/>
        <bgColor indexed="64"/>
      </patternFill>
    </fill>
    <fill>
      <patternFill patternType="solid">
        <fgColor rgb="FF242217"/>
        <bgColor indexed="64"/>
      </patternFill>
    </fill>
    <fill>
      <patternFill patternType="solid">
        <fgColor rgb="FF2B3215"/>
        <bgColor indexed="64"/>
      </patternFill>
    </fill>
    <fill>
      <patternFill patternType="solid">
        <fgColor rgb="FF33332E"/>
        <bgColor indexed="64"/>
      </patternFill>
    </fill>
    <fill>
      <patternFill patternType="solid">
        <fgColor rgb="FF383633"/>
        <bgColor indexed="64"/>
      </patternFill>
    </fill>
    <fill>
      <patternFill patternType="solid">
        <fgColor rgb="FF474747"/>
        <bgColor indexed="64"/>
      </patternFill>
    </fill>
    <fill>
      <patternFill patternType="solid">
        <fgColor rgb="FF3B3936"/>
        <bgColor indexed="64"/>
      </patternFill>
    </fill>
    <fill>
      <patternFill patternType="solid">
        <fgColor rgb="FF3D403B"/>
        <bgColor indexed="64"/>
      </patternFill>
    </fill>
    <fill>
      <patternFill patternType="solid">
        <fgColor rgb="FF171717"/>
        <bgColor indexed="64"/>
      </patternFill>
    </fill>
    <fill>
      <patternFill patternType="solid">
        <fgColor rgb="FF363D2E"/>
        <bgColor indexed="64"/>
      </patternFill>
    </fill>
    <fill>
      <patternFill patternType="solid">
        <fgColor rgb="FF303030"/>
        <bgColor indexed="64"/>
      </patternFill>
    </fill>
    <fill>
      <patternFill patternType="solid">
        <fgColor rgb="FFBCBAB8"/>
        <bgColor indexed="64"/>
      </patternFill>
    </fill>
    <fill>
      <patternFill patternType="solid">
        <fgColor rgb="FFA8A6A3"/>
        <bgColor indexed="64"/>
      </patternFill>
    </fill>
    <fill>
      <patternFill patternType="solid">
        <fgColor rgb="FF24211F"/>
        <bgColor indexed="64"/>
      </patternFill>
    </fill>
    <fill>
      <patternFill patternType="solid">
        <fgColor rgb="FFE0D0C2"/>
        <bgColor indexed="64"/>
      </patternFill>
    </fill>
    <fill>
      <patternFill patternType="solid">
        <fgColor rgb="FF5F472F"/>
        <bgColor indexed="64"/>
      </patternFill>
    </fill>
    <fill>
      <patternFill patternType="solid">
        <fgColor rgb="FFFF003C"/>
        <bgColor indexed="64"/>
      </patternFill>
    </fill>
    <fill>
      <patternFill patternType="solid">
        <fgColor rgb="FF1D201B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3C322A"/>
        <bgColor indexed="64"/>
      </patternFill>
    </fill>
    <fill>
      <patternFill patternType="solid">
        <fgColor rgb="FFD5CBC3"/>
        <bgColor indexed="64"/>
      </patternFill>
    </fill>
    <fill>
      <patternFill patternType="solid">
        <fgColor rgb="FF212121"/>
        <bgColor indexed="64"/>
      </patternFill>
    </fill>
    <fill>
      <patternFill patternType="solid">
        <fgColor rgb="FFDEDEDE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663333"/>
        <bgColor indexed="64"/>
      </patternFill>
    </fill>
    <fill>
      <patternFill patternType="solid">
        <fgColor rgb="FFCC9999"/>
        <bgColor indexed="64"/>
      </patternFill>
    </fill>
    <fill>
      <patternFill patternType="solid">
        <fgColor rgb="FF323243"/>
        <bgColor indexed="64"/>
      </patternFill>
    </fill>
    <fill>
      <patternFill patternType="solid">
        <fgColor rgb="FFBCBCCD"/>
        <bgColor indexed="64"/>
      </patternFill>
    </fill>
    <fill>
      <patternFill patternType="solid">
        <fgColor rgb="FF6AA6E2"/>
        <bgColor indexed="64"/>
      </patternFill>
    </fill>
    <fill>
      <patternFill patternType="solid">
        <fgColor rgb="FF263340"/>
        <bgColor indexed="64"/>
      </patternFill>
    </fill>
    <fill>
      <patternFill patternType="solid">
        <fgColor rgb="FF72ABE3"/>
        <bgColor indexed="64"/>
      </patternFill>
    </fill>
    <fill>
      <patternFill patternType="solid">
        <fgColor rgb="FF7FB2E6"/>
        <bgColor indexed="64"/>
      </patternFill>
    </fill>
    <fill>
      <patternFill patternType="solid">
        <fgColor rgb="FF95BFEA"/>
        <bgColor indexed="64"/>
      </patternFill>
    </fill>
    <fill>
      <patternFill patternType="solid">
        <fgColor rgb="FFA1C7EC"/>
        <bgColor indexed="64"/>
      </patternFill>
    </fill>
    <fill>
      <patternFill patternType="solid">
        <fgColor rgb="FFAFCFEF"/>
        <bgColor indexed="64"/>
      </patternFill>
    </fill>
    <fill>
      <patternFill patternType="solid">
        <fgColor rgb="FFBBD6F2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F5E9A3"/>
        <bgColor indexed="64"/>
      </patternFill>
    </fill>
    <fill>
      <patternFill patternType="solid">
        <fgColor rgb="FFE5EDA1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 diagonalUp="1" diagonalDown="1">
      <left/>
      <right/>
      <top/>
      <bottom/>
      <diagonal style="thin">
        <color theme="0" tint="-0.24994659260841701"/>
      </diagonal>
    </border>
  </borders>
  <cellStyleXfs count="1">
    <xf numFmtId="0" fontId="0" fillId="0" borderId="0"/>
  </cellStyleXfs>
  <cellXfs count="182">
    <xf numFmtId="0" fontId="0" fillId="0" borderId="0" xfId="0"/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34" borderId="0" xfId="0" applyFont="1" applyFill="1" applyAlignment="1">
      <alignment horizontal="left"/>
    </xf>
    <xf numFmtId="0" fontId="0" fillId="34" borderId="0" xfId="0" applyFill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34" borderId="0" xfId="0" applyNumberFormat="1" applyFill="1" applyAlignment="1">
      <alignment horizontal="left"/>
    </xf>
    <xf numFmtId="49" fontId="0" fillId="0" borderId="0" xfId="0" applyNumberFormat="1" applyAlignment="1">
      <alignment horizontal="left"/>
    </xf>
    <xf numFmtId="49" fontId="1" fillId="0" borderId="1" xfId="0" applyNumberFormat="1" applyFont="1" applyBorder="1" applyAlignment="1">
      <alignment horizontal="left"/>
    </xf>
    <xf numFmtId="0" fontId="1" fillId="0" borderId="2" xfId="0" applyFont="1" applyBorder="1" applyAlignment="1">
      <alignment horizontal="left"/>
    </xf>
    <xf numFmtId="49" fontId="1" fillId="0" borderId="3" xfId="0" applyNumberFormat="1" applyFont="1" applyBorder="1" applyAlignment="1">
      <alignment horizontal="left"/>
    </xf>
    <xf numFmtId="0" fontId="1" fillId="34" borderId="2" xfId="0" applyFont="1" applyFill="1" applyBorder="1" applyAlignment="1">
      <alignment horizontal="left"/>
    </xf>
    <xf numFmtId="49" fontId="0" fillId="34" borderId="3" xfId="0" applyNumberFormat="1" applyFill="1" applyBorder="1" applyAlignment="1">
      <alignment horizontal="left"/>
    </xf>
    <xf numFmtId="49" fontId="0" fillId="34" borderId="1" xfId="0" applyNumberForma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3" xfId="0" applyNumberFormat="1" applyBorder="1" applyAlignment="1">
      <alignment horizontal="left"/>
    </xf>
    <xf numFmtId="49" fontId="2" fillId="0" borderId="0" xfId="0" applyNumberFormat="1" applyFont="1" applyAlignment="1">
      <alignment horizontal="left"/>
    </xf>
    <xf numFmtId="0" fontId="3" fillId="0" borderId="2" xfId="0" applyFont="1" applyBorder="1" applyAlignment="1">
      <alignment horizontal="left"/>
    </xf>
    <xf numFmtId="49" fontId="3" fillId="0" borderId="0" xfId="0" applyNumberFormat="1" applyFont="1" applyAlignment="1">
      <alignment horizontal="left"/>
    </xf>
    <xf numFmtId="0" fontId="3" fillId="0" borderId="1" xfId="0" applyFont="1" applyBorder="1" applyAlignment="1">
      <alignment horizontal="left"/>
    </xf>
    <xf numFmtId="49" fontId="2" fillId="0" borderId="3" xfId="0" applyNumberFormat="1" applyFont="1" applyBorder="1" applyAlignment="1">
      <alignment horizontal="left"/>
    </xf>
    <xf numFmtId="0" fontId="4" fillId="0" borderId="2" xfId="0" applyFont="1" applyBorder="1" applyAlignment="1">
      <alignment horizontal="left"/>
    </xf>
    <xf numFmtId="49" fontId="4" fillId="0" borderId="0" xfId="0" applyNumberFormat="1" applyFont="1" applyAlignment="1">
      <alignment horizontal="left"/>
    </xf>
    <xf numFmtId="0" fontId="4" fillId="0" borderId="1" xfId="0" applyFont="1" applyBorder="1" applyAlignment="1">
      <alignment horizontal="left"/>
    </xf>
    <xf numFmtId="49" fontId="3" fillId="0" borderId="3" xfId="0" applyNumberFormat="1" applyFont="1" applyBorder="1" applyAlignment="1">
      <alignment horizontal="left"/>
    </xf>
    <xf numFmtId="49" fontId="1" fillId="0" borderId="0" xfId="0" applyNumberFormat="1" applyFont="1"/>
    <xf numFmtId="49" fontId="1" fillId="34" borderId="0" xfId="0" applyNumberFormat="1" applyFont="1" applyFill="1" applyAlignment="1">
      <alignment horizontal="left"/>
    </xf>
    <xf numFmtId="49" fontId="0" fillId="0" borderId="0" xfId="0" applyNumberFormat="1"/>
    <xf numFmtId="49" fontId="0" fillId="85" borderId="0" xfId="0" applyNumberFormat="1" applyFill="1"/>
    <xf numFmtId="49" fontId="0" fillId="86" borderId="0" xfId="0" applyNumberFormat="1" applyFill="1"/>
    <xf numFmtId="49" fontId="0" fillId="87" borderId="0" xfId="0" applyNumberFormat="1" applyFill="1"/>
    <xf numFmtId="49" fontId="0" fillId="88" borderId="0" xfId="0" applyNumberFormat="1" applyFill="1"/>
    <xf numFmtId="49" fontId="0" fillId="89" borderId="0" xfId="0" applyNumberFormat="1" applyFill="1"/>
    <xf numFmtId="49" fontId="0" fillId="90" borderId="0" xfId="0" applyNumberFormat="1" applyFill="1"/>
    <xf numFmtId="49" fontId="0" fillId="91" borderId="0" xfId="0" applyNumberFormat="1" applyFill="1"/>
    <xf numFmtId="49" fontId="0" fillId="92" borderId="0" xfId="0" applyNumberFormat="1" applyFill="1"/>
    <xf numFmtId="49" fontId="0" fillId="23" borderId="0" xfId="0" applyNumberFormat="1" applyFill="1"/>
    <xf numFmtId="49" fontId="0" fillId="28" borderId="0" xfId="0" applyNumberFormat="1" applyFill="1"/>
    <xf numFmtId="49" fontId="0" fillId="83" borderId="0" xfId="0" applyNumberFormat="1" applyFill="1"/>
    <xf numFmtId="49" fontId="1" fillId="2" borderId="0" xfId="0" applyNumberFormat="1" applyFont="1" applyFill="1"/>
    <xf numFmtId="49" fontId="1" fillId="10" borderId="0" xfId="0" applyNumberFormat="1" applyFont="1" applyFill="1"/>
    <xf numFmtId="49" fontId="0" fillId="2" borderId="0" xfId="0" applyNumberFormat="1" applyFill="1"/>
    <xf numFmtId="49" fontId="0" fillId="10" borderId="0" xfId="0" applyNumberFormat="1" applyFill="1"/>
    <xf numFmtId="49" fontId="0" fillId="0" borderId="4" xfId="0" applyNumberFormat="1" applyBorder="1"/>
    <xf numFmtId="49" fontId="1" fillId="3" borderId="0" xfId="0" applyNumberFormat="1" applyFont="1" applyFill="1"/>
    <xf numFmtId="49" fontId="1" fillId="11" borderId="0" xfId="0" applyNumberFormat="1" applyFont="1" applyFill="1"/>
    <xf numFmtId="49" fontId="0" fillId="3" borderId="0" xfId="0" applyNumberFormat="1" applyFill="1"/>
    <xf numFmtId="49" fontId="0" fillId="11" borderId="0" xfId="0" applyNumberFormat="1" applyFill="1"/>
    <xf numFmtId="49" fontId="1" fillId="4" borderId="0" xfId="0" applyNumberFormat="1" applyFont="1" applyFill="1"/>
    <xf numFmtId="49" fontId="1" fillId="12" borderId="0" xfId="0" applyNumberFormat="1" applyFont="1" applyFill="1"/>
    <xf numFmtId="49" fontId="0" fillId="4" borderId="0" xfId="0" applyNumberFormat="1" applyFill="1"/>
    <xf numFmtId="49" fontId="0" fillId="12" borderId="0" xfId="0" applyNumberFormat="1" applyFill="1"/>
    <xf numFmtId="49" fontId="1" fillId="5" borderId="0" xfId="0" applyNumberFormat="1" applyFont="1" applyFill="1"/>
    <xf numFmtId="49" fontId="1" fillId="13" borderId="0" xfId="0" applyNumberFormat="1" applyFont="1" applyFill="1"/>
    <xf numFmtId="49" fontId="0" fillId="5" borderId="0" xfId="0" applyNumberFormat="1" applyFill="1"/>
    <xf numFmtId="49" fontId="0" fillId="13" borderId="0" xfId="0" applyNumberFormat="1" applyFill="1"/>
    <xf numFmtId="49" fontId="1" fillId="6" borderId="0" xfId="0" applyNumberFormat="1" applyFont="1" applyFill="1"/>
    <xf numFmtId="49" fontId="0" fillId="6" borderId="0" xfId="0" applyNumberFormat="1" applyFill="1"/>
    <xf numFmtId="49" fontId="1" fillId="7" borderId="0" xfId="0" applyNumberFormat="1" applyFont="1" applyFill="1"/>
    <xf numFmtId="49" fontId="1" fillId="14" borderId="0" xfId="0" applyNumberFormat="1" applyFont="1" applyFill="1"/>
    <xf numFmtId="49" fontId="0" fillId="7" borderId="0" xfId="0" applyNumberFormat="1" applyFill="1"/>
    <xf numFmtId="49" fontId="0" fillId="14" borderId="0" xfId="0" applyNumberFormat="1" applyFill="1"/>
    <xf numFmtId="49" fontId="1" fillId="8" borderId="0" xfId="0" applyNumberFormat="1" applyFont="1" applyFill="1"/>
    <xf numFmtId="49" fontId="1" fillId="15" borderId="0" xfId="0" applyNumberFormat="1" applyFont="1" applyFill="1"/>
    <xf numFmtId="49" fontId="0" fillId="8" borderId="0" xfId="0" applyNumberFormat="1" applyFill="1"/>
    <xf numFmtId="49" fontId="0" fillId="15" borderId="0" xfId="0" applyNumberFormat="1" applyFill="1"/>
    <xf numFmtId="49" fontId="1" fillId="9" borderId="0" xfId="0" applyNumberFormat="1" applyFont="1" applyFill="1"/>
    <xf numFmtId="49" fontId="1" fillId="16" borderId="0" xfId="0" applyNumberFormat="1" applyFont="1" applyFill="1"/>
    <xf numFmtId="49" fontId="0" fillId="9" borderId="0" xfId="0" applyNumberFormat="1" applyFill="1"/>
    <xf numFmtId="49" fontId="0" fillId="16" borderId="0" xfId="0" applyNumberFormat="1" applyFill="1"/>
    <xf numFmtId="49" fontId="1" fillId="28" borderId="0" xfId="0" applyNumberFormat="1" applyFont="1" applyFill="1"/>
    <xf numFmtId="49" fontId="1" fillId="23" borderId="0" xfId="0" applyNumberFormat="1" applyFont="1" applyFill="1"/>
    <xf numFmtId="49" fontId="1" fillId="17" borderId="0" xfId="0" applyNumberFormat="1" applyFont="1" applyFill="1"/>
    <xf numFmtId="49" fontId="0" fillId="17" borderId="0" xfId="0" applyNumberFormat="1" applyFill="1"/>
    <xf numFmtId="49" fontId="1" fillId="29" borderId="0" xfId="0" applyNumberFormat="1" applyFont="1" applyFill="1"/>
    <xf numFmtId="49" fontId="0" fillId="29" borderId="0" xfId="0" applyNumberFormat="1" applyFill="1"/>
    <xf numFmtId="49" fontId="1" fillId="30" borderId="0" xfId="0" applyNumberFormat="1" applyFont="1" applyFill="1"/>
    <xf numFmtId="49" fontId="0" fillId="30" borderId="0" xfId="0" applyNumberFormat="1" applyFill="1"/>
    <xf numFmtId="49" fontId="1" fillId="31" borderId="0" xfId="0" applyNumberFormat="1" applyFont="1" applyFill="1"/>
    <xf numFmtId="49" fontId="0" fillId="31" borderId="0" xfId="0" applyNumberFormat="1" applyFill="1"/>
    <xf numFmtId="49" fontId="1" fillId="32" borderId="0" xfId="0" applyNumberFormat="1" applyFont="1" applyFill="1"/>
    <xf numFmtId="49" fontId="0" fillId="32" borderId="0" xfId="0" applyNumberFormat="1" applyFill="1"/>
    <xf numFmtId="49" fontId="1" fillId="33" borderId="0" xfId="0" applyNumberFormat="1" applyFont="1" applyFill="1"/>
    <xf numFmtId="49" fontId="0" fillId="33" borderId="0" xfId="0" applyNumberFormat="1" applyFill="1"/>
    <xf numFmtId="49" fontId="1" fillId="79" borderId="0" xfId="0" applyNumberFormat="1" applyFont="1" applyFill="1"/>
    <xf numFmtId="49" fontId="1" fillId="72" borderId="0" xfId="0" applyNumberFormat="1" applyFont="1" applyFill="1"/>
    <xf numFmtId="49" fontId="1" fillId="78" borderId="0" xfId="0" applyNumberFormat="1" applyFont="1" applyFill="1"/>
    <xf numFmtId="49" fontId="1" fillId="77" borderId="0" xfId="0" applyNumberFormat="1" applyFont="1" applyFill="1"/>
    <xf numFmtId="49" fontId="1" fillId="52" borderId="0" xfId="0" applyNumberFormat="1" applyFont="1" applyFill="1"/>
    <xf numFmtId="49" fontId="0" fillId="52" borderId="0" xfId="0" applyNumberFormat="1" applyFill="1"/>
    <xf numFmtId="49" fontId="0" fillId="82" borderId="0" xfId="0" applyNumberFormat="1" applyFill="1"/>
    <xf numFmtId="49" fontId="1" fillId="51" borderId="0" xfId="0" applyNumberFormat="1" applyFont="1" applyFill="1"/>
    <xf numFmtId="49" fontId="1" fillId="18" borderId="0" xfId="0" applyNumberFormat="1" applyFont="1" applyFill="1"/>
    <xf numFmtId="49" fontId="1" fillId="19" borderId="0" xfId="0" applyNumberFormat="1" applyFont="1" applyFill="1"/>
    <xf numFmtId="49" fontId="0" fillId="62" borderId="0" xfId="0" applyNumberFormat="1" applyFill="1"/>
    <xf numFmtId="49" fontId="1" fillId="35" borderId="0" xfId="0" applyNumberFormat="1" applyFont="1" applyFill="1"/>
    <xf numFmtId="49" fontId="1" fillId="37" borderId="0" xfId="0" applyNumberFormat="1" applyFont="1" applyFill="1"/>
    <xf numFmtId="49" fontId="0" fillId="65" borderId="0" xfId="0" applyNumberFormat="1" applyFill="1"/>
    <xf numFmtId="49" fontId="1" fillId="36" borderId="0" xfId="0" applyNumberFormat="1" applyFont="1" applyFill="1"/>
    <xf numFmtId="49" fontId="1" fillId="38" borderId="0" xfId="0" applyNumberFormat="1" applyFont="1" applyFill="1"/>
    <xf numFmtId="49" fontId="0" fillId="64" borderId="0" xfId="0" applyNumberFormat="1" applyFill="1"/>
    <xf numFmtId="49" fontId="1" fillId="39" borderId="0" xfId="0" applyNumberFormat="1" applyFont="1" applyFill="1"/>
    <xf numFmtId="49" fontId="0" fillId="67" borderId="0" xfId="0" applyNumberFormat="1" applyFill="1"/>
    <xf numFmtId="49" fontId="1" fillId="40" borderId="0" xfId="0" applyNumberFormat="1" applyFont="1" applyFill="1"/>
    <xf numFmtId="49" fontId="0" fillId="68" borderId="0" xfId="0" applyNumberFormat="1" applyFill="1"/>
    <xf numFmtId="49" fontId="1" fillId="41" borderId="0" xfId="0" applyNumberFormat="1" applyFont="1" applyFill="1"/>
    <xf numFmtId="49" fontId="0" fillId="69" borderId="0" xfId="0" applyNumberFormat="1" applyFill="1"/>
    <xf numFmtId="49" fontId="1" fillId="42" borderId="0" xfId="0" applyNumberFormat="1" applyFont="1" applyFill="1"/>
    <xf numFmtId="49" fontId="0" fillId="70" borderId="0" xfId="0" applyNumberFormat="1" applyFill="1"/>
    <xf numFmtId="49" fontId="1" fillId="43" borderId="0" xfId="0" applyNumberFormat="1" applyFont="1" applyFill="1"/>
    <xf numFmtId="49" fontId="0" fillId="84" borderId="0" xfId="0" applyNumberFormat="1" applyFill="1"/>
    <xf numFmtId="49" fontId="1" fillId="45" borderId="0" xfId="0" applyNumberFormat="1" applyFont="1" applyFill="1"/>
    <xf numFmtId="49" fontId="0" fillId="71" borderId="0" xfId="0" applyNumberFormat="1" applyFill="1"/>
    <xf numFmtId="49" fontId="1" fillId="44" borderId="0" xfId="0" applyNumberFormat="1" applyFont="1" applyFill="1"/>
    <xf numFmtId="49" fontId="0" fillId="80" borderId="0" xfId="0" applyNumberFormat="1" applyFill="1"/>
    <xf numFmtId="49" fontId="1" fillId="46" borderId="0" xfId="0" applyNumberFormat="1" applyFont="1" applyFill="1"/>
    <xf numFmtId="49" fontId="0" fillId="63" borderId="0" xfId="0" applyNumberFormat="1" applyFill="1"/>
    <xf numFmtId="49" fontId="1" fillId="47" borderId="0" xfId="0" applyNumberFormat="1" applyFont="1" applyFill="1"/>
    <xf numFmtId="49" fontId="0" fillId="72" borderId="0" xfId="0" applyNumberFormat="1" applyFill="1"/>
    <xf numFmtId="49" fontId="1" fillId="48" borderId="0" xfId="0" applyNumberFormat="1" applyFont="1" applyFill="1"/>
    <xf numFmtId="49" fontId="0" fillId="73" borderId="0" xfId="0" applyNumberFormat="1" applyFill="1"/>
    <xf numFmtId="49" fontId="1" fillId="49" borderId="0" xfId="0" applyNumberFormat="1" applyFont="1" applyFill="1"/>
    <xf numFmtId="49" fontId="1" fillId="50" borderId="0" xfId="0" applyNumberFormat="1" applyFont="1" applyFill="1"/>
    <xf numFmtId="49" fontId="0" fillId="74" borderId="0" xfId="0" applyNumberFormat="1" applyFill="1"/>
    <xf numFmtId="49" fontId="1" fillId="75" borderId="0" xfId="0" applyNumberFormat="1" applyFont="1" applyFill="1"/>
    <xf numFmtId="49" fontId="1" fillId="66" borderId="0" xfId="0" applyNumberFormat="1" applyFont="1" applyFill="1"/>
    <xf numFmtId="49" fontId="0" fillId="76" borderId="0" xfId="0" applyNumberFormat="1" applyFill="1"/>
    <xf numFmtId="49" fontId="1" fillId="81" borderId="0" xfId="0" applyNumberFormat="1" applyFont="1" applyFill="1"/>
    <xf numFmtId="49" fontId="1" fillId="22" borderId="0" xfId="0" applyNumberFormat="1" applyFont="1" applyFill="1"/>
    <xf numFmtId="49" fontId="0" fillId="22" borderId="0" xfId="0" applyNumberFormat="1" applyFill="1"/>
    <xf numFmtId="49" fontId="1" fillId="24" borderId="0" xfId="0" applyNumberFormat="1" applyFont="1" applyFill="1"/>
    <xf numFmtId="49" fontId="0" fillId="24" borderId="0" xfId="0" applyNumberFormat="1" applyFill="1"/>
    <xf numFmtId="49" fontId="1" fillId="20" borderId="0" xfId="0" applyNumberFormat="1" applyFont="1" applyFill="1"/>
    <xf numFmtId="49" fontId="1" fillId="21" borderId="0" xfId="0" applyNumberFormat="1" applyFont="1" applyFill="1"/>
    <xf numFmtId="49" fontId="0" fillId="20" borderId="0" xfId="0" applyNumberFormat="1" applyFill="1"/>
    <xf numFmtId="49" fontId="0" fillId="21" borderId="0" xfId="0" applyNumberFormat="1" applyFill="1"/>
    <xf numFmtId="49" fontId="1" fillId="53" borderId="0" xfId="0" applyNumberFormat="1" applyFont="1" applyFill="1"/>
    <xf numFmtId="49" fontId="0" fillId="53" borderId="0" xfId="0" applyNumberFormat="1" applyFill="1"/>
    <xf numFmtId="49" fontId="1" fillId="54" borderId="0" xfId="0" applyNumberFormat="1" applyFont="1" applyFill="1"/>
    <xf numFmtId="49" fontId="1" fillId="56" borderId="0" xfId="0" applyNumberFormat="1" applyFont="1" applyFill="1"/>
    <xf numFmtId="49" fontId="1" fillId="25" borderId="0" xfId="0" applyNumberFormat="1" applyFont="1" applyFill="1"/>
    <xf numFmtId="49" fontId="1" fillId="55" borderId="0" xfId="0" applyNumberFormat="1" applyFont="1" applyFill="1"/>
    <xf numFmtId="49" fontId="1" fillId="26" borderId="0" xfId="0" applyNumberFormat="1" applyFont="1" applyFill="1"/>
    <xf numFmtId="49" fontId="1" fillId="27" borderId="0" xfId="0" applyNumberFormat="1" applyFont="1" applyFill="1"/>
    <xf numFmtId="49" fontId="0" fillId="27" borderId="0" xfId="0" applyNumberFormat="1" applyFill="1"/>
    <xf numFmtId="49" fontId="1" fillId="58" borderId="0" xfId="0" applyNumberFormat="1" applyFont="1" applyFill="1"/>
    <xf numFmtId="49" fontId="0" fillId="58" borderId="0" xfId="0" applyNumberFormat="1" applyFill="1"/>
    <xf numFmtId="49" fontId="1" fillId="57" borderId="0" xfId="0" applyNumberFormat="1" applyFont="1" applyFill="1"/>
    <xf numFmtId="49" fontId="1" fillId="59" borderId="0" xfId="0" applyNumberFormat="1" applyFont="1" applyFill="1"/>
    <xf numFmtId="49" fontId="0" fillId="59" borderId="0" xfId="0" applyNumberFormat="1" applyFill="1"/>
    <xf numFmtId="49" fontId="0" fillId="56" borderId="0" xfId="0" applyNumberFormat="1" applyFill="1"/>
    <xf numFmtId="49" fontId="1" fillId="60" borderId="0" xfId="0" applyNumberFormat="1" applyFont="1" applyFill="1"/>
    <xf numFmtId="49" fontId="1" fillId="61" borderId="0" xfId="0" applyNumberFormat="1" applyFont="1" applyFill="1"/>
    <xf numFmtId="49" fontId="0" fillId="60" borderId="0" xfId="0" applyNumberFormat="1" applyFill="1"/>
    <xf numFmtId="49" fontId="0" fillId="61" borderId="0" xfId="0" applyNumberFormat="1" applyFill="1"/>
    <xf numFmtId="49" fontId="0" fillId="54" borderId="0" xfId="0" applyNumberFormat="1" applyFill="1"/>
    <xf numFmtId="49" fontId="0" fillId="55" borderId="0" xfId="0" applyNumberFormat="1" applyFill="1"/>
    <xf numFmtId="49" fontId="0" fillId="26" borderId="0" xfId="0" applyNumberFormat="1" applyFill="1"/>
    <xf numFmtId="49" fontId="0" fillId="93" borderId="0" xfId="0" applyNumberFormat="1" applyFill="1"/>
    <xf numFmtId="49" fontId="0" fillId="94" borderId="0" xfId="0" applyNumberFormat="1" applyFill="1"/>
    <xf numFmtId="49" fontId="0" fillId="95" borderId="0" xfId="0" applyNumberFormat="1" applyFill="1"/>
    <xf numFmtId="49" fontId="0" fillId="96" borderId="0" xfId="0" applyNumberFormat="1" applyFill="1"/>
    <xf numFmtId="49" fontId="0" fillId="97" borderId="0" xfId="0" applyNumberFormat="1" applyFill="1"/>
    <xf numFmtId="49" fontId="0" fillId="98" borderId="0" xfId="0" applyNumberFormat="1" applyFill="1"/>
    <xf numFmtId="49" fontId="1" fillId="99" borderId="0" xfId="0" applyNumberFormat="1" applyFont="1" applyFill="1"/>
    <xf numFmtId="49" fontId="0" fillId="100" borderId="0" xfId="0" applyNumberFormat="1" applyFill="1"/>
    <xf numFmtId="49" fontId="1" fillId="101" borderId="0" xfId="0" applyNumberFormat="1" applyFont="1" applyFill="1"/>
    <xf numFmtId="49" fontId="1" fillId="102" borderId="0" xfId="0" applyNumberFormat="1" applyFont="1" applyFill="1"/>
    <xf numFmtId="49" fontId="1" fillId="103" borderId="0" xfId="0" applyNumberFormat="1" applyFont="1" applyFill="1"/>
    <xf numFmtId="49" fontId="1" fillId="104" borderId="0" xfId="0" applyNumberFormat="1" applyFont="1" applyFill="1"/>
    <xf numFmtId="49" fontId="1" fillId="105" borderId="0" xfId="0" applyNumberFormat="1" applyFont="1" applyFill="1"/>
    <xf numFmtId="49" fontId="1" fillId="106" borderId="0" xfId="0" applyNumberFormat="1" applyFont="1" applyFill="1"/>
    <xf numFmtId="49" fontId="1" fillId="107" borderId="0" xfId="0" applyNumberFormat="1" applyFont="1" applyFill="1"/>
    <xf numFmtId="49" fontId="1" fillId="108" borderId="0" xfId="0" applyNumberFormat="1" applyFont="1" applyFill="1"/>
    <xf numFmtId="49" fontId="1" fillId="109" borderId="0" xfId="0" applyNumberFormat="1" applyFont="1" applyFill="1"/>
    <xf numFmtId="49" fontId="0" fillId="0" borderId="0" xfId="0" applyNumberFormat="1" applyBorder="1"/>
    <xf numFmtId="49" fontId="1" fillId="0" borderId="0" xfId="0" applyNumberFormat="1" applyFont="1" applyFill="1"/>
    <xf numFmtId="49" fontId="0" fillId="0" borderId="0" xfId="0" applyNumberFormat="1" applyFill="1"/>
    <xf numFmtId="49" fontId="0" fillId="0" borderId="0" xfId="0" applyNumberFormat="1" applyFont="1" applyFill="1"/>
    <xf numFmtId="49" fontId="0" fillId="0" borderId="0" xfId="0" applyNumberFormat="1" applyFont="1"/>
    <xf numFmtId="49" fontId="5" fillId="0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5B0738-BA18-4040-8922-F26CA2042CBF}">
  <sheetPr codeName="Sheet5"/>
  <dimension ref="A1:AM374"/>
  <sheetViews>
    <sheetView tabSelected="1" topLeftCell="A3" zoomScale="85" zoomScaleNormal="85" workbookViewId="0">
      <pane ySplit="4" topLeftCell="A242" activePane="bottomLeft" state="frozen"/>
      <selection activeCell="A3" sqref="A3"/>
      <selection pane="bottomLeft" activeCell="P320" sqref="P320"/>
    </sheetView>
  </sheetViews>
  <sheetFormatPr defaultRowHeight="13.5" x14ac:dyDescent="0.25"/>
  <cols>
    <col min="1" max="1" width="2.7109375" style="28" customWidth="1"/>
    <col min="2" max="2" width="57.7109375" style="28" customWidth="1"/>
    <col min="3" max="4" width="15.7109375" style="28" customWidth="1"/>
    <col min="5" max="5" width="1.7109375" style="28" customWidth="1"/>
    <col min="6" max="7" width="15.7109375" style="28" customWidth="1"/>
    <col min="8" max="8" width="3.7109375" style="28" customWidth="1"/>
    <col min="9" max="10" width="15.7109375" style="28" customWidth="1"/>
    <col min="11" max="11" width="1.7109375" style="28" customWidth="1"/>
    <col min="12" max="13" width="15.7109375" style="28" customWidth="1"/>
    <col min="14" max="14" width="3.7109375" style="28" customWidth="1"/>
    <col min="15" max="16" width="15.7109375" style="28" customWidth="1"/>
    <col min="17" max="17" width="1.7109375" style="28" customWidth="1"/>
    <col min="18" max="19" width="15.7109375" style="28" customWidth="1"/>
    <col min="20" max="20" width="3.7109375" style="28" customWidth="1"/>
    <col min="21" max="22" width="15.7109375" style="28" customWidth="1"/>
    <col min="23" max="23" width="1.7109375" style="28" customWidth="1"/>
    <col min="24" max="25" width="15.7109375" style="28" customWidth="1"/>
    <col min="26" max="26" width="3.7109375" style="28" customWidth="1"/>
    <col min="27" max="27" width="12.7109375" style="28" customWidth="1"/>
    <col min="28" max="28" width="2.7109375" style="28" customWidth="1"/>
    <col min="29" max="29" width="12.7109375" style="28" customWidth="1"/>
    <col min="30" max="30" width="2.7109375" style="28" customWidth="1"/>
    <col min="31" max="31" width="12.7109375" style="28" customWidth="1"/>
    <col min="32" max="32" width="2.7109375" style="28" customWidth="1"/>
    <col min="33" max="33" width="17.28515625" style="28" customWidth="1"/>
    <col min="34" max="34" width="2.7109375" style="28" customWidth="1"/>
    <col min="35" max="35" width="12.7109375" style="28" customWidth="1"/>
    <col min="36" max="16384" width="9.140625" style="28"/>
  </cols>
  <sheetData>
    <row r="1" spans="1:35" x14ac:dyDescent="0.25">
      <c r="A1" s="28" t="s">
        <v>216</v>
      </c>
    </row>
    <row r="3" spans="1:35" s="26" customFormat="1" x14ac:dyDescent="0.25">
      <c r="B3" s="26" t="s">
        <v>0</v>
      </c>
      <c r="C3" s="26" t="s">
        <v>104</v>
      </c>
      <c r="I3" s="26" t="s">
        <v>155</v>
      </c>
      <c r="O3" s="26" t="s">
        <v>160</v>
      </c>
      <c r="U3" s="26" t="s">
        <v>165</v>
      </c>
    </row>
    <row r="4" spans="1:35" s="26" customFormat="1" x14ac:dyDescent="0.25">
      <c r="C4" s="26" t="s">
        <v>219</v>
      </c>
      <c r="F4" s="26" t="s">
        <v>220</v>
      </c>
      <c r="I4" s="26" t="s">
        <v>219</v>
      </c>
      <c r="L4" s="26" t="s">
        <v>220</v>
      </c>
      <c r="O4" s="26" t="s">
        <v>219</v>
      </c>
      <c r="R4" s="26" t="s">
        <v>220</v>
      </c>
      <c r="U4" s="26" t="s">
        <v>219</v>
      </c>
      <c r="X4" s="26" t="s">
        <v>220</v>
      </c>
    </row>
    <row r="5" spans="1:35" s="26" customFormat="1" x14ac:dyDescent="0.25">
      <c r="C5" s="26" t="s">
        <v>150</v>
      </c>
      <c r="D5" s="26" t="s">
        <v>11</v>
      </c>
      <c r="F5" s="26" t="s">
        <v>150</v>
      </c>
      <c r="G5" s="26" t="s">
        <v>11</v>
      </c>
      <c r="I5" s="26" t="s">
        <v>150</v>
      </c>
      <c r="J5" s="26" t="s">
        <v>11</v>
      </c>
      <c r="L5" s="26" t="s">
        <v>150</v>
      </c>
      <c r="M5" s="26" t="s">
        <v>11</v>
      </c>
      <c r="O5" s="26" t="s">
        <v>150</v>
      </c>
      <c r="P5" s="26" t="s">
        <v>11</v>
      </c>
      <c r="R5" s="26" t="s">
        <v>150</v>
      </c>
      <c r="S5" s="26" t="s">
        <v>11</v>
      </c>
      <c r="U5" s="26" t="s">
        <v>150</v>
      </c>
      <c r="V5" s="26" t="s">
        <v>11</v>
      </c>
      <c r="X5" s="26" t="s">
        <v>150</v>
      </c>
      <c r="Y5" s="26" t="s">
        <v>11</v>
      </c>
    </row>
    <row r="6" spans="1:35" s="26" customFormat="1" x14ac:dyDescent="0.25">
      <c r="C6" s="26" t="s">
        <v>151</v>
      </c>
      <c r="D6" s="26" t="s">
        <v>153</v>
      </c>
      <c r="F6" s="26" t="s">
        <v>152</v>
      </c>
      <c r="G6" s="26" t="s">
        <v>154</v>
      </c>
      <c r="I6" s="26" t="s">
        <v>156</v>
      </c>
      <c r="J6" s="26" t="s">
        <v>158</v>
      </c>
      <c r="L6" s="26" t="s">
        <v>157</v>
      </c>
      <c r="M6" s="26" t="s">
        <v>159</v>
      </c>
      <c r="O6" s="26" t="s">
        <v>161</v>
      </c>
      <c r="P6" s="26" t="s">
        <v>163</v>
      </c>
      <c r="R6" s="26" t="s">
        <v>162</v>
      </c>
      <c r="S6" s="26" t="s">
        <v>164</v>
      </c>
      <c r="U6" s="26" t="s">
        <v>166</v>
      </c>
      <c r="V6" s="26" t="s">
        <v>168</v>
      </c>
      <c r="X6" s="26" t="s">
        <v>167</v>
      </c>
      <c r="Y6" s="26" t="s">
        <v>169</v>
      </c>
      <c r="AA6" s="1" t="s">
        <v>3</v>
      </c>
      <c r="AB6" s="1"/>
      <c r="AC6" s="1" t="s">
        <v>2</v>
      </c>
      <c r="AD6" s="1"/>
      <c r="AE6" s="1" t="s">
        <v>8</v>
      </c>
      <c r="AF6" s="1"/>
      <c r="AG6" s="1" t="s">
        <v>19</v>
      </c>
      <c r="AH6" s="1"/>
      <c r="AI6" s="1" t="s">
        <v>310</v>
      </c>
    </row>
    <row r="7" spans="1:35" s="5" customFormat="1" x14ac:dyDescent="0.25">
      <c r="A7" s="27" t="s">
        <v>266</v>
      </c>
      <c r="B7" s="27"/>
      <c r="C7" s="27"/>
      <c r="D7" s="27"/>
      <c r="F7" s="27"/>
      <c r="G7" s="27"/>
      <c r="I7" s="27"/>
      <c r="J7" s="27"/>
      <c r="L7" s="27"/>
      <c r="M7" s="27"/>
      <c r="O7" s="27"/>
      <c r="P7" s="27"/>
      <c r="R7" s="27"/>
      <c r="S7" s="27"/>
      <c r="U7" s="27"/>
      <c r="V7" s="27"/>
      <c r="X7" s="27"/>
      <c r="Y7" s="27"/>
      <c r="AA7" s="27"/>
      <c r="AB7" s="27"/>
      <c r="AC7" s="27"/>
      <c r="AD7" s="27"/>
      <c r="AE7" s="27"/>
      <c r="AF7" s="27"/>
      <c r="AG7" s="27"/>
      <c r="AH7" s="27"/>
      <c r="AI7" s="27"/>
    </row>
    <row r="8" spans="1:35" x14ac:dyDescent="0.25">
      <c r="B8" s="7" t="s">
        <v>265</v>
      </c>
      <c r="C8" s="28" t="s">
        <v>264</v>
      </c>
      <c r="D8" s="28" t="s">
        <v>264</v>
      </c>
      <c r="F8" s="28" t="s">
        <v>267</v>
      </c>
      <c r="G8" s="28" t="s">
        <v>267</v>
      </c>
      <c r="I8" s="28" t="s">
        <v>264</v>
      </c>
      <c r="J8" s="28" t="s">
        <v>264</v>
      </c>
      <c r="L8" s="28" t="s">
        <v>267</v>
      </c>
      <c r="M8" s="28" t="s">
        <v>267</v>
      </c>
      <c r="O8" s="28" t="s">
        <v>264</v>
      </c>
      <c r="P8" s="28" t="s">
        <v>264</v>
      </c>
      <c r="R8" s="28" t="s">
        <v>267</v>
      </c>
      <c r="S8" s="28" t="s">
        <v>267</v>
      </c>
      <c r="U8" s="28" t="s">
        <v>264</v>
      </c>
      <c r="V8" s="28" t="s">
        <v>264</v>
      </c>
      <c r="X8" s="28" t="s">
        <v>267</v>
      </c>
      <c r="Y8" s="28" t="s">
        <v>267</v>
      </c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25">
      <c r="AA9" s="1"/>
      <c r="AB9" s="1"/>
      <c r="AC9" s="1"/>
      <c r="AD9" s="1"/>
      <c r="AE9" s="1"/>
      <c r="AF9" s="1"/>
      <c r="AG9" s="1"/>
      <c r="AH9" s="1"/>
      <c r="AI9" s="1"/>
    </row>
    <row r="10" spans="1:35" s="5" customFormat="1" x14ac:dyDescent="0.25">
      <c r="A10" s="27" t="s">
        <v>288</v>
      </c>
      <c r="B10" s="27"/>
      <c r="C10" s="27"/>
      <c r="D10" s="27"/>
      <c r="F10" s="27"/>
      <c r="G10" s="27"/>
      <c r="I10" s="27"/>
      <c r="J10" s="27"/>
      <c r="L10" s="27"/>
      <c r="M10" s="27"/>
      <c r="O10" s="27"/>
      <c r="P10" s="27"/>
      <c r="R10" s="27"/>
      <c r="S10" s="27"/>
      <c r="U10" s="27"/>
      <c r="V10" s="27"/>
      <c r="X10" s="27"/>
      <c r="Y10" s="27"/>
      <c r="AA10" s="27"/>
      <c r="AB10" s="27"/>
      <c r="AC10" s="27"/>
      <c r="AD10" s="27"/>
      <c r="AE10" s="27"/>
      <c r="AF10" s="27"/>
      <c r="AG10" s="27"/>
      <c r="AH10" s="27"/>
      <c r="AI10" s="27"/>
    </row>
    <row r="11" spans="1:35" x14ac:dyDescent="0.25">
      <c r="B11" s="2" t="str">
        <f>_xlfn.CONCAT("@",AA11,AB11,AC11,AD11,AE11,AF11,AG11,AH11,AI11)</f>
        <v>@color-label_parking_default</v>
      </c>
      <c r="C11" s="37" t="s">
        <v>214</v>
      </c>
      <c r="D11" s="37" t="s">
        <v>214</v>
      </c>
      <c r="F11" s="38" t="s">
        <v>222</v>
      </c>
      <c r="G11" s="38" t="s">
        <v>222</v>
      </c>
      <c r="I11" s="37" t="s">
        <v>214</v>
      </c>
      <c r="J11" s="37" t="s">
        <v>214</v>
      </c>
      <c r="L11" s="38" t="s">
        <v>222</v>
      </c>
      <c r="M11" s="38" t="s">
        <v>222</v>
      </c>
      <c r="O11" s="37" t="s">
        <v>214</v>
      </c>
      <c r="R11" s="38" t="s">
        <v>222</v>
      </c>
      <c r="U11" s="37" t="s">
        <v>214</v>
      </c>
      <c r="V11" s="37" t="s">
        <v>214</v>
      </c>
      <c r="X11" s="38" t="s">
        <v>222</v>
      </c>
      <c r="Y11" s="38" t="s">
        <v>222</v>
      </c>
      <c r="AA11" s="2" t="s">
        <v>6</v>
      </c>
      <c r="AB11" s="2" t="str">
        <f t="shared" ref="AB11" si="0">IF(NOT(ISBLANK(AC11)),"-","")</f>
        <v>-</v>
      </c>
      <c r="AC11" s="2" t="s">
        <v>271</v>
      </c>
      <c r="AD11" s="2" t="str">
        <f t="shared" ref="AD11" si="1">IF(NOT(ISBLANK(AE11)),"_","")</f>
        <v>_</v>
      </c>
      <c r="AE11" s="2" t="s">
        <v>272</v>
      </c>
      <c r="AF11" s="2" t="str">
        <f t="shared" ref="AF11" si="2">IF(NOT(ISBLANK(AG11)),"_","")</f>
        <v>_</v>
      </c>
      <c r="AG11" s="2" t="s">
        <v>262</v>
      </c>
      <c r="AH11" s="2" t="str">
        <f t="shared" ref="AH11:AH40" si="3">IF(NOT(ISBLANK(AI11)),"_","")</f>
        <v/>
      </c>
      <c r="AI11" s="2"/>
    </row>
    <row r="12" spans="1:35" x14ac:dyDescent="0.25">
      <c r="B12" s="2" t="str">
        <f t="shared" ref="B12:B40" si="4">_xlfn.CONCAT("@",AA12,AB12,AC12,AD12,AE12,AF12,AG12,AH12,AI12)</f>
        <v>@color-label_parking_yes</v>
      </c>
      <c r="C12" s="38" t="s">
        <v>222</v>
      </c>
      <c r="D12" s="38" t="s">
        <v>222</v>
      </c>
      <c r="F12" s="37" t="s">
        <v>214</v>
      </c>
      <c r="G12" s="37" t="s">
        <v>214</v>
      </c>
      <c r="I12" s="38" t="s">
        <v>222</v>
      </c>
      <c r="J12" s="38" t="s">
        <v>222</v>
      </c>
      <c r="L12" s="37" t="s">
        <v>214</v>
      </c>
      <c r="M12" s="37" t="s">
        <v>214</v>
      </c>
      <c r="O12" s="38" t="s">
        <v>222</v>
      </c>
      <c r="R12" s="37" t="s">
        <v>214</v>
      </c>
      <c r="U12" s="38" t="s">
        <v>222</v>
      </c>
      <c r="V12" s="38" t="s">
        <v>222</v>
      </c>
      <c r="X12" s="37" t="s">
        <v>214</v>
      </c>
      <c r="Y12" s="37" t="s">
        <v>214</v>
      </c>
      <c r="AA12" s="2" t="s">
        <v>6</v>
      </c>
      <c r="AB12" s="2" t="str">
        <f t="shared" ref="AB12" si="5">IF(NOT(ISBLANK(AC12)),"-","")</f>
        <v>-</v>
      </c>
      <c r="AC12" s="2" t="s">
        <v>271</v>
      </c>
      <c r="AD12" s="2" t="str">
        <f t="shared" ref="AD12" si="6">IF(NOT(ISBLANK(AE12)),"_","")</f>
        <v>_</v>
      </c>
      <c r="AE12" s="2" t="s">
        <v>272</v>
      </c>
      <c r="AF12" s="2" t="str">
        <f t="shared" ref="AF12" si="7">IF(NOT(ISBLANK(AG12)),"_","")</f>
        <v>_</v>
      </c>
      <c r="AG12" s="2" t="s">
        <v>273</v>
      </c>
      <c r="AH12" s="2" t="str">
        <f t="shared" si="3"/>
        <v/>
      </c>
      <c r="AI12" s="2"/>
    </row>
    <row r="13" spans="1:35" x14ac:dyDescent="0.25">
      <c r="B13" s="2" t="str">
        <f t="shared" si="4"/>
        <v>@color-label_parking_no</v>
      </c>
      <c r="C13" s="39" t="s">
        <v>274</v>
      </c>
      <c r="D13" s="39" t="s">
        <v>274</v>
      </c>
      <c r="F13" s="39" t="s">
        <v>274</v>
      </c>
      <c r="G13" s="39" t="s">
        <v>274</v>
      </c>
      <c r="I13" s="39" t="s">
        <v>274</v>
      </c>
      <c r="J13" s="39" t="s">
        <v>274</v>
      </c>
      <c r="L13" s="39" t="s">
        <v>274</v>
      </c>
      <c r="M13" s="39" t="s">
        <v>274</v>
      </c>
      <c r="O13" s="39" t="s">
        <v>274</v>
      </c>
      <c r="R13" s="39" t="s">
        <v>274</v>
      </c>
      <c r="U13" s="39" t="s">
        <v>274</v>
      </c>
      <c r="V13" s="39" t="s">
        <v>274</v>
      </c>
      <c r="X13" s="39" t="s">
        <v>274</v>
      </c>
      <c r="Y13" s="39" t="s">
        <v>274</v>
      </c>
      <c r="AA13" s="2" t="s">
        <v>6</v>
      </c>
      <c r="AB13" s="2" t="str">
        <f t="shared" ref="AB13:AB14" si="8">IF(NOT(ISBLANK(AC13)),"-","")</f>
        <v>-</v>
      </c>
      <c r="AC13" s="2" t="s">
        <v>271</v>
      </c>
      <c r="AD13" s="2" t="str">
        <f t="shared" ref="AD13:AD14" si="9">IF(NOT(ISBLANK(AE13)),"_","")</f>
        <v>_</v>
      </c>
      <c r="AE13" s="2" t="s">
        <v>272</v>
      </c>
      <c r="AF13" s="2" t="str">
        <f t="shared" ref="AF13:AF14" si="10">IF(NOT(ISBLANK(AG13)),"_","")</f>
        <v>_</v>
      </c>
      <c r="AG13" s="2" t="s">
        <v>41</v>
      </c>
      <c r="AH13" s="2" t="str">
        <f t="shared" si="3"/>
        <v/>
      </c>
      <c r="AI13" s="2"/>
    </row>
    <row r="14" spans="1:35" x14ac:dyDescent="0.25">
      <c r="B14" s="2" t="str">
        <f t="shared" si="4"/>
        <v>@color-label_place_other</v>
      </c>
      <c r="C14" s="29" t="s">
        <v>278</v>
      </c>
      <c r="D14" s="29" t="s">
        <v>278</v>
      </c>
      <c r="F14" s="30" t="s">
        <v>279</v>
      </c>
      <c r="G14" s="38" t="s">
        <v>222</v>
      </c>
      <c r="I14" s="29" t="s">
        <v>278</v>
      </c>
      <c r="J14" s="29" t="s">
        <v>278</v>
      </c>
      <c r="L14" s="30" t="s">
        <v>279</v>
      </c>
      <c r="M14" s="38" t="s">
        <v>222</v>
      </c>
      <c r="U14" s="29" t="s">
        <v>278</v>
      </c>
      <c r="V14" s="29" t="s">
        <v>278</v>
      </c>
      <c r="X14" s="30" t="s">
        <v>279</v>
      </c>
      <c r="Y14" s="38" t="s">
        <v>222</v>
      </c>
      <c r="AA14" s="2" t="s">
        <v>6</v>
      </c>
      <c r="AB14" s="2" t="str">
        <f t="shared" si="8"/>
        <v>-</v>
      </c>
      <c r="AC14" s="2" t="s">
        <v>271</v>
      </c>
      <c r="AD14" s="2" t="str">
        <f t="shared" si="9"/>
        <v>_</v>
      </c>
      <c r="AE14" s="2" t="s">
        <v>276</v>
      </c>
      <c r="AF14" s="2" t="str">
        <f t="shared" si="10"/>
        <v>_</v>
      </c>
      <c r="AG14" s="2" t="s">
        <v>277</v>
      </c>
      <c r="AH14" s="2" t="str">
        <f t="shared" si="3"/>
        <v/>
      </c>
      <c r="AI14" s="2"/>
    </row>
    <row r="15" spans="1:35" x14ac:dyDescent="0.25">
      <c r="B15" s="2" t="str">
        <f t="shared" si="4"/>
        <v>@color-label_halo_place_other</v>
      </c>
      <c r="C15" s="31" t="s">
        <v>281</v>
      </c>
      <c r="D15" s="31" t="s">
        <v>281</v>
      </c>
      <c r="F15" s="32" t="s">
        <v>282</v>
      </c>
      <c r="G15" s="37" t="s">
        <v>214</v>
      </c>
      <c r="I15" s="31" t="s">
        <v>281</v>
      </c>
      <c r="J15" s="31" t="s">
        <v>281</v>
      </c>
      <c r="L15" s="32" t="s">
        <v>282</v>
      </c>
      <c r="M15" s="37" t="s">
        <v>214</v>
      </c>
      <c r="U15" s="31" t="s">
        <v>281</v>
      </c>
      <c r="V15" s="31" t="s">
        <v>281</v>
      </c>
      <c r="X15" s="32" t="s">
        <v>282</v>
      </c>
      <c r="Y15" s="37" t="s">
        <v>214</v>
      </c>
      <c r="AA15" s="2" t="s">
        <v>6</v>
      </c>
      <c r="AB15" s="2" t="str">
        <f t="shared" ref="AB15:AB16" si="11">IF(NOT(ISBLANK(AC15)),"-","")</f>
        <v>-</v>
      </c>
      <c r="AC15" s="2" t="s">
        <v>280</v>
      </c>
      <c r="AD15" s="2" t="str">
        <f t="shared" ref="AD15:AD16" si="12">IF(NOT(ISBLANK(AE15)),"_","")</f>
        <v>_</v>
      </c>
      <c r="AE15" s="2" t="s">
        <v>276</v>
      </c>
      <c r="AF15" s="2" t="str">
        <f t="shared" ref="AF15:AF16" si="13">IF(NOT(ISBLANK(AG15)),"_","")</f>
        <v>_</v>
      </c>
      <c r="AG15" s="2" t="s">
        <v>277</v>
      </c>
      <c r="AH15" s="2" t="str">
        <f t="shared" si="3"/>
        <v/>
      </c>
      <c r="AI15" s="2"/>
    </row>
    <row r="16" spans="1:35" x14ac:dyDescent="0.25">
      <c r="B16" s="2" t="str">
        <f t="shared" si="4"/>
        <v>@color-label_place_suburb_hamlet</v>
      </c>
      <c r="C16" s="29" t="s">
        <v>278</v>
      </c>
      <c r="D16" s="29" t="s">
        <v>278</v>
      </c>
      <c r="F16" s="30" t="s">
        <v>279</v>
      </c>
      <c r="G16" s="38" t="s">
        <v>222</v>
      </c>
      <c r="I16" s="29" t="s">
        <v>278</v>
      </c>
      <c r="J16" s="29" t="s">
        <v>278</v>
      </c>
      <c r="L16" s="30" t="s">
        <v>279</v>
      </c>
      <c r="M16" s="38" t="s">
        <v>222</v>
      </c>
      <c r="U16" s="29" t="s">
        <v>278</v>
      </c>
      <c r="V16" s="29" t="s">
        <v>278</v>
      </c>
      <c r="X16" s="30" t="s">
        <v>279</v>
      </c>
      <c r="Y16" s="38" t="s">
        <v>222</v>
      </c>
      <c r="AA16" s="2" t="s">
        <v>6</v>
      </c>
      <c r="AB16" s="2" t="str">
        <f t="shared" si="11"/>
        <v>-</v>
      </c>
      <c r="AC16" s="2" t="s">
        <v>271</v>
      </c>
      <c r="AD16" s="2" t="str">
        <f t="shared" si="12"/>
        <v>_</v>
      </c>
      <c r="AE16" s="2" t="s">
        <v>276</v>
      </c>
      <c r="AF16" s="2" t="str">
        <f t="shared" si="13"/>
        <v>_</v>
      </c>
      <c r="AG16" s="2" t="s">
        <v>283</v>
      </c>
      <c r="AH16" s="2" t="str">
        <f t="shared" si="3"/>
        <v/>
      </c>
      <c r="AI16" s="2"/>
    </row>
    <row r="17" spans="2:35" x14ac:dyDescent="0.25">
      <c r="B17" s="2" t="str">
        <f t="shared" si="4"/>
        <v>@color-label_halo_place_suburb_hamlet</v>
      </c>
      <c r="C17" s="31" t="s">
        <v>281</v>
      </c>
      <c r="D17" s="31" t="s">
        <v>281</v>
      </c>
      <c r="F17" s="32" t="s">
        <v>282</v>
      </c>
      <c r="G17" s="37" t="s">
        <v>214</v>
      </c>
      <c r="I17" s="31" t="s">
        <v>281</v>
      </c>
      <c r="J17" s="31" t="s">
        <v>281</v>
      </c>
      <c r="L17" s="32" t="s">
        <v>282</v>
      </c>
      <c r="M17" s="37" t="s">
        <v>214</v>
      </c>
      <c r="U17" s="31" t="s">
        <v>281</v>
      </c>
      <c r="V17" s="31" t="s">
        <v>281</v>
      </c>
      <c r="X17" s="32" t="s">
        <v>282</v>
      </c>
      <c r="Y17" s="37" t="s">
        <v>214</v>
      </c>
      <c r="AA17" s="2" t="s">
        <v>6</v>
      </c>
      <c r="AB17" s="2" t="str">
        <f t="shared" ref="AB17:AB18" si="14">IF(NOT(ISBLANK(AC17)),"-","")</f>
        <v>-</v>
      </c>
      <c r="AC17" s="2" t="s">
        <v>280</v>
      </c>
      <c r="AD17" s="2" t="str">
        <f t="shared" ref="AD17:AD18" si="15">IF(NOT(ISBLANK(AE17)),"_","")</f>
        <v>_</v>
      </c>
      <c r="AE17" s="2" t="s">
        <v>276</v>
      </c>
      <c r="AF17" s="2" t="str">
        <f t="shared" ref="AF17:AF18" si="16">IF(NOT(ISBLANK(AG17)),"_","")</f>
        <v>_</v>
      </c>
      <c r="AG17" s="2" t="s">
        <v>283</v>
      </c>
      <c r="AH17" s="2" t="str">
        <f t="shared" si="3"/>
        <v/>
      </c>
      <c r="AI17" s="2"/>
    </row>
    <row r="18" spans="2:35" x14ac:dyDescent="0.25">
      <c r="B18" s="2" t="str">
        <f t="shared" si="4"/>
        <v>@color-label_place_village</v>
      </c>
      <c r="C18" s="29" t="s">
        <v>278</v>
      </c>
      <c r="D18" s="29" t="s">
        <v>278</v>
      </c>
      <c r="F18" s="30" t="s">
        <v>279</v>
      </c>
      <c r="G18" s="38" t="s">
        <v>222</v>
      </c>
      <c r="I18" s="29" t="s">
        <v>278</v>
      </c>
      <c r="J18" s="29" t="s">
        <v>278</v>
      </c>
      <c r="L18" s="30" t="s">
        <v>279</v>
      </c>
      <c r="M18" s="38" t="s">
        <v>222</v>
      </c>
      <c r="U18" s="29" t="s">
        <v>278</v>
      </c>
      <c r="V18" s="29" t="s">
        <v>278</v>
      </c>
      <c r="X18" s="30" t="s">
        <v>279</v>
      </c>
      <c r="Y18" s="38" t="s">
        <v>222</v>
      </c>
      <c r="AA18" s="2" t="s">
        <v>6</v>
      </c>
      <c r="AB18" s="2" t="str">
        <f t="shared" si="14"/>
        <v>-</v>
      </c>
      <c r="AC18" s="2" t="s">
        <v>271</v>
      </c>
      <c r="AD18" s="2" t="str">
        <f t="shared" si="15"/>
        <v>_</v>
      </c>
      <c r="AE18" s="2" t="s">
        <v>276</v>
      </c>
      <c r="AF18" s="2" t="str">
        <f t="shared" si="16"/>
        <v>_</v>
      </c>
      <c r="AG18" s="2" t="s">
        <v>284</v>
      </c>
      <c r="AH18" s="2" t="str">
        <f t="shared" si="3"/>
        <v/>
      </c>
      <c r="AI18" s="2"/>
    </row>
    <row r="19" spans="2:35" x14ac:dyDescent="0.25">
      <c r="B19" s="2" t="str">
        <f t="shared" si="4"/>
        <v>@color-label_halo_place_village</v>
      </c>
      <c r="C19" s="31" t="s">
        <v>281</v>
      </c>
      <c r="D19" s="31" t="s">
        <v>281</v>
      </c>
      <c r="F19" s="32" t="s">
        <v>282</v>
      </c>
      <c r="G19" s="37" t="s">
        <v>214</v>
      </c>
      <c r="I19" s="31" t="s">
        <v>281</v>
      </c>
      <c r="J19" s="31" t="s">
        <v>281</v>
      </c>
      <c r="L19" s="32" t="s">
        <v>282</v>
      </c>
      <c r="M19" s="37" t="s">
        <v>214</v>
      </c>
      <c r="U19" s="31" t="s">
        <v>281</v>
      </c>
      <c r="V19" s="31" t="s">
        <v>281</v>
      </c>
      <c r="X19" s="32" t="s">
        <v>282</v>
      </c>
      <c r="Y19" s="37" t="s">
        <v>214</v>
      </c>
      <c r="AA19" s="2" t="s">
        <v>6</v>
      </c>
      <c r="AB19" s="2" t="str">
        <f t="shared" ref="AB19:AB20" si="17">IF(NOT(ISBLANK(AC19)),"-","")</f>
        <v>-</v>
      </c>
      <c r="AC19" s="2" t="s">
        <v>280</v>
      </c>
      <c r="AD19" s="2" t="str">
        <f t="shared" ref="AD19:AD20" si="18">IF(NOT(ISBLANK(AE19)),"_","")</f>
        <v>_</v>
      </c>
      <c r="AE19" s="2" t="s">
        <v>276</v>
      </c>
      <c r="AF19" s="2" t="str">
        <f t="shared" ref="AF19:AF20" si="19">IF(NOT(ISBLANK(AG19)),"_","")</f>
        <v>_</v>
      </c>
      <c r="AG19" s="2" t="s">
        <v>284</v>
      </c>
      <c r="AH19" s="2" t="str">
        <f t="shared" si="3"/>
        <v/>
      </c>
      <c r="AI19" s="2"/>
    </row>
    <row r="20" spans="2:35" x14ac:dyDescent="0.25">
      <c r="B20" s="2" t="str">
        <f t="shared" si="4"/>
        <v>@color-label_place_town</v>
      </c>
      <c r="C20" s="29" t="s">
        <v>278</v>
      </c>
      <c r="D20" s="29" t="s">
        <v>278</v>
      </c>
      <c r="F20" s="30" t="s">
        <v>279</v>
      </c>
      <c r="G20" s="38" t="s">
        <v>222</v>
      </c>
      <c r="I20" s="29" t="s">
        <v>278</v>
      </c>
      <c r="J20" s="29" t="s">
        <v>278</v>
      </c>
      <c r="L20" s="30" t="s">
        <v>279</v>
      </c>
      <c r="M20" s="38" t="s">
        <v>222</v>
      </c>
      <c r="U20" s="29" t="s">
        <v>278</v>
      </c>
      <c r="V20" s="29" t="s">
        <v>278</v>
      </c>
      <c r="X20" s="30" t="s">
        <v>279</v>
      </c>
      <c r="Y20" s="38" t="s">
        <v>222</v>
      </c>
      <c r="AA20" s="2" t="s">
        <v>6</v>
      </c>
      <c r="AB20" s="2" t="str">
        <f t="shared" si="17"/>
        <v>-</v>
      </c>
      <c r="AC20" s="2" t="s">
        <v>271</v>
      </c>
      <c r="AD20" s="2" t="str">
        <f t="shared" si="18"/>
        <v>_</v>
      </c>
      <c r="AE20" s="2" t="s">
        <v>276</v>
      </c>
      <c r="AF20" s="2" t="str">
        <f t="shared" si="19"/>
        <v>_</v>
      </c>
      <c r="AG20" s="2" t="s">
        <v>285</v>
      </c>
      <c r="AH20" s="2" t="str">
        <f t="shared" si="3"/>
        <v/>
      </c>
      <c r="AI20" s="2"/>
    </row>
    <row r="21" spans="2:35" x14ac:dyDescent="0.25">
      <c r="B21" s="2" t="str">
        <f t="shared" si="4"/>
        <v>@color-label_halo_place_town</v>
      </c>
      <c r="C21" s="31" t="s">
        <v>281</v>
      </c>
      <c r="D21" s="31" t="s">
        <v>281</v>
      </c>
      <c r="F21" s="32" t="s">
        <v>282</v>
      </c>
      <c r="G21" s="37" t="s">
        <v>214</v>
      </c>
      <c r="I21" s="31" t="s">
        <v>281</v>
      </c>
      <c r="J21" s="31" t="s">
        <v>281</v>
      </c>
      <c r="L21" s="32" t="s">
        <v>282</v>
      </c>
      <c r="M21" s="37" t="s">
        <v>214</v>
      </c>
      <c r="U21" s="31" t="s">
        <v>281</v>
      </c>
      <c r="V21" s="31" t="s">
        <v>281</v>
      </c>
      <c r="X21" s="32" t="s">
        <v>282</v>
      </c>
      <c r="Y21" s="37" t="s">
        <v>214</v>
      </c>
      <c r="AA21" s="2" t="s">
        <v>6</v>
      </c>
      <c r="AB21" s="2" t="str">
        <f t="shared" ref="AB21:AB22" si="20">IF(NOT(ISBLANK(AC21)),"-","")</f>
        <v>-</v>
      </c>
      <c r="AC21" s="2" t="s">
        <v>280</v>
      </c>
      <c r="AD21" s="2" t="str">
        <f t="shared" ref="AD21:AD22" si="21">IF(NOT(ISBLANK(AE21)),"_","")</f>
        <v>_</v>
      </c>
      <c r="AE21" s="2" t="s">
        <v>276</v>
      </c>
      <c r="AF21" s="2" t="str">
        <f t="shared" ref="AF21:AF22" si="22">IF(NOT(ISBLANK(AG21)),"_","")</f>
        <v>_</v>
      </c>
      <c r="AG21" s="2" t="s">
        <v>285</v>
      </c>
      <c r="AH21" s="2" t="str">
        <f t="shared" si="3"/>
        <v/>
      </c>
      <c r="AI21" s="2"/>
    </row>
    <row r="22" spans="2:35" x14ac:dyDescent="0.25">
      <c r="B22" s="2" t="str">
        <f t="shared" si="4"/>
        <v>@color-label_place_city</v>
      </c>
      <c r="C22" s="29" t="s">
        <v>278</v>
      </c>
      <c r="D22" s="29" t="s">
        <v>278</v>
      </c>
      <c r="F22" s="30" t="s">
        <v>279</v>
      </c>
      <c r="G22" s="38" t="s">
        <v>222</v>
      </c>
      <c r="I22" s="29" t="s">
        <v>278</v>
      </c>
      <c r="J22" s="29" t="s">
        <v>278</v>
      </c>
      <c r="L22" s="30" t="s">
        <v>279</v>
      </c>
      <c r="M22" s="38" t="s">
        <v>222</v>
      </c>
      <c r="U22" s="29" t="s">
        <v>278</v>
      </c>
      <c r="V22" s="29" t="s">
        <v>278</v>
      </c>
      <c r="X22" s="30" t="s">
        <v>279</v>
      </c>
      <c r="Y22" s="38" t="s">
        <v>222</v>
      </c>
      <c r="AA22" s="2" t="s">
        <v>6</v>
      </c>
      <c r="AB22" s="2" t="str">
        <f t="shared" si="20"/>
        <v>-</v>
      </c>
      <c r="AC22" s="2" t="s">
        <v>271</v>
      </c>
      <c r="AD22" s="2" t="str">
        <f t="shared" si="21"/>
        <v>_</v>
      </c>
      <c r="AE22" s="2" t="s">
        <v>276</v>
      </c>
      <c r="AF22" s="2" t="str">
        <f t="shared" si="22"/>
        <v>_</v>
      </c>
      <c r="AG22" s="2" t="s">
        <v>286</v>
      </c>
      <c r="AH22" s="2" t="str">
        <f t="shared" si="3"/>
        <v/>
      </c>
      <c r="AI22" s="2"/>
    </row>
    <row r="23" spans="2:35" x14ac:dyDescent="0.25">
      <c r="B23" s="2" t="str">
        <f t="shared" si="4"/>
        <v>@color-label_halo_place_city</v>
      </c>
      <c r="C23" s="31" t="s">
        <v>281</v>
      </c>
      <c r="D23" s="31" t="s">
        <v>281</v>
      </c>
      <c r="F23" s="32" t="s">
        <v>282</v>
      </c>
      <c r="G23" s="37" t="s">
        <v>214</v>
      </c>
      <c r="I23" s="31" t="s">
        <v>281</v>
      </c>
      <c r="J23" s="31" t="s">
        <v>281</v>
      </c>
      <c r="L23" s="32" t="s">
        <v>282</v>
      </c>
      <c r="M23" s="37" t="s">
        <v>214</v>
      </c>
      <c r="U23" s="31" t="s">
        <v>281</v>
      </c>
      <c r="V23" s="31" t="s">
        <v>281</v>
      </c>
      <c r="X23" s="32" t="s">
        <v>282</v>
      </c>
      <c r="Y23" s="37" t="s">
        <v>214</v>
      </c>
      <c r="AA23" s="2" t="s">
        <v>6</v>
      </c>
      <c r="AB23" s="2" t="str">
        <f t="shared" ref="AB23:AB24" si="23">IF(NOT(ISBLANK(AC23)),"-","")</f>
        <v>-</v>
      </c>
      <c r="AC23" s="2" t="s">
        <v>280</v>
      </c>
      <c r="AD23" s="2" t="str">
        <f t="shared" ref="AD23:AD24" si="24">IF(NOT(ISBLANK(AE23)),"_","")</f>
        <v>_</v>
      </c>
      <c r="AE23" s="2" t="s">
        <v>276</v>
      </c>
      <c r="AF23" s="2" t="str">
        <f t="shared" ref="AF23:AF24" si="25">IF(NOT(ISBLANK(AG23)),"_","")</f>
        <v>_</v>
      </c>
      <c r="AG23" s="2" t="s">
        <v>286</v>
      </c>
      <c r="AH23" s="2" t="str">
        <f t="shared" si="3"/>
        <v/>
      </c>
      <c r="AI23" s="2"/>
    </row>
    <row r="24" spans="2:35" x14ac:dyDescent="0.25">
      <c r="B24" s="2" t="str">
        <f t="shared" si="4"/>
        <v>@color-label_place_capital</v>
      </c>
      <c r="C24" s="29" t="s">
        <v>278</v>
      </c>
      <c r="D24" s="29" t="s">
        <v>278</v>
      </c>
      <c r="F24" s="30" t="s">
        <v>279</v>
      </c>
      <c r="G24" s="38" t="s">
        <v>222</v>
      </c>
      <c r="I24" s="29" t="s">
        <v>278</v>
      </c>
      <c r="J24" s="29" t="s">
        <v>278</v>
      </c>
      <c r="L24" s="30" t="s">
        <v>279</v>
      </c>
      <c r="M24" s="38" t="s">
        <v>222</v>
      </c>
      <c r="U24" s="29" t="s">
        <v>278</v>
      </c>
      <c r="V24" s="29" t="s">
        <v>278</v>
      </c>
      <c r="X24" s="30" t="s">
        <v>279</v>
      </c>
      <c r="Y24" s="38" t="s">
        <v>222</v>
      </c>
      <c r="AA24" s="2" t="s">
        <v>6</v>
      </c>
      <c r="AB24" s="2" t="str">
        <f t="shared" si="23"/>
        <v>-</v>
      </c>
      <c r="AC24" s="2" t="s">
        <v>271</v>
      </c>
      <c r="AD24" s="2" t="str">
        <f t="shared" si="24"/>
        <v>_</v>
      </c>
      <c r="AE24" s="2" t="s">
        <v>276</v>
      </c>
      <c r="AF24" s="2" t="str">
        <f t="shared" si="25"/>
        <v>_</v>
      </c>
      <c r="AG24" s="2" t="s">
        <v>287</v>
      </c>
      <c r="AH24" s="2" t="str">
        <f t="shared" si="3"/>
        <v/>
      </c>
      <c r="AI24" s="2"/>
    </row>
    <row r="25" spans="2:35" x14ac:dyDescent="0.25">
      <c r="B25" s="2" t="str">
        <f t="shared" si="4"/>
        <v>@color-label_halo_place_capital</v>
      </c>
      <c r="C25" s="31" t="s">
        <v>281</v>
      </c>
      <c r="D25" s="31" t="s">
        <v>281</v>
      </c>
      <c r="F25" s="32" t="s">
        <v>282</v>
      </c>
      <c r="G25" s="37" t="s">
        <v>214</v>
      </c>
      <c r="I25" s="31" t="s">
        <v>281</v>
      </c>
      <c r="J25" s="31" t="s">
        <v>281</v>
      </c>
      <c r="L25" s="32" t="s">
        <v>282</v>
      </c>
      <c r="M25" s="37" t="s">
        <v>214</v>
      </c>
      <c r="U25" s="31" t="s">
        <v>281</v>
      </c>
      <c r="V25" s="31" t="s">
        <v>281</v>
      </c>
      <c r="X25" s="32" t="s">
        <v>282</v>
      </c>
      <c r="Y25" s="37" t="s">
        <v>214</v>
      </c>
      <c r="AA25" s="2" t="s">
        <v>6</v>
      </c>
      <c r="AB25" s="2" t="str">
        <f t="shared" ref="AB25:AB43" si="26">IF(NOT(ISBLANK(AC25)),"-","")</f>
        <v>-</v>
      </c>
      <c r="AC25" s="2" t="s">
        <v>280</v>
      </c>
      <c r="AD25" s="2" t="str">
        <f t="shared" ref="AD25:AD43" si="27">IF(NOT(ISBLANK(AE25)),"_","")</f>
        <v>_</v>
      </c>
      <c r="AE25" s="2" t="s">
        <v>276</v>
      </c>
      <c r="AF25" s="2" t="str">
        <f t="shared" ref="AF25:AF43" si="28">IF(NOT(ISBLANK(AG25)),"_","")</f>
        <v>_</v>
      </c>
      <c r="AG25" s="2" t="s">
        <v>287</v>
      </c>
      <c r="AH25" s="2" t="str">
        <f t="shared" si="3"/>
        <v/>
      </c>
      <c r="AI25" s="2"/>
    </row>
    <row r="26" spans="2:35" x14ac:dyDescent="0.25">
      <c r="B26" s="2" t="str">
        <f t="shared" si="4"/>
        <v>@color-label_place_state</v>
      </c>
      <c r="C26" s="161" t="s">
        <v>302</v>
      </c>
      <c r="D26" s="161" t="s">
        <v>302</v>
      </c>
      <c r="F26" s="162" t="s">
        <v>303</v>
      </c>
      <c r="G26" s="38" t="s">
        <v>222</v>
      </c>
      <c r="I26" s="161" t="s">
        <v>302</v>
      </c>
      <c r="J26" s="161" t="s">
        <v>302</v>
      </c>
      <c r="L26" s="162" t="s">
        <v>303</v>
      </c>
      <c r="M26" s="38" t="s">
        <v>222</v>
      </c>
      <c r="U26" s="161" t="s">
        <v>302</v>
      </c>
      <c r="V26" s="161" t="s">
        <v>302</v>
      </c>
      <c r="X26" s="162" t="s">
        <v>303</v>
      </c>
      <c r="Y26" s="38" t="s">
        <v>222</v>
      </c>
      <c r="AA26" s="2" t="s">
        <v>6</v>
      </c>
      <c r="AB26" s="2" t="str">
        <f t="shared" si="26"/>
        <v>-</v>
      </c>
      <c r="AC26" s="2" t="s">
        <v>271</v>
      </c>
      <c r="AD26" s="2" t="str">
        <f t="shared" si="27"/>
        <v>_</v>
      </c>
      <c r="AE26" s="2" t="s">
        <v>276</v>
      </c>
      <c r="AF26" s="2" t="str">
        <f t="shared" si="28"/>
        <v>_</v>
      </c>
      <c r="AG26" s="2" t="s">
        <v>301</v>
      </c>
      <c r="AH26" s="2" t="str">
        <f t="shared" si="3"/>
        <v/>
      </c>
      <c r="AI26" s="2"/>
    </row>
    <row r="27" spans="2:35" x14ac:dyDescent="0.25">
      <c r="B27" s="2" t="str">
        <f t="shared" si="4"/>
        <v>@color-label_halo_place_state</v>
      </c>
      <c r="C27" s="31" t="s">
        <v>281</v>
      </c>
      <c r="D27" s="31" t="s">
        <v>281</v>
      </c>
      <c r="F27" s="32" t="s">
        <v>282</v>
      </c>
      <c r="G27" s="37" t="s">
        <v>214</v>
      </c>
      <c r="I27" s="31" t="s">
        <v>281</v>
      </c>
      <c r="J27" s="31" t="s">
        <v>281</v>
      </c>
      <c r="L27" s="32" t="s">
        <v>282</v>
      </c>
      <c r="M27" s="37" t="s">
        <v>214</v>
      </c>
      <c r="U27" s="31" t="s">
        <v>281</v>
      </c>
      <c r="V27" s="31" t="s">
        <v>281</v>
      </c>
      <c r="X27" s="32" t="s">
        <v>282</v>
      </c>
      <c r="Y27" s="37" t="s">
        <v>214</v>
      </c>
      <c r="AA27" s="2" t="s">
        <v>6</v>
      </c>
      <c r="AB27" s="2" t="str">
        <f t="shared" ref="AB27:AB28" si="29">IF(NOT(ISBLANK(AC27)),"-","")</f>
        <v>-</v>
      </c>
      <c r="AC27" s="2" t="s">
        <v>280</v>
      </c>
      <c r="AD27" s="2" t="str">
        <f t="shared" ref="AD27:AD28" si="30">IF(NOT(ISBLANK(AE27)),"_","")</f>
        <v>_</v>
      </c>
      <c r="AE27" s="2" t="s">
        <v>276</v>
      </c>
      <c r="AF27" s="2" t="str">
        <f t="shared" ref="AF27:AF28" si="31">IF(NOT(ISBLANK(AG27)),"_","")</f>
        <v>_</v>
      </c>
      <c r="AG27" s="2" t="s">
        <v>301</v>
      </c>
      <c r="AH27" s="2" t="str">
        <f t="shared" si="3"/>
        <v/>
      </c>
      <c r="AI27" s="2"/>
    </row>
    <row r="28" spans="2:35" x14ac:dyDescent="0.25">
      <c r="B28" s="2" t="str">
        <f t="shared" si="4"/>
        <v>@color-label_place_country_other</v>
      </c>
      <c r="C28" s="163" t="s">
        <v>304</v>
      </c>
      <c r="D28" s="163" t="s">
        <v>304</v>
      </c>
      <c r="F28" s="164" t="s">
        <v>305</v>
      </c>
      <c r="G28" s="38" t="s">
        <v>222</v>
      </c>
      <c r="I28" s="163" t="s">
        <v>304</v>
      </c>
      <c r="J28" s="163" t="s">
        <v>304</v>
      </c>
      <c r="L28" s="164" t="s">
        <v>305</v>
      </c>
      <c r="M28" s="38" t="s">
        <v>222</v>
      </c>
      <c r="U28" s="163" t="s">
        <v>304</v>
      </c>
      <c r="V28" s="163" t="s">
        <v>304</v>
      </c>
      <c r="X28" s="164" t="s">
        <v>305</v>
      </c>
      <c r="Y28" s="38" t="s">
        <v>222</v>
      </c>
      <c r="AA28" s="2" t="s">
        <v>6</v>
      </c>
      <c r="AB28" s="2" t="str">
        <f t="shared" si="29"/>
        <v>-</v>
      </c>
      <c r="AC28" s="2" t="s">
        <v>271</v>
      </c>
      <c r="AD28" s="2" t="str">
        <f t="shared" si="30"/>
        <v>_</v>
      </c>
      <c r="AE28" s="2" t="s">
        <v>276</v>
      </c>
      <c r="AF28" s="2" t="str">
        <f t="shared" si="31"/>
        <v>_</v>
      </c>
      <c r="AG28" s="2" t="s">
        <v>312</v>
      </c>
      <c r="AH28" s="2" t="str">
        <f t="shared" si="3"/>
        <v>_</v>
      </c>
      <c r="AI28" s="2" t="s">
        <v>277</v>
      </c>
    </row>
    <row r="29" spans="2:35" x14ac:dyDescent="0.25">
      <c r="B29" s="2" t="str">
        <f t="shared" si="4"/>
        <v>@color-label_halo_place_country_other</v>
      </c>
      <c r="C29" s="31" t="s">
        <v>281</v>
      </c>
      <c r="D29" s="31" t="s">
        <v>281</v>
      </c>
      <c r="F29" s="32" t="s">
        <v>282</v>
      </c>
      <c r="G29" s="37" t="s">
        <v>214</v>
      </c>
      <c r="I29" s="31" t="s">
        <v>281</v>
      </c>
      <c r="J29" s="31" t="s">
        <v>281</v>
      </c>
      <c r="L29" s="32" t="s">
        <v>282</v>
      </c>
      <c r="M29" s="37" t="s">
        <v>214</v>
      </c>
      <c r="U29" s="31" t="s">
        <v>281</v>
      </c>
      <c r="V29" s="31" t="s">
        <v>281</v>
      </c>
      <c r="X29" s="32" t="s">
        <v>282</v>
      </c>
      <c r="Y29" s="37" t="s">
        <v>214</v>
      </c>
      <c r="AA29" s="2" t="s">
        <v>6</v>
      </c>
      <c r="AB29" s="2" t="str">
        <f t="shared" ref="AB29:AB30" si="32">IF(NOT(ISBLANK(AC29)),"-","")</f>
        <v>-</v>
      </c>
      <c r="AC29" s="2" t="s">
        <v>280</v>
      </c>
      <c r="AD29" s="2" t="str">
        <f t="shared" ref="AD29:AD30" si="33">IF(NOT(ISBLANK(AE29)),"_","")</f>
        <v>_</v>
      </c>
      <c r="AE29" s="2" t="s">
        <v>276</v>
      </c>
      <c r="AF29" s="2" t="str">
        <f t="shared" ref="AF29:AF30" si="34">IF(NOT(ISBLANK(AG29)),"_","")</f>
        <v>_</v>
      </c>
      <c r="AG29" s="2" t="s">
        <v>312</v>
      </c>
      <c r="AH29" s="2" t="str">
        <f t="shared" si="3"/>
        <v>_</v>
      </c>
      <c r="AI29" s="2" t="s">
        <v>277</v>
      </c>
    </row>
    <row r="30" spans="2:35" x14ac:dyDescent="0.25">
      <c r="B30" s="2" t="str">
        <f t="shared" si="4"/>
        <v>@color-label_place_country_minor</v>
      </c>
      <c r="C30" s="163" t="s">
        <v>304</v>
      </c>
      <c r="D30" s="163" t="s">
        <v>304</v>
      </c>
      <c r="F30" s="164" t="s">
        <v>305</v>
      </c>
      <c r="G30" s="38" t="s">
        <v>222</v>
      </c>
      <c r="I30" s="163" t="s">
        <v>304</v>
      </c>
      <c r="J30" s="163" t="s">
        <v>304</v>
      </c>
      <c r="L30" s="164" t="s">
        <v>305</v>
      </c>
      <c r="M30" s="38" t="s">
        <v>222</v>
      </c>
      <c r="U30" s="163" t="s">
        <v>304</v>
      </c>
      <c r="V30" s="163" t="s">
        <v>304</v>
      </c>
      <c r="X30" s="164" t="s">
        <v>305</v>
      </c>
      <c r="Y30" s="38" t="s">
        <v>222</v>
      </c>
      <c r="AA30" s="2" t="s">
        <v>6</v>
      </c>
      <c r="AB30" s="2" t="str">
        <f t="shared" si="32"/>
        <v>-</v>
      </c>
      <c r="AC30" s="2" t="s">
        <v>271</v>
      </c>
      <c r="AD30" s="2" t="str">
        <f t="shared" si="33"/>
        <v>_</v>
      </c>
      <c r="AE30" s="2" t="s">
        <v>276</v>
      </c>
      <c r="AF30" s="2" t="str">
        <f t="shared" si="34"/>
        <v>_</v>
      </c>
      <c r="AG30" s="2" t="s">
        <v>312</v>
      </c>
      <c r="AH30" s="2" t="str">
        <f t="shared" si="3"/>
        <v>_</v>
      </c>
      <c r="AI30" s="2" t="s">
        <v>31</v>
      </c>
    </row>
    <row r="31" spans="2:35" x14ac:dyDescent="0.25">
      <c r="B31" s="2" t="str">
        <f t="shared" si="4"/>
        <v>@color-label_halo_place_country_minor</v>
      </c>
      <c r="C31" s="31" t="s">
        <v>281</v>
      </c>
      <c r="D31" s="31" t="s">
        <v>281</v>
      </c>
      <c r="F31" s="32" t="s">
        <v>282</v>
      </c>
      <c r="G31" s="37" t="s">
        <v>214</v>
      </c>
      <c r="I31" s="31" t="s">
        <v>281</v>
      </c>
      <c r="J31" s="31" t="s">
        <v>281</v>
      </c>
      <c r="L31" s="32" t="s">
        <v>282</v>
      </c>
      <c r="M31" s="37" t="s">
        <v>214</v>
      </c>
      <c r="U31" s="31" t="s">
        <v>281</v>
      </c>
      <c r="V31" s="31" t="s">
        <v>281</v>
      </c>
      <c r="X31" s="32" t="s">
        <v>282</v>
      </c>
      <c r="Y31" s="37" t="s">
        <v>214</v>
      </c>
      <c r="AA31" s="2" t="s">
        <v>6</v>
      </c>
      <c r="AB31" s="2" t="str">
        <f t="shared" ref="AB31:AB32" si="35">IF(NOT(ISBLANK(AC31)),"-","")</f>
        <v>-</v>
      </c>
      <c r="AC31" s="2" t="s">
        <v>280</v>
      </c>
      <c r="AD31" s="2" t="str">
        <f t="shared" ref="AD31:AD32" si="36">IF(NOT(ISBLANK(AE31)),"_","")</f>
        <v>_</v>
      </c>
      <c r="AE31" s="2" t="s">
        <v>276</v>
      </c>
      <c r="AF31" s="2" t="str">
        <f t="shared" ref="AF31:AF32" si="37">IF(NOT(ISBLANK(AG31)),"_","")</f>
        <v>_</v>
      </c>
      <c r="AG31" s="2" t="s">
        <v>312</v>
      </c>
      <c r="AH31" s="2" t="str">
        <f t="shared" si="3"/>
        <v>_</v>
      </c>
      <c r="AI31" s="2" t="s">
        <v>31</v>
      </c>
    </row>
    <row r="32" spans="2:35" x14ac:dyDescent="0.25">
      <c r="B32" s="2" t="str">
        <f t="shared" si="4"/>
        <v>@color-label_place_country_medium</v>
      </c>
      <c r="C32" s="163" t="s">
        <v>304</v>
      </c>
      <c r="D32" s="163" t="s">
        <v>304</v>
      </c>
      <c r="F32" s="164" t="s">
        <v>305</v>
      </c>
      <c r="G32" s="38" t="s">
        <v>222</v>
      </c>
      <c r="I32" s="163" t="s">
        <v>304</v>
      </c>
      <c r="J32" s="163" t="s">
        <v>304</v>
      </c>
      <c r="L32" s="164" t="s">
        <v>305</v>
      </c>
      <c r="M32" s="38" t="s">
        <v>222</v>
      </c>
      <c r="U32" s="163" t="s">
        <v>304</v>
      </c>
      <c r="V32" s="163" t="s">
        <v>304</v>
      </c>
      <c r="X32" s="164" t="s">
        <v>305</v>
      </c>
      <c r="Y32" s="38" t="s">
        <v>222</v>
      </c>
      <c r="AA32" s="2" t="s">
        <v>6</v>
      </c>
      <c r="AB32" s="2" t="str">
        <f t="shared" si="35"/>
        <v>-</v>
      </c>
      <c r="AC32" s="2" t="s">
        <v>271</v>
      </c>
      <c r="AD32" s="2" t="str">
        <f t="shared" si="36"/>
        <v>_</v>
      </c>
      <c r="AE32" s="2" t="s">
        <v>276</v>
      </c>
      <c r="AF32" s="2" t="str">
        <f t="shared" si="37"/>
        <v>_</v>
      </c>
      <c r="AG32" s="2" t="s">
        <v>312</v>
      </c>
      <c r="AH32" s="2" t="str">
        <f t="shared" si="3"/>
        <v>_</v>
      </c>
      <c r="AI32" s="2" t="s">
        <v>79</v>
      </c>
    </row>
    <row r="33" spans="2:35" x14ac:dyDescent="0.25">
      <c r="B33" s="2" t="str">
        <f t="shared" si="4"/>
        <v>@color-label_halo_place_country_medium</v>
      </c>
      <c r="C33" s="31" t="s">
        <v>281</v>
      </c>
      <c r="D33" s="31" t="s">
        <v>281</v>
      </c>
      <c r="F33" s="32" t="s">
        <v>282</v>
      </c>
      <c r="G33" s="37" t="s">
        <v>214</v>
      </c>
      <c r="I33" s="31" t="s">
        <v>281</v>
      </c>
      <c r="J33" s="31" t="s">
        <v>281</v>
      </c>
      <c r="L33" s="32" t="s">
        <v>282</v>
      </c>
      <c r="M33" s="37" t="s">
        <v>214</v>
      </c>
      <c r="U33" s="31" t="s">
        <v>281</v>
      </c>
      <c r="V33" s="31" t="s">
        <v>281</v>
      </c>
      <c r="X33" s="32" t="s">
        <v>282</v>
      </c>
      <c r="Y33" s="37" t="s">
        <v>214</v>
      </c>
      <c r="AA33" s="2" t="s">
        <v>6</v>
      </c>
      <c r="AB33" s="2" t="str">
        <f t="shared" ref="AB33:AB34" si="38">IF(NOT(ISBLANK(AC33)),"-","")</f>
        <v>-</v>
      </c>
      <c r="AC33" s="2" t="s">
        <v>280</v>
      </c>
      <c r="AD33" s="2" t="str">
        <f t="shared" ref="AD33:AD34" si="39">IF(NOT(ISBLANK(AE33)),"_","")</f>
        <v>_</v>
      </c>
      <c r="AE33" s="2" t="s">
        <v>276</v>
      </c>
      <c r="AF33" s="2" t="str">
        <f t="shared" ref="AF33:AF34" si="40">IF(NOT(ISBLANK(AG33)),"_","")</f>
        <v>_</v>
      </c>
      <c r="AG33" s="2" t="s">
        <v>312</v>
      </c>
      <c r="AH33" s="2" t="str">
        <f t="shared" si="3"/>
        <v>_</v>
      </c>
      <c r="AI33" s="2" t="s">
        <v>79</v>
      </c>
    </row>
    <row r="34" spans="2:35" x14ac:dyDescent="0.25">
      <c r="B34" s="2" t="str">
        <f t="shared" si="4"/>
        <v>@color-label_place_country_major</v>
      </c>
      <c r="C34" s="163" t="s">
        <v>304</v>
      </c>
      <c r="D34" s="163" t="s">
        <v>304</v>
      </c>
      <c r="F34" s="164" t="s">
        <v>305</v>
      </c>
      <c r="G34" s="38" t="s">
        <v>222</v>
      </c>
      <c r="I34" s="163" t="s">
        <v>304</v>
      </c>
      <c r="J34" s="163" t="s">
        <v>304</v>
      </c>
      <c r="L34" s="164" t="s">
        <v>305</v>
      </c>
      <c r="M34" s="38" t="s">
        <v>222</v>
      </c>
      <c r="U34" s="163" t="s">
        <v>304</v>
      </c>
      <c r="V34" s="163" t="s">
        <v>304</v>
      </c>
      <c r="X34" s="164" t="s">
        <v>305</v>
      </c>
      <c r="Y34" s="38" t="s">
        <v>222</v>
      </c>
      <c r="AA34" s="2" t="s">
        <v>6</v>
      </c>
      <c r="AB34" s="2" t="str">
        <f t="shared" si="38"/>
        <v>-</v>
      </c>
      <c r="AC34" s="2" t="s">
        <v>271</v>
      </c>
      <c r="AD34" s="2" t="str">
        <f t="shared" si="39"/>
        <v>_</v>
      </c>
      <c r="AE34" s="2" t="s">
        <v>276</v>
      </c>
      <c r="AF34" s="2" t="str">
        <f t="shared" si="40"/>
        <v>_</v>
      </c>
      <c r="AG34" s="2" t="s">
        <v>312</v>
      </c>
      <c r="AH34" s="2" t="str">
        <f t="shared" si="3"/>
        <v>_</v>
      </c>
      <c r="AI34" s="2" t="s">
        <v>311</v>
      </c>
    </row>
    <row r="35" spans="2:35" x14ac:dyDescent="0.25">
      <c r="B35" s="2" t="str">
        <f t="shared" si="4"/>
        <v>@color-label_halo_place_country_major</v>
      </c>
      <c r="C35" s="31" t="s">
        <v>281</v>
      </c>
      <c r="D35" s="31" t="s">
        <v>281</v>
      </c>
      <c r="F35" s="32" t="s">
        <v>282</v>
      </c>
      <c r="G35" s="37" t="s">
        <v>214</v>
      </c>
      <c r="I35" s="31" t="s">
        <v>281</v>
      </c>
      <c r="J35" s="31" t="s">
        <v>281</v>
      </c>
      <c r="L35" s="32" t="s">
        <v>282</v>
      </c>
      <c r="M35" s="37" t="s">
        <v>214</v>
      </c>
      <c r="U35" s="31" t="s">
        <v>281</v>
      </c>
      <c r="V35" s="31" t="s">
        <v>281</v>
      </c>
      <c r="X35" s="32" t="s">
        <v>282</v>
      </c>
      <c r="Y35" s="37" t="s">
        <v>214</v>
      </c>
      <c r="AA35" s="2" t="s">
        <v>6</v>
      </c>
      <c r="AB35" s="2" t="str">
        <f t="shared" ref="AB35" si="41">IF(NOT(ISBLANK(AC35)),"-","")</f>
        <v>-</v>
      </c>
      <c r="AC35" s="2" t="s">
        <v>280</v>
      </c>
      <c r="AD35" s="2" t="str">
        <f t="shared" ref="AD35" si="42">IF(NOT(ISBLANK(AE35)),"_","")</f>
        <v>_</v>
      </c>
      <c r="AE35" s="2" t="s">
        <v>276</v>
      </c>
      <c r="AF35" s="2" t="str">
        <f t="shared" ref="AF35" si="43">IF(NOT(ISBLANK(AG35)),"_","")</f>
        <v>_</v>
      </c>
      <c r="AG35" s="2" t="s">
        <v>312</v>
      </c>
      <c r="AH35" s="2" t="str">
        <f t="shared" si="3"/>
        <v>_</v>
      </c>
      <c r="AI35" s="2" t="s">
        <v>311</v>
      </c>
    </row>
    <row r="36" spans="2:35" x14ac:dyDescent="0.25">
      <c r="B36" s="2" t="str">
        <f t="shared" si="4"/>
        <v>@color-label_place_protected_area</v>
      </c>
      <c r="C36" s="159" t="s">
        <v>299</v>
      </c>
      <c r="D36" s="159" t="s">
        <v>299</v>
      </c>
      <c r="F36" s="160" t="s">
        <v>300</v>
      </c>
      <c r="G36" s="38" t="s">
        <v>222</v>
      </c>
      <c r="I36" s="159" t="s">
        <v>299</v>
      </c>
      <c r="J36" s="159" t="s">
        <v>299</v>
      </c>
      <c r="L36" s="160" t="s">
        <v>300</v>
      </c>
      <c r="M36" s="38" t="s">
        <v>222</v>
      </c>
      <c r="U36" s="159" t="s">
        <v>299</v>
      </c>
      <c r="V36" s="159" t="s">
        <v>299</v>
      </c>
      <c r="X36" s="160" t="s">
        <v>300</v>
      </c>
      <c r="Y36" s="38" t="s">
        <v>222</v>
      </c>
      <c r="AA36" s="2" t="s">
        <v>6</v>
      </c>
      <c r="AB36" s="2" t="str">
        <f t="shared" si="26"/>
        <v>-</v>
      </c>
      <c r="AC36" s="2" t="s">
        <v>271</v>
      </c>
      <c r="AD36" s="2" t="str">
        <f t="shared" si="27"/>
        <v>_</v>
      </c>
      <c r="AE36" s="2" t="s">
        <v>276</v>
      </c>
      <c r="AF36" s="2" t="str">
        <f t="shared" si="28"/>
        <v>_</v>
      </c>
      <c r="AG36" s="2" t="s">
        <v>298</v>
      </c>
      <c r="AH36" s="2" t="str">
        <f t="shared" si="3"/>
        <v/>
      </c>
      <c r="AI36" s="2"/>
    </row>
    <row r="37" spans="2:35" x14ac:dyDescent="0.25">
      <c r="B37" s="2" t="str">
        <f t="shared" si="4"/>
        <v>@color-label_halo_place_protected_area</v>
      </c>
      <c r="C37" s="38" t="s">
        <v>222</v>
      </c>
      <c r="D37" s="38" t="s">
        <v>222</v>
      </c>
      <c r="F37" s="37" t="s">
        <v>214</v>
      </c>
      <c r="G37" s="37" t="s">
        <v>214</v>
      </c>
      <c r="I37" s="38" t="s">
        <v>222</v>
      </c>
      <c r="J37" s="38" t="s">
        <v>222</v>
      </c>
      <c r="L37" s="37" t="s">
        <v>214</v>
      </c>
      <c r="M37" s="37" t="s">
        <v>214</v>
      </c>
      <c r="U37" s="38" t="s">
        <v>222</v>
      </c>
      <c r="V37" s="38" t="s">
        <v>222</v>
      </c>
      <c r="X37" s="37" t="s">
        <v>214</v>
      </c>
      <c r="Y37" s="37" t="s">
        <v>214</v>
      </c>
      <c r="AA37" s="2" t="s">
        <v>6</v>
      </c>
      <c r="AB37" s="2" t="str">
        <f t="shared" ref="AB37:AB38" si="44">IF(NOT(ISBLANK(AC37)),"-","")</f>
        <v>-</v>
      </c>
      <c r="AC37" s="2" t="s">
        <v>280</v>
      </c>
      <c r="AD37" s="2" t="str">
        <f t="shared" ref="AD37:AD38" si="45">IF(NOT(ISBLANK(AE37)),"_","")</f>
        <v>_</v>
      </c>
      <c r="AE37" s="2" t="s">
        <v>276</v>
      </c>
      <c r="AF37" s="2" t="str">
        <f t="shared" ref="AF37:AF38" si="46">IF(NOT(ISBLANK(AG37)),"_","")</f>
        <v>_</v>
      </c>
      <c r="AG37" s="2" t="s">
        <v>298</v>
      </c>
      <c r="AH37" s="2" t="str">
        <f t="shared" si="3"/>
        <v/>
      </c>
      <c r="AI37" s="2"/>
    </row>
    <row r="38" spans="2:35" x14ac:dyDescent="0.25">
      <c r="B38" s="2" t="str">
        <f t="shared" si="4"/>
        <v>@color-label_place_poi-level_123_and_additions_farzoom</v>
      </c>
      <c r="C38" s="159" t="s">
        <v>299</v>
      </c>
      <c r="D38" s="159" t="s">
        <v>299</v>
      </c>
      <c r="F38" s="160" t="s">
        <v>300</v>
      </c>
      <c r="G38" s="38" t="s">
        <v>222</v>
      </c>
      <c r="I38" s="159" t="s">
        <v>299</v>
      </c>
      <c r="J38" s="159" t="s">
        <v>299</v>
      </c>
      <c r="L38" s="160" t="s">
        <v>300</v>
      </c>
      <c r="M38" s="38" t="s">
        <v>222</v>
      </c>
      <c r="U38" s="159" t="s">
        <v>299</v>
      </c>
      <c r="V38" s="159" t="s">
        <v>299</v>
      </c>
      <c r="X38" s="160" t="s">
        <v>300</v>
      </c>
      <c r="Y38" s="38" t="s">
        <v>222</v>
      </c>
      <c r="AA38" s="2" t="s">
        <v>6</v>
      </c>
      <c r="AB38" s="2" t="str">
        <f t="shared" si="44"/>
        <v>-</v>
      </c>
      <c r="AC38" s="2" t="s">
        <v>271</v>
      </c>
      <c r="AD38" s="2" t="str">
        <f t="shared" si="45"/>
        <v>_</v>
      </c>
      <c r="AE38" s="2" t="s">
        <v>276</v>
      </c>
      <c r="AF38" s="2" t="str">
        <f t="shared" si="46"/>
        <v>_</v>
      </c>
      <c r="AG38" s="2" t="s">
        <v>306</v>
      </c>
      <c r="AH38" s="2" t="str">
        <f t="shared" si="3"/>
        <v/>
      </c>
      <c r="AI38" s="2"/>
    </row>
    <row r="39" spans="2:35" x14ac:dyDescent="0.25">
      <c r="B39" s="2" t="str">
        <f t="shared" si="4"/>
        <v>@color-label_place_poi-level_123_and_additions_default</v>
      </c>
      <c r="C39" s="35" t="s">
        <v>294</v>
      </c>
      <c r="D39" s="35" t="s">
        <v>294</v>
      </c>
      <c r="F39" s="36" t="s">
        <v>295</v>
      </c>
      <c r="G39" s="38" t="s">
        <v>222</v>
      </c>
      <c r="I39" s="35" t="s">
        <v>294</v>
      </c>
      <c r="J39" s="35" t="s">
        <v>294</v>
      </c>
      <c r="L39" s="36" t="s">
        <v>295</v>
      </c>
      <c r="M39" s="38" t="s">
        <v>222</v>
      </c>
      <c r="U39" s="35" t="s">
        <v>294</v>
      </c>
      <c r="V39" s="35" t="s">
        <v>294</v>
      </c>
      <c r="X39" s="36" t="s">
        <v>295</v>
      </c>
      <c r="Y39" s="38" t="s">
        <v>222</v>
      </c>
      <c r="AA39" s="2" t="s">
        <v>6</v>
      </c>
      <c r="AB39" s="2" t="str">
        <f t="shared" ref="AB39" si="47">IF(NOT(ISBLANK(AC39)),"-","")</f>
        <v>-</v>
      </c>
      <c r="AC39" s="2" t="s">
        <v>271</v>
      </c>
      <c r="AD39" s="2" t="str">
        <f t="shared" ref="AD39" si="48">IF(NOT(ISBLANK(AE39)),"_","")</f>
        <v>_</v>
      </c>
      <c r="AE39" s="2" t="s">
        <v>276</v>
      </c>
      <c r="AF39" s="2" t="str">
        <f t="shared" ref="AF39" si="49">IF(NOT(ISBLANK(AG39)),"_","")</f>
        <v>_</v>
      </c>
      <c r="AG39" s="2" t="s">
        <v>307</v>
      </c>
      <c r="AH39" s="2" t="str">
        <f t="shared" si="3"/>
        <v/>
      </c>
      <c r="AI39" s="2"/>
    </row>
    <row r="40" spans="2:35" x14ac:dyDescent="0.25">
      <c r="B40" s="2" t="str">
        <f t="shared" si="4"/>
        <v>@color-label_halo_place_poi-level_123_and_additions</v>
      </c>
      <c r="C40" s="38" t="s">
        <v>222</v>
      </c>
      <c r="D40" s="38" t="s">
        <v>222</v>
      </c>
      <c r="F40" s="37" t="s">
        <v>214</v>
      </c>
      <c r="G40" s="37" t="s">
        <v>214</v>
      </c>
      <c r="I40" s="38" t="s">
        <v>222</v>
      </c>
      <c r="J40" s="38" t="s">
        <v>222</v>
      </c>
      <c r="L40" s="37" t="s">
        <v>214</v>
      </c>
      <c r="M40" s="37" t="s">
        <v>214</v>
      </c>
      <c r="U40" s="38" t="s">
        <v>222</v>
      </c>
      <c r="V40" s="38" t="s">
        <v>222</v>
      </c>
      <c r="X40" s="37" t="s">
        <v>214</v>
      </c>
      <c r="Y40" s="37" t="s">
        <v>214</v>
      </c>
      <c r="AA40" s="2" t="s">
        <v>6</v>
      </c>
      <c r="AB40" s="2" t="str">
        <f t="shared" ref="AB40" si="50">IF(NOT(ISBLANK(AC40)),"-","")</f>
        <v>-</v>
      </c>
      <c r="AC40" s="2" t="s">
        <v>280</v>
      </c>
      <c r="AD40" s="2" t="str">
        <f t="shared" ref="AD40" si="51">IF(NOT(ISBLANK(AE40)),"_","")</f>
        <v>_</v>
      </c>
      <c r="AE40" s="2" t="s">
        <v>276</v>
      </c>
      <c r="AF40" s="2" t="str">
        <f t="shared" ref="AF40" si="52">IF(NOT(ISBLANK(AG40)),"_","")</f>
        <v>_</v>
      </c>
      <c r="AG40" s="2" t="s">
        <v>308</v>
      </c>
      <c r="AH40" s="2" t="str">
        <f t="shared" si="3"/>
        <v/>
      </c>
      <c r="AI40" s="2"/>
    </row>
    <row r="41" spans="2:35" x14ac:dyDescent="0.25">
      <c r="AA41" s="2"/>
      <c r="AB41" s="2"/>
      <c r="AC41" s="2"/>
      <c r="AD41" s="2"/>
      <c r="AE41" s="2"/>
      <c r="AF41" s="2"/>
      <c r="AG41" s="2"/>
      <c r="AH41" s="2"/>
      <c r="AI41" s="2"/>
    </row>
    <row r="42" spans="2:35" x14ac:dyDescent="0.25">
      <c r="B42" s="2" t="str">
        <f t="shared" ref="B42:B44" si="53">_xlfn.CONCAT("@",AA42,AB42,AC42,AD42,AE42,AF42,AG42,AH42,AI42)</f>
        <v>@textsize-label_highway_path</v>
      </c>
      <c r="C42" s="33" t="s">
        <v>290</v>
      </c>
      <c r="D42" s="37" t="s">
        <v>214</v>
      </c>
      <c r="F42" s="34" t="s">
        <v>291</v>
      </c>
      <c r="G42" s="38" t="s">
        <v>222</v>
      </c>
      <c r="I42" s="33" t="s">
        <v>290</v>
      </c>
      <c r="J42" s="37" t="s">
        <v>214</v>
      </c>
      <c r="L42" s="34" t="s">
        <v>291</v>
      </c>
      <c r="M42" s="38" t="s">
        <v>222</v>
      </c>
      <c r="U42" s="33" t="s">
        <v>290</v>
      </c>
      <c r="V42" s="37" t="s">
        <v>214</v>
      </c>
      <c r="X42" s="34" t="s">
        <v>291</v>
      </c>
      <c r="Y42" s="38" t="s">
        <v>222</v>
      </c>
      <c r="AA42" s="2" t="s">
        <v>309</v>
      </c>
      <c r="AB42" s="2" t="str">
        <f t="shared" ref="AB42" si="54">IF(NOT(ISBLANK(AC42)),"-","")</f>
        <v>-</v>
      </c>
      <c r="AC42" s="2" t="s">
        <v>271</v>
      </c>
      <c r="AD42" s="2" t="str">
        <f t="shared" ref="AD42" si="55">IF(NOT(ISBLANK(AE42)),"_","")</f>
        <v>_</v>
      </c>
      <c r="AE42" s="2" t="s">
        <v>289</v>
      </c>
      <c r="AF42" s="2" t="str">
        <f t="shared" ref="AF42" si="56">IF(NOT(ISBLANK(AG42)),"_","")</f>
        <v>_</v>
      </c>
      <c r="AG42" s="2" t="s">
        <v>71</v>
      </c>
      <c r="AH42" s="2" t="str">
        <f t="shared" ref="AH42:AH44" si="57">IF(NOT(ISBLANK(AI42)),"_","")</f>
        <v/>
      </c>
      <c r="AI42" s="2"/>
    </row>
    <row r="43" spans="2:35" x14ac:dyDescent="0.25">
      <c r="B43" s="2" t="str">
        <f t="shared" si="53"/>
        <v>@color-label_highway_path</v>
      </c>
      <c r="C43" s="33" t="s">
        <v>290</v>
      </c>
      <c r="D43" s="37" t="s">
        <v>214</v>
      </c>
      <c r="F43" s="34" t="s">
        <v>291</v>
      </c>
      <c r="G43" s="38" t="s">
        <v>222</v>
      </c>
      <c r="I43" s="33" t="s">
        <v>290</v>
      </c>
      <c r="J43" s="37" t="s">
        <v>214</v>
      </c>
      <c r="L43" s="34" t="s">
        <v>291</v>
      </c>
      <c r="M43" s="38" t="s">
        <v>222</v>
      </c>
      <c r="U43" s="33" t="s">
        <v>290</v>
      </c>
      <c r="V43" s="37" t="s">
        <v>214</v>
      </c>
      <c r="X43" s="34" t="s">
        <v>291</v>
      </c>
      <c r="Y43" s="38" t="s">
        <v>222</v>
      </c>
      <c r="AA43" s="2" t="s">
        <v>6</v>
      </c>
      <c r="AB43" s="2" t="str">
        <f t="shared" si="26"/>
        <v>-</v>
      </c>
      <c r="AC43" s="2" t="s">
        <v>271</v>
      </c>
      <c r="AD43" s="2" t="str">
        <f t="shared" si="27"/>
        <v>_</v>
      </c>
      <c r="AE43" s="2" t="s">
        <v>289</v>
      </c>
      <c r="AF43" s="2" t="str">
        <f t="shared" si="28"/>
        <v>_</v>
      </c>
      <c r="AG43" s="2" t="s">
        <v>71</v>
      </c>
      <c r="AH43" s="2" t="str">
        <f t="shared" si="57"/>
        <v/>
      </c>
      <c r="AI43" s="2"/>
    </row>
    <row r="44" spans="2:35" x14ac:dyDescent="0.25">
      <c r="B44" s="2" t="str">
        <f t="shared" si="53"/>
        <v>@color-label_halo_highway_path</v>
      </c>
      <c r="C44" s="38" t="s">
        <v>222</v>
      </c>
      <c r="D44" s="38" t="s">
        <v>222</v>
      </c>
      <c r="F44" s="37" t="s">
        <v>214</v>
      </c>
      <c r="G44" s="37" t="s">
        <v>214</v>
      </c>
      <c r="I44" s="38" t="s">
        <v>222</v>
      </c>
      <c r="J44" s="38" t="s">
        <v>222</v>
      </c>
      <c r="L44" s="37" t="s">
        <v>214</v>
      </c>
      <c r="M44" s="37" t="s">
        <v>214</v>
      </c>
      <c r="U44" s="38" t="s">
        <v>222</v>
      </c>
      <c r="V44" s="38" t="s">
        <v>222</v>
      </c>
      <c r="X44" s="37" t="s">
        <v>214</v>
      </c>
      <c r="Y44" s="37" t="s">
        <v>214</v>
      </c>
      <c r="AA44" s="2" t="s">
        <v>6</v>
      </c>
      <c r="AB44" s="2" t="str">
        <f t="shared" ref="AB44:AB46" si="58">IF(NOT(ISBLANK(AC44)),"-","")</f>
        <v>-</v>
      </c>
      <c r="AC44" s="2" t="s">
        <v>280</v>
      </c>
      <c r="AD44" s="2" t="str">
        <f t="shared" ref="AD44:AD46" si="59">IF(NOT(ISBLANK(AE44)),"_","")</f>
        <v>_</v>
      </c>
      <c r="AE44" s="2" t="s">
        <v>289</v>
      </c>
      <c r="AF44" s="2" t="str">
        <f t="shared" ref="AF44:AF46" si="60">IF(NOT(ISBLANK(AG44)),"_","")</f>
        <v>_</v>
      </c>
      <c r="AG44" s="2" t="s">
        <v>71</v>
      </c>
      <c r="AH44" s="2" t="str">
        <f t="shared" si="57"/>
        <v/>
      </c>
      <c r="AI44" s="2"/>
    </row>
    <row r="45" spans="2:35" x14ac:dyDescent="0.25">
      <c r="AA45" s="2"/>
      <c r="AB45" s="2"/>
      <c r="AC45" s="2"/>
      <c r="AD45" s="2"/>
      <c r="AE45" s="2"/>
      <c r="AF45" s="2"/>
      <c r="AG45" s="2"/>
      <c r="AH45" s="2"/>
      <c r="AI45" s="2"/>
    </row>
    <row r="46" spans="2:35" x14ac:dyDescent="0.25">
      <c r="B46" s="2" t="str">
        <f t="shared" ref="B46:B51" si="61">_xlfn.CONCAT("@",AA46,AB46,AC46,AD46,AE46,AF46,AG46,AH46,AI46)</f>
        <v>@color-label_highway_minor</v>
      </c>
      <c r="C46" s="33" t="s">
        <v>290</v>
      </c>
      <c r="D46" s="37" t="s">
        <v>214</v>
      </c>
      <c r="F46" s="34" t="s">
        <v>291</v>
      </c>
      <c r="G46" s="38" t="s">
        <v>222</v>
      </c>
      <c r="I46" s="33" t="s">
        <v>290</v>
      </c>
      <c r="J46" s="37" t="s">
        <v>214</v>
      </c>
      <c r="L46" s="34" t="s">
        <v>291</v>
      </c>
      <c r="M46" s="38" t="s">
        <v>222</v>
      </c>
      <c r="U46" s="33" t="s">
        <v>290</v>
      </c>
      <c r="V46" s="37" t="s">
        <v>214</v>
      </c>
      <c r="X46" s="34" t="s">
        <v>291</v>
      </c>
      <c r="Y46" s="38" t="s">
        <v>222</v>
      </c>
      <c r="AA46" s="2" t="s">
        <v>6</v>
      </c>
      <c r="AB46" s="2" t="str">
        <f t="shared" si="58"/>
        <v>-</v>
      </c>
      <c r="AC46" s="2" t="s">
        <v>271</v>
      </c>
      <c r="AD46" s="2" t="str">
        <f t="shared" si="59"/>
        <v>_</v>
      </c>
      <c r="AE46" s="2" t="s">
        <v>289</v>
      </c>
      <c r="AF46" s="2" t="str">
        <f t="shared" si="60"/>
        <v>_</v>
      </c>
      <c r="AG46" s="2" t="s">
        <v>31</v>
      </c>
      <c r="AH46" s="2" t="str">
        <f t="shared" ref="AH46:AH51" si="62">IF(NOT(ISBLANK(AI46)),"_","")</f>
        <v/>
      </c>
      <c r="AI46" s="2"/>
    </row>
    <row r="47" spans="2:35" x14ac:dyDescent="0.25">
      <c r="B47" s="2" t="str">
        <f t="shared" si="61"/>
        <v>@color-label_halo_highway_minor</v>
      </c>
      <c r="C47" s="38" t="s">
        <v>222</v>
      </c>
      <c r="D47" s="38" t="s">
        <v>222</v>
      </c>
      <c r="F47" s="37" t="s">
        <v>214</v>
      </c>
      <c r="G47" s="37" t="s">
        <v>214</v>
      </c>
      <c r="I47" s="38" t="s">
        <v>222</v>
      </c>
      <c r="J47" s="38" t="s">
        <v>222</v>
      </c>
      <c r="L47" s="37" t="s">
        <v>214</v>
      </c>
      <c r="M47" s="37" t="s">
        <v>214</v>
      </c>
      <c r="U47" s="38" t="s">
        <v>222</v>
      </c>
      <c r="V47" s="38" t="s">
        <v>222</v>
      </c>
      <c r="X47" s="37" t="s">
        <v>214</v>
      </c>
      <c r="Y47" s="37" t="s">
        <v>214</v>
      </c>
      <c r="AA47" s="2" t="s">
        <v>6</v>
      </c>
      <c r="AB47" s="2" t="str">
        <f t="shared" ref="AB47:AB48" si="63">IF(NOT(ISBLANK(AC47)),"-","")</f>
        <v>-</v>
      </c>
      <c r="AC47" s="2" t="s">
        <v>280</v>
      </c>
      <c r="AD47" s="2" t="str">
        <f t="shared" ref="AD47:AD48" si="64">IF(NOT(ISBLANK(AE47)),"_","")</f>
        <v>_</v>
      </c>
      <c r="AE47" s="2" t="s">
        <v>289</v>
      </c>
      <c r="AF47" s="2" t="str">
        <f t="shared" ref="AF47:AF48" si="65">IF(NOT(ISBLANK(AG47)),"_","")</f>
        <v>_</v>
      </c>
      <c r="AG47" s="2" t="s">
        <v>31</v>
      </c>
      <c r="AH47" s="2" t="str">
        <f t="shared" si="62"/>
        <v/>
      </c>
      <c r="AI47" s="2"/>
    </row>
    <row r="48" spans="2:35" x14ac:dyDescent="0.25">
      <c r="B48" s="2" t="str">
        <f t="shared" si="61"/>
        <v>@color-label_highway_trunk_primary_secondary_tertiary</v>
      </c>
      <c r="C48" s="33" t="s">
        <v>290</v>
      </c>
      <c r="D48" s="37" t="s">
        <v>214</v>
      </c>
      <c r="F48" s="34" t="s">
        <v>291</v>
      </c>
      <c r="G48" s="38" t="s">
        <v>222</v>
      </c>
      <c r="I48" s="33" t="s">
        <v>290</v>
      </c>
      <c r="J48" s="37" t="s">
        <v>214</v>
      </c>
      <c r="L48" s="34" t="s">
        <v>291</v>
      </c>
      <c r="M48" s="38" t="s">
        <v>222</v>
      </c>
      <c r="U48" s="33" t="s">
        <v>290</v>
      </c>
      <c r="V48" s="37" t="s">
        <v>214</v>
      </c>
      <c r="X48" s="34" t="s">
        <v>291</v>
      </c>
      <c r="Y48" s="38" t="s">
        <v>222</v>
      </c>
      <c r="AA48" s="2" t="s">
        <v>6</v>
      </c>
      <c r="AB48" s="2" t="str">
        <f t="shared" si="63"/>
        <v>-</v>
      </c>
      <c r="AC48" s="2" t="s">
        <v>271</v>
      </c>
      <c r="AD48" s="2" t="str">
        <f t="shared" si="64"/>
        <v>_</v>
      </c>
      <c r="AE48" s="2" t="s">
        <v>289</v>
      </c>
      <c r="AF48" s="2" t="str">
        <f t="shared" si="65"/>
        <v>_</v>
      </c>
      <c r="AG48" s="2" t="s">
        <v>292</v>
      </c>
      <c r="AH48" s="2" t="str">
        <f t="shared" si="62"/>
        <v/>
      </c>
      <c r="AI48" s="2"/>
    </row>
    <row r="49" spans="1:35" x14ac:dyDescent="0.25">
      <c r="B49" s="2" t="str">
        <f t="shared" si="61"/>
        <v>@color-label_halo_highway_trunk_primary_secondary_tertiary</v>
      </c>
      <c r="C49" s="38" t="s">
        <v>222</v>
      </c>
      <c r="D49" s="38" t="s">
        <v>222</v>
      </c>
      <c r="F49" s="37" t="s">
        <v>214</v>
      </c>
      <c r="G49" s="37" t="s">
        <v>214</v>
      </c>
      <c r="I49" s="38" t="s">
        <v>222</v>
      </c>
      <c r="J49" s="38" t="s">
        <v>222</v>
      </c>
      <c r="L49" s="37" t="s">
        <v>214</v>
      </c>
      <c r="M49" s="37" t="s">
        <v>214</v>
      </c>
      <c r="U49" s="38" t="s">
        <v>222</v>
      </c>
      <c r="V49" s="38" t="s">
        <v>222</v>
      </c>
      <c r="X49" s="37" t="s">
        <v>214</v>
      </c>
      <c r="Y49" s="37" t="s">
        <v>214</v>
      </c>
      <c r="AA49" s="2" t="s">
        <v>6</v>
      </c>
      <c r="AB49" s="2" t="str">
        <f t="shared" ref="AB49:AB51" si="66">IF(NOT(ISBLANK(AC49)),"-","")</f>
        <v>-</v>
      </c>
      <c r="AC49" s="2" t="s">
        <v>280</v>
      </c>
      <c r="AD49" s="2" t="str">
        <f t="shared" ref="AD49:AD51" si="67">IF(NOT(ISBLANK(AE49)),"_","")</f>
        <v>_</v>
      </c>
      <c r="AE49" s="2" t="s">
        <v>289</v>
      </c>
      <c r="AF49" s="2" t="str">
        <f t="shared" ref="AF49:AF51" si="68">IF(NOT(ISBLANK(AG49)),"_","")</f>
        <v>_</v>
      </c>
      <c r="AG49" s="2" t="s">
        <v>292</v>
      </c>
      <c r="AH49" s="2" t="str">
        <f t="shared" si="62"/>
        <v/>
      </c>
      <c r="AI49" s="2"/>
    </row>
    <row r="50" spans="1:35" x14ac:dyDescent="0.25">
      <c r="B50" s="2" t="str">
        <f t="shared" si="61"/>
        <v>@color-label_peak</v>
      </c>
      <c r="C50" s="35" t="s">
        <v>294</v>
      </c>
      <c r="D50" s="37" t="s">
        <v>214</v>
      </c>
      <c r="F50" s="36" t="s">
        <v>295</v>
      </c>
      <c r="G50" s="38" t="s">
        <v>222</v>
      </c>
      <c r="I50" s="35" t="s">
        <v>294</v>
      </c>
      <c r="J50" s="37" t="s">
        <v>214</v>
      </c>
      <c r="L50" s="36" t="s">
        <v>295</v>
      </c>
      <c r="M50" s="38" t="s">
        <v>222</v>
      </c>
      <c r="U50" s="35" t="s">
        <v>294</v>
      </c>
      <c r="V50" s="37" t="s">
        <v>214</v>
      </c>
      <c r="X50" s="36" t="s">
        <v>295</v>
      </c>
      <c r="Y50" s="38" t="s">
        <v>222</v>
      </c>
      <c r="AA50" s="2" t="s">
        <v>6</v>
      </c>
      <c r="AB50" s="2" t="str">
        <f t="shared" si="66"/>
        <v>-</v>
      </c>
      <c r="AC50" s="2" t="s">
        <v>271</v>
      </c>
      <c r="AD50" s="2" t="str">
        <f t="shared" si="67"/>
        <v>_</v>
      </c>
      <c r="AE50" s="2" t="s">
        <v>293</v>
      </c>
      <c r="AF50" s="2" t="str">
        <f t="shared" si="68"/>
        <v/>
      </c>
      <c r="AG50" s="2"/>
      <c r="AH50" s="2" t="str">
        <f t="shared" si="62"/>
        <v/>
      </c>
      <c r="AI50" s="2"/>
    </row>
    <row r="51" spans="1:35" x14ac:dyDescent="0.25">
      <c r="B51" s="2" t="str">
        <f t="shared" si="61"/>
        <v>@color-label_halo_peak</v>
      </c>
      <c r="C51" s="38" t="s">
        <v>222</v>
      </c>
      <c r="D51" s="38" t="s">
        <v>222</v>
      </c>
      <c r="F51" s="37" t="s">
        <v>214</v>
      </c>
      <c r="G51" s="37" t="s">
        <v>214</v>
      </c>
      <c r="I51" s="38" t="s">
        <v>222</v>
      </c>
      <c r="J51" s="38" t="s">
        <v>222</v>
      </c>
      <c r="L51" s="37" t="s">
        <v>214</v>
      </c>
      <c r="M51" s="37" t="s">
        <v>214</v>
      </c>
      <c r="U51" s="38" t="s">
        <v>222</v>
      </c>
      <c r="V51" s="38" t="s">
        <v>222</v>
      </c>
      <c r="X51" s="37" t="s">
        <v>214</v>
      </c>
      <c r="Y51" s="37" t="s">
        <v>214</v>
      </c>
      <c r="AA51" s="2" t="s">
        <v>6</v>
      </c>
      <c r="AB51" s="2" t="str">
        <f t="shared" si="66"/>
        <v>-</v>
      </c>
      <c r="AC51" s="2" t="s">
        <v>280</v>
      </c>
      <c r="AD51" s="2" t="str">
        <f t="shared" si="67"/>
        <v>_</v>
      </c>
      <c r="AE51" s="2" t="s">
        <v>293</v>
      </c>
      <c r="AF51" s="2" t="str">
        <f t="shared" si="68"/>
        <v/>
      </c>
      <c r="AG51" s="2"/>
      <c r="AH51" s="2" t="str">
        <f t="shared" si="62"/>
        <v/>
      </c>
      <c r="AI51" s="2"/>
    </row>
    <row r="52" spans="1:35" x14ac:dyDescent="0.25">
      <c r="AA52" s="2"/>
      <c r="AB52" s="2"/>
      <c r="AC52" s="2"/>
      <c r="AD52" s="2"/>
      <c r="AE52" s="2"/>
      <c r="AF52" s="2"/>
      <c r="AG52" s="2"/>
      <c r="AH52" s="2"/>
      <c r="AI52" s="2"/>
    </row>
    <row r="53" spans="1:35" s="5" customFormat="1" x14ac:dyDescent="0.25">
      <c r="A53" s="27" t="s">
        <v>333</v>
      </c>
      <c r="B53" s="27"/>
      <c r="C53" s="27"/>
      <c r="D53" s="27"/>
      <c r="F53" s="27"/>
      <c r="G53" s="27"/>
      <c r="I53" s="27"/>
      <c r="J53" s="27"/>
      <c r="L53" s="27"/>
      <c r="M53" s="27"/>
      <c r="O53" s="27"/>
      <c r="P53" s="27"/>
      <c r="R53" s="27"/>
      <c r="S53" s="27"/>
      <c r="U53" s="27"/>
      <c r="V53" s="27"/>
      <c r="X53" s="27"/>
      <c r="Y53" s="27"/>
      <c r="AA53" s="27"/>
      <c r="AB53" s="27"/>
      <c r="AC53" s="27"/>
      <c r="AD53" s="27"/>
      <c r="AE53" s="27"/>
      <c r="AF53" s="27"/>
      <c r="AG53" s="27"/>
      <c r="AH53" s="27"/>
      <c r="AI53" s="27"/>
    </row>
    <row r="54" spans="1:35" x14ac:dyDescent="0.25">
      <c r="B54" s="2" t="str">
        <f t="shared" ref="B54:B62" si="69">_xlfn.CONCAT("@",AA54,AB54,AC54,AD54,AE54,AF54,AG54,AH54,AI54)</f>
        <v>@color-mtb:scale_0-</v>
      </c>
      <c r="C54" s="40" t="s">
        <v>170</v>
      </c>
      <c r="D54" s="41" t="s">
        <v>178</v>
      </c>
      <c r="F54" s="40" t="s">
        <v>170</v>
      </c>
      <c r="G54" s="41" t="s">
        <v>178</v>
      </c>
      <c r="I54" s="42" t="str">
        <f t="shared" ref="I54:J61" si="70">C54</f>
        <v>"#0ac5a0"</v>
      </c>
      <c r="J54" s="43" t="str">
        <f t="shared" si="70"/>
        <v>"#00c7b0"</v>
      </c>
      <c r="L54" s="42" t="str">
        <f t="shared" ref="L54:L61" si="71">F54</f>
        <v>"#0ac5a0"</v>
      </c>
      <c r="M54" s="43" t="str">
        <f t="shared" ref="M54:M61" si="72">G54</f>
        <v>"#00c7b0"</v>
      </c>
      <c r="U54" s="44"/>
      <c r="V54" s="44"/>
      <c r="X54" s="44"/>
      <c r="Y54" s="44"/>
      <c r="AA54" s="2" t="s">
        <v>6</v>
      </c>
      <c r="AB54" s="2" t="str">
        <f t="shared" ref="AB54:AB61" si="73">IF(NOT(ISBLANK(AC54)),"-","")</f>
        <v>-</v>
      </c>
      <c r="AC54" s="2" t="s">
        <v>7</v>
      </c>
      <c r="AD54" s="2" t="str">
        <f t="shared" ref="AD54:AD61" si="74">IF(NOT(ISBLANK(AE54)),"_","")</f>
        <v>_</v>
      </c>
      <c r="AE54" s="2" t="s">
        <v>9</v>
      </c>
      <c r="AF54" s="2" t="str">
        <f t="shared" ref="AF54:AF61" si="75">IF(NOT(ISBLANK(AG54)),"_","")</f>
        <v/>
      </c>
      <c r="AG54" s="2"/>
      <c r="AH54" s="2" t="str">
        <f t="shared" ref="AH54:AH66" si="76">IF(NOT(ISBLANK(AI54)),"_","")</f>
        <v/>
      </c>
      <c r="AI54" s="2"/>
    </row>
    <row r="55" spans="1:35" x14ac:dyDescent="0.25">
      <c r="B55" s="2" t="str">
        <f t="shared" si="69"/>
        <v>@color-mtb:scale_0</v>
      </c>
      <c r="C55" s="45" t="s">
        <v>171</v>
      </c>
      <c r="D55" s="46" t="s">
        <v>179</v>
      </c>
      <c r="F55" s="45" t="s">
        <v>171</v>
      </c>
      <c r="G55" s="46" t="s">
        <v>179</v>
      </c>
      <c r="I55" s="47" t="str">
        <f t="shared" si="70"/>
        <v>"#75e009"</v>
      </c>
      <c r="J55" s="48" t="str">
        <f t="shared" si="70"/>
        <v>"#66cc00"</v>
      </c>
      <c r="L55" s="47" t="str">
        <f t="shared" si="71"/>
        <v>"#75e009"</v>
      </c>
      <c r="M55" s="48" t="str">
        <f t="shared" si="72"/>
        <v>"#66cc00"</v>
      </c>
      <c r="U55" s="44"/>
      <c r="V55" s="44"/>
      <c r="X55" s="44"/>
      <c r="Y55" s="44"/>
      <c r="AA55" s="2" t="s">
        <v>6</v>
      </c>
      <c r="AB55" s="2" t="str">
        <f t="shared" si="73"/>
        <v>-</v>
      </c>
      <c r="AC55" s="2" t="s">
        <v>7</v>
      </c>
      <c r="AD55" s="2" t="str">
        <f t="shared" si="74"/>
        <v>_</v>
      </c>
      <c r="AE55" s="2">
        <v>0</v>
      </c>
      <c r="AF55" s="2" t="str">
        <f t="shared" si="75"/>
        <v/>
      </c>
      <c r="AH55" s="2" t="str">
        <f t="shared" si="76"/>
        <v/>
      </c>
    </row>
    <row r="56" spans="1:35" x14ac:dyDescent="0.25">
      <c r="B56" s="2" t="str">
        <f t="shared" si="69"/>
        <v>@color-mtb:scale_1</v>
      </c>
      <c r="C56" s="49" t="s">
        <v>172</v>
      </c>
      <c r="D56" s="50" t="s">
        <v>180</v>
      </c>
      <c r="F56" s="49" t="s">
        <v>172</v>
      </c>
      <c r="G56" s="50" t="s">
        <v>180</v>
      </c>
      <c r="I56" s="51" t="str">
        <f t="shared" si="70"/>
        <v>"#d7dc00"</v>
      </c>
      <c r="J56" s="52" t="str">
        <f t="shared" si="70"/>
        <v>"#c5c900"</v>
      </c>
      <c r="L56" s="51" t="str">
        <f t="shared" si="71"/>
        <v>"#d7dc00"</v>
      </c>
      <c r="M56" s="52" t="str">
        <f t="shared" si="72"/>
        <v>"#c5c900"</v>
      </c>
      <c r="U56" s="44"/>
      <c r="V56" s="44"/>
      <c r="X56" s="44"/>
      <c r="Y56" s="44"/>
      <c r="AA56" s="2" t="s">
        <v>6</v>
      </c>
      <c r="AB56" s="2" t="str">
        <f t="shared" si="73"/>
        <v>-</v>
      </c>
      <c r="AC56" s="2" t="s">
        <v>7</v>
      </c>
      <c r="AD56" s="2" t="str">
        <f t="shared" si="74"/>
        <v>_</v>
      </c>
      <c r="AE56" s="2">
        <v>1</v>
      </c>
      <c r="AF56" s="2" t="str">
        <f t="shared" si="75"/>
        <v/>
      </c>
      <c r="AH56" s="2" t="str">
        <f t="shared" si="76"/>
        <v/>
      </c>
    </row>
    <row r="57" spans="1:35" x14ac:dyDescent="0.25">
      <c r="B57" s="2" t="str">
        <f t="shared" si="69"/>
        <v>@color-mtb:scale_2</v>
      </c>
      <c r="C57" s="53" t="s">
        <v>173</v>
      </c>
      <c r="D57" s="54" t="s">
        <v>181</v>
      </c>
      <c r="F57" s="53" t="s">
        <v>173</v>
      </c>
      <c r="G57" s="54" t="s">
        <v>181</v>
      </c>
      <c r="I57" s="55" t="str">
        <f t="shared" si="70"/>
        <v>"#feb13e"</v>
      </c>
      <c r="J57" s="56" t="str">
        <f t="shared" si="70"/>
        <v>"#f09000"</v>
      </c>
      <c r="L57" s="55" t="str">
        <f t="shared" si="71"/>
        <v>"#feb13e"</v>
      </c>
      <c r="M57" s="56" t="str">
        <f t="shared" si="72"/>
        <v>"#f09000"</v>
      </c>
      <c r="U57" s="44"/>
      <c r="V57" s="44"/>
      <c r="X57" s="44"/>
      <c r="Y57" s="44"/>
      <c r="AA57" s="2" t="s">
        <v>6</v>
      </c>
      <c r="AB57" s="2" t="str">
        <f t="shared" si="73"/>
        <v>-</v>
      </c>
      <c r="AC57" s="2" t="s">
        <v>7</v>
      </c>
      <c r="AD57" s="2" t="str">
        <f t="shared" si="74"/>
        <v>_</v>
      </c>
      <c r="AE57" s="2">
        <v>2</v>
      </c>
      <c r="AF57" s="2" t="str">
        <f t="shared" si="75"/>
        <v/>
      </c>
      <c r="AH57" s="2" t="str">
        <f t="shared" si="76"/>
        <v/>
      </c>
    </row>
    <row r="58" spans="1:35" x14ac:dyDescent="0.25">
      <c r="B58" s="2" t="str">
        <f t="shared" si="69"/>
        <v>@color-mtb:scale_3</v>
      </c>
      <c r="C58" s="57" t="s">
        <v>174</v>
      </c>
      <c r="D58" s="57" t="s">
        <v>174</v>
      </c>
      <c r="F58" s="57" t="s">
        <v>174</v>
      </c>
      <c r="G58" s="57" t="s">
        <v>174</v>
      </c>
      <c r="I58" s="58" t="str">
        <f t="shared" si="70"/>
        <v>"#ff4f5e"</v>
      </c>
      <c r="J58" s="58" t="str">
        <f t="shared" si="70"/>
        <v>"#ff4f5e"</v>
      </c>
      <c r="L58" s="58" t="str">
        <f t="shared" si="71"/>
        <v>"#ff4f5e"</v>
      </c>
      <c r="M58" s="58" t="str">
        <f t="shared" si="72"/>
        <v>"#ff4f5e"</v>
      </c>
      <c r="U58" s="44"/>
      <c r="V58" s="44"/>
      <c r="X58" s="44"/>
      <c r="Y58" s="44"/>
      <c r="AA58" s="2" t="s">
        <v>6</v>
      </c>
      <c r="AB58" s="2" t="str">
        <f t="shared" si="73"/>
        <v>-</v>
      </c>
      <c r="AC58" s="2" t="s">
        <v>7</v>
      </c>
      <c r="AD58" s="2" t="str">
        <f t="shared" si="74"/>
        <v>_</v>
      </c>
      <c r="AE58" s="2">
        <v>3</v>
      </c>
      <c r="AF58" s="2" t="str">
        <f t="shared" si="75"/>
        <v/>
      </c>
      <c r="AH58" s="2" t="str">
        <f t="shared" si="76"/>
        <v/>
      </c>
    </row>
    <row r="59" spans="1:35" x14ac:dyDescent="0.25">
      <c r="B59" s="2" t="str">
        <f t="shared" si="69"/>
        <v>@color-mtb:scale_4</v>
      </c>
      <c r="C59" s="59" t="s">
        <v>175</v>
      </c>
      <c r="D59" s="60" t="s">
        <v>182</v>
      </c>
      <c r="F59" s="59" t="s">
        <v>175</v>
      </c>
      <c r="G59" s="60" t="s">
        <v>182</v>
      </c>
      <c r="I59" s="61" t="str">
        <f t="shared" si="70"/>
        <v>"#e50bdd"</v>
      </c>
      <c r="J59" s="62" t="str">
        <f t="shared" si="70"/>
        <v>"#d600ce"</v>
      </c>
      <c r="L59" s="61" t="str">
        <f t="shared" si="71"/>
        <v>"#e50bdd"</v>
      </c>
      <c r="M59" s="62" t="str">
        <f t="shared" si="72"/>
        <v>"#d600ce"</v>
      </c>
      <c r="U59" s="44"/>
      <c r="V59" s="44"/>
      <c r="X59" s="44"/>
      <c r="Y59" s="44"/>
      <c r="AA59" s="2" t="s">
        <v>6</v>
      </c>
      <c r="AB59" s="2" t="str">
        <f t="shared" si="73"/>
        <v>-</v>
      </c>
      <c r="AC59" s="2" t="s">
        <v>7</v>
      </c>
      <c r="AD59" s="2" t="str">
        <f t="shared" si="74"/>
        <v>_</v>
      </c>
      <c r="AE59" s="2">
        <v>4</v>
      </c>
      <c r="AF59" s="2" t="str">
        <f t="shared" si="75"/>
        <v/>
      </c>
      <c r="AH59" s="2" t="str">
        <f t="shared" si="76"/>
        <v/>
      </c>
    </row>
    <row r="60" spans="1:35" x14ac:dyDescent="0.25">
      <c r="B60" s="2" t="str">
        <f t="shared" si="69"/>
        <v>@color-mtb:scale_5</v>
      </c>
      <c r="C60" s="63" t="s">
        <v>176</v>
      </c>
      <c r="D60" s="64" t="s">
        <v>183</v>
      </c>
      <c r="F60" s="63" t="s">
        <v>176</v>
      </c>
      <c r="G60" s="64" t="s">
        <v>183</v>
      </c>
      <c r="I60" s="65" t="str">
        <f t="shared" si="70"/>
        <v>"#9600c8"</v>
      </c>
      <c r="J60" s="66" t="str">
        <f t="shared" si="70"/>
        <v>"#7a3391"</v>
      </c>
      <c r="L60" s="65" t="str">
        <f t="shared" si="71"/>
        <v>"#9600c8"</v>
      </c>
      <c r="M60" s="66" t="str">
        <f t="shared" si="72"/>
        <v>"#7a3391"</v>
      </c>
      <c r="U60" s="44"/>
      <c r="V60" s="44"/>
      <c r="X60" s="44"/>
      <c r="Y60" s="44"/>
      <c r="AA60" s="2" t="s">
        <v>6</v>
      </c>
      <c r="AB60" s="2" t="str">
        <f t="shared" si="73"/>
        <v>-</v>
      </c>
      <c r="AC60" s="2" t="s">
        <v>7</v>
      </c>
      <c r="AD60" s="2" t="str">
        <f t="shared" si="74"/>
        <v>_</v>
      </c>
      <c r="AE60" s="2">
        <v>5</v>
      </c>
      <c r="AF60" s="2" t="str">
        <f t="shared" si="75"/>
        <v/>
      </c>
      <c r="AH60" s="2" t="str">
        <f t="shared" si="76"/>
        <v/>
      </c>
    </row>
    <row r="61" spans="1:35" x14ac:dyDescent="0.25">
      <c r="B61" s="2" t="str">
        <f t="shared" si="69"/>
        <v>@color-mtb:scale_6</v>
      </c>
      <c r="C61" s="67" t="s">
        <v>177</v>
      </c>
      <c r="D61" s="68" t="s">
        <v>184</v>
      </c>
      <c r="F61" s="67" t="s">
        <v>177</v>
      </c>
      <c r="G61" s="68" t="s">
        <v>184</v>
      </c>
      <c r="I61" s="69" t="str">
        <f t="shared" si="70"/>
        <v>"#8100ac"</v>
      </c>
      <c r="J61" s="70" t="str">
        <f t="shared" si="70"/>
        <v>"#593266"</v>
      </c>
      <c r="L61" s="69" t="str">
        <f t="shared" si="71"/>
        <v>"#8100ac"</v>
      </c>
      <c r="M61" s="70" t="str">
        <f t="shared" si="72"/>
        <v>"#593266"</v>
      </c>
      <c r="U61" s="44"/>
      <c r="V61" s="44"/>
      <c r="X61" s="44"/>
      <c r="Y61" s="44"/>
      <c r="AA61" s="2" t="s">
        <v>6</v>
      </c>
      <c r="AB61" s="2" t="str">
        <f t="shared" si="73"/>
        <v>-</v>
      </c>
      <c r="AC61" s="2" t="s">
        <v>7</v>
      </c>
      <c r="AD61" s="2" t="str">
        <f t="shared" si="74"/>
        <v>_</v>
      </c>
      <c r="AE61" s="2">
        <v>6</v>
      </c>
      <c r="AF61" s="2" t="str">
        <f t="shared" si="75"/>
        <v/>
      </c>
      <c r="AH61" s="2" t="str">
        <f t="shared" si="76"/>
        <v/>
      </c>
    </row>
    <row r="62" spans="1:35" x14ac:dyDescent="0.25">
      <c r="B62" s="2" t="str">
        <f t="shared" si="69"/>
        <v>@color-mtb:scale_null</v>
      </c>
      <c r="C62" s="38" t="s">
        <v>222</v>
      </c>
      <c r="D62" s="38" t="s">
        <v>222</v>
      </c>
      <c r="F62" s="31" t="s">
        <v>281</v>
      </c>
      <c r="G62" s="31" t="s">
        <v>281</v>
      </c>
      <c r="I62" s="38" t="s">
        <v>222</v>
      </c>
      <c r="J62" s="38" t="s">
        <v>222</v>
      </c>
      <c r="L62" s="31" t="s">
        <v>281</v>
      </c>
      <c r="M62" s="31" t="s">
        <v>281</v>
      </c>
      <c r="U62" s="44"/>
      <c r="V62" s="44"/>
      <c r="X62" s="44"/>
      <c r="Y62" s="44"/>
      <c r="AA62" s="2" t="s">
        <v>6</v>
      </c>
      <c r="AB62" s="2" t="str">
        <f t="shared" ref="AB62" si="77">IF(NOT(ISBLANK(AC62)),"-","")</f>
        <v>-</v>
      </c>
      <c r="AC62" s="2" t="s">
        <v>7</v>
      </c>
      <c r="AD62" s="2" t="str">
        <f t="shared" ref="AD62" si="78">IF(NOT(ISBLANK(AE62)),"_","")</f>
        <v>_</v>
      </c>
      <c r="AE62" s="2" t="s">
        <v>297</v>
      </c>
      <c r="AF62" s="2" t="str">
        <f t="shared" ref="AF62" si="79">IF(NOT(ISBLANK(AG62)),"_","")</f>
        <v/>
      </c>
      <c r="AH62" s="2" t="str">
        <f t="shared" si="76"/>
        <v/>
      </c>
    </row>
    <row r="63" spans="1:35" x14ac:dyDescent="0.25">
      <c r="B63" s="2"/>
      <c r="AA63" s="2"/>
      <c r="AB63" s="2" t="str">
        <f>IF(NOT(ISBLANK(AC63)),"-","")</f>
        <v/>
      </c>
      <c r="AC63" s="2"/>
      <c r="AD63" s="2" t="str">
        <f>IF(NOT(ISBLANK(AE63)),"_","")</f>
        <v/>
      </c>
      <c r="AE63" s="2"/>
      <c r="AF63" s="28" t="str">
        <f>IF(NOT(ISBLANK(AG63)),"_","")</f>
        <v/>
      </c>
      <c r="AH63" s="28" t="str">
        <f t="shared" si="76"/>
        <v/>
      </c>
    </row>
    <row r="64" spans="1:35" x14ac:dyDescent="0.25">
      <c r="B64" s="2" t="str">
        <f>_xlfn.CONCAT("@",AA64,AB64,AC64,AD64,AE64,AF64,AG64,AH64,AI64)</f>
        <v>@color-mtb:winter_1</v>
      </c>
      <c r="C64" s="44"/>
      <c r="D64" s="44"/>
      <c r="F64" s="44"/>
      <c r="G64" s="44"/>
      <c r="I64" s="44"/>
      <c r="J64" s="44"/>
      <c r="L64" s="44"/>
      <c r="M64" s="44"/>
      <c r="O64" s="44"/>
      <c r="P64" s="44"/>
      <c r="R64" s="44"/>
      <c r="S64" s="44"/>
      <c r="U64" s="45" t="s">
        <v>171</v>
      </c>
      <c r="V64" s="46" t="s">
        <v>179</v>
      </c>
      <c r="X64" s="45" t="s">
        <v>171</v>
      </c>
      <c r="Y64" s="46" t="s">
        <v>179</v>
      </c>
      <c r="AA64" s="2" t="s">
        <v>6</v>
      </c>
      <c r="AB64" s="2" t="str">
        <f t="shared" ref="AB64" si="80">IF(NOT(ISBLANK(AC64)),"-","")</f>
        <v>-</v>
      </c>
      <c r="AC64" s="2" t="s">
        <v>225</v>
      </c>
      <c r="AD64" s="2" t="str">
        <f t="shared" ref="AD64" si="81">IF(NOT(ISBLANK(AE64)),"_","")</f>
        <v>_</v>
      </c>
      <c r="AE64" s="2">
        <v>1</v>
      </c>
      <c r="AF64" s="2" t="str">
        <f t="shared" ref="AF64" si="82">IF(NOT(ISBLANK(AG64)),"_","")</f>
        <v/>
      </c>
      <c r="AH64" s="2" t="str">
        <f t="shared" si="76"/>
        <v/>
      </c>
    </row>
    <row r="65" spans="2:34" x14ac:dyDescent="0.25">
      <c r="B65" s="2" t="str">
        <f t="shared" ref="B65:B66" si="83">_xlfn.CONCAT("@",AA65,AB65,AC65,AD65,AE65,AF65,AG65,AH65,AI65)</f>
        <v>@color-mtb:winter_2</v>
      </c>
      <c r="C65" s="44"/>
      <c r="D65" s="44"/>
      <c r="F65" s="44"/>
      <c r="G65" s="44"/>
      <c r="I65" s="44"/>
      <c r="J65" s="44"/>
      <c r="L65" s="44"/>
      <c r="M65" s="44"/>
      <c r="O65" s="44"/>
      <c r="P65" s="44"/>
      <c r="R65" s="44"/>
      <c r="S65" s="44"/>
      <c r="U65" s="49" t="s">
        <v>172</v>
      </c>
      <c r="V65" s="50" t="s">
        <v>180</v>
      </c>
      <c r="X65" s="49" t="s">
        <v>172</v>
      </c>
      <c r="Y65" s="50" t="s">
        <v>180</v>
      </c>
      <c r="AA65" s="2" t="s">
        <v>6</v>
      </c>
      <c r="AB65" s="2" t="str">
        <f t="shared" ref="AB65:AB66" si="84">IF(NOT(ISBLANK(AC65)),"-","")</f>
        <v>-</v>
      </c>
      <c r="AC65" s="2" t="s">
        <v>225</v>
      </c>
      <c r="AD65" s="2" t="str">
        <f>IF(NOT(ISBLANK(AE65)),"_","")</f>
        <v>_</v>
      </c>
      <c r="AE65" s="2">
        <v>2</v>
      </c>
      <c r="AF65" s="2" t="str">
        <f>IF(NOT(ISBLANK(AG65)),"_","")</f>
        <v/>
      </c>
      <c r="AH65" s="2" t="str">
        <f t="shared" si="76"/>
        <v/>
      </c>
    </row>
    <row r="66" spans="2:34" x14ac:dyDescent="0.25">
      <c r="B66" s="2" t="str">
        <f t="shared" si="83"/>
        <v>@color-mtb:winter_3</v>
      </c>
      <c r="C66" s="44"/>
      <c r="D66" s="44"/>
      <c r="F66" s="44"/>
      <c r="G66" s="44"/>
      <c r="I66" s="44"/>
      <c r="J66" s="44"/>
      <c r="L66" s="44"/>
      <c r="M66" s="44"/>
      <c r="O66" s="44"/>
      <c r="P66" s="44"/>
      <c r="R66" s="44"/>
      <c r="S66" s="44"/>
      <c r="U66" s="53" t="s">
        <v>173</v>
      </c>
      <c r="V66" s="54" t="s">
        <v>181</v>
      </c>
      <c r="X66" s="53" t="s">
        <v>173</v>
      </c>
      <c r="Y66" s="54" t="s">
        <v>181</v>
      </c>
      <c r="AA66" s="2" t="s">
        <v>6</v>
      </c>
      <c r="AB66" s="2" t="str">
        <f t="shared" si="84"/>
        <v>-</v>
      </c>
      <c r="AC66" s="2" t="s">
        <v>225</v>
      </c>
      <c r="AD66" s="2" t="str">
        <f>IF(NOT(ISBLANK(AE66)),"_","")</f>
        <v>_</v>
      </c>
      <c r="AE66" s="2">
        <v>3</v>
      </c>
      <c r="AF66" s="2" t="str">
        <f>IF(NOT(ISBLANK(AG66)),"_","")</f>
        <v/>
      </c>
      <c r="AH66" s="2" t="str">
        <f t="shared" si="76"/>
        <v/>
      </c>
    </row>
    <row r="67" spans="2:34" x14ac:dyDescent="0.25">
      <c r="B67" s="2"/>
      <c r="AA67" s="2"/>
      <c r="AB67" s="2"/>
      <c r="AC67" s="2"/>
      <c r="AD67" s="2"/>
      <c r="AE67" s="2"/>
    </row>
    <row r="68" spans="2:34" x14ac:dyDescent="0.25">
      <c r="B68" s="2" t="str">
        <f t="shared" ref="B68:B83" si="85">_xlfn.CONCAT("@",AA68,AB68,AC68,AD68,AE68,AF68,AG68,AH68,AI68)</f>
        <v>@case_width-path_narrow_z11</v>
      </c>
      <c r="C68" s="28" t="s">
        <v>80</v>
      </c>
      <c r="D68" s="28" t="s">
        <v>85</v>
      </c>
      <c r="F68" s="28" t="s">
        <v>80</v>
      </c>
      <c r="G68" s="28" t="s">
        <v>85</v>
      </c>
      <c r="I68" s="28" t="s">
        <v>95</v>
      </c>
      <c r="L68" s="28" t="s">
        <v>95</v>
      </c>
      <c r="AA68" s="2" t="s">
        <v>78</v>
      </c>
      <c r="AB68" s="2" t="str">
        <f t="shared" ref="AB68" si="86">IF(NOT(ISBLANK(AC68)),"-","")</f>
        <v>-</v>
      </c>
      <c r="AC68" s="2" t="s">
        <v>71</v>
      </c>
      <c r="AD68" s="2" t="str">
        <f t="shared" ref="AD68" si="87">IF(NOT(ISBLANK(AE68)),"_","")</f>
        <v>_</v>
      </c>
      <c r="AE68" s="2" t="s">
        <v>72</v>
      </c>
      <c r="AF68" s="2" t="str">
        <f t="shared" ref="AF68" si="88">IF(NOT(ISBLANK(AG68)),"_","")</f>
        <v>_</v>
      </c>
      <c r="AG68" s="28" t="s">
        <v>70</v>
      </c>
      <c r="AH68" s="2" t="str">
        <f t="shared" ref="AH68:AH83" si="89">IF(NOT(ISBLANK(AI68)),"_","")</f>
        <v/>
      </c>
    </row>
    <row r="69" spans="2:34" x14ac:dyDescent="0.25">
      <c r="B69" s="2" t="str">
        <f t="shared" si="85"/>
        <v>@case_width-path_medium_z11</v>
      </c>
      <c r="C69" s="28" t="s">
        <v>84</v>
      </c>
      <c r="D69" s="28" t="s">
        <v>88</v>
      </c>
      <c r="F69" s="28" t="s">
        <v>84</v>
      </c>
      <c r="G69" s="28" t="s">
        <v>88</v>
      </c>
      <c r="I69" s="28" t="s">
        <v>96</v>
      </c>
      <c r="L69" s="28" t="s">
        <v>96</v>
      </c>
      <c r="AA69" s="2" t="s">
        <v>78</v>
      </c>
      <c r="AB69" s="2" t="str">
        <f t="shared" ref="AB69" si="90">IF(NOT(ISBLANK(AC69)),"-","")</f>
        <v>-</v>
      </c>
      <c r="AC69" s="2" t="s">
        <v>71</v>
      </c>
      <c r="AD69" s="2" t="str">
        <f t="shared" ref="AD69" si="91">IF(NOT(ISBLANK(AE69)),"_","")</f>
        <v>_</v>
      </c>
      <c r="AE69" s="2" t="s">
        <v>79</v>
      </c>
      <c r="AF69" s="2" t="str">
        <f t="shared" ref="AF69" si="92">IF(NOT(ISBLANK(AG69)),"_","")</f>
        <v>_</v>
      </c>
      <c r="AG69" s="28" t="s">
        <v>70</v>
      </c>
      <c r="AH69" s="2" t="str">
        <f t="shared" si="89"/>
        <v/>
      </c>
    </row>
    <row r="70" spans="2:34" x14ac:dyDescent="0.25">
      <c r="B70" s="2" t="str">
        <f t="shared" si="85"/>
        <v>@case_width-path_wide_z11</v>
      </c>
      <c r="C70" s="28" t="s">
        <v>85</v>
      </c>
      <c r="D70" s="28" t="s">
        <v>92</v>
      </c>
      <c r="F70" s="28" t="s">
        <v>85</v>
      </c>
      <c r="G70" s="28" t="s">
        <v>92</v>
      </c>
      <c r="I70" s="28" t="s">
        <v>84</v>
      </c>
      <c r="L70" s="28" t="s">
        <v>84</v>
      </c>
      <c r="AA70" s="2" t="s">
        <v>78</v>
      </c>
      <c r="AB70" s="2" t="str">
        <f t="shared" ref="AB70:AB73" si="93">IF(NOT(ISBLANK(AC70)),"-","")</f>
        <v>-</v>
      </c>
      <c r="AC70" s="2" t="s">
        <v>71</v>
      </c>
      <c r="AD70" s="2" t="str">
        <f t="shared" ref="AD70:AD73" si="94">IF(NOT(ISBLANK(AE70)),"_","")</f>
        <v>_</v>
      </c>
      <c r="AE70" s="2" t="s">
        <v>77</v>
      </c>
      <c r="AF70" s="2" t="str">
        <f t="shared" ref="AF70:AF73" si="95">IF(NOT(ISBLANK(AG70)),"_","")</f>
        <v>_</v>
      </c>
      <c r="AG70" s="28" t="s">
        <v>70</v>
      </c>
      <c r="AH70" s="2" t="str">
        <f t="shared" si="89"/>
        <v/>
      </c>
    </row>
    <row r="71" spans="2:34" x14ac:dyDescent="0.25">
      <c r="B71" s="2" t="str">
        <f t="shared" si="85"/>
        <v>@case_width-path_widest_z11</v>
      </c>
      <c r="C71" s="28" t="s">
        <v>85</v>
      </c>
      <c r="D71" s="28" t="s">
        <v>92</v>
      </c>
      <c r="F71" s="28" t="s">
        <v>85</v>
      </c>
      <c r="G71" s="28" t="s">
        <v>92</v>
      </c>
      <c r="I71" s="28" t="s">
        <v>84</v>
      </c>
      <c r="L71" s="28" t="s">
        <v>84</v>
      </c>
      <c r="AA71" s="2" t="s">
        <v>78</v>
      </c>
      <c r="AB71" s="2" t="str">
        <f t="shared" ref="AB71" si="96">IF(NOT(ISBLANK(AC71)),"-","")</f>
        <v>-</v>
      </c>
      <c r="AC71" s="2" t="s">
        <v>71</v>
      </c>
      <c r="AD71" s="2" t="str">
        <f t="shared" ref="AD71" si="97">IF(NOT(ISBLANK(AE71)),"_","")</f>
        <v>_</v>
      </c>
      <c r="AE71" s="2" t="s">
        <v>296</v>
      </c>
      <c r="AF71" s="2" t="str">
        <f t="shared" ref="AF71" si="98">IF(NOT(ISBLANK(AG71)),"_","")</f>
        <v>_</v>
      </c>
      <c r="AG71" s="28" t="s">
        <v>70</v>
      </c>
      <c r="AH71" s="2" t="str">
        <f t="shared" si="89"/>
        <v/>
      </c>
    </row>
    <row r="72" spans="2:34" x14ac:dyDescent="0.25">
      <c r="B72" s="2" t="str">
        <f t="shared" si="85"/>
        <v>@case_width-path_narrow_z14</v>
      </c>
      <c r="C72" s="28" t="s">
        <v>81</v>
      </c>
      <c r="D72" s="28" t="s">
        <v>90</v>
      </c>
      <c r="F72" s="28" t="s">
        <v>81</v>
      </c>
      <c r="G72" s="28" t="s">
        <v>90</v>
      </c>
      <c r="I72" s="28" t="s">
        <v>80</v>
      </c>
      <c r="L72" s="28" t="s">
        <v>80</v>
      </c>
      <c r="AA72" s="2" t="s">
        <v>78</v>
      </c>
      <c r="AB72" s="2" t="str">
        <f t="shared" si="93"/>
        <v>-</v>
      </c>
      <c r="AC72" s="2" t="s">
        <v>71</v>
      </c>
      <c r="AD72" s="2" t="str">
        <f t="shared" si="94"/>
        <v>_</v>
      </c>
      <c r="AE72" s="2" t="s">
        <v>72</v>
      </c>
      <c r="AF72" s="2" t="str">
        <f t="shared" si="95"/>
        <v>_</v>
      </c>
      <c r="AG72" s="28" t="s">
        <v>74</v>
      </c>
      <c r="AH72" s="2" t="str">
        <f t="shared" si="89"/>
        <v/>
      </c>
    </row>
    <row r="73" spans="2:34" x14ac:dyDescent="0.25">
      <c r="B73" s="2" t="str">
        <f t="shared" si="85"/>
        <v>@case_width-path_medium_z14</v>
      </c>
      <c r="C73" s="28" t="s">
        <v>85</v>
      </c>
      <c r="D73" s="28" t="s">
        <v>92</v>
      </c>
      <c r="F73" s="28" t="s">
        <v>85</v>
      </c>
      <c r="G73" s="28" t="s">
        <v>92</v>
      </c>
      <c r="I73" s="28" t="s">
        <v>97</v>
      </c>
      <c r="L73" s="28" t="s">
        <v>97</v>
      </c>
      <c r="AA73" s="2" t="s">
        <v>78</v>
      </c>
      <c r="AB73" s="2" t="str">
        <f t="shared" si="93"/>
        <v>-</v>
      </c>
      <c r="AC73" s="2" t="s">
        <v>71</v>
      </c>
      <c r="AD73" s="2" t="str">
        <f t="shared" si="94"/>
        <v>_</v>
      </c>
      <c r="AE73" s="2" t="s">
        <v>79</v>
      </c>
      <c r="AF73" s="2" t="str">
        <f t="shared" si="95"/>
        <v>_</v>
      </c>
      <c r="AG73" s="28" t="s">
        <v>74</v>
      </c>
      <c r="AH73" s="2" t="str">
        <f t="shared" si="89"/>
        <v/>
      </c>
    </row>
    <row r="74" spans="2:34" x14ac:dyDescent="0.25">
      <c r="B74" s="2" t="str">
        <f t="shared" si="85"/>
        <v>@case_width-path_wide_z14</v>
      </c>
      <c r="C74" s="28" t="s">
        <v>88</v>
      </c>
      <c r="D74" s="28" t="s">
        <v>86</v>
      </c>
      <c r="F74" s="28" t="s">
        <v>88</v>
      </c>
      <c r="G74" s="28" t="s">
        <v>86</v>
      </c>
      <c r="I74" s="28" t="s">
        <v>98</v>
      </c>
      <c r="L74" s="28" t="s">
        <v>98</v>
      </c>
      <c r="AA74" s="2" t="s">
        <v>78</v>
      </c>
      <c r="AB74" s="2" t="str">
        <f t="shared" ref="AB74:AB77" si="99">IF(NOT(ISBLANK(AC74)),"-","")</f>
        <v>-</v>
      </c>
      <c r="AC74" s="2" t="s">
        <v>71</v>
      </c>
      <c r="AD74" s="2" t="str">
        <f t="shared" ref="AD74:AD77" si="100">IF(NOT(ISBLANK(AE74)),"_","")</f>
        <v>_</v>
      </c>
      <c r="AE74" s="2" t="s">
        <v>77</v>
      </c>
      <c r="AF74" s="2" t="str">
        <f t="shared" ref="AF74:AF77" si="101">IF(NOT(ISBLANK(AG74)),"_","")</f>
        <v>_</v>
      </c>
      <c r="AG74" s="28" t="s">
        <v>74</v>
      </c>
      <c r="AH74" s="2" t="str">
        <f t="shared" si="89"/>
        <v/>
      </c>
    </row>
    <row r="75" spans="2:34" x14ac:dyDescent="0.25">
      <c r="B75" s="2" t="str">
        <f t="shared" si="85"/>
        <v>@case_width-path_widest_z14</v>
      </c>
      <c r="C75" s="28" t="s">
        <v>88</v>
      </c>
      <c r="D75" s="28" t="s">
        <v>86</v>
      </c>
      <c r="F75" s="28" t="s">
        <v>88</v>
      </c>
      <c r="G75" s="28" t="s">
        <v>86</v>
      </c>
      <c r="I75" s="28" t="s">
        <v>100</v>
      </c>
      <c r="L75" s="28" t="s">
        <v>100</v>
      </c>
      <c r="AA75" s="2" t="s">
        <v>78</v>
      </c>
      <c r="AB75" s="2" t="str">
        <f t="shared" ref="AB75" si="102">IF(NOT(ISBLANK(AC75)),"-","")</f>
        <v>-</v>
      </c>
      <c r="AC75" s="2" t="s">
        <v>71</v>
      </c>
      <c r="AD75" s="2" t="str">
        <f t="shared" ref="AD75" si="103">IF(NOT(ISBLANK(AE75)),"_","")</f>
        <v>_</v>
      </c>
      <c r="AE75" s="2" t="s">
        <v>296</v>
      </c>
      <c r="AF75" s="2" t="str">
        <f t="shared" ref="AF75" si="104">IF(NOT(ISBLANK(AG75)),"_","")</f>
        <v>_</v>
      </c>
      <c r="AG75" s="28" t="s">
        <v>74</v>
      </c>
      <c r="AH75" s="2" t="str">
        <f t="shared" si="89"/>
        <v/>
      </c>
    </row>
    <row r="76" spans="2:34" x14ac:dyDescent="0.25">
      <c r="B76" s="2" t="str">
        <f t="shared" si="85"/>
        <v>@case_width-path_narrow_z16</v>
      </c>
      <c r="C76" s="28" t="s">
        <v>88</v>
      </c>
      <c r="D76" s="28" t="s">
        <v>88</v>
      </c>
      <c r="F76" s="28" t="s">
        <v>88</v>
      </c>
      <c r="G76" s="28" t="s">
        <v>88</v>
      </c>
      <c r="I76" s="28" t="s">
        <v>80</v>
      </c>
      <c r="L76" s="28" t="s">
        <v>80</v>
      </c>
      <c r="AA76" s="2" t="s">
        <v>78</v>
      </c>
      <c r="AB76" s="2" t="str">
        <f t="shared" si="99"/>
        <v>-</v>
      </c>
      <c r="AC76" s="2" t="s">
        <v>71</v>
      </c>
      <c r="AD76" s="2" t="str">
        <f t="shared" si="100"/>
        <v>_</v>
      </c>
      <c r="AE76" s="2" t="s">
        <v>72</v>
      </c>
      <c r="AF76" s="2" t="str">
        <f t="shared" si="101"/>
        <v>_</v>
      </c>
      <c r="AG76" s="28" t="s">
        <v>75</v>
      </c>
      <c r="AH76" s="2" t="str">
        <f t="shared" si="89"/>
        <v/>
      </c>
    </row>
    <row r="77" spans="2:34" x14ac:dyDescent="0.25">
      <c r="B77" s="2" t="str">
        <f t="shared" si="85"/>
        <v>@case_width-path_medium_z16</v>
      </c>
      <c r="C77" s="28" t="s">
        <v>86</v>
      </c>
      <c r="D77" s="28" t="s">
        <v>86</v>
      </c>
      <c r="F77" s="28" t="s">
        <v>86</v>
      </c>
      <c r="G77" s="28" t="s">
        <v>86</v>
      </c>
      <c r="I77" s="28" t="s">
        <v>98</v>
      </c>
      <c r="L77" s="28" t="s">
        <v>98</v>
      </c>
      <c r="AA77" s="2" t="s">
        <v>78</v>
      </c>
      <c r="AB77" s="2" t="str">
        <f t="shared" si="99"/>
        <v>-</v>
      </c>
      <c r="AC77" s="2" t="s">
        <v>71</v>
      </c>
      <c r="AD77" s="2" t="str">
        <f t="shared" si="100"/>
        <v>_</v>
      </c>
      <c r="AE77" s="2" t="s">
        <v>79</v>
      </c>
      <c r="AF77" s="2" t="str">
        <f t="shared" si="101"/>
        <v>_</v>
      </c>
      <c r="AG77" s="28" t="s">
        <v>75</v>
      </c>
      <c r="AH77" s="2" t="str">
        <f t="shared" si="89"/>
        <v/>
      </c>
    </row>
    <row r="78" spans="2:34" x14ac:dyDescent="0.25">
      <c r="B78" s="2" t="str">
        <f t="shared" si="85"/>
        <v>@case_width-path_wide_z16</v>
      </c>
      <c r="C78" s="28" t="s">
        <v>87</v>
      </c>
      <c r="D78" s="28" t="s">
        <v>87</v>
      </c>
      <c r="F78" s="28" t="s">
        <v>87</v>
      </c>
      <c r="G78" s="28" t="s">
        <v>87</v>
      </c>
      <c r="I78" s="28" t="s">
        <v>99</v>
      </c>
      <c r="L78" s="28" t="s">
        <v>99</v>
      </c>
      <c r="AA78" s="2" t="s">
        <v>78</v>
      </c>
      <c r="AB78" s="2" t="str">
        <f t="shared" ref="AB78:AB81" si="105">IF(NOT(ISBLANK(AC78)),"-","")</f>
        <v>-</v>
      </c>
      <c r="AC78" s="2" t="s">
        <v>71</v>
      </c>
      <c r="AD78" s="2" t="str">
        <f t="shared" ref="AD78:AD81" si="106">IF(NOT(ISBLANK(AE78)),"_","")</f>
        <v>_</v>
      </c>
      <c r="AE78" s="2" t="s">
        <v>77</v>
      </c>
      <c r="AF78" s="2" t="str">
        <f t="shared" ref="AF78:AF81" si="107">IF(NOT(ISBLANK(AG78)),"_","")</f>
        <v>_</v>
      </c>
      <c r="AG78" s="28" t="s">
        <v>75</v>
      </c>
      <c r="AH78" s="2" t="str">
        <f t="shared" si="89"/>
        <v/>
      </c>
    </row>
    <row r="79" spans="2:34" x14ac:dyDescent="0.25">
      <c r="B79" s="2" t="str">
        <f t="shared" si="85"/>
        <v>@case_width-path_widest_z16</v>
      </c>
      <c r="C79" s="28" t="s">
        <v>87</v>
      </c>
      <c r="D79" s="28" t="s">
        <v>87</v>
      </c>
      <c r="F79" s="28" t="s">
        <v>87</v>
      </c>
      <c r="G79" s="28" t="s">
        <v>87</v>
      </c>
      <c r="I79" s="28" t="s">
        <v>91</v>
      </c>
      <c r="L79" s="28" t="s">
        <v>91</v>
      </c>
      <c r="AA79" s="2" t="s">
        <v>78</v>
      </c>
      <c r="AB79" s="2" t="str">
        <f t="shared" ref="AB79" si="108">IF(NOT(ISBLANK(AC79)),"-","")</f>
        <v>-</v>
      </c>
      <c r="AC79" s="2" t="s">
        <v>71</v>
      </c>
      <c r="AD79" s="2" t="str">
        <f t="shared" ref="AD79" si="109">IF(NOT(ISBLANK(AE79)),"_","")</f>
        <v>_</v>
      </c>
      <c r="AE79" s="2" t="s">
        <v>296</v>
      </c>
      <c r="AF79" s="2" t="str">
        <f t="shared" ref="AF79" si="110">IF(NOT(ISBLANK(AG79)),"_","")</f>
        <v>_</v>
      </c>
      <c r="AG79" s="28" t="s">
        <v>75</v>
      </c>
      <c r="AH79" s="2" t="str">
        <f t="shared" si="89"/>
        <v/>
      </c>
    </row>
    <row r="80" spans="2:34" x14ac:dyDescent="0.25">
      <c r="B80" s="2" t="str">
        <f t="shared" si="85"/>
        <v>@case_width-path_narrow_z18</v>
      </c>
      <c r="C80" s="28" t="s">
        <v>83</v>
      </c>
      <c r="D80" s="28" t="s">
        <v>91</v>
      </c>
      <c r="F80" s="28" t="s">
        <v>83</v>
      </c>
      <c r="G80" s="28" t="s">
        <v>91</v>
      </c>
      <c r="I80" s="28" t="s">
        <v>84</v>
      </c>
      <c r="L80" s="28" t="s">
        <v>84</v>
      </c>
      <c r="AA80" s="2" t="s">
        <v>78</v>
      </c>
      <c r="AB80" s="2" t="str">
        <f t="shared" si="105"/>
        <v>-</v>
      </c>
      <c r="AC80" s="2" t="s">
        <v>71</v>
      </c>
      <c r="AD80" s="2" t="str">
        <f t="shared" si="106"/>
        <v>_</v>
      </c>
      <c r="AE80" s="2" t="s">
        <v>72</v>
      </c>
      <c r="AF80" s="2" t="str">
        <f t="shared" si="107"/>
        <v>_</v>
      </c>
      <c r="AG80" s="28" t="s">
        <v>76</v>
      </c>
      <c r="AH80" s="2" t="str">
        <f t="shared" si="89"/>
        <v/>
      </c>
    </row>
    <row r="81" spans="2:34" x14ac:dyDescent="0.25">
      <c r="B81" s="2" t="str">
        <f t="shared" si="85"/>
        <v>@case_width-path_medium_z18</v>
      </c>
      <c r="C81" s="28" t="s">
        <v>87</v>
      </c>
      <c r="D81" s="28" t="s">
        <v>93</v>
      </c>
      <c r="F81" s="28" t="s">
        <v>87</v>
      </c>
      <c r="G81" s="28" t="s">
        <v>93</v>
      </c>
      <c r="I81" s="28" t="s">
        <v>99</v>
      </c>
      <c r="L81" s="28" t="s">
        <v>99</v>
      </c>
      <c r="AA81" s="2" t="s">
        <v>78</v>
      </c>
      <c r="AB81" s="2" t="str">
        <f t="shared" si="105"/>
        <v>-</v>
      </c>
      <c r="AC81" s="2" t="s">
        <v>71</v>
      </c>
      <c r="AD81" s="2" t="str">
        <f t="shared" si="106"/>
        <v>_</v>
      </c>
      <c r="AE81" s="2" t="s">
        <v>79</v>
      </c>
      <c r="AF81" s="2" t="str">
        <f t="shared" si="107"/>
        <v>_</v>
      </c>
      <c r="AG81" s="28" t="s">
        <v>76</v>
      </c>
      <c r="AH81" s="2" t="str">
        <f t="shared" si="89"/>
        <v/>
      </c>
    </row>
    <row r="82" spans="2:34" x14ac:dyDescent="0.25">
      <c r="B82" s="2" t="str">
        <f t="shared" si="85"/>
        <v>@case_width-path_wide_z18</v>
      </c>
      <c r="C82" s="28" t="s">
        <v>89</v>
      </c>
      <c r="D82" s="28" t="s">
        <v>94</v>
      </c>
      <c r="F82" s="28" t="s">
        <v>89</v>
      </c>
      <c r="G82" s="28" t="s">
        <v>94</v>
      </c>
      <c r="I82" s="28" t="s">
        <v>100</v>
      </c>
      <c r="L82" s="28" t="s">
        <v>100</v>
      </c>
      <c r="AA82" s="2" t="s">
        <v>78</v>
      </c>
      <c r="AB82" s="2" t="str">
        <f t="shared" ref="AB82" si="111">IF(NOT(ISBLANK(AC82)),"-","")</f>
        <v>-</v>
      </c>
      <c r="AC82" s="2" t="s">
        <v>71</v>
      </c>
      <c r="AD82" s="2" t="str">
        <f t="shared" ref="AD82" si="112">IF(NOT(ISBLANK(AE82)),"_","")</f>
        <v>_</v>
      </c>
      <c r="AE82" s="2" t="s">
        <v>77</v>
      </c>
      <c r="AF82" s="2" t="str">
        <f t="shared" ref="AF82" si="113">IF(NOT(ISBLANK(AG82)),"_","")</f>
        <v>_</v>
      </c>
      <c r="AG82" s="28" t="s">
        <v>76</v>
      </c>
      <c r="AH82" s="2" t="str">
        <f t="shared" si="89"/>
        <v/>
      </c>
    </row>
    <row r="83" spans="2:34" x14ac:dyDescent="0.25">
      <c r="B83" s="2" t="str">
        <f t="shared" si="85"/>
        <v>@case_width-path_widest_z18</v>
      </c>
      <c r="C83" s="28" t="s">
        <v>89</v>
      </c>
      <c r="D83" s="28" t="s">
        <v>94</v>
      </c>
      <c r="F83" s="28" t="s">
        <v>89</v>
      </c>
      <c r="G83" s="28" t="s">
        <v>94</v>
      </c>
      <c r="I83" s="28" t="s">
        <v>332</v>
      </c>
      <c r="L83" s="28" t="s">
        <v>332</v>
      </c>
      <c r="AA83" s="2" t="s">
        <v>78</v>
      </c>
      <c r="AB83" s="2" t="str">
        <f t="shared" ref="AB83" si="114">IF(NOT(ISBLANK(AC83)),"-","")</f>
        <v>-</v>
      </c>
      <c r="AC83" s="2" t="s">
        <v>71</v>
      </c>
      <c r="AD83" s="2" t="str">
        <f t="shared" ref="AD83" si="115">IF(NOT(ISBLANK(AE83)),"_","")</f>
        <v>_</v>
      </c>
      <c r="AE83" s="2" t="s">
        <v>296</v>
      </c>
      <c r="AF83" s="2" t="str">
        <f t="shared" ref="AF83" si="116">IF(NOT(ISBLANK(AG83)),"_","")</f>
        <v>_</v>
      </c>
      <c r="AG83" s="28" t="s">
        <v>76</v>
      </c>
      <c r="AH83" s="2" t="str">
        <f t="shared" si="89"/>
        <v/>
      </c>
    </row>
    <row r="84" spans="2:34" x14ac:dyDescent="0.25">
      <c r="B84" s="2"/>
      <c r="AA84" s="2"/>
      <c r="AB84" s="2"/>
      <c r="AC84" s="2"/>
      <c r="AD84" s="2"/>
      <c r="AE84" s="2"/>
      <c r="AF84" s="2"/>
      <c r="AH84" s="2"/>
    </row>
    <row r="85" spans="2:34" x14ac:dyDescent="0.25">
      <c r="B85" s="2" t="str">
        <f t="shared" ref="B85" si="117">_xlfn.CONCAT("@",AA85,AB85,AC85,AD85,AE85,AF85,AG85,AH85,AI85)</f>
        <v>@color-path_track_footway_cycleway_railings</v>
      </c>
      <c r="C85" s="72" t="s">
        <v>214</v>
      </c>
      <c r="D85" s="72" t="s">
        <v>214</v>
      </c>
      <c r="F85" s="31" t="s">
        <v>281</v>
      </c>
      <c r="G85" s="31" t="s">
        <v>281</v>
      </c>
      <c r="I85" s="72" t="s">
        <v>214</v>
      </c>
      <c r="J85" s="72" t="s">
        <v>214</v>
      </c>
      <c r="L85" s="31" t="s">
        <v>281</v>
      </c>
      <c r="M85" s="31" t="s">
        <v>281</v>
      </c>
      <c r="AA85" s="2" t="s">
        <v>6</v>
      </c>
      <c r="AB85" s="2" t="str">
        <f t="shared" ref="AB85" si="118">IF(NOT(ISBLANK(AC85)),"-","")</f>
        <v>-</v>
      </c>
      <c r="AC85" s="2" t="s">
        <v>349</v>
      </c>
      <c r="AD85" s="2" t="str">
        <f t="shared" ref="AD85" si="119">IF(NOT(ISBLANK(AE85)),"_","")</f>
        <v>_</v>
      </c>
      <c r="AE85" s="2" t="s">
        <v>342</v>
      </c>
      <c r="AF85" s="2" t="str">
        <f t="shared" ref="AF85" si="120">IF(NOT(ISBLANK(AG85)),"_","")</f>
        <v/>
      </c>
      <c r="AH85" s="2" t="str">
        <f t="shared" ref="AH85" si="121">IF(NOT(ISBLANK(AI85)),"_","")</f>
        <v/>
      </c>
    </row>
    <row r="86" spans="2:34" x14ac:dyDescent="0.25">
      <c r="B86" s="2" t="str">
        <f t="shared" ref="B86" si="122">_xlfn.CONCAT("@",AA86,AB86,AC86,AD86,AE86,AF86,AG86,AH86,AI86)</f>
        <v>@color-path_track_footway_cycleway_floor</v>
      </c>
      <c r="C86" s="71" t="s">
        <v>222</v>
      </c>
      <c r="D86" s="71" t="s">
        <v>222</v>
      </c>
      <c r="F86" s="72" t="s">
        <v>214</v>
      </c>
      <c r="G86" s="72" t="s">
        <v>214</v>
      </c>
      <c r="I86" s="71" t="s">
        <v>222</v>
      </c>
      <c r="J86" s="71" t="s">
        <v>222</v>
      </c>
      <c r="L86" s="72" t="s">
        <v>214</v>
      </c>
      <c r="M86" s="72" t="s">
        <v>214</v>
      </c>
      <c r="AA86" s="2" t="s">
        <v>6</v>
      </c>
      <c r="AB86" s="2" t="str">
        <f t="shared" ref="AB86" si="123">IF(NOT(ISBLANK(AC86)),"-","")</f>
        <v>-</v>
      </c>
      <c r="AC86" s="2" t="s">
        <v>349</v>
      </c>
      <c r="AD86" s="2" t="str">
        <f t="shared" ref="AD86" si="124">IF(NOT(ISBLANK(AE86)),"_","")</f>
        <v>_</v>
      </c>
      <c r="AE86" s="2" t="s">
        <v>343</v>
      </c>
      <c r="AF86" s="2" t="str">
        <f t="shared" ref="AF86" si="125">IF(NOT(ISBLANK(AG86)),"_","")</f>
        <v/>
      </c>
      <c r="AH86" s="2" t="str">
        <f t="shared" ref="AH86" si="126">IF(NOT(ISBLANK(AI86)),"_","")</f>
        <v/>
      </c>
    </row>
    <row r="87" spans="2:34" x14ac:dyDescent="0.25">
      <c r="B87" s="2"/>
      <c r="AA87" s="2"/>
      <c r="AB87" s="2"/>
      <c r="AC87" s="2"/>
      <c r="AD87" s="2"/>
      <c r="AE87" s="2"/>
      <c r="AF87" s="2"/>
      <c r="AH87" s="2"/>
    </row>
    <row r="88" spans="2:34" x14ac:dyDescent="0.25">
      <c r="B88" s="2" t="str">
        <f t="shared" ref="B88" si="127">_xlfn.CONCAT("@",AA88,AB88,AC88,AD88,AE88,AF88,AG88,AH88,AI88)</f>
        <v>@case_width-path_track_footway_cycleway_railings_z12</v>
      </c>
      <c r="C88" s="28" t="s">
        <v>131</v>
      </c>
      <c r="D88" s="28" t="s">
        <v>131</v>
      </c>
      <c r="F88" s="28" t="s">
        <v>131</v>
      </c>
      <c r="G88" s="28" t="s">
        <v>131</v>
      </c>
      <c r="I88" s="28" t="s">
        <v>131</v>
      </c>
      <c r="J88" s="28" t="s">
        <v>82</v>
      </c>
      <c r="L88" s="28" t="s">
        <v>131</v>
      </c>
      <c r="M88" s="28" t="s">
        <v>82</v>
      </c>
      <c r="AA88" s="2" t="s">
        <v>78</v>
      </c>
      <c r="AB88" s="2" t="str">
        <f t="shared" ref="AB88" si="128">IF(NOT(ISBLANK(AC88)),"-","")</f>
        <v>-</v>
      </c>
      <c r="AC88" s="2" t="s">
        <v>349</v>
      </c>
      <c r="AD88" s="2" t="str">
        <f t="shared" ref="AD88" si="129">IF(NOT(ISBLANK(AE88)),"_","")</f>
        <v>_</v>
      </c>
      <c r="AE88" s="2" t="s">
        <v>342</v>
      </c>
      <c r="AF88" s="2" t="str">
        <f t="shared" ref="AF88" si="130">IF(NOT(ISBLANK(AG88)),"_","")</f>
        <v>_</v>
      </c>
      <c r="AG88" s="28" t="s">
        <v>109</v>
      </c>
      <c r="AH88" s="2" t="str">
        <f t="shared" ref="AH88" si="131">IF(NOT(ISBLANK(AI88)),"_","")</f>
        <v/>
      </c>
    </row>
    <row r="89" spans="2:34" x14ac:dyDescent="0.25">
      <c r="B89" s="2" t="str">
        <f t="shared" ref="B89" si="132">_xlfn.CONCAT("@",AA89,AB89,AC89,AD89,AE89,AF89,AG89,AH89,AI89)</f>
        <v>@case_width-path_track_footway_cycleway_railings_z14</v>
      </c>
      <c r="C89" s="28" t="s">
        <v>344</v>
      </c>
      <c r="D89" s="28" t="s">
        <v>344</v>
      </c>
      <c r="F89" s="28" t="s">
        <v>344</v>
      </c>
      <c r="G89" s="28" t="s">
        <v>344</v>
      </c>
      <c r="I89" s="28" t="s">
        <v>86</v>
      </c>
      <c r="J89" s="28" t="s">
        <v>134</v>
      </c>
      <c r="L89" s="28" t="s">
        <v>86</v>
      </c>
      <c r="M89" s="28" t="s">
        <v>134</v>
      </c>
      <c r="AA89" s="2" t="s">
        <v>78</v>
      </c>
      <c r="AB89" s="2" t="str">
        <f t="shared" ref="AB89" si="133">IF(NOT(ISBLANK(AC89)),"-","")</f>
        <v>-</v>
      </c>
      <c r="AC89" s="2" t="s">
        <v>349</v>
      </c>
      <c r="AD89" s="2" t="str">
        <f t="shared" ref="AD89" si="134">IF(NOT(ISBLANK(AE89)),"_","")</f>
        <v>_</v>
      </c>
      <c r="AE89" s="2" t="s">
        <v>342</v>
      </c>
      <c r="AF89" s="2" t="str">
        <f t="shared" ref="AF89" si="135">IF(NOT(ISBLANK(AG89)),"_","")</f>
        <v>_</v>
      </c>
      <c r="AG89" s="28" t="s">
        <v>74</v>
      </c>
      <c r="AH89" s="2" t="str">
        <f t="shared" ref="AH89" si="136">IF(NOT(ISBLANK(AI89)),"_","")</f>
        <v/>
      </c>
    </row>
    <row r="90" spans="2:34" x14ac:dyDescent="0.25">
      <c r="B90" s="2" t="str">
        <f t="shared" ref="B90" si="137">_xlfn.CONCAT("@",AA90,AB90,AC90,AD90,AE90,AF90,AG90,AH90,AI90)</f>
        <v>@case_width-path_track_footway_cycleway_railings_z15</v>
      </c>
      <c r="C90" s="28" t="s">
        <v>128</v>
      </c>
      <c r="D90" s="28" t="s">
        <v>313</v>
      </c>
      <c r="F90" s="28" t="s">
        <v>128</v>
      </c>
      <c r="G90" s="28" t="s">
        <v>86</v>
      </c>
      <c r="I90" s="28" t="s">
        <v>134</v>
      </c>
      <c r="J90" s="28" t="s">
        <v>327</v>
      </c>
      <c r="L90" s="28" t="s">
        <v>134</v>
      </c>
      <c r="M90" s="28" t="s">
        <v>327</v>
      </c>
      <c r="AA90" s="2" t="s">
        <v>78</v>
      </c>
      <c r="AB90" s="2" t="str">
        <f t="shared" ref="AB90" si="138">IF(NOT(ISBLANK(AC90)),"-","")</f>
        <v>-</v>
      </c>
      <c r="AC90" s="2" t="s">
        <v>349</v>
      </c>
      <c r="AD90" s="2" t="str">
        <f t="shared" ref="AD90" si="139">IF(NOT(ISBLANK(AE90)),"_","")</f>
        <v>_</v>
      </c>
      <c r="AE90" s="2" t="s">
        <v>342</v>
      </c>
      <c r="AF90" s="2" t="str">
        <f t="shared" ref="AF90" si="140">IF(NOT(ISBLANK(AG90)),"_","")</f>
        <v>_</v>
      </c>
      <c r="AG90" s="28" t="s">
        <v>337</v>
      </c>
      <c r="AH90" s="2" t="str">
        <f t="shared" ref="AH90" si="141">IF(NOT(ISBLANK(AI90)),"_","")</f>
        <v/>
      </c>
    </row>
    <row r="91" spans="2:34" x14ac:dyDescent="0.25">
      <c r="B91" s="2" t="str">
        <f t="shared" ref="B91" si="142">_xlfn.CONCAT("@",AA91,AB91,AC91,AD91,AE91,AF91,AG91,AH91,AI91)</f>
        <v>@case_width-path_track_footway_cycleway_railings_z16</v>
      </c>
      <c r="C91" s="28" t="s">
        <v>340</v>
      </c>
      <c r="D91" s="28" t="s">
        <v>345</v>
      </c>
      <c r="F91" s="28" t="s">
        <v>340</v>
      </c>
      <c r="G91" s="28" t="s">
        <v>345</v>
      </c>
      <c r="I91" s="28" t="s">
        <v>135</v>
      </c>
      <c r="J91" s="28" t="s">
        <v>347</v>
      </c>
      <c r="L91" s="28" t="s">
        <v>135</v>
      </c>
      <c r="M91" s="28" t="s">
        <v>347</v>
      </c>
      <c r="AA91" s="2" t="s">
        <v>78</v>
      </c>
      <c r="AB91" s="2" t="str">
        <f t="shared" ref="AB91" si="143">IF(NOT(ISBLANK(AC91)),"-","")</f>
        <v>-</v>
      </c>
      <c r="AC91" s="2" t="s">
        <v>349</v>
      </c>
      <c r="AD91" s="2" t="str">
        <f t="shared" ref="AD91" si="144">IF(NOT(ISBLANK(AE91)),"_","")</f>
        <v>_</v>
      </c>
      <c r="AE91" s="2" t="s">
        <v>342</v>
      </c>
      <c r="AF91" s="2" t="str">
        <f t="shared" ref="AF91" si="145">IF(NOT(ISBLANK(AG91)),"_","")</f>
        <v>_</v>
      </c>
      <c r="AG91" s="28" t="s">
        <v>75</v>
      </c>
      <c r="AH91" s="2" t="str">
        <f t="shared" ref="AH91" si="146">IF(NOT(ISBLANK(AI91)),"_","")</f>
        <v/>
      </c>
    </row>
    <row r="92" spans="2:34" x14ac:dyDescent="0.25">
      <c r="B92" s="2" t="str">
        <f t="shared" ref="B92" si="147">_xlfn.CONCAT("@",AA92,AB92,AC92,AD92,AE92,AF92,AG92,AH92,AI92)</f>
        <v>@case_width-path_track_footway_cycleway_railings_z18</v>
      </c>
      <c r="C92" s="28" t="s">
        <v>89</v>
      </c>
      <c r="D92" s="28" t="s">
        <v>339</v>
      </c>
      <c r="F92" s="28" t="s">
        <v>89</v>
      </c>
      <c r="G92" s="28" t="s">
        <v>339</v>
      </c>
      <c r="I92" s="28" t="s">
        <v>346</v>
      </c>
      <c r="J92" s="28" t="s">
        <v>348</v>
      </c>
      <c r="L92" s="28" t="s">
        <v>346</v>
      </c>
      <c r="M92" s="28" t="s">
        <v>348</v>
      </c>
      <c r="AA92" s="2" t="s">
        <v>78</v>
      </c>
      <c r="AB92" s="2" t="str">
        <f t="shared" ref="AB92" si="148">IF(NOT(ISBLANK(AC92)),"-","")</f>
        <v>-</v>
      </c>
      <c r="AC92" s="2" t="s">
        <v>349</v>
      </c>
      <c r="AD92" s="2" t="str">
        <f t="shared" ref="AD92" si="149">IF(NOT(ISBLANK(AE92)),"_","")</f>
        <v>_</v>
      </c>
      <c r="AE92" s="2" t="s">
        <v>342</v>
      </c>
      <c r="AF92" s="2" t="str">
        <f t="shared" ref="AF92" si="150">IF(NOT(ISBLANK(AG92)),"_","")</f>
        <v>_</v>
      </c>
      <c r="AG92" s="28" t="s">
        <v>76</v>
      </c>
      <c r="AH92" s="2" t="str">
        <f t="shared" ref="AH92" si="151">IF(NOT(ISBLANK(AI92)),"_","")</f>
        <v/>
      </c>
    </row>
    <row r="93" spans="2:34" x14ac:dyDescent="0.25">
      <c r="B93" s="2"/>
      <c r="AA93" s="2"/>
      <c r="AB93" s="2"/>
      <c r="AC93" s="2"/>
      <c r="AD93" s="2"/>
      <c r="AE93" s="2"/>
      <c r="AF93" s="2"/>
      <c r="AH93" s="2"/>
    </row>
    <row r="94" spans="2:34" x14ac:dyDescent="0.25">
      <c r="B94" s="2" t="str">
        <f t="shared" ref="B94" si="152">_xlfn.CONCAT("@",AA94,AB94,AC94,AD94,AE94,AF94,AG94,AH94,AI94)</f>
        <v>@case_width-path_track_footway_cycleway_floor_z12</v>
      </c>
      <c r="C94" s="28" t="s">
        <v>112</v>
      </c>
      <c r="D94" s="28" t="s">
        <v>112</v>
      </c>
      <c r="F94" s="28" t="s">
        <v>112</v>
      </c>
      <c r="G94" s="28" t="s">
        <v>112</v>
      </c>
      <c r="I94" s="28" t="s">
        <v>112</v>
      </c>
      <c r="J94" s="28" t="s">
        <v>90</v>
      </c>
      <c r="L94" s="28" t="s">
        <v>112</v>
      </c>
      <c r="M94" s="28" t="s">
        <v>90</v>
      </c>
      <c r="AA94" s="2" t="s">
        <v>78</v>
      </c>
      <c r="AB94" s="2" t="str">
        <f t="shared" ref="AB94" si="153">IF(NOT(ISBLANK(AC94)),"-","")</f>
        <v>-</v>
      </c>
      <c r="AC94" s="2" t="s">
        <v>349</v>
      </c>
      <c r="AD94" s="2" t="str">
        <f t="shared" ref="AD94" si="154">IF(NOT(ISBLANK(AE94)),"_","")</f>
        <v>_</v>
      </c>
      <c r="AE94" s="2" t="s">
        <v>343</v>
      </c>
      <c r="AF94" s="2" t="str">
        <f t="shared" ref="AF94" si="155">IF(NOT(ISBLANK(AG94)),"_","")</f>
        <v>_</v>
      </c>
      <c r="AG94" s="28" t="s">
        <v>109</v>
      </c>
      <c r="AH94" s="2" t="str">
        <f t="shared" ref="AH94" si="156">IF(NOT(ISBLANK(AI94)),"_","")</f>
        <v/>
      </c>
    </row>
    <row r="95" spans="2:34" x14ac:dyDescent="0.25">
      <c r="B95" s="2" t="str">
        <f t="shared" ref="B95" si="157">_xlfn.CONCAT("@",AA95,AB95,AC95,AD95,AE95,AF95,AG95,AH95,AI95)</f>
        <v>@case_width-path_track_footway_cycleway_floor_z14</v>
      </c>
      <c r="C95" s="28" t="s">
        <v>112</v>
      </c>
      <c r="D95" s="28" t="s">
        <v>112</v>
      </c>
      <c r="F95" s="28" t="s">
        <v>112</v>
      </c>
      <c r="G95" s="28" t="s">
        <v>112</v>
      </c>
      <c r="I95" s="28" t="s">
        <v>128</v>
      </c>
      <c r="J95" s="28" t="s">
        <v>313</v>
      </c>
      <c r="L95" s="28" t="s">
        <v>128</v>
      </c>
      <c r="M95" s="28" t="s">
        <v>313</v>
      </c>
      <c r="AA95" s="2" t="s">
        <v>78</v>
      </c>
      <c r="AB95" s="2" t="str">
        <f t="shared" ref="AB95" si="158">IF(NOT(ISBLANK(AC95)),"-","")</f>
        <v>-</v>
      </c>
      <c r="AC95" s="2" t="s">
        <v>349</v>
      </c>
      <c r="AD95" s="2" t="str">
        <f t="shared" ref="AD95" si="159">IF(NOT(ISBLANK(AE95)),"_","")</f>
        <v>_</v>
      </c>
      <c r="AE95" s="2" t="s">
        <v>343</v>
      </c>
      <c r="AF95" s="2" t="str">
        <f t="shared" ref="AF95" si="160">IF(NOT(ISBLANK(AG95)),"_","")</f>
        <v>_</v>
      </c>
      <c r="AG95" s="28" t="s">
        <v>74</v>
      </c>
      <c r="AH95" s="2" t="str">
        <f t="shared" ref="AH95" si="161">IF(NOT(ISBLANK(AI95)),"_","")</f>
        <v/>
      </c>
    </row>
    <row r="96" spans="2:34" x14ac:dyDescent="0.25">
      <c r="B96" s="2" t="str">
        <f t="shared" ref="B96:B97" si="162">_xlfn.CONCAT("@",AA96,AB96,AC96,AD96,AE96,AF96,AG96,AH96,AI96)</f>
        <v>@case_width-path_track_footway_cycleway_floor_z15</v>
      </c>
      <c r="C96" s="28" t="s">
        <v>88</v>
      </c>
      <c r="D96" s="28" t="s">
        <v>92</v>
      </c>
      <c r="F96" s="28" t="s">
        <v>88</v>
      </c>
      <c r="G96" s="28" t="s">
        <v>92</v>
      </c>
      <c r="I96" s="28" t="s">
        <v>83</v>
      </c>
      <c r="J96" s="28" t="s">
        <v>86</v>
      </c>
      <c r="L96" s="28" t="s">
        <v>83</v>
      </c>
      <c r="M96" s="28" t="s">
        <v>86</v>
      </c>
      <c r="AA96" s="2" t="s">
        <v>78</v>
      </c>
      <c r="AB96" s="2" t="str">
        <f t="shared" ref="AB96:AB97" si="163">IF(NOT(ISBLANK(AC96)),"-","")</f>
        <v>-</v>
      </c>
      <c r="AC96" s="2" t="s">
        <v>349</v>
      </c>
      <c r="AD96" s="2" t="str">
        <f t="shared" ref="AD96:AD97" si="164">IF(NOT(ISBLANK(AE96)),"_","")</f>
        <v>_</v>
      </c>
      <c r="AE96" s="2" t="s">
        <v>343</v>
      </c>
      <c r="AF96" s="2" t="str">
        <f t="shared" ref="AF96:AF97" si="165">IF(NOT(ISBLANK(AG96)),"_","")</f>
        <v>_</v>
      </c>
      <c r="AG96" s="28" t="s">
        <v>337</v>
      </c>
      <c r="AH96" s="2" t="str">
        <f t="shared" ref="AH96:AH97" si="166">IF(NOT(ISBLANK(AI96)),"_","")</f>
        <v/>
      </c>
    </row>
    <row r="97" spans="1:35" x14ac:dyDescent="0.25">
      <c r="B97" s="2" t="str">
        <f t="shared" si="162"/>
        <v>@case_width-path_track_footway_cycleway_floor_z16</v>
      </c>
      <c r="C97" s="28" t="s">
        <v>86</v>
      </c>
      <c r="D97" s="28" t="s">
        <v>134</v>
      </c>
      <c r="F97" s="28" t="s">
        <v>86</v>
      </c>
      <c r="G97" s="28" t="s">
        <v>134</v>
      </c>
      <c r="I97" s="28" t="s">
        <v>327</v>
      </c>
      <c r="J97" s="28" t="s">
        <v>341</v>
      </c>
      <c r="L97" s="28" t="s">
        <v>327</v>
      </c>
      <c r="M97" s="28" t="s">
        <v>341</v>
      </c>
      <c r="AA97" s="2" t="s">
        <v>78</v>
      </c>
      <c r="AB97" s="2" t="str">
        <f t="shared" si="163"/>
        <v>-</v>
      </c>
      <c r="AC97" s="2" t="s">
        <v>349</v>
      </c>
      <c r="AD97" s="2" t="str">
        <f t="shared" si="164"/>
        <v>_</v>
      </c>
      <c r="AE97" s="2" t="s">
        <v>343</v>
      </c>
      <c r="AF97" s="2" t="str">
        <f t="shared" si="165"/>
        <v>_</v>
      </c>
      <c r="AG97" s="28" t="s">
        <v>75</v>
      </c>
      <c r="AH97" s="2" t="str">
        <f t="shared" si="166"/>
        <v/>
      </c>
    </row>
    <row r="98" spans="1:35" x14ac:dyDescent="0.25">
      <c r="B98" s="2" t="str">
        <f t="shared" ref="B98" si="167">_xlfn.CONCAT("@",AA98,AB98,AC98,AD98,AE98,AF98,AG98,AH98,AI98)</f>
        <v>@case_width-path_track_footway_cycleway_floor_z18</v>
      </c>
      <c r="C98" s="28" t="s">
        <v>332</v>
      </c>
      <c r="D98" s="28" t="s">
        <v>338</v>
      </c>
      <c r="F98" s="28" t="s">
        <v>332</v>
      </c>
      <c r="G98" s="28" t="s">
        <v>338</v>
      </c>
      <c r="I98" s="28" t="s">
        <v>339</v>
      </c>
      <c r="J98" s="28" t="s">
        <v>145</v>
      </c>
      <c r="L98" s="28" t="s">
        <v>339</v>
      </c>
      <c r="M98" s="28" t="s">
        <v>145</v>
      </c>
      <c r="AA98" s="2" t="s">
        <v>78</v>
      </c>
      <c r="AB98" s="2" t="str">
        <f t="shared" ref="AB98" si="168">IF(NOT(ISBLANK(AC98)),"-","")</f>
        <v>-</v>
      </c>
      <c r="AC98" s="2" t="s">
        <v>349</v>
      </c>
      <c r="AD98" s="2" t="str">
        <f t="shared" ref="AD98" si="169">IF(NOT(ISBLANK(AE98)),"_","")</f>
        <v>_</v>
      </c>
      <c r="AE98" s="2" t="s">
        <v>343</v>
      </c>
      <c r="AF98" s="2" t="str">
        <f t="shared" ref="AF98" si="170">IF(NOT(ISBLANK(AG98)),"_","")</f>
        <v>_</v>
      </c>
      <c r="AG98" s="28" t="s">
        <v>76</v>
      </c>
      <c r="AH98" s="2" t="str">
        <f t="shared" ref="AH98" si="171">IF(NOT(ISBLANK(AI98)),"_","")</f>
        <v/>
      </c>
    </row>
    <row r="99" spans="1:35" x14ac:dyDescent="0.25">
      <c r="B99" s="2"/>
      <c r="AA99" s="2"/>
      <c r="AB99" s="2"/>
      <c r="AC99" s="2"/>
      <c r="AD99" s="2"/>
      <c r="AE99" s="2"/>
    </row>
    <row r="100" spans="1:35" x14ac:dyDescent="0.25">
      <c r="B100" s="2" t="str">
        <f>_xlfn.CONCAT("@",AA100,AB100,AC100,AD100,AE100,AF100,AG100,AH100,AI100)</f>
        <v>@case_width-track_default_z10</v>
      </c>
      <c r="C100" s="28" t="s">
        <v>85</v>
      </c>
      <c r="D100" s="28" t="s">
        <v>354</v>
      </c>
      <c r="F100" s="28" t="s">
        <v>85</v>
      </c>
      <c r="G100" s="28" t="s">
        <v>354</v>
      </c>
      <c r="I100" s="28" t="s">
        <v>85</v>
      </c>
      <c r="J100" s="28" t="s">
        <v>354</v>
      </c>
      <c r="L100" s="28" t="s">
        <v>85</v>
      </c>
      <c r="M100" s="28" t="s">
        <v>354</v>
      </c>
      <c r="AA100" s="2" t="s">
        <v>78</v>
      </c>
      <c r="AB100" s="2" t="str">
        <f>IF(NOT(ISBLANK(AC100)),"-","")</f>
        <v>-</v>
      </c>
      <c r="AC100" s="2" t="s">
        <v>102</v>
      </c>
      <c r="AD100" s="2" t="str">
        <f>IF(NOT(ISBLANK(AE100)),"_","")</f>
        <v>_</v>
      </c>
      <c r="AE100" s="2" t="s">
        <v>262</v>
      </c>
      <c r="AF100" s="2" t="str">
        <f>IF(NOT(ISBLANK(AG100)),"_","")</f>
        <v>_</v>
      </c>
      <c r="AG100" s="28" t="s">
        <v>103</v>
      </c>
      <c r="AH100" s="2" t="str">
        <f>IF(NOT(ISBLANK(AI100)),"_","")</f>
        <v/>
      </c>
    </row>
    <row r="101" spans="1:35" x14ac:dyDescent="0.25">
      <c r="B101" s="2" t="str">
        <f>_xlfn.CONCAT("@",AA101,AB101,AC101,AD101,AE101,AF101,AG101,AH101,AI101)</f>
        <v>@case_width-track_default_z12</v>
      </c>
      <c r="C101" s="28" t="s">
        <v>82</v>
      </c>
      <c r="D101" s="28" t="s">
        <v>83</v>
      </c>
      <c r="F101" s="28" t="s">
        <v>82</v>
      </c>
      <c r="G101" s="28" t="s">
        <v>83</v>
      </c>
      <c r="I101" s="28" t="s">
        <v>82</v>
      </c>
      <c r="J101" s="28" t="s">
        <v>83</v>
      </c>
      <c r="L101" s="28" t="s">
        <v>82</v>
      </c>
      <c r="M101" s="28" t="s">
        <v>83</v>
      </c>
      <c r="AA101" s="2" t="s">
        <v>78</v>
      </c>
      <c r="AB101" s="2" t="str">
        <f>IF(NOT(ISBLANK(AC101)),"-","")</f>
        <v>-</v>
      </c>
      <c r="AC101" s="2" t="s">
        <v>102</v>
      </c>
      <c r="AD101" s="2" t="str">
        <f>IF(NOT(ISBLANK(AE101)),"_","")</f>
        <v>_</v>
      </c>
      <c r="AE101" s="2" t="s">
        <v>262</v>
      </c>
      <c r="AF101" s="2" t="str">
        <f>IF(NOT(ISBLANK(AG101)),"_","")</f>
        <v>_</v>
      </c>
      <c r="AG101" s="28" t="s">
        <v>109</v>
      </c>
      <c r="AH101" s="2" t="str">
        <f>IF(NOT(ISBLANK(AI101)),"_","")</f>
        <v/>
      </c>
    </row>
    <row r="102" spans="1:35" x14ac:dyDescent="0.25">
      <c r="B102" s="2" t="str">
        <f>_xlfn.CONCAT("@",AA102,AB102,AC102,AD102,AE102,AF102,AG102,AH102,AI102)</f>
        <v>@case_width-track_default_z14</v>
      </c>
      <c r="C102" s="28" t="s">
        <v>92</v>
      </c>
      <c r="D102" s="28" t="s">
        <v>86</v>
      </c>
      <c r="F102" s="28" t="s">
        <v>92</v>
      </c>
      <c r="G102" s="28" t="s">
        <v>86</v>
      </c>
      <c r="I102" s="28" t="s">
        <v>92</v>
      </c>
      <c r="J102" s="28" t="s">
        <v>86</v>
      </c>
      <c r="L102" s="28" t="s">
        <v>92</v>
      </c>
      <c r="M102" s="28" t="s">
        <v>86</v>
      </c>
      <c r="AA102" s="2" t="s">
        <v>78</v>
      </c>
      <c r="AB102" s="2" t="str">
        <f>IF(NOT(ISBLANK(AC102)),"-","")</f>
        <v>-</v>
      </c>
      <c r="AC102" s="2" t="s">
        <v>102</v>
      </c>
      <c r="AD102" s="2" t="str">
        <f>IF(NOT(ISBLANK(AE102)),"_","")</f>
        <v>_</v>
      </c>
      <c r="AE102" s="2" t="s">
        <v>262</v>
      </c>
      <c r="AF102" s="2" t="str">
        <f>IF(NOT(ISBLANK(AG102)),"_","")</f>
        <v>_</v>
      </c>
      <c r="AG102" s="28" t="s">
        <v>74</v>
      </c>
      <c r="AH102" s="2" t="str">
        <f>IF(NOT(ISBLANK(AI102)),"_","")</f>
        <v/>
      </c>
    </row>
    <row r="103" spans="1:35" x14ac:dyDescent="0.25">
      <c r="B103" s="2" t="str">
        <f>_xlfn.CONCAT("@",AA103,AB103,AC103,AD103,AE103,AF103,AG103,AH103,AI103)</f>
        <v>@case_width-track_default_z16</v>
      </c>
      <c r="C103" s="28" t="s">
        <v>87</v>
      </c>
      <c r="D103" s="28" t="s">
        <v>87</v>
      </c>
      <c r="F103" s="28" t="s">
        <v>87</v>
      </c>
      <c r="G103" s="28" t="s">
        <v>87</v>
      </c>
      <c r="I103" s="28" t="s">
        <v>87</v>
      </c>
      <c r="J103" s="28" t="s">
        <v>87</v>
      </c>
      <c r="L103" s="28" t="s">
        <v>87</v>
      </c>
      <c r="M103" s="28" t="s">
        <v>87</v>
      </c>
      <c r="AA103" s="2" t="s">
        <v>78</v>
      </c>
      <c r="AB103" s="2" t="str">
        <f>IF(NOT(ISBLANK(AC103)),"-","")</f>
        <v>-</v>
      </c>
      <c r="AC103" s="2" t="s">
        <v>102</v>
      </c>
      <c r="AD103" s="2" t="str">
        <f>IF(NOT(ISBLANK(AE103)),"_","")</f>
        <v>_</v>
      </c>
      <c r="AE103" s="2" t="s">
        <v>262</v>
      </c>
      <c r="AF103" s="2" t="str">
        <f>IF(NOT(ISBLANK(AG103)),"_","")</f>
        <v>_</v>
      </c>
      <c r="AG103" s="28" t="s">
        <v>75</v>
      </c>
      <c r="AH103" s="2" t="str">
        <f>IF(NOT(ISBLANK(AI103)),"_","")</f>
        <v/>
      </c>
    </row>
    <row r="104" spans="1:35" x14ac:dyDescent="0.25">
      <c r="B104" s="2" t="str">
        <f>_xlfn.CONCAT("@",AA104,AB104,AC104,AD104,AE104,AF104,AG104,AH104,AI104)</f>
        <v>@case_width-track_default_z18</v>
      </c>
      <c r="C104" s="28" t="s">
        <v>89</v>
      </c>
      <c r="D104" s="28" t="s">
        <v>94</v>
      </c>
      <c r="F104" s="28" t="s">
        <v>89</v>
      </c>
      <c r="G104" s="28" t="s">
        <v>94</v>
      </c>
      <c r="I104" s="28" t="s">
        <v>89</v>
      </c>
      <c r="J104" s="28" t="s">
        <v>94</v>
      </c>
      <c r="L104" s="28" t="s">
        <v>89</v>
      </c>
      <c r="M104" s="28" t="s">
        <v>94</v>
      </c>
      <c r="AA104" s="2" t="s">
        <v>78</v>
      </c>
      <c r="AB104" s="2" t="str">
        <f>IF(NOT(ISBLANK(AC104)),"-","")</f>
        <v>-</v>
      </c>
      <c r="AC104" s="2" t="s">
        <v>102</v>
      </c>
      <c r="AD104" s="2" t="str">
        <f>IF(NOT(ISBLANK(AE104)),"_","")</f>
        <v>_</v>
      </c>
      <c r="AE104" s="2" t="s">
        <v>262</v>
      </c>
      <c r="AF104" s="2" t="str">
        <f>IF(NOT(ISBLANK(AG104)),"_","")</f>
        <v>_</v>
      </c>
      <c r="AG104" s="28" t="s">
        <v>76</v>
      </c>
      <c r="AH104" s="2" t="str">
        <f>IF(NOT(ISBLANK(AI104)),"_","")</f>
        <v/>
      </c>
    </row>
    <row r="105" spans="1:35" x14ac:dyDescent="0.25">
      <c r="B105" s="2"/>
      <c r="AA105" s="2"/>
      <c r="AB105" s="2"/>
      <c r="AC105" s="2"/>
      <c r="AD105" s="2"/>
      <c r="AE105" s="2"/>
    </row>
    <row r="106" spans="1:35" s="5" customFormat="1" x14ac:dyDescent="0.25">
      <c r="A106" s="27" t="s">
        <v>334</v>
      </c>
      <c r="B106" s="27"/>
      <c r="C106" s="27"/>
      <c r="D106" s="27"/>
      <c r="F106" s="27"/>
      <c r="G106" s="27"/>
      <c r="I106" s="27"/>
      <c r="J106" s="27"/>
      <c r="L106" s="27"/>
      <c r="M106" s="27"/>
      <c r="O106" s="27"/>
      <c r="P106" s="27"/>
      <c r="R106" s="27"/>
      <c r="S106" s="27"/>
      <c r="U106" s="27"/>
      <c r="V106" s="27"/>
      <c r="X106" s="27"/>
      <c r="Y106" s="27"/>
      <c r="AA106" s="27"/>
      <c r="AB106" s="27"/>
      <c r="AC106" s="27"/>
      <c r="AD106" s="27"/>
      <c r="AE106" s="27"/>
      <c r="AF106" s="27"/>
      <c r="AG106" s="27"/>
      <c r="AH106" s="27"/>
      <c r="AI106" s="27"/>
    </row>
    <row r="107" spans="1:35" x14ac:dyDescent="0.25">
      <c r="B107" s="2" t="str">
        <f t="shared" ref="B107:B122" si="172">_xlfn.CONCAT("@",AA107,AB107,AC107,AD107,AE107,AF107,AG107,AH107,AI107)</f>
        <v>@line_width-path_narrow_z12</v>
      </c>
      <c r="C107" s="28" t="s">
        <v>120</v>
      </c>
      <c r="D107" s="28" t="s">
        <v>122</v>
      </c>
      <c r="F107" s="28" t="s">
        <v>120</v>
      </c>
      <c r="G107" s="28" t="s">
        <v>122</v>
      </c>
      <c r="I107" s="28" t="s">
        <v>120</v>
      </c>
      <c r="J107" s="28" t="s">
        <v>122</v>
      </c>
      <c r="L107" s="28" t="s">
        <v>120</v>
      </c>
      <c r="M107" s="28" t="s">
        <v>122</v>
      </c>
      <c r="AA107" s="2" t="s">
        <v>119</v>
      </c>
      <c r="AB107" s="2" t="str">
        <f t="shared" ref="AB107:AB122" si="173">IF(NOT(ISBLANK(AC107)),"-","")</f>
        <v>-</v>
      </c>
      <c r="AC107" s="2" t="s">
        <v>71</v>
      </c>
      <c r="AD107" s="2" t="str">
        <f t="shared" ref="AD107:AD122" si="174">IF(NOT(ISBLANK(AE107)),"_","")</f>
        <v>_</v>
      </c>
      <c r="AE107" s="2" t="s">
        <v>72</v>
      </c>
      <c r="AF107" s="2" t="str">
        <f t="shared" ref="AF107:AF122" si="175">IF(NOT(ISBLANK(AG107)),"_","")</f>
        <v>_</v>
      </c>
      <c r="AG107" s="28" t="s">
        <v>109</v>
      </c>
      <c r="AH107" s="2" t="str">
        <f t="shared" ref="AH107:AH122" si="176">IF(NOT(ISBLANK(AI107)),"_","")</f>
        <v/>
      </c>
    </row>
    <row r="108" spans="1:35" x14ac:dyDescent="0.25">
      <c r="B108" s="2" t="str">
        <f t="shared" si="172"/>
        <v>@line_width-path_medium_z12</v>
      </c>
      <c r="C108" s="28" t="s">
        <v>122</v>
      </c>
      <c r="D108" s="28" t="s">
        <v>116</v>
      </c>
      <c r="F108" s="28" t="s">
        <v>122</v>
      </c>
      <c r="G108" s="28" t="s">
        <v>116</v>
      </c>
      <c r="I108" s="28" t="s">
        <v>122</v>
      </c>
      <c r="J108" s="28" t="s">
        <v>116</v>
      </c>
      <c r="L108" s="28" t="s">
        <v>122</v>
      </c>
      <c r="M108" s="28" t="s">
        <v>116</v>
      </c>
      <c r="AA108" s="2" t="s">
        <v>119</v>
      </c>
      <c r="AB108" s="2" t="str">
        <f t="shared" si="173"/>
        <v>-</v>
      </c>
      <c r="AC108" s="2" t="s">
        <v>71</v>
      </c>
      <c r="AD108" s="2" t="str">
        <f t="shared" si="174"/>
        <v>_</v>
      </c>
      <c r="AE108" s="2" t="s">
        <v>79</v>
      </c>
      <c r="AF108" s="2" t="str">
        <f t="shared" si="175"/>
        <v>_</v>
      </c>
      <c r="AG108" s="28" t="s">
        <v>109</v>
      </c>
      <c r="AH108" s="2" t="str">
        <f t="shared" si="176"/>
        <v/>
      </c>
    </row>
    <row r="109" spans="1:35" x14ac:dyDescent="0.25">
      <c r="B109" s="2" t="str">
        <f t="shared" si="172"/>
        <v>@line_width-path_wide_z12</v>
      </c>
      <c r="C109" s="28" t="s">
        <v>97</v>
      </c>
      <c r="D109" s="28" t="s">
        <v>123</v>
      </c>
      <c r="F109" s="28" t="s">
        <v>97</v>
      </c>
      <c r="G109" s="28" t="s">
        <v>123</v>
      </c>
      <c r="I109" s="28" t="s">
        <v>97</v>
      </c>
      <c r="J109" s="28" t="s">
        <v>123</v>
      </c>
      <c r="L109" s="28" t="s">
        <v>97</v>
      </c>
      <c r="M109" s="28" t="s">
        <v>123</v>
      </c>
      <c r="AA109" s="2" t="s">
        <v>119</v>
      </c>
      <c r="AB109" s="2" t="str">
        <f t="shared" si="173"/>
        <v>-</v>
      </c>
      <c r="AC109" s="2" t="s">
        <v>71</v>
      </c>
      <c r="AD109" s="2" t="str">
        <f t="shared" si="174"/>
        <v>_</v>
      </c>
      <c r="AE109" s="2" t="s">
        <v>77</v>
      </c>
      <c r="AF109" s="2" t="str">
        <f t="shared" si="175"/>
        <v>_</v>
      </c>
      <c r="AG109" s="28" t="s">
        <v>109</v>
      </c>
      <c r="AH109" s="2" t="str">
        <f t="shared" si="176"/>
        <v/>
      </c>
    </row>
    <row r="110" spans="1:35" x14ac:dyDescent="0.25">
      <c r="B110" s="2" t="str">
        <f t="shared" si="172"/>
        <v>@line_width-path_widest_z12</v>
      </c>
      <c r="C110" s="28" t="s">
        <v>97</v>
      </c>
      <c r="D110" s="28" t="s">
        <v>123</v>
      </c>
      <c r="F110" s="28" t="s">
        <v>97</v>
      </c>
      <c r="G110" s="28" t="s">
        <v>123</v>
      </c>
      <c r="I110" s="28" t="s">
        <v>97</v>
      </c>
      <c r="J110" s="28" t="s">
        <v>123</v>
      </c>
      <c r="L110" s="28" t="s">
        <v>97</v>
      </c>
      <c r="M110" s="28" t="s">
        <v>123</v>
      </c>
      <c r="AA110" s="2" t="s">
        <v>119</v>
      </c>
      <c r="AB110" s="2" t="str">
        <f t="shared" si="173"/>
        <v>-</v>
      </c>
      <c r="AC110" s="2" t="s">
        <v>71</v>
      </c>
      <c r="AD110" s="2" t="str">
        <f t="shared" si="174"/>
        <v>_</v>
      </c>
      <c r="AE110" s="2" t="s">
        <v>296</v>
      </c>
      <c r="AF110" s="2" t="str">
        <f t="shared" si="175"/>
        <v>_</v>
      </c>
      <c r="AG110" s="28" t="s">
        <v>109</v>
      </c>
      <c r="AH110" s="2" t="str">
        <f t="shared" si="176"/>
        <v/>
      </c>
    </row>
    <row r="111" spans="1:35" x14ac:dyDescent="0.25">
      <c r="B111" s="2" t="str">
        <f t="shared" si="172"/>
        <v>@line_width-path_narrow_z14</v>
      </c>
      <c r="C111" s="28" t="s">
        <v>96</v>
      </c>
      <c r="D111" s="28" t="s">
        <v>97</v>
      </c>
      <c r="F111" s="28" t="s">
        <v>96</v>
      </c>
      <c r="G111" s="28" t="s">
        <v>97</v>
      </c>
      <c r="I111" s="28" t="s">
        <v>95</v>
      </c>
      <c r="J111" s="28" t="s">
        <v>115</v>
      </c>
      <c r="L111" s="28" t="s">
        <v>95</v>
      </c>
      <c r="M111" s="28" t="s">
        <v>115</v>
      </c>
      <c r="AA111" s="2" t="s">
        <v>119</v>
      </c>
      <c r="AB111" s="2" t="str">
        <f t="shared" si="173"/>
        <v>-</v>
      </c>
      <c r="AC111" s="2" t="s">
        <v>71</v>
      </c>
      <c r="AD111" s="2" t="str">
        <f t="shared" si="174"/>
        <v>_</v>
      </c>
      <c r="AE111" s="2" t="s">
        <v>72</v>
      </c>
      <c r="AF111" s="2" t="str">
        <f t="shared" si="175"/>
        <v>_</v>
      </c>
      <c r="AG111" s="28" t="s">
        <v>74</v>
      </c>
      <c r="AH111" s="2" t="str">
        <f t="shared" si="176"/>
        <v/>
      </c>
    </row>
    <row r="112" spans="1:35" x14ac:dyDescent="0.25">
      <c r="B112" s="2" t="str">
        <f t="shared" si="172"/>
        <v>@line_width-path_medium_z14</v>
      </c>
      <c r="C112" s="28" t="s">
        <v>80</v>
      </c>
      <c r="D112" s="28" t="s">
        <v>84</v>
      </c>
      <c r="F112" s="28" t="s">
        <v>80</v>
      </c>
      <c r="G112" s="28" t="s">
        <v>84</v>
      </c>
      <c r="I112" s="28" t="s">
        <v>96</v>
      </c>
      <c r="J112" s="28" t="s">
        <v>97</v>
      </c>
      <c r="L112" s="28" t="s">
        <v>96</v>
      </c>
      <c r="M112" s="28" t="s">
        <v>97</v>
      </c>
      <c r="AA112" s="2" t="s">
        <v>119</v>
      </c>
      <c r="AB112" s="2" t="str">
        <f t="shared" si="173"/>
        <v>-</v>
      </c>
      <c r="AC112" s="2" t="s">
        <v>71</v>
      </c>
      <c r="AD112" s="2" t="str">
        <f t="shared" si="174"/>
        <v>_</v>
      </c>
      <c r="AE112" s="2" t="s">
        <v>79</v>
      </c>
      <c r="AF112" s="2" t="str">
        <f t="shared" si="175"/>
        <v>_</v>
      </c>
      <c r="AG112" s="28" t="s">
        <v>74</v>
      </c>
      <c r="AH112" s="2" t="str">
        <f t="shared" si="176"/>
        <v/>
      </c>
    </row>
    <row r="113" spans="2:34" x14ac:dyDescent="0.25">
      <c r="B113" s="2" t="str">
        <f t="shared" si="172"/>
        <v>@line_width-path_wide_z14</v>
      </c>
      <c r="C113" s="28" t="s">
        <v>123</v>
      </c>
      <c r="D113" s="28" t="s">
        <v>126</v>
      </c>
      <c r="F113" s="28" t="s">
        <v>123</v>
      </c>
      <c r="G113" s="28" t="s">
        <v>126</v>
      </c>
      <c r="I113" s="28" t="s">
        <v>84</v>
      </c>
      <c r="J113" s="28" t="s">
        <v>112</v>
      </c>
      <c r="L113" s="28" t="s">
        <v>84</v>
      </c>
      <c r="M113" s="28" t="s">
        <v>112</v>
      </c>
      <c r="AA113" s="2" t="s">
        <v>119</v>
      </c>
      <c r="AB113" s="2" t="str">
        <f t="shared" si="173"/>
        <v>-</v>
      </c>
      <c r="AC113" s="2" t="s">
        <v>71</v>
      </c>
      <c r="AD113" s="2" t="str">
        <f t="shared" si="174"/>
        <v>_</v>
      </c>
      <c r="AE113" s="2" t="s">
        <v>77</v>
      </c>
      <c r="AF113" s="2" t="str">
        <f t="shared" si="175"/>
        <v>_</v>
      </c>
      <c r="AG113" s="28" t="s">
        <v>74</v>
      </c>
      <c r="AH113" s="2" t="str">
        <f t="shared" si="176"/>
        <v/>
      </c>
    </row>
    <row r="114" spans="2:34" x14ac:dyDescent="0.25">
      <c r="B114" s="2" t="str">
        <f t="shared" si="172"/>
        <v>@line_width-path_widest_z14</v>
      </c>
      <c r="C114" s="28" t="s">
        <v>123</v>
      </c>
      <c r="D114" s="28" t="s">
        <v>126</v>
      </c>
      <c r="F114" s="28" t="s">
        <v>123</v>
      </c>
      <c r="G114" s="28" t="s">
        <v>126</v>
      </c>
      <c r="I114" s="28" t="s">
        <v>84</v>
      </c>
      <c r="J114" s="28" t="s">
        <v>112</v>
      </c>
      <c r="L114" s="28" t="s">
        <v>84</v>
      </c>
      <c r="M114" s="28" t="s">
        <v>112</v>
      </c>
      <c r="AA114" s="2" t="s">
        <v>119</v>
      </c>
      <c r="AB114" s="2" t="str">
        <f t="shared" si="173"/>
        <v>-</v>
      </c>
      <c r="AC114" s="2" t="s">
        <v>71</v>
      </c>
      <c r="AD114" s="2" t="str">
        <f t="shared" si="174"/>
        <v>_</v>
      </c>
      <c r="AE114" s="2" t="s">
        <v>296</v>
      </c>
      <c r="AF114" s="2" t="str">
        <f t="shared" si="175"/>
        <v>_</v>
      </c>
      <c r="AG114" s="28" t="s">
        <v>74</v>
      </c>
      <c r="AH114" s="2" t="str">
        <f t="shared" si="176"/>
        <v/>
      </c>
    </row>
    <row r="115" spans="2:34" x14ac:dyDescent="0.25">
      <c r="B115" s="2" t="str">
        <f t="shared" si="172"/>
        <v>@line_width-path_narrow_z16</v>
      </c>
      <c r="C115" s="28" t="s">
        <v>80</v>
      </c>
      <c r="D115" s="28" t="s">
        <v>85</v>
      </c>
      <c r="F115" s="28" t="s">
        <v>80</v>
      </c>
      <c r="G115" s="28" t="s">
        <v>85</v>
      </c>
      <c r="I115" s="28" t="s">
        <v>80</v>
      </c>
      <c r="J115" s="28" t="s">
        <v>84</v>
      </c>
      <c r="L115" s="28" t="s">
        <v>80</v>
      </c>
      <c r="M115" s="28" t="s">
        <v>84</v>
      </c>
      <c r="AA115" s="2" t="s">
        <v>119</v>
      </c>
      <c r="AB115" s="2" t="str">
        <f t="shared" si="173"/>
        <v>-</v>
      </c>
      <c r="AC115" s="2" t="s">
        <v>71</v>
      </c>
      <c r="AD115" s="2" t="str">
        <f t="shared" si="174"/>
        <v>_</v>
      </c>
      <c r="AE115" s="2" t="s">
        <v>72</v>
      </c>
      <c r="AF115" s="2" t="str">
        <f t="shared" si="175"/>
        <v>_</v>
      </c>
      <c r="AG115" s="28" t="s">
        <v>75</v>
      </c>
      <c r="AH115" s="2" t="str">
        <f t="shared" si="176"/>
        <v/>
      </c>
    </row>
    <row r="116" spans="2:34" x14ac:dyDescent="0.25">
      <c r="B116" s="2" t="str">
        <f t="shared" si="172"/>
        <v>@line_width-path_medium_z16</v>
      </c>
      <c r="C116" s="28" t="s">
        <v>123</v>
      </c>
      <c r="D116" s="28" t="s">
        <v>126</v>
      </c>
      <c r="F116" s="28" t="s">
        <v>123</v>
      </c>
      <c r="G116" s="28" t="s">
        <v>126</v>
      </c>
      <c r="I116" s="28" t="s">
        <v>97</v>
      </c>
      <c r="J116" s="28" t="s">
        <v>123</v>
      </c>
      <c r="L116" s="28" t="s">
        <v>97</v>
      </c>
      <c r="M116" s="28" t="s">
        <v>123</v>
      </c>
      <c r="AA116" s="2" t="s">
        <v>119</v>
      </c>
      <c r="AB116" s="2" t="str">
        <f t="shared" si="173"/>
        <v>-</v>
      </c>
      <c r="AC116" s="2" t="s">
        <v>71</v>
      </c>
      <c r="AD116" s="2" t="str">
        <f t="shared" si="174"/>
        <v>_</v>
      </c>
      <c r="AE116" s="2" t="s">
        <v>79</v>
      </c>
      <c r="AF116" s="2" t="str">
        <f t="shared" si="175"/>
        <v>_</v>
      </c>
      <c r="AG116" s="28" t="s">
        <v>75</v>
      </c>
      <c r="AH116" s="2" t="str">
        <f t="shared" si="176"/>
        <v/>
      </c>
    </row>
    <row r="117" spans="2:34" x14ac:dyDescent="0.25">
      <c r="B117" s="2" t="str">
        <f t="shared" si="172"/>
        <v>@line_width-path_wide_z16</v>
      </c>
      <c r="C117" s="28" t="s">
        <v>88</v>
      </c>
      <c r="D117" s="28" t="s">
        <v>128</v>
      </c>
      <c r="F117" s="28" t="s">
        <v>88</v>
      </c>
      <c r="G117" s="28" t="s">
        <v>128</v>
      </c>
      <c r="I117" s="28" t="s">
        <v>98</v>
      </c>
      <c r="J117" s="28" t="s">
        <v>99</v>
      </c>
      <c r="L117" s="28" t="s">
        <v>98</v>
      </c>
      <c r="M117" s="28" t="s">
        <v>99</v>
      </c>
      <c r="AA117" s="2" t="s">
        <v>119</v>
      </c>
      <c r="AB117" s="2" t="str">
        <f t="shared" si="173"/>
        <v>-</v>
      </c>
      <c r="AC117" s="2" t="s">
        <v>71</v>
      </c>
      <c r="AD117" s="2" t="str">
        <f t="shared" si="174"/>
        <v>_</v>
      </c>
      <c r="AE117" s="2" t="s">
        <v>77</v>
      </c>
      <c r="AF117" s="2" t="str">
        <f t="shared" si="175"/>
        <v>_</v>
      </c>
      <c r="AG117" s="28" t="s">
        <v>75</v>
      </c>
      <c r="AH117" s="2" t="str">
        <f t="shared" si="176"/>
        <v/>
      </c>
    </row>
    <row r="118" spans="2:34" x14ac:dyDescent="0.25">
      <c r="B118" s="2" t="str">
        <f t="shared" si="172"/>
        <v>@line_width-path_widest_z16</v>
      </c>
      <c r="C118" s="28" t="s">
        <v>88</v>
      </c>
      <c r="D118" s="28" t="s">
        <v>128</v>
      </c>
      <c r="F118" s="28" t="s">
        <v>88</v>
      </c>
      <c r="G118" s="28" t="s">
        <v>128</v>
      </c>
      <c r="I118" s="28" t="s">
        <v>98</v>
      </c>
      <c r="J118" s="28" t="s">
        <v>99</v>
      </c>
      <c r="L118" s="28" t="s">
        <v>98</v>
      </c>
      <c r="M118" s="28" t="s">
        <v>99</v>
      </c>
      <c r="AA118" s="2" t="s">
        <v>119</v>
      </c>
      <c r="AB118" s="2" t="str">
        <f t="shared" si="173"/>
        <v>-</v>
      </c>
      <c r="AC118" s="2" t="s">
        <v>71</v>
      </c>
      <c r="AD118" s="2" t="str">
        <f t="shared" si="174"/>
        <v>_</v>
      </c>
      <c r="AE118" s="2" t="s">
        <v>296</v>
      </c>
      <c r="AF118" s="2" t="str">
        <f t="shared" si="175"/>
        <v>_</v>
      </c>
      <c r="AG118" s="28" t="s">
        <v>75</v>
      </c>
      <c r="AH118" s="2" t="str">
        <f t="shared" si="176"/>
        <v/>
      </c>
    </row>
    <row r="119" spans="2:34" x14ac:dyDescent="0.25">
      <c r="B119" s="2" t="str">
        <f t="shared" si="172"/>
        <v>@line_width-path_narrow_z18</v>
      </c>
      <c r="C119" s="28" t="s">
        <v>85</v>
      </c>
      <c r="D119" s="28" t="s">
        <v>88</v>
      </c>
      <c r="F119" s="28" t="s">
        <v>85</v>
      </c>
      <c r="G119" s="28" t="s">
        <v>88</v>
      </c>
      <c r="I119" s="28" t="s">
        <v>80</v>
      </c>
      <c r="J119" s="28" t="s">
        <v>84</v>
      </c>
      <c r="L119" s="28" t="s">
        <v>80</v>
      </c>
      <c r="M119" s="28" t="s">
        <v>84</v>
      </c>
      <c r="AA119" s="2" t="s">
        <v>119</v>
      </c>
      <c r="AB119" s="2" t="str">
        <f t="shared" si="173"/>
        <v>-</v>
      </c>
      <c r="AC119" s="2" t="s">
        <v>71</v>
      </c>
      <c r="AD119" s="2" t="str">
        <f t="shared" si="174"/>
        <v>_</v>
      </c>
      <c r="AE119" s="2" t="s">
        <v>72</v>
      </c>
      <c r="AF119" s="2" t="str">
        <f t="shared" si="175"/>
        <v>_</v>
      </c>
      <c r="AG119" s="28" t="s">
        <v>76</v>
      </c>
      <c r="AH119" s="2" t="str">
        <f t="shared" si="176"/>
        <v/>
      </c>
    </row>
    <row r="120" spans="2:34" x14ac:dyDescent="0.25">
      <c r="B120" s="2" t="str">
        <f t="shared" si="172"/>
        <v>@line_width-path_medium_z18</v>
      </c>
      <c r="C120" s="28" t="s">
        <v>82</v>
      </c>
      <c r="D120" s="28" t="s">
        <v>127</v>
      </c>
      <c r="F120" s="28" t="s">
        <v>82</v>
      </c>
      <c r="G120" s="28" t="s">
        <v>127</v>
      </c>
      <c r="I120" s="28" t="s">
        <v>98</v>
      </c>
      <c r="J120" s="28" t="s">
        <v>99</v>
      </c>
      <c r="L120" s="28" t="s">
        <v>98</v>
      </c>
      <c r="M120" s="28" t="s">
        <v>99</v>
      </c>
      <c r="AA120" s="2" t="s">
        <v>119</v>
      </c>
      <c r="AB120" s="2" t="str">
        <f t="shared" si="173"/>
        <v>-</v>
      </c>
      <c r="AC120" s="2" t="s">
        <v>71</v>
      </c>
      <c r="AD120" s="2" t="str">
        <f t="shared" si="174"/>
        <v>_</v>
      </c>
      <c r="AE120" s="2" t="s">
        <v>79</v>
      </c>
      <c r="AF120" s="2" t="str">
        <f t="shared" si="175"/>
        <v>_</v>
      </c>
      <c r="AG120" s="28" t="s">
        <v>76</v>
      </c>
      <c r="AH120" s="2" t="str">
        <f t="shared" si="176"/>
        <v/>
      </c>
    </row>
    <row r="121" spans="2:34" x14ac:dyDescent="0.25">
      <c r="B121" s="2" t="str">
        <f t="shared" si="172"/>
        <v>@line_width-path_wide_z18</v>
      </c>
      <c r="C121" s="28" t="s">
        <v>313</v>
      </c>
      <c r="D121" s="28" t="s">
        <v>129</v>
      </c>
      <c r="F121" s="28" t="s">
        <v>313</v>
      </c>
      <c r="G121" s="28" t="s">
        <v>129</v>
      </c>
      <c r="I121" s="28" t="s">
        <v>99</v>
      </c>
      <c r="J121" s="28" t="s">
        <v>100</v>
      </c>
      <c r="L121" s="28" t="s">
        <v>99</v>
      </c>
      <c r="M121" s="28" t="s">
        <v>100</v>
      </c>
      <c r="AA121" s="2" t="s">
        <v>119</v>
      </c>
      <c r="AB121" s="2" t="str">
        <f t="shared" si="173"/>
        <v>-</v>
      </c>
      <c r="AC121" s="2" t="s">
        <v>71</v>
      </c>
      <c r="AD121" s="2" t="str">
        <f t="shared" si="174"/>
        <v>_</v>
      </c>
      <c r="AE121" s="2" t="s">
        <v>77</v>
      </c>
      <c r="AF121" s="2" t="str">
        <f t="shared" si="175"/>
        <v>_</v>
      </c>
      <c r="AG121" s="28" t="s">
        <v>76</v>
      </c>
      <c r="AH121" s="2" t="str">
        <f t="shared" si="176"/>
        <v/>
      </c>
    </row>
    <row r="122" spans="2:34" x14ac:dyDescent="0.25">
      <c r="B122" s="2" t="str">
        <f t="shared" si="172"/>
        <v>@line_width-path_widest_z18</v>
      </c>
      <c r="C122" s="28" t="s">
        <v>313</v>
      </c>
      <c r="D122" s="28" t="s">
        <v>129</v>
      </c>
      <c r="F122" s="28" t="s">
        <v>313</v>
      </c>
      <c r="G122" s="28" t="s">
        <v>129</v>
      </c>
      <c r="I122" s="28" t="s">
        <v>99</v>
      </c>
      <c r="J122" s="28" t="s">
        <v>100</v>
      </c>
      <c r="L122" s="28" t="s">
        <v>99</v>
      </c>
      <c r="M122" s="28" t="s">
        <v>100</v>
      </c>
      <c r="AA122" s="2" t="s">
        <v>119</v>
      </c>
      <c r="AB122" s="2" t="str">
        <f t="shared" si="173"/>
        <v>-</v>
      </c>
      <c r="AC122" s="2" t="s">
        <v>71</v>
      </c>
      <c r="AD122" s="2" t="str">
        <f t="shared" si="174"/>
        <v>_</v>
      </c>
      <c r="AE122" s="2" t="s">
        <v>296</v>
      </c>
      <c r="AF122" s="2" t="str">
        <f t="shared" si="175"/>
        <v>_</v>
      </c>
      <c r="AG122" s="28" t="s">
        <v>76</v>
      </c>
      <c r="AH122" s="2" t="str">
        <f t="shared" si="176"/>
        <v/>
      </c>
    </row>
    <row r="123" spans="2:34" x14ac:dyDescent="0.25">
      <c r="B123" s="2"/>
      <c r="AA123" s="2"/>
      <c r="AB123" s="2"/>
      <c r="AC123" s="2"/>
      <c r="AD123" s="2"/>
      <c r="AE123" s="2"/>
      <c r="AF123" s="2"/>
      <c r="AH123" s="2"/>
    </row>
    <row r="124" spans="2:34" x14ac:dyDescent="0.25">
      <c r="B124" s="2" t="str">
        <f>_xlfn.CONCAT("@",AA124,AB124,AC124,AD124,AE124,AF124,AG124,AH124,AI124)</f>
        <v>@line_width-track_default_z10</v>
      </c>
      <c r="C124" s="28" t="s">
        <v>120</v>
      </c>
      <c r="D124" s="28" t="s">
        <v>81</v>
      </c>
      <c r="F124" s="28" t="s">
        <v>120</v>
      </c>
      <c r="G124" s="28" t="s">
        <v>81</v>
      </c>
      <c r="I124" s="28" t="s">
        <v>96</v>
      </c>
      <c r="J124" s="28" t="s">
        <v>353</v>
      </c>
      <c r="L124" s="28" t="s">
        <v>96</v>
      </c>
      <c r="M124" s="28" t="s">
        <v>353</v>
      </c>
      <c r="AA124" s="2" t="s">
        <v>119</v>
      </c>
      <c r="AB124" s="2" t="str">
        <f t="shared" ref="AB124:AB128" si="177">IF(NOT(ISBLANK(AC124)),"-","")</f>
        <v>-</v>
      </c>
      <c r="AC124" s="2" t="s">
        <v>102</v>
      </c>
      <c r="AD124" s="2" t="str">
        <f t="shared" ref="AD124:AD128" si="178">IF(NOT(ISBLANK(AE124)),"_","")</f>
        <v>_</v>
      </c>
      <c r="AE124" s="2" t="s">
        <v>262</v>
      </c>
      <c r="AF124" s="2" t="str">
        <f t="shared" ref="AF124:AF128" si="179">IF(NOT(ISBLANK(AG124)),"_","")</f>
        <v>_</v>
      </c>
      <c r="AG124" s="28" t="s">
        <v>103</v>
      </c>
      <c r="AH124" s="2" t="str">
        <f t="shared" ref="AH124:AH128" si="180">IF(NOT(ISBLANK(AI124)),"_","")</f>
        <v/>
      </c>
    </row>
    <row r="125" spans="2:34" x14ac:dyDescent="0.25">
      <c r="B125" s="2" t="str">
        <f>_xlfn.CONCAT("@",AA125,AB125,AC125,AD125,AE125,AF125,AG125,AH125,AI125)</f>
        <v>@line_width-track_default_z12</v>
      </c>
      <c r="C125" s="28" t="s">
        <v>96</v>
      </c>
      <c r="D125" s="28" t="s">
        <v>98</v>
      </c>
      <c r="F125" s="28" t="s">
        <v>96</v>
      </c>
      <c r="G125" s="28" t="s">
        <v>98</v>
      </c>
      <c r="I125" s="28" t="s">
        <v>97</v>
      </c>
      <c r="J125" s="28" t="s">
        <v>123</v>
      </c>
      <c r="L125" s="28" t="s">
        <v>97</v>
      </c>
      <c r="M125" s="28" t="s">
        <v>123</v>
      </c>
      <c r="AA125" s="2" t="s">
        <v>119</v>
      </c>
      <c r="AB125" s="2" t="str">
        <f t="shared" si="177"/>
        <v>-</v>
      </c>
      <c r="AC125" s="2" t="s">
        <v>102</v>
      </c>
      <c r="AD125" s="2" t="str">
        <f t="shared" si="178"/>
        <v>_</v>
      </c>
      <c r="AE125" s="2" t="s">
        <v>262</v>
      </c>
      <c r="AF125" s="2" t="str">
        <f t="shared" si="179"/>
        <v>_</v>
      </c>
      <c r="AG125" s="28" t="s">
        <v>109</v>
      </c>
      <c r="AH125" s="2" t="str">
        <f t="shared" si="180"/>
        <v/>
      </c>
    </row>
    <row r="126" spans="2:34" x14ac:dyDescent="0.25">
      <c r="B126" s="2" t="str">
        <f>_xlfn.CONCAT("@",AA126,AB126,AC126,AD126,AE126,AF126,AG126,AH126,AI126)</f>
        <v>@line_width-track_default_z14</v>
      </c>
      <c r="C126" s="28" t="s">
        <v>81</v>
      </c>
      <c r="D126" s="28" t="s">
        <v>85</v>
      </c>
      <c r="F126" s="28" t="s">
        <v>81</v>
      </c>
      <c r="G126" s="28" t="s">
        <v>85</v>
      </c>
      <c r="I126" s="28" t="s">
        <v>98</v>
      </c>
      <c r="J126" s="28" t="s">
        <v>99</v>
      </c>
      <c r="L126" s="28" t="s">
        <v>98</v>
      </c>
      <c r="M126" s="28" t="s">
        <v>99</v>
      </c>
      <c r="AA126" s="2" t="s">
        <v>119</v>
      </c>
      <c r="AB126" s="2" t="str">
        <f t="shared" si="177"/>
        <v>-</v>
      </c>
      <c r="AC126" s="2" t="s">
        <v>102</v>
      </c>
      <c r="AD126" s="2" t="str">
        <f t="shared" si="178"/>
        <v>_</v>
      </c>
      <c r="AE126" s="2" t="s">
        <v>262</v>
      </c>
      <c r="AF126" s="2" t="str">
        <f t="shared" si="179"/>
        <v>_</v>
      </c>
      <c r="AG126" s="28" t="s">
        <v>74</v>
      </c>
      <c r="AH126" s="2" t="str">
        <f t="shared" si="180"/>
        <v/>
      </c>
    </row>
    <row r="127" spans="2:34" x14ac:dyDescent="0.25">
      <c r="B127" s="2" t="str">
        <f>_xlfn.CONCAT("@",AA127,AB127,AC127,AD127,AE127,AF127,AG127,AH127,AI127)</f>
        <v>@line_width-track_default_z16</v>
      </c>
      <c r="C127" s="28" t="s">
        <v>82</v>
      </c>
      <c r="D127" s="28" t="s">
        <v>127</v>
      </c>
      <c r="F127" s="28" t="s">
        <v>82</v>
      </c>
      <c r="G127" s="28" t="s">
        <v>127</v>
      </c>
      <c r="I127" s="28" t="s">
        <v>92</v>
      </c>
      <c r="J127" s="28" t="s">
        <v>86</v>
      </c>
      <c r="L127" s="28" t="s">
        <v>92</v>
      </c>
      <c r="M127" s="28" t="s">
        <v>86</v>
      </c>
      <c r="AA127" s="2" t="s">
        <v>119</v>
      </c>
      <c r="AB127" s="2" t="str">
        <f t="shared" si="177"/>
        <v>-</v>
      </c>
      <c r="AC127" s="2" t="s">
        <v>102</v>
      </c>
      <c r="AD127" s="2" t="str">
        <f t="shared" si="178"/>
        <v>_</v>
      </c>
      <c r="AE127" s="2" t="s">
        <v>262</v>
      </c>
      <c r="AF127" s="2" t="str">
        <f t="shared" si="179"/>
        <v>_</v>
      </c>
      <c r="AG127" s="28" t="s">
        <v>75</v>
      </c>
      <c r="AH127" s="2" t="str">
        <f t="shared" si="180"/>
        <v/>
      </c>
    </row>
    <row r="128" spans="2:34" x14ac:dyDescent="0.25">
      <c r="B128" s="2" t="str">
        <f>_xlfn.CONCAT("@",AA128,AB128,AC128,AD128,AE128,AF128,AG128,AH128,AI128)</f>
        <v>@line_width-track_default_z18</v>
      </c>
      <c r="C128" s="28" t="s">
        <v>134</v>
      </c>
      <c r="D128" s="28" t="s">
        <v>135</v>
      </c>
      <c r="F128" s="28" t="s">
        <v>134</v>
      </c>
      <c r="G128" s="28" t="s">
        <v>135</v>
      </c>
      <c r="I128" s="28" t="s">
        <v>327</v>
      </c>
      <c r="J128" s="28" t="s">
        <v>332</v>
      </c>
      <c r="L128" s="28" t="s">
        <v>327</v>
      </c>
      <c r="M128" s="28" t="s">
        <v>332</v>
      </c>
      <c r="AA128" s="2" t="s">
        <v>119</v>
      </c>
      <c r="AB128" s="2" t="str">
        <f t="shared" si="177"/>
        <v>-</v>
      </c>
      <c r="AC128" s="2" t="s">
        <v>102</v>
      </c>
      <c r="AD128" s="2" t="str">
        <f t="shared" si="178"/>
        <v>_</v>
      </c>
      <c r="AE128" s="2" t="s">
        <v>262</v>
      </c>
      <c r="AF128" s="2" t="str">
        <f t="shared" si="179"/>
        <v>_</v>
      </c>
      <c r="AG128" s="28" t="s">
        <v>76</v>
      </c>
      <c r="AH128" s="2" t="str">
        <f t="shared" si="180"/>
        <v/>
      </c>
    </row>
    <row r="129" spans="1:35" x14ac:dyDescent="0.25">
      <c r="B129" s="2"/>
      <c r="AA129" s="2"/>
      <c r="AB129" s="2"/>
      <c r="AC129" s="2"/>
      <c r="AD129" s="2"/>
      <c r="AE129" s="2"/>
    </row>
    <row r="130" spans="1:35" s="2" customFormat="1" x14ac:dyDescent="0.25">
      <c r="A130" s="3" t="s">
        <v>336</v>
      </c>
      <c r="B130" s="3"/>
      <c r="C130" s="27"/>
      <c r="D130" s="6"/>
      <c r="E130" s="7"/>
      <c r="F130" s="6"/>
      <c r="G130" s="6"/>
      <c r="H130" s="7"/>
      <c r="I130" s="6"/>
      <c r="J130" s="6"/>
      <c r="K130" s="7"/>
      <c r="L130" s="6"/>
      <c r="M130" s="6"/>
      <c r="N130" s="7"/>
      <c r="O130" s="6"/>
      <c r="P130" s="6"/>
      <c r="Q130" s="7"/>
      <c r="R130" s="6"/>
      <c r="S130" s="6"/>
      <c r="T130" s="7"/>
      <c r="U130" s="6"/>
      <c r="V130" s="6"/>
      <c r="W130" s="7"/>
      <c r="X130" s="6"/>
      <c r="Y130" s="6"/>
      <c r="AA130" s="4"/>
      <c r="AB130" s="4" t="str">
        <f t="shared" ref="AB130:AB262" si="181">IF(NOT(ISBLANK(AC130)),"-","")</f>
        <v/>
      </c>
      <c r="AC130" s="4"/>
      <c r="AD130" s="4" t="str">
        <f t="shared" ref="AD130:AD266" si="182">IF(NOT(ISBLANK(AE130)),"_","")</f>
        <v/>
      </c>
      <c r="AE130" s="4"/>
      <c r="AF130" s="4" t="str">
        <f t="shared" ref="AF130:AF266" si="183">IF(NOT(ISBLANK(AG130)),"_","")</f>
        <v/>
      </c>
      <c r="AG130" s="4"/>
      <c r="AH130" s="4" t="str">
        <f t="shared" ref="AH130:AH178" si="184">IF(NOT(ISBLANK(AI130)),"_","")</f>
        <v/>
      </c>
      <c r="AI130" s="4"/>
    </row>
    <row r="131" spans="1:35" x14ac:dyDescent="0.25">
      <c r="B131" s="2" t="str">
        <f t="shared" ref="B131" si="185">_xlfn.CONCAT("@",AA131,AB131,AC131,AD131,AE131,AF131,AG131,AH131,AI131)</f>
        <v>@color-cycleway_case</v>
      </c>
      <c r="C131" s="71" t="s">
        <v>222</v>
      </c>
      <c r="D131" s="71" t="s">
        <v>222</v>
      </c>
      <c r="F131" s="72" t="s">
        <v>214</v>
      </c>
      <c r="G131" s="72" t="s">
        <v>214</v>
      </c>
      <c r="I131" s="71" t="s">
        <v>222</v>
      </c>
      <c r="J131" s="71" t="s">
        <v>222</v>
      </c>
      <c r="L131" s="72" t="s">
        <v>214</v>
      </c>
      <c r="M131" s="72" t="s">
        <v>214</v>
      </c>
      <c r="AA131" s="2" t="s">
        <v>6</v>
      </c>
      <c r="AB131" s="2" t="str">
        <f t="shared" ref="AB131" si="186">IF(NOT(ISBLANK(AC131)),"-","")</f>
        <v>-</v>
      </c>
      <c r="AC131" s="2" t="s">
        <v>12</v>
      </c>
      <c r="AD131" s="2" t="str">
        <f t="shared" ref="AD131" si="187">IF(NOT(ISBLANK(AE131)),"_","")</f>
        <v>_</v>
      </c>
      <c r="AE131" s="2" t="s">
        <v>17</v>
      </c>
      <c r="AF131" s="2" t="str">
        <f t="shared" ref="AF131" si="188">IF(NOT(ISBLANK(AG131)),"_","")</f>
        <v/>
      </c>
      <c r="AH131" s="2" t="str">
        <f t="shared" si="184"/>
        <v/>
      </c>
    </row>
    <row r="132" spans="1:35" x14ac:dyDescent="0.25">
      <c r="B132" s="2" t="str">
        <f>_xlfn.CONCAT("@",AA132,AB132,AC132,AD132,AE132,AF132,AG132,AH132,AI132)</f>
        <v>@color-footway_case</v>
      </c>
      <c r="C132" s="71" t="s">
        <v>222</v>
      </c>
      <c r="D132" s="71" t="s">
        <v>222</v>
      </c>
      <c r="F132" s="72" t="s">
        <v>214</v>
      </c>
      <c r="G132" s="72" t="s">
        <v>214</v>
      </c>
      <c r="I132" s="71" t="s">
        <v>222</v>
      </c>
      <c r="J132" s="71" t="s">
        <v>222</v>
      </c>
      <c r="L132" s="72" t="s">
        <v>214</v>
      </c>
      <c r="M132" s="72" t="s">
        <v>214</v>
      </c>
      <c r="AA132" s="2" t="s">
        <v>6</v>
      </c>
      <c r="AB132" s="2" t="str">
        <f t="shared" ref="AB132:AB135" si="189">IF(NOT(ISBLANK(AC132)),"-","")</f>
        <v>-</v>
      </c>
      <c r="AC132" s="2" t="s">
        <v>34</v>
      </c>
      <c r="AD132" s="2" t="str">
        <f t="shared" ref="AD132:AD135" si="190">IF(NOT(ISBLANK(AE132)),"_","")</f>
        <v>_</v>
      </c>
      <c r="AE132" s="2" t="s">
        <v>17</v>
      </c>
      <c r="AF132" s="2" t="str">
        <f t="shared" ref="AF132:AF135" si="191">IF(NOT(ISBLANK(AG132)),"_","")</f>
        <v/>
      </c>
      <c r="AG132" s="2"/>
      <c r="AH132" s="2" t="str">
        <f>IF(NOT(ISBLANK(AI132)),"_","")</f>
        <v/>
      </c>
      <c r="AI132" s="2"/>
    </row>
    <row r="133" spans="1:35" x14ac:dyDescent="0.25">
      <c r="B133" s="2"/>
      <c r="AA133" s="2"/>
      <c r="AB133" s="2"/>
      <c r="AC133" s="2"/>
      <c r="AD133" s="2"/>
      <c r="AE133" s="2"/>
    </row>
    <row r="134" spans="1:35" x14ac:dyDescent="0.25">
      <c r="B134" s="2" t="str">
        <f t="shared" ref="B134" si="192">_xlfn.CONCAT("@",AA134,AB134,AC134,AD134,AE134,AF134,AG134,AH134,AI134)</f>
        <v>@case_width-cycleway_default_z12</v>
      </c>
      <c r="C134" s="28" t="s">
        <v>112</v>
      </c>
      <c r="D134" s="28" t="s">
        <v>112</v>
      </c>
      <c r="F134" s="28" t="s">
        <v>112</v>
      </c>
      <c r="G134" s="28" t="s">
        <v>112</v>
      </c>
      <c r="I134" s="28" t="s">
        <v>112</v>
      </c>
      <c r="J134" s="28" t="s">
        <v>90</v>
      </c>
      <c r="L134" s="28" t="s">
        <v>112</v>
      </c>
      <c r="M134" s="28" t="s">
        <v>90</v>
      </c>
      <c r="AA134" s="2" t="s">
        <v>78</v>
      </c>
      <c r="AB134" s="2" t="str">
        <f t="shared" ref="AB134" si="193">IF(NOT(ISBLANK(AC134)),"-","")</f>
        <v>-</v>
      </c>
      <c r="AC134" s="2" t="s">
        <v>12</v>
      </c>
      <c r="AD134" s="2" t="str">
        <f t="shared" ref="AD134" si="194">IF(NOT(ISBLANK(AE134)),"_","")</f>
        <v>_</v>
      </c>
      <c r="AE134" s="2" t="s">
        <v>262</v>
      </c>
      <c r="AF134" s="2" t="str">
        <f t="shared" ref="AF134" si="195">IF(NOT(ISBLANK(AG134)),"_","")</f>
        <v>_</v>
      </c>
      <c r="AG134" s="28" t="s">
        <v>109</v>
      </c>
      <c r="AH134" s="2" t="str">
        <f t="shared" ref="AH134" si="196">IF(NOT(ISBLANK(AI134)),"_","")</f>
        <v/>
      </c>
    </row>
    <row r="135" spans="1:35" x14ac:dyDescent="0.25">
      <c r="B135" s="2" t="str">
        <f t="shared" ref="B135" si="197">_xlfn.CONCAT("@",AA135,AB135,AC135,AD135,AE135,AF135,AG135,AH135,AI135)</f>
        <v>@case_width-cycleway_default_z14</v>
      </c>
      <c r="C135" s="28" t="s">
        <v>112</v>
      </c>
      <c r="D135" s="28" t="s">
        <v>112</v>
      </c>
      <c r="F135" s="28" t="s">
        <v>112</v>
      </c>
      <c r="G135" s="28" t="s">
        <v>112</v>
      </c>
      <c r="I135" s="28" t="s">
        <v>128</v>
      </c>
      <c r="J135" s="28" t="s">
        <v>313</v>
      </c>
      <c r="L135" s="28" t="s">
        <v>128</v>
      </c>
      <c r="M135" s="28" t="s">
        <v>313</v>
      </c>
      <c r="AA135" s="2" t="s">
        <v>78</v>
      </c>
      <c r="AB135" s="2" t="str">
        <f t="shared" si="189"/>
        <v>-</v>
      </c>
      <c r="AC135" s="2" t="s">
        <v>12</v>
      </c>
      <c r="AD135" s="2" t="str">
        <f t="shared" si="190"/>
        <v>_</v>
      </c>
      <c r="AE135" s="2" t="s">
        <v>262</v>
      </c>
      <c r="AF135" s="2" t="str">
        <f t="shared" si="191"/>
        <v>_</v>
      </c>
      <c r="AG135" s="28" t="s">
        <v>74</v>
      </c>
      <c r="AH135" s="2" t="str">
        <f t="shared" ref="AH135" si="198">IF(NOT(ISBLANK(AI135)),"_","")</f>
        <v/>
      </c>
    </row>
    <row r="136" spans="1:35" x14ac:dyDescent="0.25">
      <c r="B136" s="2" t="str">
        <f t="shared" ref="B136" si="199">_xlfn.CONCAT("@",AA136,AB136,AC136,AD136,AE136,AF136,AG136,AH136,AI136)</f>
        <v>@case_width-cycleway_default_z15</v>
      </c>
      <c r="C136" s="28" t="s">
        <v>88</v>
      </c>
      <c r="D136" s="28" t="s">
        <v>92</v>
      </c>
      <c r="F136" s="28" t="s">
        <v>88</v>
      </c>
      <c r="G136" s="28" t="s">
        <v>92</v>
      </c>
      <c r="I136" s="28" t="s">
        <v>83</v>
      </c>
      <c r="J136" s="28" t="s">
        <v>86</v>
      </c>
      <c r="L136" s="28" t="s">
        <v>83</v>
      </c>
      <c r="M136" s="28" t="s">
        <v>86</v>
      </c>
      <c r="AA136" s="2" t="s">
        <v>78</v>
      </c>
      <c r="AB136" s="2" t="str">
        <f t="shared" ref="AB136" si="200">IF(NOT(ISBLANK(AC136)),"-","")</f>
        <v>-</v>
      </c>
      <c r="AC136" s="2" t="s">
        <v>12</v>
      </c>
      <c r="AD136" s="2" t="str">
        <f t="shared" ref="AD136" si="201">IF(NOT(ISBLANK(AE136)),"_","")</f>
        <v>_</v>
      </c>
      <c r="AE136" s="2" t="s">
        <v>262</v>
      </c>
      <c r="AF136" s="2" t="str">
        <f t="shared" ref="AF136" si="202">IF(NOT(ISBLANK(AG136)),"_","")</f>
        <v>_</v>
      </c>
      <c r="AG136" s="28" t="s">
        <v>337</v>
      </c>
      <c r="AH136" s="2" t="str">
        <f t="shared" ref="AH136" si="203">IF(NOT(ISBLANK(AI136)),"_","")</f>
        <v/>
      </c>
    </row>
    <row r="137" spans="1:35" x14ac:dyDescent="0.25">
      <c r="B137" s="2" t="str">
        <f t="shared" ref="B137" si="204">_xlfn.CONCAT("@",AA137,AB137,AC137,AD137,AE137,AF137,AG137,AH137,AI137)</f>
        <v>@case_width-cycleway_default_z16</v>
      </c>
      <c r="C137" s="28" t="s">
        <v>86</v>
      </c>
      <c r="D137" s="28" t="s">
        <v>134</v>
      </c>
      <c r="F137" s="28" t="s">
        <v>86</v>
      </c>
      <c r="G137" s="28" t="s">
        <v>134</v>
      </c>
      <c r="I137" s="28" t="s">
        <v>327</v>
      </c>
      <c r="J137" s="28" t="s">
        <v>341</v>
      </c>
      <c r="L137" s="28" t="s">
        <v>327</v>
      </c>
      <c r="M137" s="28" t="s">
        <v>341</v>
      </c>
      <c r="AA137" s="2" t="s">
        <v>78</v>
      </c>
      <c r="AB137" s="2" t="str">
        <f t="shared" ref="AB137" si="205">IF(NOT(ISBLANK(AC137)),"-","")</f>
        <v>-</v>
      </c>
      <c r="AC137" s="2" t="s">
        <v>12</v>
      </c>
      <c r="AD137" s="2" t="str">
        <f t="shared" ref="AD137" si="206">IF(NOT(ISBLANK(AE137)),"_","")</f>
        <v>_</v>
      </c>
      <c r="AE137" s="2" t="s">
        <v>262</v>
      </c>
      <c r="AF137" s="2" t="str">
        <f t="shared" ref="AF137" si="207">IF(NOT(ISBLANK(AG137)),"_","")</f>
        <v>_</v>
      </c>
      <c r="AG137" s="28" t="s">
        <v>75</v>
      </c>
      <c r="AH137" s="2" t="str">
        <f t="shared" ref="AH137" si="208">IF(NOT(ISBLANK(AI137)),"_","")</f>
        <v/>
      </c>
    </row>
    <row r="138" spans="1:35" x14ac:dyDescent="0.25">
      <c r="B138" s="2" t="str">
        <f t="shared" ref="B138" si="209">_xlfn.CONCAT("@",AA138,AB138,AC138,AD138,AE138,AF138,AG138,AH138,AI138)</f>
        <v>@case_width-cycleway_default_z18</v>
      </c>
      <c r="C138" s="28" t="s">
        <v>332</v>
      </c>
      <c r="D138" s="28" t="s">
        <v>338</v>
      </c>
      <c r="F138" s="28" t="s">
        <v>332</v>
      </c>
      <c r="G138" s="28" t="s">
        <v>338</v>
      </c>
      <c r="I138" s="28" t="s">
        <v>339</v>
      </c>
      <c r="J138" s="28" t="s">
        <v>145</v>
      </c>
      <c r="L138" s="28" t="s">
        <v>339</v>
      </c>
      <c r="M138" s="28" t="s">
        <v>145</v>
      </c>
      <c r="AA138" s="2" t="s">
        <v>78</v>
      </c>
      <c r="AB138" s="2" t="str">
        <f t="shared" ref="AB138" si="210">IF(NOT(ISBLANK(AC138)),"-","")</f>
        <v>-</v>
      </c>
      <c r="AC138" s="2" t="s">
        <v>12</v>
      </c>
      <c r="AD138" s="2" t="str">
        <f t="shared" ref="AD138" si="211">IF(NOT(ISBLANK(AE138)),"_","")</f>
        <v>_</v>
      </c>
      <c r="AE138" s="2" t="s">
        <v>262</v>
      </c>
      <c r="AF138" s="2" t="str">
        <f t="shared" ref="AF138" si="212">IF(NOT(ISBLANK(AG138)),"_","")</f>
        <v>_</v>
      </c>
      <c r="AG138" s="28" t="s">
        <v>76</v>
      </c>
      <c r="AH138" s="2" t="str">
        <f t="shared" ref="AH138" si="213">IF(NOT(ISBLANK(AI138)),"_","")</f>
        <v/>
      </c>
    </row>
    <row r="139" spans="1:35" x14ac:dyDescent="0.25">
      <c r="B139" s="2"/>
      <c r="AA139" s="2"/>
      <c r="AB139" s="2"/>
      <c r="AC139" s="2"/>
      <c r="AD139" s="2"/>
      <c r="AE139" s="2"/>
    </row>
    <row r="140" spans="1:35" s="5" customFormat="1" x14ac:dyDescent="0.25">
      <c r="A140" s="3" t="s">
        <v>335</v>
      </c>
      <c r="B140" s="27"/>
      <c r="C140" s="27"/>
      <c r="D140" s="27"/>
      <c r="F140" s="27"/>
      <c r="G140" s="27"/>
      <c r="I140" s="27"/>
      <c r="J140" s="27"/>
      <c r="L140" s="27"/>
      <c r="M140" s="27"/>
      <c r="O140" s="27"/>
      <c r="P140" s="27"/>
      <c r="R140" s="27"/>
      <c r="S140" s="27"/>
      <c r="U140" s="27"/>
      <c r="V140" s="27"/>
      <c r="X140" s="27"/>
      <c r="Y140" s="27"/>
      <c r="AA140" s="27"/>
      <c r="AB140" s="27"/>
      <c r="AC140" s="27"/>
      <c r="AD140" s="27"/>
      <c r="AE140" s="27"/>
      <c r="AF140" s="27"/>
      <c r="AG140" s="27"/>
      <c r="AH140" s="27"/>
      <c r="AI140" s="27"/>
    </row>
    <row r="141" spans="1:35" x14ac:dyDescent="0.25">
      <c r="B141" s="2" t="str">
        <f>_xlfn.CONCAT("@",AA141,AB141,AC141,AD141,AE141,AF141,AG141,AH141,AI141)</f>
        <v>@color-cycleway_line</v>
      </c>
      <c r="C141" s="73" t="s">
        <v>185</v>
      </c>
      <c r="D141" s="74" t="str">
        <f>C141</f>
        <v>"#3046d7"</v>
      </c>
      <c r="F141" s="73" t="s">
        <v>185</v>
      </c>
      <c r="G141" s="74" t="str">
        <f>F141</f>
        <v>"#3046d7"</v>
      </c>
      <c r="I141" s="73" t="s">
        <v>185</v>
      </c>
      <c r="J141" s="74" t="str">
        <f>I141</f>
        <v>"#3046d7"</v>
      </c>
      <c r="L141" s="73" t="s">
        <v>185</v>
      </c>
      <c r="M141" s="74" t="str">
        <f>L141</f>
        <v>"#3046d7"</v>
      </c>
      <c r="AA141" s="2" t="s">
        <v>6</v>
      </c>
      <c r="AB141" s="2" t="str">
        <f>IF(NOT(ISBLANK(AC141)),"-","")</f>
        <v>-</v>
      </c>
      <c r="AC141" s="2" t="s">
        <v>12</v>
      </c>
      <c r="AD141" s="2" t="str">
        <f>IF(NOT(ISBLANK(AE141)),"_","")</f>
        <v>_</v>
      </c>
      <c r="AE141" s="2" t="s">
        <v>13</v>
      </c>
      <c r="AF141" s="2" t="str">
        <f>IF(NOT(ISBLANK(AG141)),"_","")</f>
        <v/>
      </c>
      <c r="AH141" s="2" t="str">
        <f>IF(NOT(ISBLANK(AI141)),"_","")</f>
        <v/>
      </c>
    </row>
    <row r="142" spans="1:35" x14ac:dyDescent="0.25">
      <c r="B142" s="2" t="str">
        <f>_xlfn.CONCAT("@",AA142,AB142,AC142,AD142,AE142,AF142,AG142,AH142,AI142)</f>
        <v>@color-footway_line</v>
      </c>
      <c r="C142" s="75" t="s">
        <v>186</v>
      </c>
      <c r="D142" s="76" t="str">
        <f>C142</f>
        <v>"#a43820"</v>
      </c>
      <c r="F142" s="75" t="s">
        <v>186</v>
      </c>
      <c r="G142" s="76" t="str">
        <f>F142</f>
        <v>"#a43820"</v>
      </c>
      <c r="I142" s="75" t="s">
        <v>186</v>
      </c>
      <c r="J142" s="76" t="str">
        <f>I142</f>
        <v>"#a43820"</v>
      </c>
      <c r="L142" s="75" t="s">
        <v>186</v>
      </c>
      <c r="M142" s="76" t="str">
        <f>L142</f>
        <v>"#a43820"</v>
      </c>
      <c r="AA142" s="2" t="s">
        <v>6</v>
      </c>
      <c r="AB142" s="2" t="str">
        <f>IF(NOT(ISBLANK(AC142)),"-","")</f>
        <v>-</v>
      </c>
      <c r="AC142" s="2" t="s">
        <v>34</v>
      </c>
      <c r="AD142" s="2" t="str">
        <f>IF(NOT(ISBLANK(AE142)),"_","")</f>
        <v>_</v>
      </c>
      <c r="AE142" s="2" t="s">
        <v>13</v>
      </c>
      <c r="AF142" s="2" t="str">
        <f>IF(NOT(ISBLANK(AG142)),"_","")</f>
        <v/>
      </c>
      <c r="AG142" s="2"/>
      <c r="AH142" s="2" t="str">
        <f>IF(NOT(ISBLANK(AI142)),"_","")</f>
        <v/>
      </c>
      <c r="AI142" s="2"/>
    </row>
    <row r="143" spans="1:35" x14ac:dyDescent="0.25">
      <c r="AA143" s="2"/>
      <c r="AB143" s="2" t="str">
        <f t="shared" si="181"/>
        <v/>
      </c>
      <c r="AC143" s="2"/>
      <c r="AD143" s="2" t="str">
        <f t="shared" si="182"/>
        <v/>
      </c>
      <c r="AE143" s="2"/>
      <c r="AF143" s="28" t="str">
        <f t="shared" si="183"/>
        <v/>
      </c>
      <c r="AH143" s="28" t="str">
        <f t="shared" si="184"/>
        <v/>
      </c>
    </row>
    <row r="144" spans="1:35" x14ac:dyDescent="0.25">
      <c r="B144" s="2" t="str">
        <f t="shared" ref="B144" si="214">_xlfn.CONCAT("@",AA144,AB144,AC144,AD144,AE144,AF144,AG144,AH144,AI144)</f>
        <v>@line_width-cycleway_paved_or_uk_z12</v>
      </c>
      <c r="C144" s="28" t="s">
        <v>84</v>
      </c>
      <c r="D144" s="28" t="s">
        <v>84</v>
      </c>
      <c r="F144" s="28" t="s">
        <v>84</v>
      </c>
      <c r="G144" s="28" t="s">
        <v>84</v>
      </c>
      <c r="I144" s="28" t="s">
        <v>123</v>
      </c>
      <c r="J144" s="28" t="s">
        <v>123</v>
      </c>
      <c r="L144" s="28" t="s">
        <v>123</v>
      </c>
      <c r="M144" s="28" t="s">
        <v>123</v>
      </c>
      <c r="AA144" s="2" t="s">
        <v>119</v>
      </c>
      <c r="AB144" s="2" t="str">
        <f t="shared" ref="AB144" si="215">IF(NOT(ISBLANK(AC144)),"-","")</f>
        <v>-</v>
      </c>
      <c r="AC144" s="2" t="s">
        <v>12</v>
      </c>
      <c r="AD144" s="2" t="str">
        <f t="shared" ref="AD144" si="216">IF(NOT(ISBLANK(AE144)),"_","")</f>
        <v>_</v>
      </c>
      <c r="AE144" s="2" t="s">
        <v>24</v>
      </c>
      <c r="AF144" s="2" t="str">
        <f t="shared" ref="AF144" si="217">IF(NOT(ISBLANK(AG144)),"_","")</f>
        <v>_</v>
      </c>
      <c r="AG144" s="28" t="s">
        <v>109</v>
      </c>
      <c r="AH144" s="2" t="str">
        <f t="shared" ref="AH144" si="218">IF(NOT(ISBLANK(AI144)),"_","")</f>
        <v/>
      </c>
    </row>
    <row r="145" spans="2:34" x14ac:dyDescent="0.25">
      <c r="B145" s="2" t="str">
        <f t="shared" ref="B145" si="219">_xlfn.CONCAT("@",AA145,AB145,AC145,AD145,AE145,AF145,AG145,AH145,AI145)</f>
        <v>@line_width-cycleway_paved_or_uk_z14</v>
      </c>
      <c r="C145" s="28" t="s">
        <v>123</v>
      </c>
      <c r="D145" s="28" t="s">
        <v>90</v>
      </c>
      <c r="F145" s="28" t="s">
        <v>123</v>
      </c>
      <c r="G145" s="28" t="s">
        <v>90</v>
      </c>
      <c r="I145" s="28" t="s">
        <v>112</v>
      </c>
      <c r="J145" s="28" t="s">
        <v>350</v>
      </c>
      <c r="L145" s="28" t="s">
        <v>112</v>
      </c>
      <c r="M145" s="28" t="s">
        <v>350</v>
      </c>
      <c r="AA145" s="2" t="s">
        <v>119</v>
      </c>
      <c r="AB145" s="2" t="str">
        <f t="shared" ref="AB145" si="220">IF(NOT(ISBLANK(AC145)),"-","")</f>
        <v>-</v>
      </c>
      <c r="AC145" s="2" t="s">
        <v>12</v>
      </c>
      <c r="AD145" s="2" t="str">
        <f t="shared" ref="AD145" si="221">IF(NOT(ISBLANK(AE145)),"_","")</f>
        <v>_</v>
      </c>
      <c r="AE145" s="2" t="s">
        <v>24</v>
      </c>
      <c r="AF145" s="2" t="str">
        <f t="shared" ref="AF145" si="222">IF(NOT(ISBLANK(AG145)),"_","")</f>
        <v>_</v>
      </c>
      <c r="AG145" s="28" t="s">
        <v>74</v>
      </c>
      <c r="AH145" s="2" t="str">
        <f t="shared" ref="AH145" si="223">IF(NOT(ISBLANK(AI145)),"_","")</f>
        <v/>
      </c>
    </row>
    <row r="146" spans="2:34" x14ac:dyDescent="0.25">
      <c r="B146" s="2" t="str">
        <f t="shared" ref="B146" si="224">_xlfn.CONCAT("@",AA146,AB146,AC146,AD146,AE146,AF146,AG146,AH146,AI146)</f>
        <v>@line_width-cycleway_paved_or_uk_z16</v>
      </c>
      <c r="C146" s="28" t="s">
        <v>88</v>
      </c>
      <c r="D146" s="28" t="s">
        <v>92</v>
      </c>
      <c r="F146" s="28" t="s">
        <v>88</v>
      </c>
      <c r="G146" s="28" t="s">
        <v>92</v>
      </c>
      <c r="I146" s="28" t="s">
        <v>82</v>
      </c>
      <c r="J146" s="28" t="s">
        <v>83</v>
      </c>
      <c r="L146" s="28" t="s">
        <v>82</v>
      </c>
      <c r="M146" s="28" t="s">
        <v>83</v>
      </c>
      <c r="AA146" s="2" t="s">
        <v>119</v>
      </c>
      <c r="AB146" s="2" t="str">
        <f t="shared" ref="AB146" si="225">IF(NOT(ISBLANK(AC146)),"-","")</f>
        <v>-</v>
      </c>
      <c r="AC146" s="2" t="s">
        <v>12</v>
      </c>
      <c r="AD146" s="2" t="str">
        <f t="shared" ref="AD146" si="226">IF(NOT(ISBLANK(AE146)),"_","")</f>
        <v>_</v>
      </c>
      <c r="AE146" s="2" t="s">
        <v>24</v>
      </c>
      <c r="AF146" s="2" t="str">
        <f t="shared" ref="AF146" si="227">IF(NOT(ISBLANK(AG146)),"_","")</f>
        <v>_</v>
      </c>
      <c r="AG146" s="28" t="s">
        <v>75</v>
      </c>
      <c r="AH146" s="2" t="str">
        <f t="shared" ref="AH146" si="228">IF(NOT(ISBLANK(AI146)),"_","")</f>
        <v/>
      </c>
    </row>
    <row r="147" spans="2:34" x14ac:dyDescent="0.25">
      <c r="B147" s="2" t="str">
        <f t="shared" ref="B147" si="229">_xlfn.CONCAT("@",AA147,AB147,AC147,AD147,AE147,AF147,AG147,AH147,AI147)</f>
        <v>@line_width-cycleway_paved_or_uk_z18</v>
      </c>
      <c r="C147" s="28" t="s">
        <v>86</v>
      </c>
      <c r="D147" s="28" t="s">
        <v>341</v>
      </c>
      <c r="F147" s="28" t="s">
        <v>86</v>
      </c>
      <c r="G147" s="28" t="s">
        <v>341</v>
      </c>
      <c r="I147" s="28" t="s">
        <v>134</v>
      </c>
      <c r="J147" s="28" t="s">
        <v>332</v>
      </c>
      <c r="L147" s="28" t="s">
        <v>134</v>
      </c>
      <c r="M147" s="28" t="s">
        <v>332</v>
      </c>
      <c r="AA147" s="2" t="s">
        <v>119</v>
      </c>
      <c r="AB147" s="2" t="str">
        <f t="shared" ref="AB147" si="230">IF(NOT(ISBLANK(AC147)),"-","")</f>
        <v>-</v>
      </c>
      <c r="AC147" s="2" t="s">
        <v>12</v>
      </c>
      <c r="AD147" s="2" t="str">
        <f t="shared" ref="AD147" si="231">IF(NOT(ISBLANK(AE147)),"_","")</f>
        <v>_</v>
      </c>
      <c r="AE147" s="2" t="s">
        <v>24</v>
      </c>
      <c r="AF147" s="2" t="str">
        <f t="shared" ref="AF147" si="232">IF(NOT(ISBLANK(AG147)),"_","")</f>
        <v>_</v>
      </c>
      <c r="AG147" s="28" t="s">
        <v>76</v>
      </c>
      <c r="AH147" s="2" t="str">
        <f t="shared" ref="AH147" si="233">IF(NOT(ISBLANK(AI147)),"_","")</f>
        <v/>
      </c>
    </row>
    <row r="148" spans="2:34" x14ac:dyDescent="0.25">
      <c r="AA148" s="2"/>
      <c r="AB148" s="2"/>
      <c r="AC148" s="2"/>
      <c r="AD148" s="2"/>
      <c r="AE148" s="2"/>
    </row>
    <row r="149" spans="2:34" x14ac:dyDescent="0.25">
      <c r="B149" s="2" t="str">
        <f t="shared" ref="B149:B152" si="234">_xlfn.CONCAT("@",AA149,AB149,AC149,AD149,AE149,AF149,AG149,AH149,AI149)</f>
        <v>@line_width-cycleway_unpaved_z12</v>
      </c>
      <c r="C149" s="28" t="s">
        <v>112</v>
      </c>
      <c r="D149" s="28" t="s">
        <v>112</v>
      </c>
      <c r="F149" s="28" t="s">
        <v>112</v>
      </c>
      <c r="G149" s="28" t="s">
        <v>112</v>
      </c>
      <c r="I149" s="28" t="s">
        <v>126</v>
      </c>
      <c r="J149" s="28" t="s">
        <v>126</v>
      </c>
      <c r="L149" s="28" t="s">
        <v>126</v>
      </c>
      <c r="M149" s="28" t="s">
        <v>126</v>
      </c>
      <c r="AA149" s="2" t="s">
        <v>119</v>
      </c>
      <c r="AB149" s="2" t="str">
        <f t="shared" ref="AB149:AB152" si="235">IF(NOT(ISBLANK(AC149)),"-","")</f>
        <v>-</v>
      </c>
      <c r="AC149" s="2" t="s">
        <v>12</v>
      </c>
      <c r="AD149" s="2" t="str">
        <f t="shared" ref="AD149:AD152" si="236">IF(NOT(ISBLANK(AE149)),"_","")</f>
        <v>_</v>
      </c>
      <c r="AE149" s="2" t="s">
        <v>21</v>
      </c>
      <c r="AF149" s="2" t="str">
        <f t="shared" ref="AF149:AF152" si="237">IF(NOT(ISBLANK(AG149)),"_","")</f>
        <v>_</v>
      </c>
      <c r="AG149" s="28" t="s">
        <v>109</v>
      </c>
      <c r="AH149" s="2" t="str">
        <f t="shared" ref="AH149:AH152" si="238">IF(NOT(ISBLANK(AI149)),"_","")</f>
        <v/>
      </c>
    </row>
    <row r="150" spans="2:34" x14ac:dyDescent="0.25">
      <c r="B150" s="2" t="str">
        <f t="shared" si="234"/>
        <v>@line_width-cycleway_unpaved_z14</v>
      </c>
      <c r="C150" s="28" t="s">
        <v>126</v>
      </c>
      <c r="D150" s="28" t="s">
        <v>344</v>
      </c>
      <c r="F150" s="28" t="s">
        <v>126</v>
      </c>
      <c r="G150" s="28" t="s">
        <v>344</v>
      </c>
      <c r="I150" s="28" t="s">
        <v>351</v>
      </c>
      <c r="J150" s="28" t="s">
        <v>352</v>
      </c>
      <c r="L150" s="28" t="s">
        <v>351</v>
      </c>
      <c r="M150" s="28" t="s">
        <v>352</v>
      </c>
      <c r="AA150" s="2" t="s">
        <v>119</v>
      </c>
      <c r="AB150" s="2" t="str">
        <f t="shared" si="235"/>
        <v>-</v>
      </c>
      <c r="AC150" s="2" t="s">
        <v>12</v>
      </c>
      <c r="AD150" s="2" t="str">
        <f t="shared" si="236"/>
        <v>_</v>
      </c>
      <c r="AE150" s="2" t="s">
        <v>21</v>
      </c>
      <c r="AF150" s="2" t="str">
        <f t="shared" si="237"/>
        <v>_</v>
      </c>
      <c r="AG150" s="28" t="s">
        <v>74</v>
      </c>
      <c r="AH150" s="2" t="str">
        <f t="shared" si="238"/>
        <v/>
      </c>
    </row>
    <row r="151" spans="2:34" x14ac:dyDescent="0.25">
      <c r="B151" s="2" t="str">
        <f t="shared" si="234"/>
        <v>@line_width-cycleway_unpaved_z16</v>
      </c>
      <c r="C151" s="28" t="s">
        <v>128</v>
      </c>
      <c r="D151" s="28" t="s">
        <v>86</v>
      </c>
      <c r="F151" s="28" t="s">
        <v>128</v>
      </c>
      <c r="G151" s="28" t="s">
        <v>86</v>
      </c>
      <c r="I151" s="28" t="s">
        <v>127</v>
      </c>
      <c r="J151" s="28" t="s">
        <v>91</v>
      </c>
      <c r="L151" s="28" t="s">
        <v>127</v>
      </c>
      <c r="M151" s="28" t="s">
        <v>91</v>
      </c>
      <c r="AA151" s="2" t="s">
        <v>119</v>
      </c>
      <c r="AB151" s="2" t="str">
        <f t="shared" si="235"/>
        <v>-</v>
      </c>
      <c r="AC151" s="2" t="s">
        <v>12</v>
      </c>
      <c r="AD151" s="2" t="str">
        <f t="shared" si="236"/>
        <v>_</v>
      </c>
      <c r="AE151" s="2" t="s">
        <v>21</v>
      </c>
      <c r="AF151" s="2" t="str">
        <f t="shared" si="237"/>
        <v>_</v>
      </c>
      <c r="AG151" s="28" t="s">
        <v>75</v>
      </c>
      <c r="AH151" s="2" t="str">
        <f t="shared" si="238"/>
        <v/>
      </c>
    </row>
    <row r="152" spans="2:34" x14ac:dyDescent="0.25">
      <c r="B152" s="2" t="str">
        <f t="shared" si="234"/>
        <v>@line_width-cycleway_unpaved_z18</v>
      </c>
      <c r="C152" s="28" t="s">
        <v>87</v>
      </c>
      <c r="D152" s="28" t="s">
        <v>89</v>
      </c>
      <c r="F152" s="28" t="s">
        <v>87</v>
      </c>
      <c r="G152" s="28" t="s">
        <v>89</v>
      </c>
      <c r="I152" s="28" t="s">
        <v>135</v>
      </c>
      <c r="J152" s="28" t="s">
        <v>145</v>
      </c>
      <c r="L152" s="28" t="s">
        <v>135</v>
      </c>
      <c r="M152" s="28" t="s">
        <v>145</v>
      </c>
      <c r="AA152" s="2" t="s">
        <v>119</v>
      </c>
      <c r="AB152" s="2" t="str">
        <f t="shared" si="235"/>
        <v>-</v>
      </c>
      <c r="AC152" s="2" t="s">
        <v>12</v>
      </c>
      <c r="AD152" s="2" t="str">
        <f t="shared" si="236"/>
        <v>_</v>
      </c>
      <c r="AE152" s="2" t="s">
        <v>21</v>
      </c>
      <c r="AF152" s="2" t="str">
        <f t="shared" si="237"/>
        <v>_</v>
      </c>
      <c r="AG152" s="28" t="s">
        <v>76</v>
      </c>
      <c r="AH152" s="2" t="str">
        <f t="shared" si="238"/>
        <v/>
      </c>
    </row>
    <row r="153" spans="2:34" x14ac:dyDescent="0.25">
      <c r="AA153" s="2"/>
      <c r="AB153" s="2"/>
      <c r="AC153" s="2"/>
      <c r="AD153" s="2"/>
      <c r="AE153" s="2"/>
    </row>
    <row r="154" spans="2:34" x14ac:dyDescent="0.25">
      <c r="B154" s="2" t="str">
        <f t="shared" ref="B154:B157" si="239">_xlfn.CONCAT("@",AA154,AB154,AC154,AD154,AE154,AF154,AG154,AH154,AI154)</f>
        <v>@line_width-footway_default_z12</v>
      </c>
      <c r="C154" s="28" t="s">
        <v>96</v>
      </c>
      <c r="D154" s="28" t="s">
        <v>116</v>
      </c>
      <c r="F154" s="28" t="s">
        <v>96</v>
      </c>
      <c r="G154" s="28" t="s">
        <v>116</v>
      </c>
      <c r="I154" s="28" t="s">
        <v>96</v>
      </c>
      <c r="J154" s="28" t="s">
        <v>116</v>
      </c>
      <c r="L154" s="28" t="s">
        <v>96</v>
      </c>
      <c r="M154" s="28" t="s">
        <v>116</v>
      </c>
      <c r="AA154" s="2" t="s">
        <v>119</v>
      </c>
      <c r="AB154" s="2" t="str">
        <f t="shared" ref="AB154:AB157" si="240">IF(NOT(ISBLANK(AC154)),"-","")</f>
        <v>-</v>
      </c>
      <c r="AC154" s="2" t="s">
        <v>34</v>
      </c>
      <c r="AD154" s="2" t="str">
        <f t="shared" ref="AD154:AD157" si="241">IF(NOT(ISBLANK(AE154)),"_","")</f>
        <v>_</v>
      </c>
      <c r="AE154" s="2" t="s">
        <v>262</v>
      </c>
      <c r="AF154" s="2" t="str">
        <f t="shared" ref="AF154:AF157" si="242">IF(NOT(ISBLANK(AG154)),"_","")</f>
        <v>_</v>
      </c>
      <c r="AG154" s="28" t="s">
        <v>109</v>
      </c>
      <c r="AH154" s="2" t="str">
        <f t="shared" ref="AH154:AH157" si="243">IF(NOT(ISBLANK(AI154)),"_","")</f>
        <v/>
      </c>
    </row>
    <row r="155" spans="2:34" x14ac:dyDescent="0.25">
      <c r="B155" s="2" t="str">
        <f t="shared" si="239"/>
        <v>@line_width-footway_default_z14</v>
      </c>
      <c r="C155" s="28" t="s">
        <v>84</v>
      </c>
      <c r="D155" s="28" t="s">
        <v>90</v>
      </c>
      <c r="F155" s="28" t="s">
        <v>84</v>
      </c>
      <c r="G155" s="28" t="s">
        <v>90</v>
      </c>
      <c r="I155" s="28" t="s">
        <v>84</v>
      </c>
      <c r="J155" s="28" t="s">
        <v>90</v>
      </c>
      <c r="L155" s="28" t="s">
        <v>84</v>
      </c>
      <c r="M155" s="28" t="s">
        <v>90</v>
      </c>
      <c r="AA155" s="2" t="s">
        <v>119</v>
      </c>
      <c r="AB155" s="2" t="str">
        <f t="shared" si="240"/>
        <v>-</v>
      </c>
      <c r="AC155" s="2" t="s">
        <v>34</v>
      </c>
      <c r="AD155" s="2" t="str">
        <f t="shared" si="241"/>
        <v>_</v>
      </c>
      <c r="AE155" s="2" t="s">
        <v>262</v>
      </c>
      <c r="AF155" s="2" t="str">
        <f t="shared" si="242"/>
        <v>_</v>
      </c>
      <c r="AG155" s="28" t="s">
        <v>74</v>
      </c>
      <c r="AH155" s="2" t="str">
        <f t="shared" si="243"/>
        <v/>
      </c>
    </row>
    <row r="156" spans="2:34" x14ac:dyDescent="0.25">
      <c r="B156" s="2" t="str">
        <f t="shared" si="239"/>
        <v>@line_width-footway_default_z16</v>
      </c>
      <c r="C156" s="28" t="s">
        <v>90</v>
      </c>
      <c r="D156" s="28" t="s">
        <v>92</v>
      </c>
      <c r="F156" s="28" t="s">
        <v>90</v>
      </c>
      <c r="G156" s="28" t="s">
        <v>92</v>
      </c>
      <c r="I156" s="28" t="s">
        <v>90</v>
      </c>
      <c r="J156" s="28" t="s">
        <v>92</v>
      </c>
      <c r="L156" s="28" t="s">
        <v>90</v>
      </c>
      <c r="M156" s="28" t="s">
        <v>92</v>
      </c>
      <c r="AA156" s="2" t="s">
        <v>119</v>
      </c>
      <c r="AB156" s="2" t="str">
        <f t="shared" si="240"/>
        <v>-</v>
      </c>
      <c r="AC156" s="2" t="s">
        <v>34</v>
      </c>
      <c r="AD156" s="2" t="str">
        <f t="shared" si="241"/>
        <v>_</v>
      </c>
      <c r="AE156" s="2" t="s">
        <v>262</v>
      </c>
      <c r="AF156" s="2" t="str">
        <f t="shared" si="242"/>
        <v>_</v>
      </c>
      <c r="AG156" s="28" t="s">
        <v>75</v>
      </c>
      <c r="AH156" s="2" t="str">
        <f t="shared" si="243"/>
        <v/>
      </c>
    </row>
    <row r="157" spans="2:34" x14ac:dyDescent="0.25">
      <c r="B157" s="2" t="str">
        <f t="shared" si="239"/>
        <v>@line_width-footway_default_z18</v>
      </c>
      <c r="C157" s="28" t="s">
        <v>92</v>
      </c>
      <c r="D157" s="28" t="s">
        <v>86</v>
      </c>
      <c r="F157" s="28" t="s">
        <v>92</v>
      </c>
      <c r="G157" s="28" t="s">
        <v>86</v>
      </c>
      <c r="I157" s="28" t="s">
        <v>92</v>
      </c>
      <c r="J157" s="28" t="s">
        <v>86</v>
      </c>
      <c r="L157" s="28" t="s">
        <v>92</v>
      </c>
      <c r="M157" s="28" t="s">
        <v>86</v>
      </c>
      <c r="AA157" s="2" t="s">
        <v>119</v>
      </c>
      <c r="AB157" s="2" t="str">
        <f t="shared" si="240"/>
        <v>-</v>
      </c>
      <c r="AC157" s="2" t="s">
        <v>34</v>
      </c>
      <c r="AD157" s="2" t="str">
        <f t="shared" si="241"/>
        <v>_</v>
      </c>
      <c r="AE157" s="2" t="s">
        <v>262</v>
      </c>
      <c r="AF157" s="2" t="str">
        <f t="shared" si="242"/>
        <v>_</v>
      </c>
      <c r="AG157" s="28" t="s">
        <v>76</v>
      </c>
      <c r="AH157" s="2" t="str">
        <f t="shared" si="243"/>
        <v/>
      </c>
    </row>
    <row r="158" spans="2:34" x14ac:dyDescent="0.25">
      <c r="AA158" s="2"/>
      <c r="AB158" s="2"/>
      <c r="AC158" s="2"/>
      <c r="AD158" s="2"/>
      <c r="AE158" s="2"/>
    </row>
    <row r="159" spans="2:34" x14ac:dyDescent="0.25">
      <c r="B159" s="2" t="str">
        <f t="shared" ref="B159:B162" si="244">_xlfn.CONCAT("@",AA159,AB159,AC159,AD159,AE159,AF159,AG159,AH159,AI159)</f>
        <v>@line_offset-footway_left_z12</v>
      </c>
      <c r="C159" s="28" t="s">
        <v>363</v>
      </c>
      <c r="D159" s="28" t="s">
        <v>364</v>
      </c>
      <c r="F159" s="28" t="s">
        <v>363</v>
      </c>
      <c r="G159" s="28" t="s">
        <v>364</v>
      </c>
      <c r="I159" s="28" t="s">
        <v>363</v>
      </c>
      <c r="J159" s="28" t="s">
        <v>364</v>
      </c>
      <c r="L159" s="28" t="s">
        <v>363</v>
      </c>
      <c r="M159" s="28" t="s">
        <v>364</v>
      </c>
      <c r="AA159" s="2" t="s">
        <v>355</v>
      </c>
      <c r="AB159" s="2" t="str">
        <f t="shared" ref="AB159:AB162" si="245">IF(NOT(ISBLANK(AC159)),"-","")</f>
        <v>-</v>
      </c>
      <c r="AC159" s="2" t="s">
        <v>34</v>
      </c>
      <c r="AD159" s="2" t="str">
        <f t="shared" ref="AD159:AD162" si="246">IF(NOT(ISBLANK(AE159)),"_","")</f>
        <v>_</v>
      </c>
      <c r="AE159" s="2" t="s">
        <v>356</v>
      </c>
      <c r="AF159" s="2" t="str">
        <f t="shared" ref="AF159:AF162" si="247">IF(NOT(ISBLANK(AG159)),"_","")</f>
        <v>_</v>
      </c>
      <c r="AG159" s="28" t="s">
        <v>109</v>
      </c>
      <c r="AH159" s="2" t="str">
        <f t="shared" ref="AH159:AH162" si="248">IF(NOT(ISBLANK(AI159)),"_","")</f>
        <v/>
      </c>
    </row>
    <row r="160" spans="2:34" x14ac:dyDescent="0.25">
      <c r="B160" s="2" t="str">
        <f t="shared" si="244"/>
        <v>@line_offset-footway_left_z14</v>
      </c>
      <c r="C160" s="28" t="s">
        <v>359</v>
      </c>
      <c r="D160" s="28" t="s">
        <v>360</v>
      </c>
      <c r="F160" s="28" t="s">
        <v>359</v>
      </c>
      <c r="G160" s="28" t="s">
        <v>360</v>
      </c>
      <c r="I160" s="28" t="s">
        <v>359</v>
      </c>
      <c r="J160" s="28" t="s">
        <v>360</v>
      </c>
      <c r="L160" s="28" t="s">
        <v>359</v>
      </c>
      <c r="M160" s="28" t="s">
        <v>360</v>
      </c>
      <c r="AA160" s="2" t="s">
        <v>355</v>
      </c>
      <c r="AB160" s="2" t="str">
        <f t="shared" si="245"/>
        <v>-</v>
      </c>
      <c r="AC160" s="2" t="s">
        <v>34</v>
      </c>
      <c r="AD160" s="2" t="str">
        <f t="shared" si="246"/>
        <v>_</v>
      </c>
      <c r="AE160" s="2" t="s">
        <v>356</v>
      </c>
      <c r="AF160" s="2" t="str">
        <f t="shared" si="247"/>
        <v>_</v>
      </c>
      <c r="AG160" s="28" t="s">
        <v>74</v>
      </c>
      <c r="AH160" s="2" t="str">
        <f t="shared" si="248"/>
        <v/>
      </c>
    </row>
    <row r="161" spans="1:39" x14ac:dyDescent="0.25">
      <c r="B161" s="2" t="str">
        <f t="shared" si="244"/>
        <v>@line_offset-footway_left_z16</v>
      </c>
      <c r="C161" s="28" t="s">
        <v>358</v>
      </c>
      <c r="D161" s="28" t="s">
        <v>361</v>
      </c>
      <c r="F161" s="28" t="s">
        <v>358</v>
      </c>
      <c r="G161" s="28" t="s">
        <v>361</v>
      </c>
      <c r="I161" s="28" t="s">
        <v>358</v>
      </c>
      <c r="J161" s="28" t="s">
        <v>361</v>
      </c>
      <c r="L161" s="28" t="s">
        <v>358</v>
      </c>
      <c r="M161" s="28" t="s">
        <v>361</v>
      </c>
      <c r="AA161" s="2" t="s">
        <v>355</v>
      </c>
      <c r="AB161" s="2" t="str">
        <f t="shared" si="245"/>
        <v>-</v>
      </c>
      <c r="AC161" s="2" t="s">
        <v>34</v>
      </c>
      <c r="AD161" s="2" t="str">
        <f t="shared" si="246"/>
        <v>_</v>
      </c>
      <c r="AE161" s="2" t="s">
        <v>356</v>
      </c>
      <c r="AF161" s="2" t="str">
        <f t="shared" si="247"/>
        <v>_</v>
      </c>
      <c r="AG161" s="28" t="s">
        <v>75</v>
      </c>
      <c r="AH161" s="2" t="str">
        <f t="shared" si="248"/>
        <v/>
      </c>
    </row>
    <row r="162" spans="1:39" x14ac:dyDescent="0.25">
      <c r="B162" s="2" t="str">
        <f t="shared" si="244"/>
        <v>@line_offset-footway_left_z18</v>
      </c>
      <c r="C162" s="28" t="s">
        <v>357</v>
      </c>
      <c r="D162" s="28" t="s">
        <v>362</v>
      </c>
      <c r="F162" s="28" t="s">
        <v>357</v>
      </c>
      <c r="G162" s="28" t="s">
        <v>362</v>
      </c>
      <c r="I162" s="28" t="s">
        <v>357</v>
      </c>
      <c r="J162" s="28" t="s">
        <v>362</v>
      </c>
      <c r="L162" s="28" t="s">
        <v>357</v>
      </c>
      <c r="M162" s="28" t="s">
        <v>362</v>
      </c>
      <c r="AA162" s="2" t="s">
        <v>355</v>
      </c>
      <c r="AB162" s="2" t="str">
        <f t="shared" si="245"/>
        <v>-</v>
      </c>
      <c r="AC162" s="2" t="s">
        <v>34</v>
      </c>
      <c r="AD162" s="2" t="str">
        <f t="shared" si="246"/>
        <v>_</v>
      </c>
      <c r="AE162" s="2" t="s">
        <v>356</v>
      </c>
      <c r="AF162" s="2" t="str">
        <f t="shared" si="247"/>
        <v>_</v>
      </c>
      <c r="AG162" s="28" t="s">
        <v>76</v>
      </c>
      <c r="AH162" s="2" t="str">
        <f t="shared" si="248"/>
        <v/>
      </c>
    </row>
    <row r="163" spans="1:39" x14ac:dyDescent="0.25">
      <c r="AA163" s="2"/>
      <c r="AB163" s="2"/>
      <c r="AC163" s="2"/>
      <c r="AD163" s="2"/>
      <c r="AE163" s="2"/>
    </row>
    <row r="164" spans="1:39" x14ac:dyDescent="0.25">
      <c r="B164" s="2" t="str">
        <f t="shared" ref="B164:B167" si="249">_xlfn.CONCAT("@",AA164,AB164,AC164,AD164,AE164,AF164,AG164,AH164,AI164)</f>
        <v>@line_offset-footway_right_z12</v>
      </c>
      <c r="C164" s="28" t="s">
        <v>84</v>
      </c>
      <c r="D164" s="28" t="s">
        <v>85</v>
      </c>
      <c r="F164" s="28" t="s">
        <v>363</v>
      </c>
      <c r="G164" s="28" t="s">
        <v>364</v>
      </c>
      <c r="I164" s="28" t="s">
        <v>363</v>
      </c>
      <c r="J164" s="28" t="s">
        <v>364</v>
      </c>
      <c r="L164" s="28" t="s">
        <v>363</v>
      </c>
      <c r="M164" s="28" t="s">
        <v>364</v>
      </c>
      <c r="AA164" s="2" t="s">
        <v>355</v>
      </c>
      <c r="AB164" s="2" t="str">
        <f t="shared" ref="AB164:AB167" si="250">IF(NOT(ISBLANK(AC164)),"-","")</f>
        <v>-</v>
      </c>
      <c r="AC164" s="2" t="s">
        <v>34</v>
      </c>
      <c r="AD164" s="2" t="str">
        <f t="shared" ref="AD164:AD167" si="251">IF(NOT(ISBLANK(AE164)),"_","")</f>
        <v>_</v>
      </c>
      <c r="AE164" s="2" t="s">
        <v>365</v>
      </c>
      <c r="AF164" s="2" t="str">
        <f t="shared" ref="AF164:AF167" si="252">IF(NOT(ISBLANK(AG164)),"_","")</f>
        <v>_</v>
      </c>
      <c r="AG164" s="28" t="s">
        <v>109</v>
      </c>
      <c r="AH164" s="2" t="str">
        <f t="shared" ref="AH164:AH167" si="253">IF(NOT(ISBLANK(AI164)),"_","")</f>
        <v/>
      </c>
    </row>
    <row r="165" spans="1:39" x14ac:dyDescent="0.25">
      <c r="B165" s="2" t="str">
        <f t="shared" si="249"/>
        <v>@line_offset-footway_right_z14</v>
      </c>
      <c r="C165" s="28" t="s">
        <v>88</v>
      </c>
      <c r="D165" s="28" t="s">
        <v>92</v>
      </c>
      <c r="F165" s="28" t="s">
        <v>359</v>
      </c>
      <c r="G165" s="28" t="s">
        <v>360</v>
      </c>
      <c r="I165" s="28" t="s">
        <v>359</v>
      </c>
      <c r="J165" s="28" t="s">
        <v>360</v>
      </c>
      <c r="L165" s="28" t="s">
        <v>359</v>
      </c>
      <c r="M165" s="28" t="s">
        <v>360</v>
      </c>
      <c r="AA165" s="2" t="s">
        <v>355</v>
      </c>
      <c r="AB165" s="2" t="str">
        <f t="shared" si="250"/>
        <v>-</v>
      </c>
      <c r="AC165" s="2" t="s">
        <v>34</v>
      </c>
      <c r="AD165" s="2" t="str">
        <f t="shared" si="251"/>
        <v>_</v>
      </c>
      <c r="AE165" s="2" t="s">
        <v>365</v>
      </c>
      <c r="AF165" s="2" t="str">
        <f t="shared" si="252"/>
        <v>_</v>
      </c>
      <c r="AG165" s="28" t="s">
        <v>74</v>
      </c>
      <c r="AH165" s="2" t="str">
        <f t="shared" si="253"/>
        <v/>
      </c>
    </row>
    <row r="166" spans="1:39" x14ac:dyDescent="0.25">
      <c r="B166" s="2" t="str">
        <f t="shared" si="249"/>
        <v>@line_offset-footway_right_z16</v>
      </c>
      <c r="C166" s="28" t="s">
        <v>134</v>
      </c>
      <c r="D166" s="28" t="s">
        <v>327</v>
      </c>
      <c r="F166" s="28" t="s">
        <v>358</v>
      </c>
      <c r="G166" s="28" t="s">
        <v>361</v>
      </c>
      <c r="I166" s="28" t="s">
        <v>358</v>
      </c>
      <c r="J166" s="28" t="s">
        <v>361</v>
      </c>
      <c r="L166" s="28" t="s">
        <v>358</v>
      </c>
      <c r="M166" s="28" t="s">
        <v>361</v>
      </c>
      <c r="AA166" s="2" t="s">
        <v>355</v>
      </c>
      <c r="AB166" s="2" t="str">
        <f t="shared" si="250"/>
        <v>-</v>
      </c>
      <c r="AC166" s="2" t="s">
        <v>34</v>
      </c>
      <c r="AD166" s="2" t="str">
        <f t="shared" si="251"/>
        <v>_</v>
      </c>
      <c r="AE166" s="2" t="s">
        <v>365</v>
      </c>
      <c r="AF166" s="2" t="str">
        <f t="shared" si="252"/>
        <v>_</v>
      </c>
      <c r="AG166" s="28" t="s">
        <v>75</v>
      </c>
      <c r="AH166" s="2" t="str">
        <f t="shared" si="253"/>
        <v/>
      </c>
    </row>
    <row r="167" spans="1:39" x14ac:dyDescent="0.25">
      <c r="B167" s="2" t="str">
        <f t="shared" si="249"/>
        <v>@line_offset-footway_right_z18</v>
      </c>
      <c r="C167" s="28" t="s">
        <v>366</v>
      </c>
      <c r="D167" s="28" t="s">
        <v>339</v>
      </c>
      <c r="F167" s="28" t="s">
        <v>357</v>
      </c>
      <c r="G167" s="28" t="s">
        <v>362</v>
      </c>
      <c r="I167" s="28" t="s">
        <v>357</v>
      </c>
      <c r="J167" s="28" t="s">
        <v>362</v>
      </c>
      <c r="L167" s="28" t="s">
        <v>357</v>
      </c>
      <c r="M167" s="28" t="s">
        <v>362</v>
      </c>
      <c r="AA167" s="2" t="s">
        <v>355</v>
      </c>
      <c r="AB167" s="2" t="str">
        <f t="shared" si="250"/>
        <v>-</v>
      </c>
      <c r="AC167" s="2" t="s">
        <v>34</v>
      </c>
      <c r="AD167" s="2" t="str">
        <f t="shared" si="251"/>
        <v>_</v>
      </c>
      <c r="AE167" s="2" t="s">
        <v>365</v>
      </c>
      <c r="AF167" s="2" t="str">
        <f t="shared" si="252"/>
        <v>_</v>
      </c>
      <c r="AG167" s="28" t="s">
        <v>76</v>
      </c>
      <c r="AH167" s="2" t="str">
        <f t="shared" si="253"/>
        <v/>
      </c>
    </row>
    <row r="168" spans="1:39" x14ac:dyDescent="0.25">
      <c r="AA168" s="2"/>
      <c r="AB168" s="2"/>
      <c r="AC168" s="2"/>
      <c r="AD168" s="2"/>
      <c r="AE168" s="2"/>
    </row>
    <row r="169" spans="1:39" s="2" customFormat="1" x14ac:dyDescent="0.25">
      <c r="A169" s="3" t="s">
        <v>39</v>
      </c>
      <c r="B169" s="3"/>
      <c r="C169" s="27"/>
      <c r="D169" s="6"/>
      <c r="E169" s="7"/>
      <c r="F169" s="6"/>
      <c r="G169" s="6"/>
      <c r="H169" s="7"/>
      <c r="I169" s="6"/>
      <c r="J169" s="6"/>
      <c r="K169" s="7"/>
      <c r="L169" s="6"/>
      <c r="M169" s="6"/>
      <c r="N169" s="7"/>
      <c r="O169" s="6"/>
      <c r="P169" s="6"/>
      <c r="Q169" s="7"/>
      <c r="R169" s="6"/>
      <c r="S169" s="6"/>
      <c r="T169" s="7"/>
      <c r="U169" s="6"/>
      <c r="V169" s="6"/>
      <c r="W169" s="7"/>
      <c r="X169" s="6"/>
      <c r="Y169" s="6"/>
      <c r="AA169" s="4"/>
      <c r="AB169" s="4" t="str">
        <f t="shared" si="181"/>
        <v/>
      </c>
      <c r="AC169" s="4"/>
      <c r="AD169" s="4" t="str">
        <f t="shared" si="182"/>
        <v/>
      </c>
      <c r="AE169" s="4"/>
      <c r="AF169" s="4" t="str">
        <f t="shared" si="183"/>
        <v/>
      </c>
      <c r="AG169" s="4"/>
      <c r="AH169" s="4" t="str">
        <f t="shared" si="184"/>
        <v/>
      </c>
      <c r="AI169" s="4"/>
    </row>
    <row r="170" spans="1:39" x14ac:dyDescent="0.25">
      <c r="B170" s="2" t="str">
        <f t="shared" ref="B170:B173" si="254">_xlfn.CONCAT("@",AA170,AB170,AC170,AD170,AE170,AF170,AG170,AH170,AI170)</f>
        <v>@color-obstacle_vegetation</v>
      </c>
      <c r="C170" s="77" t="s">
        <v>187</v>
      </c>
      <c r="D170" s="78" t="str">
        <f>C170</f>
        <v>"#4a9100"</v>
      </c>
      <c r="F170" s="77" t="s">
        <v>187</v>
      </c>
      <c r="G170" s="78" t="str">
        <f>F170</f>
        <v>"#4a9100"</v>
      </c>
      <c r="I170" s="77" t="s">
        <v>187</v>
      </c>
      <c r="J170" s="78" t="str">
        <f>I170</f>
        <v>"#4a9100"</v>
      </c>
      <c r="L170" s="77" t="s">
        <v>187</v>
      </c>
      <c r="M170" s="78" t="str">
        <f>L170</f>
        <v>"#4a9100"</v>
      </c>
      <c r="AA170" s="2" t="s">
        <v>6</v>
      </c>
      <c r="AB170" s="2" t="str">
        <f t="shared" si="181"/>
        <v>-</v>
      </c>
      <c r="AC170" s="2" t="s">
        <v>35</v>
      </c>
      <c r="AD170" s="2" t="str">
        <f t="shared" si="182"/>
        <v>_</v>
      </c>
      <c r="AE170" s="2" t="s">
        <v>36</v>
      </c>
      <c r="AF170" s="2" t="str">
        <f t="shared" si="183"/>
        <v/>
      </c>
      <c r="AG170" s="2"/>
      <c r="AH170" s="2" t="str">
        <f t="shared" si="184"/>
        <v/>
      </c>
      <c r="AI170" s="2"/>
      <c r="AJ170" s="2"/>
      <c r="AK170" s="2"/>
      <c r="AL170" s="2"/>
      <c r="AM170" s="2"/>
    </row>
    <row r="171" spans="1:39" x14ac:dyDescent="0.25">
      <c r="B171" s="2" t="str">
        <f t="shared" si="254"/>
        <v>@color-surface_mud</v>
      </c>
      <c r="C171" s="79" t="s">
        <v>188</v>
      </c>
      <c r="D171" s="80" t="str">
        <f>C171</f>
        <v>"#0e84ed"</v>
      </c>
      <c r="F171" s="79" t="s">
        <v>188</v>
      </c>
      <c r="G171" s="80" t="str">
        <f>F171</f>
        <v>"#0e84ed"</v>
      </c>
      <c r="I171" s="79" t="s">
        <v>188</v>
      </c>
      <c r="J171" s="80" t="str">
        <f>I171</f>
        <v>"#0e84ed"</v>
      </c>
      <c r="L171" s="79" t="s">
        <v>188</v>
      </c>
      <c r="M171" s="80" t="str">
        <f>L171</f>
        <v>"#0e84ed"</v>
      </c>
      <c r="AA171" s="2" t="s">
        <v>6</v>
      </c>
      <c r="AB171" s="2" t="str">
        <f t="shared" si="181"/>
        <v>-</v>
      </c>
      <c r="AC171" s="2" t="s">
        <v>37</v>
      </c>
      <c r="AD171" s="2" t="str">
        <f t="shared" si="182"/>
        <v>_</v>
      </c>
      <c r="AE171" s="2" t="s">
        <v>38</v>
      </c>
      <c r="AF171" s="2" t="str">
        <f t="shared" si="183"/>
        <v/>
      </c>
      <c r="AG171" s="2"/>
      <c r="AH171" s="2" t="str">
        <f t="shared" si="184"/>
        <v/>
      </c>
      <c r="AI171" s="2"/>
    </row>
    <row r="172" spans="1:39" x14ac:dyDescent="0.25">
      <c r="B172" s="2" t="str">
        <f t="shared" si="254"/>
        <v>@color-access_no</v>
      </c>
      <c r="C172" s="81" t="s">
        <v>189</v>
      </c>
      <c r="D172" s="82" t="str">
        <f>C172</f>
        <v>"#ff003d"</v>
      </c>
      <c r="F172" s="81" t="s">
        <v>189</v>
      </c>
      <c r="G172" s="82" t="str">
        <f>F172</f>
        <v>"#ff003d"</v>
      </c>
      <c r="I172" s="81" t="s">
        <v>189</v>
      </c>
      <c r="J172" s="82" t="str">
        <f>I172</f>
        <v>"#ff003d"</v>
      </c>
      <c r="L172" s="81" t="s">
        <v>189</v>
      </c>
      <c r="M172" s="82" t="str">
        <f>L172</f>
        <v>"#ff003d"</v>
      </c>
      <c r="AA172" s="2" t="s">
        <v>6</v>
      </c>
      <c r="AB172" s="2" t="str">
        <f t="shared" si="181"/>
        <v>-</v>
      </c>
      <c r="AC172" s="2" t="s">
        <v>40</v>
      </c>
      <c r="AD172" s="2" t="str">
        <f t="shared" si="182"/>
        <v>_</v>
      </c>
      <c r="AE172" s="2" t="s">
        <v>41</v>
      </c>
      <c r="AF172" s="2" t="str">
        <f t="shared" si="183"/>
        <v/>
      </c>
      <c r="AG172" s="2"/>
      <c r="AH172" s="2" t="str">
        <f t="shared" si="184"/>
        <v/>
      </c>
      <c r="AI172" s="2"/>
    </row>
    <row r="173" spans="1:39" x14ac:dyDescent="0.25">
      <c r="B173" s="2" t="str">
        <f t="shared" si="254"/>
        <v>@color-access_discouraged</v>
      </c>
      <c r="C173" s="83" t="s">
        <v>190</v>
      </c>
      <c r="D173" s="84" t="str">
        <f>C173</f>
        <v>"#ff6a00"</v>
      </c>
      <c r="F173" s="83" t="s">
        <v>190</v>
      </c>
      <c r="G173" s="84" t="str">
        <f>F173</f>
        <v>"#ff6a00"</v>
      </c>
      <c r="I173" s="83" t="s">
        <v>190</v>
      </c>
      <c r="J173" s="84" t="str">
        <f>I173</f>
        <v>"#ff6a00"</v>
      </c>
      <c r="L173" s="83" t="s">
        <v>190</v>
      </c>
      <c r="M173" s="84" t="str">
        <f>L173</f>
        <v>"#ff6a00"</v>
      </c>
      <c r="AA173" s="2" t="s">
        <v>6</v>
      </c>
      <c r="AB173" s="2" t="str">
        <f t="shared" si="181"/>
        <v>-</v>
      </c>
      <c r="AC173" s="2" t="s">
        <v>40</v>
      </c>
      <c r="AD173" s="2" t="str">
        <f t="shared" si="182"/>
        <v>_</v>
      </c>
      <c r="AE173" s="2" t="s">
        <v>42</v>
      </c>
      <c r="AF173" s="2" t="str">
        <f t="shared" si="183"/>
        <v/>
      </c>
      <c r="AG173" s="2"/>
      <c r="AH173" s="2" t="str">
        <f t="shared" si="184"/>
        <v/>
      </c>
      <c r="AI173" s="2"/>
    </row>
    <row r="174" spans="1:39" x14ac:dyDescent="0.25">
      <c r="AB174" s="28" t="str">
        <f t="shared" ref="AB174:AB176" si="255">IF(NOT(ISBLANK(AC174)),"-","")</f>
        <v/>
      </c>
      <c r="AD174" s="28" t="str">
        <f t="shared" ref="AD174:AD176" si="256">IF(NOT(ISBLANK(AE174)),"_","")</f>
        <v/>
      </c>
      <c r="AF174" s="28" t="str">
        <f t="shared" ref="AF174:AF176" si="257">IF(NOT(ISBLANK(AG174)),"_","")</f>
        <v/>
      </c>
      <c r="AH174" s="28" t="str">
        <f t="shared" si="184"/>
        <v/>
      </c>
    </row>
    <row r="175" spans="1:39" s="2" customFormat="1" x14ac:dyDescent="0.25">
      <c r="A175" s="3" t="s">
        <v>268</v>
      </c>
      <c r="B175" s="3"/>
      <c r="C175" s="27"/>
      <c r="D175" s="6"/>
      <c r="E175" s="7"/>
      <c r="F175" s="6"/>
      <c r="G175" s="6"/>
      <c r="H175" s="7"/>
      <c r="I175" s="27"/>
      <c r="J175" s="6"/>
      <c r="K175" s="7"/>
      <c r="L175" s="6"/>
      <c r="M175" s="6"/>
      <c r="N175" s="7"/>
      <c r="O175" s="6"/>
      <c r="P175" s="6"/>
      <c r="Q175" s="7"/>
      <c r="R175" s="6"/>
      <c r="S175" s="6"/>
      <c r="T175" s="7"/>
      <c r="U175" s="6"/>
      <c r="V175" s="6"/>
      <c r="W175" s="7"/>
      <c r="X175" s="6"/>
      <c r="Y175" s="6"/>
      <c r="AA175" s="4"/>
      <c r="AB175" s="4" t="str">
        <f t="shared" si="255"/>
        <v/>
      </c>
      <c r="AC175" s="4"/>
      <c r="AD175" s="4" t="str">
        <f t="shared" si="256"/>
        <v/>
      </c>
      <c r="AE175" s="4"/>
      <c r="AF175" s="4" t="str">
        <f t="shared" si="257"/>
        <v/>
      </c>
      <c r="AG175" s="4"/>
      <c r="AH175" s="4" t="str">
        <f t="shared" si="184"/>
        <v/>
      </c>
      <c r="AI175" s="4"/>
    </row>
    <row r="176" spans="1:39" x14ac:dyDescent="0.25">
      <c r="B176" s="2" t="str">
        <f t="shared" ref="B176:B191" si="258">_xlfn.CONCAT("@",AA176,AB176,AC176,AD176,AE176,AF176,AG176,AH176,AI176)</f>
        <v>@color-building_area_residential</v>
      </c>
      <c r="C176" s="85" t="s">
        <v>257</v>
      </c>
      <c r="D176" s="85" t="s">
        <v>257</v>
      </c>
      <c r="F176" s="86" t="s">
        <v>247</v>
      </c>
      <c r="G176" s="142" t="s">
        <v>228</v>
      </c>
      <c r="I176" s="85" t="s">
        <v>257</v>
      </c>
      <c r="J176" s="85" t="s">
        <v>257</v>
      </c>
      <c r="L176" s="86" t="s">
        <v>247</v>
      </c>
      <c r="M176" s="142" t="s">
        <v>228</v>
      </c>
      <c r="AA176" s="2" t="s">
        <v>6</v>
      </c>
      <c r="AB176" s="2" t="str">
        <f t="shared" si="255"/>
        <v>-</v>
      </c>
      <c r="AC176" s="2" t="s">
        <v>253</v>
      </c>
      <c r="AD176" s="2" t="str">
        <f t="shared" si="256"/>
        <v>_</v>
      </c>
      <c r="AE176" s="2" t="s">
        <v>259</v>
      </c>
      <c r="AF176" s="2" t="str">
        <f t="shared" si="257"/>
        <v>_</v>
      </c>
      <c r="AG176" s="2" t="s">
        <v>64</v>
      </c>
      <c r="AH176" s="2" t="str">
        <f t="shared" si="184"/>
        <v/>
      </c>
      <c r="AI176" s="2"/>
    </row>
    <row r="177" spans="2:35" x14ac:dyDescent="0.25">
      <c r="B177" s="2" t="str">
        <f t="shared" si="258"/>
        <v>@color-building_area_generic</v>
      </c>
      <c r="C177" s="87" t="s">
        <v>256</v>
      </c>
      <c r="D177" s="87" t="s">
        <v>256</v>
      </c>
      <c r="F177" s="88" t="s">
        <v>254</v>
      </c>
      <c r="G177" s="173" t="s">
        <v>367</v>
      </c>
      <c r="I177" s="87" t="s">
        <v>256</v>
      </c>
      <c r="J177" s="87" t="s">
        <v>256</v>
      </c>
      <c r="L177" s="88" t="s">
        <v>254</v>
      </c>
      <c r="M177" s="173" t="s">
        <v>367</v>
      </c>
      <c r="AA177" s="2" t="s">
        <v>6</v>
      </c>
      <c r="AB177" s="2" t="str">
        <f t="shared" ref="AB177" si="259">IF(NOT(ISBLANK(AC177)),"-","")</f>
        <v>-</v>
      </c>
      <c r="AC177" s="2" t="s">
        <v>253</v>
      </c>
      <c r="AD177" s="2" t="str">
        <f t="shared" ref="AD177" si="260">IF(NOT(ISBLANK(AE177)),"_","")</f>
        <v>_</v>
      </c>
      <c r="AE177" s="2" t="s">
        <v>259</v>
      </c>
      <c r="AF177" s="2" t="str">
        <f t="shared" ref="AF177" si="261">IF(NOT(ISBLANK(AG177)),"_","")</f>
        <v>_</v>
      </c>
      <c r="AG177" s="2" t="s">
        <v>255</v>
      </c>
      <c r="AH177" s="2" t="str">
        <f t="shared" si="184"/>
        <v/>
      </c>
      <c r="AI177" s="2"/>
    </row>
    <row r="178" spans="2:35" x14ac:dyDescent="0.25">
      <c r="B178" s="2" t="str">
        <f t="shared" si="258"/>
        <v>@color-building_line_top</v>
      </c>
      <c r="C178" s="87" t="s">
        <v>256</v>
      </c>
      <c r="D178" s="87" t="s">
        <v>256</v>
      </c>
      <c r="F178" s="88" t="s">
        <v>254</v>
      </c>
      <c r="G178" s="173" t="s">
        <v>367</v>
      </c>
      <c r="I178" s="87" t="s">
        <v>256</v>
      </c>
      <c r="J178" s="87" t="s">
        <v>256</v>
      </c>
      <c r="L178" s="88" t="s">
        <v>254</v>
      </c>
      <c r="M178" s="173" t="s">
        <v>367</v>
      </c>
      <c r="AA178" s="2" t="s">
        <v>6</v>
      </c>
      <c r="AB178" s="2" t="str">
        <f t="shared" ref="AB178" si="262">IF(NOT(ISBLANK(AC178)),"-","")</f>
        <v>-</v>
      </c>
      <c r="AC178" s="2" t="s">
        <v>253</v>
      </c>
      <c r="AD178" s="2" t="str">
        <f t="shared" ref="AD178" si="263">IF(NOT(ISBLANK(AE178)),"_","")</f>
        <v>_</v>
      </c>
      <c r="AE178" s="2" t="s">
        <v>13</v>
      </c>
      <c r="AF178" s="2" t="str">
        <f t="shared" ref="AF178" si="264">IF(NOT(ISBLANK(AG178)),"_","")</f>
        <v>_</v>
      </c>
      <c r="AG178" s="2" t="s">
        <v>258</v>
      </c>
      <c r="AH178" s="2" t="str">
        <f t="shared" si="184"/>
        <v/>
      </c>
      <c r="AI178" s="2"/>
    </row>
    <row r="179" spans="2:35" x14ac:dyDescent="0.25">
      <c r="B179" s="2" t="str">
        <f t="shared" si="258"/>
        <v>@color-contours_line</v>
      </c>
      <c r="C179" s="89" t="s">
        <v>191</v>
      </c>
      <c r="D179" s="90" t="str">
        <f>C179</f>
        <v>"#916f4c"</v>
      </c>
      <c r="F179" s="91" t="s">
        <v>269</v>
      </c>
      <c r="G179" s="91" t="str">
        <f>F179</f>
        <v>"#5f472f"</v>
      </c>
      <c r="I179" s="89" t="s">
        <v>191</v>
      </c>
      <c r="J179" s="90" t="str">
        <f>I179</f>
        <v>"#916f4c"</v>
      </c>
      <c r="L179" s="91" t="s">
        <v>269</v>
      </c>
      <c r="M179" s="91" t="str">
        <f>L179</f>
        <v>"#5f472f"</v>
      </c>
      <c r="AA179" s="2" t="s">
        <v>6</v>
      </c>
      <c r="AB179" s="2" t="str">
        <f t="shared" ref="AB179:AB186" si="265">IF(NOT(ISBLANK(AC179)),"-","")</f>
        <v>-</v>
      </c>
      <c r="AC179" s="2" t="s">
        <v>67</v>
      </c>
      <c r="AD179" s="2" t="str">
        <f t="shared" ref="AD179:AD186" si="266">IF(NOT(ISBLANK(AE179)),"_","")</f>
        <v>_</v>
      </c>
      <c r="AE179" s="2" t="s">
        <v>13</v>
      </c>
      <c r="AF179" s="2" t="str">
        <f>IF(NOT(ISBLANK(AG179)),"_","")</f>
        <v/>
      </c>
      <c r="AG179" s="2"/>
      <c r="AH179" s="2" t="str">
        <f>IF(NOT(ISBLANK(AI179)),"_","")</f>
        <v/>
      </c>
      <c r="AI179" s="2"/>
    </row>
    <row r="180" spans="2:35" x14ac:dyDescent="0.25">
      <c r="B180" s="2" t="str">
        <f t="shared" ref="B180" si="267">_xlfn.CONCAT("@",AA180,AB180,AC180,AD180,AE180,AF180,AG180,AH180,AI180)</f>
        <v>@color-water_contours_line_1500</v>
      </c>
      <c r="C180" s="165" t="s">
        <v>315</v>
      </c>
      <c r="D180" s="169" t="s">
        <v>320</v>
      </c>
      <c r="F180" s="166" t="s">
        <v>316</v>
      </c>
      <c r="G180" s="166" t="s">
        <v>316</v>
      </c>
      <c r="I180" s="165" t="s">
        <v>315</v>
      </c>
      <c r="J180" s="169" t="s">
        <v>320</v>
      </c>
      <c r="L180" s="166" t="s">
        <v>316</v>
      </c>
      <c r="M180" s="166" t="s">
        <v>316</v>
      </c>
      <c r="AA180" s="2" t="s">
        <v>6</v>
      </c>
      <c r="AB180" s="2" t="str">
        <f t="shared" si="265"/>
        <v>-</v>
      </c>
      <c r="AC180" s="2" t="s">
        <v>314</v>
      </c>
      <c r="AD180" s="2" t="str">
        <f t="shared" si="266"/>
        <v>_</v>
      </c>
      <c r="AE180" s="2" t="s">
        <v>13</v>
      </c>
      <c r="AF180" s="2" t="str">
        <f>IF(NOT(ISBLANK(AG180)),"_","")</f>
        <v>_</v>
      </c>
      <c r="AG180" s="2">
        <v>1500</v>
      </c>
      <c r="AH180" s="2" t="str">
        <f>IF(NOT(ISBLANK(AI180)),"_","")</f>
        <v/>
      </c>
      <c r="AI180" s="2"/>
    </row>
    <row r="181" spans="2:35" x14ac:dyDescent="0.25">
      <c r="B181" s="2" t="str">
        <f t="shared" ref="B181" si="268">_xlfn.CONCAT("@",AA181,AB181,AC181,AD181,AE181,AF181,AG181,AH181,AI181)</f>
        <v>@color-water_contours_line_3000</v>
      </c>
      <c r="C181" s="167" t="s">
        <v>318</v>
      </c>
      <c r="D181" s="170" t="s">
        <v>321</v>
      </c>
      <c r="F181" s="166" t="s">
        <v>316</v>
      </c>
      <c r="G181" s="166" t="s">
        <v>316</v>
      </c>
      <c r="I181" s="167" t="s">
        <v>318</v>
      </c>
      <c r="J181" s="170" t="s">
        <v>321</v>
      </c>
      <c r="L181" s="166" t="s">
        <v>316</v>
      </c>
      <c r="M181" s="166" t="s">
        <v>316</v>
      </c>
      <c r="AA181" s="2" t="s">
        <v>6</v>
      </c>
      <c r="AB181" s="2" t="str">
        <f t="shared" si="265"/>
        <v>-</v>
      </c>
      <c r="AC181" s="2" t="s">
        <v>314</v>
      </c>
      <c r="AD181" s="2" t="str">
        <f t="shared" si="266"/>
        <v>_</v>
      </c>
      <c r="AE181" s="2" t="s">
        <v>13</v>
      </c>
      <c r="AF181" s="2" t="str">
        <f>IF(NOT(ISBLANK(AG181)),"_","")</f>
        <v>_</v>
      </c>
      <c r="AG181" s="2">
        <v>3000</v>
      </c>
      <c r="AH181" s="2" t="str">
        <f>IF(NOT(ISBLANK(AI181)),"_","")</f>
        <v/>
      </c>
      <c r="AI181" s="2"/>
    </row>
    <row r="182" spans="2:35" x14ac:dyDescent="0.25">
      <c r="B182" s="2" t="str">
        <f t="shared" ref="B182" si="269">_xlfn.CONCAT("@",AA182,AB182,AC182,AD182,AE182,AF182,AG182,AH182,AI182)</f>
        <v>@color-water_contours_line_6000</v>
      </c>
      <c r="C182" s="168" t="s">
        <v>319</v>
      </c>
      <c r="D182" s="171" t="s">
        <v>322</v>
      </c>
      <c r="F182" s="166" t="s">
        <v>316</v>
      </c>
      <c r="G182" s="166" t="s">
        <v>316</v>
      </c>
      <c r="I182" s="168" t="s">
        <v>319</v>
      </c>
      <c r="J182" s="171" t="s">
        <v>322</v>
      </c>
      <c r="L182" s="166" t="s">
        <v>316</v>
      </c>
      <c r="M182" s="166" t="s">
        <v>316</v>
      </c>
      <c r="AA182" s="2" t="s">
        <v>6</v>
      </c>
      <c r="AB182" s="2" t="str">
        <f t="shared" si="265"/>
        <v>-</v>
      </c>
      <c r="AC182" s="2" t="s">
        <v>314</v>
      </c>
      <c r="AD182" s="2" t="str">
        <f t="shared" si="266"/>
        <v>_</v>
      </c>
      <c r="AE182" s="2" t="s">
        <v>13</v>
      </c>
      <c r="AF182" s="2" t="str">
        <f>IF(NOT(ISBLANK(AG182)),"_","")</f>
        <v>_</v>
      </c>
      <c r="AG182" s="2">
        <v>6000</v>
      </c>
      <c r="AH182" s="2" t="str">
        <f t="shared" ref="AH182:AH203" si="270">IF(NOT(ISBLANK(AI182)),"_","")</f>
        <v/>
      </c>
      <c r="AI182" s="2"/>
    </row>
    <row r="183" spans="2:35" x14ac:dyDescent="0.25">
      <c r="B183" s="2" t="str">
        <f t="shared" ref="B183:B184" si="271">_xlfn.CONCAT("@",AA183,AB183,AC183,AD183,AE183,AF183,AG183,AH183,AI183)</f>
        <v>@color-water_contours_line_over6000</v>
      </c>
      <c r="C183" s="169" t="s">
        <v>320</v>
      </c>
      <c r="D183" s="172" t="s">
        <v>323</v>
      </c>
      <c r="F183" s="166" t="s">
        <v>316</v>
      </c>
      <c r="G183" s="166" t="s">
        <v>316</v>
      </c>
      <c r="I183" s="169" t="s">
        <v>320</v>
      </c>
      <c r="J183" s="172" t="s">
        <v>323</v>
      </c>
      <c r="L183" s="166" t="s">
        <v>316</v>
      </c>
      <c r="M183" s="166" t="s">
        <v>316</v>
      </c>
      <c r="AA183" s="2" t="s">
        <v>6</v>
      </c>
      <c r="AB183" s="2" t="str">
        <f t="shared" si="265"/>
        <v>-</v>
      </c>
      <c r="AC183" s="2" t="s">
        <v>314</v>
      </c>
      <c r="AD183" s="2" t="str">
        <f t="shared" si="266"/>
        <v>_</v>
      </c>
      <c r="AE183" s="2" t="s">
        <v>13</v>
      </c>
      <c r="AF183" s="2" t="str">
        <f>IF(NOT(ISBLANK(AG183)),"_","")</f>
        <v>_</v>
      </c>
      <c r="AG183" s="2" t="s">
        <v>317</v>
      </c>
      <c r="AH183" s="2" t="str">
        <f t="shared" si="270"/>
        <v/>
      </c>
      <c r="AI183" s="2"/>
    </row>
    <row r="184" spans="2:35" x14ac:dyDescent="0.25">
      <c r="B184" s="2" t="str">
        <f t="shared" si="271"/>
        <v>@color-water_contours_label</v>
      </c>
      <c r="C184" s="168" t="s">
        <v>319</v>
      </c>
      <c r="D184" s="171" t="s">
        <v>322</v>
      </c>
      <c r="F184" s="166" t="s">
        <v>316</v>
      </c>
      <c r="G184" s="166" t="s">
        <v>316</v>
      </c>
      <c r="I184" s="168" t="s">
        <v>319</v>
      </c>
      <c r="J184" s="171" t="s">
        <v>322</v>
      </c>
      <c r="L184" s="166" t="s">
        <v>316</v>
      </c>
      <c r="M184" s="166" t="s">
        <v>316</v>
      </c>
      <c r="AA184" s="2" t="s">
        <v>6</v>
      </c>
      <c r="AB184" s="2" t="str">
        <f t="shared" si="265"/>
        <v>-</v>
      </c>
      <c r="AC184" s="2" t="s">
        <v>314</v>
      </c>
      <c r="AD184" s="2" t="str">
        <f t="shared" si="266"/>
        <v>_</v>
      </c>
      <c r="AE184" s="2" t="s">
        <v>271</v>
      </c>
      <c r="AF184" s="2" t="str">
        <f t="shared" ref="AF184:AF203" si="272">IF(NOT(ISBLANK(AG184)),"_","")</f>
        <v/>
      </c>
      <c r="AG184" s="2"/>
      <c r="AH184" s="2" t="str">
        <f t="shared" si="270"/>
        <v/>
      </c>
      <c r="AI184" s="2"/>
    </row>
    <row r="185" spans="2:35" x14ac:dyDescent="0.25">
      <c r="B185" s="2" t="str">
        <f t="shared" ref="B185" si="273">_xlfn.CONCAT("@",AA185,AB185,AC185,AD185,AE185,AF185,AG185,AH185,AI185)</f>
        <v>@color-water_shipping_lane</v>
      </c>
      <c r="C185" s="72" t="s">
        <v>214</v>
      </c>
      <c r="D185" s="72" t="s">
        <v>214</v>
      </c>
      <c r="F185" s="71" t="s">
        <v>222</v>
      </c>
      <c r="G185" s="71" t="s">
        <v>222</v>
      </c>
      <c r="I185" s="72" t="s">
        <v>214</v>
      </c>
      <c r="J185" s="72" t="s">
        <v>214</v>
      </c>
      <c r="L185" s="71" t="s">
        <v>222</v>
      </c>
      <c r="M185" s="71" t="s">
        <v>222</v>
      </c>
      <c r="AA185" s="2" t="s">
        <v>6</v>
      </c>
      <c r="AB185" s="2" t="str">
        <f t="shared" si="265"/>
        <v>-</v>
      </c>
      <c r="AC185" s="2" t="s">
        <v>324</v>
      </c>
      <c r="AD185" s="2" t="str">
        <f t="shared" si="266"/>
        <v/>
      </c>
      <c r="AE185" s="2"/>
      <c r="AF185" s="2" t="str">
        <f t="shared" si="272"/>
        <v/>
      </c>
      <c r="AG185" s="2"/>
      <c r="AH185" s="2" t="str">
        <f t="shared" si="270"/>
        <v/>
      </c>
      <c r="AI185" s="2"/>
    </row>
    <row r="186" spans="2:35" x14ac:dyDescent="0.25">
      <c r="B186" s="2" t="str">
        <f t="shared" si="258"/>
        <v>@color-cliff_line</v>
      </c>
      <c r="C186" s="72" t="s">
        <v>214</v>
      </c>
      <c r="D186" s="72" t="s">
        <v>214</v>
      </c>
      <c r="F186" s="71" t="s">
        <v>222</v>
      </c>
      <c r="G186" s="71" t="s">
        <v>222</v>
      </c>
      <c r="I186" s="72" t="s">
        <v>214</v>
      </c>
      <c r="J186" s="72" t="s">
        <v>214</v>
      </c>
      <c r="L186" s="71" t="s">
        <v>222</v>
      </c>
      <c r="M186" s="71" t="s">
        <v>222</v>
      </c>
      <c r="AA186" s="2" t="s">
        <v>6</v>
      </c>
      <c r="AB186" s="2" t="str">
        <f t="shared" si="265"/>
        <v>-</v>
      </c>
      <c r="AC186" s="2" t="s">
        <v>270</v>
      </c>
      <c r="AD186" s="2" t="str">
        <f t="shared" si="266"/>
        <v>_</v>
      </c>
      <c r="AE186" s="2" t="s">
        <v>13</v>
      </c>
      <c r="AF186" s="2" t="str">
        <f t="shared" si="272"/>
        <v/>
      </c>
      <c r="AG186" s="2"/>
      <c r="AH186" s="2" t="str">
        <f t="shared" si="270"/>
        <v/>
      </c>
      <c r="AI186" s="2"/>
    </row>
    <row r="187" spans="2:35" x14ac:dyDescent="0.25">
      <c r="AB187" s="28" t="str">
        <f t="shared" si="181"/>
        <v/>
      </c>
      <c r="AD187" s="28" t="str">
        <f t="shared" si="182"/>
        <v/>
      </c>
      <c r="AF187" s="2" t="str">
        <f t="shared" si="272"/>
        <v/>
      </c>
      <c r="AH187" s="2" t="str">
        <f t="shared" si="270"/>
        <v/>
      </c>
    </row>
    <row r="188" spans="2:35" x14ac:dyDescent="0.25">
      <c r="B188" s="2" t="str">
        <f t="shared" si="258"/>
        <v>@line_width-ditch_z12</v>
      </c>
      <c r="C188" s="28" t="s">
        <v>95</v>
      </c>
      <c r="D188" s="28" t="s">
        <v>80</v>
      </c>
      <c r="F188" s="28" t="s">
        <v>95</v>
      </c>
      <c r="G188" s="28" t="s">
        <v>80</v>
      </c>
      <c r="I188" s="28" t="s">
        <v>95</v>
      </c>
      <c r="J188" s="28" t="s">
        <v>80</v>
      </c>
      <c r="L188" s="28" t="s">
        <v>95</v>
      </c>
      <c r="M188" s="28" t="s">
        <v>80</v>
      </c>
      <c r="O188" s="28" t="s">
        <v>95</v>
      </c>
      <c r="P188" s="28" t="s">
        <v>80</v>
      </c>
      <c r="R188" s="28" t="s">
        <v>95</v>
      </c>
      <c r="S188" s="28" t="s">
        <v>80</v>
      </c>
      <c r="U188" s="28" t="s">
        <v>95</v>
      </c>
      <c r="V188" s="28" t="s">
        <v>80</v>
      </c>
      <c r="X188" s="28" t="s">
        <v>95</v>
      </c>
      <c r="Y188" s="28" t="s">
        <v>80</v>
      </c>
      <c r="AA188" s="2" t="s">
        <v>119</v>
      </c>
      <c r="AB188" s="2" t="str">
        <f t="shared" si="181"/>
        <v>-</v>
      </c>
      <c r="AC188" s="28" t="s">
        <v>325</v>
      </c>
      <c r="AD188" s="2" t="str">
        <f t="shared" si="182"/>
        <v>_</v>
      </c>
      <c r="AE188" s="28" t="s">
        <v>109</v>
      </c>
      <c r="AF188" s="2" t="str">
        <f t="shared" si="272"/>
        <v/>
      </c>
      <c r="AH188" s="2" t="str">
        <f t="shared" si="270"/>
        <v/>
      </c>
    </row>
    <row r="189" spans="2:35" x14ac:dyDescent="0.25">
      <c r="B189" s="2" t="str">
        <f t="shared" si="258"/>
        <v>@line_width-ditch_z14</v>
      </c>
      <c r="C189" s="28" t="s">
        <v>84</v>
      </c>
      <c r="D189" s="28" t="s">
        <v>85</v>
      </c>
      <c r="F189" s="28" t="s">
        <v>84</v>
      </c>
      <c r="G189" s="28" t="s">
        <v>85</v>
      </c>
      <c r="I189" s="28" t="s">
        <v>84</v>
      </c>
      <c r="J189" s="28" t="s">
        <v>85</v>
      </c>
      <c r="L189" s="28" t="s">
        <v>84</v>
      </c>
      <c r="M189" s="28" t="s">
        <v>85</v>
      </c>
      <c r="O189" s="28" t="s">
        <v>84</v>
      </c>
      <c r="P189" s="28" t="s">
        <v>85</v>
      </c>
      <c r="R189" s="28" t="s">
        <v>84</v>
      </c>
      <c r="S189" s="28" t="s">
        <v>85</v>
      </c>
      <c r="U189" s="28" t="s">
        <v>84</v>
      </c>
      <c r="V189" s="28" t="s">
        <v>85</v>
      </c>
      <c r="X189" s="28" t="s">
        <v>84</v>
      </c>
      <c r="Y189" s="28" t="s">
        <v>85</v>
      </c>
      <c r="AA189" s="2" t="s">
        <v>119</v>
      </c>
      <c r="AB189" s="2" t="str">
        <f t="shared" si="181"/>
        <v>-</v>
      </c>
      <c r="AC189" s="28" t="s">
        <v>325</v>
      </c>
      <c r="AD189" s="2" t="str">
        <f t="shared" si="182"/>
        <v>_</v>
      </c>
      <c r="AE189" s="28" t="s">
        <v>74</v>
      </c>
      <c r="AF189" s="2" t="str">
        <f t="shared" si="272"/>
        <v/>
      </c>
      <c r="AH189" s="2" t="str">
        <f t="shared" si="270"/>
        <v/>
      </c>
    </row>
    <row r="190" spans="2:35" x14ac:dyDescent="0.25">
      <c r="B190" s="2" t="str">
        <f t="shared" si="258"/>
        <v>@line_width-ditch_z16</v>
      </c>
      <c r="C190" s="28" t="s">
        <v>92</v>
      </c>
      <c r="D190" s="28" t="s">
        <v>92</v>
      </c>
      <c r="F190" s="28" t="s">
        <v>92</v>
      </c>
      <c r="G190" s="28" t="s">
        <v>92</v>
      </c>
      <c r="I190" s="28" t="s">
        <v>92</v>
      </c>
      <c r="J190" s="28" t="s">
        <v>92</v>
      </c>
      <c r="L190" s="28" t="s">
        <v>92</v>
      </c>
      <c r="M190" s="28" t="s">
        <v>92</v>
      </c>
      <c r="O190" s="28" t="s">
        <v>92</v>
      </c>
      <c r="P190" s="28" t="s">
        <v>92</v>
      </c>
      <c r="R190" s="28" t="s">
        <v>92</v>
      </c>
      <c r="S190" s="28" t="s">
        <v>92</v>
      </c>
      <c r="U190" s="28" t="s">
        <v>92</v>
      </c>
      <c r="V190" s="28" t="s">
        <v>92</v>
      </c>
      <c r="X190" s="28" t="s">
        <v>92</v>
      </c>
      <c r="Y190" s="28" t="s">
        <v>92</v>
      </c>
      <c r="AA190" s="2" t="s">
        <v>119</v>
      </c>
      <c r="AB190" s="2" t="str">
        <f t="shared" si="181"/>
        <v>-</v>
      </c>
      <c r="AC190" s="28" t="s">
        <v>325</v>
      </c>
      <c r="AD190" s="2" t="str">
        <f t="shared" si="182"/>
        <v>_</v>
      </c>
      <c r="AE190" s="28" t="s">
        <v>75</v>
      </c>
      <c r="AF190" s="2" t="str">
        <f t="shared" si="272"/>
        <v/>
      </c>
      <c r="AH190" s="2" t="str">
        <f t="shared" si="270"/>
        <v/>
      </c>
    </row>
    <row r="191" spans="2:35" x14ac:dyDescent="0.25">
      <c r="B191" s="2" t="str">
        <f t="shared" si="258"/>
        <v>@line_width-ditch_z18</v>
      </c>
      <c r="C191" s="28" t="s">
        <v>327</v>
      </c>
      <c r="D191" s="28" t="s">
        <v>327</v>
      </c>
      <c r="F191" s="28" t="s">
        <v>327</v>
      </c>
      <c r="G191" s="28" t="s">
        <v>327</v>
      </c>
      <c r="I191" s="28" t="s">
        <v>327</v>
      </c>
      <c r="J191" s="28" t="s">
        <v>327</v>
      </c>
      <c r="L191" s="28" t="s">
        <v>327</v>
      </c>
      <c r="M191" s="28" t="s">
        <v>327</v>
      </c>
      <c r="O191" s="28" t="s">
        <v>327</v>
      </c>
      <c r="P191" s="28" t="s">
        <v>327</v>
      </c>
      <c r="R191" s="28" t="s">
        <v>327</v>
      </c>
      <c r="S191" s="28" t="s">
        <v>327</v>
      </c>
      <c r="U191" s="28" t="s">
        <v>327</v>
      </c>
      <c r="V191" s="28" t="s">
        <v>327</v>
      </c>
      <c r="X191" s="28" t="s">
        <v>327</v>
      </c>
      <c r="Y191" s="28" t="s">
        <v>327</v>
      </c>
      <c r="AA191" s="2" t="s">
        <v>119</v>
      </c>
      <c r="AB191" s="2" t="str">
        <f t="shared" si="181"/>
        <v>-</v>
      </c>
      <c r="AC191" s="28" t="s">
        <v>325</v>
      </c>
      <c r="AD191" s="2" t="str">
        <f t="shared" si="182"/>
        <v>_</v>
      </c>
      <c r="AE191" s="28" t="s">
        <v>76</v>
      </c>
      <c r="AF191" s="2" t="str">
        <f t="shared" si="272"/>
        <v/>
      </c>
      <c r="AH191" s="2" t="str">
        <f t="shared" si="270"/>
        <v/>
      </c>
    </row>
    <row r="192" spans="2:35" x14ac:dyDescent="0.25">
      <c r="B192" s="2"/>
      <c r="AA192" s="2"/>
      <c r="AB192" s="2"/>
      <c r="AD192" s="2"/>
      <c r="AF192" s="2"/>
      <c r="AH192" s="2"/>
    </row>
    <row r="193" spans="1:35" x14ac:dyDescent="0.25">
      <c r="B193" s="2" t="str">
        <f t="shared" ref="B193:B196" si="274">_xlfn.CONCAT("@",AA193,AB193,AC193,AD193,AE193,AF193,AG193,AH193,AI193)</f>
        <v>@line_width-stream_z12</v>
      </c>
      <c r="C193" s="28" t="s">
        <v>80</v>
      </c>
      <c r="D193" s="28" t="s">
        <v>85</v>
      </c>
      <c r="F193" s="28" t="s">
        <v>80</v>
      </c>
      <c r="G193" s="28" t="s">
        <v>85</v>
      </c>
      <c r="I193" s="28" t="s">
        <v>80</v>
      </c>
      <c r="J193" s="28" t="s">
        <v>85</v>
      </c>
      <c r="L193" s="28" t="s">
        <v>80</v>
      </c>
      <c r="M193" s="28" t="s">
        <v>85</v>
      </c>
      <c r="O193" s="28" t="s">
        <v>80</v>
      </c>
      <c r="P193" s="28" t="s">
        <v>85</v>
      </c>
      <c r="R193" s="28" t="s">
        <v>80</v>
      </c>
      <c r="S193" s="28" t="s">
        <v>85</v>
      </c>
      <c r="U193" s="28" t="s">
        <v>80</v>
      </c>
      <c r="V193" s="28" t="s">
        <v>85</v>
      </c>
      <c r="X193" s="28" t="s">
        <v>80</v>
      </c>
      <c r="Y193" s="28" t="s">
        <v>85</v>
      </c>
      <c r="AA193" s="2" t="s">
        <v>119</v>
      </c>
      <c r="AB193" s="2" t="str">
        <f t="shared" ref="AB193:AB196" si="275">IF(NOT(ISBLANK(AC193)),"-","")</f>
        <v>-</v>
      </c>
      <c r="AC193" s="28" t="s">
        <v>326</v>
      </c>
      <c r="AD193" s="2" t="str">
        <f t="shared" ref="AD193:AD196" si="276">IF(NOT(ISBLANK(AE193)),"_","")</f>
        <v>_</v>
      </c>
      <c r="AE193" s="28" t="s">
        <v>109</v>
      </c>
      <c r="AF193" s="2" t="str">
        <f t="shared" si="272"/>
        <v/>
      </c>
      <c r="AH193" s="2" t="str">
        <f t="shared" si="270"/>
        <v/>
      </c>
    </row>
    <row r="194" spans="1:35" x14ac:dyDescent="0.25">
      <c r="B194" s="2" t="str">
        <f t="shared" si="274"/>
        <v>@line_width-stream_z14</v>
      </c>
      <c r="C194" s="28" t="s">
        <v>90</v>
      </c>
      <c r="D194" s="28" t="s">
        <v>88</v>
      </c>
      <c r="F194" s="28" t="s">
        <v>90</v>
      </c>
      <c r="G194" s="28" t="s">
        <v>88</v>
      </c>
      <c r="I194" s="28" t="s">
        <v>90</v>
      </c>
      <c r="J194" s="28" t="s">
        <v>88</v>
      </c>
      <c r="L194" s="28" t="s">
        <v>90</v>
      </c>
      <c r="M194" s="28" t="s">
        <v>88</v>
      </c>
      <c r="O194" s="28" t="s">
        <v>90</v>
      </c>
      <c r="P194" s="28" t="s">
        <v>88</v>
      </c>
      <c r="R194" s="28" t="s">
        <v>90</v>
      </c>
      <c r="S194" s="28" t="s">
        <v>88</v>
      </c>
      <c r="U194" s="28" t="s">
        <v>90</v>
      </c>
      <c r="V194" s="28" t="s">
        <v>88</v>
      </c>
      <c r="X194" s="28" t="s">
        <v>90</v>
      </c>
      <c r="Y194" s="28" t="s">
        <v>88</v>
      </c>
      <c r="AA194" s="2" t="s">
        <v>119</v>
      </c>
      <c r="AB194" s="2" t="str">
        <f t="shared" si="275"/>
        <v>-</v>
      </c>
      <c r="AC194" s="28" t="s">
        <v>326</v>
      </c>
      <c r="AD194" s="2" t="str">
        <f t="shared" si="276"/>
        <v>_</v>
      </c>
      <c r="AE194" s="28" t="s">
        <v>74</v>
      </c>
      <c r="AF194" s="2" t="str">
        <f t="shared" si="272"/>
        <v/>
      </c>
      <c r="AH194" s="2" t="str">
        <f t="shared" si="270"/>
        <v/>
      </c>
    </row>
    <row r="195" spans="1:35" x14ac:dyDescent="0.25">
      <c r="B195" s="2" t="str">
        <f t="shared" si="274"/>
        <v>@line_width-stream_z16</v>
      </c>
      <c r="C195" s="28" t="s">
        <v>86</v>
      </c>
      <c r="D195" s="28" t="s">
        <v>86</v>
      </c>
      <c r="F195" s="28" t="s">
        <v>86</v>
      </c>
      <c r="G195" s="28" t="s">
        <v>86</v>
      </c>
      <c r="I195" s="28" t="s">
        <v>86</v>
      </c>
      <c r="J195" s="28" t="s">
        <v>86</v>
      </c>
      <c r="L195" s="28" t="s">
        <v>86</v>
      </c>
      <c r="M195" s="28" t="s">
        <v>86</v>
      </c>
      <c r="O195" s="28" t="s">
        <v>86</v>
      </c>
      <c r="P195" s="28" t="s">
        <v>86</v>
      </c>
      <c r="R195" s="28" t="s">
        <v>86</v>
      </c>
      <c r="S195" s="28" t="s">
        <v>86</v>
      </c>
      <c r="U195" s="28" t="s">
        <v>86</v>
      </c>
      <c r="V195" s="28" t="s">
        <v>86</v>
      </c>
      <c r="X195" s="28" t="s">
        <v>86</v>
      </c>
      <c r="Y195" s="28" t="s">
        <v>86</v>
      </c>
      <c r="AA195" s="2" t="s">
        <v>119</v>
      </c>
      <c r="AB195" s="2" t="str">
        <f t="shared" si="275"/>
        <v>-</v>
      </c>
      <c r="AC195" s="28" t="s">
        <v>326</v>
      </c>
      <c r="AD195" s="2" t="str">
        <f t="shared" si="276"/>
        <v>_</v>
      </c>
      <c r="AE195" s="28" t="s">
        <v>75</v>
      </c>
      <c r="AF195" s="2" t="str">
        <f t="shared" si="272"/>
        <v/>
      </c>
      <c r="AH195" s="2" t="str">
        <f t="shared" si="270"/>
        <v/>
      </c>
    </row>
    <row r="196" spans="1:35" x14ac:dyDescent="0.25">
      <c r="B196" s="2" t="str">
        <f t="shared" si="274"/>
        <v>@line_width-stream_z18</v>
      </c>
      <c r="C196" s="28" t="s">
        <v>328</v>
      </c>
      <c r="D196" s="28" t="s">
        <v>328</v>
      </c>
      <c r="F196" s="28" t="s">
        <v>328</v>
      </c>
      <c r="G196" s="28" t="s">
        <v>328</v>
      </c>
      <c r="I196" s="28" t="s">
        <v>328</v>
      </c>
      <c r="J196" s="28" t="s">
        <v>328</v>
      </c>
      <c r="L196" s="28" t="s">
        <v>328</v>
      </c>
      <c r="M196" s="28" t="s">
        <v>328</v>
      </c>
      <c r="O196" s="28" t="s">
        <v>328</v>
      </c>
      <c r="P196" s="28" t="s">
        <v>328</v>
      </c>
      <c r="R196" s="28" t="s">
        <v>328</v>
      </c>
      <c r="S196" s="28" t="s">
        <v>328</v>
      </c>
      <c r="U196" s="28" t="s">
        <v>328</v>
      </c>
      <c r="V196" s="28" t="s">
        <v>328</v>
      </c>
      <c r="X196" s="28" t="s">
        <v>328</v>
      </c>
      <c r="Y196" s="28" t="s">
        <v>328</v>
      </c>
      <c r="AA196" s="2" t="s">
        <v>119</v>
      </c>
      <c r="AB196" s="2" t="str">
        <f t="shared" si="275"/>
        <v>-</v>
      </c>
      <c r="AC196" s="28" t="s">
        <v>326</v>
      </c>
      <c r="AD196" s="2" t="str">
        <f t="shared" si="276"/>
        <v>_</v>
      </c>
      <c r="AE196" s="28" t="s">
        <v>76</v>
      </c>
      <c r="AF196" s="2" t="str">
        <f t="shared" si="272"/>
        <v/>
      </c>
      <c r="AH196" s="2" t="str">
        <f t="shared" si="270"/>
        <v/>
      </c>
    </row>
    <row r="197" spans="1:35" x14ac:dyDescent="0.25">
      <c r="B197" s="2"/>
      <c r="AA197" s="2"/>
      <c r="AB197" s="2"/>
      <c r="AD197" s="2"/>
      <c r="AF197" s="2"/>
      <c r="AH197" s="2"/>
    </row>
    <row r="198" spans="1:35" x14ac:dyDescent="0.25">
      <c r="B198" s="2" t="str">
        <f t="shared" ref="B198:B200" si="277">_xlfn.CONCAT("@",AA198,AB198,AC198,AD198,AE198,AF198,AG198,AH198,AI198)</f>
        <v>@line_width-canal_z13</v>
      </c>
      <c r="C198" s="28" t="s">
        <v>95</v>
      </c>
      <c r="D198" s="28" t="s">
        <v>80</v>
      </c>
      <c r="F198" s="28" t="s">
        <v>95</v>
      </c>
      <c r="G198" s="28" t="s">
        <v>80</v>
      </c>
      <c r="I198" s="28" t="s">
        <v>95</v>
      </c>
      <c r="J198" s="28" t="s">
        <v>80</v>
      </c>
      <c r="L198" s="28" t="s">
        <v>95</v>
      </c>
      <c r="M198" s="28" t="s">
        <v>80</v>
      </c>
      <c r="O198" s="28" t="s">
        <v>95</v>
      </c>
      <c r="P198" s="28" t="s">
        <v>80</v>
      </c>
      <c r="R198" s="28" t="s">
        <v>95</v>
      </c>
      <c r="S198" s="28" t="s">
        <v>80</v>
      </c>
      <c r="U198" s="28" t="s">
        <v>95</v>
      </c>
      <c r="V198" s="28" t="s">
        <v>80</v>
      </c>
      <c r="X198" s="28" t="s">
        <v>95</v>
      </c>
      <c r="Y198" s="28" t="s">
        <v>80</v>
      </c>
      <c r="AA198" s="2" t="s">
        <v>119</v>
      </c>
      <c r="AB198" s="2" t="str">
        <f t="shared" ref="AB198:AB200" si="278">IF(NOT(ISBLANK(AC198)),"-","")</f>
        <v>-</v>
      </c>
      <c r="AC198" s="28" t="s">
        <v>329</v>
      </c>
      <c r="AD198" s="2" t="str">
        <f t="shared" ref="AD198:AD200" si="279">IF(NOT(ISBLANK(AE198)),"_","")</f>
        <v>_</v>
      </c>
      <c r="AE198" s="28" t="s">
        <v>330</v>
      </c>
      <c r="AF198" s="2" t="str">
        <f t="shared" si="272"/>
        <v/>
      </c>
      <c r="AH198" s="2" t="str">
        <f t="shared" si="270"/>
        <v/>
      </c>
    </row>
    <row r="199" spans="1:35" x14ac:dyDescent="0.25">
      <c r="B199" s="2" t="str">
        <f t="shared" si="277"/>
        <v>@line_width-canal_z16</v>
      </c>
      <c r="C199" s="28" t="s">
        <v>128</v>
      </c>
      <c r="D199" s="28" t="s">
        <v>86</v>
      </c>
      <c r="F199" s="28" t="s">
        <v>128</v>
      </c>
      <c r="G199" s="28" t="s">
        <v>86</v>
      </c>
      <c r="I199" s="28" t="s">
        <v>128</v>
      </c>
      <c r="J199" s="28" t="s">
        <v>86</v>
      </c>
      <c r="L199" s="28" t="s">
        <v>128</v>
      </c>
      <c r="M199" s="28" t="s">
        <v>86</v>
      </c>
      <c r="O199" s="28" t="s">
        <v>128</v>
      </c>
      <c r="P199" s="28" t="s">
        <v>86</v>
      </c>
      <c r="R199" s="28" t="s">
        <v>128</v>
      </c>
      <c r="S199" s="28" t="s">
        <v>86</v>
      </c>
      <c r="U199" s="28" t="s">
        <v>128</v>
      </c>
      <c r="V199" s="28" t="s">
        <v>86</v>
      </c>
      <c r="X199" s="28" t="s">
        <v>128</v>
      </c>
      <c r="Y199" s="28" t="s">
        <v>86</v>
      </c>
      <c r="AA199" s="2" t="s">
        <v>119</v>
      </c>
      <c r="AB199" s="2" t="str">
        <f t="shared" si="278"/>
        <v>-</v>
      </c>
      <c r="AC199" s="28" t="s">
        <v>329</v>
      </c>
      <c r="AD199" s="2" t="str">
        <f t="shared" si="279"/>
        <v>_</v>
      </c>
      <c r="AE199" s="28" t="s">
        <v>75</v>
      </c>
      <c r="AF199" s="2" t="str">
        <f t="shared" si="272"/>
        <v/>
      </c>
      <c r="AH199" s="2" t="str">
        <f t="shared" si="270"/>
        <v/>
      </c>
    </row>
    <row r="200" spans="1:35" x14ac:dyDescent="0.25">
      <c r="B200" s="2" t="str">
        <f t="shared" si="277"/>
        <v>@line_width-canal_z20</v>
      </c>
      <c r="C200" s="28" t="s">
        <v>86</v>
      </c>
      <c r="D200" s="28" t="s">
        <v>87</v>
      </c>
      <c r="F200" s="28" t="s">
        <v>86</v>
      </c>
      <c r="G200" s="28" t="s">
        <v>87</v>
      </c>
      <c r="I200" s="28" t="s">
        <v>86</v>
      </c>
      <c r="J200" s="28" t="s">
        <v>87</v>
      </c>
      <c r="L200" s="28" t="s">
        <v>86</v>
      </c>
      <c r="M200" s="28" t="s">
        <v>87</v>
      </c>
      <c r="O200" s="28" t="s">
        <v>86</v>
      </c>
      <c r="P200" s="28" t="s">
        <v>87</v>
      </c>
      <c r="R200" s="28" t="s">
        <v>86</v>
      </c>
      <c r="S200" s="28" t="s">
        <v>87</v>
      </c>
      <c r="U200" s="28" t="s">
        <v>86</v>
      </c>
      <c r="V200" s="28" t="s">
        <v>87</v>
      </c>
      <c r="X200" s="28" t="s">
        <v>86</v>
      </c>
      <c r="Y200" s="28" t="s">
        <v>87</v>
      </c>
      <c r="AA200" s="2" t="s">
        <v>119</v>
      </c>
      <c r="AB200" s="2" t="str">
        <f t="shared" si="278"/>
        <v>-</v>
      </c>
      <c r="AC200" s="28" t="s">
        <v>329</v>
      </c>
      <c r="AD200" s="2" t="str">
        <f t="shared" si="279"/>
        <v>_</v>
      </c>
      <c r="AE200" s="28" t="s">
        <v>139</v>
      </c>
      <c r="AF200" s="2" t="str">
        <f t="shared" si="272"/>
        <v/>
      </c>
      <c r="AH200" s="2" t="str">
        <f t="shared" si="270"/>
        <v/>
      </c>
    </row>
    <row r="201" spans="1:35" x14ac:dyDescent="0.25">
      <c r="B201" s="2"/>
      <c r="AA201" s="2"/>
      <c r="AB201" s="2"/>
      <c r="AD201" s="2"/>
      <c r="AF201" s="2"/>
      <c r="AH201" s="2"/>
    </row>
    <row r="202" spans="1:35" x14ac:dyDescent="0.25">
      <c r="B202" s="2" t="str">
        <f t="shared" ref="B202:B203" si="280">_xlfn.CONCAT("@",AA202,AB202,AC202,AD202,AE202,AF202,AG202,AH202,AI202)</f>
        <v>@line_width-river_z10</v>
      </c>
      <c r="C202" s="28" t="s">
        <v>96</v>
      </c>
      <c r="D202" s="28" t="s">
        <v>97</v>
      </c>
      <c r="F202" s="28" t="s">
        <v>96</v>
      </c>
      <c r="G202" s="28" t="s">
        <v>97</v>
      </c>
      <c r="I202" s="28" t="s">
        <v>96</v>
      </c>
      <c r="J202" s="28" t="s">
        <v>97</v>
      </c>
      <c r="L202" s="28" t="s">
        <v>96</v>
      </c>
      <c r="M202" s="28" t="s">
        <v>97</v>
      </c>
      <c r="O202" s="28" t="s">
        <v>96</v>
      </c>
      <c r="P202" s="28" t="s">
        <v>97</v>
      </c>
      <c r="R202" s="28" t="s">
        <v>96</v>
      </c>
      <c r="S202" s="28" t="s">
        <v>97</v>
      </c>
      <c r="U202" s="28" t="s">
        <v>96</v>
      </c>
      <c r="V202" s="28" t="s">
        <v>97</v>
      </c>
      <c r="X202" s="28" t="s">
        <v>96</v>
      </c>
      <c r="Y202" s="28" t="s">
        <v>97</v>
      </c>
      <c r="AA202" s="2" t="s">
        <v>119</v>
      </c>
      <c r="AB202" s="2" t="str">
        <f t="shared" ref="AB202:AB203" si="281">IF(NOT(ISBLANK(AC202)),"-","")</f>
        <v>-</v>
      </c>
      <c r="AC202" s="28" t="s">
        <v>331</v>
      </c>
      <c r="AD202" s="2" t="str">
        <f t="shared" ref="AD202:AD203" si="282">IF(NOT(ISBLANK(AE202)),"_","")</f>
        <v>_</v>
      </c>
      <c r="AE202" s="28" t="s">
        <v>103</v>
      </c>
      <c r="AF202" s="2" t="str">
        <f t="shared" si="272"/>
        <v/>
      </c>
      <c r="AH202" s="2" t="str">
        <f t="shared" si="270"/>
        <v/>
      </c>
    </row>
    <row r="203" spans="1:35" x14ac:dyDescent="0.25">
      <c r="B203" s="2" t="str">
        <f t="shared" si="280"/>
        <v>@line_width-river_z20</v>
      </c>
      <c r="C203" s="28" t="s">
        <v>86</v>
      </c>
      <c r="D203" s="28" t="s">
        <v>332</v>
      </c>
      <c r="F203" s="28" t="s">
        <v>86</v>
      </c>
      <c r="G203" s="28" t="s">
        <v>332</v>
      </c>
      <c r="I203" s="28" t="s">
        <v>86</v>
      </c>
      <c r="J203" s="28" t="s">
        <v>332</v>
      </c>
      <c r="L203" s="28" t="s">
        <v>86</v>
      </c>
      <c r="M203" s="28" t="s">
        <v>332</v>
      </c>
      <c r="O203" s="28" t="s">
        <v>86</v>
      </c>
      <c r="P203" s="28" t="s">
        <v>332</v>
      </c>
      <c r="R203" s="28" t="s">
        <v>86</v>
      </c>
      <c r="S203" s="28" t="s">
        <v>332</v>
      </c>
      <c r="U203" s="28" t="s">
        <v>86</v>
      </c>
      <c r="V203" s="28" t="s">
        <v>332</v>
      </c>
      <c r="X203" s="28" t="s">
        <v>86</v>
      </c>
      <c r="Y203" s="28" t="s">
        <v>332</v>
      </c>
      <c r="AA203" s="2" t="s">
        <v>119</v>
      </c>
      <c r="AB203" s="2" t="str">
        <f t="shared" si="281"/>
        <v>-</v>
      </c>
      <c r="AC203" s="28" t="s">
        <v>331</v>
      </c>
      <c r="AD203" s="2" t="str">
        <f t="shared" si="282"/>
        <v>_</v>
      </c>
      <c r="AE203" s="28" t="s">
        <v>139</v>
      </c>
      <c r="AF203" s="2" t="str">
        <f t="shared" si="272"/>
        <v/>
      </c>
      <c r="AH203" s="2" t="str">
        <f t="shared" si="270"/>
        <v/>
      </c>
    </row>
    <row r="204" spans="1:35" x14ac:dyDescent="0.25">
      <c r="B204" s="2"/>
      <c r="AA204" s="2"/>
      <c r="AB204" s="2"/>
      <c r="AD204" s="2"/>
      <c r="AF204" s="2"/>
      <c r="AH204" s="2"/>
    </row>
    <row r="205" spans="1:35" x14ac:dyDescent="0.25">
      <c r="AA205" s="2"/>
    </row>
    <row r="206" spans="1:35" s="2" customFormat="1" x14ac:dyDescent="0.25">
      <c r="A206" s="3" t="s">
        <v>252</v>
      </c>
      <c r="B206" s="3"/>
      <c r="C206" s="27"/>
      <c r="D206" s="6"/>
      <c r="E206" s="7"/>
      <c r="F206" s="6"/>
      <c r="G206" s="6"/>
      <c r="H206" s="7"/>
      <c r="I206" s="6"/>
      <c r="J206" s="6"/>
      <c r="K206" s="7"/>
      <c r="L206" s="6"/>
      <c r="M206" s="6"/>
      <c r="N206" s="7"/>
      <c r="O206" s="6"/>
      <c r="P206" s="6"/>
      <c r="Q206" s="7"/>
      <c r="R206" s="6"/>
      <c r="S206" s="6"/>
      <c r="T206" s="7"/>
      <c r="U206" s="6"/>
      <c r="V206" s="6"/>
      <c r="W206" s="7"/>
      <c r="X206" s="6"/>
      <c r="Y206" s="6"/>
      <c r="AA206" s="4"/>
      <c r="AB206" s="4" t="str">
        <f t="shared" si="181"/>
        <v/>
      </c>
      <c r="AC206" s="4"/>
      <c r="AD206" s="4" t="str">
        <f t="shared" si="182"/>
        <v/>
      </c>
      <c r="AE206" s="4"/>
      <c r="AF206" s="4" t="str">
        <f t="shared" si="183"/>
        <v/>
      </c>
      <c r="AG206" s="4"/>
      <c r="AH206" s="4" t="str">
        <f t="shared" ref="AH206:AH253" si="283">IF(NOT(ISBLANK(AI206)),"_","")</f>
        <v/>
      </c>
      <c r="AI206" s="4"/>
    </row>
    <row r="207" spans="1:35" x14ac:dyDescent="0.25">
      <c r="B207" s="2" t="str">
        <f t="shared" ref="B207:B231" si="284">_xlfn.CONCAT("@",AA207,AB207,AC207,AD207,AE207,AF207,AG207,AH207,AI207)</f>
        <v>@color-background</v>
      </c>
      <c r="C207" s="92" t="s">
        <v>192</v>
      </c>
      <c r="D207" s="38" t="s">
        <v>222</v>
      </c>
      <c r="F207" s="72" t="s">
        <v>214</v>
      </c>
      <c r="G207" s="72" t="s">
        <v>214</v>
      </c>
      <c r="I207" s="92" t="s">
        <v>192</v>
      </c>
      <c r="J207" s="38" t="s">
        <v>222</v>
      </c>
      <c r="L207" s="72" t="s">
        <v>214</v>
      </c>
      <c r="M207" s="72" t="s">
        <v>214</v>
      </c>
      <c r="AA207" s="2" t="s">
        <v>6</v>
      </c>
      <c r="AB207" s="2" t="str">
        <f t="shared" si="181"/>
        <v>-</v>
      </c>
      <c r="AC207" s="2" t="s">
        <v>66</v>
      </c>
      <c r="AD207" s="2" t="str">
        <f t="shared" si="182"/>
        <v/>
      </c>
      <c r="AE207" s="2"/>
      <c r="AF207" s="2" t="str">
        <f t="shared" si="183"/>
        <v/>
      </c>
      <c r="AG207" s="2"/>
      <c r="AH207" s="2" t="str">
        <f t="shared" si="283"/>
        <v/>
      </c>
      <c r="AI207" s="2"/>
    </row>
    <row r="208" spans="1:35" x14ac:dyDescent="0.25">
      <c r="B208" s="2" t="str">
        <f t="shared" si="284"/>
        <v>@color-water</v>
      </c>
      <c r="C208" s="93" t="s">
        <v>193</v>
      </c>
      <c r="D208" s="94" t="s">
        <v>194</v>
      </c>
      <c r="F208" s="95" t="s">
        <v>235</v>
      </c>
      <c r="G208" s="95" t="s">
        <v>235</v>
      </c>
      <c r="I208" s="93" t="s">
        <v>193</v>
      </c>
      <c r="J208" s="94" t="s">
        <v>194</v>
      </c>
      <c r="L208" s="95" t="s">
        <v>235</v>
      </c>
      <c r="M208" s="95" t="s">
        <v>235</v>
      </c>
      <c r="AA208" s="2" t="s">
        <v>6</v>
      </c>
      <c r="AB208" s="2" t="str">
        <f t="shared" si="181"/>
        <v>-</v>
      </c>
      <c r="AC208" s="2" t="s">
        <v>14</v>
      </c>
      <c r="AD208" s="2" t="str">
        <f t="shared" si="182"/>
        <v/>
      </c>
      <c r="AE208" s="2"/>
      <c r="AF208" s="2" t="str">
        <f t="shared" si="183"/>
        <v/>
      </c>
      <c r="AG208" s="2"/>
      <c r="AH208" s="2" t="str">
        <f t="shared" si="283"/>
        <v/>
      </c>
      <c r="AI208" s="2"/>
    </row>
    <row r="209" spans="2:35" x14ac:dyDescent="0.25">
      <c r="B209" s="2" t="str">
        <f t="shared" si="284"/>
        <v>@color-landcover_field</v>
      </c>
      <c r="C209" s="96" t="s">
        <v>195</v>
      </c>
      <c r="D209" s="97" t="s">
        <v>196</v>
      </c>
      <c r="F209" s="98" t="s">
        <v>238</v>
      </c>
      <c r="G209" s="98" t="s">
        <v>238</v>
      </c>
      <c r="I209" s="174" t="s">
        <v>368</v>
      </c>
      <c r="J209" s="97" t="s">
        <v>196</v>
      </c>
      <c r="L209" s="98" t="s">
        <v>238</v>
      </c>
      <c r="M209" s="98" t="s">
        <v>238</v>
      </c>
      <c r="AA209" s="2" t="s">
        <v>6</v>
      </c>
      <c r="AB209" s="2" t="str">
        <f t="shared" si="181"/>
        <v>-</v>
      </c>
      <c r="AC209" s="2" t="s">
        <v>51</v>
      </c>
      <c r="AD209" s="2" t="str">
        <f t="shared" si="182"/>
        <v>_</v>
      </c>
      <c r="AE209" s="2" t="s">
        <v>46</v>
      </c>
      <c r="AF209" s="2" t="str">
        <f t="shared" si="183"/>
        <v/>
      </c>
      <c r="AG209" s="2"/>
      <c r="AH209" s="2" t="str">
        <f t="shared" si="283"/>
        <v/>
      </c>
      <c r="AI209" s="2"/>
    </row>
    <row r="210" spans="2:35" x14ac:dyDescent="0.25">
      <c r="B210" s="2" t="str">
        <f t="shared" si="284"/>
        <v>@color-landcover_meadow</v>
      </c>
      <c r="C210" s="99" t="s">
        <v>197</v>
      </c>
      <c r="D210" s="100" t="s">
        <v>198</v>
      </c>
      <c r="F210" s="101" t="s">
        <v>237</v>
      </c>
      <c r="G210" s="101" t="s">
        <v>237</v>
      </c>
      <c r="I210" s="175" t="s">
        <v>369</v>
      </c>
      <c r="J210" s="100" t="s">
        <v>198</v>
      </c>
      <c r="L210" s="101" t="s">
        <v>237</v>
      </c>
      <c r="M210" s="101" t="s">
        <v>237</v>
      </c>
      <c r="AA210" s="2" t="s">
        <v>6</v>
      </c>
      <c r="AB210" s="2" t="str">
        <f t="shared" si="181"/>
        <v>-</v>
      </c>
      <c r="AC210" s="2" t="s">
        <v>51</v>
      </c>
      <c r="AD210" s="2" t="str">
        <f t="shared" si="182"/>
        <v>_</v>
      </c>
      <c r="AE210" s="2" t="s">
        <v>47</v>
      </c>
      <c r="AF210" s="2" t="str">
        <f t="shared" si="183"/>
        <v/>
      </c>
      <c r="AG210" s="2"/>
      <c r="AH210" s="2" t="str">
        <f t="shared" si="283"/>
        <v/>
      </c>
      <c r="AI210" s="2"/>
    </row>
    <row r="211" spans="2:35" x14ac:dyDescent="0.25">
      <c r="B211" s="2" t="str">
        <f t="shared" si="284"/>
        <v>@color-landcover_bare_rock</v>
      </c>
      <c r="C211" s="102" t="s">
        <v>199</v>
      </c>
      <c r="D211" s="102" t="s">
        <v>199</v>
      </c>
      <c r="F211" s="103" t="s">
        <v>242</v>
      </c>
      <c r="G211" s="103" t="s">
        <v>242</v>
      </c>
      <c r="I211" s="102" t="s">
        <v>199</v>
      </c>
      <c r="J211" s="102" t="s">
        <v>199</v>
      </c>
      <c r="L211" s="103" t="s">
        <v>242</v>
      </c>
      <c r="M211" s="103" t="s">
        <v>242</v>
      </c>
      <c r="AA211" s="2" t="s">
        <v>6</v>
      </c>
      <c r="AB211" s="2" t="str">
        <f t="shared" si="181"/>
        <v>-</v>
      </c>
      <c r="AC211" s="2" t="s">
        <v>51</v>
      </c>
      <c r="AD211" s="2" t="str">
        <f t="shared" si="182"/>
        <v>_</v>
      </c>
      <c r="AE211" s="2" t="s">
        <v>48</v>
      </c>
      <c r="AF211" s="2" t="str">
        <f t="shared" si="183"/>
        <v/>
      </c>
      <c r="AG211" s="2"/>
      <c r="AH211" s="2" t="str">
        <f t="shared" si="283"/>
        <v/>
      </c>
      <c r="AI211" s="2"/>
    </row>
    <row r="212" spans="2:35" x14ac:dyDescent="0.25">
      <c r="B212" s="2" t="str">
        <f t="shared" si="284"/>
        <v>@color-landcover_sand</v>
      </c>
      <c r="C212" s="104" t="s">
        <v>200</v>
      </c>
      <c r="D212" s="38" t="s">
        <v>222</v>
      </c>
      <c r="F212" s="105" t="s">
        <v>243</v>
      </c>
      <c r="G212" s="72" t="s">
        <v>214</v>
      </c>
      <c r="I212" s="104" t="s">
        <v>200</v>
      </c>
      <c r="J212" s="38" t="s">
        <v>222</v>
      </c>
      <c r="L212" s="105" t="s">
        <v>243</v>
      </c>
      <c r="M212" s="72" t="s">
        <v>214</v>
      </c>
      <c r="AA212" s="2" t="s">
        <v>6</v>
      </c>
      <c r="AB212" s="2" t="str">
        <f t="shared" si="181"/>
        <v>-</v>
      </c>
      <c r="AC212" s="2" t="s">
        <v>51</v>
      </c>
      <c r="AD212" s="2" t="str">
        <f t="shared" si="182"/>
        <v>_</v>
      </c>
      <c r="AE212" s="2" t="s">
        <v>49</v>
      </c>
      <c r="AF212" s="2" t="str">
        <f t="shared" si="183"/>
        <v/>
      </c>
      <c r="AG212" s="2"/>
      <c r="AH212" s="2" t="str">
        <f t="shared" si="283"/>
        <v/>
      </c>
      <c r="AI212" s="2"/>
    </row>
    <row r="213" spans="2:35" x14ac:dyDescent="0.25">
      <c r="B213" s="2" t="str">
        <f t="shared" si="284"/>
        <v>@color-landcover_allotments</v>
      </c>
      <c r="C213" s="106" t="s">
        <v>201</v>
      </c>
      <c r="D213" s="106" t="s">
        <v>201</v>
      </c>
      <c r="F213" s="107" t="s">
        <v>244</v>
      </c>
      <c r="G213" s="107" t="s">
        <v>244</v>
      </c>
      <c r="I213" s="106" t="s">
        <v>201</v>
      </c>
      <c r="J213" s="106" t="s">
        <v>201</v>
      </c>
      <c r="L213" s="107" t="s">
        <v>244</v>
      </c>
      <c r="M213" s="107" t="s">
        <v>244</v>
      </c>
      <c r="AA213" s="2" t="s">
        <v>6</v>
      </c>
      <c r="AB213" s="2" t="str">
        <f t="shared" si="181"/>
        <v>-</v>
      </c>
      <c r="AC213" s="2" t="s">
        <v>51</v>
      </c>
      <c r="AD213" s="2" t="str">
        <f t="shared" si="182"/>
        <v>_</v>
      </c>
      <c r="AE213" s="2" t="s">
        <v>50</v>
      </c>
      <c r="AF213" s="2" t="str">
        <f t="shared" si="183"/>
        <v/>
      </c>
      <c r="AG213" s="2"/>
      <c r="AH213" s="2" t="str">
        <f t="shared" si="283"/>
        <v/>
      </c>
      <c r="AI213" s="2"/>
    </row>
    <row r="214" spans="2:35" x14ac:dyDescent="0.25">
      <c r="B214" s="2" t="str">
        <f t="shared" si="284"/>
        <v>@color-landcover_heath_fell</v>
      </c>
      <c r="C214" s="108" t="s">
        <v>202</v>
      </c>
      <c r="D214" s="38" t="s">
        <v>222</v>
      </c>
      <c r="F214" s="109" t="s">
        <v>245</v>
      </c>
      <c r="G214" s="72" t="s">
        <v>214</v>
      </c>
      <c r="I214" s="108" t="s">
        <v>202</v>
      </c>
      <c r="J214" s="38" t="s">
        <v>222</v>
      </c>
      <c r="L214" s="109" t="s">
        <v>245</v>
      </c>
      <c r="M214" s="72" t="s">
        <v>214</v>
      </c>
      <c r="AA214" s="2" t="s">
        <v>6</v>
      </c>
      <c r="AB214" s="2" t="str">
        <f t="shared" si="181"/>
        <v>-</v>
      </c>
      <c r="AC214" s="2" t="s">
        <v>51</v>
      </c>
      <c r="AD214" s="2" t="str">
        <f t="shared" si="182"/>
        <v>_</v>
      </c>
      <c r="AE214" s="2" t="s">
        <v>52</v>
      </c>
      <c r="AF214" s="2" t="str">
        <f t="shared" si="183"/>
        <v/>
      </c>
      <c r="AG214" s="2"/>
      <c r="AH214" s="2" t="str">
        <f t="shared" si="283"/>
        <v/>
      </c>
      <c r="AI214" s="2"/>
    </row>
    <row r="215" spans="2:35" x14ac:dyDescent="0.25">
      <c r="B215" s="2" t="str">
        <f t="shared" si="284"/>
        <v>@color-landcover_grass</v>
      </c>
      <c r="C215" s="110" t="s">
        <v>203</v>
      </c>
      <c r="D215" s="38" t="s">
        <v>222</v>
      </c>
      <c r="F215" s="111" t="s">
        <v>275</v>
      </c>
      <c r="G215" s="72" t="s">
        <v>214</v>
      </c>
      <c r="I215" s="110" t="s">
        <v>203</v>
      </c>
      <c r="J215" s="38" t="s">
        <v>222</v>
      </c>
      <c r="L215" s="111" t="s">
        <v>275</v>
      </c>
      <c r="M215" s="72" t="s">
        <v>214</v>
      </c>
      <c r="AA215" s="2" t="s">
        <v>6</v>
      </c>
      <c r="AB215" s="2" t="str">
        <f t="shared" si="181"/>
        <v>-</v>
      </c>
      <c r="AC215" s="2" t="s">
        <v>51</v>
      </c>
      <c r="AD215" s="2" t="str">
        <f t="shared" si="182"/>
        <v>_</v>
      </c>
      <c r="AE215" s="2" t="s">
        <v>53</v>
      </c>
      <c r="AF215" s="2" t="str">
        <f t="shared" si="183"/>
        <v/>
      </c>
      <c r="AG215" s="2"/>
      <c r="AH215" s="2" t="str">
        <f t="shared" si="283"/>
        <v/>
      </c>
      <c r="AI215" s="2"/>
    </row>
    <row r="216" spans="2:35" x14ac:dyDescent="0.25">
      <c r="B216" s="2" t="str">
        <f t="shared" si="284"/>
        <v>@color-landcover_quarry</v>
      </c>
      <c r="C216" s="112" t="s">
        <v>204</v>
      </c>
      <c r="D216" s="112" t="s">
        <v>204</v>
      </c>
      <c r="F216" s="113" t="s">
        <v>246</v>
      </c>
      <c r="G216" s="113" t="s">
        <v>246</v>
      </c>
      <c r="I216" s="112" t="s">
        <v>204</v>
      </c>
      <c r="J216" s="112" t="s">
        <v>204</v>
      </c>
      <c r="L216" s="113" t="s">
        <v>246</v>
      </c>
      <c r="M216" s="113" t="s">
        <v>246</v>
      </c>
      <c r="AA216" s="2" t="s">
        <v>6</v>
      </c>
      <c r="AB216" s="2" t="str">
        <f t="shared" si="181"/>
        <v>-</v>
      </c>
      <c r="AC216" s="2" t="s">
        <v>51</v>
      </c>
      <c r="AD216" s="2" t="str">
        <f t="shared" si="182"/>
        <v>_</v>
      </c>
      <c r="AE216" s="2" t="s">
        <v>54</v>
      </c>
      <c r="AF216" s="2" t="str">
        <f t="shared" si="183"/>
        <v/>
      </c>
      <c r="AG216" s="2"/>
      <c r="AH216" s="2" t="str">
        <f t="shared" si="283"/>
        <v/>
      </c>
      <c r="AI216" s="2"/>
    </row>
    <row r="217" spans="2:35" x14ac:dyDescent="0.25">
      <c r="B217" s="2" t="str">
        <f t="shared" si="284"/>
        <v>@color-landcover_storage</v>
      </c>
      <c r="C217" s="114" t="s">
        <v>205</v>
      </c>
      <c r="D217" s="114" t="s">
        <v>205</v>
      </c>
      <c r="F217" s="115" t="s">
        <v>260</v>
      </c>
      <c r="G217" s="115" t="s">
        <v>260</v>
      </c>
      <c r="I217" s="114" t="s">
        <v>205</v>
      </c>
      <c r="J217" s="114" t="s">
        <v>205</v>
      </c>
      <c r="L217" s="115" t="s">
        <v>260</v>
      </c>
      <c r="M217" s="115" t="s">
        <v>260</v>
      </c>
      <c r="AA217" s="2" t="s">
        <v>6</v>
      </c>
      <c r="AB217" s="2" t="str">
        <f t="shared" si="181"/>
        <v>-</v>
      </c>
      <c r="AC217" s="2" t="s">
        <v>51</v>
      </c>
      <c r="AD217" s="2" t="str">
        <f t="shared" si="182"/>
        <v>_</v>
      </c>
      <c r="AE217" s="2" t="s">
        <v>55</v>
      </c>
      <c r="AF217" s="2" t="str">
        <f t="shared" si="183"/>
        <v/>
      </c>
      <c r="AG217" s="2"/>
      <c r="AH217" s="2" t="str">
        <f t="shared" si="283"/>
        <v/>
      </c>
      <c r="AI217" s="2"/>
    </row>
    <row r="218" spans="2:35" x14ac:dyDescent="0.25">
      <c r="B218" s="2" t="str">
        <f t="shared" si="284"/>
        <v>@color-landcover_wood</v>
      </c>
      <c r="C218" s="116" t="s">
        <v>206</v>
      </c>
      <c r="D218" s="116" t="s">
        <v>206</v>
      </c>
      <c r="F218" s="117" t="s">
        <v>236</v>
      </c>
      <c r="G218" s="117" t="s">
        <v>236</v>
      </c>
      <c r="I218" s="116" t="s">
        <v>206</v>
      </c>
      <c r="J218" s="116" t="s">
        <v>206</v>
      </c>
      <c r="L218" s="117" t="s">
        <v>236</v>
      </c>
      <c r="M218" s="117" t="s">
        <v>236</v>
      </c>
      <c r="AA218" s="2" t="s">
        <v>6</v>
      </c>
      <c r="AB218" s="2" t="str">
        <f t="shared" si="181"/>
        <v>-</v>
      </c>
      <c r="AC218" s="2" t="s">
        <v>51</v>
      </c>
      <c r="AD218" s="2" t="str">
        <f t="shared" si="182"/>
        <v>_</v>
      </c>
      <c r="AE218" s="2" t="s">
        <v>56</v>
      </c>
      <c r="AF218" s="2" t="str">
        <f t="shared" si="183"/>
        <v/>
      </c>
      <c r="AG218" s="2"/>
      <c r="AH218" s="2" t="str">
        <f t="shared" si="283"/>
        <v/>
      </c>
      <c r="AI218" s="2"/>
    </row>
    <row r="219" spans="2:35" x14ac:dyDescent="0.25">
      <c r="B219" s="2" t="str">
        <f t="shared" si="284"/>
        <v>@color-landcover_parking_area</v>
      </c>
      <c r="C219" s="118" t="s">
        <v>207</v>
      </c>
      <c r="D219" s="118" t="s">
        <v>207</v>
      </c>
      <c r="F219" s="119" t="s">
        <v>247</v>
      </c>
      <c r="G219" s="119" t="s">
        <v>247</v>
      </c>
      <c r="I219" s="118" t="s">
        <v>207</v>
      </c>
      <c r="J219" s="118" t="s">
        <v>207</v>
      </c>
      <c r="L219" s="119" t="s">
        <v>247</v>
      </c>
      <c r="M219" s="119" t="s">
        <v>247</v>
      </c>
      <c r="AA219" s="2" t="s">
        <v>6</v>
      </c>
      <c r="AB219" s="2" t="str">
        <f t="shared" si="181"/>
        <v>-</v>
      </c>
      <c r="AC219" s="2" t="s">
        <v>51</v>
      </c>
      <c r="AD219" s="2" t="str">
        <f t="shared" si="182"/>
        <v>_</v>
      </c>
      <c r="AE219" s="2" t="s">
        <v>57</v>
      </c>
      <c r="AF219" s="2" t="str">
        <f t="shared" si="183"/>
        <v/>
      </c>
      <c r="AG219" s="2"/>
      <c r="AH219" s="2" t="str">
        <f t="shared" si="283"/>
        <v/>
      </c>
      <c r="AI219" s="2"/>
    </row>
    <row r="220" spans="2:35" x14ac:dyDescent="0.25">
      <c r="B220" s="2" t="str">
        <f t="shared" si="284"/>
        <v>@color-landcover_railway</v>
      </c>
      <c r="C220" s="120" t="s">
        <v>208</v>
      </c>
      <c r="D220" s="120" t="s">
        <v>208</v>
      </c>
      <c r="F220" s="121" t="s">
        <v>248</v>
      </c>
      <c r="G220" s="121" t="s">
        <v>248</v>
      </c>
      <c r="I220" s="120" t="s">
        <v>208</v>
      </c>
      <c r="J220" s="120" t="s">
        <v>208</v>
      </c>
      <c r="L220" s="121" t="s">
        <v>248</v>
      </c>
      <c r="M220" s="121" t="s">
        <v>248</v>
      </c>
      <c r="AA220" s="2" t="s">
        <v>6</v>
      </c>
      <c r="AB220" s="2" t="str">
        <f t="shared" si="181"/>
        <v>-</v>
      </c>
      <c r="AC220" s="2" t="s">
        <v>51</v>
      </c>
      <c r="AD220" s="2" t="str">
        <f t="shared" si="182"/>
        <v>_</v>
      </c>
      <c r="AE220" s="2" t="s">
        <v>58</v>
      </c>
      <c r="AF220" s="2" t="str">
        <f t="shared" si="183"/>
        <v/>
      </c>
      <c r="AG220" s="2"/>
      <c r="AH220" s="2" t="str">
        <f t="shared" si="283"/>
        <v/>
      </c>
      <c r="AI220" s="2"/>
    </row>
    <row r="221" spans="2:35" x14ac:dyDescent="0.25">
      <c r="B221" s="2" t="str">
        <f t="shared" si="284"/>
        <v>@color-landcover_school</v>
      </c>
      <c r="C221" s="122" t="s">
        <v>210</v>
      </c>
      <c r="D221" s="122" t="s">
        <v>210</v>
      </c>
      <c r="F221" s="115" t="s">
        <v>260</v>
      </c>
      <c r="G221" s="115" t="s">
        <v>260</v>
      </c>
      <c r="I221" s="122" t="s">
        <v>210</v>
      </c>
      <c r="J221" s="122" t="s">
        <v>210</v>
      </c>
      <c r="L221" s="115" t="s">
        <v>260</v>
      </c>
      <c r="M221" s="115" t="s">
        <v>260</v>
      </c>
      <c r="AA221" s="2" t="s">
        <v>6</v>
      </c>
      <c r="AB221" s="2" t="str">
        <f t="shared" si="181"/>
        <v>-</v>
      </c>
      <c r="AC221" s="2" t="s">
        <v>51</v>
      </c>
      <c r="AD221" s="2" t="str">
        <f t="shared" si="182"/>
        <v>_</v>
      </c>
      <c r="AE221" s="2" t="s">
        <v>59</v>
      </c>
      <c r="AF221" s="2" t="str">
        <f t="shared" si="183"/>
        <v/>
      </c>
      <c r="AG221" s="2"/>
      <c r="AH221" s="2" t="str">
        <f t="shared" si="283"/>
        <v/>
      </c>
      <c r="AI221" s="2"/>
    </row>
    <row r="222" spans="2:35" x14ac:dyDescent="0.25">
      <c r="B222" s="2" t="str">
        <f t="shared" si="284"/>
        <v>@color-landcover_cemetery</v>
      </c>
      <c r="C222" s="123" t="s">
        <v>209</v>
      </c>
      <c r="D222" s="123" t="s">
        <v>209</v>
      </c>
      <c r="F222" s="124" t="s">
        <v>249</v>
      </c>
      <c r="G222" s="124" t="s">
        <v>249</v>
      </c>
      <c r="I222" s="123" t="s">
        <v>209</v>
      </c>
      <c r="J222" s="123" t="s">
        <v>209</v>
      </c>
      <c r="L222" s="124" t="s">
        <v>249</v>
      </c>
      <c r="M222" s="124" t="s">
        <v>249</v>
      </c>
      <c r="AA222" s="2" t="s">
        <v>6</v>
      </c>
      <c r="AB222" s="2" t="str">
        <f t="shared" si="181"/>
        <v>-</v>
      </c>
      <c r="AC222" s="2" t="s">
        <v>51</v>
      </c>
      <c r="AD222" s="2" t="str">
        <f t="shared" si="182"/>
        <v>_</v>
      </c>
      <c r="AE222" s="2" t="s">
        <v>61</v>
      </c>
      <c r="AF222" s="2" t="str">
        <f t="shared" si="183"/>
        <v/>
      </c>
      <c r="AG222" s="2"/>
      <c r="AH222" s="2" t="str">
        <f t="shared" si="283"/>
        <v/>
      </c>
      <c r="AI222" s="2"/>
    </row>
    <row r="223" spans="2:35" x14ac:dyDescent="0.25">
      <c r="B223" s="2" t="str">
        <f t="shared" si="284"/>
        <v>@color-landcover_hospital</v>
      </c>
      <c r="C223" s="122" t="s">
        <v>210</v>
      </c>
      <c r="D223" s="122" t="s">
        <v>210</v>
      </c>
      <c r="F223" s="115" t="s">
        <v>260</v>
      </c>
      <c r="G223" s="115" t="s">
        <v>260</v>
      </c>
      <c r="I223" s="122" t="s">
        <v>210</v>
      </c>
      <c r="J223" s="122" t="s">
        <v>210</v>
      </c>
      <c r="L223" s="115" t="s">
        <v>260</v>
      </c>
      <c r="M223" s="115" t="s">
        <v>260</v>
      </c>
      <c r="AA223" s="2" t="s">
        <v>6</v>
      </c>
      <c r="AB223" s="2" t="str">
        <f t="shared" si="181"/>
        <v>-</v>
      </c>
      <c r="AC223" s="2" t="s">
        <v>51</v>
      </c>
      <c r="AD223" s="2" t="str">
        <f t="shared" si="182"/>
        <v>_</v>
      </c>
      <c r="AE223" s="2" t="s">
        <v>60</v>
      </c>
      <c r="AF223" s="2" t="str">
        <f t="shared" si="183"/>
        <v/>
      </c>
      <c r="AG223" s="2"/>
      <c r="AH223" s="2" t="str">
        <f t="shared" si="283"/>
        <v/>
      </c>
      <c r="AI223" s="2"/>
    </row>
    <row r="224" spans="2:35" x14ac:dyDescent="0.25">
      <c r="B224" s="2" t="str">
        <f t="shared" si="284"/>
        <v>@color-landcover_industrial</v>
      </c>
      <c r="C224" s="122" t="s">
        <v>210</v>
      </c>
      <c r="D224" s="122" t="s">
        <v>210</v>
      </c>
      <c r="F224" s="115" t="s">
        <v>260</v>
      </c>
      <c r="G224" s="115" t="s">
        <v>260</v>
      </c>
      <c r="I224" s="122" t="s">
        <v>210</v>
      </c>
      <c r="J224" s="122" t="s">
        <v>210</v>
      </c>
      <c r="L224" s="115" t="s">
        <v>260</v>
      </c>
      <c r="M224" s="115" t="s">
        <v>260</v>
      </c>
      <c r="AA224" s="2" t="s">
        <v>6</v>
      </c>
      <c r="AB224" s="2" t="str">
        <f t="shared" si="181"/>
        <v>-</v>
      </c>
      <c r="AC224" s="2" t="s">
        <v>51</v>
      </c>
      <c r="AD224" s="2" t="str">
        <f t="shared" si="182"/>
        <v>_</v>
      </c>
      <c r="AE224" s="2" t="s">
        <v>62</v>
      </c>
      <c r="AF224" s="2" t="str">
        <f t="shared" si="183"/>
        <v/>
      </c>
      <c r="AG224" s="2"/>
      <c r="AH224" s="2" t="str">
        <f t="shared" si="283"/>
        <v/>
      </c>
      <c r="AI224" s="2"/>
    </row>
    <row r="225" spans="1:35" x14ac:dyDescent="0.25">
      <c r="B225" s="2" t="str">
        <f t="shared" si="284"/>
        <v>@color-landcover_commercial</v>
      </c>
      <c r="C225" s="122" t="s">
        <v>210</v>
      </c>
      <c r="D225" s="122" t="s">
        <v>210</v>
      </c>
      <c r="F225" s="115" t="s">
        <v>260</v>
      </c>
      <c r="G225" s="115" t="s">
        <v>260</v>
      </c>
      <c r="I225" s="122" t="s">
        <v>210</v>
      </c>
      <c r="J225" s="122" t="s">
        <v>210</v>
      </c>
      <c r="L225" s="115" t="s">
        <v>260</v>
      </c>
      <c r="M225" s="115" t="s">
        <v>260</v>
      </c>
      <c r="AA225" s="2" t="s">
        <v>6</v>
      </c>
      <c r="AB225" s="2" t="str">
        <f t="shared" si="181"/>
        <v>-</v>
      </c>
      <c r="AC225" s="2" t="s">
        <v>51</v>
      </c>
      <c r="AD225" s="2" t="str">
        <f t="shared" si="182"/>
        <v>_</v>
      </c>
      <c r="AE225" s="2" t="s">
        <v>63</v>
      </c>
      <c r="AF225" s="2" t="str">
        <f t="shared" si="183"/>
        <v/>
      </c>
      <c r="AG225" s="2"/>
      <c r="AH225" s="2" t="str">
        <f t="shared" si="283"/>
        <v/>
      </c>
      <c r="AI225" s="2"/>
    </row>
    <row r="226" spans="1:35" x14ac:dyDescent="0.25">
      <c r="B226" s="2" t="str">
        <f t="shared" si="284"/>
        <v>@color-landcover_residential</v>
      </c>
      <c r="C226" s="122" t="s">
        <v>210</v>
      </c>
      <c r="D226" s="122" t="s">
        <v>210</v>
      </c>
      <c r="F226" s="115" t="s">
        <v>260</v>
      </c>
      <c r="G226" s="115" t="s">
        <v>260</v>
      </c>
      <c r="I226" s="122" t="s">
        <v>210</v>
      </c>
      <c r="J226" s="122" t="s">
        <v>210</v>
      </c>
      <c r="L226" s="115" t="s">
        <v>260</v>
      </c>
      <c r="M226" s="115" t="s">
        <v>260</v>
      </c>
      <c r="AA226" s="2" t="s">
        <v>6</v>
      </c>
      <c r="AB226" s="2" t="str">
        <f t="shared" si="181"/>
        <v>-</v>
      </c>
      <c r="AC226" s="2" t="s">
        <v>51</v>
      </c>
      <c r="AD226" s="2" t="str">
        <f t="shared" si="182"/>
        <v>_</v>
      </c>
      <c r="AE226" s="2" t="s">
        <v>64</v>
      </c>
      <c r="AF226" s="2" t="str">
        <f t="shared" si="183"/>
        <v/>
      </c>
      <c r="AG226" s="2"/>
      <c r="AH226" s="2" t="str">
        <f t="shared" si="283"/>
        <v/>
      </c>
      <c r="AI226" s="2"/>
    </row>
    <row r="227" spans="1:35" x14ac:dyDescent="0.25">
      <c r="B227" s="2" t="str">
        <f t="shared" si="284"/>
        <v>@color-landcover_built-up</v>
      </c>
      <c r="C227" s="122" t="s">
        <v>210</v>
      </c>
      <c r="D227" s="122" t="s">
        <v>210</v>
      </c>
      <c r="F227" s="115" t="s">
        <v>260</v>
      </c>
      <c r="G227" s="115" t="s">
        <v>260</v>
      </c>
      <c r="I227" s="122" t="s">
        <v>210</v>
      </c>
      <c r="J227" s="122" t="s">
        <v>210</v>
      </c>
      <c r="L227" s="115" t="s">
        <v>260</v>
      </c>
      <c r="M227" s="115" t="s">
        <v>260</v>
      </c>
      <c r="AA227" s="2" t="s">
        <v>6</v>
      </c>
      <c r="AB227" s="2" t="str">
        <f t="shared" si="181"/>
        <v>-</v>
      </c>
      <c r="AC227" s="2" t="s">
        <v>51</v>
      </c>
      <c r="AD227" s="2" t="str">
        <f t="shared" si="182"/>
        <v>_</v>
      </c>
      <c r="AE227" s="2" t="s">
        <v>65</v>
      </c>
      <c r="AF227" s="2" t="str">
        <f t="shared" si="183"/>
        <v/>
      </c>
      <c r="AG227" s="2"/>
      <c r="AH227" s="2" t="str">
        <f t="shared" si="283"/>
        <v/>
      </c>
      <c r="AI227" s="2"/>
    </row>
    <row r="228" spans="1:35" x14ac:dyDescent="0.25">
      <c r="B228" s="2" t="str">
        <f t="shared" si="284"/>
        <v>@color-landcover_ice_shelf</v>
      </c>
      <c r="C228" s="92" t="s">
        <v>192</v>
      </c>
      <c r="D228" s="92" t="s">
        <v>192</v>
      </c>
      <c r="F228" s="125" t="s">
        <v>250</v>
      </c>
      <c r="G228" s="125" t="s">
        <v>250</v>
      </c>
      <c r="I228" s="92" t="s">
        <v>192</v>
      </c>
      <c r="J228" s="92" t="s">
        <v>192</v>
      </c>
      <c r="L228" s="125" t="s">
        <v>250</v>
      </c>
      <c r="M228" s="125" t="s">
        <v>250</v>
      </c>
      <c r="AA228" s="2" t="s">
        <v>6</v>
      </c>
      <c r="AB228" s="2" t="str">
        <f t="shared" ref="AB228:AB238" si="285">IF(NOT(ISBLANK(AC228)),"-","")</f>
        <v>-</v>
      </c>
      <c r="AC228" s="2" t="s">
        <v>51</v>
      </c>
      <c r="AD228" s="2" t="str">
        <f t="shared" ref="AD228:AD238" si="286">IF(NOT(ISBLANK(AE228)),"_","")</f>
        <v>_</v>
      </c>
      <c r="AE228" s="2" t="s">
        <v>239</v>
      </c>
      <c r="AF228" s="2" t="str">
        <f t="shared" ref="AF228:AF238" si="287">IF(NOT(ISBLANK(AG228)),"_","")</f>
        <v/>
      </c>
      <c r="AG228" s="2"/>
      <c r="AH228" s="2" t="str">
        <f t="shared" si="283"/>
        <v/>
      </c>
      <c r="AI228" s="2"/>
    </row>
    <row r="229" spans="1:35" x14ac:dyDescent="0.25">
      <c r="B229" s="2" t="str">
        <f t="shared" si="284"/>
        <v>@color-landcover_glacier</v>
      </c>
      <c r="C229" s="92" t="s">
        <v>192</v>
      </c>
      <c r="D229" s="92" t="s">
        <v>192</v>
      </c>
      <c r="F229" s="125" t="s">
        <v>250</v>
      </c>
      <c r="G229" s="125" t="s">
        <v>250</v>
      </c>
      <c r="I229" s="92" t="s">
        <v>192</v>
      </c>
      <c r="J229" s="92" t="s">
        <v>192</v>
      </c>
      <c r="L229" s="125" t="s">
        <v>250</v>
      </c>
      <c r="M229" s="125" t="s">
        <v>250</v>
      </c>
      <c r="AA229" s="2" t="s">
        <v>6</v>
      </c>
      <c r="AB229" s="2" t="str">
        <f t="shared" ref="AB229" si="288">IF(NOT(ISBLANK(AC229)),"-","")</f>
        <v>-</v>
      </c>
      <c r="AC229" s="2" t="s">
        <v>51</v>
      </c>
      <c r="AD229" s="2" t="str">
        <f t="shared" ref="AD229" si="289">IF(NOT(ISBLANK(AE229)),"_","")</f>
        <v>_</v>
      </c>
      <c r="AE229" s="2" t="s">
        <v>263</v>
      </c>
      <c r="AF229" s="2" t="str">
        <f t="shared" ref="AF229" si="290">IF(NOT(ISBLANK(AG229)),"_","")</f>
        <v/>
      </c>
      <c r="AG229" s="2"/>
      <c r="AH229" s="2" t="str">
        <f t="shared" si="283"/>
        <v/>
      </c>
      <c r="AI229" s="2"/>
    </row>
    <row r="230" spans="1:35" x14ac:dyDescent="0.25">
      <c r="B230" s="2" t="str">
        <f t="shared" si="284"/>
        <v>@color-landcover_sport_play</v>
      </c>
      <c r="C230" s="126" t="s">
        <v>241</v>
      </c>
      <c r="D230" s="126" t="s">
        <v>241</v>
      </c>
      <c r="F230" s="127" t="s">
        <v>251</v>
      </c>
      <c r="G230" s="127" t="s">
        <v>251</v>
      </c>
      <c r="I230" s="126" t="s">
        <v>241</v>
      </c>
      <c r="J230" s="126" t="s">
        <v>241</v>
      </c>
      <c r="L230" s="127" t="s">
        <v>251</v>
      </c>
      <c r="M230" s="127" t="s">
        <v>251</v>
      </c>
      <c r="AA230" s="2" t="s">
        <v>6</v>
      </c>
      <c r="AB230" s="2" t="str">
        <f t="shared" si="285"/>
        <v>-</v>
      </c>
      <c r="AC230" s="2" t="s">
        <v>51</v>
      </c>
      <c r="AD230" s="2" t="str">
        <f t="shared" si="286"/>
        <v>_</v>
      </c>
      <c r="AE230" s="2" t="s">
        <v>240</v>
      </c>
      <c r="AF230" s="2" t="str">
        <f t="shared" si="287"/>
        <v/>
      </c>
      <c r="AG230" s="2"/>
      <c r="AH230" s="2" t="str">
        <f t="shared" si="283"/>
        <v/>
      </c>
      <c r="AI230" s="2"/>
    </row>
    <row r="231" spans="1:35" x14ac:dyDescent="0.25">
      <c r="B231" s="2" t="str">
        <f t="shared" si="284"/>
        <v>@color-landcover_line_generic</v>
      </c>
      <c r="C231" s="128" t="s">
        <v>261</v>
      </c>
      <c r="D231" s="128" t="s">
        <v>261</v>
      </c>
      <c r="F231" s="115" t="s">
        <v>260</v>
      </c>
      <c r="G231" s="115" t="s">
        <v>260</v>
      </c>
      <c r="I231" s="128" t="s">
        <v>261</v>
      </c>
      <c r="J231" s="128" t="s">
        <v>261</v>
      </c>
      <c r="L231" s="115" t="s">
        <v>260</v>
      </c>
      <c r="M231" s="115" t="s">
        <v>260</v>
      </c>
      <c r="AA231" s="2" t="s">
        <v>6</v>
      </c>
      <c r="AB231" s="2" t="str">
        <f t="shared" si="285"/>
        <v>-</v>
      </c>
      <c r="AC231" s="2" t="s">
        <v>51</v>
      </c>
      <c r="AD231" s="2" t="str">
        <f t="shared" si="286"/>
        <v>_</v>
      </c>
      <c r="AE231" s="2" t="s">
        <v>13</v>
      </c>
      <c r="AF231" s="2" t="str">
        <f t="shared" si="287"/>
        <v>_</v>
      </c>
      <c r="AG231" s="2" t="s">
        <v>255</v>
      </c>
      <c r="AH231" s="2" t="str">
        <f t="shared" si="283"/>
        <v/>
      </c>
      <c r="AI231" s="2"/>
    </row>
    <row r="232" spans="1:35" x14ac:dyDescent="0.25">
      <c r="AB232" s="28" t="str">
        <f t="shared" si="285"/>
        <v/>
      </c>
      <c r="AD232" s="28" t="str">
        <f t="shared" si="286"/>
        <v/>
      </c>
      <c r="AF232" s="28" t="str">
        <f t="shared" si="287"/>
        <v/>
      </c>
      <c r="AH232" s="28" t="str">
        <f t="shared" ref="AH232:AH238" si="291">IF(NOT(ISBLANK(AI232)),"_","")</f>
        <v/>
      </c>
    </row>
    <row r="233" spans="1:35" s="2" customFormat="1" x14ac:dyDescent="0.25">
      <c r="A233" s="3" t="s">
        <v>371</v>
      </c>
      <c r="B233" s="3"/>
      <c r="C233" s="27"/>
      <c r="D233" s="6"/>
      <c r="E233" s="7"/>
      <c r="F233" s="6"/>
      <c r="G233" s="6"/>
      <c r="H233" s="7"/>
      <c r="I233" s="6"/>
      <c r="J233" s="6"/>
      <c r="K233" s="7"/>
      <c r="L233" s="6"/>
      <c r="M233" s="6"/>
      <c r="N233" s="7"/>
      <c r="O233" s="6"/>
      <c r="P233" s="6"/>
      <c r="Q233" s="7"/>
      <c r="R233" s="6"/>
      <c r="S233" s="6"/>
      <c r="T233" s="7"/>
      <c r="U233" s="6"/>
      <c r="V233" s="6"/>
      <c r="W233" s="7"/>
      <c r="X233" s="6"/>
      <c r="Y233" s="6"/>
      <c r="AA233" s="4"/>
      <c r="AB233" s="4" t="str">
        <f t="shared" si="285"/>
        <v/>
      </c>
      <c r="AC233" s="4"/>
      <c r="AD233" s="4" t="str">
        <f t="shared" si="286"/>
        <v/>
      </c>
      <c r="AE233" s="4"/>
      <c r="AF233" s="4" t="str">
        <f t="shared" si="287"/>
        <v/>
      </c>
      <c r="AG233" s="4"/>
      <c r="AH233" s="4" t="str">
        <f t="shared" si="291"/>
        <v/>
      </c>
      <c r="AI233" s="4"/>
    </row>
    <row r="234" spans="1:35" x14ac:dyDescent="0.25">
      <c r="B234" s="2" t="str">
        <f t="shared" ref="B234:B237" si="292">_xlfn.CONCAT("@",AA234,AB234,AC234,AD234,AE234,AF234,AG234,AH234,AI234)</f>
        <v>@fill-opacity-landcover_clearcut_mid</v>
      </c>
      <c r="C234" s="28" t="s">
        <v>95</v>
      </c>
      <c r="D234" s="28" t="s">
        <v>95</v>
      </c>
      <c r="F234" s="28" t="s">
        <v>95</v>
      </c>
      <c r="G234" s="28" t="s">
        <v>95</v>
      </c>
      <c r="I234" s="28" t="s">
        <v>376</v>
      </c>
      <c r="J234" s="28" t="s">
        <v>376</v>
      </c>
      <c r="L234" s="28" t="s">
        <v>376</v>
      </c>
      <c r="M234" s="28" t="s">
        <v>376</v>
      </c>
      <c r="O234" s="28" t="s">
        <v>377</v>
      </c>
      <c r="P234" s="28" t="s">
        <v>377</v>
      </c>
      <c r="R234" s="28" t="s">
        <v>377</v>
      </c>
      <c r="S234" s="28" t="s">
        <v>377</v>
      </c>
      <c r="U234" s="28" t="s">
        <v>377</v>
      </c>
      <c r="V234" s="28" t="s">
        <v>377</v>
      </c>
      <c r="X234" s="28" t="s">
        <v>377</v>
      </c>
      <c r="Y234" s="28" t="s">
        <v>377</v>
      </c>
      <c r="AA234" s="28" t="s">
        <v>372</v>
      </c>
      <c r="AB234" s="28" t="str">
        <f t="shared" ref="AB234:AB237" si="293">IF(NOT(ISBLANK(AC234)),"-","")</f>
        <v>-</v>
      </c>
      <c r="AC234" s="28" t="s">
        <v>51</v>
      </c>
      <c r="AD234" s="28" t="str">
        <f t="shared" ref="AD234:AD237" si="294">IF(NOT(ISBLANK(AE234)),"_","")</f>
        <v>_</v>
      </c>
      <c r="AE234" s="28" t="s">
        <v>384</v>
      </c>
      <c r="AF234" s="28" t="str">
        <f t="shared" ref="AF234:AF237" si="295">IF(NOT(ISBLANK(AG234)),"_","")</f>
        <v>_</v>
      </c>
      <c r="AG234" s="28" t="s">
        <v>375</v>
      </c>
      <c r="AH234" s="28" t="str">
        <f t="shared" ref="AH234:AH237" si="296">IF(NOT(ISBLANK(AI234)),"_","")</f>
        <v/>
      </c>
    </row>
    <row r="235" spans="1:35" x14ac:dyDescent="0.25">
      <c r="B235" s="2" t="str">
        <f t="shared" si="292"/>
        <v>@fill-opacity-landcover_clearcut_full</v>
      </c>
      <c r="C235" s="28" t="s">
        <v>80</v>
      </c>
      <c r="D235" s="28" t="s">
        <v>80</v>
      </c>
      <c r="F235" s="28" t="s">
        <v>80</v>
      </c>
      <c r="G235" s="28" t="s">
        <v>80</v>
      </c>
      <c r="I235" s="28" t="s">
        <v>95</v>
      </c>
      <c r="J235" s="28" t="s">
        <v>95</v>
      </c>
      <c r="L235" s="28" t="s">
        <v>95</v>
      </c>
      <c r="M235" s="28" t="s">
        <v>95</v>
      </c>
      <c r="O235" s="28" t="s">
        <v>124</v>
      </c>
      <c r="P235" s="28" t="s">
        <v>124</v>
      </c>
      <c r="R235" s="28" t="s">
        <v>124</v>
      </c>
      <c r="S235" s="28" t="s">
        <v>124</v>
      </c>
      <c r="U235" s="28" t="s">
        <v>124</v>
      </c>
      <c r="V235" s="28" t="s">
        <v>124</v>
      </c>
      <c r="X235" s="28" t="s">
        <v>124</v>
      </c>
      <c r="Y235" s="28" t="s">
        <v>124</v>
      </c>
      <c r="AA235" s="28" t="s">
        <v>372</v>
      </c>
      <c r="AB235" s="28" t="str">
        <f t="shared" si="293"/>
        <v>-</v>
      </c>
      <c r="AC235" s="28" t="s">
        <v>51</v>
      </c>
      <c r="AD235" s="28" t="str">
        <f t="shared" si="294"/>
        <v>_</v>
      </c>
      <c r="AE235" s="28" t="s">
        <v>384</v>
      </c>
      <c r="AF235" s="28" t="str">
        <f t="shared" si="295"/>
        <v>_</v>
      </c>
      <c r="AG235" s="28" t="s">
        <v>374</v>
      </c>
      <c r="AH235" s="28" t="str">
        <f t="shared" si="296"/>
        <v/>
      </c>
    </row>
    <row r="236" spans="1:35" x14ac:dyDescent="0.25">
      <c r="B236" s="2" t="str">
        <f t="shared" si="292"/>
        <v>@fill-opacity-landcover_field_mid</v>
      </c>
      <c r="C236" s="28" t="s">
        <v>95</v>
      </c>
      <c r="D236" s="28" t="s">
        <v>95</v>
      </c>
      <c r="F236" s="28" t="s">
        <v>95</v>
      </c>
      <c r="G236" s="28" t="s">
        <v>95</v>
      </c>
      <c r="I236" s="28" t="s">
        <v>95</v>
      </c>
      <c r="J236" s="28" t="s">
        <v>95</v>
      </c>
      <c r="L236" s="28" t="s">
        <v>95</v>
      </c>
      <c r="M236" s="28" t="s">
        <v>95</v>
      </c>
      <c r="O236" s="28" t="s">
        <v>95</v>
      </c>
      <c r="P236" s="28" t="s">
        <v>95</v>
      </c>
      <c r="R236" s="28" t="s">
        <v>95</v>
      </c>
      <c r="S236" s="28" t="s">
        <v>95</v>
      </c>
      <c r="U236" s="28" t="s">
        <v>95</v>
      </c>
      <c r="V236" s="28" t="s">
        <v>95</v>
      </c>
      <c r="X236" s="28" t="s">
        <v>95</v>
      </c>
      <c r="Y236" s="28" t="s">
        <v>95</v>
      </c>
      <c r="AA236" s="28" t="s">
        <v>372</v>
      </c>
      <c r="AB236" s="28" t="str">
        <f t="shared" si="293"/>
        <v>-</v>
      </c>
      <c r="AC236" s="28" t="s">
        <v>51</v>
      </c>
      <c r="AD236" s="28" t="str">
        <f t="shared" si="294"/>
        <v>_</v>
      </c>
      <c r="AE236" s="28" t="s">
        <v>46</v>
      </c>
      <c r="AF236" s="28" t="str">
        <f t="shared" si="295"/>
        <v>_</v>
      </c>
      <c r="AG236" s="28" t="s">
        <v>375</v>
      </c>
      <c r="AH236" s="28" t="str">
        <f t="shared" si="296"/>
        <v/>
      </c>
    </row>
    <row r="237" spans="1:35" x14ac:dyDescent="0.25">
      <c r="B237" s="2" t="str">
        <f t="shared" si="292"/>
        <v>@fill-opacity-landcover_field_full</v>
      </c>
      <c r="C237" s="28" t="s">
        <v>80</v>
      </c>
      <c r="D237" s="28" t="s">
        <v>80</v>
      </c>
      <c r="F237" s="28" t="s">
        <v>80</v>
      </c>
      <c r="G237" s="28" t="s">
        <v>80</v>
      </c>
      <c r="I237" s="28" t="s">
        <v>80</v>
      </c>
      <c r="J237" s="28" t="s">
        <v>80</v>
      </c>
      <c r="L237" s="28" t="s">
        <v>80</v>
      </c>
      <c r="M237" s="28" t="s">
        <v>80</v>
      </c>
      <c r="O237" s="28" t="s">
        <v>80</v>
      </c>
      <c r="P237" s="28" t="s">
        <v>80</v>
      </c>
      <c r="R237" s="28" t="s">
        <v>80</v>
      </c>
      <c r="S237" s="28" t="s">
        <v>80</v>
      </c>
      <c r="U237" s="28" t="s">
        <v>80</v>
      </c>
      <c r="V237" s="28" t="s">
        <v>80</v>
      </c>
      <c r="X237" s="28" t="s">
        <v>80</v>
      </c>
      <c r="Y237" s="28" t="s">
        <v>80</v>
      </c>
      <c r="AA237" s="28" t="s">
        <v>372</v>
      </c>
      <c r="AB237" s="28" t="str">
        <f t="shared" si="293"/>
        <v>-</v>
      </c>
      <c r="AC237" s="28" t="s">
        <v>51</v>
      </c>
      <c r="AD237" s="28" t="str">
        <f t="shared" si="294"/>
        <v>_</v>
      </c>
      <c r="AE237" s="28" t="s">
        <v>46</v>
      </c>
      <c r="AF237" s="28" t="str">
        <f t="shared" si="295"/>
        <v>_</v>
      </c>
      <c r="AG237" s="28" t="s">
        <v>374</v>
      </c>
      <c r="AH237" s="28" t="str">
        <f t="shared" si="296"/>
        <v/>
      </c>
    </row>
    <row r="238" spans="1:35" x14ac:dyDescent="0.25">
      <c r="B238" s="2" t="str">
        <f t="shared" ref="B238" si="297">_xlfn.CONCAT("@",AA238,AB238,AC238,AD238,AE238,AF238,AG238,AH238,AI238)</f>
        <v>@fill-opacity-landcover_scrub_mid</v>
      </c>
      <c r="C238" s="28" t="s">
        <v>95</v>
      </c>
      <c r="D238" s="28" t="s">
        <v>95</v>
      </c>
      <c r="F238" s="28" t="s">
        <v>95</v>
      </c>
      <c r="G238" s="28" t="s">
        <v>95</v>
      </c>
      <c r="I238" s="28" t="s">
        <v>376</v>
      </c>
      <c r="J238" s="28" t="s">
        <v>376</v>
      </c>
      <c r="L238" s="28" t="s">
        <v>376</v>
      </c>
      <c r="M238" s="28" t="s">
        <v>376</v>
      </c>
      <c r="O238" s="28" t="s">
        <v>377</v>
      </c>
      <c r="P238" s="28" t="s">
        <v>377</v>
      </c>
      <c r="R238" s="28" t="s">
        <v>377</v>
      </c>
      <c r="S238" s="28" t="s">
        <v>377</v>
      </c>
      <c r="U238" s="28" t="s">
        <v>377</v>
      </c>
      <c r="V238" s="28" t="s">
        <v>377</v>
      </c>
      <c r="X238" s="28" t="s">
        <v>377</v>
      </c>
      <c r="Y238" s="28" t="s">
        <v>377</v>
      </c>
      <c r="AA238" s="28" t="s">
        <v>372</v>
      </c>
      <c r="AB238" s="28" t="str">
        <f t="shared" si="285"/>
        <v>-</v>
      </c>
      <c r="AC238" s="28" t="s">
        <v>51</v>
      </c>
      <c r="AD238" s="28" t="str">
        <f t="shared" si="286"/>
        <v>_</v>
      </c>
      <c r="AE238" s="28" t="s">
        <v>373</v>
      </c>
      <c r="AF238" s="28" t="str">
        <f t="shared" si="287"/>
        <v>_</v>
      </c>
      <c r="AG238" s="28" t="s">
        <v>375</v>
      </c>
      <c r="AH238" s="28" t="str">
        <f t="shared" si="291"/>
        <v/>
      </c>
    </row>
    <row r="239" spans="1:35" x14ac:dyDescent="0.25">
      <c r="B239" s="2" t="str">
        <f t="shared" ref="B239" si="298">_xlfn.CONCAT("@",AA239,AB239,AC239,AD239,AE239,AF239,AG239,AH239,AI239)</f>
        <v>@fill-opacity-landcover_scrub_full</v>
      </c>
      <c r="C239" s="28" t="s">
        <v>80</v>
      </c>
      <c r="D239" s="28" t="s">
        <v>80</v>
      </c>
      <c r="F239" s="28" t="s">
        <v>80</v>
      </c>
      <c r="G239" s="28" t="s">
        <v>80</v>
      </c>
      <c r="I239" s="28" t="s">
        <v>95</v>
      </c>
      <c r="J239" s="28" t="s">
        <v>95</v>
      </c>
      <c r="L239" s="28" t="s">
        <v>95</v>
      </c>
      <c r="M239" s="28" t="s">
        <v>95</v>
      </c>
      <c r="O239" s="28" t="s">
        <v>124</v>
      </c>
      <c r="P239" s="28" t="s">
        <v>124</v>
      </c>
      <c r="R239" s="28" t="s">
        <v>124</v>
      </c>
      <c r="S239" s="28" t="s">
        <v>124</v>
      </c>
      <c r="U239" s="28" t="s">
        <v>124</v>
      </c>
      <c r="V239" s="28" t="s">
        <v>124</v>
      </c>
      <c r="X239" s="28" t="s">
        <v>124</v>
      </c>
      <c r="Y239" s="28" t="s">
        <v>124</v>
      </c>
      <c r="AA239" s="28" t="s">
        <v>372</v>
      </c>
      <c r="AB239" s="28" t="str">
        <f t="shared" si="181"/>
        <v>-</v>
      </c>
      <c r="AC239" s="28" t="s">
        <v>51</v>
      </c>
      <c r="AD239" s="28" t="str">
        <f t="shared" si="182"/>
        <v>_</v>
      </c>
      <c r="AE239" s="28" t="s">
        <v>373</v>
      </c>
      <c r="AF239" s="28" t="str">
        <f t="shared" si="183"/>
        <v>_</v>
      </c>
      <c r="AG239" s="28" t="s">
        <v>374</v>
      </c>
      <c r="AH239" s="28" t="str">
        <f t="shared" si="283"/>
        <v/>
      </c>
    </row>
    <row r="240" spans="1:35" x14ac:dyDescent="0.25">
      <c r="B240" s="2" t="str">
        <f t="shared" ref="B240:B242" si="299">_xlfn.CONCAT("@",AA240,AB240,AC240,AD240,AE240,AF240,AG240,AH240,AI240)</f>
        <v>@fill-opacity-landcover_wetland_full</v>
      </c>
      <c r="C240" s="28" t="s">
        <v>80</v>
      </c>
      <c r="D240" s="28" t="s">
        <v>80</v>
      </c>
      <c r="F240" s="28" t="s">
        <v>80</v>
      </c>
      <c r="G240" s="28" t="s">
        <v>80</v>
      </c>
      <c r="I240" s="28" t="s">
        <v>95</v>
      </c>
      <c r="J240" s="28" t="s">
        <v>95</v>
      </c>
      <c r="L240" s="28" t="s">
        <v>95</v>
      </c>
      <c r="M240" s="28" t="s">
        <v>95</v>
      </c>
      <c r="O240" s="28" t="s">
        <v>124</v>
      </c>
      <c r="P240" s="28" t="s">
        <v>124</v>
      </c>
      <c r="R240" s="28" t="s">
        <v>124</v>
      </c>
      <c r="S240" s="28" t="s">
        <v>124</v>
      </c>
      <c r="U240" s="28" t="s">
        <v>124</v>
      </c>
      <c r="V240" s="28" t="s">
        <v>124</v>
      </c>
      <c r="X240" s="28" t="s">
        <v>124</v>
      </c>
      <c r="Y240" s="28" t="s">
        <v>124</v>
      </c>
      <c r="AA240" s="28" t="s">
        <v>372</v>
      </c>
      <c r="AB240" s="28" t="str">
        <f t="shared" ref="AB240:AB242" si="300">IF(NOT(ISBLANK(AC240)),"-","")</f>
        <v>-</v>
      </c>
      <c r="AC240" s="28" t="s">
        <v>51</v>
      </c>
      <c r="AD240" s="28" t="str">
        <f t="shared" ref="AD240:AD242" si="301">IF(NOT(ISBLANK(AE240)),"_","")</f>
        <v>_</v>
      </c>
      <c r="AE240" s="28" t="s">
        <v>378</v>
      </c>
      <c r="AF240" s="28" t="str">
        <f t="shared" ref="AF240:AF242" si="302">IF(NOT(ISBLANK(AG240)),"_","")</f>
        <v>_</v>
      </c>
      <c r="AG240" s="28" t="s">
        <v>374</v>
      </c>
      <c r="AH240" s="28" t="str">
        <f t="shared" ref="AH240:AH242" si="303">IF(NOT(ISBLANK(AI240)),"_","")</f>
        <v/>
      </c>
    </row>
    <row r="241" spans="1:35" x14ac:dyDescent="0.25">
      <c r="B241" s="2" t="str">
        <f t="shared" si="299"/>
        <v>@fill-opacity-landuse_sport_play_mid</v>
      </c>
      <c r="C241" s="28" t="s">
        <v>95</v>
      </c>
      <c r="D241" s="28" t="s">
        <v>95</v>
      </c>
      <c r="F241" s="28" t="s">
        <v>95</v>
      </c>
      <c r="G241" s="28" t="s">
        <v>95</v>
      </c>
      <c r="I241" s="28" t="s">
        <v>95</v>
      </c>
      <c r="J241" s="28" t="s">
        <v>95</v>
      </c>
      <c r="L241" s="28" t="s">
        <v>95</v>
      </c>
      <c r="M241" s="28" t="s">
        <v>95</v>
      </c>
      <c r="O241" s="28" t="s">
        <v>95</v>
      </c>
      <c r="P241" s="28" t="s">
        <v>95</v>
      </c>
      <c r="R241" s="28" t="s">
        <v>95</v>
      </c>
      <c r="S241" s="28" t="s">
        <v>95</v>
      </c>
      <c r="U241" s="28" t="s">
        <v>95</v>
      </c>
      <c r="V241" s="28" t="s">
        <v>95</v>
      </c>
      <c r="X241" s="28" t="s">
        <v>95</v>
      </c>
      <c r="Y241" s="28" t="s">
        <v>95</v>
      </c>
      <c r="AA241" s="28" t="s">
        <v>372</v>
      </c>
      <c r="AB241" s="28" t="str">
        <f t="shared" si="300"/>
        <v>-</v>
      </c>
      <c r="AC241" s="28" t="s">
        <v>385</v>
      </c>
      <c r="AD241" s="28" t="str">
        <f t="shared" si="301"/>
        <v>_</v>
      </c>
      <c r="AE241" s="28" t="s">
        <v>240</v>
      </c>
      <c r="AF241" s="28" t="str">
        <f t="shared" si="302"/>
        <v>_</v>
      </c>
      <c r="AG241" s="28" t="s">
        <v>375</v>
      </c>
      <c r="AH241" s="28" t="str">
        <f t="shared" si="303"/>
        <v/>
      </c>
    </row>
    <row r="242" spans="1:35" x14ac:dyDescent="0.25">
      <c r="B242" s="2" t="str">
        <f t="shared" si="299"/>
        <v>@fill-opacity-landuse_sport_play_full</v>
      </c>
      <c r="C242" s="28" t="s">
        <v>80</v>
      </c>
      <c r="D242" s="28" t="s">
        <v>80</v>
      </c>
      <c r="F242" s="28" t="s">
        <v>80</v>
      </c>
      <c r="G242" s="28" t="s">
        <v>80</v>
      </c>
      <c r="I242" s="28" t="s">
        <v>80</v>
      </c>
      <c r="J242" s="28" t="s">
        <v>80</v>
      </c>
      <c r="L242" s="28" t="s">
        <v>80</v>
      </c>
      <c r="M242" s="28" t="s">
        <v>80</v>
      </c>
      <c r="O242" s="28" t="s">
        <v>80</v>
      </c>
      <c r="P242" s="28" t="s">
        <v>80</v>
      </c>
      <c r="R242" s="28" t="s">
        <v>80</v>
      </c>
      <c r="S242" s="28" t="s">
        <v>80</v>
      </c>
      <c r="U242" s="28" t="s">
        <v>80</v>
      </c>
      <c r="V242" s="28" t="s">
        <v>80</v>
      </c>
      <c r="X242" s="28" t="s">
        <v>80</v>
      </c>
      <c r="Y242" s="28" t="s">
        <v>80</v>
      </c>
      <c r="AA242" s="28" t="s">
        <v>372</v>
      </c>
      <c r="AB242" s="28" t="str">
        <f t="shared" si="300"/>
        <v>-</v>
      </c>
      <c r="AC242" s="28" t="s">
        <v>385</v>
      </c>
      <c r="AD242" s="28" t="str">
        <f t="shared" si="301"/>
        <v>_</v>
      </c>
      <c r="AE242" s="28" t="s">
        <v>240</v>
      </c>
      <c r="AF242" s="28" t="str">
        <f t="shared" si="302"/>
        <v>_</v>
      </c>
      <c r="AG242" s="28" t="s">
        <v>374</v>
      </c>
      <c r="AH242" s="28" t="str">
        <f t="shared" si="303"/>
        <v/>
      </c>
    </row>
    <row r="243" spans="1:35" x14ac:dyDescent="0.25">
      <c r="B243" s="2" t="str">
        <f t="shared" ref="B243" si="304">_xlfn.CONCAT("@",AA243,AB243,AC243,AD243,AE243,AF243,AG243,AH243,AI243)</f>
        <v>@fill-opacity-portected_area_outline-inner_full</v>
      </c>
      <c r="C243" s="28" t="s">
        <v>120</v>
      </c>
      <c r="D243" s="28" t="s">
        <v>120</v>
      </c>
      <c r="F243" s="28" t="s">
        <v>381</v>
      </c>
      <c r="G243" s="28" t="s">
        <v>381</v>
      </c>
      <c r="I243" s="28" t="s">
        <v>381</v>
      </c>
      <c r="J243" s="28" t="s">
        <v>381</v>
      </c>
      <c r="L243" s="28" t="s">
        <v>382</v>
      </c>
      <c r="M243" s="28" t="s">
        <v>382</v>
      </c>
      <c r="O243" s="28" t="s">
        <v>381</v>
      </c>
      <c r="P243" s="28" t="s">
        <v>381</v>
      </c>
      <c r="R243" s="28" t="s">
        <v>382</v>
      </c>
      <c r="S243" s="28" t="s">
        <v>382</v>
      </c>
      <c r="U243" s="28" t="s">
        <v>120</v>
      </c>
      <c r="V243" s="28" t="s">
        <v>120</v>
      </c>
      <c r="X243" s="28" t="s">
        <v>120</v>
      </c>
      <c r="Y243" s="28" t="s">
        <v>120</v>
      </c>
      <c r="AA243" s="28" t="s">
        <v>372</v>
      </c>
      <c r="AB243" s="28" t="str">
        <f t="shared" ref="AB243" si="305">IF(NOT(ISBLANK(AC243)),"-","")</f>
        <v>-</v>
      </c>
      <c r="AC243" s="28" t="s">
        <v>379</v>
      </c>
      <c r="AD243" s="28" t="str">
        <f t="shared" ref="AD243" si="306">IF(NOT(ISBLANK(AE243)),"_","")</f>
        <v>_</v>
      </c>
      <c r="AE243" s="28" t="s">
        <v>380</v>
      </c>
      <c r="AF243" s="28" t="str">
        <f t="shared" ref="AF243" si="307">IF(NOT(ISBLANK(AG243)),"_","")</f>
        <v>_</v>
      </c>
      <c r="AG243" s="28" t="s">
        <v>374</v>
      </c>
      <c r="AH243" s="28" t="str">
        <f t="shared" ref="AH243" si="308">IF(NOT(ISBLANK(AI243)),"_","")</f>
        <v/>
      </c>
    </row>
    <row r="244" spans="1:35" x14ac:dyDescent="0.25">
      <c r="B244" s="2" t="str">
        <f t="shared" ref="B244" si="309">_xlfn.CONCAT("@",AA244,AB244,AC244,AD244,AE244,AF244,AG244,AH244,AI244)</f>
        <v>@fill-opacity-portected_area_outline-outer_full</v>
      </c>
      <c r="C244" s="28" t="s">
        <v>80</v>
      </c>
      <c r="D244" s="28" t="s">
        <v>80</v>
      </c>
      <c r="F244" s="28" t="s">
        <v>122</v>
      </c>
      <c r="G244" s="28" t="s">
        <v>122</v>
      </c>
      <c r="I244" s="28" t="s">
        <v>95</v>
      </c>
      <c r="J244" s="28" t="s">
        <v>95</v>
      </c>
      <c r="L244" s="28" t="s">
        <v>376</v>
      </c>
      <c r="M244" s="28" t="s">
        <v>376</v>
      </c>
      <c r="O244" s="28" t="s">
        <v>124</v>
      </c>
      <c r="P244" s="28" t="s">
        <v>124</v>
      </c>
      <c r="R244" s="28" t="s">
        <v>377</v>
      </c>
      <c r="S244" s="28" t="s">
        <v>377</v>
      </c>
      <c r="U244" s="28" t="s">
        <v>80</v>
      </c>
      <c r="V244" s="28" t="s">
        <v>80</v>
      </c>
      <c r="X244" s="28" t="s">
        <v>122</v>
      </c>
      <c r="Y244" s="28" t="s">
        <v>122</v>
      </c>
      <c r="AA244" s="28" t="s">
        <v>372</v>
      </c>
      <c r="AB244" s="28" t="str">
        <f t="shared" ref="AB244" si="310">IF(NOT(ISBLANK(AC244)),"-","")</f>
        <v>-</v>
      </c>
      <c r="AC244" s="28" t="s">
        <v>379</v>
      </c>
      <c r="AD244" s="28" t="str">
        <f t="shared" ref="AD244" si="311">IF(NOT(ISBLANK(AE244)),"_","")</f>
        <v>_</v>
      </c>
      <c r="AE244" s="28" t="s">
        <v>383</v>
      </c>
      <c r="AF244" s="28" t="str">
        <f t="shared" ref="AF244" si="312">IF(NOT(ISBLANK(AG244)),"_","")</f>
        <v>_</v>
      </c>
      <c r="AG244" s="28" t="s">
        <v>374</v>
      </c>
      <c r="AH244" s="28" t="str">
        <f t="shared" ref="AH244" si="313">IF(NOT(ISBLANK(AI244)),"_","")</f>
        <v/>
      </c>
    </row>
    <row r="246" spans="1:35" s="2" customFormat="1" x14ac:dyDescent="0.25">
      <c r="A246" s="3" t="s">
        <v>43</v>
      </c>
      <c r="B246" s="3"/>
      <c r="C246" s="27"/>
      <c r="D246" s="6"/>
      <c r="E246" s="7"/>
      <c r="F246" s="6"/>
      <c r="G246" s="6"/>
      <c r="H246" s="7"/>
      <c r="I246" s="6"/>
      <c r="J246" s="6"/>
      <c r="K246" s="7"/>
      <c r="L246" s="6"/>
      <c r="M246" s="6"/>
      <c r="N246" s="7"/>
      <c r="O246" s="6"/>
      <c r="P246" s="6"/>
      <c r="Q246" s="7"/>
      <c r="R246" s="6"/>
      <c r="S246" s="6"/>
      <c r="T246" s="7"/>
      <c r="U246" s="6"/>
      <c r="V246" s="6"/>
      <c r="W246" s="7"/>
      <c r="X246" s="6"/>
      <c r="Y246" s="6"/>
      <c r="AA246" s="4"/>
      <c r="AB246" s="4" t="str">
        <f t="shared" si="181"/>
        <v/>
      </c>
      <c r="AC246" s="4"/>
      <c r="AD246" s="4" t="str">
        <f t="shared" si="182"/>
        <v/>
      </c>
      <c r="AE246" s="4"/>
      <c r="AF246" s="4" t="str">
        <f t="shared" si="183"/>
        <v/>
      </c>
      <c r="AG246" s="4"/>
      <c r="AH246" s="4" t="str">
        <f t="shared" si="283"/>
        <v/>
      </c>
      <c r="AI246" s="4"/>
    </row>
    <row r="247" spans="1:35" x14ac:dyDescent="0.25">
      <c r="B247" s="2" t="str">
        <f t="shared" ref="B247:B249" si="314">_xlfn.CONCAT("@",AA247,AB247,AC247,AD247,AE247,AF247,AG247,AH247,AI247)</f>
        <v>@color-motorway_case_farzoom</v>
      </c>
      <c r="C247" s="129" t="s">
        <v>211</v>
      </c>
      <c r="D247" s="72" t="s">
        <v>214</v>
      </c>
      <c r="F247" s="129" t="s">
        <v>211</v>
      </c>
      <c r="G247" s="129" t="s">
        <v>211</v>
      </c>
      <c r="I247" s="130" t="str">
        <f>C247</f>
        <v>"#bf440f"</v>
      </c>
      <c r="J247" s="72" t="s">
        <v>214</v>
      </c>
      <c r="L247" s="129" t="s">
        <v>211</v>
      </c>
      <c r="M247" s="129" t="s">
        <v>211</v>
      </c>
      <c r="U247" s="130" t="str">
        <f>C247</f>
        <v>"#bf440f"</v>
      </c>
      <c r="AA247" s="2" t="s">
        <v>6</v>
      </c>
      <c r="AB247" s="2" t="str">
        <f t="shared" si="181"/>
        <v>-</v>
      </c>
      <c r="AC247" s="2" t="s">
        <v>16</v>
      </c>
      <c r="AD247" s="2" t="str">
        <f t="shared" si="182"/>
        <v>_</v>
      </c>
      <c r="AE247" s="2" t="s">
        <v>17</v>
      </c>
      <c r="AF247" s="2" t="str">
        <f t="shared" si="183"/>
        <v>_</v>
      </c>
      <c r="AG247" s="2" t="s">
        <v>20</v>
      </c>
      <c r="AH247" s="2" t="str">
        <f t="shared" si="283"/>
        <v/>
      </c>
      <c r="AI247" s="2"/>
    </row>
    <row r="248" spans="1:35" x14ac:dyDescent="0.25">
      <c r="B248" s="2" t="str">
        <f t="shared" si="314"/>
        <v>@color-motorway_case_default</v>
      </c>
      <c r="C248" s="131" t="s">
        <v>212</v>
      </c>
      <c r="D248" s="72" t="s">
        <v>214</v>
      </c>
      <c r="F248" s="72" t="s">
        <v>214</v>
      </c>
      <c r="G248" s="72" t="s">
        <v>214</v>
      </c>
      <c r="I248" s="132" t="str">
        <f>C248</f>
        <v>"#a15412"</v>
      </c>
      <c r="J248" s="72" t="s">
        <v>214</v>
      </c>
      <c r="L248" s="72" t="s">
        <v>214</v>
      </c>
      <c r="M248" s="72" t="s">
        <v>214</v>
      </c>
      <c r="U248" s="132" t="str">
        <f>C248</f>
        <v>"#a15412"</v>
      </c>
      <c r="AA248" s="2" t="s">
        <v>6</v>
      </c>
      <c r="AB248" s="2" t="str">
        <f t="shared" si="181"/>
        <v>-</v>
      </c>
      <c r="AC248" s="2" t="s">
        <v>16</v>
      </c>
      <c r="AD248" s="2" t="str">
        <f t="shared" si="182"/>
        <v>_</v>
      </c>
      <c r="AE248" s="2" t="s">
        <v>17</v>
      </c>
      <c r="AF248" s="2" t="str">
        <f t="shared" si="183"/>
        <v>_</v>
      </c>
      <c r="AG248" s="2" t="s">
        <v>262</v>
      </c>
      <c r="AH248" s="2" t="str">
        <f t="shared" si="283"/>
        <v/>
      </c>
      <c r="AI248" s="2"/>
    </row>
    <row r="249" spans="1:35" x14ac:dyDescent="0.25">
      <c r="B249" s="2" t="str">
        <f t="shared" si="314"/>
        <v>@color-motorway_line_default</v>
      </c>
      <c r="C249" s="133" t="s">
        <v>213</v>
      </c>
      <c r="D249" s="134" t="s">
        <v>215</v>
      </c>
      <c r="F249" s="134" t="s">
        <v>215</v>
      </c>
      <c r="G249" s="134" t="s">
        <v>215</v>
      </c>
      <c r="I249" s="135" t="str">
        <f>C249</f>
        <v>"#ffcc88"</v>
      </c>
      <c r="J249" s="136" t="str">
        <f>D249</f>
        <v>"#d6771e"</v>
      </c>
      <c r="L249" s="134" t="s">
        <v>215</v>
      </c>
      <c r="M249" s="134" t="s">
        <v>215</v>
      </c>
      <c r="U249" s="135" t="str">
        <f>C249</f>
        <v>"#ffcc88"</v>
      </c>
      <c r="AA249" s="2" t="s">
        <v>6</v>
      </c>
      <c r="AB249" s="2" t="str">
        <f t="shared" si="181"/>
        <v>-</v>
      </c>
      <c r="AC249" s="2" t="s">
        <v>16</v>
      </c>
      <c r="AD249" s="2" t="str">
        <f t="shared" si="182"/>
        <v>_</v>
      </c>
      <c r="AE249" s="2" t="s">
        <v>13</v>
      </c>
      <c r="AF249" s="2" t="str">
        <f t="shared" si="183"/>
        <v>_</v>
      </c>
      <c r="AG249" s="2" t="s">
        <v>262</v>
      </c>
      <c r="AH249" s="2" t="str">
        <f t="shared" si="283"/>
        <v/>
      </c>
      <c r="AI249" s="2"/>
    </row>
    <row r="250" spans="1:35" x14ac:dyDescent="0.25">
      <c r="AB250" s="28" t="str">
        <f t="shared" si="181"/>
        <v/>
      </c>
      <c r="AD250" s="28" t="str">
        <f t="shared" si="182"/>
        <v/>
      </c>
      <c r="AF250" s="28" t="str">
        <f t="shared" si="183"/>
        <v/>
      </c>
      <c r="AH250" s="28" t="str">
        <f t="shared" si="283"/>
        <v/>
      </c>
    </row>
    <row r="251" spans="1:35" s="2" customFormat="1" x14ac:dyDescent="0.25">
      <c r="A251" s="3" t="s">
        <v>45</v>
      </c>
      <c r="B251" s="3"/>
      <c r="C251" s="27"/>
      <c r="D251" s="6"/>
      <c r="E251" s="7"/>
      <c r="F251" s="6"/>
      <c r="G251" s="6"/>
      <c r="H251" s="7"/>
      <c r="I251" s="6"/>
      <c r="J251" s="6"/>
      <c r="K251" s="7"/>
      <c r="L251" s="6"/>
      <c r="M251" s="6"/>
      <c r="N251" s="7"/>
      <c r="O251" s="6"/>
      <c r="P251" s="6"/>
      <c r="Q251" s="7"/>
      <c r="R251" s="6"/>
      <c r="S251" s="6"/>
      <c r="T251" s="7"/>
      <c r="U251" s="6"/>
      <c r="V251" s="6"/>
      <c r="W251" s="7"/>
      <c r="X251" s="6"/>
      <c r="Y251" s="6"/>
      <c r="AA251" s="4"/>
      <c r="AB251" s="4" t="str">
        <f t="shared" si="181"/>
        <v/>
      </c>
      <c r="AC251" s="4"/>
      <c r="AD251" s="4" t="str">
        <f t="shared" si="182"/>
        <v/>
      </c>
      <c r="AE251" s="4"/>
      <c r="AF251" s="4" t="str">
        <f t="shared" si="183"/>
        <v/>
      </c>
      <c r="AG251" s="4"/>
      <c r="AH251" s="4" t="str">
        <f t="shared" si="283"/>
        <v/>
      </c>
      <c r="AI251" s="4"/>
    </row>
    <row r="252" spans="1:35" x14ac:dyDescent="0.25">
      <c r="B252" s="2" t="str">
        <f t="shared" ref="B252:B260" si="315">_xlfn.CONCAT("@",AA252,AB252,AC252,AD252,AE252,AF252,AG252,AH252,AI252)</f>
        <v>@color-trunk_case_bicycle_no_default</v>
      </c>
      <c r="C252" s="137" t="s">
        <v>226</v>
      </c>
      <c r="D252" s="72" t="s">
        <v>214</v>
      </c>
      <c r="F252" s="72" t="s">
        <v>214</v>
      </c>
      <c r="G252" s="72" t="s">
        <v>214</v>
      </c>
      <c r="I252" s="138" t="str">
        <f>C252</f>
        <v>"#bd430f"</v>
      </c>
      <c r="J252" s="37" t="str">
        <f>D252</f>
        <v>"#000000"</v>
      </c>
      <c r="L252" s="72" t="s">
        <v>214</v>
      </c>
      <c r="M252" s="72" t="s">
        <v>214</v>
      </c>
      <c r="U252" s="138" t="str">
        <f>C252</f>
        <v>"#bd430f"</v>
      </c>
      <c r="V252" s="37" t="str">
        <f>D252</f>
        <v>"#000000"</v>
      </c>
      <c r="AA252" s="28" t="s">
        <v>6</v>
      </c>
      <c r="AB252" s="2" t="str">
        <f t="shared" si="181"/>
        <v>-</v>
      </c>
      <c r="AC252" s="2" t="s">
        <v>18</v>
      </c>
      <c r="AD252" s="2" t="str">
        <f t="shared" ref="AD252" si="316">IF(NOT(ISBLANK(AE252)),"_","")</f>
        <v>_</v>
      </c>
      <c r="AE252" s="28" t="s">
        <v>17</v>
      </c>
      <c r="AF252" s="2" t="str">
        <f t="shared" ref="AF252" si="317">IF(NOT(ISBLANK(AG252)),"_","")</f>
        <v>_</v>
      </c>
      <c r="AG252" s="28" t="s">
        <v>23</v>
      </c>
      <c r="AH252" s="2" t="str">
        <f t="shared" si="283"/>
        <v>_</v>
      </c>
      <c r="AI252" s="28" t="s">
        <v>262</v>
      </c>
    </row>
    <row r="253" spans="1:35" x14ac:dyDescent="0.25">
      <c r="B253" s="2" t="str">
        <f t="shared" si="315"/>
        <v>@color-trunk_case_bicycle_no_farzoom</v>
      </c>
      <c r="C253" s="137" t="s">
        <v>226</v>
      </c>
      <c r="D253" s="72" t="s">
        <v>214</v>
      </c>
      <c r="F253" s="137" t="s">
        <v>226</v>
      </c>
      <c r="G253" s="137" t="s">
        <v>226</v>
      </c>
      <c r="I253" s="138" t="str">
        <f>C253</f>
        <v>"#bd430f"</v>
      </c>
      <c r="J253" s="37" t="str">
        <f>D253</f>
        <v>"#000000"</v>
      </c>
      <c r="L253" s="137" t="s">
        <v>226</v>
      </c>
      <c r="M253" s="137" t="s">
        <v>226</v>
      </c>
      <c r="U253" s="138" t="str">
        <f>C253</f>
        <v>"#bd430f"</v>
      </c>
      <c r="V253" s="37" t="str">
        <f>D253</f>
        <v>"#000000"</v>
      </c>
      <c r="AA253" s="28" t="s">
        <v>6</v>
      </c>
      <c r="AB253" s="2" t="str">
        <f t="shared" ref="AB253" si="318">IF(NOT(ISBLANK(AC253)),"-","")</f>
        <v>-</v>
      </c>
      <c r="AC253" s="2" t="s">
        <v>18</v>
      </c>
      <c r="AD253" s="2" t="str">
        <f t="shared" ref="AD253" si="319">IF(NOT(ISBLANK(AE253)),"_","")</f>
        <v>_</v>
      </c>
      <c r="AE253" s="28" t="s">
        <v>17</v>
      </c>
      <c r="AF253" s="2" t="str">
        <f t="shared" ref="AF253" si="320">IF(NOT(ISBLANK(AG253)),"_","")</f>
        <v>_</v>
      </c>
      <c r="AG253" s="28" t="s">
        <v>23</v>
      </c>
      <c r="AH253" s="2" t="str">
        <f t="shared" si="283"/>
        <v>_</v>
      </c>
      <c r="AI253" s="28" t="s">
        <v>20</v>
      </c>
    </row>
    <row r="254" spans="1:35" x14ac:dyDescent="0.25">
      <c r="B254" s="2" t="str">
        <f t="shared" si="315"/>
        <v>@color-trunk_case_unpaved_farzoom</v>
      </c>
      <c r="C254" s="139" t="s">
        <v>227</v>
      </c>
      <c r="D254" s="140" t="s">
        <v>229</v>
      </c>
      <c r="F254" s="140" t="s">
        <v>229</v>
      </c>
      <c r="G254" s="139" t="s">
        <v>227</v>
      </c>
      <c r="I254" s="139" t="s">
        <v>227</v>
      </c>
      <c r="J254" s="140" t="s">
        <v>229</v>
      </c>
      <c r="L254" s="140" t="s">
        <v>229</v>
      </c>
      <c r="M254" s="139" t="s">
        <v>227</v>
      </c>
      <c r="U254" s="44"/>
      <c r="V254" s="44"/>
      <c r="X254" s="44"/>
      <c r="Y254" s="44"/>
      <c r="AA254" s="28" t="s">
        <v>6</v>
      </c>
      <c r="AB254" s="2" t="str">
        <f>IF(NOT(ISBLANK(AC254)),"-","")</f>
        <v>-</v>
      </c>
      <c r="AC254" s="2" t="s">
        <v>18</v>
      </c>
      <c r="AD254" s="2" t="str">
        <f>IF(NOT(ISBLANK(AE254)),"_","")</f>
        <v>_</v>
      </c>
      <c r="AE254" s="28" t="s">
        <v>17</v>
      </c>
      <c r="AF254" s="2" t="str">
        <f>IF(NOT(ISBLANK(AG254)),"_","")</f>
        <v>_</v>
      </c>
      <c r="AG254" s="28" t="s">
        <v>21</v>
      </c>
      <c r="AH254" s="2" t="str">
        <f>IF(NOT(ISBLANK(AI254)),"_","")</f>
        <v>_</v>
      </c>
      <c r="AI254" s="28" t="s">
        <v>20</v>
      </c>
    </row>
    <row r="255" spans="1:35" x14ac:dyDescent="0.25">
      <c r="B255" s="2" t="str">
        <f t="shared" si="315"/>
        <v>@color-trunk_case_unpaved_default</v>
      </c>
      <c r="C255" s="141" t="s">
        <v>217</v>
      </c>
      <c r="D255" s="72" t="s">
        <v>214</v>
      </c>
      <c r="F255" s="72" t="s">
        <v>214</v>
      </c>
      <c r="G255" s="72" t="s">
        <v>214</v>
      </c>
      <c r="I255" s="141" t="s">
        <v>217</v>
      </c>
      <c r="J255" s="72" t="s">
        <v>214</v>
      </c>
      <c r="L255" s="72" t="s">
        <v>214</v>
      </c>
      <c r="M255" s="72" t="s">
        <v>214</v>
      </c>
      <c r="U255" s="44"/>
      <c r="V255" s="44"/>
      <c r="X255" s="44"/>
      <c r="Y255" s="44"/>
      <c r="AA255" s="28" t="s">
        <v>6</v>
      </c>
      <c r="AB255" s="28" t="str">
        <f t="shared" si="181"/>
        <v>-</v>
      </c>
      <c r="AC255" s="2" t="s">
        <v>18</v>
      </c>
      <c r="AD255" s="28" t="str">
        <f t="shared" si="182"/>
        <v>_</v>
      </c>
      <c r="AE255" s="28" t="s">
        <v>17</v>
      </c>
      <c r="AF255" s="28" t="str">
        <f t="shared" si="183"/>
        <v>_</v>
      </c>
      <c r="AG255" s="28" t="s">
        <v>21</v>
      </c>
      <c r="AH255" s="28" t="str">
        <f t="shared" ref="AH255:AH264" si="321">IF(NOT(ISBLANK(AI255)),"_","")</f>
        <v>_</v>
      </c>
      <c r="AI255" s="28" t="s">
        <v>262</v>
      </c>
    </row>
    <row r="256" spans="1:35" x14ac:dyDescent="0.25">
      <c r="B256" s="2" t="str">
        <f t="shared" si="315"/>
        <v>@color-trunk_case_paved_or_uk_farzoom</v>
      </c>
      <c r="C256" s="142" t="s">
        <v>228</v>
      </c>
      <c r="D256" s="72" t="s">
        <v>214</v>
      </c>
      <c r="F256" s="142" t="s">
        <v>228</v>
      </c>
      <c r="G256" s="142" t="s">
        <v>228</v>
      </c>
      <c r="I256" s="142" t="s">
        <v>228</v>
      </c>
      <c r="J256" s="72" t="s">
        <v>214</v>
      </c>
      <c r="L256" s="142" t="s">
        <v>228</v>
      </c>
      <c r="M256" s="142" t="s">
        <v>228</v>
      </c>
      <c r="U256" s="44"/>
      <c r="V256" s="44"/>
      <c r="X256" s="44"/>
      <c r="Y256" s="44"/>
      <c r="AA256" s="2" t="s">
        <v>6</v>
      </c>
      <c r="AB256" s="2" t="str">
        <f t="shared" si="181"/>
        <v>-</v>
      </c>
      <c r="AC256" s="2" t="s">
        <v>18</v>
      </c>
      <c r="AD256" s="2" t="str">
        <f t="shared" si="182"/>
        <v>_</v>
      </c>
      <c r="AE256" s="2" t="s">
        <v>17</v>
      </c>
      <c r="AF256" s="2" t="str">
        <f t="shared" si="183"/>
        <v>_</v>
      </c>
      <c r="AG256" s="2" t="s">
        <v>24</v>
      </c>
      <c r="AH256" s="2" t="str">
        <f t="shared" si="321"/>
        <v>_</v>
      </c>
      <c r="AI256" s="28" t="s">
        <v>20</v>
      </c>
    </row>
    <row r="257" spans="1:35" x14ac:dyDescent="0.25">
      <c r="B257" s="2" t="str">
        <f t="shared" si="315"/>
        <v>@color-trunk_case_paved_or_uk_default</v>
      </c>
      <c r="C257" s="143" t="s">
        <v>218</v>
      </c>
      <c r="D257" s="72" t="s">
        <v>214</v>
      </c>
      <c r="F257" s="72" t="s">
        <v>214</v>
      </c>
      <c r="G257" s="72" t="s">
        <v>214</v>
      </c>
      <c r="I257" s="143" t="s">
        <v>218</v>
      </c>
      <c r="J257" s="72" t="s">
        <v>214</v>
      </c>
      <c r="L257" s="72" t="s">
        <v>214</v>
      </c>
      <c r="M257" s="72" t="s">
        <v>214</v>
      </c>
      <c r="U257" s="44"/>
      <c r="V257" s="44"/>
      <c r="X257" s="44"/>
      <c r="Y257" s="44"/>
      <c r="AA257" s="2" t="s">
        <v>6</v>
      </c>
      <c r="AB257" s="2" t="str">
        <f t="shared" si="181"/>
        <v>-</v>
      </c>
      <c r="AC257" s="2" t="s">
        <v>18</v>
      </c>
      <c r="AD257" s="2" t="str">
        <f t="shared" si="182"/>
        <v>_</v>
      </c>
      <c r="AE257" s="2" t="s">
        <v>17</v>
      </c>
      <c r="AF257" s="2" t="str">
        <f t="shared" si="183"/>
        <v>_</v>
      </c>
      <c r="AG257" s="2" t="s">
        <v>24</v>
      </c>
      <c r="AH257" s="2" t="str">
        <f t="shared" si="321"/>
        <v>_</v>
      </c>
      <c r="AI257" s="28" t="s">
        <v>262</v>
      </c>
    </row>
    <row r="258" spans="1:35" x14ac:dyDescent="0.25">
      <c r="B258" s="2" t="str">
        <f t="shared" si="315"/>
        <v>@color-trunk_line_bicycle_no</v>
      </c>
      <c r="C258" s="133" t="s">
        <v>213</v>
      </c>
      <c r="D258" s="134" t="s">
        <v>215</v>
      </c>
      <c r="F258" s="133" t="s">
        <v>213</v>
      </c>
      <c r="G258" s="134" t="s">
        <v>215</v>
      </c>
      <c r="I258" s="135" t="str">
        <f>C258</f>
        <v>"#ffcc88"</v>
      </c>
      <c r="J258" s="136" t="str">
        <f>D258</f>
        <v>"#d6771e"</v>
      </c>
      <c r="L258" s="133" t="s">
        <v>213</v>
      </c>
      <c r="M258" s="134" t="s">
        <v>215</v>
      </c>
      <c r="U258" s="135" t="str">
        <f>C258</f>
        <v>"#ffcc88"</v>
      </c>
      <c r="V258" s="136" t="str">
        <f>D258</f>
        <v>"#d6771e"</v>
      </c>
      <c r="AA258" s="2" t="s">
        <v>6</v>
      </c>
      <c r="AB258" s="2" t="str">
        <f t="shared" si="181"/>
        <v>-</v>
      </c>
      <c r="AC258" s="2" t="s">
        <v>18</v>
      </c>
      <c r="AD258" s="2" t="str">
        <f t="shared" si="182"/>
        <v>_</v>
      </c>
      <c r="AE258" s="2" t="s">
        <v>13</v>
      </c>
      <c r="AF258" s="2" t="str">
        <f t="shared" si="183"/>
        <v>_</v>
      </c>
      <c r="AG258" s="2" t="s">
        <v>23</v>
      </c>
      <c r="AH258" s="2" t="str">
        <f t="shared" si="321"/>
        <v/>
      </c>
      <c r="AI258" s="2"/>
    </row>
    <row r="259" spans="1:35" x14ac:dyDescent="0.25">
      <c r="B259" s="2" t="str">
        <f t="shared" si="315"/>
        <v>@color-trunk_line_unpaved_default</v>
      </c>
      <c r="C259" s="144" t="s">
        <v>221</v>
      </c>
      <c r="D259" s="145" t="str">
        <f>C259</f>
        <v>"#eddfca"</v>
      </c>
      <c r="F259" s="144" t="s">
        <v>221</v>
      </c>
      <c r="G259" s="145" t="str">
        <f>F259</f>
        <v>"#eddfca"</v>
      </c>
      <c r="I259" s="144" t="s">
        <v>221</v>
      </c>
      <c r="J259" s="145" t="str">
        <f>I259</f>
        <v>"#eddfca"</v>
      </c>
      <c r="L259" s="144" t="s">
        <v>221</v>
      </c>
      <c r="M259" s="145" t="str">
        <f>L259</f>
        <v>"#eddfca"</v>
      </c>
      <c r="U259" s="44"/>
      <c r="V259" s="44"/>
      <c r="X259" s="44"/>
      <c r="Y259" s="44"/>
      <c r="AA259" s="2" t="s">
        <v>6</v>
      </c>
      <c r="AB259" s="2" t="str">
        <f t="shared" si="181"/>
        <v>-</v>
      </c>
      <c r="AC259" s="2" t="s">
        <v>18</v>
      </c>
      <c r="AD259" s="2" t="str">
        <f t="shared" si="182"/>
        <v>_</v>
      </c>
      <c r="AE259" s="2" t="s">
        <v>13</v>
      </c>
      <c r="AF259" s="2" t="str">
        <f t="shared" si="183"/>
        <v>_</v>
      </c>
      <c r="AG259" s="2" t="s">
        <v>21</v>
      </c>
      <c r="AH259" s="2" t="str">
        <f t="shared" si="321"/>
        <v>_</v>
      </c>
      <c r="AI259" s="28" t="s">
        <v>262</v>
      </c>
    </row>
    <row r="260" spans="1:35" x14ac:dyDescent="0.25">
      <c r="B260" s="2" t="str">
        <f t="shared" si="315"/>
        <v>@color-trunk_line_paved_or_uk_default</v>
      </c>
      <c r="C260" s="71" t="s">
        <v>222</v>
      </c>
      <c r="D260" s="38" t="str">
        <f>C260</f>
        <v>"#ffffff"</v>
      </c>
      <c r="F260" s="71" t="s">
        <v>222</v>
      </c>
      <c r="G260" s="38" t="str">
        <f>F260</f>
        <v>"#ffffff"</v>
      </c>
      <c r="I260" s="71" t="s">
        <v>222</v>
      </c>
      <c r="J260" s="38" t="str">
        <f>I260</f>
        <v>"#ffffff"</v>
      </c>
      <c r="L260" s="71" t="s">
        <v>222</v>
      </c>
      <c r="M260" s="38" t="str">
        <f>L260</f>
        <v>"#ffffff"</v>
      </c>
      <c r="U260" s="44"/>
      <c r="V260" s="44"/>
      <c r="X260" s="44"/>
      <c r="Y260" s="44"/>
      <c r="AA260" s="28" t="s">
        <v>6</v>
      </c>
      <c r="AB260" s="28" t="str">
        <f t="shared" si="181"/>
        <v>-</v>
      </c>
      <c r="AC260" s="28" t="s">
        <v>18</v>
      </c>
      <c r="AD260" s="28" t="str">
        <f t="shared" si="182"/>
        <v>_</v>
      </c>
      <c r="AE260" s="28" t="s">
        <v>13</v>
      </c>
      <c r="AF260" s="28" t="str">
        <f t="shared" si="183"/>
        <v>_</v>
      </c>
      <c r="AG260" s="28" t="s">
        <v>24</v>
      </c>
      <c r="AH260" s="28" t="str">
        <f t="shared" si="321"/>
        <v>_</v>
      </c>
      <c r="AI260" s="28" t="s">
        <v>262</v>
      </c>
    </row>
    <row r="261" spans="1:35" x14ac:dyDescent="0.25">
      <c r="B261" s="2"/>
      <c r="AB261" s="28" t="str">
        <f t="shared" si="181"/>
        <v/>
      </c>
      <c r="AD261" s="28" t="str">
        <f t="shared" si="182"/>
        <v/>
      </c>
      <c r="AF261" s="28" t="str">
        <f t="shared" si="183"/>
        <v/>
      </c>
      <c r="AH261" s="28" t="str">
        <f t="shared" si="321"/>
        <v/>
      </c>
    </row>
    <row r="262" spans="1:35" s="2" customFormat="1" x14ac:dyDescent="0.25">
      <c r="A262" s="3" t="s">
        <v>44</v>
      </c>
      <c r="B262" s="3"/>
      <c r="C262" s="27"/>
      <c r="D262" s="6"/>
      <c r="E262" s="7"/>
      <c r="F262" s="6"/>
      <c r="G262" s="6"/>
      <c r="H262" s="7"/>
      <c r="I262" s="6"/>
      <c r="J262" s="6"/>
      <c r="K262" s="7"/>
      <c r="L262" s="6"/>
      <c r="M262" s="6"/>
      <c r="N262" s="7"/>
      <c r="O262" s="6"/>
      <c r="P262" s="6"/>
      <c r="Q262" s="7"/>
      <c r="R262" s="6"/>
      <c r="S262" s="6"/>
      <c r="T262" s="7"/>
      <c r="U262" s="6"/>
      <c r="V262" s="6"/>
      <c r="W262" s="7"/>
      <c r="X262" s="6"/>
      <c r="Y262" s="6"/>
      <c r="AA262" s="4"/>
      <c r="AB262" s="4" t="str">
        <f t="shared" si="181"/>
        <v/>
      </c>
      <c r="AC262" s="4"/>
      <c r="AD262" s="4" t="str">
        <f t="shared" si="182"/>
        <v/>
      </c>
      <c r="AE262" s="4"/>
      <c r="AF262" s="4" t="str">
        <f t="shared" si="183"/>
        <v/>
      </c>
      <c r="AG262" s="4"/>
      <c r="AH262" s="4" t="str">
        <f t="shared" si="321"/>
        <v/>
      </c>
      <c r="AI262" s="4"/>
    </row>
    <row r="263" spans="1:35" x14ac:dyDescent="0.25">
      <c r="B263" s="2" t="str">
        <f t="shared" ref="B263:B271" si="322">_xlfn.CONCAT("@",AA263,AB263,AC263,AD263,AE263,AF263,AG263,AH263,AI263)</f>
        <v>@color-primary_case_bicycle_no_default</v>
      </c>
      <c r="C263" s="137" t="s">
        <v>226</v>
      </c>
      <c r="D263" s="72" t="s">
        <v>214</v>
      </c>
      <c r="F263" s="72" t="s">
        <v>214</v>
      </c>
      <c r="G263" s="72" t="s">
        <v>214</v>
      </c>
      <c r="I263" s="138" t="str">
        <f>C263</f>
        <v>"#bd430f"</v>
      </c>
      <c r="J263" s="37" t="str">
        <f>D263</f>
        <v>"#000000"</v>
      </c>
      <c r="L263" s="72" t="s">
        <v>214</v>
      </c>
      <c r="M263" s="72" t="s">
        <v>214</v>
      </c>
      <c r="U263" s="138" t="str">
        <f>C263</f>
        <v>"#bd430f"</v>
      </c>
      <c r="V263" s="37" t="str">
        <f>D263</f>
        <v>"#000000"</v>
      </c>
      <c r="AA263" s="28" t="s">
        <v>6</v>
      </c>
      <c r="AB263" s="2" t="str">
        <f t="shared" ref="AB263:AB349" si="323">IF(NOT(ISBLANK(AC263)),"-","")</f>
        <v>-</v>
      </c>
      <c r="AC263" s="2" t="s">
        <v>25</v>
      </c>
      <c r="AD263" s="2" t="str">
        <f t="shared" si="182"/>
        <v>_</v>
      </c>
      <c r="AE263" s="28" t="s">
        <v>17</v>
      </c>
      <c r="AF263" s="2" t="str">
        <f t="shared" si="183"/>
        <v>_</v>
      </c>
      <c r="AG263" s="28" t="s">
        <v>23</v>
      </c>
      <c r="AH263" s="2" t="str">
        <f t="shared" si="321"/>
        <v>_</v>
      </c>
      <c r="AI263" s="28" t="s">
        <v>262</v>
      </c>
    </row>
    <row r="264" spans="1:35" x14ac:dyDescent="0.25">
      <c r="B264" s="2" t="str">
        <f t="shared" si="322"/>
        <v>@color-primary_case_bicycle_no_farzoom</v>
      </c>
      <c r="C264" s="137" t="s">
        <v>226</v>
      </c>
      <c r="D264" s="72" t="s">
        <v>214</v>
      </c>
      <c r="F264" s="137" t="s">
        <v>226</v>
      </c>
      <c r="G264" s="137" t="s">
        <v>226</v>
      </c>
      <c r="I264" s="138" t="str">
        <f>C264</f>
        <v>"#bd430f"</v>
      </c>
      <c r="J264" s="37" t="str">
        <f>D264</f>
        <v>"#000000"</v>
      </c>
      <c r="L264" s="137" t="s">
        <v>226</v>
      </c>
      <c r="M264" s="137" t="s">
        <v>226</v>
      </c>
      <c r="U264" s="138" t="str">
        <f>C264</f>
        <v>"#bd430f"</v>
      </c>
      <c r="V264" s="37" t="str">
        <f>D264</f>
        <v>"#000000"</v>
      </c>
      <c r="AA264" s="28" t="s">
        <v>6</v>
      </c>
      <c r="AB264" s="2" t="str">
        <f t="shared" ref="AB264" si="324">IF(NOT(ISBLANK(AC264)),"-","")</f>
        <v>-</v>
      </c>
      <c r="AC264" s="2" t="s">
        <v>25</v>
      </c>
      <c r="AD264" s="2" t="str">
        <f t="shared" ref="AD264" si="325">IF(NOT(ISBLANK(AE264)),"_","")</f>
        <v>_</v>
      </c>
      <c r="AE264" s="28" t="s">
        <v>17</v>
      </c>
      <c r="AF264" s="2" t="str">
        <f t="shared" ref="AF264" si="326">IF(NOT(ISBLANK(AG264)),"_","")</f>
        <v>_</v>
      </c>
      <c r="AG264" s="28" t="s">
        <v>23</v>
      </c>
      <c r="AH264" s="2" t="str">
        <f t="shared" si="321"/>
        <v>_</v>
      </c>
      <c r="AI264" s="28" t="s">
        <v>20</v>
      </c>
    </row>
    <row r="265" spans="1:35" x14ac:dyDescent="0.25">
      <c r="B265" s="2" t="str">
        <f t="shared" si="322"/>
        <v>@color-primary_case_unpaved_farzoom</v>
      </c>
      <c r="C265" s="139" t="s">
        <v>227</v>
      </c>
      <c r="D265" s="140" t="s">
        <v>229</v>
      </c>
      <c r="F265" s="140" t="s">
        <v>229</v>
      </c>
      <c r="G265" s="139" t="s">
        <v>227</v>
      </c>
      <c r="I265" s="139" t="s">
        <v>227</v>
      </c>
      <c r="J265" s="140" t="s">
        <v>229</v>
      </c>
      <c r="L265" s="140" t="s">
        <v>229</v>
      </c>
      <c r="M265" s="139" t="s">
        <v>227</v>
      </c>
      <c r="U265" s="44"/>
      <c r="V265" s="44"/>
      <c r="X265" s="44"/>
      <c r="Y265" s="44"/>
      <c r="AA265" s="28" t="s">
        <v>6</v>
      </c>
      <c r="AB265" s="2" t="str">
        <f>IF(NOT(ISBLANK(AC265)),"-","")</f>
        <v>-</v>
      </c>
      <c r="AC265" s="2" t="s">
        <v>25</v>
      </c>
      <c r="AD265" s="2" t="str">
        <f>IF(NOT(ISBLANK(AE265)),"_","")</f>
        <v>_</v>
      </c>
      <c r="AE265" s="28" t="s">
        <v>17</v>
      </c>
      <c r="AF265" s="2" t="str">
        <f>IF(NOT(ISBLANK(AG265)),"_","")</f>
        <v>_</v>
      </c>
      <c r="AG265" s="28" t="s">
        <v>21</v>
      </c>
      <c r="AH265" s="2" t="str">
        <f>IF(NOT(ISBLANK(AI265)),"_","")</f>
        <v>_</v>
      </c>
      <c r="AI265" s="28" t="s">
        <v>20</v>
      </c>
    </row>
    <row r="266" spans="1:35" x14ac:dyDescent="0.25">
      <c r="B266" s="2" t="str">
        <f t="shared" si="322"/>
        <v>@color-primary_case_unpaved_default</v>
      </c>
      <c r="C266" s="141" t="s">
        <v>217</v>
      </c>
      <c r="D266" s="140" t="s">
        <v>229</v>
      </c>
      <c r="F266" s="72" t="s">
        <v>214</v>
      </c>
      <c r="G266" s="72" t="s">
        <v>214</v>
      </c>
      <c r="I266" s="141" t="s">
        <v>217</v>
      </c>
      <c r="J266" s="140" t="s">
        <v>229</v>
      </c>
      <c r="L266" s="72" t="s">
        <v>214</v>
      </c>
      <c r="M266" s="72" t="s">
        <v>214</v>
      </c>
      <c r="U266" s="44"/>
      <c r="V266" s="44"/>
      <c r="X266" s="44"/>
      <c r="Y266" s="44"/>
      <c r="AA266" s="28" t="s">
        <v>6</v>
      </c>
      <c r="AB266" s="2" t="str">
        <f t="shared" si="323"/>
        <v>-</v>
      </c>
      <c r="AC266" s="2" t="s">
        <v>25</v>
      </c>
      <c r="AD266" s="2" t="str">
        <f t="shared" si="182"/>
        <v>_</v>
      </c>
      <c r="AE266" s="28" t="s">
        <v>17</v>
      </c>
      <c r="AF266" s="2" t="str">
        <f t="shared" si="183"/>
        <v>_</v>
      </c>
      <c r="AG266" s="28" t="s">
        <v>21</v>
      </c>
      <c r="AH266" s="28" t="str">
        <f t="shared" ref="AH266:AH268" si="327">IF(NOT(ISBLANK(AI266)),"_","")</f>
        <v>_</v>
      </c>
      <c r="AI266" s="28" t="s">
        <v>262</v>
      </c>
    </row>
    <row r="267" spans="1:35" x14ac:dyDescent="0.25">
      <c r="B267" s="2" t="str">
        <f t="shared" si="322"/>
        <v>@color-primary_case_paved_or_uk_farzoom</v>
      </c>
      <c r="C267" s="142" t="s">
        <v>228</v>
      </c>
      <c r="D267" s="72" t="s">
        <v>214</v>
      </c>
      <c r="F267" s="142" t="s">
        <v>228</v>
      </c>
      <c r="G267" s="142" t="s">
        <v>228</v>
      </c>
      <c r="I267" s="142" t="s">
        <v>228</v>
      </c>
      <c r="J267" s="72" t="s">
        <v>214</v>
      </c>
      <c r="L267" s="142" t="s">
        <v>228</v>
      </c>
      <c r="M267" s="142" t="s">
        <v>228</v>
      </c>
      <c r="U267" s="44"/>
      <c r="V267" s="44"/>
      <c r="X267" s="44"/>
      <c r="Y267" s="44"/>
      <c r="AA267" s="2" t="s">
        <v>6</v>
      </c>
      <c r="AB267" s="2" t="str">
        <f t="shared" si="323"/>
        <v>-</v>
      </c>
      <c r="AC267" s="2" t="s">
        <v>25</v>
      </c>
      <c r="AD267" s="2" t="str">
        <f t="shared" ref="AD267" si="328">IF(NOT(ISBLANK(AE267)),"_","")</f>
        <v>_</v>
      </c>
      <c r="AE267" s="2" t="s">
        <v>17</v>
      </c>
      <c r="AF267" s="2" t="str">
        <f t="shared" ref="AF267" si="329">IF(NOT(ISBLANK(AG267)),"_","")</f>
        <v>_</v>
      </c>
      <c r="AG267" s="2" t="s">
        <v>24</v>
      </c>
      <c r="AH267" s="2" t="str">
        <f t="shared" si="327"/>
        <v>_</v>
      </c>
      <c r="AI267" s="28" t="s">
        <v>20</v>
      </c>
    </row>
    <row r="268" spans="1:35" x14ac:dyDescent="0.25">
      <c r="B268" s="2" t="str">
        <f t="shared" si="322"/>
        <v>@color-primary_case_paved_or_uk_default</v>
      </c>
      <c r="C268" s="143" t="s">
        <v>218</v>
      </c>
      <c r="D268" s="72" t="s">
        <v>214</v>
      </c>
      <c r="F268" s="72" t="s">
        <v>214</v>
      </c>
      <c r="G268" s="72" t="s">
        <v>214</v>
      </c>
      <c r="I268" s="143" t="s">
        <v>218</v>
      </c>
      <c r="J268" s="72" t="s">
        <v>214</v>
      </c>
      <c r="L268" s="72" t="s">
        <v>214</v>
      </c>
      <c r="M268" s="72" t="s">
        <v>214</v>
      </c>
      <c r="U268" s="44"/>
      <c r="V268" s="44"/>
      <c r="X268" s="44"/>
      <c r="Y268" s="44"/>
      <c r="AA268" s="2" t="s">
        <v>6</v>
      </c>
      <c r="AB268" s="2" t="str">
        <f t="shared" si="323"/>
        <v>-</v>
      </c>
      <c r="AC268" s="28" t="s">
        <v>25</v>
      </c>
      <c r="AD268" s="2" t="str">
        <f t="shared" ref="AD268:AD349" si="330">IF(NOT(ISBLANK(AE268)),"_","")</f>
        <v>_</v>
      </c>
      <c r="AE268" s="2" t="s">
        <v>17</v>
      </c>
      <c r="AF268" s="2" t="str">
        <f t="shared" ref="AF268:AF349" si="331">IF(NOT(ISBLANK(AG268)),"_","")</f>
        <v>_</v>
      </c>
      <c r="AG268" s="2" t="s">
        <v>24</v>
      </c>
      <c r="AH268" s="2" t="str">
        <f t="shared" si="327"/>
        <v>_</v>
      </c>
      <c r="AI268" s="28" t="s">
        <v>262</v>
      </c>
    </row>
    <row r="269" spans="1:35" x14ac:dyDescent="0.25">
      <c r="B269" s="2" t="str">
        <f t="shared" si="322"/>
        <v>@color-primary_line_bicycle_no</v>
      </c>
      <c r="C269" s="146" t="s">
        <v>231</v>
      </c>
      <c r="D269" s="134" t="s">
        <v>215</v>
      </c>
      <c r="F269" s="146" t="s">
        <v>231</v>
      </c>
      <c r="G269" s="134" t="s">
        <v>215</v>
      </c>
      <c r="I269" s="147" t="str">
        <f>C269</f>
        <v>"#ffcc8a"</v>
      </c>
      <c r="J269" s="136" t="str">
        <f>D269</f>
        <v>"#d6771e"</v>
      </c>
      <c r="L269" s="146" t="s">
        <v>231</v>
      </c>
      <c r="M269" s="134" t="s">
        <v>215</v>
      </c>
      <c r="U269" s="147" t="str">
        <f>C269</f>
        <v>"#ffcc8a"</v>
      </c>
      <c r="V269" s="136" t="str">
        <f>D269</f>
        <v>"#d6771e"</v>
      </c>
      <c r="AA269" s="28" t="s">
        <v>6</v>
      </c>
      <c r="AB269" s="2" t="str">
        <f t="shared" si="323"/>
        <v>-</v>
      </c>
      <c r="AC269" s="28" t="s">
        <v>25</v>
      </c>
      <c r="AD269" s="2" t="str">
        <f t="shared" si="330"/>
        <v>_</v>
      </c>
      <c r="AE269" s="28" t="s">
        <v>13</v>
      </c>
      <c r="AF269" s="2" t="str">
        <f t="shared" si="331"/>
        <v>_</v>
      </c>
      <c r="AG269" s="28" t="s">
        <v>23</v>
      </c>
      <c r="AH269" s="2" t="str">
        <f t="shared" ref="AH269:AH274" si="332">IF(NOT(ISBLANK(AI269)),"_","")</f>
        <v/>
      </c>
    </row>
    <row r="270" spans="1:35" x14ac:dyDescent="0.25">
      <c r="B270" s="2" t="str">
        <f t="shared" si="322"/>
        <v>@color-primary_line_unpaved_default</v>
      </c>
      <c r="C270" s="144" t="s">
        <v>221</v>
      </c>
      <c r="D270" s="145" t="str">
        <f>C270</f>
        <v>"#eddfca"</v>
      </c>
      <c r="F270" s="144" t="s">
        <v>221</v>
      </c>
      <c r="G270" s="145" t="str">
        <f>F270</f>
        <v>"#eddfca"</v>
      </c>
      <c r="I270" s="144" t="s">
        <v>221</v>
      </c>
      <c r="J270" s="145" t="str">
        <f>I270</f>
        <v>"#eddfca"</v>
      </c>
      <c r="L270" s="144" t="s">
        <v>221</v>
      </c>
      <c r="M270" s="145" t="str">
        <f>L270</f>
        <v>"#eddfca"</v>
      </c>
      <c r="U270" s="44"/>
      <c r="V270" s="44"/>
      <c r="X270" s="44"/>
      <c r="Y270" s="44"/>
      <c r="AA270" s="2" t="s">
        <v>6</v>
      </c>
      <c r="AB270" s="2" t="str">
        <f t="shared" si="323"/>
        <v>-</v>
      </c>
      <c r="AC270" s="2" t="s">
        <v>25</v>
      </c>
      <c r="AD270" s="2" t="str">
        <f t="shared" si="330"/>
        <v>_</v>
      </c>
      <c r="AE270" s="2" t="s">
        <v>13</v>
      </c>
      <c r="AF270" s="2" t="str">
        <f t="shared" si="331"/>
        <v>_</v>
      </c>
      <c r="AG270" s="2" t="s">
        <v>21</v>
      </c>
      <c r="AH270" s="2" t="str">
        <f t="shared" si="332"/>
        <v>_</v>
      </c>
      <c r="AI270" s="28" t="s">
        <v>262</v>
      </c>
    </row>
    <row r="271" spans="1:35" x14ac:dyDescent="0.25">
      <c r="B271" s="2" t="str">
        <f t="shared" si="322"/>
        <v>@color-primary_line_paved_or_uk_default</v>
      </c>
      <c r="C271" s="71" t="s">
        <v>222</v>
      </c>
      <c r="D271" s="38" t="str">
        <f>C271</f>
        <v>"#ffffff"</v>
      </c>
      <c r="F271" s="71" t="s">
        <v>222</v>
      </c>
      <c r="G271" s="38" t="str">
        <f>F271</f>
        <v>"#ffffff"</v>
      </c>
      <c r="I271" s="71" t="s">
        <v>222</v>
      </c>
      <c r="J271" s="38" t="str">
        <f>I271</f>
        <v>"#ffffff"</v>
      </c>
      <c r="L271" s="71" t="s">
        <v>222</v>
      </c>
      <c r="M271" s="38" t="str">
        <f>L271</f>
        <v>"#ffffff"</v>
      </c>
      <c r="U271" s="44"/>
      <c r="V271" s="44"/>
      <c r="X271" s="44"/>
      <c r="Y271" s="44"/>
      <c r="AA271" s="2" t="s">
        <v>6</v>
      </c>
      <c r="AB271" s="2" t="str">
        <f t="shared" si="323"/>
        <v>-</v>
      </c>
      <c r="AC271" s="2" t="s">
        <v>25</v>
      </c>
      <c r="AD271" s="2" t="str">
        <f t="shared" si="330"/>
        <v>_</v>
      </c>
      <c r="AE271" s="2" t="s">
        <v>13</v>
      </c>
      <c r="AF271" s="2" t="str">
        <f t="shared" si="331"/>
        <v>_</v>
      </c>
      <c r="AG271" s="28" t="s">
        <v>24</v>
      </c>
      <c r="AH271" s="28" t="str">
        <f t="shared" si="332"/>
        <v>_</v>
      </c>
      <c r="AI271" s="28" t="s">
        <v>262</v>
      </c>
    </row>
    <row r="272" spans="1:35" x14ac:dyDescent="0.25">
      <c r="B272" s="2"/>
      <c r="C272" s="26"/>
      <c r="D272" s="26"/>
      <c r="I272" s="26"/>
      <c r="AB272" s="2"/>
      <c r="AD272" s="2"/>
      <c r="AF272" s="2" t="str">
        <f t="shared" ref="AF272:AF281" si="333">IF(NOT(ISBLANK(AG272)),"_","")</f>
        <v/>
      </c>
      <c r="AH272" s="2" t="str">
        <f t="shared" si="332"/>
        <v/>
      </c>
    </row>
    <row r="273" spans="2:35" x14ac:dyDescent="0.25">
      <c r="B273" s="2" t="str">
        <f t="shared" ref="B273:B281" si="334">_xlfn.CONCAT("@",AA273,AB273,AC273,AD273,AE273,AF273,AG273,AH273,AI273)</f>
        <v>@color-secondary_case_bicycle_no_default</v>
      </c>
      <c r="C273" s="137" t="s">
        <v>226</v>
      </c>
      <c r="D273" s="72" t="s">
        <v>214</v>
      </c>
      <c r="F273" s="72" t="s">
        <v>214</v>
      </c>
      <c r="G273" s="72" t="s">
        <v>214</v>
      </c>
      <c r="I273" s="138" t="str">
        <f>C273</f>
        <v>"#bd430f"</v>
      </c>
      <c r="J273" s="37" t="str">
        <f>D273</f>
        <v>"#000000"</v>
      </c>
      <c r="L273" s="72" t="s">
        <v>214</v>
      </c>
      <c r="M273" s="72" t="s">
        <v>214</v>
      </c>
      <c r="U273" s="138" t="str">
        <f>C273</f>
        <v>"#bd430f"</v>
      </c>
      <c r="V273" s="37" t="str">
        <f>D273</f>
        <v>"#000000"</v>
      </c>
      <c r="AA273" s="28" t="s">
        <v>6</v>
      </c>
      <c r="AB273" s="2" t="str">
        <f t="shared" ref="AB273:AB281" si="335">IF(NOT(ISBLANK(AC273)),"-","")</f>
        <v>-</v>
      </c>
      <c r="AC273" s="2" t="s">
        <v>27</v>
      </c>
      <c r="AD273" s="2" t="str">
        <f t="shared" ref="AD273:AD281" si="336">IF(NOT(ISBLANK(AE273)),"_","")</f>
        <v>_</v>
      </c>
      <c r="AE273" s="28" t="s">
        <v>17</v>
      </c>
      <c r="AF273" s="2" t="str">
        <f t="shared" si="333"/>
        <v>_</v>
      </c>
      <c r="AG273" s="28" t="s">
        <v>23</v>
      </c>
      <c r="AH273" s="2" t="str">
        <f t="shared" si="332"/>
        <v>_</v>
      </c>
      <c r="AI273" s="28" t="s">
        <v>262</v>
      </c>
    </row>
    <row r="274" spans="2:35" x14ac:dyDescent="0.25">
      <c r="B274" s="2" t="str">
        <f t="shared" si="334"/>
        <v>@color-secondary_case_bicycle_no_farzoom</v>
      </c>
      <c r="C274" s="137" t="s">
        <v>226</v>
      </c>
      <c r="D274" s="72" t="s">
        <v>214</v>
      </c>
      <c r="F274" s="137" t="s">
        <v>226</v>
      </c>
      <c r="G274" s="137" t="s">
        <v>226</v>
      </c>
      <c r="I274" s="138" t="str">
        <f>C274</f>
        <v>"#bd430f"</v>
      </c>
      <c r="J274" s="37" t="str">
        <f>D274</f>
        <v>"#000000"</v>
      </c>
      <c r="L274" s="137" t="s">
        <v>226</v>
      </c>
      <c r="M274" s="137" t="s">
        <v>226</v>
      </c>
      <c r="U274" s="138" t="str">
        <f>C274</f>
        <v>"#bd430f"</v>
      </c>
      <c r="V274" s="37" t="str">
        <f>D274</f>
        <v>"#000000"</v>
      </c>
      <c r="AA274" s="28" t="s">
        <v>6</v>
      </c>
      <c r="AB274" s="2" t="str">
        <f t="shared" ref="AB274" si="337">IF(NOT(ISBLANK(AC274)),"-","")</f>
        <v>-</v>
      </c>
      <c r="AC274" s="2" t="s">
        <v>27</v>
      </c>
      <c r="AD274" s="2" t="str">
        <f t="shared" ref="AD274" si="338">IF(NOT(ISBLANK(AE274)),"_","")</f>
        <v>_</v>
      </c>
      <c r="AE274" s="28" t="s">
        <v>17</v>
      </c>
      <c r="AF274" s="2" t="str">
        <f t="shared" ref="AF274" si="339">IF(NOT(ISBLANK(AG274)),"_","")</f>
        <v>_</v>
      </c>
      <c r="AG274" s="28" t="s">
        <v>23</v>
      </c>
      <c r="AH274" s="2" t="str">
        <f t="shared" si="332"/>
        <v>_</v>
      </c>
      <c r="AI274" s="28" t="s">
        <v>20</v>
      </c>
    </row>
    <row r="275" spans="2:35" x14ac:dyDescent="0.25">
      <c r="B275" s="2" t="str">
        <f t="shared" si="334"/>
        <v>@color-secondary_case_unpaved_farzoom</v>
      </c>
      <c r="C275" s="139" t="s">
        <v>227</v>
      </c>
      <c r="D275" s="140" t="s">
        <v>229</v>
      </c>
      <c r="F275" s="140" t="s">
        <v>229</v>
      </c>
      <c r="G275" s="139" t="s">
        <v>227</v>
      </c>
      <c r="I275" s="139" t="s">
        <v>227</v>
      </c>
      <c r="J275" s="140" t="s">
        <v>229</v>
      </c>
      <c r="L275" s="140" t="s">
        <v>229</v>
      </c>
      <c r="M275" s="139" t="s">
        <v>227</v>
      </c>
      <c r="U275" s="44"/>
      <c r="V275" s="44"/>
      <c r="X275" s="44"/>
      <c r="Y275" s="44"/>
      <c r="AA275" s="28" t="s">
        <v>6</v>
      </c>
      <c r="AB275" s="2" t="str">
        <f>IF(NOT(ISBLANK(AC275)),"-","")</f>
        <v>-</v>
      </c>
      <c r="AC275" s="2" t="s">
        <v>27</v>
      </c>
      <c r="AD275" s="2" t="str">
        <f>IF(NOT(ISBLANK(AE275)),"_","")</f>
        <v>_</v>
      </c>
      <c r="AE275" s="28" t="s">
        <v>17</v>
      </c>
      <c r="AF275" s="2" t="str">
        <f>IF(NOT(ISBLANK(AG275)),"_","")</f>
        <v>_</v>
      </c>
      <c r="AG275" s="28" t="s">
        <v>21</v>
      </c>
      <c r="AH275" s="2" t="str">
        <f>IF(NOT(ISBLANK(AI275)),"_","")</f>
        <v>_</v>
      </c>
      <c r="AI275" s="28" t="s">
        <v>20</v>
      </c>
    </row>
    <row r="276" spans="2:35" x14ac:dyDescent="0.25">
      <c r="B276" s="2" t="str">
        <f t="shared" si="334"/>
        <v>@color-secondary_case_unpaved_default</v>
      </c>
      <c r="C276" s="140" t="s">
        <v>229</v>
      </c>
      <c r="D276" s="140" t="s">
        <v>229</v>
      </c>
      <c r="F276" s="72" t="s">
        <v>214</v>
      </c>
      <c r="G276" s="72" t="s">
        <v>214</v>
      </c>
      <c r="I276" s="140" t="s">
        <v>229</v>
      </c>
      <c r="J276" s="140" t="s">
        <v>229</v>
      </c>
      <c r="L276" s="72" t="s">
        <v>214</v>
      </c>
      <c r="M276" s="72" t="s">
        <v>214</v>
      </c>
      <c r="U276" s="44"/>
      <c r="V276" s="44"/>
      <c r="X276" s="44"/>
      <c r="Y276" s="44"/>
      <c r="AA276" s="28" t="s">
        <v>6</v>
      </c>
      <c r="AB276" s="2" t="str">
        <f t="shared" si="335"/>
        <v>-</v>
      </c>
      <c r="AC276" s="2" t="s">
        <v>27</v>
      </c>
      <c r="AD276" s="2" t="str">
        <f t="shared" si="336"/>
        <v>_</v>
      </c>
      <c r="AE276" s="28" t="s">
        <v>17</v>
      </c>
      <c r="AF276" s="2" t="str">
        <f t="shared" si="333"/>
        <v>_</v>
      </c>
      <c r="AG276" s="28" t="s">
        <v>21</v>
      </c>
      <c r="AH276" s="28" t="str">
        <f t="shared" ref="AH276:AH278" si="340">IF(NOT(ISBLANK(AI276)),"_","")</f>
        <v>_</v>
      </c>
      <c r="AI276" s="28" t="s">
        <v>262</v>
      </c>
    </row>
    <row r="277" spans="2:35" x14ac:dyDescent="0.25">
      <c r="B277" s="2" t="str">
        <f t="shared" si="334"/>
        <v>@color-secondary_case_paved_or_uk_farzoom</v>
      </c>
      <c r="C277" s="142" t="s">
        <v>228</v>
      </c>
      <c r="D277" s="72" t="s">
        <v>214</v>
      </c>
      <c r="F277" s="142" t="s">
        <v>228</v>
      </c>
      <c r="G277" s="142" t="s">
        <v>228</v>
      </c>
      <c r="I277" s="142" t="s">
        <v>228</v>
      </c>
      <c r="J277" s="72" t="s">
        <v>214</v>
      </c>
      <c r="L277" s="142" t="s">
        <v>228</v>
      </c>
      <c r="M277" s="142" t="s">
        <v>228</v>
      </c>
      <c r="U277" s="44"/>
      <c r="V277" s="44"/>
      <c r="X277" s="44"/>
      <c r="Y277" s="44"/>
      <c r="AA277" s="2" t="s">
        <v>6</v>
      </c>
      <c r="AB277" s="2" t="str">
        <f t="shared" si="335"/>
        <v>-</v>
      </c>
      <c r="AC277" s="2" t="s">
        <v>27</v>
      </c>
      <c r="AD277" s="2" t="str">
        <f t="shared" si="336"/>
        <v>_</v>
      </c>
      <c r="AE277" s="2" t="s">
        <v>17</v>
      </c>
      <c r="AF277" s="2" t="str">
        <f t="shared" si="333"/>
        <v>_</v>
      </c>
      <c r="AG277" s="2" t="s">
        <v>24</v>
      </c>
      <c r="AH277" s="2" t="str">
        <f t="shared" si="340"/>
        <v>_</v>
      </c>
      <c r="AI277" s="28" t="s">
        <v>20</v>
      </c>
    </row>
    <row r="278" spans="2:35" x14ac:dyDescent="0.25">
      <c r="B278" s="2" t="str">
        <f t="shared" si="334"/>
        <v>@color-secondary_case_paved_or_uk_default</v>
      </c>
      <c r="C278" s="148" t="s">
        <v>230</v>
      </c>
      <c r="D278" s="72" t="s">
        <v>214</v>
      </c>
      <c r="F278" s="72" t="s">
        <v>214</v>
      </c>
      <c r="G278" s="72" t="s">
        <v>214</v>
      </c>
      <c r="I278" s="148" t="s">
        <v>230</v>
      </c>
      <c r="J278" s="72" t="s">
        <v>214</v>
      </c>
      <c r="L278" s="72" t="s">
        <v>214</v>
      </c>
      <c r="M278" s="72" t="s">
        <v>214</v>
      </c>
      <c r="U278" s="44"/>
      <c r="V278" s="44"/>
      <c r="X278" s="44"/>
      <c r="Y278" s="44"/>
      <c r="AA278" s="2" t="s">
        <v>6</v>
      </c>
      <c r="AB278" s="2" t="str">
        <f t="shared" si="335"/>
        <v>-</v>
      </c>
      <c r="AC278" s="2" t="s">
        <v>27</v>
      </c>
      <c r="AD278" s="2" t="str">
        <f t="shared" si="336"/>
        <v>_</v>
      </c>
      <c r="AE278" s="2" t="s">
        <v>17</v>
      </c>
      <c r="AF278" s="2" t="str">
        <f t="shared" si="333"/>
        <v>_</v>
      </c>
      <c r="AG278" s="2" t="s">
        <v>24</v>
      </c>
      <c r="AH278" s="2" t="str">
        <f t="shared" si="340"/>
        <v>_</v>
      </c>
      <c r="AI278" s="28" t="s">
        <v>262</v>
      </c>
    </row>
    <row r="279" spans="2:35" x14ac:dyDescent="0.25">
      <c r="B279" s="2" t="str">
        <f t="shared" si="334"/>
        <v>@color-secondary_line_bicycle_no</v>
      </c>
      <c r="C279" s="146" t="s">
        <v>231</v>
      </c>
      <c r="D279" s="134" t="s">
        <v>215</v>
      </c>
      <c r="F279" s="146" t="s">
        <v>231</v>
      </c>
      <c r="G279" s="134" t="s">
        <v>215</v>
      </c>
      <c r="I279" s="147" t="str">
        <f>C279</f>
        <v>"#ffcc8a"</v>
      </c>
      <c r="J279" s="136" t="str">
        <f>D279</f>
        <v>"#d6771e"</v>
      </c>
      <c r="L279" s="146" t="s">
        <v>231</v>
      </c>
      <c r="M279" s="134" t="s">
        <v>215</v>
      </c>
      <c r="U279" s="147" t="str">
        <f>C279</f>
        <v>"#ffcc8a"</v>
      </c>
      <c r="V279" s="136" t="str">
        <f>J279</f>
        <v>"#d6771e"</v>
      </c>
      <c r="AA279" s="28" t="s">
        <v>6</v>
      </c>
      <c r="AB279" s="2" t="str">
        <f t="shared" si="335"/>
        <v>-</v>
      </c>
      <c r="AC279" s="2" t="s">
        <v>27</v>
      </c>
      <c r="AD279" s="2" t="str">
        <f t="shared" si="336"/>
        <v>_</v>
      </c>
      <c r="AE279" s="28" t="s">
        <v>13</v>
      </c>
      <c r="AF279" s="2" t="str">
        <f t="shared" si="333"/>
        <v>_</v>
      </c>
      <c r="AG279" s="28" t="s">
        <v>23</v>
      </c>
      <c r="AH279" s="2" t="str">
        <f t="shared" ref="AH279:AH350" si="341">IF(NOT(ISBLANK(AI279)),"_","")</f>
        <v/>
      </c>
    </row>
    <row r="280" spans="2:35" x14ac:dyDescent="0.25">
      <c r="B280" s="2" t="str">
        <f t="shared" si="334"/>
        <v>@color-secondary_line_unpaved_default</v>
      </c>
      <c r="C280" s="144" t="s">
        <v>221</v>
      </c>
      <c r="D280" s="145" t="str">
        <f>C280</f>
        <v>"#eddfca"</v>
      </c>
      <c r="F280" s="144" t="s">
        <v>221</v>
      </c>
      <c r="G280" s="145" t="str">
        <f>F280</f>
        <v>"#eddfca"</v>
      </c>
      <c r="I280" s="144" t="s">
        <v>221</v>
      </c>
      <c r="J280" s="145" t="str">
        <f>I280</f>
        <v>"#eddfca"</v>
      </c>
      <c r="L280" s="144" t="s">
        <v>221</v>
      </c>
      <c r="M280" s="145" t="str">
        <f>L280</f>
        <v>"#eddfca"</v>
      </c>
      <c r="U280" s="44"/>
      <c r="V280" s="44"/>
      <c r="X280" s="44"/>
      <c r="Y280" s="44"/>
      <c r="AA280" s="2" t="s">
        <v>6</v>
      </c>
      <c r="AB280" s="2" t="str">
        <f t="shared" si="335"/>
        <v>-</v>
      </c>
      <c r="AC280" s="2" t="s">
        <v>27</v>
      </c>
      <c r="AD280" s="2" t="str">
        <f t="shared" si="336"/>
        <v>_</v>
      </c>
      <c r="AE280" s="2" t="s">
        <v>13</v>
      </c>
      <c r="AF280" s="2" t="str">
        <f t="shared" si="333"/>
        <v>_</v>
      </c>
      <c r="AG280" s="2" t="s">
        <v>21</v>
      </c>
      <c r="AH280" s="2" t="str">
        <f t="shared" si="341"/>
        <v>_</v>
      </c>
      <c r="AI280" s="28" t="s">
        <v>262</v>
      </c>
    </row>
    <row r="281" spans="2:35" x14ac:dyDescent="0.25">
      <c r="B281" s="2" t="str">
        <f t="shared" si="334"/>
        <v>@color-secondary_line_paved_or_uk_default</v>
      </c>
      <c r="C281" s="71" t="s">
        <v>222</v>
      </c>
      <c r="D281" s="38" t="str">
        <f>C281</f>
        <v>"#ffffff"</v>
      </c>
      <c r="F281" s="71" t="s">
        <v>222</v>
      </c>
      <c r="G281" s="38" t="str">
        <f>F281</f>
        <v>"#ffffff"</v>
      </c>
      <c r="I281" s="71" t="s">
        <v>222</v>
      </c>
      <c r="J281" s="38" t="str">
        <f>I281</f>
        <v>"#ffffff"</v>
      </c>
      <c r="L281" s="71" t="s">
        <v>222</v>
      </c>
      <c r="M281" s="38" t="str">
        <f>L281</f>
        <v>"#ffffff"</v>
      </c>
      <c r="U281" s="44"/>
      <c r="V281" s="44"/>
      <c r="X281" s="44"/>
      <c r="Y281" s="44"/>
      <c r="AA281" s="2" t="s">
        <v>6</v>
      </c>
      <c r="AB281" s="2" t="str">
        <f t="shared" si="335"/>
        <v>-</v>
      </c>
      <c r="AC281" s="2" t="s">
        <v>27</v>
      </c>
      <c r="AD281" s="2" t="str">
        <f t="shared" si="336"/>
        <v>_</v>
      </c>
      <c r="AE281" s="2" t="s">
        <v>13</v>
      </c>
      <c r="AF281" s="2" t="str">
        <f t="shared" si="333"/>
        <v>_</v>
      </c>
      <c r="AG281" s="28" t="s">
        <v>24</v>
      </c>
      <c r="AH281" s="28" t="str">
        <f t="shared" si="341"/>
        <v>_</v>
      </c>
      <c r="AI281" s="28" t="s">
        <v>262</v>
      </c>
    </row>
    <row r="282" spans="2:35" x14ac:dyDescent="0.25">
      <c r="B282" s="2"/>
      <c r="C282" s="26"/>
      <c r="D282" s="26"/>
      <c r="I282" s="26"/>
      <c r="AB282" s="2"/>
      <c r="AD282" s="2"/>
      <c r="AF282" s="2" t="str">
        <f t="shared" si="331"/>
        <v/>
      </c>
      <c r="AH282" s="2" t="str">
        <f t="shared" si="341"/>
        <v/>
      </c>
    </row>
    <row r="283" spans="2:35" x14ac:dyDescent="0.25">
      <c r="B283" s="2" t="str">
        <f t="shared" ref="B283:B291" si="342">_xlfn.CONCAT("@",AA283,AB283,AC283,AD283,AE283,AF283,AG283,AH283,AI283)</f>
        <v>@color-tertiary_case_bicycle_no_default</v>
      </c>
      <c r="C283" s="137" t="s">
        <v>226</v>
      </c>
      <c r="D283" s="72" t="s">
        <v>214</v>
      </c>
      <c r="F283" s="72" t="s">
        <v>214</v>
      </c>
      <c r="G283" s="72" t="s">
        <v>214</v>
      </c>
      <c r="I283" s="138" t="str">
        <f>C283</f>
        <v>"#bd430f"</v>
      </c>
      <c r="J283" s="37" t="str">
        <f>D283</f>
        <v>"#000000"</v>
      </c>
      <c r="L283" s="72" t="s">
        <v>214</v>
      </c>
      <c r="M283" s="72" t="s">
        <v>214</v>
      </c>
      <c r="U283" s="138" t="str">
        <f>C283</f>
        <v>"#bd430f"</v>
      </c>
      <c r="V283" s="37" t="str">
        <f>D283</f>
        <v>"#000000"</v>
      </c>
      <c r="AA283" s="28" t="s">
        <v>6</v>
      </c>
      <c r="AB283" s="2" t="str">
        <f t="shared" ref="AB283:AB285" si="343">IF(NOT(ISBLANK(AC283)),"-","")</f>
        <v>-</v>
      </c>
      <c r="AC283" s="2" t="s">
        <v>26</v>
      </c>
      <c r="AD283" s="2" t="str">
        <f t="shared" ref="AD283:AD285" si="344">IF(NOT(ISBLANK(AE283)),"_","")</f>
        <v>_</v>
      </c>
      <c r="AE283" s="28" t="s">
        <v>17</v>
      </c>
      <c r="AF283" s="2" t="str">
        <f t="shared" ref="AF283:AF285" si="345">IF(NOT(ISBLANK(AG283)),"_","")</f>
        <v>_</v>
      </c>
      <c r="AG283" s="28" t="s">
        <v>23</v>
      </c>
      <c r="AH283" s="2" t="str">
        <f t="shared" si="341"/>
        <v>_</v>
      </c>
      <c r="AI283" s="28" t="s">
        <v>262</v>
      </c>
    </row>
    <row r="284" spans="2:35" x14ac:dyDescent="0.25">
      <c r="B284" s="2" t="str">
        <f t="shared" si="342"/>
        <v>@color-tertiary_case_bicycle_no_farzoom</v>
      </c>
      <c r="C284" s="137" t="s">
        <v>226</v>
      </c>
      <c r="D284" s="72" t="s">
        <v>214</v>
      </c>
      <c r="F284" s="137" t="s">
        <v>226</v>
      </c>
      <c r="G284" s="137" t="s">
        <v>226</v>
      </c>
      <c r="I284" s="138" t="str">
        <f>C284</f>
        <v>"#bd430f"</v>
      </c>
      <c r="J284" s="37" t="str">
        <f>D284</f>
        <v>"#000000"</v>
      </c>
      <c r="L284" s="137" t="s">
        <v>226</v>
      </c>
      <c r="M284" s="137" t="s">
        <v>226</v>
      </c>
      <c r="U284" s="138" t="str">
        <f>C284</f>
        <v>"#bd430f"</v>
      </c>
      <c r="V284" s="37" t="str">
        <f>D284</f>
        <v>"#000000"</v>
      </c>
      <c r="AA284" s="28" t="s">
        <v>6</v>
      </c>
      <c r="AB284" s="2" t="str">
        <f t="shared" ref="AB284" si="346">IF(NOT(ISBLANK(AC284)),"-","")</f>
        <v>-</v>
      </c>
      <c r="AC284" s="2" t="s">
        <v>26</v>
      </c>
      <c r="AD284" s="2" t="str">
        <f t="shared" ref="AD284" si="347">IF(NOT(ISBLANK(AE284)),"_","")</f>
        <v>_</v>
      </c>
      <c r="AE284" s="28" t="s">
        <v>17</v>
      </c>
      <c r="AF284" s="2" t="str">
        <f t="shared" ref="AF284" si="348">IF(NOT(ISBLANK(AG284)),"_","")</f>
        <v>_</v>
      </c>
      <c r="AG284" s="28" t="s">
        <v>23</v>
      </c>
      <c r="AH284" s="2" t="str">
        <f t="shared" si="341"/>
        <v>_</v>
      </c>
      <c r="AI284" s="28" t="s">
        <v>20</v>
      </c>
    </row>
    <row r="285" spans="2:35" x14ac:dyDescent="0.25">
      <c r="B285" s="2" t="str">
        <f t="shared" si="342"/>
        <v>@color-tertiary_case_unpaved_farzoom</v>
      </c>
      <c r="C285" s="139" t="s">
        <v>227</v>
      </c>
      <c r="D285" s="140" t="s">
        <v>229</v>
      </c>
      <c r="F285" s="140" t="s">
        <v>229</v>
      </c>
      <c r="G285" s="139" t="s">
        <v>227</v>
      </c>
      <c r="I285" s="139" t="s">
        <v>227</v>
      </c>
      <c r="J285" s="140" t="s">
        <v>229</v>
      </c>
      <c r="L285" s="140" t="s">
        <v>229</v>
      </c>
      <c r="M285" s="139" t="s">
        <v>227</v>
      </c>
      <c r="U285" s="44"/>
      <c r="V285" s="44"/>
      <c r="X285" s="44"/>
      <c r="Y285" s="44"/>
      <c r="AA285" s="28" t="s">
        <v>6</v>
      </c>
      <c r="AB285" s="2" t="str">
        <f t="shared" si="343"/>
        <v>-</v>
      </c>
      <c r="AC285" s="2" t="s">
        <v>26</v>
      </c>
      <c r="AD285" s="2" t="str">
        <f t="shared" si="344"/>
        <v>_</v>
      </c>
      <c r="AE285" s="28" t="s">
        <v>17</v>
      </c>
      <c r="AF285" s="2" t="str">
        <f t="shared" si="345"/>
        <v>_</v>
      </c>
      <c r="AG285" s="28" t="s">
        <v>21</v>
      </c>
      <c r="AH285" s="2" t="str">
        <f>IF(NOT(ISBLANK(AI285)),"_","")</f>
        <v>_</v>
      </c>
      <c r="AI285" s="28" t="s">
        <v>20</v>
      </c>
    </row>
    <row r="286" spans="2:35" x14ac:dyDescent="0.25">
      <c r="B286" s="2" t="str">
        <f t="shared" si="342"/>
        <v>@color-tertiary_case_unpaved_default</v>
      </c>
      <c r="C286" s="140" t="s">
        <v>229</v>
      </c>
      <c r="D286" s="140" t="s">
        <v>229</v>
      </c>
      <c r="F286" s="72" t="s">
        <v>214</v>
      </c>
      <c r="G286" s="72" t="s">
        <v>214</v>
      </c>
      <c r="I286" s="140" t="s">
        <v>229</v>
      </c>
      <c r="J286" s="140" t="s">
        <v>229</v>
      </c>
      <c r="L286" s="72" t="s">
        <v>214</v>
      </c>
      <c r="M286" s="72" t="s">
        <v>214</v>
      </c>
      <c r="U286" s="44"/>
      <c r="V286" s="44"/>
      <c r="X286" s="44"/>
      <c r="Y286" s="44"/>
      <c r="AA286" s="28" t="s">
        <v>6</v>
      </c>
      <c r="AB286" s="2" t="str">
        <f t="shared" ref="AB286:AB291" si="349">IF(NOT(ISBLANK(AC286)),"-","")</f>
        <v>-</v>
      </c>
      <c r="AC286" s="2" t="s">
        <v>26</v>
      </c>
      <c r="AD286" s="2" t="str">
        <f t="shared" ref="AD286:AD291" si="350">IF(NOT(ISBLANK(AE286)),"_","")</f>
        <v>_</v>
      </c>
      <c r="AE286" s="28" t="s">
        <v>17</v>
      </c>
      <c r="AF286" s="2" t="str">
        <f t="shared" si="331"/>
        <v>_</v>
      </c>
      <c r="AG286" s="28" t="s">
        <v>21</v>
      </c>
      <c r="AH286" s="28" t="str">
        <f t="shared" ref="AH286:AH291" si="351">IF(NOT(ISBLANK(AI286)),"_","")</f>
        <v>_</v>
      </c>
      <c r="AI286" s="28" t="s">
        <v>262</v>
      </c>
    </row>
    <row r="287" spans="2:35" x14ac:dyDescent="0.25">
      <c r="B287" s="2" t="str">
        <f t="shared" si="342"/>
        <v>@color-tertiary_case_paved_or_uk_farzoom</v>
      </c>
      <c r="C287" s="142" t="s">
        <v>228</v>
      </c>
      <c r="D287" s="72" t="s">
        <v>214</v>
      </c>
      <c r="F287" s="142" t="s">
        <v>228</v>
      </c>
      <c r="G287" s="142" t="s">
        <v>228</v>
      </c>
      <c r="I287" s="142" t="s">
        <v>228</v>
      </c>
      <c r="J287" s="72" t="s">
        <v>214</v>
      </c>
      <c r="L287" s="142" t="s">
        <v>228</v>
      </c>
      <c r="M287" s="142" t="s">
        <v>228</v>
      </c>
      <c r="U287" s="44"/>
      <c r="V287" s="44"/>
      <c r="X287" s="44"/>
      <c r="Y287" s="44"/>
      <c r="AA287" s="2" t="s">
        <v>6</v>
      </c>
      <c r="AB287" s="2" t="str">
        <f t="shared" ref="AB287" si="352">IF(NOT(ISBLANK(AC287)),"-","")</f>
        <v>-</v>
      </c>
      <c r="AC287" s="2" t="s">
        <v>26</v>
      </c>
      <c r="AD287" s="2" t="str">
        <f t="shared" ref="AD287" si="353">IF(NOT(ISBLANK(AE287)),"_","")</f>
        <v>_</v>
      </c>
      <c r="AE287" s="2" t="s">
        <v>17</v>
      </c>
      <c r="AF287" s="2" t="str">
        <f t="shared" ref="AF287" si="354">IF(NOT(ISBLANK(AG287)),"_","")</f>
        <v>_</v>
      </c>
      <c r="AG287" s="2" t="s">
        <v>24</v>
      </c>
      <c r="AH287" s="2" t="str">
        <f t="shared" si="351"/>
        <v>_</v>
      </c>
      <c r="AI287" s="28" t="s">
        <v>20</v>
      </c>
    </row>
    <row r="288" spans="2:35" x14ac:dyDescent="0.25">
      <c r="B288" s="2" t="str">
        <f t="shared" si="342"/>
        <v>@color-tertiary_case_paved_or_uk_default</v>
      </c>
      <c r="C288" s="148" t="s">
        <v>230</v>
      </c>
      <c r="D288" s="72" t="s">
        <v>214</v>
      </c>
      <c r="F288" s="72" t="s">
        <v>214</v>
      </c>
      <c r="G288" s="72" t="s">
        <v>214</v>
      </c>
      <c r="I288" s="148" t="s">
        <v>230</v>
      </c>
      <c r="J288" s="72" t="s">
        <v>214</v>
      </c>
      <c r="L288" s="72" t="s">
        <v>214</v>
      </c>
      <c r="M288" s="72" t="s">
        <v>214</v>
      </c>
      <c r="U288" s="44"/>
      <c r="V288" s="44"/>
      <c r="X288" s="44"/>
      <c r="Y288" s="44"/>
      <c r="AA288" s="2" t="s">
        <v>6</v>
      </c>
      <c r="AB288" s="2" t="str">
        <f t="shared" si="349"/>
        <v>-</v>
      </c>
      <c r="AC288" s="2" t="s">
        <v>26</v>
      </c>
      <c r="AD288" s="2" t="str">
        <f t="shared" si="350"/>
        <v>_</v>
      </c>
      <c r="AE288" s="2" t="s">
        <v>17</v>
      </c>
      <c r="AF288" s="2" t="str">
        <f t="shared" si="331"/>
        <v>_</v>
      </c>
      <c r="AG288" s="2" t="s">
        <v>24</v>
      </c>
      <c r="AH288" s="2" t="str">
        <f t="shared" si="351"/>
        <v>_</v>
      </c>
      <c r="AI288" s="28" t="s">
        <v>262</v>
      </c>
    </row>
    <row r="289" spans="1:35" x14ac:dyDescent="0.25">
      <c r="B289" s="2" t="str">
        <f t="shared" si="342"/>
        <v>@color-tertiary_line_bicycle_no</v>
      </c>
      <c r="C289" s="146" t="s">
        <v>231</v>
      </c>
      <c r="D289" s="134" t="s">
        <v>215</v>
      </c>
      <c r="F289" s="146" t="s">
        <v>231</v>
      </c>
      <c r="G289" s="134" t="s">
        <v>215</v>
      </c>
      <c r="I289" s="147" t="str">
        <f>C289</f>
        <v>"#ffcc8a"</v>
      </c>
      <c r="J289" s="136" t="str">
        <f>D289</f>
        <v>"#d6771e"</v>
      </c>
      <c r="L289" s="146" t="s">
        <v>231</v>
      </c>
      <c r="M289" s="134" t="s">
        <v>215</v>
      </c>
      <c r="U289" s="147" t="str">
        <f>C289</f>
        <v>"#ffcc8a"</v>
      </c>
      <c r="V289" s="136" t="str">
        <f>J289</f>
        <v>"#d6771e"</v>
      </c>
      <c r="AA289" s="28" t="s">
        <v>6</v>
      </c>
      <c r="AB289" s="2" t="str">
        <f t="shared" si="349"/>
        <v>-</v>
      </c>
      <c r="AC289" s="2" t="s">
        <v>26</v>
      </c>
      <c r="AD289" s="2" t="str">
        <f t="shared" si="350"/>
        <v>_</v>
      </c>
      <c r="AE289" s="28" t="s">
        <v>13</v>
      </c>
      <c r="AF289" s="2" t="str">
        <f t="shared" si="331"/>
        <v>_</v>
      </c>
      <c r="AG289" s="28" t="s">
        <v>23</v>
      </c>
      <c r="AH289" s="2" t="str">
        <f t="shared" si="351"/>
        <v/>
      </c>
    </row>
    <row r="290" spans="1:35" x14ac:dyDescent="0.25">
      <c r="B290" s="2" t="str">
        <f t="shared" si="342"/>
        <v>@color-tertiary_line_unpaved_default</v>
      </c>
      <c r="C290" s="144" t="s">
        <v>221</v>
      </c>
      <c r="D290" s="145" t="str">
        <f>C290</f>
        <v>"#eddfca"</v>
      </c>
      <c r="F290" s="144" t="s">
        <v>221</v>
      </c>
      <c r="G290" s="145" t="str">
        <f>F290</f>
        <v>"#eddfca"</v>
      </c>
      <c r="I290" s="144" t="s">
        <v>221</v>
      </c>
      <c r="J290" s="145" t="str">
        <f>I290</f>
        <v>"#eddfca"</v>
      </c>
      <c r="L290" s="144" t="s">
        <v>221</v>
      </c>
      <c r="M290" s="145" t="str">
        <f>L290</f>
        <v>"#eddfca"</v>
      </c>
      <c r="U290" s="44"/>
      <c r="V290" s="44"/>
      <c r="X290" s="44"/>
      <c r="Y290" s="44"/>
      <c r="AA290" s="2" t="s">
        <v>6</v>
      </c>
      <c r="AB290" s="2" t="str">
        <f t="shared" si="349"/>
        <v>-</v>
      </c>
      <c r="AC290" s="2" t="s">
        <v>26</v>
      </c>
      <c r="AD290" s="2" t="str">
        <f t="shared" si="350"/>
        <v>_</v>
      </c>
      <c r="AE290" s="2" t="s">
        <v>13</v>
      </c>
      <c r="AF290" s="2" t="str">
        <f t="shared" si="331"/>
        <v>_</v>
      </c>
      <c r="AG290" s="2" t="s">
        <v>21</v>
      </c>
      <c r="AH290" s="2" t="str">
        <f t="shared" si="351"/>
        <v>_</v>
      </c>
      <c r="AI290" s="28" t="s">
        <v>262</v>
      </c>
    </row>
    <row r="291" spans="1:35" x14ac:dyDescent="0.25">
      <c r="B291" s="2" t="str">
        <f t="shared" si="342"/>
        <v>@color-tertiary_line_paved_or_uk_default</v>
      </c>
      <c r="C291" s="71" t="s">
        <v>222</v>
      </c>
      <c r="D291" s="38" t="str">
        <f>C291</f>
        <v>"#ffffff"</v>
      </c>
      <c r="F291" s="71" t="s">
        <v>222</v>
      </c>
      <c r="G291" s="38" t="str">
        <f>F291</f>
        <v>"#ffffff"</v>
      </c>
      <c r="I291" s="71" t="s">
        <v>222</v>
      </c>
      <c r="J291" s="38" t="str">
        <f>I291</f>
        <v>"#ffffff"</v>
      </c>
      <c r="L291" s="71" t="s">
        <v>222</v>
      </c>
      <c r="M291" s="38" t="str">
        <f>L291</f>
        <v>"#ffffff"</v>
      </c>
      <c r="U291" s="44"/>
      <c r="V291" s="44"/>
      <c r="X291" s="44"/>
      <c r="Y291" s="44"/>
      <c r="AA291" s="2" t="s">
        <v>6</v>
      </c>
      <c r="AB291" s="2" t="str">
        <f t="shared" si="349"/>
        <v>-</v>
      </c>
      <c r="AC291" s="2" t="s">
        <v>26</v>
      </c>
      <c r="AD291" s="2" t="str">
        <f t="shared" si="350"/>
        <v>_</v>
      </c>
      <c r="AE291" s="2" t="s">
        <v>13</v>
      </c>
      <c r="AF291" s="2" t="str">
        <f t="shared" si="331"/>
        <v>_</v>
      </c>
      <c r="AG291" s="28" t="s">
        <v>24</v>
      </c>
      <c r="AH291" s="28" t="str">
        <f t="shared" si="351"/>
        <v>_</v>
      </c>
      <c r="AI291" s="28" t="s">
        <v>262</v>
      </c>
    </row>
    <row r="292" spans="1:35" x14ac:dyDescent="0.25">
      <c r="B292" s="2"/>
      <c r="AB292" s="28" t="str">
        <f t="shared" si="323"/>
        <v/>
      </c>
      <c r="AD292" s="28" t="str">
        <f t="shared" si="330"/>
        <v/>
      </c>
      <c r="AF292" s="28" t="str">
        <f t="shared" si="331"/>
        <v/>
      </c>
      <c r="AH292" s="28" t="str">
        <f t="shared" si="341"/>
        <v/>
      </c>
    </row>
    <row r="293" spans="1:35" s="2" customFormat="1" x14ac:dyDescent="0.25">
      <c r="A293" s="3" t="s">
        <v>223</v>
      </c>
      <c r="B293" s="3"/>
      <c r="C293" s="27"/>
      <c r="D293" s="6"/>
      <c r="E293" s="7"/>
      <c r="F293" s="6"/>
      <c r="G293" s="6"/>
      <c r="H293" s="7"/>
      <c r="I293" s="6"/>
      <c r="J293" s="6"/>
      <c r="K293" s="7"/>
      <c r="L293" s="6"/>
      <c r="M293" s="6"/>
      <c r="N293" s="7"/>
      <c r="O293" s="6"/>
      <c r="P293" s="6"/>
      <c r="Q293" s="7"/>
      <c r="R293" s="6"/>
      <c r="S293" s="6"/>
      <c r="T293" s="7"/>
      <c r="U293" s="6"/>
      <c r="V293" s="6"/>
      <c r="W293" s="7"/>
      <c r="X293" s="6"/>
      <c r="Y293" s="6"/>
      <c r="AA293" s="4"/>
      <c r="AB293" s="4" t="str">
        <f t="shared" si="323"/>
        <v/>
      </c>
      <c r="AC293" s="4"/>
      <c r="AD293" s="4" t="str">
        <f t="shared" si="330"/>
        <v/>
      </c>
      <c r="AE293" s="4"/>
      <c r="AF293" s="4" t="str">
        <f t="shared" si="331"/>
        <v/>
      </c>
      <c r="AG293" s="4"/>
      <c r="AH293" s="4" t="str">
        <f t="shared" si="341"/>
        <v/>
      </c>
      <c r="AI293" s="4"/>
    </row>
    <row r="294" spans="1:35" x14ac:dyDescent="0.25">
      <c r="B294" s="2" t="str">
        <f t="shared" ref="B294:B299" si="355">_xlfn.CONCAT("@",AA294,AB294,AC294,AD294,AE294,AF294,AG294,AH294,AI294)</f>
        <v>@color-raceway_case_unpaved_farzoom</v>
      </c>
      <c r="C294" s="139" t="s">
        <v>227</v>
      </c>
      <c r="D294" s="140" t="s">
        <v>229</v>
      </c>
      <c r="F294" s="140" t="s">
        <v>229</v>
      </c>
      <c r="G294" s="139" t="s">
        <v>227</v>
      </c>
      <c r="I294" s="156" t="str">
        <f t="shared" ref="I294" si="356">C294</f>
        <v>"#b99346"</v>
      </c>
      <c r="J294" s="151" t="str">
        <f t="shared" ref="J294" si="357">D294</f>
        <v>"#644507"</v>
      </c>
      <c r="L294" s="140" t="s">
        <v>229</v>
      </c>
      <c r="M294" s="139" t="s">
        <v>227</v>
      </c>
      <c r="U294" s="44"/>
      <c r="V294" s="44"/>
      <c r="X294" s="44"/>
      <c r="Y294" s="44"/>
      <c r="AA294" s="2" t="s">
        <v>6</v>
      </c>
      <c r="AB294" s="2" t="str">
        <f t="shared" ref="AB294" si="358">IF(NOT(ISBLANK(AC294)),"-","")</f>
        <v>-</v>
      </c>
      <c r="AC294" s="2" t="s">
        <v>28</v>
      </c>
      <c r="AD294" s="2" t="str">
        <f t="shared" ref="AD294" si="359">IF(NOT(ISBLANK(AE294)),"_","")</f>
        <v>_</v>
      </c>
      <c r="AE294" s="2" t="s">
        <v>17</v>
      </c>
      <c r="AF294" s="2" t="str">
        <f t="shared" ref="AF294" si="360">IF(NOT(ISBLANK(AG294)),"_","")</f>
        <v>_</v>
      </c>
      <c r="AG294" s="2" t="s">
        <v>21</v>
      </c>
      <c r="AH294" s="2" t="str">
        <f t="shared" ref="AH294" si="361">IF(NOT(ISBLANK(AI294)),"_","")</f>
        <v>_</v>
      </c>
      <c r="AI294" s="28" t="s">
        <v>20</v>
      </c>
    </row>
    <row r="295" spans="1:35" x14ac:dyDescent="0.25">
      <c r="B295" s="2" t="str">
        <f t="shared" si="355"/>
        <v>@color-raceway_case_unpaved</v>
      </c>
      <c r="C295" s="149" t="s">
        <v>232</v>
      </c>
      <c r="D295" s="140" t="s">
        <v>229</v>
      </c>
      <c r="F295" s="72" t="s">
        <v>214</v>
      </c>
      <c r="G295" s="72" t="s">
        <v>214</v>
      </c>
      <c r="I295" s="150" t="str">
        <f>C295</f>
        <v>"#af9564"</v>
      </c>
      <c r="J295" s="151" t="str">
        <f>D295</f>
        <v>"#644507"</v>
      </c>
      <c r="L295" s="72" t="s">
        <v>214</v>
      </c>
      <c r="M295" s="72" t="s">
        <v>214</v>
      </c>
      <c r="U295" s="44"/>
      <c r="V295" s="44"/>
      <c r="X295" s="44"/>
      <c r="Y295" s="44"/>
      <c r="AA295" s="2" t="s">
        <v>6</v>
      </c>
      <c r="AB295" s="2" t="str">
        <f t="shared" ref="AB295:AB297" si="362">IF(NOT(ISBLANK(AC295)),"-","")</f>
        <v>-</v>
      </c>
      <c r="AC295" s="2" t="s">
        <v>28</v>
      </c>
      <c r="AD295" s="2" t="str">
        <f t="shared" ref="AD295:AD297" si="363">IF(NOT(ISBLANK(AE295)),"_","")</f>
        <v>_</v>
      </c>
      <c r="AE295" s="2" t="s">
        <v>17</v>
      </c>
      <c r="AF295" s="2" t="str">
        <f t="shared" ref="AF295:AF297" si="364">IF(NOT(ISBLANK(AG295)),"_","")</f>
        <v>_</v>
      </c>
      <c r="AG295" s="2" t="s">
        <v>21</v>
      </c>
      <c r="AH295" s="2" t="str">
        <f t="shared" si="341"/>
        <v/>
      </c>
      <c r="AI295" s="2"/>
    </row>
    <row r="296" spans="1:35" x14ac:dyDescent="0.25">
      <c r="B296" s="2" t="str">
        <f t="shared" si="355"/>
        <v>@color-raceway_case_paved_or_uk_farzoom</v>
      </c>
      <c r="C296" s="142" t="s">
        <v>228</v>
      </c>
      <c r="D296" s="72" t="s">
        <v>214</v>
      </c>
      <c r="F296" s="142" t="s">
        <v>228</v>
      </c>
      <c r="G296" s="142" t="s">
        <v>228</v>
      </c>
      <c r="I296" s="157" t="str">
        <f t="shared" ref="I296" si="365">C296</f>
        <v>"#808080"</v>
      </c>
      <c r="J296" s="37" t="str">
        <f t="shared" ref="J296" si="366">D296</f>
        <v>"#000000"</v>
      </c>
      <c r="L296" s="142" t="s">
        <v>228</v>
      </c>
      <c r="M296" s="142" t="s">
        <v>228</v>
      </c>
      <c r="U296" s="44"/>
      <c r="V296" s="44"/>
      <c r="X296" s="44"/>
      <c r="Y296" s="44"/>
      <c r="AA296" s="2" t="s">
        <v>6</v>
      </c>
      <c r="AB296" s="2" t="str">
        <f t="shared" si="362"/>
        <v>-</v>
      </c>
      <c r="AC296" s="2" t="s">
        <v>28</v>
      </c>
      <c r="AD296" s="2" t="str">
        <f t="shared" si="363"/>
        <v>_</v>
      </c>
      <c r="AE296" s="2" t="s">
        <v>17</v>
      </c>
      <c r="AF296" s="2" t="str">
        <f t="shared" si="364"/>
        <v>_</v>
      </c>
      <c r="AG296" s="2" t="s">
        <v>24</v>
      </c>
      <c r="AH296" s="2" t="str">
        <f t="shared" ref="AH296" si="367">IF(NOT(ISBLANK(AI296)),"_","")</f>
        <v>_</v>
      </c>
      <c r="AI296" s="28" t="s">
        <v>20</v>
      </c>
    </row>
    <row r="297" spans="1:35" x14ac:dyDescent="0.25">
      <c r="B297" s="2" t="str">
        <f t="shared" si="355"/>
        <v>@color-raceway_case_paved_or_uk</v>
      </c>
      <c r="C297" s="152" t="s">
        <v>233</v>
      </c>
      <c r="D297" s="153" t="s">
        <v>234</v>
      </c>
      <c r="F297" s="72" t="s">
        <v>214</v>
      </c>
      <c r="G297" s="72" t="s">
        <v>214</v>
      </c>
      <c r="I297" s="154" t="str">
        <f>C297</f>
        <v>"#a8a6a4"</v>
      </c>
      <c r="J297" s="155" t="str">
        <f>D297</f>
        <v>"#4a4a4a"</v>
      </c>
      <c r="L297" s="72" t="s">
        <v>214</v>
      </c>
      <c r="M297" s="72" t="s">
        <v>214</v>
      </c>
      <c r="U297" s="44"/>
      <c r="V297" s="44"/>
      <c r="X297" s="44"/>
      <c r="Y297" s="44"/>
      <c r="AA297" s="2" t="s">
        <v>6</v>
      </c>
      <c r="AB297" s="2" t="str">
        <f t="shared" si="362"/>
        <v>-</v>
      </c>
      <c r="AC297" s="2" t="s">
        <v>28</v>
      </c>
      <c r="AD297" s="2" t="str">
        <f t="shared" si="363"/>
        <v>_</v>
      </c>
      <c r="AE297" s="2" t="s">
        <v>17</v>
      </c>
      <c r="AF297" s="2" t="str">
        <f t="shared" si="364"/>
        <v>_</v>
      </c>
      <c r="AG297" s="2" t="s">
        <v>24</v>
      </c>
      <c r="AH297" s="2" t="str">
        <f t="shared" si="341"/>
        <v/>
      </c>
      <c r="AI297" s="2"/>
    </row>
    <row r="298" spans="1:35" x14ac:dyDescent="0.25">
      <c r="B298" s="2" t="str">
        <f t="shared" si="355"/>
        <v>@color-raceway_line_unpaved</v>
      </c>
      <c r="C298" s="144" t="s">
        <v>221</v>
      </c>
      <c r="D298" s="145" t="str">
        <f>C298</f>
        <v>"#eddfca"</v>
      </c>
      <c r="F298" s="144" t="s">
        <v>221</v>
      </c>
      <c r="G298" s="38" t="str">
        <f t="shared" ref="G298:G299" si="368">F298</f>
        <v>"#eddfca"</v>
      </c>
      <c r="I298" s="145" t="str">
        <f>C298</f>
        <v>"#eddfca"</v>
      </c>
      <c r="J298" s="145" t="str">
        <f>C298</f>
        <v>"#eddfca"</v>
      </c>
      <c r="L298" s="144" t="s">
        <v>221</v>
      </c>
      <c r="M298" s="38" t="str">
        <f t="shared" ref="M298:M299" si="369">L298</f>
        <v>"#eddfca"</v>
      </c>
      <c r="U298" s="44"/>
      <c r="V298" s="44"/>
      <c r="X298" s="44"/>
      <c r="Y298" s="44"/>
      <c r="AA298" s="2" t="s">
        <v>6</v>
      </c>
      <c r="AB298" s="2" t="str">
        <f t="shared" si="323"/>
        <v>-</v>
      </c>
      <c r="AC298" s="2" t="s">
        <v>28</v>
      </c>
      <c r="AD298" s="2" t="str">
        <f t="shared" si="330"/>
        <v>_</v>
      </c>
      <c r="AE298" s="2" t="s">
        <v>13</v>
      </c>
      <c r="AF298" s="2" t="str">
        <f t="shared" si="331"/>
        <v>_</v>
      </c>
      <c r="AG298" s="2" t="s">
        <v>21</v>
      </c>
      <c r="AH298" s="2" t="str">
        <f t="shared" si="341"/>
        <v/>
      </c>
      <c r="AI298" s="2"/>
    </row>
    <row r="299" spans="1:35" x14ac:dyDescent="0.25">
      <c r="B299" s="2" t="str">
        <f t="shared" si="355"/>
        <v>@color-raceway_line_paved_or_uk</v>
      </c>
      <c r="C299" s="26" t="s">
        <v>222</v>
      </c>
      <c r="D299" s="38" t="str">
        <f>C299</f>
        <v>"#ffffff"</v>
      </c>
      <c r="F299" s="71" t="s">
        <v>222</v>
      </c>
      <c r="G299" s="38" t="str">
        <f t="shared" si="368"/>
        <v>"#ffffff"</v>
      </c>
      <c r="I299" s="38" t="str">
        <f>C299</f>
        <v>"#ffffff"</v>
      </c>
      <c r="J299" s="38" t="str">
        <f>C299</f>
        <v>"#ffffff"</v>
      </c>
      <c r="L299" s="71" t="s">
        <v>222</v>
      </c>
      <c r="M299" s="38" t="str">
        <f t="shared" si="369"/>
        <v>"#ffffff"</v>
      </c>
      <c r="U299" s="44"/>
      <c r="V299" s="44"/>
      <c r="X299" s="44"/>
      <c r="Y299" s="44"/>
      <c r="AA299" s="2" t="s">
        <v>6</v>
      </c>
      <c r="AB299" s="2" t="str">
        <f t="shared" si="323"/>
        <v>-</v>
      </c>
      <c r="AC299" s="2" t="s">
        <v>28</v>
      </c>
      <c r="AD299" s="2" t="str">
        <f t="shared" si="330"/>
        <v>_</v>
      </c>
      <c r="AE299" s="2" t="s">
        <v>13</v>
      </c>
      <c r="AF299" s="2" t="str">
        <f t="shared" si="331"/>
        <v>_</v>
      </c>
      <c r="AG299" s="2" t="s">
        <v>24</v>
      </c>
      <c r="AH299" s="2" t="str">
        <f t="shared" si="341"/>
        <v/>
      </c>
      <c r="AI299" s="2"/>
    </row>
    <row r="300" spans="1:35" x14ac:dyDescent="0.25">
      <c r="B300" s="2"/>
      <c r="C300" s="26"/>
      <c r="D300" s="38"/>
      <c r="F300" s="71"/>
      <c r="G300" s="38"/>
      <c r="I300" s="38"/>
      <c r="J300" s="38"/>
      <c r="L300" s="71"/>
      <c r="M300" s="38"/>
      <c r="U300" s="176"/>
      <c r="V300" s="176"/>
      <c r="X300" s="176"/>
      <c r="Y300" s="176"/>
      <c r="AA300" s="2"/>
      <c r="AB300" s="2"/>
      <c r="AC300" s="2"/>
      <c r="AD300" s="2"/>
      <c r="AE300" s="2"/>
      <c r="AF300" s="2"/>
      <c r="AG300" s="2"/>
      <c r="AH300" s="2"/>
      <c r="AI300" s="2"/>
    </row>
    <row r="301" spans="1:35" x14ac:dyDescent="0.25">
      <c r="B301" s="2"/>
      <c r="AB301" s="28" t="str">
        <f t="shared" si="323"/>
        <v/>
      </c>
      <c r="AD301" s="28" t="str">
        <f t="shared" si="330"/>
        <v/>
      </c>
      <c r="AF301" s="28" t="str">
        <f t="shared" si="331"/>
        <v/>
      </c>
      <c r="AH301" s="28" t="str">
        <f t="shared" si="341"/>
        <v/>
      </c>
    </row>
    <row r="302" spans="1:35" x14ac:dyDescent="0.25">
      <c r="B302" s="2" t="str">
        <f t="shared" ref="B302:B307" si="370">_xlfn.CONCAT("@",AA302,AB302,AC302,AD302,AE302,AF302,AG302,AH302,AI302)</f>
        <v>@color-driveway_case_unpaved_farzoom</v>
      </c>
      <c r="C302" s="139" t="s">
        <v>227</v>
      </c>
      <c r="D302" s="140" t="s">
        <v>229</v>
      </c>
      <c r="F302" s="140" t="s">
        <v>229</v>
      </c>
      <c r="G302" s="139" t="s">
        <v>227</v>
      </c>
      <c r="I302" s="156" t="str">
        <f t="shared" ref="I302:J305" si="371">C302</f>
        <v>"#b99346"</v>
      </c>
      <c r="J302" s="151" t="str">
        <f t="shared" si="371"/>
        <v>"#644507"</v>
      </c>
      <c r="L302" s="140" t="s">
        <v>229</v>
      </c>
      <c r="M302" s="139" t="s">
        <v>227</v>
      </c>
      <c r="U302" s="44"/>
      <c r="V302" s="44"/>
      <c r="X302" s="44"/>
      <c r="Y302" s="44"/>
      <c r="AA302" s="2" t="s">
        <v>6</v>
      </c>
      <c r="AB302" s="2" t="str">
        <f t="shared" si="323"/>
        <v>-</v>
      </c>
      <c r="AC302" s="2" t="s">
        <v>29</v>
      </c>
      <c r="AD302" s="2" t="str">
        <f t="shared" si="330"/>
        <v>_</v>
      </c>
      <c r="AE302" s="2" t="s">
        <v>17</v>
      </c>
      <c r="AF302" s="2" t="str">
        <f t="shared" si="331"/>
        <v>_</v>
      </c>
      <c r="AG302" s="2" t="s">
        <v>21</v>
      </c>
      <c r="AH302" s="2" t="str">
        <f t="shared" si="341"/>
        <v>_</v>
      </c>
      <c r="AI302" s="28" t="s">
        <v>20</v>
      </c>
    </row>
    <row r="303" spans="1:35" x14ac:dyDescent="0.25">
      <c r="B303" s="2" t="str">
        <f t="shared" si="370"/>
        <v>@color-driveway_case_unpaved_default</v>
      </c>
      <c r="C303" s="140" t="s">
        <v>229</v>
      </c>
      <c r="D303" s="140" t="s">
        <v>229</v>
      </c>
      <c r="F303" s="72" t="s">
        <v>214</v>
      </c>
      <c r="G303" s="72" t="s">
        <v>214</v>
      </c>
      <c r="I303" s="151" t="str">
        <f t="shared" si="371"/>
        <v>"#644507"</v>
      </c>
      <c r="J303" s="151" t="str">
        <f t="shared" si="371"/>
        <v>"#644507"</v>
      </c>
      <c r="L303" s="72" t="s">
        <v>214</v>
      </c>
      <c r="M303" s="72" t="s">
        <v>214</v>
      </c>
      <c r="U303" s="44"/>
      <c r="V303" s="44"/>
      <c r="X303" s="44"/>
      <c r="Y303" s="44"/>
      <c r="AA303" s="2" t="s">
        <v>6</v>
      </c>
      <c r="AB303" s="2" t="str">
        <f t="shared" si="323"/>
        <v>-</v>
      </c>
      <c r="AC303" s="2" t="s">
        <v>29</v>
      </c>
      <c r="AD303" s="2" t="str">
        <f t="shared" si="330"/>
        <v>_</v>
      </c>
      <c r="AE303" s="2" t="s">
        <v>17</v>
      </c>
      <c r="AF303" s="2" t="str">
        <f t="shared" si="331"/>
        <v>_</v>
      </c>
      <c r="AG303" s="2" t="s">
        <v>21</v>
      </c>
      <c r="AH303" s="2" t="str">
        <f t="shared" si="341"/>
        <v>_</v>
      </c>
      <c r="AI303" s="2" t="s">
        <v>262</v>
      </c>
    </row>
    <row r="304" spans="1:35" x14ac:dyDescent="0.25">
      <c r="B304" s="2" t="str">
        <f t="shared" si="370"/>
        <v>@color-driveway_case_paved_or_uk_farzoom</v>
      </c>
      <c r="C304" s="142" t="s">
        <v>228</v>
      </c>
      <c r="D304" s="72" t="s">
        <v>214</v>
      </c>
      <c r="F304" s="142" t="s">
        <v>228</v>
      </c>
      <c r="G304" s="142" t="s">
        <v>228</v>
      </c>
      <c r="I304" s="157" t="str">
        <f t="shared" si="371"/>
        <v>"#808080"</v>
      </c>
      <c r="J304" s="37" t="str">
        <f t="shared" si="371"/>
        <v>"#000000"</v>
      </c>
      <c r="L304" s="142" t="s">
        <v>228</v>
      </c>
      <c r="M304" s="142" t="s">
        <v>228</v>
      </c>
      <c r="U304" s="44"/>
      <c r="V304" s="44"/>
      <c r="X304" s="44"/>
      <c r="Y304" s="44"/>
      <c r="AA304" s="2" t="s">
        <v>6</v>
      </c>
      <c r="AB304" s="2" t="str">
        <f t="shared" si="323"/>
        <v>-</v>
      </c>
      <c r="AC304" s="2" t="s">
        <v>29</v>
      </c>
      <c r="AD304" s="2" t="str">
        <f t="shared" si="330"/>
        <v>_</v>
      </c>
      <c r="AE304" s="2" t="s">
        <v>17</v>
      </c>
      <c r="AF304" s="2" t="str">
        <f t="shared" si="331"/>
        <v>_</v>
      </c>
      <c r="AG304" s="2" t="s">
        <v>24</v>
      </c>
      <c r="AH304" s="2" t="str">
        <f t="shared" si="341"/>
        <v>_</v>
      </c>
      <c r="AI304" s="28" t="s">
        <v>20</v>
      </c>
    </row>
    <row r="305" spans="2:35" x14ac:dyDescent="0.25">
      <c r="B305" s="2" t="str">
        <f t="shared" si="370"/>
        <v>@color-driveway_case_paved_or_uk_default</v>
      </c>
      <c r="C305" s="143" t="s">
        <v>218</v>
      </c>
      <c r="D305" s="72" t="s">
        <v>214</v>
      </c>
      <c r="F305" s="72" t="s">
        <v>214</v>
      </c>
      <c r="G305" s="72" t="s">
        <v>214</v>
      </c>
      <c r="I305" s="158" t="str">
        <f t="shared" si="371"/>
        <v>"#404040"</v>
      </c>
      <c r="J305" s="37" t="str">
        <f t="shared" si="371"/>
        <v>"#000000"</v>
      </c>
      <c r="L305" s="72" t="s">
        <v>214</v>
      </c>
      <c r="M305" s="72" t="s">
        <v>214</v>
      </c>
      <c r="Q305" s="7"/>
      <c r="U305" s="44"/>
      <c r="V305" s="44"/>
      <c r="X305" s="44"/>
      <c r="Y305" s="44"/>
      <c r="AA305" s="2" t="s">
        <v>6</v>
      </c>
      <c r="AB305" s="2" t="str">
        <f t="shared" si="323"/>
        <v>-</v>
      </c>
      <c r="AC305" s="2" t="s">
        <v>29</v>
      </c>
      <c r="AD305" s="2" t="str">
        <f t="shared" si="330"/>
        <v>_</v>
      </c>
      <c r="AE305" s="2" t="s">
        <v>17</v>
      </c>
      <c r="AF305" s="2" t="str">
        <f t="shared" si="331"/>
        <v>_</v>
      </c>
      <c r="AG305" s="2" t="s">
        <v>24</v>
      </c>
      <c r="AH305" s="2" t="str">
        <f t="shared" si="341"/>
        <v>_</v>
      </c>
      <c r="AI305" s="2" t="s">
        <v>262</v>
      </c>
    </row>
    <row r="306" spans="2:35" x14ac:dyDescent="0.25">
      <c r="B306" s="2" t="str">
        <f t="shared" si="370"/>
        <v>@color-driveway_line_unpaved</v>
      </c>
      <c r="C306" s="144" t="s">
        <v>221</v>
      </c>
      <c r="D306" s="38" t="str">
        <f t="shared" ref="D306:D307" si="372">C306</f>
        <v>"#eddfca"</v>
      </c>
      <c r="F306" s="144" t="s">
        <v>221</v>
      </c>
      <c r="G306" s="38" t="str">
        <f t="shared" ref="G306:G307" si="373">F306</f>
        <v>"#eddfca"</v>
      </c>
      <c r="I306" s="144" t="s">
        <v>221</v>
      </c>
      <c r="J306" s="38" t="str">
        <f t="shared" ref="J306:J307" si="374">I306</f>
        <v>"#eddfca"</v>
      </c>
      <c r="L306" s="144" t="s">
        <v>221</v>
      </c>
      <c r="M306" s="38" t="str">
        <f t="shared" ref="M306:M307" si="375">L306</f>
        <v>"#eddfca"</v>
      </c>
      <c r="U306" s="44"/>
      <c r="V306" s="44"/>
      <c r="X306" s="44"/>
      <c r="Y306" s="44"/>
      <c r="AA306" s="2" t="s">
        <v>6</v>
      </c>
      <c r="AB306" s="2" t="str">
        <f t="shared" si="323"/>
        <v>-</v>
      </c>
      <c r="AC306" s="2" t="s">
        <v>29</v>
      </c>
      <c r="AD306" s="2" t="str">
        <f t="shared" si="330"/>
        <v>_</v>
      </c>
      <c r="AE306" s="2" t="s">
        <v>13</v>
      </c>
      <c r="AF306" s="2" t="str">
        <f t="shared" si="331"/>
        <v>_</v>
      </c>
      <c r="AG306" s="2" t="s">
        <v>21</v>
      </c>
      <c r="AH306" s="2" t="str">
        <f t="shared" si="341"/>
        <v/>
      </c>
      <c r="AI306" s="2"/>
    </row>
    <row r="307" spans="2:35" x14ac:dyDescent="0.25">
      <c r="B307" s="2" t="str">
        <f t="shared" si="370"/>
        <v>@color-driveway_line_paved_or_uk</v>
      </c>
      <c r="C307" s="71" t="s">
        <v>222</v>
      </c>
      <c r="D307" s="38" t="str">
        <f t="shared" si="372"/>
        <v>"#ffffff"</v>
      </c>
      <c r="F307" s="71" t="s">
        <v>222</v>
      </c>
      <c r="G307" s="38" t="str">
        <f t="shared" si="373"/>
        <v>"#ffffff"</v>
      </c>
      <c r="I307" s="71" t="s">
        <v>222</v>
      </c>
      <c r="J307" s="38" t="str">
        <f t="shared" si="374"/>
        <v>"#ffffff"</v>
      </c>
      <c r="L307" s="71" t="s">
        <v>222</v>
      </c>
      <c r="M307" s="38" t="str">
        <f t="shared" si="375"/>
        <v>"#ffffff"</v>
      </c>
      <c r="U307" s="44"/>
      <c r="V307" s="44"/>
      <c r="X307" s="44"/>
      <c r="Y307" s="44"/>
      <c r="AA307" s="2" t="s">
        <v>6</v>
      </c>
      <c r="AB307" s="2" t="str">
        <f t="shared" si="323"/>
        <v>-</v>
      </c>
      <c r="AC307" s="2" t="s">
        <v>29</v>
      </c>
      <c r="AD307" s="2" t="str">
        <f t="shared" si="330"/>
        <v>_</v>
      </c>
      <c r="AE307" s="2" t="s">
        <v>13</v>
      </c>
      <c r="AF307" s="2" t="str">
        <f t="shared" si="331"/>
        <v>_</v>
      </c>
      <c r="AG307" s="2" t="s">
        <v>24</v>
      </c>
      <c r="AH307" s="2" t="str">
        <f t="shared" si="341"/>
        <v/>
      </c>
      <c r="AI307" s="2"/>
    </row>
    <row r="308" spans="2:35" x14ac:dyDescent="0.25">
      <c r="B308" s="2"/>
      <c r="C308" s="177"/>
      <c r="D308" s="178"/>
      <c r="E308" s="178"/>
      <c r="F308" s="177"/>
      <c r="G308" s="178"/>
      <c r="H308" s="178"/>
      <c r="I308" s="178"/>
      <c r="J308" s="178"/>
      <c r="K308" s="178"/>
      <c r="L308" s="177"/>
      <c r="M308" s="178"/>
      <c r="U308" s="176"/>
      <c r="V308" s="176"/>
      <c r="X308" s="176"/>
      <c r="Y308" s="176"/>
      <c r="AA308" s="2"/>
      <c r="AB308" s="2"/>
      <c r="AC308" s="2"/>
      <c r="AD308" s="2"/>
      <c r="AE308" s="2"/>
      <c r="AF308" s="2"/>
      <c r="AG308" s="2"/>
      <c r="AH308" s="2"/>
      <c r="AI308" s="2"/>
    </row>
    <row r="309" spans="2:35" x14ac:dyDescent="0.25">
      <c r="B309" s="2" t="str">
        <f t="shared" ref="B309:B312" si="376">_xlfn.CONCAT("@",AA309,AB309,AC309,AD309,AE309,AF309,AG309,AH309,AI309)</f>
        <v>@dasharray-driveway_case_medium_dash</v>
      </c>
      <c r="C309" s="179" t="s">
        <v>341</v>
      </c>
      <c r="D309" s="179" t="s">
        <v>341</v>
      </c>
      <c r="E309" s="179"/>
      <c r="F309" s="179" t="s">
        <v>341</v>
      </c>
      <c r="G309" s="179" t="s">
        <v>341</v>
      </c>
      <c r="H309" s="179"/>
      <c r="I309" s="179" t="s">
        <v>92</v>
      </c>
      <c r="J309" s="179" t="s">
        <v>92</v>
      </c>
      <c r="K309" s="179"/>
      <c r="L309" s="179" t="s">
        <v>92</v>
      </c>
      <c r="M309" s="179" t="s">
        <v>92</v>
      </c>
      <c r="N309" s="180"/>
      <c r="U309" s="179" t="s">
        <v>341</v>
      </c>
      <c r="V309" s="179" t="s">
        <v>341</v>
      </c>
      <c r="W309" s="179"/>
      <c r="X309" s="179" t="s">
        <v>341</v>
      </c>
      <c r="Y309" s="179" t="s">
        <v>341</v>
      </c>
      <c r="AA309" s="2" t="s">
        <v>386</v>
      </c>
      <c r="AB309" s="2" t="str">
        <f t="shared" ref="AB309:AB312" si="377">IF(NOT(ISBLANK(AC309)),"-","")</f>
        <v>-</v>
      </c>
      <c r="AC309" s="2" t="s">
        <v>29</v>
      </c>
      <c r="AD309" s="2" t="str">
        <f t="shared" ref="AD309:AD312" si="378">IF(NOT(ISBLANK(AE309)),"_","")</f>
        <v>_</v>
      </c>
      <c r="AE309" s="2" t="s">
        <v>17</v>
      </c>
      <c r="AF309" s="2" t="str">
        <f t="shared" ref="AF309:AF312" si="379">IF(NOT(ISBLANK(AG309)),"_","")</f>
        <v>_</v>
      </c>
      <c r="AG309" s="2" t="s">
        <v>79</v>
      </c>
      <c r="AH309" s="2" t="str">
        <f t="shared" ref="AH309:AH312" si="380">IF(NOT(ISBLANK(AI309)),"_","")</f>
        <v>_</v>
      </c>
      <c r="AI309" s="2" t="s">
        <v>388</v>
      </c>
    </row>
    <row r="310" spans="2:35" x14ac:dyDescent="0.25">
      <c r="B310" s="2" t="str">
        <f t="shared" si="376"/>
        <v>@dasharray-driveway_case_medium_gap</v>
      </c>
      <c r="C310" s="179" t="s">
        <v>390</v>
      </c>
      <c r="D310" s="179" t="s">
        <v>390</v>
      </c>
      <c r="E310" s="179"/>
      <c r="F310" s="179" t="s">
        <v>390</v>
      </c>
      <c r="G310" s="179" t="s">
        <v>390</v>
      </c>
      <c r="H310" s="179"/>
      <c r="I310" s="179" t="s">
        <v>96</v>
      </c>
      <c r="J310" s="179" t="s">
        <v>96</v>
      </c>
      <c r="K310" s="179"/>
      <c r="L310" s="179" t="s">
        <v>96</v>
      </c>
      <c r="M310" s="179" t="s">
        <v>96</v>
      </c>
      <c r="N310" s="180"/>
      <c r="U310" s="179" t="s">
        <v>390</v>
      </c>
      <c r="V310" s="179" t="s">
        <v>390</v>
      </c>
      <c r="W310" s="179"/>
      <c r="X310" s="179" t="s">
        <v>390</v>
      </c>
      <c r="Y310" s="179" t="s">
        <v>390</v>
      </c>
      <c r="AA310" s="2" t="s">
        <v>386</v>
      </c>
      <c r="AB310" s="2" t="str">
        <f t="shared" si="377"/>
        <v>-</v>
      </c>
      <c r="AC310" s="2" t="s">
        <v>29</v>
      </c>
      <c r="AD310" s="2" t="str">
        <f t="shared" si="378"/>
        <v>_</v>
      </c>
      <c r="AE310" s="2" t="s">
        <v>17</v>
      </c>
      <c r="AF310" s="2" t="str">
        <f t="shared" si="379"/>
        <v>_</v>
      </c>
      <c r="AG310" s="2" t="s">
        <v>79</v>
      </c>
      <c r="AH310" s="2" t="str">
        <f t="shared" si="380"/>
        <v>_</v>
      </c>
      <c r="AI310" s="2" t="s">
        <v>389</v>
      </c>
    </row>
    <row r="311" spans="2:35" x14ac:dyDescent="0.25">
      <c r="B311" s="2" t="str">
        <f t="shared" si="376"/>
        <v>@dasharray-driveway_case_rough_dash</v>
      </c>
      <c r="C311" s="179" t="s">
        <v>341</v>
      </c>
      <c r="D311" s="179" t="s">
        <v>341</v>
      </c>
      <c r="E311" s="179"/>
      <c r="F311" s="179" t="s">
        <v>341</v>
      </c>
      <c r="G311" s="179" t="s">
        <v>341</v>
      </c>
      <c r="H311" s="179"/>
      <c r="I311" s="179" t="s">
        <v>97</v>
      </c>
      <c r="J311" s="179" t="s">
        <v>97</v>
      </c>
      <c r="K311" s="179"/>
      <c r="L311" s="179" t="s">
        <v>97</v>
      </c>
      <c r="M311" s="179" t="s">
        <v>97</v>
      </c>
      <c r="N311" s="180"/>
      <c r="U311" s="179" t="s">
        <v>341</v>
      </c>
      <c r="V311" s="179" t="s">
        <v>341</v>
      </c>
      <c r="W311" s="179"/>
      <c r="X311" s="179" t="s">
        <v>341</v>
      </c>
      <c r="Y311" s="179" t="s">
        <v>341</v>
      </c>
      <c r="AA311" s="2" t="s">
        <v>386</v>
      </c>
      <c r="AB311" s="2" t="str">
        <f t="shared" si="377"/>
        <v>-</v>
      </c>
      <c r="AC311" s="2" t="s">
        <v>29</v>
      </c>
      <c r="AD311" s="2" t="str">
        <f t="shared" si="378"/>
        <v>_</v>
      </c>
      <c r="AE311" s="2" t="s">
        <v>17</v>
      </c>
      <c r="AF311" s="2" t="str">
        <f t="shared" si="379"/>
        <v>_</v>
      </c>
      <c r="AG311" s="2" t="s">
        <v>387</v>
      </c>
      <c r="AH311" s="2" t="str">
        <f t="shared" si="380"/>
        <v>_</v>
      </c>
      <c r="AI311" s="2" t="s">
        <v>388</v>
      </c>
    </row>
    <row r="312" spans="2:35" x14ac:dyDescent="0.25">
      <c r="B312" s="2" t="str">
        <f t="shared" si="376"/>
        <v>@dasharray-driveway_case_rough_gap</v>
      </c>
      <c r="C312" s="179" t="s">
        <v>390</v>
      </c>
      <c r="D312" s="179" t="s">
        <v>390</v>
      </c>
      <c r="E312" s="179"/>
      <c r="F312" s="179" t="s">
        <v>390</v>
      </c>
      <c r="G312" s="179" t="s">
        <v>390</v>
      </c>
      <c r="H312" s="179"/>
      <c r="I312" s="179" t="s">
        <v>96</v>
      </c>
      <c r="J312" s="179" t="s">
        <v>96</v>
      </c>
      <c r="K312" s="179"/>
      <c r="L312" s="179" t="s">
        <v>96</v>
      </c>
      <c r="M312" s="179" t="s">
        <v>96</v>
      </c>
      <c r="N312" s="180"/>
      <c r="U312" s="179" t="s">
        <v>390</v>
      </c>
      <c r="V312" s="179" t="s">
        <v>390</v>
      </c>
      <c r="W312" s="179"/>
      <c r="X312" s="179" t="s">
        <v>390</v>
      </c>
      <c r="Y312" s="179" t="s">
        <v>390</v>
      </c>
      <c r="AA312" s="2" t="s">
        <v>386</v>
      </c>
      <c r="AB312" s="2" t="str">
        <f t="shared" si="377"/>
        <v>-</v>
      </c>
      <c r="AC312" s="2" t="s">
        <v>29</v>
      </c>
      <c r="AD312" s="2" t="str">
        <f t="shared" si="378"/>
        <v>_</v>
      </c>
      <c r="AE312" s="2" t="s">
        <v>17</v>
      </c>
      <c r="AF312" s="2" t="str">
        <f t="shared" si="379"/>
        <v>_</v>
      </c>
      <c r="AG312" s="2" t="s">
        <v>387</v>
      </c>
      <c r="AH312" s="2" t="str">
        <f t="shared" si="380"/>
        <v>_</v>
      </c>
      <c r="AI312" s="2" t="s">
        <v>389</v>
      </c>
    </row>
    <row r="313" spans="2:35" x14ac:dyDescent="0.25">
      <c r="B313" s="2"/>
      <c r="C313" s="71"/>
      <c r="D313" s="38"/>
      <c r="F313" s="71"/>
      <c r="G313" s="38"/>
      <c r="I313" s="71"/>
      <c r="J313" s="38"/>
      <c r="L313" s="71"/>
      <c r="M313" s="38"/>
      <c r="U313" s="176"/>
      <c r="V313" s="176"/>
      <c r="X313" s="176"/>
      <c r="Y313" s="176"/>
      <c r="AA313" s="2"/>
      <c r="AB313" s="2"/>
      <c r="AC313" s="2"/>
      <c r="AD313" s="2"/>
      <c r="AE313" s="2"/>
      <c r="AF313" s="2"/>
      <c r="AG313" s="2"/>
      <c r="AH313" s="2"/>
      <c r="AI313" s="2"/>
    </row>
    <row r="314" spans="2:35" x14ac:dyDescent="0.25">
      <c r="B314" s="2"/>
      <c r="AB314" s="28" t="str">
        <f t="shared" ref="AB314:AB328" si="381">IF(NOT(ISBLANK(AC314)),"-","")</f>
        <v/>
      </c>
      <c r="AD314" s="28" t="str">
        <f t="shared" ref="AD314:AD328" si="382">IF(NOT(ISBLANK(AE314)),"_","")</f>
        <v/>
      </c>
      <c r="AF314" s="28" t="str">
        <f t="shared" ref="AF314:AF328" si="383">IF(NOT(ISBLANK(AG314)),"_","")</f>
        <v/>
      </c>
      <c r="AH314" s="28" t="str">
        <f t="shared" si="341"/>
        <v/>
      </c>
    </row>
    <row r="315" spans="2:35" x14ac:dyDescent="0.25">
      <c r="B315" s="2" t="str">
        <f t="shared" ref="B315:B320" si="384">_xlfn.CONCAT("@",AA315,AB315,AC315,AD315,AE315,AF315,AG315,AH315,AI315)</f>
        <v>@color-busway_case_unpaved_farzoom</v>
      </c>
      <c r="C315" s="139" t="s">
        <v>227</v>
      </c>
      <c r="D315" s="140" t="s">
        <v>229</v>
      </c>
      <c r="F315" s="140" t="s">
        <v>229</v>
      </c>
      <c r="G315" s="139" t="s">
        <v>227</v>
      </c>
      <c r="I315" s="156" t="str">
        <f t="shared" ref="I315:I318" si="385">C315</f>
        <v>"#b99346"</v>
      </c>
      <c r="J315" s="151" t="str">
        <f t="shared" ref="J315:J318" si="386">D315</f>
        <v>"#644507"</v>
      </c>
      <c r="L315" s="140" t="s">
        <v>229</v>
      </c>
      <c r="M315" s="139" t="s">
        <v>227</v>
      </c>
      <c r="U315" s="44"/>
      <c r="V315" s="44"/>
      <c r="X315" s="44"/>
      <c r="Y315" s="44"/>
      <c r="AA315" s="2" t="s">
        <v>6</v>
      </c>
      <c r="AB315" s="2" t="str">
        <f t="shared" si="381"/>
        <v>-</v>
      </c>
      <c r="AC315" s="2" t="s">
        <v>370</v>
      </c>
      <c r="AD315" s="2" t="str">
        <f t="shared" si="382"/>
        <v>_</v>
      </c>
      <c r="AE315" s="2" t="s">
        <v>17</v>
      </c>
      <c r="AF315" s="2" t="str">
        <f t="shared" si="383"/>
        <v>_</v>
      </c>
      <c r="AG315" s="2" t="s">
        <v>21</v>
      </c>
      <c r="AH315" s="2" t="str">
        <f t="shared" ref="AH315:AH322" si="387">IF(NOT(ISBLANK(AI315)),"_","")</f>
        <v>_</v>
      </c>
      <c r="AI315" s="28" t="s">
        <v>20</v>
      </c>
    </row>
    <row r="316" spans="2:35" x14ac:dyDescent="0.25">
      <c r="B316" s="2" t="str">
        <f t="shared" si="384"/>
        <v>@color-busway_case_unpaved</v>
      </c>
      <c r="C316" s="140" t="s">
        <v>229</v>
      </c>
      <c r="D316" s="140" t="s">
        <v>229</v>
      </c>
      <c r="F316" s="72" t="s">
        <v>214</v>
      </c>
      <c r="G316" s="72" t="s">
        <v>214</v>
      </c>
      <c r="I316" s="151" t="str">
        <f t="shared" si="385"/>
        <v>"#644507"</v>
      </c>
      <c r="J316" s="151" t="str">
        <f t="shared" si="386"/>
        <v>"#644507"</v>
      </c>
      <c r="L316" s="72" t="s">
        <v>214</v>
      </c>
      <c r="M316" s="72" t="s">
        <v>214</v>
      </c>
      <c r="U316" s="44"/>
      <c r="V316" s="44"/>
      <c r="X316" s="44"/>
      <c r="Y316" s="44"/>
      <c r="AA316" s="2" t="s">
        <v>6</v>
      </c>
      <c r="AB316" s="2" t="str">
        <f t="shared" si="381"/>
        <v>-</v>
      </c>
      <c r="AC316" s="2" t="s">
        <v>370</v>
      </c>
      <c r="AD316" s="2" t="str">
        <f t="shared" si="382"/>
        <v>_</v>
      </c>
      <c r="AE316" s="2" t="s">
        <v>17</v>
      </c>
      <c r="AF316" s="2" t="str">
        <f t="shared" si="383"/>
        <v>_</v>
      </c>
      <c r="AG316" s="2" t="s">
        <v>21</v>
      </c>
      <c r="AH316" s="2" t="str">
        <f t="shared" si="387"/>
        <v/>
      </c>
      <c r="AI316" s="2"/>
    </row>
    <row r="317" spans="2:35" x14ac:dyDescent="0.25">
      <c r="B317" s="2" t="str">
        <f t="shared" si="384"/>
        <v>@color-busway_case_paved_or_uk_farzoom</v>
      </c>
      <c r="C317" s="142" t="s">
        <v>228</v>
      </c>
      <c r="D317" s="72" t="s">
        <v>214</v>
      </c>
      <c r="F317" s="142" t="s">
        <v>228</v>
      </c>
      <c r="G317" s="142" t="s">
        <v>228</v>
      </c>
      <c r="I317" s="157" t="str">
        <f t="shared" si="385"/>
        <v>"#808080"</v>
      </c>
      <c r="J317" s="37" t="str">
        <f t="shared" si="386"/>
        <v>"#000000"</v>
      </c>
      <c r="L317" s="142" t="s">
        <v>228</v>
      </c>
      <c r="M317" s="142" t="s">
        <v>228</v>
      </c>
      <c r="U317" s="44"/>
      <c r="V317" s="44"/>
      <c r="X317" s="44"/>
      <c r="Y317" s="44"/>
      <c r="AA317" s="2" t="s">
        <v>6</v>
      </c>
      <c r="AB317" s="2" t="str">
        <f t="shared" si="381"/>
        <v>-</v>
      </c>
      <c r="AC317" s="2" t="s">
        <v>370</v>
      </c>
      <c r="AD317" s="2" t="str">
        <f t="shared" si="382"/>
        <v>_</v>
      </c>
      <c r="AE317" s="2" t="s">
        <v>17</v>
      </c>
      <c r="AF317" s="2" t="str">
        <f t="shared" si="383"/>
        <v>_</v>
      </c>
      <c r="AG317" s="2" t="s">
        <v>24</v>
      </c>
      <c r="AH317" s="2" t="str">
        <f t="shared" si="387"/>
        <v>_</v>
      </c>
      <c r="AI317" s="28" t="s">
        <v>20</v>
      </c>
    </row>
    <row r="318" spans="2:35" x14ac:dyDescent="0.25">
      <c r="B318" s="2" t="str">
        <f t="shared" si="384"/>
        <v>@color-busway_case_paved_or_uk</v>
      </c>
      <c r="C318" s="143" t="s">
        <v>218</v>
      </c>
      <c r="D318" s="72" t="s">
        <v>214</v>
      </c>
      <c r="F318" s="72" t="s">
        <v>214</v>
      </c>
      <c r="G318" s="72" t="s">
        <v>214</v>
      </c>
      <c r="I318" s="158" t="str">
        <f t="shared" si="385"/>
        <v>"#404040"</v>
      </c>
      <c r="J318" s="37" t="str">
        <f t="shared" si="386"/>
        <v>"#000000"</v>
      </c>
      <c r="L318" s="72" t="s">
        <v>214</v>
      </c>
      <c r="M318" s="72" t="s">
        <v>214</v>
      </c>
      <c r="Q318" s="7"/>
      <c r="U318" s="44"/>
      <c r="V318" s="44"/>
      <c r="X318" s="44"/>
      <c r="Y318" s="44"/>
      <c r="AA318" s="2" t="s">
        <v>6</v>
      </c>
      <c r="AB318" s="2" t="str">
        <f t="shared" si="381"/>
        <v>-</v>
      </c>
      <c r="AC318" s="2" t="s">
        <v>370</v>
      </c>
      <c r="AD318" s="2" t="str">
        <f t="shared" si="382"/>
        <v>_</v>
      </c>
      <c r="AE318" s="2" t="s">
        <v>17</v>
      </c>
      <c r="AF318" s="2" t="str">
        <f t="shared" si="383"/>
        <v>_</v>
      </c>
      <c r="AG318" s="2" t="s">
        <v>24</v>
      </c>
      <c r="AH318" s="2" t="str">
        <f t="shared" si="387"/>
        <v/>
      </c>
      <c r="AI318" s="2"/>
    </row>
    <row r="319" spans="2:35" x14ac:dyDescent="0.25">
      <c r="B319" s="2" t="str">
        <f t="shared" si="384"/>
        <v>@color-busway_line_unpaved</v>
      </c>
      <c r="C319" s="144" t="s">
        <v>221</v>
      </c>
      <c r="D319" s="38" t="str">
        <f t="shared" ref="D319:D320" si="388">C319</f>
        <v>"#eddfca"</v>
      </c>
      <c r="F319" s="144" t="s">
        <v>221</v>
      </c>
      <c r="G319" s="38" t="str">
        <f t="shared" ref="G319:G320" si="389">F319</f>
        <v>"#eddfca"</v>
      </c>
      <c r="I319" s="144" t="s">
        <v>221</v>
      </c>
      <c r="J319" s="38" t="str">
        <f t="shared" ref="J319:J320" si="390">I319</f>
        <v>"#eddfca"</v>
      </c>
      <c r="L319" s="144" t="s">
        <v>221</v>
      </c>
      <c r="M319" s="38" t="str">
        <f t="shared" ref="M319:M320" si="391">L319</f>
        <v>"#eddfca"</v>
      </c>
      <c r="U319" s="44"/>
      <c r="V319" s="44"/>
      <c r="X319" s="44"/>
      <c r="Y319" s="44"/>
      <c r="AA319" s="2" t="s">
        <v>6</v>
      </c>
      <c r="AB319" s="2" t="str">
        <f t="shared" si="381"/>
        <v>-</v>
      </c>
      <c r="AC319" s="2" t="s">
        <v>370</v>
      </c>
      <c r="AD319" s="2" t="str">
        <f t="shared" si="382"/>
        <v>_</v>
      </c>
      <c r="AE319" s="2" t="s">
        <v>13</v>
      </c>
      <c r="AF319" s="2" t="str">
        <f t="shared" si="383"/>
        <v>_</v>
      </c>
      <c r="AG319" s="2" t="s">
        <v>21</v>
      </c>
      <c r="AH319" s="2" t="str">
        <f t="shared" si="387"/>
        <v/>
      </c>
      <c r="AI319" s="2"/>
    </row>
    <row r="320" spans="2:35" x14ac:dyDescent="0.25">
      <c r="B320" s="2" t="str">
        <f t="shared" si="384"/>
        <v>@color-busway_line_paved_or_uk</v>
      </c>
      <c r="C320" s="71" t="s">
        <v>222</v>
      </c>
      <c r="D320" s="38" t="str">
        <f t="shared" si="388"/>
        <v>"#ffffff"</v>
      </c>
      <c r="F320" s="71" t="s">
        <v>222</v>
      </c>
      <c r="G320" s="38" t="str">
        <f t="shared" si="389"/>
        <v>"#ffffff"</v>
      </c>
      <c r="I320" s="71" t="s">
        <v>222</v>
      </c>
      <c r="J320" s="38" t="str">
        <f t="shared" si="390"/>
        <v>"#ffffff"</v>
      </c>
      <c r="L320" s="71" t="s">
        <v>222</v>
      </c>
      <c r="M320" s="38" t="str">
        <f t="shared" si="391"/>
        <v>"#ffffff"</v>
      </c>
      <c r="U320" s="44"/>
      <c r="V320" s="44"/>
      <c r="X320" s="44"/>
      <c r="Y320" s="44"/>
      <c r="AA320" s="2" t="s">
        <v>6</v>
      </c>
      <c r="AB320" s="2" t="str">
        <f t="shared" si="381"/>
        <v>-</v>
      </c>
      <c r="AC320" s="2" t="s">
        <v>370</v>
      </c>
      <c r="AD320" s="2" t="str">
        <f t="shared" si="382"/>
        <v>_</v>
      </c>
      <c r="AE320" s="2" t="s">
        <v>13</v>
      </c>
      <c r="AF320" s="2" t="str">
        <f t="shared" si="383"/>
        <v>_</v>
      </c>
      <c r="AG320" s="2" t="s">
        <v>24</v>
      </c>
      <c r="AH320" s="2" t="str">
        <f t="shared" si="387"/>
        <v/>
      </c>
      <c r="AI320" s="2"/>
    </row>
    <row r="321" spans="2:35" x14ac:dyDescent="0.25">
      <c r="B321" s="2"/>
      <c r="C321" s="71"/>
      <c r="D321" s="38"/>
      <c r="F321" s="71"/>
      <c r="G321" s="38"/>
      <c r="I321" s="71"/>
      <c r="J321" s="38"/>
      <c r="L321" s="71"/>
      <c r="M321" s="38"/>
      <c r="U321" s="176"/>
      <c r="V321" s="176"/>
      <c r="X321" s="176"/>
      <c r="Y321" s="176"/>
      <c r="AA321" s="2"/>
      <c r="AB321" s="2"/>
      <c r="AC321" s="2"/>
      <c r="AD321" s="2"/>
      <c r="AE321" s="2"/>
      <c r="AF321" s="2"/>
      <c r="AG321" s="2"/>
      <c r="AH321" s="2"/>
      <c r="AI321" s="2"/>
    </row>
    <row r="322" spans="2:35" x14ac:dyDescent="0.25">
      <c r="B322" s="2"/>
      <c r="AB322" s="28" t="str">
        <f t="shared" ref="AB322" si="392">IF(NOT(ISBLANK(AC322)),"-","")</f>
        <v/>
      </c>
      <c r="AD322" s="28" t="str">
        <f t="shared" ref="AD322" si="393">IF(NOT(ISBLANK(AE322)),"_","")</f>
        <v/>
      </c>
      <c r="AF322" s="28" t="str">
        <f t="shared" ref="AF322" si="394">IF(NOT(ISBLANK(AG322)),"_","")</f>
        <v/>
      </c>
      <c r="AH322" s="28" t="str">
        <f t="shared" si="387"/>
        <v/>
      </c>
    </row>
    <row r="323" spans="2:35" x14ac:dyDescent="0.25">
      <c r="B323" s="2" t="str">
        <f t="shared" ref="B323:B328" si="395">_xlfn.CONCAT("@",AA323,AB323,AC323,AD323,AE323,AF323,AG323,AH323,AI323)</f>
        <v>@color-service_case_unpaved_farzoom</v>
      </c>
      <c r="C323" s="139" t="s">
        <v>227</v>
      </c>
      <c r="D323" s="140" t="s">
        <v>229</v>
      </c>
      <c r="F323" s="140" t="s">
        <v>229</v>
      </c>
      <c r="G323" s="139" t="s">
        <v>227</v>
      </c>
      <c r="I323" s="156" t="str">
        <f t="shared" ref="I323:J326" si="396">C323</f>
        <v>"#b99346"</v>
      </c>
      <c r="J323" s="151" t="str">
        <f t="shared" si="396"/>
        <v>"#644507"</v>
      </c>
      <c r="L323" s="140" t="s">
        <v>229</v>
      </c>
      <c r="M323" s="139" t="s">
        <v>227</v>
      </c>
      <c r="U323" s="44"/>
      <c r="V323" s="44"/>
      <c r="X323" s="44"/>
      <c r="Y323" s="44"/>
      <c r="AA323" s="2" t="s">
        <v>6</v>
      </c>
      <c r="AB323" s="2" t="str">
        <f t="shared" si="381"/>
        <v>-</v>
      </c>
      <c r="AC323" s="2" t="s">
        <v>30</v>
      </c>
      <c r="AD323" s="2" t="str">
        <f t="shared" si="382"/>
        <v>_</v>
      </c>
      <c r="AE323" s="2" t="s">
        <v>17</v>
      </c>
      <c r="AF323" s="2" t="str">
        <f t="shared" si="383"/>
        <v>_</v>
      </c>
      <c r="AG323" s="2" t="s">
        <v>21</v>
      </c>
      <c r="AH323" s="2" t="str">
        <f t="shared" si="341"/>
        <v>_</v>
      </c>
      <c r="AI323" s="28" t="s">
        <v>20</v>
      </c>
    </row>
    <row r="324" spans="2:35" x14ac:dyDescent="0.25">
      <c r="B324" s="2" t="str">
        <f t="shared" si="395"/>
        <v>@color-service_case_unpaved_default</v>
      </c>
      <c r="C324" s="140" t="s">
        <v>229</v>
      </c>
      <c r="D324" s="140" t="s">
        <v>229</v>
      </c>
      <c r="F324" s="72" t="s">
        <v>214</v>
      </c>
      <c r="G324" s="72" t="s">
        <v>214</v>
      </c>
      <c r="I324" s="151" t="str">
        <f t="shared" si="396"/>
        <v>"#644507"</v>
      </c>
      <c r="J324" s="151" t="str">
        <f t="shared" si="396"/>
        <v>"#644507"</v>
      </c>
      <c r="L324" s="72" t="s">
        <v>214</v>
      </c>
      <c r="M324" s="72" t="s">
        <v>214</v>
      </c>
      <c r="U324" s="44"/>
      <c r="V324" s="44"/>
      <c r="X324" s="44"/>
      <c r="Y324" s="44"/>
      <c r="AA324" s="2" t="s">
        <v>6</v>
      </c>
      <c r="AB324" s="2" t="str">
        <f t="shared" si="381"/>
        <v>-</v>
      </c>
      <c r="AC324" s="2" t="s">
        <v>30</v>
      </c>
      <c r="AD324" s="2" t="str">
        <f t="shared" si="382"/>
        <v>_</v>
      </c>
      <c r="AE324" s="2" t="s">
        <v>17</v>
      </c>
      <c r="AF324" s="2" t="str">
        <f t="shared" si="383"/>
        <v>_</v>
      </c>
      <c r="AG324" s="2" t="s">
        <v>21</v>
      </c>
      <c r="AH324" s="2" t="str">
        <f t="shared" si="341"/>
        <v>_</v>
      </c>
      <c r="AI324" s="2" t="s">
        <v>262</v>
      </c>
    </row>
    <row r="325" spans="2:35" x14ac:dyDescent="0.25">
      <c r="B325" s="2" t="str">
        <f t="shared" si="395"/>
        <v>@color-service_case_paved_or_uk_farzoom</v>
      </c>
      <c r="C325" s="142" t="s">
        <v>228</v>
      </c>
      <c r="D325" s="72" t="s">
        <v>214</v>
      </c>
      <c r="F325" s="72" t="s">
        <v>214</v>
      </c>
      <c r="G325" s="72" t="s">
        <v>214</v>
      </c>
      <c r="I325" s="157" t="str">
        <f t="shared" si="396"/>
        <v>"#808080"</v>
      </c>
      <c r="J325" s="37" t="str">
        <f t="shared" si="396"/>
        <v>"#000000"</v>
      </c>
      <c r="L325" s="72" t="s">
        <v>214</v>
      </c>
      <c r="M325" s="72" t="s">
        <v>214</v>
      </c>
      <c r="U325" s="44"/>
      <c r="V325" s="44"/>
      <c r="X325" s="44"/>
      <c r="Y325" s="44"/>
      <c r="AA325" s="2" t="s">
        <v>6</v>
      </c>
      <c r="AB325" s="2" t="str">
        <f t="shared" si="381"/>
        <v>-</v>
      </c>
      <c r="AC325" s="2" t="s">
        <v>30</v>
      </c>
      <c r="AD325" s="2" t="str">
        <f t="shared" si="382"/>
        <v>_</v>
      </c>
      <c r="AE325" s="2" t="s">
        <v>17</v>
      </c>
      <c r="AF325" s="2" t="str">
        <f t="shared" si="383"/>
        <v>_</v>
      </c>
      <c r="AG325" s="2" t="s">
        <v>24</v>
      </c>
      <c r="AH325" s="2" t="str">
        <f t="shared" si="341"/>
        <v>_</v>
      </c>
      <c r="AI325" s="28" t="s">
        <v>20</v>
      </c>
    </row>
    <row r="326" spans="2:35" x14ac:dyDescent="0.25">
      <c r="B326" s="2" t="str">
        <f t="shared" si="395"/>
        <v>@color-service_case_paved_or_uk_default</v>
      </c>
      <c r="C326" s="143" t="s">
        <v>218</v>
      </c>
      <c r="D326" s="72" t="s">
        <v>214</v>
      </c>
      <c r="F326" s="72" t="s">
        <v>214</v>
      </c>
      <c r="G326" s="72" t="s">
        <v>214</v>
      </c>
      <c r="I326" s="158" t="str">
        <f t="shared" si="396"/>
        <v>"#404040"</v>
      </c>
      <c r="J326" s="37" t="str">
        <f t="shared" si="396"/>
        <v>"#000000"</v>
      </c>
      <c r="L326" s="72" t="s">
        <v>214</v>
      </c>
      <c r="M326" s="72" t="s">
        <v>214</v>
      </c>
      <c r="Q326" s="7"/>
      <c r="U326" s="44"/>
      <c r="V326" s="44"/>
      <c r="X326" s="44"/>
      <c r="Y326" s="44"/>
      <c r="AA326" s="2" t="s">
        <v>6</v>
      </c>
      <c r="AB326" s="2" t="str">
        <f t="shared" si="381"/>
        <v>-</v>
      </c>
      <c r="AC326" s="2" t="s">
        <v>30</v>
      </c>
      <c r="AD326" s="2" t="str">
        <f t="shared" si="382"/>
        <v>_</v>
      </c>
      <c r="AE326" s="2" t="s">
        <v>17</v>
      </c>
      <c r="AF326" s="2" t="str">
        <f t="shared" si="383"/>
        <v>_</v>
      </c>
      <c r="AG326" s="2" t="s">
        <v>24</v>
      </c>
      <c r="AH326" s="2" t="str">
        <f t="shared" si="341"/>
        <v>_</v>
      </c>
      <c r="AI326" s="2" t="s">
        <v>262</v>
      </c>
    </row>
    <row r="327" spans="2:35" x14ac:dyDescent="0.25">
      <c r="B327" s="2" t="str">
        <f t="shared" si="395"/>
        <v>@color-service_line_unpaved</v>
      </c>
      <c r="C327" s="144" t="s">
        <v>221</v>
      </c>
      <c r="D327" s="38" t="str">
        <f t="shared" ref="D327:D328" si="397">C327</f>
        <v>"#eddfca"</v>
      </c>
      <c r="F327" s="144" t="s">
        <v>221</v>
      </c>
      <c r="G327" s="38" t="str">
        <f t="shared" ref="G327:G328" si="398">F327</f>
        <v>"#eddfca"</v>
      </c>
      <c r="I327" s="145" t="str">
        <f>C327</f>
        <v>"#eddfca"</v>
      </c>
      <c r="J327" s="38" t="str">
        <f t="shared" ref="J327:J328" si="399">C327</f>
        <v>"#eddfca"</v>
      </c>
      <c r="L327" s="144" t="s">
        <v>221</v>
      </c>
      <c r="M327" s="38" t="str">
        <f t="shared" ref="M327:M328" si="400">L327</f>
        <v>"#eddfca"</v>
      </c>
      <c r="U327" s="44"/>
      <c r="V327" s="44"/>
      <c r="X327" s="44"/>
      <c r="Y327" s="44"/>
      <c r="AA327" s="2" t="s">
        <v>6</v>
      </c>
      <c r="AB327" s="2" t="str">
        <f t="shared" si="381"/>
        <v>-</v>
      </c>
      <c r="AC327" s="2" t="s">
        <v>30</v>
      </c>
      <c r="AD327" s="2" t="str">
        <f t="shared" si="382"/>
        <v>_</v>
      </c>
      <c r="AE327" s="2" t="s">
        <v>13</v>
      </c>
      <c r="AF327" s="2" t="str">
        <f t="shared" si="383"/>
        <v>_</v>
      </c>
      <c r="AG327" s="2" t="s">
        <v>21</v>
      </c>
      <c r="AH327" s="2" t="str">
        <f t="shared" si="341"/>
        <v/>
      </c>
      <c r="AI327" s="2"/>
    </row>
    <row r="328" spans="2:35" x14ac:dyDescent="0.25">
      <c r="B328" s="2" t="str">
        <f t="shared" si="395"/>
        <v>@color-service_line_paved_or_uk</v>
      </c>
      <c r="C328" s="71" t="s">
        <v>222</v>
      </c>
      <c r="D328" s="38" t="str">
        <f t="shared" si="397"/>
        <v>"#ffffff"</v>
      </c>
      <c r="F328" s="71" t="s">
        <v>222</v>
      </c>
      <c r="G328" s="38" t="str">
        <f t="shared" si="398"/>
        <v>"#ffffff"</v>
      </c>
      <c r="I328" s="38" t="str">
        <f>C328</f>
        <v>"#ffffff"</v>
      </c>
      <c r="J328" s="38" t="str">
        <f t="shared" si="399"/>
        <v>"#ffffff"</v>
      </c>
      <c r="L328" s="71" t="s">
        <v>222</v>
      </c>
      <c r="M328" s="38" t="str">
        <f t="shared" si="400"/>
        <v>"#ffffff"</v>
      </c>
      <c r="U328" s="44"/>
      <c r="V328" s="44"/>
      <c r="X328" s="44"/>
      <c r="Y328" s="44"/>
      <c r="AA328" s="2" t="s">
        <v>6</v>
      </c>
      <c r="AB328" s="2" t="str">
        <f t="shared" si="381"/>
        <v>-</v>
      </c>
      <c r="AC328" s="2" t="s">
        <v>30</v>
      </c>
      <c r="AD328" s="2" t="str">
        <f t="shared" si="382"/>
        <v>_</v>
      </c>
      <c r="AE328" s="2" t="s">
        <v>13</v>
      </c>
      <c r="AF328" s="2" t="str">
        <f t="shared" si="383"/>
        <v>_</v>
      </c>
      <c r="AG328" s="2" t="s">
        <v>24</v>
      </c>
      <c r="AH328" s="2" t="str">
        <f t="shared" si="341"/>
        <v/>
      </c>
      <c r="AI328" s="2"/>
    </row>
    <row r="329" spans="2:35" x14ac:dyDescent="0.25">
      <c r="B329" s="2"/>
      <c r="C329" s="177"/>
      <c r="D329" s="178"/>
      <c r="E329" s="178"/>
      <c r="F329" s="177"/>
      <c r="G329" s="178"/>
      <c r="H329" s="178"/>
      <c r="I329" s="178"/>
      <c r="J329" s="178"/>
      <c r="K329" s="178"/>
      <c r="L329" s="177"/>
      <c r="M329" s="178"/>
      <c r="U329" s="176"/>
      <c r="V329" s="176"/>
      <c r="X329" s="176"/>
      <c r="Y329" s="176"/>
      <c r="AA329" s="2"/>
      <c r="AB329" s="2"/>
      <c r="AC329" s="2"/>
      <c r="AD329" s="2"/>
      <c r="AE329" s="2"/>
      <c r="AF329" s="2"/>
      <c r="AG329" s="2"/>
      <c r="AH329" s="2"/>
      <c r="AI329" s="2"/>
    </row>
    <row r="330" spans="2:35" x14ac:dyDescent="0.25">
      <c r="B330" s="2" t="str">
        <f t="shared" ref="B330:B331" si="401">_xlfn.CONCAT("@",AA330,AB330,AC330,AD330,AE330,AF330,AG330,AH330,AI330)</f>
        <v>@dasharray-service_case_medium_dash</v>
      </c>
      <c r="C330" s="179" t="s">
        <v>341</v>
      </c>
      <c r="D330" s="179" t="s">
        <v>341</v>
      </c>
      <c r="E330" s="179"/>
      <c r="F330" s="179" t="s">
        <v>341</v>
      </c>
      <c r="G330" s="179" t="s">
        <v>341</v>
      </c>
      <c r="H330" s="179"/>
      <c r="I330" s="179" t="s">
        <v>92</v>
      </c>
      <c r="J330" s="179" t="s">
        <v>92</v>
      </c>
      <c r="K330" s="179"/>
      <c r="L330" s="179" t="s">
        <v>92</v>
      </c>
      <c r="M330" s="179" t="s">
        <v>92</v>
      </c>
      <c r="N330" s="180"/>
      <c r="U330" s="179" t="s">
        <v>341</v>
      </c>
      <c r="V330" s="179" t="s">
        <v>341</v>
      </c>
      <c r="W330" s="179"/>
      <c r="X330" s="179" t="s">
        <v>341</v>
      </c>
      <c r="Y330" s="179" t="s">
        <v>341</v>
      </c>
      <c r="AA330" s="2" t="s">
        <v>386</v>
      </c>
      <c r="AB330" s="2" t="str">
        <f t="shared" ref="AB330:AB331" si="402">IF(NOT(ISBLANK(AC330)),"-","")</f>
        <v>-</v>
      </c>
      <c r="AC330" s="2" t="s">
        <v>30</v>
      </c>
      <c r="AD330" s="2" t="str">
        <f t="shared" ref="AD330:AD331" si="403">IF(NOT(ISBLANK(AE330)),"_","")</f>
        <v>_</v>
      </c>
      <c r="AE330" s="2" t="s">
        <v>17</v>
      </c>
      <c r="AF330" s="2" t="str">
        <f t="shared" ref="AF330:AF331" si="404">IF(NOT(ISBLANK(AG330)),"_","")</f>
        <v>_</v>
      </c>
      <c r="AG330" s="2" t="s">
        <v>79</v>
      </c>
      <c r="AH330" s="2" t="str">
        <f t="shared" ref="AH330:AH331" si="405">IF(NOT(ISBLANK(AI330)),"_","")</f>
        <v>_</v>
      </c>
      <c r="AI330" s="2" t="s">
        <v>388</v>
      </c>
    </row>
    <row r="331" spans="2:35" x14ac:dyDescent="0.25">
      <c r="B331" s="2" t="str">
        <f t="shared" si="401"/>
        <v>@dasharray-service_case_medium_gap</v>
      </c>
      <c r="C331" s="179" t="s">
        <v>390</v>
      </c>
      <c r="D331" s="179" t="s">
        <v>390</v>
      </c>
      <c r="E331" s="179"/>
      <c r="F331" s="179" t="s">
        <v>390</v>
      </c>
      <c r="G331" s="179" t="s">
        <v>390</v>
      </c>
      <c r="H331" s="179"/>
      <c r="I331" s="179" t="s">
        <v>96</v>
      </c>
      <c r="J331" s="179" t="s">
        <v>96</v>
      </c>
      <c r="K331" s="179"/>
      <c r="L331" s="179" t="s">
        <v>96</v>
      </c>
      <c r="M331" s="179" t="s">
        <v>96</v>
      </c>
      <c r="N331" s="180"/>
      <c r="U331" s="179" t="s">
        <v>390</v>
      </c>
      <c r="V331" s="179" t="s">
        <v>390</v>
      </c>
      <c r="W331" s="179"/>
      <c r="X331" s="179" t="s">
        <v>390</v>
      </c>
      <c r="Y331" s="179" t="s">
        <v>390</v>
      </c>
      <c r="AA331" s="2" t="s">
        <v>386</v>
      </c>
      <c r="AB331" s="2" t="str">
        <f t="shared" si="402"/>
        <v>-</v>
      </c>
      <c r="AC331" s="2" t="s">
        <v>30</v>
      </c>
      <c r="AD331" s="2" t="str">
        <f t="shared" si="403"/>
        <v>_</v>
      </c>
      <c r="AE331" s="2" t="s">
        <v>17</v>
      </c>
      <c r="AF331" s="2" t="str">
        <f t="shared" si="404"/>
        <v>_</v>
      </c>
      <c r="AG331" s="2" t="s">
        <v>79</v>
      </c>
      <c r="AH331" s="2" t="str">
        <f t="shared" si="405"/>
        <v>_</v>
      </c>
      <c r="AI331" s="2" t="s">
        <v>389</v>
      </c>
    </row>
    <row r="332" spans="2:35" x14ac:dyDescent="0.25">
      <c r="B332" s="2" t="str">
        <f t="shared" ref="B332" si="406">_xlfn.CONCAT("@",AA332,AB332,AC332,AD332,AE332,AF332,AG332,AH332,AI332)</f>
        <v>@dasharray-service_case_rough_dash</v>
      </c>
      <c r="C332" s="179" t="s">
        <v>341</v>
      </c>
      <c r="D332" s="179" t="s">
        <v>341</v>
      </c>
      <c r="E332" s="179"/>
      <c r="F332" s="179" t="s">
        <v>341</v>
      </c>
      <c r="G332" s="179" t="s">
        <v>341</v>
      </c>
      <c r="H332" s="179"/>
      <c r="I332" s="179" t="s">
        <v>97</v>
      </c>
      <c r="J332" s="179" t="s">
        <v>97</v>
      </c>
      <c r="K332" s="179"/>
      <c r="L332" s="179" t="s">
        <v>97</v>
      </c>
      <c r="M332" s="179" t="s">
        <v>97</v>
      </c>
      <c r="N332" s="180"/>
      <c r="U332" s="179" t="s">
        <v>341</v>
      </c>
      <c r="V332" s="179" t="s">
        <v>341</v>
      </c>
      <c r="W332" s="179"/>
      <c r="X332" s="179" t="s">
        <v>341</v>
      </c>
      <c r="Y332" s="179" t="s">
        <v>341</v>
      </c>
      <c r="AA332" s="2" t="s">
        <v>386</v>
      </c>
      <c r="AB332" s="2" t="str">
        <f t="shared" ref="AB332" si="407">IF(NOT(ISBLANK(AC332)),"-","")</f>
        <v>-</v>
      </c>
      <c r="AC332" s="2" t="s">
        <v>30</v>
      </c>
      <c r="AD332" s="2" t="str">
        <f t="shared" ref="AD332" si="408">IF(NOT(ISBLANK(AE332)),"_","")</f>
        <v>_</v>
      </c>
      <c r="AE332" s="2" t="s">
        <v>17</v>
      </c>
      <c r="AF332" s="2" t="str">
        <f t="shared" ref="AF332" si="409">IF(NOT(ISBLANK(AG332)),"_","")</f>
        <v>_</v>
      </c>
      <c r="AG332" s="2" t="s">
        <v>387</v>
      </c>
      <c r="AH332" s="2" t="str">
        <f t="shared" ref="AH332" si="410">IF(NOT(ISBLANK(AI332)),"_","")</f>
        <v>_</v>
      </c>
      <c r="AI332" s="2" t="s">
        <v>388</v>
      </c>
    </row>
    <row r="333" spans="2:35" x14ac:dyDescent="0.25">
      <c r="B333" s="2" t="str">
        <f t="shared" ref="B333" si="411">_xlfn.CONCAT("@",AA333,AB333,AC333,AD333,AE333,AF333,AG333,AH333,AI333)</f>
        <v>@dasharray-service_case_rough_gap</v>
      </c>
      <c r="C333" s="179" t="s">
        <v>390</v>
      </c>
      <c r="D333" s="179" t="s">
        <v>390</v>
      </c>
      <c r="E333" s="179"/>
      <c r="F333" s="179" t="s">
        <v>390</v>
      </c>
      <c r="G333" s="179" t="s">
        <v>390</v>
      </c>
      <c r="H333" s="179"/>
      <c r="I333" s="179" t="s">
        <v>96</v>
      </c>
      <c r="J333" s="179" t="s">
        <v>96</v>
      </c>
      <c r="K333" s="179"/>
      <c r="L333" s="179" t="s">
        <v>96</v>
      </c>
      <c r="M333" s="179" t="s">
        <v>96</v>
      </c>
      <c r="N333" s="180"/>
      <c r="U333" s="179" t="s">
        <v>390</v>
      </c>
      <c r="V333" s="179" t="s">
        <v>390</v>
      </c>
      <c r="W333" s="179"/>
      <c r="X333" s="179" t="s">
        <v>390</v>
      </c>
      <c r="Y333" s="179" t="s">
        <v>390</v>
      </c>
      <c r="AA333" s="2" t="s">
        <v>386</v>
      </c>
      <c r="AB333" s="2" t="str">
        <f t="shared" ref="AB333" si="412">IF(NOT(ISBLANK(AC333)),"-","")</f>
        <v>-</v>
      </c>
      <c r="AC333" s="2" t="s">
        <v>30</v>
      </c>
      <c r="AD333" s="2" t="str">
        <f t="shared" ref="AD333" si="413">IF(NOT(ISBLANK(AE333)),"_","")</f>
        <v>_</v>
      </c>
      <c r="AE333" s="2" t="s">
        <v>17</v>
      </c>
      <c r="AF333" s="2" t="str">
        <f t="shared" ref="AF333" si="414">IF(NOT(ISBLANK(AG333)),"_","")</f>
        <v>_</v>
      </c>
      <c r="AG333" s="2" t="s">
        <v>387</v>
      </c>
      <c r="AH333" s="2" t="str">
        <f t="shared" ref="AH333" si="415">IF(NOT(ISBLANK(AI333)),"_","")</f>
        <v>_</v>
      </c>
      <c r="AI333" s="2" t="s">
        <v>389</v>
      </c>
    </row>
    <row r="334" spans="2:35" x14ac:dyDescent="0.25">
      <c r="B334" s="2"/>
      <c r="C334" s="181" t="s">
        <v>391</v>
      </c>
      <c r="D334" s="179"/>
      <c r="E334" s="179"/>
      <c r="F334" s="179"/>
      <c r="G334" s="179"/>
      <c r="H334" s="179"/>
      <c r="I334" s="179"/>
      <c r="J334" s="179"/>
      <c r="K334" s="179"/>
      <c r="L334" s="179"/>
      <c r="M334" s="179"/>
      <c r="N334" s="180"/>
      <c r="U334" s="176"/>
      <c r="V334" s="176"/>
      <c r="X334" s="176"/>
      <c r="Y334" s="176"/>
      <c r="AA334" s="2"/>
      <c r="AB334" s="2"/>
      <c r="AC334" s="2"/>
      <c r="AD334" s="2"/>
      <c r="AE334" s="2"/>
      <c r="AF334" s="2"/>
      <c r="AG334" s="2"/>
      <c r="AH334" s="2"/>
      <c r="AI334" s="2"/>
    </row>
    <row r="335" spans="2:35" x14ac:dyDescent="0.25">
      <c r="B335" s="2"/>
      <c r="C335" s="178"/>
      <c r="D335" s="178"/>
      <c r="E335" s="178"/>
      <c r="F335" s="178"/>
      <c r="G335" s="178"/>
      <c r="H335" s="178"/>
      <c r="I335" s="178"/>
      <c r="J335" s="178"/>
      <c r="K335" s="178"/>
      <c r="L335" s="178"/>
      <c r="M335" s="178"/>
      <c r="AB335" s="28" t="str">
        <f t="shared" si="323"/>
        <v/>
      </c>
      <c r="AD335" s="28" t="str">
        <f t="shared" si="330"/>
        <v/>
      </c>
      <c r="AF335" s="28" t="str">
        <f t="shared" si="331"/>
        <v/>
      </c>
      <c r="AH335" s="28" t="str">
        <f t="shared" si="341"/>
        <v/>
      </c>
    </row>
    <row r="336" spans="2:35" x14ac:dyDescent="0.25">
      <c r="B336" s="2" t="str">
        <f t="shared" ref="B336:B341" si="416">_xlfn.CONCAT("@",AA336,AB336,AC336,AD336,AE336,AF336,AG336,AH336,AI336)</f>
        <v>@color-minor_case_unpaved_farzoom</v>
      </c>
      <c r="C336" s="139" t="s">
        <v>227</v>
      </c>
      <c r="D336" s="140" t="s">
        <v>229</v>
      </c>
      <c r="F336" s="140" t="s">
        <v>229</v>
      </c>
      <c r="G336" s="139" t="s">
        <v>227</v>
      </c>
      <c r="I336" s="156" t="str">
        <f t="shared" ref="I336:J339" si="417">C336</f>
        <v>"#b99346"</v>
      </c>
      <c r="J336" s="151" t="str">
        <f t="shared" si="417"/>
        <v>"#644507"</v>
      </c>
      <c r="L336" s="140" t="s">
        <v>229</v>
      </c>
      <c r="M336" s="139" t="s">
        <v>227</v>
      </c>
      <c r="U336" s="44"/>
      <c r="V336" s="44"/>
      <c r="X336" s="44"/>
      <c r="Y336" s="44"/>
      <c r="AA336" s="2" t="s">
        <v>6</v>
      </c>
      <c r="AB336" s="2" t="str">
        <f t="shared" ref="AB336" si="418">IF(NOT(ISBLANK(AC336)),"-","")</f>
        <v>-</v>
      </c>
      <c r="AC336" s="2" t="s">
        <v>31</v>
      </c>
      <c r="AD336" s="2" t="str">
        <f t="shared" ref="AD336" si="419">IF(NOT(ISBLANK(AE336)),"_","")</f>
        <v>_</v>
      </c>
      <c r="AE336" s="2" t="s">
        <v>17</v>
      </c>
      <c r="AF336" s="2" t="str">
        <f t="shared" ref="AF336" si="420">IF(NOT(ISBLANK(AG336)),"_","")</f>
        <v>_</v>
      </c>
      <c r="AG336" s="2" t="s">
        <v>21</v>
      </c>
      <c r="AH336" s="2" t="str">
        <f t="shared" si="341"/>
        <v>_</v>
      </c>
      <c r="AI336" s="28" t="s">
        <v>20</v>
      </c>
    </row>
    <row r="337" spans="1:35" x14ac:dyDescent="0.25">
      <c r="B337" s="2" t="str">
        <f t="shared" si="416"/>
        <v>@color-minor_case_unpaved_default</v>
      </c>
      <c r="C337" s="140" t="s">
        <v>229</v>
      </c>
      <c r="D337" s="140" t="s">
        <v>229</v>
      </c>
      <c r="F337" s="72" t="s">
        <v>214</v>
      </c>
      <c r="G337" s="72" t="s">
        <v>214</v>
      </c>
      <c r="I337" s="151" t="str">
        <f t="shared" si="417"/>
        <v>"#644507"</v>
      </c>
      <c r="J337" s="151" t="str">
        <f t="shared" si="417"/>
        <v>"#644507"</v>
      </c>
      <c r="L337" s="72" t="s">
        <v>214</v>
      </c>
      <c r="M337" s="72" t="s">
        <v>214</v>
      </c>
      <c r="U337" s="44"/>
      <c r="V337" s="44"/>
      <c r="X337" s="44"/>
      <c r="Y337" s="44"/>
      <c r="AA337" s="2" t="s">
        <v>6</v>
      </c>
      <c r="AB337" s="2" t="str">
        <f t="shared" si="323"/>
        <v>-</v>
      </c>
      <c r="AC337" s="2" t="s">
        <v>31</v>
      </c>
      <c r="AD337" s="2" t="str">
        <f t="shared" si="330"/>
        <v>_</v>
      </c>
      <c r="AE337" s="2" t="s">
        <v>17</v>
      </c>
      <c r="AF337" s="2" t="str">
        <f t="shared" si="331"/>
        <v>_</v>
      </c>
      <c r="AG337" s="2" t="s">
        <v>21</v>
      </c>
      <c r="AH337" s="2" t="str">
        <f t="shared" si="341"/>
        <v>_</v>
      </c>
      <c r="AI337" s="28" t="s">
        <v>262</v>
      </c>
    </row>
    <row r="338" spans="1:35" x14ac:dyDescent="0.25">
      <c r="B338" s="2" t="str">
        <f t="shared" si="416"/>
        <v>@color-minor_case_paved_or_uk_farzoom</v>
      </c>
      <c r="C338" s="142" t="s">
        <v>228</v>
      </c>
      <c r="D338" s="72" t="s">
        <v>214</v>
      </c>
      <c r="F338" s="142" t="s">
        <v>228</v>
      </c>
      <c r="G338" s="142" t="s">
        <v>228</v>
      </c>
      <c r="I338" s="157" t="str">
        <f t="shared" si="417"/>
        <v>"#808080"</v>
      </c>
      <c r="J338" s="37" t="str">
        <f t="shared" si="417"/>
        <v>"#000000"</v>
      </c>
      <c r="L338" s="142" t="s">
        <v>228</v>
      </c>
      <c r="M338" s="142" t="s">
        <v>228</v>
      </c>
      <c r="U338" s="44"/>
      <c r="V338" s="44"/>
      <c r="X338" s="44"/>
      <c r="Y338" s="44"/>
      <c r="AA338" s="2" t="s">
        <v>6</v>
      </c>
      <c r="AB338" s="2" t="str">
        <f t="shared" ref="AB338" si="421">IF(NOT(ISBLANK(AC338)),"-","")</f>
        <v>-</v>
      </c>
      <c r="AC338" s="2" t="s">
        <v>31</v>
      </c>
      <c r="AD338" s="2" t="str">
        <f t="shared" ref="AD338" si="422">IF(NOT(ISBLANK(AE338)),"_","")</f>
        <v>_</v>
      </c>
      <c r="AE338" s="2" t="s">
        <v>17</v>
      </c>
      <c r="AF338" s="2" t="str">
        <f t="shared" ref="AF338" si="423">IF(NOT(ISBLANK(AG338)),"_","")</f>
        <v>_</v>
      </c>
      <c r="AG338" s="2" t="s">
        <v>24</v>
      </c>
      <c r="AH338" s="2" t="str">
        <f t="shared" si="341"/>
        <v>_</v>
      </c>
      <c r="AI338" s="28" t="s">
        <v>20</v>
      </c>
    </row>
    <row r="339" spans="1:35" x14ac:dyDescent="0.25">
      <c r="B339" s="2" t="str">
        <f t="shared" si="416"/>
        <v>@color-minor_case_paved_or_uk_default</v>
      </c>
      <c r="C339" s="143" t="s">
        <v>218</v>
      </c>
      <c r="D339" s="72" t="s">
        <v>214</v>
      </c>
      <c r="F339" s="72" t="s">
        <v>214</v>
      </c>
      <c r="G339" s="72" t="s">
        <v>214</v>
      </c>
      <c r="I339" s="158" t="str">
        <f t="shared" si="417"/>
        <v>"#404040"</v>
      </c>
      <c r="J339" s="37" t="str">
        <f t="shared" si="417"/>
        <v>"#000000"</v>
      </c>
      <c r="L339" s="72" t="s">
        <v>214</v>
      </c>
      <c r="M339" s="72" t="s">
        <v>214</v>
      </c>
      <c r="U339" s="44"/>
      <c r="V339" s="44"/>
      <c r="X339" s="44"/>
      <c r="Y339" s="44"/>
      <c r="AA339" s="2" t="s">
        <v>6</v>
      </c>
      <c r="AB339" s="2" t="str">
        <f t="shared" si="323"/>
        <v>-</v>
      </c>
      <c r="AC339" s="2" t="s">
        <v>31</v>
      </c>
      <c r="AD339" s="2" t="str">
        <f t="shared" si="330"/>
        <v>_</v>
      </c>
      <c r="AE339" s="2" t="s">
        <v>17</v>
      </c>
      <c r="AF339" s="2" t="str">
        <f t="shared" si="331"/>
        <v>_</v>
      </c>
      <c r="AG339" s="2" t="s">
        <v>24</v>
      </c>
      <c r="AH339" s="2" t="str">
        <f t="shared" si="341"/>
        <v>_</v>
      </c>
      <c r="AI339" s="28" t="s">
        <v>262</v>
      </c>
    </row>
    <row r="340" spans="1:35" x14ac:dyDescent="0.25">
      <c r="B340" s="2" t="str">
        <f t="shared" si="416"/>
        <v>@color-minor_line_unpaved</v>
      </c>
      <c r="C340" s="144" t="s">
        <v>221</v>
      </c>
      <c r="D340" s="38" t="str">
        <f t="shared" ref="D340:D341" si="424">C340</f>
        <v>"#eddfca"</v>
      </c>
      <c r="F340" s="144" t="s">
        <v>221</v>
      </c>
      <c r="G340" s="38" t="str">
        <f t="shared" ref="G340:G341" si="425">F340</f>
        <v>"#eddfca"</v>
      </c>
      <c r="I340" s="145" t="str">
        <f>C340</f>
        <v>"#eddfca"</v>
      </c>
      <c r="J340" s="38" t="str">
        <f t="shared" ref="J340:J341" si="426">C340</f>
        <v>"#eddfca"</v>
      </c>
      <c r="L340" s="144" t="s">
        <v>221</v>
      </c>
      <c r="M340" s="38" t="str">
        <f t="shared" ref="M340:M341" si="427">L340</f>
        <v>"#eddfca"</v>
      </c>
      <c r="U340" s="44"/>
      <c r="V340" s="44"/>
      <c r="X340" s="44"/>
      <c r="Y340" s="44"/>
      <c r="AA340" s="2" t="s">
        <v>6</v>
      </c>
      <c r="AB340" s="2" t="str">
        <f t="shared" si="323"/>
        <v>-</v>
      </c>
      <c r="AC340" s="2" t="s">
        <v>31</v>
      </c>
      <c r="AD340" s="2" t="str">
        <f t="shared" si="330"/>
        <v>_</v>
      </c>
      <c r="AE340" s="2" t="s">
        <v>13</v>
      </c>
      <c r="AF340" s="2" t="str">
        <f t="shared" si="331"/>
        <v>_</v>
      </c>
      <c r="AG340" s="2" t="s">
        <v>21</v>
      </c>
      <c r="AH340" s="2" t="str">
        <f t="shared" si="341"/>
        <v/>
      </c>
      <c r="AI340" s="2"/>
    </row>
    <row r="341" spans="1:35" x14ac:dyDescent="0.25">
      <c r="B341" s="2" t="str">
        <f t="shared" si="416"/>
        <v>@color-minor_line_paved_or_uk</v>
      </c>
      <c r="C341" s="71" t="s">
        <v>222</v>
      </c>
      <c r="D341" s="38" t="str">
        <f t="shared" si="424"/>
        <v>"#ffffff"</v>
      </c>
      <c r="F341" s="71" t="s">
        <v>222</v>
      </c>
      <c r="G341" s="38" t="str">
        <f t="shared" si="425"/>
        <v>"#ffffff"</v>
      </c>
      <c r="I341" s="38" t="str">
        <f>C341</f>
        <v>"#ffffff"</v>
      </c>
      <c r="J341" s="38" t="str">
        <f t="shared" si="426"/>
        <v>"#ffffff"</v>
      </c>
      <c r="L341" s="71" t="s">
        <v>222</v>
      </c>
      <c r="M341" s="38" t="str">
        <f t="shared" si="427"/>
        <v>"#ffffff"</v>
      </c>
      <c r="U341" s="44"/>
      <c r="V341" s="44"/>
      <c r="X341" s="44"/>
      <c r="Y341" s="44"/>
      <c r="AA341" s="2" t="s">
        <v>6</v>
      </c>
      <c r="AB341" s="2" t="str">
        <f t="shared" si="323"/>
        <v>-</v>
      </c>
      <c r="AC341" s="2" t="s">
        <v>31</v>
      </c>
      <c r="AD341" s="2" t="str">
        <f t="shared" si="330"/>
        <v>_</v>
      </c>
      <c r="AE341" s="2" t="s">
        <v>13</v>
      </c>
      <c r="AF341" s="2" t="str">
        <f t="shared" si="331"/>
        <v>_</v>
      </c>
      <c r="AG341" s="2" t="s">
        <v>24</v>
      </c>
      <c r="AH341" s="2" t="str">
        <f t="shared" si="341"/>
        <v/>
      </c>
      <c r="AI341" s="2"/>
    </row>
    <row r="342" spans="1:35" x14ac:dyDescent="0.25">
      <c r="B342" s="2"/>
      <c r="AB342" s="28" t="str">
        <f t="shared" si="323"/>
        <v/>
      </c>
      <c r="AD342" s="28" t="str">
        <f t="shared" si="330"/>
        <v/>
      </c>
      <c r="AF342" s="28" t="str">
        <f t="shared" si="331"/>
        <v/>
      </c>
      <c r="AH342" s="28" t="str">
        <f t="shared" si="341"/>
        <v/>
      </c>
    </row>
    <row r="343" spans="1:35" s="2" customFormat="1" x14ac:dyDescent="0.25">
      <c r="A343" s="3" t="s">
        <v>224</v>
      </c>
      <c r="B343" s="3"/>
      <c r="C343" s="27"/>
      <c r="D343" s="6"/>
      <c r="E343" s="7"/>
      <c r="F343" s="6"/>
      <c r="G343" s="6"/>
      <c r="H343" s="7"/>
      <c r="I343" s="6"/>
      <c r="J343" s="6"/>
      <c r="K343" s="7"/>
      <c r="L343" s="6"/>
      <c r="M343" s="6"/>
      <c r="N343" s="7"/>
      <c r="O343" s="6"/>
      <c r="P343" s="6"/>
      <c r="Q343" s="7"/>
      <c r="R343" s="6"/>
      <c r="S343" s="6"/>
      <c r="T343" s="7"/>
      <c r="U343" s="6"/>
      <c r="V343" s="6"/>
      <c r="W343" s="7"/>
      <c r="X343" s="6"/>
      <c r="Y343" s="6"/>
      <c r="AA343" s="4"/>
      <c r="AB343" s="4" t="str">
        <f t="shared" si="323"/>
        <v/>
      </c>
      <c r="AC343" s="4"/>
      <c r="AD343" s="4" t="str">
        <f t="shared" si="330"/>
        <v/>
      </c>
      <c r="AE343" s="4"/>
      <c r="AF343" s="4" t="str">
        <f t="shared" si="331"/>
        <v/>
      </c>
      <c r="AG343" s="4"/>
      <c r="AH343" s="4" t="str">
        <f t="shared" si="341"/>
        <v/>
      </c>
      <c r="AI343" s="4"/>
    </row>
    <row r="344" spans="1:35" x14ac:dyDescent="0.25">
      <c r="B344" s="2" t="str">
        <f t="shared" ref="B344:B374" si="428">_xlfn.CONCAT("@",AA344,AB344,AC344,AD344,AE344,AF344,AG344,AH344,AI344)</f>
        <v>@color-motorway_link_line</v>
      </c>
      <c r="C344" s="135" t="s">
        <v>213</v>
      </c>
      <c r="D344" s="136" t="s">
        <v>215</v>
      </c>
      <c r="F344" s="134" t="s">
        <v>215</v>
      </c>
      <c r="G344" s="134" t="s">
        <v>215</v>
      </c>
      <c r="I344" s="135" t="s">
        <v>213</v>
      </c>
      <c r="J344" s="136" t="s">
        <v>215</v>
      </c>
      <c r="L344" s="134" t="s">
        <v>215</v>
      </c>
      <c r="M344" s="134" t="s">
        <v>215</v>
      </c>
      <c r="O344" s="135" t="s">
        <v>213</v>
      </c>
      <c r="P344" s="136" t="s">
        <v>215</v>
      </c>
      <c r="R344" s="134" t="s">
        <v>215</v>
      </c>
      <c r="S344" s="134" t="s">
        <v>215</v>
      </c>
      <c r="U344" s="135" t="s">
        <v>213</v>
      </c>
      <c r="V344" s="136" t="s">
        <v>215</v>
      </c>
      <c r="X344" s="134" t="s">
        <v>215</v>
      </c>
      <c r="Y344" s="134" t="s">
        <v>215</v>
      </c>
      <c r="AA344" s="2" t="s">
        <v>6</v>
      </c>
      <c r="AB344" s="2" t="str">
        <f t="shared" si="323"/>
        <v>-</v>
      </c>
      <c r="AC344" s="2" t="s">
        <v>33</v>
      </c>
      <c r="AD344" s="2" t="str">
        <f t="shared" si="330"/>
        <v>_</v>
      </c>
      <c r="AE344" s="2" t="s">
        <v>13</v>
      </c>
      <c r="AF344" s="2" t="str">
        <f t="shared" si="331"/>
        <v/>
      </c>
      <c r="AG344" s="2"/>
      <c r="AH344" s="2" t="str">
        <f t="shared" si="341"/>
        <v/>
      </c>
      <c r="AI344" s="2"/>
    </row>
    <row r="345" spans="1:35" x14ac:dyDescent="0.25">
      <c r="B345" s="2" t="str">
        <f t="shared" si="428"/>
        <v>@color-motorway_link_case</v>
      </c>
      <c r="C345" s="132" t="s">
        <v>212</v>
      </c>
      <c r="D345" s="37" t="s">
        <v>214</v>
      </c>
      <c r="F345" s="72" t="s">
        <v>214</v>
      </c>
      <c r="G345" s="72" t="s">
        <v>214</v>
      </c>
      <c r="I345" s="132" t="s">
        <v>212</v>
      </c>
      <c r="J345" s="37" t="s">
        <v>214</v>
      </c>
      <c r="L345" s="72" t="s">
        <v>214</v>
      </c>
      <c r="M345" s="72" t="s">
        <v>214</v>
      </c>
      <c r="O345" s="132" t="s">
        <v>212</v>
      </c>
      <c r="P345" s="37" t="s">
        <v>214</v>
      </c>
      <c r="R345" s="72" t="s">
        <v>214</v>
      </c>
      <c r="S345" s="72" t="s">
        <v>214</v>
      </c>
      <c r="U345" s="132" t="s">
        <v>212</v>
      </c>
      <c r="V345" s="37" t="s">
        <v>214</v>
      </c>
      <c r="X345" s="72" t="s">
        <v>214</v>
      </c>
      <c r="Y345" s="72" t="s">
        <v>214</v>
      </c>
      <c r="AA345" s="2" t="s">
        <v>6</v>
      </c>
      <c r="AB345" s="2" t="str">
        <f t="shared" si="323"/>
        <v>-</v>
      </c>
      <c r="AC345" s="2" t="s">
        <v>33</v>
      </c>
      <c r="AD345" s="2" t="str">
        <f t="shared" si="330"/>
        <v>_</v>
      </c>
      <c r="AE345" s="2" t="s">
        <v>17</v>
      </c>
      <c r="AF345" s="2" t="str">
        <f t="shared" si="331"/>
        <v/>
      </c>
      <c r="AG345" s="2"/>
      <c r="AH345" s="2" t="str">
        <f t="shared" si="341"/>
        <v/>
      </c>
      <c r="AI345" s="2"/>
    </row>
    <row r="346" spans="1:35" x14ac:dyDescent="0.25">
      <c r="B346" s="2"/>
      <c r="AB346" s="28" t="str">
        <f t="shared" ref="AB346" si="429">IF(NOT(ISBLANK(AC346)),"-","")</f>
        <v/>
      </c>
      <c r="AD346" s="28" t="str">
        <f t="shared" ref="AD346" si="430">IF(NOT(ISBLANK(AE346)),"_","")</f>
        <v/>
      </c>
      <c r="AF346" s="28" t="str">
        <f t="shared" ref="AF346" si="431">IF(NOT(ISBLANK(AG346)),"_","")</f>
        <v/>
      </c>
      <c r="AH346" s="28" t="str">
        <f t="shared" ref="AH346" si="432">IF(NOT(ISBLANK(AI346)),"_","")</f>
        <v/>
      </c>
    </row>
    <row r="347" spans="1:35" x14ac:dyDescent="0.25">
      <c r="B347" s="2" t="str">
        <f t="shared" si="428"/>
        <v>@color-trunk_primary_secondary_tertiary_link_line_bicycle_no</v>
      </c>
      <c r="C347" s="146" t="s">
        <v>231</v>
      </c>
      <c r="D347" s="134" t="s">
        <v>215</v>
      </c>
      <c r="F347" s="146" t="s">
        <v>231</v>
      </c>
      <c r="G347" s="134" t="s">
        <v>215</v>
      </c>
      <c r="I347" s="147" t="str">
        <f>C347</f>
        <v>"#ffcc8a"</v>
      </c>
      <c r="J347" s="136" t="str">
        <f>D347</f>
        <v>"#d6771e"</v>
      </c>
      <c r="L347" s="146" t="s">
        <v>231</v>
      </c>
      <c r="M347" s="134" t="s">
        <v>215</v>
      </c>
      <c r="AA347" s="2" t="s">
        <v>6</v>
      </c>
      <c r="AB347" s="2" t="str">
        <f t="shared" si="323"/>
        <v>-</v>
      </c>
      <c r="AC347" s="2" t="s">
        <v>32</v>
      </c>
      <c r="AD347" s="2" t="str">
        <f t="shared" si="330"/>
        <v>_</v>
      </c>
      <c r="AE347" s="2" t="s">
        <v>13</v>
      </c>
      <c r="AF347" s="2" t="str">
        <f t="shared" si="331"/>
        <v>_</v>
      </c>
      <c r="AG347" s="2" t="s">
        <v>23</v>
      </c>
      <c r="AH347" s="2" t="str">
        <f t="shared" si="341"/>
        <v/>
      </c>
      <c r="AI347" s="2"/>
    </row>
    <row r="348" spans="1:35" x14ac:dyDescent="0.25">
      <c r="B348" s="2" t="str">
        <f t="shared" si="428"/>
        <v>@color-trunk_primary_secondary_tertiary_link_line_unpaved</v>
      </c>
      <c r="C348" s="145" t="s">
        <v>221</v>
      </c>
      <c r="D348" s="145" t="str">
        <f>C348</f>
        <v>"#eddfca"</v>
      </c>
      <c r="F348" s="145" t="s">
        <v>221</v>
      </c>
      <c r="G348" s="145" t="str">
        <f>F348</f>
        <v>"#eddfca"</v>
      </c>
      <c r="I348" s="145" t="s">
        <v>221</v>
      </c>
      <c r="J348" s="145" t="str">
        <f>I348</f>
        <v>"#eddfca"</v>
      </c>
      <c r="L348" s="145" t="s">
        <v>221</v>
      </c>
      <c r="M348" s="145" t="str">
        <f>L348</f>
        <v>"#eddfca"</v>
      </c>
      <c r="AA348" s="2" t="s">
        <v>6</v>
      </c>
      <c r="AB348" s="2" t="str">
        <f t="shared" si="323"/>
        <v>-</v>
      </c>
      <c r="AC348" s="2" t="s">
        <v>32</v>
      </c>
      <c r="AD348" s="2" t="str">
        <f t="shared" si="330"/>
        <v>_</v>
      </c>
      <c r="AE348" s="2" t="s">
        <v>13</v>
      </c>
      <c r="AF348" s="2" t="str">
        <f t="shared" si="331"/>
        <v>_</v>
      </c>
      <c r="AG348" s="2" t="s">
        <v>21</v>
      </c>
      <c r="AH348" s="2" t="str">
        <f t="shared" si="341"/>
        <v/>
      </c>
      <c r="AI348" s="2"/>
    </row>
    <row r="349" spans="1:35" x14ac:dyDescent="0.25">
      <c r="B349" s="2" t="str">
        <f t="shared" si="428"/>
        <v>@color-trunk_primary_secondary_tertiary_link_line_paved_or_uk</v>
      </c>
      <c r="C349" s="71" t="s">
        <v>222</v>
      </c>
      <c r="D349" s="38" t="str">
        <f>C349</f>
        <v>"#ffffff"</v>
      </c>
      <c r="F349" s="71" t="s">
        <v>222</v>
      </c>
      <c r="G349" s="38" t="str">
        <f>F349</f>
        <v>"#ffffff"</v>
      </c>
      <c r="I349" s="71" t="s">
        <v>222</v>
      </c>
      <c r="J349" s="38" t="str">
        <f>I349</f>
        <v>"#ffffff"</v>
      </c>
      <c r="L349" s="71" t="s">
        <v>222</v>
      </c>
      <c r="M349" s="38" t="str">
        <f>L349</f>
        <v>"#ffffff"</v>
      </c>
      <c r="AA349" s="2" t="s">
        <v>6</v>
      </c>
      <c r="AB349" s="2" t="str">
        <f t="shared" si="323"/>
        <v>-</v>
      </c>
      <c r="AC349" s="2" t="s">
        <v>32</v>
      </c>
      <c r="AD349" s="2" t="str">
        <f t="shared" si="330"/>
        <v>_</v>
      </c>
      <c r="AE349" s="2" t="s">
        <v>13</v>
      </c>
      <c r="AF349" s="2" t="str">
        <f t="shared" si="331"/>
        <v>_</v>
      </c>
      <c r="AG349" s="2" t="s">
        <v>24</v>
      </c>
      <c r="AH349" s="2" t="str">
        <f t="shared" si="341"/>
        <v/>
      </c>
      <c r="AI349" s="2"/>
    </row>
    <row r="350" spans="1:35" x14ac:dyDescent="0.25">
      <c r="B350" s="2" t="str">
        <f t="shared" si="428"/>
        <v>@color-trunk_primary_secondary_tertiary_link_case_bicycle_no_farzoom</v>
      </c>
      <c r="C350" s="137" t="s">
        <v>226</v>
      </c>
      <c r="D350" s="72" t="s">
        <v>214</v>
      </c>
      <c r="F350" s="137" t="s">
        <v>226</v>
      </c>
      <c r="G350" s="137" t="s">
        <v>226</v>
      </c>
      <c r="I350" s="138" t="str">
        <f>C350</f>
        <v>"#bd430f"</v>
      </c>
      <c r="J350" s="37" t="str">
        <f>D350</f>
        <v>"#000000"</v>
      </c>
      <c r="L350" s="137" t="s">
        <v>226</v>
      </c>
      <c r="M350" s="137" t="s">
        <v>226</v>
      </c>
      <c r="AA350" s="2" t="s">
        <v>6</v>
      </c>
      <c r="AB350" s="2" t="str">
        <f t="shared" ref="AB350" si="433">IF(NOT(ISBLANK(AC350)),"-","")</f>
        <v>-</v>
      </c>
      <c r="AC350" s="2" t="s">
        <v>32</v>
      </c>
      <c r="AD350" s="2" t="str">
        <f t="shared" ref="AD350" si="434">IF(NOT(ISBLANK(AE350)),"_","")</f>
        <v>_</v>
      </c>
      <c r="AE350" s="2" t="s">
        <v>17</v>
      </c>
      <c r="AF350" s="2" t="str">
        <f t="shared" ref="AF350" si="435">IF(NOT(ISBLANK(AG350)),"_","")</f>
        <v>_</v>
      </c>
      <c r="AG350" s="2" t="s">
        <v>23</v>
      </c>
      <c r="AH350" s="2" t="str">
        <f t="shared" si="341"/>
        <v>_</v>
      </c>
      <c r="AI350" s="2" t="s">
        <v>20</v>
      </c>
    </row>
    <row r="351" spans="1:35" x14ac:dyDescent="0.25">
      <c r="B351" s="2" t="str">
        <f t="shared" ref="B351:B355" si="436">_xlfn.CONCAT("@",AA351,AB351,AC351,AD351,AE351,AF351,AG351,AH351,AI351)</f>
        <v>@color-trunk_primary_secondary_tertiary_link_case_bicycle_no_default</v>
      </c>
      <c r="C351" s="137" t="s">
        <v>226</v>
      </c>
      <c r="D351" s="72" t="s">
        <v>214</v>
      </c>
      <c r="F351" s="72" t="s">
        <v>214</v>
      </c>
      <c r="G351" s="72" t="s">
        <v>214</v>
      </c>
      <c r="I351" s="138" t="str">
        <f>C351</f>
        <v>"#bd430f"</v>
      </c>
      <c r="J351" s="37" t="str">
        <f>D351</f>
        <v>"#000000"</v>
      </c>
      <c r="L351" s="72" t="s">
        <v>214</v>
      </c>
      <c r="M351" s="72" t="s">
        <v>214</v>
      </c>
      <c r="AA351" s="2" t="s">
        <v>6</v>
      </c>
      <c r="AB351" s="2" t="str">
        <f t="shared" ref="AB351:AB355" si="437">IF(NOT(ISBLANK(AC351)),"-","")</f>
        <v>-</v>
      </c>
      <c r="AC351" s="2" t="s">
        <v>32</v>
      </c>
      <c r="AD351" s="2" t="str">
        <f t="shared" ref="AD351:AD355" si="438">IF(NOT(ISBLANK(AE351)),"_","")</f>
        <v>_</v>
      </c>
      <c r="AE351" s="2" t="s">
        <v>17</v>
      </c>
      <c r="AF351" s="2" t="str">
        <f t="shared" ref="AF351:AF355" si="439">IF(NOT(ISBLANK(AG351)),"_","")</f>
        <v>_</v>
      </c>
      <c r="AG351" s="2" t="s">
        <v>23</v>
      </c>
      <c r="AH351" s="2" t="str">
        <f t="shared" ref="AH351:AH355" si="440">IF(NOT(ISBLANK(AI351)),"_","")</f>
        <v>_</v>
      </c>
      <c r="AI351" s="2" t="s">
        <v>262</v>
      </c>
    </row>
    <row r="352" spans="1:35" x14ac:dyDescent="0.25">
      <c r="B352" s="2" t="str">
        <f t="shared" ref="B352" si="441">_xlfn.CONCAT("@",AA352,AB352,AC352,AD352,AE352,AF352,AG352,AH352,AI352)</f>
        <v>@color-trunk_primary_secondary_tertiary_link_case_unpaved_farzoom</v>
      </c>
      <c r="C352" s="139" t="s">
        <v>227</v>
      </c>
      <c r="D352" s="140" t="s">
        <v>229</v>
      </c>
      <c r="F352" s="140" t="s">
        <v>229</v>
      </c>
      <c r="G352" s="139" t="s">
        <v>227</v>
      </c>
      <c r="I352" s="139" t="s">
        <v>227</v>
      </c>
      <c r="J352" s="140" t="s">
        <v>229</v>
      </c>
      <c r="L352" s="140" t="s">
        <v>229</v>
      </c>
      <c r="M352" s="139" t="s">
        <v>227</v>
      </c>
      <c r="AA352" s="2" t="s">
        <v>6</v>
      </c>
      <c r="AB352" s="2" t="str">
        <f t="shared" ref="AB352" si="442">IF(NOT(ISBLANK(AC352)),"-","")</f>
        <v>-</v>
      </c>
      <c r="AC352" s="2" t="s">
        <v>32</v>
      </c>
      <c r="AD352" s="2" t="str">
        <f t="shared" ref="AD352" si="443">IF(NOT(ISBLANK(AE352)),"_","")</f>
        <v>_</v>
      </c>
      <c r="AE352" s="2" t="s">
        <v>17</v>
      </c>
      <c r="AF352" s="2" t="str">
        <f t="shared" ref="AF352" si="444">IF(NOT(ISBLANK(AG352)),"_","")</f>
        <v>_</v>
      </c>
      <c r="AG352" s="2" t="s">
        <v>21</v>
      </c>
      <c r="AH352" s="2" t="str">
        <f t="shared" ref="AH352" si="445">IF(NOT(ISBLANK(AI352)),"_","")</f>
        <v>_</v>
      </c>
      <c r="AI352" s="2" t="s">
        <v>20</v>
      </c>
    </row>
    <row r="353" spans="2:35" x14ac:dyDescent="0.25">
      <c r="B353" s="2" t="str">
        <f t="shared" si="436"/>
        <v>@color-trunk_primary_secondary_tertiary_link_case_unpaved_default</v>
      </c>
      <c r="C353" s="140" t="s">
        <v>229</v>
      </c>
      <c r="D353" s="140" t="s">
        <v>229</v>
      </c>
      <c r="F353" s="72" t="s">
        <v>214</v>
      </c>
      <c r="G353" s="72" t="s">
        <v>214</v>
      </c>
      <c r="I353" s="140" t="s">
        <v>229</v>
      </c>
      <c r="J353" s="140" t="s">
        <v>229</v>
      </c>
      <c r="L353" s="72" t="s">
        <v>214</v>
      </c>
      <c r="M353" s="72" t="s">
        <v>214</v>
      </c>
      <c r="AA353" s="2" t="s">
        <v>6</v>
      </c>
      <c r="AB353" s="2" t="str">
        <f t="shared" si="437"/>
        <v>-</v>
      </c>
      <c r="AC353" s="2" t="s">
        <v>32</v>
      </c>
      <c r="AD353" s="2" t="str">
        <f t="shared" si="438"/>
        <v>_</v>
      </c>
      <c r="AE353" s="2" t="s">
        <v>17</v>
      </c>
      <c r="AF353" s="2" t="str">
        <f t="shared" si="439"/>
        <v>_</v>
      </c>
      <c r="AG353" s="2" t="s">
        <v>21</v>
      </c>
      <c r="AH353" s="2" t="str">
        <f t="shared" si="440"/>
        <v>_</v>
      </c>
      <c r="AI353" s="2" t="s">
        <v>262</v>
      </c>
    </row>
    <row r="354" spans="2:35" x14ac:dyDescent="0.25">
      <c r="B354" s="2" t="str">
        <f t="shared" ref="B354" si="446">_xlfn.CONCAT("@",AA354,AB354,AC354,AD354,AE354,AF354,AG354,AH354,AI354)</f>
        <v>@color-trunk_primary_secondary_tertiary_link_case_paved_or_uk_farzoom</v>
      </c>
      <c r="C354" s="142" t="s">
        <v>228</v>
      </c>
      <c r="D354" s="72" t="s">
        <v>214</v>
      </c>
      <c r="F354" s="142" t="s">
        <v>228</v>
      </c>
      <c r="G354" s="142" t="s">
        <v>228</v>
      </c>
      <c r="I354" s="142" t="s">
        <v>228</v>
      </c>
      <c r="J354" s="72" t="s">
        <v>214</v>
      </c>
      <c r="L354" s="142" t="s">
        <v>228</v>
      </c>
      <c r="M354" s="142" t="s">
        <v>228</v>
      </c>
      <c r="AA354" s="2" t="s">
        <v>6</v>
      </c>
      <c r="AB354" s="2" t="str">
        <f t="shared" ref="AB354" si="447">IF(NOT(ISBLANK(AC354)),"-","")</f>
        <v>-</v>
      </c>
      <c r="AC354" s="2" t="s">
        <v>32</v>
      </c>
      <c r="AD354" s="2" t="str">
        <f t="shared" ref="AD354" si="448">IF(NOT(ISBLANK(AE354)),"_","")</f>
        <v>_</v>
      </c>
      <c r="AE354" s="2" t="s">
        <v>17</v>
      </c>
      <c r="AF354" s="2" t="str">
        <f t="shared" ref="AF354" si="449">IF(NOT(ISBLANK(AG354)),"_","")</f>
        <v>_</v>
      </c>
      <c r="AG354" s="2" t="s">
        <v>24</v>
      </c>
      <c r="AH354" s="2" t="str">
        <f t="shared" ref="AH354" si="450">IF(NOT(ISBLANK(AI354)),"_","")</f>
        <v>_</v>
      </c>
      <c r="AI354" s="2" t="s">
        <v>20</v>
      </c>
    </row>
    <row r="355" spans="2:35" x14ac:dyDescent="0.25">
      <c r="B355" s="2" t="str">
        <f t="shared" si="436"/>
        <v>@color-trunk_primary_secondary_tertiary_link_case_paved_or_uk_default</v>
      </c>
      <c r="C355" s="148" t="s">
        <v>230</v>
      </c>
      <c r="D355" s="72" t="s">
        <v>214</v>
      </c>
      <c r="F355" s="72" t="s">
        <v>214</v>
      </c>
      <c r="G355" s="72" t="s">
        <v>214</v>
      </c>
      <c r="I355" s="148" t="s">
        <v>230</v>
      </c>
      <c r="J355" s="72" t="s">
        <v>214</v>
      </c>
      <c r="L355" s="72" t="s">
        <v>214</v>
      </c>
      <c r="M355" s="72" t="s">
        <v>214</v>
      </c>
      <c r="AA355" s="2" t="s">
        <v>6</v>
      </c>
      <c r="AB355" s="2" t="str">
        <f t="shared" si="437"/>
        <v>-</v>
      </c>
      <c r="AC355" s="2" t="s">
        <v>32</v>
      </c>
      <c r="AD355" s="2" t="str">
        <f t="shared" si="438"/>
        <v>_</v>
      </c>
      <c r="AE355" s="2" t="s">
        <v>17</v>
      </c>
      <c r="AF355" s="2" t="str">
        <f t="shared" si="439"/>
        <v>_</v>
      </c>
      <c r="AG355" s="2" t="s">
        <v>24</v>
      </c>
      <c r="AH355" s="2" t="str">
        <f t="shared" si="440"/>
        <v>_</v>
      </c>
      <c r="AI355" s="2" t="s">
        <v>262</v>
      </c>
    </row>
    <row r="356" spans="2:35" x14ac:dyDescent="0.25">
      <c r="B356" s="2" t="str">
        <f t="shared" si="428"/>
        <v>@</v>
      </c>
    </row>
    <row r="357" spans="2:35" x14ac:dyDescent="0.25">
      <c r="B357" s="2" t="str">
        <f t="shared" si="428"/>
        <v>@</v>
      </c>
    </row>
    <row r="358" spans="2:35" x14ac:dyDescent="0.25">
      <c r="B358" s="2" t="str">
        <f t="shared" si="428"/>
        <v>@</v>
      </c>
    </row>
    <row r="359" spans="2:35" x14ac:dyDescent="0.25">
      <c r="B359" s="2" t="str">
        <f t="shared" si="428"/>
        <v>@</v>
      </c>
    </row>
    <row r="360" spans="2:35" x14ac:dyDescent="0.25">
      <c r="B360" s="2" t="str">
        <f t="shared" si="428"/>
        <v>@</v>
      </c>
    </row>
    <row r="361" spans="2:35" x14ac:dyDescent="0.25">
      <c r="B361" s="2" t="str">
        <f t="shared" si="428"/>
        <v>@</v>
      </c>
    </row>
    <row r="362" spans="2:35" x14ac:dyDescent="0.25">
      <c r="B362" s="2" t="str">
        <f t="shared" si="428"/>
        <v>@</v>
      </c>
    </row>
    <row r="363" spans="2:35" x14ac:dyDescent="0.25">
      <c r="B363" s="2" t="str">
        <f t="shared" si="428"/>
        <v>@</v>
      </c>
    </row>
    <row r="364" spans="2:35" x14ac:dyDescent="0.25">
      <c r="B364" s="2" t="str">
        <f t="shared" si="428"/>
        <v>@</v>
      </c>
    </row>
    <row r="365" spans="2:35" x14ac:dyDescent="0.25">
      <c r="B365" s="2" t="str">
        <f t="shared" si="428"/>
        <v>@</v>
      </c>
    </row>
    <row r="366" spans="2:35" x14ac:dyDescent="0.25">
      <c r="B366" s="2" t="str">
        <f t="shared" si="428"/>
        <v>@</v>
      </c>
    </row>
    <row r="367" spans="2:35" x14ac:dyDescent="0.25">
      <c r="B367" s="2" t="str">
        <f t="shared" si="428"/>
        <v>@</v>
      </c>
    </row>
    <row r="368" spans="2:35" x14ac:dyDescent="0.25">
      <c r="B368" s="2" t="str">
        <f t="shared" si="428"/>
        <v>@</v>
      </c>
    </row>
    <row r="369" spans="2:2" x14ac:dyDescent="0.25">
      <c r="B369" s="2" t="str">
        <f t="shared" si="428"/>
        <v>@</v>
      </c>
    </row>
    <row r="370" spans="2:2" x14ac:dyDescent="0.25">
      <c r="B370" s="2" t="str">
        <f t="shared" si="428"/>
        <v>@</v>
      </c>
    </row>
    <row r="371" spans="2:2" x14ac:dyDescent="0.25">
      <c r="B371" s="2" t="str">
        <f t="shared" si="428"/>
        <v>@</v>
      </c>
    </row>
    <row r="372" spans="2:2" x14ac:dyDescent="0.25">
      <c r="B372" s="2" t="str">
        <f t="shared" si="428"/>
        <v>@</v>
      </c>
    </row>
    <row r="373" spans="2:2" x14ac:dyDescent="0.25">
      <c r="B373" s="2" t="str">
        <f t="shared" si="428"/>
        <v>@</v>
      </c>
    </row>
    <row r="374" spans="2:2" x14ac:dyDescent="0.25">
      <c r="B374" s="2" t="str">
        <f t="shared" si="428"/>
        <v>@</v>
      </c>
    </row>
  </sheetData>
  <pageMargins left="0.7" right="0.7" top="0.75" bottom="0.75" header="0.3" footer="0.3"/>
  <pageSetup paperSize="9" orientation="portrait" r:id="rId1"/>
  <headerFooter>
    <oddHeader>&amp;R&amp;"Aptos"&amp;11&amp;K000000 TUNI Luottamuksellinen - Confidential (3Y)&amp;1#_x000D_</oddHeader>
  </headerFooter>
  <ignoredErrors>
    <ignoredError sqref="C69 C72 M68:Y68 M69:Y69 M70:Y70 M72:Y72 M73:Y73 M74:Y74 M76:Y76 M77:Y77 M78:Y78 M80:Y80 M81:Y81 M82:Y82 D72:E72 E68 E69 E70 E71 D80:E83 E73 E74 E75 E76 E77 E78 E79 H72 H68:L68 H69:L69 H70:L70 H71:L71 H80:L82 H73:L73 H74:L74 H75 H76 H77:L77 H78:L78 H79 J72:K72 J76:K76 H83 J83:K83 J75:K75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C7575-2DFB-4488-B949-F4B967A0C1C1}">
  <sheetPr codeName="Sheet3"/>
  <dimension ref="A1:AC71"/>
  <sheetViews>
    <sheetView topLeftCell="C1" workbookViewId="0">
      <selection activeCell="B6" sqref="B6"/>
    </sheetView>
  </sheetViews>
  <sheetFormatPr defaultRowHeight="13.5" x14ac:dyDescent="0.25"/>
  <cols>
    <col min="1" max="1" width="2.7109375" style="2" customWidth="1"/>
    <col min="2" max="2" width="35.7109375" style="2" customWidth="1"/>
    <col min="3" max="3" width="8.7109375" style="2" customWidth="1"/>
    <col min="4" max="4" width="8.7109375" style="7" customWidth="1"/>
    <col min="5" max="5" width="35.7109375" style="7" customWidth="1"/>
    <col min="6" max="6" width="8.7109375" style="2" customWidth="1"/>
    <col min="7" max="7" width="8.7109375" style="7" customWidth="1"/>
    <col min="8" max="8" width="35.7109375" style="2" customWidth="1"/>
    <col min="9" max="9" width="8.7109375" style="2" customWidth="1"/>
    <col min="10" max="10" width="8.7109375" style="7" customWidth="1"/>
    <col min="11" max="11" width="35.7109375" style="2" customWidth="1"/>
    <col min="12" max="12" width="8.7109375" style="2" customWidth="1"/>
    <col min="13" max="13" width="8.7109375" style="7" customWidth="1"/>
    <col min="14" max="14" width="35.7109375" style="2" customWidth="1"/>
    <col min="15" max="15" width="8.7109375" style="2" customWidth="1"/>
    <col min="16" max="16" width="8.7109375" style="7" customWidth="1"/>
    <col min="17" max="17" width="35.7109375" style="2" customWidth="1"/>
    <col min="18" max="18" width="8.7109375" style="2" customWidth="1"/>
    <col min="19" max="19" width="8.7109375" style="7" customWidth="1"/>
    <col min="20" max="20" width="2.7109375" style="2" customWidth="1"/>
    <col min="21" max="21" width="12.7109375" style="2" customWidth="1"/>
    <col min="22" max="22" width="2.7109375" style="2" customWidth="1"/>
    <col min="23" max="23" width="12.7109375" style="2" customWidth="1"/>
    <col min="24" max="24" width="2.7109375" style="2" customWidth="1"/>
    <col min="25" max="25" width="12.7109375" style="2" customWidth="1"/>
    <col min="26" max="26" width="2.7109375" style="2" customWidth="1"/>
    <col min="27" max="27" width="12.7109375" style="2" customWidth="1"/>
    <col min="28" max="28" width="2.7109375" style="2" customWidth="1"/>
    <col min="29" max="29" width="12.7109375" style="2" customWidth="1"/>
  </cols>
  <sheetData>
    <row r="1" spans="1:29" x14ac:dyDescent="0.25">
      <c r="B1" s="1" t="s">
        <v>140</v>
      </c>
    </row>
    <row r="3" spans="1:29" x14ac:dyDescent="0.25">
      <c r="B3" s="9" t="s">
        <v>104</v>
      </c>
      <c r="C3" s="1"/>
      <c r="D3" s="5"/>
      <c r="E3" s="8" t="s">
        <v>105</v>
      </c>
      <c r="F3" s="1"/>
      <c r="G3" s="10"/>
      <c r="H3" s="9" t="s">
        <v>22</v>
      </c>
      <c r="I3" s="1"/>
      <c r="J3" s="5"/>
      <c r="K3" s="8" t="s">
        <v>106</v>
      </c>
      <c r="L3" s="1"/>
      <c r="M3" s="10"/>
      <c r="N3" s="9" t="s">
        <v>107</v>
      </c>
      <c r="O3" s="1"/>
      <c r="P3" s="5"/>
      <c r="Q3" s="8" t="s">
        <v>108</v>
      </c>
      <c r="R3" s="1"/>
      <c r="S3" s="10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25">
      <c r="A4" s="1"/>
      <c r="B4" s="9" t="s">
        <v>0</v>
      </c>
      <c r="C4" s="1" t="s">
        <v>1</v>
      </c>
      <c r="D4" s="5" t="s">
        <v>15</v>
      </c>
      <c r="E4" s="8"/>
      <c r="F4" s="1" t="s">
        <v>1</v>
      </c>
      <c r="G4" s="10" t="s">
        <v>15</v>
      </c>
      <c r="H4" s="9" t="s">
        <v>0</v>
      </c>
      <c r="I4" s="1" t="s">
        <v>1</v>
      </c>
      <c r="J4" s="5" t="s">
        <v>15</v>
      </c>
      <c r="K4" s="8" t="s">
        <v>0</v>
      </c>
      <c r="L4" s="1" t="s">
        <v>1</v>
      </c>
      <c r="M4" s="10" t="s">
        <v>15</v>
      </c>
      <c r="N4" s="9" t="s">
        <v>0</v>
      </c>
      <c r="O4" s="1" t="s">
        <v>1</v>
      </c>
      <c r="P4" s="5" t="s">
        <v>15</v>
      </c>
      <c r="Q4" s="8" t="s">
        <v>0</v>
      </c>
      <c r="R4" s="1" t="s">
        <v>1</v>
      </c>
      <c r="S4" s="10" t="s">
        <v>15</v>
      </c>
      <c r="T4" s="1"/>
      <c r="U4" s="1" t="s">
        <v>3</v>
      </c>
      <c r="V4" s="1"/>
      <c r="W4" s="1" t="s">
        <v>2</v>
      </c>
      <c r="X4" s="1"/>
      <c r="Y4" s="1" t="s">
        <v>8</v>
      </c>
      <c r="Z4" s="1"/>
      <c r="AA4" s="1" t="s">
        <v>73</v>
      </c>
      <c r="AB4" s="1"/>
      <c r="AC4" s="1" t="s">
        <v>69</v>
      </c>
    </row>
    <row r="5" spans="1:29" x14ac:dyDescent="0.25">
      <c r="A5" s="3" t="s">
        <v>117</v>
      </c>
      <c r="B5" s="11"/>
      <c r="C5" s="3"/>
      <c r="D5" s="6"/>
      <c r="E5" s="13"/>
      <c r="F5" s="3"/>
      <c r="G5" s="12"/>
      <c r="H5" s="11"/>
      <c r="I5" s="3"/>
      <c r="J5" s="6"/>
      <c r="K5" s="13"/>
      <c r="L5" s="3"/>
      <c r="M5" s="12"/>
      <c r="N5" s="11"/>
      <c r="O5" s="3"/>
      <c r="P5" s="6"/>
      <c r="Q5" s="13"/>
      <c r="R5" s="3"/>
      <c r="S5" s="12"/>
      <c r="T5" s="4"/>
      <c r="U5" s="4"/>
      <c r="V5" s="4"/>
      <c r="W5" s="4"/>
      <c r="X5" s="4"/>
      <c r="Y5" s="4"/>
      <c r="Z5" s="4"/>
      <c r="AA5" s="4"/>
      <c r="AB5" s="4"/>
      <c r="AC5" s="4"/>
    </row>
    <row r="6" spans="1:29" x14ac:dyDescent="0.25">
      <c r="B6" s="14" t="str">
        <f>_xlfn.CONCAT("@",U6,V6,W6,X6,Y6,Z6,AA6,AB6,AC6,"-(",B$3,")")</f>
        <v>@case_width-path_narrow-z11-(mtb)</v>
      </c>
      <c r="C6" s="7" t="str">
        <f>D6</f>
        <v>1.0</v>
      </c>
      <c r="D6" s="5" t="s">
        <v>80</v>
      </c>
      <c r="E6" s="15" t="str">
        <f>_xlfn.CONCAT("@",U6,V6,W6,X6,Y6,Z6,AA6,AB6,AC6,"-(",E$3,")")</f>
        <v>@case_width-path_narrow-z11-(mtb-hc)</v>
      </c>
      <c r="F6" s="7" t="str">
        <f t="shared" ref="F6:F18" si="0">G6</f>
        <v>2.0</v>
      </c>
      <c r="G6" s="10" t="s">
        <v>85</v>
      </c>
      <c r="H6" s="14" t="str">
        <f>_xlfn.CONCAT("@",U6,V6,W6,X6,Y6,Z6,AA6,AB6,AC6,"-(",H$3,")")</f>
        <v>@case_width-path_narrow-z11-(gr)</v>
      </c>
      <c r="I6" s="7" t="str">
        <f>J6</f>
        <v>0.5</v>
      </c>
      <c r="J6" s="5" t="s">
        <v>95</v>
      </c>
      <c r="K6" s="15" t="str">
        <f>_xlfn.CONCAT("@",U6,V6,W6,X6,Y6,Z6,AA6,AB6,AC6,"-(",K$3,")")</f>
        <v>@case_width-path_narrow-z11-(gr-hc)</v>
      </c>
      <c r="L6" s="7">
        <f>M6</f>
        <v>0</v>
      </c>
      <c r="M6" s="10"/>
      <c r="N6" s="18" t="str">
        <f>_xlfn.CONCAT("@",U6,V6,W6,X6,Y6,Z6,AA6,AB6,AC6,"-(",N$3,")")</f>
        <v>@case_width-path_narrow-z11-(wnt)</v>
      </c>
      <c r="O6" s="19" t="str">
        <f t="shared" ref="O6:O20" si="1">P6</f>
        <v>0.5</v>
      </c>
      <c r="P6" s="17" t="s">
        <v>95</v>
      </c>
      <c r="Q6" s="20" t="str">
        <f>_xlfn.CONCAT("@",U6,V6,W6,X6,Y6,Z6,AA6,AB6,AC6,"-(",Q$3,")")</f>
        <v>@case_width-path_narrow-z11-(wnt-hc)</v>
      </c>
      <c r="R6" s="19">
        <f>S6</f>
        <v>0</v>
      </c>
      <c r="S6" s="21"/>
      <c r="U6" s="1" t="s">
        <v>78</v>
      </c>
      <c r="V6" s="2" t="str">
        <f t="shared" ref="V6:V20" si="2">IF(NOT(ISBLANK(W6)),"-","")</f>
        <v>-</v>
      </c>
      <c r="W6" s="1" t="s">
        <v>71</v>
      </c>
      <c r="X6" s="2" t="str">
        <f>IF(NOT(ISBLANK(Y6)),"_","")</f>
        <v>_</v>
      </c>
      <c r="Y6" s="1" t="s">
        <v>72</v>
      </c>
      <c r="Z6" s="2" t="str">
        <f t="shared" ref="Z6:Z20" si="3">IF(NOT(ISBLANK(AA6)),"_","")</f>
        <v/>
      </c>
      <c r="AB6" s="2" t="str">
        <f t="shared" ref="AB6:AB20" si="4">IF(NOT(ISBLANK(AC6)),"-","")</f>
        <v>-</v>
      </c>
      <c r="AC6" s="1" t="s">
        <v>70</v>
      </c>
    </row>
    <row r="7" spans="1:29" x14ac:dyDescent="0.25">
      <c r="B7" s="14" t="str">
        <f t="shared" ref="B7:B17" si="5">_xlfn.CONCAT("@",U7,V7,W7,X7,Y7,Z7,AA7,AB7,AC7,"-(",B$3,")")</f>
        <v>@case_width-path_narrow-z12-(mtb)</v>
      </c>
      <c r="C7" s="7" t="str">
        <f t="shared" ref="C7:C17" si="6">D7</f>
        <v>1.1</v>
      </c>
      <c r="D7" s="5" t="s">
        <v>110</v>
      </c>
      <c r="E7" s="15" t="str">
        <f t="shared" ref="E7:E17" si="7">_xlfn.CONCAT("@",U7,V7,W7,X7,Y7,Z7,AA7,AB7,AC7,"-(",E$3,")")</f>
        <v>@case_width-path_narrow-z12-(mtb-hc)</v>
      </c>
      <c r="F7" s="7" t="str">
        <f t="shared" si="0"/>
        <v>2.2</v>
      </c>
      <c r="G7" s="10" t="s">
        <v>112</v>
      </c>
      <c r="H7" s="14" t="str">
        <f t="shared" ref="H7:H17" si="8">_xlfn.CONCAT("@",U7,V7,W7,X7,Y7,Z7,AA7,AB7,AC7,"-(",H$3,")")</f>
        <v>@case_width-path_narrow-z12-(gr)</v>
      </c>
      <c r="I7" s="7" t="str">
        <f t="shared" ref="I7:I18" si="9">J7</f>
        <v>0.7</v>
      </c>
      <c r="J7" s="5" t="s">
        <v>115</v>
      </c>
      <c r="K7" s="15" t="str">
        <f t="shared" ref="K7:K20" si="10">_xlfn.CONCAT("@",U7,V7,W7,X7,Y7,Z7,AA7,AB7,AC7,"-(",K$3,")")</f>
        <v>@case_width-path_narrow-z12-(gr-hc)</v>
      </c>
      <c r="L7" s="7">
        <f t="shared" ref="L7:L18" si="11">M7</f>
        <v>0</v>
      </c>
      <c r="M7" s="10"/>
      <c r="N7" s="18" t="str">
        <f t="shared" ref="N7:N20" si="12">_xlfn.CONCAT("@",U7,V7,W7,X7,Y7,Z7,AA7,AB7,AC7,"-(",N$3,")")</f>
        <v>@case_width-path_narrow-z12-(wnt)</v>
      </c>
      <c r="O7" s="19" t="str">
        <f t="shared" si="1"/>
        <v>0.6</v>
      </c>
      <c r="P7" s="17" t="s">
        <v>122</v>
      </c>
      <c r="Q7" s="20" t="str">
        <f t="shared" ref="Q7:Q20" si="13">_xlfn.CONCAT("@",U7,V7,W7,X7,Y7,Z7,AA7,AB7,AC7,"-(",Q$3,")")</f>
        <v>@case_width-path_narrow-z12-(wnt-hc)</v>
      </c>
      <c r="R7" s="19">
        <f t="shared" ref="R7:R19" si="14">S7</f>
        <v>0</v>
      </c>
      <c r="S7" s="21"/>
      <c r="U7" s="1" t="s">
        <v>78</v>
      </c>
      <c r="V7" s="2" t="str">
        <f t="shared" si="2"/>
        <v>-</v>
      </c>
      <c r="W7" s="1" t="s">
        <v>71</v>
      </c>
      <c r="X7" s="2" t="str">
        <f t="shared" ref="X7:X19" si="15">IF(NOT(ISBLANK(Y7)),"_","")</f>
        <v>_</v>
      </c>
      <c r="Y7" s="1" t="s">
        <v>72</v>
      </c>
      <c r="Z7" s="2" t="str">
        <f t="shared" si="3"/>
        <v/>
      </c>
      <c r="AB7" s="2" t="str">
        <f t="shared" si="4"/>
        <v>-</v>
      </c>
      <c r="AC7" s="1" t="s">
        <v>109</v>
      </c>
    </row>
    <row r="8" spans="1:29" x14ac:dyDescent="0.25">
      <c r="B8" s="14" t="str">
        <f t="shared" si="5"/>
        <v>@case_width-path_narrow-z14-(mtb)</v>
      </c>
      <c r="C8" s="7" t="str">
        <f t="shared" si="6"/>
        <v>1.3</v>
      </c>
      <c r="D8" s="5" t="s">
        <v>81</v>
      </c>
      <c r="E8" s="15" t="str">
        <f t="shared" si="7"/>
        <v>@case_width-path_narrow-z14-(mtb-hc)</v>
      </c>
      <c r="F8" s="7" t="str">
        <f t="shared" si="0"/>
        <v>2.5</v>
      </c>
      <c r="G8" s="10" t="s">
        <v>90</v>
      </c>
      <c r="H8" s="14" t="str">
        <f t="shared" si="8"/>
        <v>@case_width-path_narrow-z14-(gr)</v>
      </c>
      <c r="I8" s="7" t="str">
        <f t="shared" si="9"/>
        <v>1.0</v>
      </c>
      <c r="J8" s="5" t="s">
        <v>80</v>
      </c>
      <c r="K8" s="15" t="str">
        <f t="shared" si="10"/>
        <v>@case_width-path_narrow-z14-(gr-hc)</v>
      </c>
      <c r="L8" s="7">
        <f t="shared" si="11"/>
        <v>0</v>
      </c>
      <c r="M8" s="10"/>
      <c r="N8" s="18" t="str">
        <f t="shared" si="12"/>
        <v>@case_width-path_narrow-z14-(wnt)</v>
      </c>
      <c r="O8" s="19" t="str">
        <f t="shared" si="1"/>
        <v>1.0</v>
      </c>
      <c r="P8" s="17" t="s">
        <v>80</v>
      </c>
      <c r="Q8" s="20" t="str">
        <f t="shared" si="13"/>
        <v>@case_width-path_narrow-z14-(wnt-hc)</v>
      </c>
      <c r="R8" s="19">
        <f t="shared" si="14"/>
        <v>0</v>
      </c>
      <c r="S8" s="21"/>
      <c r="U8" s="1" t="s">
        <v>78</v>
      </c>
      <c r="V8" s="2" t="str">
        <f t="shared" si="2"/>
        <v>-</v>
      </c>
      <c r="W8" s="1" t="s">
        <v>71</v>
      </c>
      <c r="X8" s="2" t="str">
        <f t="shared" si="15"/>
        <v>_</v>
      </c>
      <c r="Y8" s="1" t="s">
        <v>72</v>
      </c>
      <c r="Z8" s="2" t="str">
        <f t="shared" si="3"/>
        <v/>
      </c>
      <c r="AB8" s="2" t="str">
        <f t="shared" si="4"/>
        <v>-</v>
      </c>
      <c r="AC8" s="1" t="s">
        <v>74</v>
      </c>
    </row>
    <row r="9" spans="1:29" x14ac:dyDescent="0.25">
      <c r="B9" s="14" t="str">
        <f t="shared" si="5"/>
        <v>@case_width-path_narrow-z16-(mtb)</v>
      </c>
      <c r="C9" s="7" t="str">
        <f t="shared" si="6"/>
        <v>3.5</v>
      </c>
      <c r="D9" s="5" t="s">
        <v>82</v>
      </c>
      <c r="E9" s="15" t="str">
        <f t="shared" si="7"/>
        <v>@case_width-path_narrow-z16-(mtb-hc)</v>
      </c>
      <c r="F9" s="7" t="str">
        <f t="shared" si="0"/>
        <v>3.0</v>
      </c>
      <c r="G9" s="10" t="s">
        <v>88</v>
      </c>
      <c r="H9" s="14" t="str">
        <f t="shared" si="8"/>
        <v>@case_width-path_narrow-z16-(gr)</v>
      </c>
      <c r="I9" s="7" t="str">
        <f t="shared" si="9"/>
        <v>1.0</v>
      </c>
      <c r="J9" s="5" t="s">
        <v>80</v>
      </c>
      <c r="K9" s="15" t="str">
        <f t="shared" si="10"/>
        <v>@case_width-path_narrow-z16-(gr-hc)</v>
      </c>
      <c r="L9" s="7">
        <f t="shared" si="11"/>
        <v>0</v>
      </c>
      <c r="M9" s="10"/>
      <c r="N9" s="18" t="str">
        <f t="shared" si="12"/>
        <v>@case_width-path_narrow-z16-(wnt)</v>
      </c>
      <c r="O9" s="19" t="str">
        <f t="shared" si="1"/>
        <v>1.8</v>
      </c>
      <c r="P9" s="17" t="s">
        <v>123</v>
      </c>
      <c r="Q9" s="20" t="str">
        <f t="shared" si="13"/>
        <v>@case_width-path_narrow-z16-(wnt-hc)</v>
      </c>
      <c r="R9" s="19">
        <f t="shared" si="14"/>
        <v>0</v>
      </c>
      <c r="S9" s="21"/>
      <c r="U9" s="1" t="s">
        <v>78</v>
      </c>
      <c r="V9" s="2" t="str">
        <f t="shared" si="2"/>
        <v>-</v>
      </c>
      <c r="W9" s="1" t="s">
        <v>71</v>
      </c>
      <c r="X9" s="2" t="str">
        <f t="shared" si="15"/>
        <v>_</v>
      </c>
      <c r="Y9" s="1" t="s">
        <v>72</v>
      </c>
      <c r="Z9" s="2" t="str">
        <f t="shared" si="3"/>
        <v/>
      </c>
      <c r="AB9" s="2" t="str">
        <f t="shared" si="4"/>
        <v>-</v>
      </c>
      <c r="AC9" s="1" t="s">
        <v>75</v>
      </c>
    </row>
    <row r="10" spans="1:29" x14ac:dyDescent="0.25">
      <c r="B10" s="14" t="str">
        <f t="shared" si="5"/>
        <v>@case_width-path_narrow-z18-(mtb)</v>
      </c>
      <c r="C10" s="7" t="str">
        <f t="shared" si="6"/>
        <v>5.0</v>
      </c>
      <c r="D10" s="5" t="s">
        <v>83</v>
      </c>
      <c r="E10" s="15" t="str">
        <f t="shared" si="7"/>
        <v>@case_width-path_narrow-z18-(mtb-hc)</v>
      </c>
      <c r="F10" s="7" t="str">
        <f t="shared" si="0"/>
        <v>7.5</v>
      </c>
      <c r="G10" s="10" t="s">
        <v>91</v>
      </c>
      <c r="H10" s="14" t="str">
        <f t="shared" si="8"/>
        <v>@case_width-path_narrow-z18-(gr)</v>
      </c>
      <c r="I10" s="7" t="str">
        <f t="shared" si="9"/>
        <v>1.5</v>
      </c>
      <c r="J10" s="5" t="s">
        <v>84</v>
      </c>
      <c r="K10" s="15" t="str">
        <f t="shared" si="10"/>
        <v>@case_width-path_narrow-z18-(gr-hc)</v>
      </c>
      <c r="L10" s="7">
        <f t="shared" si="11"/>
        <v>0</v>
      </c>
      <c r="M10" s="10"/>
      <c r="N10" s="18" t="str">
        <f t="shared" si="12"/>
        <v>@case_width-path_narrow-z18-(wnt)</v>
      </c>
      <c r="O10" s="19" t="str">
        <f t="shared" si="1"/>
        <v>2.4</v>
      </c>
      <c r="P10" s="17" t="s">
        <v>99</v>
      </c>
      <c r="Q10" s="20" t="str">
        <f t="shared" si="13"/>
        <v>@case_width-path_narrow-z18-(wnt-hc)</v>
      </c>
      <c r="R10" s="19">
        <f t="shared" si="14"/>
        <v>0</v>
      </c>
      <c r="S10" s="21"/>
      <c r="U10" s="1" t="s">
        <v>78</v>
      </c>
      <c r="V10" s="2" t="str">
        <f t="shared" si="2"/>
        <v>-</v>
      </c>
      <c r="W10" s="1" t="s">
        <v>71</v>
      </c>
      <c r="X10" s="2" t="str">
        <f t="shared" si="15"/>
        <v>_</v>
      </c>
      <c r="Y10" s="1" t="s">
        <v>72</v>
      </c>
      <c r="Z10" s="2" t="str">
        <f t="shared" si="3"/>
        <v/>
      </c>
      <c r="AB10" s="2" t="str">
        <f t="shared" si="4"/>
        <v>-</v>
      </c>
      <c r="AC10" s="1" t="s">
        <v>76</v>
      </c>
    </row>
    <row r="11" spans="1:29" x14ac:dyDescent="0.25">
      <c r="B11" s="14" t="str">
        <f t="shared" si="5"/>
        <v>@case_width-path_medium-z11-(mtb)</v>
      </c>
      <c r="C11" s="7" t="str">
        <f t="shared" si="6"/>
        <v>1.5</v>
      </c>
      <c r="D11" s="5" t="s">
        <v>84</v>
      </c>
      <c r="E11" s="15" t="str">
        <f t="shared" si="7"/>
        <v>@case_width-path_medium-z11-(mtb-hc)</v>
      </c>
      <c r="F11" s="7" t="str">
        <f t="shared" si="0"/>
        <v>3.0</v>
      </c>
      <c r="G11" s="10" t="s">
        <v>88</v>
      </c>
      <c r="H11" s="14" t="str">
        <f t="shared" si="8"/>
        <v>@case_width-path_medium-z11-(gr)</v>
      </c>
      <c r="I11" s="7" t="str">
        <f t="shared" si="9"/>
        <v>0.8</v>
      </c>
      <c r="J11" s="5" t="s">
        <v>96</v>
      </c>
      <c r="K11" s="15" t="str">
        <f t="shared" si="10"/>
        <v>@case_width-path_medium-z11-(gr-hc)</v>
      </c>
      <c r="L11" s="7">
        <f t="shared" si="11"/>
        <v>0</v>
      </c>
      <c r="M11" s="10"/>
      <c r="N11" s="14" t="str">
        <f t="shared" si="12"/>
        <v>@case_width-path_medium-z11-(wnt)</v>
      </c>
      <c r="O11" s="7" t="str">
        <f t="shared" si="1"/>
        <v>0.5</v>
      </c>
      <c r="P11" s="5" t="s">
        <v>95</v>
      </c>
      <c r="Q11" s="15" t="str">
        <f t="shared" si="13"/>
        <v>@case_width-path_medium-z11-(wnt-hc)</v>
      </c>
      <c r="R11" s="7">
        <f t="shared" si="14"/>
        <v>0</v>
      </c>
      <c r="S11" s="10"/>
      <c r="U11" s="1" t="s">
        <v>78</v>
      </c>
      <c r="V11" s="2" t="str">
        <f t="shared" si="2"/>
        <v>-</v>
      </c>
      <c r="W11" s="1" t="s">
        <v>71</v>
      </c>
      <c r="X11" s="2" t="str">
        <f t="shared" si="15"/>
        <v>_</v>
      </c>
      <c r="Y11" s="1" t="s">
        <v>79</v>
      </c>
      <c r="Z11" s="2" t="str">
        <f t="shared" si="3"/>
        <v/>
      </c>
      <c r="AB11" s="2" t="str">
        <f t="shared" si="4"/>
        <v>-</v>
      </c>
      <c r="AC11" s="1" t="s">
        <v>70</v>
      </c>
    </row>
    <row r="12" spans="1:29" x14ac:dyDescent="0.25">
      <c r="B12" s="14" t="str">
        <f t="shared" si="5"/>
        <v>@case_width-path_medium-z12-(mtb)</v>
      </c>
      <c r="C12" s="7" t="str">
        <f t="shared" si="6"/>
        <v>1.7</v>
      </c>
      <c r="D12" s="5" t="s">
        <v>111</v>
      </c>
      <c r="E12" s="15" t="str">
        <f t="shared" si="7"/>
        <v>@case_width-path_medium-z12-(mtb-hc)</v>
      </c>
      <c r="F12" s="7" t="str">
        <f t="shared" si="0"/>
        <v>3.4</v>
      </c>
      <c r="G12" s="10" t="s">
        <v>114</v>
      </c>
      <c r="H12" s="14" t="str">
        <f t="shared" si="8"/>
        <v>@case_width-path_medium-z12-(gr)</v>
      </c>
      <c r="I12" s="7" t="str">
        <f t="shared" si="9"/>
        <v>0.9</v>
      </c>
      <c r="J12" s="5" t="s">
        <v>116</v>
      </c>
      <c r="K12" s="15" t="str">
        <f t="shared" si="10"/>
        <v>@case_width-path_medium-z12-(gr-hc)</v>
      </c>
      <c r="L12" s="7">
        <f t="shared" si="11"/>
        <v>0</v>
      </c>
      <c r="M12" s="10"/>
      <c r="N12" s="14" t="str">
        <f t="shared" si="12"/>
        <v>@case_width-path_medium-z12-(wnt)</v>
      </c>
      <c r="O12" s="7" t="str">
        <f t="shared" si="1"/>
        <v>0.6</v>
      </c>
      <c r="P12" s="5" t="s">
        <v>122</v>
      </c>
      <c r="Q12" s="15" t="str">
        <f t="shared" si="13"/>
        <v>@case_width-path_medium-z12-(wnt-hc)</v>
      </c>
      <c r="R12" s="7">
        <f t="shared" si="14"/>
        <v>0</v>
      </c>
      <c r="S12" s="10"/>
      <c r="U12" s="1" t="s">
        <v>78</v>
      </c>
      <c r="V12" s="2" t="str">
        <f t="shared" si="2"/>
        <v>-</v>
      </c>
      <c r="W12" s="1" t="s">
        <v>71</v>
      </c>
      <c r="X12" s="2" t="str">
        <f t="shared" si="15"/>
        <v>_</v>
      </c>
      <c r="Y12" s="1" t="s">
        <v>79</v>
      </c>
      <c r="Z12" s="2" t="str">
        <f t="shared" si="3"/>
        <v/>
      </c>
      <c r="AB12" s="2" t="str">
        <f t="shared" si="4"/>
        <v>-</v>
      </c>
      <c r="AC12" s="1" t="s">
        <v>109</v>
      </c>
    </row>
    <row r="13" spans="1:29" x14ac:dyDescent="0.25">
      <c r="B13" s="14" t="str">
        <f t="shared" si="5"/>
        <v>@case_width-path_medium-z14-(mtb)</v>
      </c>
      <c r="C13" s="7" t="str">
        <f t="shared" si="6"/>
        <v>2.0</v>
      </c>
      <c r="D13" s="5" t="s">
        <v>85</v>
      </c>
      <c r="E13" s="15" t="str">
        <f t="shared" si="7"/>
        <v>@case_width-path_medium-z14-(mtb-hc)</v>
      </c>
      <c r="F13" s="7" t="str">
        <f t="shared" si="0"/>
        <v>4.0</v>
      </c>
      <c r="G13" s="10" t="s">
        <v>92</v>
      </c>
      <c r="H13" s="14" t="str">
        <f t="shared" si="8"/>
        <v>@case_width-path_medium-z14-(gr)</v>
      </c>
      <c r="I13" s="7" t="str">
        <f t="shared" si="9"/>
        <v>1.2</v>
      </c>
      <c r="J13" s="5" t="s">
        <v>97</v>
      </c>
      <c r="K13" s="15" t="str">
        <f t="shared" si="10"/>
        <v>@case_width-path_medium-z14-(gr-hc)</v>
      </c>
      <c r="L13" s="7">
        <f t="shared" si="11"/>
        <v>0</v>
      </c>
      <c r="M13" s="10"/>
      <c r="N13" s="14" t="str">
        <f t="shared" si="12"/>
        <v>@case_width-path_medium-z14-(wnt)</v>
      </c>
      <c r="O13" s="7" t="str">
        <f t="shared" si="1"/>
        <v>1.0</v>
      </c>
      <c r="P13" s="5" t="s">
        <v>80</v>
      </c>
      <c r="Q13" s="15" t="str">
        <f t="shared" si="13"/>
        <v>@case_width-path_medium-z14-(wnt-hc)</v>
      </c>
      <c r="R13" s="7">
        <f t="shared" si="14"/>
        <v>0</v>
      </c>
      <c r="S13" s="10"/>
      <c r="U13" s="1" t="s">
        <v>78</v>
      </c>
      <c r="V13" s="2" t="str">
        <f t="shared" si="2"/>
        <v>-</v>
      </c>
      <c r="W13" s="1" t="s">
        <v>71</v>
      </c>
      <c r="X13" s="2" t="str">
        <f t="shared" si="15"/>
        <v>_</v>
      </c>
      <c r="Y13" s="1" t="s">
        <v>79</v>
      </c>
      <c r="Z13" s="2" t="str">
        <f t="shared" si="3"/>
        <v/>
      </c>
      <c r="AB13" s="2" t="str">
        <f t="shared" si="4"/>
        <v>-</v>
      </c>
      <c r="AC13" s="1" t="s">
        <v>74</v>
      </c>
    </row>
    <row r="14" spans="1:29" x14ac:dyDescent="0.25">
      <c r="B14" s="14" t="str">
        <f t="shared" si="5"/>
        <v>@case_width-path_medium-z16-(mtb)</v>
      </c>
      <c r="C14" s="7" t="str">
        <f t="shared" si="6"/>
        <v>6.0</v>
      </c>
      <c r="D14" s="5" t="s">
        <v>86</v>
      </c>
      <c r="E14" s="15" t="str">
        <f t="shared" si="7"/>
        <v>@case_width-path_medium-z16-(mtb-hc)</v>
      </c>
      <c r="F14" s="7" t="str">
        <f t="shared" si="0"/>
        <v>6.0</v>
      </c>
      <c r="G14" s="10" t="s">
        <v>86</v>
      </c>
      <c r="H14" s="14" t="str">
        <f t="shared" si="8"/>
        <v>@case_width-path_medium-z16-(gr)</v>
      </c>
      <c r="I14" s="7" t="str">
        <f t="shared" si="9"/>
        <v>1.6</v>
      </c>
      <c r="J14" s="5" t="s">
        <v>98</v>
      </c>
      <c r="K14" s="15" t="str">
        <f t="shared" si="10"/>
        <v>@case_width-path_medium-z16-(gr-hc)</v>
      </c>
      <c r="L14" s="7">
        <f t="shared" si="11"/>
        <v>0</v>
      </c>
      <c r="M14" s="10"/>
      <c r="N14" s="14" t="str">
        <f t="shared" si="12"/>
        <v>@case_width-path_medium-z16-(wnt)</v>
      </c>
      <c r="O14" s="7" t="str">
        <f t="shared" si="1"/>
        <v>1.8</v>
      </c>
      <c r="P14" s="5" t="s">
        <v>123</v>
      </c>
      <c r="Q14" s="15" t="str">
        <f t="shared" si="13"/>
        <v>@case_width-path_medium-z16-(wnt-hc)</v>
      </c>
      <c r="R14" s="7">
        <f t="shared" si="14"/>
        <v>0</v>
      </c>
      <c r="S14" s="10"/>
      <c r="U14" s="1" t="s">
        <v>78</v>
      </c>
      <c r="V14" s="2" t="str">
        <f t="shared" si="2"/>
        <v>-</v>
      </c>
      <c r="W14" s="1" t="s">
        <v>71</v>
      </c>
      <c r="X14" s="2" t="str">
        <f t="shared" si="15"/>
        <v>_</v>
      </c>
      <c r="Y14" s="1" t="s">
        <v>79</v>
      </c>
      <c r="Z14" s="2" t="str">
        <f t="shared" si="3"/>
        <v/>
      </c>
      <c r="AB14" s="2" t="str">
        <f t="shared" si="4"/>
        <v>-</v>
      </c>
      <c r="AC14" s="1" t="s">
        <v>75</v>
      </c>
    </row>
    <row r="15" spans="1:29" x14ac:dyDescent="0.25">
      <c r="B15" s="14" t="str">
        <f t="shared" si="5"/>
        <v>@case_width-path_medium-z18-(mtb)</v>
      </c>
      <c r="C15" s="7" t="str">
        <f t="shared" si="6"/>
        <v>9.0</v>
      </c>
      <c r="D15" s="5" t="s">
        <v>87</v>
      </c>
      <c r="E15" s="15" t="str">
        <f t="shared" si="7"/>
        <v>@case_width-path_medium-z18-(mtb-hc)</v>
      </c>
      <c r="F15" s="7" t="str">
        <f t="shared" si="0"/>
        <v>13.5</v>
      </c>
      <c r="G15" s="10" t="s">
        <v>93</v>
      </c>
      <c r="H15" s="14" t="str">
        <f t="shared" si="8"/>
        <v>@case_width-path_medium-z18-(gr)</v>
      </c>
      <c r="I15" s="7" t="str">
        <f t="shared" si="9"/>
        <v>2.4</v>
      </c>
      <c r="J15" s="5" t="s">
        <v>99</v>
      </c>
      <c r="K15" s="15" t="str">
        <f t="shared" si="10"/>
        <v>@case_width-path_medium-z18-(gr-hc)</v>
      </c>
      <c r="L15" s="7">
        <f t="shared" si="11"/>
        <v>0</v>
      </c>
      <c r="M15" s="10"/>
      <c r="N15" s="14" t="str">
        <f t="shared" si="12"/>
        <v>@case_width-path_medium-z18-(wnt)</v>
      </c>
      <c r="O15" s="7" t="str">
        <f t="shared" si="1"/>
        <v>2.4</v>
      </c>
      <c r="P15" s="5" t="s">
        <v>99</v>
      </c>
      <c r="Q15" s="15" t="str">
        <f t="shared" si="13"/>
        <v>@case_width-path_medium-z18-(wnt-hc)</v>
      </c>
      <c r="R15" s="7">
        <f t="shared" si="14"/>
        <v>0</v>
      </c>
      <c r="S15" s="10"/>
      <c r="U15" s="1" t="s">
        <v>78</v>
      </c>
      <c r="V15" s="2" t="str">
        <f t="shared" si="2"/>
        <v>-</v>
      </c>
      <c r="W15" s="1" t="s">
        <v>71</v>
      </c>
      <c r="X15" s="2" t="str">
        <f t="shared" si="15"/>
        <v>_</v>
      </c>
      <c r="Y15" s="1" t="s">
        <v>79</v>
      </c>
      <c r="Z15" s="2" t="str">
        <f t="shared" si="3"/>
        <v/>
      </c>
      <c r="AB15" s="2" t="str">
        <f t="shared" si="4"/>
        <v>-</v>
      </c>
      <c r="AC15" s="1" t="s">
        <v>76</v>
      </c>
    </row>
    <row r="16" spans="1:29" x14ac:dyDescent="0.25">
      <c r="B16" s="14" t="str">
        <f t="shared" si="5"/>
        <v>@case_width-path_wide-z11-(mtb)</v>
      </c>
      <c r="C16" s="7" t="str">
        <f t="shared" si="6"/>
        <v>2.0</v>
      </c>
      <c r="D16" s="5" t="s">
        <v>85</v>
      </c>
      <c r="E16" s="15" t="str">
        <f t="shared" si="7"/>
        <v>@case_width-path_wide-z11-(mtb-hc)</v>
      </c>
      <c r="F16" s="7" t="str">
        <f t="shared" si="0"/>
        <v>4.0</v>
      </c>
      <c r="G16" s="10" t="s">
        <v>92</v>
      </c>
      <c r="H16" s="14" t="str">
        <f t="shared" si="8"/>
        <v>@case_width-path_wide-z11-(gr)</v>
      </c>
      <c r="I16" s="7" t="str">
        <f t="shared" si="9"/>
        <v>1.5</v>
      </c>
      <c r="J16" s="5" t="s">
        <v>84</v>
      </c>
      <c r="K16" s="15" t="str">
        <f t="shared" si="10"/>
        <v>@case_width-path_wide-z11-(gr-hc)</v>
      </c>
      <c r="L16" s="7">
        <f t="shared" si="11"/>
        <v>0</v>
      </c>
      <c r="M16" s="10"/>
      <c r="N16" s="18" t="str">
        <f t="shared" si="12"/>
        <v>@case_width-path_wide-z11-(wnt)</v>
      </c>
      <c r="O16" s="19" t="str">
        <f t="shared" si="1"/>
        <v>0.5</v>
      </c>
      <c r="P16" s="17" t="s">
        <v>95</v>
      </c>
      <c r="Q16" s="20" t="str">
        <f t="shared" si="13"/>
        <v>@case_width-path_wide-z11-(wnt-hc)</v>
      </c>
      <c r="R16" s="19">
        <f t="shared" si="14"/>
        <v>0</v>
      </c>
      <c r="S16" s="21"/>
      <c r="U16" s="1" t="s">
        <v>78</v>
      </c>
      <c r="V16" s="2" t="str">
        <f t="shared" si="2"/>
        <v>-</v>
      </c>
      <c r="W16" s="1" t="s">
        <v>71</v>
      </c>
      <c r="X16" s="2" t="str">
        <f t="shared" si="15"/>
        <v>_</v>
      </c>
      <c r="Y16" s="1" t="s">
        <v>77</v>
      </c>
      <c r="Z16" s="2" t="str">
        <f t="shared" si="3"/>
        <v/>
      </c>
      <c r="AB16" s="2" t="str">
        <f t="shared" si="4"/>
        <v>-</v>
      </c>
      <c r="AC16" s="1" t="s">
        <v>70</v>
      </c>
    </row>
    <row r="17" spans="1:29" x14ac:dyDescent="0.25">
      <c r="B17" s="14" t="str">
        <f t="shared" si="5"/>
        <v>@case_width-path_wide-z12-(mtb)</v>
      </c>
      <c r="C17" s="7" t="str">
        <f t="shared" si="6"/>
        <v>2.4</v>
      </c>
      <c r="D17" s="5" t="s">
        <v>99</v>
      </c>
      <c r="E17" s="15" t="str">
        <f t="shared" si="7"/>
        <v>@case_width-path_wide-z12-(mtb-hc)</v>
      </c>
      <c r="F17" s="7" t="str">
        <f t="shared" si="0"/>
        <v>4.8</v>
      </c>
      <c r="G17" s="10" t="s">
        <v>113</v>
      </c>
      <c r="H17" s="14" t="str">
        <f t="shared" si="8"/>
        <v>@case_width-path_wide-z12-(gr)</v>
      </c>
      <c r="I17" s="7" t="str">
        <f t="shared" si="9"/>
        <v>1.5</v>
      </c>
      <c r="J17" s="5" t="s">
        <v>84</v>
      </c>
      <c r="K17" s="15" t="str">
        <f t="shared" si="10"/>
        <v>@case_width-path_wide-z12-(gr-hc)</v>
      </c>
      <c r="L17" s="7">
        <f t="shared" si="11"/>
        <v>0</v>
      </c>
      <c r="M17" s="10"/>
      <c r="N17" s="18" t="str">
        <f t="shared" si="12"/>
        <v>@case_width-path_wide-z12-(wnt)</v>
      </c>
      <c r="O17" s="19" t="str">
        <f t="shared" si="1"/>
        <v>0.6</v>
      </c>
      <c r="P17" s="17" t="s">
        <v>122</v>
      </c>
      <c r="Q17" s="20" t="str">
        <f t="shared" si="13"/>
        <v>@case_width-path_wide-z12-(wnt-hc)</v>
      </c>
      <c r="R17" s="19">
        <f t="shared" si="14"/>
        <v>0</v>
      </c>
      <c r="S17" s="21"/>
      <c r="U17" s="1" t="s">
        <v>78</v>
      </c>
      <c r="V17" s="2" t="str">
        <f t="shared" si="2"/>
        <v>-</v>
      </c>
      <c r="W17" s="1" t="s">
        <v>71</v>
      </c>
      <c r="X17" s="2" t="str">
        <f t="shared" si="15"/>
        <v>_</v>
      </c>
      <c r="Y17" s="1" t="s">
        <v>77</v>
      </c>
      <c r="Z17" s="2" t="str">
        <f t="shared" si="3"/>
        <v/>
      </c>
      <c r="AB17" s="2" t="str">
        <f t="shared" si="4"/>
        <v>-</v>
      </c>
      <c r="AC17" s="1" t="s">
        <v>109</v>
      </c>
    </row>
    <row r="18" spans="1:29" x14ac:dyDescent="0.25">
      <c r="B18" s="14" t="str">
        <f>_xlfn.CONCAT("@",U18,V18,W18,X18,Y18,Z18,AA18,AB18,AC18,"-(",B$3,")")</f>
        <v>@case_width-path_wide-z14-(mtb)</v>
      </c>
      <c r="C18" s="7" t="str">
        <f>D18</f>
        <v>3.0</v>
      </c>
      <c r="D18" s="5" t="s">
        <v>88</v>
      </c>
      <c r="E18" s="15" t="str">
        <f>_xlfn.CONCAT("@",U18,V18,W18,X18,Y18,Z18,AA18,AB18,AC18,"-(",E$3,")")</f>
        <v>@case_width-path_wide-z14-(mtb-hc)</v>
      </c>
      <c r="F18" s="7" t="str">
        <f t="shared" si="0"/>
        <v>6.0</v>
      </c>
      <c r="G18" s="10" t="s">
        <v>86</v>
      </c>
      <c r="H18" s="14" t="str">
        <f>_xlfn.CONCAT("@",U18,V18,W18,X18,Y18,Z18,AA18,AB18,AC18,"-(",H$3,")")</f>
        <v>@case_width-path_wide-z14-(gr)</v>
      </c>
      <c r="I18" s="7" t="str">
        <f t="shared" si="9"/>
        <v>1.6</v>
      </c>
      <c r="J18" s="5" t="s">
        <v>98</v>
      </c>
      <c r="K18" s="15" t="str">
        <f t="shared" si="10"/>
        <v>@case_width-path_wide-z14-(gr-hc)</v>
      </c>
      <c r="L18" s="7">
        <f t="shared" si="11"/>
        <v>0</v>
      </c>
      <c r="M18" s="10"/>
      <c r="N18" s="18" t="str">
        <f t="shared" si="12"/>
        <v>@case_width-path_wide-z14-(wnt)</v>
      </c>
      <c r="O18" s="19" t="str">
        <f t="shared" si="1"/>
        <v>1.0</v>
      </c>
      <c r="P18" s="17" t="s">
        <v>80</v>
      </c>
      <c r="Q18" s="20" t="str">
        <f t="shared" si="13"/>
        <v>@case_width-path_wide-z14-(wnt-hc)</v>
      </c>
      <c r="R18" s="19">
        <f t="shared" si="14"/>
        <v>0</v>
      </c>
      <c r="S18" s="21"/>
      <c r="U18" s="1" t="s">
        <v>78</v>
      </c>
      <c r="V18" s="2" t="str">
        <f t="shared" si="2"/>
        <v>-</v>
      </c>
      <c r="W18" s="1" t="s">
        <v>71</v>
      </c>
      <c r="X18" s="2" t="str">
        <f t="shared" si="15"/>
        <v>_</v>
      </c>
      <c r="Y18" s="1" t="s">
        <v>77</v>
      </c>
      <c r="Z18" s="2" t="str">
        <f t="shared" si="3"/>
        <v/>
      </c>
      <c r="AB18" s="2" t="str">
        <f t="shared" si="4"/>
        <v>-</v>
      </c>
      <c r="AC18" s="1" t="s">
        <v>74</v>
      </c>
    </row>
    <row r="19" spans="1:29" x14ac:dyDescent="0.25">
      <c r="B19" s="14" t="str">
        <f>_xlfn.CONCAT("@",U19,V19,W19,X19,Y19,Z19,AA19,AB19,AC19,"-(",B$3,")")</f>
        <v>@case_width-path_wide-z16-(mtb)</v>
      </c>
      <c r="C19" s="7" t="str">
        <f t="shared" ref="C19:C20" si="16">D19</f>
        <v>9.0</v>
      </c>
      <c r="D19" s="5" t="s">
        <v>87</v>
      </c>
      <c r="E19" s="15" t="str">
        <f>_xlfn.CONCAT("@",U19,V19,W19,X19,Y19,Z19,AA19,AB19,AC19,"-(",E$3,")")</f>
        <v>@case_width-path_wide-z16-(mtb-hc)</v>
      </c>
      <c r="F19" s="7" t="str">
        <f>G19</f>
        <v>9.0</v>
      </c>
      <c r="G19" s="10" t="s">
        <v>87</v>
      </c>
      <c r="H19" s="14" t="str">
        <f>_xlfn.CONCAT("@",U19,V19,W19,X19,Y19,Z19,AA19,AB19,AC19,"-(",H$3,")")</f>
        <v>@case_width-path_wide-z16-(gr)</v>
      </c>
      <c r="I19" s="7" t="str">
        <f t="shared" ref="I19:I20" si="17">J19</f>
        <v>2.4</v>
      </c>
      <c r="J19" s="5" t="s">
        <v>99</v>
      </c>
      <c r="K19" s="15" t="str">
        <f t="shared" si="10"/>
        <v>@case_width-path_wide-z16-(gr-hc)</v>
      </c>
      <c r="L19" s="7">
        <f t="shared" ref="L19:L20" si="18">M19</f>
        <v>0</v>
      </c>
      <c r="M19" s="10"/>
      <c r="N19" s="18" t="str">
        <f t="shared" si="12"/>
        <v>@case_width-path_wide-z16-(wnt)</v>
      </c>
      <c r="O19" s="19" t="str">
        <f t="shared" si="1"/>
        <v>1.8</v>
      </c>
      <c r="P19" s="17" t="s">
        <v>123</v>
      </c>
      <c r="Q19" s="20" t="str">
        <f t="shared" si="13"/>
        <v>@case_width-path_wide-z16-(wnt-hc)</v>
      </c>
      <c r="R19" s="19">
        <f t="shared" si="14"/>
        <v>0</v>
      </c>
      <c r="S19" s="21"/>
      <c r="U19" s="1" t="s">
        <v>78</v>
      </c>
      <c r="V19" s="2" t="str">
        <f t="shared" si="2"/>
        <v>-</v>
      </c>
      <c r="W19" s="1" t="s">
        <v>71</v>
      </c>
      <c r="X19" s="2" t="str">
        <f t="shared" si="15"/>
        <v>_</v>
      </c>
      <c r="Y19" s="1" t="s">
        <v>77</v>
      </c>
      <c r="Z19" s="2" t="str">
        <f t="shared" si="3"/>
        <v/>
      </c>
      <c r="AB19" s="2" t="str">
        <f t="shared" si="4"/>
        <v>-</v>
      </c>
      <c r="AC19" s="1" t="s">
        <v>75</v>
      </c>
    </row>
    <row r="20" spans="1:29" x14ac:dyDescent="0.25">
      <c r="B20" s="14" t="str">
        <f>_xlfn.CONCAT("@",U20,V20,W20,X20,Y20,Z20,AA20,AB20,AC20,"-(",B$3,")")</f>
        <v>@case_width-path_wide-z18-(mtb)</v>
      </c>
      <c r="C20" s="7" t="str">
        <f t="shared" si="16"/>
        <v>15.0</v>
      </c>
      <c r="D20" s="5" t="s">
        <v>89</v>
      </c>
      <c r="E20" s="15" t="str">
        <f>_xlfn.CONCAT("@",U20,V20,W20,X20,Y20,Z20,AA20,AB20,AC20,"-(",E$3,")")</f>
        <v>@case_width-path_wide-z18-(mtb-hc)</v>
      </c>
      <c r="F20" s="7" t="str">
        <f>G20</f>
        <v>22.5</v>
      </c>
      <c r="G20" s="10" t="s">
        <v>94</v>
      </c>
      <c r="H20" s="14" t="str">
        <f>_xlfn.CONCAT("@",U20,V20,W20,X20,Y20,Z20,AA20,AB20,AC20,"-(",H$3,")")</f>
        <v>@case_width-path_wide-z18-(gr)</v>
      </c>
      <c r="I20" s="7" t="str">
        <f t="shared" si="17"/>
        <v>3.6</v>
      </c>
      <c r="J20" s="5" t="s">
        <v>100</v>
      </c>
      <c r="K20" s="15" t="str">
        <f t="shared" si="10"/>
        <v>@case_width-path_wide-z18-(gr-hc)</v>
      </c>
      <c r="L20" s="7">
        <f t="shared" si="18"/>
        <v>0</v>
      </c>
      <c r="M20" s="10"/>
      <c r="N20" s="18" t="str">
        <f t="shared" si="12"/>
        <v>@case_width-path_wide-z18-(wnt)</v>
      </c>
      <c r="O20" s="19" t="str">
        <f t="shared" si="1"/>
        <v>2.4</v>
      </c>
      <c r="P20" s="17" t="s">
        <v>99</v>
      </c>
      <c r="Q20" s="20" t="str">
        <f t="shared" si="13"/>
        <v>@case_width-path_wide-z18-(wnt-hc)</v>
      </c>
      <c r="R20" s="19">
        <f t="shared" ref="R20" si="19">S20</f>
        <v>0</v>
      </c>
      <c r="S20" s="21"/>
      <c r="U20" s="1" t="s">
        <v>78</v>
      </c>
      <c r="V20" s="2" t="str">
        <f t="shared" si="2"/>
        <v>-</v>
      </c>
      <c r="W20" s="1" t="s">
        <v>71</v>
      </c>
      <c r="X20" s="2" t="str">
        <f t="shared" ref="X20" si="20">IF(NOT(ISBLANK(Y20)),"_","")</f>
        <v>_</v>
      </c>
      <c r="Y20" s="1" t="s">
        <v>77</v>
      </c>
      <c r="Z20" s="2" t="str">
        <f t="shared" si="3"/>
        <v/>
      </c>
      <c r="AB20" s="2" t="str">
        <f t="shared" si="4"/>
        <v>-</v>
      </c>
      <c r="AC20" s="1" t="s">
        <v>76</v>
      </c>
    </row>
    <row r="21" spans="1:29" x14ac:dyDescent="0.25">
      <c r="A21" s="3" t="s">
        <v>118</v>
      </c>
      <c r="B21" s="11"/>
      <c r="C21" s="3"/>
      <c r="D21" s="6"/>
      <c r="E21" s="13"/>
      <c r="F21" s="3"/>
      <c r="G21" s="12"/>
      <c r="H21" s="11"/>
      <c r="I21" s="3"/>
      <c r="J21" s="6"/>
      <c r="K21" s="13"/>
      <c r="L21" s="3"/>
      <c r="M21" s="12"/>
      <c r="N21" s="11"/>
      <c r="O21" s="3"/>
      <c r="P21" s="6"/>
      <c r="Q21" s="13"/>
      <c r="R21" s="3"/>
      <c r="S21" s="12"/>
      <c r="T21" s="4"/>
      <c r="U21" s="3"/>
      <c r="V21" s="4"/>
      <c r="W21" s="3"/>
      <c r="X21" s="4"/>
      <c r="Y21" s="3"/>
      <c r="Z21" s="4"/>
      <c r="AA21" s="4"/>
      <c r="AB21" s="4"/>
      <c r="AC21" s="3"/>
    </row>
    <row r="22" spans="1:29" x14ac:dyDescent="0.25">
      <c r="B22" s="14" t="str">
        <f>_xlfn.CONCAT("@",U22,V22,W22,X22,Y22,Z22,AA22,AB22,AC22,"-(",B$3,")")</f>
        <v>@line_width-path_narrow-z11-(mtb)</v>
      </c>
      <c r="C22" s="7" t="str">
        <f>D22</f>
        <v>0.3</v>
      </c>
      <c r="D22" s="5" t="s">
        <v>124</v>
      </c>
      <c r="E22" s="15" t="str">
        <f>_xlfn.CONCAT("@",U22,V22,W22,X22,Y22,Z22,AA22,AB22,AC22,"-(",E$3,")")</f>
        <v>@line_width-path_narrow-z11-(mtb-hc)</v>
      </c>
      <c r="F22" s="7" t="str">
        <f t="shared" ref="F22:F34" si="21">G22</f>
        <v>0.5</v>
      </c>
      <c r="G22" s="10" t="s">
        <v>95</v>
      </c>
      <c r="H22" s="14" t="str">
        <f>_xlfn.CONCAT("@",U22,V22,W22,X22,Y22,Z22,AA22,AB22,AC22,"-(",H$3,")")</f>
        <v>@line_width-path_narrow-z11-(gr)</v>
      </c>
      <c r="I22" s="7" t="str">
        <f>J22</f>
        <v>0.3</v>
      </c>
      <c r="J22" s="5" t="s">
        <v>124</v>
      </c>
      <c r="K22" s="15" t="str">
        <f>_xlfn.CONCAT("@",U22,V22,W22,X22,Y22,Z22,AA22,AB22,AC22,"-(",K$3,")")</f>
        <v>@line_width-path_narrow-z11-(gr-hc)</v>
      </c>
      <c r="L22" s="7">
        <f>M22</f>
        <v>0</v>
      </c>
      <c r="M22" s="10"/>
      <c r="N22" s="18" t="str">
        <f>_xlfn.CONCAT("@",U22,V22,W22,X22,Y22,Z22,AA22,AB22,AC22,"-(",N$3,")")</f>
        <v>@line_width-path_narrow-z11-(wnt)</v>
      </c>
      <c r="O22" s="19" t="str">
        <f t="shared" ref="O22:O36" si="22">P22</f>
        <v>0.5</v>
      </c>
      <c r="P22" s="17" t="s">
        <v>95</v>
      </c>
      <c r="Q22" s="20" t="str">
        <f>_xlfn.CONCAT("@",U22,V22,W22,X22,Y22,Z22,AA22,AB22,AC22,"-(",Q$3,")")</f>
        <v>@line_width-path_narrow-z11-(wnt-hc)</v>
      </c>
      <c r="R22" s="19" t="str">
        <f>S22</f>
        <v>0.5</v>
      </c>
      <c r="S22" s="25" t="str">
        <f t="shared" ref="S22:S26" si="23">G22</f>
        <v>0.5</v>
      </c>
      <c r="U22" s="1" t="s">
        <v>119</v>
      </c>
      <c r="V22" s="2" t="str">
        <f t="shared" ref="V22:V36" si="24">IF(NOT(ISBLANK(W22)),"-","")</f>
        <v>-</v>
      </c>
      <c r="W22" s="1" t="s">
        <v>71</v>
      </c>
      <c r="X22" s="2" t="str">
        <f>IF(NOT(ISBLANK(Y22)),"_","")</f>
        <v>_</v>
      </c>
      <c r="Y22" s="1" t="s">
        <v>72</v>
      </c>
      <c r="Z22" s="2" t="str">
        <f t="shared" ref="Z22:Z36" si="25">IF(NOT(ISBLANK(AA22)),"_","")</f>
        <v/>
      </c>
      <c r="AB22" s="2" t="str">
        <f t="shared" ref="AB22:AB36" si="26">IF(NOT(ISBLANK(AC22)),"-","")</f>
        <v>-</v>
      </c>
      <c r="AC22" s="1" t="s">
        <v>70</v>
      </c>
    </row>
    <row r="23" spans="1:29" x14ac:dyDescent="0.25">
      <c r="B23" s="14" t="str">
        <f t="shared" ref="B23:B33" si="27">_xlfn.CONCAT("@",U23,V23,W23,X23,Y23,Z23,AA23,AB23,AC23,"-(",B$3,")")</f>
        <v>@line_width-path_narrow-z12-(mtb)</v>
      </c>
      <c r="C23" s="7" t="str">
        <f t="shared" ref="C23:C33" si="28">D23</f>
        <v>0.4</v>
      </c>
      <c r="D23" s="5" t="s">
        <v>120</v>
      </c>
      <c r="E23" s="15" t="str">
        <f t="shared" ref="E23:E33" si="29">_xlfn.CONCAT("@",U23,V23,W23,X23,Y23,Z23,AA23,AB23,AC23,"-(",E$3,")")</f>
        <v>@line_width-path_narrow-z12-(mtb-hc)</v>
      </c>
      <c r="F23" s="7" t="str">
        <f t="shared" si="21"/>
        <v>0.6</v>
      </c>
      <c r="G23" s="10" t="s">
        <v>122</v>
      </c>
      <c r="H23" s="14" t="str">
        <f t="shared" ref="H23:H33" si="30">_xlfn.CONCAT("@",U23,V23,W23,X23,Y23,Z23,AA23,AB23,AC23,"-(",H$3,")")</f>
        <v>@line_width-path_narrow-z12-(gr)</v>
      </c>
      <c r="I23" s="7" t="str">
        <f t="shared" ref="I23:I36" si="31">J23</f>
        <v>0.4</v>
      </c>
      <c r="J23" s="5" t="s">
        <v>120</v>
      </c>
      <c r="K23" s="15" t="str">
        <f t="shared" ref="K23:K36" si="32">_xlfn.CONCAT("@",U23,V23,W23,X23,Y23,Z23,AA23,AB23,AC23,"-(",K$3,")")</f>
        <v>@line_width-path_narrow-z12-(gr-hc)</v>
      </c>
      <c r="L23" s="7">
        <f t="shared" ref="L23:L36" si="33">M23</f>
        <v>0</v>
      </c>
      <c r="M23" s="10"/>
      <c r="N23" s="18" t="str">
        <f t="shared" ref="N23:N36" si="34">_xlfn.CONCAT("@",U23,V23,W23,X23,Y23,Z23,AA23,AB23,AC23,"-(",N$3,")")</f>
        <v>@line_width-path_narrow-z12-(wnt)</v>
      </c>
      <c r="O23" s="19" t="str">
        <f t="shared" si="22"/>
        <v>0.6</v>
      </c>
      <c r="P23" s="17" t="s">
        <v>122</v>
      </c>
      <c r="Q23" s="20" t="str">
        <f t="shared" ref="Q23:Q36" si="35">_xlfn.CONCAT("@",U23,V23,W23,X23,Y23,Z23,AA23,AB23,AC23,"-(",Q$3,")")</f>
        <v>@line_width-path_narrow-z12-(wnt-hc)</v>
      </c>
      <c r="R23" s="19" t="str">
        <f t="shared" ref="R23:R36" si="36">S23</f>
        <v>0.6</v>
      </c>
      <c r="S23" s="25" t="str">
        <f t="shared" si="23"/>
        <v>0.6</v>
      </c>
      <c r="U23" s="1" t="s">
        <v>119</v>
      </c>
      <c r="V23" s="2" t="str">
        <f t="shared" si="24"/>
        <v>-</v>
      </c>
      <c r="W23" s="1" t="s">
        <v>71</v>
      </c>
      <c r="X23" s="2" t="str">
        <f t="shared" ref="X23:X36" si="37">IF(NOT(ISBLANK(Y23)),"_","")</f>
        <v>_</v>
      </c>
      <c r="Y23" s="1" t="s">
        <v>72</v>
      </c>
      <c r="Z23" s="2" t="str">
        <f t="shared" si="25"/>
        <v/>
      </c>
      <c r="AB23" s="2" t="str">
        <f t="shared" si="26"/>
        <v>-</v>
      </c>
      <c r="AC23" s="1" t="s">
        <v>109</v>
      </c>
    </row>
    <row r="24" spans="1:29" x14ac:dyDescent="0.25">
      <c r="B24" s="14" t="str">
        <f t="shared" si="27"/>
        <v>@line_width-path_narrow-z14-(mtb)</v>
      </c>
      <c r="C24" s="7" t="str">
        <f t="shared" si="28"/>
        <v>0.7</v>
      </c>
      <c r="D24" s="5" t="s">
        <v>115</v>
      </c>
      <c r="E24" s="15" t="str">
        <f t="shared" si="29"/>
        <v>@line_width-path_narrow-z14-(mtb-hc)</v>
      </c>
      <c r="F24" s="7" t="str">
        <f t="shared" si="21"/>
        <v>1.2</v>
      </c>
      <c r="G24" s="10" t="s">
        <v>97</v>
      </c>
      <c r="H24" s="14" t="str">
        <f t="shared" si="30"/>
        <v>@line_width-path_narrow-z14-(gr)</v>
      </c>
      <c r="I24" s="7" t="str">
        <f t="shared" si="31"/>
        <v>0.5</v>
      </c>
      <c r="J24" s="5" t="s">
        <v>95</v>
      </c>
      <c r="K24" s="15" t="str">
        <f t="shared" si="32"/>
        <v>@line_width-path_narrow-z14-(gr-hc)</v>
      </c>
      <c r="L24" s="7">
        <f t="shared" si="33"/>
        <v>0</v>
      </c>
      <c r="M24" s="10"/>
      <c r="N24" s="18" t="str">
        <f t="shared" si="34"/>
        <v>@line_width-path_narrow-z14-(wnt)</v>
      </c>
      <c r="O24" s="19" t="str">
        <f t="shared" si="22"/>
        <v>1.0</v>
      </c>
      <c r="P24" s="17" t="s">
        <v>80</v>
      </c>
      <c r="Q24" s="20" t="str">
        <f t="shared" si="35"/>
        <v>@line_width-path_narrow-z14-(wnt-hc)</v>
      </c>
      <c r="R24" s="19" t="str">
        <f t="shared" si="36"/>
        <v>1.2</v>
      </c>
      <c r="S24" s="25" t="str">
        <f t="shared" si="23"/>
        <v>1.2</v>
      </c>
      <c r="U24" s="1" t="s">
        <v>119</v>
      </c>
      <c r="V24" s="2" t="str">
        <f t="shared" si="24"/>
        <v>-</v>
      </c>
      <c r="W24" s="1" t="s">
        <v>71</v>
      </c>
      <c r="X24" s="2" t="str">
        <f t="shared" si="37"/>
        <v>_</v>
      </c>
      <c r="Y24" s="1" t="s">
        <v>72</v>
      </c>
      <c r="Z24" s="2" t="str">
        <f t="shared" si="25"/>
        <v/>
      </c>
      <c r="AB24" s="2" t="str">
        <f t="shared" si="26"/>
        <v>-</v>
      </c>
      <c r="AC24" s="1" t="s">
        <v>74</v>
      </c>
    </row>
    <row r="25" spans="1:29" x14ac:dyDescent="0.25">
      <c r="B25" s="14" t="str">
        <f t="shared" si="27"/>
        <v>@line_width-path_narrow-z16-(mtb)</v>
      </c>
      <c r="C25" s="7" t="str">
        <f t="shared" si="28"/>
        <v>1.2</v>
      </c>
      <c r="D25" s="5" t="s">
        <v>97</v>
      </c>
      <c r="E25" s="15" t="str">
        <f t="shared" si="29"/>
        <v>@line_width-path_narrow-z16-(mtb-hc)</v>
      </c>
      <c r="F25" s="7" t="str">
        <f t="shared" si="21"/>
        <v>1.5</v>
      </c>
      <c r="G25" s="10" t="s">
        <v>84</v>
      </c>
      <c r="H25" s="14" t="str">
        <f t="shared" si="30"/>
        <v>@line_width-path_narrow-z16-(gr)</v>
      </c>
      <c r="I25" s="7" t="str">
        <f t="shared" si="31"/>
        <v>1.0</v>
      </c>
      <c r="J25" s="5" t="s">
        <v>80</v>
      </c>
      <c r="K25" s="15" t="str">
        <f t="shared" si="32"/>
        <v>@line_width-path_narrow-z16-(gr-hc)</v>
      </c>
      <c r="L25" s="7">
        <f t="shared" si="33"/>
        <v>0</v>
      </c>
      <c r="M25" s="10"/>
      <c r="N25" s="18" t="str">
        <f t="shared" si="34"/>
        <v>@line_width-path_narrow-z16-(wnt)</v>
      </c>
      <c r="O25" s="19" t="str">
        <f t="shared" si="22"/>
        <v>1.8</v>
      </c>
      <c r="P25" s="17" t="s">
        <v>123</v>
      </c>
      <c r="Q25" s="20" t="str">
        <f t="shared" si="35"/>
        <v>@line_width-path_narrow-z16-(wnt-hc)</v>
      </c>
      <c r="R25" s="19" t="str">
        <f t="shared" si="36"/>
        <v>1.5</v>
      </c>
      <c r="S25" s="25" t="str">
        <f t="shared" si="23"/>
        <v>1.5</v>
      </c>
      <c r="U25" s="1" t="s">
        <v>119</v>
      </c>
      <c r="V25" s="2" t="str">
        <f t="shared" si="24"/>
        <v>-</v>
      </c>
      <c r="W25" s="1" t="s">
        <v>71</v>
      </c>
      <c r="X25" s="2" t="str">
        <f t="shared" si="37"/>
        <v>_</v>
      </c>
      <c r="Y25" s="1" t="s">
        <v>72</v>
      </c>
      <c r="Z25" s="2" t="str">
        <f t="shared" si="25"/>
        <v/>
      </c>
      <c r="AB25" s="2" t="str">
        <f t="shared" si="26"/>
        <v>-</v>
      </c>
      <c r="AC25" s="1" t="s">
        <v>75</v>
      </c>
    </row>
    <row r="26" spans="1:29" x14ac:dyDescent="0.25">
      <c r="B26" s="14" t="str">
        <f t="shared" si="27"/>
        <v>@line_width-path_narrow-z18-(mtb)</v>
      </c>
      <c r="C26" s="7" t="str">
        <f t="shared" si="28"/>
        <v>2.3</v>
      </c>
      <c r="D26" s="5" t="s">
        <v>121</v>
      </c>
      <c r="E26" s="15" t="str">
        <f t="shared" si="29"/>
        <v>@line_width-path_narrow-z18-(mtb-hc)</v>
      </c>
      <c r="F26" s="7" t="str">
        <f t="shared" si="21"/>
        <v>3.0</v>
      </c>
      <c r="G26" s="10" t="s">
        <v>88</v>
      </c>
      <c r="H26" s="14" t="str">
        <f t="shared" si="30"/>
        <v>@line_width-path_narrow-z18-(gr)</v>
      </c>
      <c r="I26" s="7" t="str">
        <f t="shared" si="31"/>
        <v>1.0</v>
      </c>
      <c r="J26" s="5" t="s">
        <v>80</v>
      </c>
      <c r="K26" s="15" t="str">
        <f t="shared" si="32"/>
        <v>@line_width-path_narrow-z18-(gr-hc)</v>
      </c>
      <c r="L26" s="7">
        <f t="shared" si="33"/>
        <v>0</v>
      </c>
      <c r="M26" s="10"/>
      <c r="N26" s="18" t="str">
        <f t="shared" si="34"/>
        <v>@line_width-path_narrow-z18-(wnt)</v>
      </c>
      <c r="O26" s="19" t="str">
        <f t="shared" si="22"/>
        <v>2.4</v>
      </c>
      <c r="P26" s="17" t="s">
        <v>99</v>
      </c>
      <c r="Q26" s="20" t="str">
        <f t="shared" si="35"/>
        <v>@line_width-path_narrow-z18-(wnt-hc)</v>
      </c>
      <c r="R26" s="19" t="str">
        <f t="shared" si="36"/>
        <v>3.0</v>
      </c>
      <c r="S26" s="25" t="str">
        <f t="shared" si="23"/>
        <v>3.0</v>
      </c>
      <c r="U26" s="1" t="s">
        <v>119</v>
      </c>
      <c r="V26" s="2" t="str">
        <f t="shared" si="24"/>
        <v>-</v>
      </c>
      <c r="W26" s="1" t="s">
        <v>71</v>
      </c>
      <c r="X26" s="2" t="str">
        <f t="shared" si="37"/>
        <v>_</v>
      </c>
      <c r="Y26" s="1" t="s">
        <v>72</v>
      </c>
      <c r="Z26" s="2" t="str">
        <f t="shared" si="25"/>
        <v/>
      </c>
      <c r="AB26" s="2" t="str">
        <f t="shared" si="26"/>
        <v>-</v>
      </c>
      <c r="AC26" s="1" t="s">
        <v>76</v>
      </c>
    </row>
    <row r="27" spans="1:29" x14ac:dyDescent="0.25">
      <c r="B27" s="14" t="str">
        <f t="shared" si="27"/>
        <v>@line_width-path_medium-z11-(mtb)</v>
      </c>
      <c r="C27" s="7" t="str">
        <f t="shared" si="28"/>
        <v>0.5</v>
      </c>
      <c r="D27" s="5" t="s">
        <v>95</v>
      </c>
      <c r="E27" s="15" t="str">
        <f t="shared" si="29"/>
        <v>@line_width-path_medium-z11-(mtb-hc)</v>
      </c>
      <c r="F27" s="7" t="str">
        <f t="shared" si="21"/>
        <v>0.7</v>
      </c>
      <c r="G27" s="10" t="s">
        <v>115</v>
      </c>
      <c r="H27" s="14" t="str">
        <f t="shared" si="30"/>
        <v>@line_width-path_medium-z11-(gr)</v>
      </c>
      <c r="I27" s="7" t="str">
        <f t="shared" si="31"/>
        <v>0.5</v>
      </c>
      <c r="J27" s="5" t="s">
        <v>95</v>
      </c>
      <c r="K27" s="15" t="str">
        <f t="shared" si="32"/>
        <v>@line_width-path_medium-z11-(gr-hc)</v>
      </c>
      <c r="L27" s="7">
        <f t="shared" si="33"/>
        <v>0</v>
      </c>
      <c r="M27" s="10"/>
      <c r="N27" s="14" t="str">
        <f t="shared" si="34"/>
        <v>@line_width-path_medium-z11-(wnt)</v>
      </c>
      <c r="O27" s="7" t="str">
        <f t="shared" si="22"/>
        <v>0.5</v>
      </c>
      <c r="P27" s="7" t="str">
        <f t="shared" ref="P27:P31" si="38">D27</f>
        <v>0.5</v>
      </c>
      <c r="Q27" s="15" t="str">
        <f t="shared" si="35"/>
        <v>@line_width-path_medium-z11-(wnt-hc)</v>
      </c>
      <c r="R27" s="7" t="str">
        <f t="shared" si="36"/>
        <v>0.7</v>
      </c>
      <c r="S27" s="16" t="str">
        <f t="shared" ref="S27:S36" si="39">G27</f>
        <v>0.7</v>
      </c>
      <c r="U27" s="1" t="s">
        <v>119</v>
      </c>
      <c r="V27" s="2" t="str">
        <f t="shared" si="24"/>
        <v>-</v>
      </c>
      <c r="W27" s="1" t="s">
        <v>71</v>
      </c>
      <c r="X27" s="2" t="str">
        <f t="shared" si="37"/>
        <v>_</v>
      </c>
      <c r="Y27" s="1" t="s">
        <v>79</v>
      </c>
      <c r="Z27" s="2" t="str">
        <f t="shared" si="25"/>
        <v/>
      </c>
      <c r="AB27" s="2" t="str">
        <f t="shared" si="26"/>
        <v>-</v>
      </c>
      <c r="AC27" s="1" t="s">
        <v>70</v>
      </c>
    </row>
    <row r="28" spans="1:29" x14ac:dyDescent="0.25">
      <c r="B28" s="14" t="str">
        <f t="shared" si="27"/>
        <v>@line_width-path_medium-z12-(mtb)</v>
      </c>
      <c r="C28" s="7" t="str">
        <f t="shared" si="28"/>
        <v>0.6</v>
      </c>
      <c r="D28" s="5" t="s">
        <v>122</v>
      </c>
      <c r="E28" s="15" t="str">
        <f t="shared" si="29"/>
        <v>@line_width-path_medium-z12-(mtb-hc)</v>
      </c>
      <c r="F28" s="7" t="str">
        <f t="shared" si="21"/>
        <v>0.9</v>
      </c>
      <c r="G28" s="10" t="s">
        <v>116</v>
      </c>
      <c r="H28" s="14" t="str">
        <f t="shared" si="30"/>
        <v>@line_width-path_medium-z12-(gr)</v>
      </c>
      <c r="I28" s="7" t="str">
        <f t="shared" si="31"/>
        <v>0.6</v>
      </c>
      <c r="J28" s="5" t="s">
        <v>122</v>
      </c>
      <c r="K28" s="15" t="str">
        <f t="shared" si="32"/>
        <v>@line_width-path_medium-z12-(gr-hc)</v>
      </c>
      <c r="L28" s="7">
        <f t="shared" si="33"/>
        <v>0</v>
      </c>
      <c r="M28" s="10"/>
      <c r="N28" s="14" t="str">
        <f t="shared" si="34"/>
        <v>@line_width-path_medium-z12-(wnt)</v>
      </c>
      <c r="O28" s="7" t="str">
        <f t="shared" si="22"/>
        <v>0.6</v>
      </c>
      <c r="P28" s="7" t="str">
        <f t="shared" si="38"/>
        <v>0.6</v>
      </c>
      <c r="Q28" s="15" t="str">
        <f t="shared" si="35"/>
        <v>@line_width-path_medium-z12-(wnt-hc)</v>
      </c>
      <c r="R28" s="7" t="str">
        <f t="shared" si="36"/>
        <v>0.9</v>
      </c>
      <c r="S28" s="16" t="str">
        <f t="shared" si="39"/>
        <v>0.9</v>
      </c>
      <c r="U28" s="1" t="s">
        <v>119</v>
      </c>
      <c r="V28" s="2" t="str">
        <f t="shared" si="24"/>
        <v>-</v>
      </c>
      <c r="W28" s="1" t="s">
        <v>71</v>
      </c>
      <c r="X28" s="2" t="str">
        <f t="shared" si="37"/>
        <v>_</v>
      </c>
      <c r="Y28" s="1" t="s">
        <v>79</v>
      </c>
      <c r="Z28" s="2" t="str">
        <f t="shared" si="25"/>
        <v/>
      </c>
      <c r="AB28" s="2" t="str">
        <f t="shared" si="26"/>
        <v>-</v>
      </c>
      <c r="AC28" s="1" t="s">
        <v>109</v>
      </c>
    </row>
    <row r="29" spans="1:29" x14ac:dyDescent="0.25">
      <c r="B29" s="14" t="str">
        <f t="shared" si="27"/>
        <v>@line_width-path_medium-z14-(mtb)</v>
      </c>
      <c r="C29" s="7" t="str">
        <f t="shared" si="28"/>
        <v>1.0</v>
      </c>
      <c r="D29" s="5" t="s">
        <v>80</v>
      </c>
      <c r="E29" s="15" t="str">
        <f t="shared" si="29"/>
        <v>@line_width-path_medium-z14-(mtb-hc)</v>
      </c>
      <c r="F29" s="7" t="str">
        <f t="shared" si="21"/>
        <v>1.5</v>
      </c>
      <c r="G29" s="10" t="s">
        <v>84</v>
      </c>
      <c r="H29" s="14" t="str">
        <f t="shared" si="30"/>
        <v>@line_width-path_medium-z14-(gr)</v>
      </c>
      <c r="I29" s="7" t="str">
        <f t="shared" si="31"/>
        <v>0.8</v>
      </c>
      <c r="J29" s="5" t="s">
        <v>96</v>
      </c>
      <c r="K29" s="15" t="str">
        <f t="shared" si="32"/>
        <v>@line_width-path_medium-z14-(gr-hc)</v>
      </c>
      <c r="L29" s="7">
        <f t="shared" si="33"/>
        <v>0</v>
      </c>
      <c r="M29" s="10"/>
      <c r="N29" s="14" t="str">
        <f t="shared" si="34"/>
        <v>@line_width-path_medium-z14-(wnt)</v>
      </c>
      <c r="O29" s="7" t="str">
        <f t="shared" si="22"/>
        <v>1.0</v>
      </c>
      <c r="P29" s="7" t="str">
        <f t="shared" si="38"/>
        <v>1.0</v>
      </c>
      <c r="Q29" s="15" t="str">
        <f t="shared" si="35"/>
        <v>@line_width-path_medium-z14-(wnt-hc)</v>
      </c>
      <c r="R29" s="7" t="str">
        <f t="shared" si="36"/>
        <v>1.5</v>
      </c>
      <c r="S29" s="16" t="str">
        <f t="shared" si="39"/>
        <v>1.5</v>
      </c>
      <c r="U29" s="1" t="s">
        <v>119</v>
      </c>
      <c r="V29" s="2" t="str">
        <f t="shared" si="24"/>
        <v>-</v>
      </c>
      <c r="W29" s="1" t="s">
        <v>71</v>
      </c>
      <c r="X29" s="2" t="str">
        <f t="shared" si="37"/>
        <v>_</v>
      </c>
      <c r="Y29" s="1" t="s">
        <v>79</v>
      </c>
      <c r="Z29" s="2" t="str">
        <f t="shared" si="25"/>
        <v/>
      </c>
      <c r="AB29" s="2" t="str">
        <f t="shared" si="26"/>
        <v>-</v>
      </c>
      <c r="AC29" s="1" t="s">
        <v>74</v>
      </c>
    </row>
    <row r="30" spans="1:29" x14ac:dyDescent="0.25">
      <c r="B30" s="14" t="str">
        <f t="shared" si="27"/>
        <v>@line_width-path_medium-z16-(mtb)</v>
      </c>
      <c r="C30" s="7" t="str">
        <f t="shared" si="28"/>
        <v>1.8</v>
      </c>
      <c r="D30" s="5" t="s">
        <v>123</v>
      </c>
      <c r="E30" s="15" t="str">
        <f t="shared" si="29"/>
        <v>@line_width-path_medium-z16-(mtb-hc)</v>
      </c>
      <c r="F30" s="7" t="str">
        <f t="shared" si="21"/>
        <v>2.7</v>
      </c>
      <c r="G30" s="10" t="s">
        <v>126</v>
      </c>
      <c r="H30" s="14" t="str">
        <f t="shared" si="30"/>
        <v>@line_width-path_medium-z16-(gr)</v>
      </c>
      <c r="I30" s="7" t="str">
        <f t="shared" si="31"/>
        <v>1.2</v>
      </c>
      <c r="J30" s="5" t="s">
        <v>97</v>
      </c>
      <c r="K30" s="15" t="str">
        <f t="shared" si="32"/>
        <v>@line_width-path_medium-z16-(gr-hc)</v>
      </c>
      <c r="L30" s="7">
        <f t="shared" si="33"/>
        <v>0</v>
      </c>
      <c r="M30" s="10"/>
      <c r="N30" s="14" t="str">
        <f t="shared" si="34"/>
        <v>@line_width-path_medium-z16-(wnt)</v>
      </c>
      <c r="O30" s="7" t="str">
        <f t="shared" si="22"/>
        <v>1.8</v>
      </c>
      <c r="P30" s="7" t="str">
        <f t="shared" si="38"/>
        <v>1.8</v>
      </c>
      <c r="Q30" s="15" t="str">
        <f t="shared" si="35"/>
        <v>@line_width-path_medium-z16-(wnt-hc)</v>
      </c>
      <c r="R30" s="7" t="str">
        <f t="shared" si="36"/>
        <v>2.7</v>
      </c>
      <c r="S30" s="16" t="str">
        <f t="shared" si="39"/>
        <v>2.7</v>
      </c>
      <c r="U30" s="1" t="s">
        <v>119</v>
      </c>
      <c r="V30" s="2" t="str">
        <f t="shared" si="24"/>
        <v>-</v>
      </c>
      <c r="W30" s="1" t="s">
        <v>71</v>
      </c>
      <c r="X30" s="2" t="str">
        <f t="shared" si="37"/>
        <v>_</v>
      </c>
      <c r="Y30" s="1" t="s">
        <v>79</v>
      </c>
      <c r="Z30" s="2" t="str">
        <f t="shared" si="25"/>
        <v/>
      </c>
      <c r="AB30" s="2" t="str">
        <f t="shared" si="26"/>
        <v>-</v>
      </c>
      <c r="AC30" s="1" t="s">
        <v>75</v>
      </c>
    </row>
    <row r="31" spans="1:29" x14ac:dyDescent="0.25">
      <c r="B31" s="14" t="str">
        <f t="shared" si="27"/>
        <v>@line_width-path_medium-z18-(mtb)</v>
      </c>
      <c r="C31" s="7" t="str">
        <f t="shared" si="28"/>
        <v>3.5</v>
      </c>
      <c r="D31" s="5" t="s">
        <v>82</v>
      </c>
      <c r="E31" s="15" t="str">
        <f t="shared" si="29"/>
        <v>@line_width-path_medium-z18-(mtb-hc)</v>
      </c>
      <c r="F31" s="7" t="str">
        <f t="shared" si="21"/>
        <v>5.2</v>
      </c>
      <c r="G31" s="10" t="s">
        <v>127</v>
      </c>
      <c r="H31" s="14" t="str">
        <f t="shared" si="30"/>
        <v>@line_width-path_medium-z18-(gr)</v>
      </c>
      <c r="I31" s="7" t="str">
        <f t="shared" si="31"/>
        <v>1.6</v>
      </c>
      <c r="J31" s="5" t="s">
        <v>98</v>
      </c>
      <c r="K31" s="15" t="str">
        <f t="shared" si="32"/>
        <v>@line_width-path_medium-z18-(gr-hc)</v>
      </c>
      <c r="L31" s="7">
        <f t="shared" si="33"/>
        <v>0</v>
      </c>
      <c r="M31" s="10"/>
      <c r="N31" s="14" t="str">
        <f t="shared" si="34"/>
        <v>@line_width-path_medium-z18-(wnt)</v>
      </c>
      <c r="O31" s="7" t="str">
        <f t="shared" si="22"/>
        <v>3.5</v>
      </c>
      <c r="P31" s="7" t="str">
        <f t="shared" si="38"/>
        <v>3.5</v>
      </c>
      <c r="Q31" s="15" t="str">
        <f t="shared" si="35"/>
        <v>@line_width-path_medium-z18-(wnt-hc)</v>
      </c>
      <c r="R31" s="7" t="str">
        <f t="shared" si="36"/>
        <v>5.2</v>
      </c>
      <c r="S31" s="16" t="str">
        <f t="shared" si="39"/>
        <v>5.2</v>
      </c>
      <c r="U31" s="1" t="s">
        <v>119</v>
      </c>
      <c r="V31" s="2" t="str">
        <f t="shared" si="24"/>
        <v>-</v>
      </c>
      <c r="W31" s="1" t="s">
        <v>71</v>
      </c>
      <c r="X31" s="2" t="str">
        <f t="shared" si="37"/>
        <v>_</v>
      </c>
      <c r="Y31" s="1" t="s">
        <v>79</v>
      </c>
      <c r="Z31" s="2" t="str">
        <f t="shared" si="25"/>
        <v/>
      </c>
      <c r="AB31" s="2" t="str">
        <f t="shared" si="26"/>
        <v>-</v>
      </c>
      <c r="AC31" s="1" t="s">
        <v>76</v>
      </c>
    </row>
    <row r="32" spans="1:29" x14ac:dyDescent="0.25">
      <c r="B32" s="14" t="str">
        <f t="shared" si="27"/>
        <v>@line_width-path_wide-z11-(mtb)</v>
      </c>
      <c r="C32" s="7" t="str">
        <f t="shared" si="28"/>
        <v>0.7</v>
      </c>
      <c r="D32" s="5" t="s">
        <v>115</v>
      </c>
      <c r="E32" s="15" t="str">
        <f t="shared" si="29"/>
        <v>@line_width-path_wide-z11-(mtb-hc)</v>
      </c>
      <c r="F32" s="7" t="str">
        <f t="shared" si="21"/>
        <v>1.5</v>
      </c>
      <c r="G32" s="10" t="s">
        <v>84</v>
      </c>
      <c r="H32" s="14" t="str">
        <f t="shared" si="30"/>
        <v>@line_width-path_wide-z11-(gr)</v>
      </c>
      <c r="I32" s="7" t="str">
        <f t="shared" si="31"/>
        <v>1.0</v>
      </c>
      <c r="J32" s="5" t="s">
        <v>80</v>
      </c>
      <c r="K32" s="15" t="str">
        <f t="shared" si="32"/>
        <v>@line_width-path_wide-z11-(gr-hc)</v>
      </c>
      <c r="L32" s="7">
        <f t="shared" si="33"/>
        <v>0</v>
      </c>
      <c r="M32" s="10"/>
      <c r="N32" s="18" t="str">
        <f t="shared" si="34"/>
        <v>@line_width-path_wide-z11-(wnt)</v>
      </c>
      <c r="O32" s="19" t="str">
        <f t="shared" si="22"/>
        <v>0.5</v>
      </c>
      <c r="P32" s="17" t="s">
        <v>95</v>
      </c>
      <c r="Q32" s="20" t="str">
        <f t="shared" si="35"/>
        <v>@line_width-path_wide-z11-(wnt-hc)</v>
      </c>
      <c r="R32" s="19" t="str">
        <f t="shared" si="36"/>
        <v>1.5</v>
      </c>
      <c r="S32" s="25" t="str">
        <f t="shared" si="39"/>
        <v>1.5</v>
      </c>
      <c r="U32" s="1" t="s">
        <v>119</v>
      </c>
      <c r="V32" s="2" t="str">
        <f t="shared" si="24"/>
        <v>-</v>
      </c>
      <c r="W32" s="1" t="s">
        <v>71</v>
      </c>
      <c r="X32" s="2" t="str">
        <f t="shared" si="37"/>
        <v>_</v>
      </c>
      <c r="Y32" s="1" t="s">
        <v>77</v>
      </c>
      <c r="Z32" s="2" t="str">
        <f t="shared" si="25"/>
        <v/>
      </c>
      <c r="AB32" s="2" t="str">
        <f t="shared" si="26"/>
        <v>-</v>
      </c>
      <c r="AC32" s="1" t="s">
        <v>70</v>
      </c>
    </row>
    <row r="33" spans="1:29" x14ac:dyDescent="0.25">
      <c r="B33" s="14" t="str">
        <f t="shared" si="27"/>
        <v>@line_width-path_wide-z12-(mtb)</v>
      </c>
      <c r="C33" s="7" t="str">
        <f t="shared" si="28"/>
        <v>1.0</v>
      </c>
      <c r="D33" s="5" t="s">
        <v>80</v>
      </c>
      <c r="E33" s="15" t="str">
        <f t="shared" si="29"/>
        <v>@line_width-path_wide-z12-(mtb-hc)</v>
      </c>
      <c r="F33" s="7" t="str">
        <f t="shared" si="21"/>
        <v>1.8</v>
      </c>
      <c r="G33" s="10" t="s">
        <v>123</v>
      </c>
      <c r="H33" s="14" t="str">
        <f t="shared" si="30"/>
        <v>@line_width-path_wide-z12-(gr)</v>
      </c>
      <c r="I33" s="7" t="str">
        <f t="shared" si="31"/>
        <v>1.2</v>
      </c>
      <c r="J33" s="5" t="s">
        <v>97</v>
      </c>
      <c r="K33" s="15" t="str">
        <f t="shared" si="32"/>
        <v>@line_width-path_wide-z12-(gr-hc)</v>
      </c>
      <c r="L33" s="7">
        <f t="shared" si="33"/>
        <v>0</v>
      </c>
      <c r="M33" s="10"/>
      <c r="N33" s="18" t="str">
        <f t="shared" si="34"/>
        <v>@line_width-path_wide-z12-(wnt)</v>
      </c>
      <c r="O33" s="19" t="str">
        <f t="shared" si="22"/>
        <v>0.6</v>
      </c>
      <c r="P33" s="17" t="s">
        <v>122</v>
      </c>
      <c r="Q33" s="20" t="str">
        <f t="shared" si="35"/>
        <v>@line_width-path_wide-z12-(wnt-hc)</v>
      </c>
      <c r="R33" s="19" t="str">
        <f t="shared" si="36"/>
        <v>1.8</v>
      </c>
      <c r="S33" s="25" t="str">
        <f t="shared" si="39"/>
        <v>1.8</v>
      </c>
      <c r="U33" s="1" t="s">
        <v>119</v>
      </c>
      <c r="V33" s="2" t="str">
        <f t="shared" si="24"/>
        <v>-</v>
      </c>
      <c r="W33" s="1" t="s">
        <v>71</v>
      </c>
      <c r="X33" s="2" t="str">
        <f t="shared" si="37"/>
        <v>_</v>
      </c>
      <c r="Y33" s="1" t="s">
        <v>77</v>
      </c>
      <c r="Z33" s="2" t="str">
        <f t="shared" si="25"/>
        <v/>
      </c>
      <c r="AB33" s="2" t="str">
        <f t="shared" si="26"/>
        <v>-</v>
      </c>
      <c r="AC33" s="1" t="s">
        <v>109</v>
      </c>
    </row>
    <row r="34" spans="1:29" x14ac:dyDescent="0.25">
      <c r="B34" s="14" t="str">
        <f>_xlfn.CONCAT("@",U34,V34,W34,X34,Y34,Z34,AA34,AB34,AC34,"-(",B$3,")")</f>
        <v>@line_width-path_wide-z14-(mtb)</v>
      </c>
      <c r="C34" s="7" t="str">
        <f>D34</f>
        <v>1.7</v>
      </c>
      <c r="D34" s="5" t="s">
        <v>111</v>
      </c>
      <c r="E34" s="15" t="str">
        <f>_xlfn.CONCAT("@",U34,V34,W34,X34,Y34,Z34,AA34,AB34,AC34,"-(",E$3,")")</f>
        <v>@line_width-path_wide-z14-(mtb-hc)</v>
      </c>
      <c r="F34" s="7" t="str">
        <f t="shared" si="21"/>
        <v>2.7</v>
      </c>
      <c r="G34" s="10" t="s">
        <v>126</v>
      </c>
      <c r="H34" s="14" t="str">
        <f>_xlfn.CONCAT("@",U34,V34,W34,X34,Y34,Z34,AA34,AB34,AC34,"-(",H$3,")")</f>
        <v>@line_width-path_wide-z14-(gr)</v>
      </c>
      <c r="I34" s="7" t="str">
        <f t="shared" si="31"/>
        <v>1.5</v>
      </c>
      <c r="J34" s="5" t="s">
        <v>84</v>
      </c>
      <c r="K34" s="15" t="str">
        <f t="shared" si="32"/>
        <v>@line_width-path_wide-z14-(gr-hc)</v>
      </c>
      <c r="L34" s="7">
        <f t="shared" si="33"/>
        <v>0</v>
      </c>
      <c r="M34" s="10"/>
      <c r="N34" s="18" t="str">
        <f t="shared" si="34"/>
        <v>@line_width-path_wide-z14-(wnt)</v>
      </c>
      <c r="O34" s="19" t="str">
        <f t="shared" si="22"/>
        <v>1.0</v>
      </c>
      <c r="P34" s="17" t="s">
        <v>80</v>
      </c>
      <c r="Q34" s="20" t="str">
        <f t="shared" si="35"/>
        <v>@line_width-path_wide-z14-(wnt-hc)</v>
      </c>
      <c r="R34" s="19" t="str">
        <f t="shared" si="36"/>
        <v>2.7</v>
      </c>
      <c r="S34" s="25" t="str">
        <f t="shared" si="39"/>
        <v>2.7</v>
      </c>
      <c r="U34" s="1" t="s">
        <v>119</v>
      </c>
      <c r="V34" s="2" t="str">
        <f t="shared" si="24"/>
        <v>-</v>
      </c>
      <c r="W34" s="1" t="s">
        <v>71</v>
      </c>
      <c r="X34" s="2" t="str">
        <f t="shared" si="37"/>
        <v>_</v>
      </c>
      <c r="Y34" s="1" t="s">
        <v>77</v>
      </c>
      <c r="Z34" s="2" t="str">
        <f t="shared" si="25"/>
        <v/>
      </c>
      <c r="AB34" s="2" t="str">
        <f t="shared" si="26"/>
        <v>-</v>
      </c>
      <c r="AC34" s="1" t="s">
        <v>74</v>
      </c>
    </row>
    <row r="35" spans="1:29" x14ac:dyDescent="0.25">
      <c r="B35" s="14" t="str">
        <f>_xlfn.CONCAT("@",U35,V35,W35,X35,Y35,Z35,AA35,AB35,AC35,"-(",B$3,")")</f>
        <v>@line_width-path_wide-z16-(mtb)</v>
      </c>
      <c r="C35" s="7" t="str">
        <f t="shared" ref="C35:C36" si="40">D35</f>
        <v>3.1</v>
      </c>
      <c r="D35" s="5" t="s">
        <v>125</v>
      </c>
      <c r="E35" s="15" t="str">
        <f>_xlfn.CONCAT("@",U35,V35,W35,X35,Y35,Z35,AA35,AB35,AC35,"-(",E$3,")")</f>
        <v>@line_width-path_wide-z16-(mtb-hc)</v>
      </c>
      <c r="F35" s="7" t="str">
        <f>G35</f>
        <v>4.5</v>
      </c>
      <c r="G35" s="10" t="s">
        <v>128</v>
      </c>
      <c r="H35" s="14" t="str">
        <f>_xlfn.CONCAT("@",U35,V35,W35,X35,Y35,Z35,AA35,AB35,AC35,"-(",H$3,")")</f>
        <v>@line_width-path_wide-z16-(gr)</v>
      </c>
      <c r="I35" s="7" t="str">
        <f t="shared" si="31"/>
        <v>1.6</v>
      </c>
      <c r="J35" s="5" t="s">
        <v>98</v>
      </c>
      <c r="K35" s="15" t="str">
        <f t="shared" si="32"/>
        <v>@line_width-path_wide-z16-(gr-hc)</v>
      </c>
      <c r="L35" s="7">
        <f t="shared" si="33"/>
        <v>0</v>
      </c>
      <c r="M35" s="10"/>
      <c r="N35" s="18" t="str">
        <f t="shared" si="34"/>
        <v>@line_width-path_wide-z16-(wnt)</v>
      </c>
      <c r="O35" s="19" t="str">
        <f t="shared" si="22"/>
        <v>1.8</v>
      </c>
      <c r="P35" s="17" t="s">
        <v>123</v>
      </c>
      <c r="Q35" s="20" t="str">
        <f t="shared" si="35"/>
        <v>@line_width-path_wide-z16-(wnt-hc)</v>
      </c>
      <c r="R35" s="19" t="str">
        <f t="shared" si="36"/>
        <v>4.5</v>
      </c>
      <c r="S35" s="25" t="str">
        <f t="shared" si="39"/>
        <v>4.5</v>
      </c>
      <c r="U35" s="1" t="s">
        <v>119</v>
      </c>
      <c r="V35" s="2" t="str">
        <f t="shared" si="24"/>
        <v>-</v>
      </c>
      <c r="W35" s="1" t="s">
        <v>71</v>
      </c>
      <c r="X35" s="2" t="str">
        <f t="shared" si="37"/>
        <v>_</v>
      </c>
      <c r="Y35" s="1" t="s">
        <v>77</v>
      </c>
      <c r="Z35" s="2" t="str">
        <f t="shared" si="25"/>
        <v/>
      </c>
      <c r="AB35" s="2" t="str">
        <f t="shared" si="26"/>
        <v>-</v>
      </c>
      <c r="AC35" s="1" t="s">
        <v>75</v>
      </c>
    </row>
    <row r="36" spans="1:29" x14ac:dyDescent="0.25">
      <c r="B36" s="14" t="str">
        <f>_xlfn.CONCAT("@",U36,V36,W36,X36,Y36,Z36,AA36,AB36,AC36,"-(",B$3,")")</f>
        <v>@line_width-path_wide-z18-(mtb)</v>
      </c>
      <c r="C36" s="7" t="str">
        <f t="shared" si="40"/>
        <v>6.0</v>
      </c>
      <c r="D36" s="5" t="s">
        <v>86</v>
      </c>
      <c r="E36" s="15" t="str">
        <f>_xlfn.CONCAT("@",U36,V36,W36,X36,Y36,Z36,AA36,AB36,AC36,"-(",E$3,")")</f>
        <v>@line_width-path_wide-z18-(mtb-hc)</v>
      </c>
      <c r="F36" s="7" t="str">
        <f>G36</f>
        <v>8.2</v>
      </c>
      <c r="G36" s="10" t="s">
        <v>129</v>
      </c>
      <c r="H36" s="14" t="str">
        <f>_xlfn.CONCAT("@",U36,V36,W36,X36,Y36,Z36,AA36,AB36,AC36,"-(",H$3,")")</f>
        <v>@line_width-path_wide-z18-(gr)</v>
      </c>
      <c r="I36" s="7" t="str">
        <f t="shared" si="31"/>
        <v>2.4</v>
      </c>
      <c r="J36" s="5" t="s">
        <v>99</v>
      </c>
      <c r="K36" s="15" t="str">
        <f t="shared" si="32"/>
        <v>@line_width-path_wide-z18-(gr-hc)</v>
      </c>
      <c r="L36" s="7">
        <f t="shared" si="33"/>
        <v>0</v>
      </c>
      <c r="M36" s="10"/>
      <c r="N36" s="18" t="str">
        <f t="shared" si="34"/>
        <v>@line_width-path_wide-z18-(wnt)</v>
      </c>
      <c r="O36" s="19" t="str">
        <f t="shared" si="22"/>
        <v>2.4</v>
      </c>
      <c r="P36" s="17" t="s">
        <v>99</v>
      </c>
      <c r="Q36" s="20" t="str">
        <f t="shared" si="35"/>
        <v>@line_width-path_wide-z18-(wnt-hc)</v>
      </c>
      <c r="R36" s="19" t="str">
        <f t="shared" si="36"/>
        <v>8.2</v>
      </c>
      <c r="S36" s="25" t="str">
        <f t="shared" si="39"/>
        <v>8.2</v>
      </c>
      <c r="U36" s="1" t="s">
        <v>119</v>
      </c>
      <c r="V36" s="2" t="str">
        <f t="shared" si="24"/>
        <v>-</v>
      </c>
      <c r="W36" s="1" t="s">
        <v>71</v>
      </c>
      <c r="X36" s="2" t="str">
        <f t="shared" si="37"/>
        <v>_</v>
      </c>
      <c r="Y36" s="1" t="s">
        <v>77</v>
      </c>
      <c r="Z36" s="2" t="str">
        <f t="shared" si="25"/>
        <v/>
      </c>
      <c r="AB36" s="2" t="str">
        <f t="shared" si="26"/>
        <v>-</v>
      </c>
      <c r="AC36" s="1" t="s">
        <v>76</v>
      </c>
    </row>
    <row r="37" spans="1:29" x14ac:dyDescent="0.25">
      <c r="A37" s="3" t="s">
        <v>130</v>
      </c>
      <c r="B37" s="11"/>
      <c r="C37" s="3"/>
      <c r="D37" s="6"/>
      <c r="E37" s="13"/>
      <c r="F37" s="3"/>
      <c r="G37" s="12"/>
      <c r="H37" s="11"/>
      <c r="I37" s="3"/>
      <c r="J37" s="6"/>
      <c r="K37" s="13"/>
      <c r="L37" s="3"/>
      <c r="M37" s="12"/>
      <c r="N37" s="11"/>
      <c r="O37" s="3"/>
      <c r="P37" s="6"/>
      <c r="Q37" s="13"/>
      <c r="R37" s="3"/>
      <c r="S37" s="12"/>
      <c r="T37" s="4"/>
      <c r="U37" s="3"/>
      <c r="V37" s="4"/>
      <c r="W37" s="3"/>
      <c r="X37" s="4"/>
      <c r="Y37" s="3"/>
      <c r="Z37" s="4"/>
      <c r="AA37" s="4"/>
      <c r="AB37" s="4"/>
      <c r="AC37" s="3"/>
    </row>
    <row r="38" spans="1:29" x14ac:dyDescent="0.25">
      <c r="B38" s="14" t="str">
        <f>_xlfn.CONCAT("@",U38,V38,W38,X38,Y38,Z38,AA38,AB38,AC38,"-(",B$3,")")</f>
        <v>@case_width-track-z10-(mtb)</v>
      </c>
      <c r="C38" s="7" t="str">
        <f>D38</f>
        <v>2.0</v>
      </c>
      <c r="D38" s="5" t="s">
        <v>85</v>
      </c>
      <c r="E38" s="15" t="str">
        <f>_xlfn.CONCAT("@",U38,V38,W38,X38,Y38,Z38,AA38,AB38,AC38,"-(",E$3,")")</f>
        <v>@case_width-track-z10-(mtb-hc)</v>
      </c>
      <c r="F38" s="7" t="str">
        <f t="shared" ref="F38:F43" si="41">G38</f>
        <v>4.0</v>
      </c>
      <c r="G38" s="10" t="s">
        <v>92</v>
      </c>
      <c r="H38" s="14" t="str">
        <f>_xlfn.CONCAT("@",U38,V38,W38,X38,Y38,Z38,AA38,AB38,AC38,"-(",H$3,")")</f>
        <v>@case_width-track-z10-(gr)</v>
      </c>
      <c r="I38" s="7" t="str">
        <f>J38</f>
        <v>2.0</v>
      </c>
      <c r="J38" s="5" t="s">
        <v>85</v>
      </c>
      <c r="K38" s="15" t="str">
        <f>_xlfn.CONCAT("@",U38,V38,W38,X38,Y38,Z38,AA38,AB38,AC38,"-(",K$3,")")</f>
        <v>@case_width-track-z10-(gr-hc)</v>
      </c>
      <c r="L38" s="7">
        <f>M38</f>
        <v>0</v>
      </c>
      <c r="M38" s="10"/>
      <c r="N38" s="14" t="str">
        <f>_xlfn.CONCAT("@",U38,V38,W38,X38,Y38,Z38,AA38,AB38,AC38,"-(",N$3,")")</f>
        <v>@case_width-track-z10-(wnt)</v>
      </c>
      <c r="O38" s="7" t="str">
        <f t="shared" ref="O38:O43" si="42">P38</f>
        <v>2.0</v>
      </c>
      <c r="P38" s="7" t="str">
        <f>D38</f>
        <v>2.0</v>
      </c>
      <c r="Q38" s="15" t="str">
        <f>_xlfn.CONCAT("@",U38,V38,W38,X38,Y38,Z38,AA38,AB38,AC38,"-(",Q$3,")")</f>
        <v>@case_width-track-z10-(wnt-hc)</v>
      </c>
      <c r="R38" s="7" t="str">
        <f>S38</f>
        <v>4.0</v>
      </c>
      <c r="S38" s="16" t="str">
        <f>G38</f>
        <v>4.0</v>
      </c>
      <c r="U38" s="1" t="s">
        <v>78</v>
      </c>
      <c r="V38" s="2" t="str">
        <f t="shared" ref="V38" si="43">IF(NOT(ISBLANK(W38)),"-","")</f>
        <v>-</v>
      </c>
      <c r="W38" s="1" t="s">
        <v>102</v>
      </c>
      <c r="X38" s="2" t="str">
        <f>IF(NOT(ISBLANK(Y38)),"_","")</f>
        <v/>
      </c>
      <c r="Y38" s="1"/>
      <c r="Z38" s="2" t="str">
        <f t="shared" ref="Z38" si="44">IF(NOT(ISBLANK(AA38)),"_","")</f>
        <v/>
      </c>
      <c r="AB38" s="2" t="str">
        <f t="shared" ref="AB38" si="45">IF(NOT(ISBLANK(AC38)),"-","")</f>
        <v>-</v>
      </c>
      <c r="AC38" s="1" t="s">
        <v>103</v>
      </c>
    </row>
    <row r="39" spans="1:29" x14ac:dyDescent="0.25">
      <c r="B39" s="14" t="str">
        <f>_xlfn.CONCAT("@",U39,V39,W39,X39,Y39,Z39,AA39,AB39,AC39,"-(",B$3,")")</f>
        <v>@case_width-track-z11-(mtb)</v>
      </c>
      <c r="C39" s="7" t="str">
        <f>D39</f>
        <v>3.0</v>
      </c>
      <c r="D39" s="5" t="s">
        <v>88</v>
      </c>
      <c r="E39" s="15" t="str">
        <f>_xlfn.CONCAT("@",U39,V39,W39,X39,Y39,Z39,AA39,AB39,AC39,"-(",E$3,")")</f>
        <v>@case_width-track-z11-(mtb-hc)</v>
      </c>
      <c r="F39" s="7" t="str">
        <f t="shared" si="41"/>
        <v>4.0</v>
      </c>
      <c r="G39" s="10" t="s">
        <v>92</v>
      </c>
      <c r="H39" s="14" t="str">
        <f>_xlfn.CONCAT("@",U39,V39,W39,X39,Y39,Z39,AA39,AB39,AC39,"-(",H$3,")")</f>
        <v>@case_width-track-z11-(gr)</v>
      </c>
      <c r="I39" s="7" t="str">
        <f>J39</f>
        <v>3.0</v>
      </c>
      <c r="J39" s="5" t="s">
        <v>88</v>
      </c>
      <c r="K39" s="15" t="str">
        <f>_xlfn.CONCAT("@",U39,V39,W39,X39,Y39,Z39,AA39,AB39,AC39,"-(",K$3,")")</f>
        <v>@case_width-track-z11-(gr-hc)</v>
      </c>
      <c r="L39" s="7">
        <f>M39</f>
        <v>0</v>
      </c>
      <c r="M39" s="10"/>
      <c r="N39" s="14" t="str">
        <f>_xlfn.CONCAT("@",U39,V39,W39,X39,Y39,Z39,AA39,AB39,AC39,"-(",N$3,")")</f>
        <v>@case_width-track-z11-(wnt)</v>
      </c>
      <c r="O39" s="7" t="str">
        <f t="shared" si="42"/>
        <v>3.0</v>
      </c>
      <c r="P39" s="7" t="str">
        <f t="shared" ref="P39:P43" si="46">D39</f>
        <v>3.0</v>
      </c>
      <c r="Q39" s="15" t="str">
        <f>_xlfn.CONCAT("@",U39,V39,W39,X39,Y39,Z39,AA39,AB39,AC39,"-(",Q$3,")")</f>
        <v>@case_width-track-z11-(wnt-hc)</v>
      </c>
      <c r="R39" s="7" t="str">
        <f>S39</f>
        <v>4.0</v>
      </c>
      <c r="S39" s="16" t="str">
        <f t="shared" ref="S39:S43" si="47">G39</f>
        <v>4.0</v>
      </c>
      <c r="U39" s="1" t="s">
        <v>78</v>
      </c>
      <c r="V39" s="2" t="str">
        <f t="shared" ref="V39:V43" si="48">IF(NOT(ISBLANK(W39)),"-","")</f>
        <v>-</v>
      </c>
      <c r="W39" s="1" t="s">
        <v>102</v>
      </c>
      <c r="X39" s="2" t="str">
        <f>IF(NOT(ISBLANK(Y39)),"_","")</f>
        <v/>
      </c>
      <c r="Y39" s="1"/>
      <c r="Z39" s="2" t="str">
        <f t="shared" ref="Z39:Z43" si="49">IF(NOT(ISBLANK(AA39)),"_","")</f>
        <v/>
      </c>
      <c r="AB39" s="2" t="str">
        <f t="shared" ref="AB39:AB43" si="50">IF(NOT(ISBLANK(AC39)),"-","")</f>
        <v>-</v>
      </c>
      <c r="AC39" s="1" t="s">
        <v>70</v>
      </c>
    </row>
    <row r="40" spans="1:29" x14ac:dyDescent="0.25">
      <c r="B40" s="14" t="str">
        <f t="shared" ref="B40:B43" si="51">_xlfn.CONCAT("@",U40,V40,W40,X40,Y40,Z40,AA40,AB40,AC40,"-(",B$3,")")</f>
        <v>@case_width-track-z12-(mtb)</v>
      </c>
      <c r="C40" s="7" t="str">
        <f t="shared" ref="C40:C43" si="52">D40</f>
        <v>3.2</v>
      </c>
      <c r="D40" s="5" t="s">
        <v>131</v>
      </c>
      <c r="E40" s="15" t="str">
        <f t="shared" ref="E40:E43" si="53">_xlfn.CONCAT("@",U40,V40,W40,X40,Y40,Z40,AA40,AB40,AC40,"-(",E$3,")")</f>
        <v>@case_width-track-z12-(mtb-hc)</v>
      </c>
      <c r="F40" s="7" t="str">
        <f t="shared" si="41"/>
        <v>4.4</v>
      </c>
      <c r="G40" s="10" t="s">
        <v>132</v>
      </c>
      <c r="H40" s="14" t="str">
        <f t="shared" ref="H40:H43" si="54">_xlfn.CONCAT("@",U40,V40,W40,X40,Y40,Z40,AA40,AB40,AC40,"-(",H$3,")")</f>
        <v>@case_width-track-z12-(gr)</v>
      </c>
      <c r="I40" s="7" t="str">
        <f t="shared" ref="I40:I43" si="55">J40</f>
        <v>3.2</v>
      </c>
      <c r="J40" s="5" t="s">
        <v>131</v>
      </c>
      <c r="K40" s="15" t="str">
        <f t="shared" ref="K40:K43" si="56">_xlfn.CONCAT("@",U40,V40,W40,X40,Y40,Z40,AA40,AB40,AC40,"-(",K$3,")")</f>
        <v>@case_width-track-z12-(gr-hc)</v>
      </c>
      <c r="L40" s="7">
        <f t="shared" ref="L40:L43" si="57">M40</f>
        <v>0</v>
      </c>
      <c r="M40" s="10"/>
      <c r="N40" s="14" t="str">
        <f t="shared" ref="N40:N43" si="58">_xlfn.CONCAT("@",U40,V40,W40,X40,Y40,Z40,AA40,AB40,AC40,"-(",N$3,")")</f>
        <v>@case_width-track-z12-(wnt)</v>
      </c>
      <c r="O40" s="7" t="str">
        <f t="shared" si="42"/>
        <v>3.2</v>
      </c>
      <c r="P40" s="7" t="str">
        <f t="shared" si="46"/>
        <v>3.2</v>
      </c>
      <c r="Q40" s="15" t="str">
        <f t="shared" ref="Q40:Q43" si="59">_xlfn.CONCAT("@",U40,V40,W40,X40,Y40,Z40,AA40,AB40,AC40,"-(",Q$3,")")</f>
        <v>@case_width-track-z12-(wnt-hc)</v>
      </c>
      <c r="R40" s="7" t="str">
        <f t="shared" ref="R40:R43" si="60">S40</f>
        <v>4.4</v>
      </c>
      <c r="S40" s="16" t="str">
        <f t="shared" si="47"/>
        <v>4.4</v>
      </c>
      <c r="U40" s="1" t="s">
        <v>78</v>
      </c>
      <c r="V40" s="2" t="str">
        <f t="shared" si="48"/>
        <v>-</v>
      </c>
      <c r="W40" s="1" t="s">
        <v>102</v>
      </c>
      <c r="X40" s="2" t="str">
        <f t="shared" ref="X40:X43" si="61">IF(NOT(ISBLANK(Y40)),"_","")</f>
        <v/>
      </c>
      <c r="Y40" s="1"/>
      <c r="Z40" s="2" t="str">
        <f t="shared" si="49"/>
        <v/>
      </c>
      <c r="AB40" s="2" t="str">
        <f t="shared" si="50"/>
        <v>-</v>
      </c>
      <c r="AC40" s="1" t="s">
        <v>109</v>
      </c>
    </row>
    <row r="41" spans="1:29" x14ac:dyDescent="0.25">
      <c r="B41" s="14" t="str">
        <f t="shared" si="51"/>
        <v>@case_width-track-z14-(mtb)</v>
      </c>
      <c r="C41" s="7" t="str">
        <f t="shared" si="52"/>
        <v>4.0</v>
      </c>
      <c r="D41" s="5" t="s">
        <v>92</v>
      </c>
      <c r="E41" s="15" t="str">
        <f t="shared" si="53"/>
        <v>@case_width-track-z14-(mtb-hc)</v>
      </c>
      <c r="F41" s="7" t="str">
        <f t="shared" si="41"/>
        <v>6.0</v>
      </c>
      <c r="G41" s="10" t="s">
        <v>86</v>
      </c>
      <c r="H41" s="14" t="str">
        <f t="shared" si="54"/>
        <v>@case_width-track-z14-(gr)</v>
      </c>
      <c r="I41" s="7" t="str">
        <f t="shared" si="55"/>
        <v>4.0</v>
      </c>
      <c r="J41" s="5" t="s">
        <v>92</v>
      </c>
      <c r="K41" s="15" t="str">
        <f t="shared" si="56"/>
        <v>@case_width-track-z14-(gr-hc)</v>
      </c>
      <c r="L41" s="7">
        <f t="shared" si="57"/>
        <v>0</v>
      </c>
      <c r="M41" s="10"/>
      <c r="N41" s="14" t="str">
        <f t="shared" si="58"/>
        <v>@case_width-track-z14-(wnt)</v>
      </c>
      <c r="O41" s="7" t="str">
        <f t="shared" si="42"/>
        <v>4.0</v>
      </c>
      <c r="P41" s="7" t="str">
        <f t="shared" si="46"/>
        <v>4.0</v>
      </c>
      <c r="Q41" s="15" t="str">
        <f t="shared" si="59"/>
        <v>@case_width-track-z14-(wnt-hc)</v>
      </c>
      <c r="R41" s="7" t="str">
        <f t="shared" si="60"/>
        <v>6.0</v>
      </c>
      <c r="S41" s="16" t="str">
        <f t="shared" si="47"/>
        <v>6.0</v>
      </c>
      <c r="U41" s="1" t="s">
        <v>78</v>
      </c>
      <c r="V41" s="2" t="str">
        <f t="shared" si="48"/>
        <v>-</v>
      </c>
      <c r="W41" s="1" t="s">
        <v>102</v>
      </c>
      <c r="X41" s="2" t="str">
        <f t="shared" si="61"/>
        <v/>
      </c>
      <c r="Y41" s="1"/>
      <c r="Z41" s="2" t="str">
        <f t="shared" si="49"/>
        <v/>
      </c>
      <c r="AB41" s="2" t="str">
        <f t="shared" si="50"/>
        <v>-</v>
      </c>
      <c r="AC41" s="1" t="s">
        <v>74</v>
      </c>
    </row>
    <row r="42" spans="1:29" x14ac:dyDescent="0.25">
      <c r="B42" s="14" t="str">
        <f t="shared" si="51"/>
        <v>@case_width-track-z16-(mtb)</v>
      </c>
      <c r="C42" s="7" t="str">
        <f t="shared" si="52"/>
        <v>9.0</v>
      </c>
      <c r="D42" s="5" t="s">
        <v>87</v>
      </c>
      <c r="E42" s="15" t="str">
        <f t="shared" si="53"/>
        <v>@case_width-track-z16-(mtb-hc)</v>
      </c>
      <c r="F42" s="7" t="str">
        <f t="shared" si="41"/>
        <v>13.5</v>
      </c>
      <c r="G42" s="10" t="s">
        <v>93</v>
      </c>
      <c r="H42" s="14" t="str">
        <f t="shared" si="54"/>
        <v>@case_width-track-z16-(gr)</v>
      </c>
      <c r="I42" s="7" t="str">
        <f t="shared" si="55"/>
        <v>9.0</v>
      </c>
      <c r="J42" s="5" t="s">
        <v>87</v>
      </c>
      <c r="K42" s="15" t="str">
        <f t="shared" si="56"/>
        <v>@case_width-track-z16-(gr-hc)</v>
      </c>
      <c r="L42" s="7">
        <f t="shared" si="57"/>
        <v>0</v>
      </c>
      <c r="M42" s="10"/>
      <c r="N42" s="14" t="str">
        <f t="shared" si="58"/>
        <v>@case_width-track-z16-(wnt)</v>
      </c>
      <c r="O42" s="7" t="str">
        <f t="shared" si="42"/>
        <v>9.0</v>
      </c>
      <c r="P42" s="7" t="str">
        <f t="shared" si="46"/>
        <v>9.0</v>
      </c>
      <c r="Q42" s="15" t="str">
        <f t="shared" si="59"/>
        <v>@case_width-track-z16-(wnt-hc)</v>
      </c>
      <c r="R42" s="7" t="str">
        <f t="shared" si="60"/>
        <v>13.5</v>
      </c>
      <c r="S42" s="16" t="str">
        <f t="shared" si="47"/>
        <v>13.5</v>
      </c>
      <c r="U42" s="1" t="s">
        <v>78</v>
      </c>
      <c r="V42" s="2" t="str">
        <f t="shared" si="48"/>
        <v>-</v>
      </c>
      <c r="W42" s="1" t="s">
        <v>102</v>
      </c>
      <c r="X42" s="2" t="str">
        <f t="shared" si="61"/>
        <v/>
      </c>
      <c r="Y42" s="1"/>
      <c r="Z42" s="2" t="str">
        <f t="shared" si="49"/>
        <v/>
      </c>
      <c r="AB42" s="2" t="str">
        <f t="shared" si="50"/>
        <v>-</v>
      </c>
      <c r="AC42" s="1" t="s">
        <v>75</v>
      </c>
    </row>
    <row r="43" spans="1:29" x14ac:dyDescent="0.25">
      <c r="B43" s="14" t="str">
        <f t="shared" si="51"/>
        <v>@case_width-track-z18-(mtb)</v>
      </c>
      <c r="C43" s="7" t="str">
        <f t="shared" si="52"/>
        <v>15.0</v>
      </c>
      <c r="D43" s="5" t="s">
        <v>89</v>
      </c>
      <c r="E43" s="15" t="str">
        <f t="shared" si="53"/>
        <v>@case_width-track-z18-(mtb-hc)</v>
      </c>
      <c r="F43" s="7" t="str">
        <f t="shared" si="41"/>
        <v>22.5</v>
      </c>
      <c r="G43" s="10" t="s">
        <v>94</v>
      </c>
      <c r="H43" s="14" t="str">
        <f t="shared" si="54"/>
        <v>@case_width-track-z18-(gr)</v>
      </c>
      <c r="I43" s="7" t="str">
        <f t="shared" si="55"/>
        <v>15.0</v>
      </c>
      <c r="J43" s="5" t="s">
        <v>89</v>
      </c>
      <c r="K43" s="15" t="str">
        <f t="shared" si="56"/>
        <v>@case_width-track-z18-(gr-hc)</v>
      </c>
      <c r="L43" s="7">
        <f t="shared" si="57"/>
        <v>0</v>
      </c>
      <c r="M43" s="10"/>
      <c r="N43" s="14" t="str">
        <f t="shared" si="58"/>
        <v>@case_width-track-z18-(wnt)</v>
      </c>
      <c r="O43" s="7" t="str">
        <f t="shared" si="42"/>
        <v>15.0</v>
      </c>
      <c r="P43" s="7" t="str">
        <f t="shared" si="46"/>
        <v>15.0</v>
      </c>
      <c r="Q43" s="15" t="str">
        <f t="shared" si="59"/>
        <v>@case_width-track-z18-(wnt-hc)</v>
      </c>
      <c r="R43" s="7" t="str">
        <f t="shared" si="60"/>
        <v>22.5</v>
      </c>
      <c r="S43" s="16" t="str">
        <f t="shared" si="47"/>
        <v>22.5</v>
      </c>
      <c r="U43" s="1" t="s">
        <v>78</v>
      </c>
      <c r="V43" s="2" t="str">
        <f t="shared" si="48"/>
        <v>-</v>
      </c>
      <c r="W43" s="1" t="s">
        <v>102</v>
      </c>
      <c r="X43" s="2" t="str">
        <f t="shared" si="61"/>
        <v/>
      </c>
      <c r="Y43" s="1"/>
      <c r="Z43" s="2" t="str">
        <f t="shared" si="49"/>
        <v/>
      </c>
      <c r="AB43" s="2" t="str">
        <f t="shared" si="50"/>
        <v>-</v>
      </c>
      <c r="AC43" s="1" t="s">
        <v>76</v>
      </c>
    </row>
    <row r="44" spans="1:29" x14ac:dyDescent="0.25">
      <c r="A44" s="3" t="s">
        <v>133</v>
      </c>
      <c r="B44" s="11"/>
      <c r="C44" s="3"/>
      <c r="D44" s="6"/>
      <c r="E44" s="13"/>
      <c r="F44" s="3"/>
      <c r="G44" s="12"/>
      <c r="H44" s="11"/>
      <c r="I44" s="3"/>
      <c r="J44" s="6"/>
      <c r="K44" s="13"/>
      <c r="L44" s="3"/>
      <c r="M44" s="12"/>
      <c r="N44" s="11"/>
      <c r="O44" s="3"/>
      <c r="P44" s="6"/>
      <c r="Q44" s="13"/>
      <c r="R44" s="3"/>
      <c r="S44" s="12"/>
      <c r="T44" s="4"/>
      <c r="U44" s="3"/>
      <c r="V44" s="4"/>
      <c r="W44" s="3"/>
      <c r="X44" s="4"/>
      <c r="Y44" s="3"/>
      <c r="Z44" s="4"/>
      <c r="AA44" s="4"/>
      <c r="AB44" s="4"/>
      <c r="AC44" s="3"/>
    </row>
    <row r="45" spans="1:29" x14ac:dyDescent="0.25">
      <c r="B45" s="14" t="str">
        <f>_xlfn.CONCAT("@",U45,V45,W45,X45,Y45,Z45,AA45,AB45,AC45,"-(",B$3,")")</f>
        <v>@line_width-track-z10-(mtb)</v>
      </c>
      <c r="C45" s="7" t="str">
        <f>D45</f>
        <v>0.5</v>
      </c>
      <c r="D45" s="5" t="s">
        <v>95</v>
      </c>
      <c r="E45" s="15" t="str">
        <f>_xlfn.CONCAT("@",U45,V45,W45,X45,Y45,Z45,AA45,AB45,AC45,"-(",E$3,")")</f>
        <v>@line_width-track-z10-(mtb-hc)</v>
      </c>
      <c r="F45" s="7" t="str">
        <f t="shared" ref="F45:F71" si="62">G45</f>
        <v>1.3</v>
      </c>
      <c r="G45" s="10" t="s">
        <v>81</v>
      </c>
      <c r="H45" s="14" t="str">
        <f>_xlfn.CONCAT("@",U45,V45,W45,X45,Y45,Z45,AA45,AB45,AC45,"-(",H$3,")")</f>
        <v>@line_width-track-z10-(gr)</v>
      </c>
      <c r="I45" s="7" t="str">
        <f>J45</f>
        <v>0.8</v>
      </c>
      <c r="J45" s="5" t="s">
        <v>96</v>
      </c>
      <c r="K45" s="15" t="str">
        <f>_xlfn.CONCAT("@",U45,V45,W45,X45,Y45,Z45,AA45,AB45,AC45,"-(",K$3,")")</f>
        <v>@line_width-track-z10-(gr-hc)</v>
      </c>
      <c r="L45" s="7">
        <f>M45</f>
        <v>0</v>
      </c>
      <c r="M45" s="10"/>
      <c r="N45" s="22" t="str">
        <f>_xlfn.CONCAT("@",U45,V45,W45,X45,Y45,Z45,AA45,AB45,AC45,"-(",N$3,")")</f>
        <v>@line_width-track-z10-(wnt)</v>
      </c>
      <c r="O45" s="23" t="str">
        <f t="shared" ref="O45:O71" si="63">P45</f>
        <v>0.5</v>
      </c>
      <c r="P45" s="7" t="str">
        <f t="shared" ref="P45:P50" si="64">D45</f>
        <v>0.5</v>
      </c>
      <c r="Q45" s="24" t="str">
        <f>_xlfn.CONCAT("@",U45,V45,W45,X45,Y45,Z45,AA45,AB45,AC45,"-(",Q$3,")")</f>
        <v>@line_width-track-z10-(wnt-hc)</v>
      </c>
      <c r="R45" s="23" t="str">
        <f>S45</f>
        <v>1.3</v>
      </c>
      <c r="S45" s="16" t="str">
        <f t="shared" ref="S45:S50" si="65">G45</f>
        <v>1.3</v>
      </c>
      <c r="U45" s="1" t="s">
        <v>119</v>
      </c>
      <c r="V45" s="2" t="str">
        <f t="shared" ref="V45" si="66">IF(NOT(ISBLANK(W45)),"-","")</f>
        <v>-</v>
      </c>
      <c r="W45" s="1" t="s">
        <v>102</v>
      </c>
      <c r="Y45" s="1"/>
      <c r="Z45" s="2" t="str">
        <f t="shared" ref="Z45" si="67">IF(NOT(ISBLANK(AA45)),"_","")</f>
        <v/>
      </c>
      <c r="AB45" s="2" t="str">
        <f t="shared" ref="AB45" si="68">IF(NOT(ISBLANK(AC45)),"-","")</f>
        <v>-</v>
      </c>
      <c r="AC45" s="1" t="s">
        <v>103</v>
      </c>
    </row>
    <row r="46" spans="1:29" x14ac:dyDescent="0.25">
      <c r="B46" s="14" t="str">
        <f t="shared" ref="B46:B50" si="69">_xlfn.CONCAT("@",U46,V46,W46,X46,Y46,Z46,AA46,AB46,AC46,"-(",B$3,")")</f>
        <v>@line_width-track-z11-(mtb)</v>
      </c>
      <c r="C46" s="7" t="str">
        <f t="shared" ref="C46:C50" si="70">D46</f>
        <v>0.6</v>
      </c>
      <c r="D46" s="5" t="s">
        <v>122</v>
      </c>
      <c r="E46" s="15" t="str">
        <f t="shared" ref="E46:E50" si="71">_xlfn.CONCAT("@",U46,V46,W46,X46,Y46,Z46,AA46,AB46,AC46,"-(",E$3,")")</f>
        <v>@line_width-track-z11-(mtb-hc)</v>
      </c>
      <c r="F46" s="7" t="str">
        <f t="shared" si="62"/>
        <v>1.5</v>
      </c>
      <c r="G46" s="10" t="s">
        <v>84</v>
      </c>
      <c r="H46" s="14" t="str">
        <f t="shared" ref="H46:H50" si="72">_xlfn.CONCAT("@",U46,V46,W46,X46,Y46,Z46,AA46,AB46,AC46,"-(",H$3,")")</f>
        <v>@line_width-track-z11-(gr)</v>
      </c>
      <c r="I46" s="7" t="str">
        <f t="shared" ref="I46:I50" si="73">J46</f>
        <v>0.9</v>
      </c>
      <c r="J46" s="5" t="s">
        <v>116</v>
      </c>
      <c r="K46" s="15" t="str">
        <f t="shared" ref="K46:K50" si="74">_xlfn.CONCAT("@",U46,V46,W46,X46,Y46,Z46,AA46,AB46,AC46,"-(",K$3,")")</f>
        <v>@line_width-track-z11-(gr-hc)</v>
      </c>
      <c r="L46" s="7">
        <f t="shared" ref="L46:L50" si="75">M46</f>
        <v>0</v>
      </c>
      <c r="M46" s="10"/>
      <c r="N46" s="22" t="str">
        <f t="shared" ref="N46:N50" si="76">_xlfn.CONCAT("@",U46,V46,W46,X46,Y46,Z46,AA46,AB46,AC46,"-(",N$3,")")</f>
        <v>@line_width-track-z11-(wnt)</v>
      </c>
      <c r="O46" s="23" t="str">
        <f t="shared" si="63"/>
        <v>0.6</v>
      </c>
      <c r="P46" s="7" t="str">
        <f t="shared" si="64"/>
        <v>0.6</v>
      </c>
      <c r="Q46" s="24" t="str">
        <f t="shared" ref="Q46:Q50" si="77">_xlfn.CONCAT("@",U46,V46,W46,X46,Y46,Z46,AA46,AB46,AC46,"-(",Q$3,")")</f>
        <v>@line_width-track-z11-(wnt-hc)</v>
      </c>
      <c r="R46" s="23" t="str">
        <f t="shared" ref="R46:R50" si="78">S46</f>
        <v>1.5</v>
      </c>
      <c r="S46" s="16" t="str">
        <f t="shared" si="65"/>
        <v>1.5</v>
      </c>
      <c r="U46" s="1" t="s">
        <v>119</v>
      </c>
      <c r="V46" s="2" t="str">
        <f t="shared" ref="V46:V50" si="79">IF(NOT(ISBLANK(W46)),"-","")</f>
        <v>-</v>
      </c>
      <c r="W46" s="1" t="s">
        <v>102</v>
      </c>
      <c r="Y46" s="1"/>
      <c r="Z46" s="2" t="str">
        <f t="shared" ref="Z46:Z50" si="80">IF(NOT(ISBLANK(AA46)),"_","")</f>
        <v/>
      </c>
      <c r="AB46" s="2" t="str">
        <f t="shared" ref="AB46:AB50" si="81">IF(NOT(ISBLANK(AC46)),"-","")</f>
        <v>-</v>
      </c>
      <c r="AC46" s="1" t="s">
        <v>70</v>
      </c>
    </row>
    <row r="47" spans="1:29" x14ac:dyDescent="0.25">
      <c r="B47" s="14" t="str">
        <f t="shared" si="69"/>
        <v>@line_width-track-z12-(mtb)</v>
      </c>
      <c r="C47" s="7" t="str">
        <f t="shared" si="70"/>
        <v>0.9</v>
      </c>
      <c r="D47" s="5" t="s">
        <v>116</v>
      </c>
      <c r="E47" s="15" t="str">
        <f t="shared" si="71"/>
        <v>@line_width-track-z12-(mtb-hc)</v>
      </c>
      <c r="F47" s="7" t="str">
        <f t="shared" si="62"/>
        <v>1.7</v>
      </c>
      <c r="G47" s="10" t="s">
        <v>111</v>
      </c>
      <c r="H47" s="14" t="str">
        <f t="shared" si="72"/>
        <v>@line_width-track-z12-(gr)</v>
      </c>
      <c r="I47" s="7" t="str">
        <f t="shared" si="73"/>
        <v>1.2</v>
      </c>
      <c r="J47" s="5" t="s">
        <v>97</v>
      </c>
      <c r="K47" s="15" t="str">
        <f t="shared" si="74"/>
        <v>@line_width-track-z12-(gr-hc)</v>
      </c>
      <c r="L47" s="7">
        <f t="shared" si="75"/>
        <v>0</v>
      </c>
      <c r="M47" s="10"/>
      <c r="N47" s="22" t="str">
        <f t="shared" si="76"/>
        <v>@line_width-track-z12-(wnt)</v>
      </c>
      <c r="O47" s="23" t="str">
        <f t="shared" si="63"/>
        <v>0.9</v>
      </c>
      <c r="P47" s="7" t="str">
        <f t="shared" si="64"/>
        <v>0.9</v>
      </c>
      <c r="Q47" s="24" t="str">
        <f t="shared" si="77"/>
        <v>@line_width-track-z12-(wnt-hc)</v>
      </c>
      <c r="R47" s="23" t="str">
        <f t="shared" si="78"/>
        <v>1.7</v>
      </c>
      <c r="S47" s="16" t="str">
        <f t="shared" si="65"/>
        <v>1.7</v>
      </c>
      <c r="U47" s="1" t="s">
        <v>119</v>
      </c>
      <c r="V47" s="2" t="str">
        <f t="shared" si="79"/>
        <v>-</v>
      </c>
      <c r="W47" s="1" t="s">
        <v>102</v>
      </c>
      <c r="Y47" s="1"/>
      <c r="Z47" s="2" t="str">
        <f t="shared" si="80"/>
        <v/>
      </c>
      <c r="AB47" s="2" t="str">
        <f t="shared" si="81"/>
        <v>-</v>
      </c>
      <c r="AC47" s="1" t="s">
        <v>109</v>
      </c>
    </row>
    <row r="48" spans="1:29" x14ac:dyDescent="0.25">
      <c r="B48" s="14" t="str">
        <f t="shared" si="69"/>
        <v>@line_width-track-z14-(mtb)</v>
      </c>
      <c r="C48" s="7" t="str">
        <f t="shared" si="70"/>
        <v>1.3</v>
      </c>
      <c r="D48" s="5" t="s">
        <v>81</v>
      </c>
      <c r="E48" s="15" t="str">
        <f t="shared" si="71"/>
        <v>@line_width-track-z14-(mtb-hc)</v>
      </c>
      <c r="F48" s="7" t="str">
        <f t="shared" si="62"/>
        <v>2.0</v>
      </c>
      <c r="G48" s="10" t="s">
        <v>85</v>
      </c>
      <c r="H48" s="14" t="str">
        <f t="shared" si="72"/>
        <v>@line_width-track-z14-(gr)</v>
      </c>
      <c r="I48" s="7" t="str">
        <f t="shared" si="73"/>
        <v>1.6</v>
      </c>
      <c r="J48" s="5" t="s">
        <v>98</v>
      </c>
      <c r="K48" s="15" t="str">
        <f t="shared" si="74"/>
        <v>@line_width-track-z14-(gr-hc)</v>
      </c>
      <c r="L48" s="7">
        <f t="shared" si="75"/>
        <v>0</v>
      </c>
      <c r="M48" s="10"/>
      <c r="N48" s="22" t="str">
        <f t="shared" si="76"/>
        <v>@line_width-track-z14-(wnt)</v>
      </c>
      <c r="O48" s="23" t="str">
        <f t="shared" si="63"/>
        <v>1.3</v>
      </c>
      <c r="P48" s="7" t="str">
        <f t="shared" si="64"/>
        <v>1.3</v>
      </c>
      <c r="Q48" s="24" t="str">
        <f t="shared" si="77"/>
        <v>@line_width-track-z14-(wnt-hc)</v>
      </c>
      <c r="R48" s="23" t="str">
        <f t="shared" si="78"/>
        <v>2.0</v>
      </c>
      <c r="S48" s="16" t="str">
        <f t="shared" si="65"/>
        <v>2.0</v>
      </c>
      <c r="U48" s="1" t="s">
        <v>119</v>
      </c>
      <c r="V48" s="2" t="str">
        <f t="shared" si="79"/>
        <v>-</v>
      </c>
      <c r="W48" s="1" t="s">
        <v>102</v>
      </c>
      <c r="Y48" s="1"/>
      <c r="Z48" s="2" t="str">
        <f t="shared" si="80"/>
        <v/>
      </c>
      <c r="AB48" s="2" t="str">
        <f t="shared" si="81"/>
        <v>-</v>
      </c>
      <c r="AC48" s="1" t="s">
        <v>74</v>
      </c>
    </row>
    <row r="49" spans="1:29" x14ac:dyDescent="0.25">
      <c r="B49" s="14" t="str">
        <f t="shared" si="69"/>
        <v>@line_width-track-z16-(mtb)</v>
      </c>
      <c r="C49" s="7" t="str">
        <f t="shared" si="70"/>
        <v>3.5</v>
      </c>
      <c r="D49" s="5" t="s">
        <v>82</v>
      </c>
      <c r="E49" s="15" t="str">
        <f t="shared" si="71"/>
        <v>@line_width-track-z16-(mtb-hc)</v>
      </c>
      <c r="F49" s="7" t="str">
        <f t="shared" si="62"/>
        <v>5.2</v>
      </c>
      <c r="G49" s="10" t="s">
        <v>127</v>
      </c>
      <c r="H49" s="14" t="str">
        <f t="shared" si="72"/>
        <v>@line_width-track-z16-(gr)</v>
      </c>
      <c r="I49" s="7" t="str">
        <f t="shared" si="73"/>
        <v>4.0</v>
      </c>
      <c r="J49" s="5" t="s">
        <v>92</v>
      </c>
      <c r="K49" s="15" t="str">
        <f t="shared" si="74"/>
        <v>@line_width-track-z16-(gr-hc)</v>
      </c>
      <c r="L49" s="7">
        <f t="shared" si="75"/>
        <v>0</v>
      </c>
      <c r="M49" s="10"/>
      <c r="N49" s="22" t="str">
        <f t="shared" si="76"/>
        <v>@line_width-track-z16-(wnt)</v>
      </c>
      <c r="O49" s="23" t="str">
        <f t="shared" si="63"/>
        <v>3.5</v>
      </c>
      <c r="P49" s="7" t="str">
        <f t="shared" si="64"/>
        <v>3.5</v>
      </c>
      <c r="Q49" s="24" t="str">
        <f t="shared" si="77"/>
        <v>@line_width-track-z16-(wnt-hc)</v>
      </c>
      <c r="R49" s="23" t="str">
        <f t="shared" si="78"/>
        <v>5.2</v>
      </c>
      <c r="S49" s="16" t="str">
        <f t="shared" si="65"/>
        <v>5.2</v>
      </c>
      <c r="U49" s="1" t="s">
        <v>119</v>
      </c>
      <c r="V49" s="2" t="str">
        <f t="shared" si="79"/>
        <v>-</v>
      </c>
      <c r="W49" s="1" t="s">
        <v>102</v>
      </c>
      <c r="Y49" s="1"/>
      <c r="Z49" s="2" t="str">
        <f t="shared" si="80"/>
        <v/>
      </c>
      <c r="AB49" s="2" t="str">
        <f t="shared" si="81"/>
        <v>-</v>
      </c>
      <c r="AC49" s="1" t="s">
        <v>75</v>
      </c>
    </row>
    <row r="50" spans="1:29" x14ac:dyDescent="0.25">
      <c r="B50" s="14" t="str">
        <f t="shared" si="69"/>
        <v>@line_width-track-z18-(mtb)</v>
      </c>
      <c r="C50" s="7" t="str">
        <f t="shared" si="70"/>
        <v>7.0</v>
      </c>
      <c r="D50" s="5" t="s">
        <v>134</v>
      </c>
      <c r="E50" s="15" t="str">
        <f t="shared" si="71"/>
        <v>@line_width-track-z18-(mtb-hc)</v>
      </c>
      <c r="F50" s="7" t="str">
        <f t="shared" si="62"/>
        <v>10.5</v>
      </c>
      <c r="G50" s="10" t="s">
        <v>135</v>
      </c>
      <c r="H50" s="14" t="str">
        <f t="shared" si="72"/>
        <v>@line_width-track-z18-(gr)</v>
      </c>
      <c r="I50" s="7" t="str">
        <f t="shared" si="73"/>
        <v>5.0</v>
      </c>
      <c r="J50" s="5" t="s">
        <v>83</v>
      </c>
      <c r="K50" s="15" t="str">
        <f t="shared" si="74"/>
        <v>@line_width-track-z18-(gr-hc)</v>
      </c>
      <c r="L50" s="7">
        <f t="shared" si="75"/>
        <v>0</v>
      </c>
      <c r="M50" s="10"/>
      <c r="N50" s="22" t="str">
        <f t="shared" si="76"/>
        <v>@line_width-track-z18-(wnt)</v>
      </c>
      <c r="O50" s="23" t="str">
        <f t="shared" si="63"/>
        <v>7.0</v>
      </c>
      <c r="P50" s="7" t="str">
        <f t="shared" si="64"/>
        <v>7.0</v>
      </c>
      <c r="Q50" s="24" t="str">
        <f t="shared" si="77"/>
        <v>@line_width-track-z18-(wnt-hc)</v>
      </c>
      <c r="R50" s="23" t="str">
        <f t="shared" si="78"/>
        <v>10.5</v>
      </c>
      <c r="S50" s="16" t="str">
        <f t="shared" si="65"/>
        <v>10.5</v>
      </c>
      <c r="U50" s="1" t="s">
        <v>119</v>
      </c>
      <c r="V50" s="2" t="str">
        <f t="shared" si="79"/>
        <v>-</v>
      </c>
      <c r="W50" s="1" t="s">
        <v>102</v>
      </c>
      <c r="Y50" s="1"/>
      <c r="Z50" s="2" t="str">
        <f t="shared" si="80"/>
        <v/>
      </c>
      <c r="AB50" s="2" t="str">
        <f t="shared" si="81"/>
        <v>-</v>
      </c>
      <c r="AC50" s="1" t="s">
        <v>76</v>
      </c>
    </row>
    <row r="51" spans="1:29" x14ac:dyDescent="0.25">
      <c r="A51" s="3" t="s">
        <v>136</v>
      </c>
      <c r="B51" s="11"/>
      <c r="C51" s="3"/>
      <c r="D51" s="6"/>
      <c r="E51" s="13"/>
      <c r="F51" s="3"/>
      <c r="G51" s="12"/>
      <c r="H51" s="11"/>
      <c r="I51" s="3"/>
      <c r="J51" s="6"/>
      <c r="K51" s="13"/>
      <c r="L51" s="3"/>
      <c r="M51" s="12"/>
      <c r="N51" s="11"/>
      <c r="O51" s="3"/>
      <c r="P51" s="6"/>
      <c r="Q51" s="13"/>
      <c r="R51" s="3"/>
      <c r="S51" s="12"/>
      <c r="T51" s="4"/>
      <c r="U51" s="3"/>
      <c r="V51" s="4"/>
      <c r="W51" s="3"/>
      <c r="X51" s="4"/>
      <c r="Y51" s="3"/>
      <c r="Z51" s="4"/>
      <c r="AA51" s="4"/>
      <c r="AB51" s="4"/>
      <c r="AC51" s="3"/>
    </row>
    <row r="52" spans="1:29" x14ac:dyDescent="0.25">
      <c r="B52" s="14" t="str">
        <f>_xlfn.CONCAT("@",U52,V52,W52,X52,Y52,Z52,AA52,AB52,AC52,"-(",B$3,")")</f>
        <v>@case_width-motorway-z5-(mtb)</v>
      </c>
      <c r="C52" s="7" t="str">
        <f>D52</f>
        <v>1.0</v>
      </c>
      <c r="D52" s="5" t="s">
        <v>80</v>
      </c>
      <c r="E52" s="15" t="str">
        <f>_xlfn.CONCAT("@",U52,V52,W52,X52,Y52,Z52,AA52,AB52,AC52,"-(",E$3,")")</f>
        <v>@case_width-motorway-z5-(mtb-hc)</v>
      </c>
      <c r="F52" s="7" t="str">
        <f t="shared" si="62"/>
        <v>1.0</v>
      </c>
      <c r="G52" s="10" t="s">
        <v>80</v>
      </c>
      <c r="H52" s="14" t="str">
        <f>_xlfn.CONCAT("@",U52,V52,W52,X52,Y52,Z52,AA52,AB52,AC52,"-(",H$3,")")</f>
        <v>@case_width-motorway-z5-(gr)</v>
      </c>
      <c r="I52" s="7" t="str">
        <f>J52</f>
        <v>1.0</v>
      </c>
      <c r="J52" s="7" t="str">
        <f>D52</f>
        <v>1.0</v>
      </c>
      <c r="K52" s="15" t="str">
        <f>_xlfn.CONCAT("@",U52,V52,W52,X52,Y52,Z52,AA52,AB52,AC52,"-(",K$3,")")</f>
        <v>@case_width-motorway-z5-(gr-hc)</v>
      </c>
      <c r="L52" s="7" t="str">
        <f>M52</f>
        <v>1.0</v>
      </c>
      <c r="M52" s="16" t="str">
        <f>G52</f>
        <v>1.0</v>
      </c>
      <c r="N52" s="22" t="str">
        <f>_xlfn.CONCAT("@",U52,V52,W52,X52,Y52,Z52,AA52,AB52,AC52,"-(",N$3,")")</f>
        <v>@case_width-motorway-z5-(wnt)</v>
      </c>
      <c r="O52" s="23" t="str">
        <f t="shared" si="63"/>
        <v>1.0</v>
      </c>
      <c r="P52" s="7" t="str">
        <f t="shared" ref="P52:P61" si="82">D52</f>
        <v>1.0</v>
      </c>
      <c r="Q52" s="24" t="str">
        <f>_xlfn.CONCAT("@",U52,V52,W52,X52,Y52,Z52,AA52,AB52,AC52,"-(",Q$3,")")</f>
        <v>@case_width-motorway-z5-(wnt-hc)</v>
      </c>
      <c r="R52" s="23" t="str">
        <f>S52</f>
        <v>1.0</v>
      </c>
      <c r="S52" s="16" t="str">
        <f t="shared" ref="S52:S61" si="83">G52</f>
        <v>1.0</v>
      </c>
      <c r="U52" s="1" t="s">
        <v>78</v>
      </c>
      <c r="V52" s="2" t="str">
        <f t="shared" ref="V52" si="84">IF(NOT(ISBLANK(W52)),"-","")</f>
        <v>-</v>
      </c>
      <c r="W52" s="1" t="s">
        <v>16</v>
      </c>
      <c r="Y52" s="1"/>
      <c r="Z52" s="2" t="str">
        <f t="shared" ref="Z52" si="85">IF(NOT(ISBLANK(AA52)),"_","")</f>
        <v/>
      </c>
      <c r="AB52" s="2" t="str">
        <f t="shared" ref="AB52" si="86">IF(NOT(ISBLANK(AC52)),"-","")</f>
        <v>-</v>
      </c>
      <c r="AC52" s="1" t="s">
        <v>137</v>
      </c>
    </row>
    <row r="53" spans="1:29" x14ac:dyDescent="0.25">
      <c r="B53" s="14" t="str">
        <f t="shared" ref="B53:B55" si="87">_xlfn.CONCAT("@",U53,V53,W53,X53,Y53,Z53,AA53,AB53,AC53,"-(",B$3,")")</f>
        <v>@case_width-motorway-z6-(mtb)</v>
      </c>
      <c r="C53" s="7" t="str">
        <f t="shared" ref="C53:C55" si="88">D53</f>
        <v>2.4</v>
      </c>
      <c r="D53" s="5" t="s">
        <v>99</v>
      </c>
      <c r="E53" s="15" t="str">
        <f t="shared" ref="E53:E55" si="89">_xlfn.CONCAT("@",U53,V53,W53,X53,Y53,Z53,AA53,AB53,AC53,"-(",E$3,")")</f>
        <v>@case_width-motorway-z6-(mtb-hc)</v>
      </c>
      <c r="F53" s="7" t="str">
        <f t="shared" si="62"/>
        <v>2.4</v>
      </c>
      <c r="G53" s="10" t="s">
        <v>99</v>
      </c>
      <c r="H53" s="14" t="str">
        <f t="shared" ref="H53:H55" si="90">_xlfn.CONCAT("@",U53,V53,W53,X53,Y53,Z53,AA53,AB53,AC53,"-(",H$3,")")</f>
        <v>@case_width-motorway-z6-(gr)</v>
      </c>
      <c r="I53" s="7" t="str">
        <f t="shared" ref="I53:I55" si="91">J53</f>
        <v>2.4</v>
      </c>
      <c r="J53" s="7" t="str">
        <f t="shared" ref="J53:J55" si="92">D53</f>
        <v>2.4</v>
      </c>
      <c r="K53" s="15" t="str">
        <f t="shared" ref="K53:K55" si="93">_xlfn.CONCAT("@",U53,V53,W53,X53,Y53,Z53,AA53,AB53,AC53,"-(",K$3,")")</f>
        <v>@case_width-motorway-z6-(gr-hc)</v>
      </c>
      <c r="L53" s="7" t="str">
        <f t="shared" ref="L53:L55" si="94">M53</f>
        <v>2.4</v>
      </c>
      <c r="M53" s="16" t="str">
        <f t="shared" ref="M53:M55" si="95">G53</f>
        <v>2.4</v>
      </c>
      <c r="N53" s="22" t="str">
        <f t="shared" ref="N53:N55" si="96">_xlfn.CONCAT("@",U53,V53,W53,X53,Y53,Z53,AA53,AB53,AC53,"-(",N$3,")")</f>
        <v>@case_width-motorway-z6-(wnt)</v>
      </c>
      <c r="O53" s="23" t="str">
        <f t="shared" si="63"/>
        <v>2.4</v>
      </c>
      <c r="P53" s="7" t="str">
        <f t="shared" si="82"/>
        <v>2.4</v>
      </c>
      <c r="Q53" s="24" t="str">
        <f t="shared" ref="Q53:Q55" si="97">_xlfn.CONCAT("@",U53,V53,W53,X53,Y53,Z53,AA53,AB53,AC53,"-(",Q$3,")")</f>
        <v>@case_width-motorway-z6-(wnt-hc)</v>
      </c>
      <c r="R53" s="23" t="str">
        <f t="shared" ref="R53:R55" si="98">S53</f>
        <v>2.4</v>
      </c>
      <c r="S53" s="16" t="str">
        <f t="shared" si="83"/>
        <v>2.4</v>
      </c>
      <c r="U53" s="1" t="s">
        <v>78</v>
      </c>
      <c r="V53" s="2" t="str">
        <f t="shared" ref="V53:V55" si="99">IF(NOT(ISBLANK(W53)),"-","")</f>
        <v>-</v>
      </c>
      <c r="W53" s="1" t="s">
        <v>16</v>
      </c>
      <c r="Y53" s="1"/>
      <c r="Z53" s="2" t="str">
        <f t="shared" ref="Z53:Z55" si="100">IF(NOT(ISBLANK(AA53)),"_","")</f>
        <v/>
      </c>
      <c r="AB53" s="2" t="str">
        <f t="shared" ref="AB53:AB55" si="101">IF(NOT(ISBLANK(AC53)),"-","")</f>
        <v>-</v>
      </c>
      <c r="AC53" s="1" t="s">
        <v>138</v>
      </c>
    </row>
    <row r="54" spans="1:29" x14ac:dyDescent="0.25">
      <c r="B54" s="14" t="str">
        <f t="shared" si="87"/>
        <v>@case_width-motorway-z10-(mtb)</v>
      </c>
      <c r="C54" s="7" t="str">
        <f t="shared" si="88"/>
        <v>4.5</v>
      </c>
      <c r="D54" s="5" t="s">
        <v>128</v>
      </c>
      <c r="E54" s="15" t="str">
        <f t="shared" si="89"/>
        <v>@case_width-motorway-z10-(mtb-hc)</v>
      </c>
      <c r="F54" s="7" t="str">
        <f t="shared" si="62"/>
        <v>4.5</v>
      </c>
      <c r="G54" s="10" t="s">
        <v>128</v>
      </c>
      <c r="H54" s="14" t="str">
        <f t="shared" si="90"/>
        <v>@case_width-motorway-z10-(gr)</v>
      </c>
      <c r="I54" s="7" t="str">
        <f t="shared" si="91"/>
        <v>4.5</v>
      </c>
      <c r="J54" s="7" t="str">
        <f t="shared" si="92"/>
        <v>4.5</v>
      </c>
      <c r="K54" s="15" t="str">
        <f t="shared" si="93"/>
        <v>@case_width-motorway-z10-(gr-hc)</v>
      </c>
      <c r="L54" s="7" t="str">
        <f t="shared" si="94"/>
        <v>4.5</v>
      </c>
      <c r="M54" s="16" t="str">
        <f t="shared" si="95"/>
        <v>4.5</v>
      </c>
      <c r="N54" s="22" t="str">
        <f t="shared" si="96"/>
        <v>@case_width-motorway-z10-(wnt)</v>
      </c>
      <c r="O54" s="23" t="str">
        <f t="shared" si="63"/>
        <v>4.5</v>
      </c>
      <c r="P54" s="7" t="str">
        <f t="shared" si="82"/>
        <v>4.5</v>
      </c>
      <c r="Q54" s="24" t="str">
        <f t="shared" si="97"/>
        <v>@case_width-motorway-z10-(wnt-hc)</v>
      </c>
      <c r="R54" s="23" t="str">
        <f t="shared" si="98"/>
        <v>4.5</v>
      </c>
      <c r="S54" s="16" t="str">
        <f t="shared" si="83"/>
        <v>4.5</v>
      </c>
      <c r="U54" s="1" t="s">
        <v>78</v>
      </c>
      <c r="V54" s="2" t="str">
        <f t="shared" si="99"/>
        <v>-</v>
      </c>
      <c r="W54" s="1" t="s">
        <v>16</v>
      </c>
      <c r="Y54" s="1"/>
      <c r="Z54" s="2" t="str">
        <f t="shared" si="100"/>
        <v/>
      </c>
      <c r="AB54" s="2" t="str">
        <f t="shared" si="101"/>
        <v>-</v>
      </c>
      <c r="AC54" s="1" t="s">
        <v>103</v>
      </c>
    </row>
    <row r="55" spans="1:29" x14ac:dyDescent="0.25">
      <c r="B55" s="14" t="str">
        <f t="shared" si="87"/>
        <v>@case_width-motorway-z20-(mtb)</v>
      </c>
      <c r="C55" s="7" t="str">
        <f t="shared" si="88"/>
        <v>22.0</v>
      </c>
      <c r="D55" s="5" t="s">
        <v>141</v>
      </c>
      <c r="E55" s="15" t="str">
        <f t="shared" si="89"/>
        <v>@case_width-motorway-z20-(mtb-hc)</v>
      </c>
      <c r="F55" s="7" t="str">
        <f t="shared" si="62"/>
        <v>36.0</v>
      </c>
      <c r="G55" s="10" t="s">
        <v>142</v>
      </c>
      <c r="H55" s="14" t="str">
        <f t="shared" si="90"/>
        <v>@case_width-motorway-z20-(gr)</v>
      </c>
      <c r="I55" s="7" t="str">
        <f t="shared" si="91"/>
        <v>22.0</v>
      </c>
      <c r="J55" s="7" t="str">
        <f t="shared" si="92"/>
        <v>22.0</v>
      </c>
      <c r="K55" s="15" t="str">
        <f t="shared" si="93"/>
        <v>@case_width-motorway-z20-(gr-hc)</v>
      </c>
      <c r="L55" s="7" t="str">
        <f t="shared" si="94"/>
        <v>36.0</v>
      </c>
      <c r="M55" s="16" t="str">
        <f t="shared" si="95"/>
        <v>36.0</v>
      </c>
      <c r="N55" s="22" t="str">
        <f t="shared" si="96"/>
        <v>@case_width-motorway-z20-(wnt)</v>
      </c>
      <c r="O55" s="23" t="str">
        <f t="shared" si="63"/>
        <v>22.0</v>
      </c>
      <c r="P55" s="7" t="str">
        <f t="shared" si="82"/>
        <v>22.0</v>
      </c>
      <c r="Q55" s="24" t="str">
        <f t="shared" si="97"/>
        <v>@case_width-motorway-z20-(wnt-hc)</v>
      </c>
      <c r="R55" s="23" t="str">
        <f t="shared" si="98"/>
        <v>36.0</v>
      </c>
      <c r="S55" s="16" t="str">
        <f t="shared" si="83"/>
        <v>36.0</v>
      </c>
      <c r="U55" s="1" t="s">
        <v>78</v>
      </c>
      <c r="V55" s="2" t="str">
        <f t="shared" si="99"/>
        <v>-</v>
      </c>
      <c r="W55" s="1" t="s">
        <v>16</v>
      </c>
      <c r="Y55" s="1"/>
      <c r="Z55" s="2" t="str">
        <f t="shared" si="100"/>
        <v/>
      </c>
      <c r="AB55" s="2" t="str">
        <f t="shared" si="101"/>
        <v>-</v>
      </c>
      <c r="AC55" s="1" t="s">
        <v>139</v>
      </c>
    </row>
    <row r="56" spans="1:29" x14ac:dyDescent="0.25">
      <c r="A56" s="3" t="s">
        <v>143</v>
      </c>
      <c r="B56" s="11"/>
      <c r="C56" s="3"/>
      <c r="D56" s="6"/>
      <c r="E56" s="13"/>
      <c r="F56" s="3"/>
      <c r="G56" s="12"/>
      <c r="H56" s="11"/>
      <c r="I56" s="3"/>
      <c r="J56" s="6"/>
      <c r="K56" s="13"/>
      <c r="L56" s="3"/>
      <c r="M56" s="12"/>
      <c r="N56" s="11"/>
      <c r="O56" s="3"/>
      <c r="P56" s="6"/>
      <c r="Q56" s="13"/>
      <c r="R56" s="3"/>
      <c r="S56" s="12"/>
      <c r="T56" s="4"/>
      <c r="U56" s="3"/>
      <c r="V56" s="4"/>
      <c r="W56" s="3"/>
      <c r="X56" s="4"/>
      <c r="Y56" s="3"/>
      <c r="Z56" s="4"/>
      <c r="AA56" s="4"/>
      <c r="AB56" s="4"/>
      <c r="AC56" s="3"/>
    </row>
    <row r="57" spans="1:29" x14ac:dyDescent="0.25">
      <c r="B57" s="14" t="str">
        <f>_xlfn.CONCAT("@",U57,V57,W57,X57,Y57,Z57,AA57,AB57,AC57,"-(",B$3,")")</f>
        <v>@line_width-motorway-z7-(mtb)</v>
      </c>
      <c r="C57" s="7" t="str">
        <f>D57</f>
        <v>0.5</v>
      </c>
      <c r="D57" s="5" t="s">
        <v>95</v>
      </c>
      <c r="E57" s="15" t="str">
        <f>_xlfn.CONCAT("@",U57,V57,W57,X57,Y57,Z57,AA57,AB57,AC57,"-(",E$3,")")</f>
        <v>@line_width-motorway-z7-(mtb-hc)</v>
      </c>
      <c r="F57" s="7" t="str">
        <f t="shared" si="62"/>
        <v>0.5</v>
      </c>
      <c r="G57" s="10" t="s">
        <v>95</v>
      </c>
      <c r="H57" s="14" t="str">
        <f>_xlfn.CONCAT("@",U57,V57,W57,X57,Y57,Z57,AA57,AB57,AC57,"-(",H$3,")")</f>
        <v>@line_width-motorway-z7-(gr)</v>
      </c>
      <c r="I57" s="7" t="str">
        <f>J57</f>
        <v>0.5</v>
      </c>
      <c r="J57" s="7" t="str">
        <f t="shared" ref="J57:J61" si="102">D57</f>
        <v>0.5</v>
      </c>
      <c r="K57" s="15" t="str">
        <f>_xlfn.CONCAT("@",U57,V57,W57,X57,Y57,Z57,AA57,AB57,AC57,"-(",K$3,")")</f>
        <v>@line_width-motorway-z7-(gr-hc)</v>
      </c>
      <c r="L57" s="7" t="str">
        <f>M57</f>
        <v>0.5</v>
      </c>
      <c r="M57" s="16" t="str">
        <f t="shared" ref="M57:M61" si="103">G57</f>
        <v>0.5</v>
      </c>
      <c r="N57" s="22" t="str">
        <f>_xlfn.CONCAT("@",U57,V57,W57,X57,Y57,Z57,AA57,AB57,AC57,"-(",N$3,")")</f>
        <v>@line_width-motorway-z7-(wnt)</v>
      </c>
      <c r="O57" s="23" t="str">
        <f t="shared" si="63"/>
        <v>0.5</v>
      </c>
      <c r="P57" s="7" t="str">
        <f t="shared" si="82"/>
        <v>0.5</v>
      </c>
      <c r="Q57" s="24" t="str">
        <f>_xlfn.CONCAT("@",U57,V57,W57,X57,Y57,Z57,AA57,AB57,AC57,"-(",Q$3,")")</f>
        <v>@line_width-motorway-z7-(wnt-hc)</v>
      </c>
      <c r="R57" s="23" t="str">
        <f>S57</f>
        <v>0.5</v>
      </c>
      <c r="S57" s="16" t="str">
        <f t="shared" si="83"/>
        <v>0.5</v>
      </c>
      <c r="U57" s="1" t="s">
        <v>119</v>
      </c>
      <c r="V57" s="2" t="str">
        <f t="shared" ref="V57:V60" si="104">IF(NOT(ISBLANK(W57)),"-","")</f>
        <v>-</v>
      </c>
      <c r="W57" s="1" t="s">
        <v>16</v>
      </c>
      <c r="Y57" s="1"/>
      <c r="Z57" s="2" t="str">
        <f t="shared" ref="Z57:Z60" si="105">IF(NOT(ISBLANK(AA57)),"_","")</f>
        <v/>
      </c>
      <c r="AB57" s="2" t="str">
        <f t="shared" ref="AB57:AB60" si="106">IF(NOT(ISBLANK(AC57)),"-","")</f>
        <v>-</v>
      </c>
      <c r="AC57" s="1" t="s">
        <v>144</v>
      </c>
    </row>
    <row r="58" spans="1:29" x14ac:dyDescent="0.25">
      <c r="B58" s="14" t="str">
        <f t="shared" ref="B58:B60" si="107">_xlfn.CONCAT("@",U58,V58,W58,X58,Y58,Z58,AA58,AB58,AC58,"-(",B$3,")")</f>
        <v>@line_width-motorway-z10-(mtb)</v>
      </c>
      <c r="C58" s="7" t="str">
        <f t="shared" ref="C58:C61" si="108">D58</f>
        <v>1.5</v>
      </c>
      <c r="D58" s="5" t="s">
        <v>84</v>
      </c>
      <c r="E58" s="15" t="str">
        <f t="shared" ref="E58:E60" si="109">_xlfn.CONCAT("@",U58,V58,W58,X58,Y58,Z58,AA58,AB58,AC58,"-(",E$3,")")</f>
        <v>@line_width-motorway-z10-(mtb-hc)</v>
      </c>
      <c r="F58" s="7" t="str">
        <f t="shared" si="62"/>
        <v>2.5</v>
      </c>
      <c r="G58" s="10" t="s">
        <v>90</v>
      </c>
      <c r="H58" s="14" t="str">
        <f t="shared" ref="H58:H60" si="110">_xlfn.CONCAT("@",U58,V58,W58,X58,Y58,Z58,AA58,AB58,AC58,"-(",H$3,")")</f>
        <v>@line_width-motorway-z10-(gr)</v>
      </c>
      <c r="I58" s="7" t="str">
        <f t="shared" ref="I58:I61" si="111">J58</f>
        <v>1.5</v>
      </c>
      <c r="J58" s="7" t="str">
        <f t="shared" si="102"/>
        <v>1.5</v>
      </c>
      <c r="K58" s="15" t="str">
        <f t="shared" ref="K58:K60" si="112">_xlfn.CONCAT("@",U58,V58,W58,X58,Y58,Z58,AA58,AB58,AC58,"-(",K$3,")")</f>
        <v>@line_width-motorway-z10-(gr-hc)</v>
      </c>
      <c r="L58" s="7" t="str">
        <f t="shared" ref="L58:L61" si="113">M58</f>
        <v>2.5</v>
      </c>
      <c r="M58" s="16" t="str">
        <f t="shared" si="103"/>
        <v>2.5</v>
      </c>
      <c r="N58" s="22" t="str">
        <f t="shared" ref="N58:N60" si="114">_xlfn.CONCAT("@",U58,V58,W58,X58,Y58,Z58,AA58,AB58,AC58,"-(",N$3,")")</f>
        <v>@line_width-motorway-z10-(wnt)</v>
      </c>
      <c r="O58" s="23" t="str">
        <f t="shared" si="63"/>
        <v>1.5</v>
      </c>
      <c r="P58" s="7" t="str">
        <f t="shared" si="82"/>
        <v>1.5</v>
      </c>
      <c r="Q58" s="24" t="str">
        <f t="shared" ref="Q58:Q60" si="115">_xlfn.CONCAT("@",U58,V58,W58,X58,Y58,Z58,AA58,AB58,AC58,"-(",Q$3,")")</f>
        <v>@line_width-motorway-z10-(wnt-hc)</v>
      </c>
      <c r="R58" s="23" t="str">
        <f t="shared" ref="R58:R61" si="116">S58</f>
        <v>2.5</v>
      </c>
      <c r="S58" s="16" t="str">
        <f t="shared" si="83"/>
        <v>2.5</v>
      </c>
      <c r="U58" s="1" t="s">
        <v>119</v>
      </c>
      <c r="V58" s="2" t="str">
        <f t="shared" si="104"/>
        <v>-</v>
      </c>
      <c r="W58" s="1" t="s">
        <v>16</v>
      </c>
      <c r="Y58" s="1"/>
      <c r="Z58" s="2" t="str">
        <f t="shared" si="105"/>
        <v/>
      </c>
      <c r="AB58" s="2" t="str">
        <f t="shared" si="106"/>
        <v>-</v>
      </c>
      <c r="AC58" s="1" t="s">
        <v>103</v>
      </c>
    </row>
    <row r="59" spans="1:29" x14ac:dyDescent="0.25">
      <c r="B59" s="14" t="str">
        <f t="shared" si="107"/>
        <v>@line_width-motorway-z12-(mtb)</v>
      </c>
      <c r="C59" s="7" t="str">
        <f t="shared" si="108"/>
        <v>3.0</v>
      </c>
      <c r="D59" s="5" t="s">
        <v>88</v>
      </c>
      <c r="E59" s="15" t="str">
        <f t="shared" si="109"/>
        <v>@line_width-motorway-z12-(mtb-hc)</v>
      </c>
      <c r="F59" s="7" t="str">
        <f t="shared" si="62"/>
        <v>4.5</v>
      </c>
      <c r="G59" s="10" t="s">
        <v>128</v>
      </c>
      <c r="H59" s="14" t="str">
        <f t="shared" si="110"/>
        <v>@line_width-motorway-z12-(gr)</v>
      </c>
      <c r="I59" s="7" t="str">
        <f t="shared" si="111"/>
        <v>3.0</v>
      </c>
      <c r="J59" s="7" t="str">
        <f t="shared" si="102"/>
        <v>3.0</v>
      </c>
      <c r="K59" s="15" t="str">
        <f t="shared" si="112"/>
        <v>@line_width-motorway-z12-(gr-hc)</v>
      </c>
      <c r="L59" s="7" t="str">
        <f t="shared" si="113"/>
        <v>4.5</v>
      </c>
      <c r="M59" s="16" t="str">
        <f t="shared" si="103"/>
        <v>4.5</v>
      </c>
      <c r="N59" s="22" t="str">
        <f t="shared" si="114"/>
        <v>@line_width-motorway-z12-(wnt)</v>
      </c>
      <c r="O59" s="23" t="str">
        <f t="shared" si="63"/>
        <v>3.0</v>
      </c>
      <c r="P59" s="7" t="str">
        <f t="shared" si="82"/>
        <v>3.0</v>
      </c>
      <c r="Q59" s="24" t="str">
        <f t="shared" si="115"/>
        <v>@line_width-motorway-z12-(wnt-hc)</v>
      </c>
      <c r="R59" s="23" t="str">
        <f t="shared" si="116"/>
        <v>4.5</v>
      </c>
      <c r="S59" s="16" t="str">
        <f t="shared" si="83"/>
        <v>4.5</v>
      </c>
      <c r="U59" s="1" t="s">
        <v>119</v>
      </c>
      <c r="V59" s="2" t="str">
        <f t="shared" si="104"/>
        <v>-</v>
      </c>
      <c r="W59" s="1" t="s">
        <v>16</v>
      </c>
      <c r="Y59" s="1"/>
      <c r="Z59" s="2" t="str">
        <f t="shared" si="105"/>
        <v/>
      </c>
      <c r="AB59" s="2" t="str">
        <f t="shared" si="106"/>
        <v>-</v>
      </c>
      <c r="AC59" s="1" t="s">
        <v>109</v>
      </c>
    </row>
    <row r="60" spans="1:29" x14ac:dyDescent="0.25">
      <c r="B60" s="14" t="str">
        <f t="shared" si="107"/>
        <v>@line_width-motorway-z14-(mtb)</v>
      </c>
      <c r="C60" s="7" t="str">
        <f t="shared" si="108"/>
        <v>4.0</v>
      </c>
      <c r="D60" s="5" t="s">
        <v>92</v>
      </c>
      <c r="E60" s="15" t="str">
        <f t="shared" si="109"/>
        <v>@line_width-motorway-z14-(mtb-hc)</v>
      </c>
      <c r="F60" s="7" t="str">
        <f t="shared" si="62"/>
        <v>7.0</v>
      </c>
      <c r="G60" s="10" t="s">
        <v>134</v>
      </c>
      <c r="H60" s="14" t="str">
        <f t="shared" si="110"/>
        <v>@line_width-motorway-z14-(gr)</v>
      </c>
      <c r="I60" s="7" t="str">
        <f t="shared" si="111"/>
        <v>4.0</v>
      </c>
      <c r="J60" s="7" t="str">
        <f t="shared" si="102"/>
        <v>4.0</v>
      </c>
      <c r="K60" s="15" t="str">
        <f t="shared" si="112"/>
        <v>@line_width-motorway-z14-(gr-hc)</v>
      </c>
      <c r="L60" s="7" t="str">
        <f t="shared" si="113"/>
        <v>7.0</v>
      </c>
      <c r="M60" s="16" t="str">
        <f t="shared" si="103"/>
        <v>7.0</v>
      </c>
      <c r="N60" s="22" t="str">
        <f t="shared" si="114"/>
        <v>@line_width-motorway-z14-(wnt)</v>
      </c>
      <c r="O60" s="23" t="str">
        <f t="shared" si="63"/>
        <v>4.0</v>
      </c>
      <c r="P60" s="7" t="str">
        <f t="shared" si="82"/>
        <v>4.0</v>
      </c>
      <c r="Q60" s="24" t="str">
        <f t="shared" si="115"/>
        <v>@line_width-motorway-z14-(wnt-hc)</v>
      </c>
      <c r="R60" s="23" t="str">
        <f t="shared" si="116"/>
        <v>7.0</v>
      </c>
      <c r="S60" s="16" t="str">
        <f t="shared" si="83"/>
        <v>7.0</v>
      </c>
      <c r="U60" s="1" t="s">
        <v>119</v>
      </c>
      <c r="V60" s="2" t="str">
        <f t="shared" si="104"/>
        <v>-</v>
      </c>
      <c r="W60" s="1" t="s">
        <v>16</v>
      </c>
      <c r="Y60" s="1"/>
      <c r="Z60" s="2" t="str">
        <f t="shared" si="105"/>
        <v/>
      </c>
      <c r="AB60" s="2" t="str">
        <f t="shared" si="106"/>
        <v>-</v>
      </c>
      <c r="AC60" s="1" t="s">
        <v>74</v>
      </c>
    </row>
    <row r="61" spans="1:29" x14ac:dyDescent="0.25">
      <c r="B61" s="14" t="str">
        <f t="shared" ref="B61" si="117">_xlfn.CONCAT("@",U61,V61,W61,X61,Y61,Z61,AA61,AB61,AC61,"-(",B$3,")")</f>
        <v>@line_width-motorway-z20-(mtb)</v>
      </c>
      <c r="C61" s="7" t="str">
        <f t="shared" si="108"/>
        <v>18.0</v>
      </c>
      <c r="D61" s="5" t="s">
        <v>145</v>
      </c>
      <c r="E61" s="15" t="str">
        <f t="shared" ref="E61" si="118">_xlfn.CONCAT("@",U61,V61,W61,X61,Y61,Z61,AA61,AB61,AC61,"-(",E$3,")")</f>
        <v>@line_width-motorway-z20-(mtb-hc)</v>
      </c>
      <c r="F61" s="7" t="str">
        <f t="shared" si="62"/>
        <v>24.0</v>
      </c>
      <c r="G61" s="10" t="s">
        <v>146</v>
      </c>
      <c r="H61" s="14" t="str">
        <f t="shared" ref="H61" si="119">_xlfn.CONCAT("@",U61,V61,W61,X61,Y61,Z61,AA61,AB61,AC61,"-(",H$3,")")</f>
        <v>@line_width-motorway-z20-(gr)</v>
      </c>
      <c r="I61" s="7" t="str">
        <f t="shared" si="111"/>
        <v>18.0</v>
      </c>
      <c r="J61" s="7" t="str">
        <f t="shared" si="102"/>
        <v>18.0</v>
      </c>
      <c r="K61" s="15" t="str">
        <f t="shared" ref="K61" si="120">_xlfn.CONCAT("@",U61,V61,W61,X61,Y61,Z61,AA61,AB61,AC61,"-(",K$3,")")</f>
        <v>@line_width-motorway-z20-(gr-hc)</v>
      </c>
      <c r="L61" s="7" t="str">
        <f t="shared" si="113"/>
        <v>24.0</v>
      </c>
      <c r="M61" s="16" t="str">
        <f t="shared" si="103"/>
        <v>24.0</v>
      </c>
      <c r="N61" s="22" t="str">
        <f t="shared" ref="N61" si="121">_xlfn.CONCAT("@",U61,V61,W61,X61,Y61,Z61,AA61,AB61,AC61,"-(",N$3,")")</f>
        <v>@line_width-motorway-z20-(wnt)</v>
      </c>
      <c r="O61" s="23" t="str">
        <f t="shared" si="63"/>
        <v>18.0</v>
      </c>
      <c r="P61" s="7" t="str">
        <f t="shared" si="82"/>
        <v>18.0</v>
      </c>
      <c r="Q61" s="24" t="str">
        <f t="shared" ref="Q61" si="122">_xlfn.CONCAT("@",U61,V61,W61,X61,Y61,Z61,AA61,AB61,AC61,"-(",Q$3,")")</f>
        <v>@line_width-motorway-z20-(wnt-hc)</v>
      </c>
      <c r="R61" s="23" t="str">
        <f t="shared" si="116"/>
        <v>24.0</v>
      </c>
      <c r="S61" s="16" t="str">
        <f t="shared" si="83"/>
        <v>24.0</v>
      </c>
      <c r="U61" s="1" t="s">
        <v>119</v>
      </c>
      <c r="V61" s="2" t="str">
        <f t="shared" ref="V61" si="123">IF(NOT(ISBLANK(W61)),"-","")</f>
        <v>-</v>
      </c>
      <c r="W61" s="1" t="s">
        <v>16</v>
      </c>
      <c r="Y61" s="1"/>
      <c r="Z61" s="2" t="str">
        <f t="shared" ref="Z61" si="124">IF(NOT(ISBLANK(AA61)),"_","")</f>
        <v/>
      </c>
      <c r="AB61" s="2" t="str">
        <f t="shared" ref="AB61" si="125">IF(NOT(ISBLANK(AC61)),"-","")</f>
        <v>-</v>
      </c>
      <c r="AC61" s="1" t="s">
        <v>139</v>
      </c>
    </row>
    <row r="62" spans="1:29" x14ac:dyDescent="0.25">
      <c r="A62" s="3" t="s">
        <v>147</v>
      </c>
      <c r="B62" s="11"/>
      <c r="C62" s="3"/>
      <c r="D62" s="6"/>
      <c r="E62" s="13"/>
      <c r="F62" s="3"/>
      <c r="G62" s="12"/>
      <c r="H62" s="11"/>
      <c r="I62" s="3"/>
      <c r="J62" s="6"/>
      <c r="K62" s="13"/>
      <c r="L62" s="3"/>
      <c r="M62" s="12"/>
      <c r="N62" s="11"/>
      <c r="O62" s="3"/>
      <c r="P62" s="6"/>
      <c r="Q62" s="13"/>
      <c r="R62" s="3"/>
      <c r="S62" s="12"/>
      <c r="T62" s="4"/>
      <c r="U62" s="3"/>
      <c r="V62" s="4"/>
      <c r="W62" s="3"/>
      <c r="X62" s="4"/>
      <c r="Y62" s="3"/>
      <c r="Z62" s="4"/>
      <c r="AA62" s="4"/>
      <c r="AB62" s="4"/>
      <c r="AC62" s="3"/>
    </row>
    <row r="63" spans="1:29" x14ac:dyDescent="0.25">
      <c r="B63" s="14" t="str">
        <f>_xlfn.CONCAT("@",U63,V63,W63,X63,Y63,Z63,AA63,AB63,AC63,"-(",B$3,")")</f>
        <v>@case_width-trunk-z6-(mtb)</v>
      </c>
      <c r="C63" s="7" t="str">
        <f>D63</f>
        <v>2.5</v>
      </c>
      <c r="D63" s="5" t="s">
        <v>90</v>
      </c>
      <c r="E63" s="15" t="str">
        <f>_xlfn.CONCAT("@",U63,V63,W63,X63,Y63,Z63,AA63,AB63,AC63,"-(",E$3,")")</f>
        <v>@case_width-trunk-z6-(mtb-hc)</v>
      </c>
      <c r="F63" s="7" t="str">
        <f t="shared" si="62"/>
        <v>2.5</v>
      </c>
      <c r="G63" s="16" t="str">
        <f>D63</f>
        <v>2.5</v>
      </c>
      <c r="H63" s="14" t="str">
        <f>_xlfn.CONCAT("@",U63,V63,W63,X63,Y63,Z63,AA63,AB63,AC63,"-(",H$3,")")</f>
        <v>@case_width-trunk-z6-(gr)</v>
      </c>
      <c r="I63" s="7" t="str">
        <f>J63</f>
        <v>2.5</v>
      </c>
      <c r="J63" s="7" t="str">
        <f>D63</f>
        <v>2.5</v>
      </c>
      <c r="K63" s="15" t="str">
        <f>_xlfn.CONCAT("@",U63,V63,W63,X63,Y63,Z63,AA63,AB63,AC63,"-(",K$3,")")</f>
        <v>@case_width-trunk-z6-(gr-hc)</v>
      </c>
      <c r="L63" s="7" t="str">
        <f>M63</f>
        <v>2.5</v>
      </c>
      <c r="M63" s="16" t="str">
        <f>G63</f>
        <v>2.5</v>
      </c>
      <c r="N63" s="22" t="str">
        <f>_xlfn.CONCAT("@",U63,V63,W63,X63,Y63,Z63,AA63,AB63,AC63,"-(",N$3,")")</f>
        <v>@case_width-trunk-z6-(wnt)</v>
      </c>
      <c r="O63" s="23" t="str">
        <f t="shared" si="63"/>
        <v>2.5</v>
      </c>
      <c r="P63" s="7" t="str">
        <f t="shared" ref="P63:P65" si="126">D63</f>
        <v>2.5</v>
      </c>
      <c r="Q63" s="24" t="str">
        <f>_xlfn.CONCAT("@",U63,V63,W63,X63,Y63,Z63,AA63,AB63,AC63,"-(",Q$3,")")</f>
        <v>@case_width-trunk-z6-(wnt-hc)</v>
      </c>
      <c r="R63" s="23" t="str">
        <f>S63</f>
        <v>2.5</v>
      </c>
      <c r="S63" s="16" t="str">
        <f t="shared" ref="S63:S65" si="127">G63</f>
        <v>2.5</v>
      </c>
      <c r="U63" s="1" t="s">
        <v>78</v>
      </c>
      <c r="V63" s="2" t="str">
        <f t="shared" ref="V63:V65" si="128">IF(NOT(ISBLANK(W63)),"-","")</f>
        <v>-</v>
      </c>
      <c r="W63" s="1" t="s">
        <v>18</v>
      </c>
      <c r="Y63" s="1"/>
      <c r="Z63" s="2" t="str">
        <f t="shared" ref="Z63:Z65" si="129">IF(NOT(ISBLANK(AA63)),"_","")</f>
        <v/>
      </c>
      <c r="AB63" s="2" t="str">
        <f t="shared" ref="AB63:AB65" si="130">IF(NOT(ISBLANK(AC63)),"-","")</f>
        <v>-</v>
      </c>
      <c r="AC63" s="1" t="s">
        <v>138</v>
      </c>
    </row>
    <row r="64" spans="1:29" x14ac:dyDescent="0.25">
      <c r="B64" s="14" t="str">
        <f t="shared" ref="B64:B65" si="131">_xlfn.CONCAT("@",U64,V64,W64,X64,Y64,Z64,AA64,AB64,AC64,"-(",B$3,")")</f>
        <v>@case_width-trunk-z10-(mtb)</v>
      </c>
      <c r="C64" s="7" t="str">
        <f t="shared" ref="C64:C65" si="132">D64</f>
        <v>4.0</v>
      </c>
      <c r="D64" s="5" t="s">
        <v>92</v>
      </c>
      <c r="E64" s="15" t="str">
        <f t="shared" ref="E64:E65" si="133">_xlfn.CONCAT("@",U64,V64,W64,X64,Y64,Z64,AA64,AB64,AC64,"-(",E$3,")")</f>
        <v>@case_width-trunk-z10-(mtb-hc)</v>
      </c>
      <c r="F64" s="7" t="str">
        <f t="shared" si="62"/>
        <v>4.0</v>
      </c>
      <c r="G64" s="16" t="str">
        <f t="shared" ref="G64:G65" si="134">D64</f>
        <v>4.0</v>
      </c>
      <c r="H64" s="14" t="str">
        <f t="shared" ref="H64:H65" si="135">_xlfn.CONCAT("@",U64,V64,W64,X64,Y64,Z64,AA64,AB64,AC64,"-(",H$3,")")</f>
        <v>@case_width-trunk-z10-(gr)</v>
      </c>
      <c r="I64" s="7" t="str">
        <f t="shared" ref="I64:I65" si="136">J64</f>
        <v>4.0</v>
      </c>
      <c r="J64" s="7" t="str">
        <f t="shared" ref="J64:J65" si="137">D64</f>
        <v>4.0</v>
      </c>
      <c r="K64" s="15" t="str">
        <f t="shared" ref="K64:K65" si="138">_xlfn.CONCAT("@",U64,V64,W64,X64,Y64,Z64,AA64,AB64,AC64,"-(",K$3,")")</f>
        <v>@case_width-trunk-z10-(gr-hc)</v>
      </c>
      <c r="L64" s="7" t="str">
        <f t="shared" ref="L64:L65" si="139">M64</f>
        <v>4.0</v>
      </c>
      <c r="M64" s="16" t="str">
        <f t="shared" ref="M64:M65" si="140">G64</f>
        <v>4.0</v>
      </c>
      <c r="N64" s="22" t="str">
        <f t="shared" ref="N64:N65" si="141">_xlfn.CONCAT("@",U64,V64,W64,X64,Y64,Z64,AA64,AB64,AC64,"-(",N$3,")")</f>
        <v>@case_width-trunk-z10-(wnt)</v>
      </c>
      <c r="O64" s="23" t="str">
        <f t="shared" si="63"/>
        <v>4.0</v>
      </c>
      <c r="P64" s="7" t="str">
        <f t="shared" si="126"/>
        <v>4.0</v>
      </c>
      <c r="Q64" s="24" t="str">
        <f t="shared" ref="Q64:Q65" si="142">_xlfn.CONCAT("@",U64,V64,W64,X64,Y64,Z64,AA64,AB64,AC64,"-(",Q$3,")")</f>
        <v>@case_width-trunk-z10-(wnt-hc)</v>
      </c>
      <c r="R64" s="23" t="str">
        <f t="shared" ref="R64:R65" si="143">S64</f>
        <v>4.0</v>
      </c>
      <c r="S64" s="16" t="str">
        <f t="shared" si="127"/>
        <v>4.0</v>
      </c>
      <c r="U64" s="1" t="s">
        <v>78</v>
      </c>
      <c r="V64" s="2" t="str">
        <f t="shared" si="128"/>
        <v>-</v>
      </c>
      <c r="W64" s="1" t="s">
        <v>18</v>
      </c>
      <c r="Y64" s="1"/>
      <c r="Z64" s="2" t="str">
        <f t="shared" si="129"/>
        <v/>
      </c>
      <c r="AB64" s="2" t="str">
        <f t="shared" si="130"/>
        <v>-</v>
      </c>
      <c r="AC64" s="1" t="s">
        <v>103</v>
      </c>
    </row>
    <row r="65" spans="1:29" x14ac:dyDescent="0.25">
      <c r="B65" s="14" t="str">
        <f t="shared" si="131"/>
        <v>@case_width-trunk-z20-(mtb)</v>
      </c>
      <c r="C65" s="7" t="str">
        <f t="shared" si="132"/>
        <v>22.0</v>
      </c>
      <c r="D65" s="5" t="s">
        <v>141</v>
      </c>
      <c r="E65" s="15" t="str">
        <f t="shared" si="133"/>
        <v>@case_width-trunk-z20-(mtb-hc)</v>
      </c>
      <c r="F65" s="7" t="str">
        <f t="shared" si="62"/>
        <v>22.0</v>
      </c>
      <c r="G65" s="16" t="str">
        <f t="shared" si="134"/>
        <v>22.0</v>
      </c>
      <c r="H65" s="14" t="str">
        <f t="shared" si="135"/>
        <v>@case_width-trunk-z20-(gr)</v>
      </c>
      <c r="I65" s="7" t="str">
        <f t="shared" si="136"/>
        <v>22.0</v>
      </c>
      <c r="J65" s="7" t="str">
        <f t="shared" si="137"/>
        <v>22.0</v>
      </c>
      <c r="K65" s="15" t="str">
        <f t="shared" si="138"/>
        <v>@case_width-trunk-z20-(gr-hc)</v>
      </c>
      <c r="L65" s="7" t="str">
        <f t="shared" si="139"/>
        <v>22.0</v>
      </c>
      <c r="M65" s="16" t="str">
        <f t="shared" si="140"/>
        <v>22.0</v>
      </c>
      <c r="N65" s="22" t="str">
        <f t="shared" si="141"/>
        <v>@case_width-trunk-z20-(wnt)</v>
      </c>
      <c r="O65" s="23" t="str">
        <f t="shared" si="63"/>
        <v>22.0</v>
      </c>
      <c r="P65" s="7" t="str">
        <f t="shared" si="126"/>
        <v>22.0</v>
      </c>
      <c r="Q65" s="24" t="str">
        <f t="shared" si="142"/>
        <v>@case_width-trunk-z20-(wnt-hc)</v>
      </c>
      <c r="R65" s="23" t="str">
        <f t="shared" si="143"/>
        <v>22.0</v>
      </c>
      <c r="S65" s="16" t="str">
        <f t="shared" si="127"/>
        <v>22.0</v>
      </c>
      <c r="U65" s="1" t="s">
        <v>78</v>
      </c>
      <c r="V65" s="2" t="str">
        <f t="shared" si="128"/>
        <v>-</v>
      </c>
      <c r="W65" s="1" t="s">
        <v>18</v>
      </c>
      <c r="Y65" s="1"/>
      <c r="Z65" s="2" t="str">
        <f t="shared" si="129"/>
        <v/>
      </c>
      <c r="AB65" s="2" t="str">
        <f t="shared" si="130"/>
        <v>-</v>
      </c>
      <c r="AC65" s="1" t="s">
        <v>139</v>
      </c>
    </row>
    <row r="66" spans="1:29" x14ac:dyDescent="0.25">
      <c r="A66" s="3" t="s">
        <v>148</v>
      </c>
      <c r="B66" s="11"/>
      <c r="C66" s="3"/>
      <c r="D66" s="6"/>
      <c r="E66" s="13"/>
      <c r="F66" s="3"/>
      <c r="G66" s="12"/>
      <c r="H66" s="11"/>
      <c r="I66" s="3"/>
      <c r="J66" s="6"/>
      <c r="K66" s="13"/>
      <c r="L66" s="3"/>
      <c r="M66" s="12"/>
      <c r="N66" s="11"/>
      <c r="O66" s="3"/>
      <c r="P66" s="6"/>
      <c r="Q66" s="13"/>
      <c r="R66" s="3"/>
      <c r="S66" s="12"/>
      <c r="T66" s="4"/>
      <c r="U66" s="3"/>
      <c r="V66" s="4"/>
      <c r="W66" s="3"/>
      <c r="X66" s="4"/>
      <c r="Y66" s="3"/>
      <c r="Z66" s="4"/>
      <c r="AA66" s="4"/>
      <c r="AB66" s="4"/>
      <c r="AC66" s="3"/>
    </row>
    <row r="67" spans="1:29" x14ac:dyDescent="0.25">
      <c r="B67" s="14" t="str">
        <f>_xlfn.CONCAT("@",U67,V67,W67,X67,Y67,Z67,AA67,AB67,AC67,"-(",B$3,")")</f>
        <v>@line_width-trunk-z7-(mtb)</v>
      </c>
      <c r="C67" s="7" t="str">
        <f>D67</f>
        <v>0.5</v>
      </c>
      <c r="D67" s="5" t="s">
        <v>95</v>
      </c>
      <c r="E67" s="15" t="str">
        <f>_xlfn.CONCAT("@",U67,V67,W67,X67,Y67,Z67,AA67,AB67,AC67,"-(",E$3,")")</f>
        <v>@line_width-trunk-z7-(mtb-hc)</v>
      </c>
      <c r="F67" s="7" t="str">
        <f t="shared" si="62"/>
        <v>0.5</v>
      </c>
      <c r="G67" s="16" t="str">
        <f t="shared" ref="G67:G71" si="144">D67</f>
        <v>0.5</v>
      </c>
      <c r="H67" s="14" t="str">
        <f>_xlfn.CONCAT("@",U67,V67,W67,X67,Y67,Z67,AA67,AB67,AC67,"-(",H$3,")")</f>
        <v>@line_width-trunk-z7-(gr)</v>
      </c>
      <c r="I67" s="7" t="str">
        <f>J67</f>
        <v>0.5</v>
      </c>
      <c r="J67" s="7" t="str">
        <f t="shared" ref="J67:J71" si="145">D67</f>
        <v>0.5</v>
      </c>
      <c r="K67" s="15" t="str">
        <f>_xlfn.CONCAT("@",U67,V67,W67,X67,Y67,Z67,AA67,AB67,AC67,"-(",K$3,")")</f>
        <v>@line_width-trunk-z7-(gr-hc)</v>
      </c>
      <c r="L67" s="7" t="str">
        <f>M67</f>
        <v>0.5</v>
      </c>
      <c r="M67" s="16" t="str">
        <f t="shared" ref="M67:M71" si="146">G67</f>
        <v>0.5</v>
      </c>
      <c r="N67" s="22" t="str">
        <f>_xlfn.CONCAT("@",U67,V67,W67,X67,Y67,Z67,AA67,AB67,AC67,"-(",N$3,")")</f>
        <v>@line_width-trunk-z7-(wnt)</v>
      </c>
      <c r="O67" s="23" t="str">
        <f t="shared" si="63"/>
        <v>0.5</v>
      </c>
      <c r="P67" s="7" t="str">
        <f t="shared" ref="P67:P71" si="147">D67</f>
        <v>0.5</v>
      </c>
      <c r="Q67" s="24" t="str">
        <f>_xlfn.CONCAT("@",U67,V67,W67,X67,Y67,Z67,AA67,AB67,AC67,"-(",Q$3,")")</f>
        <v>@line_width-trunk-z7-(wnt-hc)</v>
      </c>
      <c r="R67" s="23" t="str">
        <f>S67</f>
        <v>0.5</v>
      </c>
      <c r="S67" s="16" t="str">
        <f t="shared" ref="S67:S71" si="148">G67</f>
        <v>0.5</v>
      </c>
      <c r="U67" s="1" t="s">
        <v>119</v>
      </c>
      <c r="V67" s="2" t="str">
        <f t="shared" ref="V67:V71" si="149">IF(NOT(ISBLANK(W67)),"-","")</f>
        <v>-</v>
      </c>
      <c r="W67" s="1" t="s">
        <v>18</v>
      </c>
      <c r="Y67" s="1"/>
      <c r="Z67" s="2" t="str">
        <f t="shared" ref="Z67:Z71" si="150">IF(NOT(ISBLANK(AA67)),"_","")</f>
        <v/>
      </c>
      <c r="AB67" s="2" t="str">
        <f t="shared" ref="AB67:AB71" si="151">IF(NOT(ISBLANK(AC67)),"-","")</f>
        <v>-</v>
      </c>
      <c r="AC67" s="1" t="s">
        <v>144</v>
      </c>
    </row>
    <row r="68" spans="1:29" x14ac:dyDescent="0.25">
      <c r="B68" s="14" t="str">
        <f t="shared" ref="B68:B71" si="152">_xlfn.CONCAT("@",U68,V68,W68,X68,Y68,Z68,AA68,AB68,AC68,"-(",B$3,")")</f>
        <v>@line_width-trunk-z10-(mtb)</v>
      </c>
      <c r="C68" s="7" t="str">
        <f t="shared" ref="C68:C71" si="153">D68</f>
        <v>2.0</v>
      </c>
      <c r="D68" s="5" t="s">
        <v>85</v>
      </c>
      <c r="E68" s="15" t="str">
        <f t="shared" ref="E68:E71" si="154">_xlfn.CONCAT("@",U68,V68,W68,X68,Y68,Z68,AA68,AB68,AC68,"-(",E$3,")")</f>
        <v>@line_width-trunk-z10-(mtb-hc)</v>
      </c>
      <c r="F68" s="7" t="str">
        <f t="shared" si="62"/>
        <v>2.0</v>
      </c>
      <c r="G68" s="16" t="str">
        <f t="shared" si="144"/>
        <v>2.0</v>
      </c>
      <c r="H68" s="14" t="str">
        <f t="shared" ref="H68:H71" si="155">_xlfn.CONCAT("@",U68,V68,W68,X68,Y68,Z68,AA68,AB68,AC68,"-(",H$3,")")</f>
        <v>@line_width-trunk-z10-(gr)</v>
      </c>
      <c r="I68" s="7" t="str">
        <f t="shared" ref="I68:I71" si="156">J68</f>
        <v>2.0</v>
      </c>
      <c r="J68" s="7" t="str">
        <f t="shared" si="145"/>
        <v>2.0</v>
      </c>
      <c r="K68" s="15" t="str">
        <f t="shared" ref="K68:K71" si="157">_xlfn.CONCAT("@",U68,V68,W68,X68,Y68,Z68,AA68,AB68,AC68,"-(",K$3,")")</f>
        <v>@line_width-trunk-z10-(gr-hc)</v>
      </c>
      <c r="L68" s="7" t="str">
        <f t="shared" ref="L68:L71" si="158">M68</f>
        <v>2.0</v>
      </c>
      <c r="M68" s="16" t="str">
        <f t="shared" si="146"/>
        <v>2.0</v>
      </c>
      <c r="N68" s="22" t="str">
        <f t="shared" ref="N68:N71" si="159">_xlfn.CONCAT("@",U68,V68,W68,X68,Y68,Z68,AA68,AB68,AC68,"-(",N$3,")")</f>
        <v>@line_width-trunk-z10-(wnt)</v>
      </c>
      <c r="O68" s="23" t="str">
        <f t="shared" si="63"/>
        <v>2.0</v>
      </c>
      <c r="P68" s="7" t="str">
        <f t="shared" si="147"/>
        <v>2.0</v>
      </c>
      <c r="Q68" s="24" t="str">
        <f t="shared" ref="Q68:Q71" si="160">_xlfn.CONCAT("@",U68,V68,W68,X68,Y68,Z68,AA68,AB68,AC68,"-(",Q$3,")")</f>
        <v>@line_width-trunk-z10-(wnt-hc)</v>
      </c>
      <c r="R68" s="23" t="str">
        <f t="shared" ref="R68:R71" si="161">S68</f>
        <v>2.0</v>
      </c>
      <c r="S68" s="16" t="str">
        <f t="shared" si="148"/>
        <v>2.0</v>
      </c>
      <c r="U68" s="1" t="s">
        <v>119</v>
      </c>
      <c r="V68" s="2" t="str">
        <f t="shared" si="149"/>
        <v>-</v>
      </c>
      <c r="W68" s="1" t="s">
        <v>18</v>
      </c>
      <c r="Y68" s="1"/>
      <c r="Z68" s="2" t="str">
        <f t="shared" si="150"/>
        <v/>
      </c>
      <c r="AB68" s="2" t="str">
        <f t="shared" si="151"/>
        <v>-</v>
      </c>
      <c r="AC68" s="1" t="s">
        <v>103</v>
      </c>
    </row>
    <row r="69" spans="1:29" x14ac:dyDescent="0.25">
      <c r="B69" s="14" t="str">
        <f t="shared" si="152"/>
        <v>@line_width-trunk-z12-(mtb)</v>
      </c>
      <c r="C69" s="7" t="str">
        <f t="shared" si="153"/>
        <v>3.4</v>
      </c>
      <c r="D69" s="5" t="s">
        <v>114</v>
      </c>
      <c r="E69" s="15" t="str">
        <f t="shared" si="154"/>
        <v>@line_width-trunk-z12-(mtb-hc)</v>
      </c>
      <c r="F69" s="7" t="str">
        <f t="shared" si="62"/>
        <v>3.4</v>
      </c>
      <c r="G69" s="16" t="str">
        <f t="shared" si="144"/>
        <v>3.4</v>
      </c>
      <c r="H69" s="14" t="str">
        <f t="shared" si="155"/>
        <v>@line_width-trunk-z12-(gr)</v>
      </c>
      <c r="I69" s="7" t="str">
        <f t="shared" si="156"/>
        <v>3.4</v>
      </c>
      <c r="J69" s="7" t="str">
        <f t="shared" si="145"/>
        <v>3.4</v>
      </c>
      <c r="K69" s="15" t="str">
        <f t="shared" si="157"/>
        <v>@line_width-trunk-z12-(gr-hc)</v>
      </c>
      <c r="L69" s="7" t="str">
        <f t="shared" si="158"/>
        <v>3.4</v>
      </c>
      <c r="M69" s="16" t="str">
        <f t="shared" si="146"/>
        <v>3.4</v>
      </c>
      <c r="N69" s="22" t="str">
        <f t="shared" si="159"/>
        <v>@line_width-trunk-z12-(wnt)</v>
      </c>
      <c r="O69" s="23" t="str">
        <f t="shared" si="63"/>
        <v>3.4</v>
      </c>
      <c r="P69" s="7" t="str">
        <f t="shared" si="147"/>
        <v>3.4</v>
      </c>
      <c r="Q69" s="24" t="str">
        <f t="shared" si="160"/>
        <v>@line_width-trunk-z12-(wnt-hc)</v>
      </c>
      <c r="R69" s="23" t="str">
        <f t="shared" si="161"/>
        <v>3.4</v>
      </c>
      <c r="S69" s="16" t="str">
        <f t="shared" si="148"/>
        <v>3.4</v>
      </c>
      <c r="U69" s="1" t="s">
        <v>119</v>
      </c>
      <c r="V69" s="2" t="str">
        <f t="shared" si="149"/>
        <v>-</v>
      </c>
      <c r="W69" s="1" t="s">
        <v>18</v>
      </c>
      <c r="Y69" s="1"/>
      <c r="Z69" s="2" t="str">
        <f t="shared" si="150"/>
        <v/>
      </c>
      <c r="AB69" s="2" t="str">
        <f t="shared" si="151"/>
        <v>-</v>
      </c>
      <c r="AC69" s="1" t="s">
        <v>109</v>
      </c>
    </row>
    <row r="70" spans="1:29" x14ac:dyDescent="0.25">
      <c r="B70" s="14" t="str">
        <f t="shared" si="152"/>
        <v>@line_width-trunk-z14-(mtb)</v>
      </c>
      <c r="C70" s="7" t="str">
        <f t="shared" si="153"/>
        <v>4.6</v>
      </c>
      <c r="D70" s="5" t="s">
        <v>149</v>
      </c>
      <c r="E70" s="15" t="str">
        <f t="shared" si="154"/>
        <v>@line_width-trunk-z14-(mtb-hc)</v>
      </c>
      <c r="F70" s="7" t="str">
        <f t="shared" si="62"/>
        <v>4.6</v>
      </c>
      <c r="G70" s="16" t="str">
        <f t="shared" si="144"/>
        <v>4.6</v>
      </c>
      <c r="H70" s="14" t="str">
        <f t="shared" si="155"/>
        <v>@line_width-trunk-z14-(gr)</v>
      </c>
      <c r="I70" s="7" t="str">
        <f t="shared" si="156"/>
        <v>4.6</v>
      </c>
      <c r="J70" s="7" t="str">
        <f t="shared" si="145"/>
        <v>4.6</v>
      </c>
      <c r="K70" s="15" t="str">
        <f t="shared" si="157"/>
        <v>@line_width-trunk-z14-(gr-hc)</v>
      </c>
      <c r="L70" s="7" t="str">
        <f t="shared" si="158"/>
        <v>4.6</v>
      </c>
      <c r="M70" s="16" t="str">
        <f t="shared" si="146"/>
        <v>4.6</v>
      </c>
      <c r="N70" s="22" t="str">
        <f t="shared" si="159"/>
        <v>@line_width-trunk-z14-(wnt)</v>
      </c>
      <c r="O70" s="23" t="str">
        <f t="shared" si="63"/>
        <v>4.6</v>
      </c>
      <c r="P70" s="7" t="str">
        <f t="shared" si="147"/>
        <v>4.6</v>
      </c>
      <c r="Q70" s="24" t="str">
        <f t="shared" si="160"/>
        <v>@line_width-trunk-z14-(wnt-hc)</v>
      </c>
      <c r="R70" s="23" t="str">
        <f t="shared" si="161"/>
        <v>4.6</v>
      </c>
      <c r="S70" s="16" t="str">
        <f t="shared" si="148"/>
        <v>4.6</v>
      </c>
      <c r="U70" s="1" t="s">
        <v>119</v>
      </c>
      <c r="V70" s="2" t="str">
        <f t="shared" si="149"/>
        <v>-</v>
      </c>
      <c r="W70" s="1" t="s">
        <v>18</v>
      </c>
      <c r="Y70" s="1"/>
      <c r="Z70" s="2" t="str">
        <f t="shared" si="150"/>
        <v/>
      </c>
      <c r="AB70" s="2" t="str">
        <f t="shared" si="151"/>
        <v>-</v>
      </c>
      <c r="AC70" s="1" t="s">
        <v>74</v>
      </c>
    </row>
    <row r="71" spans="1:29" x14ac:dyDescent="0.25">
      <c r="B71" s="14" t="str">
        <f t="shared" si="152"/>
        <v>@line_width-trunk-z20-(mtb)</v>
      </c>
      <c r="C71" s="7" t="str">
        <f t="shared" si="153"/>
        <v>18.0</v>
      </c>
      <c r="D71" s="5" t="s">
        <v>145</v>
      </c>
      <c r="E71" s="15" t="str">
        <f t="shared" si="154"/>
        <v>@line_width-trunk-z20-(mtb-hc)</v>
      </c>
      <c r="F71" s="7" t="str">
        <f t="shared" si="62"/>
        <v>18.0</v>
      </c>
      <c r="G71" s="16" t="str">
        <f t="shared" si="144"/>
        <v>18.0</v>
      </c>
      <c r="H71" s="14" t="str">
        <f t="shared" si="155"/>
        <v>@line_width-trunk-z20-(gr)</v>
      </c>
      <c r="I71" s="7" t="str">
        <f t="shared" si="156"/>
        <v>18.0</v>
      </c>
      <c r="J71" s="7" t="str">
        <f t="shared" si="145"/>
        <v>18.0</v>
      </c>
      <c r="K71" s="15" t="str">
        <f t="shared" si="157"/>
        <v>@line_width-trunk-z20-(gr-hc)</v>
      </c>
      <c r="L71" s="7" t="str">
        <f t="shared" si="158"/>
        <v>18.0</v>
      </c>
      <c r="M71" s="16" t="str">
        <f t="shared" si="146"/>
        <v>18.0</v>
      </c>
      <c r="N71" s="22" t="str">
        <f t="shared" si="159"/>
        <v>@line_width-trunk-z20-(wnt)</v>
      </c>
      <c r="O71" s="23" t="str">
        <f t="shared" si="63"/>
        <v>18.0</v>
      </c>
      <c r="P71" s="7" t="str">
        <f t="shared" si="147"/>
        <v>18.0</v>
      </c>
      <c r="Q71" s="24" t="str">
        <f t="shared" si="160"/>
        <v>@line_width-trunk-z20-(wnt-hc)</v>
      </c>
      <c r="R71" s="23" t="str">
        <f t="shared" si="161"/>
        <v>18.0</v>
      </c>
      <c r="S71" s="16" t="str">
        <f t="shared" si="148"/>
        <v>18.0</v>
      </c>
      <c r="U71" s="1" t="s">
        <v>119</v>
      </c>
      <c r="V71" s="2" t="str">
        <f t="shared" si="149"/>
        <v>-</v>
      </c>
      <c r="W71" s="1" t="s">
        <v>18</v>
      </c>
      <c r="Y71" s="1"/>
      <c r="Z71" s="2" t="str">
        <f t="shared" si="150"/>
        <v/>
      </c>
      <c r="AB71" s="2" t="str">
        <f t="shared" si="151"/>
        <v>-</v>
      </c>
      <c r="AC71" s="1" t="s">
        <v>139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0977F-E3B1-4573-8250-3C6795A76A7E}">
  <sheetPr codeName="Sheet2"/>
  <dimension ref="A2:R66"/>
  <sheetViews>
    <sheetView workbookViewId="0"/>
  </sheetViews>
  <sheetFormatPr defaultRowHeight="13.5" x14ac:dyDescent="0.25"/>
  <cols>
    <col min="1" max="1" width="2.7109375" style="2" customWidth="1"/>
    <col min="2" max="2" width="62.28515625" style="2" customWidth="1"/>
    <col min="3" max="3" width="12.7109375" style="2" customWidth="1"/>
    <col min="4" max="4" width="12.7109375" style="7" customWidth="1"/>
    <col min="5" max="5" width="2.7109375" style="2" customWidth="1"/>
    <col min="6" max="6" width="12.7109375" style="2" customWidth="1"/>
    <col min="7" max="7" width="2.7109375" style="2" customWidth="1"/>
    <col min="8" max="8" width="12.7109375" style="2" customWidth="1"/>
    <col min="9" max="9" width="2.7109375" style="2" customWidth="1"/>
    <col min="10" max="10" width="12.7109375" style="2" customWidth="1"/>
    <col min="11" max="11" width="2.7109375" style="2" customWidth="1"/>
    <col min="12" max="12" width="12.7109375" style="2" customWidth="1"/>
    <col min="13" max="13" width="2.7109375" style="2" customWidth="1"/>
    <col min="14" max="14" width="12.7109375" style="2" customWidth="1"/>
    <col min="15" max="15" width="2.7109375" style="2" customWidth="1"/>
    <col min="16" max="16" width="12.7109375" style="2" customWidth="1"/>
    <col min="17" max="17" width="2.7109375" style="2" customWidth="1"/>
    <col min="18" max="18" width="12.7109375" style="2" customWidth="1"/>
  </cols>
  <sheetData>
    <row r="2" spans="1:18" x14ac:dyDescent="0.25">
      <c r="A2" s="1"/>
      <c r="B2" s="1" t="s">
        <v>0</v>
      </c>
      <c r="C2" s="1" t="s">
        <v>1</v>
      </c>
      <c r="D2" s="5" t="s">
        <v>15</v>
      </c>
      <c r="E2" s="1"/>
      <c r="F2" s="1" t="s">
        <v>3</v>
      </c>
      <c r="G2" s="1"/>
      <c r="H2" s="1" t="s">
        <v>2</v>
      </c>
      <c r="I2" s="1"/>
      <c r="J2" s="1" t="s">
        <v>8</v>
      </c>
      <c r="K2" s="1"/>
      <c r="L2" s="1" t="s">
        <v>73</v>
      </c>
      <c r="M2" s="1"/>
      <c r="N2" s="1" t="s">
        <v>69</v>
      </c>
      <c r="O2" s="1"/>
      <c r="P2" s="1" t="s">
        <v>4</v>
      </c>
      <c r="Q2" s="1"/>
      <c r="R2" s="1" t="s">
        <v>5</v>
      </c>
    </row>
    <row r="3" spans="1:18" x14ac:dyDescent="0.25">
      <c r="A3" s="3" t="s">
        <v>68</v>
      </c>
      <c r="B3" s="3"/>
      <c r="C3" s="3"/>
      <c r="D3" s="6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</row>
    <row r="4" spans="1:18" x14ac:dyDescent="0.25">
      <c r="B4" s="1" t="str">
        <f>_xlfn.CONCAT("@",F4,G4,H4,I4,J4,K4,L4,M4,N4,O4,"(",P4,Q4,R4,")")</f>
        <v>@case_width-path_narrow-z11-(def)</v>
      </c>
      <c r="C4" s="5" t="str">
        <f>D4</f>
        <v>1.0</v>
      </c>
      <c r="D4" s="7" t="s">
        <v>80</v>
      </c>
      <c r="F4" s="2" t="s">
        <v>78</v>
      </c>
      <c r="G4" s="2" t="str">
        <f t="shared" ref="G4" si="0">IF(NOT(ISBLANK(H4)),"-","")</f>
        <v>-</v>
      </c>
      <c r="H4" s="2" t="s">
        <v>71</v>
      </c>
      <c r="I4" s="2" t="str">
        <f>IF(NOT(ISBLANK(J4)),"_","")</f>
        <v>_</v>
      </c>
      <c r="J4" s="2" t="s">
        <v>72</v>
      </c>
      <c r="K4" s="2" t="str">
        <f t="shared" ref="K4:K41" si="1">IF(NOT(ISBLANK(L4)),"_","")</f>
        <v/>
      </c>
      <c r="M4" s="2" t="str">
        <f t="shared" ref="M4:Q15" si="2">IF(NOT(ISBLANK(N4)),"-","")</f>
        <v>-</v>
      </c>
      <c r="N4" s="2" t="s">
        <v>70</v>
      </c>
      <c r="O4" s="2" t="str">
        <f t="shared" si="2"/>
        <v>-</v>
      </c>
      <c r="P4" s="2" t="s">
        <v>10</v>
      </c>
      <c r="Q4" s="2" t="str">
        <f t="shared" si="2"/>
        <v/>
      </c>
    </row>
    <row r="5" spans="1:18" x14ac:dyDescent="0.25">
      <c r="B5" s="1" t="str">
        <f t="shared" ref="B5:B7" si="3">_xlfn.CONCAT("@",F5,G5,H5,I5,J5,K5,L5,M5,N5,O5,"(",P5,Q5,R5,")")</f>
        <v>@case_width-path_narrow-z14-(def)</v>
      </c>
      <c r="C5" s="5" t="str">
        <f t="shared" ref="C5:C28" si="4">D5</f>
        <v>1.3</v>
      </c>
      <c r="D5" s="7" t="s">
        <v>81</v>
      </c>
      <c r="F5" s="2" t="s">
        <v>78</v>
      </c>
      <c r="G5" s="2" t="str">
        <f t="shared" ref="G5:G6" si="5">IF(NOT(ISBLANK(H5)),"-","")</f>
        <v>-</v>
      </c>
      <c r="H5" s="2" t="s">
        <v>71</v>
      </c>
      <c r="I5" s="2" t="str">
        <f t="shared" ref="I5:I28" si="6">IF(NOT(ISBLANK(J5)),"_","")</f>
        <v>_</v>
      </c>
      <c r="J5" s="2" t="s">
        <v>72</v>
      </c>
      <c r="K5" s="2" t="str">
        <f t="shared" si="1"/>
        <v/>
      </c>
      <c r="M5" s="2" t="str">
        <f t="shared" si="2"/>
        <v>-</v>
      </c>
      <c r="N5" s="2" t="s">
        <v>74</v>
      </c>
      <c r="O5" s="2" t="str">
        <f t="shared" si="2"/>
        <v>-</v>
      </c>
      <c r="P5" s="2" t="s">
        <v>10</v>
      </c>
      <c r="Q5" s="2" t="str">
        <f t="shared" si="2"/>
        <v/>
      </c>
    </row>
    <row r="6" spans="1:18" x14ac:dyDescent="0.25">
      <c r="B6" s="1" t="str">
        <f t="shared" si="3"/>
        <v>@case_width-path_narrow-z16-(def)</v>
      </c>
      <c r="C6" s="5" t="str">
        <f t="shared" si="4"/>
        <v>3.5</v>
      </c>
      <c r="D6" s="7" t="s">
        <v>82</v>
      </c>
      <c r="F6" s="2" t="s">
        <v>78</v>
      </c>
      <c r="G6" s="2" t="str">
        <f t="shared" si="5"/>
        <v>-</v>
      </c>
      <c r="H6" s="2" t="s">
        <v>71</v>
      </c>
      <c r="I6" s="2" t="str">
        <f t="shared" si="6"/>
        <v>_</v>
      </c>
      <c r="J6" s="2" t="s">
        <v>72</v>
      </c>
      <c r="K6" s="2" t="str">
        <f t="shared" si="1"/>
        <v/>
      </c>
      <c r="M6" s="2" t="str">
        <f t="shared" si="2"/>
        <v>-</v>
      </c>
      <c r="N6" s="2" t="s">
        <v>75</v>
      </c>
      <c r="O6" s="2" t="str">
        <f t="shared" si="2"/>
        <v>-</v>
      </c>
      <c r="P6" s="2" t="s">
        <v>10</v>
      </c>
      <c r="Q6" s="2" t="str">
        <f t="shared" si="2"/>
        <v/>
      </c>
    </row>
    <row r="7" spans="1:18" x14ac:dyDescent="0.25">
      <c r="B7" s="1" t="str">
        <f t="shared" si="3"/>
        <v>@case_width-path_narrow-z18-(def)</v>
      </c>
      <c r="C7" s="5" t="str">
        <f t="shared" si="4"/>
        <v>5.0</v>
      </c>
      <c r="D7" s="7" t="s">
        <v>83</v>
      </c>
      <c r="F7" s="2" t="s">
        <v>78</v>
      </c>
      <c r="G7" s="2" t="str">
        <f t="shared" ref="G7:G19" si="7">IF(NOT(ISBLANK(H7)),"-","")</f>
        <v>-</v>
      </c>
      <c r="H7" s="2" t="s">
        <v>71</v>
      </c>
      <c r="I7" s="2" t="str">
        <f t="shared" si="6"/>
        <v>_</v>
      </c>
      <c r="J7" s="2" t="s">
        <v>72</v>
      </c>
      <c r="K7" s="2" t="str">
        <f t="shared" si="1"/>
        <v/>
      </c>
      <c r="M7" s="2" t="str">
        <f t="shared" si="2"/>
        <v>-</v>
      </c>
      <c r="N7" s="2" t="s">
        <v>76</v>
      </c>
      <c r="O7" s="2" t="str">
        <f t="shared" si="2"/>
        <v>-</v>
      </c>
      <c r="P7" s="2" t="s">
        <v>10</v>
      </c>
      <c r="Q7" s="2" t="str">
        <f t="shared" si="2"/>
        <v/>
      </c>
    </row>
    <row r="8" spans="1:18" x14ac:dyDescent="0.25">
      <c r="B8" s="1" t="str">
        <f t="shared" ref="B8:B15" si="8">_xlfn.CONCAT("@",F8,G8,H8,I8,J8,K8,L8,M8,N8,O8,"(",P8,Q8,R8,")")</f>
        <v>@case_width-path_medium-z11-(def)</v>
      </c>
      <c r="C8" s="5" t="str">
        <f t="shared" si="4"/>
        <v>1.5</v>
      </c>
      <c r="D8" s="7" t="s">
        <v>84</v>
      </c>
      <c r="F8" s="2" t="s">
        <v>78</v>
      </c>
      <c r="G8" s="2" t="str">
        <f t="shared" si="7"/>
        <v>-</v>
      </c>
      <c r="H8" s="2" t="s">
        <v>71</v>
      </c>
      <c r="I8" s="2" t="str">
        <f t="shared" si="6"/>
        <v>_</v>
      </c>
      <c r="J8" s="2" t="s">
        <v>79</v>
      </c>
      <c r="K8" s="2" t="str">
        <f t="shared" si="1"/>
        <v/>
      </c>
      <c r="M8" s="2" t="str">
        <f t="shared" si="2"/>
        <v>-</v>
      </c>
      <c r="N8" s="2" t="s">
        <v>70</v>
      </c>
      <c r="O8" s="2" t="str">
        <f t="shared" si="2"/>
        <v>-</v>
      </c>
      <c r="P8" s="2" t="s">
        <v>10</v>
      </c>
    </row>
    <row r="9" spans="1:18" x14ac:dyDescent="0.25">
      <c r="B9" s="1" t="str">
        <f t="shared" si="8"/>
        <v>@case_width-path_medium-z14-(def)</v>
      </c>
      <c r="C9" s="5" t="str">
        <f t="shared" si="4"/>
        <v>2.0</v>
      </c>
      <c r="D9" s="7" t="s">
        <v>85</v>
      </c>
      <c r="F9" s="2" t="s">
        <v>78</v>
      </c>
      <c r="G9" s="2" t="str">
        <f t="shared" si="7"/>
        <v>-</v>
      </c>
      <c r="H9" s="2" t="s">
        <v>71</v>
      </c>
      <c r="I9" s="2" t="str">
        <f t="shared" si="6"/>
        <v>_</v>
      </c>
      <c r="J9" s="2" t="s">
        <v>79</v>
      </c>
      <c r="K9" s="2" t="str">
        <f t="shared" si="1"/>
        <v/>
      </c>
      <c r="M9" s="2" t="str">
        <f t="shared" si="2"/>
        <v>-</v>
      </c>
      <c r="N9" s="2" t="s">
        <v>74</v>
      </c>
      <c r="O9" s="2" t="str">
        <f t="shared" si="2"/>
        <v>-</v>
      </c>
      <c r="P9" s="2" t="s">
        <v>10</v>
      </c>
    </row>
    <row r="10" spans="1:18" x14ac:dyDescent="0.25">
      <c r="B10" s="1" t="str">
        <f t="shared" si="8"/>
        <v>@case_width-path_medium-z16-(def)</v>
      </c>
      <c r="C10" s="5" t="str">
        <f t="shared" si="4"/>
        <v>6.0</v>
      </c>
      <c r="D10" s="7" t="s">
        <v>86</v>
      </c>
      <c r="F10" s="2" t="s">
        <v>78</v>
      </c>
      <c r="G10" s="2" t="str">
        <f t="shared" si="7"/>
        <v>-</v>
      </c>
      <c r="H10" s="2" t="s">
        <v>71</v>
      </c>
      <c r="I10" s="2" t="str">
        <f t="shared" si="6"/>
        <v>_</v>
      </c>
      <c r="J10" s="2" t="s">
        <v>79</v>
      </c>
      <c r="K10" s="2" t="str">
        <f t="shared" si="1"/>
        <v/>
      </c>
      <c r="M10" s="2" t="str">
        <f t="shared" si="2"/>
        <v>-</v>
      </c>
      <c r="N10" s="2" t="s">
        <v>75</v>
      </c>
      <c r="O10" s="2" t="str">
        <f t="shared" si="2"/>
        <v>-</v>
      </c>
      <c r="P10" s="2" t="s">
        <v>10</v>
      </c>
    </row>
    <row r="11" spans="1:18" x14ac:dyDescent="0.25">
      <c r="B11" s="1" t="str">
        <f t="shared" si="8"/>
        <v>@case_width-path_medium-z18-(def)</v>
      </c>
      <c r="C11" s="5" t="str">
        <f t="shared" si="4"/>
        <v>9.0</v>
      </c>
      <c r="D11" s="7" t="s">
        <v>87</v>
      </c>
      <c r="F11" s="2" t="s">
        <v>78</v>
      </c>
      <c r="G11" s="2" t="str">
        <f t="shared" si="7"/>
        <v>-</v>
      </c>
      <c r="H11" s="2" t="s">
        <v>71</v>
      </c>
      <c r="I11" s="2" t="str">
        <f t="shared" si="6"/>
        <v>_</v>
      </c>
      <c r="J11" s="2" t="s">
        <v>79</v>
      </c>
      <c r="K11" s="2" t="str">
        <f t="shared" si="1"/>
        <v/>
      </c>
      <c r="M11" s="2" t="str">
        <f t="shared" si="2"/>
        <v>-</v>
      </c>
      <c r="N11" s="2" t="s">
        <v>76</v>
      </c>
      <c r="O11" s="2" t="str">
        <f t="shared" si="2"/>
        <v>-</v>
      </c>
      <c r="P11" s="2" t="s">
        <v>10</v>
      </c>
    </row>
    <row r="12" spans="1:18" x14ac:dyDescent="0.25">
      <c r="B12" s="1" t="str">
        <f t="shared" si="8"/>
        <v>@case_width-path_wide-z11-(def)</v>
      </c>
      <c r="C12" s="5" t="str">
        <f t="shared" si="4"/>
        <v>2.0</v>
      </c>
      <c r="D12" s="7" t="s">
        <v>85</v>
      </c>
      <c r="F12" s="2" t="s">
        <v>78</v>
      </c>
      <c r="G12" s="2" t="str">
        <f t="shared" si="7"/>
        <v>-</v>
      </c>
      <c r="H12" s="2" t="s">
        <v>71</v>
      </c>
      <c r="I12" s="2" t="str">
        <f t="shared" si="6"/>
        <v>_</v>
      </c>
      <c r="J12" s="2" t="s">
        <v>77</v>
      </c>
      <c r="K12" s="2" t="str">
        <f t="shared" si="1"/>
        <v/>
      </c>
      <c r="M12" s="2" t="str">
        <f t="shared" si="2"/>
        <v>-</v>
      </c>
      <c r="N12" s="2" t="s">
        <v>70</v>
      </c>
      <c r="O12" s="2" t="str">
        <f t="shared" si="2"/>
        <v>-</v>
      </c>
      <c r="P12" s="2" t="s">
        <v>10</v>
      </c>
    </row>
    <row r="13" spans="1:18" x14ac:dyDescent="0.25">
      <c r="B13" s="1" t="str">
        <f t="shared" si="8"/>
        <v>@case_width-path_wide-z14-(def)</v>
      </c>
      <c r="C13" s="5" t="str">
        <f t="shared" si="4"/>
        <v>3.0</v>
      </c>
      <c r="D13" s="7" t="s">
        <v>88</v>
      </c>
      <c r="F13" s="2" t="s">
        <v>78</v>
      </c>
      <c r="G13" s="2" t="str">
        <f t="shared" si="7"/>
        <v>-</v>
      </c>
      <c r="H13" s="2" t="s">
        <v>71</v>
      </c>
      <c r="I13" s="2" t="str">
        <f t="shared" si="6"/>
        <v>_</v>
      </c>
      <c r="J13" s="2" t="s">
        <v>77</v>
      </c>
      <c r="K13" s="2" t="str">
        <f t="shared" si="1"/>
        <v/>
      </c>
      <c r="M13" s="2" t="str">
        <f t="shared" si="2"/>
        <v>-</v>
      </c>
      <c r="N13" s="2" t="s">
        <v>74</v>
      </c>
      <c r="O13" s="2" t="str">
        <f t="shared" si="2"/>
        <v>-</v>
      </c>
      <c r="P13" s="2" t="s">
        <v>10</v>
      </c>
    </row>
    <row r="14" spans="1:18" x14ac:dyDescent="0.25">
      <c r="B14" s="1" t="str">
        <f t="shared" si="8"/>
        <v>@case_width-path_wide-z16-(def)</v>
      </c>
      <c r="C14" s="5" t="str">
        <f t="shared" si="4"/>
        <v>9.0</v>
      </c>
      <c r="D14" s="7" t="s">
        <v>87</v>
      </c>
      <c r="F14" s="2" t="s">
        <v>78</v>
      </c>
      <c r="G14" s="2" t="str">
        <f t="shared" si="7"/>
        <v>-</v>
      </c>
      <c r="H14" s="2" t="s">
        <v>71</v>
      </c>
      <c r="I14" s="2" t="str">
        <f t="shared" si="6"/>
        <v>_</v>
      </c>
      <c r="J14" s="2" t="s">
        <v>77</v>
      </c>
      <c r="K14" s="2" t="str">
        <f t="shared" si="1"/>
        <v/>
      </c>
      <c r="M14" s="2" t="str">
        <f t="shared" si="2"/>
        <v>-</v>
      </c>
      <c r="N14" s="2" t="s">
        <v>75</v>
      </c>
      <c r="O14" s="2" t="str">
        <f t="shared" si="2"/>
        <v>-</v>
      </c>
      <c r="P14" s="2" t="s">
        <v>10</v>
      </c>
    </row>
    <row r="15" spans="1:18" x14ac:dyDescent="0.25">
      <c r="B15" s="1" t="str">
        <f t="shared" si="8"/>
        <v>@case_width-path_wide-z18-(def)</v>
      </c>
      <c r="C15" s="5" t="str">
        <f t="shared" si="4"/>
        <v>15.0</v>
      </c>
      <c r="D15" s="7" t="s">
        <v>89</v>
      </c>
      <c r="F15" s="2" t="s">
        <v>78</v>
      </c>
      <c r="G15" s="2" t="str">
        <f t="shared" si="7"/>
        <v>-</v>
      </c>
      <c r="H15" s="2" t="s">
        <v>71</v>
      </c>
      <c r="I15" s="2" t="str">
        <f t="shared" si="6"/>
        <v>_</v>
      </c>
      <c r="J15" s="2" t="s">
        <v>77</v>
      </c>
      <c r="K15" s="2" t="str">
        <f t="shared" si="1"/>
        <v/>
      </c>
      <c r="M15" s="2" t="str">
        <f t="shared" si="2"/>
        <v>-</v>
      </c>
      <c r="N15" s="2" t="s">
        <v>76</v>
      </c>
      <c r="O15" s="2" t="str">
        <f t="shared" si="2"/>
        <v>-</v>
      </c>
      <c r="P15" s="2" t="s">
        <v>10</v>
      </c>
    </row>
    <row r="16" spans="1:18" x14ac:dyDescent="0.25">
      <c r="B16" s="1"/>
      <c r="C16" s="5"/>
    </row>
    <row r="17" spans="2:18" x14ac:dyDescent="0.25">
      <c r="B17" s="1" t="str">
        <f>_xlfn.CONCAT("@",F17,G17,H17,I17,J17,K17,L17,M17,N17,O17,"(",P17,Q17,R17,")")</f>
        <v>@case_width-path_narrow-z11-(def-hc)</v>
      </c>
      <c r="C17" s="5" t="str">
        <f>D17</f>
        <v>2.0</v>
      </c>
      <c r="D17" s="7" t="s">
        <v>85</v>
      </c>
      <c r="F17" s="2" t="s">
        <v>78</v>
      </c>
      <c r="G17" s="2" t="str">
        <f t="shared" si="7"/>
        <v>-</v>
      </c>
      <c r="H17" s="2" t="s">
        <v>71</v>
      </c>
      <c r="I17" s="2" t="str">
        <f t="shared" si="6"/>
        <v>_</v>
      </c>
      <c r="J17" s="2" t="s">
        <v>72</v>
      </c>
      <c r="K17" s="2" t="str">
        <f t="shared" si="1"/>
        <v/>
      </c>
      <c r="M17" s="2" t="str">
        <f t="shared" ref="M17:M28" si="9">IF(NOT(ISBLANK(N17)),"-","")</f>
        <v>-</v>
      </c>
      <c r="N17" s="2" t="s">
        <v>70</v>
      </c>
      <c r="O17" s="2" t="str">
        <f t="shared" ref="O17:O28" si="10">IF(NOT(ISBLANK(P17)),"-","")</f>
        <v>-</v>
      </c>
      <c r="P17" s="2" t="s">
        <v>10</v>
      </c>
      <c r="Q17" s="2" t="str">
        <f t="shared" ref="Q17:Q28" si="11">IF(NOT(ISBLANK(R17)),"-","")</f>
        <v>-</v>
      </c>
      <c r="R17" s="2" t="s">
        <v>11</v>
      </c>
    </row>
    <row r="18" spans="2:18" x14ac:dyDescent="0.25">
      <c r="B18" s="1" t="str">
        <f t="shared" ref="B18:B28" si="12">_xlfn.CONCAT("@",F18,G18,H18,I18,J18,K18,L18,M18,N18,O18,"(",P18,Q18,R18,")")</f>
        <v>@case_width-path_narrow-z14-(def-hc)</v>
      </c>
      <c r="C18" s="5" t="str">
        <f t="shared" si="4"/>
        <v>2.5</v>
      </c>
      <c r="D18" s="7" t="s">
        <v>90</v>
      </c>
      <c r="F18" s="2" t="s">
        <v>78</v>
      </c>
      <c r="G18" s="2" t="str">
        <f t="shared" si="7"/>
        <v>-</v>
      </c>
      <c r="H18" s="2" t="s">
        <v>71</v>
      </c>
      <c r="I18" s="2" t="str">
        <f t="shared" si="6"/>
        <v>_</v>
      </c>
      <c r="J18" s="2" t="s">
        <v>72</v>
      </c>
      <c r="K18" s="2" t="str">
        <f t="shared" si="1"/>
        <v/>
      </c>
      <c r="M18" s="2" t="str">
        <f t="shared" si="9"/>
        <v>-</v>
      </c>
      <c r="N18" s="2" t="s">
        <v>74</v>
      </c>
      <c r="O18" s="2" t="str">
        <f t="shared" si="10"/>
        <v>-</v>
      </c>
      <c r="P18" s="2" t="s">
        <v>10</v>
      </c>
      <c r="Q18" s="2" t="str">
        <f t="shared" si="11"/>
        <v>-</v>
      </c>
      <c r="R18" s="2" t="s">
        <v>11</v>
      </c>
    </row>
    <row r="19" spans="2:18" x14ac:dyDescent="0.25">
      <c r="B19" s="1" t="str">
        <f t="shared" si="12"/>
        <v>@case_width-path_narrow-z16-(def-hc)</v>
      </c>
      <c r="C19" s="5" t="str">
        <f t="shared" si="4"/>
        <v>3.0</v>
      </c>
      <c r="D19" s="7" t="s">
        <v>88</v>
      </c>
      <c r="F19" s="2" t="s">
        <v>78</v>
      </c>
      <c r="G19" s="2" t="str">
        <f t="shared" si="7"/>
        <v>-</v>
      </c>
      <c r="H19" s="2" t="s">
        <v>71</v>
      </c>
      <c r="I19" s="2" t="str">
        <f t="shared" si="6"/>
        <v>_</v>
      </c>
      <c r="J19" s="2" t="s">
        <v>72</v>
      </c>
      <c r="K19" s="2" t="str">
        <f t="shared" si="1"/>
        <v/>
      </c>
      <c r="M19" s="2" t="str">
        <f t="shared" si="9"/>
        <v>-</v>
      </c>
      <c r="N19" s="2" t="s">
        <v>75</v>
      </c>
      <c r="O19" s="2" t="str">
        <f t="shared" si="10"/>
        <v>-</v>
      </c>
      <c r="P19" s="2" t="s">
        <v>10</v>
      </c>
      <c r="Q19" s="2" t="str">
        <f t="shared" si="11"/>
        <v>-</v>
      </c>
      <c r="R19" s="2" t="s">
        <v>11</v>
      </c>
    </row>
    <row r="20" spans="2:18" x14ac:dyDescent="0.25">
      <c r="B20" s="1" t="str">
        <f t="shared" si="12"/>
        <v>@case_width-path_narrow-z18-(def-hc)</v>
      </c>
      <c r="C20" s="5" t="str">
        <f t="shared" si="4"/>
        <v>7.5</v>
      </c>
      <c r="D20" s="7" t="s">
        <v>91</v>
      </c>
      <c r="F20" s="2" t="s">
        <v>78</v>
      </c>
      <c r="G20" s="2" t="str">
        <f t="shared" ref="G20:G28" si="13">IF(NOT(ISBLANK(H20)),"-","")</f>
        <v>-</v>
      </c>
      <c r="H20" s="2" t="s">
        <v>71</v>
      </c>
      <c r="I20" s="2" t="str">
        <f t="shared" si="6"/>
        <v>_</v>
      </c>
      <c r="J20" s="2" t="s">
        <v>72</v>
      </c>
      <c r="K20" s="2" t="str">
        <f t="shared" si="1"/>
        <v/>
      </c>
      <c r="M20" s="2" t="str">
        <f t="shared" si="9"/>
        <v>-</v>
      </c>
      <c r="N20" s="2" t="s">
        <v>76</v>
      </c>
      <c r="O20" s="2" t="str">
        <f t="shared" si="10"/>
        <v>-</v>
      </c>
      <c r="P20" s="2" t="s">
        <v>10</v>
      </c>
      <c r="Q20" s="2" t="str">
        <f t="shared" si="11"/>
        <v>-</v>
      </c>
      <c r="R20" s="2" t="s">
        <v>11</v>
      </c>
    </row>
    <row r="21" spans="2:18" x14ac:dyDescent="0.25">
      <c r="B21" s="1" t="str">
        <f t="shared" si="12"/>
        <v>@case_width-path_medium-z11-(def-hc)</v>
      </c>
      <c r="C21" s="5" t="str">
        <f t="shared" si="4"/>
        <v>3.0</v>
      </c>
      <c r="D21" s="7" t="s">
        <v>88</v>
      </c>
      <c r="F21" s="2" t="s">
        <v>78</v>
      </c>
      <c r="G21" s="2" t="str">
        <f t="shared" si="13"/>
        <v>-</v>
      </c>
      <c r="H21" s="2" t="s">
        <v>71</v>
      </c>
      <c r="I21" s="2" t="str">
        <f t="shared" si="6"/>
        <v>_</v>
      </c>
      <c r="J21" s="2" t="s">
        <v>79</v>
      </c>
      <c r="K21" s="2" t="str">
        <f t="shared" si="1"/>
        <v/>
      </c>
      <c r="M21" s="2" t="str">
        <f t="shared" si="9"/>
        <v>-</v>
      </c>
      <c r="N21" s="2" t="s">
        <v>70</v>
      </c>
      <c r="O21" s="2" t="str">
        <f t="shared" si="10"/>
        <v>-</v>
      </c>
      <c r="P21" s="2" t="s">
        <v>10</v>
      </c>
      <c r="Q21" s="2" t="str">
        <f t="shared" si="11"/>
        <v>-</v>
      </c>
      <c r="R21" s="2" t="s">
        <v>11</v>
      </c>
    </row>
    <row r="22" spans="2:18" x14ac:dyDescent="0.25">
      <c r="B22" s="1" t="str">
        <f t="shared" si="12"/>
        <v>@case_width-path_medium-z14-(def-hc)</v>
      </c>
      <c r="C22" s="5" t="str">
        <f t="shared" si="4"/>
        <v>4.0</v>
      </c>
      <c r="D22" s="7" t="s">
        <v>92</v>
      </c>
      <c r="F22" s="2" t="s">
        <v>78</v>
      </c>
      <c r="G22" s="2" t="str">
        <f t="shared" si="13"/>
        <v>-</v>
      </c>
      <c r="H22" s="2" t="s">
        <v>71</v>
      </c>
      <c r="I22" s="2" t="str">
        <f t="shared" si="6"/>
        <v>_</v>
      </c>
      <c r="J22" s="2" t="s">
        <v>79</v>
      </c>
      <c r="K22" s="2" t="str">
        <f t="shared" si="1"/>
        <v/>
      </c>
      <c r="M22" s="2" t="str">
        <f t="shared" si="9"/>
        <v>-</v>
      </c>
      <c r="N22" s="2" t="s">
        <v>74</v>
      </c>
      <c r="O22" s="2" t="str">
        <f t="shared" si="10"/>
        <v>-</v>
      </c>
      <c r="P22" s="2" t="s">
        <v>10</v>
      </c>
      <c r="Q22" s="2" t="str">
        <f t="shared" si="11"/>
        <v>-</v>
      </c>
      <c r="R22" s="2" t="s">
        <v>11</v>
      </c>
    </row>
    <row r="23" spans="2:18" x14ac:dyDescent="0.25">
      <c r="B23" s="1" t="str">
        <f t="shared" si="12"/>
        <v>@case_width-path_medium-z16-(def-hc)</v>
      </c>
      <c r="C23" s="5" t="str">
        <f t="shared" si="4"/>
        <v>6.0</v>
      </c>
      <c r="D23" s="7" t="s">
        <v>86</v>
      </c>
      <c r="F23" s="2" t="s">
        <v>78</v>
      </c>
      <c r="G23" s="2" t="str">
        <f t="shared" si="13"/>
        <v>-</v>
      </c>
      <c r="H23" s="2" t="s">
        <v>71</v>
      </c>
      <c r="I23" s="2" t="str">
        <f t="shared" si="6"/>
        <v>_</v>
      </c>
      <c r="J23" s="2" t="s">
        <v>79</v>
      </c>
      <c r="K23" s="2" t="str">
        <f t="shared" si="1"/>
        <v/>
      </c>
      <c r="M23" s="2" t="str">
        <f t="shared" si="9"/>
        <v>-</v>
      </c>
      <c r="N23" s="2" t="s">
        <v>75</v>
      </c>
      <c r="O23" s="2" t="str">
        <f t="shared" si="10"/>
        <v>-</v>
      </c>
      <c r="P23" s="2" t="s">
        <v>10</v>
      </c>
      <c r="Q23" s="2" t="str">
        <f t="shared" si="11"/>
        <v>-</v>
      </c>
      <c r="R23" s="2" t="s">
        <v>11</v>
      </c>
    </row>
    <row r="24" spans="2:18" x14ac:dyDescent="0.25">
      <c r="B24" s="1" t="str">
        <f t="shared" si="12"/>
        <v>@case_width-path_medium-z18-(def-hc)</v>
      </c>
      <c r="C24" s="5" t="str">
        <f t="shared" si="4"/>
        <v>13.5</v>
      </c>
      <c r="D24" s="7" t="s">
        <v>93</v>
      </c>
      <c r="F24" s="2" t="s">
        <v>78</v>
      </c>
      <c r="G24" s="2" t="str">
        <f t="shared" si="13"/>
        <v>-</v>
      </c>
      <c r="H24" s="2" t="s">
        <v>71</v>
      </c>
      <c r="I24" s="2" t="str">
        <f t="shared" si="6"/>
        <v>_</v>
      </c>
      <c r="J24" s="2" t="s">
        <v>79</v>
      </c>
      <c r="K24" s="2" t="str">
        <f t="shared" si="1"/>
        <v/>
      </c>
      <c r="M24" s="2" t="str">
        <f t="shared" si="9"/>
        <v>-</v>
      </c>
      <c r="N24" s="2" t="s">
        <v>76</v>
      </c>
      <c r="O24" s="2" t="str">
        <f t="shared" si="10"/>
        <v>-</v>
      </c>
      <c r="P24" s="2" t="s">
        <v>10</v>
      </c>
      <c r="Q24" s="2" t="str">
        <f t="shared" si="11"/>
        <v>-</v>
      </c>
      <c r="R24" s="2" t="s">
        <v>11</v>
      </c>
    </row>
    <row r="25" spans="2:18" x14ac:dyDescent="0.25">
      <c r="B25" s="1" t="str">
        <f t="shared" si="12"/>
        <v>@case_width-path_wide-z11-(def-hc)</v>
      </c>
      <c r="C25" s="5" t="str">
        <f t="shared" si="4"/>
        <v>4.0</v>
      </c>
      <c r="D25" s="7" t="s">
        <v>92</v>
      </c>
      <c r="F25" s="2" t="s">
        <v>78</v>
      </c>
      <c r="G25" s="2" t="str">
        <f t="shared" si="13"/>
        <v>-</v>
      </c>
      <c r="H25" s="2" t="s">
        <v>71</v>
      </c>
      <c r="I25" s="2" t="str">
        <f t="shared" si="6"/>
        <v>_</v>
      </c>
      <c r="J25" s="2" t="s">
        <v>77</v>
      </c>
      <c r="K25" s="2" t="str">
        <f t="shared" si="1"/>
        <v/>
      </c>
      <c r="M25" s="2" t="str">
        <f t="shared" si="9"/>
        <v>-</v>
      </c>
      <c r="N25" s="2" t="s">
        <v>70</v>
      </c>
      <c r="O25" s="2" t="str">
        <f t="shared" si="10"/>
        <v>-</v>
      </c>
      <c r="P25" s="2" t="s">
        <v>10</v>
      </c>
      <c r="Q25" s="2" t="str">
        <f t="shared" si="11"/>
        <v>-</v>
      </c>
      <c r="R25" s="2" t="s">
        <v>11</v>
      </c>
    </row>
    <row r="26" spans="2:18" x14ac:dyDescent="0.25">
      <c r="B26" s="1" t="str">
        <f t="shared" si="12"/>
        <v>@case_width-path_wide-z14-(def-hc)</v>
      </c>
      <c r="C26" s="5" t="str">
        <f t="shared" si="4"/>
        <v>6.0</v>
      </c>
      <c r="D26" s="7" t="s">
        <v>86</v>
      </c>
      <c r="F26" s="2" t="s">
        <v>78</v>
      </c>
      <c r="G26" s="2" t="str">
        <f t="shared" si="13"/>
        <v>-</v>
      </c>
      <c r="H26" s="2" t="s">
        <v>71</v>
      </c>
      <c r="I26" s="2" t="str">
        <f t="shared" si="6"/>
        <v>_</v>
      </c>
      <c r="J26" s="2" t="s">
        <v>77</v>
      </c>
      <c r="K26" s="2" t="str">
        <f t="shared" si="1"/>
        <v/>
      </c>
      <c r="M26" s="2" t="str">
        <f t="shared" si="9"/>
        <v>-</v>
      </c>
      <c r="N26" s="2" t="s">
        <v>74</v>
      </c>
      <c r="O26" s="2" t="str">
        <f t="shared" si="10"/>
        <v>-</v>
      </c>
      <c r="P26" s="2" t="s">
        <v>10</v>
      </c>
      <c r="Q26" s="2" t="str">
        <f t="shared" si="11"/>
        <v>-</v>
      </c>
      <c r="R26" s="2" t="s">
        <v>11</v>
      </c>
    </row>
    <row r="27" spans="2:18" x14ac:dyDescent="0.25">
      <c r="B27" s="1" t="str">
        <f t="shared" si="12"/>
        <v>@case_width-path_wide-z16-(def-hc)</v>
      </c>
      <c r="C27" s="5" t="str">
        <f t="shared" si="4"/>
        <v>9.0</v>
      </c>
      <c r="D27" s="7" t="s">
        <v>87</v>
      </c>
      <c r="F27" s="2" t="s">
        <v>78</v>
      </c>
      <c r="G27" s="2" t="str">
        <f t="shared" si="13"/>
        <v>-</v>
      </c>
      <c r="H27" s="2" t="s">
        <v>71</v>
      </c>
      <c r="I27" s="2" t="str">
        <f t="shared" si="6"/>
        <v>_</v>
      </c>
      <c r="J27" s="2" t="s">
        <v>77</v>
      </c>
      <c r="K27" s="2" t="str">
        <f t="shared" si="1"/>
        <v/>
      </c>
      <c r="M27" s="2" t="str">
        <f t="shared" si="9"/>
        <v>-</v>
      </c>
      <c r="N27" s="2" t="s">
        <v>75</v>
      </c>
      <c r="O27" s="2" t="str">
        <f t="shared" si="10"/>
        <v>-</v>
      </c>
      <c r="P27" s="2" t="s">
        <v>10</v>
      </c>
      <c r="Q27" s="2" t="str">
        <f t="shared" si="11"/>
        <v>-</v>
      </c>
      <c r="R27" s="2" t="s">
        <v>11</v>
      </c>
    </row>
    <row r="28" spans="2:18" x14ac:dyDescent="0.25">
      <c r="B28" s="1" t="str">
        <f t="shared" si="12"/>
        <v>@case_width-path_wide-z18-(def-hc)</v>
      </c>
      <c r="C28" s="5" t="str">
        <f t="shared" si="4"/>
        <v>22.5</v>
      </c>
      <c r="D28" s="7" t="s">
        <v>94</v>
      </c>
      <c r="F28" s="2" t="s">
        <v>78</v>
      </c>
      <c r="G28" s="2" t="str">
        <f t="shared" si="13"/>
        <v>-</v>
      </c>
      <c r="H28" s="2" t="s">
        <v>71</v>
      </c>
      <c r="I28" s="2" t="str">
        <f t="shared" si="6"/>
        <v>_</v>
      </c>
      <c r="J28" s="2" t="s">
        <v>77</v>
      </c>
      <c r="K28" s="2" t="str">
        <f t="shared" si="1"/>
        <v/>
      </c>
      <c r="M28" s="2" t="str">
        <f t="shared" si="9"/>
        <v>-</v>
      </c>
      <c r="N28" s="2" t="s">
        <v>76</v>
      </c>
      <c r="O28" s="2" t="str">
        <f t="shared" si="10"/>
        <v>-</v>
      </c>
      <c r="P28" s="2" t="s">
        <v>10</v>
      </c>
      <c r="Q28" s="2" t="str">
        <f t="shared" si="11"/>
        <v>-</v>
      </c>
      <c r="R28" s="2" t="s">
        <v>11</v>
      </c>
    </row>
    <row r="30" spans="2:18" x14ac:dyDescent="0.25">
      <c r="B30" s="1" t="str">
        <f>_xlfn.CONCAT("@",F30,G30,H30,I30,J30,K30,L30,M30,N30,O30,"(",P30,Q30,R30,")")</f>
        <v>@case_width-path_narrow-z11-(gr)</v>
      </c>
      <c r="C30" s="5" t="str">
        <f>D30</f>
        <v>0.5</v>
      </c>
      <c r="D30" s="7" t="s">
        <v>95</v>
      </c>
      <c r="F30" s="2" t="s">
        <v>78</v>
      </c>
      <c r="G30" s="2" t="str">
        <f t="shared" ref="G30:G41" si="14">IF(NOT(ISBLANK(H30)),"-","")</f>
        <v>-</v>
      </c>
      <c r="H30" s="2" t="s">
        <v>71</v>
      </c>
      <c r="I30" s="2" t="str">
        <f>IF(NOT(ISBLANK(J30)),"_","")</f>
        <v>_</v>
      </c>
      <c r="J30" s="2" t="s">
        <v>72</v>
      </c>
      <c r="K30" s="2" t="str">
        <f t="shared" si="1"/>
        <v/>
      </c>
      <c r="M30" s="2" t="str">
        <f t="shared" ref="M30:M41" si="15">IF(NOT(ISBLANK(N30)),"-","")</f>
        <v>-</v>
      </c>
      <c r="N30" s="2" t="s">
        <v>70</v>
      </c>
      <c r="O30" s="2" t="str">
        <f t="shared" ref="O30:O41" si="16">IF(NOT(ISBLANK(P30)),"-","")</f>
        <v>-</v>
      </c>
      <c r="P30" s="2" t="s">
        <v>22</v>
      </c>
      <c r="Q30" s="2" t="str">
        <f t="shared" ref="Q30:Q33" si="17">IF(NOT(ISBLANK(R30)),"-","")</f>
        <v/>
      </c>
    </row>
    <row r="31" spans="2:18" x14ac:dyDescent="0.25">
      <c r="B31" s="1" t="str">
        <f t="shared" ref="B31:B41" si="18">_xlfn.CONCAT("@",F31,G31,H31,I31,J31,K31,L31,M31,N31,O31,"(",P31,Q31,R31,")")</f>
        <v>@case_width-path_narrow-z14-(gr)</v>
      </c>
      <c r="C31" s="5" t="str">
        <f t="shared" ref="C31:C41" si="19">D31</f>
        <v>1.0</v>
      </c>
      <c r="D31" s="7" t="s">
        <v>80</v>
      </c>
      <c r="F31" s="2" t="s">
        <v>78</v>
      </c>
      <c r="G31" s="2" t="str">
        <f t="shared" si="14"/>
        <v>-</v>
      </c>
      <c r="H31" s="2" t="s">
        <v>71</v>
      </c>
      <c r="I31" s="2" t="str">
        <f t="shared" ref="I31:I41" si="20">IF(NOT(ISBLANK(J31)),"_","")</f>
        <v>_</v>
      </c>
      <c r="J31" s="2" t="s">
        <v>72</v>
      </c>
      <c r="K31" s="2" t="str">
        <f t="shared" si="1"/>
        <v/>
      </c>
      <c r="M31" s="2" t="str">
        <f t="shared" si="15"/>
        <v>-</v>
      </c>
      <c r="N31" s="2" t="s">
        <v>74</v>
      </c>
      <c r="O31" s="2" t="str">
        <f t="shared" si="16"/>
        <v>-</v>
      </c>
      <c r="P31" s="2" t="s">
        <v>22</v>
      </c>
      <c r="Q31" s="2" t="str">
        <f t="shared" si="17"/>
        <v/>
      </c>
    </row>
    <row r="32" spans="2:18" x14ac:dyDescent="0.25">
      <c r="B32" s="1" t="str">
        <f t="shared" si="18"/>
        <v>@case_width-path_narrow-z16-(gr)</v>
      </c>
      <c r="C32" s="5" t="str">
        <f t="shared" si="19"/>
        <v>1.0</v>
      </c>
      <c r="D32" s="7" t="s">
        <v>80</v>
      </c>
      <c r="F32" s="2" t="s">
        <v>78</v>
      </c>
      <c r="G32" s="2" t="str">
        <f t="shared" si="14"/>
        <v>-</v>
      </c>
      <c r="H32" s="2" t="s">
        <v>71</v>
      </c>
      <c r="I32" s="2" t="str">
        <f t="shared" si="20"/>
        <v>_</v>
      </c>
      <c r="J32" s="2" t="s">
        <v>72</v>
      </c>
      <c r="K32" s="2" t="str">
        <f t="shared" si="1"/>
        <v/>
      </c>
      <c r="M32" s="2" t="str">
        <f t="shared" si="15"/>
        <v>-</v>
      </c>
      <c r="N32" s="2" t="s">
        <v>75</v>
      </c>
      <c r="O32" s="2" t="str">
        <f t="shared" si="16"/>
        <v>-</v>
      </c>
      <c r="P32" s="2" t="s">
        <v>22</v>
      </c>
      <c r="Q32" s="2" t="str">
        <f t="shared" si="17"/>
        <v/>
      </c>
    </row>
    <row r="33" spans="1:18" x14ac:dyDescent="0.25">
      <c r="B33" s="1" t="str">
        <f t="shared" si="18"/>
        <v>@case_width-path_narrow-z18-(gr)</v>
      </c>
      <c r="C33" s="5" t="str">
        <f t="shared" si="19"/>
        <v>1.5</v>
      </c>
      <c r="D33" s="7" t="s">
        <v>84</v>
      </c>
      <c r="F33" s="2" t="s">
        <v>78</v>
      </c>
      <c r="G33" s="2" t="str">
        <f t="shared" si="14"/>
        <v>-</v>
      </c>
      <c r="H33" s="2" t="s">
        <v>71</v>
      </c>
      <c r="I33" s="2" t="str">
        <f t="shared" si="20"/>
        <v>_</v>
      </c>
      <c r="J33" s="2" t="s">
        <v>72</v>
      </c>
      <c r="K33" s="2" t="str">
        <f t="shared" si="1"/>
        <v/>
      </c>
      <c r="M33" s="2" t="str">
        <f t="shared" si="15"/>
        <v>-</v>
      </c>
      <c r="N33" s="2" t="s">
        <v>76</v>
      </c>
      <c r="O33" s="2" t="str">
        <f t="shared" si="16"/>
        <v>-</v>
      </c>
      <c r="P33" s="2" t="s">
        <v>22</v>
      </c>
      <c r="Q33" s="2" t="str">
        <f t="shared" si="17"/>
        <v/>
      </c>
    </row>
    <row r="34" spans="1:18" x14ac:dyDescent="0.25">
      <c r="B34" s="1" t="str">
        <f t="shared" si="18"/>
        <v>@case_width-path_medium-z11-(gr)</v>
      </c>
      <c r="C34" s="5" t="str">
        <f t="shared" si="19"/>
        <v>0.8</v>
      </c>
      <c r="D34" s="7" t="s">
        <v>96</v>
      </c>
      <c r="F34" s="2" t="s">
        <v>78</v>
      </c>
      <c r="G34" s="2" t="str">
        <f t="shared" si="14"/>
        <v>-</v>
      </c>
      <c r="H34" s="2" t="s">
        <v>71</v>
      </c>
      <c r="I34" s="2" t="str">
        <f t="shared" si="20"/>
        <v>_</v>
      </c>
      <c r="J34" s="2" t="s">
        <v>79</v>
      </c>
      <c r="K34" s="2" t="str">
        <f t="shared" si="1"/>
        <v/>
      </c>
      <c r="M34" s="2" t="str">
        <f t="shared" si="15"/>
        <v>-</v>
      </c>
      <c r="N34" s="2" t="s">
        <v>70</v>
      </c>
      <c r="O34" s="2" t="str">
        <f t="shared" si="16"/>
        <v>-</v>
      </c>
      <c r="P34" s="2" t="s">
        <v>22</v>
      </c>
    </row>
    <row r="35" spans="1:18" x14ac:dyDescent="0.25">
      <c r="B35" s="1" t="str">
        <f t="shared" si="18"/>
        <v>@case_width-path_medium-z14-(gr)</v>
      </c>
      <c r="C35" s="5" t="str">
        <f t="shared" si="19"/>
        <v>1.2</v>
      </c>
      <c r="D35" s="7" t="s">
        <v>97</v>
      </c>
      <c r="F35" s="2" t="s">
        <v>78</v>
      </c>
      <c r="G35" s="2" t="str">
        <f t="shared" si="14"/>
        <v>-</v>
      </c>
      <c r="H35" s="2" t="s">
        <v>71</v>
      </c>
      <c r="I35" s="2" t="str">
        <f t="shared" si="20"/>
        <v>_</v>
      </c>
      <c r="J35" s="2" t="s">
        <v>79</v>
      </c>
      <c r="K35" s="2" t="str">
        <f t="shared" si="1"/>
        <v/>
      </c>
      <c r="M35" s="2" t="str">
        <f t="shared" si="15"/>
        <v>-</v>
      </c>
      <c r="N35" s="2" t="s">
        <v>74</v>
      </c>
      <c r="O35" s="2" t="str">
        <f t="shared" si="16"/>
        <v>-</v>
      </c>
      <c r="P35" s="2" t="s">
        <v>22</v>
      </c>
    </row>
    <row r="36" spans="1:18" x14ac:dyDescent="0.25">
      <c r="B36" s="1" t="str">
        <f t="shared" si="18"/>
        <v>@case_width-path_medium-z16-(gr)</v>
      </c>
      <c r="C36" s="5" t="str">
        <f t="shared" si="19"/>
        <v>1.6</v>
      </c>
      <c r="D36" s="7" t="s">
        <v>98</v>
      </c>
      <c r="F36" s="2" t="s">
        <v>78</v>
      </c>
      <c r="G36" s="2" t="str">
        <f t="shared" si="14"/>
        <v>-</v>
      </c>
      <c r="H36" s="2" t="s">
        <v>71</v>
      </c>
      <c r="I36" s="2" t="str">
        <f t="shared" si="20"/>
        <v>_</v>
      </c>
      <c r="J36" s="2" t="s">
        <v>79</v>
      </c>
      <c r="K36" s="2" t="str">
        <f t="shared" si="1"/>
        <v/>
      </c>
      <c r="M36" s="2" t="str">
        <f t="shared" si="15"/>
        <v>-</v>
      </c>
      <c r="N36" s="2" t="s">
        <v>75</v>
      </c>
      <c r="O36" s="2" t="str">
        <f t="shared" si="16"/>
        <v>-</v>
      </c>
      <c r="P36" s="2" t="s">
        <v>22</v>
      </c>
    </row>
    <row r="37" spans="1:18" x14ac:dyDescent="0.25">
      <c r="B37" s="1" t="str">
        <f t="shared" si="18"/>
        <v>@case_width-path_medium-z18-(gr)</v>
      </c>
      <c r="C37" s="5" t="str">
        <f t="shared" si="19"/>
        <v>2.4</v>
      </c>
      <c r="D37" s="7" t="s">
        <v>99</v>
      </c>
      <c r="F37" s="2" t="s">
        <v>78</v>
      </c>
      <c r="G37" s="2" t="str">
        <f t="shared" si="14"/>
        <v>-</v>
      </c>
      <c r="H37" s="2" t="s">
        <v>71</v>
      </c>
      <c r="I37" s="2" t="str">
        <f t="shared" si="20"/>
        <v>_</v>
      </c>
      <c r="J37" s="2" t="s">
        <v>79</v>
      </c>
      <c r="K37" s="2" t="str">
        <f t="shared" si="1"/>
        <v/>
      </c>
      <c r="M37" s="2" t="str">
        <f t="shared" si="15"/>
        <v>-</v>
      </c>
      <c r="N37" s="2" t="s">
        <v>76</v>
      </c>
      <c r="O37" s="2" t="str">
        <f t="shared" si="16"/>
        <v>-</v>
      </c>
      <c r="P37" s="2" t="s">
        <v>22</v>
      </c>
    </row>
    <row r="38" spans="1:18" x14ac:dyDescent="0.25">
      <c r="B38" s="1" t="str">
        <f t="shared" si="18"/>
        <v>@case_width-path_wide-z11-(gr)</v>
      </c>
      <c r="C38" s="5" t="str">
        <f t="shared" si="19"/>
        <v>1.5</v>
      </c>
      <c r="D38" s="7" t="s">
        <v>84</v>
      </c>
      <c r="F38" s="2" t="s">
        <v>78</v>
      </c>
      <c r="G38" s="2" t="str">
        <f t="shared" si="14"/>
        <v>-</v>
      </c>
      <c r="H38" s="2" t="s">
        <v>71</v>
      </c>
      <c r="I38" s="2" t="str">
        <f t="shared" si="20"/>
        <v>_</v>
      </c>
      <c r="J38" s="2" t="s">
        <v>77</v>
      </c>
      <c r="K38" s="2" t="str">
        <f t="shared" si="1"/>
        <v/>
      </c>
      <c r="M38" s="2" t="str">
        <f t="shared" si="15"/>
        <v>-</v>
      </c>
      <c r="N38" s="2" t="s">
        <v>70</v>
      </c>
      <c r="O38" s="2" t="str">
        <f t="shared" si="16"/>
        <v>-</v>
      </c>
      <c r="P38" s="2" t="s">
        <v>22</v>
      </c>
    </row>
    <row r="39" spans="1:18" x14ac:dyDescent="0.25">
      <c r="B39" s="1" t="str">
        <f t="shared" si="18"/>
        <v>@case_width-path_wide-z14-(gr)</v>
      </c>
      <c r="C39" s="5" t="str">
        <f t="shared" si="19"/>
        <v>1.6</v>
      </c>
      <c r="D39" s="7" t="s">
        <v>98</v>
      </c>
      <c r="F39" s="2" t="s">
        <v>78</v>
      </c>
      <c r="G39" s="2" t="str">
        <f t="shared" si="14"/>
        <v>-</v>
      </c>
      <c r="H39" s="2" t="s">
        <v>71</v>
      </c>
      <c r="I39" s="2" t="str">
        <f t="shared" si="20"/>
        <v>_</v>
      </c>
      <c r="J39" s="2" t="s">
        <v>77</v>
      </c>
      <c r="K39" s="2" t="str">
        <f t="shared" si="1"/>
        <v/>
      </c>
      <c r="M39" s="2" t="str">
        <f t="shared" si="15"/>
        <v>-</v>
      </c>
      <c r="N39" s="2" t="s">
        <v>74</v>
      </c>
      <c r="O39" s="2" t="str">
        <f t="shared" si="16"/>
        <v>-</v>
      </c>
      <c r="P39" s="2" t="s">
        <v>22</v>
      </c>
    </row>
    <row r="40" spans="1:18" x14ac:dyDescent="0.25">
      <c r="B40" s="1" t="str">
        <f t="shared" si="18"/>
        <v>@case_width-path_wide-z16-(gr)</v>
      </c>
      <c r="C40" s="5" t="str">
        <f t="shared" si="19"/>
        <v>2.4</v>
      </c>
      <c r="D40" s="7" t="s">
        <v>99</v>
      </c>
      <c r="F40" s="2" t="s">
        <v>78</v>
      </c>
      <c r="G40" s="2" t="str">
        <f t="shared" si="14"/>
        <v>-</v>
      </c>
      <c r="H40" s="2" t="s">
        <v>71</v>
      </c>
      <c r="I40" s="2" t="str">
        <f t="shared" si="20"/>
        <v>_</v>
      </c>
      <c r="J40" s="2" t="s">
        <v>77</v>
      </c>
      <c r="K40" s="2" t="str">
        <f t="shared" si="1"/>
        <v/>
      </c>
      <c r="M40" s="2" t="str">
        <f t="shared" si="15"/>
        <v>-</v>
      </c>
      <c r="N40" s="2" t="s">
        <v>75</v>
      </c>
      <c r="O40" s="2" t="str">
        <f t="shared" si="16"/>
        <v>-</v>
      </c>
      <c r="P40" s="2" t="s">
        <v>22</v>
      </c>
    </row>
    <row r="41" spans="1:18" x14ac:dyDescent="0.25">
      <c r="B41" s="1" t="str">
        <f t="shared" si="18"/>
        <v>@case_width-path_wide-z18-(gr)</v>
      </c>
      <c r="C41" s="5" t="str">
        <f t="shared" si="19"/>
        <v>3.6</v>
      </c>
      <c r="D41" s="7" t="s">
        <v>100</v>
      </c>
      <c r="F41" s="2" t="s">
        <v>78</v>
      </c>
      <c r="G41" s="2" t="str">
        <f t="shared" si="14"/>
        <v>-</v>
      </c>
      <c r="H41" s="2" t="s">
        <v>71</v>
      </c>
      <c r="I41" s="2" t="str">
        <f t="shared" si="20"/>
        <v>_</v>
      </c>
      <c r="J41" s="2" t="s">
        <v>77</v>
      </c>
      <c r="K41" s="2" t="str">
        <f t="shared" si="1"/>
        <v/>
      </c>
      <c r="M41" s="2" t="str">
        <f t="shared" si="15"/>
        <v>-</v>
      </c>
      <c r="N41" s="2" t="s">
        <v>76</v>
      </c>
      <c r="O41" s="2" t="str">
        <f t="shared" si="16"/>
        <v>-</v>
      </c>
      <c r="P41" s="2" t="s">
        <v>22</v>
      </c>
    </row>
    <row r="43" spans="1:18" x14ac:dyDescent="0.25">
      <c r="A43" s="3" t="s">
        <v>101</v>
      </c>
      <c r="B43" s="3"/>
      <c r="C43" s="3"/>
      <c r="D43" s="6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</row>
    <row r="44" spans="1:18" x14ac:dyDescent="0.25">
      <c r="B44" s="1" t="str">
        <f>_xlfn.CONCAT("@",F44,G44,H44,I44,J44,K44,L44,M44,N44,O44,"(",P44,Q44,R44,")")</f>
        <v>@case_width-track-z10-(def)</v>
      </c>
      <c r="C44" s="5" t="str">
        <f>D44</f>
        <v>2.0</v>
      </c>
      <c r="D44" s="7" t="s">
        <v>85</v>
      </c>
      <c r="F44" s="2" t="s">
        <v>78</v>
      </c>
      <c r="G44" s="2" t="str">
        <f t="shared" ref="G44" si="21">IF(NOT(ISBLANK(H44)),"-","")</f>
        <v>-</v>
      </c>
      <c r="H44" s="2" t="s">
        <v>102</v>
      </c>
      <c r="I44" s="2" t="str">
        <f>IF(NOT(ISBLANK(J44)),"_","")</f>
        <v/>
      </c>
      <c r="K44" s="2" t="str">
        <f t="shared" ref="K44:K60" si="22">IF(NOT(ISBLANK(L44)),"_","")</f>
        <v/>
      </c>
      <c r="M44" s="2" t="str">
        <f t="shared" ref="M44" si="23">IF(NOT(ISBLANK(N44)),"-","")</f>
        <v>-</v>
      </c>
      <c r="N44" s="2" t="s">
        <v>103</v>
      </c>
      <c r="O44" s="2" t="str">
        <f t="shared" ref="O44" si="24">IF(NOT(ISBLANK(P44)),"-","")</f>
        <v>-</v>
      </c>
      <c r="P44" s="2" t="s">
        <v>10</v>
      </c>
      <c r="Q44" s="2" t="str">
        <f t="shared" ref="Q44" si="25">IF(NOT(ISBLANK(R44)),"-","")</f>
        <v/>
      </c>
    </row>
    <row r="45" spans="1:18" x14ac:dyDescent="0.25">
      <c r="B45" s="1" t="str">
        <f>_xlfn.CONCAT("@",F45,G45,H45,I45,J45,K45,L45,M45,N45,O45,"(",P45,Q45,R45,")")</f>
        <v>@case_width-track-z11-(def)</v>
      </c>
      <c r="C45" s="5" t="str">
        <f>D45</f>
        <v>3.0</v>
      </c>
      <c r="D45" s="7" t="s">
        <v>88</v>
      </c>
      <c r="F45" s="2" t="s">
        <v>78</v>
      </c>
      <c r="G45" s="2" t="str">
        <f t="shared" ref="G45:G50" si="26">IF(NOT(ISBLANK(H45)),"-","")</f>
        <v>-</v>
      </c>
      <c r="H45" s="2" t="s">
        <v>102</v>
      </c>
      <c r="I45" s="2" t="str">
        <f>IF(NOT(ISBLANK(J45)),"_","")</f>
        <v/>
      </c>
      <c r="K45" s="2" t="str">
        <f t="shared" si="22"/>
        <v/>
      </c>
      <c r="M45" s="2" t="str">
        <f t="shared" ref="M45:M50" si="27">IF(NOT(ISBLANK(N45)),"-","")</f>
        <v>-</v>
      </c>
      <c r="N45" s="2" t="s">
        <v>70</v>
      </c>
      <c r="O45" s="2" t="str">
        <f t="shared" ref="O45:O50" si="28">IF(NOT(ISBLANK(P45)),"-","")</f>
        <v>-</v>
      </c>
      <c r="P45" s="2" t="s">
        <v>10</v>
      </c>
      <c r="Q45" s="2" t="str">
        <f t="shared" ref="Q45:Q50" si="29">IF(NOT(ISBLANK(R45)),"-","")</f>
        <v/>
      </c>
    </row>
    <row r="46" spans="1:18" x14ac:dyDescent="0.25">
      <c r="B46" s="1" t="str">
        <f t="shared" ref="B46:B48" si="30">_xlfn.CONCAT("@",F46,G46,H46,I46,J46,K46,L46,M46,N46,O46,"(",P46,Q46,R46,")")</f>
        <v>@case_width-track-z14-(def)</v>
      </c>
      <c r="C46" s="5" t="str">
        <f t="shared" ref="C46:C48" si="31">D46</f>
        <v>4.0</v>
      </c>
      <c r="D46" s="7" t="s">
        <v>92</v>
      </c>
      <c r="F46" s="2" t="s">
        <v>78</v>
      </c>
      <c r="G46" s="2" t="str">
        <f t="shared" si="26"/>
        <v>-</v>
      </c>
      <c r="H46" s="2" t="s">
        <v>102</v>
      </c>
      <c r="I46" s="2" t="str">
        <f t="shared" ref="I46:I48" si="32">IF(NOT(ISBLANK(J46)),"_","")</f>
        <v/>
      </c>
      <c r="K46" s="2" t="str">
        <f t="shared" si="22"/>
        <v/>
      </c>
      <c r="M46" s="2" t="str">
        <f t="shared" si="27"/>
        <v>-</v>
      </c>
      <c r="N46" s="2" t="s">
        <v>74</v>
      </c>
      <c r="O46" s="2" t="str">
        <f t="shared" si="28"/>
        <v>-</v>
      </c>
      <c r="P46" s="2" t="s">
        <v>10</v>
      </c>
      <c r="Q46" s="2" t="str">
        <f t="shared" si="29"/>
        <v/>
      </c>
    </row>
    <row r="47" spans="1:18" x14ac:dyDescent="0.25">
      <c r="B47" s="1" t="str">
        <f t="shared" si="30"/>
        <v>@case_width-track-z16-(def)</v>
      </c>
      <c r="C47" s="5" t="str">
        <f t="shared" si="31"/>
        <v>9.0</v>
      </c>
      <c r="D47" s="7" t="s">
        <v>87</v>
      </c>
      <c r="F47" s="2" t="s">
        <v>78</v>
      </c>
      <c r="G47" s="2" t="str">
        <f t="shared" si="26"/>
        <v>-</v>
      </c>
      <c r="H47" s="2" t="s">
        <v>102</v>
      </c>
      <c r="I47" s="2" t="str">
        <f t="shared" si="32"/>
        <v/>
      </c>
      <c r="K47" s="2" t="str">
        <f t="shared" si="22"/>
        <v/>
      </c>
      <c r="M47" s="2" t="str">
        <f t="shared" si="27"/>
        <v>-</v>
      </c>
      <c r="N47" s="2" t="s">
        <v>75</v>
      </c>
      <c r="O47" s="2" t="str">
        <f t="shared" si="28"/>
        <v>-</v>
      </c>
      <c r="P47" s="2" t="s">
        <v>10</v>
      </c>
      <c r="Q47" s="2" t="str">
        <f t="shared" si="29"/>
        <v/>
      </c>
    </row>
    <row r="48" spans="1:18" x14ac:dyDescent="0.25">
      <c r="B48" s="1" t="str">
        <f t="shared" si="30"/>
        <v>@case_width-track-z18-(def)</v>
      </c>
      <c r="C48" s="5" t="str">
        <f t="shared" si="31"/>
        <v>15.0</v>
      </c>
      <c r="D48" s="7" t="s">
        <v>89</v>
      </c>
      <c r="F48" s="2" t="s">
        <v>78</v>
      </c>
      <c r="G48" s="2" t="str">
        <f t="shared" si="26"/>
        <v>-</v>
      </c>
      <c r="H48" s="2" t="s">
        <v>102</v>
      </c>
      <c r="I48" s="2" t="str">
        <f t="shared" si="32"/>
        <v/>
      </c>
      <c r="K48" s="2" t="str">
        <f t="shared" si="22"/>
        <v/>
      </c>
      <c r="M48" s="2" t="str">
        <f t="shared" si="27"/>
        <v>-</v>
      </c>
      <c r="N48" s="2" t="s">
        <v>76</v>
      </c>
      <c r="O48" s="2" t="str">
        <f t="shared" si="28"/>
        <v>-</v>
      </c>
      <c r="P48" s="2" t="s">
        <v>10</v>
      </c>
      <c r="Q48" s="2" t="str">
        <f t="shared" si="29"/>
        <v/>
      </c>
    </row>
    <row r="49" spans="2:18" x14ac:dyDescent="0.25">
      <c r="B49" s="1"/>
      <c r="C49" s="5"/>
    </row>
    <row r="50" spans="2:18" x14ac:dyDescent="0.25">
      <c r="B50" s="1" t="str">
        <f>_xlfn.CONCAT("@",F50,G50,H50,I50,J50,K50,L50,M50,N50,O50,"(",P50,Q50,R50,")")</f>
        <v>@case_width-track-z10-(def-hc)</v>
      </c>
      <c r="C50" s="5" t="str">
        <f>D50</f>
        <v>4.0</v>
      </c>
      <c r="D50" s="7" t="s">
        <v>92</v>
      </c>
      <c r="F50" s="2" t="s">
        <v>78</v>
      </c>
      <c r="G50" s="2" t="str">
        <f t="shared" si="26"/>
        <v>-</v>
      </c>
      <c r="H50" s="2" t="s">
        <v>102</v>
      </c>
      <c r="I50" s="2" t="str">
        <f>IF(NOT(ISBLANK(J50)),"_","")</f>
        <v/>
      </c>
      <c r="K50" s="2" t="str">
        <f t="shared" si="22"/>
        <v/>
      </c>
      <c r="M50" s="2" t="str">
        <f t="shared" si="27"/>
        <v>-</v>
      </c>
      <c r="N50" s="2" t="s">
        <v>103</v>
      </c>
      <c r="O50" s="2" t="str">
        <f t="shared" si="28"/>
        <v>-</v>
      </c>
      <c r="P50" s="2" t="s">
        <v>10</v>
      </c>
      <c r="Q50" s="2" t="str">
        <f t="shared" si="29"/>
        <v>-</v>
      </c>
      <c r="R50" s="2" t="s">
        <v>11</v>
      </c>
    </row>
    <row r="51" spans="2:18" x14ac:dyDescent="0.25">
      <c r="B51" s="1" t="str">
        <f>_xlfn.CONCAT("@",F51,G51,H51,I51,J51,K51,L51,M51,N51,O51,"(",P51,Q51,R51,")")</f>
        <v>@case_width-track-z11-(def-hc)</v>
      </c>
      <c r="C51" s="5" t="str">
        <f>D51</f>
        <v>4.0</v>
      </c>
      <c r="D51" s="7" t="s">
        <v>92</v>
      </c>
      <c r="F51" s="2" t="s">
        <v>78</v>
      </c>
      <c r="G51" s="2" t="str">
        <f t="shared" ref="G51:G54" si="33">IF(NOT(ISBLANK(H51)),"-","")</f>
        <v>-</v>
      </c>
      <c r="H51" s="2" t="s">
        <v>102</v>
      </c>
      <c r="I51" s="2" t="str">
        <f>IF(NOT(ISBLANK(J51)),"_","")</f>
        <v/>
      </c>
      <c r="K51" s="2" t="str">
        <f t="shared" si="22"/>
        <v/>
      </c>
      <c r="M51" s="2" t="str">
        <f t="shared" ref="M51:M54" si="34">IF(NOT(ISBLANK(N51)),"-","")</f>
        <v>-</v>
      </c>
      <c r="N51" s="2" t="s">
        <v>70</v>
      </c>
      <c r="O51" s="2" t="str">
        <f t="shared" ref="O51:O54" si="35">IF(NOT(ISBLANK(P51)),"-","")</f>
        <v>-</v>
      </c>
      <c r="P51" s="2" t="s">
        <v>10</v>
      </c>
      <c r="Q51" s="2" t="str">
        <f t="shared" ref="Q51:Q54" si="36">IF(NOT(ISBLANK(R51)),"-","")</f>
        <v>-</v>
      </c>
      <c r="R51" s="2" t="s">
        <v>11</v>
      </c>
    </row>
    <row r="52" spans="2:18" x14ac:dyDescent="0.25">
      <c r="B52" s="1" t="str">
        <f t="shared" ref="B52:B54" si="37">_xlfn.CONCAT("@",F52,G52,H52,I52,J52,K52,L52,M52,N52,O52,"(",P52,Q52,R52,")")</f>
        <v>@case_width-track-z14-(def-hc)</v>
      </c>
      <c r="C52" s="5" t="str">
        <f t="shared" ref="C52:C54" si="38">D52</f>
        <v>6.0</v>
      </c>
      <c r="D52" s="7" t="s">
        <v>86</v>
      </c>
      <c r="F52" s="2" t="s">
        <v>78</v>
      </c>
      <c r="G52" s="2" t="str">
        <f t="shared" si="33"/>
        <v>-</v>
      </c>
      <c r="H52" s="2" t="s">
        <v>102</v>
      </c>
      <c r="I52" s="2" t="str">
        <f t="shared" ref="I52:I54" si="39">IF(NOT(ISBLANK(J52)),"_","")</f>
        <v/>
      </c>
      <c r="K52" s="2" t="str">
        <f t="shared" si="22"/>
        <v/>
      </c>
      <c r="M52" s="2" t="str">
        <f t="shared" si="34"/>
        <v>-</v>
      </c>
      <c r="N52" s="2" t="s">
        <v>74</v>
      </c>
      <c r="O52" s="2" t="str">
        <f t="shared" si="35"/>
        <v>-</v>
      </c>
      <c r="P52" s="2" t="s">
        <v>10</v>
      </c>
      <c r="Q52" s="2" t="str">
        <f t="shared" si="36"/>
        <v>-</v>
      </c>
      <c r="R52" s="2" t="s">
        <v>11</v>
      </c>
    </row>
    <row r="53" spans="2:18" x14ac:dyDescent="0.25">
      <c r="B53" s="1" t="str">
        <f t="shared" si="37"/>
        <v>@case_width-track-z16-(def-hc)</v>
      </c>
      <c r="C53" s="5" t="str">
        <f t="shared" si="38"/>
        <v>13.5</v>
      </c>
      <c r="D53" s="7" t="s">
        <v>93</v>
      </c>
      <c r="F53" s="2" t="s">
        <v>78</v>
      </c>
      <c r="G53" s="2" t="str">
        <f t="shared" si="33"/>
        <v>-</v>
      </c>
      <c r="H53" s="2" t="s">
        <v>102</v>
      </c>
      <c r="I53" s="2" t="str">
        <f t="shared" si="39"/>
        <v/>
      </c>
      <c r="K53" s="2" t="str">
        <f t="shared" si="22"/>
        <v/>
      </c>
      <c r="M53" s="2" t="str">
        <f t="shared" si="34"/>
        <v>-</v>
      </c>
      <c r="N53" s="2" t="s">
        <v>75</v>
      </c>
      <c r="O53" s="2" t="str">
        <f t="shared" si="35"/>
        <v>-</v>
      </c>
      <c r="P53" s="2" t="s">
        <v>10</v>
      </c>
      <c r="Q53" s="2" t="str">
        <f t="shared" si="36"/>
        <v>-</v>
      </c>
      <c r="R53" s="2" t="s">
        <v>11</v>
      </c>
    </row>
    <row r="54" spans="2:18" x14ac:dyDescent="0.25">
      <c r="B54" s="1" t="str">
        <f t="shared" si="37"/>
        <v>@case_width-track-z18-(def-hc)</v>
      </c>
      <c r="C54" s="5" t="str">
        <f t="shared" si="38"/>
        <v>22.5</v>
      </c>
      <c r="D54" s="7" t="s">
        <v>94</v>
      </c>
      <c r="F54" s="2" t="s">
        <v>78</v>
      </c>
      <c r="G54" s="2" t="str">
        <f t="shared" si="33"/>
        <v>-</v>
      </c>
      <c r="H54" s="2" t="s">
        <v>102</v>
      </c>
      <c r="I54" s="2" t="str">
        <f t="shared" si="39"/>
        <v/>
      </c>
      <c r="K54" s="2" t="str">
        <f t="shared" si="22"/>
        <v/>
      </c>
      <c r="M54" s="2" t="str">
        <f t="shared" si="34"/>
        <v>-</v>
      </c>
      <c r="N54" s="2" t="s">
        <v>76</v>
      </c>
      <c r="O54" s="2" t="str">
        <f t="shared" si="35"/>
        <v>-</v>
      </c>
      <c r="P54" s="2" t="s">
        <v>10</v>
      </c>
      <c r="Q54" s="2" t="str">
        <f t="shared" si="36"/>
        <v>-</v>
      </c>
      <c r="R54" s="2" t="s">
        <v>11</v>
      </c>
    </row>
    <row r="56" spans="2:18" x14ac:dyDescent="0.25">
      <c r="B56" s="1" t="str">
        <f>_xlfn.CONCAT("@",F56,G56,H56,I56,J56,K56,L56,M56,N56,O56,"(",P56,Q56,R56,")")</f>
        <v>@case_width-track-z10-(gr)</v>
      </c>
      <c r="C56" s="5" t="str">
        <f>D56</f>
        <v>2.0</v>
      </c>
      <c r="D56" s="7" t="s">
        <v>85</v>
      </c>
      <c r="F56" s="2" t="s">
        <v>78</v>
      </c>
      <c r="G56" s="2" t="str">
        <f t="shared" ref="G56:G60" si="40">IF(NOT(ISBLANK(H56)),"-","")</f>
        <v>-</v>
      </c>
      <c r="H56" s="2" t="s">
        <v>102</v>
      </c>
      <c r="I56" s="2" t="str">
        <f>IF(NOT(ISBLANK(J56)),"_","")</f>
        <v/>
      </c>
      <c r="K56" s="2" t="str">
        <f t="shared" si="22"/>
        <v/>
      </c>
      <c r="M56" s="2" t="str">
        <f t="shared" ref="M56:M60" si="41">IF(NOT(ISBLANK(N56)),"-","")</f>
        <v>-</v>
      </c>
      <c r="N56" s="2" t="s">
        <v>103</v>
      </c>
      <c r="O56" s="2" t="str">
        <f t="shared" ref="O56:O60" si="42">IF(NOT(ISBLANK(P56)),"-","")</f>
        <v>-</v>
      </c>
      <c r="P56" s="2" t="s">
        <v>22</v>
      </c>
      <c r="Q56" s="2" t="str">
        <f t="shared" ref="Q56:Q60" si="43">IF(NOT(ISBLANK(R56)),"-","")</f>
        <v/>
      </c>
    </row>
    <row r="57" spans="2:18" x14ac:dyDescent="0.25">
      <c r="B57" s="1" t="str">
        <f>_xlfn.CONCAT("@",F57,G57,H57,I57,J57,K57,L57,M57,N57,O57,"(",P57,Q57,R57,")")</f>
        <v>@case_width-track-z11-(gr)</v>
      </c>
      <c r="C57" s="5" t="str">
        <f>D57</f>
        <v>3.0</v>
      </c>
      <c r="D57" s="7" t="s">
        <v>88</v>
      </c>
      <c r="F57" s="2" t="s">
        <v>78</v>
      </c>
      <c r="G57" s="2" t="str">
        <f t="shared" si="40"/>
        <v>-</v>
      </c>
      <c r="H57" s="2" t="s">
        <v>102</v>
      </c>
      <c r="I57" s="2" t="str">
        <f>IF(NOT(ISBLANK(J57)),"_","")</f>
        <v/>
      </c>
      <c r="K57" s="2" t="str">
        <f t="shared" si="22"/>
        <v/>
      </c>
      <c r="M57" s="2" t="str">
        <f t="shared" si="41"/>
        <v>-</v>
      </c>
      <c r="N57" s="2" t="s">
        <v>70</v>
      </c>
      <c r="O57" s="2" t="str">
        <f t="shared" si="42"/>
        <v>-</v>
      </c>
      <c r="P57" s="2" t="s">
        <v>22</v>
      </c>
      <c r="Q57" s="2" t="str">
        <f t="shared" si="43"/>
        <v/>
      </c>
    </row>
    <row r="58" spans="2:18" x14ac:dyDescent="0.25">
      <c r="B58" s="1" t="str">
        <f t="shared" ref="B58:B60" si="44">_xlfn.CONCAT("@",F58,G58,H58,I58,J58,K58,L58,M58,N58,O58,"(",P58,Q58,R58,")")</f>
        <v>@case_width-track-z14-(gr)</v>
      </c>
      <c r="C58" s="5" t="str">
        <f t="shared" ref="C58:C60" si="45">D58</f>
        <v>4.0</v>
      </c>
      <c r="D58" s="7" t="s">
        <v>92</v>
      </c>
      <c r="F58" s="2" t="s">
        <v>78</v>
      </c>
      <c r="G58" s="2" t="str">
        <f t="shared" si="40"/>
        <v>-</v>
      </c>
      <c r="H58" s="2" t="s">
        <v>102</v>
      </c>
      <c r="I58" s="2" t="str">
        <f t="shared" ref="I58:I60" si="46">IF(NOT(ISBLANK(J58)),"_","")</f>
        <v/>
      </c>
      <c r="K58" s="2" t="str">
        <f t="shared" si="22"/>
        <v/>
      </c>
      <c r="M58" s="2" t="str">
        <f t="shared" si="41"/>
        <v>-</v>
      </c>
      <c r="N58" s="2" t="s">
        <v>74</v>
      </c>
      <c r="O58" s="2" t="str">
        <f t="shared" si="42"/>
        <v>-</v>
      </c>
      <c r="P58" s="2" t="s">
        <v>22</v>
      </c>
      <c r="Q58" s="2" t="str">
        <f t="shared" si="43"/>
        <v/>
      </c>
    </row>
    <row r="59" spans="2:18" x14ac:dyDescent="0.25">
      <c r="B59" s="1" t="str">
        <f t="shared" si="44"/>
        <v>@case_width-track-z16-(gr)</v>
      </c>
      <c r="C59" s="5" t="str">
        <f t="shared" si="45"/>
        <v>9.0</v>
      </c>
      <c r="D59" s="7" t="s">
        <v>87</v>
      </c>
      <c r="F59" s="2" t="s">
        <v>78</v>
      </c>
      <c r="G59" s="2" t="str">
        <f t="shared" si="40"/>
        <v>-</v>
      </c>
      <c r="H59" s="2" t="s">
        <v>102</v>
      </c>
      <c r="I59" s="2" t="str">
        <f t="shared" si="46"/>
        <v/>
      </c>
      <c r="K59" s="2" t="str">
        <f t="shared" si="22"/>
        <v/>
      </c>
      <c r="M59" s="2" t="str">
        <f t="shared" si="41"/>
        <v>-</v>
      </c>
      <c r="N59" s="2" t="s">
        <v>75</v>
      </c>
      <c r="O59" s="2" t="str">
        <f t="shared" si="42"/>
        <v>-</v>
      </c>
      <c r="P59" s="2" t="s">
        <v>22</v>
      </c>
      <c r="Q59" s="2" t="str">
        <f t="shared" si="43"/>
        <v/>
      </c>
    </row>
    <row r="60" spans="2:18" x14ac:dyDescent="0.25">
      <c r="B60" s="1" t="str">
        <f t="shared" si="44"/>
        <v>@case_width-track-z18-(gr)</v>
      </c>
      <c r="C60" s="5" t="str">
        <f t="shared" si="45"/>
        <v>15.0</v>
      </c>
      <c r="D60" s="7" t="s">
        <v>89</v>
      </c>
      <c r="F60" s="2" t="s">
        <v>78</v>
      </c>
      <c r="G60" s="2" t="str">
        <f t="shared" si="40"/>
        <v>-</v>
      </c>
      <c r="H60" s="2" t="s">
        <v>102</v>
      </c>
      <c r="I60" s="2" t="str">
        <f t="shared" si="46"/>
        <v/>
      </c>
      <c r="K60" s="2" t="str">
        <f t="shared" si="22"/>
        <v/>
      </c>
      <c r="M60" s="2" t="str">
        <f t="shared" si="41"/>
        <v>-</v>
      </c>
      <c r="N60" s="2" t="s">
        <v>76</v>
      </c>
      <c r="O60" s="2" t="str">
        <f t="shared" si="42"/>
        <v>-</v>
      </c>
      <c r="P60" s="2" t="s">
        <v>22</v>
      </c>
      <c r="Q60" s="2" t="str">
        <f t="shared" si="43"/>
        <v/>
      </c>
    </row>
    <row r="62" spans="2:18" x14ac:dyDescent="0.25">
      <c r="B62" s="1" t="str">
        <f>_xlfn.CONCAT("@",F62,G62,H62,I62,J62,K62,L62,M62,N62,O62,"(",P62,Q62,R62,")")</f>
        <v>@case_width-track-z10-(gr-hc)</v>
      </c>
      <c r="C62" s="5" t="str">
        <f>D62</f>
        <v>2.0</v>
      </c>
      <c r="D62" s="7" t="s">
        <v>85</v>
      </c>
      <c r="F62" s="2" t="s">
        <v>78</v>
      </c>
      <c r="G62" s="2" t="str">
        <f t="shared" ref="G62:G66" si="47">IF(NOT(ISBLANK(H62)),"-","")</f>
        <v>-</v>
      </c>
      <c r="H62" s="2" t="s">
        <v>102</v>
      </c>
      <c r="I62" s="2" t="str">
        <f>IF(NOT(ISBLANK(J62)),"_","")</f>
        <v/>
      </c>
      <c r="K62" s="2" t="str">
        <f t="shared" ref="K62:K66" si="48">IF(NOT(ISBLANK(L62)),"_","")</f>
        <v/>
      </c>
      <c r="M62" s="2" t="str">
        <f t="shared" ref="M62:M66" si="49">IF(NOT(ISBLANK(N62)),"-","")</f>
        <v>-</v>
      </c>
      <c r="N62" s="2" t="s">
        <v>103</v>
      </c>
      <c r="O62" s="2" t="str">
        <f t="shared" ref="O62:O66" si="50">IF(NOT(ISBLANK(P62)),"-","")</f>
        <v>-</v>
      </c>
      <c r="P62" s="2" t="s">
        <v>22</v>
      </c>
      <c r="Q62" s="2" t="str">
        <f t="shared" ref="Q62:Q66" si="51">IF(NOT(ISBLANK(R62)),"-","")</f>
        <v>-</v>
      </c>
      <c r="R62" s="2" t="s">
        <v>11</v>
      </c>
    </row>
    <row r="63" spans="2:18" x14ac:dyDescent="0.25">
      <c r="B63" s="1" t="str">
        <f>_xlfn.CONCAT("@",F63,G63,H63,I63,J63,K63,L63,M63,N63,O63,"(",P63,Q63,R63,")")</f>
        <v>@case_width-track-z11-(gr-hc)</v>
      </c>
      <c r="C63" s="5" t="str">
        <f>D63</f>
        <v>3.0</v>
      </c>
      <c r="D63" s="7" t="s">
        <v>88</v>
      </c>
      <c r="F63" s="2" t="s">
        <v>78</v>
      </c>
      <c r="G63" s="2" t="str">
        <f t="shared" si="47"/>
        <v>-</v>
      </c>
      <c r="H63" s="2" t="s">
        <v>102</v>
      </c>
      <c r="I63" s="2" t="str">
        <f>IF(NOT(ISBLANK(J63)),"_","")</f>
        <v/>
      </c>
      <c r="K63" s="2" t="str">
        <f t="shared" si="48"/>
        <v/>
      </c>
      <c r="M63" s="2" t="str">
        <f t="shared" si="49"/>
        <v>-</v>
      </c>
      <c r="N63" s="2" t="s">
        <v>70</v>
      </c>
      <c r="O63" s="2" t="str">
        <f t="shared" si="50"/>
        <v>-</v>
      </c>
      <c r="P63" s="2" t="s">
        <v>22</v>
      </c>
      <c r="Q63" s="2" t="str">
        <f t="shared" si="51"/>
        <v>-</v>
      </c>
      <c r="R63" s="2" t="s">
        <v>11</v>
      </c>
    </row>
    <row r="64" spans="2:18" x14ac:dyDescent="0.25">
      <c r="B64" s="1" t="str">
        <f t="shared" ref="B64:B66" si="52">_xlfn.CONCAT("@",F64,G64,H64,I64,J64,K64,L64,M64,N64,O64,"(",P64,Q64,R64,")")</f>
        <v>@case_width-track-z14-(gr-hc)</v>
      </c>
      <c r="C64" s="5" t="str">
        <f t="shared" ref="C64:C66" si="53">D64</f>
        <v>4.0</v>
      </c>
      <c r="D64" s="7" t="s">
        <v>92</v>
      </c>
      <c r="F64" s="2" t="s">
        <v>78</v>
      </c>
      <c r="G64" s="2" t="str">
        <f t="shared" si="47"/>
        <v>-</v>
      </c>
      <c r="H64" s="2" t="s">
        <v>102</v>
      </c>
      <c r="I64" s="2" t="str">
        <f t="shared" ref="I64:I66" si="54">IF(NOT(ISBLANK(J64)),"_","")</f>
        <v/>
      </c>
      <c r="K64" s="2" t="str">
        <f t="shared" si="48"/>
        <v/>
      </c>
      <c r="M64" s="2" t="str">
        <f t="shared" si="49"/>
        <v>-</v>
      </c>
      <c r="N64" s="2" t="s">
        <v>74</v>
      </c>
      <c r="O64" s="2" t="str">
        <f t="shared" si="50"/>
        <v>-</v>
      </c>
      <c r="P64" s="2" t="s">
        <v>22</v>
      </c>
      <c r="Q64" s="2" t="str">
        <f t="shared" si="51"/>
        <v>-</v>
      </c>
      <c r="R64" s="2" t="s">
        <v>11</v>
      </c>
    </row>
    <row r="65" spans="2:18" x14ac:dyDescent="0.25">
      <c r="B65" s="1" t="str">
        <f t="shared" si="52"/>
        <v>@case_width-track-z16-(gr-hc)</v>
      </c>
      <c r="C65" s="5" t="str">
        <f t="shared" si="53"/>
        <v>9.0</v>
      </c>
      <c r="D65" s="7" t="s">
        <v>87</v>
      </c>
      <c r="F65" s="2" t="s">
        <v>78</v>
      </c>
      <c r="G65" s="2" t="str">
        <f t="shared" si="47"/>
        <v>-</v>
      </c>
      <c r="H65" s="2" t="s">
        <v>102</v>
      </c>
      <c r="I65" s="2" t="str">
        <f t="shared" si="54"/>
        <v/>
      </c>
      <c r="K65" s="2" t="str">
        <f t="shared" si="48"/>
        <v/>
      </c>
      <c r="M65" s="2" t="str">
        <f t="shared" si="49"/>
        <v>-</v>
      </c>
      <c r="N65" s="2" t="s">
        <v>75</v>
      </c>
      <c r="O65" s="2" t="str">
        <f t="shared" si="50"/>
        <v>-</v>
      </c>
      <c r="P65" s="2" t="s">
        <v>22</v>
      </c>
      <c r="Q65" s="2" t="str">
        <f t="shared" si="51"/>
        <v>-</v>
      </c>
      <c r="R65" s="2" t="s">
        <v>11</v>
      </c>
    </row>
    <row r="66" spans="2:18" x14ac:dyDescent="0.25">
      <c r="B66" s="1" t="str">
        <f t="shared" si="52"/>
        <v>@case_width-track-z18-(gr-hc)</v>
      </c>
      <c r="C66" s="5" t="str">
        <f t="shared" si="53"/>
        <v>15.0</v>
      </c>
      <c r="D66" s="7" t="s">
        <v>89</v>
      </c>
      <c r="F66" s="2" t="s">
        <v>78</v>
      </c>
      <c r="G66" s="2" t="str">
        <f t="shared" si="47"/>
        <v>-</v>
      </c>
      <c r="H66" s="2" t="s">
        <v>102</v>
      </c>
      <c r="I66" s="2" t="str">
        <f t="shared" si="54"/>
        <v/>
      </c>
      <c r="K66" s="2" t="str">
        <f t="shared" si="48"/>
        <v/>
      </c>
      <c r="M66" s="2" t="str">
        <f t="shared" si="49"/>
        <v>-</v>
      </c>
      <c r="N66" s="2" t="s">
        <v>76</v>
      </c>
      <c r="O66" s="2" t="str">
        <f t="shared" si="50"/>
        <v>-</v>
      </c>
      <c r="P66" s="2" t="s">
        <v>22</v>
      </c>
      <c r="Q66" s="2" t="str">
        <f t="shared" si="51"/>
        <v>-</v>
      </c>
      <c r="R66" s="2" t="s">
        <v>11</v>
      </c>
    </row>
  </sheetData>
  <pageMargins left="0.7" right="0.7" top="0.75" bottom="0.75" header="0.3" footer="0.3"/>
  <headerFooter>
    <oddHeader>&amp;R&amp;"Aptos"&amp;11&amp;K000000 TUNI Luottamuksellinen - Confidential (3Y)&amp;1#_x000D_</oddHeader>
  </headerFooter>
</worksheet>
</file>

<file path=docMetadata/LabelInfo.xml><?xml version="1.0" encoding="utf-8"?>
<clbl:labelList xmlns:clbl="http://schemas.microsoft.com/office/2020/mipLabelMetadata">
  <clbl:label id="{74814fa1-1a0b-42d1-967a-caddbf829325}" enabled="1" method="Standard" siteId="{fa6944af-cc7c-4cd8-9154-c01132798910}" contentBits="1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style_variables</vt:lpstr>
      <vt:lpstr>style_variables_linetypes</vt:lpstr>
      <vt:lpstr>#OLD style_variables_linetypes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Tapio Kaasalainen (TAU)</dc:creator>
  <cp:lastModifiedBy>Tapio Kaasalainen (TAU)</cp:lastModifiedBy>
  <dcterms:created xsi:type="dcterms:W3CDTF">2024-10-27T05:30:53Z</dcterms:created>
  <dcterms:modified xsi:type="dcterms:W3CDTF">2025-12-28T11:39:30Z</dcterms:modified>
</cp:coreProperties>
</file>